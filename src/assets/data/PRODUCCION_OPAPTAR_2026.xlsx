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style8.xml" ContentType="application/vnd.ms-office.chartstyle+xml"/>
  <Override PartName="/xl/charts/colors8.xml" ContentType="application/vnd.ms-office.chartcolorstyle+xml"/>
  <Override PartName="/xl/charts/chart16.xml" ContentType="application/vnd.openxmlformats-officedocument.drawingml.chart+xml"/>
  <Override PartName="/xl/charts/style9.xml" ContentType="application/vnd.ms-office.chartstyle+xml"/>
  <Override PartName="/xl/charts/colors9.xml" ContentType="application/vnd.ms-office.chartcolorstyle+xml"/>
  <Override PartName="/xl/charts/chart17.xml" ContentType="application/vnd.openxmlformats-officedocument.drawingml.chart+xml"/>
  <Override PartName="/xl/charts/style10.xml" ContentType="application/vnd.ms-office.chartstyle+xml"/>
  <Override PartName="/xl/charts/colors10.xml" ContentType="application/vnd.ms-office.chartcolorstyle+xml"/>
  <Override PartName="/xl/charts/chart18.xml" ContentType="application/vnd.openxmlformats-officedocument.drawingml.chart+xml"/>
  <Override PartName="/xl/drawings/drawing4.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5.xml" ContentType="application/vnd.openxmlformats-officedocument.drawing+xml"/>
  <Override PartName="/xl/charts/chart23.xml" ContentType="application/vnd.openxmlformats-officedocument.drawingml.chart+xml"/>
  <Override PartName="/xl/charts/style11.xml" ContentType="application/vnd.ms-office.chartstyle+xml"/>
  <Override PartName="/xl/charts/colors11.xml" ContentType="application/vnd.ms-office.chartcolorstyle+xml"/>
  <Override PartName="/xl/charts/chart24.xml" ContentType="application/vnd.openxmlformats-officedocument.drawingml.chart+xml"/>
  <Override PartName="/xl/charts/style12.xml" ContentType="application/vnd.ms-office.chartstyle+xml"/>
  <Override PartName="/xl/charts/colors12.xml" ContentType="application/vnd.ms-office.chartcolorstyle+xml"/>
  <Override PartName="/xl/charts/chart25.xml" ContentType="application/vnd.openxmlformats-officedocument.drawingml.chart+xml"/>
  <Override PartName="/xl/charts/style13.xml" ContentType="application/vnd.ms-office.chartstyle+xml"/>
  <Override PartName="/xl/charts/colors13.xml" ContentType="application/vnd.ms-office.chartcolorstyle+xml"/>
  <Override PartName="/xl/charts/chart26.xml" ContentType="application/vnd.openxmlformats-officedocument.drawingml.chart+xml"/>
  <Override PartName="/xl/charts/style14.xml" ContentType="application/vnd.ms-office.chartstyle+xml"/>
  <Override PartName="/xl/charts/colors14.xml" ContentType="application/vnd.ms-office.chartcolorstyle+xml"/>
  <Override PartName="/xl/charts/chart27.xml" ContentType="application/vnd.openxmlformats-officedocument.drawingml.chart+xml"/>
  <Override PartName="/xl/charts/style15.xml" ContentType="application/vnd.ms-office.chartstyle+xml"/>
  <Override PartName="/xl/charts/colors15.xml" ContentType="application/vnd.ms-office.chartcolorstyle+xml"/>
  <Override PartName="/xl/charts/chart28.xml" ContentType="application/vnd.openxmlformats-officedocument.drawingml.chart+xml"/>
  <Override PartName="/xl/charts/style16.xml" ContentType="application/vnd.ms-office.chartstyle+xml"/>
  <Override PartName="/xl/charts/colors16.xml" ContentType="application/vnd.ms-office.chartcolorstyle+xml"/>
  <Override PartName="/xl/charts/chart29.xml" ContentType="application/vnd.openxmlformats-officedocument.drawingml.chart+xml"/>
  <Override PartName="/xl/charts/style17.xml" ContentType="application/vnd.ms-office.chartstyle+xml"/>
  <Override PartName="/xl/charts/colors17.xml" ContentType="application/vnd.ms-office.chartcolorstyle+xml"/>
  <Override PartName="/xl/charts/chart30.xml" ContentType="application/vnd.openxmlformats-officedocument.drawingml.chart+xml"/>
  <Override PartName="/xl/charts/style18.xml" ContentType="application/vnd.ms-office.chartstyle+xml"/>
  <Override PartName="/xl/charts/colors18.xml" ContentType="application/vnd.ms-office.chartcolorstyle+xml"/>
  <Override PartName="/xl/charts/chart31.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charts/chart32.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hidePivotFieldList="1"/>
  <mc:AlternateContent xmlns:mc="http://schemas.openxmlformats.org/markup-compatibility/2006">
    <mc:Choice Requires="x15">
      <x15ac:absPath xmlns:x15ac="http://schemas.microsoft.com/office/spreadsheetml/2010/11/ac" url="G:\.shortcut-targets-by-id\1R2AFlX1tqJYWi6-i3j-IzAZK28fY0DFB\SEMAPACH 2026\PRODUCCION 2026\AGUA POTABLE\"/>
    </mc:Choice>
  </mc:AlternateContent>
  <xr:revisionPtr revIDLastSave="0" documentId="13_ncr:1_{9ABEA3F6-50D9-480D-819E-DC5592148C30}" xr6:coauthVersionLast="47" xr6:coauthVersionMax="47" xr10:uidLastSave="{00000000-0000-0000-0000-000000000000}"/>
  <bookViews>
    <workbookView xWindow="-120" yWindow="-120" windowWidth="29040" windowHeight="15840" tabRatio="787" activeTab="7" xr2:uid="{00000000-000D-0000-FFFF-FFFF00000000}"/>
  </bookViews>
  <sheets>
    <sheet name="BD" sheetId="1" r:id="rId1"/>
    <sheet name="BDsurtidor" sheetId="20" r:id="rId2"/>
    <sheet name="BDrsanjuan" sheetId="21" r:id="rId3"/>
    <sheet name="DASHBOARD" sheetId="18" r:id="rId4"/>
    <sheet name="Caudal Inst." sheetId="39" r:id="rId5"/>
    <sheet name="BDmensual" sheetId="15" r:id="rId6"/>
    <sheet name="IMPRESION SCI" sheetId="35" r:id="rId7"/>
    <sheet name="rpt sunass" sheetId="36" r:id="rId8"/>
    <sheet name="RPTGO" sheetId="17" r:id="rId9"/>
    <sheet name="CORTES" sheetId="19" r:id="rId10"/>
    <sheet name="RPTdiario" sheetId="16" r:id="rId11"/>
    <sheet name="RPTGC" sheetId="24" r:id="rId12"/>
    <sheet name="RE_ANUAL" sheetId="31" r:id="rId13"/>
    <sheet name="rpt mensual (new)" sheetId="38" r:id="rId14"/>
  </sheets>
  <externalReferences>
    <externalReference r:id="rId15"/>
  </externalReferences>
  <definedNames>
    <definedName name="_xlnm.Print_Area" localSheetId="0">BD!$B$3:$AZ$4</definedName>
    <definedName name="_xlnm.Print_Area" localSheetId="3">DASHBOARD!$C$4:$Z$66</definedName>
    <definedName name="_xlnm.Print_Area" localSheetId="6">'IMPRESION SCI'!$A$4:$P$48,'IMPRESION SCI'!$AI$4:$AX$48,'IMPRESION SCI'!$R$51:$AG$95,'IMPRESION SCI'!$A$51:$P$95,'IMPRESION SCI'!$AI$51:$AX$95,'IMPRESION SCI'!$A$98:$P$142,'IMPRESION SCI'!$R$98:$AG$142,'IMPRESION SCI'!$AI$98:$AX$142</definedName>
    <definedName name="_xlnm.Print_Area" localSheetId="13">'rpt mensual (new)'!$B$3:$V$39,'rpt mensual (new)'!$B$41:$V$77,'rpt mensual (new)'!$B$79:$V$115,'rpt mensual (new)'!$B$119:$V$155</definedName>
    <definedName name="_xlnm.Print_Area" localSheetId="11">RPTGC!$B$4:$O$18</definedName>
    <definedName name="_xlnm.Print_Titles" localSheetId="0">BD!$B:$B</definedName>
  </definedNames>
  <calcPr calcId="191029"/>
  <pivotCaches>
    <pivotCache cacheId="0" r:id="rId16"/>
    <pivotCache cacheId="1"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20" i="1" l="1"/>
  <c r="AD120" i="1"/>
  <c r="AF120" i="1" s="1"/>
  <c r="AB120" i="1" s="1"/>
  <c r="Y120" i="1"/>
  <c r="T120" i="1"/>
  <c r="V120" i="1" s="1"/>
  <c r="R120" i="1" s="1"/>
  <c r="AX120" i="1"/>
  <c r="AZ120" i="1" s="1"/>
  <c r="AV120" i="1" s="1"/>
  <c r="AS120" i="1"/>
  <c r="AU120" i="1" s="1"/>
  <c r="AR120" i="1" s="1"/>
  <c r="AN120" i="1"/>
  <c r="AP120" i="1" s="1"/>
  <c r="AL120" i="1" s="1"/>
  <c r="AK120" i="1"/>
  <c r="BM120" i="1"/>
  <c r="BO120" i="1" s="1"/>
  <c r="BL120" i="1" s="1"/>
  <c r="BH120" i="1"/>
  <c r="BJ120" i="1" s="1"/>
  <c r="BG120" i="1" s="1"/>
  <c r="BC120" i="1"/>
  <c r="BE120" i="1" s="1"/>
  <c r="BB120" i="1" s="1"/>
  <c r="Q120" i="1"/>
  <c r="N120" i="1" s="1"/>
  <c r="O120" i="1"/>
  <c r="J120" i="1"/>
  <c r="L120" i="1" s="1"/>
  <c r="I120" i="1" s="1"/>
  <c r="E120" i="1"/>
  <c r="G120" i="1" s="1"/>
  <c r="D120" i="1" s="1"/>
  <c r="AE119" i="1"/>
  <c r="Z119" i="1"/>
  <c r="B765" i="20"/>
  <c r="C765" i="20"/>
  <c r="D765" i="20"/>
  <c r="I765" i="20"/>
  <c r="J765" i="20"/>
  <c r="K765" i="20"/>
  <c r="L765" i="20"/>
  <c r="M765" i="20"/>
  <c r="B764" i="20"/>
  <c r="C764" i="20"/>
  <c r="D764" i="20"/>
  <c r="I764" i="20"/>
  <c r="J764" i="20"/>
  <c r="K764" i="20"/>
  <c r="L764" i="20"/>
  <c r="M764" i="20"/>
  <c r="B763" i="20"/>
  <c r="C763" i="20"/>
  <c r="D763" i="20"/>
  <c r="I763" i="20"/>
  <c r="J763" i="20"/>
  <c r="K763" i="20"/>
  <c r="L763" i="20"/>
  <c r="M763" i="20"/>
  <c r="B762" i="20"/>
  <c r="C762" i="20"/>
  <c r="D762" i="20"/>
  <c r="I762" i="20"/>
  <c r="J762" i="20"/>
  <c r="K762" i="20"/>
  <c r="L762" i="20"/>
  <c r="M762" i="20"/>
  <c r="AX119" i="1"/>
  <c r="AZ119" i="1" s="1"/>
  <c r="AV119" i="1" s="1"/>
  <c r="AS119" i="1"/>
  <c r="AU119" i="1" s="1"/>
  <c r="AR119" i="1" s="1"/>
  <c r="AN119" i="1"/>
  <c r="AP119" i="1" s="1"/>
  <c r="AL119" i="1" s="1"/>
  <c r="AK119" i="1"/>
  <c r="BM119" i="1"/>
  <c r="BO119" i="1" s="1"/>
  <c r="BL119" i="1" s="1"/>
  <c r="BH119" i="1"/>
  <c r="BJ119" i="1" s="1"/>
  <c r="BG119" i="1" s="1"/>
  <c r="BC119" i="1"/>
  <c r="BE119" i="1" s="1"/>
  <c r="BB119" i="1" s="1"/>
  <c r="AD119" i="1"/>
  <c r="AF119" i="1" s="1"/>
  <c r="AB119" i="1" s="1"/>
  <c r="Y119" i="1"/>
  <c r="AA119" i="1" s="1"/>
  <c r="W119" i="1" s="1"/>
  <c r="T119" i="1"/>
  <c r="V119" i="1" s="1"/>
  <c r="R119" i="1" s="1"/>
  <c r="O119" i="1"/>
  <c r="Q119" i="1" s="1"/>
  <c r="N119" i="1" s="1"/>
  <c r="L119" i="1"/>
  <c r="J119" i="1"/>
  <c r="I119" i="1"/>
  <c r="E119" i="1"/>
  <c r="G119" i="1" s="1"/>
  <c r="D119" i="1" s="1"/>
  <c r="AX118" i="1"/>
  <c r="AZ118" i="1" s="1"/>
  <c r="AV118" i="1" s="1"/>
  <c r="AS118" i="1"/>
  <c r="AU118" i="1" s="1"/>
  <c r="AR118" i="1" s="1"/>
  <c r="AN118" i="1"/>
  <c r="AP118" i="1" s="1"/>
  <c r="AL118" i="1" s="1"/>
  <c r="AK118" i="1"/>
  <c r="B761" i="20"/>
  <c r="C761" i="20"/>
  <c r="D761" i="20"/>
  <c r="I761" i="20"/>
  <c r="J761" i="20"/>
  <c r="K761" i="20"/>
  <c r="L761" i="20"/>
  <c r="M761" i="20"/>
  <c r="B760" i="20"/>
  <c r="C760" i="20"/>
  <c r="D760" i="20"/>
  <c r="I760" i="20"/>
  <c r="J760" i="20"/>
  <c r="K760" i="20"/>
  <c r="L760" i="20"/>
  <c r="M760" i="20"/>
  <c r="B759" i="20"/>
  <c r="C759" i="20"/>
  <c r="D759" i="20"/>
  <c r="I759" i="20"/>
  <c r="J759" i="20"/>
  <c r="L759" i="20"/>
  <c r="M759" i="20"/>
  <c r="B758" i="20"/>
  <c r="C758" i="20"/>
  <c r="D758" i="20"/>
  <c r="I758" i="20"/>
  <c r="J758" i="20"/>
  <c r="K758" i="20"/>
  <c r="L758" i="20"/>
  <c r="M758" i="20"/>
  <c r="B757" i="20"/>
  <c r="C757" i="20"/>
  <c r="D757" i="20"/>
  <c r="I757" i="20"/>
  <c r="J757" i="20"/>
  <c r="K757" i="20"/>
  <c r="L757" i="20"/>
  <c r="M757" i="20"/>
  <c r="B756" i="20"/>
  <c r="C756" i="20"/>
  <c r="D756" i="20"/>
  <c r="I756" i="20"/>
  <c r="J756" i="20"/>
  <c r="K756" i="20"/>
  <c r="L756" i="20"/>
  <c r="M756" i="20"/>
  <c r="BM118" i="1"/>
  <c r="BO118" i="1" s="1"/>
  <c r="BL118" i="1" s="1"/>
  <c r="BH118" i="1"/>
  <c r="BJ118" i="1" s="1"/>
  <c r="BG118" i="1" s="1"/>
  <c r="BC118" i="1"/>
  <c r="BE118" i="1" s="1"/>
  <c r="BB118" i="1" s="1"/>
  <c r="T118" i="1"/>
  <c r="V118" i="1" s="1"/>
  <c r="R118" i="1" s="1"/>
  <c r="AD118" i="1"/>
  <c r="AF118" i="1" s="1"/>
  <c r="AB118" i="1" s="1"/>
  <c r="Y118" i="1"/>
  <c r="O118" i="1"/>
  <c r="Q118" i="1" s="1"/>
  <c r="N118" i="1" s="1"/>
  <c r="L118" i="1"/>
  <c r="I118" i="1" s="1"/>
  <c r="J118" i="1"/>
  <c r="E118" i="1"/>
  <c r="G118" i="1" s="1"/>
  <c r="D118" i="1" s="1"/>
  <c r="Z117" i="1"/>
  <c r="B755" i="20"/>
  <c r="C755" i="20"/>
  <c r="D755" i="20"/>
  <c r="I755" i="20"/>
  <c r="J755" i="20"/>
  <c r="L755" i="20"/>
  <c r="M755" i="20"/>
  <c r="B754" i="20"/>
  <c r="C754" i="20"/>
  <c r="D754" i="20"/>
  <c r="I754" i="20"/>
  <c r="J754" i="20"/>
  <c r="K754" i="20"/>
  <c r="L754" i="20"/>
  <c r="M754" i="20"/>
  <c r="B753" i="20"/>
  <c r="C753" i="20"/>
  <c r="D753" i="20"/>
  <c r="I753" i="20"/>
  <c r="J753" i="20"/>
  <c r="K753" i="20"/>
  <c r="L753" i="20"/>
  <c r="M753" i="20"/>
  <c r="B752" i="20"/>
  <c r="C752" i="20"/>
  <c r="D752" i="20"/>
  <c r="I752" i="20"/>
  <c r="J752" i="20"/>
  <c r="K752" i="20"/>
  <c r="L752" i="20"/>
  <c r="M752" i="20"/>
  <c r="B751" i="20"/>
  <c r="C751" i="20"/>
  <c r="D751" i="20"/>
  <c r="I751" i="20"/>
  <c r="J751" i="20"/>
  <c r="K751" i="20"/>
  <c r="L751" i="20"/>
  <c r="M751" i="20"/>
  <c r="B750" i="20"/>
  <c r="C750" i="20"/>
  <c r="D750" i="20"/>
  <c r="I750" i="20"/>
  <c r="J750" i="20"/>
  <c r="K750" i="20"/>
  <c r="L750" i="20"/>
  <c r="M750" i="20"/>
  <c r="B749" i="20"/>
  <c r="C749" i="20"/>
  <c r="D749" i="20"/>
  <c r="I749" i="20"/>
  <c r="J749" i="20"/>
  <c r="L749" i="20"/>
  <c r="M749" i="20"/>
  <c r="B748" i="20"/>
  <c r="C748" i="20"/>
  <c r="D748" i="20"/>
  <c r="I748" i="20"/>
  <c r="J748" i="20"/>
  <c r="K748" i="20"/>
  <c r="L748" i="20"/>
  <c r="M748" i="20"/>
  <c r="R116" i="1"/>
  <c r="R117" i="1"/>
  <c r="R115" i="1"/>
  <c r="D117" i="1"/>
  <c r="D115" i="1"/>
  <c r="D116" i="1"/>
  <c r="AX117" i="1"/>
  <c r="AZ117" i="1" s="1"/>
  <c r="AV117" i="1" s="1"/>
  <c r="AU117" i="1"/>
  <c r="AR117" i="1" s="1"/>
  <c r="AS117" i="1"/>
  <c r="AN117" i="1"/>
  <c r="AP117" i="1" s="1"/>
  <c r="AL117" i="1" s="1"/>
  <c r="AK117" i="1"/>
  <c r="BM117" i="1"/>
  <c r="BO117" i="1" s="1"/>
  <c r="BL117" i="1" s="1"/>
  <c r="BH117" i="1"/>
  <c r="BJ117" i="1" s="1"/>
  <c r="BG117" i="1" s="1"/>
  <c r="BC117" i="1"/>
  <c r="BE117" i="1" s="1"/>
  <c r="BB117" i="1" s="1"/>
  <c r="AD117" i="1"/>
  <c r="AF117" i="1" s="1"/>
  <c r="AB117" i="1" s="1"/>
  <c r="Y117" i="1"/>
  <c r="V117" i="1"/>
  <c r="T117" i="1"/>
  <c r="O117" i="1"/>
  <c r="Q117" i="1" s="1"/>
  <c r="N117" i="1" s="1"/>
  <c r="J117" i="1"/>
  <c r="L117" i="1" s="1"/>
  <c r="I117" i="1" s="1"/>
  <c r="E117" i="1"/>
  <c r="G117" i="1" s="1"/>
  <c r="Z116" i="1"/>
  <c r="AX116" i="1"/>
  <c r="AZ116" i="1" s="1"/>
  <c r="AV116" i="1" s="1"/>
  <c r="AS116" i="1"/>
  <c r="AU116" i="1" s="1"/>
  <c r="AR116" i="1" s="1"/>
  <c r="AN116" i="1"/>
  <c r="AP116" i="1" s="1"/>
  <c r="AL116" i="1" s="1"/>
  <c r="AK116" i="1"/>
  <c r="B747" i="20"/>
  <c r="C747" i="20"/>
  <c r="D747" i="20"/>
  <c r="I747" i="20"/>
  <c r="J747" i="20"/>
  <c r="K747" i="20"/>
  <c r="L747" i="20"/>
  <c r="M747" i="20"/>
  <c r="B746" i="20"/>
  <c r="C746" i="20"/>
  <c r="D746" i="20"/>
  <c r="I746" i="20"/>
  <c r="J746" i="20"/>
  <c r="K746" i="20"/>
  <c r="L746" i="20"/>
  <c r="M746" i="20"/>
  <c r="B745" i="20"/>
  <c r="C745" i="20"/>
  <c r="D745" i="20"/>
  <c r="I745" i="20"/>
  <c r="J745" i="20"/>
  <c r="K745" i="20"/>
  <c r="L745" i="20"/>
  <c r="M745" i="20"/>
  <c r="B744" i="20"/>
  <c r="C744" i="20"/>
  <c r="D744" i="20"/>
  <c r="I744" i="20"/>
  <c r="J744" i="20"/>
  <c r="K744" i="20"/>
  <c r="L744" i="20"/>
  <c r="M744" i="20"/>
  <c r="B743" i="20"/>
  <c r="C743" i="20"/>
  <c r="D743" i="20"/>
  <c r="I743" i="20"/>
  <c r="J743" i="20"/>
  <c r="K743" i="20"/>
  <c r="L743" i="20"/>
  <c r="M743" i="20"/>
  <c r="B742" i="20"/>
  <c r="C742" i="20"/>
  <c r="D742" i="20"/>
  <c r="I742" i="20"/>
  <c r="J742" i="20"/>
  <c r="L742" i="20"/>
  <c r="M742" i="20"/>
  <c r="B741" i="20"/>
  <c r="C741" i="20"/>
  <c r="D741" i="20"/>
  <c r="I741" i="20"/>
  <c r="J741" i="20"/>
  <c r="K741" i="20"/>
  <c r="L741" i="20"/>
  <c r="M741" i="20"/>
  <c r="B740" i="20"/>
  <c r="C740" i="20"/>
  <c r="D740" i="20"/>
  <c r="I740" i="20"/>
  <c r="J740" i="20"/>
  <c r="K740" i="20"/>
  <c r="L740" i="20"/>
  <c r="M740" i="20"/>
  <c r="BM116" i="1"/>
  <c r="BO116" i="1" s="1"/>
  <c r="BL116" i="1" s="1"/>
  <c r="BH116" i="1"/>
  <c r="BJ116" i="1" s="1"/>
  <c r="BG116" i="1" s="1"/>
  <c r="BC116" i="1"/>
  <c r="BE116" i="1" s="1"/>
  <c r="BB116" i="1" s="1"/>
  <c r="AD116" i="1"/>
  <c r="AF116" i="1" s="1"/>
  <c r="AB116" i="1" s="1"/>
  <c r="T116" i="1"/>
  <c r="V116" i="1" s="1"/>
  <c r="O116" i="1"/>
  <c r="Q116" i="1" s="1"/>
  <c r="N116" i="1" s="1"/>
  <c r="J116" i="1"/>
  <c r="L116" i="1" s="1"/>
  <c r="I116" i="1" s="1"/>
  <c r="E116" i="1"/>
  <c r="G116" i="1" s="1"/>
  <c r="Z115" i="1"/>
  <c r="AX115" i="1"/>
  <c r="AZ115" i="1" s="1"/>
  <c r="AV115" i="1" s="1"/>
  <c r="AS115" i="1"/>
  <c r="AU115" i="1" s="1"/>
  <c r="AR115" i="1" s="1"/>
  <c r="AN115" i="1"/>
  <c r="AP115" i="1" s="1"/>
  <c r="AL115" i="1" s="1"/>
  <c r="AK115" i="1"/>
  <c r="B739" i="20"/>
  <c r="C739" i="20"/>
  <c r="D739" i="20"/>
  <c r="I739" i="20"/>
  <c r="J739" i="20"/>
  <c r="K739" i="20"/>
  <c r="L739" i="20"/>
  <c r="M739" i="20"/>
  <c r="B738" i="20"/>
  <c r="C738" i="20"/>
  <c r="D738" i="20"/>
  <c r="I738" i="20"/>
  <c r="J738" i="20"/>
  <c r="K738" i="20"/>
  <c r="L738" i="20"/>
  <c r="M738" i="20"/>
  <c r="B737" i="20"/>
  <c r="C737" i="20"/>
  <c r="D737" i="20"/>
  <c r="I737" i="20"/>
  <c r="J737" i="20"/>
  <c r="K737" i="20"/>
  <c r="L737" i="20"/>
  <c r="M737" i="20"/>
  <c r="B736" i="20"/>
  <c r="C736" i="20"/>
  <c r="D736" i="20"/>
  <c r="I736" i="20"/>
  <c r="J736" i="20"/>
  <c r="K736" i="20"/>
  <c r="L736" i="20"/>
  <c r="M736" i="20"/>
  <c r="B735" i="20"/>
  <c r="C735" i="20"/>
  <c r="D735" i="20"/>
  <c r="I735" i="20"/>
  <c r="J735" i="20"/>
  <c r="L735" i="20"/>
  <c r="M735" i="20"/>
  <c r="B734" i="20"/>
  <c r="C734" i="20"/>
  <c r="D734" i="20"/>
  <c r="I734" i="20"/>
  <c r="J734" i="20"/>
  <c r="K734" i="20"/>
  <c r="L734" i="20"/>
  <c r="M734" i="20"/>
  <c r="B733" i="20"/>
  <c r="C733" i="20"/>
  <c r="D733" i="20"/>
  <c r="I733" i="20"/>
  <c r="J733" i="20"/>
  <c r="K733" i="20"/>
  <c r="L733" i="20"/>
  <c r="M733" i="20"/>
  <c r="BM115" i="1"/>
  <c r="BO115" i="1" s="1"/>
  <c r="BL115" i="1" s="1"/>
  <c r="BH115" i="1"/>
  <c r="BJ115" i="1" s="1"/>
  <c r="BG115" i="1" s="1"/>
  <c r="BE115" i="1"/>
  <c r="BB115" i="1" s="1"/>
  <c r="BC115" i="1"/>
  <c r="AD115" i="1"/>
  <c r="AF115" i="1" s="1"/>
  <c r="AB115" i="1" s="1"/>
  <c r="Y115" i="1"/>
  <c r="V115" i="1"/>
  <c r="T115" i="1"/>
  <c r="O115" i="1"/>
  <c r="Q115" i="1" s="1"/>
  <c r="N115" i="1" s="1"/>
  <c r="J115" i="1"/>
  <c r="L115" i="1" s="1"/>
  <c r="I115" i="1" s="1"/>
  <c r="G115" i="1"/>
  <c r="E115" i="1"/>
  <c r="B732" i="20"/>
  <c r="C732" i="20"/>
  <c r="D732" i="20"/>
  <c r="I732" i="20"/>
  <c r="J732" i="20"/>
  <c r="K732" i="20"/>
  <c r="L732" i="20"/>
  <c r="M732" i="20"/>
  <c r="AX114" i="1"/>
  <c r="AZ114" i="1" s="1"/>
  <c r="AV114" i="1" s="1"/>
  <c r="AS114" i="1"/>
  <c r="AU114" i="1" s="1"/>
  <c r="AR114" i="1" s="1"/>
  <c r="AN114" i="1"/>
  <c r="AP114" i="1" s="1"/>
  <c r="AL114" i="1" s="1"/>
  <c r="AK114" i="1"/>
  <c r="B731" i="20"/>
  <c r="C731" i="20"/>
  <c r="D731" i="20"/>
  <c r="I731" i="20"/>
  <c r="J731" i="20"/>
  <c r="K731" i="20"/>
  <c r="L731" i="20"/>
  <c r="M731" i="20"/>
  <c r="B730" i="20"/>
  <c r="C730" i="20"/>
  <c r="D730" i="20"/>
  <c r="I730" i="20"/>
  <c r="J730" i="20"/>
  <c r="K730" i="20"/>
  <c r="L730" i="20"/>
  <c r="M730" i="20"/>
  <c r="B729" i="20"/>
  <c r="C729" i="20"/>
  <c r="D729" i="20"/>
  <c r="I729" i="20"/>
  <c r="J729" i="20"/>
  <c r="K729" i="20"/>
  <c r="L729" i="20"/>
  <c r="M729" i="20"/>
  <c r="B728" i="20"/>
  <c r="C728" i="20"/>
  <c r="D728" i="20"/>
  <c r="I728" i="20"/>
  <c r="J728" i="20"/>
  <c r="L728" i="20"/>
  <c r="M728" i="20"/>
  <c r="B727" i="20"/>
  <c r="C727" i="20"/>
  <c r="D727" i="20"/>
  <c r="I727" i="20"/>
  <c r="J727" i="20"/>
  <c r="K727" i="20"/>
  <c r="L727" i="20"/>
  <c r="M727" i="20"/>
  <c r="B726" i="20"/>
  <c r="C726" i="20"/>
  <c r="D726" i="20"/>
  <c r="I726" i="20"/>
  <c r="J726" i="20"/>
  <c r="K726" i="20"/>
  <c r="L726" i="20"/>
  <c r="M726" i="20"/>
  <c r="BM114" i="1"/>
  <c r="BO114" i="1" s="1"/>
  <c r="BL114" i="1" s="1"/>
  <c r="BH114" i="1"/>
  <c r="BJ114" i="1" s="1"/>
  <c r="BG114" i="1" s="1"/>
  <c r="BC114" i="1"/>
  <c r="BE114" i="1" s="1"/>
  <c r="BB114" i="1" s="1"/>
  <c r="T114" i="1"/>
  <c r="V114" i="1" s="1"/>
  <c r="T113" i="1"/>
  <c r="V113" i="1" s="1"/>
  <c r="AD114" i="1"/>
  <c r="AF114" i="1" s="1"/>
  <c r="AB114" i="1" s="1"/>
  <c r="Y114" i="1"/>
  <c r="O114" i="1"/>
  <c r="Q114" i="1" s="1"/>
  <c r="N114" i="1" s="1"/>
  <c r="J114" i="1"/>
  <c r="L114" i="1" s="1"/>
  <c r="I114" i="1" s="1"/>
  <c r="E114" i="1"/>
  <c r="G114" i="1" s="1"/>
  <c r="AX113" i="1"/>
  <c r="AZ113" i="1" s="1"/>
  <c r="AV113" i="1" s="1"/>
  <c r="AS113" i="1"/>
  <c r="AU113" i="1" s="1"/>
  <c r="AR113" i="1" s="1"/>
  <c r="AN113" i="1"/>
  <c r="AP113" i="1" s="1"/>
  <c r="AL113" i="1" s="1"/>
  <c r="AK113" i="1"/>
  <c r="B725" i="20"/>
  <c r="C725" i="20"/>
  <c r="D725" i="20"/>
  <c r="I725" i="20"/>
  <c r="J725" i="20"/>
  <c r="K725" i="20"/>
  <c r="L725" i="20"/>
  <c r="M725" i="20"/>
  <c r="D724" i="20"/>
  <c r="B724" i="20"/>
  <c r="C724" i="20"/>
  <c r="I724" i="20"/>
  <c r="J724" i="20"/>
  <c r="K724" i="20"/>
  <c r="L724" i="20"/>
  <c r="M724" i="20"/>
  <c r="BM113" i="1"/>
  <c r="BO113" i="1" s="1"/>
  <c r="BL113" i="1" s="1"/>
  <c r="BH113" i="1"/>
  <c r="BJ113" i="1" s="1"/>
  <c r="BG113" i="1" s="1"/>
  <c r="BC113" i="1"/>
  <c r="BE113" i="1" s="1"/>
  <c r="BB113" i="1" s="1"/>
  <c r="AD113" i="1"/>
  <c r="AF113" i="1" s="1"/>
  <c r="AB113" i="1" s="1"/>
  <c r="Y113" i="1"/>
  <c r="O113" i="1"/>
  <c r="Q113" i="1" s="1"/>
  <c r="N113" i="1" s="1"/>
  <c r="J113" i="1"/>
  <c r="L113" i="1" s="1"/>
  <c r="I113" i="1" s="1"/>
  <c r="E113" i="1"/>
  <c r="G113" i="1" s="1"/>
  <c r="AD112" i="1"/>
  <c r="Y112" i="1"/>
  <c r="V112" i="1"/>
  <c r="T112" i="1"/>
  <c r="AX112" i="1"/>
  <c r="AZ112" i="1" s="1"/>
  <c r="AV112" i="1" s="1"/>
  <c r="AS112" i="1"/>
  <c r="AU112" i="1" s="1"/>
  <c r="AR112" i="1" s="1"/>
  <c r="AN112" i="1"/>
  <c r="AP112" i="1" s="1"/>
  <c r="AL112" i="1" s="1"/>
  <c r="AK112" i="1"/>
  <c r="B723" i="20"/>
  <c r="C723" i="20"/>
  <c r="D723" i="20"/>
  <c r="I723" i="20"/>
  <c r="J723" i="20"/>
  <c r="K723" i="20"/>
  <c r="L723" i="20"/>
  <c r="M723" i="20"/>
  <c r="B722" i="20"/>
  <c r="C722" i="20"/>
  <c r="D722" i="20"/>
  <c r="I722" i="20"/>
  <c r="J722" i="20"/>
  <c r="K722" i="20"/>
  <c r="L722" i="20"/>
  <c r="M722" i="20"/>
  <c r="B721" i="20"/>
  <c r="C721" i="20"/>
  <c r="D721" i="20"/>
  <c r="I721" i="20"/>
  <c r="J721" i="20"/>
  <c r="K721" i="20"/>
  <c r="L721" i="20"/>
  <c r="M721" i="20"/>
  <c r="B720" i="20"/>
  <c r="C720" i="20"/>
  <c r="D720" i="20"/>
  <c r="I720" i="20"/>
  <c r="J720" i="20"/>
  <c r="K720" i="20"/>
  <c r="L720" i="20"/>
  <c r="M720" i="20"/>
  <c r="BM112" i="1"/>
  <c r="BO112" i="1" s="1"/>
  <c r="BL112" i="1" s="1"/>
  <c r="BH112" i="1"/>
  <c r="BJ112" i="1" s="1"/>
  <c r="BG112" i="1" s="1"/>
  <c r="BC112" i="1"/>
  <c r="BE112" i="1" s="1"/>
  <c r="BB112" i="1" s="1"/>
  <c r="B719" i="20"/>
  <c r="C719" i="20"/>
  <c r="D719" i="20"/>
  <c r="I719" i="20"/>
  <c r="J719" i="20"/>
  <c r="K719" i="20"/>
  <c r="L719" i="20"/>
  <c r="M719" i="20"/>
  <c r="B718" i="20"/>
  <c r="C718" i="20"/>
  <c r="D718" i="20"/>
  <c r="I718" i="20"/>
  <c r="J718" i="20"/>
  <c r="K718" i="20"/>
  <c r="L718" i="20"/>
  <c r="M718" i="20"/>
  <c r="O112" i="1"/>
  <c r="Q112" i="1" s="1"/>
  <c r="N112" i="1" s="1"/>
  <c r="J112" i="1"/>
  <c r="L112" i="1" s="1"/>
  <c r="I112" i="1" s="1"/>
  <c r="E112" i="1"/>
  <c r="G112" i="1" s="1"/>
  <c r="B717" i="20"/>
  <c r="C717" i="20"/>
  <c r="D717" i="20"/>
  <c r="I717" i="20"/>
  <c r="J717" i="20"/>
  <c r="K717" i="20"/>
  <c r="L717" i="20"/>
  <c r="M717" i="20"/>
  <c r="B716" i="20"/>
  <c r="C716" i="20"/>
  <c r="D716" i="20"/>
  <c r="I716" i="20"/>
  <c r="J716" i="20"/>
  <c r="K716" i="20"/>
  <c r="L716" i="20"/>
  <c r="M716" i="20"/>
  <c r="B715" i="20"/>
  <c r="C715" i="20"/>
  <c r="D715" i="20"/>
  <c r="I715" i="20"/>
  <c r="J715" i="20"/>
  <c r="K715" i="20"/>
  <c r="L715" i="20"/>
  <c r="M715" i="20"/>
  <c r="B714" i="20"/>
  <c r="C714" i="20"/>
  <c r="D714" i="20"/>
  <c r="I714" i="20"/>
  <c r="J714" i="20"/>
  <c r="K714" i="20"/>
  <c r="L714" i="20"/>
  <c r="M714" i="20"/>
  <c r="B713" i="20"/>
  <c r="C713" i="20"/>
  <c r="D713" i="20"/>
  <c r="I713" i="20"/>
  <c r="J713" i="20"/>
  <c r="K713" i="20"/>
  <c r="L713" i="20"/>
  <c r="M713" i="20"/>
  <c r="B712" i="20"/>
  <c r="C712" i="20"/>
  <c r="D712" i="20"/>
  <c r="I712" i="20"/>
  <c r="J712" i="20"/>
  <c r="K712" i="20"/>
  <c r="L712" i="20"/>
  <c r="M712" i="20"/>
  <c r="AX111" i="1"/>
  <c r="AZ111" i="1" s="1"/>
  <c r="AV111" i="1" s="1"/>
  <c r="AS111" i="1"/>
  <c r="AU111" i="1" s="1"/>
  <c r="AR111" i="1" s="1"/>
  <c r="AN111" i="1"/>
  <c r="AP111" i="1" s="1"/>
  <c r="AL111" i="1" s="1"/>
  <c r="AK111" i="1"/>
  <c r="BM111" i="1"/>
  <c r="BO111" i="1" s="1"/>
  <c r="BL111" i="1" s="1"/>
  <c r="BH111" i="1"/>
  <c r="BJ111" i="1" s="1"/>
  <c r="BG111" i="1" s="1"/>
  <c r="BC111" i="1"/>
  <c r="BE111" i="1" s="1"/>
  <c r="BB111" i="1" s="1"/>
  <c r="AD111" i="1"/>
  <c r="AF111" i="1" s="1"/>
  <c r="AB111" i="1" s="1"/>
  <c r="Y111" i="1"/>
  <c r="T111" i="1"/>
  <c r="V111" i="1" s="1"/>
  <c r="O111" i="1"/>
  <c r="Q111" i="1" s="1"/>
  <c r="N111" i="1" s="1"/>
  <c r="J111" i="1"/>
  <c r="L111" i="1" s="1"/>
  <c r="I111" i="1" s="1"/>
  <c r="E111" i="1"/>
  <c r="G111" i="1" s="1"/>
  <c r="B711" i="20"/>
  <c r="C711" i="20"/>
  <c r="D711" i="20"/>
  <c r="I711" i="20"/>
  <c r="J711" i="20"/>
  <c r="K711" i="20"/>
  <c r="L711" i="20"/>
  <c r="M711" i="20"/>
  <c r="B710" i="20"/>
  <c r="C710" i="20"/>
  <c r="D710" i="20"/>
  <c r="I710" i="20"/>
  <c r="J710" i="20"/>
  <c r="K710" i="20"/>
  <c r="L710" i="20"/>
  <c r="M710" i="20"/>
  <c r="B709" i="20"/>
  <c r="C709" i="20"/>
  <c r="D709" i="20"/>
  <c r="I709" i="20"/>
  <c r="J709" i="20"/>
  <c r="L709" i="20"/>
  <c r="M709" i="20"/>
  <c r="B708" i="20"/>
  <c r="C708" i="20"/>
  <c r="D708" i="20"/>
  <c r="I708" i="20"/>
  <c r="J708" i="20"/>
  <c r="K708" i="20"/>
  <c r="L708" i="20"/>
  <c r="M708" i="20"/>
  <c r="B707" i="20"/>
  <c r="C707" i="20"/>
  <c r="D707" i="20"/>
  <c r="I707" i="20"/>
  <c r="J707" i="20"/>
  <c r="K707" i="20"/>
  <c r="L707" i="20"/>
  <c r="M707" i="20"/>
  <c r="Z110" i="1"/>
  <c r="Y110" i="1" s="1"/>
  <c r="AX110" i="1"/>
  <c r="AZ110" i="1" s="1"/>
  <c r="AV110" i="1" s="1"/>
  <c r="AS110" i="1"/>
  <c r="AU110" i="1" s="1"/>
  <c r="AR110" i="1" s="1"/>
  <c r="AN110" i="1"/>
  <c r="AP110" i="1" s="1"/>
  <c r="AL110" i="1" s="1"/>
  <c r="AK110" i="1"/>
  <c r="BM110" i="1"/>
  <c r="BO110" i="1" s="1"/>
  <c r="BL110" i="1" s="1"/>
  <c r="BH110" i="1"/>
  <c r="BJ110" i="1" s="1"/>
  <c r="BG110" i="1" s="1"/>
  <c r="BC110" i="1"/>
  <c r="BE110" i="1" s="1"/>
  <c r="BB110" i="1" s="1"/>
  <c r="AD110" i="1"/>
  <c r="T110" i="1"/>
  <c r="V110" i="1" s="1"/>
  <c r="O110" i="1"/>
  <c r="Q110" i="1" s="1"/>
  <c r="N110" i="1" s="1"/>
  <c r="J110" i="1"/>
  <c r="L110" i="1" s="1"/>
  <c r="I110" i="1" s="1"/>
  <c r="E110" i="1"/>
  <c r="G110" i="1" s="1"/>
  <c r="B706" i="20"/>
  <c r="C706" i="20"/>
  <c r="D706" i="20"/>
  <c r="I706" i="20"/>
  <c r="J706" i="20"/>
  <c r="K706" i="20"/>
  <c r="L706" i="20"/>
  <c r="M706" i="20"/>
  <c r="B705" i="20"/>
  <c r="C705" i="20"/>
  <c r="D705" i="20"/>
  <c r="I705" i="20"/>
  <c r="J705" i="20"/>
  <c r="K705" i="20"/>
  <c r="L705" i="20"/>
  <c r="M705" i="20"/>
  <c r="B704" i="20"/>
  <c r="C704" i="20"/>
  <c r="D704" i="20"/>
  <c r="I704" i="20"/>
  <c r="J704" i="20"/>
  <c r="K704" i="20"/>
  <c r="L704" i="20"/>
  <c r="M704" i="20"/>
  <c r="B703" i="20"/>
  <c r="C703" i="20"/>
  <c r="D703" i="20"/>
  <c r="I703" i="20"/>
  <c r="J703" i="20"/>
  <c r="K703" i="20"/>
  <c r="L703" i="20"/>
  <c r="M703" i="20"/>
  <c r="BM109" i="1"/>
  <c r="BO109" i="1" s="1"/>
  <c r="BL109" i="1" s="1"/>
  <c r="BH109" i="1"/>
  <c r="BJ109" i="1" s="1"/>
  <c r="BG109" i="1" s="1"/>
  <c r="BC109" i="1"/>
  <c r="BE109" i="1" s="1"/>
  <c r="BB109" i="1" s="1"/>
  <c r="AX109" i="1"/>
  <c r="AZ109" i="1" s="1"/>
  <c r="AV109" i="1" s="1"/>
  <c r="AS109" i="1"/>
  <c r="AU109" i="1" s="1"/>
  <c r="AR109" i="1" s="1"/>
  <c r="AN109" i="1"/>
  <c r="AP109" i="1" s="1"/>
  <c r="AL109" i="1" s="1"/>
  <c r="AK109" i="1"/>
  <c r="AD109" i="1"/>
  <c r="AF109" i="1" s="1"/>
  <c r="AB109" i="1" s="1"/>
  <c r="Y109" i="1"/>
  <c r="AA109" i="1" s="1"/>
  <c r="W109" i="1" s="1"/>
  <c r="T109" i="1"/>
  <c r="V109" i="1" s="1"/>
  <c r="O109" i="1"/>
  <c r="Q109" i="1" s="1"/>
  <c r="N109" i="1" s="1"/>
  <c r="L109" i="1"/>
  <c r="I109" i="1" s="1"/>
  <c r="J109" i="1"/>
  <c r="E109" i="1"/>
  <c r="G109" i="1" s="1"/>
  <c r="B702" i="20"/>
  <c r="C702" i="20"/>
  <c r="D702" i="20"/>
  <c r="I702" i="20"/>
  <c r="J702" i="20"/>
  <c r="K702" i="20"/>
  <c r="L702" i="20"/>
  <c r="M702" i="20"/>
  <c r="B701" i="20"/>
  <c r="C701" i="20"/>
  <c r="D701" i="20"/>
  <c r="I701" i="20"/>
  <c r="J701" i="20"/>
  <c r="K701" i="20"/>
  <c r="L701" i="20"/>
  <c r="M701" i="20"/>
  <c r="B700" i="20"/>
  <c r="C700" i="20"/>
  <c r="D700" i="20"/>
  <c r="I700" i="20"/>
  <c r="J700" i="20"/>
  <c r="L700" i="20"/>
  <c r="M700" i="20"/>
  <c r="B699" i="20"/>
  <c r="C699" i="20"/>
  <c r="D699" i="20"/>
  <c r="I699" i="20"/>
  <c r="J699" i="20"/>
  <c r="K699" i="20"/>
  <c r="L699" i="20"/>
  <c r="M699" i="20"/>
  <c r="B698" i="20"/>
  <c r="C698" i="20"/>
  <c r="D698" i="20"/>
  <c r="I698" i="20"/>
  <c r="J698" i="20"/>
  <c r="K698" i="20"/>
  <c r="L698" i="20"/>
  <c r="M698" i="20"/>
  <c r="AX108" i="1"/>
  <c r="AZ108" i="1" s="1"/>
  <c r="AV108" i="1" s="1"/>
  <c r="AS108" i="1"/>
  <c r="AU108" i="1" s="1"/>
  <c r="AR108" i="1" s="1"/>
  <c r="AN108" i="1"/>
  <c r="AP108" i="1" s="1"/>
  <c r="AL108" i="1" s="1"/>
  <c r="AK108" i="1"/>
  <c r="BM108" i="1"/>
  <c r="BO108" i="1" s="1"/>
  <c r="BL108" i="1" s="1"/>
  <c r="BH108" i="1"/>
  <c r="BJ108" i="1" s="1"/>
  <c r="BG108" i="1" s="1"/>
  <c r="BC108" i="1"/>
  <c r="BE108" i="1" s="1"/>
  <c r="BB108" i="1" s="1"/>
  <c r="AD108" i="1"/>
  <c r="AF108" i="1" s="1"/>
  <c r="AB108" i="1" s="1"/>
  <c r="Y108" i="1"/>
  <c r="AA108" i="1" s="1"/>
  <c r="W108" i="1" s="1"/>
  <c r="T108" i="1"/>
  <c r="V108" i="1" s="1"/>
  <c r="O108" i="1"/>
  <c r="Q108" i="1" s="1"/>
  <c r="N108" i="1" s="1"/>
  <c r="J108" i="1"/>
  <c r="L108" i="1" s="1"/>
  <c r="I108" i="1" s="1"/>
  <c r="E108" i="1"/>
  <c r="G108" i="1" s="1"/>
  <c r="AX107" i="1"/>
  <c r="AZ107" i="1" s="1"/>
  <c r="AV107" i="1" s="1"/>
  <c r="AS107" i="1"/>
  <c r="AU107" i="1" s="1"/>
  <c r="AR107" i="1" s="1"/>
  <c r="AN107" i="1"/>
  <c r="AP107" i="1" s="1"/>
  <c r="AL107" i="1" s="1"/>
  <c r="AK107" i="1"/>
  <c r="AD107" i="1"/>
  <c r="AF107" i="1" s="1"/>
  <c r="AB107" i="1" s="1"/>
  <c r="Y107" i="1"/>
  <c r="T107" i="1"/>
  <c r="V107" i="1" s="1"/>
  <c r="BM107" i="1"/>
  <c r="BO107" i="1" s="1"/>
  <c r="BL107" i="1" s="1"/>
  <c r="BH107" i="1"/>
  <c r="BJ107" i="1" s="1"/>
  <c r="BG107" i="1" s="1"/>
  <c r="BC107" i="1"/>
  <c r="BE107" i="1" s="1"/>
  <c r="BB107" i="1" s="1"/>
  <c r="O107" i="1"/>
  <c r="Q107" i="1" s="1"/>
  <c r="N107" i="1" s="1"/>
  <c r="J107" i="1"/>
  <c r="L107" i="1" s="1"/>
  <c r="I107" i="1" s="1"/>
  <c r="E107" i="1"/>
  <c r="G107" i="1" s="1"/>
  <c r="B697" i="20"/>
  <c r="C697" i="20"/>
  <c r="D697" i="20"/>
  <c r="I697" i="20"/>
  <c r="J697" i="20"/>
  <c r="K697" i="20"/>
  <c r="L697" i="20"/>
  <c r="M697" i="20"/>
  <c r="B696" i="20"/>
  <c r="C696" i="20"/>
  <c r="D696" i="20"/>
  <c r="I696" i="20"/>
  <c r="J696" i="20"/>
  <c r="K696" i="20"/>
  <c r="L696" i="20"/>
  <c r="M696" i="20"/>
  <c r="B695" i="20"/>
  <c r="C695" i="20"/>
  <c r="D695" i="20"/>
  <c r="I695" i="20"/>
  <c r="J695" i="20"/>
  <c r="K695" i="20"/>
  <c r="L695" i="20"/>
  <c r="M695" i="20"/>
  <c r="B694" i="20"/>
  <c r="C694" i="20"/>
  <c r="D694" i="20"/>
  <c r="I694" i="20"/>
  <c r="J694" i="20"/>
  <c r="K694" i="20"/>
  <c r="L694" i="20"/>
  <c r="M694" i="20"/>
  <c r="B693" i="20"/>
  <c r="C693" i="20"/>
  <c r="D693" i="20"/>
  <c r="I693" i="20"/>
  <c r="J693" i="20"/>
  <c r="L693" i="20"/>
  <c r="M693" i="20"/>
  <c r="B692" i="20"/>
  <c r="C692" i="20"/>
  <c r="D692" i="20"/>
  <c r="I692" i="20"/>
  <c r="J692" i="20"/>
  <c r="K692" i="20"/>
  <c r="L692" i="20"/>
  <c r="M692" i="20"/>
  <c r="B691" i="20"/>
  <c r="C691" i="20"/>
  <c r="D691" i="20"/>
  <c r="I691" i="20"/>
  <c r="J691" i="20"/>
  <c r="K691" i="20"/>
  <c r="L691" i="20"/>
  <c r="M691" i="20"/>
  <c r="B690" i="20"/>
  <c r="C690" i="20"/>
  <c r="D690" i="20"/>
  <c r="I690" i="20"/>
  <c r="J690" i="20"/>
  <c r="K690" i="20"/>
  <c r="L690" i="20"/>
  <c r="M690" i="20"/>
  <c r="C15" i="36"/>
  <c r="U6" i="38"/>
  <c r="AB78" i="38"/>
  <c r="Z106" i="1"/>
  <c r="AX106" i="1"/>
  <c r="AZ106" i="1" s="1"/>
  <c r="AV106" i="1" s="1"/>
  <c r="AS106" i="1"/>
  <c r="AU106" i="1" s="1"/>
  <c r="AR106" i="1" s="1"/>
  <c r="AN106" i="1"/>
  <c r="AP106" i="1" s="1"/>
  <c r="AL106" i="1" s="1"/>
  <c r="AK106" i="1"/>
  <c r="BM106" i="1"/>
  <c r="BO106" i="1" s="1"/>
  <c r="BL106" i="1" s="1"/>
  <c r="BH106" i="1"/>
  <c r="BJ106" i="1" s="1"/>
  <c r="BG106" i="1" s="1"/>
  <c r="BC106" i="1"/>
  <c r="BE106" i="1" s="1"/>
  <c r="BB106" i="1" s="1"/>
  <c r="AD106" i="1"/>
  <c r="AF106" i="1" s="1"/>
  <c r="AB106" i="1" s="1"/>
  <c r="Y106" i="1"/>
  <c r="AA106" i="1" s="1"/>
  <c r="W106" i="1" s="1"/>
  <c r="T106" i="1"/>
  <c r="V106" i="1" s="1"/>
  <c r="O106" i="1"/>
  <c r="Q106" i="1" s="1"/>
  <c r="N106" i="1" s="1"/>
  <c r="J106" i="1"/>
  <c r="L106" i="1" s="1"/>
  <c r="I106" i="1" s="1"/>
  <c r="E106" i="1"/>
  <c r="G106" i="1" s="1"/>
  <c r="B689" i="20"/>
  <c r="C689" i="20"/>
  <c r="D689" i="20"/>
  <c r="I689" i="20"/>
  <c r="J689" i="20"/>
  <c r="K689" i="20"/>
  <c r="L689" i="20"/>
  <c r="M689" i="20"/>
  <c r="B688" i="20"/>
  <c r="C688" i="20"/>
  <c r="D688" i="20"/>
  <c r="I688" i="20"/>
  <c r="J688" i="20"/>
  <c r="K688" i="20"/>
  <c r="L688" i="20"/>
  <c r="M688" i="20"/>
  <c r="B687" i="20"/>
  <c r="C687" i="20"/>
  <c r="D687" i="20"/>
  <c r="I687" i="20"/>
  <c r="J687" i="20"/>
  <c r="K687" i="20"/>
  <c r="L687" i="20"/>
  <c r="M687" i="20"/>
  <c r="B686" i="20"/>
  <c r="C686" i="20"/>
  <c r="D686" i="20"/>
  <c r="I686" i="20"/>
  <c r="J686" i="20"/>
  <c r="K686" i="20"/>
  <c r="L686" i="20"/>
  <c r="M686" i="20"/>
  <c r="AD105" i="1"/>
  <c r="AF105" i="1" s="1"/>
  <c r="AB105" i="1" s="1"/>
  <c r="Y105" i="1"/>
  <c r="T105" i="1"/>
  <c r="V105" i="1" s="1"/>
  <c r="AZ105" i="1"/>
  <c r="AX105" i="1"/>
  <c r="AV105" i="1"/>
  <c r="AS105" i="1"/>
  <c r="AU105" i="1" s="1"/>
  <c r="AR105" i="1" s="1"/>
  <c r="AN105" i="1"/>
  <c r="AP105" i="1" s="1"/>
  <c r="AL105" i="1" s="1"/>
  <c r="AK105" i="1"/>
  <c r="BM105" i="1"/>
  <c r="BO105" i="1" s="1"/>
  <c r="BL105" i="1" s="1"/>
  <c r="BH105" i="1"/>
  <c r="BJ105" i="1" s="1"/>
  <c r="BG105" i="1" s="1"/>
  <c r="BC105" i="1"/>
  <c r="BE105" i="1" s="1"/>
  <c r="BB105" i="1" s="1"/>
  <c r="O105" i="1"/>
  <c r="Q105" i="1" s="1"/>
  <c r="N105" i="1" s="1"/>
  <c r="J105" i="1"/>
  <c r="L105" i="1" s="1"/>
  <c r="I105" i="1" s="1"/>
  <c r="E105" i="1"/>
  <c r="G105" i="1" s="1"/>
  <c r="B685" i="20"/>
  <c r="C685" i="20"/>
  <c r="D685" i="20"/>
  <c r="I685" i="20"/>
  <c r="J685" i="20"/>
  <c r="K685" i="20"/>
  <c r="L685" i="20"/>
  <c r="M685" i="20"/>
  <c r="B684" i="20"/>
  <c r="C684" i="20"/>
  <c r="D684" i="20"/>
  <c r="I684" i="20"/>
  <c r="J684" i="20"/>
  <c r="K684" i="20"/>
  <c r="L684" i="20"/>
  <c r="M684" i="20"/>
  <c r="B683" i="20"/>
  <c r="C683" i="20"/>
  <c r="D683" i="20"/>
  <c r="I683" i="20"/>
  <c r="J683" i="20"/>
  <c r="K683" i="20"/>
  <c r="L683" i="20"/>
  <c r="M683" i="20"/>
  <c r="B682" i="20"/>
  <c r="C682" i="20"/>
  <c r="D682" i="20"/>
  <c r="I682" i="20"/>
  <c r="J682" i="20"/>
  <c r="K682" i="20"/>
  <c r="L682" i="20"/>
  <c r="M682" i="20"/>
  <c r="B681" i="20"/>
  <c r="C681" i="20"/>
  <c r="D681" i="20"/>
  <c r="I681" i="20"/>
  <c r="J681" i="20"/>
  <c r="K681" i="20"/>
  <c r="L681" i="20"/>
  <c r="M681" i="20"/>
  <c r="B680" i="20"/>
  <c r="C680" i="20"/>
  <c r="D680" i="20"/>
  <c r="I680" i="20"/>
  <c r="J680" i="20"/>
  <c r="K680" i="20"/>
  <c r="L680" i="20"/>
  <c r="M680" i="20"/>
  <c r="AX99" i="1"/>
  <c r="AX100" i="1"/>
  <c r="AX101" i="1"/>
  <c r="AX102" i="1"/>
  <c r="AX103" i="1"/>
  <c r="AX104" i="1"/>
  <c r="AZ103" i="1"/>
  <c r="AV103" i="1" s="1"/>
  <c r="BM104" i="1"/>
  <c r="BO104" i="1" s="1"/>
  <c r="BL104" i="1" s="1"/>
  <c r="BH104" i="1"/>
  <c r="BJ104" i="1" s="1"/>
  <c r="BG104" i="1" s="1"/>
  <c r="BC104" i="1"/>
  <c r="BE104" i="1" s="1"/>
  <c r="BB104" i="1" s="1"/>
  <c r="AZ104" i="1"/>
  <c r="AV104" i="1" s="1"/>
  <c r="AS104" i="1"/>
  <c r="AU104" i="1" s="1"/>
  <c r="AR104" i="1" s="1"/>
  <c r="AN104" i="1"/>
  <c r="AP104" i="1" s="1"/>
  <c r="AL104" i="1" s="1"/>
  <c r="AK104" i="1"/>
  <c r="AD104" i="1"/>
  <c r="AF104" i="1" s="1"/>
  <c r="AB104" i="1" s="1"/>
  <c r="Y104" i="1"/>
  <c r="T104" i="1"/>
  <c r="V104" i="1" s="1"/>
  <c r="O104" i="1"/>
  <c r="Q104" i="1" s="1"/>
  <c r="N104" i="1" s="1"/>
  <c r="J104" i="1"/>
  <c r="L104" i="1" s="1"/>
  <c r="I104" i="1" s="1"/>
  <c r="E104" i="1"/>
  <c r="G104" i="1" s="1"/>
  <c r="Z103" i="1"/>
  <c r="B679" i="20"/>
  <c r="C679" i="20"/>
  <c r="D679" i="20"/>
  <c r="I679" i="20"/>
  <c r="J679" i="20"/>
  <c r="K679" i="20"/>
  <c r="L679" i="20"/>
  <c r="M679" i="20"/>
  <c r="B678" i="20"/>
  <c r="C678" i="20"/>
  <c r="D678" i="20"/>
  <c r="I678" i="20"/>
  <c r="J678" i="20"/>
  <c r="L678" i="20"/>
  <c r="M678" i="20"/>
  <c r="B677" i="20"/>
  <c r="C677" i="20"/>
  <c r="D677" i="20"/>
  <c r="I677" i="20"/>
  <c r="J677" i="20"/>
  <c r="K677" i="20"/>
  <c r="L677" i="20"/>
  <c r="M677" i="20"/>
  <c r="B676" i="20"/>
  <c r="C676" i="20"/>
  <c r="D676" i="20"/>
  <c r="I676" i="20"/>
  <c r="J676" i="20"/>
  <c r="L676" i="20"/>
  <c r="M676" i="20"/>
  <c r="B675" i="20"/>
  <c r="C675" i="20"/>
  <c r="D675" i="20"/>
  <c r="I675" i="20"/>
  <c r="J675" i="20"/>
  <c r="K675" i="20"/>
  <c r="L675" i="20"/>
  <c r="M675" i="20"/>
  <c r="B674" i="20"/>
  <c r="C674" i="20"/>
  <c r="D674" i="20"/>
  <c r="I674" i="20"/>
  <c r="J674" i="20"/>
  <c r="K674" i="20"/>
  <c r="L674" i="20"/>
  <c r="M674" i="20"/>
  <c r="BM103" i="1"/>
  <c r="BO103" i="1" s="1"/>
  <c r="BL103" i="1" s="1"/>
  <c r="BH103" i="1"/>
  <c r="BJ103" i="1" s="1"/>
  <c r="BG103" i="1" s="1"/>
  <c r="BC103" i="1"/>
  <c r="BE103" i="1" s="1"/>
  <c r="BB103" i="1" s="1"/>
  <c r="AS103" i="1"/>
  <c r="AU103" i="1" s="1"/>
  <c r="AR103" i="1" s="1"/>
  <c r="AN103" i="1"/>
  <c r="AP103" i="1" s="1"/>
  <c r="AL103" i="1" s="1"/>
  <c r="AK103" i="1"/>
  <c r="AD103" i="1"/>
  <c r="AF103" i="1" s="1"/>
  <c r="AB103" i="1" s="1"/>
  <c r="T103" i="1"/>
  <c r="V103" i="1" s="1"/>
  <c r="O103" i="1"/>
  <c r="Q103" i="1" s="1"/>
  <c r="N103" i="1" s="1"/>
  <c r="J103" i="1"/>
  <c r="L103" i="1" s="1"/>
  <c r="I103" i="1" s="1"/>
  <c r="E103" i="1"/>
  <c r="G103" i="1" s="1"/>
  <c r="B673" i="20"/>
  <c r="C673" i="20"/>
  <c r="D673" i="20"/>
  <c r="I673" i="20"/>
  <c r="J673" i="20"/>
  <c r="L673" i="20"/>
  <c r="M673" i="20"/>
  <c r="B672" i="20"/>
  <c r="C672" i="20"/>
  <c r="D672" i="20"/>
  <c r="I672" i="20"/>
  <c r="J672" i="20"/>
  <c r="K672" i="20"/>
  <c r="L672" i="20"/>
  <c r="M672" i="20"/>
  <c r="B671" i="20"/>
  <c r="C671" i="20"/>
  <c r="D671" i="20"/>
  <c r="I671" i="20"/>
  <c r="J671" i="20"/>
  <c r="K671" i="20"/>
  <c r="L671" i="20"/>
  <c r="M671" i="20"/>
  <c r="B670" i="20"/>
  <c r="C670" i="20"/>
  <c r="D670" i="20"/>
  <c r="I670" i="20"/>
  <c r="J670" i="20"/>
  <c r="K670" i="20"/>
  <c r="L670" i="20"/>
  <c r="M670" i="20"/>
  <c r="B669" i="20"/>
  <c r="C669" i="20"/>
  <c r="D669" i="20"/>
  <c r="I669" i="20"/>
  <c r="J669" i="20"/>
  <c r="K669" i="20"/>
  <c r="L669" i="20"/>
  <c r="M669" i="20"/>
  <c r="B668" i="20"/>
  <c r="C668" i="20"/>
  <c r="D668" i="20"/>
  <c r="I668" i="20"/>
  <c r="J668" i="20"/>
  <c r="K668" i="20"/>
  <c r="L668" i="20"/>
  <c r="M668" i="20"/>
  <c r="B667" i="20"/>
  <c r="C667" i="20"/>
  <c r="D667" i="20"/>
  <c r="I667" i="20"/>
  <c r="J667" i="20"/>
  <c r="L667" i="20"/>
  <c r="M667" i="20"/>
  <c r="Y100" i="1"/>
  <c r="Y101" i="1"/>
  <c r="Y102" i="1"/>
  <c r="Z102" i="1"/>
  <c r="AL101" i="1"/>
  <c r="AZ102" i="1"/>
  <c r="AV102" i="1" s="1"/>
  <c r="AS102" i="1"/>
  <c r="AU102" i="1" s="1"/>
  <c r="AR102" i="1" s="1"/>
  <c r="AN102" i="1"/>
  <c r="AP102" i="1" s="1"/>
  <c r="AL102" i="1" s="1"/>
  <c r="AK102" i="1"/>
  <c r="BM102" i="1"/>
  <c r="BO102" i="1" s="1"/>
  <c r="BL102" i="1" s="1"/>
  <c r="BH102" i="1"/>
  <c r="BJ102" i="1" s="1"/>
  <c r="BG102" i="1" s="1"/>
  <c r="BC102" i="1"/>
  <c r="BE102" i="1" s="1"/>
  <c r="BB102" i="1" s="1"/>
  <c r="AD102" i="1"/>
  <c r="AF102" i="1" s="1"/>
  <c r="AB102" i="1" s="1"/>
  <c r="T102" i="1"/>
  <c r="V102" i="1" s="1"/>
  <c r="Q102" i="1"/>
  <c r="N102" i="1" s="1"/>
  <c r="O102" i="1"/>
  <c r="J102" i="1"/>
  <c r="L102" i="1" s="1"/>
  <c r="I102" i="1" s="1"/>
  <c r="E102" i="1"/>
  <c r="G102" i="1" s="1"/>
  <c r="B666" i="20"/>
  <c r="C666" i="20"/>
  <c r="D666" i="20"/>
  <c r="I666" i="20"/>
  <c r="J666" i="20"/>
  <c r="L666" i="20"/>
  <c r="M666" i="20"/>
  <c r="B665" i="20"/>
  <c r="C665" i="20"/>
  <c r="D665" i="20"/>
  <c r="I665" i="20"/>
  <c r="J665" i="20"/>
  <c r="K665" i="20"/>
  <c r="L665" i="20"/>
  <c r="M665" i="20"/>
  <c r="B664" i="20"/>
  <c r="C664" i="20"/>
  <c r="D664" i="20"/>
  <c r="I664" i="20"/>
  <c r="J664" i="20"/>
  <c r="K664" i="20"/>
  <c r="L664" i="20"/>
  <c r="M664" i="20"/>
  <c r="B663" i="20"/>
  <c r="C663" i="20"/>
  <c r="D663" i="20"/>
  <c r="I663" i="20"/>
  <c r="J663" i="20"/>
  <c r="L663" i="20"/>
  <c r="M663" i="20"/>
  <c r="B662" i="20"/>
  <c r="C662" i="20"/>
  <c r="D662" i="20"/>
  <c r="I662" i="20"/>
  <c r="J662" i="20"/>
  <c r="K662" i="20"/>
  <c r="L662" i="20"/>
  <c r="M662" i="20"/>
  <c r="B661" i="20"/>
  <c r="C661" i="20"/>
  <c r="D661" i="20"/>
  <c r="I661" i="20"/>
  <c r="J661" i="20"/>
  <c r="K661" i="20"/>
  <c r="L661" i="20"/>
  <c r="M661" i="20"/>
  <c r="T95" i="1"/>
  <c r="T96" i="1"/>
  <c r="T97" i="1"/>
  <c r="T98" i="1"/>
  <c r="T99" i="1"/>
  <c r="T100" i="1"/>
  <c r="T101" i="1"/>
  <c r="R101" i="1"/>
  <c r="V101" i="1"/>
  <c r="AZ101" i="1"/>
  <c r="AV101" i="1" s="1"/>
  <c r="AS101" i="1"/>
  <c r="AU101" i="1" s="1"/>
  <c r="AR101" i="1" s="1"/>
  <c r="AN101" i="1"/>
  <c r="AP101" i="1" s="1"/>
  <c r="AK101" i="1"/>
  <c r="BM101" i="1"/>
  <c r="BO101" i="1" s="1"/>
  <c r="BL101" i="1" s="1"/>
  <c r="BH101" i="1"/>
  <c r="BJ101" i="1" s="1"/>
  <c r="BG101" i="1" s="1"/>
  <c r="BC101" i="1"/>
  <c r="BE101" i="1" s="1"/>
  <c r="BB101" i="1" s="1"/>
  <c r="AD101" i="1"/>
  <c r="AF101" i="1" s="1"/>
  <c r="AB101" i="1" s="1"/>
  <c r="O101" i="1"/>
  <c r="Q101" i="1" s="1"/>
  <c r="N101" i="1" s="1"/>
  <c r="J101" i="1"/>
  <c r="L101" i="1" s="1"/>
  <c r="I101" i="1" s="1"/>
  <c r="E101" i="1"/>
  <c r="G101" i="1" s="1"/>
  <c r="B3572" i="21"/>
  <c r="C3572" i="21"/>
  <c r="B3573" i="21"/>
  <c r="C3573" i="21"/>
  <c r="B3574" i="21"/>
  <c r="C3574" i="21"/>
  <c r="B3569" i="21"/>
  <c r="C3569" i="21"/>
  <c r="B3570" i="21"/>
  <c r="C3570" i="21"/>
  <c r="B3571" i="21"/>
  <c r="C3571" i="21"/>
  <c r="B3562" i="21"/>
  <c r="C3562" i="21"/>
  <c r="B3563" i="21"/>
  <c r="C3563" i="21"/>
  <c r="B3564" i="21"/>
  <c r="C3564" i="21"/>
  <c r="B3565" i="21"/>
  <c r="C3565" i="21"/>
  <c r="B3566" i="21"/>
  <c r="C3566" i="21"/>
  <c r="B3567" i="21"/>
  <c r="C3567" i="21"/>
  <c r="B3568" i="21"/>
  <c r="C3568" i="21"/>
  <c r="B3553" i="21"/>
  <c r="C3553" i="21"/>
  <c r="B3554" i="21"/>
  <c r="C3554" i="21"/>
  <c r="B3555" i="21"/>
  <c r="C3555" i="21"/>
  <c r="B3556" i="21"/>
  <c r="C3556" i="21"/>
  <c r="B3557" i="21"/>
  <c r="C3557" i="21"/>
  <c r="B3558" i="21"/>
  <c r="C3558" i="21"/>
  <c r="B3559" i="21"/>
  <c r="C3559" i="21"/>
  <c r="B3560" i="21"/>
  <c r="C3560" i="21"/>
  <c r="B3561" i="21"/>
  <c r="C3561" i="21"/>
  <c r="B3544" i="21"/>
  <c r="C3544" i="21"/>
  <c r="B3545" i="21"/>
  <c r="C3545" i="21"/>
  <c r="B3546" i="21"/>
  <c r="C3546" i="21"/>
  <c r="B3547" i="21"/>
  <c r="C3547" i="21"/>
  <c r="B3548" i="21"/>
  <c r="C3548" i="21"/>
  <c r="B3549" i="21"/>
  <c r="C3549" i="21"/>
  <c r="B3550" i="21"/>
  <c r="C3550" i="21"/>
  <c r="B3551" i="21"/>
  <c r="C3551" i="21"/>
  <c r="B3552" i="21"/>
  <c r="C3552" i="21"/>
  <c r="W91" i="1"/>
  <c r="W92" i="1"/>
  <c r="W93" i="1"/>
  <c r="W94" i="1"/>
  <c r="Y93" i="1"/>
  <c r="Y94" i="1"/>
  <c r="Y95" i="1"/>
  <c r="Y98" i="1"/>
  <c r="Y99" i="1"/>
  <c r="AB95" i="1"/>
  <c r="AB96" i="1"/>
  <c r="AB97" i="1"/>
  <c r="AB100" i="1"/>
  <c r="B654" i="20"/>
  <c r="C654" i="20"/>
  <c r="D654" i="20"/>
  <c r="I654" i="20"/>
  <c r="J654" i="20"/>
  <c r="K654" i="20"/>
  <c r="L654" i="20"/>
  <c r="M654" i="20"/>
  <c r="B655" i="20"/>
  <c r="C655" i="20"/>
  <c r="D655" i="20"/>
  <c r="I655" i="20"/>
  <c r="J655" i="20"/>
  <c r="K655" i="20"/>
  <c r="L655" i="20"/>
  <c r="M655" i="20"/>
  <c r="B656" i="20"/>
  <c r="C656" i="20"/>
  <c r="D656" i="20"/>
  <c r="I656" i="20"/>
  <c r="J656" i="20"/>
  <c r="K656" i="20"/>
  <c r="L656" i="20"/>
  <c r="M656" i="20"/>
  <c r="B657" i="20"/>
  <c r="C657" i="20"/>
  <c r="D657" i="20"/>
  <c r="I657" i="20"/>
  <c r="J657" i="20"/>
  <c r="L657" i="20"/>
  <c r="M657" i="20"/>
  <c r="B658" i="20"/>
  <c r="C658" i="20"/>
  <c r="D658" i="20"/>
  <c r="I658" i="20"/>
  <c r="J658" i="20"/>
  <c r="K658" i="20"/>
  <c r="L658" i="20"/>
  <c r="M658" i="20"/>
  <c r="B659" i="20"/>
  <c r="C659" i="20"/>
  <c r="D659" i="20"/>
  <c r="I659" i="20"/>
  <c r="J659" i="20"/>
  <c r="K659" i="20"/>
  <c r="L659" i="20"/>
  <c r="M659" i="20"/>
  <c r="B660" i="20"/>
  <c r="C660" i="20"/>
  <c r="D660" i="20"/>
  <c r="I660" i="20"/>
  <c r="J660" i="20"/>
  <c r="K660" i="20"/>
  <c r="L660" i="20"/>
  <c r="M660" i="20"/>
  <c r="B653" i="20"/>
  <c r="C653" i="20"/>
  <c r="D653" i="20"/>
  <c r="I653" i="20"/>
  <c r="J653" i="20"/>
  <c r="K653" i="20"/>
  <c r="L653" i="20"/>
  <c r="M653" i="20"/>
  <c r="B650" i="20"/>
  <c r="C650" i="20"/>
  <c r="D650" i="20"/>
  <c r="I650" i="20"/>
  <c r="J650" i="20"/>
  <c r="K650" i="20"/>
  <c r="L650" i="20"/>
  <c r="M650" i="20"/>
  <c r="B651" i="20"/>
  <c r="C651" i="20"/>
  <c r="D651" i="20"/>
  <c r="I651" i="20"/>
  <c r="J651" i="20"/>
  <c r="K651" i="20"/>
  <c r="L651" i="20"/>
  <c r="M651" i="20"/>
  <c r="B652" i="20"/>
  <c r="C652" i="20"/>
  <c r="D652" i="20"/>
  <c r="I652" i="20"/>
  <c r="J652" i="20"/>
  <c r="K652" i="20"/>
  <c r="L652" i="20"/>
  <c r="M652" i="20"/>
  <c r="B648" i="20"/>
  <c r="C648" i="20"/>
  <c r="D648" i="20"/>
  <c r="I648" i="20"/>
  <c r="J648" i="20"/>
  <c r="K648" i="20"/>
  <c r="L648" i="20"/>
  <c r="M648" i="20"/>
  <c r="B649" i="20"/>
  <c r="C649" i="20"/>
  <c r="D649" i="20"/>
  <c r="I649" i="20"/>
  <c r="J649" i="20"/>
  <c r="K649" i="20"/>
  <c r="L649" i="20"/>
  <c r="M649" i="20"/>
  <c r="B646" i="20"/>
  <c r="C646" i="20"/>
  <c r="D646" i="20"/>
  <c r="I646" i="20"/>
  <c r="J646" i="20"/>
  <c r="K646" i="20"/>
  <c r="L646" i="20"/>
  <c r="M646" i="20"/>
  <c r="B647" i="20"/>
  <c r="C647" i="20"/>
  <c r="D647" i="20"/>
  <c r="I647" i="20"/>
  <c r="J647" i="20"/>
  <c r="K647" i="20"/>
  <c r="L647" i="20"/>
  <c r="M647" i="20"/>
  <c r="B641" i="20"/>
  <c r="C641" i="20"/>
  <c r="D641" i="20"/>
  <c r="I641" i="20"/>
  <c r="J641" i="20"/>
  <c r="K641" i="20"/>
  <c r="L641" i="20"/>
  <c r="M641" i="20"/>
  <c r="B642" i="20"/>
  <c r="C642" i="20"/>
  <c r="D642" i="20"/>
  <c r="I642" i="20"/>
  <c r="J642" i="20"/>
  <c r="K642" i="20"/>
  <c r="L642" i="20"/>
  <c r="M642" i="20"/>
  <c r="B643" i="20"/>
  <c r="C643" i="20"/>
  <c r="D643" i="20"/>
  <c r="I643" i="20"/>
  <c r="J643" i="20"/>
  <c r="K643" i="20"/>
  <c r="L643" i="20"/>
  <c r="M643" i="20"/>
  <c r="B644" i="20"/>
  <c r="C644" i="20"/>
  <c r="D644" i="20"/>
  <c r="I644" i="20"/>
  <c r="J644" i="20"/>
  <c r="K644" i="20"/>
  <c r="L644" i="20"/>
  <c r="M644" i="20"/>
  <c r="B645" i="20"/>
  <c r="C645" i="20"/>
  <c r="D645" i="20"/>
  <c r="I645" i="20"/>
  <c r="J645" i="20"/>
  <c r="K645" i="20"/>
  <c r="L645" i="20"/>
  <c r="M645" i="20"/>
  <c r="AD94" i="1"/>
  <c r="AD95" i="1"/>
  <c r="AD96" i="1"/>
  <c r="AD97" i="1"/>
  <c r="AD98" i="1"/>
  <c r="AF98" i="1" s="1"/>
  <c r="AD99" i="1"/>
  <c r="AF99" i="1" s="1"/>
  <c r="AD100" i="1"/>
  <c r="AF100" i="1" s="1"/>
  <c r="BH98" i="1"/>
  <c r="BH99" i="1"/>
  <c r="BJ99" i="1" s="1"/>
  <c r="BG99" i="1" s="1"/>
  <c r="BH100" i="1"/>
  <c r="BJ100" i="1" s="1"/>
  <c r="BG100" i="1" s="1"/>
  <c r="BJ98" i="1"/>
  <c r="BG98" i="1" s="1"/>
  <c r="BH95" i="1"/>
  <c r="BJ95" i="1" s="1"/>
  <c r="BG95" i="1" s="1"/>
  <c r="BH96" i="1"/>
  <c r="BJ96" i="1"/>
  <c r="BG96" i="1" s="1"/>
  <c r="BH97" i="1"/>
  <c r="BJ97" i="1" s="1"/>
  <c r="BG97" i="1" s="1"/>
  <c r="BM95" i="1"/>
  <c r="BO95" i="1" s="1"/>
  <c r="BL95" i="1" s="1"/>
  <c r="BM96" i="1"/>
  <c r="BO96" i="1" s="1"/>
  <c r="BL96" i="1" s="1"/>
  <c r="BM97" i="1"/>
  <c r="BO97" i="1" s="1"/>
  <c r="BL97" i="1" s="1"/>
  <c r="BM98" i="1"/>
  <c r="BO98" i="1"/>
  <c r="BL98" i="1" s="1"/>
  <c r="BM99" i="1"/>
  <c r="BO99" i="1" s="1"/>
  <c r="BL99" i="1" s="1"/>
  <c r="BM100" i="1"/>
  <c r="BO100" i="1" s="1"/>
  <c r="BL100" i="1" s="1"/>
  <c r="BC97" i="1"/>
  <c r="BC98" i="1"/>
  <c r="BE98" i="1" s="1"/>
  <c r="BB98" i="1" s="1"/>
  <c r="BC99" i="1"/>
  <c r="BE99" i="1" s="1"/>
  <c r="BB99" i="1" s="1"/>
  <c r="BC100" i="1"/>
  <c r="BE100" i="1" s="1"/>
  <c r="BB100" i="1" s="1"/>
  <c r="BE97" i="1"/>
  <c r="BB97" i="1" s="1"/>
  <c r="AL93" i="1"/>
  <c r="AL94" i="1"/>
  <c r="AL95" i="1"/>
  <c r="AL96" i="1"/>
  <c r="AL97" i="1"/>
  <c r="AL98" i="1"/>
  <c r="AL99" i="1"/>
  <c r="AL100" i="1"/>
  <c r="AV93" i="1"/>
  <c r="AV94" i="1"/>
  <c r="AV95" i="1"/>
  <c r="AV96" i="1"/>
  <c r="AV97" i="1"/>
  <c r="AV98" i="1"/>
  <c r="BC95" i="1"/>
  <c r="BE95" i="1" s="1"/>
  <c r="BB95" i="1" s="1"/>
  <c r="BC96" i="1"/>
  <c r="BE96" i="1" s="1"/>
  <c r="BB96" i="1" s="1"/>
  <c r="AX97" i="1"/>
  <c r="AZ97" i="1" s="1"/>
  <c r="AX98" i="1"/>
  <c r="AZ98" i="1" s="1"/>
  <c r="AZ99" i="1"/>
  <c r="AV99" i="1" s="1"/>
  <c r="AZ100" i="1"/>
  <c r="AV100" i="1" s="1"/>
  <c r="AX95" i="1"/>
  <c r="AX96" i="1"/>
  <c r="AZ96" i="1" s="1"/>
  <c r="AN95" i="1"/>
  <c r="AP95" i="1" s="1"/>
  <c r="AN96" i="1"/>
  <c r="AP96" i="1" s="1"/>
  <c r="AN97" i="1"/>
  <c r="AP97" i="1" s="1"/>
  <c r="AN98" i="1"/>
  <c r="AP98" i="1" s="1"/>
  <c r="AN99" i="1"/>
  <c r="AP99" i="1" s="1"/>
  <c r="AN100" i="1"/>
  <c r="AP100" i="1" s="1"/>
  <c r="AK100" i="1"/>
  <c r="AK99" i="1"/>
  <c r="AK98" i="1"/>
  <c r="AK97" i="1"/>
  <c r="AK96" i="1"/>
  <c r="V98" i="1"/>
  <c r="R98" i="1" s="1"/>
  <c r="V99" i="1"/>
  <c r="AA99" i="1" s="1"/>
  <c r="W99" i="1" s="1"/>
  <c r="V100" i="1"/>
  <c r="R100" i="1" s="1"/>
  <c r="E95" i="1"/>
  <c r="E96" i="1"/>
  <c r="E97" i="1"/>
  <c r="E98" i="1"/>
  <c r="E99" i="1"/>
  <c r="E100" i="1"/>
  <c r="G100" i="1" s="1"/>
  <c r="G98" i="1"/>
  <c r="G99" i="1"/>
  <c r="J100" i="1"/>
  <c r="L100" i="1" s="1"/>
  <c r="I100" i="1" s="1"/>
  <c r="J99" i="1"/>
  <c r="L99" i="1" s="1"/>
  <c r="I99" i="1" s="1"/>
  <c r="J98" i="1"/>
  <c r="L98" i="1" s="1"/>
  <c r="I98" i="1" s="1"/>
  <c r="J97" i="1"/>
  <c r="L97" i="1" s="1"/>
  <c r="I97" i="1" s="1"/>
  <c r="J96" i="1"/>
  <c r="L96" i="1" s="1"/>
  <c r="I96" i="1" s="1"/>
  <c r="J95" i="1"/>
  <c r="L95" i="1" s="1"/>
  <c r="I95" i="1" s="1"/>
  <c r="O100" i="1"/>
  <c r="Q100" i="1" s="1"/>
  <c r="N100" i="1" s="1"/>
  <c r="O99" i="1"/>
  <c r="Q99" i="1" s="1"/>
  <c r="N99" i="1" s="1"/>
  <c r="O98" i="1"/>
  <c r="Q98" i="1" s="1"/>
  <c r="N98" i="1" s="1"/>
  <c r="O97" i="1"/>
  <c r="Q97" i="1" s="1"/>
  <c r="N97" i="1" s="1"/>
  <c r="O96" i="1"/>
  <c r="Q96" i="1" s="1"/>
  <c r="N96" i="1" s="1"/>
  <c r="O95" i="1"/>
  <c r="Q95" i="1" s="1"/>
  <c r="N95" i="1" s="1"/>
  <c r="AA120" i="1" l="1"/>
  <c r="W120" i="1" s="1"/>
  <c r="AA118" i="1"/>
  <c r="W118" i="1" s="1"/>
  <c r="AA117" i="1"/>
  <c r="W117" i="1" s="1"/>
  <c r="Y116" i="1"/>
  <c r="AA116" i="1" s="1"/>
  <c r="W116" i="1" s="1"/>
  <c r="AA115" i="1"/>
  <c r="W115" i="1" s="1"/>
  <c r="AA113" i="1"/>
  <c r="W113" i="1" s="1"/>
  <c r="AA114" i="1"/>
  <c r="W114" i="1" s="1"/>
  <c r="AA112" i="1"/>
  <c r="W112" i="1" s="1"/>
  <c r="AA111" i="1"/>
  <c r="W111" i="1" s="1"/>
  <c r="AA110" i="1"/>
  <c r="W110" i="1" s="1"/>
  <c r="AA107" i="1"/>
  <c r="W107" i="1" s="1"/>
  <c r="AA105" i="1"/>
  <c r="W105" i="1" s="1"/>
  <c r="AA104" i="1"/>
  <c r="W104" i="1" s="1"/>
  <c r="Y103" i="1"/>
  <c r="AA103" i="1" s="1"/>
  <c r="W103" i="1" s="1"/>
  <c r="AA102" i="1"/>
  <c r="W102" i="1" s="1"/>
  <c r="R99" i="1"/>
  <c r="AA98" i="1"/>
  <c r="W98" i="1" s="1"/>
  <c r="AA100" i="1"/>
  <c r="W100" i="1" s="1"/>
  <c r="AA101" i="1"/>
  <c r="W101" i="1" s="1"/>
  <c r="AZ95" i="1"/>
  <c r="R63" i="1"/>
  <c r="AA93" i="1"/>
  <c r="AA94" i="1"/>
  <c r="B638" i="20"/>
  <c r="B639" i="20"/>
  <c r="B640" i="20"/>
  <c r="C638" i="20"/>
  <c r="C639" i="20"/>
  <c r="C640" i="20"/>
  <c r="D638" i="20"/>
  <c r="D639" i="20"/>
  <c r="D640" i="20"/>
  <c r="I638" i="20"/>
  <c r="I639" i="20"/>
  <c r="I640" i="20"/>
  <c r="J638" i="20"/>
  <c r="J639" i="20"/>
  <c r="J640" i="20"/>
  <c r="K638" i="20"/>
  <c r="K639" i="20"/>
  <c r="K640" i="20"/>
  <c r="L638" i="20"/>
  <c r="L639" i="20"/>
  <c r="L640" i="20"/>
  <c r="M638" i="20"/>
  <c r="M639" i="20"/>
  <c r="M640" i="20"/>
  <c r="B635" i="20"/>
  <c r="B636" i="20"/>
  <c r="B637" i="20"/>
  <c r="C635" i="20"/>
  <c r="C636" i="20"/>
  <c r="C637" i="20"/>
  <c r="D635" i="20"/>
  <c r="D636" i="20"/>
  <c r="D637" i="20"/>
  <c r="I635" i="20"/>
  <c r="I636" i="20"/>
  <c r="I637" i="20"/>
  <c r="J635" i="20"/>
  <c r="J636" i="20"/>
  <c r="J637" i="20"/>
  <c r="K636" i="20"/>
  <c r="K637" i="20"/>
  <c r="L635" i="20"/>
  <c r="L636" i="20"/>
  <c r="L637" i="20"/>
  <c r="M635" i="20"/>
  <c r="M636" i="20"/>
  <c r="M637" i="20"/>
  <c r="B634" i="20"/>
  <c r="C634" i="20"/>
  <c r="D634" i="20"/>
  <c r="I634" i="20"/>
  <c r="J634" i="20"/>
  <c r="K634" i="20"/>
  <c r="L634" i="20"/>
  <c r="M634" i="20"/>
  <c r="R94" i="1"/>
  <c r="BG94" i="1"/>
  <c r="BL94" i="1"/>
  <c r="BB94" i="1"/>
  <c r="B633" i="20"/>
  <c r="C633" i="20"/>
  <c r="D633" i="20"/>
  <c r="I633" i="20"/>
  <c r="J633" i="20"/>
  <c r="K633" i="20"/>
  <c r="L633" i="20"/>
  <c r="M633" i="20"/>
  <c r="B632" i="20"/>
  <c r="C632" i="20"/>
  <c r="D632" i="20"/>
  <c r="I632" i="20"/>
  <c r="J632" i="20"/>
  <c r="K632" i="20"/>
  <c r="L632" i="20"/>
  <c r="M632" i="20"/>
  <c r="B630" i="20"/>
  <c r="B631" i="20"/>
  <c r="C630" i="20"/>
  <c r="C631" i="20"/>
  <c r="D630" i="20"/>
  <c r="D631" i="20"/>
  <c r="I630" i="20"/>
  <c r="I631" i="20"/>
  <c r="J630" i="20"/>
  <c r="J631" i="20"/>
  <c r="K630" i="20"/>
  <c r="K631" i="20"/>
  <c r="L630" i="20"/>
  <c r="L631" i="20"/>
  <c r="M630" i="20"/>
  <c r="M631" i="20"/>
  <c r="B629" i="20"/>
  <c r="C629" i="20"/>
  <c r="D629" i="20"/>
  <c r="I629" i="20"/>
  <c r="J629" i="20"/>
  <c r="K629" i="20"/>
  <c r="L629" i="20"/>
  <c r="M629" i="20"/>
  <c r="B628" i="20"/>
  <c r="C628" i="20"/>
  <c r="D628" i="20"/>
  <c r="I628" i="20"/>
  <c r="J628" i="20"/>
  <c r="K628" i="20"/>
  <c r="L628" i="20"/>
  <c r="M628" i="20"/>
  <c r="BB93" i="1"/>
  <c r="B627" i="20"/>
  <c r="C627" i="20"/>
  <c r="D627" i="20"/>
  <c r="I627" i="20"/>
  <c r="J627" i="20"/>
  <c r="K627" i="20"/>
  <c r="L627" i="20"/>
  <c r="M627" i="20"/>
  <c r="B626" i="20"/>
  <c r="C626" i="20"/>
  <c r="D626" i="20"/>
  <c r="I626" i="20"/>
  <c r="J626" i="20"/>
  <c r="L626" i="20"/>
  <c r="M626" i="20"/>
  <c r="B625" i="20"/>
  <c r="C625" i="20"/>
  <c r="D625" i="20"/>
  <c r="I625" i="20"/>
  <c r="J625" i="20"/>
  <c r="K625" i="20"/>
  <c r="L625" i="20"/>
  <c r="M625" i="20"/>
  <c r="B624" i="20"/>
  <c r="C624" i="20"/>
  <c r="D624" i="20"/>
  <c r="I624" i="20"/>
  <c r="J624" i="20"/>
  <c r="K624" i="20"/>
  <c r="L624" i="20"/>
  <c r="M624" i="20"/>
  <c r="AX91" i="1"/>
  <c r="AZ91" i="1" s="1"/>
  <c r="AV91" i="1" s="1"/>
  <c r="AS91" i="1"/>
  <c r="AU91" i="1" s="1"/>
  <c r="AR91" i="1" s="1"/>
  <c r="AN91" i="1"/>
  <c r="AP91" i="1" s="1"/>
  <c r="AL91" i="1" s="1"/>
  <c r="AK91" i="1"/>
  <c r="BM91" i="1"/>
  <c r="BO91" i="1" s="1"/>
  <c r="BL91" i="1" s="1"/>
  <c r="BH91" i="1"/>
  <c r="BJ91" i="1" s="1"/>
  <c r="BG91" i="1" s="1"/>
  <c r="BC91" i="1"/>
  <c r="BE91" i="1" s="1"/>
  <c r="BB91" i="1" s="1"/>
  <c r="AD91" i="1"/>
  <c r="AF91" i="1" s="1"/>
  <c r="AB91" i="1" s="1"/>
  <c r="Y91" i="1"/>
  <c r="T91" i="1"/>
  <c r="V91" i="1" s="1"/>
  <c r="R91" i="1" s="1"/>
  <c r="O91" i="1"/>
  <c r="Q91" i="1" s="1"/>
  <c r="N91" i="1" s="1"/>
  <c r="J91" i="1"/>
  <c r="L91" i="1" s="1"/>
  <c r="I91" i="1" s="1"/>
  <c r="E91" i="1"/>
  <c r="G91" i="1" s="1"/>
  <c r="D91" i="1" s="1"/>
  <c r="Q12" i="39"/>
  <c r="B623" i="20"/>
  <c r="C623" i="20"/>
  <c r="D623" i="20"/>
  <c r="I623" i="20"/>
  <c r="J623" i="20"/>
  <c r="K623" i="20"/>
  <c r="L623" i="20"/>
  <c r="M623" i="20"/>
  <c r="B622" i="20"/>
  <c r="C622" i="20"/>
  <c r="D622" i="20"/>
  <c r="I622" i="20"/>
  <c r="J622" i="20"/>
  <c r="K622" i="20"/>
  <c r="L622" i="20"/>
  <c r="M622" i="20"/>
  <c r="B621" i="20"/>
  <c r="C621" i="20"/>
  <c r="D621" i="20"/>
  <c r="I621" i="20"/>
  <c r="J621" i="20"/>
  <c r="K621" i="20"/>
  <c r="L621" i="20"/>
  <c r="M621" i="20"/>
  <c r="B620" i="20"/>
  <c r="C620" i="20"/>
  <c r="D620" i="20"/>
  <c r="I620" i="20"/>
  <c r="J620" i="20"/>
  <c r="L620" i="20"/>
  <c r="M620" i="20"/>
  <c r="B619" i="20"/>
  <c r="C619" i="20"/>
  <c r="D619" i="20"/>
  <c r="I619" i="20"/>
  <c r="J619" i="20"/>
  <c r="K619" i="20"/>
  <c r="L619" i="20"/>
  <c r="M619" i="20"/>
  <c r="B618" i="20"/>
  <c r="C618" i="20"/>
  <c r="D618" i="20"/>
  <c r="I618" i="20"/>
  <c r="J618" i="20"/>
  <c r="K618" i="20"/>
  <c r="L618" i="20"/>
  <c r="M618" i="20"/>
  <c r="B617" i="20"/>
  <c r="C617" i="20"/>
  <c r="D617" i="20"/>
  <c r="I617" i="20"/>
  <c r="J617" i="20"/>
  <c r="L617" i="20"/>
  <c r="M617" i="20"/>
  <c r="B616" i="20"/>
  <c r="C616" i="20"/>
  <c r="D616" i="20"/>
  <c r="I616" i="20"/>
  <c r="J616" i="20"/>
  <c r="K616" i="20"/>
  <c r="L616" i="20"/>
  <c r="M616" i="20"/>
  <c r="AX90" i="1"/>
  <c r="AZ90" i="1" s="1"/>
  <c r="AV90" i="1" s="1"/>
  <c r="AS90" i="1"/>
  <c r="AU90" i="1" s="1"/>
  <c r="AR90" i="1" s="1"/>
  <c r="AN90" i="1"/>
  <c r="AP90" i="1" s="1"/>
  <c r="AL90" i="1" s="1"/>
  <c r="AK90" i="1"/>
  <c r="BM90" i="1"/>
  <c r="BO90" i="1" s="1"/>
  <c r="BL90" i="1" s="1"/>
  <c r="BH90" i="1"/>
  <c r="BJ90" i="1" s="1"/>
  <c r="BG90" i="1" s="1"/>
  <c r="BC90" i="1"/>
  <c r="BE90" i="1" s="1"/>
  <c r="BB90" i="1" s="1"/>
  <c r="AD90" i="1"/>
  <c r="AF90" i="1" s="1"/>
  <c r="AB90" i="1" s="1"/>
  <c r="Y90" i="1"/>
  <c r="T90" i="1"/>
  <c r="V90" i="1" s="1"/>
  <c r="R90" i="1" s="1"/>
  <c r="O90" i="1"/>
  <c r="Q90" i="1" s="1"/>
  <c r="N90" i="1" s="1"/>
  <c r="J90" i="1"/>
  <c r="L90" i="1" s="1"/>
  <c r="I90" i="1" s="1"/>
  <c r="E90" i="1"/>
  <c r="G90" i="1" s="1"/>
  <c r="D90" i="1" s="1"/>
  <c r="B615" i="20"/>
  <c r="C615" i="20"/>
  <c r="D615" i="20"/>
  <c r="I615" i="20"/>
  <c r="J615" i="20"/>
  <c r="K615" i="20"/>
  <c r="L615" i="20"/>
  <c r="M615" i="20"/>
  <c r="B614" i="20"/>
  <c r="C614" i="20"/>
  <c r="D614" i="20"/>
  <c r="I614" i="20"/>
  <c r="J614" i="20"/>
  <c r="K614" i="20"/>
  <c r="L614" i="20"/>
  <c r="M614" i="20"/>
  <c r="B613" i="20"/>
  <c r="C613" i="20"/>
  <c r="D613" i="20"/>
  <c r="I613" i="20"/>
  <c r="J613" i="20"/>
  <c r="K613" i="20"/>
  <c r="L613" i="20"/>
  <c r="M613" i="20"/>
  <c r="B612" i="20"/>
  <c r="C612" i="20"/>
  <c r="D612" i="20"/>
  <c r="I612" i="20"/>
  <c r="J612" i="20"/>
  <c r="L612" i="20"/>
  <c r="M612" i="20"/>
  <c r="B611" i="20"/>
  <c r="C611" i="20"/>
  <c r="D611" i="20"/>
  <c r="I611" i="20"/>
  <c r="J611" i="20"/>
  <c r="K611" i="20"/>
  <c r="L611" i="20"/>
  <c r="M611" i="20"/>
  <c r="B610" i="20"/>
  <c r="C610" i="20"/>
  <c r="D610" i="20"/>
  <c r="I610" i="20"/>
  <c r="J610" i="20"/>
  <c r="L610" i="20"/>
  <c r="M610" i="20"/>
  <c r="AX89" i="1"/>
  <c r="AZ89" i="1" s="1"/>
  <c r="AV89" i="1" s="1"/>
  <c r="AS89" i="1"/>
  <c r="AU89" i="1" s="1"/>
  <c r="AR89" i="1" s="1"/>
  <c r="AN89" i="1"/>
  <c r="AP89" i="1" s="1"/>
  <c r="AL89" i="1" s="1"/>
  <c r="AK89" i="1"/>
  <c r="BM89" i="1"/>
  <c r="BO89" i="1" s="1"/>
  <c r="BL89" i="1" s="1"/>
  <c r="BH89" i="1"/>
  <c r="BJ89" i="1" s="1"/>
  <c r="BG89" i="1" s="1"/>
  <c r="BC89" i="1"/>
  <c r="BE89" i="1" s="1"/>
  <c r="BB89" i="1" s="1"/>
  <c r="AD89" i="1"/>
  <c r="AF89" i="1" s="1"/>
  <c r="AB89" i="1" s="1"/>
  <c r="Y89" i="1"/>
  <c r="AA89" i="1" s="1"/>
  <c r="T89" i="1"/>
  <c r="V89" i="1" s="1"/>
  <c r="R89" i="1" s="1"/>
  <c r="O89" i="1"/>
  <c r="Q89" i="1" s="1"/>
  <c r="N89" i="1" s="1"/>
  <c r="J89" i="1"/>
  <c r="L89" i="1" s="1"/>
  <c r="I89" i="1" s="1"/>
  <c r="E89" i="1"/>
  <c r="G89" i="1" s="1"/>
  <c r="D89" i="1" s="1"/>
  <c r="B609" i="20"/>
  <c r="C609" i="20"/>
  <c r="D609" i="20"/>
  <c r="I609" i="20"/>
  <c r="J609" i="20"/>
  <c r="L609" i="20"/>
  <c r="M609" i="20"/>
  <c r="B608" i="20"/>
  <c r="C608" i="20"/>
  <c r="D608" i="20"/>
  <c r="I608" i="20"/>
  <c r="J608" i="20"/>
  <c r="K608" i="20"/>
  <c r="L608" i="20"/>
  <c r="M608" i="20"/>
  <c r="B607" i="20"/>
  <c r="C607" i="20"/>
  <c r="D607" i="20"/>
  <c r="I607" i="20"/>
  <c r="J607" i="20"/>
  <c r="L607" i="20"/>
  <c r="M607" i="20"/>
  <c r="B606" i="20"/>
  <c r="C606" i="20"/>
  <c r="D606" i="20"/>
  <c r="I606" i="20"/>
  <c r="J606" i="20"/>
  <c r="K606" i="20"/>
  <c r="L606" i="20"/>
  <c r="M606" i="20"/>
  <c r="B605" i="20"/>
  <c r="C605" i="20"/>
  <c r="D605" i="20"/>
  <c r="I605" i="20"/>
  <c r="J605" i="20"/>
  <c r="L605" i="20"/>
  <c r="M605" i="20"/>
  <c r="B604" i="20"/>
  <c r="C604" i="20"/>
  <c r="D604" i="20"/>
  <c r="I604" i="20"/>
  <c r="J604" i="20"/>
  <c r="K604" i="20"/>
  <c r="L604" i="20"/>
  <c r="M604" i="20"/>
  <c r="B603" i="20"/>
  <c r="C603" i="20"/>
  <c r="D603" i="20"/>
  <c r="I603" i="20"/>
  <c r="J603" i="20"/>
  <c r="K603" i="20"/>
  <c r="L603" i="20"/>
  <c r="M603" i="20"/>
  <c r="AX88" i="1"/>
  <c r="AZ88" i="1" s="1"/>
  <c r="AV88" i="1" s="1"/>
  <c r="AS88" i="1"/>
  <c r="AU88" i="1" s="1"/>
  <c r="AR88" i="1" s="1"/>
  <c r="AN88" i="1"/>
  <c r="AP88" i="1" s="1"/>
  <c r="AL88" i="1" s="1"/>
  <c r="AK88" i="1"/>
  <c r="BM88" i="1"/>
  <c r="BO88" i="1" s="1"/>
  <c r="BL88" i="1" s="1"/>
  <c r="BH88" i="1"/>
  <c r="BJ88" i="1" s="1"/>
  <c r="BG88" i="1" s="1"/>
  <c r="BC88" i="1"/>
  <c r="BE88" i="1" s="1"/>
  <c r="BB88" i="1" s="1"/>
  <c r="AD88" i="1"/>
  <c r="AF88" i="1" s="1"/>
  <c r="AB88" i="1" s="1"/>
  <c r="Y88" i="1"/>
  <c r="T88" i="1"/>
  <c r="V88" i="1" s="1"/>
  <c r="R88" i="1" s="1"/>
  <c r="O88" i="1"/>
  <c r="Q88" i="1" s="1"/>
  <c r="N88" i="1" s="1"/>
  <c r="J88" i="1"/>
  <c r="L88" i="1" s="1"/>
  <c r="I88" i="1" s="1"/>
  <c r="E88" i="1"/>
  <c r="G88" i="1" s="1"/>
  <c r="D88" i="1" s="1"/>
  <c r="V2" i="15"/>
  <c r="B602" i="20"/>
  <c r="C602" i="20"/>
  <c r="D602" i="20"/>
  <c r="I602" i="20"/>
  <c r="J602" i="20"/>
  <c r="L602" i="20"/>
  <c r="M602" i="20"/>
  <c r="B601" i="20"/>
  <c r="C601" i="20"/>
  <c r="D601" i="20"/>
  <c r="I601" i="20"/>
  <c r="J601" i="20"/>
  <c r="K601" i="20"/>
  <c r="L601" i="20"/>
  <c r="M601" i="20"/>
  <c r="B600" i="20"/>
  <c r="C600" i="20"/>
  <c r="D600" i="20"/>
  <c r="I600" i="20"/>
  <c r="J600" i="20"/>
  <c r="L600" i="20"/>
  <c r="M600" i="20"/>
  <c r="B599" i="20"/>
  <c r="C599" i="20"/>
  <c r="D599" i="20"/>
  <c r="I599" i="20"/>
  <c r="J599" i="20"/>
  <c r="K599" i="20"/>
  <c r="L599" i="20"/>
  <c r="M599" i="20"/>
  <c r="B598" i="20"/>
  <c r="C598" i="20"/>
  <c r="D598" i="20"/>
  <c r="I598" i="20"/>
  <c r="J598" i="20"/>
  <c r="L598" i="20"/>
  <c r="M598" i="20"/>
  <c r="B597" i="20"/>
  <c r="C597" i="20"/>
  <c r="D597" i="20"/>
  <c r="I597" i="20"/>
  <c r="J597" i="20"/>
  <c r="K597" i="20"/>
  <c r="L597" i="20"/>
  <c r="M597" i="20"/>
  <c r="BM87" i="1"/>
  <c r="BO87" i="1" s="1"/>
  <c r="BL87" i="1" s="1"/>
  <c r="BH87" i="1"/>
  <c r="BJ87" i="1" s="1"/>
  <c r="BG87" i="1" s="1"/>
  <c r="BC87" i="1"/>
  <c r="BE87" i="1" s="1"/>
  <c r="BB87" i="1" s="1"/>
  <c r="AX87" i="1"/>
  <c r="AZ87" i="1" s="1"/>
  <c r="AV87" i="1" s="1"/>
  <c r="AS87" i="1"/>
  <c r="AU87" i="1" s="1"/>
  <c r="AR87" i="1" s="1"/>
  <c r="AN87" i="1"/>
  <c r="AP87" i="1" s="1"/>
  <c r="AL87" i="1" s="1"/>
  <c r="AK87" i="1"/>
  <c r="AD87" i="1"/>
  <c r="AF87" i="1" s="1"/>
  <c r="AB87" i="1" s="1"/>
  <c r="Y87" i="1"/>
  <c r="AA87" i="1" s="1"/>
  <c r="W87" i="1" s="1"/>
  <c r="T87" i="1"/>
  <c r="V87" i="1" s="1"/>
  <c r="R87" i="1" s="1"/>
  <c r="O87" i="1"/>
  <c r="Q87" i="1" s="1"/>
  <c r="N87" i="1" s="1"/>
  <c r="J87" i="1"/>
  <c r="L87" i="1" s="1"/>
  <c r="I87" i="1" s="1"/>
  <c r="E87" i="1"/>
  <c r="G87" i="1" s="1"/>
  <c r="D87" i="1" s="1"/>
  <c r="B596" i="20"/>
  <c r="C596" i="20"/>
  <c r="D596" i="20"/>
  <c r="I596" i="20"/>
  <c r="J596" i="20"/>
  <c r="L596" i="20"/>
  <c r="M596" i="20"/>
  <c r="B595" i="20"/>
  <c r="C595" i="20"/>
  <c r="D595" i="20"/>
  <c r="I595" i="20"/>
  <c r="J595" i="20"/>
  <c r="L595" i="20"/>
  <c r="M595" i="20"/>
  <c r="B594" i="20"/>
  <c r="C594" i="20"/>
  <c r="D594" i="20"/>
  <c r="I594" i="20"/>
  <c r="J594" i="20"/>
  <c r="K594" i="20"/>
  <c r="L594" i="20"/>
  <c r="M594" i="20"/>
  <c r="B593" i="20"/>
  <c r="C593" i="20"/>
  <c r="D593" i="20"/>
  <c r="I593" i="20"/>
  <c r="J593" i="20"/>
  <c r="K593" i="20"/>
  <c r="L593" i="20"/>
  <c r="M593" i="20"/>
  <c r="AX86" i="1"/>
  <c r="AZ86" i="1" s="1"/>
  <c r="AV86" i="1" s="1"/>
  <c r="AS86" i="1"/>
  <c r="AU86" i="1" s="1"/>
  <c r="AR86" i="1" s="1"/>
  <c r="AN86" i="1"/>
  <c r="AP86" i="1" s="1"/>
  <c r="AL86" i="1" s="1"/>
  <c r="AK86" i="1"/>
  <c r="BM86" i="1"/>
  <c r="BO86" i="1" s="1"/>
  <c r="BL86" i="1" s="1"/>
  <c r="BH86" i="1"/>
  <c r="BJ86" i="1" s="1"/>
  <c r="BG86" i="1" s="1"/>
  <c r="BC86" i="1"/>
  <c r="BE86" i="1" s="1"/>
  <c r="BB86" i="1" s="1"/>
  <c r="AD86" i="1"/>
  <c r="AF86" i="1" s="1"/>
  <c r="AB86" i="1" s="1"/>
  <c r="Y86" i="1"/>
  <c r="T86" i="1"/>
  <c r="V86" i="1" s="1"/>
  <c r="R86" i="1" s="1"/>
  <c r="O86" i="1"/>
  <c r="Q86" i="1" s="1"/>
  <c r="N86" i="1" s="1"/>
  <c r="J86" i="1"/>
  <c r="L86" i="1" s="1"/>
  <c r="I86" i="1" s="1"/>
  <c r="E86" i="1"/>
  <c r="G86" i="1" s="1"/>
  <c r="D86" i="1" s="1"/>
  <c r="B592" i="20"/>
  <c r="C592" i="20"/>
  <c r="D592" i="20"/>
  <c r="I592" i="20"/>
  <c r="J592" i="20"/>
  <c r="K592" i="20"/>
  <c r="L592" i="20"/>
  <c r="M592" i="20"/>
  <c r="B591" i="20"/>
  <c r="C591" i="20"/>
  <c r="D591" i="20"/>
  <c r="I591" i="20"/>
  <c r="J591" i="20"/>
  <c r="K591" i="20"/>
  <c r="L591" i="20"/>
  <c r="M591" i="20"/>
  <c r="AX85" i="1"/>
  <c r="AZ85" i="1" s="1"/>
  <c r="AV85" i="1" s="1"/>
  <c r="AS85" i="1"/>
  <c r="AU85" i="1" s="1"/>
  <c r="AR85" i="1" s="1"/>
  <c r="AN85" i="1"/>
  <c r="AP85" i="1" s="1"/>
  <c r="AL85" i="1" s="1"/>
  <c r="AK85" i="1"/>
  <c r="BM85" i="1"/>
  <c r="BO85" i="1" s="1"/>
  <c r="BL85" i="1" s="1"/>
  <c r="BH85" i="1"/>
  <c r="BJ85" i="1" s="1"/>
  <c r="BG85" i="1" s="1"/>
  <c r="BC85" i="1"/>
  <c r="BE85" i="1" s="1"/>
  <c r="BB85" i="1" s="1"/>
  <c r="AD85" i="1"/>
  <c r="AF85" i="1" s="1"/>
  <c r="AB85" i="1" s="1"/>
  <c r="Y85" i="1"/>
  <c r="T85" i="1"/>
  <c r="V85" i="1" s="1"/>
  <c r="R85" i="1" s="1"/>
  <c r="O85" i="1"/>
  <c r="Q85" i="1" s="1"/>
  <c r="N85" i="1" s="1"/>
  <c r="J85" i="1"/>
  <c r="L85" i="1" s="1"/>
  <c r="I85" i="1" s="1"/>
  <c r="E85" i="1"/>
  <c r="G85" i="1" s="1"/>
  <c r="D85" i="1" s="1"/>
  <c r="B590" i="20"/>
  <c r="C590" i="20"/>
  <c r="D590" i="20"/>
  <c r="I590" i="20"/>
  <c r="J590" i="20"/>
  <c r="K590" i="20"/>
  <c r="L590" i="20"/>
  <c r="M590" i="20"/>
  <c r="B589" i="20"/>
  <c r="C589" i="20"/>
  <c r="D589" i="20"/>
  <c r="I589" i="20"/>
  <c r="J589" i="20"/>
  <c r="L589" i="20"/>
  <c r="M589" i="20"/>
  <c r="B588" i="20"/>
  <c r="C588" i="20"/>
  <c r="D588" i="20"/>
  <c r="I588" i="20"/>
  <c r="J588" i="20"/>
  <c r="K588" i="20"/>
  <c r="L588" i="20"/>
  <c r="M588" i="20"/>
  <c r="B587" i="20"/>
  <c r="C587" i="20"/>
  <c r="D587" i="20"/>
  <c r="I587" i="20"/>
  <c r="J587" i="20"/>
  <c r="L587" i="20"/>
  <c r="M587" i="20"/>
  <c r="AX84" i="1"/>
  <c r="AZ84" i="1" s="1"/>
  <c r="AV84" i="1" s="1"/>
  <c r="AS84" i="1"/>
  <c r="AU84" i="1" s="1"/>
  <c r="AR84" i="1" s="1"/>
  <c r="AN84" i="1"/>
  <c r="AP84" i="1" s="1"/>
  <c r="AL84" i="1" s="1"/>
  <c r="AK84" i="1"/>
  <c r="BM84" i="1"/>
  <c r="BO84" i="1" s="1"/>
  <c r="BL84" i="1" s="1"/>
  <c r="BH84" i="1"/>
  <c r="BJ84" i="1" s="1"/>
  <c r="BG84" i="1" s="1"/>
  <c r="BC84" i="1"/>
  <c r="BE84" i="1" s="1"/>
  <c r="BB84" i="1" s="1"/>
  <c r="AD84" i="1"/>
  <c r="AF84" i="1" s="1"/>
  <c r="AB84" i="1" s="1"/>
  <c r="Y84" i="1"/>
  <c r="T84" i="1"/>
  <c r="V84" i="1" s="1"/>
  <c r="R84" i="1" s="1"/>
  <c r="O84" i="1"/>
  <c r="Q84" i="1" s="1"/>
  <c r="N84" i="1" s="1"/>
  <c r="J84" i="1"/>
  <c r="L84" i="1" s="1"/>
  <c r="I84" i="1" s="1"/>
  <c r="E84" i="1"/>
  <c r="G84" i="1" s="1"/>
  <c r="D84" i="1" s="1"/>
  <c r="B586" i="20"/>
  <c r="C586" i="20"/>
  <c r="D586" i="20"/>
  <c r="I586" i="20"/>
  <c r="J586" i="20"/>
  <c r="K586" i="20"/>
  <c r="L586" i="20"/>
  <c r="M586" i="20"/>
  <c r="B585" i="20"/>
  <c r="C585" i="20"/>
  <c r="D585" i="20"/>
  <c r="I585" i="20"/>
  <c r="J585" i="20"/>
  <c r="K585" i="20"/>
  <c r="L585" i="20"/>
  <c r="M585" i="20"/>
  <c r="B584" i="20"/>
  <c r="C584" i="20"/>
  <c r="D584" i="20"/>
  <c r="I584" i="20"/>
  <c r="J584" i="20"/>
  <c r="L584" i="20"/>
  <c r="M584" i="20"/>
  <c r="B583" i="20"/>
  <c r="C583" i="20"/>
  <c r="D583" i="20"/>
  <c r="I583" i="20"/>
  <c r="J583" i="20"/>
  <c r="L583" i="20"/>
  <c r="M583" i="20"/>
  <c r="B582" i="20"/>
  <c r="C582" i="20"/>
  <c r="D582" i="20"/>
  <c r="I582" i="20"/>
  <c r="J582" i="20"/>
  <c r="K582" i="20"/>
  <c r="L582" i="20"/>
  <c r="M582" i="20"/>
  <c r="AX83" i="1"/>
  <c r="AZ83" i="1" s="1"/>
  <c r="AV83" i="1" s="1"/>
  <c r="AS83" i="1"/>
  <c r="AU83" i="1" s="1"/>
  <c r="AR83" i="1" s="1"/>
  <c r="AN83" i="1"/>
  <c r="AP83" i="1" s="1"/>
  <c r="AL83" i="1" s="1"/>
  <c r="AK83" i="1"/>
  <c r="BM83" i="1"/>
  <c r="BO83" i="1" s="1"/>
  <c r="BL83" i="1" s="1"/>
  <c r="BH83" i="1"/>
  <c r="BJ83" i="1" s="1"/>
  <c r="BG83" i="1" s="1"/>
  <c r="BC83" i="1"/>
  <c r="BE83" i="1" s="1"/>
  <c r="BB83" i="1" s="1"/>
  <c r="AD83" i="1"/>
  <c r="AF83" i="1" s="1"/>
  <c r="AB83" i="1" s="1"/>
  <c r="Y83" i="1"/>
  <c r="T83" i="1"/>
  <c r="V83" i="1" s="1"/>
  <c r="R83" i="1" s="1"/>
  <c r="O83" i="1"/>
  <c r="Q83" i="1" s="1"/>
  <c r="N83" i="1" s="1"/>
  <c r="J83" i="1"/>
  <c r="L83" i="1" s="1"/>
  <c r="I83" i="1" s="1"/>
  <c r="E83" i="1"/>
  <c r="G83" i="1" s="1"/>
  <c r="D83" i="1" s="1"/>
  <c r="B581" i="20"/>
  <c r="C581" i="20"/>
  <c r="D581" i="20"/>
  <c r="I581" i="20"/>
  <c r="J581" i="20"/>
  <c r="K581" i="20"/>
  <c r="L581" i="20"/>
  <c r="M581" i="20"/>
  <c r="B580" i="20"/>
  <c r="C580" i="20"/>
  <c r="D580" i="20"/>
  <c r="I580" i="20"/>
  <c r="J580" i="20"/>
  <c r="L580" i="20"/>
  <c r="M580" i="20"/>
  <c r="B579" i="20"/>
  <c r="C579" i="20"/>
  <c r="D579" i="20"/>
  <c r="I579" i="20"/>
  <c r="J579" i="20"/>
  <c r="L579" i="20"/>
  <c r="M579" i="20"/>
  <c r="B578" i="20"/>
  <c r="C578" i="20"/>
  <c r="D578" i="20"/>
  <c r="I578" i="20"/>
  <c r="J578" i="20"/>
  <c r="K578" i="20"/>
  <c r="L578" i="20"/>
  <c r="M578" i="20"/>
  <c r="B577" i="20"/>
  <c r="C577" i="20"/>
  <c r="D577" i="20"/>
  <c r="I577" i="20"/>
  <c r="J577" i="20"/>
  <c r="L577" i="20"/>
  <c r="M577" i="20"/>
  <c r="B576" i="20"/>
  <c r="C576" i="20"/>
  <c r="D576" i="20"/>
  <c r="I576" i="20"/>
  <c r="J576" i="20"/>
  <c r="L576" i="20"/>
  <c r="M576" i="20"/>
  <c r="B575" i="20"/>
  <c r="C575" i="20"/>
  <c r="D575" i="20"/>
  <c r="I575" i="20"/>
  <c r="J575" i="20"/>
  <c r="K575" i="20"/>
  <c r="L575" i="20"/>
  <c r="M575" i="20"/>
  <c r="AX82" i="1"/>
  <c r="AZ82" i="1" s="1"/>
  <c r="AV82" i="1" s="1"/>
  <c r="AS82" i="1"/>
  <c r="AU82" i="1" s="1"/>
  <c r="AR82" i="1" s="1"/>
  <c r="AN82" i="1"/>
  <c r="AP82" i="1" s="1"/>
  <c r="AL82" i="1" s="1"/>
  <c r="AK82" i="1"/>
  <c r="BM82" i="1"/>
  <c r="BO82" i="1" s="1"/>
  <c r="BL82" i="1" s="1"/>
  <c r="BH82" i="1"/>
  <c r="BJ82" i="1" s="1"/>
  <c r="BG82" i="1" s="1"/>
  <c r="BC82" i="1"/>
  <c r="BE82" i="1" s="1"/>
  <c r="BB82" i="1" s="1"/>
  <c r="AD82" i="1"/>
  <c r="AF82" i="1" s="1"/>
  <c r="AB82" i="1" s="1"/>
  <c r="Y82" i="1"/>
  <c r="T82" i="1"/>
  <c r="V82" i="1" s="1"/>
  <c r="R82" i="1" s="1"/>
  <c r="O82" i="1"/>
  <c r="Q82" i="1" s="1"/>
  <c r="N82" i="1" s="1"/>
  <c r="J82" i="1"/>
  <c r="L82" i="1" s="1"/>
  <c r="I82" i="1" s="1"/>
  <c r="E82" i="1"/>
  <c r="G82" i="1" s="1"/>
  <c r="D82" i="1" s="1"/>
  <c r="B574" i="20"/>
  <c r="C574" i="20"/>
  <c r="D574" i="20"/>
  <c r="I574" i="20"/>
  <c r="J574" i="20"/>
  <c r="K574" i="20"/>
  <c r="L574" i="20"/>
  <c r="M574" i="20"/>
  <c r="B573" i="20"/>
  <c r="C573" i="20"/>
  <c r="D573" i="20"/>
  <c r="I573" i="20"/>
  <c r="J573" i="20"/>
  <c r="K573" i="20"/>
  <c r="L573" i="20"/>
  <c r="M573" i="20"/>
  <c r="B572" i="20"/>
  <c r="C572" i="20"/>
  <c r="D572" i="20"/>
  <c r="I572" i="20"/>
  <c r="J572" i="20"/>
  <c r="K572" i="20"/>
  <c r="L572" i="20"/>
  <c r="M572" i="20"/>
  <c r="B571" i="20"/>
  <c r="C571" i="20"/>
  <c r="D571" i="20"/>
  <c r="I571" i="20"/>
  <c r="J571" i="20"/>
  <c r="L571" i="20"/>
  <c r="M571" i="20"/>
  <c r="B570" i="20"/>
  <c r="C570" i="20"/>
  <c r="D570" i="20"/>
  <c r="I570" i="20"/>
  <c r="J570" i="20"/>
  <c r="K570" i="20"/>
  <c r="L570" i="20"/>
  <c r="M570" i="20"/>
  <c r="B569" i="20"/>
  <c r="C569" i="20"/>
  <c r="D569" i="20"/>
  <c r="I569" i="20"/>
  <c r="J569" i="20"/>
  <c r="L569" i="20"/>
  <c r="M569" i="20"/>
  <c r="B568" i="20"/>
  <c r="C568" i="20"/>
  <c r="D568" i="20"/>
  <c r="I568" i="20"/>
  <c r="J568" i="20"/>
  <c r="K568" i="20"/>
  <c r="L568" i="20"/>
  <c r="M568" i="20"/>
  <c r="B567" i="20"/>
  <c r="C567" i="20"/>
  <c r="D567" i="20"/>
  <c r="I567" i="20"/>
  <c r="J567" i="20"/>
  <c r="L567" i="20"/>
  <c r="M567" i="20"/>
  <c r="B566" i="20"/>
  <c r="C566" i="20"/>
  <c r="D566" i="20"/>
  <c r="I566" i="20"/>
  <c r="J566" i="20"/>
  <c r="K566" i="20"/>
  <c r="L566" i="20"/>
  <c r="M566" i="20"/>
  <c r="B565" i="20"/>
  <c r="C565" i="20"/>
  <c r="D565" i="20"/>
  <c r="I565" i="20"/>
  <c r="J565" i="20"/>
  <c r="L565" i="20"/>
  <c r="M565" i="20"/>
  <c r="AX81" i="1"/>
  <c r="AZ81" i="1" s="1"/>
  <c r="AV81" i="1" s="1"/>
  <c r="AS81" i="1"/>
  <c r="AU81" i="1" s="1"/>
  <c r="AR81" i="1" s="1"/>
  <c r="AN81" i="1"/>
  <c r="AP81" i="1" s="1"/>
  <c r="AL81" i="1" s="1"/>
  <c r="AK81" i="1"/>
  <c r="BM81" i="1"/>
  <c r="BO81" i="1" s="1"/>
  <c r="BL81" i="1" s="1"/>
  <c r="BH81" i="1"/>
  <c r="BJ81" i="1" s="1"/>
  <c r="BG81" i="1" s="1"/>
  <c r="BC81" i="1"/>
  <c r="BE81" i="1" s="1"/>
  <c r="BB81" i="1" s="1"/>
  <c r="AD81" i="1"/>
  <c r="AF81" i="1" s="1"/>
  <c r="AB81" i="1" s="1"/>
  <c r="Y81" i="1"/>
  <c r="T81" i="1"/>
  <c r="V81" i="1" s="1"/>
  <c r="O81" i="1"/>
  <c r="Q81" i="1" s="1"/>
  <c r="N81" i="1" s="1"/>
  <c r="J81" i="1"/>
  <c r="L81" i="1" s="1"/>
  <c r="I81" i="1" s="1"/>
  <c r="E81" i="1"/>
  <c r="G81" i="1" s="1"/>
  <c r="D81" i="1" s="1"/>
  <c r="B562" i="20"/>
  <c r="B563" i="20"/>
  <c r="B564" i="20"/>
  <c r="C562" i="20"/>
  <c r="C563" i="20"/>
  <c r="C564" i="20"/>
  <c r="D562" i="20"/>
  <c r="D563" i="20"/>
  <c r="D564" i="20"/>
  <c r="I562" i="20"/>
  <c r="I563" i="20"/>
  <c r="I564" i="20"/>
  <c r="J562" i="20"/>
  <c r="J563" i="20"/>
  <c r="J564" i="20"/>
  <c r="K563" i="20"/>
  <c r="K564" i="20"/>
  <c r="L562" i="20"/>
  <c r="L563" i="20"/>
  <c r="L564" i="20"/>
  <c r="M562" i="20"/>
  <c r="M563" i="20"/>
  <c r="M564" i="20"/>
  <c r="B555" i="20"/>
  <c r="B556" i="20"/>
  <c r="B557" i="20"/>
  <c r="B558" i="20"/>
  <c r="B559" i="20"/>
  <c r="B560" i="20"/>
  <c r="B561" i="20"/>
  <c r="C555" i="20"/>
  <c r="C556" i="20"/>
  <c r="C557" i="20"/>
  <c r="C558" i="20"/>
  <c r="C559" i="20"/>
  <c r="C560" i="20"/>
  <c r="C561" i="20"/>
  <c r="D555" i="20"/>
  <c r="D556" i="20"/>
  <c r="D557" i="20"/>
  <c r="D558" i="20"/>
  <c r="D559" i="20"/>
  <c r="D560" i="20"/>
  <c r="D561" i="20"/>
  <c r="I555" i="20"/>
  <c r="I556" i="20"/>
  <c r="I557" i="20"/>
  <c r="I558" i="20"/>
  <c r="I559" i="20"/>
  <c r="I560" i="20"/>
  <c r="I561" i="20"/>
  <c r="J555" i="20"/>
  <c r="J556" i="20"/>
  <c r="J557" i="20"/>
  <c r="J558" i="20"/>
  <c r="J559" i="20"/>
  <c r="J560" i="20"/>
  <c r="J561" i="20"/>
  <c r="K556" i="20"/>
  <c r="K558" i="20"/>
  <c r="K560" i="20"/>
  <c r="K561" i="20"/>
  <c r="L555" i="20"/>
  <c r="L556" i="20"/>
  <c r="L557" i="20"/>
  <c r="L558" i="20"/>
  <c r="L559" i="20"/>
  <c r="L560" i="20"/>
  <c r="L561" i="20"/>
  <c r="M555" i="20"/>
  <c r="M556" i="20"/>
  <c r="M557" i="20"/>
  <c r="M558" i="20"/>
  <c r="M559" i="20"/>
  <c r="M560" i="20"/>
  <c r="M561" i="20"/>
  <c r="B554" i="20"/>
  <c r="C554" i="20"/>
  <c r="D554" i="20"/>
  <c r="I554" i="20"/>
  <c r="J554" i="20"/>
  <c r="K554" i="20"/>
  <c r="L554" i="20"/>
  <c r="M554" i="20"/>
  <c r="B553" i="20"/>
  <c r="C553" i="20"/>
  <c r="D553" i="20"/>
  <c r="I553" i="20"/>
  <c r="J553" i="20"/>
  <c r="K553" i="20"/>
  <c r="L553" i="20"/>
  <c r="M553" i="20"/>
  <c r="AX80" i="1"/>
  <c r="AZ80" i="1" s="1"/>
  <c r="AV80" i="1" s="1"/>
  <c r="AS80" i="1"/>
  <c r="AU80" i="1" s="1"/>
  <c r="AR80" i="1" s="1"/>
  <c r="AN80" i="1"/>
  <c r="AP80" i="1" s="1"/>
  <c r="AL80" i="1" s="1"/>
  <c r="AK80" i="1"/>
  <c r="BM80" i="1"/>
  <c r="BO80" i="1" s="1"/>
  <c r="BL80" i="1" s="1"/>
  <c r="BH80" i="1"/>
  <c r="BJ80" i="1" s="1"/>
  <c r="BG80" i="1" s="1"/>
  <c r="BC80" i="1"/>
  <c r="BE80" i="1" s="1"/>
  <c r="BB80" i="1" s="1"/>
  <c r="AD80" i="1"/>
  <c r="Y80" i="1"/>
  <c r="T80" i="1"/>
  <c r="V80" i="1" s="1"/>
  <c r="O80" i="1"/>
  <c r="Q80" i="1" s="1"/>
  <c r="N80" i="1" s="1"/>
  <c r="J80" i="1"/>
  <c r="L80" i="1" s="1"/>
  <c r="I80" i="1" s="1"/>
  <c r="E80" i="1"/>
  <c r="G80" i="1" s="1"/>
  <c r="D80" i="1" s="1"/>
  <c r="U17" i="39"/>
  <c r="B3543" i="21"/>
  <c r="C3543" i="21"/>
  <c r="B3541" i="21"/>
  <c r="C3541" i="21"/>
  <c r="B3542" i="21"/>
  <c r="C3542" i="21"/>
  <c r="B3537" i="21"/>
  <c r="C3537" i="21"/>
  <c r="B3538" i="21"/>
  <c r="C3538" i="21"/>
  <c r="B3539" i="21"/>
  <c r="C3539" i="21"/>
  <c r="B3540" i="21"/>
  <c r="C3540" i="21"/>
  <c r="B3531" i="21"/>
  <c r="C3531" i="21"/>
  <c r="B3532" i="21"/>
  <c r="C3532" i="21"/>
  <c r="B3533" i="21"/>
  <c r="C3533" i="21"/>
  <c r="B3534" i="21"/>
  <c r="C3534" i="21"/>
  <c r="B3535" i="21"/>
  <c r="C3535" i="21"/>
  <c r="B3536" i="21"/>
  <c r="C3536" i="21"/>
  <c r="B549" i="20"/>
  <c r="B550" i="20"/>
  <c r="B551" i="20"/>
  <c r="B552" i="20"/>
  <c r="C549" i="20"/>
  <c r="C550" i="20"/>
  <c r="C551" i="20"/>
  <c r="C552" i="20"/>
  <c r="D549" i="20"/>
  <c r="D550" i="20"/>
  <c r="D551" i="20"/>
  <c r="D552" i="20"/>
  <c r="I549" i="20"/>
  <c r="I550" i="20"/>
  <c r="I551" i="20"/>
  <c r="I552" i="20"/>
  <c r="J549" i="20"/>
  <c r="J550" i="20"/>
  <c r="J551" i="20"/>
  <c r="J552" i="20"/>
  <c r="K550" i="20"/>
  <c r="K551" i="20"/>
  <c r="K552" i="20"/>
  <c r="L549" i="20"/>
  <c r="L550" i="20"/>
  <c r="L551" i="20"/>
  <c r="L552" i="20"/>
  <c r="M549" i="20"/>
  <c r="M550" i="20"/>
  <c r="M551" i="20"/>
  <c r="M552" i="20"/>
  <c r="B548" i="20"/>
  <c r="C548" i="20"/>
  <c r="D548" i="20"/>
  <c r="I548" i="20"/>
  <c r="J548" i="20"/>
  <c r="K548" i="20"/>
  <c r="L548" i="20"/>
  <c r="M548" i="20"/>
  <c r="B547" i="20"/>
  <c r="C547" i="20"/>
  <c r="D547" i="20"/>
  <c r="I547" i="20"/>
  <c r="J547" i="20"/>
  <c r="K547" i="20"/>
  <c r="L547" i="20"/>
  <c r="M547" i="20"/>
  <c r="B546" i="20"/>
  <c r="C546" i="20"/>
  <c r="D546" i="20"/>
  <c r="I546" i="20"/>
  <c r="J546" i="20"/>
  <c r="L546" i="20"/>
  <c r="M546" i="20"/>
  <c r="Z79" i="1"/>
  <c r="BM79" i="1"/>
  <c r="BO79" i="1" s="1"/>
  <c r="BL79" i="1" s="1"/>
  <c r="BH79" i="1"/>
  <c r="BJ79" i="1" s="1"/>
  <c r="BG79" i="1" s="1"/>
  <c r="BC79" i="1"/>
  <c r="BE79" i="1" s="1"/>
  <c r="BB79" i="1" s="1"/>
  <c r="AX79" i="1"/>
  <c r="AZ79" i="1" s="1"/>
  <c r="AV79" i="1" s="1"/>
  <c r="AS79" i="1"/>
  <c r="AU79" i="1" s="1"/>
  <c r="AR79" i="1" s="1"/>
  <c r="AN79" i="1"/>
  <c r="AP79" i="1" s="1"/>
  <c r="AL79" i="1" s="1"/>
  <c r="AK79" i="1"/>
  <c r="AD79" i="1"/>
  <c r="AF79" i="1" s="1"/>
  <c r="AB79" i="1" s="1"/>
  <c r="T79" i="1"/>
  <c r="V79" i="1" s="1"/>
  <c r="R79" i="1" s="1"/>
  <c r="O79" i="1"/>
  <c r="Q79" i="1" s="1"/>
  <c r="N79" i="1" s="1"/>
  <c r="J79" i="1"/>
  <c r="L79" i="1" s="1"/>
  <c r="I79" i="1" s="1"/>
  <c r="E79" i="1"/>
  <c r="G79" i="1" s="1"/>
  <c r="D79" i="1" s="1"/>
  <c r="Z78" i="1"/>
  <c r="Y78" i="1" s="1"/>
  <c r="BM78" i="1"/>
  <c r="BO78" i="1" s="1"/>
  <c r="BL78" i="1" s="1"/>
  <c r="BH78" i="1"/>
  <c r="BJ78" i="1" s="1"/>
  <c r="BG78" i="1" s="1"/>
  <c r="BC78" i="1"/>
  <c r="BE78" i="1" s="1"/>
  <c r="BB78" i="1" s="1"/>
  <c r="AX78" i="1"/>
  <c r="AZ78" i="1" s="1"/>
  <c r="AV78" i="1" s="1"/>
  <c r="AS78" i="1"/>
  <c r="AU78" i="1" s="1"/>
  <c r="AR78" i="1" s="1"/>
  <c r="AN78" i="1"/>
  <c r="AP78" i="1" s="1"/>
  <c r="AL78" i="1" s="1"/>
  <c r="AK78" i="1"/>
  <c r="AD78" i="1"/>
  <c r="AF78" i="1" s="1"/>
  <c r="AB78" i="1" s="1"/>
  <c r="T78" i="1"/>
  <c r="V78" i="1" s="1"/>
  <c r="R78" i="1" s="1"/>
  <c r="O78" i="1"/>
  <c r="Q78" i="1" s="1"/>
  <c r="N78" i="1" s="1"/>
  <c r="J78" i="1"/>
  <c r="L78" i="1" s="1"/>
  <c r="I78" i="1" s="1"/>
  <c r="E78" i="1"/>
  <c r="G78" i="1" s="1"/>
  <c r="D78" i="1" s="1"/>
  <c r="B545" i="20"/>
  <c r="C545" i="20"/>
  <c r="D545" i="20"/>
  <c r="I545" i="20"/>
  <c r="J545" i="20"/>
  <c r="K545" i="20"/>
  <c r="L545" i="20"/>
  <c r="M545" i="20"/>
  <c r="B544" i="20"/>
  <c r="C544" i="20"/>
  <c r="D544" i="20"/>
  <c r="I544" i="20"/>
  <c r="J544" i="20"/>
  <c r="K544" i="20"/>
  <c r="L544" i="20"/>
  <c r="M544" i="20"/>
  <c r="B543" i="20"/>
  <c r="C543" i="20"/>
  <c r="D543" i="20"/>
  <c r="I543" i="20"/>
  <c r="J543" i="20"/>
  <c r="K543" i="20"/>
  <c r="L543" i="20"/>
  <c r="M543" i="20"/>
  <c r="B542" i="20"/>
  <c r="C542" i="20"/>
  <c r="D542" i="20"/>
  <c r="I542" i="20"/>
  <c r="J542" i="20"/>
  <c r="L542" i="20"/>
  <c r="M542" i="20"/>
  <c r="B541" i="20"/>
  <c r="C541" i="20"/>
  <c r="D541" i="20"/>
  <c r="I541" i="20"/>
  <c r="J541" i="20"/>
  <c r="K541" i="20"/>
  <c r="L541" i="20"/>
  <c r="M541" i="20"/>
  <c r="BM77" i="1"/>
  <c r="BO77" i="1" s="1"/>
  <c r="BL77" i="1" s="1"/>
  <c r="BH77" i="1"/>
  <c r="BJ77" i="1" s="1"/>
  <c r="BG77" i="1" s="1"/>
  <c r="BC77" i="1"/>
  <c r="BE77" i="1" s="1"/>
  <c r="BB77" i="1" s="1"/>
  <c r="AX77" i="1"/>
  <c r="AZ77" i="1" s="1"/>
  <c r="AV77" i="1" s="1"/>
  <c r="AS77" i="1"/>
  <c r="AU77" i="1" s="1"/>
  <c r="AR77" i="1" s="1"/>
  <c r="AN77" i="1"/>
  <c r="AP77" i="1" s="1"/>
  <c r="AL77" i="1" s="1"/>
  <c r="AK77" i="1"/>
  <c r="AD77" i="1"/>
  <c r="AF77" i="1" s="1"/>
  <c r="AB77" i="1" s="1"/>
  <c r="Y77" i="1"/>
  <c r="T77" i="1"/>
  <c r="V77" i="1" s="1"/>
  <c r="R77" i="1" s="1"/>
  <c r="O77" i="1"/>
  <c r="Q77" i="1" s="1"/>
  <c r="N77" i="1" s="1"/>
  <c r="J77" i="1"/>
  <c r="L77" i="1" s="1"/>
  <c r="I77" i="1" s="1"/>
  <c r="E77" i="1"/>
  <c r="G77" i="1" s="1"/>
  <c r="D77" i="1" s="1"/>
  <c r="W9" i="19"/>
  <c r="B3514" i="21"/>
  <c r="C3514" i="21"/>
  <c r="B3515" i="21"/>
  <c r="C3515" i="21"/>
  <c r="B3516" i="21"/>
  <c r="C3516" i="21"/>
  <c r="B3517" i="21"/>
  <c r="C3517" i="21"/>
  <c r="B3518" i="21"/>
  <c r="C3518" i="21"/>
  <c r="B3519" i="21"/>
  <c r="C3519" i="21"/>
  <c r="B3520" i="21"/>
  <c r="C3520" i="21"/>
  <c r="B3521" i="21"/>
  <c r="C3521" i="21"/>
  <c r="B3522" i="21"/>
  <c r="C3522" i="21"/>
  <c r="B3523" i="21"/>
  <c r="C3523" i="21"/>
  <c r="B3524" i="21"/>
  <c r="C3524" i="21"/>
  <c r="B3525" i="21"/>
  <c r="C3525" i="21"/>
  <c r="B3526" i="21"/>
  <c r="C3526" i="21"/>
  <c r="B3527" i="21"/>
  <c r="C3527" i="21"/>
  <c r="B3528" i="21"/>
  <c r="C3528" i="21"/>
  <c r="B3529" i="21"/>
  <c r="C3529" i="21"/>
  <c r="B3530" i="21"/>
  <c r="C3530" i="21"/>
  <c r="B540" i="20"/>
  <c r="C540" i="20"/>
  <c r="D540" i="20"/>
  <c r="I540" i="20"/>
  <c r="J540" i="20"/>
  <c r="K540" i="20"/>
  <c r="L540" i="20"/>
  <c r="M540" i="20"/>
  <c r="B539" i="20"/>
  <c r="C539" i="20"/>
  <c r="D539" i="20"/>
  <c r="I539" i="20"/>
  <c r="J539" i="20"/>
  <c r="K539" i="20"/>
  <c r="L539" i="20"/>
  <c r="M539" i="20"/>
  <c r="B538" i="20"/>
  <c r="C538" i="20"/>
  <c r="D538" i="20"/>
  <c r="I538" i="20"/>
  <c r="J538" i="20"/>
  <c r="K538" i="20"/>
  <c r="L538" i="20"/>
  <c r="M538" i="20"/>
  <c r="BM76" i="1"/>
  <c r="BO76" i="1" s="1"/>
  <c r="BL76" i="1" s="1"/>
  <c r="BH76" i="1"/>
  <c r="BJ76" i="1" s="1"/>
  <c r="BG76" i="1" s="1"/>
  <c r="BC76" i="1"/>
  <c r="BE76" i="1" s="1"/>
  <c r="BB76" i="1" s="1"/>
  <c r="AX76" i="1"/>
  <c r="AZ76" i="1" s="1"/>
  <c r="AV76" i="1" s="1"/>
  <c r="AS76" i="1"/>
  <c r="AU76" i="1" s="1"/>
  <c r="AR76" i="1" s="1"/>
  <c r="AN76" i="1"/>
  <c r="AP76" i="1" s="1"/>
  <c r="AL76" i="1" s="1"/>
  <c r="AK76" i="1"/>
  <c r="AD76" i="1"/>
  <c r="AF76" i="1" s="1"/>
  <c r="AB76" i="1" s="1"/>
  <c r="Y76" i="1"/>
  <c r="T76" i="1"/>
  <c r="V76" i="1" s="1"/>
  <c r="R76" i="1" s="1"/>
  <c r="O76" i="1"/>
  <c r="Q76" i="1" s="1"/>
  <c r="N76" i="1" s="1"/>
  <c r="J76" i="1"/>
  <c r="L76" i="1" s="1"/>
  <c r="I76" i="1" s="1"/>
  <c r="E76" i="1"/>
  <c r="G76" i="1" s="1"/>
  <c r="D76" i="1" s="1"/>
  <c r="J33" i="19"/>
  <c r="B533" i="20"/>
  <c r="B534" i="20"/>
  <c r="B535" i="20"/>
  <c r="B536" i="20"/>
  <c r="B537" i="20"/>
  <c r="C533" i="20"/>
  <c r="C534" i="20"/>
  <c r="C535" i="20"/>
  <c r="C536" i="20"/>
  <c r="C537" i="20"/>
  <c r="D533" i="20"/>
  <c r="D534" i="20"/>
  <c r="D535" i="20"/>
  <c r="D536" i="20"/>
  <c r="D537" i="20"/>
  <c r="I533" i="20"/>
  <c r="I534" i="20"/>
  <c r="I535" i="20"/>
  <c r="I536" i="20"/>
  <c r="I537" i="20"/>
  <c r="J533" i="20"/>
  <c r="J534" i="20"/>
  <c r="J535" i="20"/>
  <c r="J536" i="20"/>
  <c r="J537" i="20"/>
  <c r="K533" i="20"/>
  <c r="K535" i="20"/>
  <c r="K536" i="20"/>
  <c r="K537" i="20"/>
  <c r="L533" i="20"/>
  <c r="L534" i="20"/>
  <c r="L535" i="20"/>
  <c r="L536" i="20"/>
  <c r="L537" i="20"/>
  <c r="M533" i="20"/>
  <c r="M534" i="20"/>
  <c r="M535" i="20"/>
  <c r="M536" i="20"/>
  <c r="M537" i="20"/>
  <c r="B532" i="20"/>
  <c r="C532" i="20"/>
  <c r="D532" i="20"/>
  <c r="I532" i="20"/>
  <c r="J532" i="20"/>
  <c r="K532" i="20"/>
  <c r="L532" i="20"/>
  <c r="M532" i="20"/>
  <c r="B531" i="20"/>
  <c r="C531" i="20"/>
  <c r="D531" i="20"/>
  <c r="I531" i="20"/>
  <c r="J531" i="20"/>
  <c r="L531" i="20"/>
  <c r="M531" i="20"/>
  <c r="B530" i="20"/>
  <c r="C530" i="20"/>
  <c r="D530" i="20"/>
  <c r="I530" i="20"/>
  <c r="J530" i="20"/>
  <c r="K530" i="20"/>
  <c r="L530" i="20"/>
  <c r="M530" i="20"/>
  <c r="BM75" i="1"/>
  <c r="BO75" i="1" s="1"/>
  <c r="BL75" i="1" s="1"/>
  <c r="BH75" i="1"/>
  <c r="BJ75" i="1" s="1"/>
  <c r="BG75" i="1" s="1"/>
  <c r="BC75" i="1"/>
  <c r="BE75" i="1" s="1"/>
  <c r="BB75" i="1" s="1"/>
  <c r="AX75" i="1"/>
  <c r="AZ75" i="1" s="1"/>
  <c r="AV75" i="1" s="1"/>
  <c r="AS75" i="1"/>
  <c r="AU75" i="1" s="1"/>
  <c r="AR75" i="1" s="1"/>
  <c r="AN75" i="1"/>
  <c r="AP75" i="1" s="1"/>
  <c r="AL75" i="1" s="1"/>
  <c r="AK75" i="1"/>
  <c r="AD75" i="1"/>
  <c r="AF75" i="1" s="1"/>
  <c r="AB75" i="1" s="1"/>
  <c r="Y75" i="1"/>
  <c r="T75" i="1"/>
  <c r="V75" i="1" s="1"/>
  <c r="R75" i="1" s="1"/>
  <c r="O75" i="1"/>
  <c r="Q75" i="1" s="1"/>
  <c r="N75" i="1" s="1"/>
  <c r="J75" i="1"/>
  <c r="L75" i="1" s="1"/>
  <c r="I75" i="1" s="1"/>
  <c r="E75" i="1"/>
  <c r="G75" i="1" s="1"/>
  <c r="D75" i="1" s="1"/>
  <c r="B529" i="20"/>
  <c r="C529" i="20"/>
  <c r="D529" i="20"/>
  <c r="I529" i="20"/>
  <c r="J529" i="20"/>
  <c r="K529" i="20"/>
  <c r="L529" i="20"/>
  <c r="M529" i="20"/>
  <c r="B528" i="20"/>
  <c r="C528" i="20"/>
  <c r="D528" i="20"/>
  <c r="I528" i="20"/>
  <c r="J528" i="20"/>
  <c r="L528" i="20"/>
  <c r="M528" i="20"/>
  <c r="B527" i="20"/>
  <c r="C527" i="20"/>
  <c r="D527" i="20"/>
  <c r="I527" i="20"/>
  <c r="J527" i="20"/>
  <c r="L527" i="20"/>
  <c r="M527" i="20"/>
  <c r="B526" i="20"/>
  <c r="C526" i="20"/>
  <c r="D526" i="20"/>
  <c r="I526" i="20"/>
  <c r="J526" i="20"/>
  <c r="K526" i="20"/>
  <c r="L526" i="20"/>
  <c r="M526" i="20"/>
  <c r="B525" i="20"/>
  <c r="C525" i="20"/>
  <c r="D525" i="20"/>
  <c r="I525" i="20"/>
  <c r="J525" i="20"/>
  <c r="L525" i="20"/>
  <c r="M525" i="20"/>
  <c r="B524" i="20"/>
  <c r="C524" i="20"/>
  <c r="D524" i="20"/>
  <c r="I524" i="20"/>
  <c r="J524" i="20"/>
  <c r="K524" i="20"/>
  <c r="L524" i="20"/>
  <c r="M524" i="20"/>
  <c r="B523" i="20"/>
  <c r="C523" i="20"/>
  <c r="D523" i="20"/>
  <c r="I523" i="20"/>
  <c r="J523" i="20"/>
  <c r="K523" i="20"/>
  <c r="L523" i="20"/>
  <c r="M523" i="20"/>
  <c r="B522" i="20"/>
  <c r="C522" i="20"/>
  <c r="D522" i="20"/>
  <c r="I522" i="20"/>
  <c r="J522" i="20"/>
  <c r="L522" i="20"/>
  <c r="M522" i="20"/>
  <c r="B521" i="20"/>
  <c r="C521" i="20"/>
  <c r="D521" i="20"/>
  <c r="I521" i="20"/>
  <c r="J521" i="20"/>
  <c r="K521" i="20"/>
  <c r="L521" i="20"/>
  <c r="M521" i="20"/>
  <c r="B520" i="20"/>
  <c r="C520" i="20"/>
  <c r="D520" i="20"/>
  <c r="I520" i="20"/>
  <c r="J520" i="20"/>
  <c r="L520" i="20"/>
  <c r="M520" i="20"/>
  <c r="BM74" i="1"/>
  <c r="BO74" i="1" s="1"/>
  <c r="BL74" i="1" s="1"/>
  <c r="BH74" i="1"/>
  <c r="BJ74" i="1" s="1"/>
  <c r="BG74" i="1" s="1"/>
  <c r="BC74" i="1"/>
  <c r="BE74" i="1" s="1"/>
  <c r="BB74" i="1" s="1"/>
  <c r="AX74" i="1"/>
  <c r="AZ74" i="1" s="1"/>
  <c r="AV74" i="1" s="1"/>
  <c r="AS74" i="1"/>
  <c r="AU74" i="1" s="1"/>
  <c r="AR74" i="1" s="1"/>
  <c r="AN74" i="1"/>
  <c r="AP74" i="1" s="1"/>
  <c r="AL74" i="1" s="1"/>
  <c r="AK74" i="1"/>
  <c r="AD74" i="1"/>
  <c r="AF74" i="1" s="1"/>
  <c r="AB74" i="1" s="1"/>
  <c r="Y74" i="1"/>
  <c r="T74" i="1"/>
  <c r="V74" i="1" s="1"/>
  <c r="R74" i="1" s="1"/>
  <c r="O74" i="1"/>
  <c r="Q74" i="1" s="1"/>
  <c r="N74" i="1" s="1"/>
  <c r="J74" i="1"/>
  <c r="L74" i="1" s="1"/>
  <c r="I74" i="1" s="1"/>
  <c r="E74" i="1"/>
  <c r="G74" i="1" s="1"/>
  <c r="D74" i="1" s="1"/>
  <c r="B519" i="20"/>
  <c r="C519" i="20"/>
  <c r="D519" i="20"/>
  <c r="I519" i="20"/>
  <c r="J519" i="20"/>
  <c r="L519" i="20"/>
  <c r="M519" i="20"/>
  <c r="B518" i="20"/>
  <c r="C518" i="20"/>
  <c r="D518" i="20"/>
  <c r="I518" i="20"/>
  <c r="J518" i="20"/>
  <c r="K518" i="20"/>
  <c r="L518" i="20"/>
  <c r="M518" i="20"/>
  <c r="B517" i="20"/>
  <c r="C517" i="20"/>
  <c r="D517" i="20"/>
  <c r="I517" i="20"/>
  <c r="J517" i="20"/>
  <c r="K517" i="20"/>
  <c r="L517" i="20"/>
  <c r="M517" i="20"/>
  <c r="B516" i="20"/>
  <c r="C516" i="20"/>
  <c r="D516" i="20"/>
  <c r="I516" i="20"/>
  <c r="J516" i="20"/>
  <c r="K516" i="20"/>
  <c r="L516" i="20"/>
  <c r="M516" i="20"/>
  <c r="B515" i="20"/>
  <c r="C515" i="20"/>
  <c r="D515" i="20"/>
  <c r="I515" i="20"/>
  <c r="J515" i="20"/>
  <c r="L515" i="20"/>
  <c r="M515" i="20"/>
  <c r="B514" i="20"/>
  <c r="C514" i="20"/>
  <c r="D514" i="20"/>
  <c r="I514" i="20"/>
  <c r="J514" i="20"/>
  <c r="K514" i="20"/>
  <c r="L514" i="20"/>
  <c r="M514" i="20"/>
  <c r="B513" i="20"/>
  <c r="C513" i="20"/>
  <c r="D513" i="20"/>
  <c r="I513" i="20"/>
  <c r="J513" i="20"/>
  <c r="K513" i="20"/>
  <c r="L513" i="20"/>
  <c r="M513" i="20"/>
  <c r="B512" i="20"/>
  <c r="C512" i="20"/>
  <c r="D512" i="20"/>
  <c r="I512" i="20"/>
  <c r="J512" i="20"/>
  <c r="K512" i="20"/>
  <c r="L512" i="20"/>
  <c r="M512" i="20"/>
  <c r="BM73" i="1"/>
  <c r="BO73" i="1" s="1"/>
  <c r="BL73" i="1" s="1"/>
  <c r="BH73" i="1"/>
  <c r="BJ73" i="1" s="1"/>
  <c r="BG73" i="1" s="1"/>
  <c r="BC73" i="1"/>
  <c r="BE73" i="1" s="1"/>
  <c r="BB73" i="1" s="1"/>
  <c r="AX73" i="1"/>
  <c r="AZ73" i="1" s="1"/>
  <c r="AV73" i="1" s="1"/>
  <c r="AS73" i="1"/>
  <c r="AU73" i="1" s="1"/>
  <c r="AR73" i="1" s="1"/>
  <c r="AN73" i="1"/>
  <c r="AP73" i="1" s="1"/>
  <c r="AL73" i="1" s="1"/>
  <c r="AK73" i="1"/>
  <c r="AD73" i="1"/>
  <c r="AF73" i="1" s="1"/>
  <c r="AB73" i="1" s="1"/>
  <c r="Y73" i="1"/>
  <c r="E73" i="1"/>
  <c r="G73" i="1" s="1"/>
  <c r="D73" i="1" s="1"/>
  <c r="T73" i="1"/>
  <c r="O73" i="1"/>
  <c r="Q73" i="1" s="1"/>
  <c r="N73" i="1" s="1"/>
  <c r="J73" i="1"/>
  <c r="L73" i="1" s="1"/>
  <c r="I73" i="1" s="1"/>
  <c r="B511" i="20"/>
  <c r="C511" i="20"/>
  <c r="D511" i="20"/>
  <c r="I511" i="20"/>
  <c r="J511" i="20"/>
  <c r="L511" i="20"/>
  <c r="M511" i="20"/>
  <c r="B510" i="20"/>
  <c r="C510" i="20"/>
  <c r="D510" i="20"/>
  <c r="I510" i="20"/>
  <c r="J510" i="20"/>
  <c r="L510" i="20"/>
  <c r="M510" i="20"/>
  <c r="B509" i="20"/>
  <c r="C509" i="20"/>
  <c r="D509" i="20"/>
  <c r="I509" i="20"/>
  <c r="J509" i="20"/>
  <c r="K509" i="20"/>
  <c r="L509" i="20"/>
  <c r="M509" i="20"/>
  <c r="B508" i="20"/>
  <c r="C508" i="20"/>
  <c r="D508" i="20"/>
  <c r="I508" i="20"/>
  <c r="J508" i="20"/>
  <c r="K508" i="20"/>
  <c r="L508" i="20"/>
  <c r="M508" i="20"/>
  <c r="B507" i="20"/>
  <c r="C507" i="20"/>
  <c r="D507" i="20"/>
  <c r="I507" i="20"/>
  <c r="J507" i="20"/>
  <c r="L507" i="20"/>
  <c r="M507" i="20"/>
  <c r="B506" i="20"/>
  <c r="C506" i="20"/>
  <c r="D506" i="20"/>
  <c r="I506" i="20"/>
  <c r="J506" i="20"/>
  <c r="K506" i="20"/>
  <c r="L506" i="20"/>
  <c r="M506" i="20"/>
  <c r="B505" i="20"/>
  <c r="C505" i="20"/>
  <c r="D505" i="20"/>
  <c r="I505" i="20"/>
  <c r="J505" i="20"/>
  <c r="L505" i="20"/>
  <c r="M505" i="20"/>
  <c r="B504" i="20"/>
  <c r="C504" i="20"/>
  <c r="D504" i="20"/>
  <c r="I504" i="20"/>
  <c r="J504" i="20"/>
  <c r="K504" i="20"/>
  <c r="L504" i="20"/>
  <c r="M504" i="20"/>
  <c r="B503" i="20"/>
  <c r="C503" i="20"/>
  <c r="D503" i="20"/>
  <c r="I503" i="20"/>
  <c r="J503" i="20"/>
  <c r="K503" i="20"/>
  <c r="L503" i="20"/>
  <c r="M503" i="20"/>
  <c r="B501" i="20"/>
  <c r="C501" i="20"/>
  <c r="D501" i="20"/>
  <c r="I501" i="20"/>
  <c r="J501" i="20"/>
  <c r="L501" i="20"/>
  <c r="M501" i="20"/>
  <c r="B502" i="20"/>
  <c r="C502" i="20"/>
  <c r="D502" i="20"/>
  <c r="I502" i="20"/>
  <c r="J502" i="20"/>
  <c r="K502" i="20"/>
  <c r="L502" i="20"/>
  <c r="M502" i="20"/>
  <c r="AX72" i="1"/>
  <c r="AZ72" i="1" s="1"/>
  <c r="AV72" i="1" s="1"/>
  <c r="AS72" i="1"/>
  <c r="AU72" i="1" s="1"/>
  <c r="AR72" i="1" s="1"/>
  <c r="AN72" i="1"/>
  <c r="AP72" i="1" s="1"/>
  <c r="AL72" i="1" s="1"/>
  <c r="AK72" i="1"/>
  <c r="BM72" i="1"/>
  <c r="BO72" i="1" s="1"/>
  <c r="BL72" i="1" s="1"/>
  <c r="BH72" i="1"/>
  <c r="BJ72" i="1" s="1"/>
  <c r="BG72" i="1" s="1"/>
  <c r="BC72" i="1"/>
  <c r="BE72" i="1" s="1"/>
  <c r="BB72" i="1" s="1"/>
  <c r="AD72" i="1"/>
  <c r="AF72" i="1" s="1"/>
  <c r="AB72" i="1" s="1"/>
  <c r="T72" i="1"/>
  <c r="V72" i="1" s="1"/>
  <c r="R72" i="1" s="1"/>
  <c r="O72" i="1"/>
  <c r="Q72" i="1" s="1"/>
  <c r="N72" i="1" s="1"/>
  <c r="J72" i="1"/>
  <c r="L72" i="1" s="1"/>
  <c r="I72" i="1" s="1"/>
  <c r="E72" i="1"/>
  <c r="G72" i="1" s="1"/>
  <c r="D72" i="1" s="1"/>
  <c r="AC370" i="1"/>
  <c r="AH370" i="1"/>
  <c r="AW370" i="1"/>
  <c r="BM71" i="1"/>
  <c r="BO71" i="1" s="1"/>
  <c r="BH71" i="1"/>
  <c r="BJ71" i="1" s="1"/>
  <c r="BG71" i="1" s="1"/>
  <c r="BC71" i="1"/>
  <c r="BE71" i="1" s="1"/>
  <c r="BB71" i="1" s="1"/>
  <c r="AX71" i="1"/>
  <c r="AZ71" i="1" s="1"/>
  <c r="AV71" i="1" s="1"/>
  <c r="AS71" i="1"/>
  <c r="AU71" i="1" s="1"/>
  <c r="AR71" i="1" s="1"/>
  <c r="AN71" i="1"/>
  <c r="AP71" i="1" s="1"/>
  <c r="AL71" i="1" s="1"/>
  <c r="AK71" i="1"/>
  <c r="AD71" i="1"/>
  <c r="AF71" i="1" s="1"/>
  <c r="AB71" i="1" s="1"/>
  <c r="Z71" i="1"/>
  <c r="Y72" i="1" s="1"/>
  <c r="AA72" i="1" s="1"/>
  <c r="Y71" i="1"/>
  <c r="T71" i="1"/>
  <c r="V71" i="1" s="1"/>
  <c r="R71" i="1" s="1"/>
  <c r="O71" i="1"/>
  <c r="Q71" i="1" s="1"/>
  <c r="N71" i="1" s="1"/>
  <c r="J71" i="1"/>
  <c r="L71" i="1" s="1"/>
  <c r="I71" i="1" s="1"/>
  <c r="E71" i="1"/>
  <c r="G71" i="1" s="1"/>
  <c r="D71" i="1" s="1"/>
  <c r="B500" i="20"/>
  <c r="C500" i="20"/>
  <c r="D500" i="20"/>
  <c r="I500" i="20"/>
  <c r="J500" i="20"/>
  <c r="K500" i="20"/>
  <c r="L500" i="20"/>
  <c r="M500" i="20"/>
  <c r="B499" i="20"/>
  <c r="C499" i="20"/>
  <c r="D499" i="20"/>
  <c r="I499" i="20"/>
  <c r="J499" i="20"/>
  <c r="K499" i="20"/>
  <c r="L499" i="20"/>
  <c r="M499" i="20"/>
  <c r="B498" i="20"/>
  <c r="C498" i="20"/>
  <c r="D498" i="20"/>
  <c r="I498" i="20"/>
  <c r="J498" i="20"/>
  <c r="K498" i="20"/>
  <c r="L498" i="20"/>
  <c r="M498" i="20"/>
  <c r="B497" i="20"/>
  <c r="C497" i="20"/>
  <c r="D497" i="20"/>
  <c r="I497" i="20"/>
  <c r="J497" i="20"/>
  <c r="L497" i="20"/>
  <c r="M497" i="20"/>
  <c r="B496" i="20"/>
  <c r="C496" i="20"/>
  <c r="D496" i="20"/>
  <c r="I496" i="20"/>
  <c r="J496" i="20"/>
  <c r="K496" i="20"/>
  <c r="L496" i="20"/>
  <c r="M496" i="20"/>
  <c r="B495" i="20"/>
  <c r="C495" i="20"/>
  <c r="D495" i="20"/>
  <c r="I495" i="20"/>
  <c r="J495" i="20"/>
  <c r="K495" i="20"/>
  <c r="L495" i="20"/>
  <c r="M495" i="20"/>
  <c r="B494" i="20"/>
  <c r="C494" i="20"/>
  <c r="D494" i="20"/>
  <c r="I494" i="20"/>
  <c r="J494" i="20"/>
  <c r="L494" i="20"/>
  <c r="M494" i="20"/>
  <c r="BM70" i="1"/>
  <c r="BO70" i="1" s="1"/>
  <c r="BL70" i="1" s="1"/>
  <c r="BH70" i="1"/>
  <c r="BJ70" i="1" s="1"/>
  <c r="BG70" i="1" s="1"/>
  <c r="BC70" i="1"/>
  <c r="BE70" i="1" s="1"/>
  <c r="BB70" i="1" s="1"/>
  <c r="AX70" i="1"/>
  <c r="AZ70" i="1" s="1"/>
  <c r="AV70" i="1" s="1"/>
  <c r="AS70" i="1"/>
  <c r="AU70" i="1" s="1"/>
  <c r="AR70" i="1" s="1"/>
  <c r="AN70" i="1"/>
  <c r="AP70" i="1" s="1"/>
  <c r="AL70" i="1" s="1"/>
  <c r="AK70" i="1"/>
  <c r="AD70" i="1"/>
  <c r="Y70" i="1"/>
  <c r="T70" i="1"/>
  <c r="V70" i="1" s="1"/>
  <c r="R70" i="1" s="1"/>
  <c r="O70" i="1"/>
  <c r="Q70" i="1" s="1"/>
  <c r="N70" i="1" s="1"/>
  <c r="J70" i="1"/>
  <c r="L70" i="1" s="1"/>
  <c r="I70" i="1" s="1"/>
  <c r="E70" i="1"/>
  <c r="G70" i="1" s="1"/>
  <c r="D70" i="1" s="1"/>
  <c r="BM69" i="1"/>
  <c r="BO69" i="1" s="1"/>
  <c r="BL69" i="1" s="1"/>
  <c r="BH69" i="1"/>
  <c r="BJ69" i="1" s="1"/>
  <c r="BG69" i="1" s="1"/>
  <c r="AX69" i="1"/>
  <c r="AZ69" i="1" s="1"/>
  <c r="AV69" i="1" s="1"/>
  <c r="AS69" i="1"/>
  <c r="AU69" i="1" s="1"/>
  <c r="AR69" i="1" s="1"/>
  <c r="AN69" i="1"/>
  <c r="AP69" i="1" s="1"/>
  <c r="AL69" i="1" s="1"/>
  <c r="AK69" i="1"/>
  <c r="AD69" i="1"/>
  <c r="AF69" i="1" s="1"/>
  <c r="AB69" i="1" s="1"/>
  <c r="Y69" i="1"/>
  <c r="T69" i="1"/>
  <c r="V69" i="1" s="1"/>
  <c r="R69" i="1" s="1"/>
  <c r="BC69" i="1"/>
  <c r="BE69" i="1" s="1"/>
  <c r="BB69" i="1" s="1"/>
  <c r="O69" i="1"/>
  <c r="Q69" i="1" s="1"/>
  <c r="N69" i="1" s="1"/>
  <c r="J69" i="1"/>
  <c r="L69" i="1" s="1"/>
  <c r="I69" i="1" s="1"/>
  <c r="E69" i="1"/>
  <c r="G69" i="1" s="1"/>
  <c r="D69" i="1" s="1"/>
  <c r="B493" i="20"/>
  <c r="C493" i="20"/>
  <c r="D493" i="20"/>
  <c r="I493" i="20"/>
  <c r="J493" i="20"/>
  <c r="K493" i="20"/>
  <c r="L493" i="20"/>
  <c r="M493" i="20"/>
  <c r="B492" i="20"/>
  <c r="C492" i="20"/>
  <c r="D492" i="20"/>
  <c r="I492" i="20"/>
  <c r="J492" i="20"/>
  <c r="L492" i="20"/>
  <c r="M492" i="20"/>
  <c r="B491" i="20"/>
  <c r="C491" i="20"/>
  <c r="D491" i="20"/>
  <c r="I491" i="20"/>
  <c r="J491" i="20"/>
  <c r="K491" i="20"/>
  <c r="L491" i="20"/>
  <c r="M491" i="20"/>
  <c r="B490" i="20"/>
  <c r="C490" i="20"/>
  <c r="D490" i="20"/>
  <c r="I490" i="20"/>
  <c r="J490" i="20"/>
  <c r="L490" i="20"/>
  <c r="M490" i="20"/>
  <c r="B489" i="20"/>
  <c r="C489" i="20"/>
  <c r="D489" i="20"/>
  <c r="I489" i="20"/>
  <c r="J489" i="20"/>
  <c r="L489" i="20"/>
  <c r="M489" i="20"/>
  <c r="B488" i="20"/>
  <c r="C488" i="20"/>
  <c r="D488" i="20"/>
  <c r="I488" i="20"/>
  <c r="J488" i="20"/>
  <c r="K488" i="20"/>
  <c r="L488" i="20"/>
  <c r="M488" i="20"/>
  <c r="B487" i="20"/>
  <c r="C487" i="20"/>
  <c r="D487" i="20"/>
  <c r="I487" i="20"/>
  <c r="J487" i="20"/>
  <c r="K487" i="20"/>
  <c r="L487" i="20"/>
  <c r="M487" i="20"/>
  <c r="B486" i="20"/>
  <c r="C486" i="20"/>
  <c r="D486" i="20"/>
  <c r="I486" i="20"/>
  <c r="J486" i="20"/>
  <c r="K486" i="20"/>
  <c r="L486" i="20"/>
  <c r="M486" i="20"/>
  <c r="B485" i="20"/>
  <c r="C485" i="20"/>
  <c r="D485" i="20"/>
  <c r="I485" i="20"/>
  <c r="J485" i="20"/>
  <c r="L485" i="20"/>
  <c r="M485" i="20"/>
  <c r="B484" i="20"/>
  <c r="C484" i="20"/>
  <c r="D484" i="20"/>
  <c r="I484" i="20"/>
  <c r="J484" i="20"/>
  <c r="K484" i="20"/>
  <c r="L484" i="20"/>
  <c r="M484" i="20"/>
  <c r="B483" i="20"/>
  <c r="C483" i="20"/>
  <c r="D483" i="20"/>
  <c r="I483" i="20"/>
  <c r="J483" i="20"/>
  <c r="K483" i="20"/>
  <c r="L483" i="20"/>
  <c r="M483" i="20"/>
  <c r="B482" i="20"/>
  <c r="C482" i="20"/>
  <c r="D482" i="20"/>
  <c r="I482" i="20"/>
  <c r="J482" i="20"/>
  <c r="K482" i="20"/>
  <c r="L482" i="20"/>
  <c r="M482" i="20"/>
  <c r="B481" i="20"/>
  <c r="C481" i="20"/>
  <c r="D481" i="20"/>
  <c r="I481" i="20"/>
  <c r="J481" i="20"/>
  <c r="K481" i="20"/>
  <c r="L481" i="20"/>
  <c r="M481" i="20"/>
  <c r="B480" i="20"/>
  <c r="C480" i="20"/>
  <c r="D480" i="20"/>
  <c r="I480" i="20"/>
  <c r="J480" i="20"/>
  <c r="K480" i="20"/>
  <c r="L480" i="20"/>
  <c r="M480" i="20"/>
  <c r="B479" i="20"/>
  <c r="C479" i="20"/>
  <c r="D479" i="20"/>
  <c r="I479" i="20"/>
  <c r="J479" i="20"/>
  <c r="L479" i="20"/>
  <c r="M479" i="20"/>
  <c r="B478" i="20"/>
  <c r="C478" i="20"/>
  <c r="D478" i="20"/>
  <c r="I478" i="20"/>
  <c r="J478" i="20"/>
  <c r="K478" i="20"/>
  <c r="L478" i="20"/>
  <c r="M478" i="20"/>
  <c r="B477" i="20"/>
  <c r="C477" i="20"/>
  <c r="D477" i="20"/>
  <c r="I477" i="20"/>
  <c r="J477" i="20"/>
  <c r="L477" i="20"/>
  <c r="M477" i="20"/>
  <c r="B476" i="20"/>
  <c r="C476" i="20"/>
  <c r="D476" i="20"/>
  <c r="I476" i="20"/>
  <c r="J476" i="20"/>
  <c r="K476" i="20"/>
  <c r="L476" i="20"/>
  <c r="M476" i="20"/>
  <c r="B475" i="20"/>
  <c r="C475" i="20"/>
  <c r="D475" i="20"/>
  <c r="I475" i="20"/>
  <c r="J475" i="20"/>
  <c r="K475" i="20"/>
  <c r="L475" i="20"/>
  <c r="M475" i="20"/>
  <c r="B474" i="20"/>
  <c r="C474" i="20"/>
  <c r="D474" i="20"/>
  <c r="I474" i="20"/>
  <c r="J474" i="20"/>
  <c r="K474" i="20"/>
  <c r="L474" i="20"/>
  <c r="M474" i="20"/>
  <c r="B473" i="20"/>
  <c r="C473" i="20"/>
  <c r="D473" i="20"/>
  <c r="I473" i="20"/>
  <c r="J473" i="20"/>
  <c r="L473" i="20"/>
  <c r="M473" i="20"/>
  <c r="Y68" i="1"/>
  <c r="AD68" i="1"/>
  <c r="AF68" i="1" s="1"/>
  <c r="AB68" i="1" s="1"/>
  <c r="AK68" i="1"/>
  <c r="AX68" i="1"/>
  <c r="AZ68" i="1" s="1"/>
  <c r="AV68" i="1" s="1"/>
  <c r="AS68" i="1"/>
  <c r="AU68" i="1" s="1"/>
  <c r="AR68" i="1" s="1"/>
  <c r="AN68" i="1"/>
  <c r="AP68" i="1" s="1"/>
  <c r="AL68" i="1" s="1"/>
  <c r="BM68" i="1"/>
  <c r="BO68" i="1" s="1"/>
  <c r="BL68" i="1" s="1"/>
  <c r="BH68" i="1"/>
  <c r="BJ68" i="1" s="1"/>
  <c r="BG68" i="1" s="1"/>
  <c r="BC68" i="1"/>
  <c r="BE68" i="1" s="1"/>
  <c r="BB68" i="1" s="1"/>
  <c r="T68" i="1"/>
  <c r="V68" i="1" s="1"/>
  <c r="R68" i="1" s="1"/>
  <c r="O68" i="1"/>
  <c r="Q68" i="1" s="1"/>
  <c r="N68" i="1" s="1"/>
  <c r="J68" i="1"/>
  <c r="L68" i="1" s="1"/>
  <c r="I68" i="1" s="1"/>
  <c r="E68" i="1"/>
  <c r="G68" i="1" s="1"/>
  <c r="D68" i="1" s="1"/>
  <c r="J31" i="19"/>
  <c r="J30" i="19"/>
  <c r="AA70" i="1" l="1"/>
  <c r="W70" i="1" s="1"/>
  <c r="AA81" i="1"/>
  <c r="W81" i="1" s="1"/>
  <c r="AA86" i="1"/>
  <c r="W86" i="1" s="1"/>
  <c r="Y79" i="1"/>
  <c r="AA71" i="1"/>
  <c r="AA83" i="1"/>
  <c r="W83" i="1" s="1"/>
  <c r="AA90" i="1"/>
  <c r="W90" i="1" s="1"/>
  <c r="AA68" i="1"/>
  <c r="W68" i="1" s="1"/>
  <c r="W71" i="1"/>
  <c r="AA91" i="1"/>
  <c r="W89" i="1"/>
  <c r="AA88" i="1"/>
  <c r="W88" i="1" s="1"/>
  <c r="AA85" i="1"/>
  <c r="W85" i="1" s="1"/>
  <c r="AA84" i="1"/>
  <c r="W84" i="1" s="1"/>
  <c r="AA82" i="1"/>
  <c r="W82" i="1" s="1"/>
  <c r="R81" i="1"/>
  <c r="AA80" i="1"/>
  <c r="W80" i="1" s="1"/>
  <c r="W72" i="1"/>
  <c r="AA69" i="1"/>
  <c r="W69" i="1" s="1"/>
  <c r="AA79" i="1"/>
  <c r="W79" i="1" s="1"/>
  <c r="AA78" i="1"/>
  <c r="W78" i="1" s="1"/>
  <c r="AA77" i="1"/>
  <c r="W77" i="1" s="1"/>
  <c r="AA76" i="1"/>
  <c r="W76" i="1" s="1"/>
  <c r="AA75" i="1"/>
  <c r="W75" i="1" s="1"/>
  <c r="AA74" i="1"/>
  <c r="W74" i="1" s="1"/>
  <c r="BL71" i="1"/>
  <c r="AF70" i="1"/>
  <c r="AB70" i="1" s="1"/>
  <c r="Q16" i="39"/>
  <c r="Y67" i="1"/>
  <c r="AK67" i="1"/>
  <c r="AD67" i="1"/>
  <c r="AF67" i="1" s="1"/>
  <c r="AB67" i="1" s="1"/>
  <c r="T67" i="1"/>
  <c r="V67" i="1" s="1"/>
  <c r="R67" i="1" s="1"/>
  <c r="O67" i="1"/>
  <c r="Q67" i="1" s="1"/>
  <c r="N67" i="1" s="1"/>
  <c r="J67" i="1"/>
  <c r="L67" i="1" s="1"/>
  <c r="I67" i="1" s="1"/>
  <c r="E67" i="1"/>
  <c r="G67" i="1" s="1"/>
  <c r="D67" i="1" s="1"/>
  <c r="BC67" i="1"/>
  <c r="BE67" i="1" s="1"/>
  <c r="BB67" i="1" s="1"/>
  <c r="AX67" i="1"/>
  <c r="AZ67" i="1" s="1"/>
  <c r="AV67" i="1" s="1"/>
  <c r="AS67" i="1"/>
  <c r="AU67" i="1" s="1"/>
  <c r="AR67" i="1" s="1"/>
  <c r="AN67" i="1"/>
  <c r="AP67" i="1" s="1"/>
  <c r="AL67" i="1" s="1"/>
  <c r="BM67" i="1"/>
  <c r="BO67" i="1" s="1"/>
  <c r="BL67" i="1" s="1"/>
  <c r="BH67" i="1"/>
  <c r="BJ67" i="1" s="1"/>
  <c r="BG67" i="1" s="1"/>
  <c r="I467" i="20"/>
  <c r="J467" i="20"/>
  <c r="K467" i="20"/>
  <c r="L467" i="20"/>
  <c r="M467" i="20"/>
  <c r="I468" i="20"/>
  <c r="J468" i="20"/>
  <c r="L468" i="20"/>
  <c r="M468" i="20"/>
  <c r="I469" i="20"/>
  <c r="J469" i="20"/>
  <c r="K469" i="20"/>
  <c r="L469" i="20"/>
  <c r="M469" i="20"/>
  <c r="I470" i="20"/>
  <c r="J470" i="20"/>
  <c r="K470" i="20"/>
  <c r="L470" i="20"/>
  <c r="M470" i="20"/>
  <c r="I471" i="20"/>
  <c r="J471" i="20"/>
  <c r="K471" i="20"/>
  <c r="L471" i="20"/>
  <c r="M471" i="20"/>
  <c r="I472" i="20"/>
  <c r="J472" i="20"/>
  <c r="L472" i="20"/>
  <c r="M472" i="20"/>
  <c r="I466" i="20"/>
  <c r="I463" i="20"/>
  <c r="I464" i="20"/>
  <c r="I465" i="20"/>
  <c r="M466" i="20"/>
  <c r="L466" i="20"/>
  <c r="K466" i="20"/>
  <c r="J466" i="20"/>
  <c r="B472" i="20"/>
  <c r="C472" i="20"/>
  <c r="D472" i="20"/>
  <c r="B471" i="20"/>
  <c r="C471" i="20"/>
  <c r="D471" i="20"/>
  <c r="B470" i="20"/>
  <c r="C470" i="20"/>
  <c r="D470" i="20"/>
  <c r="B469" i="20"/>
  <c r="C469" i="20"/>
  <c r="D469" i="20"/>
  <c r="B468" i="20"/>
  <c r="C468" i="20"/>
  <c r="D468" i="20"/>
  <c r="B467" i="20"/>
  <c r="C467" i="20"/>
  <c r="D467" i="20"/>
  <c r="B466" i="20"/>
  <c r="C466" i="20"/>
  <c r="D466" i="20"/>
  <c r="B465" i="20"/>
  <c r="C465" i="20"/>
  <c r="D465" i="20"/>
  <c r="J465" i="20"/>
  <c r="L465" i="20"/>
  <c r="M465" i="20"/>
  <c r="AD66" i="1"/>
  <c r="AF66" i="1" s="1"/>
  <c r="AB66" i="1" s="1"/>
  <c r="Y66" i="1"/>
  <c r="J66" i="1"/>
  <c r="L66" i="1" s="1"/>
  <c r="I66" i="1" s="1"/>
  <c r="E66" i="1"/>
  <c r="G66" i="1" s="1"/>
  <c r="D66" i="1" s="1"/>
  <c r="T66" i="1"/>
  <c r="V66" i="1" s="1"/>
  <c r="R66" i="1" s="1"/>
  <c r="O66" i="1"/>
  <c r="Q66" i="1" s="1"/>
  <c r="N66" i="1" s="1"/>
  <c r="AK66" i="1"/>
  <c r="BC66" i="1"/>
  <c r="BE66" i="1" s="1"/>
  <c r="BB66" i="1" s="1"/>
  <c r="AX66" i="1"/>
  <c r="AZ66" i="1" s="1"/>
  <c r="AV66" i="1" s="1"/>
  <c r="AS66" i="1"/>
  <c r="AU66" i="1" s="1"/>
  <c r="AR66" i="1" s="1"/>
  <c r="AN66" i="1"/>
  <c r="AP66" i="1" s="1"/>
  <c r="AL66" i="1" s="1"/>
  <c r="BM66" i="1"/>
  <c r="BO66" i="1" s="1"/>
  <c r="BL66" i="1" s="1"/>
  <c r="BH66" i="1"/>
  <c r="BJ66" i="1" s="1"/>
  <c r="BG66" i="1" s="1"/>
  <c r="B458" i="20"/>
  <c r="C458" i="20"/>
  <c r="D458" i="20"/>
  <c r="I458" i="20"/>
  <c r="J458" i="20"/>
  <c r="L458" i="20"/>
  <c r="M458" i="20"/>
  <c r="B459" i="20"/>
  <c r="C459" i="20"/>
  <c r="D459" i="20"/>
  <c r="I459" i="20"/>
  <c r="J459" i="20"/>
  <c r="L459" i="20"/>
  <c r="M459" i="20"/>
  <c r="B460" i="20"/>
  <c r="C460" i="20"/>
  <c r="D460" i="20"/>
  <c r="I460" i="20"/>
  <c r="J460" i="20"/>
  <c r="K460" i="20"/>
  <c r="L460" i="20"/>
  <c r="M460" i="20"/>
  <c r="B461" i="20"/>
  <c r="C461" i="20"/>
  <c r="D461" i="20"/>
  <c r="I461" i="20"/>
  <c r="J461" i="20"/>
  <c r="K461" i="20"/>
  <c r="L461" i="20"/>
  <c r="M461" i="20"/>
  <c r="B462" i="20"/>
  <c r="C462" i="20"/>
  <c r="D462" i="20"/>
  <c r="I462" i="20"/>
  <c r="J462" i="20"/>
  <c r="L462" i="20"/>
  <c r="M462" i="20"/>
  <c r="B463" i="20"/>
  <c r="C463" i="20"/>
  <c r="D463" i="20"/>
  <c r="J463" i="20"/>
  <c r="K463" i="20"/>
  <c r="L463" i="20"/>
  <c r="M463" i="20"/>
  <c r="B464" i="20"/>
  <c r="C464" i="20"/>
  <c r="D464" i="20"/>
  <c r="J464" i="20"/>
  <c r="L464" i="20"/>
  <c r="M464" i="20"/>
  <c r="B457" i="20"/>
  <c r="C457" i="20"/>
  <c r="D457" i="20"/>
  <c r="I457" i="20"/>
  <c r="J457" i="20"/>
  <c r="L457" i="20"/>
  <c r="M457" i="20"/>
  <c r="BC65" i="1"/>
  <c r="BE65" i="1" s="1"/>
  <c r="BB65" i="1" s="1"/>
  <c r="B456" i="20"/>
  <c r="C456" i="20"/>
  <c r="D456" i="20"/>
  <c r="I456" i="20"/>
  <c r="J456" i="20"/>
  <c r="K456" i="20"/>
  <c r="L456" i="20"/>
  <c r="M456" i="20"/>
  <c r="B455" i="20"/>
  <c r="C455" i="20"/>
  <c r="D455" i="20"/>
  <c r="I455" i="20"/>
  <c r="J455" i="20"/>
  <c r="K455" i="20"/>
  <c r="L455" i="20"/>
  <c r="M455" i="20"/>
  <c r="B454" i="20"/>
  <c r="C454" i="20"/>
  <c r="D454" i="20"/>
  <c r="I454" i="20"/>
  <c r="J454" i="20"/>
  <c r="K454" i="20"/>
  <c r="L454" i="20"/>
  <c r="M454" i="20"/>
  <c r="B453" i="20"/>
  <c r="C453" i="20"/>
  <c r="D453" i="20"/>
  <c r="I453" i="20"/>
  <c r="J453" i="20"/>
  <c r="L453" i="20"/>
  <c r="M453" i="20"/>
  <c r="B452" i="20"/>
  <c r="C452" i="20"/>
  <c r="D452" i="20"/>
  <c r="I452" i="20"/>
  <c r="J452" i="20"/>
  <c r="K452" i="20"/>
  <c r="L452" i="20"/>
  <c r="M452" i="20"/>
  <c r="B451" i="20"/>
  <c r="C451" i="20"/>
  <c r="D451" i="20"/>
  <c r="I451" i="20"/>
  <c r="J451" i="20"/>
  <c r="L451" i="20"/>
  <c r="M451" i="20"/>
  <c r="B450" i="20"/>
  <c r="C450" i="20"/>
  <c r="D450" i="20"/>
  <c r="I450" i="20"/>
  <c r="J450" i="20"/>
  <c r="K450" i="20"/>
  <c r="L450" i="20"/>
  <c r="M450" i="20"/>
  <c r="Y65" i="1"/>
  <c r="T65" i="1"/>
  <c r="V65" i="1" s="1"/>
  <c r="R65" i="1" s="1"/>
  <c r="O65" i="1"/>
  <c r="Q65" i="1" s="1"/>
  <c r="N65" i="1" s="1"/>
  <c r="AD65" i="1"/>
  <c r="AF65" i="1" s="1"/>
  <c r="AB65" i="1" s="1"/>
  <c r="AK65" i="1"/>
  <c r="AX65" i="1"/>
  <c r="AZ65" i="1" s="1"/>
  <c r="AV65" i="1" s="1"/>
  <c r="AS65" i="1"/>
  <c r="AU65" i="1" s="1"/>
  <c r="AR65" i="1" s="1"/>
  <c r="AN65" i="1"/>
  <c r="AP65" i="1" s="1"/>
  <c r="AL65" i="1" s="1"/>
  <c r="BM65" i="1"/>
  <c r="BO65" i="1" s="1"/>
  <c r="BL65" i="1" s="1"/>
  <c r="BH65" i="1"/>
  <c r="BJ65" i="1" s="1"/>
  <c r="BG65" i="1" s="1"/>
  <c r="J65" i="1"/>
  <c r="L65" i="1" s="1"/>
  <c r="I65" i="1" s="1"/>
  <c r="E65" i="1"/>
  <c r="G65" i="1" s="1"/>
  <c r="D65" i="1" s="1"/>
  <c r="Y64" i="1"/>
  <c r="AD64" i="1"/>
  <c r="AF64" i="1" s="1"/>
  <c r="AB64" i="1" s="1"/>
  <c r="AK64" i="1"/>
  <c r="BM64" i="1"/>
  <c r="BO64" i="1" s="1"/>
  <c r="BL64" i="1" s="1"/>
  <c r="BH64" i="1"/>
  <c r="BJ64" i="1" s="1"/>
  <c r="BG64" i="1" s="1"/>
  <c r="AX64" i="1"/>
  <c r="AZ64" i="1" s="1"/>
  <c r="AV64" i="1" s="1"/>
  <c r="AS64" i="1"/>
  <c r="AU64" i="1" s="1"/>
  <c r="AR64" i="1" s="1"/>
  <c r="AN64" i="1"/>
  <c r="AP64" i="1" s="1"/>
  <c r="AL64" i="1" s="1"/>
  <c r="BC64" i="1"/>
  <c r="BE64" i="1" s="1"/>
  <c r="BB64" i="1" s="1"/>
  <c r="T64" i="1"/>
  <c r="V64" i="1" s="1"/>
  <c r="R64" i="1" s="1"/>
  <c r="O64" i="1"/>
  <c r="Q64" i="1" s="1"/>
  <c r="N64" i="1" s="1"/>
  <c r="J64" i="1"/>
  <c r="L64" i="1" s="1"/>
  <c r="I64" i="1" s="1"/>
  <c r="E64" i="1"/>
  <c r="G64" i="1" s="1"/>
  <c r="D64" i="1" s="1"/>
  <c r="B449" i="20"/>
  <c r="C449" i="20"/>
  <c r="D449" i="20"/>
  <c r="I449" i="20"/>
  <c r="J449" i="20"/>
  <c r="K449" i="20"/>
  <c r="L449" i="20"/>
  <c r="M449" i="20"/>
  <c r="B448" i="20"/>
  <c r="C448" i="20"/>
  <c r="D448" i="20"/>
  <c r="I448" i="20"/>
  <c r="J448" i="20"/>
  <c r="K448" i="20"/>
  <c r="L448" i="20"/>
  <c r="M448" i="20"/>
  <c r="B447" i="20"/>
  <c r="C447" i="20"/>
  <c r="D447" i="20"/>
  <c r="I447" i="20"/>
  <c r="J447" i="20"/>
  <c r="L447" i="20"/>
  <c r="M447" i="20"/>
  <c r="B446" i="20"/>
  <c r="C446" i="20"/>
  <c r="D446" i="20"/>
  <c r="I446" i="20"/>
  <c r="J446" i="20"/>
  <c r="L446" i="20"/>
  <c r="M446" i="20"/>
  <c r="B445" i="20"/>
  <c r="C445" i="20"/>
  <c r="D445" i="20"/>
  <c r="I445" i="20"/>
  <c r="J445" i="20"/>
  <c r="K445" i="20"/>
  <c r="L445" i="20"/>
  <c r="M445" i="20"/>
  <c r="Y63" i="1"/>
  <c r="T25" i="39"/>
  <c r="AD63" i="1"/>
  <c r="AF63" i="1" s="1"/>
  <c r="AB63" i="1" s="1"/>
  <c r="AK63" i="1"/>
  <c r="BM63" i="1"/>
  <c r="BO63" i="1" s="1"/>
  <c r="BL63" i="1" s="1"/>
  <c r="BH63" i="1"/>
  <c r="BJ63" i="1" s="1"/>
  <c r="BG63" i="1" s="1"/>
  <c r="AX63" i="1"/>
  <c r="AZ63" i="1" s="1"/>
  <c r="AV63" i="1" s="1"/>
  <c r="AS63" i="1"/>
  <c r="AU63" i="1" s="1"/>
  <c r="AR63" i="1" s="1"/>
  <c r="AN63" i="1"/>
  <c r="AP63" i="1" s="1"/>
  <c r="AL63" i="1" s="1"/>
  <c r="BC63" i="1"/>
  <c r="BE63" i="1" s="1"/>
  <c r="BB63" i="1" s="1"/>
  <c r="T63" i="1"/>
  <c r="V63" i="1" s="1"/>
  <c r="O63" i="1"/>
  <c r="Q63" i="1" s="1"/>
  <c r="N63" i="1" s="1"/>
  <c r="J63" i="1"/>
  <c r="L63" i="1" s="1"/>
  <c r="I63" i="1" s="1"/>
  <c r="E63" i="1"/>
  <c r="G63" i="1" s="1"/>
  <c r="D63" i="1" s="1"/>
  <c r="B444" i="20"/>
  <c r="C444" i="20"/>
  <c r="D444" i="20"/>
  <c r="I444" i="20"/>
  <c r="J444" i="20"/>
  <c r="L444" i="20"/>
  <c r="M444" i="20"/>
  <c r="B443" i="20"/>
  <c r="C443" i="20"/>
  <c r="D443" i="20"/>
  <c r="I443" i="20"/>
  <c r="J443" i="20"/>
  <c r="K443" i="20"/>
  <c r="L443" i="20"/>
  <c r="M443" i="20"/>
  <c r="B442" i="20"/>
  <c r="C442" i="20"/>
  <c r="D442" i="20"/>
  <c r="I442" i="20"/>
  <c r="J442" i="20"/>
  <c r="K442" i="20"/>
  <c r="L442" i="20"/>
  <c r="M442" i="20"/>
  <c r="B441" i="20"/>
  <c r="C441" i="20"/>
  <c r="D441" i="20"/>
  <c r="I441" i="20"/>
  <c r="J441" i="20"/>
  <c r="K441" i="20"/>
  <c r="L441" i="20"/>
  <c r="M441" i="20"/>
  <c r="B440" i="20"/>
  <c r="C440" i="20"/>
  <c r="D440" i="20"/>
  <c r="I440" i="20"/>
  <c r="J440" i="20"/>
  <c r="K440" i="20"/>
  <c r="L440" i="20"/>
  <c r="M440" i="20"/>
  <c r="B439" i="20"/>
  <c r="C439" i="20"/>
  <c r="D439" i="20"/>
  <c r="I439" i="20"/>
  <c r="J439" i="20"/>
  <c r="K439" i="20"/>
  <c r="L439" i="20"/>
  <c r="M439" i="20"/>
  <c r="B438" i="20"/>
  <c r="C438" i="20"/>
  <c r="D438" i="20"/>
  <c r="I438" i="20"/>
  <c r="J438" i="20"/>
  <c r="L438" i="20"/>
  <c r="M438" i="20"/>
  <c r="B437" i="20"/>
  <c r="C437" i="20"/>
  <c r="D437" i="20"/>
  <c r="I437" i="20"/>
  <c r="J437" i="20"/>
  <c r="L437" i="20"/>
  <c r="M437" i="20"/>
  <c r="B436" i="20"/>
  <c r="C436" i="20"/>
  <c r="D436" i="20"/>
  <c r="I436" i="20"/>
  <c r="J436" i="20"/>
  <c r="K436" i="20"/>
  <c r="L436" i="20"/>
  <c r="M436" i="20"/>
  <c r="Y62" i="1"/>
  <c r="AA62" i="1" s="1"/>
  <c r="AD62" i="1"/>
  <c r="AF62" i="1" s="1"/>
  <c r="AB62" i="1" s="1"/>
  <c r="AK62" i="1"/>
  <c r="BM62" i="1"/>
  <c r="BO62" i="1" s="1"/>
  <c r="BL62" i="1" s="1"/>
  <c r="BH62" i="1"/>
  <c r="BJ62" i="1" s="1"/>
  <c r="BG62" i="1" s="1"/>
  <c r="BC62" i="1"/>
  <c r="BE62" i="1" s="1"/>
  <c r="BB62" i="1" s="1"/>
  <c r="AX62" i="1"/>
  <c r="AZ62" i="1" s="1"/>
  <c r="AV62" i="1" s="1"/>
  <c r="AS62" i="1"/>
  <c r="AU62" i="1" s="1"/>
  <c r="AR62" i="1" s="1"/>
  <c r="AN62" i="1"/>
  <c r="AP62" i="1" s="1"/>
  <c r="AL62" i="1" s="1"/>
  <c r="T62" i="1"/>
  <c r="V62" i="1" s="1"/>
  <c r="R62" i="1" s="1"/>
  <c r="O62" i="1"/>
  <c r="Q62" i="1" s="1"/>
  <c r="N62" i="1" s="1"/>
  <c r="J62" i="1"/>
  <c r="L62" i="1" s="1"/>
  <c r="I62" i="1" s="1"/>
  <c r="E62" i="1"/>
  <c r="G62" i="1" s="1"/>
  <c r="D62" i="1" s="1"/>
  <c r="O16" i="39"/>
  <c r="B435" i="20"/>
  <c r="C435" i="20"/>
  <c r="D435" i="20"/>
  <c r="I435" i="20"/>
  <c r="J435" i="20"/>
  <c r="L435" i="20"/>
  <c r="M435" i="20"/>
  <c r="B434" i="20"/>
  <c r="C434" i="20"/>
  <c r="D434" i="20"/>
  <c r="I434" i="20"/>
  <c r="J434" i="20"/>
  <c r="L434" i="20"/>
  <c r="M434" i="20"/>
  <c r="B433" i="20"/>
  <c r="C433" i="20"/>
  <c r="D433" i="20"/>
  <c r="I433" i="20"/>
  <c r="J433" i="20"/>
  <c r="K433" i="20"/>
  <c r="L433" i="20"/>
  <c r="M433" i="20"/>
  <c r="B432" i="20"/>
  <c r="C432" i="20"/>
  <c r="D432" i="20"/>
  <c r="I432" i="20"/>
  <c r="J432" i="20"/>
  <c r="K432" i="20"/>
  <c r="L432" i="20"/>
  <c r="M432" i="20"/>
  <c r="B431" i="20"/>
  <c r="C431" i="20"/>
  <c r="D431" i="20"/>
  <c r="I431" i="20"/>
  <c r="J431" i="20"/>
  <c r="K431" i="20"/>
  <c r="L431" i="20"/>
  <c r="M431" i="20"/>
  <c r="B430" i="20"/>
  <c r="C430" i="20"/>
  <c r="D430" i="20"/>
  <c r="I430" i="20"/>
  <c r="J430" i="20"/>
  <c r="L430" i="20"/>
  <c r="M430" i="20"/>
  <c r="B429" i="20"/>
  <c r="C429" i="20"/>
  <c r="D429" i="20"/>
  <c r="I429" i="20"/>
  <c r="J429" i="20"/>
  <c r="L429" i="20"/>
  <c r="M429" i="20"/>
  <c r="B428" i="20"/>
  <c r="C428" i="20"/>
  <c r="D428" i="20"/>
  <c r="I428" i="20"/>
  <c r="J428" i="20"/>
  <c r="K428" i="20"/>
  <c r="L428" i="20"/>
  <c r="M428" i="20"/>
  <c r="B427" i="20"/>
  <c r="C427" i="20"/>
  <c r="D427" i="20"/>
  <c r="I427" i="20"/>
  <c r="J427" i="20"/>
  <c r="K427" i="20"/>
  <c r="L427" i="20"/>
  <c r="M427" i="20"/>
  <c r="Y61" i="1"/>
  <c r="AD61" i="1"/>
  <c r="AF61" i="1" s="1"/>
  <c r="AB61" i="1" s="1"/>
  <c r="AK61" i="1"/>
  <c r="BM61" i="1"/>
  <c r="BO61" i="1" s="1"/>
  <c r="BL61" i="1" s="1"/>
  <c r="BH61" i="1"/>
  <c r="BJ61" i="1" s="1"/>
  <c r="BG61" i="1" s="1"/>
  <c r="AX61" i="1"/>
  <c r="AZ61" i="1" s="1"/>
  <c r="AV61" i="1" s="1"/>
  <c r="AS61" i="1"/>
  <c r="AU61" i="1" s="1"/>
  <c r="AR61" i="1" s="1"/>
  <c r="AN61" i="1"/>
  <c r="AP61" i="1" s="1"/>
  <c r="AL61" i="1" s="1"/>
  <c r="BC61" i="1"/>
  <c r="BE61" i="1" s="1"/>
  <c r="BB61" i="1" s="1"/>
  <c r="T61" i="1"/>
  <c r="V61" i="1" s="1"/>
  <c r="R61" i="1" s="1"/>
  <c r="O61" i="1"/>
  <c r="Q61" i="1" s="1"/>
  <c r="N61" i="1" s="1"/>
  <c r="J61" i="1"/>
  <c r="L61" i="1" s="1"/>
  <c r="I61" i="1" s="1"/>
  <c r="E61" i="1"/>
  <c r="G61" i="1" s="1"/>
  <c r="D61" i="1" s="1"/>
  <c r="M16" i="39"/>
  <c r="K16" i="39"/>
  <c r="I16" i="39"/>
  <c r="B421" i="20"/>
  <c r="C421" i="20"/>
  <c r="D421" i="20"/>
  <c r="I421" i="20"/>
  <c r="J421" i="20"/>
  <c r="K421" i="20"/>
  <c r="L421" i="20"/>
  <c r="M421" i="20"/>
  <c r="B422" i="20"/>
  <c r="C422" i="20"/>
  <c r="D422" i="20"/>
  <c r="I422" i="20"/>
  <c r="J422" i="20"/>
  <c r="L422" i="20"/>
  <c r="M422" i="20"/>
  <c r="B423" i="20"/>
  <c r="C423" i="20"/>
  <c r="D423" i="20"/>
  <c r="I423" i="20"/>
  <c r="J423" i="20"/>
  <c r="K423" i="20"/>
  <c r="L423" i="20"/>
  <c r="M423" i="20"/>
  <c r="B424" i="20"/>
  <c r="C424" i="20"/>
  <c r="D424" i="20"/>
  <c r="I424" i="20"/>
  <c r="J424" i="20"/>
  <c r="K424" i="20"/>
  <c r="L424" i="20"/>
  <c r="M424" i="20"/>
  <c r="B425" i="20"/>
  <c r="C425" i="20"/>
  <c r="D425" i="20"/>
  <c r="I425" i="20"/>
  <c r="J425" i="20"/>
  <c r="K425" i="20"/>
  <c r="L425" i="20"/>
  <c r="M425" i="20"/>
  <c r="B426" i="20"/>
  <c r="C426" i="20"/>
  <c r="D426" i="20"/>
  <c r="I426" i="20"/>
  <c r="J426" i="20"/>
  <c r="K426" i="20"/>
  <c r="L426" i="20"/>
  <c r="M426" i="20"/>
  <c r="Y60" i="1"/>
  <c r="AD60" i="1"/>
  <c r="AF60" i="1" s="1"/>
  <c r="AB60" i="1" s="1"/>
  <c r="AK60" i="1"/>
  <c r="AX60" i="1"/>
  <c r="AZ60" i="1" s="1"/>
  <c r="AV60" i="1" s="1"/>
  <c r="AS60" i="1"/>
  <c r="AU60" i="1" s="1"/>
  <c r="AR60" i="1" s="1"/>
  <c r="AN60" i="1"/>
  <c r="AP60" i="1" s="1"/>
  <c r="AL60" i="1" s="1"/>
  <c r="BM60" i="1"/>
  <c r="BO60" i="1" s="1"/>
  <c r="BL60" i="1" s="1"/>
  <c r="BH60" i="1"/>
  <c r="BJ60" i="1" s="1"/>
  <c r="BG60" i="1" s="1"/>
  <c r="BC60" i="1"/>
  <c r="BE60" i="1" s="1"/>
  <c r="BB60" i="1" s="1"/>
  <c r="T60" i="1"/>
  <c r="V60" i="1" s="1"/>
  <c r="R60" i="1" s="1"/>
  <c r="O60" i="1"/>
  <c r="Q60" i="1" s="1"/>
  <c r="N60" i="1" s="1"/>
  <c r="J60" i="1"/>
  <c r="L60" i="1" s="1"/>
  <c r="I60" i="1" s="1"/>
  <c r="E60" i="1"/>
  <c r="G60" i="1" s="1"/>
  <c r="D60" i="1" s="1"/>
  <c r="B411" i="20"/>
  <c r="C411" i="20"/>
  <c r="D411" i="20"/>
  <c r="I411" i="20"/>
  <c r="J411" i="20"/>
  <c r="K411" i="20"/>
  <c r="L411" i="20"/>
  <c r="M411" i="20"/>
  <c r="B412" i="20"/>
  <c r="C412" i="20"/>
  <c r="D412" i="20"/>
  <c r="I412" i="20"/>
  <c r="J412" i="20"/>
  <c r="K412" i="20"/>
  <c r="L412" i="20"/>
  <c r="M412" i="20"/>
  <c r="B413" i="20"/>
  <c r="C413" i="20"/>
  <c r="D413" i="20"/>
  <c r="I413" i="20"/>
  <c r="J413" i="20"/>
  <c r="L413" i="20"/>
  <c r="M413" i="20"/>
  <c r="B414" i="20"/>
  <c r="C414" i="20"/>
  <c r="D414" i="20"/>
  <c r="I414" i="20"/>
  <c r="J414" i="20"/>
  <c r="K414" i="20"/>
  <c r="L414" i="20"/>
  <c r="M414" i="20"/>
  <c r="B415" i="20"/>
  <c r="C415" i="20"/>
  <c r="D415" i="20"/>
  <c r="I415" i="20"/>
  <c r="J415" i="20"/>
  <c r="K415" i="20"/>
  <c r="L415" i="20"/>
  <c r="M415" i="20"/>
  <c r="B416" i="20"/>
  <c r="C416" i="20"/>
  <c r="D416" i="20"/>
  <c r="I416" i="20"/>
  <c r="J416" i="20"/>
  <c r="K416" i="20"/>
  <c r="L416" i="20"/>
  <c r="M416" i="20"/>
  <c r="B417" i="20"/>
  <c r="C417" i="20"/>
  <c r="D417" i="20"/>
  <c r="I417" i="20"/>
  <c r="J417" i="20"/>
  <c r="L417" i="20"/>
  <c r="M417" i="20"/>
  <c r="B418" i="20"/>
  <c r="C418" i="20"/>
  <c r="D418" i="20"/>
  <c r="I418" i="20"/>
  <c r="J418" i="20"/>
  <c r="K418" i="20"/>
  <c r="L418" i="20"/>
  <c r="M418" i="20"/>
  <c r="B419" i="20"/>
  <c r="C419" i="20"/>
  <c r="D419" i="20"/>
  <c r="I419" i="20"/>
  <c r="J419" i="20"/>
  <c r="K419" i="20"/>
  <c r="L419" i="20"/>
  <c r="M419" i="20"/>
  <c r="B420" i="20"/>
  <c r="C420" i="20"/>
  <c r="D420" i="20"/>
  <c r="I420" i="20"/>
  <c r="J420" i="20"/>
  <c r="K420" i="20"/>
  <c r="L420" i="20"/>
  <c r="M420" i="20"/>
  <c r="Y59" i="1"/>
  <c r="AD59" i="1"/>
  <c r="AF59" i="1" s="1"/>
  <c r="AB59" i="1" s="1"/>
  <c r="AK59" i="1"/>
  <c r="BC59" i="1"/>
  <c r="BE59" i="1" s="1"/>
  <c r="BB59" i="1" s="1"/>
  <c r="BM59" i="1"/>
  <c r="BO59" i="1" s="1"/>
  <c r="BL59" i="1" s="1"/>
  <c r="BH59" i="1"/>
  <c r="BJ59" i="1" s="1"/>
  <c r="BG59" i="1" s="1"/>
  <c r="AX59" i="1"/>
  <c r="AZ59" i="1" s="1"/>
  <c r="AV59" i="1" s="1"/>
  <c r="AS59" i="1"/>
  <c r="AU59" i="1" s="1"/>
  <c r="AR59" i="1" s="1"/>
  <c r="AN59" i="1"/>
  <c r="AP59" i="1" s="1"/>
  <c r="AL59" i="1" s="1"/>
  <c r="J59" i="1"/>
  <c r="L59" i="1" s="1"/>
  <c r="I59" i="1" s="1"/>
  <c r="E59" i="1"/>
  <c r="G59" i="1" s="1"/>
  <c r="D59" i="1" s="1"/>
  <c r="T59" i="1"/>
  <c r="V59" i="1" s="1"/>
  <c r="R59" i="1" s="1"/>
  <c r="O59" i="1"/>
  <c r="Q59" i="1" s="1"/>
  <c r="N59" i="1" s="1"/>
  <c r="B410" i="20"/>
  <c r="C410" i="20"/>
  <c r="D410" i="20"/>
  <c r="I410" i="20"/>
  <c r="J410" i="20"/>
  <c r="L410" i="20"/>
  <c r="M410" i="20"/>
  <c r="B400" i="20"/>
  <c r="C400" i="20"/>
  <c r="D400" i="20"/>
  <c r="I400" i="20"/>
  <c r="J400" i="20"/>
  <c r="K400" i="20"/>
  <c r="L400" i="20"/>
  <c r="M400" i="20"/>
  <c r="B401" i="20"/>
  <c r="C401" i="20"/>
  <c r="D401" i="20"/>
  <c r="I401" i="20"/>
  <c r="J401" i="20"/>
  <c r="L401" i="20"/>
  <c r="M401" i="20"/>
  <c r="B402" i="20"/>
  <c r="C402" i="20"/>
  <c r="D402" i="20"/>
  <c r="I402" i="20"/>
  <c r="J402" i="20"/>
  <c r="K402" i="20"/>
  <c r="L402" i="20"/>
  <c r="M402" i="20"/>
  <c r="B403" i="20"/>
  <c r="C403" i="20"/>
  <c r="D403" i="20"/>
  <c r="I403" i="20"/>
  <c r="J403" i="20"/>
  <c r="K403" i="20"/>
  <c r="L403" i="20"/>
  <c r="M403" i="20"/>
  <c r="B404" i="20"/>
  <c r="C404" i="20"/>
  <c r="D404" i="20"/>
  <c r="I404" i="20"/>
  <c r="J404" i="20"/>
  <c r="K404" i="20"/>
  <c r="L404" i="20"/>
  <c r="M404" i="20"/>
  <c r="B405" i="20"/>
  <c r="C405" i="20"/>
  <c r="D405" i="20"/>
  <c r="I405" i="20"/>
  <c r="J405" i="20"/>
  <c r="K405" i="20"/>
  <c r="L405" i="20"/>
  <c r="M405" i="20"/>
  <c r="B406" i="20"/>
  <c r="C406" i="20"/>
  <c r="D406" i="20"/>
  <c r="I406" i="20"/>
  <c r="J406" i="20"/>
  <c r="K406" i="20"/>
  <c r="L406" i="20"/>
  <c r="M406" i="20"/>
  <c r="B407" i="20"/>
  <c r="C407" i="20"/>
  <c r="D407" i="20"/>
  <c r="I407" i="20"/>
  <c r="J407" i="20"/>
  <c r="L407" i="20"/>
  <c r="M407" i="20"/>
  <c r="B408" i="20"/>
  <c r="C408" i="20"/>
  <c r="D408" i="20"/>
  <c r="I408" i="20"/>
  <c r="J408" i="20"/>
  <c r="K408" i="20"/>
  <c r="L408" i="20"/>
  <c r="M408" i="20"/>
  <c r="B409" i="20"/>
  <c r="C409" i="20"/>
  <c r="D409" i="20"/>
  <c r="I409" i="20"/>
  <c r="J409" i="20"/>
  <c r="K409" i="20"/>
  <c r="L409" i="20"/>
  <c r="M409" i="20"/>
  <c r="I399" i="20"/>
  <c r="J399" i="20"/>
  <c r="K399" i="20"/>
  <c r="L399" i="20"/>
  <c r="M399" i="20"/>
  <c r="Y58" i="1"/>
  <c r="AK58" i="1"/>
  <c r="AX58" i="1"/>
  <c r="AZ58" i="1" s="1"/>
  <c r="AV58" i="1" s="1"/>
  <c r="AS58" i="1"/>
  <c r="AU58" i="1" s="1"/>
  <c r="AR58" i="1" s="1"/>
  <c r="AN58" i="1"/>
  <c r="AP58" i="1" s="1"/>
  <c r="AL58" i="1" s="1"/>
  <c r="BM58" i="1"/>
  <c r="BO58" i="1" s="1"/>
  <c r="BL58" i="1" s="1"/>
  <c r="BH58" i="1"/>
  <c r="BJ58" i="1" s="1"/>
  <c r="BG58" i="1" s="1"/>
  <c r="BC58" i="1"/>
  <c r="BE58" i="1" s="1"/>
  <c r="BB58" i="1" s="1"/>
  <c r="J58" i="1"/>
  <c r="L58" i="1" s="1"/>
  <c r="I58" i="1" s="1"/>
  <c r="E58" i="1"/>
  <c r="G58" i="1" s="1"/>
  <c r="D58" i="1" s="1"/>
  <c r="T58" i="1"/>
  <c r="V58" i="1" s="1"/>
  <c r="R58" i="1" s="1"/>
  <c r="O58" i="1"/>
  <c r="Q58" i="1" s="1"/>
  <c r="N58" i="1" s="1"/>
  <c r="Y57" i="1"/>
  <c r="AA57" i="1" s="1"/>
  <c r="W57" i="1" s="1"/>
  <c r="AK57" i="1"/>
  <c r="BM57" i="1"/>
  <c r="BO57" i="1" s="1"/>
  <c r="BL57" i="1" s="1"/>
  <c r="BH57" i="1"/>
  <c r="BJ57" i="1" s="1"/>
  <c r="BG57" i="1" s="1"/>
  <c r="AX57" i="1"/>
  <c r="AZ57" i="1" s="1"/>
  <c r="AV57" i="1" s="1"/>
  <c r="AS57" i="1"/>
  <c r="AU57" i="1" s="1"/>
  <c r="AR57" i="1" s="1"/>
  <c r="AN57" i="1"/>
  <c r="AP57" i="1" s="1"/>
  <c r="AL57" i="1" s="1"/>
  <c r="BC57" i="1"/>
  <c r="BE57" i="1" s="1"/>
  <c r="BB57" i="1" s="1"/>
  <c r="T57" i="1"/>
  <c r="V57" i="1" s="1"/>
  <c r="R57" i="1" s="1"/>
  <c r="O57" i="1"/>
  <c r="Q57" i="1" s="1"/>
  <c r="N57" i="1" s="1"/>
  <c r="J57" i="1"/>
  <c r="L57" i="1" s="1"/>
  <c r="I57" i="1" s="1"/>
  <c r="E57" i="1"/>
  <c r="G57" i="1" s="1"/>
  <c r="D57" i="1" s="1"/>
  <c r="B399" i="20"/>
  <c r="C399" i="20"/>
  <c r="D399" i="20"/>
  <c r="B398" i="20"/>
  <c r="C398" i="20"/>
  <c r="D398" i="20"/>
  <c r="I398" i="20"/>
  <c r="J398" i="20"/>
  <c r="K398" i="20"/>
  <c r="L398" i="20"/>
  <c r="M398" i="20"/>
  <c r="B397" i="20"/>
  <c r="C397" i="20"/>
  <c r="D397" i="20"/>
  <c r="I397" i="20"/>
  <c r="J397" i="20"/>
  <c r="K397" i="20"/>
  <c r="L397" i="20"/>
  <c r="M397" i="20"/>
  <c r="B396" i="20"/>
  <c r="C396" i="20"/>
  <c r="D396" i="20"/>
  <c r="I396" i="20"/>
  <c r="J396" i="20"/>
  <c r="K396" i="20"/>
  <c r="L396" i="20"/>
  <c r="M396" i="20"/>
  <c r="B395" i="20"/>
  <c r="C395" i="20"/>
  <c r="D395" i="20"/>
  <c r="I395" i="20"/>
  <c r="J395" i="20"/>
  <c r="K395" i="20"/>
  <c r="L395" i="20"/>
  <c r="M395" i="20"/>
  <c r="B394" i="20"/>
  <c r="C394" i="20"/>
  <c r="D394" i="20"/>
  <c r="I394" i="20"/>
  <c r="J394" i="20"/>
  <c r="L394" i="20"/>
  <c r="M394" i="20"/>
  <c r="B393" i="20"/>
  <c r="C393" i="20"/>
  <c r="D393" i="20"/>
  <c r="I393" i="20"/>
  <c r="J393" i="20"/>
  <c r="L393" i="20"/>
  <c r="M393" i="20"/>
  <c r="B392" i="20"/>
  <c r="C392" i="20"/>
  <c r="D392" i="20"/>
  <c r="I392" i="20"/>
  <c r="J392" i="20"/>
  <c r="K392" i="20"/>
  <c r="L392" i="20"/>
  <c r="M392" i="20"/>
  <c r="B391" i="20"/>
  <c r="C391" i="20"/>
  <c r="D391" i="20"/>
  <c r="I391" i="20"/>
  <c r="J391" i="20"/>
  <c r="K391" i="20"/>
  <c r="L391" i="20"/>
  <c r="M391" i="20"/>
  <c r="Y56" i="1"/>
  <c r="AK56" i="1"/>
  <c r="BM56" i="1"/>
  <c r="BO56" i="1" s="1"/>
  <c r="BL56" i="1" s="1"/>
  <c r="BH56" i="1"/>
  <c r="BJ56" i="1" s="1"/>
  <c r="BG56" i="1" s="1"/>
  <c r="AX56" i="1"/>
  <c r="AZ56" i="1" s="1"/>
  <c r="AV56" i="1" s="1"/>
  <c r="AS56" i="1"/>
  <c r="AU56" i="1" s="1"/>
  <c r="AR56" i="1" s="1"/>
  <c r="AN56" i="1"/>
  <c r="AP56" i="1" s="1"/>
  <c r="AL56" i="1" s="1"/>
  <c r="BC56" i="1"/>
  <c r="BE56" i="1" s="1"/>
  <c r="BB56" i="1" s="1"/>
  <c r="T56" i="1"/>
  <c r="V56" i="1" s="1"/>
  <c r="R56" i="1" s="1"/>
  <c r="O56" i="1"/>
  <c r="Q56" i="1" s="1"/>
  <c r="N56" i="1" s="1"/>
  <c r="J56" i="1"/>
  <c r="L56" i="1" s="1"/>
  <c r="I56" i="1" s="1"/>
  <c r="E56" i="1"/>
  <c r="G56" i="1" s="1"/>
  <c r="D56" i="1" s="1"/>
  <c r="G16" i="39"/>
  <c r="B390" i="20"/>
  <c r="C390" i="20"/>
  <c r="D390" i="20"/>
  <c r="I390" i="20"/>
  <c r="J390" i="20"/>
  <c r="K390" i="20"/>
  <c r="L390" i="20"/>
  <c r="M390" i="20"/>
  <c r="B389" i="20"/>
  <c r="C389" i="20"/>
  <c r="D389" i="20"/>
  <c r="I389" i="20"/>
  <c r="J389" i="20"/>
  <c r="K389" i="20"/>
  <c r="L389" i="20"/>
  <c r="M389" i="20"/>
  <c r="B388" i="20"/>
  <c r="C388" i="20"/>
  <c r="D388" i="20"/>
  <c r="I388" i="20"/>
  <c r="J388" i="20"/>
  <c r="K388" i="20"/>
  <c r="L388" i="20"/>
  <c r="M388" i="20"/>
  <c r="B387" i="20"/>
  <c r="C387" i="20"/>
  <c r="D387" i="20"/>
  <c r="I387" i="20"/>
  <c r="J387" i="20"/>
  <c r="K387" i="20"/>
  <c r="L387" i="20"/>
  <c r="M387" i="20"/>
  <c r="B386" i="20"/>
  <c r="C386" i="20"/>
  <c r="D386" i="20"/>
  <c r="I386" i="20"/>
  <c r="J386" i="20"/>
  <c r="L386" i="20"/>
  <c r="M386" i="20"/>
  <c r="B385" i="20"/>
  <c r="C385" i="20"/>
  <c r="D385" i="20"/>
  <c r="I385" i="20"/>
  <c r="J385" i="20"/>
  <c r="K385" i="20"/>
  <c r="L385" i="20"/>
  <c r="M385" i="20"/>
  <c r="B384" i="20"/>
  <c r="C384" i="20"/>
  <c r="D384" i="20"/>
  <c r="I384" i="20"/>
  <c r="J384" i="20"/>
  <c r="K384" i="20"/>
  <c r="L384" i="20"/>
  <c r="M384" i="20"/>
  <c r="B383" i="20"/>
  <c r="C383" i="20"/>
  <c r="D383" i="20"/>
  <c r="I383" i="20"/>
  <c r="J383" i="20"/>
  <c r="L383" i="20"/>
  <c r="M383" i="20"/>
  <c r="B382" i="20"/>
  <c r="C382" i="20"/>
  <c r="D382" i="20"/>
  <c r="I382" i="20"/>
  <c r="J382" i="20"/>
  <c r="K382" i="20"/>
  <c r="L382" i="20"/>
  <c r="M382" i="20"/>
  <c r="B381" i="20"/>
  <c r="C381" i="20"/>
  <c r="D381" i="20"/>
  <c r="I381" i="20"/>
  <c r="J381" i="20"/>
  <c r="L381" i="20"/>
  <c r="M381" i="20"/>
  <c r="B380" i="20"/>
  <c r="C380" i="20"/>
  <c r="D380" i="20"/>
  <c r="I380" i="20"/>
  <c r="J380" i="20"/>
  <c r="K380" i="20"/>
  <c r="L380" i="20"/>
  <c r="M380" i="20"/>
  <c r="B379" i="20"/>
  <c r="C379" i="20"/>
  <c r="D379" i="20"/>
  <c r="I379" i="20"/>
  <c r="J379" i="20"/>
  <c r="K379" i="20"/>
  <c r="L379" i="20"/>
  <c r="M379" i="20"/>
  <c r="Y55" i="1"/>
  <c r="AK55" i="1"/>
  <c r="BM55" i="1"/>
  <c r="BO55" i="1" s="1"/>
  <c r="BL55" i="1" s="1"/>
  <c r="BH55" i="1"/>
  <c r="BJ55" i="1" s="1"/>
  <c r="BG55" i="1" s="1"/>
  <c r="AX55" i="1"/>
  <c r="AZ55" i="1" s="1"/>
  <c r="AV55" i="1" s="1"/>
  <c r="AS55" i="1"/>
  <c r="AU55" i="1" s="1"/>
  <c r="AR55" i="1" s="1"/>
  <c r="AN55" i="1"/>
  <c r="AP55" i="1" s="1"/>
  <c r="AL55" i="1" s="1"/>
  <c r="BC55" i="1"/>
  <c r="BE55" i="1" s="1"/>
  <c r="BB55" i="1" s="1"/>
  <c r="T55" i="1"/>
  <c r="V55" i="1" s="1"/>
  <c r="R55" i="1" s="1"/>
  <c r="O55" i="1"/>
  <c r="Q55" i="1" s="1"/>
  <c r="N55" i="1" s="1"/>
  <c r="J55" i="1"/>
  <c r="L55" i="1" s="1"/>
  <c r="I55" i="1" s="1"/>
  <c r="E55" i="1"/>
  <c r="G55" i="1" s="1"/>
  <c r="D55" i="1" s="1"/>
  <c r="M371" i="20"/>
  <c r="L371" i="20"/>
  <c r="K371" i="20"/>
  <c r="J371" i="20"/>
  <c r="I371" i="20"/>
  <c r="B378" i="20"/>
  <c r="C378" i="20"/>
  <c r="D378" i="20"/>
  <c r="I378" i="20"/>
  <c r="J378" i="20"/>
  <c r="K378" i="20"/>
  <c r="L378" i="20"/>
  <c r="M378" i="20"/>
  <c r="B377" i="20"/>
  <c r="C377" i="20"/>
  <c r="D377" i="20"/>
  <c r="I377" i="20"/>
  <c r="J377" i="20"/>
  <c r="K377" i="20"/>
  <c r="L377" i="20"/>
  <c r="M377" i="20"/>
  <c r="B376" i="20"/>
  <c r="C376" i="20"/>
  <c r="D376" i="20"/>
  <c r="I376" i="20"/>
  <c r="J376" i="20"/>
  <c r="K376" i="20"/>
  <c r="L376" i="20"/>
  <c r="M376" i="20"/>
  <c r="B375" i="20"/>
  <c r="C375" i="20"/>
  <c r="D375" i="20"/>
  <c r="I375" i="20"/>
  <c r="J375" i="20"/>
  <c r="K375" i="20"/>
  <c r="L375" i="20"/>
  <c r="M375" i="20"/>
  <c r="B374" i="20"/>
  <c r="C374" i="20"/>
  <c r="D374" i="20"/>
  <c r="I374" i="20"/>
  <c r="J374" i="20"/>
  <c r="L374" i="20"/>
  <c r="M374" i="20"/>
  <c r="B373" i="20"/>
  <c r="C373" i="20"/>
  <c r="D373" i="20"/>
  <c r="I373" i="20"/>
  <c r="J373" i="20"/>
  <c r="K373" i="20"/>
  <c r="L373" i="20"/>
  <c r="M373" i="20"/>
  <c r="B372" i="20"/>
  <c r="C372" i="20"/>
  <c r="D372" i="20"/>
  <c r="I372" i="20"/>
  <c r="J372" i="20"/>
  <c r="K372" i="20"/>
  <c r="L372" i="20"/>
  <c r="M372" i="20"/>
  <c r="B371" i="20"/>
  <c r="C371" i="20"/>
  <c r="D371" i="20"/>
  <c r="B370" i="20"/>
  <c r="C370" i="20"/>
  <c r="D370" i="20"/>
  <c r="I370" i="20"/>
  <c r="J370" i="20"/>
  <c r="K370" i="20"/>
  <c r="L370" i="20"/>
  <c r="M370" i="20"/>
  <c r="B369" i="20"/>
  <c r="C369" i="20"/>
  <c r="D369" i="20"/>
  <c r="I369" i="20"/>
  <c r="J369" i="20"/>
  <c r="K369" i="20"/>
  <c r="L369" i="20"/>
  <c r="M369" i="20"/>
  <c r="B368" i="20"/>
  <c r="C368" i="20"/>
  <c r="D368" i="20"/>
  <c r="I368" i="20"/>
  <c r="J368" i="20"/>
  <c r="L368" i="20"/>
  <c r="M368" i="20"/>
  <c r="B367" i="20"/>
  <c r="C367" i="20"/>
  <c r="D367" i="20"/>
  <c r="I367" i="20"/>
  <c r="J367" i="20"/>
  <c r="K367" i="20"/>
  <c r="L367" i="20"/>
  <c r="M367" i="20"/>
  <c r="B366" i="20"/>
  <c r="C366" i="20"/>
  <c r="D366" i="20"/>
  <c r="I366" i="20"/>
  <c r="J366" i="20"/>
  <c r="K366" i="20"/>
  <c r="L366" i="20"/>
  <c r="M366" i="20"/>
  <c r="B365" i="20"/>
  <c r="C365" i="20"/>
  <c r="D365" i="20"/>
  <c r="I365" i="20"/>
  <c r="J365" i="20"/>
  <c r="L365" i="20"/>
  <c r="M365" i="20"/>
  <c r="Y54" i="1"/>
  <c r="AD54" i="1"/>
  <c r="AF54" i="1" s="1"/>
  <c r="AB54" i="1" s="1"/>
  <c r="AE55" i="1" s="1"/>
  <c r="AK54" i="1"/>
  <c r="BM54" i="1"/>
  <c r="BO54" i="1" s="1"/>
  <c r="BL54" i="1" s="1"/>
  <c r="BH54" i="1"/>
  <c r="BJ54" i="1" s="1"/>
  <c r="BG54" i="1" s="1"/>
  <c r="BC54" i="1"/>
  <c r="BE54" i="1" s="1"/>
  <c r="BB54" i="1" s="1"/>
  <c r="AX54" i="1"/>
  <c r="AZ54" i="1" s="1"/>
  <c r="AV54" i="1" s="1"/>
  <c r="AS54" i="1"/>
  <c r="AU54" i="1" s="1"/>
  <c r="AR54" i="1" s="1"/>
  <c r="AN54" i="1"/>
  <c r="AP54" i="1" s="1"/>
  <c r="AL54" i="1" s="1"/>
  <c r="T54" i="1"/>
  <c r="V54" i="1" s="1"/>
  <c r="R54" i="1" s="1"/>
  <c r="O54" i="1"/>
  <c r="Q54" i="1" s="1"/>
  <c r="N54" i="1" s="1"/>
  <c r="J54" i="1"/>
  <c r="L54" i="1" s="1"/>
  <c r="I54" i="1" s="1"/>
  <c r="E54" i="1"/>
  <c r="G54" i="1" s="1"/>
  <c r="D54" i="1" s="1"/>
  <c r="B364" i="20"/>
  <c r="C364" i="20"/>
  <c r="D364" i="20"/>
  <c r="I364" i="20"/>
  <c r="J364" i="20"/>
  <c r="L364" i="20"/>
  <c r="M364" i="20"/>
  <c r="B354" i="20"/>
  <c r="B355" i="20"/>
  <c r="B356" i="20"/>
  <c r="B357" i="20"/>
  <c r="B358" i="20"/>
  <c r="B359" i="20"/>
  <c r="B360" i="20"/>
  <c r="B361" i="20"/>
  <c r="B362" i="20"/>
  <c r="B363" i="20"/>
  <c r="C354" i="20"/>
  <c r="C355" i="20"/>
  <c r="C356" i="20"/>
  <c r="C357" i="20"/>
  <c r="C358" i="20"/>
  <c r="C359" i="20"/>
  <c r="C360" i="20"/>
  <c r="C361" i="20"/>
  <c r="C362" i="20"/>
  <c r="C363" i="20"/>
  <c r="D354" i="20"/>
  <c r="D355" i="20"/>
  <c r="D356" i="20"/>
  <c r="D357" i="20"/>
  <c r="D358" i="20"/>
  <c r="D359" i="20"/>
  <c r="D360" i="20"/>
  <c r="D361" i="20"/>
  <c r="D362" i="20"/>
  <c r="D363" i="20"/>
  <c r="I354" i="20"/>
  <c r="I355" i="20"/>
  <c r="I356" i="20"/>
  <c r="I357" i="20"/>
  <c r="I358" i="20"/>
  <c r="I359" i="20"/>
  <c r="I360" i="20"/>
  <c r="I361" i="20"/>
  <c r="I362" i="20"/>
  <c r="I363" i="20"/>
  <c r="J354" i="20"/>
  <c r="J355" i="20"/>
  <c r="J356" i="20"/>
  <c r="J357" i="20"/>
  <c r="J358" i="20"/>
  <c r="J359" i="20"/>
  <c r="J360" i="20"/>
  <c r="J361" i="20"/>
  <c r="J362" i="20"/>
  <c r="J363" i="20"/>
  <c r="K355" i="20"/>
  <c r="K357" i="20"/>
  <c r="K358" i="20"/>
  <c r="K360" i="20"/>
  <c r="K361" i="20"/>
  <c r="K362" i="20"/>
  <c r="K363" i="20"/>
  <c r="L354" i="20"/>
  <c r="L355" i="20"/>
  <c r="L356" i="20"/>
  <c r="L357" i="20"/>
  <c r="L358" i="20"/>
  <c r="L359" i="20"/>
  <c r="L360" i="20"/>
  <c r="L361" i="20"/>
  <c r="L362" i="20"/>
  <c r="L363" i="20"/>
  <c r="M354" i="20"/>
  <c r="M355" i="20"/>
  <c r="M356" i="20"/>
  <c r="M357" i="20"/>
  <c r="M358" i="20"/>
  <c r="M359" i="20"/>
  <c r="M360" i="20"/>
  <c r="M361" i="20"/>
  <c r="M362" i="20"/>
  <c r="M363" i="20"/>
  <c r="B353" i="20"/>
  <c r="C353" i="20"/>
  <c r="D353" i="20"/>
  <c r="I353" i="20"/>
  <c r="J353" i="20"/>
  <c r="K353" i="20"/>
  <c r="L353" i="20"/>
  <c r="M353" i="20"/>
  <c r="B352" i="20"/>
  <c r="C352" i="20"/>
  <c r="D352" i="20"/>
  <c r="I352" i="20"/>
  <c r="J352" i="20"/>
  <c r="K352" i="20"/>
  <c r="L352" i="20"/>
  <c r="M352" i="20"/>
  <c r="B351" i="20"/>
  <c r="C351" i="20"/>
  <c r="D351" i="20"/>
  <c r="I351" i="20"/>
  <c r="J351" i="20"/>
  <c r="K351" i="20"/>
  <c r="L351" i="20"/>
  <c r="M351" i="20"/>
  <c r="Y53" i="1"/>
  <c r="AD53" i="1"/>
  <c r="AF53" i="1" s="1"/>
  <c r="AB53" i="1" s="1"/>
  <c r="BM53" i="1"/>
  <c r="BO53" i="1" s="1"/>
  <c r="BL53" i="1" s="1"/>
  <c r="AX53" i="1"/>
  <c r="AZ53" i="1" s="1"/>
  <c r="AV53" i="1" s="1"/>
  <c r="AS53" i="1"/>
  <c r="AU53" i="1" s="1"/>
  <c r="AR53" i="1" s="1"/>
  <c r="AN53" i="1"/>
  <c r="AP53" i="1" s="1"/>
  <c r="AL53" i="1" s="1"/>
  <c r="AK53" i="1"/>
  <c r="T53" i="1"/>
  <c r="V53" i="1" s="1"/>
  <c r="R53" i="1" s="1"/>
  <c r="O53" i="1"/>
  <c r="Q53" i="1" s="1"/>
  <c r="N53" i="1" s="1"/>
  <c r="J53" i="1"/>
  <c r="L53" i="1" s="1"/>
  <c r="I53" i="1" s="1"/>
  <c r="E53" i="1"/>
  <c r="G53" i="1" s="1"/>
  <c r="D53" i="1" s="1"/>
  <c r="BC53" i="1"/>
  <c r="BE53" i="1" s="1"/>
  <c r="BB53" i="1" s="1"/>
  <c r="BH53" i="1"/>
  <c r="BJ53" i="1" s="1"/>
  <c r="BG53" i="1" s="1"/>
  <c r="P8" i="16"/>
  <c r="P17" i="16"/>
  <c r="B350" i="20"/>
  <c r="C350" i="20"/>
  <c r="D350" i="20"/>
  <c r="I350" i="20"/>
  <c r="J350" i="20"/>
  <c r="K350" i="20"/>
  <c r="L350" i="20"/>
  <c r="M350" i="20"/>
  <c r="B349" i="20"/>
  <c r="C349" i="20"/>
  <c r="D349" i="20"/>
  <c r="I349" i="20"/>
  <c r="J349" i="20"/>
  <c r="K349" i="20"/>
  <c r="L349" i="20"/>
  <c r="M349" i="20"/>
  <c r="B348" i="20"/>
  <c r="C348" i="20"/>
  <c r="D348" i="20"/>
  <c r="I348" i="20"/>
  <c r="J348" i="20"/>
  <c r="K348" i="20"/>
  <c r="L348" i="20"/>
  <c r="M348" i="20"/>
  <c r="B347" i="20"/>
  <c r="C347" i="20"/>
  <c r="D347" i="20"/>
  <c r="I347" i="20"/>
  <c r="J347" i="20"/>
  <c r="L347" i="20"/>
  <c r="M347" i="20"/>
  <c r="B346" i="20"/>
  <c r="C346" i="20"/>
  <c r="D346" i="20"/>
  <c r="I346" i="20"/>
  <c r="J346" i="20"/>
  <c r="K346" i="20"/>
  <c r="L346" i="20"/>
  <c r="M346" i="20"/>
  <c r="B345" i="20"/>
  <c r="C345" i="20"/>
  <c r="D345" i="20"/>
  <c r="I345" i="20"/>
  <c r="J345" i="20"/>
  <c r="L345" i="20"/>
  <c r="M345" i="20"/>
  <c r="B344" i="20"/>
  <c r="C344" i="20"/>
  <c r="D344" i="20"/>
  <c r="I344" i="20"/>
  <c r="J344" i="20"/>
  <c r="K344" i="20"/>
  <c r="L344" i="20"/>
  <c r="M344" i="20"/>
  <c r="B343" i="20"/>
  <c r="C343" i="20"/>
  <c r="D343" i="20"/>
  <c r="I343" i="20"/>
  <c r="J343" i="20"/>
  <c r="K343" i="20"/>
  <c r="L343" i="20"/>
  <c r="M343" i="20"/>
  <c r="Y52" i="1"/>
  <c r="AD52" i="1"/>
  <c r="AF52" i="1" s="1"/>
  <c r="AB52" i="1" s="1"/>
  <c r="BM52" i="1"/>
  <c r="BO52" i="1" s="1"/>
  <c r="BL52" i="1" s="1"/>
  <c r="BH52" i="1"/>
  <c r="BJ52" i="1" s="1"/>
  <c r="BG52" i="1" s="1"/>
  <c r="BC52" i="1"/>
  <c r="BE52" i="1" s="1"/>
  <c r="BB52" i="1" s="1"/>
  <c r="AX52" i="1"/>
  <c r="AZ52" i="1" s="1"/>
  <c r="AV52" i="1" s="1"/>
  <c r="AS52" i="1"/>
  <c r="AU52" i="1" s="1"/>
  <c r="AR52" i="1" s="1"/>
  <c r="AN52" i="1"/>
  <c r="AP52" i="1" s="1"/>
  <c r="AL52" i="1" s="1"/>
  <c r="AK52" i="1"/>
  <c r="T52" i="1"/>
  <c r="V52" i="1" s="1"/>
  <c r="R52" i="1" s="1"/>
  <c r="O52" i="1"/>
  <c r="Q52" i="1" s="1"/>
  <c r="N52" i="1" s="1"/>
  <c r="J52" i="1"/>
  <c r="L52" i="1" s="1"/>
  <c r="I52" i="1" s="1"/>
  <c r="E52" i="1"/>
  <c r="G52" i="1" s="1"/>
  <c r="D52" i="1" s="1"/>
  <c r="B342" i="20"/>
  <c r="C342" i="20"/>
  <c r="D342" i="20"/>
  <c r="I342" i="20"/>
  <c r="J342" i="20"/>
  <c r="K342" i="20"/>
  <c r="L342" i="20"/>
  <c r="M342" i="20"/>
  <c r="B341" i="20"/>
  <c r="C341" i="20"/>
  <c r="D341" i="20"/>
  <c r="I341" i="20"/>
  <c r="J341" i="20"/>
  <c r="K341" i="20"/>
  <c r="L341" i="20"/>
  <c r="M341" i="20"/>
  <c r="B340" i="20"/>
  <c r="C340" i="20"/>
  <c r="D340" i="20"/>
  <c r="I340" i="20"/>
  <c r="J340" i="20"/>
  <c r="L340" i="20"/>
  <c r="M340" i="20"/>
  <c r="B339" i="20"/>
  <c r="C339" i="20"/>
  <c r="D339" i="20"/>
  <c r="I339" i="20"/>
  <c r="J339" i="20"/>
  <c r="K339" i="20"/>
  <c r="L339" i="20"/>
  <c r="M339" i="20"/>
  <c r="B338" i="20"/>
  <c r="C338" i="20"/>
  <c r="D338" i="20"/>
  <c r="I338" i="20"/>
  <c r="J338" i="20"/>
  <c r="L338" i="20"/>
  <c r="M338" i="20"/>
  <c r="B337" i="20"/>
  <c r="C337" i="20"/>
  <c r="D337" i="20"/>
  <c r="I337" i="20"/>
  <c r="J337" i="20"/>
  <c r="K337" i="20"/>
  <c r="L337" i="20"/>
  <c r="M337" i="20"/>
  <c r="B336" i="20"/>
  <c r="C336" i="20"/>
  <c r="D336" i="20"/>
  <c r="I336" i="20"/>
  <c r="J336" i="20"/>
  <c r="K336" i="20"/>
  <c r="L336" i="20"/>
  <c r="M336" i="20"/>
  <c r="B335" i="20"/>
  <c r="C335" i="20"/>
  <c r="D335" i="20"/>
  <c r="I335" i="20"/>
  <c r="J335" i="20"/>
  <c r="K335" i="20"/>
  <c r="L335" i="20"/>
  <c r="M335" i="20"/>
  <c r="Y51" i="1"/>
  <c r="AK51" i="1"/>
  <c r="AD51" i="1"/>
  <c r="AF51" i="1" s="1"/>
  <c r="AB51" i="1" s="1"/>
  <c r="BM51" i="1"/>
  <c r="BO51" i="1" s="1"/>
  <c r="BL51" i="1" s="1"/>
  <c r="BH51" i="1"/>
  <c r="BJ51" i="1" s="1"/>
  <c r="BG51" i="1" s="1"/>
  <c r="AX51" i="1"/>
  <c r="AZ51" i="1" s="1"/>
  <c r="AV51" i="1" s="1"/>
  <c r="AS51" i="1"/>
  <c r="AU51" i="1" s="1"/>
  <c r="AR51" i="1" s="1"/>
  <c r="AN51" i="1"/>
  <c r="AP51" i="1" s="1"/>
  <c r="AL51" i="1" s="1"/>
  <c r="T51" i="1"/>
  <c r="V51" i="1" s="1"/>
  <c r="R51" i="1" s="1"/>
  <c r="O51" i="1"/>
  <c r="Q51" i="1" s="1"/>
  <c r="N51" i="1" s="1"/>
  <c r="J51" i="1"/>
  <c r="L51" i="1" s="1"/>
  <c r="I51" i="1" s="1"/>
  <c r="BC51" i="1"/>
  <c r="BE51" i="1" s="1"/>
  <c r="BB51" i="1" s="1"/>
  <c r="AD50" i="1"/>
  <c r="AF50" i="1" s="1"/>
  <c r="AB50" i="1" s="1"/>
  <c r="Y50" i="1"/>
  <c r="BM50" i="1"/>
  <c r="BO50" i="1" s="1"/>
  <c r="BL50" i="1" s="1"/>
  <c r="BH50" i="1"/>
  <c r="BJ50" i="1" s="1"/>
  <c r="BG50" i="1" s="1"/>
  <c r="AX50" i="1"/>
  <c r="AZ50" i="1" s="1"/>
  <c r="AV50" i="1" s="1"/>
  <c r="AS50" i="1"/>
  <c r="AU50" i="1" s="1"/>
  <c r="AR50" i="1" s="1"/>
  <c r="AN50" i="1"/>
  <c r="AP50" i="1" s="1"/>
  <c r="AL50" i="1" s="1"/>
  <c r="AK50" i="1"/>
  <c r="T50" i="1"/>
  <c r="V50" i="1" s="1"/>
  <c r="R50" i="1" s="1"/>
  <c r="O50" i="1"/>
  <c r="Q50" i="1" s="1"/>
  <c r="N50" i="1" s="1"/>
  <c r="J50" i="1"/>
  <c r="L50" i="1" s="1"/>
  <c r="I50" i="1" s="1"/>
  <c r="BC50" i="1"/>
  <c r="BE50" i="1" s="1"/>
  <c r="BB50" i="1" s="1"/>
  <c r="E50" i="1"/>
  <c r="G50" i="1" s="1"/>
  <c r="D50" i="1" s="1"/>
  <c r="B334" i="20"/>
  <c r="C334" i="20"/>
  <c r="D334" i="20"/>
  <c r="I334" i="20"/>
  <c r="J334" i="20"/>
  <c r="K334" i="20"/>
  <c r="L334" i="20"/>
  <c r="M334" i="20"/>
  <c r="B333" i="20"/>
  <c r="C333" i="20"/>
  <c r="D333" i="20"/>
  <c r="I333" i="20"/>
  <c r="J333" i="20"/>
  <c r="K333" i="20"/>
  <c r="L333" i="20"/>
  <c r="M333" i="20"/>
  <c r="B332" i="20"/>
  <c r="C332" i="20"/>
  <c r="D332" i="20"/>
  <c r="I332" i="20"/>
  <c r="J332" i="20"/>
  <c r="K332" i="20"/>
  <c r="L332" i="20"/>
  <c r="M332" i="20"/>
  <c r="B331" i="20"/>
  <c r="C331" i="20"/>
  <c r="D331" i="20"/>
  <c r="I331" i="20"/>
  <c r="J331" i="20"/>
  <c r="K331" i="20"/>
  <c r="L331" i="20"/>
  <c r="M331" i="20"/>
  <c r="B330" i="20"/>
  <c r="C330" i="20"/>
  <c r="D330" i="20"/>
  <c r="I330" i="20"/>
  <c r="J330" i="20"/>
  <c r="L330" i="20"/>
  <c r="M330" i="20"/>
  <c r="Y49" i="1"/>
  <c r="AD49" i="1"/>
  <c r="AF49" i="1" s="1"/>
  <c r="AB49" i="1" s="1"/>
  <c r="AK49" i="1"/>
  <c r="BM49" i="1"/>
  <c r="BO49" i="1" s="1"/>
  <c r="BL49" i="1" s="1"/>
  <c r="BH49" i="1"/>
  <c r="BJ49" i="1" s="1"/>
  <c r="BG49" i="1" s="1"/>
  <c r="AX49" i="1"/>
  <c r="AZ49" i="1" s="1"/>
  <c r="AV49" i="1" s="1"/>
  <c r="AS49" i="1"/>
  <c r="AU49" i="1" s="1"/>
  <c r="AR49" i="1" s="1"/>
  <c r="AN49" i="1"/>
  <c r="AP49" i="1" s="1"/>
  <c r="AL49" i="1" s="1"/>
  <c r="BC49" i="1"/>
  <c r="BE49" i="1" s="1"/>
  <c r="BB49" i="1" s="1"/>
  <c r="T49" i="1"/>
  <c r="V49" i="1" s="1"/>
  <c r="R49" i="1" s="1"/>
  <c r="O49" i="1"/>
  <c r="Q49" i="1" s="1"/>
  <c r="N49" i="1" s="1"/>
  <c r="J49" i="1"/>
  <c r="L49" i="1" s="1"/>
  <c r="I49" i="1" s="1"/>
  <c r="E49" i="1"/>
  <c r="G49" i="1" s="1"/>
  <c r="D49" i="1" s="1"/>
  <c r="M317" i="20"/>
  <c r="M318" i="20"/>
  <c r="M319" i="20"/>
  <c r="M320" i="20"/>
  <c r="M321" i="20"/>
  <c r="M322" i="20"/>
  <c r="M323" i="20"/>
  <c r="M324" i="20"/>
  <c r="M325" i="20"/>
  <c r="M326" i="20"/>
  <c r="M327" i="20"/>
  <c r="M328" i="20"/>
  <c r="M329" i="20"/>
  <c r="L317" i="20"/>
  <c r="L318" i="20"/>
  <c r="L319" i="20"/>
  <c r="L320" i="20"/>
  <c r="L321" i="20"/>
  <c r="L322" i="20"/>
  <c r="L323" i="20"/>
  <c r="L324" i="20"/>
  <c r="L325" i="20"/>
  <c r="L326" i="20"/>
  <c r="L327" i="20"/>
  <c r="L328" i="20"/>
  <c r="L329" i="20"/>
  <c r="K319" i="20"/>
  <c r="K320" i="20"/>
  <c r="K321" i="20"/>
  <c r="K322" i="20"/>
  <c r="K324" i="20"/>
  <c r="K325" i="20"/>
  <c r="K326" i="20"/>
  <c r="K327" i="20"/>
  <c r="K329" i="20"/>
  <c r="K318" i="20"/>
  <c r="J328" i="20"/>
  <c r="J327" i="20"/>
  <c r="J326" i="20"/>
  <c r="J325" i="20"/>
  <c r="J324" i="20"/>
  <c r="J323" i="20"/>
  <c r="J322" i="20"/>
  <c r="J321" i="20"/>
  <c r="J320" i="20"/>
  <c r="J319" i="20"/>
  <c r="J318" i="20"/>
  <c r="I328" i="20"/>
  <c r="I327" i="20"/>
  <c r="I326" i="20"/>
  <c r="I325" i="20"/>
  <c r="I324" i="20"/>
  <c r="I322" i="20"/>
  <c r="I321" i="20"/>
  <c r="I320" i="20"/>
  <c r="I318" i="20"/>
  <c r="I323" i="20"/>
  <c r="I319" i="20"/>
  <c r="B327" i="20"/>
  <c r="B328" i="20"/>
  <c r="B329" i="20"/>
  <c r="C327" i="20"/>
  <c r="C328" i="20"/>
  <c r="C329" i="20"/>
  <c r="D327" i="20"/>
  <c r="D328" i="20"/>
  <c r="D329" i="20"/>
  <c r="I329" i="20"/>
  <c r="J329" i="20"/>
  <c r="B321" i="20"/>
  <c r="B322" i="20"/>
  <c r="B323" i="20"/>
  <c r="B324" i="20"/>
  <c r="B325" i="20"/>
  <c r="B326" i="20"/>
  <c r="C321" i="20"/>
  <c r="C322" i="20"/>
  <c r="C323" i="20"/>
  <c r="C324" i="20"/>
  <c r="C325" i="20"/>
  <c r="C326" i="20"/>
  <c r="D321" i="20"/>
  <c r="D322" i="20"/>
  <c r="D323" i="20"/>
  <c r="D324" i="20"/>
  <c r="D325" i="20"/>
  <c r="D326" i="20"/>
  <c r="B320" i="20"/>
  <c r="C320" i="20"/>
  <c r="D320" i="20"/>
  <c r="B319" i="20"/>
  <c r="C319" i="20"/>
  <c r="D319" i="20"/>
  <c r="B318" i="20"/>
  <c r="C318" i="20"/>
  <c r="D318" i="20"/>
  <c r="B317" i="20"/>
  <c r="C317" i="20"/>
  <c r="D317" i="20"/>
  <c r="I317" i="20"/>
  <c r="J317" i="20"/>
  <c r="B316" i="20"/>
  <c r="C316" i="20"/>
  <c r="D316" i="20"/>
  <c r="I316" i="20"/>
  <c r="J316" i="20"/>
  <c r="K316" i="20"/>
  <c r="L316" i="20"/>
  <c r="M316" i="20"/>
  <c r="AD48" i="1"/>
  <c r="AF48" i="1" s="1"/>
  <c r="AB48" i="1" s="1"/>
  <c r="Y48" i="1"/>
  <c r="AK48" i="1"/>
  <c r="BM48" i="1"/>
  <c r="BO48" i="1" s="1"/>
  <c r="BL48" i="1" s="1"/>
  <c r="BH48" i="1"/>
  <c r="BJ48" i="1" s="1"/>
  <c r="BG48" i="1" s="1"/>
  <c r="T48" i="1"/>
  <c r="V48" i="1" s="1"/>
  <c r="R48" i="1" s="1"/>
  <c r="O48" i="1"/>
  <c r="Q48" i="1" s="1"/>
  <c r="N48" i="1" s="1"/>
  <c r="BC48" i="1"/>
  <c r="BE48" i="1" s="1"/>
  <c r="BB48" i="1" s="1"/>
  <c r="AX48" i="1"/>
  <c r="AZ48" i="1" s="1"/>
  <c r="AV48" i="1" s="1"/>
  <c r="AN48" i="1"/>
  <c r="AP48" i="1" s="1"/>
  <c r="AL48" i="1" s="1"/>
  <c r="J48" i="1"/>
  <c r="L48" i="1" s="1"/>
  <c r="I48" i="1" s="1"/>
  <c r="E48" i="1"/>
  <c r="G48" i="1" s="1"/>
  <c r="D48" i="1" s="1"/>
  <c r="B315" i="20"/>
  <c r="C315" i="20"/>
  <c r="D315" i="20"/>
  <c r="I315" i="20"/>
  <c r="J315" i="20"/>
  <c r="L315" i="20"/>
  <c r="M315" i="20"/>
  <c r="B314" i="20"/>
  <c r="C314" i="20"/>
  <c r="D314" i="20"/>
  <c r="I314" i="20"/>
  <c r="J314" i="20"/>
  <c r="K314" i="20"/>
  <c r="L314" i="20"/>
  <c r="M314" i="20"/>
  <c r="B313" i="20"/>
  <c r="C313" i="20"/>
  <c r="D313" i="20"/>
  <c r="I313" i="20"/>
  <c r="J313" i="20"/>
  <c r="K313" i="20"/>
  <c r="L313" i="20"/>
  <c r="M313" i="20"/>
  <c r="B312" i="20"/>
  <c r="C312" i="20"/>
  <c r="D312" i="20"/>
  <c r="I312" i="20"/>
  <c r="J312" i="20"/>
  <c r="K312" i="20"/>
  <c r="L312" i="20"/>
  <c r="M312" i="20"/>
  <c r="B311" i="20"/>
  <c r="C311" i="20"/>
  <c r="D311" i="20"/>
  <c r="I311" i="20"/>
  <c r="J311" i="20"/>
  <c r="K311" i="20"/>
  <c r="L311" i="20"/>
  <c r="M311" i="20"/>
  <c r="B310" i="20"/>
  <c r="C310" i="20"/>
  <c r="D310" i="20"/>
  <c r="I310" i="20"/>
  <c r="J310" i="20"/>
  <c r="K310" i="20"/>
  <c r="L310" i="20"/>
  <c r="M310" i="20"/>
  <c r="B309" i="20"/>
  <c r="C309" i="20"/>
  <c r="D309" i="20"/>
  <c r="I309" i="20"/>
  <c r="J309" i="20"/>
  <c r="L309" i="20"/>
  <c r="M309" i="20"/>
  <c r="B308" i="20"/>
  <c r="C308" i="20"/>
  <c r="D308" i="20"/>
  <c r="I308" i="20"/>
  <c r="J308" i="20"/>
  <c r="K308" i="20"/>
  <c r="L308" i="20"/>
  <c r="M308" i="20"/>
  <c r="AV46" i="1"/>
  <c r="Y47" i="1"/>
  <c r="AD47" i="1"/>
  <c r="AF47" i="1" s="1"/>
  <c r="AB47" i="1" s="1"/>
  <c r="AK47" i="1"/>
  <c r="BM47" i="1"/>
  <c r="BO47" i="1" s="1"/>
  <c r="BL47" i="1" s="1"/>
  <c r="BH47" i="1"/>
  <c r="BJ47" i="1" s="1"/>
  <c r="BG47" i="1" s="1"/>
  <c r="AX47" i="1"/>
  <c r="AZ47" i="1" s="1"/>
  <c r="AV47" i="1" s="1"/>
  <c r="AS47" i="1"/>
  <c r="AU47" i="1" s="1"/>
  <c r="AR47" i="1" s="1"/>
  <c r="AN47" i="1"/>
  <c r="AP47" i="1" s="1"/>
  <c r="AL47" i="1" s="1"/>
  <c r="BC47" i="1"/>
  <c r="BE47" i="1" s="1"/>
  <c r="BB47" i="1" s="1"/>
  <c r="T47" i="1"/>
  <c r="V47" i="1" s="1"/>
  <c r="R47" i="1" s="1"/>
  <c r="O47" i="1"/>
  <c r="Q47" i="1" s="1"/>
  <c r="N47" i="1" s="1"/>
  <c r="J47" i="1"/>
  <c r="L47" i="1" s="1"/>
  <c r="I47" i="1" s="1"/>
  <c r="E47" i="1"/>
  <c r="G47" i="1" s="1"/>
  <c r="D47" i="1" s="1"/>
  <c r="Y46" i="1"/>
  <c r="AD46" i="1"/>
  <c r="AF46" i="1" s="1"/>
  <c r="AB46" i="1" s="1"/>
  <c r="B307" i="20"/>
  <c r="C307" i="20"/>
  <c r="D307" i="20"/>
  <c r="I307" i="20"/>
  <c r="J307" i="20"/>
  <c r="K307" i="20"/>
  <c r="L307" i="20"/>
  <c r="M307" i="20"/>
  <c r="B306" i="20"/>
  <c r="C306" i="20"/>
  <c r="D306" i="20"/>
  <c r="I306" i="20"/>
  <c r="J306" i="20"/>
  <c r="L306" i="20"/>
  <c r="M306" i="20"/>
  <c r="B305" i="20"/>
  <c r="C305" i="20"/>
  <c r="D305" i="20"/>
  <c r="I305" i="20"/>
  <c r="J305" i="20"/>
  <c r="K305" i="20"/>
  <c r="L305" i="20"/>
  <c r="M305" i="20"/>
  <c r="B304" i="20"/>
  <c r="C304" i="20"/>
  <c r="D304" i="20"/>
  <c r="I304" i="20"/>
  <c r="J304" i="20"/>
  <c r="K304" i="20"/>
  <c r="L304" i="20"/>
  <c r="M304" i="20"/>
  <c r="B303" i="20"/>
  <c r="C303" i="20"/>
  <c r="D303" i="20"/>
  <c r="I303" i="20"/>
  <c r="J303" i="20"/>
  <c r="K303" i="20"/>
  <c r="L303" i="20"/>
  <c r="M303" i="20"/>
  <c r="B302" i="20"/>
  <c r="C302" i="20"/>
  <c r="D302" i="20"/>
  <c r="I302" i="20"/>
  <c r="J302" i="20"/>
  <c r="K302" i="20"/>
  <c r="L302" i="20"/>
  <c r="M302" i="20"/>
  <c r="B301" i="20"/>
  <c r="C301" i="20"/>
  <c r="D301" i="20"/>
  <c r="I301" i="20"/>
  <c r="J301" i="20"/>
  <c r="L301" i="20"/>
  <c r="M301" i="20"/>
  <c r="BM46" i="1"/>
  <c r="BO46" i="1" s="1"/>
  <c r="BL46" i="1" s="1"/>
  <c r="BH46" i="1"/>
  <c r="BJ46" i="1" s="1"/>
  <c r="BG46" i="1" s="1"/>
  <c r="BC46" i="1"/>
  <c r="BE46" i="1" s="1"/>
  <c r="BB46" i="1" s="1"/>
  <c r="AX46" i="1"/>
  <c r="AZ46" i="1" s="1"/>
  <c r="AS46" i="1"/>
  <c r="AU46" i="1" s="1"/>
  <c r="AR46" i="1" s="1"/>
  <c r="AN46" i="1"/>
  <c r="AP46" i="1" s="1"/>
  <c r="AL46" i="1" s="1"/>
  <c r="AK46" i="1"/>
  <c r="T46" i="1"/>
  <c r="V46" i="1" s="1"/>
  <c r="R46" i="1" s="1"/>
  <c r="O46" i="1"/>
  <c r="Q46" i="1" s="1"/>
  <c r="N46" i="1" s="1"/>
  <c r="J46" i="1"/>
  <c r="L46" i="1" s="1"/>
  <c r="I46" i="1" s="1"/>
  <c r="E46" i="1"/>
  <c r="G46" i="1" s="1"/>
  <c r="D46" i="1" s="1"/>
  <c r="Y45" i="1"/>
  <c r="B297" i="20"/>
  <c r="B298" i="20"/>
  <c r="B299" i="20"/>
  <c r="B300" i="20"/>
  <c r="C297" i="20"/>
  <c r="C298" i="20"/>
  <c r="C299" i="20"/>
  <c r="C300" i="20"/>
  <c r="D297" i="20"/>
  <c r="D298" i="20"/>
  <c r="D299" i="20"/>
  <c r="D300" i="20"/>
  <c r="I297" i="20"/>
  <c r="I298" i="20"/>
  <c r="I299" i="20"/>
  <c r="I300" i="20"/>
  <c r="J297" i="20"/>
  <c r="J298" i="20"/>
  <c r="J299" i="20"/>
  <c r="J300" i="20"/>
  <c r="K297" i="20"/>
  <c r="K299" i="20"/>
  <c r="K300" i="20"/>
  <c r="L297" i="20"/>
  <c r="L298" i="20"/>
  <c r="L299" i="20"/>
  <c r="L300" i="20"/>
  <c r="M297" i="20"/>
  <c r="M298" i="20"/>
  <c r="M299" i="20"/>
  <c r="M300" i="20"/>
  <c r="B296" i="20"/>
  <c r="C296" i="20"/>
  <c r="D296" i="20"/>
  <c r="I296" i="20"/>
  <c r="J296" i="20"/>
  <c r="K296" i="20"/>
  <c r="L296" i="20"/>
  <c r="M296" i="20"/>
  <c r="B295" i="20"/>
  <c r="C295" i="20"/>
  <c r="D295" i="20"/>
  <c r="I295" i="20"/>
  <c r="J295" i="20"/>
  <c r="K295" i="20"/>
  <c r="L295" i="20"/>
  <c r="M295" i="20"/>
  <c r="B294" i="20"/>
  <c r="C294" i="20"/>
  <c r="D294" i="20"/>
  <c r="I294" i="20"/>
  <c r="J294" i="20"/>
  <c r="K294" i="20"/>
  <c r="L294" i="20"/>
  <c r="M294" i="20"/>
  <c r="B293" i="20"/>
  <c r="C293" i="20"/>
  <c r="D293" i="20"/>
  <c r="I293" i="20"/>
  <c r="J293" i="20"/>
  <c r="L293" i="20"/>
  <c r="M293" i="20"/>
  <c r="A44" i="1"/>
  <c r="A45" i="1"/>
  <c r="A46" i="1"/>
  <c r="A47" i="1"/>
  <c r="A48" i="1"/>
  <c r="A49" i="1"/>
  <c r="B292" i="20"/>
  <c r="C292" i="20"/>
  <c r="D292" i="20"/>
  <c r="I292" i="20"/>
  <c r="J292" i="20"/>
  <c r="K292" i="20"/>
  <c r="L292" i="20"/>
  <c r="M292" i="20"/>
  <c r="B291" i="20"/>
  <c r="C291" i="20"/>
  <c r="D291" i="20"/>
  <c r="I291" i="20"/>
  <c r="J291" i="20"/>
  <c r="K291" i="20"/>
  <c r="L291" i="20"/>
  <c r="M291" i="20"/>
  <c r="B290" i="20"/>
  <c r="C290" i="20"/>
  <c r="D290" i="20"/>
  <c r="I290" i="20"/>
  <c r="J290" i="20"/>
  <c r="K290" i="20"/>
  <c r="L290" i="20"/>
  <c r="M290" i="20"/>
  <c r="B289" i="20"/>
  <c r="C289" i="20"/>
  <c r="D289" i="20"/>
  <c r="I289" i="20"/>
  <c r="J289" i="20"/>
  <c r="L289" i="20"/>
  <c r="M289" i="20"/>
  <c r="B288" i="20"/>
  <c r="C288" i="20"/>
  <c r="D288" i="20"/>
  <c r="I288" i="20"/>
  <c r="J288" i="20"/>
  <c r="K288" i="20"/>
  <c r="L288" i="20"/>
  <c r="M288" i="20"/>
  <c r="B287" i="20"/>
  <c r="C287" i="20"/>
  <c r="D287" i="20"/>
  <c r="I287" i="20"/>
  <c r="J287" i="20"/>
  <c r="K287" i="20"/>
  <c r="L287" i="20"/>
  <c r="M287" i="20"/>
  <c r="B286" i="20"/>
  <c r="C286" i="20"/>
  <c r="D286" i="20"/>
  <c r="I286" i="20"/>
  <c r="J286" i="20"/>
  <c r="K286" i="20"/>
  <c r="L286" i="20"/>
  <c r="M286" i="20"/>
  <c r="B285" i="20"/>
  <c r="C285" i="20"/>
  <c r="D285" i="20"/>
  <c r="I285" i="20"/>
  <c r="J285" i="20"/>
  <c r="L285" i="20"/>
  <c r="M285" i="20"/>
  <c r="B284" i="20"/>
  <c r="C284" i="20"/>
  <c r="D284" i="20"/>
  <c r="I284" i="20"/>
  <c r="J284" i="20"/>
  <c r="K284" i="20"/>
  <c r="L284" i="20"/>
  <c r="M284" i="20"/>
  <c r="AD44" i="1"/>
  <c r="AF44" i="1" s="1"/>
  <c r="AB44" i="1" s="1"/>
  <c r="Y44" i="1"/>
  <c r="AK44" i="1"/>
  <c r="BM44" i="1"/>
  <c r="BO44" i="1" s="1"/>
  <c r="BL44" i="1" s="1"/>
  <c r="BH44" i="1"/>
  <c r="BJ44" i="1" s="1"/>
  <c r="BG44" i="1" s="1"/>
  <c r="AX44" i="1"/>
  <c r="AZ44" i="1" s="1"/>
  <c r="AV44" i="1" s="1"/>
  <c r="AS44" i="1"/>
  <c r="AU44" i="1" s="1"/>
  <c r="AR44" i="1" s="1"/>
  <c r="AN44" i="1"/>
  <c r="AP44" i="1" s="1"/>
  <c r="AL44" i="1" s="1"/>
  <c r="BC44" i="1"/>
  <c r="BE44" i="1" s="1"/>
  <c r="BB44" i="1" s="1"/>
  <c r="T44" i="1"/>
  <c r="V44" i="1" s="1"/>
  <c r="R44" i="1" s="1"/>
  <c r="O44" i="1"/>
  <c r="Q44" i="1" s="1"/>
  <c r="N44" i="1" s="1"/>
  <c r="J44" i="1"/>
  <c r="L44" i="1" s="1"/>
  <c r="I44" i="1" s="1"/>
  <c r="E44" i="1"/>
  <c r="G44" i="1" s="1"/>
  <c r="D44" i="1" s="1"/>
  <c r="Y43" i="1"/>
  <c r="AD43" i="1"/>
  <c r="AF43" i="1" s="1"/>
  <c r="AB43" i="1" s="1"/>
  <c r="AK43" i="1"/>
  <c r="BM43" i="1"/>
  <c r="BO43" i="1" s="1"/>
  <c r="BL43" i="1" s="1"/>
  <c r="BH43" i="1"/>
  <c r="BJ43" i="1" s="1"/>
  <c r="BG43" i="1" s="1"/>
  <c r="AX43" i="1"/>
  <c r="AZ43" i="1" s="1"/>
  <c r="AV43" i="1" s="1"/>
  <c r="AS43" i="1"/>
  <c r="AU43" i="1" s="1"/>
  <c r="AR43" i="1" s="1"/>
  <c r="AN43" i="1"/>
  <c r="AP43" i="1" s="1"/>
  <c r="AL43" i="1" s="1"/>
  <c r="BC43" i="1"/>
  <c r="BE43" i="1" s="1"/>
  <c r="BB43" i="1" s="1"/>
  <c r="T43" i="1"/>
  <c r="V43" i="1" s="1"/>
  <c r="R43" i="1" s="1"/>
  <c r="O43" i="1"/>
  <c r="Q43" i="1" s="1"/>
  <c r="N43" i="1" s="1"/>
  <c r="J43" i="1"/>
  <c r="L43" i="1" s="1"/>
  <c r="I43" i="1" s="1"/>
  <c r="E43" i="1"/>
  <c r="G43" i="1" s="1"/>
  <c r="D43" i="1" s="1"/>
  <c r="B283" i="20"/>
  <c r="C283" i="20"/>
  <c r="D283" i="20"/>
  <c r="I283" i="20"/>
  <c r="J283" i="20"/>
  <c r="K283" i="20"/>
  <c r="L283" i="20"/>
  <c r="M283" i="20"/>
  <c r="B282" i="20"/>
  <c r="C282" i="20"/>
  <c r="D282" i="20"/>
  <c r="I282" i="20"/>
  <c r="J282" i="20"/>
  <c r="K282" i="20"/>
  <c r="L282" i="20"/>
  <c r="M282" i="20"/>
  <c r="B281" i="20"/>
  <c r="C281" i="20"/>
  <c r="D281" i="20"/>
  <c r="I281" i="20"/>
  <c r="J281" i="20"/>
  <c r="K281" i="20"/>
  <c r="L281" i="20"/>
  <c r="M281" i="20"/>
  <c r="B280" i="20"/>
  <c r="C280" i="20"/>
  <c r="D280" i="20"/>
  <c r="I280" i="20"/>
  <c r="J280" i="20"/>
  <c r="L280" i="20"/>
  <c r="M280" i="20"/>
  <c r="B279" i="20"/>
  <c r="C279" i="20"/>
  <c r="D279" i="20"/>
  <c r="I279" i="20"/>
  <c r="J279" i="20"/>
  <c r="K279" i="20"/>
  <c r="L279" i="20"/>
  <c r="M279" i="20"/>
  <c r="B278" i="20"/>
  <c r="C278" i="20"/>
  <c r="D278" i="20"/>
  <c r="I278" i="20"/>
  <c r="J278" i="20"/>
  <c r="K278" i="20"/>
  <c r="L278" i="20"/>
  <c r="M278" i="20"/>
  <c r="B277" i="20"/>
  <c r="C277" i="20"/>
  <c r="D277" i="20"/>
  <c r="I277" i="20"/>
  <c r="J277" i="20"/>
  <c r="K277" i="20"/>
  <c r="L277" i="20"/>
  <c r="M277" i="20"/>
  <c r="B276" i="20"/>
  <c r="C276" i="20"/>
  <c r="D276" i="20"/>
  <c r="I276" i="20"/>
  <c r="J276" i="20"/>
  <c r="L276" i="20"/>
  <c r="M276" i="20"/>
  <c r="B275" i="20"/>
  <c r="C275" i="20"/>
  <c r="D275" i="20"/>
  <c r="I275" i="20"/>
  <c r="J275" i="20"/>
  <c r="K275" i="20"/>
  <c r="L275" i="20"/>
  <c r="M275" i="20"/>
  <c r="AK42" i="1"/>
  <c r="Y42" i="1"/>
  <c r="BM42" i="1"/>
  <c r="BO42" i="1" s="1"/>
  <c r="BL42" i="1" s="1"/>
  <c r="BH42" i="1"/>
  <c r="BJ42" i="1" s="1"/>
  <c r="BG42" i="1" s="1"/>
  <c r="AS42" i="1"/>
  <c r="AU42" i="1" s="1"/>
  <c r="AR42" i="1" s="1"/>
  <c r="AN42" i="1"/>
  <c r="AP42" i="1" s="1"/>
  <c r="AL42" i="1" s="1"/>
  <c r="BC42" i="1"/>
  <c r="BE42" i="1" s="1"/>
  <c r="BB42" i="1" s="1"/>
  <c r="T42" i="1"/>
  <c r="V42" i="1" s="1"/>
  <c r="R42" i="1" s="1"/>
  <c r="O42" i="1"/>
  <c r="Q42" i="1" s="1"/>
  <c r="N42" i="1" s="1"/>
  <c r="J42" i="1"/>
  <c r="L42" i="1" s="1"/>
  <c r="I42" i="1" s="1"/>
  <c r="E42" i="1"/>
  <c r="G42" i="1" s="1"/>
  <c r="D42" i="1" s="1"/>
  <c r="CO44" i="1"/>
  <c r="BH41" i="1"/>
  <c r="BJ41" i="1" s="1"/>
  <c r="BG41" i="1" s="1"/>
  <c r="B274" i="20"/>
  <c r="C274" i="20"/>
  <c r="D274" i="20"/>
  <c r="I274" i="20"/>
  <c r="J274" i="20"/>
  <c r="K274" i="20"/>
  <c r="L274" i="20"/>
  <c r="M274" i="20"/>
  <c r="B273" i="20"/>
  <c r="C273" i="20"/>
  <c r="D273" i="20"/>
  <c r="I273" i="20"/>
  <c r="J273" i="20"/>
  <c r="K273" i="20"/>
  <c r="L273" i="20"/>
  <c r="M273" i="20"/>
  <c r="B272" i="20"/>
  <c r="C272" i="20"/>
  <c r="D272" i="20"/>
  <c r="I272" i="20"/>
  <c r="J272" i="20"/>
  <c r="L272" i="20"/>
  <c r="M272" i="20"/>
  <c r="B271" i="20"/>
  <c r="C271" i="20"/>
  <c r="D271" i="20"/>
  <c r="I271" i="20"/>
  <c r="J271" i="20"/>
  <c r="K271" i="20"/>
  <c r="L271" i="20"/>
  <c r="M271" i="20"/>
  <c r="B270" i="20"/>
  <c r="C270" i="20"/>
  <c r="D270" i="20"/>
  <c r="I270" i="20"/>
  <c r="J270" i="20"/>
  <c r="K270" i="20"/>
  <c r="L270" i="20"/>
  <c r="M270" i="20"/>
  <c r="B269" i="20"/>
  <c r="C269" i="20"/>
  <c r="D269" i="20"/>
  <c r="I269" i="20"/>
  <c r="J269" i="20"/>
  <c r="L269" i="20"/>
  <c r="M269" i="20"/>
  <c r="B268" i="20"/>
  <c r="C268" i="20"/>
  <c r="D268" i="20"/>
  <c r="I268" i="20"/>
  <c r="J268" i="20"/>
  <c r="K268" i="20"/>
  <c r="L268" i="20"/>
  <c r="M268" i="20"/>
  <c r="B267" i="20"/>
  <c r="C267" i="20"/>
  <c r="D267" i="20"/>
  <c r="I267" i="20"/>
  <c r="J267" i="20"/>
  <c r="K267" i="20"/>
  <c r="L267" i="20"/>
  <c r="M267" i="20"/>
  <c r="B266" i="20"/>
  <c r="C266" i="20"/>
  <c r="D266" i="20"/>
  <c r="I266" i="20"/>
  <c r="J266" i="20"/>
  <c r="K266" i="20"/>
  <c r="L266" i="20"/>
  <c r="M266" i="20"/>
  <c r="Y41" i="1"/>
  <c r="AD41" i="1"/>
  <c r="AF41" i="1" s="1"/>
  <c r="AB41" i="1" s="1"/>
  <c r="AK41" i="1"/>
  <c r="T41" i="1"/>
  <c r="V41" i="1" s="1"/>
  <c r="R41" i="1" s="1"/>
  <c r="O41" i="1"/>
  <c r="Q41" i="1" s="1"/>
  <c r="N41" i="1" s="1"/>
  <c r="J41" i="1"/>
  <c r="L41" i="1" s="1"/>
  <c r="I41" i="1" s="1"/>
  <c r="E41" i="1"/>
  <c r="G41" i="1" s="1"/>
  <c r="D41" i="1" s="1"/>
  <c r="B265" i="20"/>
  <c r="C265" i="20"/>
  <c r="D265" i="20"/>
  <c r="I265" i="20"/>
  <c r="J265" i="20"/>
  <c r="K265" i="20"/>
  <c r="L265" i="20"/>
  <c r="M265" i="20"/>
  <c r="B264" i="20"/>
  <c r="C264" i="20"/>
  <c r="D264" i="20"/>
  <c r="I264" i="20"/>
  <c r="J264" i="20"/>
  <c r="K264" i="20"/>
  <c r="L264" i="20"/>
  <c r="M264" i="20"/>
  <c r="B263" i="20"/>
  <c r="C263" i="20"/>
  <c r="D263" i="20"/>
  <c r="I263" i="20"/>
  <c r="J263" i="20"/>
  <c r="K263" i="20"/>
  <c r="L263" i="20"/>
  <c r="M263" i="20"/>
  <c r="B262" i="20"/>
  <c r="C262" i="20"/>
  <c r="D262" i="20"/>
  <c r="I262" i="20"/>
  <c r="J262" i="20"/>
  <c r="L262" i="20"/>
  <c r="M262" i="20"/>
  <c r="B261" i="20"/>
  <c r="C261" i="20"/>
  <c r="D261" i="20"/>
  <c r="I261" i="20"/>
  <c r="J261" i="20"/>
  <c r="K261" i="20"/>
  <c r="L261" i="20"/>
  <c r="M261" i="20"/>
  <c r="B260" i="20"/>
  <c r="C260" i="20"/>
  <c r="D260" i="20"/>
  <c r="I260" i="20"/>
  <c r="J260" i="20"/>
  <c r="K260" i="20"/>
  <c r="L260" i="20"/>
  <c r="M260" i="20"/>
  <c r="B259" i="20"/>
  <c r="C259" i="20"/>
  <c r="D259" i="20"/>
  <c r="I259" i="20"/>
  <c r="J259" i="20"/>
  <c r="K259" i="20"/>
  <c r="L259" i="20"/>
  <c r="M259" i="20"/>
  <c r="B258" i="20"/>
  <c r="C258" i="20"/>
  <c r="D258" i="20"/>
  <c r="I258" i="20"/>
  <c r="J258" i="20"/>
  <c r="K258" i="20"/>
  <c r="L258" i="20"/>
  <c r="M258" i="20"/>
  <c r="B257" i="20"/>
  <c r="C257" i="20"/>
  <c r="D257" i="20"/>
  <c r="I257" i="20"/>
  <c r="J257" i="20"/>
  <c r="K257" i="20"/>
  <c r="L257" i="20"/>
  <c r="M257" i="20"/>
  <c r="B256" i="20"/>
  <c r="C256" i="20"/>
  <c r="D256" i="20"/>
  <c r="I256" i="20"/>
  <c r="J256" i="20"/>
  <c r="K256" i="20"/>
  <c r="L256" i="20"/>
  <c r="M256" i="20"/>
  <c r="B255" i="20"/>
  <c r="C255" i="20"/>
  <c r="D255" i="20"/>
  <c r="I255" i="20"/>
  <c r="J255" i="20"/>
  <c r="K255" i="20"/>
  <c r="L255" i="20"/>
  <c r="M255" i="20"/>
  <c r="B254" i="20"/>
  <c r="C254" i="20"/>
  <c r="D254" i="20"/>
  <c r="I254" i="20"/>
  <c r="J254" i="20"/>
  <c r="L254" i="20"/>
  <c r="M254" i="20"/>
  <c r="AD40" i="1"/>
  <c r="AF40" i="1" s="1"/>
  <c r="AB40" i="1" s="1"/>
  <c r="Y40" i="1"/>
  <c r="AK40" i="1"/>
  <c r="AX40" i="1"/>
  <c r="AZ40" i="1" s="1"/>
  <c r="AV40" i="1" s="1"/>
  <c r="AS40" i="1"/>
  <c r="AU40" i="1" s="1"/>
  <c r="AR40" i="1" s="1"/>
  <c r="AN40" i="1"/>
  <c r="AP40" i="1" s="1"/>
  <c r="AL40" i="1" s="1"/>
  <c r="O40" i="1"/>
  <c r="Q40" i="1" s="1"/>
  <c r="N40" i="1" s="1"/>
  <c r="J40" i="1"/>
  <c r="L40" i="1" s="1"/>
  <c r="I40" i="1" s="1"/>
  <c r="T40" i="1"/>
  <c r="V40" i="1" s="1"/>
  <c r="R40" i="1" s="1"/>
  <c r="J22" i="19"/>
  <c r="J21" i="19"/>
  <c r="J20" i="19"/>
  <c r="B253" i="20"/>
  <c r="C253" i="20"/>
  <c r="D253" i="20"/>
  <c r="I253" i="20"/>
  <c r="J253" i="20"/>
  <c r="K253" i="20"/>
  <c r="L253" i="20"/>
  <c r="M253" i="20"/>
  <c r="B252" i="20"/>
  <c r="C252" i="20"/>
  <c r="D252" i="20"/>
  <c r="I252" i="20"/>
  <c r="J252" i="20"/>
  <c r="L252" i="20"/>
  <c r="M252" i="20"/>
  <c r="B251" i="20"/>
  <c r="C251" i="20"/>
  <c r="D251" i="20"/>
  <c r="I251" i="20"/>
  <c r="J251" i="20"/>
  <c r="K251" i="20"/>
  <c r="L251" i="20"/>
  <c r="M251" i="20"/>
  <c r="B250" i="20"/>
  <c r="C250" i="20"/>
  <c r="D250" i="20"/>
  <c r="I250" i="20"/>
  <c r="J250" i="20"/>
  <c r="L250" i="20"/>
  <c r="M250" i="20"/>
  <c r="B249" i="20"/>
  <c r="C249" i="20"/>
  <c r="D249" i="20"/>
  <c r="I249" i="20"/>
  <c r="J249" i="20"/>
  <c r="K249" i="20"/>
  <c r="L249" i="20"/>
  <c r="M249" i="20"/>
  <c r="B248" i="20"/>
  <c r="C248" i="20"/>
  <c r="D248" i="20"/>
  <c r="I248" i="20"/>
  <c r="J248" i="20"/>
  <c r="K248" i="20"/>
  <c r="L248" i="20"/>
  <c r="M248" i="20"/>
  <c r="B247" i="20"/>
  <c r="C247" i="20"/>
  <c r="D247" i="20"/>
  <c r="I247" i="20"/>
  <c r="J247" i="20"/>
  <c r="L247" i="20"/>
  <c r="M247" i="20"/>
  <c r="B246" i="20"/>
  <c r="C246" i="20"/>
  <c r="D246" i="20"/>
  <c r="I246" i="20"/>
  <c r="J246" i="20"/>
  <c r="K246" i="20"/>
  <c r="L246" i="20"/>
  <c r="M246" i="20"/>
  <c r="B245" i="20"/>
  <c r="C245" i="20"/>
  <c r="D245" i="20"/>
  <c r="I245" i="20"/>
  <c r="J245" i="20"/>
  <c r="K245" i="20"/>
  <c r="L245" i="20"/>
  <c r="M245" i="20"/>
  <c r="B244" i="20"/>
  <c r="C244" i="20"/>
  <c r="D244" i="20"/>
  <c r="I244" i="20"/>
  <c r="J244" i="20"/>
  <c r="L244" i="20"/>
  <c r="M244" i="20"/>
  <c r="B243" i="20"/>
  <c r="C243" i="20"/>
  <c r="D243" i="20"/>
  <c r="I243" i="20"/>
  <c r="J243" i="20"/>
  <c r="K243" i="20"/>
  <c r="L243" i="20"/>
  <c r="M243" i="20"/>
  <c r="B242" i="20"/>
  <c r="C242" i="20"/>
  <c r="D242" i="20"/>
  <c r="I242" i="20"/>
  <c r="J242" i="20"/>
  <c r="L242" i="20"/>
  <c r="M242" i="20"/>
  <c r="B241" i="20"/>
  <c r="C241" i="20"/>
  <c r="D241" i="20"/>
  <c r="I241" i="20"/>
  <c r="J241" i="20"/>
  <c r="K241" i="20"/>
  <c r="L241" i="20"/>
  <c r="M241" i="20"/>
  <c r="Y39" i="1"/>
  <c r="AK39" i="1"/>
  <c r="AD39" i="1"/>
  <c r="AF39" i="1" s="1"/>
  <c r="AB39" i="1" s="1"/>
  <c r="BM39" i="1"/>
  <c r="BO39" i="1" s="1"/>
  <c r="BL39" i="1" s="1"/>
  <c r="BH39" i="1"/>
  <c r="BJ39" i="1" s="1"/>
  <c r="BG39" i="1" s="1"/>
  <c r="BC39" i="1"/>
  <c r="BE39" i="1" s="1"/>
  <c r="BB39" i="1" s="1"/>
  <c r="AX39" i="1"/>
  <c r="AZ39" i="1" s="1"/>
  <c r="AV39" i="1" s="1"/>
  <c r="AS39" i="1"/>
  <c r="AU39" i="1" s="1"/>
  <c r="AR39" i="1" s="1"/>
  <c r="AN39" i="1"/>
  <c r="AP39" i="1" s="1"/>
  <c r="AL39" i="1" s="1"/>
  <c r="T39" i="1"/>
  <c r="V39" i="1" s="1"/>
  <c r="R39" i="1" s="1"/>
  <c r="O39" i="1"/>
  <c r="Q39" i="1" s="1"/>
  <c r="N39" i="1" s="1"/>
  <c r="J39" i="1"/>
  <c r="L39" i="1" s="1"/>
  <c r="I39" i="1" s="1"/>
  <c r="E39" i="1"/>
  <c r="G39" i="1" s="1"/>
  <c r="D39" i="1" s="1"/>
  <c r="U67" i="35"/>
  <c r="T67" i="35" s="1"/>
  <c r="U68" i="35"/>
  <c r="T68" i="35" s="1"/>
  <c r="U69" i="35"/>
  <c r="T69" i="35" s="1"/>
  <c r="AJ14" i="35"/>
  <c r="AJ15" i="35" s="1"/>
  <c r="AJ16" i="35" s="1"/>
  <c r="AJ17" i="35" s="1"/>
  <c r="AJ18" i="35" s="1"/>
  <c r="AJ19" i="35" s="1"/>
  <c r="AJ20" i="35" s="1"/>
  <c r="AJ21" i="35" s="1"/>
  <c r="AJ22" i="35" s="1"/>
  <c r="AJ23" i="35" s="1"/>
  <c r="AJ24" i="35" s="1"/>
  <c r="AJ25" i="35" s="1"/>
  <c r="AJ26" i="35" s="1"/>
  <c r="AJ27" i="35" s="1"/>
  <c r="AJ28" i="35" s="1"/>
  <c r="AJ29" i="35" s="1"/>
  <c r="AJ30" i="35" s="1"/>
  <c r="AJ31" i="35" s="1"/>
  <c r="AJ32" i="35" s="1"/>
  <c r="AJ33" i="35" s="1"/>
  <c r="AJ34" i="35" s="1"/>
  <c r="AJ35" i="35" s="1"/>
  <c r="AJ36" i="35" s="1"/>
  <c r="AJ37" i="35" s="1"/>
  <c r="AJ38" i="35" s="1"/>
  <c r="AJ39" i="35" s="1"/>
  <c r="AJ40" i="35" s="1"/>
  <c r="AJ41" i="35" s="1"/>
  <c r="AJ42" i="35" s="1"/>
  <c r="AJ43" i="35" s="1"/>
  <c r="AJ44" i="35" s="1"/>
  <c r="AJ61" i="35"/>
  <c r="AJ62" i="35" s="1"/>
  <c r="AJ63" i="35" s="1"/>
  <c r="AJ64" i="35" s="1"/>
  <c r="AJ65" i="35" s="1"/>
  <c r="AJ66" i="35" s="1"/>
  <c r="AJ67" i="35" s="1"/>
  <c r="AJ68" i="35" s="1"/>
  <c r="AJ69" i="35" s="1"/>
  <c r="AJ70" i="35" s="1"/>
  <c r="AJ71" i="35" s="1"/>
  <c r="AJ72" i="35" s="1"/>
  <c r="AJ73" i="35" s="1"/>
  <c r="AJ74" i="35" s="1"/>
  <c r="AJ75" i="35" s="1"/>
  <c r="AJ76" i="35" s="1"/>
  <c r="AJ77" i="35" s="1"/>
  <c r="AJ78" i="35" s="1"/>
  <c r="AJ79" i="35" s="1"/>
  <c r="AJ80" i="35" s="1"/>
  <c r="AJ81" i="35" s="1"/>
  <c r="AJ82" i="35" s="1"/>
  <c r="AJ83" i="35" s="1"/>
  <c r="AJ84" i="35" s="1"/>
  <c r="AJ85" i="35" s="1"/>
  <c r="AJ86" i="35" s="1"/>
  <c r="AJ87" i="35" s="1"/>
  <c r="AJ88" i="35" s="1"/>
  <c r="AJ89" i="35" s="1"/>
  <c r="AJ90" i="35" s="1"/>
  <c r="AJ91" i="35" s="1"/>
  <c r="AJ108" i="35"/>
  <c r="AJ109" i="35" s="1"/>
  <c r="AJ110" i="35" s="1"/>
  <c r="AJ111" i="35" s="1"/>
  <c r="AJ112" i="35" s="1"/>
  <c r="AJ113" i="35" s="1"/>
  <c r="AJ114" i="35" s="1"/>
  <c r="AJ115" i="35" s="1"/>
  <c r="AJ116" i="35" s="1"/>
  <c r="AJ117" i="35" s="1"/>
  <c r="AJ118" i="35" s="1"/>
  <c r="AJ119" i="35" s="1"/>
  <c r="AJ120" i="35" s="1"/>
  <c r="AJ121" i="35" s="1"/>
  <c r="AJ122" i="35" s="1"/>
  <c r="AJ123" i="35" s="1"/>
  <c r="AJ124" i="35" s="1"/>
  <c r="AJ125" i="35" s="1"/>
  <c r="AJ126" i="35" s="1"/>
  <c r="AJ127" i="35" s="1"/>
  <c r="AJ128" i="35" s="1"/>
  <c r="AJ129" i="35" s="1"/>
  <c r="AJ130" i="35" s="1"/>
  <c r="AJ131" i="35" s="1"/>
  <c r="AJ132" i="35" s="1"/>
  <c r="AJ133" i="35" s="1"/>
  <c r="AJ134" i="35" s="1"/>
  <c r="AJ135" i="35" s="1"/>
  <c r="AJ136" i="35" s="1"/>
  <c r="AJ137" i="35" s="1"/>
  <c r="AJ138" i="35" s="1"/>
  <c r="S108" i="35"/>
  <c r="S109" i="35" s="1"/>
  <c r="S110" i="35" s="1"/>
  <c r="S111" i="35" s="1"/>
  <c r="S112" i="35" s="1"/>
  <c r="S113" i="35" s="1"/>
  <c r="S114" i="35" s="1"/>
  <c r="S115" i="35" s="1"/>
  <c r="S116" i="35" s="1"/>
  <c r="S117" i="35" s="1"/>
  <c r="S118" i="35" s="1"/>
  <c r="S119" i="35" s="1"/>
  <c r="S120" i="35" s="1"/>
  <c r="S121" i="35" s="1"/>
  <c r="S122" i="35" s="1"/>
  <c r="S123" i="35" s="1"/>
  <c r="S124" i="35" s="1"/>
  <c r="S125" i="35" s="1"/>
  <c r="S126" i="35" s="1"/>
  <c r="S127" i="35" s="1"/>
  <c r="S128" i="35" s="1"/>
  <c r="S129" i="35" s="1"/>
  <c r="S130" i="35" s="1"/>
  <c r="S131" i="35" s="1"/>
  <c r="S132" i="35" s="1"/>
  <c r="S133" i="35" s="1"/>
  <c r="S134" i="35" s="1"/>
  <c r="S135" i="35" s="1"/>
  <c r="S136" i="35" s="1"/>
  <c r="S137" i="35" s="1"/>
  <c r="S138" i="35" s="1"/>
  <c r="B108" i="35"/>
  <c r="S61" i="35"/>
  <c r="S62" i="35" s="1"/>
  <c r="S63" i="35" s="1"/>
  <c r="S64" i="35" s="1"/>
  <c r="S65" i="35" s="1"/>
  <c r="S66" i="35" s="1"/>
  <c r="S67" i="35" s="1"/>
  <c r="S68" i="35" s="1"/>
  <c r="S69" i="35" s="1"/>
  <c r="S70" i="35" s="1"/>
  <c r="S71" i="35" s="1"/>
  <c r="S72" i="35" s="1"/>
  <c r="S73" i="35" s="1"/>
  <c r="S74" i="35" s="1"/>
  <c r="S75" i="35" s="1"/>
  <c r="S76" i="35" s="1"/>
  <c r="S77" i="35" s="1"/>
  <c r="S78" i="35" s="1"/>
  <c r="S79" i="35" s="1"/>
  <c r="S80" i="35" s="1"/>
  <c r="S81" i="35" s="1"/>
  <c r="S82" i="35" s="1"/>
  <c r="S83" i="35" s="1"/>
  <c r="S84" i="35" s="1"/>
  <c r="S85" i="35" s="1"/>
  <c r="S86" i="35" s="1"/>
  <c r="S87" i="35" s="1"/>
  <c r="S88" i="35" s="1"/>
  <c r="S89" i="35" s="1"/>
  <c r="S90" i="35" s="1"/>
  <c r="S91" i="35" s="1"/>
  <c r="B61" i="35"/>
  <c r="S14" i="35"/>
  <c r="S15" i="35" s="1"/>
  <c r="S16" i="35" s="1"/>
  <c r="S17" i="35" s="1"/>
  <c r="S18" i="35" s="1"/>
  <c r="S19" i="35" s="1"/>
  <c r="S20" i="35" s="1"/>
  <c r="S21" i="35" s="1"/>
  <c r="S22" i="35" s="1"/>
  <c r="S23" i="35" s="1"/>
  <c r="S24" i="35" s="1"/>
  <c r="S25" i="35" s="1"/>
  <c r="S26" i="35" s="1"/>
  <c r="S27" i="35" s="1"/>
  <c r="S28" i="35" s="1"/>
  <c r="S29" i="35" s="1"/>
  <c r="S30" i="35" s="1"/>
  <c r="S31" i="35" s="1"/>
  <c r="S32" i="35" s="1"/>
  <c r="S33" i="35" s="1"/>
  <c r="S34" i="35" s="1"/>
  <c r="S35" i="35" s="1"/>
  <c r="S36" i="35" s="1"/>
  <c r="S37" i="35" s="1"/>
  <c r="S38" i="35" s="1"/>
  <c r="S39" i="35" s="1"/>
  <c r="S40" i="35" s="1"/>
  <c r="S41" i="35" s="1"/>
  <c r="S42" i="35" s="1"/>
  <c r="S43" i="35" s="1"/>
  <c r="S44" i="35" s="1"/>
  <c r="B14" i="35"/>
  <c r="B15" i="35" s="1"/>
  <c r="B16" i="35" s="1"/>
  <c r="B17" i="35" s="1"/>
  <c r="B18" i="35" s="1"/>
  <c r="B19" i="35" s="1"/>
  <c r="B20" i="35" s="1"/>
  <c r="B21" i="35" s="1"/>
  <c r="B22" i="35" s="1"/>
  <c r="B23" i="35" s="1"/>
  <c r="B24" i="35" s="1"/>
  <c r="B25" i="35" s="1"/>
  <c r="B26" i="35" s="1"/>
  <c r="B27" i="35" s="1"/>
  <c r="B28" i="35" s="1"/>
  <c r="B29" i="35" s="1"/>
  <c r="B30" i="35" s="1"/>
  <c r="B31" i="35" s="1"/>
  <c r="B32" i="35" s="1"/>
  <c r="B33" i="35" s="1"/>
  <c r="B34" i="35" s="1"/>
  <c r="B35" i="35" s="1"/>
  <c r="B36" i="35" s="1"/>
  <c r="B37" i="35" s="1"/>
  <c r="B38" i="35" s="1"/>
  <c r="B39" i="35" s="1"/>
  <c r="B40" i="35" s="1"/>
  <c r="B41" i="35" s="1"/>
  <c r="B42" i="35" s="1"/>
  <c r="B43" i="35" s="1"/>
  <c r="B44" i="35" s="1"/>
  <c r="B240" i="20"/>
  <c r="C240" i="20"/>
  <c r="D240" i="20"/>
  <c r="I240" i="20"/>
  <c r="J240" i="20"/>
  <c r="K240" i="20"/>
  <c r="L240" i="20"/>
  <c r="M240" i="20"/>
  <c r="B239" i="20"/>
  <c r="C239" i="20"/>
  <c r="D239" i="20"/>
  <c r="I239" i="20"/>
  <c r="J239" i="20"/>
  <c r="L239" i="20"/>
  <c r="M239" i="20"/>
  <c r="B238" i="20"/>
  <c r="C238" i="20"/>
  <c r="D238" i="20"/>
  <c r="I238" i="20"/>
  <c r="J238" i="20"/>
  <c r="K238" i="20"/>
  <c r="L238" i="20"/>
  <c r="M238" i="20"/>
  <c r="B237" i="20"/>
  <c r="C237" i="20"/>
  <c r="D237" i="20"/>
  <c r="I237" i="20"/>
  <c r="J237" i="20"/>
  <c r="K237" i="20"/>
  <c r="L237" i="20"/>
  <c r="M237" i="20"/>
  <c r="B236" i="20"/>
  <c r="C236" i="20"/>
  <c r="D236" i="20"/>
  <c r="I236" i="20"/>
  <c r="J236" i="20"/>
  <c r="K236" i="20"/>
  <c r="L236" i="20"/>
  <c r="M236" i="20"/>
  <c r="B235" i="20"/>
  <c r="C235" i="20"/>
  <c r="D235" i="20"/>
  <c r="I235" i="20"/>
  <c r="J235" i="20"/>
  <c r="L235" i="20"/>
  <c r="M235" i="20"/>
  <c r="B234" i="20"/>
  <c r="C234" i="20"/>
  <c r="D234" i="20"/>
  <c r="I234" i="20"/>
  <c r="J234" i="20"/>
  <c r="K234" i="20"/>
  <c r="L234" i="20"/>
  <c r="M234" i="20"/>
  <c r="B233" i="20"/>
  <c r="C233" i="20"/>
  <c r="D233" i="20"/>
  <c r="I233" i="20"/>
  <c r="J233" i="20"/>
  <c r="K233" i="20"/>
  <c r="L233" i="20"/>
  <c r="M233" i="20"/>
  <c r="B232" i="20"/>
  <c r="C232" i="20"/>
  <c r="D232" i="20"/>
  <c r="I232" i="20"/>
  <c r="J232" i="20"/>
  <c r="K232" i="20"/>
  <c r="L232" i="20"/>
  <c r="M232" i="20"/>
  <c r="B231" i="20"/>
  <c r="C231" i="20"/>
  <c r="D231" i="20"/>
  <c r="I231" i="20"/>
  <c r="J231" i="20"/>
  <c r="K231" i="20"/>
  <c r="L231" i="20"/>
  <c r="M231" i="20"/>
  <c r="B230" i="20"/>
  <c r="C230" i="20"/>
  <c r="D230" i="20"/>
  <c r="I230" i="20"/>
  <c r="J230" i="20"/>
  <c r="L230" i="20"/>
  <c r="M230" i="20"/>
  <c r="B229" i="20"/>
  <c r="C229" i="20"/>
  <c r="D229" i="20"/>
  <c r="I229" i="20"/>
  <c r="J229" i="20"/>
  <c r="K229" i="20"/>
  <c r="L229" i="20"/>
  <c r="M229" i="20"/>
  <c r="B228" i="20"/>
  <c r="C228" i="20"/>
  <c r="D228" i="20"/>
  <c r="I228" i="20"/>
  <c r="J228" i="20"/>
  <c r="L228" i="20"/>
  <c r="M228" i="20"/>
  <c r="B227" i="20"/>
  <c r="C227" i="20"/>
  <c r="D227" i="20"/>
  <c r="I227" i="20"/>
  <c r="J227" i="20"/>
  <c r="K227" i="20"/>
  <c r="L227" i="20"/>
  <c r="M227" i="20"/>
  <c r="B226" i="20"/>
  <c r="C226" i="20"/>
  <c r="D226" i="20"/>
  <c r="I226" i="20"/>
  <c r="J226" i="20"/>
  <c r="K226" i="20"/>
  <c r="L226" i="20"/>
  <c r="M226" i="20"/>
  <c r="Y38" i="1"/>
  <c r="AA38" i="1" s="1"/>
  <c r="W38" i="1" s="1"/>
  <c r="AD38" i="1"/>
  <c r="AF38" i="1" s="1"/>
  <c r="AB38" i="1" s="1"/>
  <c r="AK38" i="1"/>
  <c r="BM38" i="1"/>
  <c r="BO38" i="1" s="1"/>
  <c r="BL38" i="1" s="1"/>
  <c r="BH38" i="1"/>
  <c r="BJ38" i="1" s="1"/>
  <c r="BG38" i="1" s="1"/>
  <c r="AX38" i="1"/>
  <c r="AZ38" i="1" s="1"/>
  <c r="AV38" i="1" s="1"/>
  <c r="AS38" i="1"/>
  <c r="AU38" i="1" s="1"/>
  <c r="AR38" i="1" s="1"/>
  <c r="AN38" i="1"/>
  <c r="AP38" i="1" s="1"/>
  <c r="AL38" i="1" s="1"/>
  <c r="O38" i="1"/>
  <c r="Q38" i="1" s="1"/>
  <c r="N38" i="1" s="1"/>
  <c r="J38" i="1"/>
  <c r="L38" i="1" s="1"/>
  <c r="I38" i="1" s="1"/>
  <c r="T38" i="1"/>
  <c r="V38" i="1" s="1"/>
  <c r="R38" i="1" s="1"/>
  <c r="AA52" i="1" l="1"/>
  <c r="W52" i="1" s="1"/>
  <c r="AA61" i="1"/>
  <c r="AA60" i="1"/>
  <c r="AA59" i="1"/>
  <c r="W59" i="1" s="1"/>
  <c r="AA47" i="1"/>
  <c r="W47" i="1" s="1"/>
  <c r="AA67" i="1"/>
  <c r="W67" i="1" s="1"/>
  <c r="AA66" i="1"/>
  <c r="AA63" i="1"/>
  <c r="W63" i="1" s="1"/>
  <c r="AA56" i="1"/>
  <c r="AA53" i="1"/>
  <c r="W53" i="1" s="1"/>
  <c r="AA64" i="1"/>
  <c r="W64" i="1" s="1"/>
  <c r="AA44" i="1"/>
  <c r="W44" i="1" s="1"/>
  <c r="AA65" i="1"/>
  <c r="W65" i="1" s="1"/>
  <c r="AA49" i="1"/>
  <c r="W49" i="1" s="1"/>
  <c r="AA58" i="1"/>
  <c r="W58" i="1" s="1"/>
  <c r="W66" i="1"/>
  <c r="W62" i="1"/>
  <c r="W60" i="1"/>
  <c r="W61" i="1"/>
  <c r="AA51" i="1"/>
  <c r="W51" i="1" s="1"/>
  <c r="AA50" i="1"/>
  <c r="W50" i="1" s="1"/>
  <c r="AA48" i="1"/>
  <c r="W48" i="1" s="1"/>
  <c r="AA46" i="1"/>
  <c r="W46" i="1" s="1"/>
  <c r="AA54" i="1"/>
  <c r="W54" i="1" s="1"/>
  <c r="AA55" i="1"/>
  <c r="W55" i="1" s="1"/>
  <c r="AA43" i="1"/>
  <c r="W43" i="1" s="1"/>
  <c r="AA42" i="1"/>
  <c r="W42" i="1" s="1"/>
  <c r="AA40" i="1"/>
  <c r="W40" i="1" s="1"/>
  <c r="AA41" i="1"/>
  <c r="W41" i="1" s="1"/>
  <c r="AA39" i="1"/>
  <c r="W39" i="1" s="1"/>
  <c r="B109" i="35"/>
  <c r="B62" i="35"/>
  <c r="B110" i="35" l="1"/>
  <c r="B63" i="35"/>
  <c r="B111" i="35" l="1"/>
  <c r="B64" i="35"/>
  <c r="B112" i="35" l="1"/>
  <c r="B65" i="35"/>
  <c r="B113" i="35" l="1"/>
  <c r="B66" i="35"/>
  <c r="P122" i="38"/>
  <c r="I122" i="38"/>
  <c r="B122" i="38"/>
  <c r="P82" i="38"/>
  <c r="I82" i="38"/>
  <c r="B82" i="38"/>
  <c r="P44" i="38"/>
  <c r="I44" i="38"/>
  <c r="B44" i="38"/>
  <c r="B42" i="38" s="1"/>
  <c r="P6" i="38"/>
  <c r="I6" i="38"/>
  <c r="B6" i="38"/>
  <c r="G6" i="38" l="1"/>
  <c r="G122" i="38"/>
  <c r="G44" i="38"/>
  <c r="E44" i="38"/>
  <c r="G82" i="38"/>
  <c r="E82" i="38"/>
  <c r="I80" i="38"/>
  <c r="L82" i="38"/>
  <c r="N82" i="38"/>
  <c r="N6" i="38"/>
  <c r="N44" i="38"/>
  <c r="L44" i="38"/>
  <c r="P45" i="38"/>
  <c r="U44" i="38"/>
  <c r="S44" i="38"/>
  <c r="U82" i="38"/>
  <c r="T82" i="38"/>
  <c r="S82" i="38"/>
  <c r="N122" i="38"/>
  <c r="P123" i="38"/>
  <c r="U122" i="38"/>
  <c r="B114" i="35"/>
  <c r="B67" i="35"/>
  <c r="P7" i="38"/>
  <c r="P8" i="38" s="1"/>
  <c r="I42" i="38"/>
  <c r="P42" i="38"/>
  <c r="P83" i="38"/>
  <c r="P84" i="38" s="1"/>
  <c r="I120" i="38"/>
  <c r="D6" i="38"/>
  <c r="I4" i="38"/>
  <c r="B45" i="38"/>
  <c r="B46" i="38" s="1"/>
  <c r="I45" i="38"/>
  <c r="I46" i="38" s="1"/>
  <c r="I83" i="38"/>
  <c r="I7" i="38"/>
  <c r="B123" i="38"/>
  <c r="G123" i="38" s="1"/>
  <c r="I123" i="38"/>
  <c r="B83" i="38"/>
  <c r="B4" i="38"/>
  <c r="B7" i="38"/>
  <c r="G7" i="38" s="1"/>
  <c r="P120" i="38"/>
  <c r="P4" i="38"/>
  <c r="B120" i="38"/>
  <c r="B80" i="38"/>
  <c r="P80" i="38"/>
  <c r="G46" i="38" l="1"/>
  <c r="E46" i="38"/>
  <c r="E83" i="38"/>
  <c r="G83" i="38"/>
  <c r="G45" i="38"/>
  <c r="E45" i="38"/>
  <c r="U84" i="38"/>
  <c r="T84" i="38"/>
  <c r="S84" i="38"/>
  <c r="U8" i="38"/>
  <c r="N46" i="38"/>
  <c r="L46" i="38"/>
  <c r="U123" i="38"/>
  <c r="P124" i="38"/>
  <c r="P125" i="38" s="1"/>
  <c r="N123" i="38"/>
  <c r="P46" i="38"/>
  <c r="U45" i="38"/>
  <c r="S45" i="38"/>
  <c r="N7" i="38"/>
  <c r="D7" i="38"/>
  <c r="L83" i="38"/>
  <c r="N83" i="38"/>
  <c r="N45" i="38"/>
  <c r="L45" i="38"/>
  <c r="U7" i="38"/>
  <c r="S83" i="38"/>
  <c r="U83" i="38"/>
  <c r="T83" i="38"/>
  <c r="B115" i="35"/>
  <c r="B68" i="35"/>
  <c r="I84" i="38"/>
  <c r="I85" i="38" s="1"/>
  <c r="I8" i="38"/>
  <c r="I124" i="38"/>
  <c r="B124" i="38"/>
  <c r="G124" i="38" s="1"/>
  <c r="B84" i="38"/>
  <c r="P85" i="38"/>
  <c r="B8" i="38"/>
  <c r="G8" i="38" s="1"/>
  <c r="B47" i="38"/>
  <c r="I47" i="38"/>
  <c r="P9" i="38"/>
  <c r="E84" i="38" l="1"/>
  <c r="G84" i="38"/>
  <c r="G47" i="38"/>
  <c r="E47" i="38"/>
  <c r="U9" i="38"/>
  <c r="U124" i="38"/>
  <c r="S46" i="38"/>
  <c r="U46" i="38"/>
  <c r="P47" i="38"/>
  <c r="N85" i="38"/>
  <c r="L85" i="38"/>
  <c r="L47" i="38"/>
  <c r="N47" i="38"/>
  <c r="U125" i="38"/>
  <c r="D8" i="38"/>
  <c r="N8" i="38"/>
  <c r="N124" i="38"/>
  <c r="L84" i="38"/>
  <c r="N84" i="38"/>
  <c r="T85" i="38"/>
  <c r="S85" i="38"/>
  <c r="U85" i="38"/>
  <c r="B116" i="35"/>
  <c r="B69" i="35"/>
  <c r="I9" i="38"/>
  <c r="I10" i="38" s="1"/>
  <c r="B85" i="38"/>
  <c r="B125" i="38"/>
  <c r="G125" i="38" s="1"/>
  <c r="I125" i="38"/>
  <c r="P126" i="38"/>
  <c r="P10" i="38"/>
  <c r="I48" i="38"/>
  <c r="B48" i="38"/>
  <c r="I86" i="38"/>
  <c r="P86" i="38"/>
  <c r="B9" i="38"/>
  <c r="G9" i="38" s="1"/>
  <c r="E48" i="38" l="1"/>
  <c r="G48" i="38"/>
  <c r="E85" i="38"/>
  <c r="G85" i="38"/>
  <c r="S86" i="38"/>
  <c r="T86" i="38"/>
  <c r="U86" i="38"/>
  <c r="U126" i="38"/>
  <c r="N10" i="38"/>
  <c r="L86" i="38"/>
  <c r="N86" i="38"/>
  <c r="N125" i="38"/>
  <c r="S47" i="38"/>
  <c r="U47" i="38"/>
  <c r="P48" i="38"/>
  <c r="U10" i="38"/>
  <c r="L48" i="38"/>
  <c r="N48" i="38"/>
  <c r="N9" i="38"/>
  <c r="D9" i="38"/>
  <c r="B117" i="35"/>
  <c r="B70" i="35"/>
  <c r="B126" i="38"/>
  <c r="G126" i="38" s="1"/>
  <c r="I126" i="38"/>
  <c r="B86" i="38"/>
  <c r="P11" i="38"/>
  <c r="P87" i="38"/>
  <c r="I11" i="38"/>
  <c r="B10" i="38"/>
  <c r="G10" i="38" s="1"/>
  <c r="I87" i="38"/>
  <c r="P127" i="38"/>
  <c r="B49" i="38"/>
  <c r="I49" i="38"/>
  <c r="E86" i="38" l="1"/>
  <c r="G86" i="38"/>
  <c r="D10" i="38"/>
  <c r="E49" i="38"/>
  <c r="G49" i="38"/>
  <c r="N11" i="38"/>
  <c r="N49" i="38"/>
  <c r="L49" i="38"/>
  <c r="L87" i="38"/>
  <c r="N87" i="38"/>
  <c r="U127" i="38"/>
  <c r="U11" i="38"/>
  <c r="U48" i="38"/>
  <c r="S48" i="38"/>
  <c r="P49" i="38"/>
  <c r="N126" i="38"/>
  <c r="S87" i="38"/>
  <c r="U87" i="38"/>
  <c r="T87" i="38"/>
  <c r="B118" i="35"/>
  <c r="B71" i="35"/>
  <c r="B87" i="38"/>
  <c r="I127" i="38"/>
  <c r="B127" i="38"/>
  <c r="G127" i="38" s="1"/>
  <c r="I88" i="38"/>
  <c r="B50" i="38"/>
  <c r="P88" i="38"/>
  <c r="P128" i="38"/>
  <c r="P12" i="38"/>
  <c r="B11" i="38"/>
  <c r="G11" i="38" s="1"/>
  <c r="I12" i="38"/>
  <c r="I50" i="38"/>
  <c r="E87" i="38" l="1"/>
  <c r="G87" i="38"/>
  <c r="D11" i="38"/>
  <c r="E50" i="38"/>
  <c r="G50" i="38"/>
  <c r="U12" i="38"/>
  <c r="N12" i="38"/>
  <c r="U128" i="38"/>
  <c r="U49" i="38"/>
  <c r="S49" i="38"/>
  <c r="P50" i="38"/>
  <c r="S88" i="38"/>
  <c r="T88" i="38"/>
  <c r="U88" i="38"/>
  <c r="N50" i="38"/>
  <c r="L50" i="38"/>
  <c r="L88" i="38"/>
  <c r="N88" i="38"/>
  <c r="N127" i="38"/>
  <c r="B119" i="35"/>
  <c r="B72" i="35"/>
  <c r="B128" i="38"/>
  <c r="G128" i="38" s="1"/>
  <c r="I128" i="38"/>
  <c r="B88" i="38"/>
  <c r="P89" i="38"/>
  <c r="I13" i="38"/>
  <c r="I89" i="38"/>
  <c r="I51" i="38"/>
  <c r="B12" i="38"/>
  <c r="G12" i="38" s="1"/>
  <c r="P13" i="38"/>
  <c r="P129" i="38"/>
  <c r="B51" i="38"/>
  <c r="D12" i="38" l="1"/>
  <c r="E88" i="38"/>
  <c r="G88" i="38"/>
  <c r="G51" i="38"/>
  <c r="E51" i="38"/>
  <c r="L89" i="38"/>
  <c r="N89" i="38"/>
  <c r="U13" i="38"/>
  <c r="N128" i="38"/>
  <c r="L51" i="38"/>
  <c r="N51" i="38"/>
  <c r="U129" i="38"/>
  <c r="S89" i="38"/>
  <c r="T89" i="38"/>
  <c r="U89" i="38"/>
  <c r="S50" i="38"/>
  <c r="U50" i="38"/>
  <c r="P51" i="38"/>
  <c r="N13" i="38"/>
  <c r="B120" i="35"/>
  <c r="B73" i="35"/>
  <c r="B89" i="38"/>
  <c r="I129" i="38"/>
  <c r="B129" i="38"/>
  <c r="G129" i="38" s="1"/>
  <c r="I14" i="38"/>
  <c r="B13" i="38"/>
  <c r="G13" i="38" s="1"/>
  <c r="P14" i="38"/>
  <c r="B52" i="38"/>
  <c r="I52" i="38"/>
  <c r="I90" i="38"/>
  <c r="P90" i="38"/>
  <c r="P130" i="38"/>
  <c r="G52" i="38" l="1"/>
  <c r="E52" i="38"/>
  <c r="E89" i="38"/>
  <c r="G89" i="38"/>
  <c r="D13" i="38"/>
  <c r="S51" i="38"/>
  <c r="U51" i="38"/>
  <c r="P52" i="38"/>
  <c r="U130" i="38"/>
  <c r="N14" i="38"/>
  <c r="S90" i="38"/>
  <c r="T90" i="38"/>
  <c r="U90" i="38"/>
  <c r="U14" i="38"/>
  <c r="L52" i="38"/>
  <c r="N52" i="38"/>
  <c r="L90" i="38"/>
  <c r="N90" i="38"/>
  <c r="N129" i="38"/>
  <c r="B121" i="35"/>
  <c r="B74" i="35"/>
  <c r="B130" i="38"/>
  <c r="G130" i="38" s="1"/>
  <c r="I130" i="38"/>
  <c r="B90" i="38"/>
  <c r="P15" i="38"/>
  <c r="I53" i="38"/>
  <c r="B14" i="38"/>
  <c r="G14" i="38" s="1"/>
  <c r="I91" i="38"/>
  <c r="P91" i="38"/>
  <c r="B53" i="38"/>
  <c r="I15" i="38"/>
  <c r="P131" i="38"/>
  <c r="D14" i="38" l="1"/>
  <c r="E90" i="38"/>
  <c r="G90" i="38"/>
  <c r="E53" i="38"/>
  <c r="G53" i="38"/>
  <c r="U131" i="38"/>
  <c r="U52" i="38"/>
  <c r="S52" i="38"/>
  <c r="P53" i="38"/>
  <c r="N91" i="38"/>
  <c r="L91" i="38"/>
  <c r="N15" i="38"/>
  <c r="S91" i="38"/>
  <c r="T91" i="38"/>
  <c r="U91" i="38"/>
  <c r="N53" i="38"/>
  <c r="L53" i="38"/>
  <c r="U15" i="38"/>
  <c r="B122" i="35"/>
  <c r="B75" i="35"/>
  <c r="B91" i="38"/>
  <c r="I131" i="38"/>
  <c r="B131" i="38"/>
  <c r="G131" i="38" s="1"/>
  <c r="B15" i="38"/>
  <c r="G15" i="38" s="1"/>
  <c r="P132" i="38"/>
  <c r="I92" i="38"/>
  <c r="B54" i="38"/>
  <c r="P92" i="38"/>
  <c r="I54" i="38"/>
  <c r="P16" i="38"/>
  <c r="I16" i="38"/>
  <c r="E54" i="38" l="1"/>
  <c r="G54" i="38"/>
  <c r="G91" i="38"/>
  <c r="E91" i="38"/>
  <c r="D15" i="38"/>
  <c r="U16" i="38"/>
  <c r="U53" i="38"/>
  <c r="S53" i="38"/>
  <c r="P54" i="38"/>
  <c r="N92" i="38"/>
  <c r="L92" i="38"/>
  <c r="N54" i="38"/>
  <c r="L54" i="38"/>
  <c r="N16" i="38"/>
  <c r="U92" i="38"/>
  <c r="S92" i="38"/>
  <c r="T92" i="38"/>
  <c r="U132" i="38"/>
  <c r="N131" i="38"/>
  <c r="B123" i="35"/>
  <c r="B76" i="35"/>
  <c r="B132" i="38"/>
  <c r="G132" i="38" s="1"/>
  <c r="I132" i="38"/>
  <c r="B92" i="38"/>
  <c r="I93" i="38"/>
  <c r="P133" i="38"/>
  <c r="I17" i="38"/>
  <c r="I55" i="38"/>
  <c r="B55" i="38"/>
  <c r="B16" i="38"/>
  <c r="G16" i="38" s="1"/>
  <c r="P17" i="38"/>
  <c r="P93" i="38"/>
  <c r="E92" i="38" l="1"/>
  <c r="G92" i="38"/>
  <c r="D16" i="38"/>
  <c r="E55" i="38"/>
  <c r="G55" i="38"/>
  <c r="N17" i="38"/>
  <c r="N132" i="38"/>
  <c r="L55" i="38"/>
  <c r="N55" i="38"/>
  <c r="U133" i="38"/>
  <c r="T93" i="38"/>
  <c r="S93" i="38"/>
  <c r="U93" i="38"/>
  <c r="N93" i="38"/>
  <c r="L93" i="38"/>
  <c r="U17" i="38"/>
  <c r="S54" i="38"/>
  <c r="U54" i="38"/>
  <c r="P55" i="38"/>
  <c r="B124" i="35"/>
  <c r="B77" i="35"/>
  <c r="B93" i="38"/>
  <c r="I133" i="38"/>
  <c r="B133" i="38"/>
  <c r="G133" i="38" s="1"/>
  <c r="P94" i="38"/>
  <c r="B56" i="38"/>
  <c r="B17" i="38"/>
  <c r="G17" i="38" s="1"/>
  <c r="I56" i="38"/>
  <c r="I18" i="38"/>
  <c r="P18" i="38"/>
  <c r="P134" i="38"/>
  <c r="I94" i="38"/>
  <c r="E93" i="38" l="1"/>
  <c r="G93" i="38"/>
  <c r="E56" i="38"/>
  <c r="G56" i="38"/>
  <c r="D17" i="38"/>
  <c r="N18" i="38"/>
  <c r="U18" i="38"/>
  <c r="L94" i="38"/>
  <c r="N94" i="38"/>
  <c r="S94" i="38"/>
  <c r="U94" i="38"/>
  <c r="T94" i="38"/>
  <c r="U134" i="38"/>
  <c r="N133" i="38"/>
  <c r="L56" i="38"/>
  <c r="N56" i="38"/>
  <c r="S55" i="38"/>
  <c r="U55" i="38"/>
  <c r="P56" i="38"/>
  <c r="B125" i="35"/>
  <c r="B78" i="35"/>
  <c r="B134" i="38"/>
  <c r="G134" i="38" s="1"/>
  <c r="I134" i="38"/>
  <c r="B94" i="38"/>
  <c r="B18" i="38"/>
  <c r="G18" i="38" s="1"/>
  <c r="B57" i="38"/>
  <c r="P19" i="38"/>
  <c r="I19" i="38"/>
  <c r="P135" i="38"/>
  <c r="I57" i="38"/>
  <c r="I95" i="38"/>
  <c r="P95" i="38"/>
  <c r="G57" i="38" l="1"/>
  <c r="E57" i="38"/>
  <c r="D18" i="38"/>
  <c r="E94" i="38"/>
  <c r="G94" i="38"/>
  <c r="L57" i="38"/>
  <c r="N57" i="38"/>
  <c r="S95" i="38"/>
  <c r="U95" i="38"/>
  <c r="T95" i="38"/>
  <c r="L95" i="38"/>
  <c r="N95" i="38"/>
  <c r="U19" i="38"/>
  <c r="N134" i="38"/>
  <c r="U135" i="38"/>
  <c r="N19" i="38"/>
  <c r="S56" i="38"/>
  <c r="U56" i="38"/>
  <c r="P57" i="38"/>
  <c r="B126" i="35"/>
  <c r="B79" i="35"/>
  <c r="B95" i="38"/>
  <c r="I135" i="38"/>
  <c r="B135" i="38"/>
  <c r="G135" i="38" s="1"/>
  <c r="P20" i="38"/>
  <c r="I58" i="38"/>
  <c r="P136" i="38"/>
  <c r="B58" i="38"/>
  <c r="B19" i="38"/>
  <c r="G19" i="38" s="1"/>
  <c r="I20" i="38"/>
  <c r="P96" i="38"/>
  <c r="I96" i="38"/>
  <c r="G95" i="38" l="1"/>
  <c r="E95" i="38"/>
  <c r="D19" i="38"/>
  <c r="G58" i="38"/>
  <c r="E58" i="38"/>
  <c r="L96" i="38"/>
  <c r="N96" i="38"/>
  <c r="T96" i="38"/>
  <c r="U96" i="38"/>
  <c r="S96" i="38"/>
  <c r="U136" i="38"/>
  <c r="N58" i="38"/>
  <c r="L58" i="38"/>
  <c r="N20" i="38"/>
  <c r="U20" i="38"/>
  <c r="N135" i="38"/>
  <c r="U57" i="38"/>
  <c r="S57" i="38"/>
  <c r="P58" i="38"/>
  <c r="B127" i="35"/>
  <c r="B80" i="35"/>
  <c r="B136" i="38"/>
  <c r="G136" i="38" s="1"/>
  <c r="I136" i="38"/>
  <c r="B96" i="38"/>
  <c r="I59" i="38"/>
  <c r="I97" i="38"/>
  <c r="P21" i="38"/>
  <c r="P97" i="38"/>
  <c r="I21" i="38"/>
  <c r="B20" i="38"/>
  <c r="G20" i="38" s="1"/>
  <c r="P137" i="38"/>
  <c r="B59" i="38"/>
  <c r="D20" i="38" l="1"/>
  <c r="E96" i="38"/>
  <c r="G96" i="38"/>
  <c r="E59" i="38"/>
  <c r="G59" i="38"/>
  <c r="N21" i="38"/>
  <c r="S97" i="38"/>
  <c r="T97" i="38"/>
  <c r="U97" i="38"/>
  <c r="U21" i="38"/>
  <c r="L59" i="38"/>
  <c r="N59" i="38"/>
  <c r="L97" i="38"/>
  <c r="N97" i="38"/>
  <c r="U137" i="38"/>
  <c r="N136" i="38"/>
  <c r="S58" i="38"/>
  <c r="U58" i="38"/>
  <c r="P59" i="38"/>
  <c r="B128" i="35"/>
  <c r="B81" i="35"/>
  <c r="B97" i="38"/>
  <c r="I137" i="38"/>
  <c r="B137" i="38"/>
  <c r="G137" i="38" s="1"/>
  <c r="P138" i="38"/>
  <c r="P22" i="38"/>
  <c r="B60" i="38"/>
  <c r="B21" i="38"/>
  <c r="G21" i="38" s="1"/>
  <c r="P98" i="38"/>
  <c r="I22" i="38"/>
  <c r="I98" i="38"/>
  <c r="I60" i="38"/>
  <c r="G60" i="38" l="1"/>
  <c r="E60" i="38"/>
  <c r="D21" i="38"/>
  <c r="G97" i="38"/>
  <c r="E97" i="38"/>
  <c r="L98" i="38"/>
  <c r="N98" i="38"/>
  <c r="L60" i="38"/>
  <c r="N60" i="38"/>
  <c r="U138" i="38"/>
  <c r="N137" i="38"/>
  <c r="N22" i="38"/>
  <c r="S98" i="38"/>
  <c r="T98" i="38"/>
  <c r="U98" i="38"/>
  <c r="U22" i="38"/>
  <c r="S59" i="38"/>
  <c r="U59" i="38"/>
  <c r="P60" i="38"/>
  <c r="B129" i="35"/>
  <c r="B82" i="35"/>
  <c r="B138" i="38"/>
  <c r="G138" i="38" s="1"/>
  <c r="I138" i="38"/>
  <c r="B98" i="38"/>
  <c r="I99" i="38"/>
  <c r="B61" i="38"/>
  <c r="P23" i="38"/>
  <c r="I23" i="38"/>
  <c r="P139" i="38"/>
  <c r="P99" i="38"/>
  <c r="B22" i="38"/>
  <c r="G22" i="38" s="1"/>
  <c r="I61" i="38"/>
  <c r="E98" i="38" l="1"/>
  <c r="G98" i="38"/>
  <c r="D22" i="38"/>
  <c r="E61" i="38"/>
  <c r="G61" i="38"/>
  <c r="N61" i="38"/>
  <c r="L61" i="38"/>
  <c r="S99" i="38"/>
  <c r="U99" i="38"/>
  <c r="T99" i="38"/>
  <c r="N138" i="38"/>
  <c r="N23" i="38"/>
  <c r="L99" i="38"/>
  <c r="N99" i="38"/>
  <c r="U139" i="38"/>
  <c r="U23" i="38"/>
  <c r="U60" i="38"/>
  <c r="S60" i="38"/>
  <c r="P61" i="38"/>
  <c r="B130" i="35"/>
  <c r="B83" i="35"/>
  <c r="B99" i="38"/>
  <c r="I139" i="38"/>
  <c r="B139" i="38"/>
  <c r="G139" i="38" s="1"/>
  <c r="B62" i="38"/>
  <c r="P100" i="38"/>
  <c r="I100" i="38"/>
  <c r="P24" i="38"/>
  <c r="P140" i="38"/>
  <c r="I24" i="38"/>
  <c r="I62" i="38"/>
  <c r="B23" i="38"/>
  <c r="G23" i="38" s="1"/>
  <c r="D23" i="38" l="1"/>
  <c r="E99" i="38"/>
  <c r="G99" i="38"/>
  <c r="E62" i="38"/>
  <c r="G62" i="38"/>
  <c r="N100" i="38"/>
  <c r="L100" i="38"/>
  <c r="N24" i="38"/>
  <c r="U100" i="38"/>
  <c r="T100" i="38"/>
  <c r="S100" i="38"/>
  <c r="U24" i="38"/>
  <c r="N62" i="38"/>
  <c r="L62" i="38"/>
  <c r="U140" i="38"/>
  <c r="N139" i="38"/>
  <c r="U61" i="38"/>
  <c r="S61" i="38"/>
  <c r="P62" i="38"/>
  <c r="B131" i="35"/>
  <c r="B84" i="35"/>
  <c r="B140" i="38"/>
  <c r="G140" i="38" s="1"/>
  <c r="I140" i="38"/>
  <c r="B100" i="38"/>
  <c r="I63" i="38"/>
  <c r="I101" i="38"/>
  <c r="P101" i="38"/>
  <c r="I25" i="38"/>
  <c r="B63" i="38"/>
  <c r="P141" i="38"/>
  <c r="P25" i="38"/>
  <c r="B24" i="38"/>
  <c r="G24" i="38" s="1"/>
  <c r="E100" i="38" l="1"/>
  <c r="E63" i="38"/>
  <c r="G63" i="38"/>
  <c r="D24" i="38"/>
  <c r="U25" i="38"/>
  <c r="N101" i="38"/>
  <c r="L101" i="38"/>
  <c r="L63" i="38"/>
  <c r="N63" i="38"/>
  <c r="N25" i="38"/>
  <c r="U141" i="38"/>
  <c r="T101" i="38"/>
  <c r="S101" i="38"/>
  <c r="U101" i="38"/>
  <c r="N140" i="38"/>
  <c r="S62" i="38"/>
  <c r="U62" i="38"/>
  <c r="P63" i="38"/>
  <c r="B132" i="35"/>
  <c r="B85" i="35"/>
  <c r="B101" i="38"/>
  <c r="I141" i="38"/>
  <c r="B141" i="38"/>
  <c r="G141" i="38" s="1"/>
  <c r="P26" i="38"/>
  <c r="I64" i="38"/>
  <c r="B64" i="38"/>
  <c r="I102" i="38"/>
  <c r="I26" i="38"/>
  <c r="P102" i="38"/>
  <c r="B25" i="38"/>
  <c r="G25" i="38" s="1"/>
  <c r="P142" i="38"/>
  <c r="D25" i="38" l="1"/>
  <c r="E101" i="38"/>
  <c r="G101" i="38"/>
  <c r="E64" i="38"/>
  <c r="G64" i="38"/>
  <c r="N26" i="38"/>
  <c r="L102" i="38"/>
  <c r="N102" i="38"/>
  <c r="U26" i="38"/>
  <c r="S102" i="38"/>
  <c r="T102" i="38"/>
  <c r="U102" i="38"/>
  <c r="L64" i="38"/>
  <c r="N64" i="38"/>
  <c r="N141" i="38"/>
  <c r="U142" i="38"/>
  <c r="S63" i="38"/>
  <c r="U63" i="38"/>
  <c r="P64" i="38"/>
  <c r="B133" i="35"/>
  <c r="B86" i="35"/>
  <c r="B142" i="38"/>
  <c r="G142" i="38" s="1"/>
  <c r="I142" i="38"/>
  <c r="B102" i="38"/>
  <c r="B26" i="38"/>
  <c r="G26" i="38" s="1"/>
  <c r="P143" i="38"/>
  <c r="P103" i="38"/>
  <c r="I27" i="38"/>
  <c r="P27" i="38"/>
  <c r="I103" i="38"/>
  <c r="B65" i="38"/>
  <c r="I65" i="38"/>
  <c r="E65" i="38" l="1"/>
  <c r="G65" i="38"/>
  <c r="E102" i="38"/>
  <c r="G102" i="38"/>
  <c r="D26" i="38"/>
  <c r="N27" i="38"/>
  <c r="L103" i="38"/>
  <c r="N103" i="38"/>
  <c r="S103" i="38"/>
  <c r="U103" i="38"/>
  <c r="T103" i="38"/>
  <c r="U143" i="38"/>
  <c r="N65" i="38"/>
  <c r="L65" i="38"/>
  <c r="N142" i="38"/>
  <c r="U27" i="38"/>
  <c r="U64" i="38"/>
  <c r="S64" i="38"/>
  <c r="P65" i="38"/>
  <c r="B134" i="35"/>
  <c r="B87" i="35"/>
  <c r="B103" i="38"/>
  <c r="I143" i="38"/>
  <c r="B143" i="38"/>
  <c r="G143" i="38" s="1"/>
  <c r="I66" i="38"/>
  <c r="I28" i="38"/>
  <c r="B66" i="38"/>
  <c r="P104" i="38"/>
  <c r="P28" i="38"/>
  <c r="P144" i="38"/>
  <c r="B27" i="38"/>
  <c r="G27" i="38" s="1"/>
  <c r="I104" i="38"/>
  <c r="G103" i="38" l="1"/>
  <c r="D27" i="38"/>
  <c r="G66" i="38"/>
  <c r="E66" i="38"/>
  <c r="U144" i="38"/>
  <c r="L104" i="38"/>
  <c r="N104" i="38"/>
  <c r="U28" i="38"/>
  <c r="N66" i="38"/>
  <c r="L66" i="38"/>
  <c r="N28" i="38"/>
  <c r="S104" i="38"/>
  <c r="T104" i="38"/>
  <c r="U104" i="38"/>
  <c r="N143" i="38"/>
  <c r="U65" i="38"/>
  <c r="S65" i="38"/>
  <c r="P66" i="38"/>
  <c r="B135" i="35"/>
  <c r="B88" i="35"/>
  <c r="B144" i="38"/>
  <c r="G144" i="38" s="1"/>
  <c r="I144" i="38"/>
  <c r="B104" i="38"/>
  <c r="P105" i="38"/>
  <c r="I105" i="38"/>
  <c r="I29" i="38"/>
  <c r="P145" i="38"/>
  <c r="P29" i="38"/>
  <c r="B67" i="38"/>
  <c r="B28" i="38"/>
  <c r="G28" i="38" s="1"/>
  <c r="I67" i="38"/>
  <c r="E67" i="38" l="1"/>
  <c r="G67" i="38"/>
  <c r="D28" i="38"/>
  <c r="E104" i="38"/>
  <c r="G104" i="38"/>
  <c r="L105" i="38"/>
  <c r="N105" i="38"/>
  <c r="S105" i="38"/>
  <c r="T105" i="38"/>
  <c r="U105" i="38"/>
  <c r="U145" i="38"/>
  <c r="U29" i="38"/>
  <c r="L67" i="38"/>
  <c r="N67" i="38"/>
  <c r="N144" i="38"/>
  <c r="N29" i="38"/>
  <c r="S66" i="38"/>
  <c r="U66" i="38"/>
  <c r="P67" i="38"/>
  <c r="B136" i="35"/>
  <c r="B89" i="35"/>
  <c r="B105" i="38"/>
  <c r="I145" i="38"/>
  <c r="B145" i="38"/>
  <c r="G145" i="38" s="1"/>
  <c r="I68" i="38"/>
  <c r="B68" i="38"/>
  <c r="I30" i="38"/>
  <c r="I106" i="38"/>
  <c r="P30" i="38"/>
  <c r="P146" i="38"/>
  <c r="B29" i="38"/>
  <c r="G29" i="38" s="1"/>
  <c r="P106" i="38"/>
  <c r="E68" i="38" l="1"/>
  <c r="G68" i="38"/>
  <c r="G105" i="38"/>
  <c r="E105" i="38"/>
  <c r="D29" i="38"/>
  <c r="L106" i="38"/>
  <c r="N106" i="38"/>
  <c r="U146" i="38"/>
  <c r="N30" i="38"/>
  <c r="L68" i="38"/>
  <c r="N68" i="38"/>
  <c r="T106" i="38"/>
  <c r="U106" i="38"/>
  <c r="S106" i="38"/>
  <c r="U30" i="38"/>
  <c r="N145" i="38"/>
  <c r="S67" i="38"/>
  <c r="U67" i="38"/>
  <c r="P68" i="38"/>
  <c r="B137" i="35"/>
  <c r="B90" i="35"/>
  <c r="B146" i="38"/>
  <c r="G146" i="38" s="1"/>
  <c r="I146" i="38"/>
  <c r="B106" i="38"/>
  <c r="P147" i="38"/>
  <c r="P107" i="38"/>
  <c r="B69" i="38"/>
  <c r="P31" i="38"/>
  <c r="I107" i="38"/>
  <c r="B30" i="38"/>
  <c r="G30" i="38" s="1"/>
  <c r="I31" i="38"/>
  <c r="I69" i="38"/>
  <c r="E69" i="38" l="1"/>
  <c r="G69" i="38"/>
  <c r="D30" i="38"/>
  <c r="E106" i="38"/>
  <c r="G106" i="38"/>
  <c r="N107" i="38"/>
  <c r="L107" i="38"/>
  <c r="U31" i="38"/>
  <c r="N31" i="38"/>
  <c r="N146" i="38"/>
  <c r="N69" i="38"/>
  <c r="L69" i="38"/>
  <c r="S107" i="38"/>
  <c r="T107" i="38"/>
  <c r="U107" i="38"/>
  <c r="U147" i="38"/>
  <c r="U68" i="38"/>
  <c r="S68" i="38"/>
  <c r="P69" i="38"/>
  <c r="B138" i="35"/>
  <c r="B91" i="35"/>
  <c r="B107" i="38"/>
  <c r="I147" i="38"/>
  <c r="B147" i="38"/>
  <c r="G147" i="38" s="1"/>
  <c r="I108" i="38"/>
  <c r="I32" i="38"/>
  <c r="P32" i="38"/>
  <c r="B70" i="38"/>
  <c r="B31" i="38"/>
  <c r="G31" i="38" s="1"/>
  <c r="P108" i="38"/>
  <c r="I70" i="38"/>
  <c r="P148" i="38"/>
  <c r="E107" i="38" l="1"/>
  <c r="G107" i="38"/>
  <c r="D31" i="38"/>
  <c r="E70" i="38"/>
  <c r="G70" i="38"/>
  <c r="U148" i="38"/>
  <c r="L70" i="38"/>
  <c r="N70" i="38"/>
  <c r="N108" i="38"/>
  <c r="L108" i="38"/>
  <c r="U108" i="38"/>
  <c r="S108" i="38"/>
  <c r="T108" i="38"/>
  <c r="U32" i="38"/>
  <c r="N147" i="38"/>
  <c r="N32" i="38"/>
  <c r="S69" i="38"/>
  <c r="U69" i="38"/>
  <c r="P70" i="38"/>
  <c r="B148" i="38"/>
  <c r="G148" i="38" s="1"/>
  <c r="I148" i="38"/>
  <c r="B108" i="38"/>
  <c r="P149" i="38"/>
  <c r="P33" i="38"/>
  <c r="B32" i="38"/>
  <c r="G32" i="38" s="1"/>
  <c r="I33" i="38"/>
  <c r="P109" i="38"/>
  <c r="I109" i="38"/>
  <c r="I71" i="38"/>
  <c r="B71" i="38"/>
  <c r="E108" i="38" l="1"/>
  <c r="G108" i="38"/>
  <c r="D32" i="38"/>
  <c r="G71" i="38"/>
  <c r="E71" i="38"/>
  <c r="N33" i="38"/>
  <c r="T109" i="38"/>
  <c r="S109" i="38"/>
  <c r="U109" i="38"/>
  <c r="N109" i="38"/>
  <c r="L109" i="38"/>
  <c r="N148" i="38"/>
  <c r="U149" i="38"/>
  <c r="L71" i="38"/>
  <c r="N71" i="38"/>
  <c r="U33" i="38"/>
  <c r="S70" i="38"/>
  <c r="U70" i="38"/>
  <c r="P71" i="38"/>
  <c r="B109" i="38"/>
  <c r="I149" i="38"/>
  <c r="B149" i="38"/>
  <c r="G149" i="38" s="1"/>
  <c r="I72" i="38"/>
  <c r="I110" i="38"/>
  <c r="B72" i="38"/>
  <c r="B33" i="38"/>
  <c r="G33" i="38" s="1"/>
  <c r="P34" i="38"/>
  <c r="P110" i="38"/>
  <c r="I34" i="38"/>
  <c r="P150" i="38"/>
  <c r="G72" i="38" l="1"/>
  <c r="E72" i="38"/>
  <c r="D33" i="38"/>
  <c r="G109" i="38"/>
  <c r="E109" i="38"/>
  <c r="U150" i="38"/>
  <c r="N34" i="38"/>
  <c r="S110" i="38"/>
  <c r="U110" i="38"/>
  <c r="T110" i="38"/>
  <c r="U34" i="38"/>
  <c r="L110" i="38"/>
  <c r="N110" i="38"/>
  <c r="L72" i="38"/>
  <c r="N72" i="38"/>
  <c r="N149" i="38"/>
  <c r="S71" i="38"/>
  <c r="U71" i="38"/>
  <c r="P72" i="38"/>
  <c r="B150" i="38"/>
  <c r="G150" i="38" s="1"/>
  <c r="I150" i="38"/>
  <c r="B110" i="38"/>
  <c r="I111" i="38"/>
  <c r="I73" i="38"/>
  <c r="I35" i="38"/>
  <c r="P111" i="38"/>
  <c r="P35" i="38"/>
  <c r="P151" i="38"/>
  <c r="B34" i="38"/>
  <c r="G34" i="38" s="1"/>
  <c r="B73" i="38"/>
  <c r="B74" i="38" l="1"/>
  <c r="E73" i="38"/>
  <c r="G73" i="38"/>
  <c r="D34" i="38"/>
  <c r="E110" i="38"/>
  <c r="G110" i="38"/>
  <c r="U35" i="38"/>
  <c r="N35" i="38"/>
  <c r="P152" i="38"/>
  <c r="U151" i="38"/>
  <c r="P112" i="38"/>
  <c r="S111" i="38"/>
  <c r="U111" i="38"/>
  <c r="T111" i="38"/>
  <c r="I74" i="38"/>
  <c r="L73" i="38"/>
  <c r="N73" i="38"/>
  <c r="I112" i="38"/>
  <c r="L111" i="38"/>
  <c r="N111" i="38"/>
  <c r="N150" i="38"/>
  <c r="S72" i="38"/>
  <c r="U72" i="38"/>
  <c r="P73" i="38"/>
  <c r="P36" i="38"/>
  <c r="I36" i="38"/>
  <c r="B111" i="38"/>
  <c r="E111" i="38" s="1"/>
  <c r="I151" i="38"/>
  <c r="B151" i="38"/>
  <c r="G151" i="38" s="1"/>
  <c r="B35" i="38"/>
  <c r="D35" i="38" s="1"/>
  <c r="B36" i="38" l="1"/>
  <c r="G36" i="38" s="1"/>
  <c r="G35" i="38"/>
  <c r="G74" i="38"/>
  <c r="E74" i="38"/>
  <c r="T112" i="38"/>
  <c r="S112" i="38"/>
  <c r="U112" i="38"/>
  <c r="N74" i="38"/>
  <c r="L74" i="38"/>
  <c r="U152" i="38"/>
  <c r="N151" i="38"/>
  <c r="D36" i="38"/>
  <c r="N36" i="38"/>
  <c r="U36" i="38"/>
  <c r="P74" i="38"/>
  <c r="U73" i="38"/>
  <c r="S73" i="38"/>
  <c r="L112" i="38"/>
  <c r="N112" i="38"/>
  <c r="B152" i="38"/>
  <c r="G152" i="38" s="1"/>
  <c r="B112" i="38"/>
  <c r="I152" i="38"/>
  <c r="E112" i="38" l="1"/>
  <c r="G112" i="38"/>
  <c r="S74" i="38"/>
  <c r="U74" i="38"/>
  <c r="N152" i="38"/>
  <c r="X37" i="1" l="1"/>
  <c r="B210" i="20"/>
  <c r="B213" i="20"/>
  <c r="B214" i="20"/>
  <c r="B215" i="20"/>
  <c r="B216" i="20"/>
  <c r="B217" i="20"/>
  <c r="B218" i="20"/>
  <c r="B219" i="20"/>
  <c r="B220" i="20"/>
  <c r="B221" i="20"/>
  <c r="B222" i="20"/>
  <c r="B223" i="20"/>
  <c r="B224" i="20"/>
  <c r="B225" i="20"/>
  <c r="B212" i="20"/>
  <c r="B211" i="20"/>
  <c r="K215" i="20"/>
  <c r="B3512" i="21"/>
  <c r="C3512" i="21"/>
  <c r="B3513" i="21"/>
  <c r="C3513" i="21"/>
  <c r="B3491" i="21"/>
  <c r="C3491" i="21"/>
  <c r="B3492" i="21"/>
  <c r="C3492" i="21"/>
  <c r="B3493" i="21"/>
  <c r="C3493" i="21"/>
  <c r="B3494" i="21"/>
  <c r="C3494" i="21"/>
  <c r="B3495" i="21"/>
  <c r="C3495" i="21"/>
  <c r="B3496" i="21"/>
  <c r="C3496" i="21"/>
  <c r="B3497" i="21"/>
  <c r="C3497" i="21"/>
  <c r="B3498" i="21"/>
  <c r="C3498" i="21"/>
  <c r="B3499" i="21"/>
  <c r="C3499" i="21"/>
  <c r="B3500" i="21"/>
  <c r="C3500" i="21"/>
  <c r="B3501" i="21"/>
  <c r="C3501" i="21"/>
  <c r="B3502" i="21"/>
  <c r="C3502" i="21"/>
  <c r="B3503" i="21"/>
  <c r="C3503" i="21"/>
  <c r="B3504" i="21"/>
  <c r="C3504" i="21"/>
  <c r="B3505" i="21"/>
  <c r="C3505" i="21"/>
  <c r="B3506" i="21"/>
  <c r="C3506" i="21"/>
  <c r="B3507" i="21"/>
  <c r="C3507" i="21"/>
  <c r="B3508" i="21"/>
  <c r="C3508" i="21"/>
  <c r="B3509" i="21"/>
  <c r="C3509" i="21"/>
  <c r="B3510" i="21"/>
  <c r="C3510" i="21"/>
  <c r="B3511" i="21"/>
  <c r="C3511" i="21"/>
  <c r="B3490" i="21"/>
  <c r="C3490" i="21"/>
  <c r="C211" i="20"/>
  <c r="D211" i="20"/>
  <c r="I211" i="20"/>
  <c r="J211" i="20"/>
  <c r="K211" i="20"/>
  <c r="L211" i="20"/>
  <c r="M211" i="20"/>
  <c r="C212" i="20"/>
  <c r="D212" i="20"/>
  <c r="I212" i="20"/>
  <c r="J212" i="20"/>
  <c r="L212" i="20"/>
  <c r="M212" i="20"/>
  <c r="C213" i="20"/>
  <c r="D213" i="20"/>
  <c r="I213" i="20"/>
  <c r="J213" i="20"/>
  <c r="K213" i="20"/>
  <c r="L213" i="20"/>
  <c r="M213" i="20"/>
  <c r="C214" i="20"/>
  <c r="D214" i="20"/>
  <c r="I214" i="20"/>
  <c r="J214" i="20"/>
  <c r="K214" i="20"/>
  <c r="L214" i="20"/>
  <c r="M214" i="20"/>
  <c r="C215" i="20"/>
  <c r="D215" i="20"/>
  <c r="I215" i="20"/>
  <c r="J215" i="20"/>
  <c r="L215" i="20"/>
  <c r="M215" i="20"/>
  <c r="C216" i="20"/>
  <c r="D216" i="20"/>
  <c r="I216" i="20"/>
  <c r="J216" i="20"/>
  <c r="K216" i="20"/>
  <c r="L216" i="20"/>
  <c r="M216" i="20"/>
  <c r="C217" i="20"/>
  <c r="D217" i="20"/>
  <c r="I217" i="20"/>
  <c r="J217" i="20"/>
  <c r="L217" i="20"/>
  <c r="M217" i="20"/>
  <c r="C218" i="20"/>
  <c r="D218" i="20"/>
  <c r="I218" i="20"/>
  <c r="J218" i="20"/>
  <c r="K218" i="20"/>
  <c r="L218" i="20"/>
  <c r="M218" i="20"/>
  <c r="C219" i="20"/>
  <c r="D219" i="20"/>
  <c r="I219" i="20"/>
  <c r="J219" i="20"/>
  <c r="L219" i="20"/>
  <c r="M219" i="20"/>
  <c r="C220" i="20"/>
  <c r="D220" i="20"/>
  <c r="I220" i="20"/>
  <c r="J220" i="20"/>
  <c r="K220" i="20"/>
  <c r="L220" i="20"/>
  <c r="M220" i="20"/>
  <c r="C221" i="20"/>
  <c r="D221" i="20"/>
  <c r="I221" i="20"/>
  <c r="J221" i="20"/>
  <c r="K221" i="20"/>
  <c r="L221" i="20"/>
  <c r="M221" i="20"/>
  <c r="C222" i="20"/>
  <c r="D222" i="20"/>
  <c r="I222" i="20"/>
  <c r="J222" i="20"/>
  <c r="K222" i="20"/>
  <c r="L222" i="20"/>
  <c r="M222" i="20"/>
  <c r="C223" i="20"/>
  <c r="D223" i="20"/>
  <c r="I223" i="20"/>
  <c r="J223" i="20"/>
  <c r="K223" i="20"/>
  <c r="L223" i="20"/>
  <c r="M223" i="20"/>
  <c r="C224" i="20"/>
  <c r="D224" i="20"/>
  <c r="I224" i="20"/>
  <c r="J224" i="20"/>
  <c r="K224" i="20"/>
  <c r="L224" i="20"/>
  <c r="M224" i="20"/>
  <c r="C225" i="20"/>
  <c r="D225" i="20"/>
  <c r="I225" i="20"/>
  <c r="J225" i="20"/>
  <c r="K225" i="20"/>
  <c r="L225" i="20"/>
  <c r="M225" i="20"/>
  <c r="Y37" i="1"/>
  <c r="AA37" i="1" s="1"/>
  <c r="AD37" i="1"/>
  <c r="AF37" i="1" s="1"/>
  <c r="AB37" i="1" s="1"/>
  <c r="AX37" i="1"/>
  <c r="AZ37" i="1" s="1"/>
  <c r="AV37" i="1" s="1"/>
  <c r="AS37" i="1"/>
  <c r="AU37" i="1" s="1"/>
  <c r="AR37" i="1" s="1"/>
  <c r="AN37" i="1"/>
  <c r="AP37" i="1" s="1"/>
  <c r="AL37" i="1" s="1"/>
  <c r="BM37" i="1"/>
  <c r="BO37" i="1" s="1"/>
  <c r="BL37" i="1" s="1"/>
  <c r="BH37" i="1"/>
  <c r="BJ37" i="1" s="1"/>
  <c r="BG37" i="1" s="1"/>
  <c r="BC37" i="1"/>
  <c r="BE37" i="1" s="1"/>
  <c r="BB37" i="1" s="1"/>
  <c r="AK37" i="1"/>
  <c r="O37" i="1"/>
  <c r="Q37" i="1" s="1"/>
  <c r="N37" i="1" s="1"/>
  <c r="J37" i="1"/>
  <c r="L37" i="1" s="1"/>
  <c r="I37" i="1" s="1"/>
  <c r="T37" i="1"/>
  <c r="V37" i="1" s="1"/>
  <c r="R37" i="1" s="1"/>
  <c r="J18" i="19"/>
  <c r="J17" i="19"/>
  <c r="J16" i="19"/>
  <c r="J19" i="19"/>
  <c r="AD36" i="1"/>
  <c r="AF36" i="1" s="1"/>
  <c r="AB36" i="1" s="1"/>
  <c r="Y36" i="1"/>
  <c r="AA36" i="1" s="1"/>
  <c r="BM36" i="1"/>
  <c r="BO36" i="1" s="1"/>
  <c r="BL36" i="1" s="1"/>
  <c r="BH36" i="1"/>
  <c r="BJ36" i="1" s="1"/>
  <c r="BG36" i="1" s="1"/>
  <c r="AX36" i="1"/>
  <c r="AZ36" i="1" s="1"/>
  <c r="AV36" i="1" s="1"/>
  <c r="AS36" i="1"/>
  <c r="AU36" i="1" s="1"/>
  <c r="AR36" i="1" s="1"/>
  <c r="AN36" i="1"/>
  <c r="AP36" i="1" s="1"/>
  <c r="AL36" i="1" s="1"/>
  <c r="BC36" i="1"/>
  <c r="BE36" i="1" s="1"/>
  <c r="BB36" i="1" s="1"/>
  <c r="AK36" i="1"/>
  <c r="O36" i="1"/>
  <c r="Q36" i="1" s="1"/>
  <c r="N36" i="1" s="1"/>
  <c r="J36" i="1"/>
  <c r="L36" i="1" s="1"/>
  <c r="I36" i="1" s="1"/>
  <c r="E36" i="1"/>
  <c r="G36" i="1" s="1"/>
  <c r="D36" i="1" s="1"/>
  <c r="B209" i="20"/>
  <c r="C209" i="20"/>
  <c r="C210" i="20"/>
  <c r="D209" i="20"/>
  <c r="D210" i="20"/>
  <c r="I209" i="20"/>
  <c r="I210" i="20"/>
  <c r="J209" i="20"/>
  <c r="J210" i="20"/>
  <c r="K209" i="20"/>
  <c r="K210" i="20"/>
  <c r="L209" i="20"/>
  <c r="L210" i="20"/>
  <c r="M209" i="20"/>
  <c r="M210" i="20"/>
  <c r="B208" i="20"/>
  <c r="C208" i="20"/>
  <c r="D208" i="20"/>
  <c r="I208" i="20"/>
  <c r="J208" i="20"/>
  <c r="L208" i="20"/>
  <c r="M208" i="20"/>
  <c r="B207" i="20"/>
  <c r="C207" i="20"/>
  <c r="D207" i="20"/>
  <c r="I207" i="20"/>
  <c r="J207" i="20"/>
  <c r="K207" i="20"/>
  <c r="L207" i="20"/>
  <c r="M207" i="20"/>
  <c r="B206" i="20"/>
  <c r="C206" i="20"/>
  <c r="D206" i="20"/>
  <c r="I206" i="20"/>
  <c r="J206" i="20"/>
  <c r="K206" i="20"/>
  <c r="L206" i="20"/>
  <c r="M206" i="20"/>
  <c r="B205" i="20"/>
  <c r="C205" i="20"/>
  <c r="D205" i="20"/>
  <c r="I205" i="20"/>
  <c r="J205" i="20"/>
  <c r="K205" i="20"/>
  <c r="L205" i="20"/>
  <c r="M205" i="20"/>
  <c r="B204" i="20"/>
  <c r="C204" i="20"/>
  <c r="D204" i="20"/>
  <c r="I204" i="20"/>
  <c r="J204" i="20"/>
  <c r="K204" i="20"/>
  <c r="L204" i="20"/>
  <c r="M204" i="20"/>
  <c r="B203" i="20"/>
  <c r="C203" i="20"/>
  <c r="D203" i="20"/>
  <c r="I203" i="20"/>
  <c r="J203" i="20"/>
  <c r="L203" i="20"/>
  <c r="M203" i="20"/>
  <c r="B202" i="20"/>
  <c r="C202" i="20"/>
  <c r="D202" i="20"/>
  <c r="I202" i="20"/>
  <c r="J202" i="20"/>
  <c r="K202" i="20"/>
  <c r="L202" i="20"/>
  <c r="M202" i="20"/>
  <c r="AD35" i="1"/>
  <c r="BM35" i="1"/>
  <c r="BH35" i="1"/>
  <c r="AX35" i="1"/>
  <c r="AS35" i="1"/>
  <c r="AU35" i="1" s="1"/>
  <c r="AR35" i="1" s="1"/>
  <c r="AN35" i="1"/>
  <c r="AK35" i="1"/>
  <c r="O35" i="1"/>
  <c r="J35" i="1"/>
  <c r="BC35" i="1"/>
  <c r="T35" i="1"/>
  <c r="Z34" i="1"/>
  <c r="M201" i="20"/>
  <c r="L201" i="20"/>
  <c r="K201" i="20"/>
  <c r="J201" i="20"/>
  <c r="I201" i="20"/>
  <c r="B201" i="20"/>
  <c r="C201" i="20"/>
  <c r="D201" i="20"/>
  <c r="B200" i="20"/>
  <c r="C200" i="20"/>
  <c r="D200" i="20"/>
  <c r="I200" i="20"/>
  <c r="J200" i="20"/>
  <c r="K200" i="20"/>
  <c r="L200" i="20"/>
  <c r="M200" i="20"/>
  <c r="B199" i="20"/>
  <c r="C199" i="20"/>
  <c r="D199" i="20"/>
  <c r="I199" i="20"/>
  <c r="J199" i="20"/>
  <c r="K199" i="20"/>
  <c r="L199" i="20"/>
  <c r="M199" i="20"/>
  <c r="B198" i="20"/>
  <c r="C198" i="20"/>
  <c r="D198" i="20"/>
  <c r="I198" i="20"/>
  <c r="J198" i="20"/>
  <c r="L198" i="20"/>
  <c r="M198" i="20"/>
  <c r="B197" i="20"/>
  <c r="C197" i="20"/>
  <c r="D197" i="20"/>
  <c r="I197" i="20"/>
  <c r="J197" i="20"/>
  <c r="K197" i="20"/>
  <c r="L197" i="20"/>
  <c r="M197" i="20"/>
  <c r="B196" i="20"/>
  <c r="C196" i="20"/>
  <c r="D196" i="20"/>
  <c r="I196" i="20"/>
  <c r="J196" i="20"/>
  <c r="K196" i="20"/>
  <c r="L196" i="20"/>
  <c r="M196" i="20"/>
  <c r="B195" i="20"/>
  <c r="C195" i="20"/>
  <c r="D195" i="20"/>
  <c r="I195" i="20"/>
  <c r="J195" i="20"/>
  <c r="K195" i="20"/>
  <c r="L195" i="20"/>
  <c r="M195" i="20"/>
  <c r="B194" i="20"/>
  <c r="C194" i="20"/>
  <c r="D194" i="20"/>
  <c r="I194" i="20"/>
  <c r="J194" i="20"/>
  <c r="L194" i="20"/>
  <c r="M194" i="20"/>
  <c r="B193" i="20"/>
  <c r="C193" i="20"/>
  <c r="D193" i="20"/>
  <c r="I193" i="20"/>
  <c r="J193" i="20"/>
  <c r="K193" i="20"/>
  <c r="L193" i="20"/>
  <c r="M193" i="20"/>
  <c r="AD34" i="1"/>
  <c r="AK34" i="1"/>
  <c r="AX34" i="1"/>
  <c r="BM34" i="1"/>
  <c r="O34" i="1"/>
  <c r="J34" i="1"/>
  <c r="T34" i="1"/>
  <c r="B192" i="20"/>
  <c r="C192" i="20"/>
  <c r="D192" i="20"/>
  <c r="I192" i="20"/>
  <c r="J192" i="20"/>
  <c r="L192" i="20"/>
  <c r="M192" i="20"/>
  <c r="B191" i="20"/>
  <c r="C191" i="20"/>
  <c r="D191" i="20"/>
  <c r="I191" i="20"/>
  <c r="J191" i="20"/>
  <c r="K191" i="20"/>
  <c r="L191" i="20"/>
  <c r="M191" i="20"/>
  <c r="B190" i="20"/>
  <c r="C190" i="20"/>
  <c r="D190" i="20"/>
  <c r="I190" i="20"/>
  <c r="J190" i="20"/>
  <c r="K190" i="20"/>
  <c r="L190" i="20"/>
  <c r="M190" i="20"/>
  <c r="B189" i="20"/>
  <c r="C189" i="20"/>
  <c r="D189" i="20"/>
  <c r="I189" i="20"/>
  <c r="J189" i="20"/>
  <c r="K189" i="20"/>
  <c r="L189" i="20"/>
  <c r="M189" i="20"/>
  <c r="B188" i="20"/>
  <c r="C188" i="20"/>
  <c r="D188" i="20"/>
  <c r="I188" i="20"/>
  <c r="J188" i="20"/>
  <c r="K188" i="20"/>
  <c r="L188" i="20"/>
  <c r="M188" i="20"/>
  <c r="B187" i="20"/>
  <c r="C187" i="20"/>
  <c r="D187" i="20"/>
  <c r="I187" i="20"/>
  <c r="J187" i="20"/>
  <c r="K187" i="20"/>
  <c r="L187" i="20"/>
  <c r="M187" i="20"/>
  <c r="B186" i="20"/>
  <c r="C186" i="20"/>
  <c r="D186" i="20"/>
  <c r="I186" i="20"/>
  <c r="J186" i="20"/>
  <c r="K186" i="20"/>
  <c r="L186" i="20"/>
  <c r="M186" i="20"/>
  <c r="B185" i="20"/>
  <c r="C185" i="20"/>
  <c r="D185" i="20"/>
  <c r="I185" i="20"/>
  <c r="J185" i="20"/>
  <c r="K185" i="20"/>
  <c r="L185" i="20"/>
  <c r="M185" i="20"/>
  <c r="B182" i="20"/>
  <c r="C182" i="20"/>
  <c r="D182" i="20"/>
  <c r="I182" i="20"/>
  <c r="J182" i="20"/>
  <c r="L182" i="20"/>
  <c r="M182" i="20"/>
  <c r="B184" i="20"/>
  <c r="C184" i="20"/>
  <c r="D184" i="20"/>
  <c r="I184" i="20"/>
  <c r="J184" i="20"/>
  <c r="K184" i="20"/>
  <c r="L184" i="20"/>
  <c r="M184" i="20"/>
  <c r="B183" i="20"/>
  <c r="C183" i="20"/>
  <c r="D183" i="20"/>
  <c r="I183" i="20"/>
  <c r="J183" i="20"/>
  <c r="K183" i="20"/>
  <c r="L183" i="20"/>
  <c r="M183" i="20"/>
  <c r="Y33" i="1"/>
  <c r="F110" i="38" s="1"/>
  <c r="AD33" i="1"/>
  <c r="M110" i="38" s="1"/>
  <c r="AF33" i="1"/>
  <c r="BM33" i="1"/>
  <c r="AK33" i="1"/>
  <c r="T33" i="1"/>
  <c r="M72" i="38" s="1"/>
  <c r="O33" i="1"/>
  <c r="J33" i="1"/>
  <c r="Y32" i="1"/>
  <c r="F109" i="38" s="1"/>
  <c r="AD32" i="1"/>
  <c r="M109" i="38" s="1"/>
  <c r="AK32" i="1"/>
  <c r="B181" i="20"/>
  <c r="C181" i="20"/>
  <c r="D181" i="20"/>
  <c r="I181" i="20"/>
  <c r="J181" i="20"/>
  <c r="K181" i="20"/>
  <c r="L181" i="20"/>
  <c r="M181" i="20"/>
  <c r="B180" i="20"/>
  <c r="C180" i="20"/>
  <c r="D180" i="20"/>
  <c r="I180" i="20"/>
  <c r="J180" i="20"/>
  <c r="K180" i="20"/>
  <c r="L180" i="20"/>
  <c r="M180" i="20"/>
  <c r="B179" i="20"/>
  <c r="C179" i="20"/>
  <c r="D179" i="20"/>
  <c r="I179" i="20"/>
  <c r="J179" i="20"/>
  <c r="L179" i="20"/>
  <c r="M179" i="20"/>
  <c r="B178" i="20"/>
  <c r="C178" i="20"/>
  <c r="D178" i="20"/>
  <c r="I178" i="20"/>
  <c r="J178" i="20"/>
  <c r="K178" i="20"/>
  <c r="L178" i="20"/>
  <c r="M178" i="20"/>
  <c r="B177" i="20"/>
  <c r="C177" i="20"/>
  <c r="D177" i="20"/>
  <c r="I177" i="20"/>
  <c r="J177" i="20"/>
  <c r="K177" i="20"/>
  <c r="L177" i="20"/>
  <c r="M177" i="20"/>
  <c r="B176" i="20"/>
  <c r="C176" i="20"/>
  <c r="D176" i="20"/>
  <c r="I176" i="20"/>
  <c r="J176" i="20"/>
  <c r="K176" i="20"/>
  <c r="L176" i="20"/>
  <c r="M176" i="20"/>
  <c r="B175" i="20"/>
  <c r="C175" i="20"/>
  <c r="D175" i="20"/>
  <c r="I175" i="20"/>
  <c r="J175" i="20"/>
  <c r="K175" i="20"/>
  <c r="L175" i="20"/>
  <c r="M175" i="20"/>
  <c r="B174" i="20"/>
  <c r="C174" i="20"/>
  <c r="D174" i="20"/>
  <c r="I174" i="20"/>
  <c r="J174" i="20"/>
  <c r="K174" i="20"/>
  <c r="L174" i="20"/>
  <c r="M174" i="20"/>
  <c r="B173" i="20"/>
  <c r="C173" i="20"/>
  <c r="D173" i="20"/>
  <c r="I173" i="20"/>
  <c r="J173" i="20"/>
  <c r="L173" i="20"/>
  <c r="M173" i="20"/>
  <c r="O32" i="1"/>
  <c r="J32" i="1"/>
  <c r="T32" i="1"/>
  <c r="Y31" i="1"/>
  <c r="F108" i="38" s="1"/>
  <c r="AD31" i="1"/>
  <c r="AF31" i="1"/>
  <c r="AB31" i="1" s="1"/>
  <c r="B172" i="20"/>
  <c r="C172" i="20"/>
  <c r="D172" i="20"/>
  <c r="I172" i="20"/>
  <c r="J172" i="20"/>
  <c r="L172" i="20"/>
  <c r="M172" i="20"/>
  <c r="B171" i="20"/>
  <c r="C171" i="20"/>
  <c r="D171" i="20"/>
  <c r="I171" i="20"/>
  <c r="J171" i="20"/>
  <c r="K171" i="20"/>
  <c r="L171" i="20"/>
  <c r="M171" i="20"/>
  <c r="B170" i="20"/>
  <c r="C170" i="20"/>
  <c r="D170" i="20"/>
  <c r="I170" i="20"/>
  <c r="J170" i="20"/>
  <c r="K170" i="20"/>
  <c r="L170" i="20"/>
  <c r="M170" i="20"/>
  <c r="B169" i="20"/>
  <c r="C169" i="20"/>
  <c r="D169" i="20"/>
  <c r="I169" i="20"/>
  <c r="J169" i="20"/>
  <c r="K169" i="20"/>
  <c r="L169" i="20"/>
  <c r="M169" i="20"/>
  <c r="B168" i="20"/>
  <c r="C168" i="20"/>
  <c r="D168" i="20"/>
  <c r="I168" i="20"/>
  <c r="J168" i="20"/>
  <c r="K168" i="20"/>
  <c r="L168" i="20"/>
  <c r="M168" i="20"/>
  <c r="B167" i="20"/>
  <c r="C167" i="20"/>
  <c r="D167" i="20"/>
  <c r="I167" i="20"/>
  <c r="J167" i="20"/>
  <c r="K167" i="20"/>
  <c r="L167" i="20"/>
  <c r="M167" i="20"/>
  <c r="B166" i="20"/>
  <c r="C166" i="20"/>
  <c r="D166" i="20"/>
  <c r="I166" i="20"/>
  <c r="J166" i="20"/>
  <c r="K166" i="20"/>
  <c r="L166" i="20"/>
  <c r="M166" i="20"/>
  <c r="B165" i="20"/>
  <c r="C165" i="20"/>
  <c r="D165" i="20"/>
  <c r="I165" i="20"/>
  <c r="J165" i="20"/>
  <c r="K165" i="20"/>
  <c r="L165" i="20"/>
  <c r="M165" i="20"/>
  <c r="B164" i="20"/>
  <c r="C164" i="20"/>
  <c r="D164" i="20"/>
  <c r="I164" i="20"/>
  <c r="J164" i="20"/>
  <c r="K164" i="20"/>
  <c r="L164" i="20"/>
  <c r="M164" i="20"/>
  <c r="B163" i="20"/>
  <c r="C163" i="20"/>
  <c r="D163" i="20"/>
  <c r="I163" i="20"/>
  <c r="J163" i="20"/>
  <c r="L163" i="20"/>
  <c r="M163" i="20"/>
  <c r="AK31" i="1"/>
  <c r="O31" i="1"/>
  <c r="T32" i="38" s="1"/>
  <c r="J31" i="1"/>
  <c r="T31" i="1"/>
  <c r="M70" i="38" s="1"/>
  <c r="B162" i="20"/>
  <c r="C162" i="20"/>
  <c r="D162" i="20"/>
  <c r="I162" i="20"/>
  <c r="J162" i="20"/>
  <c r="K162" i="20"/>
  <c r="L162" i="20"/>
  <c r="M162" i="20"/>
  <c r="B161" i="20"/>
  <c r="C161" i="20"/>
  <c r="D161" i="20"/>
  <c r="I161" i="20"/>
  <c r="J161" i="20"/>
  <c r="K161" i="20"/>
  <c r="L161" i="20"/>
  <c r="M161" i="20"/>
  <c r="B160" i="20"/>
  <c r="C160" i="20"/>
  <c r="D160" i="20"/>
  <c r="I160" i="20"/>
  <c r="J160" i="20"/>
  <c r="L160" i="20"/>
  <c r="M160" i="20"/>
  <c r="B159" i="20"/>
  <c r="C159" i="20"/>
  <c r="D159" i="20"/>
  <c r="I159" i="20"/>
  <c r="J159" i="20"/>
  <c r="K159" i="20"/>
  <c r="L159" i="20"/>
  <c r="M159" i="20"/>
  <c r="B158" i="20"/>
  <c r="C158" i="20"/>
  <c r="D158" i="20"/>
  <c r="I158" i="20"/>
  <c r="J158" i="20"/>
  <c r="K158" i="20"/>
  <c r="L158" i="20"/>
  <c r="M158" i="20"/>
  <c r="B157" i="20"/>
  <c r="C157" i="20"/>
  <c r="D157" i="20"/>
  <c r="I157" i="20"/>
  <c r="J157" i="20"/>
  <c r="L157" i="20"/>
  <c r="M157" i="20"/>
  <c r="B156" i="20"/>
  <c r="C156" i="20"/>
  <c r="D156" i="20"/>
  <c r="I156" i="20"/>
  <c r="J156" i="20"/>
  <c r="K156" i="20"/>
  <c r="L156" i="20"/>
  <c r="M156" i="20"/>
  <c r="B155" i="20"/>
  <c r="C155" i="20"/>
  <c r="D155" i="20"/>
  <c r="I155" i="20"/>
  <c r="J155" i="20"/>
  <c r="K155" i="20"/>
  <c r="L155" i="20"/>
  <c r="M155" i="20"/>
  <c r="Y30" i="1"/>
  <c r="AA30" i="1" s="1"/>
  <c r="AD30" i="1"/>
  <c r="M107" i="38" s="1"/>
  <c r="AK30" i="1"/>
  <c r="O30" i="1"/>
  <c r="J30" i="1"/>
  <c r="AD29" i="1"/>
  <c r="M106" i="38" s="1"/>
  <c r="Y29" i="1"/>
  <c r="F106" i="38" s="1"/>
  <c r="T29" i="1"/>
  <c r="AK29" i="1"/>
  <c r="O29" i="1"/>
  <c r="J29" i="1"/>
  <c r="AK28" i="1"/>
  <c r="AD28" i="1"/>
  <c r="B154" i="20"/>
  <c r="C154" i="20"/>
  <c r="D154" i="20"/>
  <c r="I154" i="20"/>
  <c r="J154" i="20"/>
  <c r="L154" i="20"/>
  <c r="M154" i="20"/>
  <c r="B153" i="20"/>
  <c r="C153" i="20"/>
  <c r="D153" i="20"/>
  <c r="I153" i="20"/>
  <c r="J153" i="20"/>
  <c r="K153" i="20"/>
  <c r="L153" i="20"/>
  <c r="M153" i="20"/>
  <c r="B152" i="20"/>
  <c r="C152" i="20"/>
  <c r="D152" i="20"/>
  <c r="I152" i="20"/>
  <c r="J152" i="20"/>
  <c r="K152" i="20"/>
  <c r="L152" i="20"/>
  <c r="M152" i="20"/>
  <c r="B151" i="20"/>
  <c r="C151" i="20"/>
  <c r="D151" i="20"/>
  <c r="I151" i="20"/>
  <c r="J151" i="20"/>
  <c r="K151" i="20"/>
  <c r="L151" i="20"/>
  <c r="M151" i="20"/>
  <c r="B150" i="20"/>
  <c r="C150" i="20"/>
  <c r="D150" i="20"/>
  <c r="I150" i="20"/>
  <c r="J150" i="20"/>
  <c r="L150" i="20"/>
  <c r="M150" i="20"/>
  <c r="B149" i="20"/>
  <c r="C149" i="20"/>
  <c r="D149" i="20"/>
  <c r="I149" i="20"/>
  <c r="J149" i="20"/>
  <c r="K149" i="20"/>
  <c r="L149" i="20"/>
  <c r="M149" i="20"/>
  <c r="B148" i="20"/>
  <c r="C148" i="20"/>
  <c r="D148" i="20"/>
  <c r="I148" i="20"/>
  <c r="J148" i="20"/>
  <c r="K148" i="20"/>
  <c r="L148" i="20"/>
  <c r="M148" i="20"/>
  <c r="B147" i="20"/>
  <c r="C147" i="20"/>
  <c r="D147" i="20"/>
  <c r="I147" i="20"/>
  <c r="J147" i="20"/>
  <c r="K147" i="20"/>
  <c r="L147" i="20"/>
  <c r="M147" i="20"/>
  <c r="B146" i="20"/>
  <c r="C146" i="20"/>
  <c r="D146" i="20"/>
  <c r="I146" i="20"/>
  <c r="J146" i="20"/>
  <c r="K146" i="20"/>
  <c r="L146" i="20"/>
  <c r="M146" i="20"/>
  <c r="B145" i="20"/>
  <c r="C145" i="20"/>
  <c r="D145" i="20"/>
  <c r="I145" i="20"/>
  <c r="J145" i="20"/>
  <c r="L145" i="20"/>
  <c r="M145" i="20"/>
  <c r="O28" i="1"/>
  <c r="T29" i="38" s="1"/>
  <c r="J28" i="1"/>
  <c r="AD27" i="1"/>
  <c r="B144" i="20"/>
  <c r="C144" i="20"/>
  <c r="D144" i="20"/>
  <c r="I144" i="20"/>
  <c r="J144" i="20"/>
  <c r="K144" i="20"/>
  <c r="L144" i="20"/>
  <c r="M144" i="20"/>
  <c r="B143" i="20"/>
  <c r="C143" i="20"/>
  <c r="D143" i="20"/>
  <c r="I143" i="20"/>
  <c r="J143" i="20"/>
  <c r="L143" i="20"/>
  <c r="M143" i="20"/>
  <c r="B142" i="20"/>
  <c r="C142" i="20"/>
  <c r="D142" i="20"/>
  <c r="I142" i="20"/>
  <c r="J142" i="20"/>
  <c r="K142" i="20"/>
  <c r="L142" i="20"/>
  <c r="M142" i="20"/>
  <c r="B141" i="20"/>
  <c r="C141" i="20"/>
  <c r="D141" i="20"/>
  <c r="I141" i="20"/>
  <c r="J141" i="20"/>
  <c r="K141" i="20"/>
  <c r="L141" i="20"/>
  <c r="M141" i="20"/>
  <c r="B140" i="20"/>
  <c r="C140" i="20"/>
  <c r="D140" i="20"/>
  <c r="I140" i="20"/>
  <c r="J140" i="20"/>
  <c r="L140" i="20"/>
  <c r="M140" i="20"/>
  <c r="B139" i="20"/>
  <c r="C139" i="20"/>
  <c r="D139" i="20"/>
  <c r="I139" i="20"/>
  <c r="J139" i="20"/>
  <c r="K139" i="20"/>
  <c r="L139" i="20"/>
  <c r="M139" i="20"/>
  <c r="B138" i="20"/>
  <c r="C138" i="20"/>
  <c r="D138" i="20"/>
  <c r="I138" i="20"/>
  <c r="J138" i="20"/>
  <c r="L138" i="20"/>
  <c r="M138" i="20"/>
  <c r="AK27" i="1"/>
  <c r="O27" i="1"/>
  <c r="J27" i="1"/>
  <c r="Y26" i="1"/>
  <c r="F103" i="38" s="1"/>
  <c r="B137" i="20"/>
  <c r="C137" i="20"/>
  <c r="D137" i="20"/>
  <c r="I137" i="20"/>
  <c r="J137" i="20"/>
  <c r="K137" i="20"/>
  <c r="L137" i="20"/>
  <c r="M137" i="20"/>
  <c r="B136" i="20"/>
  <c r="C136" i="20"/>
  <c r="D136" i="20"/>
  <c r="I136" i="20"/>
  <c r="J136" i="20"/>
  <c r="K136" i="20"/>
  <c r="L136" i="20"/>
  <c r="M136" i="20"/>
  <c r="B135" i="20"/>
  <c r="C135" i="20"/>
  <c r="D135" i="20"/>
  <c r="I135" i="20"/>
  <c r="J135" i="20"/>
  <c r="L135" i="20"/>
  <c r="M135" i="20"/>
  <c r="B134" i="20"/>
  <c r="C134" i="20"/>
  <c r="D134" i="20"/>
  <c r="I134" i="20"/>
  <c r="J134" i="20"/>
  <c r="K134" i="20"/>
  <c r="L134" i="20"/>
  <c r="M134" i="20"/>
  <c r="B133" i="20"/>
  <c r="C133" i="20"/>
  <c r="D133" i="20"/>
  <c r="I133" i="20"/>
  <c r="J133" i="20"/>
  <c r="K133" i="20"/>
  <c r="L133" i="20"/>
  <c r="M133" i="20"/>
  <c r="B132" i="20"/>
  <c r="C132" i="20"/>
  <c r="D132" i="20"/>
  <c r="I132" i="20"/>
  <c r="J132" i="20"/>
  <c r="L132" i="20"/>
  <c r="M132" i="20"/>
  <c r="B131" i="20"/>
  <c r="C131" i="20"/>
  <c r="D131" i="20"/>
  <c r="I131" i="20"/>
  <c r="J131" i="20"/>
  <c r="K131" i="20"/>
  <c r="L131" i="20"/>
  <c r="M131" i="20"/>
  <c r="B130" i="20"/>
  <c r="C130" i="20"/>
  <c r="D130" i="20"/>
  <c r="I130" i="20"/>
  <c r="J130" i="20"/>
  <c r="L130" i="20"/>
  <c r="M130" i="20"/>
  <c r="AK26" i="1"/>
  <c r="O26" i="1"/>
  <c r="T27" i="38" s="1"/>
  <c r="J26" i="1"/>
  <c r="B129" i="20"/>
  <c r="C129" i="20"/>
  <c r="D129" i="20"/>
  <c r="I129" i="20"/>
  <c r="J129" i="20"/>
  <c r="K129" i="20"/>
  <c r="L129" i="20"/>
  <c r="M129" i="20"/>
  <c r="B128" i="20"/>
  <c r="C128" i="20"/>
  <c r="D128" i="20"/>
  <c r="I128" i="20"/>
  <c r="J128" i="20"/>
  <c r="K128" i="20"/>
  <c r="L128" i="20"/>
  <c r="M128" i="20"/>
  <c r="B127" i="20"/>
  <c r="C127" i="20"/>
  <c r="D127" i="20"/>
  <c r="I127" i="20"/>
  <c r="J127" i="20"/>
  <c r="L127" i="20"/>
  <c r="M127" i="20"/>
  <c r="B126" i="20"/>
  <c r="C126" i="20"/>
  <c r="D126" i="20"/>
  <c r="I126" i="20"/>
  <c r="J126" i="20"/>
  <c r="K126" i="20"/>
  <c r="L126" i="20"/>
  <c r="M126" i="20"/>
  <c r="B125" i="20"/>
  <c r="C125" i="20"/>
  <c r="D125" i="20"/>
  <c r="I125" i="20"/>
  <c r="J125" i="20"/>
  <c r="L125" i="20"/>
  <c r="M125" i="20"/>
  <c r="B124" i="20"/>
  <c r="C124" i="20"/>
  <c r="D124" i="20"/>
  <c r="I124" i="20"/>
  <c r="J124" i="20"/>
  <c r="K124" i="20"/>
  <c r="L124" i="20"/>
  <c r="M124" i="20"/>
  <c r="B123" i="20"/>
  <c r="C123" i="20"/>
  <c r="D123" i="20"/>
  <c r="I123" i="20"/>
  <c r="J123" i="20"/>
  <c r="L123" i="20"/>
  <c r="M123" i="20"/>
  <c r="B122" i="20"/>
  <c r="C122" i="20"/>
  <c r="D122" i="20"/>
  <c r="I122" i="20"/>
  <c r="J122" i="20"/>
  <c r="K122" i="20"/>
  <c r="L122" i="20"/>
  <c r="M122" i="20"/>
  <c r="B121" i="20"/>
  <c r="C121" i="20"/>
  <c r="D121" i="20"/>
  <c r="I121" i="20"/>
  <c r="J121" i="20"/>
  <c r="K121" i="20"/>
  <c r="L121" i="20"/>
  <c r="M121" i="20"/>
  <c r="B120" i="20"/>
  <c r="C120" i="20"/>
  <c r="D120" i="20"/>
  <c r="I120" i="20"/>
  <c r="J120" i="20"/>
  <c r="K120" i="20"/>
  <c r="L120" i="20"/>
  <c r="M120" i="20"/>
  <c r="B119" i="20"/>
  <c r="C119" i="20"/>
  <c r="D119" i="20"/>
  <c r="I119" i="20"/>
  <c r="J119" i="20"/>
  <c r="L119" i="20"/>
  <c r="M119" i="20"/>
  <c r="Y25" i="1"/>
  <c r="AK25" i="1"/>
  <c r="J25" i="1"/>
  <c r="O25" i="1"/>
  <c r="T26" i="38" s="1"/>
  <c r="J5" i="19"/>
  <c r="J6" i="19"/>
  <c r="W15" i="19"/>
  <c r="W14" i="19"/>
  <c r="W13" i="19"/>
  <c r="W12" i="19"/>
  <c r="W11" i="19"/>
  <c r="AC6" i="19"/>
  <c r="W16" i="19" s="1"/>
  <c r="N18" i="19" s="1"/>
  <c r="B118" i="20"/>
  <c r="C118" i="20"/>
  <c r="D118" i="20"/>
  <c r="I118" i="20"/>
  <c r="J118" i="20"/>
  <c r="K118" i="20"/>
  <c r="L118" i="20"/>
  <c r="M118" i="20"/>
  <c r="B117" i="20"/>
  <c r="C117" i="20"/>
  <c r="D117" i="20"/>
  <c r="I117" i="20"/>
  <c r="J117" i="20"/>
  <c r="K117" i="20"/>
  <c r="L117" i="20"/>
  <c r="M117" i="20"/>
  <c r="B116" i="20"/>
  <c r="C116" i="20"/>
  <c r="D116" i="20"/>
  <c r="I116" i="20"/>
  <c r="J116" i="20"/>
  <c r="L116" i="20"/>
  <c r="M116" i="20"/>
  <c r="B114" i="20"/>
  <c r="B115" i="20"/>
  <c r="C114" i="20"/>
  <c r="C115" i="20"/>
  <c r="D114" i="20"/>
  <c r="D115" i="20"/>
  <c r="I114" i="20"/>
  <c r="I115" i="20"/>
  <c r="J114" i="20"/>
  <c r="J115" i="20"/>
  <c r="K114" i="20"/>
  <c r="L114" i="20"/>
  <c r="L115" i="20"/>
  <c r="M114" i="20"/>
  <c r="M115" i="20"/>
  <c r="B112" i="20"/>
  <c r="B113" i="20"/>
  <c r="C112" i="20"/>
  <c r="C113" i="20"/>
  <c r="D112" i="20"/>
  <c r="D113" i="20"/>
  <c r="I112" i="20"/>
  <c r="I113" i="20"/>
  <c r="J112" i="20"/>
  <c r="J113" i="20"/>
  <c r="K112" i="20"/>
  <c r="K113" i="20"/>
  <c r="L112" i="20"/>
  <c r="L113" i="20"/>
  <c r="M112" i="20"/>
  <c r="M113" i="20"/>
  <c r="B110" i="20"/>
  <c r="B111" i="20"/>
  <c r="C110" i="20"/>
  <c r="C111" i="20"/>
  <c r="D110" i="20"/>
  <c r="D111" i="20"/>
  <c r="I110" i="20"/>
  <c r="I111" i="20"/>
  <c r="J110" i="20"/>
  <c r="J111" i="20"/>
  <c r="K110" i="20"/>
  <c r="L110" i="20"/>
  <c r="L111" i="20"/>
  <c r="M110" i="20"/>
  <c r="M111" i="20"/>
  <c r="B109" i="20"/>
  <c r="C109" i="20"/>
  <c r="D109" i="20"/>
  <c r="I109" i="20"/>
  <c r="J109" i="20"/>
  <c r="L109" i="20"/>
  <c r="M109" i="20"/>
  <c r="B108" i="20"/>
  <c r="C108" i="20"/>
  <c r="D108" i="20"/>
  <c r="I108" i="20"/>
  <c r="J108" i="20"/>
  <c r="K108" i="20"/>
  <c r="L108" i="20"/>
  <c r="M108" i="20"/>
  <c r="AK24" i="1"/>
  <c r="O24" i="1"/>
  <c r="T25" i="38" s="1"/>
  <c r="J24" i="1"/>
  <c r="A23" i="1"/>
  <c r="A24" i="1"/>
  <c r="A25" i="1"/>
  <c r="A26" i="1"/>
  <c r="A27" i="1"/>
  <c r="A28" i="1"/>
  <c r="A29" i="1"/>
  <c r="A30" i="1"/>
  <c r="A31" i="1"/>
  <c r="A32" i="1"/>
  <c r="A33" i="1"/>
  <c r="A34" i="1"/>
  <c r="A35" i="1"/>
  <c r="A36" i="1"/>
  <c r="A37" i="1"/>
  <c r="A38" i="1"/>
  <c r="A39" i="1"/>
  <c r="A40" i="1"/>
  <c r="A41" i="1"/>
  <c r="A42" i="1"/>
  <c r="A43" i="1"/>
  <c r="B100" i="20"/>
  <c r="B101" i="20"/>
  <c r="B102" i="20"/>
  <c r="B103" i="20"/>
  <c r="B104" i="20"/>
  <c r="B105" i="20"/>
  <c r="B106" i="20"/>
  <c r="B107" i="20"/>
  <c r="C100" i="20"/>
  <c r="C101" i="20"/>
  <c r="C102" i="20"/>
  <c r="C103" i="20"/>
  <c r="C104" i="20"/>
  <c r="C105" i="20"/>
  <c r="C106" i="20"/>
  <c r="C107" i="20"/>
  <c r="D100" i="20"/>
  <c r="D101" i="20"/>
  <c r="D102" i="20"/>
  <c r="D103" i="20"/>
  <c r="D104" i="20"/>
  <c r="D105" i="20"/>
  <c r="D106" i="20"/>
  <c r="D107" i="20"/>
  <c r="I100" i="20"/>
  <c r="I101" i="20"/>
  <c r="I102" i="20"/>
  <c r="I103" i="20"/>
  <c r="I104" i="20"/>
  <c r="I105" i="20"/>
  <c r="I106" i="20"/>
  <c r="I107" i="20"/>
  <c r="J100" i="20"/>
  <c r="J101" i="20"/>
  <c r="J102" i="20"/>
  <c r="J103" i="20"/>
  <c r="J104" i="20"/>
  <c r="J105" i="20"/>
  <c r="J106" i="20"/>
  <c r="J107" i="20"/>
  <c r="K101" i="20"/>
  <c r="K102" i="20"/>
  <c r="K103" i="20"/>
  <c r="K104" i="20"/>
  <c r="K107" i="20"/>
  <c r="L100" i="20"/>
  <c r="L101" i="20"/>
  <c r="L102" i="20"/>
  <c r="L103" i="20"/>
  <c r="L104" i="20"/>
  <c r="L105" i="20"/>
  <c r="L106" i="20"/>
  <c r="L107" i="20"/>
  <c r="M100" i="20"/>
  <c r="M101" i="20"/>
  <c r="M102" i="20"/>
  <c r="M103" i="20"/>
  <c r="M104" i="20"/>
  <c r="M105" i="20"/>
  <c r="M106" i="20"/>
  <c r="M107" i="20"/>
  <c r="B99" i="20"/>
  <c r="C99" i="20"/>
  <c r="D99" i="20"/>
  <c r="I99" i="20"/>
  <c r="J99" i="20"/>
  <c r="K99" i="20"/>
  <c r="L99" i="20"/>
  <c r="M99" i="20"/>
  <c r="B98" i="20"/>
  <c r="C98" i="20"/>
  <c r="D98" i="20"/>
  <c r="I98" i="20"/>
  <c r="J98" i="20"/>
  <c r="K98" i="20"/>
  <c r="L98" i="20"/>
  <c r="M98" i="20"/>
  <c r="B97" i="20"/>
  <c r="C97" i="20"/>
  <c r="D97" i="20"/>
  <c r="I97" i="20"/>
  <c r="J97" i="20"/>
  <c r="L97" i="20"/>
  <c r="M97" i="20"/>
  <c r="B96" i="20"/>
  <c r="C96" i="20"/>
  <c r="D96" i="20"/>
  <c r="I96" i="20"/>
  <c r="J96" i="20"/>
  <c r="K96" i="20"/>
  <c r="L96" i="20"/>
  <c r="M96" i="20"/>
  <c r="AK23" i="1"/>
  <c r="O23" i="1"/>
  <c r="J23" i="1"/>
  <c r="M24" i="38" s="1"/>
  <c r="AK22" i="1"/>
  <c r="O22" i="1"/>
  <c r="J22" i="1"/>
  <c r="B95" i="20"/>
  <c r="C95" i="20"/>
  <c r="D95" i="20"/>
  <c r="I95" i="20"/>
  <c r="J95" i="20"/>
  <c r="K95" i="20"/>
  <c r="L95" i="20"/>
  <c r="M95" i="20"/>
  <c r="B94" i="20"/>
  <c r="C94" i="20"/>
  <c r="D94" i="20"/>
  <c r="I94" i="20"/>
  <c r="J94" i="20"/>
  <c r="K94" i="20"/>
  <c r="L94" i="20"/>
  <c r="M94" i="20"/>
  <c r="B93" i="20"/>
  <c r="C93" i="20"/>
  <c r="D93" i="20"/>
  <c r="I93" i="20"/>
  <c r="J93" i="20"/>
  <c r="L93" i="20"/>
  <c r="M93" i="20"/>
  <c r="B92" i="20"/>
  <c r="C92" i="20"/>
  <c r="D92" i="20"/>
  <c r="I92" i="20"/>
  <c r="J92" i="20"/>
  <c r="K92" i="20"/>
  <c r="L92" i="20"/>
  <c r="M92" i="20"/>
  <c r="B91" i="20"/>
  <c r="C91" i="20"/>
  <c r="D91" i="20"/>
  <c r="I91" i="20"/>
  <c r="J91" i="20"/>
  <c r="K91" i="20"/>
  <c r="L91" i="20"/>
  <c r="M91" i="20"/>
  <c r="AK21" i="1"/>
  <c r="AK20" i="1"/>
  <c r="O21" i="1"/>
  <c r="J21" i="1"/>
  <c r="J20" i="1"/>
  <c r="B83" i="20"/>
  <c r="B84" i="20"/>
  <c r="B85" i="20"/>
  <c r="B86" i="20"/>
  <c r="B87" i="20"/>
  <c r="B88" i="20"/>
  <c r="B89" i="20"/>
  <c r="B90" i="20"/>
  <c r="C83" i="20"/>
  <c r="C84" i="20"/>
  <c r="C85" i="20"/>
  <c r="C86" i="20"/>
  <c r="C87" i="20"/>
  <c r="C88" i="20"/>
  <c r="C89" i="20"/>
  <c r="C90" i="20"/>
  <c r="D83" i="20"/>
  <c r="D84" i="20"/>
  <c r="D85" i="20"/>
  <c r="D86" i="20"/>
  <c r="D87" i="20"/>
  <c r="D88" i="20"/>
  <c r="D89" i="20"/>
  <c r="D90" i="20"/>
  <c r="I83" i="20"/>
  <c r="I84" i="20"/>
  <c r="I85" i="20"/>
  <c r="I86" i="20"/>
  <c r="I87" i="20"/>
  <c r="I88" i="20"/>
  <c r="I89" i="20"/>
  <c r="I90" i="20"/>
  <c r="J83" i="20"/>
  <c r="J84" i="20"/>
  <c r="J85" i="20"/>
  <c r="J86" i="20"/>
  <c r="J87" i="20"/>
  <c r="J88" i="20"/>
  <c r="J89" i="20"/>
  <c r="J90" i="20"/>
  <c r="K84" i="20"/>
  <c r="K86" i="20"/>
  <c r="K87" i="20"/>
  <c r="K88" i="20"/>
  <c r="L83" i="20"/>
  <c r="L84" i="20"/>
  <c r="L85" i="20"/>
  <c r="L86" i="20"/>
  <c r="L87" i="20"/>
  <c r="L88" i="20"/>
  <c r="L89" i="20"/>
  <c r="L90" i="20"/>
  <c r="M83" i="20"/>
  <c r="M84" i="20"/>
  <c r="M85" i="20"/>
  <c r="M86" i="20"/>
  <c r="M87" i="20"/>
  <c r="M88" i="20"/>
  <c r="M89" i="20"/>
  <c r="M90" i="20"/>
  <c r="B82" i="20"/>
  <c r="C82" i="20"/>
  <c r="D82" i="20"/>
  <c r="I82" i="20"/>
  <c r="J82" i="20"/>
  <c r="K82" i="20"/>
  <c r="L82" i="20"/>
  <c r="M82" i="20"/>
  <c r="B81" i="20"/>
  <c r="C81" i="20"/>
  <c r="D81" i="20"/>
  <c r="I81" i="20"/>
  <c r="J81" i="20"/>
  <c r="L81" i="20"/>
  <c r="M81" i="20"/>
  <c r="B80" i="20"/>
  <c r="C80" i="20"/>
  <c r="D80" i="20"/>
  <c r="I80" i="20"/>
  <c r="J80" i="20"/>
  <c r="K80" i="20"/>
  <c r="L80" i="20"/>
  <c r="M80" i="20"/>
  <c r="B79" i="20"/>
  <c r="C79" i="20"/>
  <c r="D79" i="20"/>
  <c r="I79" i="20"/>
  <c r="J79" i="20"/>
  <c r="K79" i="20"/>
  <c r="L79" i="20"/>
  <c r="M79" i="20"/>
  <c r="B78" i="20"/>
  <c r="C78" i="20"/>
  <c r="D78" i="20"/>
  <c r="I78" i="20"/>
  <c r="J78" i="20"/>
  <c r="K78" i="20"/>
  <c r="L78" i="20"/>
  <c r="M78" i="20"/>
  <c r="B77" i="20"/>
  <c r="C77" i="20"/>
  <c r="D77" i="20"/>
  <c r="I77" i="20"/>
  <c r="J77" i="20"/>
  <c r="L77" i="20"/>
  <c r="M77" i="20"/>
  <c r="B76" i="20"/>
  <c r="C76" i="20"/>
  <c r="D76" i="20"/>
  <c r="I76" i="20"/>
  <c r="J76" i="20"/>
  <c r="K76" i="20"/>
  <c r="L76" i="20"/>
  <c r="M76" i="20"/>
  <c r="B75" i="20"/>
  <c r="C75" i="20"/>
  <c r="D75" i="20"/>
  <c r="I75" i="20"/>
  <c r="J75" i="20"/>
  <c r="K75" i="20"/>
  <c r="L75" i="20"/>
  <c r="M75" i="20"/>
  <c r="B74" i="20"/>
  <c r="C74" i="20"/>
  <c r="D74" i="20"/>
  <c r="I74" i="20"/>
  <c r="J74" i="20"/>
  <c r="K74" i="20"/>
  <c r="L74" i="20"/>
  <c r="M74" i="20"/>
  <c r="B73" i="20"/>
  <c r="C73" i="20"/>
  <c r="D73" i="20"/>
  <c r="I73" i="20"/>
  <c r="J73" i="20"/>
  <c r="L73" i="20"/>
  <c r="M73" i="20"/>
  <c r="B72" i="20"/>
  <c r="C72" i="20"/>
  <c r="D72" i="20"/>
  <c r="I72" i="20"/>
  <c r="J72" i="20"/>
  <c r="L72" i="20"/>
  <c r="M72" i="20"/>
  <c r="B71" i="20"/>
  <c r="C71" i="20"/>
  <c r="D71" i="20"/>
  <c r="I71" i="20"/>
  <c r="J71" i="20"/>
  <c r="K71" i="20"/>
  <c r="L71" i="20"/>
  <c r="M71" i="20"/>
  <c r="B70" i="20"/>
  <c r="C70" i="20"/>
  <c r="D70" i="20"/>
  <c r="I70" i="20"/>
  <c r="J70" i="20"/>
  <c r="K70" i="20"/>
  <c r="L70" i="20"/>
  <c r="M70" i="20"/>
  <c r="O20" i="1"/>
  <c r="O19" i="1"/>
  <c r="J19" i="1"/>
  <c r="AK19" i="1"/>
  <c r="B63" i="20"/>
  <c r="B64" i="20"/>
  <c r="B65" i="20"/>
  <c r="B66" i="20"/>
  <c r="B67" i="20"/>
  <c r="B68" i="20"/>
  <c r="B69" i="20"/>
  <c r="C63" i="20"/>
  <c r="C64" i="20"/>
  <c r="C65" i="20"/>
  <c r="C66" i="20"/>
  <c r="C67" i="20"/>
  <c r="C68" i="20"/>
  <c r="C69" i="20"/>
  <c r="D63" i="20"/>
  <c r="D64" i="20"/>
  <c r="D65" i="20"/>
  <c r="D66" i="20"/>
  <c r="D67" i="20"/>
  <c r="D68" i="20"/>
  <c r="D69" i="20"/>
  <c r="I63" i="20"/>
  <c r="I64" i="20"/>
  <c r="I65" i="20"/>
  <c r="I66" i="20"/>
  <c r="I67" i="20"/>
  <c r="I68" i="20"/>
  <c r="I69" i="20"/>
  <c r="J63" i="20"/>
  <c r="J64" i="20"/>
  <c r="J65" i="20"/>
  <c r="J66" i="20"/>
  <c r="J67" i="20"/>
  <c r="J68" i="20"/>
  <c r="J69" i="20"/>
  <c r="K63" i="20"/>
  <c r="K64" i="20"/>
  <c r="K65" i="20"/>
  <c r="K66" i="20"/>
  <c r="K68" i="20"/>
  <c r="K69" i="20"/>
  <c r="L63" i="20"/>
  <c r="L64" i="20"/>
  <c r="L65" i="20"/>
  <c r="L66" i="20"/>
  <c r="L67" i="20"/>
  <c r="L68" i="20"/>
  <c r="L69" i="20"/>
  <c r="M63" i="20"/>
  <c r="M64" i="20"/>
  <c r="M65" i="20"/>
  <c r="M66" i="20"/>
  <c r="M67" i="20"/>
  <c r="M68" i="20"/>
  <c r="M69" i="20"/>
  <c r="B62" i="20"/>
  <c r="C62" i="20"/>
  <c r="D62" i="20"/>
  <c r="I62" i="20"/>
  <c r="J62" i="20"/>
  <c r="L62" i="20"/>
  <c r="M62" i="20"/>
  <c r="B61" i="20"/>
  <c r="C61" i="20"/>
  <c r="D61" i="20"/>
  <c r="I61" i="20"/>
  <c r="J61" i="20"/>
  <c r="L61" i="20"/>
  <c r="M61" i="20"/>
  <c r="B60" i="20"/>
  <c r="C60" i="20"/>
  <c r="D60" i="20"/>
  <c r="I60" i="20"/>
  <c r="J60" i="20"/>
  <c r="K60" i="20"/>
  <c r="L60" i="20"/>
  <c r="M60" i="20"/>
  <c r="B59" i="20"/>
  <c r="C59" i="20"/>
  <c r="D59" i="20"/>
  <c r="I59" i="20"/>
  <c r="J59" i="20"/>
  <c r="L59" i="20"/>
  <c r="M59" i="20"/>
  <c r="O18" i="1"/>
  <c r="J18" i="1"/>
  <c r="AK18" i="1"/>
  <c r="AX18" i="1"/>
  <c r="B58" i="20"/>
  <c r="C58" i="20"/>
  <c r="D58" i="20"/>
  <c r="I58" i="20"/>
  <c r="J58" i="20"/>
  <c r="K58" i="20"/>
  <c r="L58" i="20"/>
  <c r="M58" i="20"/>
  <c r="B57" i="20"/>
  <c r="C57" i="20"/>
  <c r="D57" i="20"/>
  <c r="I57" i="20"/>
  <c r="J57" i="20"/>
  <c r="K57" i="20"/>
  <c r="L57" i="20"/>
  <c r="M57" i="20"/>
  <c r="B56" i="20"/>
  <c r="C56" i="20"/>
  <c r="D56" i="20"/>
  <c r="I56" i="20"/>
  <c r="J56" i="20"/>
  <c r="L56" i="20"/>
  <c r="M56" i="20"/>
  <c r="B55" i="20"/>
  <c r="C55" i="20"/>
  <c r="D55" i="20"/>
  <c r="I55" i="20"/>
  <c r="J55" i="20"/>
  <c r="K55" i="20"/>
  <c r="L55" i="20"/>
  <c r="M55" i="20"/>
  <c r="B54" i="20"/>
  <c r="C54" i="20"/>
  <c r="D54" i="20"/>
  <c r="I54" i="20"/>
  <c r="J54" i="20"/>
  <c r="K54" i="20"/>
  <c r="L54" i="20"/>
  <c r="M54" i="20"/>
  <c r="B53" i="20"/>
  <c r="C53" i="20"/>
  <c r="D53" i="20"/>
  <c r="I53" i="20"/>
  <c r="J53" i="20"/>
  <c r="K53" i="20"/>
  <c r="L53" i="20"/>
  <c r="M53" i="20"/>
  <c r="B52" i="20"/>
  <c r="C52" i="20"/>
  <c r="D52" i="20"/>
  <c r="I52" i="20"/>
  <c r="J52" i="20"/>
  <c r="K52" i="20"/>
  <c r="L52" i="20"/>
  <c r="M52" i="20"/>
  <c r="B51" i="20"/>
  <c r="C51" i="20"/>
  <c r="D51" i="20"/>
  <c r="I51" i="20"/>
  <c r="J51" i="20"/>
  <c r="L51" i="20"/>
  <c r="M51" i="20"/>
  <c r="B50" i="20"/>
  <c r="C50" i="20"/>
  <c r="D50" i="20"/>
  <c r="I50" i="20"/>
  <c r="J50" i="20"/>
  <c r="L50" i="20"/>
  <c r="M50" i="20"/>
  <c r="B49" i="20"/>
  <c r="C49" i="20"/>
  <c r="D49" i="20"/>
  <c r="I49" i="20"/>
  <c r="J49" i="20"/>
  <c r="K49" i="20"/>
  <c r="L49" i="20"/>
  <c r="M49" i="20"/>
  <c r="AK17" i="1"/>
  <c r="O17" i="1"/>
  <c r="J17" i="1"/>
  <c r="B48" i="20"/>
  <c r="C48" i="20"/>
  <c r="D48" i="20"/>
  <c r="I48" i="20"/>
  <c r="J48" i="20"/>
  <c r="K48" i="20"/>
  <c r="L48" i="20"/>
  <c r="M48" i="20"/>
  <c r="B47" i="20"/>
  <c r="C47" i="20"/>
  <c r="D47" i="20"/>
  <c r="I47" i="20"/>
  <c r="J47" i="20"/>
  <c r="L47" i="20"/>
  <c r="M47" i="20"/>
  <c r="B46" i="20"/>
  <c r="C46" i="20"/>
  <c r="D46" i="20"/>
  <c r="I46" i="20"/>
  <c r="J46" i="20"/>
  <c r="K46" i="20"/>
  <c r="L46" i="20"/>
  <c r="M46" i="20"/>
  <c r="B45" i="20"/>
  <c r="C45" i="20"/>
  <c r="D45" i="20"/>
  <c r="I45" i="20"/>
  <c r="J45" i="20"/>
  <c r="K45" i="20"/>
  <c r="L45" i="20"/>
  <c r="M45" i="20"/>
  <c r="B44" i="20"/>
  <c r="C44" i="20"/>
  <c r="D44" i="20"/>
  <c r="I44" i="20"/>
  <c r="J44" i="20"/>
  <c r="K44" i="20"/>
  <c r="L44" i="20"/>
  <c r="M44" i="20"/>
  <c r="AK16" i="1"/>
  <c r="BC16" i="1"/>
  <c r="F122" i="38" s="1"/>
  <c r="O16" i="1"/>
  <c r="T6" i="38" s="1"/>
  <c r="J16" i="1"/>
  <c r="M6" i="38" s="1"/>
  <c r="U20" i="19" l="1"/>
  <c r="AA7" i="19"/>
  <c r="V7" i="19"/>
  <c r="T24" i="38"/>
  <c r="T23" i="38"/>
  <c r="AF32" i="1"/>
  <c r="T21" i="38"/>
  <c r="E103" i="38"/>
  <c r="X370" i="1"/>
  <c r="V33" i="1"/>
  <c r="R33" i="1" s="1"/>
  <c r="G111" i="38"/>
  <c r="G100" i="38"/>
  <c r="Q35" i="1"/>
  <c r="N35" i="1" s="1"/>
  <c r="AA31" i="1"/>
  <c r="AA29" i="1"/>
  <c r="W29" i="1" s="1"/>
  <c r="AF30" i="1"/>
  <c r="AB30" i="1" s="1"/>
  <c r="V31" i="1"/>
  <c r="R31" i="1" s="1"/>
  <c r="AL128" i="35"/>
  <c r="AK128" i="35" s="1"/>
  <c r="V102" i="38"/>
  <c r="Q102" i="38" s="1"/>
  <c r="V35" i="1"/>
  <c r="M74" i="38"/>
  <c r="Q27" i="1"/>
  <c r="T28" i="38"/>
  <c r="Q28" i="1"/>
  <c r="AL135" i="35"/>
  <c r="AK135" i="35" s="1"/>
  <c r="V109" i="38"/>
  <c r="Q109" i="38" s="1"/>
  <c r="BE35" i="1"/>
  <c r="F152" i="38"/>
  <c r="L16" i="1"/>
  <c r="M17" i="38"/>
  <c r="AL130" i="35"/>
  <c r="AK130" i="35" s="1"/>
  <c r="V104" i="38"/>
  <c r="Q104" i="38" s="1"/>
  <c r="AL132" i="35"/>
  <c r="AK132" i="35" s="1"/>
  <c r="V106" i="38"/>
  <c r="Q106" i="38" s="1"/>
  <c r="U135" i="35"/>
  <c r="O109" i="38"/>
  <c r="Q16" i="1"/>
  <c r="T17" i="38"/>
  <c r="V29" i="1"/>
  <c r="M68" i="38"/>
  <c r="L35" i="1"/>
  <c r="BE16" i="1"/>
  <c r="AB32" i="1"/>
  <c r="AF29" i="1"/>
  <c r="AA32" i="1"/>
  <c r="AL138" i="35"/>
  <c r="AK138" i="35" s="1"/>
  <c r="V112" i="38"/>
  <c r="Q112" i="38" s="1"/>
  <c r="AP35" i="1"/>
  <c r="F74" i="38"/>
  <c r="L27" i="1"/>
  <c r="M28" i="38"/>
  <c r="AL119" i="35"/>
  <c r="AK119" i="35" s="1"/>
  <c r="V93" i="38"/>
  <c r="Q93" i="38" s="1"/>
  <c r="AL44" i="35"/>
  <c r="AK44" i="35" s="1"/>
  <c r="H106" i="38"/>
  <c r="C106" i="38" s="1"/>
  <c r="L33" i="1"/>
  <c r="M34" i="38"/>
  <c r="L28" i="1"/>
  <c r="M29" i="38"/>
  <c r="Q18" i="1"/>
  <c r="T19" i="38"/>
  <c r="L22" i="1"/>
  <c r="M23" i="38"/>
  <c r="L30" i="1"/>
  <c r="M31" i="38"/>
  <c r="O72" i="38"/>
  <c r="J72" i="38" s="1"/>
  <c r="Q30" i="1"/>
  <c r="T31" i="38"/>
  <c r="BO35" i="1"/>
  <c r="T152" i="38"/>
  <c r="F102" i="38"/>
  <c r="Q33" i="1"/>
  <c r="T34" i="38"/>
  <c r="AZ35" i="1"/>
  <c r="T74" i="38"/>
  <c r="BJ35" i="1"/>
  <c r="M152" i="38"/>
  <c r="Q22" i="1"/>
  <c r="N22" i="1" s="1"/>
  <c r="AL136" i="35"/>
  <c r="AK136" i="35" s="1"/>
  <c r="V110" i="38"/>
  <c r="Q110" i="38" s="1"/>
  <c r="V34" i="1"/>
  <c r="AF35" i="1"/>
  <c r="M112" i="38"/>
  <c r="Q24" i="1"/>
  <c r="BO34" i="1"/>
  <c r="AF28" i="1"/>
  <c r="M105" i="38"/>
  <c r="O107" i="38"/>
  <c r="D134" i="35"/>
  <c r="H108" i="38"/>
  <c r="AB33" i="1"/>
  <c r="U136" i="35"/>
  <c r="T136" i="35" s="1"/>
  <c r="O110" i="38"/>
  <c r="J110" i="38" s="1"/>
  <c r="L23" i="1"/>
  <c r="AL131" i="35"/>
  <c r="AK131" i="35" s="1"/>
  <c r="V105" i="38"/>
  <c r="Q105" i="38" s="1"/>
  <c r="V32" i="1"/>
  <c r="M71" i="38"/>
  <c r="L34" i="1"/>
  <c r="AA25" i="1"/>
  <c r="W30" i="1"/>
  <c r="F107" i="38"/>
  <c r="O70" i="38"/>
  <c r="J70" i="38" s="1"/>
  <c r="AZ34" i="1"/>
  <c r="L18" i="1"/>
  <c r="M19" i="38"/>
  <c r="AL122" i="35"/>
  <c r="AK122" i="35" s="1"/>
  <c r="V96" i="38"/>
  <c r="Q96" i="38" s="1"/>
  <c r="Q23" i="1"/>
  <c r="L32" i="1"/>
  <c r="M33" i="38"/>
  <c r="AA33" i="1"/>
  <c r="W33" i="1" s="1"/>
  <c r="AL137" i="35"/>
  <c r="AK137" i="35" s="1"/>
  <c r="L19" i="1"/>
  <c r="M20" i="38"/>
  <c r="Q32" i="1"/>
  <c r="T33" i="38"/>
  <c r="AF34" i="1"/>
  <c r="Y35" i="1"/>
  <c r="AL125" i="35"/>
  <c r="AK125" i="35" s="1"/>
  <c r="V99" i="38"/>
  <c r="Q99" i="38" s="1"/>
  <c r="Q19" i="1"/>
  <c r="T20" i="38"/>
  <c r="AL127" i="35"/>
  <c r="AK127" i="35" s="1"/>
  <c r="V101" i="38"/>
  <c r="Q101" i="38" s="1"/>
  <c r="L26" i="1"/>
  <c r="M27" i="38"/>
  <c r="L31" i="1"/>
  <c r="M32" i="38"/>
  <c r="AL120" i="35"/>
  <c r="AK120" i="35" s="1"/>
  <c r="V94" i="38"/>
  <c r="Q94" i="38" s="1"/>
  <c r="AL133" i="35"/>
  <c r="AK133" i="35" s="1"/>
  <c r="V107" i="38"/>
  <c r="Q107" i="38" s="1"/>
  <c r="L20" i="1"/>
  <c r="M21" i="38"/>
  <c r="Q26" i="1"/>
  <c r="Q31" i="1"/>
  <c r="AL121" i="35"/>
  <c r="AK121" i="35" s="1"/>
  <c r="V95" i="38"/>
  <c r="Q95" i="38" s="1"/>
  <c r="U134" i="35"/>
  <c r="T134" i="35" s="1"/>
  <c r="D133" i="35"/>
  <c r="C133" i="35" s="1"/>
  <c r="H107" i="38"/>
  <c r="C107" i="38" s="1"/>
  <c r="L21" i="1"/>
  <c r="M22" i="38"/>
  <c r="AL126" i="35"/>
  <c r="AK126" i="35" s="1"/>
  <c r="V100" i="38"/>
  <c r="Q100" i="38" s="1"/>
  <c r="Q25" i="1"/>
  <c r="AL129" i="35"/>
  <c r="AK129" i="35" s="1"/>
  <c r="V103" i="38"/>
  <c r="Q103" i="38" s="1"/>
  <c r="AF27" i="1"/>
  <c r="M104" i="38"/>
  <c r="AL134" i="35"/>
  <c r="AK134" i="35" s="1"/>
  <c r="V108" i="38"/>
  <c r="Q108" i="38" s="1"/>
  <c r="BO33" i="1"/>
  <c r="T150" i="38"/>
  <c r="Q21" i="1"/>
  <c r="T22" i="38"/>
  <c r="Q17" i="1"/>
  <c r="T18" i="38"/>
  <c r="L24" i="1"/>
  <c r="M25" i="38"/>
  <c r="Q34" i="1"/>
  <c r="AL123" i="35"/>
  <c r="AK123" i="35" s="1"/>
  <c r="V97" i="38"/>
  <c r="Q97" i="38" s="1"/>
  <c r="L25" i="1"/>
  <c r="M26" i="38"/>
  <c r="L29" i="1"/>
  <c r="M30" i="38"/>
  <c r="L17" i="1"/>
  <c r="M18" i="38"/>
  <c r="AZ18" i="1"/>
  <c r="AL124" i="35"/>
  <c r="AK124" i="35" s="1"/>
  <c r="V98" i="38"/>
  <c r="Q98" i="38" s="1"/>
  <c r="AA26" i="1"/>
  <c r="Q29" i="1"/>
  <c r="T30" i="38"/>
  <c r="Y34" i="1"/>
  <c r="W37" i="1"/>
  <c r="T36" i="1"/>
  <c r="V36" i="1" s="1"/>
  <c r="R36" i="1" s="1"/>
  <c r="W31" i="1"/>
  <c r="Z7" i="19"/>
  <c r="AB7" i="19"/>
  <c r="Y7" i="19"/>
  <c r="W7" i="19"/>
  <c r="X7" i="19"/>
  <c r="B43" i="20"/>
  <c r="C43" i="20"/>
  <c r="D43" i="20"/>
  <c r="I43" i="20"/>
  <c r="J43" i="20"/>
  <c r="K43" i="20"/>
  <c r="L43" i="20"/>
  <c r="M43" i="20"/>
  <c r="B42" i="20"/>
  <c r="C42" i="20"/>
  <c r="D42" i="20"/>
  <c r="I42" i="20"/>
  <c r="J42" i="20"/>
  <c r="K42" i="20"/>
  <c r="L42" i="20"/>
  <c r="M42" i="20"/>
  <c r="B41" i="20"/>
  <c r="C41" i="20"/>
  <c r="D41" i="20"/>
  <c r="I41" i="20"/>
  <c r="J41" i="20"/>
  <c r="K41" i="20"/>
  <c r="L41" i="20"/>
  <c r="M41" i="20"/>
  <c r="B40" i="20"/>
  <c r="C40" i="20"/>
  <c r="D40" i="20"/>
  <c r="I40" i="20"/>
  <c r="J40" i="20"/>
  <c r="K40" i="20"/>
  <c r="L40" i="20"/>
  <c r="M40" i="20"/>
  <c r="B39" i="20"/>
  <c r="C39" i="20"/>
  <c r="D39" i="20"/>
  <c r="I39" i="20"/>
  <c r="J39" i="20"/>
  <c r="K39" i="20"/>
  <c r="L39" i="20"/>
  <c r="M39" i="20"/>
  <c r="AK15" i="1"/>
  <c r="O15" i="1"/>
  <c r="J15" i="1"/>
  <c r="BC15" i="1"/>
  <c r="U87" i="35" l="1"/>
  <c r="T87" i="35" s="1"/>
  <c r="U133" i="35"/>
  <c r="T133" i="35" s="1"/>
  <c r="D132" i="35"/>
  <c r="C132" i="35" s="1"/>
  <c r="U89" i="35"/>
  <c r="T89" i="35" s="1"/>
  <c r="W32" i="1"/>
  <c r="D135" i="35"/>
  <c r="C135" i="35" s="1"/>
  <c r="H109" i="38"/>
  <c r="C109" i="38" s="1"/>
  <c r="I23" i="1"/>
  <c r="U32" i="35"/>
  <c r="T32" i="35" s="1"/>
  <c r="O24" i="38"/>
  <c r="J24" i="38" s="1"/>
  <c r="AB34" i="1"/>
  <c r="U137" i="35"/>
  <c r="R29" i="1"/>
  <c r="U85" i="35"/>
  <c r="O68" i="38"/>
  <c r="J68" i="38" s="1"/>
  <c r="C134" i="35"/>
  <c r="N16" i="1"/>
  <c r="AL25" i="35"/>
  <c r="AK25" i="35" s="1"/>
  <c r="V17" i="38"/>
  <c r="Q17" i="38" s="1"/>
  <c r="BL33" i="1"/>
  <c r="S150" i="38" s="1"/>
  <c r="V150" i="38"/>
  <c r="Q150" i="38" s="1"/>
  <c r="N30" i="1"/>
  <c r="S31" i="38" s="1"/>
  <c r="AL39" i="35"/>
  <c r="AK39" i="35" s="1"/>
  <c r="V31" i="38"/>
  <c r="Q31" i="38" s="1"/>
  <c r="N32" i="1"/>
  <c r="S33" i="38" s="1"/>
  <c r="AL41" i="35"/>
  <c r="AK41" i="35" s="1"/>
  <c r="V33" i="38"/>
  <c r="Q33" i="38" s="1"/>
  <c r="N29" i="1"/>
  <c r="S30" i="38" s="1"/>
  <c r="AL38" i="35"/>
  <c r="AK38" i="35" s="1"/>
  <c r="V30" i="38"/>
  <c r="Q30" i="38" s="1"/>
  <c r="J107" i="38"/>
  <c r="I22" i="1"/>
  <c r="U31" i="35"/>
  <c r="T31" i="35" s="1"/>
  <c r="O23" i="38"/>
  <c r="J23" i="38" s="1"/>
  <c r="J109" i="38"/>
  <c r="C108" i="38"/>
  <c r="AV18" i="1"/>
  <c r="AL74" i="35"/>
  <c r="N17" i="1"/>
  <c r="AL26" i="35"/>
  <c r="AK26" i="35" s="1"/>
  <c r="V18" i="38"/>
  <c r="Q18" i="38" s="1"/>
  <c r="N21" i="1"/>
  <c r="AL30" i="35"/>
  <c r="AK30" i="35" s="1"/>
  <c r="V22" i="38"/>
  <c r="Q22" i="38" s="1"/>
  <c r="BL35" i="1"/>
  <c r="S152" i="38" s="1"/>
  <c r="V152" i="38"/>
  <c r="Q152" i="38" s="1"/>
  <c r="F111" i="38"/>
  <c r="AA34" i="1"/>
  <c r="I32" i="1"/>
  <c r="L33" i="38" s="1"/>
  <c r="U41" i="35"/>
  <c r="T41" i="35" s="1"/>
  <c r="O33" i="38"/>
  <c r="J33" i="38" s="1"/>
  <c r="BL34" i="1"/>
  <c r="I33" i="1"/>
  <c r="L34" i="38" s="1"/>
  <c r="U42" i="35"/>
  <c r="T42" i="35" s="1"/>
  <c r="O34" i="38"/>
  <c r="J34" i="38" s="1"/>
  <c r="BE15" i="1"/>
  <c r="L15" i="1"/>
  <c r="M16" i="38"/>
  <c r="I17" i="1"/>
  <c r="U26" i="35"/>
  <c r="T26" i="35" s="1"/>
  <c r="O18" i="38"/>
  <c r="J18" i="38" s="1"/>
  <c r="N23" i="1"/>
  <c r="AL32" i="35"/>
  <c r="AK32" i="35" s="1"/>
  <c r="V24" i="38"/>
  <c r="Q24" i="38" s="1"/>
  <c r="N24" i="1"/>
  <c r="S25" i="38" s="1"/>
  <c r="AL33" i="35"/>
  <c r="AK33" i="35" s="1"/>
  <c r="V25" i="38"/>
  <c r="Q25" i="38" s="1"/>
  <c r="I16" i="1"/>
  <c r="U25" i="35"/>
  <c r="T25" i="35" s="1"/>
  <c r="O17" i="38"/>
  <c r="J17" i="38" s="1"/>
  <c r="I34" i="1"/>
  <c r="U43" i="35"/>
  <c r="T43" i="35" s="1"/>
  <c r="AB27" i="1"/>
  <c r="U130" i="35"/>
  <c r="T130" i="35" s="1"/>
  <c r="O104" i="38"/>
  <c r="J104" i="38" s="1"/>
  <c r="I30" i="1"/>
  <c r="L31" i="38" s="1"/>
  <c r="U39" i="35"/>
  <c r="T39" i="35" s="1"/>
  <c r="O31" i="38"/>
  <c r="J31" i="38" s="1"/>
  <c r="D128" i="35"/>
  <c r="H102" i="38"/>
  <c r="AL118" i="35"/>
  <c r="AK118" i="35" s="1"/>
  <c r="V92" i="38"/>
  <c r="Q92" i="38" s="1"/>
  <c r="I29" i="1"/>
  <c r="L30" i="38" s="1"/>
  <c r="U38" i="35"/>
  <c r="T38" i="35" s="1"/>
  <c r="O30" i="38"/>
  <c r="J30" i="38" s="1"/>
  <c r="N31" i="1"/>
  <c r="S32" i="38" s="1"/>
  <c r="AL40" i="35"/>
  <c r="AK40" i="35" s="1"/>
  <c r="V32" i="38"/>
  <c r="Q32" i="38" s="1"/>
  <c r="AB35" i="1"/>
  <c r="U138" i="35"/>
  <c r="T138" i="35" s="1"/>
  <c r="O112" i="38"/>
  <c r="J112" i="38" s="1"/>
  <c r="BB35" i="1"/>
  <c r="E152" i="38" s="1"/>
  <c r="H152" i="38"/>
  <c r="C152" i="38" s="1"/>
  <c r="D129" i="35"/>
  <c r="H103" i="38"/>
  <c r="N18" i="1"/>
  <c r="AL27" i="35"/>
  <c r="AK27" i="35" s="1"/>
  <c r="V19" i="38"/>
  <c r="Q19" i="38" s="1"/>
  <c r="D136" i="35"/>
  <c r="C136" i="35" s="1"/>
  <c r="H110" i="38"/>
  <c r="C110" i="38" s="1"/>
  <c r="N26" i="1"/>
  <c r="S27" i="38" s="1"/>
  <c r="AL35" i="35"/>
  <c r="AK35" i="35" s="1"/>
  <c r="V27" i="38"/>
  <c r="Q27" i="38" s="1"/>
  <c r="R34" i="1"/>
  <c r="U90" i="35"/>
  <c r="BB16" i="1"/>
  <c r="I20" i="1"/>
  <c r="U29" i="35"/>
  <c r="T29" i="35" s="1"/>
  <c r="O21" i="38"/>
  <c r="J21" i="38" s="1"/>
  <c r="AL37" i="35"/>
  <c r="AK37" i="35" s="1"/>
  <c r="V29" i="38"/>
  <c r="Q29" i="38" s="1"/>
  <c r="N28" i="1"/>
  <c r="S29" i="38" s="1"/>
  <c r="I26" i="1"/>
  <c r="L27" i="38" s="1"/>
  <c r="U35" i="35"/>
  <c r="T35" i="35" s="1"/>
  <c r="O27" i="38"/>
  <c r="J27" i="38" s="1"/>
  <c r="AV34" i="1"/>
  <c r="AL90" i="35"/>
  <c r="AL31" i="35"/>
  <c r="AK31" i="35" s="1"/>
  <c r="V23" i="38"/>
  <c r="Q23" i="38" s="1"/>
  <c r="N33" i="1"/>
  <c r="S34" i="38" s="1"/>
  <c r="AL42" i="35"/>
  <c r="AK42" i="35" s="1"/>
  <c r="V34" i="38"/>
  <c r="Q34" i="38" s="1"/>
  <c r="U132" i="35"/>
  <c r="O106" i="38"/>
  <c r="N19" i="1"/>
  <c r="AL28" i="35"/>
  <c r="AK28" i="35" s="1"/>
  <c r="V20" i="38"/>
  <c r="Q20" i="38" s="1"/>
  <c r="I35" i="1"/>
  <c r="U44" i="35"/>
  <c r="T44" i="35" s="1"/>
  <c r="I19" i="1"/>
  <c r="U28" i="35"/>
  <c r="T28" i="35" s="1"/>
  <c r="O20" i="38"/>
  <c r="J20" i="38" s="1"/>
  <c r="N27" i="1"/>
  <c r="S28" i="38" s="1"/>
  <c r="AL36" i="35"/>
  <c r="AK36" i="35" s="1"/>
  <c r="V28" i="38"/>
  <c r="Q28" i="38" s="1"/>
  <c r="W25" i="1"/>
  <c r="I25" i="1"/>
  <c r="L26" i="38" s="1"/>
  <c r="U34" i="35"/>
  <c r="T34" i="35" s="1"/>
  <c r="O26" i="38"/>
  <c r="J26" i="38" s="1"/>
  <c r="N34" i="1"/>
  <c r="AL43" i="35"/>
  <c r="AK43" i="35" s="1"/>
  <c r="BG35" i="1"/>
  <c r="L152" i="38" s="1"/>
  <c r="O152" i="38"/>
  <c r="J152" i="38" s="1"/>
  <c r="T135" i="35"/>
  <c r="I21" i="1"/>
  <c r="L22" i="38" s="1"/>
  <c r="U30" i="35"/>
  <c r="T30" i="35" s="1"/>
  <c r="O22" i="38"/>
  <c r="J22" i="38" s="1"/>
  <c r="I28" i="1"/>
  <c r="L29" i="38" s="1"/>
  <c r="U37" i="35"/>
  <c r="T37" i="35" s="1"/>
  <c r="O29" i="38"/>
  <c r="J29" i="38" s="1"/>
  <c r="I27" i="1"/>
  <c r="L28" i="38" s="1"/>
  <c r="U36" i="35"/>
  <c r="T36" i="35" s="1"/>
  <c r="O28" i="38"/>
  <c r="J28" i="38" s="1"/>
  <c r="R35" i="1"/>
  <c r="U91" i="35"/>
  <c r="O74" i="38"/>
  <c r="AB28" i="1"/>
  <c r="U131" i="35"/>
  <c r="O105" i="38"/>
  <c r="J105" i="38" s="1"/>
  <c r="Q15" i="1"/>
  <c r="N15" i="1" s="1"/>
  <c r="T16" i="38"/>
  <c r="I24" i="1"/>
  <c r="U33" i="35"/>
  <c r="T33" i="35" s="1"/>
  <c r="O25" i="38"/>
  <c r="J25" i="38" s="1"/>
  <c r="AV35" i="1"/>
  <c r="AL91" i="35"/>
  <c r="V74" i="38"/>
  <c r="R32" i="1"/>
  <c r="U88" i="35"/>
  <c r="O71" i="38"/>
  <c r="J71" i="38" s="1"/>
  <c r="F112" i="38"/>
  <c r="AA35" i="1"/>
  <c r="N25" i="1"/>
  <c r="S26" i="38" s="1"/>
  <c r="AL34" i="35"/>
  <c r="AK34" i="35" s="1"/>
  <c r="V26" i="38"/>
  <c r="Q26" i="38" s="1"/>
  <c r="I18" i="1"/>
  <c r="U27" i="35"/>
  <c r="T27" i="35" s="1"/>
  <c r="O19" i="38"/>
  <c r="J19" i="38" s="1"/>
  <c r="I31" i="1"/>
  <c r="L32" i="38" s="1"/>
  <c r="U40" i="35"/>
  <c r="T40" i="35" s="1"/>
  <c r="O32" i="38"/>
  <c r="J32" i="38" s="1"/>
  <c r="AL35" i="1"/>
  <c r="D91" i="35"/>
  <c r="H74" i="38"/>
  <c r="AC7" i="19"/>
  <c r="J4" i="20"/>
  <c r="K4" i="20"/>
  <c r="L4" i="20"/>
  <c r="M4" i="20"/>
  <c r="J5" i="20"/>
  <c r="K5" i="20"/>
  <c r="L5" i="20"/>
  <c r="M5" i="20"/>
  <c r="J6" i="20"/>
  <c r="K6" i="20"/>
  <c r="L6" i="20"/>
  <c r="M6" i="20"/>
  <c r="J7" i="20"/>
  <c r="K7" i="20"/>
  <c r="L7" i="20"/>
  <c r="M7" i="20"/>
  <c r="J8" i="20"/>
  <c r="K8" i="20"/>
  <c r="L8" i="20"/>
  <c r="M8" i="20"/>
  <c r="J9" i="20"/>
  <c r="K9" i="20"/>
  <c r="L9" i="20"/>
  <c r="M9" i="20"/>
  <c r="J10" i="20"/>
  <c r="K10" i="20"/>
  <c r="L10" i="20"/>
  <c r="M10" i="20"/>
  <c r="J11" i="20"/>
  <c r="K11" i="20"/>
  <c r="L11" i="20"/>
  <c r="M11" i="20"/>
  <c r="J12" i="20"/>
  <c r="K12" i="20"/>
  <c r="L12" i="20"/>
  <c r="M12" i="20"/>
  <c r="J13" i="20"/>
  <c r="K13" i="20"/>
  <c r="L13" i="20"/>
  <c r="M13" i="20"/>
  <c r="J14" i="20"/>
  <c r="K14" i="20"/>
  <c r="L14" i="20"/>
  <c r="M14" i="20"/>
  <c r="J15" i="20"/>
  <c r="K15" i="20"/>
  <c r="L15" i="20"/>
  <c r="M15" i="20"/>
  <c r="J16" i="20"/>
  <c r="K16" i="20"/>
  <c r="L16" i="20"/>
  <c r="M16" i="20"/>
  <c r="J17" i="20"/>
  <c r="K17" i="20"/>
  <c r="L17" i="20"/>
  <c r="M17" i="20"/>
  <c r="J18" i="20"/>
  <c r="K18" i="20"/>
  <c r="L18" i="20"/>
  <c r="M18" i="20"/>
  <c r="J19" i="20"/>
  <c r="K19" i="20"/>
  <c r="L19" i="20"/>
  <c r="M19" i="20"/>
  <c r="J20" i="20"/>
  <c r="K20" i="20"/>
  <c r="L20" i="20"/>
  <c r="M20" i="20"/>
  <c r="J21" i="20"/>
  <c r="K21" i="20"/>
  <c r="L21" i="20"/>
  <c r="M21" i="20"/>
  <c r="J22" i="20"/>
  <c r="K22" i="20"/>
  <c r="L22" i="20"/>
  <c r="M22" i="20"/>
  <c r="J23" i="20"/>
  <c r="K23" i="20"/>
  <c r="L23" i="20"/>
  <c r="M23" i="20"/>
  <c r="J24" i="20"/>
  <c r="K24" i="20"/>
  <c r="L24" i="20"/>
  <c r="M24" i="20"/>
  <c r="J25" i="20"/>
  <c r="K25" i="20"/>
  <c r="L25" i="20"/>
  <c r="M25" i="20"/>
  <c r="J26" i="20"/>
  <c r="K26" i="20"/>
  <c r="L26" i="20"/>
  <c r="M26" i="20"/>
  <c r="J27" i="20"/>
  <c r="K27" i="20"/>
  <c r="L27" i="20"/>
  <c r="M27" i="20"/>
  <c r="J28" i="20"/>
  <c r="K28" i="20"/>
  <c r="L28" i="20"/>
  <c r="M28" i="20"/>
  <c r="J29" i="20"/>
  <c r="K29" i="20"/>
  <c r="L29" i="20"/>
  <c r="M29" i="20"/>
  <c r="J30" i="20"/>
  <c r="K30" i="20"/>
  <c r="L30" i="20"/>
  <c r="M30" i="20"/>
  <c r="J31" i="20"/>
  <c r="K31" i="20"/>
  <c r="L31" i="20"/>
  <c r="M31" i="20"/>
  <c r="J32" i="20"/>
  <c r="K32" i="20"/>
  <c r="L32" i="20"/>
  <c r="M32" i="20"/>
  <c r="J33" i="20"/>
  <c r="K33" i="20"/>
  <c r="L33" i="20"/>
  <c r="M33" i="20"/>
  <c r="J34" i="20"/>
  <c r="K34" i="20"/>
  <c r="L34" i="20"/>
  <c r="M34" i="20"/>
  <c r="J35" i="20"/>
  <c r="K35" i="20"/>
  <c r="L35" i="20"/>
  <c r="M35" i="20"/>
  <c r="J36" i="20"/>
  <c r="K36" i="20"/>
  <c r="L36" i="20"/>
  <c r="M36" i="20"/>
  <c r="J37" i="20"/>
  <c r="K37" i="20"/>
  <c r="L37" i="20"/>
  <c r="M37" i="20"/>
  <c r="J38" i="20"/>
  <c r="K38" i="20"/>
  <c r="L38" i="20"/>
  <c r="M38" i="20"/>
  <c r="M3" i="20"/>
  <c r="L3" i="20"/>
  <c r="K3" i="20"/>
  <c r="J3" i="20"/>
  <c r="I4" i="20"/>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 i="20"/>
  <c r="B38" i="20"/>
  <c r="C38" i="20"/>
  <c r="D38" i="20"/>
  <c r="B35" i="20"/>
  <c r="B36" i="20"/>
  <c r="B37" i="20"/>
  <c r="C35" i="20"/>
  <c r="C36" i="20"/>
  <c r="C37" i="20"/>
  <c r="D35" i="20"/>
  <c r="D36" i="20"/>
  <c r="D37" i="20"/>
  <c r="B34" i="20"/>
  <c r="C34" i="20"/>
  <c r="D34" i="20"/>
  <c r="E40" i="1"/>
  <c r="G40" i="1" s="1"/>
  <c r="D40" i="1" s="1"/>
  <c r="E45" i="1"/>
  <c r="G45" i="1" s="1"/>
  <c r="D45" i="1" s="1"/>
  <c r="E51" i="1"/>
  <c r="G51" i="1" s="1"/>
  <c r="D51" i="1" s="1"/>
  <c r="E92" i="1"/>
  <c r="G92" i="1" s="1"/>
  <c r="D92" i="1" s="1"/>
  <c r="E93" i="1"/>
  <c r="G93" i="1" s="1"/>
  <c r="D93" i="1" s="1"/>
  <c r="E94" i="1"/>
  <c r="G94" i="1" s="1"/>
  <c r="D94" i="1" s="1"/>
  <c r="G95" i="1"/>
  <c r="G96" i="1"/>
  <c r="G97" i="1"/>
  <c r="E121" i="1"/>
  <c r="G121" i="1" s="1"/>
  <c r="D121" i="1" s="1"/>
  <c r="E122" i="1"/>
  <c r="E123" i="1"/>
  <c r="G123" i="1" s="1"/>
  <c r="D123" i="1" s="1"/>
  <c r="E124" i="1"/>
  <c r="G124" i="1" s="1"/>
  <c r="D124" i="1" s="1"/>
  <c r="E125" i="1"/>
  <c r="G125" i="1" s="1"/>
  <c r="D125" i="1" s="1"/>
  <c r="E126" i="1"/>
  <c r="G126" i="1" s="1"/>
  <c r="D126" i="1" s="1"/>
  <c r="E127" i="1"/>
  <c r="G127" i="1" s="1"/>
  <c r="D127" i="1" s="1"/>
  <c r="E128" i="1"/>
  <c r="G128" i="1" s="1"/>
  <c r="D128" i="1" s="1"/>
  <c r="E129" i="1"/>
  <c r="G129" i="1" s="1"/>
  <c r="D129" i="1" s="1"/>
  <c r="E130" i="1"/>
  <c r="G130" i="1" s="1"/>
  <c r="D130" i="1" s="1"/>
  <c r="E131" i="1"/>
  <c r="G131" i="1" s="1"/>
  <c r="D131" i="1" s="1"/>
  <c r="E132" i="1"/>
  <c r="G132" i="1" s="1"/>
  <c r="E133" i="1"/>
  <c r="G133" i="1" s="1"/>
  <c r="D133" i="1" s="1"/>
  <c r="E134" i="1"/>
  <c r="G134" i="1" s="1"/>
  <c r="D134" i="1" s="1"/>
  <c r="E135" i="1"/>
  <c r="G135" i="1" s="1"/>
  <c r="D135" i="1" s="1"/>
  <c r="E136" i="1"/>
  <c r="G136" i="1" s="1"/>
  <c r="D136" i="1" s="1"/>
  <c r="E137" i="1"/>
  <c r="G137" i="1" s="1"/>
  <c r="D137" i="1" s="1"/>
  <c r="E138" i="1"/>
  <c r="G138" i="1" s="1"/>
  <c r="D138" i="1" s="1"/>
  <c r="E139" i="1"/>
  <c r="G139" i="1" s="1"/>
  <c r="D139" i="1" s="1"/>
  <c r="E140" i="1"/>
  <c r="G140" i="1" s="1"/>
  <c r="D140" i="1" s="1"/>
  <c r="E141" i="1"/>
  <c r="G141" i="1" s="1"/>
  <c r="D141" i="1" s="1"/>
  <c r="E142" i="1"/>
  <c r="G142" i="1" s="1"/>
  <c r="D142" i="1" s="1"/>
  <c r="E143" i="1"/>
  <c r="G143" i="1" s="1"/>
  <c r="D143" i="1" s="1"/>
  <c r="E144" i="1"/>
  <c r="G144" i="1" s="1"/>
  <c r="D144" i="1" s="1"/>
  <c r="E145" i="1"/>
  <c r="G145" i="1" s="1"/>
  <c r="D145" i="1" s="1"/>
  <c r="E146" i="1"/>
  <c r="G146" i="1" s="1"/>
  <c r="D146" i="1" s="1"/>
  <c r="E147" i="1"/>
  <c r="G147" i="1" s="1"/>
  <c r="D147" i="1" s="1"/>
  <c r="E148" i="1"/>
  <c r="G148" i="1" s="1"/>
  <c r="D148" i="1" s="1"/>
  <c r="E149" i="1"/>
  <c r="G149" i="1" s="1"/>
  <c r="D149" i="1" s="1"/>
  <c r="E150" i="1"/>
  <c r="E151" i="1"/>
  <c r="G151" i="1" s="1"/>
  <c r="D151" i="1" s="1"/>
  <c r="E152" i="1"/>
  <c r="G152" i="1" s="1"/>
  <c r="D152" i="1" s="1"/>
  <c r="E153" i="1"/>
  <c r="G153" i="1" s="1"/>
  <c r="D153" i="1" s="1"/>
  <c r="E154" i="1"/>
  <c r="G154" i="1" s="1"/>
  <c r="D154" i="1" s="1"/>
  <c r="E155" i="1"/>
  <c r="G155" i="1" s="1"/>
  <c r="D155" i="1" s="1"/>
  <c r="E156" i="1"/>
  <c r="G156" i="1" s="1"/>
  <c r="D156" i="1" s="1"/>
  <c r="E157" i="1"/>
  <c r="G157" i="1" s="1"/>
  <c r="D157" i="1" s="1"/>
  <c r="E158" i="1"/>
  <c r="G158" i="1" s="1"/>
  <c r="D158" i="1" s="1"/>
  <c r="E159" i="1"/>
  <c r="G159" i="1" s="1"/>
  <c r="D159" i="1" s="1"/>
  <c r="E160" i="1"/>
  <c r="G160" i="1" s="1"/>
  <c r="D160" i="1" s="1"/>
  <c r="E161" i="1"/>
  <c r="G161" i="1" s="1"/>
  <c r="D161" i="1" s="1"/>
  <c r="E162" i="1"/>
  <c r="G162" i="1" s="1"/>
  <c r="D162" i="1" s="1"/>
  <c r="E163" i="1"/>
  <c r="G163" i="1" s="1"/>
  <c r="D163" i="1" s="1"/>
  <c r="E164" i="1"/>
  <c r="G164" i="1" s="1"/>
  <c r="E165" i="1"/>
  <c r="G165" i="1" s="1"/>
  <c r="D165" i="1" s="1"/>
  <c r="E166" i="1"/>
  <c r="G166" i="1" s="1"/>
  <c r="D166" i="1" s="1"/>
  <c r="E167" i="1"/>
  <c r="G167" i="1" s="1"/>
  <c r="D167" i="1" s="1"/>
  <c r="E168" i="1"/>
  <c r="G168" i="1" s="1"/>
  <c r="D168" i="1" s="1"/>
  <c r="E169" i="1"/>
  <c r="G169" i="1" s="1"/>
  <c r="D169" i="1" s="1"/>
  <c r="E170" i="1"/>
  <c r="G170" i="1" s="1"/>
  <c r="D170" i="1" s="1"/>
  <c r="E171" i="1"/>
  <c r="G171" i="1" s="1"/>
  <c r="D171" i="1" s="1"/>
  <c r="E172" i="1"/>
  <c r="G172" i="1" s="1"/>
  <c r="D172" i="1" s="1"/>
  <c r="E173" i="1"/>
  <c r="G173" i="1" s="1"/>
  <c r="D173" i="1" s="1"/>
  <c r="E174" i="1"/>
  <c r="G174" i="1" s="1"/>
  <c r="D174" i="1" s="1"/>
  <c r="E175" i="1"/>
  <c r="G175" i="1" s="1"/>
  <c r="D175" i="1" s="1"/>
  <c r="E176" i="1"/>
  <c r="G176" i="1" s="1"/>
  <c r="D176" i="1" s="1"/>
  <c r="E177" i="1"/>
  <c r="G177" i="1" s="1"/>
  <c r="D177" i="1" s="1"/>
  <c r="E178" i="1"/>
  <c r="G178" i="1" s="1"/>
  <c r="D178" i="1" s="1"/>
  <c r="E179" i="1"/>
  <c r="G179" i="1" s="1"/>
  <c r="D179" i="1" s="1"/>
  <c r="E180" i="1"/>
  <c r="G180" i="1" s="1"/>
  <c r="D180" i="1" s="1"/>
  <c r="E181" i="1"/>
  <c r="G181" i="1" s="1"/>
  <c r="D181" i="1" s="1"/>
  <c r="E182" i="1"/>
  <c r="G182" i="1" s="1"/>
  <c r="D182" i="1" s="1"/>
  <c r="E183" i="1"/>
  <c r="G183" i="1" s="1"/>
  <c r="D183" i="1" s="1"/>
  <c r="E184" i="1"/>
  <c r="G184" i="1" s="1"/>
  <c r="D184" i="1" s="1"/>
  <c r="E185" i="1"/>
  <c r="G185" i="1" s="1"/>
  <c r="D185" i="1" s="1"/>
  <c r="E186" i="1"/>
  <c r="E187" i="1"/>
  <c r="G187" i="1" s="1"/>
  <c r="D187" i="1" s="1"/>
  <c r="E188" i="1"/>
  <c r="G188" i="1" s="1"/>
  <c r="D188" i="1" s="1"/>
  <c r="E189" i="1"/>
  <c r="G189" i="1" s="1"/>
  <c r="D189" i="1" s="1"/>
  <c r="E190" i="1"/>
  <c r="G190" i="1" s="1"/>
  <c r="D190" i="1" s="1"/>
  <c r="E191" i="1"/>
  <c r="G191" i="1" s="1"/>
  <c r="D191" i="1" s="1"/>
  <c r="E192" i="1"/>
  <c r="G192" i="1" s="1"/>
  <c r="D192" i="1" s="1"/>
  <c r="E193" i="1"/>
  <c r="G193" i="1" s="1"/>
  <c r="D193" i="1" s="1"/>
  <c r="E194" i="1"/>
  <c r="G194" i="1" s="1"/>
  <c r="D194" i="1" s="1"/>
  <c r="E195" i="1"/>
  <c r="G195" i="1" s="1"/>
  <c r="D195" i="1" s="1"/>
  <c r="E196" i="1"/>
  <c r="G196" i="1" s="1"/>
  <c r="D196" i="1" s="1"/>
  <c r="E197" i="1"/>
  <c r="G197" i="1" s="1"/>
  <c r="D197" i="1" s="1"/>
  <c r="E198" i="1"/>
  <c r="G198" i="1" s="1"/>
  <c r="D198" i="1" s="1"/>
  <c r="E199" i="1"/>
  <c r="G199" i="1" s="1"/>
  <c r="D199" i="1" s="1"/>
  <c r="E200" i="1"/>
  <c r="G200" i="1" s="1"/>
  <c r="D200" i="1" s="1"/>
  <c r="E201" i="1"/>
  <c r="G201" i="1" s="1"/>
  <c r="D201" i="1" s="1"/>
  <c r="E202" i="1"/>
  <c r="G202" i="1" s="1"/>
  <c r="D202" i="1" s="1"/>
  <c r="E203" i="1"/>
  <c r="G203" i="1" s="1"/>
  <c r="D203" i="1" s="1"/>
  <c r="E204" i="1"/>
  <c r="G204" i="1" s="1"/>
  <c r="D204" i="1" s="1"/>
  <c r="E205" i="1"/>
  <c r="G205" i="1" s="1"/>
  <c r="D205" i="1" s="1"/>
  <c r="E206" i="1"/>
  <c r="G206" i="1" s="1"/>
  <c r="D206" i="1" s="1"/>
  <c r="E207" i="1"/>
  <c r="G207" i="1" s="1"/>
  <c r="D207" i="1" s="1"/>
  <c r="E208" i="1"/>
  <c r="G208" i="1" s="1"/>
  <c r="D208" i="1" s="1"/>
  <c r="E209" i="1"/>
  <c r="G209" i="1" s="1"/>
  <c r="D209" i="1" s="1"/>
  <c r="E210" i="1"/>
  <c r="G210" i="1" s="1"/>
  <c r="D210" i="1" s="1"/>
  <c r="E211" i="1"/>
  <c r="G211" i="1" s="1"/>
  <c r="D211" i="1" s="1"/>
  <c r="E212" i="1"/>
  <c r="G212" i="1" s="1"/>
  <c r="D212" i="1" s="1"/>
  <c r="E213" i="1"/>
  <c r="G213" i="1" s="1"/>
  <c r="D213" i="1" s="1"/>
  <c r="E214" i="1"/>
  <c r="G214" i="1" s="1"/>
  <c r="D214" i="1" s="1"/>
  <c r="E215" i="1"/>
  <c r="G215" i="1" s="1"/>
  <c r="D215" i="1" s="1"/>
  <c r="E216" i="1"/>
  <c r="G216" i="1" s="1"/>
  <c r="D216" i="1" s="1"/>
  <c r="E217" i="1"/>
  <c r="G217" i="1" s="1"/>
  <c r="D217" i="1" s="1"/>
  <c r="E218" i="1"/>
  <c r="G218" i="1" s="1"/>
  <c r="D218" i="1" s="1"/>
  <c r="E219" i="1"/>
  <c r="G219" i="1" s="1"/>
  <c r="D219" i="1" s="1"/>
  <c r="E220" i="1"/>
  <c r="G220" i="1" s="1"/>
  <c r="D220" i="1" s="1"/>
  <c r="E221" i="1"/>
  <c r="G221" i="1" s="1"/>
  <c r="D221" i="1" s="1"/>
  <c r="E222" i="1"/>
  <c r="G222" i="1" s="1"/>
  <c r="D222" i="1" s="1"/>
  <c r="E223" i="1"/>
  <c r="G223" i="1" s="1"/>
  <c r="D223" i="1" s="1"/>
  <c r="E224" i="1"/>
  <c r="G224" i="1" s="1"/>
  <c r="D224" i="1" s="1"/>
  <c r="E225" i="1"/>
  <c r="G225" i="1" s="1"/>
  <c r="D225" i="1" s="1"/>
  <c r="E226" i="1"/>
  <c r="G226" i="1" s="1"/>
  <c r="D226" i="1" s="1"/>
  <c r="E227" i="1"/>
  <c r="G227" i="1" s="1"/>
  <c r="D227" i="1" s="1"/>
  <c r="E228" i="1"/>
  <c r="G228" i="1" s="1"/>
  <c r="D228" i="1" s="1"/>
  <c r="E229" i="1"/>
  <c r="G229" i="1" s="1"/>
  <c r="D229" i="1" s="1"/>
  <c r="E230" i="1"/>
  <c r="G230" i="1" s="1"/>
  <c r="D230" i="1" s="1"/>
  <c r="E231" i="1"/>
  <c r="G231" i="1" s="1"/>
  <c r="D231" i="1" s="1"/>
  <c r="E232" i="1"/>
  <c r="G232" i="1" s="1"/>
  <c r="D232" i="1" s="1"/>
  <c r="E233" i="1"/>
  <c r="G233" i="1" s="1"/>
  <c r="D233" i="1" s="1"/>
  <c r="E234" i="1"/>
  <c r="G234" i="1" s="1"/>
  <c r="D234" i="1" s="1"/>
  <c r="E235" i="1"/>
  <c r="G235" i="1" s="1"/>
  <c r="D235" i="1" s="1"/>
  <c r="E236" i="1"/>
  <c r="G236" i="1" s="1"/>
  <c r="D236" i="1" s="1"/>
  <c r="E237" i="1"/>
  <c r="G237" i="1" s="1"/>
  <c r="D237" i="1" s="1"/>
  <c r="E238" i="1"/>
  <c r="G238" i="1" s="1"/>
  <c r="D238" i="1" s="1"/>
  <c r="E239" i="1"/>
  <c r="G239" i="1" s="1"/>
  <c r="D239" i="1" s="1"/>
  <c r="E240" i="1"/>
  <c r="E241" i="1"/>
  <c r="G241" i="1" s="1"/>
  <c r="D241" i="1" s="1"/>
  <c r="E242" i="1"/>
  <c r="G242" i="1" s="1"/>
  <c r="D242" i="1" s="1"/>
  <c r="E243" i="1"/>
  <c r="G243" i="1" s="1"/>
  <c r="D243" i="1" s="1"/>
  <c r="E244" i="1"/>
  <c r="G244" i="1" s="1"/>
  <c r="D244" i="1" s="1"/>
  <c r="E245" i="1"/>
  <c r="G245" i="1" s="1"/>
  <c r="D245" i="1" s="1"/>
  <c r="E246" i="1"/>
  <c r="G246" i="1" s="1"/>
  <c r="D246" i="1" s="1"/>
  <c r="E247" i="1"/>
  <c r="G247" i="1" s="1"/>
  <c r="D247" i="1" s="1"/>
  <c r="E248" i="1"/>
  <c r="G248" i="1" s="1"/>
  <c r="D248" i="1" s="1"/>
  <c r="E249" i="1"/>
  <c r="G249" i="1" s="1"/>
  <c r="D249" i="1" s="1"/>
  <c r="E250" i="1"/>
  <c r="G250" i="1" s="1"/>
  <c r="D250" i="1" s="1"/>
  <c r="E251" i="1"/>
  <c r="G251" i="1" s="1"/>
  <c r="D251" i="1" s="1"/>
  <c r="E252" i="1"/>
  <c r="G252" i="1" s="1"/>
  <c r="D252" i="1" s="1"/>
  <c r="E253" i="1"/>
  <c r="G253" i="1" s="1"/>
  <c r="D253" i="1" s="1"/>
  <c r="E254" i="1"/>
  <c r="G254" i="1" s="1"/>
  <c r="D254" i="1" s="1"/>
  <c r="E255" i="1"/>
  <c r="G255" i="1" s="1"/>
  <c r="D255" i="1" s="1"/>
  <c r="E256" i="1"/>
  <c r="G256" i="1" s="1"/>
  <c r="D256" i="1" s="1"/>
  <c r="E257" i="1"/>
  <c r="G257" i="1" s="1"/>
  <c r="D257" i="1" s="1"/>
  <c r="E258" i="1"/>
  <c r="G258" i="1" s="1"/>
  <c r="D258" i="1" s="1"/>
  <c r="E259" i="1"/>
  <c r="G259" i="1" s="1"/>
  <c r="D259" i="1" s="1"/>
  <c r="E260" i="1"/>
  <c r="G260" i="1" s="1"/>
  <c r="E261" i="1"/>
  <c r="G261" i="1" s="1"/>
  <c r="D261" i="1" s="1"/>
  <c r="E262" i="1"/>
  <c r="G262" i="1" s="1"/>
  <c r="D262" i="1" s="1"/>
  <c r="E263" i="1"/>
  <c r="G263" i="1" s="1"/>
  <c r="D263" i="1" s="1"/>
  <c r="E264" i="1"/>
  <c r="G264" i="1" s="1"/>
  <c r="D264" i="1" s="1"/>
  <c r="E265" i="1"/>
  <c r="E266" i="1"/>
  <c r="G266" i="1" s="1"/>
  <c r="D266" i="1" s="1"/>
  <c r="E267" i="1"/>
  <c r="G267" i="1" s="1"/>
  <c r="D267" i="1" s="1"/>
  <c r="E268" i="1"/>
  <c r="G268" i="1" s="1"/>
  <c r="D268" i="1" s="1"/>
  <c r="E269" i="1"/>
  <c r="G269" i="1" s="1"/>
  <c r="D269" i="1" s="1"/>
  <c r="E270" i="1"/>
  <c r="G270" i="1" s="1"/>
  <c r="D270" i="1" s="1"/>
  <c r="E271" i="1"/>
  <c r="G271" i="1" s="1"/>
  <c r="D271" i="1" s="1"/>
  <c r="E272" i="1"/>
  <c r="G272" i="1" s="1"/>
  <c r="D272" i="1" s="1"/>
  <c r="E273" i="1"/>
  <c r="G273" i="1" s="1"/>
  <c r="D273" i="1" s="1"/>
  <c r="E274" i="1"/>
  <c r="G274" i="1" s="1"/>
  <c r="D274" i="1" s="1"/>
  <c r="E275" i="1"/>
  <c r="G275" i="1" s="1"/>
  <c r="D275" i="1" s="1"/>
  <c r="E276" i="1"/>
  <c r="G276" i="1" s="1"/>
  <c r="D276" i="1" s="1"/>
  <c r="E277" i="1"/>
  <c r="G277" i="1" s="1"/>
  <c r="D277" i="1" s="1"/>
  <c r="E278" i="1"/>
  <c r="G278" i="1" s="1"/>
  <c r="D278" i="1" s="1"/>
  <c r="E279" i="1"/>
  <c r="G279" i="1" s="1"/>
  <c r="D279" i="1" s="1"/>
  <c r="E280" i="1"/>
  <c r="G280" i="1" s="1"/>
  <c r="D280" i="1" s="1"/>
  <c r="E281" i="1"/>
  <c r="G281" i="1" s="1"/>
  <c r="D281" i="1" s="1"/>
  <c r="E282" i="1"/>
  <c r="G282" i="1" s="1"/>
  <c r="D282" i="1" s="1"/>
  <c r="E283" i="1"/>
  <c r="G283" i="1" s="1"/>
  <c r="D283" i="1" s="1"/>
  <c r="E284" i="1"/>
  <c r="G284" i="1" s="1"/>
  <c r="D284" i="1" s="1"/>
  <c r="E285" i="1"/>
  <c r="G285" i="1" s="1"/>
  <c r="D285" i="1" s="1"/>
  <c r="E286" i="1"/>
  <c r="G286" i="1" s="1"/>
  <c r="D286" i="1" s="1"/>
  <c r="E287" i="1"/>
  <c r="G287" i="1" s="1"/>
  <c r="E288" i="1"/>
  <c r="G288" i="1" s="1"/>
  <c r="D288" i="1" s="1"/>
  <c r="E289" i="1"/>
  <c r="G289" i="1" s="1"/>
  <c r="D289" i="1" s="1"/>
  <c r="E290" i="1"/>
  <c r="G290" i="1" s="1"/>
  <c r="D290" i="1" s="1"/>
  <c r="E291" i="1"/>
  <c r="G291" i="1" s="1"/>
  <c r="D291" i="1" s="1"/>
  <c r="E292" i="1"/>
  <c r="G292" i="1" s="1"/>
  <c r="D292" i="1" s="1"/>
  <c r="E293" i="1"/>
  <c r="G293" i="1" s="1"/>
  <c r="D293" i="1" s="1"/>
  <c r="E294" i="1"/>
  <c r="G294" i="1" s="1"/>
  <c r="D294" i="1" s="1"/>
  <c r="E295" i="1"/>
  <c r="G295" i="1" s="1"/>
  <c r="D295" i="1" s="1"/>
  <c r="E296" i="1"/>
  <c r="G296" i="1" s="1"/>
  <c r="D296" i="1" s="1"/>
  <c r="E297" i="1"/>
  <c r="G297" i="1" s="1"/>
  <c r="D297" i="1" s="1"/>
  <c r="E298" i="1"/>
  <c r="G298" i="1" s="1"/>
  <c r="D298" i="1" s="1"/>
  <c r="E299" i="1"/>
  <c r="G299" i="1" s="1"/>
  <c r="D299" i="1" s="1"/>
  <c r="E300" i="1"/>
  <c r="G300" i="1" s="1"/>
  <c r="D300" i="1" s="1"/>
  <c r="E301" i="1"/>
  <c r="G301" i="1" s="1"/>
  <c r="D301" i="1" s="1"/>
  <c r="E302" i="1"/>
  <c r="G302" i="1" s="1"/>
  <c r="D302" i="1" s="1"/>
  <c r="E303" i="1"/>
  <c r="G303" i="1" s="1"/>
  <c r="D303" i="1" s="1"/>
  <c r="E304" i="1"/>
  <c r="G304" i="1" s="1"/>
  <c r="D304" i="1" s="1"/>
  <c r="E305" i="1"/>
  <c r="G305" i="1" s="1"/>
  <c r="D305" i="1" s="1"/>
  <c r="E306" i="1"/>
  <c r="G306" i="1" s="1"/>
  <c r="D306" i="1" s="1"/>
  <c r="E307" i="1"/>
  <c r="G307" i="1" s="1"/>
  <c r="D307" i="1" s="1"/>
  <c r="E308" i="1"/>
  <c r="G308" i="1" s="1"/>
  <c r="D308" i="1" s="1"/>
  <c r="E309" i="1"/>
  <c r="G309" i="1" s="1"/>
  <c r="D309" i="1" s="1"/>
  <c r="E310" i="1"/>
  <c r="G310" i="1" s="1"/>
  <c r="D310" i="1" s="1"/>
  <c r="E311" i="1"/>
  <c r="G311" i="1" s="1"/>
  <c r="D311" i="1" s="1"/>
  <c r="E312" i="1"/>
  <c r="G312" i="1" s="1"/>
  <c r="D312" i="1" s="1"/>
  <c r="E313" i="1"/>
  <c r="G313" i="1" s="1"/>
  <c r="D313" i="1" s="1"/>
  <c r="E314" i="1"/>
  <c r="G314" i="1" s="1"/>
  <c r="D314" i="1" s="1"/>
  <c r="E315" i="1"/>
  <c r="G315" i="1" s="1"/>
  <c r="D315" i="1" s="1"/>
  <c r="E316" i="1"/>
  <c r="G316" i="1" s="1"/>
  <c r="D316" i="1" s="1"/>
  <c r="E317" i="1"/>
  <c r="G317" i="1" s="1"/>
  <c r="D317" i="1" s="1"/>
  <c r="E318" i="1"/>
  <c r="G318" i="1" s="1"/>
  <c r="D318" i="1" s="1"/>
  <c r="E319" i="1"/>
  <c r="G319" i="1" s="1"/>
  <c r="D319" i="1" s="1"/>
  <c r="E320" i="1"/>
  <c r="G320" i="1" s="1"/>
  <c r="D320" i="1" s="1"/>
  <c r="E321" i="1"/>
  <c r="E322" i="1"/>
  <c r="G322" i="1" s="1"/>
  <c r="D322" i="1" s="1"/>
  <c r="E323" i="1"/>
  <c r="E324" i="1"/>
  <c r="G324" i="1" s="1"/>
  <c r="D324" i="1" s="1"/>
  <c r="E325" i="1"/>
  <c r="G325" i="1" s="1"/>
  <c r="D325" i="1" s="1"/>
  <c r="E326" i="1"/>
  <c r="G326" i="1" s="1"/>
  <c r="D326" i="1" s="1"/>
  <c r="E327" i="1"/>
  <c r="G327" i="1" s="1"/>
  <c r="D327" i="1" s="1"/>
  <c r="E328" i="1"/>
  <c r="G328" i="1" s="1"/>
  <c r="D328" i="1" s="1"/>
  <c r="E329" i="1"/>
  <c r="G329" i="1" s="1"/>
  <c r="D329" i="1" s="1"/>
  <c r="E330" i="1"/>
  <c r="G330" i="1" s="1"/>
  <c r="D330" i="1" s="1"/>
  <c r="E331" i="1"/>
  <c r="G331" i="1" s="1"/>
  <c r="D331" i="1" s="1"/>
  <c r="E332" i="1"/>
  <c r="G332" i="1" s="1"/>
  <c r="D332" i="1" s="1"/>
  <c r="E333" i="1"/>
  <c r="G333" i="1" s="1"/>
  <c r="D333" i="1" s="1"/>
  <c r="E334" i="1"/>
  <c r="G334" i="1" s="1"/>
  <c r="D334" i="1" s="1"/>
  <c r="E335" i="1"/>
  <c r="G335" i="1" s="1"/>
  <c r="D335" i="1" s="1"/>
  <c r="E336" i="1"/>
  <c r="G336" i="1" s="1"/>
  <c r="D336" i="1" s="1"/>
  <c r="E337" i="1"/>
  <c r="G337" i="1" s="1"/>
  <c r="D337" i="1" s="1"/>
  <c r="E338" i="1"/>
  <c r="G338" i="1" s="1"/>
  <c r="D338" i="1" s="1"/>
  <c r="E339" i="1"/>
  <c r="G339" i="1" s="1"/>
  <c r="D339" i="1" s="1"/>
  <c r="E340" i="1"/>
  <c r="G340" i="1" s="1"/>
  <c r="D340" i="1" s="1"/>
  <c r="E341" i="1"/>
  <c r="G341" i="1" s="1"/>
  <c r="D341" i="1" s="1"/>
  <c r="E342" i="1"/>
  <c r="G342" i="1" s="1"/>
  <c r="D342" i="1" s="1"/>
  <c r="E343" i="1"/>
  <c r="G343" i="1" s="1"/>
  <c r="D343" i="1" s="1"/>
  <c r="E344" i="1"/>
  <c r="G344" i="1" s="1"/>
  <c r="E345" i="1"/>
  <c r="G345" i="1" s="1"/>
  <c r="D345" i="1" s="1"/>
  <c r="E346" i="1"/>
  <c r="G346" i="1" s="1"/>
  <c r="D346" i="1" s="1"/>
  <c r="E347" i="1"/>
  <c r="G347" i="1" s="1"/>
  <c r="D347" i="1" s="1"/>
  <c r="E348" i="1"/>
  <c r="G348" i="1" s="1"/>
  <c r="D348" i="1" s="1"/>
  <c r="E349" i="1"/>
  <c r="G349" i="1" s="1"/>
  <c r="D349" i="1" s="1"/>
  <c r="E350" i="1"/>
  <c r="G350" i="1" s="1"/>
  <c r="D350" i="1" s="1"/>
  <c r="E351" i="1"/>
  <c r="G351" i="1" s="1"/>
  <c r="D351" i="1" s="1"/>
  <c r="E352" i="1"/>
  <c r="G352" i="1" s="1"/>
  <c r="D352" i="1" s="1"/>
  <c r="E353" i="1"/>
  <c r="G353" i="1" s="1"/>
  <c r="D353" i="1" s="1"/>
  <c r="E354" i="1"/>
  <c r="G354" i="1" s="1"/>
  <c r="D354" i="1" s="1"/>
  <c r="E355" i="1"/>
  <c r="G355" i="1" s="1"/>
  <c r="D355" i="1" s="1"/>
  <c r="E356" i="1"/>
  <c r="G356" i="1" s="1"/>
  <c r="D356" i="1" s="1"/>
  <c r="E357" i="1"/>
  <c r="G357" i="1" s="1"/>
  <c r="D357" i="1" s="1"/>
  <c r="E358" i="1"/>
  <c r="G358" i="1" s="1"/>
  <c r="D358" i="1" s="1"/>
  <c r="E359" i="1"/>
  <c r="G359" i="1" s="1"/>
  <c r="D359" i="1" s="1"/>
  <c r="E360" i="1"/>
  <c r="G360" i="1" s="1"/>
  <c r="D360" i="1" s="1"/>
  <c r="E361" i="1"/>
  <c r="G361" i="1" s="1"/>
  <c r="D361" i="1" s="1"/>
  <c r="E362" i="1"/>
  <c r="G362" i="1" s="1"/>
  <c r="D362" i="1" s="1"/>
  <c r="E363" i="1"/>
  <c r="G363" i="1" s="1"/>
  <c r="D363" i="1" s="1"/>
  <c r="E364" i="1"/>
  <c r="G364" i="1" s="1"/>
  <c r="D364" i="1" s="1"/>
  <c r="E365" i="1"/>
  <c r="G365" i="1" s="1"/>
  <c r="D365" i="1" s="1"/>
  <c r="E366" i="1"/>
  <c r="G366" i="1" s="1"/>
  <c r="D366" i="1" s="1"/>
  <c r="E367" i="1"/>
  <c r="G367" i="1" s="1"/>
  <c r="D367" i="1" s="1"/>
  <c r="E368" i="1"/>
  <c r="G368" i="1" s="1"/>
  <c r="D368" i="1" s="1"/>
  <c r="E369" i="1"/>
  <c r="G369" i="1" s="1"/>
  <c r="D369" i="1" s="1"/>
  <c r="G122" i="1"/>
  <c r="D122" i="1" s="1"/>
  <c r="G150" i="1"/>
  <c r="D150" i="1" s="1"/>
  <c r="G186" i="1"/>
  <c r="G240" i="1"/>
  <c r="D240" i="1" s="1"/>
  <c r="G265" i="1"/>
  <c r="D265" i="1" s="1"/>
  <c r="G321" i="1"/>
  <c r="D321" i="1" s="1"/>
  <c r="G323" i="1"/>
  <c r="D323" i="1" s="1"/>
  <c r="J45" i="1"/>
  <c r="J92" i="1"/>
  <c r="L92" i="1" s="1"/>
  <c r="I92" i="1" s="1"/>
  <c r="J93" i="1"/>
  <c r="L93" i="1" s="1"/>
  <c r="I93" i="1" s="1"/>
  <c r="J94" i="1"/>
  <c r="J121" i="1"/>
  <c r="L121" i="1" s="1"/>
  <c r="I121" i="1" s="1"/>
  <c r="J122" i="1"/>
  <c r="L122" i="1" s="1"/>
  <c r="I122" i="1" s="1"/>
  <c r="J123" i="1"/>
  <c r="L123" i="1" s="1"/>
  <c r="I123" i="1" s="1"/>
  <c r="J124" i="1"/>
  <c r="L124" i="1" s="1"/>
  <c r="I124" i="1" s="1"/>
  <c r="J125" i="1"/>
  <c r="L125" i="1" s="1"/>
  <c r="I125" i="1" s="1"/>
  <c r="J126" i="1"/>
  <c r="L126" i="1" s="1"/>
  <c r="I126" i="1" s="1"/>
  <c r="J127" i="1"/>
  <c r="J128" i="1"/>
  <c r="L128" i="1" s="1"/>
  <c r="I128" i="1" s="1"/>
  <c r="J129" i="1"/>
  <c r="L129" i="1" s="1"/>
  <c r="I129" i="1" s="1"/>
  <c r="J130" i="1"/>
  <c r="L130" i="1" s="1"/>
  <c r="I130" i="1" s="1"/>
  <c r="J131" i="1"/>
  <c r="L131" i="1" s="1"/>
  <c r="I131" i="1" s="1"/>
  <c r="J132" i="1"/>
  <c r="L132" i="1" s="1"/>
  <c r="I132" i="1" s="1"/>
  <c r="J133" i="1"/>
  <c r="L133" i="1" s="1"/>
  <c r="I133" i="1" s="1"/>
  <c r="J134" i="1"/>
  <c r="L134" i="1" s="1"/>
  <c r="I134" i="1" s="1"/>
  <c r="J135" i="1"/>
  <c r="L135" i="1" s="1"/>
  <c r="I135" i="1" s="1"/>
  <c r="J136" i="1"/>
  <c r="L136" i="1" s="1"/>
  <c r="I136" i="1" s="1"/>
  <c r="J137" i="1"/>
  <c r="L137" i="1" s="1"/>
  <c r="I137" i="1" s="1"/>
  <c r="J138" i="1"/>
  <c r="L138" i="1" s="1"/>
  <c r="I138" i="1" s="1"/>
  <c r="J139" i="1"/>
  <c r="L139" i="1" s="1"/>
  <c r="I139" i="1" s="1"/>
  <c r="J140" i="1"/>
  <c r="J141" i="1"/>
  <c r="L141" i="1" s="1"/>
  <c r="I141" i="1" s="1"/>
  <c r="J142" i="1"/>
  <c r="L142" i="1" s="1"/>
  <c r="I142" i="1" s="1"/>
  <c r="J143" i="1"/>
  <c r="L143" i="1" s="1"/>
  <c r="I143" i="1" s="1"/>
  <c r="J144" i="1"/>
  <c r="L144" i="1" s="1"/>
  <c r="I144" i="1" s="1"/>
  <c r="J145" i="1"/>
  <c r="L145" i="1" s="1"/>
  <c r="I145" i="1" s="1"/>
  <c r="J146" i="1"/>
  <c r="L146" i="1" s="1"/>
  <c r="I146" i="1" s="1"/>
  <c r="J147" i="1"/>
  <c r="L147" i="1" s="1"/>
  <c r="I147" i="1" s="1"/>
  <c r="J148" i="1"/>
  <c r="L148" i="1" s="1"/>
  <c r="I148" i="1" s="1"/>
  <c r="J149" i="1"/>
  <c r="L149" i="1" s="1"/>
  <c r="I149" i="1" s="1"/>
  <c r="J150" i="1"/>
  <c r="L150" i="1" s="1"/>
  <c r="I150" i="1" s="1"/>
  <c r="J151" i="1"/>
  <c r="L151" i="1" s="1"/>
  <c r="I151" i="1" s="1"/>
  <c r="J152" i="1"/>
  <c r="L152" i="1" s="1"/>
  <c r="I152" i="1" s="1"/>
  <c r="J153" i="1"/>
  <c r="L153" i="1" s="1"/>
  <c r="I153" i="1" s="1"/>
  <c r="J154" i="1"/>
  <c r="L154" i="1" s="1"/>
  <c r="I154" i="1" s="1"/>
  <c r="J155" i="1"/>
  <c r="L155" i="1" s="1"/>
  <c r="I155" i="1" s="1"/>
  <c r="J156" i="1"/>
  <c r="L156" i="1" s="1"/>
  <c r="I156" i="1" s="1"/>
  <c r="J157" i="1"/>
  <c r="L157" i="1" s="1"/>
  <c r="I157" i="1" s="1"/>
  <c r="J158" i="1"/>
  <c r="L158" i="1" s="1"/>
  <c r="I158" i="1" s="1"/>
  <c r="J159" i="1"/>
  <c r="J160" i="1"/>
  <c r="L160" i="1" s="1"/>
  <c r="I160" i="1" s="1"/>
  <c r="J161" i="1"/>
  <c r="L161" i="1" s="1"/>
  <c r="I161" i="1" s="1"/>
  <c r="J162" i="1"/>
  <c r="L162" i="1" s="1"/>
  <c r="I162" i="1" s="1"/>
  <c r="J163" i="1"/>
  <c r="J164" i="1"/>
  <c r="L164" i="1" s="1"/>
  <c r="I164" i="1" s="1"/>
  <c r="J165" i="1"/>
  <c r="L165" i="1" s="1"/>
  <c r="I165" i="1" s="1"/>
  <c r="J166" i="1"/>
  <c r="L166" i="1" s="1"/>
  <c r="J167" i="1"/>
  <c r="L167" i="1" s="1"/>
  <c r="I167" i="1" s="1"/>
  <c r="J168" i="1"/>
  <c r="L168" i="1" s="1"/>
  <c r="I168" i="1" s="1"/>
  <c r="J169" i="1"/>
  <c r="L169" i="1" s="1"/>
  <c r="I169" i="1" s="1"/>
  <c r="J170" i="1"/>
  <c r="L170" i="1" s="1"/>
  <c r="I170" i="1" s="1"/>
  <c r="J171" i="1"/>
  <c r="L171" i="1" s="1"/>
  <c r="I171" i="1" s="1"/>
  <c r="J172" i="1"/>
  <c r="L172" i="1" s="1"/>
  <c r="I172" i="1" s="1"/>
  <c r="J173" i="1"/>
  <c r="L173" i="1" s="1"/>
  <c r="I173" i="1" s="1"/>
  <c r="J174" i="1"/>
  <c r="L174" i="1" s="1"/>
  <c r="I174" i="1" s="1"/>
  <c r="J175" i="1"/>
  <c r="L175" i="1" s="1"/>
  <c r="I175" i="1" s="1"/>
  <c r="J176" i="1"/>
  <c r="L176" i="1" s="1"/>
  <c r="I176" i="1" s="1"/>
  <c r="J177" i="1"/>
  <c r="L177" i="1" s="1"/>
  <c r="I177" i="1" s="1"/>
  <c r="J178" i="1"/>
  <c r="L178" i="1" s="1"/>
  <c r="I178" i="1" s="1"/>
  <c r="J179" i="1"/>
  <c r="L179" i="1" s="1"/>
  <c r="I179" i="1" s="1"/>
  <c r="J180" i="1"/>
  <c r="L180" i="1" s="1"/>
  <c r="I180" i="1" s="1"/>
  <c r="J181" i="1"/>
  <c r="L181" i="1" s="1"/>
  <c r="I181" i="1" s="1"/>
  <c r="J182" i="1"/>
  <c r="L182" i="1" s="1"/>
  <c r="I182" i="1" s="1"/>
  <c r="J183" i="1"/>
  <c r="L183" i="1" s="1"/>
  <c r="I183" i="1" s="1"/>
  <c r="J184" i="1"/>
  <c r="L184" i="1" s="1"/>
  <c r="I184" i="1" s="1"/>
  <c r="J185" i="1"/>
  <c r="L185" i="1" s="1"/>
  <c r="I185" i="1" s="1"/>
  <c r="J186" i="1"/>
  <c r="L186" i="1" s="1"/>
  <c r="I186" i="1" s="1"/>
  <c r="J187" i="1"/>
  <c r="L187" i="1" s="1"/>
  <c r="I187" i="1" s="1"/>
  <c r="J188" i="1"/>
  <c r="L188" i="1" s="1"/>
  <c r="I188" i="1" s="1"/>
  <c r="J189" i="1"/>
  <c r="L189" i="1" s="1"/>
  <c r="I189" i="1" s="1"/>
  <c r="J190" i="1"/>
  <c r="L190" i="1" s="1"/>
  <c r="I190" i="1" s="1"/>
  <c r="J191" i="1"/>
  <c r="J192" i="1"/>
  <c r="L192" i="1" s="1"/>
  <c r="I192" i="1" s="1"/>
  <c r="J193" i="1"/>
  <c r="L193" i="1" s="1"/>
  <c r="I193" i="1" s="1"/>
  <c r="J194" i="1"/>
  <c r="L194" i="1" s="1"/>
  <c r="I194" i="1" s="1"/>
  <c r="J195" i="1"/>
  <c r="J196" i="1"/>
  <c r="L196" i="1" s="1"/>
  <c r="I196" i="1" s="1"/>
  <c r="J197" i="1"/>
  <c r="L197" i="1" s="1"/>
  <c r="I197" i="1" s="1"/>
  <c r="J198" i="1"/>
  <c r="L198" i="1" s="1"/>
  <c r="I198" i="1" s="1"/>
  <c r="J199" i="1"/>
  <c r="L199" i="1" s="1"/>
  <c r="I199" i="1" s="1"/>
  <c r="J200" i="1"/>
  <c r="L200" i="1" s="1"/>
  <c r="I200" i="1" s="1"/>
  <c r="J201" i="1"/>
  <c r="L201" i="1" s="1"/>
  <c r="I201" i="1" s="1"/>
  <c r="J202" i="1"/>
  <c r="L202" i="1" s="1"/>
  <c r="I202" i="1" s="1"/>
  <c r="J203" i="1"/>
  <c r="L203" i="1" s="1"/>
  <c r="I203" i="1" s="1"/>
  <c r="J204" i="1"/>
  <c r="L204" i="1" s="1"/>
  <c r="I204" i="1" s="1"/>
  <c r="J205" i="1"/>
  <c r="J206" i="1"/>
  <c r="L206" i="1" s="1"/>
  <c r="I206" i="1" s="1"/>
  <c r="J207" i="1"/>
  <c r="L207" i="1" s="1"/>
  <c r="I207" i="1" s="1"/>
  <c r="J208" i="1"/>
  <c r="L208" i="1" s="1"/>
  <c r="I208" i="1" s="1"/>
  <c r="J209" i="1"/>
  <c r="L209" i="1" s="1"/>
  <c r="I209" i="1" s="1"/>
  <c r="J210" i="1"/>
  <c r="L210" i="1" s="1"/>
  <c r="I210" i="1" s="1"/>
  <c r="J211" i="1"/>
  <c r="L211" i="1" s="1"/>
  <c r="I211" i="1" s="1"/>
  <c r="J212" i="1"/>
  <c r="L212" i="1" s="1"/>
  <c r="I212" i="1" s="1"/>
  <c r="J213" i="1"/>
  <c r="L213" i="1" s="1"/>
  <c r="I213" i="1" s="1"/>
  <c r="J214" i="1"/>
  <c r="L214" i="1" s="1"/>
  <c r="I214" i="1" s="1"/>
  <c r="J215" i="1"/>
  <c r="L215" i="1" s="1"/>
  <c r="I215" i="1" s="1"/>
  <c r="J216" i="1"/>
  <c r="L216" i="1" s="1"/>
  <c r="I216" i="1" s="1"/>
  <c r="J217" i="1"/>
  <c r="L217" i="1" s="1"/>
  <c r="I217" i="1" s="1"/>
  <c r="J218" i="1"/>
  <c r="L218" i="1" s="1"/>
  <c r="I218" i="1" s="1"/>
  <c r="J219" i="1"/>
  <c r="L219" i="1" s="1"/>
  <c r="I219" i="1" s="1"/>
  <c r="J220" i="1"/>
  <c r="L220" i="1" s="1"/>
  <c r="I220" i="1" s="1"/>
  <c r="J221" i="1"/>
  <c r="L221" i="1" s="1"/>
  <c r="I221" i="1" s="1"/>
  <c r="J222" i="1"/>
  <c r="L222" i="1" s="1"/>
  <c r="I222" i="1" s="1"/>
  <c r="J223" i="1"/>
  <c r="J224" i="1"/>
  <c r="L224" i="1" s="1"/>
  <c r="I224" i="1" s="1"/>
  <c r="J225" i="1"/>
  <c r="L225" i="1" s="1"/>
  <c r="I225" i="1" s="1"/>
  <c r="J226" i="1"/>
  <c r="L226" i="1" s="1"/>
  <c r="I226" i="1" s="1"/>
  <c r="J227" i="1"/>
  <c r="L227" i="1" s="1"/>
  <c r="I227" i="1" s="1"/>
  <c r="J228" i="1"/>
  <c r="L228" i="1" s="1"/>
  <c r="I228" i="1" s="1"/>
  <c r="J229" i="1"/>
  <c r="L229" i="1" s="1"/>
  <c r="I229" i="1" s="1"/>
  <c r="J230" i="1"/>
  <c r="L230" i="1" s="1"/>
  <c r="I230" i="1" s="1"/>
  <c r="J231" i="1"/>
  <c r="L231" i="1" s="1"/>
  <c r="I231" i="1" s="1"/>
  <c r="J232" i="1"/>
  <c r="L232" i="1" s="1"/>
  <c r="I232" i="1" s="1"/>
  <c r="J233" i="1"/>
  <c r="L233" i="1" s="1"/>
  <c r="I233" i="1" s="1"/>
  <c r="J234" i="1"/>
  <c r="L234" i="1" s="1"/>
  <c r="I234" i="1" s="1"/>
  <c r="J235" i="1"/>
  <c r="L235" i="1" s="1"/>
  <c r="I235" i="1" s="1"/>
  <c r="J236" i="1"/>
  <c r="L236" i="1" s="1"/>
  <c r="I236" i="1" s="1"/>
  <c r="J237" i="1"/>
  <c r="L237" i="1" s="1"/>
  <c r="I237" i="1" s="1"/>
  <c r="J238" i="1"/>
  <c r="L238" i="1" s="1"/>
  <c r="I238" i="1" s="1"/>
  <c r="J239" i="1"/>
  <c r="L239" i="1" s="1"/>
  <c r="I239" i="1" s="1"/>
  <c r="J240" i="1"/>
  <c r="L240" i="1" s="1"/>
  <c r="I240" i="1" s="1"/>
  <c r="J241" i="1"/>
  <c r="L241" i="1" s="1"/>
  <c r="I241" i="1" s="1"/>
  <c r="J242" i="1"/>
  <c r="L242" i="1" s="1"/>
  <c r="I242" i="1" s="1"/>
  <c r="J243" i="1"/>
  <c r="L243" i="1" s="1"/>
  <c r="I243" i="1" s="1"/>
  <c r="J244" i="1"/>
  <c r="L244" i="1" s="1"/>
  <c r="I244" i="1" s="1"/>
  <c r="J245" i="1"/>
  <c r="L245" i="1" s="1"/>
  <c r="I245" i="1" s="1"/>
  <c r="J246" i="1"/>
  <c r="L246" i="1" s="1"/>
  <c r="I246" i="1" s="1"/>
  <c r="J247" i="1"/>
  <c r="L247" i="1" s="1"/>
  <c r="I247" i="1" s="1"/>
  <c r="J248" i="1"/>
  <c r="L248" i="1" s="1"/>
  <c r="I248" i="1" s="1"/>
  <c r="J249" i="1"/>
  <c r="L249" i="1" s="1"/>
  <c r="I249" i="1" s="1"/>
  <c r="J250" i="1"/>
  <c r="L250" i="1" s="1"/>
  <c r="I250" i="1" s="1"/>
  <c r="J251" i="1"/>
  <c r="L251" i="1" s="1"/>
  <c r="I251" i="1" s="1"/>
  <c r="J252" i="1"/>
  <c r="L252" i="1" s="1"/>
  <c r="I252" i="1" s="1"/>
  <c r="J253" i="1"/>
  <c r="L253" i="1" s="1"/>
  <c r="I253" i="1" s="1"/>
  <c r="J254" i="1"/>
  <c r="L254" i="1" s="1"/>
  <c r="I254" i="1" s="1"/>
  <c r="J255" i="1"/>
  <c r="L255" i="1" s="1"/>
  <c r="I255" i="1" s="1"/>
  <c r="J256" i="1"/>
  <c r="J257" i="1"/>
  <c r="L257" i="1" s="1"/>
  <c r="I257" i="1" s="1"/>
  <c r="J258" i="1"/>
  <c r="L258" i="1" s="1"/>
  <c r="I258" i="1" s="1"/>
  <c r="J259" i="1"/>
  <c r="L259" i="1" s="1"/>
  <c r="I259" i="1" s="1"/>
  <c r="J260" i="1"/>
  <c r="L260" i="1" s="1"/>
  <c r="I260" i="1" s="1"/>
  <c r="J261" i="1"/>
  <c r="L261" i="1" s="1"/>
  <c r="I261" i="1" s="1"/>
  <c r="J262" i="1"/>
  <c r="L262" i="1" s="1"/>
  <c r="I262" i="1" s="1"/>
  <c r="J263" i="1"/>
  <c r="L263" i="1" s="1"/>
  <c r="I263" i="1" s="1"/>
  <c r="J264" i="1"/>
  <c r="L264" i="1" s="1"/>
  <c r="I264" i="1" s="1"/>
  <c r="J265" i="1"/>
  <c r="L265" i="1" s="1"/>
  <c r="I265" i="1" s="1"/>
  <c r="J266" i="1"/>
  <c r="L266" i="1" s="1"/>
  <c r="I266" i="1" s="1"/>
  <c r="J267" i="1"/>
  <c r="L267" i="1" s="1"/>
  <c r="I267" i="1" s="1"/>
  <c r="J268" i="1"/>
  <c r="L268" i="1" s="1"/>
  <c r="I268" i="1" s="1"/>
  <c r="J269" i="1"/>
  <c r="L269" i="1" s="1"/>
  <c r="I269" i="1" s="1"/>
  <c r="J270" i="1"/>
  <c r="L270" i="1" s="1"/>
  <c r="I270" i="1" s="1"/>
  <c r="J271" i="1"/>
  <c r="L271" i="1" s="1"/>
  <c r="I271" i="1" s="1"/>
  <c r="J272" i="1"/>
  <c r="L272" i="1" s="1"/>
  <c r="I272" i="1" s="1"/>
  <c r="J273" i="1"/>
  <c r="L273" i="1" s="1"/>
  <c r="I273" i="1" s="1"/>
  <c r="J274" i="1"/>
  <c r="L274" i="1" s="1"/>
  <c r="I274" i="1" s="1"/>
  <c r="J275" i="1"/>
  <c r="L275" i="1" s="1"/>
  <c r="I275" i="1" s="1"/>
  <c r="J276" i="1"/>
  <c r="L276" i="1" s="1"/>
  <c r="I276" i="1" s="1"/>
  <c r="J277" i="1"/>
  <c r="L277" i="1" s="1"/>
  <c r="I277" i="1" s="1"/>
  <c r="J278" i="1"/>
  <c r="L278" i="1" s="1"/>
  <c r="I278" i="1" s="1"/>
  <c r="J279" i="1"/>
  <c r="L279" i="1" s="1"/>
  <c r="I279" i="1" s="1"/>
  <c r="J280" i="1"/>
  <c r="L280" i="1" s="1"/>
  <c r="I280" i="1" s="1"/>
  <c r="J281" i="1"/>
  <c r="L281" i="1" s="1"/>
  <c r="I281" i="1" s="1"/>
  <c r="J282" i="1"/>
  <c r="L282" i="1" s="1"/>
  <c r="I282" i="1" s="1"/>
  <c r="J283" i="1"/>
  <c r="L283" i="1" s="1"/>
  <c r="I283" i="1" s="1"/>
  <c r="J284" i="1"/>
  <c r="L284" i="1" s="1"/>
  <c r="I284" i="1" s="1"/>
  <c r="J285" i="1"/>
  <c r="L285" i="1" s="1"/>
  <c r="I285" i="1" s="1"/>
  <c r="J286" i="1"/>
  <c r="L286" i="1" s="1"/>
  <c r="I286" i="1" s="1"/>
  <c r="J287" i="1"/>
  <c r="J288" i="1"/>
  <c r="L288" i="1" s="1"/>
  <c r="I288" i="1" s="1"/>
  <c r="J289" i="1"/>
  <c r="L289" i="1" s="1"/>
  <c r="I289" i="1" s="1"/>
  <c r="J290" i="1"/>
  <c r="L290" i="1" s="1"/>
  <c r="I290" i="1" s="1"/>
  <c r="J291" i="1"/>
  <c r="J292" i="1"/>
  <c r="L292" i="1" s="1"/>
  <c r="I292" i="1" s="1"/>
  <c r="J293" i="1"/>
  <c r="L293" i="1" s="1"/>
  <c r="I293" i="1" s="1"/>
  <c r="J294" i="1"/>
  <c r="L294" i="1" s="1"/>
  <c r="I294" i="1" s="1"/>
  <c r="J295" i="1"/>
  <c r="L295" i="1" s="1"/>
  <c r="I295" i="1" s="1"/>
  <c r="J296" i="1"/>
  <c r="L296" i="1" s="1"/>
  <c r="I296" i="1" s="1"/>
  <c r="J297" i="1"/>
  <c r="L297" i="1" s="1"/>
  <c r="I297" i="1" s="1"/>
  <c r="J298" i="1"/>
  <c r="L298" i="1" s="1"/>
  <c r="I298" i="1" s="1"/>
  <c r="J299" i="1"/>
  <c r="L299" i="1" s="1"/>
  <c r="I299" i="1" s="1"/>
  <c r="J300" i="1"/>
  <c r="L300" i="1" s="1"/>
  <c r="I300" i="1" s="1"/>
  <c r="J301" i="1"/>
  <c r="L301" i="1" s="1"/>
  <c r="I301" i="1" s="1"/>
  <c r="J302" i="1"/>
  <c r="L302" i="1" s="1"/>
  <c r="I302" i="1" s="1"/>
  <c r="J303" i="1"/>
  <c r="L303" i="1" s="1"/>
  <c r="I303" i="1" s="1"/>
  <c r="J304" i="1"/>
  <c r="L304" i="1" s="1"/>
  <c r="I304" i="1" s="1"/>
  <c r="J305" i="1"/>
  <c r="L305" i="1" s="1"/>
  <c r="I305" i="1" s="1"/>
  <c r="J306" i="1"/>
  <c r="L306" i="1" s="1"/>
  <c r="I306" i="1" s="1"/>
  <c r="J307" i="1"/>
  <c r="L307" i="1" s="1"/>
  <c r="I307" i="1" s="1"/>
  <c r="J308" i="1"/>
  <c r="L308" i="1" s="1"/>
  <c r="I308" i="1" s="1"/>
  <c r="J309" i="1"/>
  <c r="L309" i="1" s="1"/>
  <c r="I309" i="1" s="1"/>
  <c r="J310" i="1"/>
  <c r="L310" i="1" s="1"/>
  <c r="I310" i="1" s="1"/>
  <c r="J311" i="1"/>
  <c r="L311" i="1" s="1"/>
  <c r="I311" i="1" s="1"/>
  <c r="J312" i="1"/>
  <c r="L312" i="1" s="1"/>
  <c r="I312" i="1" s="1"/>
  <c r="J313" i="1"/>
  <c r="L313" i="1" s="1"/>
  <c r="I313" i="1" s="1"/>
  <c r="J314" i="1"/>
  <c r="L314" i="1" s="1"/>
  <c r="I314" i="1" s="1"/>
  <c r="J315" i="1"/>
  <c r="L315" i="1" s="1"/>
  <c r="I315" i="1" s="1"/>
  <c r="J316" i="1"/>
  <c r="L316" i="1" s="1"/>
  <c r="I316" i="1" s="1"/>
  <c r="J317" i="1"/>
  <c r="L317" i="1" s="1"/>
  <c r="I317" i="1" s="1"/>
  <c r="J318" i="1"/>
  <c r="L318" i="1" s="1"/>
  <c r="I318" i="1" s="1"/>
  <c r="J319" i="1"/>
  <c r="L319" i="1" s="1"/>
  <c r="I319" i="1" s="1"/>
  <c r="J320" i="1"/>
  <c r="L320" i="1" s="1"/>
  <c r="I320" i="1" s="1"/>
  <c r="J321" i="1"/>
  <c r="L321" i="1" s="1"/>
  <c r="I321" i="1" s="1"/>
  <c r="J322" i="1"/>
  <c r="L322" i="1" s="1"/>
  <c r="I322" i="1" s="1"/>
  <c r="J323" i="1"/>
  <c r="L323" i="1" s="1"/>
  <c r="I323" i="1" s="1"/>
  <c r="J324" i="1"/>
  <c r="L324" i="1" s="1"/>
  <c r="I324" i="1" s="1"/>
  <c r="J325" i="1"/>
  <c r="L325" i="1" s="1"/>
  <c r="I325" i="1" s="1"/>
  <c r="J326" i="1"/>
  <c r="L326" i="1" s="1"/>
  <c r="I326" i="1" s="1"/>
  <c r="J327" i="1"/>
  <c r="L327" i="1" s="1"/>
  <c r="I327" i="1" s="1"/>
  <c r="J328" i="1"/>
  <c r="L328" i="1" s="1"/>
  <c r="I328" i="1" s="1"/>
  <c r="J329" i="1"/>
  <c r="L329" i="1" s="1"/>
  <c r="I329" i="1" s="1"/>
  <c r="J330" i="1"/>
  <c r="L330" i="1" s="1"/>
  <c r="I330" i="1" s="1"/>
  <c r="J331" i="1"/>
  <c r="L331" i="1" s="1"/>
  <c r="I331" i="1" s="1"/>
  <c r="J332" i="1"/>
  <c r="L332" i="1" s="1"/>
  <c r="I332" i="1" s="1"/>
  <c r="J333" i="1"/>
  <c r="J334" i="1"/>
  <c r="L334" i="1" s="1"/>
  <c r="I334" i="1" s="1"/>
  <c r="J335" i="1"/>
  <c r="L335" i="1" s="1"/>
  <c r="I335" i="1" s="1"/>
  <c r="J336" i="1"/>
  <c r="L336" i="1" s="1"/>
  <c r="I336" i="1" s="1"/>
  <c r="J337" i="1"/>
  <c r="L337" i="1" s="1"/>
  <c r="I337" i="1" s="1"/>
  <c r="J338" i="1"/>
  <c r="L338" i="1" s="1"/>
  <c r="I338" i="1" s="1"/>
  <c r="J339" i="1"/>
  <c r="L339" i="1" s="1"/>
  <c r="I339" i="1" s="1"/>
  <c r="J340" i="1"/>
  <c r="L340" i="1" s="1"/>
  <c r="I340" i="1" s="1"/>
  <c r="J341" i="1"/>
  <c r="L341" i="1" s="1"/>
  <c r="I341" i="1" s="1"/>
  <c r="J342" i="1"/>
  <c r="L342" i="1" s="1"/>
  <c r="I342" i="1" s="1"/>
  <c r="J343" i="1"/>
  <c r="L343" i="1" s="1"/>
  <c r="I343" i="1" s="1"/>
  <c r="J344" i="1"/>
  <c r="L344" i="1" s="1"/>
  <c r="I344" i="1" s="1"/>
  <c r="J345" i="1"/>
  <c r="L345" i="1" s="1"/>
  <c r="I345" i="1" s="1"/>
  <c r="J346" i="1"/>
  <c r="L346" i="1" s="1"/>
  <c r="I346" i="1" s="1"/>
  <c r="J347" i="1"/>
  <c r="L347" i="1" s="1"/>
  <c r="I347" i="1" s="1"/>
  <c r="J348" i="1"/>
  <c r="L348" i="1" s="1"/>
  <c r="I348" i="1" s="1"/>
  <c r="J349" i="1"/>
  <c r="L349" i="1" s="1"/>
  <c r="I349" i="1" s="1"/>
  <c r="J350" i="1"/>
  <c r="L350" i="1" s="1"/>
  <c r="I350" i="1" s="1"/>
  <c r="J351" i="1"/>
  <c r="J352" i="1"/>
  <c r="J353" i="1"/>
  <c r="L353" i="1" s="1"/>
  <c r="I353" i="1" s="1"/>
  <c r="J354" i="1"/>
  <c r="L354" i="1" s="1"/>
  <c r="I354" i="1" s="1"/>
  <c r="J355" i="1"/>
  <c r="L355" i="1" s="1"/>
  <c r="I355" i="1" s="1"/>
  <c r="J356" i="1"/>
  <c r="L356" i="1" s="1"/>
  <c r="I356" i="1" s="1"/>
  <c r="J357" i="1"/>
  <c r="L357" i="1" s="1"/>
  <c r="I357" i="1" s="1"/>
  <c r="J358" i="1"/>
  <c r="L358" i="1" s="1"/>
  <c r="I358" i="1" s="1"/>
  <c r="J359" i="1"/>
  <c r="L359" i="1" s="1"/>
  <c r="I359" i="1" s="1"/>
  <c r="J360" i="1"/>
  <c r="L360" i="1" s="1"/>
  <c r="I360" i="1" s="1"/>
  <c r="J361" i="1"/>
  <c r="L361" i="1" s="1"/>
  <c r="I361" i="1" s="1"/>
  <c r="J362" i="1"/>
  <c r="L362" i="1" s="1"/>
  <c r="I362" i="1" s="1"/>
  <c r="J363" i="1"/>
  <c r="L363" i="1" s="1"/>
  <c r="I363" i="1" s="1"/>
  <c r="J364" i="1"/>
  <c r="L364" i="1" s="1"/>
  <c r="I364" i="1" s="1"/>
  <c r="J365" i="1"/>
  <c r="L365" i="1" s="1"/>
  <c r="I365" i="1" s="1"/>
  <c r="J366" i="1"/>
  <c r="L366" i="1" s="1"/>
  <c r="I366" i="1" s="1"/>
  <c r="J367" i="1"/>
  <c r="L367" i="1" s="1"/>
  <c r="I367" i="1" s="1"/>
  <c r="J368" i="1"/>
  <c r="L368" i="1" s="1"/>
  <c r="I368" i="1" s="1"/>
  <c r="J369" i="1"/>
  <c r="L369" i="1" s="1"/>
  <c r="I369" i="1" s="1"/>
  <c r="L127" i="1"/>
  <c r="I127" i="1" s="1"/>
  <c r="L140" i="1"/>
  <c r="I140" i="1" s="1"/>
  <c r="L159" i="1"/>
  <c r="I159" i="1" s="1"/>
  <c r="L163" i="1"/>
  <c r="I163" i="1" s="1"/>
  <c r="L191" i="1"/>
  <c r="I191" i="1" s="1"/>
  <c r="L195" i="1"/>
  <c r="I195" i="1" s="1"/>
  <c r="L205" i="1"/>
  <c r="I205" i="1" s="1"/>
  <c r="L223" i="1"/>
  <c r="I223" i="1" s="1"/>
  <c r="L256" i="1"/>
  <c r="I256" i="1" s="1"/>
  <c r="L287" i="1"/>
  <c r="I287" i="1" s="1"/>
  <c r="L291" i="1"/>
  <c r="I291" i="1" s="1"/>
  <c r="L333" i="1"/>
  <c r="I333" i="1" s="1"/>
  <c r="L351" i="1"/>
  <c r="I351" i="1" s="1"/>
  <c r="L352" i="1"/>
  <c r="I352" i="1" s="1"/>
  <c r="N184" i="1"/>
  <c r="O45" i="1"/>
  <c r="O92" i="1"/>
  <c r="Q92" i="1" s="1"/>
  <c r="N92" i="1" s="1"/>
  <c r="O93" i="1"/>
  <c r="Q93" i="1" s="1"/>
  <c r="N93" i="1" s="1"/>
  <c r="O94" i="1"/>
  <c r="O121" i="1"/>
  <c r="Q121" i="1" s="1"/>
  <c r="N121" i="1" s="1"/>
  <c r="O122" i="1"/>
  <c r="Q122" i="1" s="1"/>
  <c r="N122" i="1" s="1"/>
  <c r="O123" i="1"/>
  <c r="Q123" i="1" s="1"/>
  <c r="N123" i="1" s="1"/>
  <c r="O124" i="1"/>
  <c r="Q124" i="1" s="1"/>
  <c r="N124" i="1" s="1"/>
  <c r="O125" i="1"/>
  <c r="Q125" i="1" s="1"/>
  <c r="N125" i="1" s="1"/>
  <c r="O126" i="1"/>
  <c r="Q126" i="1" s="1"/>
  <c r="N126" i="1" s="1"/>
  <c r="O127" i="1"/>
  <c r="Q127" i="1" s="1"/>
  <c r="N127" i="1" s="1"/>
  <c r="O128" i="1"/>
  <c r="Q128" i="1" s="1"/>
  <c r="N128" i="1" s="1"/>
  <c r="O129" i="1"/>
  <c r="Q129" i="1" s="1"/>
  <c r="N129" i="1" s="1"/>
  <c r="O130" i="1"/>
  <c r="Q130" i="1" s="1"/>
  <c r="N130" i="1" s="1"/>
  <c r="O131" i="1"/>
  <c r="Q131" i="1" s="1"/>
  <c r="N131" i="1" s="1"/>
  <c r="O132" i="1"/>
  <c r="Q132" i="1" s="1"/>
  <c r="N132" i="1" s="1"/>
  <c r="O133" i="1"/>
  <c r="Q133" i="1" s="1"/>
  <c r="N133" i="1" s="1"/>
  <c r="O134" i="1"/>
  <c r="Q134" i="1" s="1"/>
  <c r="N134" i="1" s="1"/>
  <c r="O135" i="1"/>
  <c r="Q135" i="1" s="1"/>
  <c r="N135" i="1" s="1"/>
  <c r="O136" i="1"/>
  <c r="Q136" i="1" s="1"/>
  <c r="N136" i="1" s="1"/>
  <c r="O137" i="1"/>
  <c r="Q137" i="1" s="1"/>
  <c r="N137" i="1" s="1"/>
  <c r="O138" i="1"/>
  <c r="Q138" i="1" s="1"/>
  <c r="O139" i="1"/>
  <c r="Q139" i="1" s="1"/>
  <c r="N139" i="1" s="1"/>
  <c r="O140" i="1"/>
  <c r="Q140" i="1" s="1"/>
  <c r="N140" i="1" s="1"/>
  <c r="O141" i="1"/>
  <c r="Q141" i="1" s="1"/>
  <c r="N141" i="1" s="1"/>
  <c r="O142" i="1"/>
  <c r="Q142" i="1" s="1"/>
  <c r="N142" i="1" s="1"/>
  <c r="O143" i="1"/>
  <c r="Q143" i="1" s="1"/>
  <c r="N143" i="1" s="1"/>
  <c r="O144" i="1"/>
  <c r="Q144" i="1" s="1"/>
  <c r="N144" i="1" s="1"/>
  <c r="O145" i="1"/>
  <c r="Q145" i="1" s="1"/>
  <c r="N145" i="1" s="1"/>
  <c r="O146" i="1"/>
  <c r="Q146" i="1" s="1"/>
  <c r="N146" i="1" s="1"/>
  <c r="O147" i="1"/>
  <c r="Q147" i="1" s="1"/>
  <c r="N147" i="1" s="1"/>
  <c r="O148" i="1"/>
  <c r="Q148" i="1" s="1"/>
  <c r="N148" i="1" s="1"/>
  <c r="O149" i="1"/>
  <c r="Q149" i="1" s="1"/>
  <c r="N149" i="1" s="1"/>
  <c r="O150" i="1"/>
  <c r="Q150" i="1" s="1"/>
  <c r="N150" i="1" s="1"/>
  <c r="O151" i="1"/>
  <c r="Q151" i="1" s="1"/>
  <c r="N151" i="1" s="1"/>
  <c r="O152" i="1"/>
  <c r="Q152" i="1" s="1"/>
  <c r="N152" i="1" s="1"/>
  <c r="O153" i="1"/>
  <c r="Q153" i="1" s="1"/>
  <c r="N153" i="1" s="1"/>
  <c r="O154" i="1"/>
  <c r="Q154" i="1" s="1"/>
  <c r="N154" i="1" s="1"/>
  <c r="O155" i="1"/>
  <c r="Q155" i="1" s="1"/>
  <c r="N155" i="1" s="1"/>
  <c r="O156" i="1"/>
  <c r="Q156" i="1" s="1"/>
  <c r="N156" i="1" s="1"/>
  <c r="O157" i="1"/>
  <c r="Q157" i="1" s="1"/>
  <c r="N157" i="1" s="1"/>
  <c r="O158" i="1"/>
  <c r="Q158" i="1" s="1"/>
  <c r="N158" i="1" s="1"/>
  <c r="O159" i="1"/>
  <c r="Q159" i="1" s="1"/>
  <c r="N159" i="1" s="1"/>
  <c r="O160" i="1"/>
  <c r="Q160" i="1" s="1"/>
  <c r="N160" i="1" s="1"/>
  <c r="O161" i="1"/>
  <c r="Q161" i="1" s="1"/>
  <c r="N161" i="1" s="1"/>
  <c r="O162" i="1"/>
  <c r="Q162" i="1" s="1"/>
  <c r="N162" i="1" s="1"/>
  <c r="O163" i="1"/>
  <c r="Q163" i="1" s="1"/>
  <c r="N163" i="1" s="1"/>
  <c r="O164" i="1"/>
  <c r="Q164" i="1" s="1"/>
  <c r="N164" i="1" s="1"/>
  <c r="O165" i="1"/>
  <c r="Q165" i="1" s="1"/>
  <c r="N165" i="1" s="1"/>
  <c r="O166" i="1"/>
  <c r="Q166" i="1" s="1"/>
  <c r="N166" i="1" s="1"/>
  <c r="O167" i="1"/>
  <c r="Q167" i="1" s="1"/>
  <c r="N167" i="1" s="1"/>
  <c r="O168" i="1"/>
  <c r="Q168" i="1" s="1"/>
  <c r="N168" i="1" s="1"/>
  <c r="O169" i="1"/>
  <c r="Q169" i="1" s="1"/>
  <c r="N169" i="1" s="1"/>
  <c r="O170" i="1"/>
  <c r="Q170" i="1" s="1"/>
  <c r="N170" i="1" s="1"/>
  <c r="O171" i="1"/>
  <c r="Q171" i="1" s="1"/>
  <c r="N171" i="1" s="1"/>
  <c r="O172" i="1"/>
  <c r="Q172" i="1" s="1"/>
  <c r="N172" i="1" s="1"/>
  <c r="O173" i="1"/>
  <c r="Q173" i="1" s="1"/>
  <c r="N173" i="1" s="1"/>
  <c r="O174" i="1"/>
  <c r="Q174" i="1" s="1"/>
  <c r="N174" i="1" s="1"/>
  <c r="O175" i="1"/>
  <c r="Q175" i="1" s="1"/>
  <c r="N175" i="1" s="1"/>
  <c r="O176" i="1"/>
  <c r="Q176" i="1" s="1"/>
  <c r="N176" i="1" s="1"/>
  <c r="O177" i="1"/>
  <c r="Q177" i="1" s="1"/>
  <c r="N177" i="1" s="1"/>
  <c r="O178" i="1"/>
  <c r="Q178" i="1" s="1"/>
  <c r="N178" i="1" s="1"/>
  <c r="O179" i="1"/>
  <c r="Q179" i="1" s="1"/>
  <c r="N179" i="1" s="1"/>
  <c r="O180" i="1"/>
  <c r="Q180" i="1" s="1"/>
  <c r="N180" i="1" s="1"/>
  <c r="O181" i="1"/>
  <c r="Q181" i="1" s="1"/>
  <c r="N181" i="1" s="1"/>
  <c r="O182" i="1"/>
  <c r="Q182" i="1" s="1"/>
  <c r="N182" i="1" s="1"/>
  <c r="O183" i="1"/>
  <c r="Q183" i="1" s="1"/>
  <c r="N183" i="1" s="1"/>
  <c r="O184" i="1"/>
  <c r="Q184" i="1" s="1"/>
  <c r="O185" i="1"/>
  <c r="Q185" i="1" s="1"/>
  <c r="N185" i="1" s="1"/>
  <c r="O186" i="1"/>
  <c r="Q186" i="1" s="1"/>
  <c r="N186" i="1" s="1"/>
  <c r="O187" i="1"/>
  <c r="Q187" i="1" s="1"/>
  <c r="N187" i="1" s="1"/>
  <c r="O188" i="1"/>
  <c r="Q188" i="1" s="1"/>
  <c r="N188" i="1" s="1"/>
  <c r="O189" i="1"/>
  <c r="Q189" i="1" s="1"/>
  <c r="N189" i="1" s="1"/>
  <c r="O190" i="1"/>
  <c r="Q190" i="1" s="1"/>
  <c r="N190" i="1" s="1"/>
  <c r="O191" i="1"/>
  <c r="Q191" i="1" s="1"/>
  <c r="N191" i="1" s="1"/>
  <c r="O192" i="1"/>
  <c r="Q192" i="1" s="1"/>
  <c r="N192" i="1" s="1"/>
  <c r="O193" i="1"/>
  <c r="Q193" i="1" s="1"/>
  <c r="N193" i="1" s="1"/>
  <c r="O194" i="1"/>
  <c r="Q194" i="1" s="1"/>
  <c r="N194" i="1" s="1"/>
  <c r="O195" i="1"/>
  <c r="Q195" i="1" s="1"/>
  <c r="N195" i="1" s="1"/>
  <c r="O196" i="1"/>
  <c r="Q196" i="1" s="1"/>
  <c r="N196" i="1" s="1"/>
  <c r="O197" i="1"/>
  <c r="Q197" i="1" s="1"/>
  <c r="N197" i="1" s="1"/>
  <c r="O198" i="1"/>
  <c r="Q198" i="1" s="1"/>
  <c r="N198" i="1" s="1"/>
  <c r="O199" i="1"/>
  <c r="Q199" i="1" s="1"/>
  <c r="N199" i="1" s="1"/>
  <c r="O200" i="1"/>
  <c r="Q200" i="1" s="1"/>
  <c r="N200" i="1" s="1"/>
  <c r="O201" i="1"/>
  <c r="Q201" i="1" s="1"/>
  <c r="N201" i="1" s="1"/>
  <c r="O202" i="1"/>
  <c r="Q202" i="1" s="1"/>
  <c r="N202" i="1" s="1"/>
  <c r="O203" i="1"/>
  <c r="Q203" i="1" s="1"/>
  <c r="N203" i="1" s="1"/>
  <c r="O204" i="1"/>
  <c r="Q204" i="1" s="1"/>
  <c r="N204" i="1" s="1"/>
  <c r="O205" i="1"/>
  <c r="Q205" i="1" s="1"/>
  <c r="N205" i="1" s="1"/>
  <c r="O206" i="1"/>
  <c r="Q206" i="1" s="1"/>
  <c r="N206" i="1" s="1"/>
  <c r="O207" i="1"/>
  <c r="Q207" i="1" s="1"/>
  <c r="N207" i="1" s="1"/>
  <c r="O208" i="1"/>
  <c r="Q208" i="1" s="1"/>
  <c r="N208" i="1" s="1"/>
  <c r="O209" i="1"/>
  <c r="Q209" i="1" s="1"/>
  <c r="N209" i="1" s="1"/>
  <c r="O210" i="1"/>
  <c r="O211" i="1"/>
  <c r="Q211" i="1" s="1"/>
  <c r="N211" i="1" s="1"/>
  <c r="O212" i="1"/>
  <c r="Q212" i="1" s="1"/>
  <c r="N212" i="1" s="1"/>
  <c r="O213" i="1"/>
  <c r="Q213" i="1" s="1"/>
  <c r="N213" i="1" s="1"/>
  <c r="O214" i="1"/>
  <c r="Q214" i="1" s="1"/>
  <c r="N214" i="1" s="1"/>
  <c r="O215" i="1"/>
  <c r="Q215" i="1" s="1"/>
  <c r="N215" i="1" s="1"/>
  <c r="O216" i="1"/>
  <c r="Q216" i="1" s="1"/>
  <c r="N216" i="1" s="1"/>
  <c r="O217" i="1"/>
  <c r="Q217" i="1" s="1"/>
  <c r="N217" i="1" s="1"/>
  <c r="O218" i="1"/>
  <c r="Q218" i="1" s="1"/>
  <c r="N218" i="1" s="1"/>
  <c r="O219" i="1"/>
  <c r="Q219" i="1" s="1"/>
  <c r="N219" i="1" s="1"/>
  <c r="O220" i="1"/>
  <c r="Q220" i="1" s="1"/>
  <c r="N220" i="1" s="1"/>
  <c r="O221" i="1"/>
  <c r="Q221" i="1" s="1"/>
  <c r="N221" i="1" s="1"/>
  <c r="O222" i="1"/>
  <c r="Q222" i="1" s="1"/>
  <c r="N222" i="1" s="1"/>
  <c r="O223" i="1"/>
  <c r="Q223" i="1" s="1"/>
  <c r="N223" i="1" s="1"/>
  <c r="O224" i="1"/>
  <c r="Q224" i="1" s="1"/>
  <c r="N224" i="1" s="1"/>
  <c r="O225" i="1"/>
  <c r="Q225" i="1" s="1"/>
  <c r="N225" i="1" s="1"/>
  <c r="O226" i="1"/>
  <c r="Q226" i="1" s="1"/>
  <c r="N226" i="1" s="1"/>
  <c r="O227" i="1"/>
  <c r="Q227" i="1" s="1"/>
  <c r="N227" i="1" s="1"/>
  <c r="O228" i="1"/>
  <c r="Q228" i="1" s="1"/>
  <c r="N228" i="1" s="1"/>
  <c r="O229" i="1"/>
  <c r="Q229" i="1" s="1"/>
  <c r="N229" i="1" s="1"/>
  <c r="O230" i="1"/>
  <c r="Q230" i="1" s="1"/>
  <c r="N230" i="1" s="1"/>
  <c r="O231" i="1"/>
  <c r="Q231" i="1" s="1"/>
  <c r="N231" i="1" s="1"/>
  <c r="O232" i="1"/>
  <c r="Q232" i="1" s="1"/>
  <c r="N232" i="1" s="1"/>
  <c r="O233" i="1"/>
  <c r="Q233" i="1" s="1"/>
  <c r="N233" i="1" s="1"/>
  <c r="O234" i="1"/>
  <c r="Q234" i="1" s="1"/>
  <c r="N234" i="1" s="1"/>
  <c r="O235" i="1"/>
  <c r="Q235" i="1" s="1"/>
  <c r="N235" i="1" s="1"/>
  <c r="O236" i="1"/>
  <c r="Q236" i="1" s="1"/>
  <c r="N236" i="1" s="1"/>
  <c r="O237" i="1"/>
  <c r="Q237" i="1" s="1"/>
  <c r="N237" i="1" s="1"/>
  <c r="O238" i="1"/>
  <c r="Q238" i="1" s="1"/>
  <c r="N238" i="1" s="1"/>
  <c r="O239" i="1"/>
  <c r="Q239" i="1" s="1"/>
  <c r="N239" i="1" s="1"/>
  <c r="O240" i="1"/>
  <c r="Q240" i="1" s="1"/>
  <c r="N240" i="1" s="1"/>
  <c r="O241" i="1"/>
  <c r="Q241" i="1" s="1"/>
  <c r="N241" i="1" s="1"/>
  <c r="O242" i="1"/>
  <c r="Q242" i="1" s="1"/>
  <c r="N242" i="1" s="1"/>
  <c r="O243" i="1"/>
  <c r="Q243" i="1" s="1"/>
  <c r="N243" i="1" s="1"/>
  <c r="O244" i="1"/>
  <c r="Q244" i="1" s="1"/>
  <c r="N244" i="1" s="1"/>
  <c r="O245" i="1"/>
  <c r="Q245" i="1" s="1"/>
  <c r="N245" i="1" s="1"/>
  <c r="O246" i="1"/>
  <c r="Q246" i="1" s="1"/>
  <c r="N246" i="1" s="1"/>
  <c r="O247" i="1"/>
  <c r="Q247" i="1" s="1"/>
  <c r="N247" i="1" s="1"/>
  <c r="O248" i="1"/>
  <c r="Q248" i="1" s="1"/>
  <c r="N248" i="1" s="1"/>
  <c r="O249" i="1"/>
  <c r="Q249" i="1" s="1"/>
  <c r="N249" i="1" s="1"/>
  <c r="O250" i="1"/>
  <c r="Q250" i="1" s="1"/>
  <c r="N250" i="1" s="1"/>
  <c r="O251" i="1"/>
  <c r="Q251" i="1" s="1"/>
  <c r="N251" i="1" s="1"/>
  <c r="O252" i="1"/>
  <c r="Q252" i="1" s="1"/>
  <c r="N252" i="1" s="1"/>
  <c r="O253" i="1"/>
  <c r="Q253" i="1" s="1"/>
  <c r="N253" i="1" s="1"/>
  <c r="O254" i="1"/>
  <c r="Q254" i="1" s="1"/>
  <c r="N254" i="1" s="1"/>
  <c r="O255" i="1"/>
  <c r="Q255" i="1" s="1"/>
  <c r="N255" i="1" s="1"/>
  <c r="O256" i="1"/>
  <c r="Q256" i="1" s="1"/>
  <c r="N256" i="1" s="1"/>
  <c r="O257" i="1"/>
  <c r="Q257" i="1" s="1"/>
  <c r="N257" i="1" s="1"/>
  <c r="O258" i="1"/>
  <c r="Q258" i="1" s="1"/>
  <c r="N258" i="1" s="1"/>
  <c r="O259" i="1"/>
  <c r="Q259" i="1" s="1"/>
  <c r="N259" i="1" s="1"/>
  <c r="O260" i="1"/>
  <c r="Q260" i="1" s="1"/>
  <c r="N260" i="1" s="1"/>
  <c r="O261" i="1"/>
  <c r="Q261" i="1" s="1"/>
  <c r="N261" i="1" s="1"/>
  <c r="O262" i="1"/>
  <c r="Q262" i="1" s="1"/>
  <c r="N262" i="1" s="1"/>
  <c r="O263" i="1"/>
  <c r="Q263" i="1" s="1"/>
  <c r="N263" i="1" s="1"/>
  <c r="O264" i="1"/>
  <c r="Q264" i="1" s="1"/>
  <c r="N264" i="1" s="1"/>
  <c r="O265" i="1"/>
  <c r="Q265" i="1" s="1"/>
  <c r="N265" i="1" s="1"/>
  <c r="O266" i="1"/>
  <c r="Q266" i="1" s="1"/>
  <c r="N266" i="1" s="1"/>
  <c r="O267" i="1"/>
  <c r="Q267" i="1" s="1"/>
  <c r="N267" i="1" s="1"/>
  <c r="O268" i="1"/>
  <c r="Q268" i="1" s="1"/>
  <c r="N268" i="1" s="1"/>
  <c r="O269" i="1"/>
  <c r="Q269" i="1" s="1"/>
  <c r="N269" i="1" s="1"/>
  <c r="O270" i="1"/>
  <c r="Q270" i="1" s="1"/>
  <c r="N270" i="1" s="1"/>
  <c r="O271" i="1"/>
  <c r="Q271" i="1" s="1"/>
  <c r="N271" i="1" s="1"/>
  <c r="O272" i="1"/>
  <c r="Q272" i="1" s="1"/>
  <c r="N272" i="1" s="1"/>
  <c r="O273" i="1"/>
  <c r="Q273" i="1" s="1"/>
  <c r="N273" i="1" s="1"/>
  <c r="O274" i="1"/>
  <c r="Q274" i="1" s="1"/>
  <c r="N274" i="1" s="1"/>
  <c r="O275" i="1"/>
  <c r="Q275" i="1" s="1"/>
  <c r="O276" i="1"/>
  <c r="Q276" i="1" s="1"/>
  <c r="N276" i="1" s="1"/>
  <c r="O277" i="1"/>
  <c r="Q277" i="1" s="1"/>
  <c r="N277" i="1" s="1"/>
  <c r="O278" i="1"/>
  <c r="Q278" i="1" s="1"/>
  <c r="N278" i="1" s="1"/>
  <c r="O279" i="1"/>
  <c r="Q279" i="1" s="1"/>
  <c r="N279" i="1" s="1"/>
  <c r="O280" i="1"/>
  <c r="Q280" i="1" s="1"/>
  <c r="N280" i="1" s="1"/>
  <c r="O281" i="1"/>
  <c r="Q281" i="1" s="1"/>
  <c r="N281" i="1" s="1"/>
  <c r="O282" i="1"/>
  <c r="Q282" i="1" s="1"/>
  <c r="N282" i="1" s="1"/>
  <c r="O283" i="1"/>
  <c r="Q283" i="1" s="1"/>
  <c r="N283" i="1" s="1"/>
  <c r="O284" i="1"/>
  <c r="Q284" i="1" s="1"/>
  <c r="N284" i="1" s="1"/>
  <c r="O285" i="1"/>
  <c r="Q285" i="1" s="1"/>
  <c r="N285" i="1" s="1"/>
  <c r="O286" i="1"/>
  <c r="Q286" i="1" s="1"/>
  <c r="N286" i="1" s="1"/>
  <c r="O287" i="1"/>
  <c r="Q287" i="1" s="1"/>
  <c r="N287" i="1" s="1"/>
  <c r="O288" i="1"/>
  <c r="Q288" i="1" s="1"/>
  <c r="N288" i="1" s="1"/>
  <c r="O289" i="1"/>
  <c r="Q289" i="1" s="1"/>
  <c r="N289" i="1" s="1"/>
  <c r="O290" i="1"/>
  <c r="Q290" i="1" s="1"/>
  <c r="N290" i="1" s="1"/>
  <c r="O291" i="1"/>
  <c r="Q291" i="1" s="1"/>
  <c r="N291" i="1" s="1"/>
  <c r="O292" i="1"/>
  <c r="Q292" i="1" s="1"/>
  <c r="N292" i="1" s="1"/>
  <c r="O293" i="1"/>
  <c r="Q293" i="1" s="1"/>
  <c r="N293" i="1" s="1"/>
  <c r="O294" i="1"/>
  <c r="Q294" i="1" s="1"/>
  <c r="N294" i="1" s="1"/>
  <c r="O295" i="1"/>
  <c r="Q295" i="1" s="1"/>
  <c r="N295" i="1" s="1"/>
  <c r="O296" i="1"/>
  <c r="Q296" i="1" s="1"/>
  <c r="N296" i="1" s="1"/>
  <c r="O297" i="1"/>
  <c r="Q297" i="1" s="1"/>
  <c r="N297" i="1" s="1"/>
  <c r="O298" i="1"/>
  <c r="Q298" i="1" s="1"/>
  <c r="N298" i="1" s="1"/>
  <c r="O299" i="1"/>
  <c r="Q299" i="1" s="1"/>
  <c r="N299" i="1" s="1"/>
  <c r="O300" i="1"/>
  <c r="Q300" i="1" s="1"/>
  <c r="N300" i="1" s="1"/>
  <c r="O301" i="1"/>
  <c r="Q301" i="1" s="1"/>
  <c r="N301" i="1" s="1"/>
  <c r="O302" i="1"/>
  <c r="Q302" i="1" s="1"/>
  <c r="N302" i="1" s="1"/>
  <c r="O303" i="1"/>
  <c r="Q303" i="1" s="1"/>
  <c r="N303" i="1" s="1"/>
  <c r="O304" i="1"/>
  <c r="Q304" i="1" s="1"/>
  <c r="N304" i="1" s="1"/>
  <c r="O305" i="1"/>
  <c r="Q305" i="1" s="1"/>
  <c r="N305" i="1" s="1"/>
  <c r="O306" i="1"/>
  <c r="Q306" i="1" s="1"/>
  <c r="N306" i="1" s="1"/>
  <c r="O307" i="1"/>
  <c r="Q307" i="1" s="1"/>
  <c r="N307" i="1" s="1"/>
  <c r="O308" i="1"/>
  <c r="Q308" i="1" s="1"/>
  <c r="N308" i="1" s="1"/>
  <c r="O309" i="1"/>
  <c r="Q309" i="1" s="1"/>
  <c r="N309" i="1" s="1"/>
  <c r="O310" i="1"/>
  <c r="Q310" i="1" s="1"/>
  <c r="N310" i="1" s="1"/>
  <c r="O311" i="1"/>
  <c r="Q311" i="1" s="1"/>
  <c r="N311" i="1" s="1"/>
  <c r="O312" i="1"/>
  <c r="O313" i="1"/>
  <c r="O314" i="1"/>
  <c r="Q314" i="1" s="1"/>
  <c r="N314" i="1" s="1"/>
  <c r="O315" i="1"/>
  <c r="Q315" i="1" s="1"/>
  <c r="N315" i="1" s="1"/>
  <c r="O316" i="1"/>
  <c r="Q316" i="1" s="1"/>
  <c r="N316" i="1" s="1"/>
  <c r="O317" i="1"/>
  <c r="Q317" i="1" s="1"/>
  <c r="N317" i="1" s="1"/>
  <c r="O318" i="1"/>
  <c r="Q318" i="1" s="1"/>
  <c r="N318" i="1" s="1"/>
  <c r="O319" i="1"/>
  <c r="Q319" i="1" s="1"/>
  <c r="N319" i="1" s="1"/>
  <c r="O320" i="1"/>
  <c r="Q320" i="1" s="1"/>
  <c r="N320" i="1" s="1"/>
  <c r="O321" i="1"/>
  <c r="Q321" i="1" s="1"/>
  <c r="N321" i="1" s="1"/>
  <c r="O322" i="1"/>
  <c r="Q322" i="1" s="1"/>
  <c r="N322" i="1" s="1"/>
  <c r="O323" i="1"/>
  <c r="Q323" i="1" s="1"/>
  <c r="N323" i="1" s="1"/>
  <c r="O324" i="1"/>
  <c r="Q324" i="1" s="1"/>
  <c r="N324" i="1" s="1"/>
  <c r="O325" i="1"/>
  <c r="Q325" i="1" s="1"/>
  <c r="N325" i="1" s="1"/>
  <c r="O326" i="1"/>
  <c r="Q326" i="1" s="1"/>
  <c r="N326" i="1" s="1"/>
  <c r="O327" i="1"/>
  <c r="Q327" i="1" s="1"/>
  <c r="N327" i="1" s="1"/>
  <c r="O328" i="1"/>
  <c r="Q328" i="1" s="1"/>
  <c r="N328" i="1" s="1"/>
  <c r="O329" i="1"/>
  <c r="Q329" i="1" s="1"/>
  <c r="N329" i="1" s="1"/>
  <c r="O330" i="1"/>
  <c r="Q330" i="1" s="1"/>
  <c r="N330" i="1" s="1"/>
  <c r="O331" i="1"/>
  <c r="Q331" i="1" s="1"/>
  <c r="N331" i="1" s="1"/>
  <c r="O332" i="1"/>
  <c r="Q332" i="1" s="1"/>
  <c r="N332" i="1" s="1"/>
  <c r="O333" i="1"/>
  <c r="Q333" i="1" s="1"/>
  <c r="N333" i="1" s="1"/>
  <c r="O334" i="1"/>
  <c r="Q334" i="1" s="1"/>
  <c r="N334" i="1" s="1"/>
  <c r="O335" i="1"/>
  <c r="Q335" i="1" s="1"/>
  <c r="N335" i="1" s="1"/>
  <c r="O336" i="1"/>
  <c r="Q336" i="1" s="1"/>
  <c r="N336" i="1" s="1"/>
  <c r="O337" i="1"/>
  <c r="Q337" i="1" s="1"/>
  <c r="N337" i="1" s="1"/>
  <c r="O338" i="1"/>
  <c r="Q338" i="1" s="1"/>
  <c r="N338" i="1" s="1"/>
  <c r="O339" i="1"/>
  <c r="Q339" i="1" s="1"/>
  <c r="O340" i="1"/>
  <c r="O341" i="1"/>
  <c r="Q341" i="1" s="1"/>
  <c r="N341" i="1" s="1"/>
  <c r="O342" i="1"/>
  <c r="O343" i="1"/>
  <c r="Q343" i="1" s="1"/>
  <c r="N343" i="1" s="1"/>
  <c r="O344" i="1"/>
  <c r="Q344" i="1" s="1"/>
  <c r="N344" i="1" s="1"/>
  <c r="O345" i="1"/>
  <c r="Q345" i="1" s="1"/>
  <c r="N345" i="1" s="1"/>
  <c r="O346" i="1"/>
  <c r="Q346" i="1" s="1"/>
  <c r="N346" i="1" s="1"/>
  <c r="O347" i="1"/>
  <c r="Q347" i="1" s="1"/>
  <c r="N347" i="1" s="1"/>
  <c r="O348" i="1"/>
  <c r="Q348" i="1" s="1"/>
  <c r="N348" i="1" s="1"/>
  <c r="O349" i="1"/>
  <c r="Q349" i="1" s="1"/>
  <c r="N349" i="1" s="1"/>
  <c r="O350" i="1"/>
  <c r="Q350" i="1" s="1"/>
  <c r="N350" i="1" s="1"/>
  <c r="O351" i="1"/>
  <c r="Q351" i="1" s="1"/>
  <c r="N351" i="1" s="1"/>
  <c r="O352" i="1"/>
  <c r="Q352" i="1" s="1"/>
  <c r="N352" i="1" s="1"/>
  <c r="O353" i="1"/>
  <c r="Q353" i="1" s="1"/>
  <c r="N353" i="1" s="1"/>
  <c r="O354" i="1"/>
  <c r="Q354" i="1" s="1"/>
  <c r="N354" i="1" s="1"/>
  <c r="O355" i="1"/>
  <c r="Q355" i="1" s="1"/>
  <c r="N355" i="1" s="1"/>
  <c r="O356" i="1"/>
  <c r="Q356" i="1" s="1"/>
  <c r="N356" i="1" s="1"/>
  <c r="O357" i="1"/>
  <c r="Q357" i="1" s="1"/>
  <c r="N357" i="1" s="1"/>
  <c r="O358" i="1"/>
  <c r="Q358" i="1" s="1"/>
  <c r="N358" i="1" s="1"/>
  <c r="O359" i="1"/>
  <c r="Q359" i="1" s="1"/>
  <c r="N359" i="1" s="1"/>
  <c r="O360" i="1"/>
  <c r="Q360" i="1" s="1"/>
  <c r="N360" i="1" s="1"/>
  <c r="O361" i="1"/>
  <c r="Q361" i="1" s="1"/>
  <c r="N361" i="1" s="1"/>
  <c r="O362" i="1"/>
  <c r="Q362" i="1" s="1"/>
  <c r="N362" i="1" s="1"/>
  <c r="O363" i="1"/>
  <c r="Q363" i="1" s="1"/>
  <c r="N363" i="1" s="1"/>
  <c r="O364" i="1"/>
  <c r="Q364" i="1" s="1"/>
  <c r="N364" i="1" s="1"/>
  <c r="O365" i="1"/>
  <c r="Q365" i="1" s="1"/>
  <c r="N365" i="1" s="1"/>
  <c r="O366" i="1"/>
  <c r="Q366" i="1" s="1"/>
  <c r="N366" i="1" s="1"/>
  <c r="O367" i="1"/>
  <c r="Q367" i="1" s="1"/>
  <c r="N367" i="1" s="1"/>
  <c r="O368" i="1"/>
  <c r="Q368" i="1" s="1"/>
  <c r="N368" i="1" s="1"/>
  <c r="O369" i="1"/>
  <c r="Q369" i="1" s="1"/>
  <c r="N369" i="1" s="1"/>
  <c r="Q210" i="1"/>
  <c r="N210" i="1" s="1"/>
  <c r="Q312" i="1"/>
  <c r="N312" i="1" s="1"/>
  <c r="Q313" i="1"/>
  <c r="N313" i="1" s="1"/>
  <c r="Q340" i="1"/>
  <c r="N340" i="1" s="1"/>
  <c r="Q342" i="1"/>
  <c r="N342" i="1" s="1"/>
  <c r="T45" i="1"/>
  <c r="T92" i="1"/>
  <c r="V92" i="1" s="1"/>
  <c r="T93" i="1"/>
  <c r="V93" i="1" s="1"/>
  <c r="T94" i="1"/>
  <c r="V94" i="1" s="1"/>
  <c r="V95" i="1"/>
  <c r="AA95" i="1" s="1"/>
  <c r="W95" i="1" s="1"/>
  <c r="Z96" i="1" s="1"/>
  <c r="V96" i="1"/>
  <c r="V97" i="1"/>
  <c r="R97" i="1" s="1"/>
  <c r="T121" i="1"/>
  <c r="V121" i="1" s="1"/>
  <c r="T122" i="1"/>
  <c r="V122" i="1" s="1"/>
  <c r="T123" i="1"/>
  <c r="V123" i="1" s="1"/>
  <c r="T124" i="1"/>
  <c r="V124" i="1" s="1"/>
  <c r="T125" i="1"/>
  <c r="V125" i="1" s="1"/>
  <c r="T126" i="1"/>
  <c r="V126" i="1" s="1"/>
  <c r="T127" i="1"/>
  <c r="V127" i="1" s="1"/>
  <c r="T128" i="1"/>
  <c r="V128" i="1" s="1"/>
  <c r="T129" i="1"/>
  <c r="V129" i="1" s="1"/>
  <c r="T130" i="1"/>
  <c r="V130" i="1" s="1"/>
  <c r="T131" i="1"/>
  <c r="V131" i="1" s="1"/>
  <c r="T132" i="1"/>
  <c r="V132" i="1" s="1"/>
  <c r="T133" i="1"/>
  <c r="V133" i="1" s="1"/>
  <c r="T134" i="1"/>
  <c r="V134" i="1" s="1"/>
  <c r="T135" i="1"/>
  <c r="V135" i="1" s="1"/>
  <c r="T136" i="1"/>
  <c r="V136" i="1" s="1"/>
  <c r="T137" i="1"/>
  <c r="V137" i="1" s="1"/>
  <c r="T138" i="1"/>
  <c r="V138" i="1" s="1"/>
  <c r="T139" i="1"/>
  <c r="V139" i="1" s="1"/>
  <c r="T140" i="1"/>
  <c r="V140" i="1" s="1"/>
  <c r="T141" i="1"/>
  <c r="V141" i="1" s="1"/>
  <c r="T142" i="1"/>
  <c r="V142" i="1" s="1"/>
  <c r="T143" i="1"/>
  <c r="V143" i="1" s="1"/>
  <c r="T144" i="1"/>
  <c r="V144" i="1" s="1"/>
  <c r="T145" i="1"/>
  <c r="V145" i="1" s="1"/>
  <c r="T146" i="1"/>
  <c r="V146" i="1" s="1"/>
  <c r="T147" i="1"/>
  <c r="V147" i="1" s="1"/>
  <c r="T148" i="1"/>
  <c r="V148" i="1" s="1"/>
  <c r="T149" i="1"/>
  <c r="V149" i="1" s="1"/>
  <c r="T150" i="1"/>
  <c r="V150" i="1" s="1"/>
  <c r="T151" i="1"/>
  <c r="V151" i="1" s="1"/>
  <c r="T152" i="1"/>
  <c r="V152" i="1" s="1"/>
  <c r="T153" i="1"/>
  <c r="V153" i="1" s="1"/>
  <c r="T154" i="1"/>
  <c r="V154" i="1" s="1"/>
  <c r="T155" i="1"/>
  <c r="V155" i="1" s="1"/>
  <c r="T156" i="1"/>
  <c r="V156" i="1" s="1"/>
  <c r="T157" i="1"/>
  <c r="V157" i="1" s="1"/>
  <c r="T158" i="1"/>
  <c r="V158" i="1" s="1"/>
  <c r="T159" i="1"/>
  <c r="V159" i="1" s="1"/>
  <c r="T160" i="1"/>
  <c r="V160" i="1" s="1"/>
  <c r="T161" i="1"/>
  <c r="V161" i="1" s="1"/>
  <c r="T162" i="1"/>
  <c r="V162" i="1" s="1"/>
  <c r="T163" i="1"/>
  <c r="V163" i="1" s="1"/>
  <c r="T164" i="1"/>
  <c r="V164" i="1" s="1"/>
  <c r="T165" i="1"/>
  <c r="V165" i="1" s="1"/>
  <c r="T166" i="1"/>
  <c r="V166" i="1" s="1"/>
  <c r="T167" i="1"/>
  <c r="V167" i="1" s="1"/>
  <c r="T168" i="1"/>
  <c r="V168" i="1" s="1"/>
  <c r="T169" i="1"/>
  <c r="V169" i="1" s="1"/>
  <c r="T170" i="1"/>
  <c r="V170" i="1" s="1"/>
  <c r="T171" i="1"/>
  <c r="V171" i="1" s="1"/>
  <c r="T172" i="1"/>
  <c r="V172" i="1" s="1"/>
  <c r="T173" i="1"/>
  <c r="V173" i="1" s="1"/>
  <c r="T174" i="1"/>
  <c r="V174" i="1" s="1"/>
  <c r="T175" i="1"/>
  <c r="V175" i="1" s="1"/>
  <c r="T176" i="1"/>
  <c r="V176" i="1" s="1"/>
  <c r="T177" i="1"/>
  <c r="V177" i="1" s="1"/>
  <c r="T178" i="1"/>
  <c r="V178" i="1" s="1"/>
  <c r="T179" i="1"/>
  <c r="V179" i="1" s="1"/>
  <c r="T180" i="1"/>
  <c r="V180" i="1" s="1"/>
  <c r="T181" i="1"/>
  <c r="V181" i="1" s="1"/>
  <c r="T182" i="1"/>
  <c r="V182" i="1" s="1"/>
  <c r="T183" i="1"/>
  <c r="V183" i="1" s="1"/>
  <c r="T184" i="1"/>
  <c r="V184" i="1" s="1"/>
  <c r="T185" i="1"/>
  <c r="V185" i="1" s="1"/>
  <c r="T186" i="1"/>
  <c r="V186" i="1" s="1"/>
  <c r="T187" i="1"/>
  <c r="V187" i="1" s="1"/>
  <c r="T188" i="1"/>
  <c r="V188" i="1" s="1"/>
  <c r="T189" i="1"/>
  <c r="V189" i="1" s="1"/>
  <c r="T190" i="1"/>
  <c r="V190" i="1" s="1"/>
  <c r="T191" i="1"/>
  <c r="V191" i="1" s="1"/>
  <c r="T192" i="1"/>
  <c r="V192" i="1" s="1"/>
  <c r="T193" i="1"/>
  <c r="V193" i="1" s="1"/>
  <c r="T194" i="1"/>
  <c r="V194" i="1" s="1"/>
  <c r="T195" i="1"/>
  <c r="V195" i="1" s="1"/>
  <c r="T196" i="1"/>
  <c r="V196" i="1" s="1"/>
  <c r="T197" i="1"/>
  <c r="V197" i="1" s="1"/>
  <c r="T198" i="1"/>
  <c r="V198" i="1" s="1"/>
  <c r="T199" i="1"/>
  <c r="V199" i="1" s="1"/>
  <c r="T200" i="1"/>
  <c r="V200" i="1" s="1"/>
  <c r="T201" i="1"/>
  <c r="V201" i="1" s="1"/>
  <c r="T202" i="1"/>
  <c r="V202" i="1" s="1"/>
  <c r="T203" i="1"/>
  <c r="V203" i="1" s="1"/>
  <c r="T204" i="1"/>
  <c r="V204" i="1" s="1"/>
  <c r="T205" i="1"/>
  <c r="V205" i="1" s="1"/>
  <c r="T206" i="1"/>
  <c r="V206" i="1" s="1"/>
  <c r="T207" i="1"/>
  <c r="V207" i="1" s="1"/>
  <c r="T208" i="1"/>
  <c r="V208" i="1" s="1"/>
  <c r="T209" i="1"/>
  <c r="V209" i="1" s="1"/>
  <c r="T210" i="1"/>
  <c r="V210" i="1" s="1"/>
  <c r="T211" i="1"/>
  <c r="V211" i="1" s="1"/>
  <c r="T212" i="1"/>
  <c r="V212" i="1" s="1"/>
  <c r="T213" i="1"/>
  <c r="V213" i="1" s="1"/>
  <c r="T214" i="1"/>
  <c r="V214" i="1" s="1"/>
  <c r="T215" i="1"/>
  <c r="V215" i="1" s="1"/>
  <c r="T216" i="1"/>
  <c r="V216" i="1" s="1"/>
  <c r="T217" i="1"/>
  <c r="V217" i="1" s="1"/>
  <c r="T218" i="1"/>
  <c r="V218" i="1" s="1"/>
  <c r="T219" i="1"/>
  <c r="V219" i="1" s="1"/>
  <c r="T220" i="1"/>
  <c r="V220" i="1" s="1"/>
  <c r="T221" i="1"/>
  <c r="V221" i="1" s="1"/>
  <c r="T222" i="1"/>
  <c r="V222" i="1" s="1"/>
  <c r="T223" i="1"/>
  <c r="V223" i="1" s="1"/>
  <c r="T224" i="1"/>
  <c r="V224" i="1" s="1"/>
  <c r="T225" i="1"/>
  <c r="V225" i="1" s="1"/>
  <c r="T226" i="1"/>
  <c r="V226" i="1" s="1"/>
  <c r="T227" i="1"/>
  <c r="V227" i="1" s="1"/>
  <c r="T228" i="1"/>
  <c r="V228" i="1" s="1"/>
  <c r="T229" i="1"/>
  <c r="V229" i="1" s="1"/>
  <c r="T230" i="1"/>
  <c r="V230" i="1" s="1"/>
  <c r="T231" i="1"/>
  <c r="V231" i="1" s="1"/>
  <c r="T232" i="1"/>
  <c r="V232" i="1" s="1"/>
  <c r="T233" i="1"/>
  <c r="V233" i="1" s="1"/>
  <c r="T234" i="1"/>
  <c r="V234" i="1" s="1"/>
  <c r="T235" i="1"/>
  <c r="V235" i="1" s="1"/>
  <c r="T236" i="1"/>
  <c r="V236" i="1" s="1"/>
  <c r="T237" i="1"/>
  <c r="V237" i="1" s="1"/>
  <c r="T238" i="1"/>
  <c r="V238" i="1" s="1"/>
  <c r="T239" i="1"/>
  <c r="V239" i="1" s="1"/>
  <c r="T240" i="1"/>
  <c r="V240" i="1" s="1"/>
  <c r="T241" i="1"/>
  <c r="V241" i="1" s="1"/>
  <c r="T242" i="1"/>
  <c r="V242" i="1" s="1"/>
  <c r="T243" i="1"/>
  <c r="V243" i="1" s="1"/>
  <c r="T244" i="1"/>
  <c r="V244" i="1" s="1"/>
  <c r="T245" i="1"/>
  <c r="V245" i="1" s="1"/>
  <c r="T246" i="1"/>
  <c r="V246" i="1" s="1"/>
  <c r="T247" i="1"/>
  <c r="V247" i="1" s="1"/>
  <c r="T248" i="1"/>
  <c r="V248" i="1" s="1"/>
  <c r="T249" i="1"/>
  <c r="V249" i="1" s="1"/>
  <c r="T250" i="1"/>
  <c r="V250" i="1" s="1"/>
  <c r="T251" i="1"/>
  <c r="V251" i="1" s="1"/>
  <c r="T252" i="1"/>
  <c r="V252" i="1" s="1"/>
  <c r="T253" i="1"/>
  <c r="V253" i="1" s="1"/>
  <c r="T254" i="1"/>
  <c r="V254" i="1" s="1"/>
  <c r="T255" i="1"/>
  <c r="V255" i="1" s="1"/>
  <c r="T256" i="1"/>
  <c r="V256" i="1" s="1"/>
  <c r="T257" i="1"/>
  <c r="V257" i="1" s="1"/>
  <c r="T258" i="1"/>
  <c r="V258" i="1" s="1"/>
  <c r="T259" i="1"/>
  <c r="V259" i="1" s="1"/>
  <c r="T260" i="1"/>
  <c r="V260" i="1" s="1"/>
  <c r="T261" i="1"/>
  <c r="V261" i="1" s="1"/>
  <c r="T262" i="1"/>
  <c r="V262" i="1" s="1"/>
  <c r="T263" i="1"/>
  <c r="V263" i="1" s="1"/>
  <c r="T264" i="1"/>
  <c r="V264" i="1" s="1"/>
  <c r="T265" i="1"/>
  <c r="V265" i="1" s="1"/>
  <c r="T266" i="1"/>
  <c r="V266" i="1" s="1"/>
  <c r="T267" i="1"/>
  <c r="V267" i="1" s="1"/>
  <c r="T268" i="1"/>
  <c r="V268" i="1" s="1"/>
  <c r="T269" i="1"/>
  <c r="V269" i="1" s="1"/>
  <c r="T270" i="1"/>
  <c r="V270" i="1" s="1"/>
  <c r="T271" i="1"/>
  <c r="V271" i="1" s="1"/>
  <c r="T272" i="1"/>
  <c r="T273" i="1"/>
  <c r="V273" i="1" s="1"/>
  <c r="T274" i="1"/>
  <c r="V274" i="1" s="1"/>
  <c r="T275" i="1"/>
  <c r="V275" i="1" s="1"/>
  <c r="T276" i="1"/>
  <c r="T277" i="1"/>
  <c r="V277" i="1" s="1"/>
  <c r="T278" i="1"/>
  <c r="V278" i="1" s="1"/>
  <c r="T279" i="1"/>
  <c r="V279" i="1" s="1"/>
  <c r="T280" i="1"/>
  <c r="T281" i="1"/>
  <c r="V281" i="1" s="1"/>
  <c r="T282" i="1"/>
  <c r="V282" i="1" s="1"/>
  <c r="T283" i="1"/>
  <c r="V283" i="1" s="1"/>
  <c r="T284" i="1"/>
  <c r="V284" i="1" s="1"/>
  <c r="T285" i="1"/>
  <c r="V285" i="1" s="1"/>
  <c r="T286" i="1"/>
  <c r="V286" i="1" s="1"/>
  <c r="T287" i="1"/>
  <c r="V287" i="1" s="1"/>
  <c r="T288" i="1"/>
  <c r="V288" i="1" s="1"/>
  <c r="T289" i="1"/>
  <c r="V289" i="1" s="1"/>
  <c r="T290" i="1"/>
  <c r="V290" i="1" s="1"/>
  <c r="T291" i="1"/>
  <c r="V291" i="1" s="1"/>
  <c r="T292" i="1"/>
  <c r="V292" i="1" s="1"/>
  <c r="T293" i="1"/>
  <c r="V293" i="1" s="1"/>
  <c r="T294" i="1"/>
  <c r="V294" i="1" s="1"/>
  <c r="T295" i="1"/>
  <c r="V295" i="1" s="1"/>
  <c r="T296" i="1"/>
  <c r="V296" i="1" s="1"/>
  <c r="T297" i="1"/>
  <c r="V297" i="1" s="1"/>
  <c r="T298" i="1"/>
  <c r="V298" i="1" s="1"/>
  <c r="T299" i="1"/>
  <c r="V299" i="1" s="1"/>
  <c r="T300" i="1"/>
  <c r="V300" i="1" s="1"/>
  <c r="T301" i="1"/>
  <c r="V301" i="1" s="1"/>
  <c r="T302" i="1"/>
  <c r="V302" i="1" s="1"/>
  <c r="T303" i="1"/>
  <c r="V303" i="1" s="1"/>
  <c r="T304" i="1"/>
  <c r="V304" i="1" s="1"/>
  <c r="T305" i="1"/>
  <c r="V305" i="1" s="1"/>
  <c r="T306" i="1"/>
  <c r="T307" i="1"/>
  <c r="V307" i="1" s="1"/>
  <c r="T308" i="1"/>
  <c r="V308" i="1" s="1"/>
  <c r="T309" i="1"/>
  <c r="V309" i="1" s="1"/>
  <c r="T310" i="1"/>
  <c r="V310" i="1" s="1"/>
  <c r="T311" i="1"/>
  <c r="V311" i="1" s="1"/>
  <c r="T312" i="1"/>
  <c r="V312" i="1" s="1"/>
  <c r="T313" i="1"/>
  <c r="V313" i="1" s="1"/>
  <c r="T314" i="1"/>
  <c r="V314" i="1" s="1"/>
  <c r="T315" i="1"/>
  <c r="V315" i="1" s="1"/>
  <c r="T316" i="1"/>
  <c r="V316" i="1" s="1"/>
  <c r="T317" i="1"/>
  <c r="V317" i="1" s="1"/>
  <c r="T318" i="1"/>
  <c r="V318" i="1" s="1"/>
  <c r="T319" i="1"/>
  <c r="V319" i="1" s="1"/>
  <c r="T320" i="1"/>
  <c r="V320" i="1" s="1"/>
  <c r="T321" i="1"/>
  <c r="V321" i="1" s="1"/>
  <c r="T322" i="1"/>
  <c r="V322" i="1" s="1"/>
  <c r="T323" i="1"/>
  <c r="V323" i="1" s="1"/>
  <c r="T324" i="1"/>
  <c r="V324" i="1" s="1"/>
  <c r="T325" i="1"/>
  <c r="V325" i="1" s="1"/>
  <c r="T326" i="1"/>
  <c r="V326" i="1" s="1"/>
  <c r="T327" i="1"/>
  <c r="V327" i="1" s="1"/>
  <c r="T328" i="1"/>
  <c r="V328" i="1" s="1"/>
  <c r="T329" i="1"/>
  <c r="V329" i="1" s="1"/>
  <c r="T330" i="1"/>
  <c r="V330" i="1" s="1"/>
  <c r="T331" i="1"/>
  <c r="V331" i="1" s="1"/>
  <c r="T332" i="1"/>
  <c r="V332" i="1" s="1"/>
  <c r="T333" i="1"/>
  <c r="V333" i="1" s="1"/>
  <c r="T334" i="1"/>
  <c r="V334" i="1" s="1"/>
  <c r="T335" i="1"/>
  <c r="V335" i="1" s="1"/>
  <c r="T336" i="1"/>
  <c r="V336" i="1" s="1"/>
  <c r="T337" i="1"/>
  <c r="V337" i="1" s="1"/>
  <c r="T338" i="1"/>
  <c r="V338" i="1" s="1"/>
  <c r="T339" i="1"/>
  <c r="V339" i="1" s="1"/>
  <c r="T340" i="1"/>
  <c r="V340" i="1" s="1"/>
  <c r="T341" i="1"/>
  <c r="V341" i="1" s="1"/>
  <c r="T342" i="1"/>
  <c r="V342" i="1" s="1"/>
  <c r="T343" i="1"/>
  <c r="V343" i="1" s="1"/>
  <c r="T344" i="1"/>
  <c r="V344" i="1" s="1"/>
  <c r="T345" i="1"/>
  <c r="V345" i="1" s="1"/>
  <c r="T346" i="1"/>
  <c r="V346" i="1" s="1"/>
  <c r="T347" i="1"/>
  <c r="V347" i="1" s="1"/>
  <c r="T348" i="1"/>
  <c r="V348" i="1" s="1"/>
  <c r="T349" i="1"/>
  <c r="V349" i="1" s="1"/>
  <c r="T350" i="1"/>
  <c r="V350" i="1" s="1"/>
  <c r="T351" i="1"/>
  <c r="V351" i="1" s="1"/>
  <c r="T352" i="1"/>
  <c r="V352" i="1" s="1"/>
  <c r="T353" i="1"/>
  <c r="V353" i="1" s="1"/>
  <c r="T354" i="1"/>
  <c r="V354" i="1" s="1"/>
  <c r="T355" i="1"/>
  <c r="V355" i="1" s="1"/>
  <c r="T356" i="1"/>
  <c r="V356" i="1" s="1"/>
  <c r="T357" i="1"/>
  <c r="V357" i="1" s="1"/>
  <c r="T358" i="1"/>
  <c r="V358" i="1" s="1"/>
  <c r="T359" i="1"/>
  <c r="V359" i="1" s="1"/>
  <c r="T360" i="1"/>
  <c r="V360" i="1" s="1"/>
  <c r="T361" i="1"/>
  <c r="V361" i="1" s="1"/>
  <c r="T362" i="1"/>
  <c r="V362" i="1" s="1"/>
  <c r="T363" i="1"/>
  <c r="V363" i="1" s="1"/>
  <c r="T364" i="1"/>
  <c r="V364" i="1" s="1"/>
  <c r="T365" i="1"/>
  <c r="V365" i="1" s="1"/>
  <c r="T366" i="1"/>
  <c r="V366" i="1" s="1"/>
  <c r="T367" i="1"/>
  <c r="V367" i="1" s="1"/>
  <c r="T368" i="1"/>
  <c r="V368" i="1" s="1"/>
  <c r="T369" i="1"/>
  <c r="V369" i="1" s="1"/>
  <c r="V73" i="1"/>
  <c r="V272" i="1"/>
  <c r="V276" i="1"/>
  <c r="V280" i="1"/>
  <c r="V306" i="1"/>
  <c r="W56" i="1"/>
  <c r="Y92" i="1"/>
  <c r="Y121" i="1"/>
  <c r="AA121" i="1" s="1"/>
  <c r="W121" i="1" s="1"/>
  <c r="Y122" i="1"/>
  <c r="AA122" i="1" s="1"/>
  <c r="W122" i="1" s="1"/>
  <c r="Y123" i="1"/>
  <c r="AA123" i="1" s="1"/>
  <c r="W123" i="1" s="1"/>
  <c r="Y124" i="1"/>
  <c r="AA124" i="1" s="1"/>
  <c r="W124" i="1" s="1"/>
  <c r="Y125" i="1"/>
  <c r="AA125" i="1" s="1"/>
  <c r="W125" i="1" s="1"/>
  <c r="Y126" i="1"/>
  <c r="AA126" i="1" s="1"/>
  <c r="W126" i="1" s="1"/>
  <c r="Y127" i="1"/>
  <c r="AA127" i="1" s="1"/>
  <c r="W127" i="1" s="1"/>
  <c r="Y128" i="1"/>
  <c r="AA128" i="1" s="1"/>
  <c r="W128" i="1" s="1"/>
  <c r="Y129" i="1"/>
  <c r="AA129" i="1" s="1"/>
  <c r="W129" i="1" s="1"/>
  <c r="Y130" i="1"/>
  <c r="AA130" i="1" s="1"/>
  <c r="W130" i="1" s="1"/>
  <c r="Y131" i="1"/>
  <c r="AA131" i="1" s="1"/>
  <c r="W131" i="1" s="1"/>
  <c r="Y132" i="1"/>
  <c r="AA132" i="1" s="1"/>
  <c r="W132" i="1" s="1"/>
  <c r="Y133" i="1"/>
  <c r="AA133" i="1" s="1"/>
  <c r="W133" i="1" s="1"/>
  <c r="Y134" i="1"/>
  <c r="AA134" i="1" s="1"/>
  <c r="W134" i="1" s="1"/>
  <c r="Y135" i="1"/>
  <c r="AA135" i="1" s="1"/>
  <c r="W135" i="1" s="1"/>
  <c r="Y136" i="1"/>
  <c r="AA136" i="1" s="1"/>
  <c r="W136" i="1" s="1"/>
  <c r="Y137" i="1"/>
  <c r="AA137" i="1" s="1"/>
  <c r="W137" i="1" s="1"/>
  <c r="Y138" i="1"/>
  <c r="AA138" i="1" s="1"/>
  <c r="W138" i="1" s="1"/>
  <c r="Y139" i="1"/>
  <c r="AA139" i="1" s="1"/>
  <c r="W139" i="1" s="1"/>
  <c r="Y140" i="1"/>
  <c r="AA140" i="1" s="1"/>
  <c r="W140" i="1" s="1"/>
  <c r="Y141" i="1"/>
  <c r="AA141" i="1" s="1"/>
  <c r="W141" i="1" s="1"/>
  <c r="Y142" i="1"/>
  <c r="AA142" i="1" s="1"/>
  <c r="W142" i="1" s="1"/>
  <c r="Y143" i="1"/>
  <c r="AA143" i="1" s="1"/>
  <c r="W143" i="1" s="1"/>
  <c r="Y144" i="1"/>
  <c r="AA144" i="1" s="1"/>
  <c r="W144" i="1" s="1"/>
  <c r="Y145" i="1"/>
  <c r="AA145" i="1" s="1"/>
  <c r="W145" i="1" s="1"/>
  <c r="Y146" i="1"/>
  <c r="AA146" i="1" s="1"/>
  <c r="W146" i="1" s="1"/>
  <c r="Y147" i="1"/>
  <c r="AA147" i="1" s="1"/>
  <c r="W147" i="1" s="1"/>
  <c r="Y148" i="1"/>
  <c r="AA148" i="1" s="1"/>
  <c r="W148" i="1" s="1"/>
  <c r="Y149" i="1"/>
  <c r="AA149" i="1" s="1"/>
  <c r="W149" i="1" s="1"/>
  <c r="Y150" i="1"/>
  <c r="AA150" i="1" s="1"/>
  <c r="W150" i="1" s="1"/>
  <c r="Y151" i="1"/>
  <c r="AA151" i="1" s="1"/>
  <c r="W151" i="1" s="1"/>
  <c r="Y152" i="1"/>
  <c r="AA152" i="1" s="1"/>
  <c r="W152" i="1" s="1"/>
  <c r="Y153" i="1"/>
  <c r="AA153" i="1" s="1"/>
  <c r="W153" i="1" s="1"/>
  <c r="Y154" i="1"/>
  <c r="AA154" i="1" s="1"/>
  <c r="W154" i="1" s="1"/>
  <c r="Y155" i="1"/>
  <c r="AA155" i="1" s="1"/>
  <c r="W155" i="1" s="1"/>
  <c r="Y156" i="1"/>
  <c r="AA156" i="1" s="1"/>
  <c r="W156" i="1" s="1"/>
  <c r="Y157" i="1"/>
  <c r="AA157" i="1" s="1"/>
  <c r="W157" i="1" s="1"/>
  <c r="Y158" i="1"/>
  <c r="AA158" i="1" s="1"/>
  <c r="W158" i="1" s="1"/>
  <c r="Y159" i="1"/>
  <c r="AA159" i="1" s="1"/>
  <c r="W159" i="1" s="1"/>
  <c r="Y160" i="1"/>
  <c r="AA160" i="1" s="1"/>
  <c r="Y161" i="1"/>
  <c r="AA161" i="1" s="1"/>
  <c r="W161" i="1" s="1"/>
  <c r="Y162" i="1"/>
  <c r="AA162" i="1" s="1"/>
  <c r="W162" i="1" s="1"/>
  <c r="Y163" i="1"/>
  <c r="AA163" i="1" s="1"/>
  <c r="W163" i="1" s="1"/>
  <c r="Y164" i="1"/>
  <c r="AA164" i="1" s="1"/>
  <c r="W164" i="1" s="1"/>
  <c r="Y165" i="1"/>
  <c r="AA165" i="1" s="1"/>
  <c r="W165" i="1" s="1"/>
  <c r="Y166" i="1"/>
  <c r="AA166" i="1" s="1"/>
  <c r="W166" i="1" s="1"/>
  <c r="Y167" i="1"/>
  <c r="AA167" i="1" s="1"/>
  <c r="W167" i="1" s="1"/>
  <c r="Y168" i="1"/>
  <c r="AA168" i="1" s="1"/>
  <c r="W168" i="1" s="1"/>
  <c r="Y169" i="1"/>
  <c r="AA169" i="1" s="1"/>
  <c r="W169" i="1" s="1"/>
  <c r="Y170" i="1"/>
  <c r="AA170" i="1" s="1"/>
  <c r="W170" i="1" s="1"/>
  <c r="Y171" i="1"/>
  <c r="AA171" i="1" s="1"/>
  <c r="W171" i="1" s="1"/>
  <c r="Y172" i="1"/>
  <c r="AA172" i="1" s="1"/>
  <c r="W172" i="1" s="1"/>
  <c r="Y173" i="1"/>
  <c r="AA173" i="1" s="1"/>
  <c r="W173" i="1" s="1"/>
  <c r="Y174" i="1"/>
  <c r="AA174" i="1" s="1"/>
  <c r="W174" i="1" s="1"/>
  <c r="Y175" i="1"/>
  <c r="AA175" i="1" s="1"/>
  <c r="W175" i="1" s="1"/>
  <c r="Y176" i="1"/>
  <c r="AA176" i="1" s="1"/>
  <c r="W176" i="1" s="1"/>
  <c r="Y177" i="1"/>
  <c r="AA177" i="1" s="1"/>
  <c r="W177" i="1" s="1"/>
  <c r="Y178" i="1"/>
  <c r="AA178" i="1" s="1"/>
  <c r="W178" i="1" s="1"/>
  <c r="Y179" i="1"/>
  <c r="AA179" i="1" s="1"/>
  <c r="W179" i="1" s="1"/>
  <c r="Y180" i="1"/>
  <c r="AA180" i="1" s="1"/>
  <c r="W180" i="1" s="1"/>
  <c r="Y181" i="1"/>
  <c r="AA181" i="1" s="1"/>
  <c r="W181" i="1" s="1"/>
  <c r="Y182" i="1"/>
  <c r="AA182" i="1" s="1"/>
  <c r="W182" i="1" s="1"/>
  <c r="Y183" i="1"/>
  <c r="AA183" i="1" s="1"/>
  <c r="W183" i="1" s="1"/>
  <c r="Y184" i="1"/>
  <c r="AA184" i="1" s="1"/>
  <c r="W184" i="1" s="1"/>
  <c r="Y185" i="1"/>
  <c r="AA185" i="1" s="1"/>
  <c r="W185" i="1" s="1"/>
  <c r="Y186" i="1"/>
  <c r="AA186" i="1" s="1"/>
  <c r="W186" i="1" s="1"/>
  <c r="Y187" i="1"/>
  <c r="AA187" i="1" s="1"/>
  <c r="Y188" i="1"/>
  <c r="AA188" i="1" s="1"/>
  <c r="W188" i="1" s="1"/>
  <c r="Y189" i="1"/>
  <c r="AA189" i="1" s="1"/>
  <c r="W189" i="1" s="1"/>
  <c r="Y190" i="1"/>
  <c r="AA190" i="1" s="1"/>
  <c r="W190" i="1" s="1"/>
  <c r="Y191" i="1"/>
  <c r="AA191" i="1" s="1"/>
  <c r="W191" i="1" s="1"/>
  <c r="Y192" i="1"/>
  <c r="AA192" i="1" s="1"/>
  <c r="W192" i="1" s="1"/>
  <c r="Y193" i="1"/>
  <c r="AA193" i="1" s="1"/>
  <c r="W193" i="1" s="1"/>
  <c r="Y194" i="1"/>
  <c r="AA194" i="1" s="1"/>
  <c r="W194" i="1" s="1"/>
  <c r="Y195" i="1"/>
  <c r="AA195" i="1" s="1"/>
  <c r="W195" i="1" s="1"/>
  <c r="Y196" i="1"/>
  <c r="AA196" i="1" s="1"/>
  <c r="W196" i="1" s="1"/>
  <c r="Y197" i="1"/>
  <c r="AA197" i="1" s="1"/>
  <c r="W197" i="1" s="1"/>
  <c r="Y198" i="1"/>
  <c r="AA198" i="1" s="1"/>
  <c r="W198" i="1" s="1"/>
  <c r="Y199" i="1"/>
  <c r="AA199" i="1" s="1"/>
  <c r="W199" i="1" s="1"/>
  <c r="Y200" i="1"/>
  <c r="AA200" i="1" s="1"/>
  <c r="W200" i="1" s="1"/>
  <c r="Y201" i="1"/>
  <c r="AA201" i="1" s="1"/>
  <c r="W201" i="1" s="1"/>
  <c r="Y202" i="1"/>
  <c r="AA202" i="1" s="1"/>
  <c r="W202" i="1" s="1"/>
  <c r="Y203" i="1"/>
  <c r="AA203" i="1" s="1"/>
  <c r="W203" i="1" s="1"/>
  <c r="Y204" i="1"/>
  <c r="AA204" i="1" s="1"/>
  <c r="W204" i="1" s="1"/>
  <c r="Y205" i="1"/>
  <c r="AA205" i="1" s="1"/>
  <c r="W205" i="1" s="1"/>
  <c r="Y206" i="1"/>
  <c r="AA206" i="1" s="1"/>
  <c r="W206" i="1" s="1"/>
  <c r="Y207" i="1"/>
  <c r="AA207" i="1" s="1"/>
  <c r="W207" i="1" s="1"/>
  <c r="Y208" i="1"/>
  <c r="AA208" i="1" s="1"/>
  <c r="W208" i="1" s="1"/>
  <c r="Y209" i="1"/>
  <c r="AA209" i="1" s="1"/>
  <c r="W209" i="1" s="1"/>
  <c r="Y210" i="1"/>
  <c r="AA210" i="1" s="1"/>
  <c r="W210" i="1" s="1"/>
  <c r="Y211" i="1"/>
  <c r="AA211" i="1" s="1"/>
  <c r="W211" i="1" s="1"/>
  <c r="Y212" i="1"/>
  <c r="Y213" i="1"/>
  <c r="AA213" i="1" s="1"/>
  <c r="W213" i="1" s="1"/>
  <c r="Y214" i="1"/>
  <c r="AA214" i="1" s="1"/>
  <c r="W214" i="1" s="1"/>
  <c r="Y215" i="1"/>
  <c r="AA215" i="1" s="1"/>
  <c r="W215" i="1" s="1"/>
  <c r="Y216" i="1"/>
  <c r="AA216" i="1" s="1"/>
  <c r="W216" i="1" s="1"/>
  <c r="Y217" i="1"/>
  <c r="AA217" i="1" s="1"/>
  <c r="W217" i="1" s="1"/>
  <c r="Y218" i="1"/>
  <c r="AA218" i="1" s="1"/>
  <c r="W218" i="1" s="1"/>
  <c r="Y219" i="1"/>
  <c r="AA219" i="1" s="1"/>
  <c r="W219" i="1" s="1"/>
  <c r="Y220" i="1"/>
  <c r="AA220" i="1" s="1"/>
  <c r="W220" i="1" s="1"/>
  <c r="Y221" i="1"/>
  <c r="AA221" i="1" s="1"/>
  <c r="W221" i="1" s="1"/>
  <c r="Y222" i="1"/>
  <c r="AA222" i="1" s="1"/>
  <c r="W222" i="1" s="1"/>
  <c r="Y223" i="1"/>
  <c r="AA223" i="1" s="1"/>
  <c r="W223" i="1" s="1"/>
  <c r="Y224" i="1"/>
  <c r="AA224" i="1" s="1"/>
  <c r="W224" i="1" s="1"/>
  <c r="Y225" i="1"/>
  <c r="AA225" i="1" s="1"/>
  <c r="W225" i="1" s="1"/>
  <c r="Y226" i="1"/>
  <c r="AA226" i="1" s="1"/>
  <c r="W226" i="1" s="1"/>
  <c r="Y227" i="1"/>
  <c r="AA227" i="1" s="1"/>
  <c r="W227" i="1" s="1"/>
  <c r="Y228" i="1"/>
  <c r="AA228" i="1" s="1"/>
  <c r="W228" i="1" s="1"/>
  <c r="Y229" i="1"/>
  <c r="AA229" i="1" s="1"/>
  <c r="W229" i="1" s="1"/>
  <c r="Y230" i="1"/>
  <c r="AA230" i="1" s="1"/>
  <c r="W230" i="1" s="1"/>
  <c r="Y231" i="1"/>
  <c r="AA231" i="1" s="1"/>
  <c r="W231" i="1" s="1"/>
  <c r="Y232" i="1"/>
  <c r="AA232" i="1" s="1"/>
  <c r="W232" i="1" s="1"/>
  <c r="Y233" i="1"/>
  <c r="AA233" i="1" s="1"/>
  <c r="W233" i="1" s="1"/>
  <c r="Y234" i="1"/>
  <c r="AA234" i="1" s="1"/>
  <c r="W234" i="1" s="1"/>
  <c r="Y235" i="1"/>
  <c r="AA235" i="1" s="1"/>
  <c r="W235" i="1" s="1"/>
  <c r="Y236" i="1"/>
  <c r="AA236" i="1" s="1"/>
  <c r="W236" i="1" s="1"/>
  <c r="Y237" i="1"/>
  <c r="AA237" i="1" s="1"/>
  <c r="W237" i="1" s="1"/>
  <c r="Y238" i="1"/>
  <c r="AA238" i="1" s="1"/>
  <c r="W238" i="1" s="1"/>
  <c r="Y239" i="1"/>
  <c r="AA239" i="1" s="1"/>
  <c r="W239" i="1" s="1"/>
  <c r="Y240" i="1"/>
  <c r="AA240" i="1" s="1"/>
  <c r="W240" i="1" s="1"/>
  <c r="Y241" i="1"/>
  <c r="AA241" i="1" s="1"/>
  <c r="W241" i="1" s="1"/>
  <c r="Y242" i="1"/>
  <c r="AA242" i="1" s="1"/>
  <c r="W242" i="1" s="1"/>
  <c r="Y243" i="1"/>
  <c r="AA243" i="1" s="1"/>
  <c r="W243" i="1" s="1"/>
  <c r="Y244" i="1"/>
  <c r="AA244" i="1" s="1"/>
  <c r="W244" i="1" s="1"/>
  <c r="Y245" i="1"/>
  <c r="AA245" i="1" s="1"/>
  <c r="W245" i="1" s="1"/>
  <c r="Y246" i="1"/>
  <c r="AA246" i="1" s="1"/>
  <c r="W246" i="1" s="1"/>
  <c r="Y247" i="1"/>
  <c r="AA247" i="1" s="1"/>
  <c r="W247" i="1" s="1"/>
  <c r="Y248" i="1"/>
  <c r="AA248" i="1" s="1"/>
  <c r="W248" i="1" s="1"/>
  <c r="Y249" i="1"/>
  <c r="AA249" i="1" s="1"/>
  <c r="W249" i="1" s="1"/>
  <c r="Y250" i="1"/>
  <c r="AA250" i="1" s="1"/>
  <c r="W250" i="1" s="1"/>
  <c r="Y251" i="1"/>
  <c r="AA251" i="1" s="1"/>
  <c r="W251" i="1" s="1"/>
  <c r="Y252" i="1"/>
  <c r="AA252" i="1" s="1"/>
  <c r="W252" i="1" s="1"/>
  <c r="Y253" i="1"/>
  <c r="AA253" i="1" s="1"/>
  <c r="W253" i="1" s="1"/>
  <c r="Y254" i="1"/>
  <c r="AA254" i="1" s="1"/>
  <c r="W254" i="1" s="1"/>
  <c r="Y255" i="1"/>
  <c r="AA255" i="1" s="1"/>
  <c r="W255" i="1" s="1"/>
  <c r="Y256" i="1"/>
  <c r="AA256" i="1" s="1"/>
  <c r="W256" i="1" s="1"/>
  <c r="Y257" i="1"/>
  <c r="AA257" i="1" s="1"/>
  <c r="W257" i="1" s="1"/>
  <c r="Y258" i="1"/>
  <c r="AA258" i="1" s="1"/>
  <c r="W258" i="1" s="1"/>
  <c r="Y259" i="1"/>
  <c r="AA259" i="1" s="1"/>
  <c r="W259" i="1" s="1"/>
  <c r="Y260" i="1"/>
  <c r="AA260" i="1" s="1"/>
  <c r="W260" i="1" s="1"/>
  <c r="Y261" i="1"/>
  <c r="AA261" i="1" s="1"/>
  <c r="W261" i="1" s="1"/>
  <c r="Y262" i="1"/>
  <c r="AA262" i="1" s="1"/>
  <c r="W262" i="1" s="1"/>
  <c r="Y263" i="1"/>
  <c r="AA263" i="1" s="1"/>
  <c r="W263" i="1" s="1"/>
  <c r="Y264" i="1"/>
  <c r="AA264" i="1" s="1"/>
  <c r="W264" i="1" s="1"/>
  <c r="Y265" i="1"/>
  <c r="AA265" i="1" s="1"/>
  <c r="W265" i="1" s="1"/>
  <c r="Y266" i="1"/>
  <c r="AA266" i="1" s="1"/>
  <c r="W266" i="1" s="1"/>
  <c r="Y267" i="1"/>
  <c r="AA267" i="1" s="1"/>
  <c r="W267" i="1" s="1"/>
  <c r="Y268" i="1"/>
  <c r="AA268" i="1" s="1"/>
  <c r="W268" i="1" s="1"/>
  <c r="Y269" i="1"/>
  <c r="AA269" i="1" s="1"/>
  <c r="W269" i="1" s="1"/>
  <c r="Y270" i="1"/>
  <c r="AA270" i="1" s="1"/>
  <c r="W270" i="1" s="1"/>
  <c r="Y271" i="1"/>
  <c r="AA271" i="1" s="1"/>
  <c r="W271" i="1" s="1"/>
  <c r="Y272" i="1"/>
  <c r="AA272" i="1" s="1"/>
  <c r="W272" i="1" s="1"/>
  <c r="Y273" i="1"/>
  <c r="AA273" i="1" s="1"/>
  <c r="W273" i="1" s="1"/>
  <c r="Y274" i="1"/>
  <c r="AA274" i="1" s="1"/>
  <c r="W274" i="1" s="1"/>
  <c r="Y275" i="1"/>
  <c r="AA275" i="1" s="1"/>
  <c r="W275" i="1" s="1"/>
  <c r="Y276" i="1"/>
  <c r="AA276" i="1" s="1"/>
  <c r="W276" i="1" s="1"/>
  <c r="Y277" i="1"/>
  <c r="AA277" i="1" s="1"/>
  <c r="W277" i="1" s="1"/>
  <c r="Y278" i="1"/>
  <c r="AA278" i="1" s="1"/>
  <c r="W278" i="1" s="1"/>
  <c r="Y279" i="1"/>
  <c r="AA279" i="1" s="1"/>
  <c r="W279" i="1" s="1"/>
  <c r="Y280" i="1"/>
  <c r="AA280" i="1" s="1"/>
  <c r="W280" i="1" s="1"/>
  <c r="Y281" i="1"/>
  <c r="AA281" i="1" s="1"/>
  <c r="W281" i="1" s="1"/>
  <c r="Y282" i="1"/>
  <c r="AA282" i="1" s="1"/>
  <c r="W282" i="1" s="1"/>
  <c r="Y283" i="1"/>
  <c r="AA283" i="1" s="1"/>
  <c r="W283" i="1" s="1"/>
  <c r="Y284" i="1"/>
  <c r="AA284" i="1" s="1"/>
  <c r="W284" i="1" s="1"/>
  <c r="Y285" i="1"/>
  <c r="AA285" i="1" s="1"/>
  <c r="W285" i="1" s="1"/>
  <c r="Y286" i="1"/>
  <c r="AA286" i="1" s="1"/>
  <c r="W286" i="1" s="1"/>
  <c r="Y287" i="1"/>
  <c r="AA287" i="1" s="1"/>
  <c r="W287" i="1" s="1"/>
  <c r="Y288" i="1"/>
  <c r="AA288" i="1" s="1"/>
  <c r="W288" i="1" s="1"/>
  <c r="Y289" i="1"/>
  <c r="AA289" i="1" s="1"/>
  <c r="W289" i="1" s="1"/>
  <c r="Y290" i="1"/>
  <c r="AA290" i="1" s="1"/>
  <c r="W290" i="1" s="1"/>
  <c r="Y291" i="1"/>
  <c r="AA291" i="1" s="1"/>
  <c r="W291" i="1" s="1"/>
  <c r="Y292" i="1"/>
  <c r="AA292" i="1" s="1"/>
  <c r="W292" i="1" s="1"/>
  <c r="Y293" i="1"/>
  <c r="AA293" i="1" s="1"/>
  <c r="W293" i="1" s="1"/>
  <c r="Y294" i="1"/>
  <c r="AA294" i="1" s="1"/>
  <c r="W294" i="1" s="1"/>
  <c r="Y295" i="1"/>
  <c r="AA295" i="1" s="1"/>
  <c r="W295" i="1" s="1"/>
  <c r="Y296" i="1"/>
  <c r="AA296" i="1" s="1"/>
  <c r="W296" i="1" s="1"/>
  <c r="Y297" i="1"/>
  <c r="AA297" i="1" s="1"/>
  <c r="W297" i="1" s="1"/>
  <c r="Y298" i="1"/>
  <c r="AA298" i="1" s="1"/>
  <c r="W298" i="1" s="1"/>
  <c r="Y299" i="1"/>
  <c r="AA299" i="1" s="1"/>
  <c r="W299" i="1" s="1"/>
  <c r="Y300" i="1"/>
  <c r="AA300" i="1" s="1"/>
  <c r="W300" i="1" s="1"/>
  <c r="Y301" i="1"/>
  <c r="AA301" i="1" s="1"/>
  <c r="W301" i="1" s="1"/>
  <c r="Y302" i="1"/>
  <c r="AA302" i="1" s="1"/>
  <c r="W302" i="1" s="1"/>
  <c r="Y303" i="1"/>
  <c r="AA303" i="1" s="1"/>
  <c r="W303" i="1" s="1"/>
  <c r="Y304" i="1"/>
  <c r="AA304" i="1" s="1"/>
  <c r="W304" i="1" s="1"/>
  <c r="Y305" i="1"/>
  <c r="AA305" i="1" s="1"/>
  <c r="W305" i="1" s="1"/>
  <c r="Y306" i="1"/>
  <c r="AA306" i="1" s="1"/>
  <c r="W306" i="1" s="1"/>
  <c r="Y307" i="1"/>
  <c r="AA307" i="1" s="1"/>
  <c r="W307" i="1" s="1"/>
  <c r="Y308" i="1"/>
  <c r="AA308" i="1" s="1"/>
  <c r="W308" i="1" s="1"/>
  <c r="Y309" i="1"/>
  <c r="AA309" i="1" s="1"/>
  <c r="W309" i="1" s="1"/>
  <c r="Y310" i="1"/>
  <c r="AA310" i="1" s="1"/>
  <c r="W310" i="1" s="1"/>
  <c r="Y311" i="1"/>
  <c r="AA311" i="1" s="1"/>
  <c r="W311" i="1" s="1"/>
  <c r="Y312" i="1"/>
  <c r="AA312" i="1" s="1"/>
  <c r="W312" i="1" s="1"/>
  <c r="Y313" i="1"/>
  <c r="AA313" i="1" s="1"/>
  <c r="W313" i="1" s="1"/>
  <c r="Y314" i="1"/>
  <c r="AA314" i="1" s="1"/>
  <c r="W314" i="1" s="1"/>
  <c r="Y315" i="1"/>
  <c r="AA315" i="1" s="1"/>
  <c r="W315" i="1" s="1"/>
  <c r="Y316" i="1"/>
  <c r="AA316" i="1" s="1"/>
  <c r="W316" i="1" s="1"/>
  <c r="Y317" i="1"/>
  <c r="AA317" i="1" s="1"/>
  <c r="W317" i="1" s="1"/>
  <c r="Y318" i="1"/>
  <c r="AA318" i="1" s="1"/>
  <c r="W318" i="1" s="1"/>
  <c r="Y319" i="1"/>
  <c r="AA319" i="1" s="1"/>
  <c r="W319" i="1" s="1"/>
  <c r="Y320" i="1"/>
  <c r="AA320" i="1" s="1"/>
  <c r="W320" i="1" s="1"/>
  <c r="Y321" i="1"/>
  <c r="AA321" i="1" s="1"/>
  <c r="W321" i="1" s="1"/>
  <c r="Y322" i="1"/>
  <c r="AA322" i="1" s="1"/>
  <c r="W322" i="1" s="1"/>
  <c r="Y323" i="1"/>
  <c r="AA323" i="1" s="1"/>
  <c r="W323" i="1" s="1"/>
  <c r="Y324" i="1"/>
  <c r="AA324" i="1" s="1"/>
  <c r="W324" i="1" s="1"/>
  <c r="Y325" i="1"/>
  <c r="AA325" i="1" s="1"/>
  <c r="W325" i="1" s="1"/>
  <c r="Y326" i="1"/>
  <c r="AA326" i="1" s="1"/>
  <c r="W326" i="1" s="1"/>
  <c r="Y327" i="1"/>
  <c r="AA327" i="1" s="1"/>
  <c r="W327" i="1" s="1"/>
  <c r="Y328" i="1"/>
  <c r="AA328" i="1" s="1"/>
  <c r="W328" i="1" s="1"/>
  <c r="Y329" i="1"/>
  <c r="AA329" i="1" s="1"/>
  <c r="W329" i="1" s="1"/>
  <c r="Y330" i="1"/>
  <c r="AA330" i="1" s="1"/>
  <c r="W330" i="1" s="1"/>
  <c r="Y331" i="1"/>
  <c r="AA331" i="1" s="1"/>
  <c r="W331" i="1" s="1"/>
  <c r="Y332" i="1"/>
  <c r="AA332" i="1" s="1"/>
  <c r="W332" i="1" s="1"/>
  <c r="Y333" i="1"/>
  <c r="AA333" i="1" s="1"/>
  <c r="W333" i="1" s="1"/>
  <c r="Y334" i="1"/>
  <c r="AA334" i="1" s="1"/>
  <c r="W334" i="1" s="1"/>
  <c r="Y335" i="1"/>
  <c r="AA335" i="1" s="1"/>
  <c r="W335" i="1" s="1"/>
  <c r="Y336" i="1"/>
  <c r="AA336" i="1" s="1"/>
  <c r="W336" i="1" s="1"/>
  <c r="Y337" i="1"/>
  <c r="AA337" i="1" s="1"/>
  <c r="W337" i="1" s="1"/>
  <c r="Y338" i="1"/>
  <c r="AA338" i="1" s="1"/>
  <c r="W338" i="1" s="1"/>
  <c r="Y339" i="1"/>
  <c r="AA339" i="1" s="1"/>
  <c r="W339" i="1" s="1"/>
  <c r="Y340" i="1"/>
  <c r="AA340" i="1" s="1"/>
  <c r="W340" i="1" s="1"/>
  <c r="Y341" i="1"/>
  <c r="AA341" i="1" s="1"/>
  <c r="W341" i="1" s="1"/>
  <c r="Y342" i="1"/>
  <c r="AA342" i="1" s="1"/>
  <c r="W342" i="1" s="1"/>
  <c r="Y343" i="1"/>
  <c r="AA343" i="1" s="1"/>
  <c r="W343" i="1" s="1"/>
  <c r="Y344" i="1"/>
  <c r="AA344" i="1" s="1"/>
  <c r="W344" i="1" s="1"/>
  <c r="Y345" i="1"/>
  <c r="AA345" i="1" s="1"/>
  <c r="W345" i="1" s="1"/>
  <c r="Y346" i="1"/>
  <c r="AA346" i="1" s="1"/>
  <c r="W346" i="1" s="1"/>
  <c r="Y347" i="1"/>
  <c r="AA347" i="1" s="1"/>
  <c r="W347" i="1" s="1"/>
  <c r="Y348" i="1"/>
  <c r="AA348" i="1" s="1"/>
  <c r="W348" i="1" s="1"/>
  <c r="Y349" i="1"/>
  <c r="AA349" i="1" s="1"/>
  <c r="W349" i="1" s="1"/>
  <c r="Y350" i="1"/>
  <c r="AA350" i="1" s="1"/>
  <c r="W350" i="1" s="1"/>
  <c r="Y351" i="1"/>
  <c r="AA351" i="1" s="1"/>
  <c r="W351" i="1" s="1"/>
  <c r="Y352" i="1"/>
  <c r="AA352" i="1" s="1"/>
  <c r="W352" i="1" s="1"/>
  <c r="Y353" i="1"/>
  <c r="Y354" i="1"/>
  <c r="AA354" i="1" s="1"/>
  <c r="W354" i="1" s="1"/>
  <c r="Y355" i="1"/>
  <c r="AA355" i="1" s="1"/>
  <c r="W355" i="1" s="1"/>
  <c r="Y356" i="1"/>
  <c r="AA356" i="1" s="1"/>
  <c r="W356" i="1" s="1"/>
  <c r="Y357" i="1"/>
  <c r="AA357" i="1" s="1"/>
  <c r="W357" i="1" s="1"/>
  <c r="Y358" i="1"/>
  <c r="AA358" i="1" s="1"/>
  <c r="W358" i="1" s="1"/>
  <c r="Y359" i="1"/>
  <c r="AA359" i="1" s="1"/>
  <c r="W359" i="1" s="1"/>
  <c r="Y360" i="1"/>
  <c r="AA360" i="1" s="1"/>
  <c r="W360" i="1" s="1"/>
  <c r="Y361" i="1"/>
  <c r="AA361" i="1" s="1"/>
  <c r="W361" i="1" s="1"/>
  <c r="Y362" i="1"/>
  <c r="AA362" i="1" s="1"/>
  <c r="W362" i="1" s="1"/>
  <c r="Y363" i="1"/>
  <c r="AA363" i="1" s="1"/>
  <c r="W363" i="1" s="1"/>
  <c r="Y364" i="1"/>
  <c r="AA364" i="1" s="1"/>
  <c r="W364" i="1" s="1"/>
  <c r="Y365" i="1"/>
  <c r="AA365" i="1" s="1"/>
  <c r="W365" i="1" s="1"/>
  <c r="Y366" i="1"/>
  <c r="AA366" i="1" s="1"/>
  <c r="W366" i="1" s="1"/>
  <c r="Y367" i="1"/>
  <c r="AA367" i="1" s="1"/>
  <c r="W367" i="1" s="1"/>
  <c r="Y368" i="1"/>
  <c r="AA368" i="1" s="1"/>
  <c r="W368" i="1" s="1"/>
  <c r="Y369" i="1"/>
  <c r="AA369" i="1" s="1"/>
  <c r="W369" i="1" s="1"/>
  <c r="AA212" i="1"/>
  <c r="W212" i="1" s="1"/>
  <c r="AA353" i="1"/>
  <c r="W353" i="1" s="1"/>
  <c r="AD42" i="1"/>
  <c r="AD45" i="1"/>
  <c r="AF80" i="1"/>
  <c r="AB80" i="1" s="1"/>
  <c r="AD92" i="1"/>
  <c r="AF92" i="1" s="1"/>
  <c r="AB92" i="1" s="1"/>
  <c r="AD93" i="1"/>
  <c r="AF93" i="1" s="1"/>
  <c r="AB93" i="1" s="1"/>
  <c r="AF94" i="1"/>
  <c r="AB94" i="1" s="1"/>
  <c r="AF95" i="1"/>
  <c r="AF96" i="1"/>
  <c r="AF97" i="1"/>
  <c r="AF110" i="1"/>
  <c r="AB110" i="1" s="1"/>
  <c r="AF112" i="1"/>
  <c r="AB112" i="1" s="1"/>
  <c r="AD121" i="1"/>
  <c r="AF121" i="1" s="1"/>
  <c r="AB121" i="1" s="1"/>
  <c r="AD122" i="1"/>
  <c r="AF122" i="1" s="1"/>
  <c r="AB122" i="1" s="1"/>
  <c r="AD123" i="1"/>
  <c r="AF123" i="1" s="1"/>
  <c r="AD124" i="1"/>
  <c r="AF124" i="1" s="1"/>
  <c r="AB124" i="1" s="1"/>
  <c r="AD125" i="1"/>
  <c r="AF125" i="1" s="1"/>
  <c r="AB125" i="1" s="1"/>
  <c r="AD126" i="1"/>
  <c r="AF126" i="1" s="1"/>
  <c r="AB126" i="1" s="1"/>
  <c r="AD127" i="1"/>
  <c r="AF127" i="1" s="1"/>
  <c r="AB127" i="1" s="1"/>
  <c r="AD128" i="1"/>
  <c r="AF128" i="1" s="1"/>
  <c r="AB128" i="1" s="1"/>
  <c r="AD129" i="1"/>
  <c r="AF129" i="1" s="1"/>
  <c r="AB129" i="1" s="1"/>
  <c r="AD130" i="1"/>
  <c r="AF130" i="1" s="1"/>
  <c r="AB130" i="1" s="1"/>
  <c r="AD131" i="1"/>
  <c r="AF131" i="1" s="1"/>
  <c r="AB131" i="1" s="1"/>
  <c r="AD132" i="1"/>
  <c r="AF132" i="1" s="1"/>
  <c r="AB132" i="1" s="1"/>
  <c r="AD133" i="1"/>
  <c r="AF133" i="1" s="1"/>
  <c r="AB133" i="1" s="1"/>
  <c r="AD134" i="1"/>
  <c r="AF134" i="1" s="1"/>
  <c r="AD135" i="1"/>
  <c r="AF135" i="1" s="1"/>
  <c r="AB135" i="1" s="1"/>
  <c r="AD136" i="1"/>
  <c r="AF136" i="1" s="1"/>
  <c r="AB136" i="1" s="1"/>
  <c r="AD137" i="1"/>
  <c r="AF137" i="1" s="1"/>
  <c r="AB137" i="1" s="1"/>
  <c r="AD138" i="1"/>
  <c r="AF138" i="1" s="1"/>
  <c r="AB138" i="1" s="1"/>
  <c r="AD139" i="1"/>
  <c r="AF139" i="1" s="1"/>
  <c r="AB139" i="1" s="1"/>
  <c r="AD140" i="1"/>
  <c r="AF140" i="1" s="1"/>
  <c r="AB140" i="1" s="1"/>
  <c r="AD141" i="1"/>
  <c r="AF141" i="1" s="1"/>
  <c r="AB141" i="1" s="1"/>
  <c r="AD142" i="1"/>
  <c r="AF142" i="1" s="1"/>
  <c r="AB142" i="1" s="1"/>
  <c r="AD143" i="1"/>
  <c r="AF143" i="1" s="1"/>
  <c r="AB143" i="1" s="1"/>
  <c r="AD144" i="1"/>
  <c r="AF144" i="1" s="1"/>
  <c r="AB144" i="1" s="1"/>
  <c r="AD145" i="1"/>
  <c r="AF145" i="1" s="1"/>
  <c r="AB145" i="1" s="1"/>
  <c r="AD146" i="1"/>
  <c r="AF146" i="1" s="1"/>
  <c r="AB146" i="1" s="1"/>
  <c r="AD147" i="1"/>
  <c r="AF147" i="1" s="1"/>
  <c r="AB147" i="1" s="1"/>
  <c r="AD148" i="1"/>
  <c r="AD149" i="1"/>
  <c r="AF149" i="1" s="1"/>
  <c r="AB149" i="1" s="1"/>
  <c r="AD150" i="1"/>
  <c r="AF150" i="1" s="1"/>
  <c r="AB150" i="1" s="1"/>
  <c r="AD151" i="1"/>
  <c r="AF151" i="1" s="1"/>
  <c r="AB151" i="1" s="1"/>
  <c r="AD152" i="1"/>
  <c r="AF152" i="1" s="1"/>
  <c r="AB152" i="1" s="1"/>
  <c r="AD153" i="1"/>
  <c r="AF153" i="1" s="1"/>
  <c r="AB153" i="1" s="1"/>
  <c r="AD154" i="1"/>
  <c r="AF154" i="1" s="1"/>
  <c r="AB154" i="1" s="1"/>
  <c r="AD155" i="1"/>
  <c r="AF155" i="1" s="1"/>
  <c r="AB155" i="1" s="1"/>
  <c r="AD156" i="1"/>
  <c r="AF156" i="1" s="1"/>
  <c r="AB156" i="1" s="1"/>
  <c r="AD157" i="1"/>
  <c r="AF157" i="1" s="1"/>
  <c r="AB157" i="1" s="1"/>
  <c r="AD158" i="1"/>
  <c r="AF158" i="1" s="1"/>
  <c r="AB158" i="1" s="1"/>
  <c r="AD159" i="1"/>
  <c r="AF159" i="1" s="1"/>
  <c r="AB159" i="1" s="1"/>
  <c r="AD160" i="1"/>
  <c r="AF160" i="1" s="1"/>
  <c r="AB160" i="1" s="1"/>
  <c r="AD161" i="1"/>
  <c r="AF161" i="1" s="1"/>
  <c r="AB161" i="1" s="1"/>
  <c r="AD162" i="1"/>
  <c r="AF162" i="1" s="1"/>
  <c r="AB162" i="1" s="1"/>
  <c r="AD163" i="1"/>
  <c r="AF163" i="1" s="1"/>
  <c r="AB163" i="1" s="1"/>
  <c r="AD164" i="1"/>
  <c r="AF164" i="1" s="1"/>
  <c r="AB164" i="1" s="1"/>
  <c r="AD165" i="1"/>
  <c r="AF165" i="1" s="1"/>
  <c r="AD166" i="1"/>
  <c r="AF166" i="1" s="1"/>
  <c r="AB166" i="1" s="1"/>
  <c r="AD167" i="1"/>
  <c r="AF167" i="1" s="1"/>
  <c r="AB167" i="1" s="1"/>
  <c r="AD168" i="1"/>
  <c r="AF168" i="1" s="1"/>
  <c r="AB168" i="1" s="1"/>
  <c r="AD169" i="1"/>
  <c r="AF169" i="1" s="1"/>
  <c r="AB169" i="1" s="1"/>
  <c r="AD170" i="1"/>
  <c r="AF170" i="1" s="1"/>
  <c r="AB170" i="1" s="1"/>
  <c r="AD171" i="1"/>
  <c r="AF171" i="1" s="1"/>
  <c r="AB171" i="1" s="1"/>
  <c r="AD172" i="1"/>
  <c r="AF172" i="1" s="1"/>
  <c r="AB172" i="1" s="1"/>
  <c r="AD173" i="1"/>
  <c r="AF173" i="1" s="1"/>
  <c r="AB173" i="1" s="1"/>
  <c r="AD174" i="1"/>
  <c r="AF174" i="1" s="1"/>
  <c r="AB174" i="1" s="1"/>
  <c r="AD175" i="1"/>
  <c r="AF175" i="1" s="1"/>
  <c r="AB175" i="1" s="1"/>
  <c r="AD176" i="1"/>
  <c r="AF176" i="1" s="1"/>
  <c r="AB176" i="1" s="1"/>
  <c r="AD177" i="1"/>
  <c r="AF177" i="1" s="1"/>
  <c r="AB177" i="1" s="1"/>
  <c r="AD178" i="1"/>
  <c r="AF178" i="1" s="1"/>
  <c r="AB178" i="1" s="1"/>
  <c r="AD179" i="1"/>
  <c r="AF179" i="1" s="1"/>
  <c r="AB179" i="1" s="1"/>
  <c r="AD180" i="1"/>
  <c r="AF180" i="1" s="1"/>
  <c r="AB180" i="1" s="1"/>
  <c r="AD181" i="1"/>
  <c r="AF181" i="1" s="1"/>
  <c r="AB181" i="1" s="1"/>
  <c r="AD182" i="1"/>
  <c r="AF182" i="1" s="1"/>
  <c r="AB182" i="1" s="1"/>
  <c r="AD183" i="1"/>
  <c r="AF183" i="1" s="1"/>
  <c r="AB183" i="1" s="1"/>
  <c r="AD184" i="1"/>
  <c r="AF184" i="1" s="1"/>
  <c r="AB184" i="1" s="1"/>
  <c r="AD185" i="1"/>
  <c r="AF185" i="1" s="1"/>
  <c r="AB185" i="1" s="1"/>
  <c r="AD186" i="1"/>
  <c r="AF186" i="1" s="1"/>
  <c r="AD187" i="1"/>
  <c r="AF187" i="1" s="1"/>
  <c r="AB187" i="1" s="1"/>
  <c r="AD188" i="1"/>
  <c r="AF188" i="1" s="1"/>
  <c r="AB188" i="1" s="1"/>
  <c r="AD189" i="1"/>
  <c r="AF189" i="1" s="1"/>
  <c r="AB189" i="1" s="1"/>
  <c r="AD190" i="1"/>
  <c r="AF190" i="1" s="1"/>
  <c r="AB190" i="1" s="1"/>
  <c r="AD191" i="1"/>
  <c r="AF191" i="1" s="1"/>
  <c r="AB191" i="1" s="1"/>
  <c r="AD192" i="1"/>
  <c r="AF192" i="1" s="1"/>
  <c r="AB192" i="1" s="1"/>
  <c r="AD193" i="1"/>
  <c r="AF193" i="1" s="1"/>
  <c r="AB193" i="1" s="1"/>
  <c r="AD194" i="1"/>
  <c r="AF194" i="1" s="1"/>
  <c r="AB194" i="1" s="1"/>
  <c r="AD195" i="1"/>
  <c r="AF195" i="1" s="1"/>
  <c r="AB195" i="1" s="1"/>
  <c r="AD196" i="1"/>
  <c r="AF196" i="1" s="1"/>
  <c r="AB196" i="1" s="1"/>
  <c r="AD197" i="1"/>
  <c r="AF197" i="1" s="1"/>
  <c r="AB197" i="1" s="1"/>
  <c r="AD198" i="1"/>
  <c r="AF198" i="1" s="1"/>
  <c r="AB198" i="1" s="1"/>
  <c r="AD199" i="1"/>
  <c r="AF199" i="1" s="1"/>
  <c r="AB199" i="1" s="1"/>
  <c r="AD200" i="1"/>
  <c r="AF200" i="1" s="1"/>
  <c r="AB200" i="1" s="1"/>
  <c r="AD201" i="1"/>
  <c r="AF201" i="1" s="1"/>
  <c r="AB201" i="1" s="1"/>
  <c r="AD202" i="1"/>
  <c r="AF202" i="1" s="1"/>
  <c r="AB202" i="1" s="1"/>
  <c r="AD203" i="1"/>
  <c r="AF203" i="1" s="1"/>
  <c r="AB203" i="1" s="1"/>
  <c r="AD204" i="1"/>
  <c r="AF204" i="1" s="1"/>
  <c r="AB204" i="1" s="1"/>
  <c r="AD205" i="1"/>
  <c r="AF205" i="1" s="1"/>
  <c r="AB205" i="1" s="1"/>
  <c r="AD206" i="1"/>
  <c r="AF206" i="1" s="1"/>
  <c r="AB206" i="1" s="1"/>
  <c r="AD207" i="1"/>
  <c r="AF207" i="1" s="1"/>
  <c r="AB207" i="1" s="1"/>
  <c r="AD208" i="1"/>
  <c r="AF208" i="1" s="1"/>
  <c r="AB208" i="1" s="1"/>
  <c r="AD209" i="1"/>
  <c r="AF209" i="1" s="1"/>
  <c r="AB209" i="1" s="1"/>
  <c r="AD210" i="1"/>
  <c r="AF210" i="1" s="1"/>
  <c r="AB210" i="1" s="1"/>
  <c r="AD211" i="1"/>
  <c r="AF211" i="1" s="1"/>
  <c r="AB211" i="1" s="1"/>
  <c r="AD212" i="1"/>
  <c r="AF212" i="1" s="1"/>
  <c r="AB212" i="1" s="1"/>
  <c r="AD213" i="1"/>
  <c r="AF213" i="1" s="1"/>
  <c r="AB213" i="1" s="1"/>
  <c r="AD214" i="1"/>
  <c r="AF214" i="1" s="1"/>
  <c r="AB214" i="1" s="1"/>
  <c r="AD215" i="1"/>
  <c r="AF215" i="1" s="1"/>
  <c r="AB215" i="1" s="1"/>
  <c r="AD216" i="1"/>
  <c r="AF216" i="1" s="1"/>
  <c r="AB216" i="1" s="1"/>
  <c r="AD217" i="1"/>
  <c r="AF217" i="1" s="1"/>
  <c r="AB217" i="1" s="1"/>
  <c r="AD218" i="1"/>
  <c r="AF218" i="1" s="1"/>
  <c r="AB218" i="1" s="1"/>
  <c r="AD219" i="1"/>
  <c r="AF219" i="1" s="1"/>
  <c r="AB219" i="1" s="1"/>
  <c r="AD220" i="1"/>
  <c r="AF220" i="1" s="1"/>
  <c r="AB220" i="1" s="1"/>
  <c r="AD221" i="1"/>
  <c r="AF221" i="1" s="1"/>
  <c r="AB221" i="1" s="1"/>
  <c r="AD222" i="1"/>
  <c r="AD223" i="1"/>
  <c r="AF223" i="1" s="1"/>
  <c r="AB223" i="1" s="1"/>
  <c r="AD224" i="1"/>
  <c r="AF224" i="1" s="1"/>
  <c r="AB224" i="1" s="1"/>
  <c r="AD225" i="1"/>
  <c r="AF225" i="1" s="1"/>
  <c r="AB225" i="1" s="1"/>
  <c r="AD226" i="1"/>
  <c r="AF226" i="1" s="1"/>
  <c r="AB226" i="1" s="1"/>
  <c r="AD227" i="1"/>
  <c r="AF227" i="1" s="1"/>
  <c r="AB227" i="1" s="1"/>
  <c r="AD228" i="1"/>
  <c r="AF228" i="1" s="1"/>
  <c r="AB228" i="1" s="1"/>
  <c r="AD229" i="1"/>
  <c r="AF229" i="1" s="1"/>
  <c r="AB229" i="1" s="1"/>
  <c r="AD230" i="1"/>
  <c r="AF230" i="1" s="1"/>
  <c r="AB230" i="1" s="1"/>
  <c r="AD231" i="1"/>
  <c r="AF231" i="1" s="1"/>
  <c r="AB231" i="1" s="1"/>
  <c r="AD232" i="1"/>
  <c r="AF232" i="1" s="1"/>
  <c r="AB232" i="1" s="1"/>
  <c r="AD233" i="1"/>
  <c r="AF233" i="1" s="1"/>
  <c r="AB233" i="1" s="1"/>
  <c r="AD234" i="1"/>
  <c r="AF234" i="1" s="1"/>
  <c r="AB234" i="1" s="1"/>
  <c r="AD235" i="1"/>
  <c r="AF235" i="1" s="1"/>
  <c r="AB235" i="1" s="1"/>
  <c r="AD236" i="1"/>
  <c r="AF236" i="1" s="1"/>
  <c r="AB236" i="1" s="1"/>
  <c r="AD237" i="1"/>
  <c r="AF237" i="1" s="1"/>
  <c r="AB237" i="1" s="1"/>
  <c r="AD238" i="1"/>
  <c r="AF238" i="1" s="1"/>
  <c r="AB238" i="1" s="1"/>
  <c r="AD239" i="1"/>
  <c r="AF239" i="1" s="1"/>
  <c r="AB239" i="1" s="1"/>
  <c r="AD240" i="1"/>
  <c r="AF240" i="1" s="1"/>
  <c r="AB240" i="1" s="1"/>
  <c r="AD241" i="1"/>
  <c r="AF241" i="1" s="1"/>
  <c r="AB241" i="1" s="1"/>
  <c r="AD242" i="1"/>
  <c r="AF242" i="1" s="1"/>
  <c r="AB242" i="1" s="1"/>
  <c r="AD243" i="1"/>
  <c r="AF243" i="1" s="1"/>
  <c r="AB243" i="1" s="1"/>
  <c r="AD244" i="1"/>
  <c r="AF244" i="1" s="1"/>
  <c r="AB244" i="1" s="1"/>
  <c r="AD245" i="1"/>
  <c r="AF245" i="1" s="1"/>
  <c r="AB245" i="1" s="1"/>
  <c r="AD246" i="1"/>
  <c r="AF246" i="1" s="1"/>
  <c r="AB246" i="1" s="1"/>
  <c r="AD247" i="1"/>
  <c r="AF247" i="1" s="1"/>
  <c r="AB247" i="1" s="1"/>
  <c r="AD248" i="1"/>
  <c r="AF248" i="1" s="1"/>
  <c r="AB248" i="1" s="1"/>
  <c r="AD249" i="1"/>
  <c r="AF249" i="1" s="1"/>
  <c r="AB249" i="1" s="1"/>
  <c r="AD250" i="1"/>
  <c r="AF250" i="1" s="1"/>
  <c r="AB250" i="1" s="1"/>
  <c r="AD251" i="1"/>
  <c r="AF251" i="1" s="1"/>
  <c r="AB251" i="1" s="1"/>
  <c r="AD252" i="1"/>
  <c r="AF252" i="1" s="1"/>
  <c r="AB252" i="1" s="1"/>
  <c r="AD253" i="1"/>
  <c r="AF253" i="1" s="1"/>
  <c r="AB253" i="1" s="1"/>
  <c r="AD254" i="1"/>
  <c r="AD255" i="1"/>
  <c r="AD256" i="1"/>
  <c r="AF256" i="1" s="1"/>
  <c r="AB256" i="1" s="1"/>
  <c r="AD257" i="1"/>
  <c r="AF257" i="1" s="1"/>
  <c r="AB257" i="1" s="1"/>
  <c r="AD258" i="1"/>
  <c r="AF258" i="1" s="1"/>
  <c r="AB258" i="1" s="1"/>
  <c r="AD259" i="1"/>
  <c r="AF259" i="1" s="1"/>
  <c r="AB259" i="1" s="1"/>
  <c r="AD260" i="1"/>
  <c r="AF260" i="1" s="1"/>
  <c r="AB260" i="1" s="1"/>
  <c r="AD261" i="1"/>
  <c r="AF261" i="1" s="1"/>
  <c r="AB261" i="1" s="1"/>
  <c r="AD262" i="1"/>
  <c r="AF262" i="1" s="1"/>
  <c r="AB262" i="1" s="1"/>
  <c r="AD263" i="1"/>
  <c r="AF263" i="1" s="1"/>
  <c r="AB263" i="1" s="1"/>
  <c r="AD264" i="1"/>
  <c r="AF264" i="1" s="1"/>
  <c r="AB264" i="1" s="1"/>
  <c r="AD265" i="1"/>
  <c r="AF265" i="1" s="1"/>
  <c r="AB265" i="1" s="1"/>
  <c r="AD266" i="1"/>
  <c r="AF266" i="1" s="1"/>
  <c r="AB266" i="1" s="1"/>
  <c r="AD267" i="1"/>
  <c r="AF267" i="1" s="1"/>
  <c r="AB267" i="1" s="1"/>
  <c r="AD268" i="1"/>
  <c r="AF268" i="1" s="1"/>
  <c r="AB268" i="1" s="1"/>
  <c r="AD269" i="1"/>
  <c r="AF269" i="1" s="1"/>
  <c r="AB269" i="1" s="1"/>
  <c r="AD270" i="1"/>
  <c r="AF270" i="1" s="1"/>
  <c r="AB270" i="1" s="1"/>
  <c r="AD271" i="1"/>
  <c r="AF271" i="1" s="1"/>
  <c r="AB271" i="1" s="1"/>
  <c r="AD272" i="1"/>
  <c r="AF272" i="1" s="1"/>
  <c r="AB272" i="1" s="1"/>
  <c r="AD273" i="1"/>
  <c r="AF273" i="1" s="1"/>
  <c r="AB273" i="1" s="1"/>
  <c r="AD274" i="1"/>
  <c r="AF274" i="1" s="1"/>
  <c r="AB274" i="1" s="1"/>
  <c r="AD275" i="1"/>
  <c r="AF275" i="1" s="1"/>
  <c r="AB275" i="1" s="1"/>
  <c r="AD276" i="1"/>
  <c r="AF276" i="1" s="1"/>
  <c r="AB276" i="1" s="1"/>
  <c r="AD277" i="1"/>
  <c r="AF277" i="1" s="1"/>
  <c r="AB277" i="1" s="1"/>
  <c r="AD278" i="1"/>
  <c r="AF278" i="1" s="1"/>
  <c r="AB278" i="1" s="1"/>
  <c r="AD279" i="1"/>
  <c r="AF279" i="1" s="1"/>
  <c r="AB279" i="1" s="1"/>
  <c r="AD280" i="1"/>
  <c r="AF280" i="1" s="1"/>
  <c r="AB280" i="1" s="1"/>
  <c r="AD281" i="1"/>
  <c r="AF281" i="1" s="1"/>
  <c r="AB281" i="1" s="1"/>
  <c r="AD282" i="1"/>
  <c r="AF282" i="1" s="1"/>
  <c r="AB282" i="1" s="1"/>
  <c r="AD283" i="1"/>
  <c r="AF283" i="1" s="1"/>
  <c r="AB283" i="1" s="1"/>
  <c r="AD284" i="1"/>
  <c r="AF284" i="1" s="1"/>
  <c r="AB284" i="1" s="1"/>
  <c r="AD285" i="1"/>
  <c r="AF285" i="1" s="1"/>
  <c r="AB285" i="1" s="1"/>
  <c r="AD286" i="1"/>
  <c r="AD287" i="1"/>
  <c r="AF287" i="1" s="1"/>
  <c r="AB287" i="1" s="1"/>
  <c r="AD288" i="1"/>
  <c r="AF288" i="1" s="1"/>
  <c r="AB288" i="1" s="1"/>
  <c r="AD289" i="1"/>
  <c r="AF289" i="1" s="1"/>
  <c r="AB289" i="1" s="1"/>
  <c r="AD290" i="1"/>
  <c r="AF290" i="1" s="1"/>
  <c r="AB290" i="1" s="1"/>
  <c r="AD291" i="1"/>
  <c r="AF291" i="1" s="1"/>
  <c r="AB291" i="1" s="1"/>
  <c r="AD292" i="1"/>
  <c r="AF292" i="1" s="1"/>
  <c r="AB292" i="1" s="1"/>
  <c r="AD293" i="1"/>
  <c r="AF293" i="1" s="1"/>
  <c r="AB293" i="1" s="1"/>
  <c r="AD294" i="1"/>
  <c r="AF294" i="1" s="1"/>
  <c r="AB294" i="1" s="1"/>
  <c r="AD295" i="1"/>
  <c r="AF295" i="1" s="1"/>
  <c r="AB295" i="1" s="1"/>
  <c r="AD296" i="1"/>
  <c r="AF296" i="1" s="1"/>
  <c r="AB296" i="1" s="1"/>
  <c r="AD297" i="1"/>
  <c r="AF297" i="1" s="1"/>
  <c r="AB297" i="1" s="1"/>
  <c r="AD298" i="1"/>
  <c r="AF298" i="1" s="1"/>
  <c r="AB298" i="1" s="1"/>
  <c r="AD299" i="1"/>
  <c r="AF299" i="1" s="1"/>
  <c r="AB299" i="1" s="1"/>
  <c r="AD300" i="1"/>
  <c r="AF300" i="1" s="1"/>
  <c r="AB300" i="1" s="1"/>
  <c r="AD301" i="1"/>
  <c r="AF301" i="1" s="1"/>
  <c r="AB301" i="1" s="1"/>
  <c r="AD302" i="1"/>
  <c r="AF302" i="1" s="1"/>
  <c r="AB302" i="1" s="1"/>
  <c r="AD303" i="1"/>
  <c r="AF303" i="1" s="1"/>
  <c r="AB303" i="1" s="1"/>
  <c r="AD304" i="1"/>
  <c r="AF304" i="1" s="1"/>
  <c r="AB304" i="1" s="1"/>
  <c r="AD305" i="1"/>
  <c r="AF305" i="1" s="1"/>
  <c r="AB305" i="1" s="1"/>
  <c r="AD306" i="1"/>
  <c r="AF306" i="1" s="1"/>
  <c r="AB306" i="1" s="1"/>
  <c r="AD307" i="1"/>
  <c r="AF307" i="1" s="1"/>
  <c r="AB307" i="1" s="1"/>
  <c r="AD308" i="1"/>
  <c r="AD309" i="1"/>
  <c r="AF309" i="1" s="1"/>
  <c r="AB309" i="1" s="1"/>
  <c r="AD310" i="1"/>
  <c r="AF310" i="1" s="1"/>
  <c r="AB310" i="1" s="1"/>
  <c r="AD311" i="1"/>
  <c r="AF311" i="1" s="1"/>
  <c r="AB311" i="1" s="1"/>
  <c r="AD312" i="1"/>
  <c r="AF312" i="1" s="1"/>
  <c r="AB312" i="1" s="1"/>
  <c r="AD313" i="1"/>
  <c r="AF313" i="1" s="1"/>
  <c r="AB313" i="1" s="1"/>
  <c r="AD314" i="1"/>
  <c r="AF314" i="1" s="1"/>
  <c r="AB314" i="1" s="1"/>
  <c r="AD315" i="1"/>
  <c r="AF315" i="1" s="1"/>
  <c r="AB315" i="1" s="1"/>
  <c r="AD316" i="1"/>
  <c r="AF316" i="1" s="1"/>
  <c r="AB316" i="1" s="1"/>
  <c r="AD317" i="1"/>
  <c r="AF317" i="1" s="1"/>
  <c r="AB317" i="1" s="1"/>
  <c r="AD318" i="1"/>
  <c r="AF318" i="1" s="1"/>
  <c r="AB318" i="1" s="1"/>
  <c r="AD319" i="1"/>
  <c r="AF319" i="1" s="1"/>
  <c r="AB319" i="1" s="1"/>
  <c r="AD320" i="1"/>
  <c r="AF320" i="1" s="1"/>
  <c r="AB320" i="1" s="1"/>
  <c r="AD321" i="1"/>
  <c r="AF321" i="1" s="1"/>
  <c r="AB321" i="1" s="1"/>
  <c r="AD322" i="1"/>
  <c r="AF322" i="1" s="1"/>
  <c r="AB322" i="1" s="1"/>
  <c r="AD323" i="1"/>
  <c r="AF323" i="1" s="1"/>
  <c r="AB323" i="1" s="1"/>
  <c r="AD324" i="1"/>
  <c r="AF324" i="1" s="1"/>
  <c r="AB324" i="1" s="1"/>
  <c r="AD325" i="1"/>
  <c r="AF325" i="1" s="1"/>
  <c r="AB325" i="1" s="1"/>
  <c r="AD326" i="1"/>
  <c r="AF326" i="1" s="1"/>
  <c r="AB326" i="1" s="1"/>
  <c r="AD327" i="1"/>
  <c r="AF327" i="1" s="1"/>
  <c r="AB327" i="1" s="1"/>
  <c r="AD328" i="1"/>
  <c r="AF328" i="1" s="1"/>
  <c r="AB328" i="1" s="1"/>
  <c r="AD329" i="1"/>
  <c r="AF329" i="1" s="1"/>
  <c r="AB329" i="1" s="1"/>
  <c r="AD330" i="1"/>
  <c r="AF330" i="1" s="1"/>
  <c r="AB330" i="1" s="1"/>
  <c r="AD331" i="1"/>
  <c r="AF331" i="1" s="1"/>
  <c r="AB331" i="1" s="1"/>
  <c r="AD332" i="1"/>
  <c r="AF332" i="1" s="1"/>
  <c r="AB332" i="1" s="1"/>
  <c r="AD333" i="1"/>
  <c r="AD334" i="1"/>
  <c r="AF334" i="1" s="1"/>
  <c r="AB334" i="1" s="1"/>
  <c r="AD335" i="1"/>
  <c r="AF335" i="1" s="1"/>
  <c r="AB335" i="1" s="1"/>
  <c r="AD336" i="1"/>
  <c r="AF336" i="1" s="1"/>
  <c r="AB336" i="1" s="1"/>
  <c r="AD337" i="1"/>
  <c r="AF337" i="1" s="1"/>
  <c r="AB337" i="1" s="1"/>
  <c r="AD338" i="1"/>
  <c r="AF338" i="1" s="1"/>
  <c r="AB338" i="1" s="1"/>
  <c r="AD339" i="1"/>
  <c r="AF339" i="1" s="1"/>
  <c r="AB339" i="1" s="1"/>
  <c r="AD340" i="1"/>
  <c r="AF340" i="1" s="1"/>
  <c r="AB340" i="1" s="1"/>
  <c r="AD341" i="1"/>
  <c r="AF341" i="1" s="1"/>
  <c r="AB341" i="1" s="1"/>
  <c r="AD342" i="1"/>
  <c r="AF342" i="1" s="1"/>
  <c r="AB342" i="1" s="1"/>
  <c r="AD343" i="1"/>
  <c r="AF343" i="1" s="1"/>
  <c r="AB343" i="1" s="1"/>
  <c r="AD344" i="1"/>
  <c r="AF344" i="1" s="1"/>
  <c r="AB344" i="1" s="1"/>
  <c r="AD345" i="1"/>
  <c r="AF345" i="1" s="1"/>
  <c r="AB345" i="1" s="1"/>
  <c r="AD346" i="1"/>
  <c r="AF346" i="1" s="1"/>
  <c r="AD347" i="1"/>
  <c r="AF347" i="1" s="1"/>
  <c r="AB347" i="1" s="1"/>
  <c r="AD348" i="1"/>
  <c r="AF348" i="1" s="1"/>
  <c r="AB348" i="1" s="1"/>
  <c r="AD349" i="1"/>
  <c r="AF349" i="1" s="1"/>
  <c r="AB349" i="1" s="1"/>
  <c r="AD350" i="1"/>
  <c r="AF350" i="1" s="1"/>
  <c r="AB350" i="1" s="1"/>
  <c r="AD351" i="1"/>
  <c r="AF351" i="1" s="1"/>
  <c r="AB351" i="1" s="1"/>
  <c r="AD352" i="1"/>
  <c r="AF352" i="1" s="1"/>
  <c r="AB352" i="1" s="1"/>
  <c r="AD353" i="1"/>
  <c r="AF353" i="1" s="1"/>
  <c r="AB353" i="1" s="1"/>
  <c r="AD354" i="1"/>
  <c r="AF354" i="1" s="1"/>
  <c r="AB354" i="1" s="1"/>
  <c r="AD355" i="1"/>
  <c r="AF355" i="1" s="1"/>
  <c r="AB355" i="1" s="1"/>
  <c r="AD356" i="1"/>
  <c r="AF356" i="1" s="1"/>
  <c r="AB356" i="1" s="1"/>
  <c r="AD357" i="1"/>
  <c r="AF357" i="1" s="1"/>
  <c r="AB357" i="1" s="1"/>
  <c r="AD358" i="1"/>
  <c r="AF358" i="1" s="1"/>
  <c r="AB358" i="1" s="1"/>
  <c r="AD359" i="1"/>
  <c r="AF359" i="1" s="1"/>
  <c r="AB359" i="1" s="1"/>
  <c r="AD360" i="1"/>
  <c r="AF360" i="1" s="1"/>
  <c r="AB360" i="1" s="1"/>
  <c r="AD361" i="1"/>
  <c r="AF361" i="1" s="1"/>
  <c r="AB361" i="1" s="1"/>
  <c r="AD362" i="1"/>
  <c r="AF362" i="1" s="1"/>
  <c r="AB362" i="1" s="1"/>
  <c r="AD363" i="1"/>
  <c r="AF363" i="1" s="1"/>
  <c r="AB363" i="1" s="1"/>
  <c r="AD364" i="1"/>
  <c r="AF364" i="1" s="1"/>
  <c r="AB364" i="1" s="1"/>
  <c r="AD365" i="1"/>
  <c r="AF365" i="1" s="1"/>
  <c r="AB365" i="1" s="1"/>
  <c r="AD366" i="1"/>
  <c r="AF366" i="1" s="1"/>
  <c r="AB366" i="1" s="1"/>
  <c r="AD367" i="1"/>
  <c r="AF367" i="1" s="1"/>
  <c r="AB367" i="1" s="1"/>
  <c r="AD368" i="1"/>
  <c r="AF368" i="1" s="1"/>
  <c r="AB368" i="1" s="1"/>
  <c r="AD369" i="1"/>
  <c r="AF369" i="1" s="1"/>
  <c r="AB369" i="1" s="1"/>
  <c r="AF148" i="1"/>
  <c r="AB148" i="1" s="1"/>
  <c r="AF222" i="1"/>
  <c r="AB222" i="1" s="1"/>
  <c r="AF254" i="1"/>
  <c r="AB254" i="1" s="1"/>
  <c r="AF255" i="1"/>
  <c r="AB255" i="1" s="1"/>
  <c r="AF286" i="1"/>
  <c r="AB286" i="1" s="1"/>
  <c r="AF308" i="1"/>
  <c r="AB308" i="1" s="1"/>
  <c r="AF333" i="1"/>
  <c r="AB333" i="1" s="1"/>
  <c r="AK45" i="1"/>
  <c r="V111" i="38" s="1"/>
  <c r="Q111" i="38" s="1"/>
  <c r="AK92" i="1"/>
  <c r="AK93" i="1"/>
  <c r="AK94" i="1"/>
  <c r="AK95"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N41" i="1"/>
  <c r="AP41" i="1" s="1"/>
  <c r="AL41" i="1" s="1"/>
  <c r="AN45" i="1"/>
  <c r="AP45" i="1" s="1"/>
  <c r="AL45" i="1" s="1"/>
  <c r="AN92" i="1"/>
  <c r="AP92" i="1" s="1"/>
  <c r="AL92" i="1" s="1"/>
  <c r="AN93" i="1"/>
  <c r="AP93" i="1" s="1"/>
  <c r="AN94" i="1"/>
  <c r="AP94" i="1" s="1"/>
  <c r="AN121" i="1"/>
  <c r="AP121" i="1" s="1"/>
  <c r="AM121" i="1" s="1"/>
  <c r="AN122" i="1"/>
  <c r="AP122" i="1" s="1"/>
  <c r="AM122" i="1" s="1"/>
  <c r="AN123" i="1"/>
  <c r="AP123" i="1" s="1"/>
  <c r="AM123" i="1" s="1"/>
  <c r="AN124" i="1"/>
  <c r="AP124" i="1" s="1"/>
  <c r="AM124" i="1" s="1"/>
  <c r="AN125" i="1"/>
  <c r="AP125" i="1" s="1"/>
  <c r="AN126" i="1"/>
  <c r="AP126" i="1" s="1"/>
  <c r="AM126" i="1" s="1"/>
  <c r="AN127" i="1"/>
  <c r="AP127" i="1" s="1"/>
  <c r="AM127" i="1" s="1"/>
  <c r="AN128" i="1"/>
  <c r="AP128" i="1" s="1"/>
  <c r="AM128" i="1" s="1"/>
  <c r="AN129" i="1"/>
  <c r="AP129" i="1" s="1"/>
  <c r="AM129" i="1" s="1"/>
  <c r="AN130" i="1"/>
  <c r="AP130" i="1" s="1"/>
  <c r="AM130" i="1" s="1"/>
  <c r="AN131" i="1"/>
  <c r="AP131" i="1" s="1"/>
  <c r="AM131" i="1" s="1"/>
  <c r="AN132" i="1"/>
  <c r="AP132" i="1" s="1"/>
  <c r="AM132" i="1" s="1"/>
  <c r="AN133" i="1"/>
  <c r="AP133" i="1" s="1"/>
  <c r="AM133" i="1" s="1"/>
  <c r="AN134" i="1"/>
  <c r="AP134" i="1" s="1"/>
  <c r="AM134" i="1" s="1"/>
  <c r="AN135" i="1"/>
  <c r="AP135" i="1" s="1"/>
  <c r="AM135" i="1" s="1"/>
  <c r="AN136" i="1"/>
  <c r="AP136" i="1" s="1"/>
  <c r="AM136" i="1" s="1"/>
  <c r="AN137" i="1"/>
  <c r="AP137" i="1" s="1"/>
  <c r="AM137" i="1" s="1"/>
  <c r="AN138" i="1"/>
  <c r="AP138" i="1" s="1"/>
  <c r="AM138" i="1" s="1"/>
  <c r="AN139" i="1"/>
  <c r="AP139" i="1" s="1"/>
  <c r="AM139" i="1" s="1"/>
  <c r="AN140" i="1"/>
  <c r="AP140" i="1" s="1"/>
  <c r="AM140" i="1" s="1"/>
  <c r="AN141" i="1"/>
  <c r="AP141" i="1" s="1"/>
  <c r="AM141" i="1" s="1"/>
  <c r="AN142" i="1"/>
  <c r="AP142" i="1" s="1"/>
  <c r="AM142" i="1" s="1"/>
  <c r="AN143" i="1"/>
  <c r="AP143" i="1" s="1"/>
  <c r="AM143" i="1" s="1"/>
  <c r="AN144" i="1"/>
  <c r="AP144" i="1" s="1"/>
  <c r="AM144" i="1" s="1"/>
  <c r="AN145" i="1"/>
  <c r="AP145" i="1" s="1"/>
  <c r="AM145" i="1" s="1"/>
  <c r="AN146" i="1"/>
  <c r="AP146" i="1" s="1"/>
  <c r="AM146" i="1" s="1"/>
  <c r="AN147" i="1"/>
  <c r="AP147" i="1" s="1"/>
  <c r="AM147" i="1" s="1"/>
  <c r="AN148" i="1"/>
  <c r="AP148" i="1" s="1"/>
  <c r="AM148" i="1" s="1"/>
  <c r="AN149" i="1"/>
  <c r="AP149" i="1" s="1"/>
  <c r="AM149" i="1" s="1"/>
  <c r="AN150" i="1"/>
  <c r="AP150" i="1" s="1"/>
  <c r="AM150" i="1" s="1"/>
  <c r="AN151" i="1"/>
  <c r="AP151" i="1" s="1"/>
  <c r="AM151" i="1" s="1"/>
  <c r="AN152" i="1"/>
  <c r="AP152" i="1" s="1"/>
  <c r="AM152" i="1" s="1"/>
  <c r="AN153" i="1"/>
  <c r="AP153" i="1" s="1"/>
  <c r="AM153" i="1" s="1"/>
  <c r="AN154" i="1"/>
  <c r="AP154" i="1" s="1"/>
  <c r="AM154" i="1" s="1"/>
  <c r="AN155" i="1"/>
  <c r="AP155" i="1" s="1"/>
  <c r="AM155" i="1" s="1"/>
  <c r="AN156" i="1"/>
  <c r="AP156" i="1" s="1"/>
  <c r="AM156" i="1" s="1"/>
  <c r="AN157" i="1"/>
  <c r="AP157" i="1" s="1"/>
  <c r="AN158" i="1"/>
  <c r="AP158" i="1" s="1"/>
  <c r="AM158" i="1" s="1"/>
  <c r="AN159" i="1"/>
  <c r="AP159" i="1" s="1"/>
  <c r="AM159" i="1" s="1"/>
  <c r="AN160" i="1"/>
  <c r="AP160" i="1" s="1"/>
  <c r="AM160" i="1" s="1"/>
  <c r="AN161" i="1"/>
  <c r="AP161" i="1" s="1"/>
  <c r="AM161" i="1" s="1"/>
  <c r="AN162" i="1"/>
  <c r="AP162" i="1" s="1"/>
  <c r="AM162" i="1" s="1"/>
  <c r="AN163" i="1"/>
  <c r="AP163" i="1" s="1"/>
  <c r="AM163" i="1" s="1"/>
  <c r="AN164" i="1"/>
  <c r="AP164" i="1" s="1"/>
  <c r="AM164" i="1" s="1"/>
  <c r="AN165" i="1"/>
  <c r="AP165" i="1" s="1"/>
  <c r="AM165" i="1" s="1"/>
  <c r="AN166" i="1"/>
  <c r="AP166" i="1" s="1"/>
  <c r="AM166" i="1" s="1"/>
  <c r="AN167" i="1"/>
  <c r="AP167" i="1" s="1"/>
  <c r="AM167" i="1" s="1"/>
  <c r="AN168" i="1"/>
  <c r="AP168" i="1" s="1"/>
  <c r="AM168" i="1" s="1"/>
  <c r="AN169" i="1"/>
  <c r="AP169" i="1" s="1"/>
  <c r="AM169" i="1" s="1"/>
  <c r="AN170" i="1"/>
  <c r="AP170" i="1" s="1"/>
  <c r="AM170" i="1" s="1"/>
  <c r="AN171" i="1"/>
  <c r="AP171" i="1" s="1"/>
  <c r="AM171" i="1" s="1"/>
  <c r="AN172" i="1"/>
  <c r="AP172" i="1" s="1"/>
  <c r="AM172" i="1" s="1"/>
  <c r="AN173" i="1"/>
  <c r="AP173" i="1" s="1"/>
  <c r="AM173" i="1" s="1"/>
  <c r="AN174" i="1"/>
  <c r="AP174" i="1" s="1"/>
  <c r="AM174" i="1" s="1"/>
  <c r="AN175" i="1"/>
  <c r="AP175" i="1" s="1"/>
  <c r="AM175" i="1" s="1"/>
  <c r="AN176" i="1"/>
  <c r="AP176" i="1" s="1"/>
  <c r="AM176" i="1" s="1"/>
  <c r="AN177" i="1"/>
  <c r="AP177" i="1" s="1"/>
  <c r="AM177" i="1" s="1"/>
  <c r="AN178" i="1"/>
  <c r="AP178" i="1" s="1"/>
  <c r="AM178" i="1" s="1"/>
  <c r="AN179" i="1"/>
  <c r="AP179" i="1" s="1"/>
  <c r="AM179" i="1" s="1"/>
  <c r="AN180" i="1"/>
  <c r="AP180" i="1" s="1"/>
  <c r="AM180" i="1" s="1"/>
  <c r="AN181" i="1"/>
  <c r="AP181" i="1" s="1"/>
  <c r="AM181" i="1" s="1"/>
  <c r="AN182" i="1"/>
  <c r="AP182" i="1" s="1"/>
  <c r="AM182" i="1" s="1"/>
  <c r="AN183" i="1"/>
  <c r="AP183" i="1" s="1"/>
  <c r="AM183" i="1" s="1"/>
  <c r="AN184" i="1"/>
  <c r="AP184" i="1" s="1"/>
  <c r="AM184" i="1" s="1"/>
  <c r="AN185" i="1"/>
  <c r="AP185" i="1" s="1"/>
  <c r="AM185" i="1" s="1"/>
  <c r="AN186" i="1"/>
  <c r="AP186" i="1" s="1"/>
  <c r="AN187" i="1"/>
  <c r="AP187" i="1" s="1"/>
  <c r="AM187" i="1" s="1"/>
  <c r="AN188" i="1"/>
  <c r="AP188" i="1" s="1"/>
  <c r="AM188" i="1" s="1"/>
  <c r="AN189" i="1"/>
  <c r="AP189" i="1" s="1"/>
  <c r="AM189" i="1" s="1"/>
  <c r="AN190" i="1"/>
  <c r="AP190" i="1" s="1"/>
  <c r="AM190" i="1" s="1"/>
  <c r="AN191" i="1"/>
  <c r="AP191" i="1" s="1"/>
  <c r="AM191" i="1" s="1"/>
  <c r="AN192" i="1"/>
  <c r="AP192" i="1" s="1"/>
  <c r="AM192" i="1" s="1"/>
  <c r="AN193" i="1"/>
  <c r="AP193" i="1" s="1"/>
  <c r="AM193" i="1" s="1"/>
  <c r="AN194" i="1"/>
  <c r="AP194" i="1" s="1"/>
  <c r="AM194" i="1" s="1"/>
  <c r="AN195" i="1"/>
  <c r="AP195" i="1" s="1"/>
  <c r="AM195" i="1" s="1"/>
  <c r="AN196" i="1"/>
  <c r="AP196" i="1" s="1"/>
  <c r="AM196" i="1" s="1"/>
  <c r="AN197" i="1"/>
  <c r="AP197" i="1" s="1"/>
  <c r="AM197" i="1" s="1"/>
  <c r="AN198" i="1"/>
  <c r="AP198" i="1" s="1"/>
  <c r="AM198" i="1" s="1"/>
  <c r="AN199" i="1"/>
  <c r="AP199" i="1" s="1"/>
  <c r="AM199" i="1" s="1"/>
  <c r="AN200" i="1"/>
  <c r="AP200" i="1" s="1"/>
  <c r="AM200" i="1" s="1"/>
  <c r="AN201" i="1"/>
  <c r="AP201" i="1" s="1"/>
  <c r="AM201" i="1" s="1"/>
  <c r="AN202" i="1"/>
  <c r="AP202" i="1" s="1"/>
  <c r="AM202" i="1" s="1"/>
  <c r="AN203" i="1"/>
  <c r="AP203" i="1" s="1"/>
  <c r="AM203" i="1" s="1"/>
  <c r="AN204" i="1"/>
  <c r="AP204" i="1" s="1"/>
  <c r="AM204" i="1" s="1"/>
  <c r="AN205" i="1"/>
  <c r="AP205" i="1" s="1"/>
  <c r="AM205" i="1" s="1"/>
  <c r="AN206" i="1"/>
  <c r="AP206" i="1" s="1"/>
  <c r="AM206" i="1" s="1"/>
  <c r="AN207" i="1"/>
  <c r="AP207" i="1" s="1"/>
  <c r="AM207" i="1" s="1"/>
  <c r="AN208" i="1"/>
  <c r="AP208" i="1" s="1"/>
  <c r="AM208" i="1" s="1"/>
  <c r="AN209" i="1"/>
  <c r="AP209" i="1" s="1"/>
  <c r="AM209" i="1" s="1"/>
  <c r="AN210" i="1"/>
  <c r="AP210" i="1" s="1"/>
  <c r="AM210" i="1" s="1"/>
  <c r="AN211" i="1"/>
  <c r="AP211" i="1" s="1"/>
  <c r="AM211" i="1" s="1"/>
  <c r="AN212" i="1"/>
  <c r="AP212" i="1" s="1"/>
  <c r="AM212" i="1" s="1"/>
  <c r="AN213" i="1"/>
  <c r="AP213" i="1" s="1"/>
  <c r="AM213" i="1" s="1"/>
  <c r="AN214" i="1"/>
  <c r="AP214" i="1" s="1"/>
  <c r="AM214" i="1" s="1"/>
  <c r="AN215" i="1"/>
  <c r="AP215" i="1" s="1"/>
  <c r="AM215" i="1" s="1"/>
  <c r="AN216" i="1"/>
  <c r="AP216" i="1" s="1"/>
  <c r="AM216" i="1" s="1"/>
  <c r="AN217" i="1"/>
  <c r="AP217" i="1" s="1"/>
  <c r="AN218" i="1"/>
  <c r="AP218" i="1" s="1"/>
  <c r="AM218" i="1" s="1"/>
  <c r="AN219" i="1"/>
  <c r="AP219" i="1" s="1"/>
  <c r="AM219" i="1" s="1"/>
  <c r="AN220" i="1"/>
  <c r="AP220" i="1" s="1"/>
  <c r="AM220" i="1" s="1"/>
  <c r="AN221" i="1"/>
  <c r="AP221" i="1" s="1"/>
  <c r="AM221" i="1" s="1"/>
  <c r="AN222" i="1"/>
  <c r="AP222" i="1" s="1"/>
  <c r="AM222" i="1" s="1"/>
  <c r="AN223" i="1"/>
  <c r="AP223" i="1" s="1"/>
  <c r="AM223" i="1" s="1"/>
  <c r="AN224" i="1"/>
  <c r="AP224" i="1" s="1"/>
  <c r="AM224" i="1" s="1"/>
  <c r="AN225" i="1"/>
  <c r="AP225" i="1" s="1"/>
  <c r="AM225" i="1" s="1"/>
  <c r="AN226" i="1"/>
  <c r="AP226" i="1" s="1"/>
  <c r="AM226" i="1" s="1"/>
  <c r="AN227" i="1"/>
  <c r="AP227" i="1" s="1"/>
  <c r="AM227" i="1" s="1"/>
  <c r="AN228" i="1"/>
  <c r="AP228" i="1" s="1"/>
  <c r="AM228" i="1" s="1"/>
  <c r="AN229" i="1"/>
  <c r="AP229" i="1" s="1"/>
  <c r="AM229" i="1" s="1"/>
  <c r="AN230" i="1"/>
  <c r="AP230" i="1" s="1"/>
  <c r="AM230" i="1" s="1"/>
  <c r="AN231" i="1"/>
  <c r="AP231" i="1" s="1"/>
  <c r="AM231" i="1" s="1"/>
  <c r="AN232" i="1"/>
  <c r="AP232" i="1" s="1"/>
  <c r="AM232" i="1" s="1"/>
  <c r="AN233" i="1"/>
  <c r="AP233" i="1" s="1"/>
  <c r="AM233" i="1" s="1"/>
  <c r="AN234" i="1"/>
  <c r="AP234" i="1" s="1"/>
  <c r="AM234" i="1" s="1"/>
  <c r="AN235" i="1"/>
  <c r="AP235" i="1" s="1"/>
  <c r="AM235" i="1" s="1"/>
  <c r="AN236" i="1"/>
  <c r="AP236" i="1" s="1"/>
  <c r="AM236" i="1" s="1"/>
  <c r="AN237" i="1"/>
  <c r="AP237" i="1" s="1"/>
  <c r="AM237" i="1" s="1"/>
  <c r="AN238" i="1"/>
  <c r="AP238" i="1" s="1"/>
  <c r="AM238" i="1" s="1"/>
  <c r="AN239" i="1"/>
  <c r="AP239" i="1" s="1"/>
  <c r="AM239" i="1" s="1"/>
  <c r="AN240" i="1"/>
  <c r="AP240" i="1" s="1"/>
  <c r="AM240" i="1" s="1"/>
  <c r="AN241" i="1"/>
  <c r="AP241" i="1" s="1"/>
  <c r="AM241" i="1" s="1"/>
  <c r="AN242" i="1"/>
  <c r="AP242" i="1" s="1"/>
  <c r="AM242" i="1" s="1"/>
  <c r="AN243" i="1"/>
  <c r="AP243" i="1" s="1"/>
  <c r="AM243" i="1" s="1"/>
  <c r="AN244" i="1"/>
  <c r="AP244" i="1" s="1"/>
  <c r="AM244" i="1" s="1"/>
  <c r="AN245" i="1"/>
  <c r="AP245" i="1" s="1"/>
  <c r="AM245" i="1" s="1"/>
  <c r="AN246" i="1"/>
  <c r="AP246" i="1" s="1"/>
  <c r="AM246" i="1" s="1"/>
  <c r="AN247" i="1"/>
  <c r="AP247" i="1" s="1"/>
  <c r="AM247" i="1" s="1"/>
  <c r="AN248" i="1"/>
  <c r="AP248" i="1" s="1"/>
  <c r="AM248" i="1" s="1"/>
  <c r="AN249" i="1"/>
  <c r="AP249" i="1" s="1"/>
  <c r="AN250" i="1"/>
  <c r="AP250" i="1" s="1"/>
  <c r="AM250" i="1" s="1"/>
  <c r="AN251" i="1"/>
  <c r="AP251" i="1" s="1"/>
  <c r="AM251" i="1" s="1"/>
  <c r="AN252" i="1"/>
  <c r="AP252" i="1" s="1"/>
  <c r="AM252" i="1" s="1"/>
  <c r="AN253" i="1"/>
  <c r="AP253" i="1" s="1"/>
  <c r="AM253" i="1" s="1"/>
  <c r="AN254" i="1"/>
  <c r="AP254" i="1" s="1"/>
  <c r="AM254" i="1" s="1"/>
  <c r="AN255" i="1"/>
  <c r="AP255" i="1" s="1"/>
  <c r="AM255" i="1" s="1"/>
  <c r="AN256" i="1"/>
  <c r="AP256" i="1" s="1"/>
  <c r="AM256" i="1" s="1"/>
  <c r="AN257" i="1"/>
  <c r="AP257" i="1" s="1"/>
  <c r="AM257" i="1" s="1"/>
  <c r="AN258" i="1"/>
  <c r="AP258" i="1" s="1"/>
  <c r="AM258" i="1" s="1"/>
  <c r="AN259" i="1"/>
  <c r="AP259" i="1" s="1"/>
  <c r="AM259" i="1" s="1"/>
  <c r="AN260" i="1"/>
  <c r="AP260" i="1" s="1"/>
  <c r="AM260" i="1" s="1"/>
  <c r="AN261" i="1"/>
  <c r="AP261" i="1" s="1"/>
  <c r="AM261" i="1" s="1"/>
  <c r="AN262" i="1"/>
  <c r="AP262" i="1" s="1"/>
  <c r="AM262" i="1" s="1"/>
  <c r="AN263" i="1"/>
  <c r="AP263" i="1" s="1"/>
  <c r="AM263" i="1" s="1"/>
  <c r="AN264" i="1"/>
  <c r="AP264" i="1" s="1"/>
  <c r="AM264" i="1" s="1"/>
  <c r="AN265" i="1"/>
  <c r="AP265" i="1" s="1"/>
  <c r="AM265" i="1" s="1"/>
  <c r="AN266" i="1"/>
  <c r="AN267" i="1"/>
  <c r="AP267" i="1" s="1"/>
  <c r="AM267" i="1" s="1"/>
  <c r="AN268" i="1"/>
  <c r="AP268" i="1" s="1"/>
  <c r="AM268" i="1" s="1"/>
  <c r="AN269" i="1"/>
  <c r="AP269" i="1" s="1"/>
  <c r="AM269" i="1" s="1"/>
  <c r="AN270" i="1"/>
  <c r="AP270" i="1" s="1"/>
  <c r="AM270" i="1" s="1"/>
  <c r="AN271" i="1"/>
  <c r="AP271" i="1" s="1"/>
  <c r="AM271" i="1" s="1"/>
  <c r="AN272" i="1"/>
  <c r="AP272" i="1" s="1"/>
  <c r="AM272" i="1" s="1"/>
  <c r="AN273" i="1"/>
  <c r="AP273" i="1" s="1"/>
  <c r="AM273" i="1" s="1"/>
  <c r="AN274" i="1"/>
  <c r="AP274" i="1" s="1"/>
  <c r="AM274" i="1" s="1"/>
  <c r="AN275" i="1"/>
  <c r="AP275" i="1" s="1"/>
  <c r="AM275" i="1" s="1"/>
  <c r="AN276" i="1"/>
  <c r="AP276" i="1" s="1"/>
  <c r="AM276" i="1" s="1"/>
  <c r="AN277" i="1"/>
  <c r="AP277" i="1" s="1"/>
  <c r="AM277" i="1" s="1"/>
  <c r="AN278" i="1"/>
  <c r="AP278" i="1" s="1"/>
  <c r="AN279" i="1"/>
  <c r="AP279" i="1" s="1"/>
  <c r="AM279" i="1" s="1"/>
  <c r="AN280" i="1"/>
  <c r="AP280" i="1" s="1"/>
  <c r="AM280" i="1" s="1"/>
  <c r="AN281" i="1"/>
  <c r="AP281" i="1" s="1"/>
  <c r="AM281" i="1" s="1"/>
  <c r="AN282" i="1"/>
  <c r="AP282" i="1" s="1"/>
  <c r="AM282" i="1" s="1"/>
  <c r="AN283" i="1"/>
  <c r="AP283" i="1" s="1"/>
  <c r="AM283" i="1" s="1"/>
  <c r="AN284" i="1"/>
  <c r="AP284" i="1" s="1"/>
  <c r="AM284" i="1" s="1"/>
  <c r="AN285" i="1"/>
  <c r="AP285" i="1" s="1"/>
  <c r="AM285" i="1" s="1"/>
  <c r="AN286" i="1"/>
  <c r="AP286" i="1" s="1"/>
  <c r="AM286" i="1" s="1"/>
  <c r="AN287" i="1"/>
  <c r="AP287" i="1" s="1"/>
  <c r="AM287" i="1" s="1"/>
  <c r="AN288" i="1"/>
  <c r="AP288" i="1" s="1"/>
  <c r="AM288" i="1" s="1"/>
  <c r="AN289" i="1"/>
  <c r="AP289" i="1" s="1"/>
  <c r="AM289" i="1" s="1"/>
  <c r="AN290" i="1"/>
  <c r="AP290" i="1" s="1"/>
  <c r="AM290" i="1" s="1"/>
  <c r="AN291" i="1"/>
  <c r="AP291" i="1" s="1"/>
  <c r="AM291" i="1" s="1"/>
  <c r="AN292" i="1"/>
  <c r="AP292" i="1" s="1"/>
  <c r="AM292" i="1" s="1"/>
  <c r="AN293" i="1"/>
  <c r="AP293" i="1" s="1"/>
  <c r="AM293" i="1" s="1"/>
  <c r="AN294" i="1"/>
  <c r="AP294" i="1" s="1"/>
  <c r="AM294" i="1" s="1"/>
  <c r="AN295" i="1"/>
  <c r="AP295" i="1" s="1"/>
  <c r="AM295" i="1" s="1"/>
  <c r="AN296" i="1"/>
  <c r="AP296" i="1" s="1"/>
  <c r="AM296" i="1" s="1"/>
  <c r="AN297" i="1"/>
  <c r="AP297" i="1" s="1"/>
  <c r="AM297" i="1" s="1"/>
  <c r="AN298" i="1"/>
  <c r="AP298" i="1" s="1"/>
  <c r="AM298" i="1" s="1"/>
  <c r="AN299" i="1"/>
  <c r="AP299" i="1" s="1"/>
  <c r="AM299" i="1" s="1"/>
  <c r="AN300" i="1"/>
  <c r="AN301" i="1"/>
  <c r="AP301" i="1" s="1"/>
  <c r="AM301" i="1" s="1"/>
  <c r="AN302" i="1"/>
  <c r="AP302" i="1" s="1"/>
  <c r="AM302" i="1" s="1"/>
  <c r="AN303" i="1"/>
  <c r="AP303" i="1" s="1"/>
  <c r="AM303" i="1" s="1"/>
  <c r="AN304" i="1"/>
  <c r="AP304" i="1" s="1"/>
  <c r="AM304" i="1" s="1"/>
  <c r="AN305" i="1"/>
  <c r="AP305" i="1" s="1"/>
  <c r="AM305" i="1" s="1"/>
  <c r="AN306" i="1"/>
  <c r="AP306" i="1" s="1"/>
  <c r="AM306" i="1" s="1"/>
  <c r="AN307" i="1"/>
  <c r="AP307" i="1" s="1"/>
  <c r="AM307" i="1" s="1"/>
  <c r="AN308" i="1"/>
  <c r="AP308" i="1" s="1"/>
  <c r="AM308" i="1" s="1"/>
  <c r="AN309" i="1"/>
  <c r="AP309" i="1" s="1"/>
  <c r="AN310" i="1"/>
  <c r="AP310" i="1" s="1"/>
  <c r="AM310" i="1" s="1"/>
  <c r="AN311" i="1"/>
  <c r="AP311" i="1" s="1"/>
  <c r="AM311" i="1" s="1"/>
  <c r="AN312" i="1"/>
  <c r="AP312" i="1" s="1"/>
  <c r="AM312" i="1" s="1"/>
  <c r="AN313" i="1"/>
  <c r="AP313" i="1" s="1"/>
  <c r="AM313" i="1" s="1"/>
  <c r="AN314" i="1"/>
  <c r="AP314" i="1" s="1"/>
  <c r="AM314" i="1" s="1"/>
  <c r="AN315" i="1"/>
  <c r="AP315" i="1" s="1"/>
  <c r="AM315" i="1" s="1"/>
  <c r="AN316" i="1"/>
  <c r="AP316" i="1" s="1"/>
  <c r="AM316" i="1" s="1"/>
  <c r="AN317" i="1"/>
  <c r="AP317" i="1" s="1"/>
  <c r="AM317" i="1" s="1"/>
  <c r="AN318" i="1"/>
  <c r="AP318" i="1" s="1"/>
  <c r="AM318" i="1" s="1"/>
  <c r="AN319" i="1"/>
  <c r="AP319" i="1" s="1"/>
  <c r="AM319" i="1" s="1"/>
  <c r="AN320" i="1"/>
  <c r="AP320" i="1" s="1"/>
  <c r="AM320" i="1" s="1"/>
  <c r="AN321" i="1"/>
  <c r="AP321" i="1" s="1"/>
  <c r="AM321" i="1" s="1"/>
  <c r="AN322" i="1"/>
  <c r="AP322" i="1" s="1"/>
  <c r="AM322" i="1" s="1"/>
  <c r="AN323" i="1"/>
  <c r="AP323" i="1" s="1"/>
  <c r="AM323" i="1" s="1"/>
  <c r="AN324" i="1"/>
  <c r="AP324" i="1" s="1"/>
  <c r="AM324" i="1" s="1"/>
  <c r="AN325" i="1"/>
  <c r="AP325" i="1" s="1"/>
  <c r="AM325" i="1" s="1"/>
  <c r="AN326" i="1"/>
  <c r="AP326" i="1" s="1"/>
  <c r="AM326" i="1" s="1"/>
  <c r="AN327" i="1"/>
  <c r="AP327" i="1" s="1"/>
  <c r="AM327" i="1" s="1"/>
  <c r="AN328" i="1"/>
  <c r="AP328" i="1" s="1"/>
  <c r="AM328" i="1" s="1"/>
  <c r="AN329" i="1"/>
  <c r="AP329" i="1" s="1"/>
  <c r="AM329" i="1" s="1"/>
  <c r="AN330" i="1"/>
  <c r="AP330" i="1" s="1"/>
  <c r="AM330" i="1" s="1"/>
  <c r="AN331" i="1"/>
  <c r="AP331" i="1" s="1"/>
  <c r="AM331" i="1" s="1"/>
  <c r="AN332" i="1"/>
  <c r="AP332" i="1" s="1"/>
  <c r="AM332" i="1" s="1"/>
  <c r="AN333" i="1"/>
  <c r="AP333" i="1" s="1"/>
  <c r="AM333" i="1" s="1"/>
  <c r="AN334" i="1"/>
  <c r="AP334" i="1" s="1"/>
  <c r="AM334" i="1" s="1"/>
  <c r="AN335" i="1"/>
  <c r="AP335" i="1" s="1"/>
  <c r="AM335" i="1" s="1"/>
  <c r="AN336" i="1"/>
  <c r="AP336" i="1" s="1"/>
  <c r="AM336" i="1" s="1"/>
  <c r="AN337" i="1"/>
  <c r="AP337" i="1" s="1"/>
  <c r="AM337" i="1" s="1"/>
  <c r="AN338" i="1"/>
  <c r="AP338" i="1" s="1"/>
  <c r="AM338" i="1" s="1"/>
  <c r="AN339" i="1"/>
  <c r="AP339" i="1" s="1"/>
  <c r="AM339" i="1" s="1"/>
  <c r="AN340" i="1"/>
  <c r="AP340" i="1" s="1"/>
  <c r="AM340" i="1" s="1"/>
  <c r="AN341" i="1"/>
  <c r="AP341" i="1" s="1"/>
  <c r="AM341" i="1" s="1"/>
  <c r="AN342" i="1"/>
  <c r="AP342" i="1" s="1"/>
  <c r="AM342" i="1" s="1"/>
  <c r="AN343" i="1"/>
  <c r="AP343" i="1" s="1"/>
  <c r="AM343" i="1" s="1"/>
  <c r="AN344" i="1"/>
  <c r="AP344" i="1" s="1"/>
  <c r="AM344" i="1" s="1"/>
  <c r="AN345" i="1"/>
  <c r="AP345" i="1" s="1"/>
  <c r="AM345" i="1" s="1"/>
  <c r="AN346" i="1"/>
  <c r="AP346" i="1" s="1"/>
  <c r="AM346" i="1" s="1"/>
  <c r="AN347" i="1"/>
  <c r="AP347" i="1" s="1"/>
  <c r="AM347" i="1" s="1"/>
  <c r="AN348" i="1"/>
  <c r="AP348" i="1" s="1"/>
  <c r="AM348" i="1" s="1"/>
  <c r="AN349" i="1"/>
  <c r="AP349" i="1" s="1"/>
  <c r="AM349" i="1" s="1"/>
  <c r="AN350" i="1"/>
  <c r="AP350" i="1" s="1"/>
  <c r="AM350" i="1" s="1"/>
  <c r="AN351" i="1"/>
  <c r="AP351" i="1" s="1"/>
  <c r="AM351" i="1" s="1"/>
  <c r="AN352" i="1"/>
  <c r="AP352" i="1" s="1"/>
  <c r="AM352" i="1" s="1"/>
  <c r="AN353" i="1"/>
  <c r="AP353" i="1" s="1"/>
  <c r="AM353" i="1" s="1"/>
  <c r="AN354" i="1"/>
  <c r="AP354" i="1" s="1"/>
  <c r="AM354" i="1" s="1"/>
  <c r="AN355" i="1"/>
  <c r="AP355" i="1" s="1"/>
  <c r="AM355" i="1" s="1"/>
  <c r="AN356" i="1"/>
  <c r="AP356" i="1" s="1"/>
  <c r="AM356" i="1" s="1"/>
  <c r="AN357" i="1"/>
  <c r="AP357" i="1" s="1"/>
  <c r="AM357" i="1" s="1"/>
  <c r="AN358" i="1"/>
  <c r="AP358" i="1" s="1"/>
  <c r="AM358" i="1" s="1"/>
  <c r="AN359" i="1"/>
  <c r="AP359" i="1" s="1"/>
  <c r="AM359" i="1" s="1"/>
  <c r="AN360" i="1"/>
  <c r="AP360" i="1" s="1"/>
  <c r="AM360" i="1" s="1"/>
  <c r="AN361" i="1"/>
  <c r="AP361" i="1" s="1"/>
  <c r="AM361" i="1" s="1"/>
  <c r="AN362" i="1"/>
  <c r="AP362" i="1" s="1"/>
  <c r="AM362" i="1" s="1"/>
  <c r="AN363" i="1"/>
  <c r="AP363" i="1" s="1"/>
  <c r="AM363" i="1" s="1"/>
  <c r="AN364" i="1"/>
  <c r="AP364" i="1" s="1"/>
  <c r="AM364" i="1" s="1"/>
  <c r="AN365" i="1"/>
  <c r="AP365" i="1" s="1"/>
  <c r="AM365" i="1" s="1"/>
  <c r="AN366" i="1"/>
  <c r="AP366" i="1" s="1"/>
  <c r="AM366" i="1" s="1"/>
  <c r="AN367" i="1"/>
  <c r="AP367" i="1" s="1"/>
  <c r="AM367" i="1" s="1"/>
  <c r="AN368" i="1"/>
  <c r="AP368" i="1" s="1"/>
  <c r="AM368" i="1" s="1"/>
  <c r="AN369" i="1"/>
  <c r="AP369" i="1" s="1"/>
  <c r="AM369" i="1" s="1"/>
  <c r="AP266" i="1"/>
  <c r="AM266" i="1" s="1"/>
  <c r="AP300" i="1"/>
  <c r="AM300" i="1" s="1"/>
  <c r="AS41" i="1"/>
  <c r="AU41" i="1" s="1"/>
  <c r="AR41" i="1" s="1"/>
  <c r="AS45" i="1"/>
  <c r="AU45" i="1" s="1"/>
  <c r="AR45" i="1" s="1"/>
  <c r="AS48" i="1"/>
  <c r="AU48" i="1" s="1"/>
  <c r="AR48" i="1" s="1"/>
  <c r="AS92" i="1"/>
  <c r="AU92" i="1" s="1"/>
  <c r="AR92" i="1" s="1"/>
  <c r="AS93" i="1"/>
  <c r="AU93" i="1" s="1"/>
  <c r="AR93" i="1" s="1"/>
  <c r="AS94" i="1"/>
  <c r="AU94" i="1" s="1"/>
  <c r="AR94" i="1" s="1"/>
  <c r="AS95" i="1"/>
  <c r="AU95" i="1" s="1"/>
  <c r="AR95" i="1" s="1"/>
  <c r="AS96" i="1"/>
  <c r="AU96" i="1" s="1"/>
  <c r="AR96" i="1" s="1"/>
  <c r="AS97" i="1"/>
  <c r="AU97" i="1" s="1"/>
  <c r="AR97" i="1" s="1"/>
  <c r="AS98" i="1"/>
  <c r="AU98" i="1" s="1"/>
  <c r="AR98" i="1" s="1"/>
  <c r="AS99" i="1"/>
  <c r="AU99" i="1" s="1"/>
  <c r="AR99" i="1" s="1"/>
  <c r="AS100" i="1"/>
  <c r="AU100" i="1" s="1"/>
  <c r="AR100" i="1" s="1"/>
  <c r="AS121" i="1"/>
  <c r="AU121" i="1" s="1"/>
  <c r="AR121" i="1" s="1"/>
  <c r="AS122" i="1"/>
  <c r="AU122" i="1" s="1"/>
  <c r="AR122" i="1" s="1"/>
  <c r="AS123" i="1"/>
  <c r="AU123" i="1" s="1"/>
  <c r="AR123" i="1" s="1"/>
  <c r="AS124" i="1"/>
  <c r="AU124" i="1" s="1"/>
  <c r="AR124" i="1" s="1"/>
  <c r="AS125" i="1"/>
  <c r="AU125" i="1" s="1"/>
  <c r="AR125" i="1" s="1"/>
  <c r="AS126" i="1"/>
  <c r="AU126" i="1" s="1"/>
  <c r="AR126" i="1" s="1"/>
  <c r="AS127" i="1"/>
  <c r="AU127" i="1" s="1"/>
  <c r="AR127" i="1" s="1"/>
  <c r="AS128" i="1"/>
  <c r="AU128" i="1" s="1"/>
  <c r="AR128" i="1" s="1"/>
  <c r="AS129" i="1"/>
  <c r="AU129" i="1" s="1"/>
  <c r="AR129" i="1" s="1"/>
  <c r="AS130" i="1"/>
  <c r="AU130" i="1" s="1"/>
  <c r="AR130" i="1" s="1"/>
  <c r="AS131" i="1"/>
  <c r="AU131" i="1" s="1"/>
  <c r="AR131" i="1" s="1"/>
  <c r="AS132" i="1"/>
  <c r="AU132" i="1" s="1"/>
  <c r="AR132" i="1" s="1"/>
  <c r="AS133" i="1"/>
  <c r="AU133" i="1" s="1"/>
  <c r="AR133" i="1" s="1"/>
  <c r="AS134" i="1"/>
  <c r="AU134" i="1" s="1"/>
  <c r="AR134" i="1" s="1"/>
  <c r="AS135" i="1"/>
  <c r="AU135" i="1" s="1"/>
  <c r="AR135" i="1" s="1"/>
  <c r="AS136" i="1"/>
  <c r="AU136" i="1" s="1"/>
  <c r="AR136" i="1" s="1"/>
  <c r="AS137" i="1"/>
  <c r="AU137" i="1" s="1"/>
  <c r="AR137" i="1" s="1"/>
  <c r="AS138" i="1"/>
  <c r="AU138" i="1" s="1"/>
  <c r="AR138" i="1" s="1"/>
  <c r="AS139" i="1"/>
  <c r="AS140" i="1"/>
  <c r="AU140" i="1" s="1"/>
  <c r="AR140" i="1" s="1"/>
  <c r="AS141" i="1"/>
  <c r="AU141" i="1" s="1"/>
  <c r="AR141" i="1" s="1"/>
  <c r="AS142" i="1"/>
  <c r="AU142" i="1" s="1"/>
  <c r="AR142" i="1" s="1"/>
  <c r="AS143" i="1"/>
  <c r="AU143" i="1" s="1"/>
  <c r="AR143" i="1" s="1"/>
  <c r="AS144" i="1"/>
  <c r="AU144" i="1" s="1"/>
  <c r="AR144" i="1" s="1"/>
  <c r="AS145" i="1"/>
  <c r="AU145" i="1" s="1"/>
  <c r="AR145" i="1" s="1"/>
  <c r="AS146" i="1"/>
  <c r="AU146" i="1" s="1"/>
  <c r="AR146" i="1" s="1"/>
  <c r="AS147" i="1"/>
  <c r="AU147" i="1" s="1"/>
  <c r="AR147" i="1" s="1"/>
  <c r="AS148" i="1"/>
  <c r="AU148" i="1" s="1"/>
  <c r="AR148" i="1" s="1"/>
  <c r="AS149" i="1"/>
  <c r="AU149" i="1" s="1"/>
  <c r="AR149" i="1" s="1"/>
  <c r="AS150" i="1"/>
  <c r="AU150" i="1" s="1"/>
  <c r="AR150" i="1" s="1"/>
  <c r="AS151" i="1"/>
  <c r="AU151" i="1" s="1"/>
  <c r="AR151" i="1" s="1"/>
  <c r="AS152" i="1"/>
  <c r="AU152" i="1" s="1"/>
  <c r="AR152" i="1" s="1"/>
  <c r="AS153" i="1"/>
  <c r="AU153" i="1" s="1"/>
  <c r="AR153" i="1" s="1"/>
  <c r="AS154" i="1"/>
  <c r="AU154" i="1" s="1"/>
  <c r="AR154" i="1" s="1"/>
  <c r="AS155" i="1"/>
  <c r="AU155" i="1" s="1"/>
  <c r="AR155" i="1" s="1"/>
  <c r="AS156" i="1"/>
  <c r="AU156" i="1" s="1"/>
  <c r="AR156" i="1" s="1"/>
  <c r="AS157" i="1"/>
  <c r="AU157" i="1" s="1"/>
  <c r="AR157" i="1" s="1"/>
  <c r="AS158" i="1"/>
  <c r="AU158" i="1" s="1"/>
  <c r="AR158" i="1" s="1"/>
  <c r="AS159" i="1"/>
  <c r="AU159" i="1" s="1"/>
  <c r="AR159" i="1" s="1"/>
  <c r="AS160" i="1"/>
  <c r="AU160" i="1" s="1"/>
  <c r="AR160" i="1" s="1"/>
  <c r="AS161" i="1"/>
  <c r="AU161" i="1" s="1"/>
  <c r="AR161" i="1" s="1"/>
  <c r="AS162" i="1"/>
  <c r="AU162" i="1" s="1"/>
  <c r="AR162" i="1" s="1"/>
  <c r="AS163" i="1"/>
  <c r="AU163" i="1" s="1"/>
  <c r="AR163" i="1" s="1"/>
  <c r="AS164" i="1"/>
  <c r="AU164" i="1" s="1"/>
  <c r="AR164" i="1" s="1"/>
  <c r="AS165" i="1"/>
  <c r="AU165" i="1" s="1"/>
  <c r="AR165" i="1" s="1"/>
  <c r="AS166" i="1"/>
  <c r="AU166" i="1" s="1"/>
  <c r="AR166" i="1" s="1"/>
  <c r="AS167" i="1"/>
  <c r="AU167" i="1" s="1"/>
  <c r="AR167" i="1" s="1"/>
  <c r="AS168" i="1"/>
  <c r="AU168" i="1" s="1"/>
  <c r="AR168" i="1" s="1"/>
  <c r="AS169" i="1"/>
  <c r="AU169" i="1" s="1"/>
  <c r="AR169" i="1" s="1"/>
  <c r="AS170" i="1"/>
  <c r="AU170" i="1" s="1"/>
  <c r="AR170" i="1" s="1"/>
  <c r="AS171" i="1"/>
  <c r="AS172" i="1"/>
  <c r="AU172" i="1" s="1"/>
  <c r="AR172" i="1" s="1"/>
  <c r="AS173" i="1"/>
  <c r="AU173" i="1" s="1"/>
  <c r="AR173" i="1" s="1"/>
  <c r="AS174" i="1"/>
  <c r="AU174" i="1" s="1"/>
  <c r="AR174" i="1" s="1"/>
  <c r="AS175" i="1"/>
  <c r="AU175" i="1" s="1"/>
  <c r="AR175" i="1" s="1"/>
  <c r="AS176" i="1"/>
  <c r="AU176" i="1" s="1"/>
  <c r="AR176" i="1" s="1"/>
  <c r="AS177" i="1"/>
  <c r="AU177" i="1" s="1"/>
  <c r="AR177" i="1" s="1"/>
  <c r="AS178" i="1"/>
  <c r="AU178" i="1" s="1"/>
  <c r="AR178" i="1" s="1"/>
  <c r="AS179" i="1"/>
  <c r="AU179" i="1" s="1"/>
  <c r="AR179" i="1" s="1"/>
  <c r="AS180" i="1"/>
  <c r="AU180" i="1" s="1"/>
  <c r="AR180" i="1" s="1"/>
  <c r="AS181" i="1"/>
  <c r="AU181" i="1" s="1"/>
  <c r="AR181" i="1" s="1"/>
  <c r="AS182" i="1"/>
  <c r="AU182" i="1" s="1"/>
  <c r="AR182" i="1" s="1"/>
  <c r="AS183" i="1"/>
  <c r="AU183" i="1" s="1"/>
  <c r="AR183" i="1" s="1"/>
  <c r="AS184" i="1"/>
  <c r="AU184" i="1" s="1"/>
  <c r="AR184" i="1" s="1"/>
  <c r="AS185" i="1"/>
  <c r="AU185" i="1" s="1"/>
  <c r="AR185" i="1" s="1"/>
  <c r="AS186" i="1"/>
  <c r="AU186" i="1" s="1"/>
  <c r="AR186" i="1" s="1"/>
  <c r="AS187" i="1"/>
  <c r="AU187" i="1" s="1"/>
  <c r="AR187" i="1" s="1"/>
  <c r="AS188" i="1"/>
  <c r="AU188" i="1" s="1"/>
  <c r="AR188" i="1" s="1"/>
  <c r="AS189" i="1"/>
  <c r="AU189" i="1" s="1"/>
  <c r="AR189" i="1" s="1"/>
  <c r="AS190" i="1"/>
  <c r="AU190" i="1" s="1"/>
  <c r="AR190" i="1" s="1"/>
  <c r="AS191" i="1"/>
  <c r="AU191" i="1" s="1"/>
  <c r="AR191" i="1" s="1"/>
  <c r="AS192" i="1"/>
  <c r="AU192" i="1" s="1"/>
  <c r="AR192" i="1" s="1"/>
  <c r="AS193" i="1"/>
  <c r="AU193" i="1" s="1"/>
  <c r="AR193" i="1" s="1"/>
  <c r="AS194" i="1"/>
  <c r="AU194" i="1" s="1"/>
  <c r="AR194" i="1" s="1"/>
  <c r="AS195" i="1"/>
  <c r="AU195" i="1" s="1"/>
  <c r="AR195" i="1" s="1"/>
  <c r="AS196" i="1"/>
  <c r="AU196" i="1" s="1"/>
  <c r="AR196" i="1" s="1"/>
  <c r="AS197" i="1"/>
  <c r="AU197" i="1" s="1"/>
  <c r="AR197" i="1" s="1"/>
  <c r="AS198" i="1"/>
  <c r="AU198" i="1" s="1"/>
  <c r="AR198" i="1" s="1"/>
  <c r="AS199" i="1"/>
  <c r="AU199" i="1" s="1"/>
  <c r="AR199" i="1" s="1"/>
  <c r="AS200" i="1"/>
  <c r="AU200" i="1" s="1"/>
  <c r="AR200" i="1" s="1"/>
  <c r="AS201" i="1"/>
  <c r="AU201" i="1" s="1"/>
  <c r="AR201" i="1" s="1"/>
  <c r="AS202" i="1"/>
  <c r="AU202" i="1" s="1"/>
  <c r="AR202" i="1" s="1"/>
  <c r="AS203" i="1"/>
  <c r="AS204" i="1"/>
  <c r="AU204" i="1" s="1"/>
  <c r="AR204" i="1" s="1"/>
  <c r="AS205" i="1"/>
  <c r="AU205" i="1" s="1"/>
  <c r="AR205" i="1" s="1"/>
  <c r="AS206" i="1"/>
  <c r="AU206" i="1" s="1"/>
  <c r="AR206" i="1" s="1"/>
  <c r="AS207" i="1"/>
  <c r="AU207" i="1" s="1"/>
  <c r="AR207" i="1" s="1"/>
  <c r="AS208" i="1"/>
  <c r="AU208" i="1" s="1"/>
  <c r="AR208" i="1" s="1"/>
  <c r="AS209" i="1"/>
  <c r="AU209" i="1" s="1"/>
  <c r="AR209" i="1" s="1"/>
  <c r="AS210" i="1"/>
  <c r="AU210" i="1" s="1"/>
  <c r="AR210" i="1" s="1"/>
  <c r="AS211" i="1"/>
  <c r="AU211" i="1" s="1"/>
  <c r="AR211" i="1" s="1"/>
  <c r="AS212" i="1"/>
  <c r="AU212" i="1" s="1"/>
  <c r="AR212" i="1" s="1"/>
  <c r="AS213" i="1"/>
  <c r="AU213" i="1" s="1"/>
  <c r="AR213" i="1" s="1"/>
  <c r="AS214" i="1"/>
  <c r="AU214" i="1" s="1"/>
  <c r="AR214" i="1" s="1"/>
  <c r="AS215" i="1"/>
  <c r="AU215" i="1" s="1"/>
  <c r="AR215" i="1" s="1"/>
  <c r="AS216" i="1"/>
  <c r="AU216" i="1" s="1"/>
  <c r="AR216" i="1" s="1"/>
  <c r="AS217" i="1"/>
  <c r="AU217" i="1" s="1"/>
  <c r="AR217" i="1" s="1"/>
  <c r="AS218" i="1"/>
  <c r="AU218" i="1" s="1"/>
  <c r="AR218" i="1" s="1"/>
  <c r="AS219" i="1"/>
  <c r="AU219" i="1" s="1"/>
  <c r="AR219" i="1" s="1"/>
  <c r="AS220" i="1"/>
  <c r="AU220" i="1" s="1"/>
  <c r="AR220" i="1" s="1"/>
  <c r="AS221" i="1"/>
  <c r="AU221" i="1" s="1"/>
  <c r="AR221" i="1" s="1"/>
  <c r="AS222" i="1"/>
  <c r="AU222" i="1" s="1"/>
  <c r="AR222" i="1" s="1"/>
  <c r="AS223" i="1"/>
  <c r="AU223" i="1" s="1"/>
  <c r="AR223" i="1" s="1"/>
  <c r="AS224" i="1"/>
  <c r="AU224" i="1" s="1"/>
  <c r="AR224" i="1" s="1"/>
  <c r="AS225" i="1"/>
  <c r="AU225" i="1" s="1"/>
  <c r="AR225" i="1" s="1"/>
  <c r="AS226" i="1"/>
  <c r="AU226" i="1" s="1"/>
  <c r="AR226" i="1" s="1"/>
  <c r="AS227" i="1"/>
  <c r="AU227" i="1" s="1"/>
  <c r="AR227" i="1" s="1"/>
  <c r="AS228" i="1"/>
  <c r="AU228" i="1" s="1"/>
  <c r="AR228" i="1" s="1"/>
  <c r="AS229" i="1"/>
  <c r="AU229" i="1" s="1"/>
  <c r="AR229" i="1" s="1"/>
  <c r="AS230" i="1"/>
  <c r="AU230" i="1" s="1"/>
  <c r="AR230" i="1" s="1"/>
  <c r="AS231" i="1"/>
  <c r="AU231" i="1" s="1"/>
  <c r="AR231" i="1" s="1"/>
  <c r="AS232" i="1"/>
  <c r="AU232" i="1" s="1"/>
  <c r="AR232" i="1" s="1"/>
  <c r="AS233" i="1"/>
  <c r="AU233" i="1" s="1"/>
  <c r="AR233" i="1" s="1"/>
  <c r="AS234" i="1"/>
  <c r="AU234" i="1" s="1"/>
  <c r="AR234" i="1" s="1"/>
  <c r="AS235" i="1"/>
  <c r="AU235" i="1" s="1"/>
  <c r="AR235" i="1" s="1"/>
  <c r="AS236" i="1"/>
  <c r="AU236" i="1" s="1"/>
  <c r="AR236" i="1" s="1"/>
  <c r="AS237" i="1"/>
  <c r="AU237" i="1" s="1"/>
  <c r="AR237" i="1" s="1"/>
  <c r="AS238" i="1"/>
  <c r="AU238" i="1" s="1"/>
  <c r="AR238" i="1" s="1"/>
  <c r="AS239" i="1"/>
  <c r="AU239" i="1" s="1"/>
  <c r="AR239" i="1" s="1"/>
  <c r="AS240" i="1"/>
  <c r="AU240" i="1" s="1"/>
  <c r="AR240" i="1" s="1"/>
  <c r="AS241" i="1"/>
  <c r="AU241" i="1" s="1"/>
  <c r="AR241" i="1" s="1"/>
  <c r="AS242" i="1"/>
  <c r="AU242" i="1" s="1"/>
  <c r="AR242" i="1" s="1"/>
  <c r="AS243" i="1"/>
  <c r="AU243" i="1" s="1"/>
  <c r="AR243" i="1" s="1"/>
  <c r="AS244" i="1"/>
  <c r="AU244" i="1" s="1"/>
  <c r="AR244" i="1" s="1"/>
  <c r="AS245" i="1"/>
  <c r="AU245" i="1" s="1"/>
  <c r="AR245" i="1" s="1"/>
  <c r="AS246" i="1"/>
  <c r="AU246" i="1" s="1"/>
  <c r="AR246" i="1" s="1"/>
  <c r="AS247" i="1"/>
  <c r="AU247" i="1" s="1"/>
  <c r="AR247" i="1" s="1"/>
  <c r="AS248" i="1"/>
  <c r="AU248" i="1" s="1"/>
  <c r="AR248" i="1" s="1"/>
  <c r="AS249" i="1"/>
  <c r="AU249" i="1" s="1"/>
  <c r="AR249" i="1" s="1"/>
  <c r="AS250" i="1"/>
  <c r="AU250" i="1" s="1"/>
  <c r="AR250" i="1" s="1"/>
  <c r="AS251" i="1"/>
  <c r="AU251" i="1" s="1"/>
  <c r="AR251" i="1" s="1"/>
  <c r="AS252" i="1"/>
  <c r="AU252" i="1" s="1"/>
  <c r="AR252" i="1" s="1"/>
  <c r="AS253" i="1"/>
  <c r="AU253" i="1" s="1"/>
  <c r="AR253" i="1" s="1"/>
  <c r="AS254" i="1"/>
  <c r="AU254" i="1" s="1"/>
  <c r="AR254" i="1" s="1"/>
  <c r="AS255" i="1"/>
  <c r="AU255" i="1" s="1"/>
  <c r="AR255" i="1" s="1"/>
  <c r="AS256" i="1"/>
  <c r="AU256" i="1" s="1"/>
  <c r="AR256" i="1" s="1"/>
  <c r="AS257" i="1"/>
  <c r="AU257" i="1" s="1"/>
  <c r="AR257" i="1" s="1"/>
  <c r="AS258" i="1"/>
  <c r="AU258" i="1" s="1"/>
  <c r="AR258" i="1" s="1"/>
  <c r="AS259" i="1"/>
  <c r="AU259" i="1" s="1"/>
  <c r="AR259" i="1" s="1"/>
  <c r="AS260" i="1"/>
  <c r="AU260" i="1" s="1"/>
  <c r="AR260" i="1" s="1"/>
  <c r="AS261" i="1"/>
  <c r="AU261" i="1" s="1"/>
  <c r="AR261" i="1" s="1"/>
  <c r="AS262" i="1"/>
  <c r="AU262" i="1" s="1"/>
  <c r="AR262" i="1" s="1"/>
  <c r="AS263" i="1"/>
  <c r="AU263" i="1" s="1"/>
  <c r="AR263" i="1" s="1"/>
  <c r="AS264" i="1"/>
  <c r="AU264" i="1" s="1"/>
  <c r="AR264" i="1" s="1"/>
  <c r="AS265" i="1"/>
  <c r="AU265" i="1" s="1"/>
  <c r="AR265" i="1" s="1"/>
  <c r="AS266" i="1"/>
  <c r="AU266" i="1" s="1"/>
  <c r="AR266" i="1" s="1"/>
  <c r="AS267" i="1"/>
  <c r="AU267" i="1" s="1"/>
  <c r="AR267" i="1" s="1"/>
  <c r="AS268" i="1"/>
  <c r="AU268" i="1" s="1"/>
  <c r="AR268" i="1" s="1"/>
  <c r="AS269" i="1"/>
  <c r="AU269" i="1" s="1"/>
  <c r="AR269" i="1" s="1"/>
  <c r="AS270" i="1"/>
  <c r="AU270" i="1" s="1"/>
  <c r="AR270" i="1" s="1"/>
  <c r="AS271" i="1"/>
  <c r="AU271" i="1" s="1"/>
  <c r="AR271" i="1" s="1"/>
  <c r="AS272" i="1"/>
  <c r="AU272" i="1" s="1"/>
  <c r="AR272" i="1" s="1"/>
  <c r="AS273" i="1"/>
  <c r="AU273" i="1" s="1"/>
  <c r="AR273" i="1" s="1"/>
  <c r="AS274" i="1"/>
  <c r="AU274" i="1" s="1"/>
  <c r="AR274" i="1" s="1"/>
  <c r="AS275" i="1"/>
  <c r="AU275" i="1" s="1"/>
  <c r="AR275" i="1" s="1"/>
  <c r="AS276" i="1"/>
  <c r="AU276" i="1" s="1"/>
  <c r="AR276" i="1" s="1"/>
  <c r="AS277" i="1"/>
  <c r="AU277" i="1" s="1"/>
  <c r="AR277" i="1" s="1"/>
  <c r="AS278" i="1"/>
  <c r="AS279" i="1"/>
  <c r="AU279" i="1" s="1"/>
  <c r="AR279" i="1" s="1"/>
  <c r="AS280" i="1"/>
  <c r="AU280" i="1" s="1"/>
  <c r="AR280" i="1" s="1"/>
  <c r="AS281" i="1"/>
  <c r="AU281" i="1" s="1"/>
  <c r="AR281" i="1" s="1"/>
  <c r="AS282" i="1"/>
  <c r="AU282" i="1" s="1"/>
  <c r="AR282" i="1" s="1"/>
  <c r="AS283" i="1"/>
  <c r="AS284" i="1"/>
  <c r="AU284" i="1" s="1"/>
  <c r="AR284" i="1" s="1"/>
  <c r="AS285" i="1"/>
  <c r="AU285" i="1" s="1"/>
  <c r="AR285" i="1" s="1"/>
  <c r="AS286" i="1"/>
  <c r="AU286" i="1" s="1"/>
  <c r="AR286" i="1" s="1"/>
  <c r="AS287" i="1"/>
  <c r="AU287" i="1" s="1"/>
  <c r="AR287" i="1" s="1"/>
  <c r="AS288" i="1"/>
  <c r="AU288" i="1" s="1"/>
  <c r="AR288" i="1" s="1"/>
  <c r="AS289" i="1"/>
  <c r="AU289" i="1" s="1"/>
  <c r="AR289" i="1" s="1"/>
  <c r="AS290" i="1"/>
  <c r="AU290" i="1" s="1"/>
  <c r="AR290" i="1" s="1"/>
  <c r="AS291" i="1"/>
  <c r="AU291" i="1" s="1"/>
  <c r="AR291" i="1" s="1"/>
  <c r="AS292" i="1"/>
  <c r="AU292" i="1" s="1"/>
  <c r="AR292" i="1" s="1"/>
  <c r="AS293" i="1"/>
  <c r="AU293" i="1" s="1"/>
  <c r="AR293" i="1" s="1"/>
  <c r="AS294" i="1"/>
  <c r="AU294" i="1" s="1"/>
  <c r="AR294" i="1" s="1"/>
  <c r="AS295" i="1"/>
  <c r="AU295" i="1" s="1"/>
  <c r="AR295" i="1" s="1"/>
  <c r="AS296" i="1"/>
  <c r="AU296" i="1" s="1"/>
  <c r="AR296" i="1" s="1"/>
  <c r="AS297" i="1"/>
  <c r="AU297" i="1" s="1"/>
  <c r="AR297" i="1" s="1"/>
  <c r="AS298" i="1"/>
  <c r="AU298" i="1" s="1"/>
  <c r="AR298" i="1" s="1"/>
  <c r="AS299" i="1"/>
  <c r="AS300" i="1"/>
  <c r="AU300" i="1" s="1"/>
  <c r="AR300" i="1" s="1"/>
  <c r="AS301" i="1"/>
  <c r="AU301" i="1" s="1"/>
  <c r="AR301" i="1" s="1"/>
  <c r="AS302" i="1"/>
  <c r="AU302" i="1" s="1"/>
  <c r="AR302" i="1" s="1"/>
  <c r="AS303" i="1"/>
  <c r="AU303" i="1" s="1"/>
  <c r="AR303" i="1" s="1"/>
  <c r="AS304" i="1"/>
  <c r="AU304" i="1" s="1"/>
  <c r="AR304" i="1" s="1"/>
  <c r="AS305" i="1"/>
  <c r="AU305" i="1" s="1"/>
  <c r="AR305" i="1" s="1"/>
  <c r="AS306" i="1"/>
  <c r="AU306" i="1" s="1"/>
  <c r="AR306" i="1" s="1"/>
  <c r="AS307" i="1"/>
  <c r="AU307" i="1" s="1"/>
  <c r="AR307" i="1" s="1"/>
  <c r="AS308" i="1"/>
  <c r="AU308" i="1" s="1"/>
  <c r="AR308" i="1" s="1"/>
  <c r="AS309" i="1"/>
  <c r="AU309" i="1" s="1"/>
  <c r="AR309" i="1" s="1"/>
  <c r="AS310" i="1"/>
  <c r="AU310" i="1" s="1"/>
  <c r="AR310" i="1" s="1"/>
  <c r="AS311" i="1"/>
  <c r="AU311" i="1" s="1"/>
  <c r="AR311" i="1" s="1"/>
  <c r="AS312" i="1"/>
  <c r="AU312" i="1" s="1"/>
  <c r="AR312" i="1" s="1"/>
  <c r="AS313" i="1"/>
  <c r="AU313" i="1" s="1"/>
  <c r="AR313" i="1" s="1"/>
  <c r="AS314" i="1"/>
  <c r="AU314" i="1" s="1"/>
  <c r="AR314" i="1" s="1"/>
  <c r="AS315" i="1"/>
  <c r="AU315" i="1" s="1"/>
  <c r="AR315" i="1" s="1"/>
  <c r="AS316" i="1"/>
  <c r="AU316" i="1" s="1"/>
  <c r="AR316" i="1" s="1"/>
  <c r="AS317" i="1"/>
  <c r="AU317" i="1" s="1"/>
  <c r="AR317" i="1" s="1"/>
  <c r="AS318" i="1"/>
  <c r="AU318" i="1" s="1"/>
  <c r="AR318" i="1" s="1"/>
  <c r="AS319" i="1"/>
  <c r="AU319" i="1" s="1"/>
  <c r="AR319" i="1" s="1"/>
  <c r="AS320" i="1"/>
  <c r="AU320" i="1" s="1"/>
  <c r="AR320" i="1" s="1"/>
  <c r="AS321" i="1"/>
  <c r="AU321" i="1" s="1"/>
  <c r="AR321" i="1" s="1"/>
  <c r="AS322" i="1"/>
  <c r="AU322" i="1" s="1"/>
  <c r="AR322" i="1" s="1"/>
  <c r="AS323" i="1"/>
  <c r="AU323" i="1" s="1"/>
  <c r="AR323" i="1" s="1"/>
  <c r="AS324" i="1"/>
  <c r="AU324" i="1" s="1"/>
  <c r="AR324" i="1" s="1"/>
  <c r="AS325" i="1"/>
  <c r="AU325" i="1" s="1"/>
  <c r="AR325" i="1" s="1"/>
  <c r="AS326" i="1"/>
  <c r="AU326" i="1" s="1"/>
  <c r="AR326" i="1" s="1"/>
  <c r="AS327" i="1"/>
  <c r="AU327" i="1" s="1"/>
  <c r="AR327" i="1" s="1"/>
  <c r="AS328" i="1"/>
  <c r="AU328" i="1" s="1"/>
  <c r="AR328" i="1" s="1"/>
  <c r="AS329" i="1"/>
  <c r="AU329" i="1" s="1"/>
  <c r="AR329" i="1" s="1"/>
  <c r="AS330" i="1"/>
  <c r="AU330" i="1" s="1"/>
  <c r="AR330" i="1" s="1"/>
  <c r="AS331" i="1"/>
  <c r="AS332" i="1"/>
  <c r="AU332" i="1" s="1"/>
  <c r="AR332" i="1" s="1"/>
  <c r="AS333" i="1"/>
  <c r="AU333" i="1" s="1"/>
  <c r="AR333" i="1" s="1"/>
  <c r="AS334" i="1"/>
  <c r="AU334" i="1" s="1"/>
  <c r="AR334" i="1" s="1"/>
  <c r="AS335" i="1"/>
  <c r="AU335" i="1" s="1"/>
  <c r="AR335" i="1" s="1"/>
  <c r="AS336" i="1"/>
  <c r="AU336" i="1" s="1"/>
  <c r="AR336" i="1" s="1"/>
  <c r="AS337" i="1"/>
  <c r="AU337" i="1" s="1"/>
  <c r="AR337" i="1" s="1"/>
  <c r="AS338" i="1"/>
  <c r="AU338" i="1" s="1"/>
  <c r="AR338" i="1" s="1"/>
  <c r="AS339" i="1"/>
  <c r="AU339" i="1" s="1"/>
  <c r="AR339" i="1" s="1"/>
  <c r="AS340" i="1"/>
  <c r="AU340" i="1" s="1"/>
  <c r="AR340" i="1" s="1"/>
  <c r="AS341" i="1"/>
  <c r="AU341" i="1" s="1"/>
  <c r="AR341" i="1" s="1"/>
  <c r="AS342" i="1"/>
  <c r="AU342" i="1" s="1"/>
  <c r="AR342" i="1" s="1"/>
  <c r="AS343" i="1"/>
  <c r="AU343" i="1" s="1"/>
  <c r="AR343" i="1" s="1"/>
  <c r="AS344" i="1"/>
  <c r="AU344" i="1" s="1"/>
  <c r="AR344" i="1" s="1"/>
  <c r="AS345" i="1"/>
  <c r="AU345" i="1" s="1"/>
  <c r="AR345" i="1" s="1"/>
  <c r="AS346" i="1"/>
  <c r="AU346" i="1" s="1"/>
  <c r="AR346" i="1" s="1"/>
  <c r="AS347" i="1"/>
  <c r="AU347" i="1" s="1"/>
  <c r="AR347" i="1" s="1"/>
  <c r="AS348" i="1"/>
  <c r="AU348" i="1" s="1"/>
  <c r="AR348" i="1" s="1"/>
  <c r="AS349" i="1"/>
  <c r="AU349" i="1" s="1"/>
  <c r="AR349" i="1" s="1"/>
  <c r="AS350" i="1"/>
  <c r="AU350" i="1" s="1"/>
  <c r="AR350" i="1" s="1"/>
  <c r="AS351" i="1"/>
  <c r="AU351" i="1" s="1"/>
  <c r="AR351" i="1" s="1"/>
  <c r="AS352" i="1"/>
  <c r="AU352" i="1" s="1"/>
  <c r="AR352" i="1" s="1"/>
  <c r="AS353" i="1"/>
  <c r="AU353" i="1" s="1"/>
  <c r="AR353" i="1" s="1"/>
  <c r="AS354" i="1"/>
  <c r="AU354" i="1" s="1"/>
  <c r="AR354" i="1" s="1"/>
  <c r="AS355" i="1"/>
  <c r="AU355" i="1" s="1"/>
  <c r="AR355" i="1" s="1"/>
  <c r="AS356" i="1"/>
  <c r="AU356" i="1" s="1"/>
  <c r="AR356" i="1" s="1"/>
  <c r="AS357" i="1"/>
  <c r="AU357" i="1" s="1"/>
  <c r="AR357" i="1" s="1"/>
  <c r="AS358" i="1"/>
  <c r="AU358" i="1" s="1"/>
  <c r="AR358" i="1" s="1"/>
  <c r="AS359" i="1"/>
  <c r="AU359" i="1" s="1"/>
  <c r="AR359" i="1" s="1"/>
  <c r="AS360" i="1"/>
  <c r="AU360" i="1" s="1"/>
  <c r="AR360" i="1" s="1"/>
  <c r="AS361" i="1"/>
  <c r="AU361" i="1" s="1"/>
  <c r="AR361" i="1" s="1"/>
  <c r="AS362" i="1"/>
  <c r="AU362" i="1" s="1"/>
  <c r="AR362" i="1" s="1"/>
  <c r="AS363" i="1"/>
  <c r="AU363" i="1" s="1"/>
  <c r="AR363" i="1" s="1"/>
  <c r="AS364" i="1"/>
  <c r="AU364" i="1" s="1"/>
  <c r="AR364" i="1" s="1"/>
  <c r="AS365" i="1"/>
  <c r="AU365" i="1" s="1"/>
  <c r="AR365" i="1" s="1"/>
  <c r="AS366" i="1"/>
  <c r="AU366" i="1" s="1"/>
  <c r="AR366" i="1" s="1"/>
  <c r="AS367" i="1"/>
  <c r="AU367" i="1" s="1"/>
  <c r="AR367" i="1" s="1"/>
  <c r="AS368" i="1"/>
  <c r="AU368" i="1" s="1"/>
  <c r="AR368" i="1" s="1"/>
  <c r="AS369" i="1"/>
  <c r="AU369" i="1" s="1"/>
  <c r="AR369" i="1" s="1"/>
  <c r="AU139" i="1"/>
  <c r="AR139" i="1" s="1"/>
  <c r="AU171" i="1"/>
  <c r="AR171" i="1" s="1"/>
  <c r="AU203" i="1"/>
  <c r="AR203" i="1" s="1"/>
  <c r="AU278" i="1"/>
  <c r="AR278" i="1" s="1"/>
  <c r="AU283" i="1"/>
  <c r="AR283" i="1" s="1"/>
  <c r="AU299" i="1"/>
  <c r="AR299" i="1" s="1"/>
  <c r="AU331" i="1"/>
  <c r="AR331" i="1" s="1"/>
  <c r="AX41" i="1"/>
  <c r="AZ41" i="1" s="1"/>
  <c r="AV41" i="1" s="1"/>
  <c r="AX42" i="1"/>
  <c r="AZ42" i="1" s="1"/>
  <c r="AV42" i="1" s="1"/>
  <c r="AX45" i="1"/>
  <c r="AX92" i="1"/>
  <c r="AZ92" i="1" s="1"/>
  <c r="AV92" i="1" s="1"/>
  <c r="AX93" i="1"/>
  <c r="AZ93" i="1" s="1"/>
  <c r="AX94" i="1"/>
  <c r="AZ94" i="1" s="1"/>
  <c r="AX121" i="1"/>
  <c r="AZ121" i="1" s="1"/>
  <c r="AX122" i="1"/>
  <c r="AZ122" i="1" s="1"/>
  <c r="AX123" i="1"/>
  <c r="AZ123" i="1" s="1"/>
  <c r="AX124" i="1"/>
  <c r="AZ124" i="1" s="1"/>
  <c r="AX125" i="1"/>
  <c r="AZ125" i="1" s="1"/>
  <c r="AX126" i="1"/>
  <c r="AZ126" i="1" s="1"/>
  <c r="AX127" i="1"/>
  <c r="AZ127" i="1" s="1"/>
  <c r="AX128" i="1"/>
  <c r="AZ128" i="1" s="1"/>
  <c r="AX129" i="1"/>
  <c r="AZ129" i="1" s="1"/>
  <c r="AX130" i="1"/>
  <c r="AZ130" i="1" s="1"/>
  <c r="AX131" i="1"/>
  <c r="AZ131" i="1" s="1"/>
  <c r="AX132" i="1"/>
  <c r="AZ132" i="1" s="1"/>
  <c r="AX133" i="1"/>
  <c r="AZ133" i="1" s="1"/>
  <c r="AX134" i="1"/>
  <c r="AZ134" i="1" s="1"/>
  <c r="AX135" i="1"/>
  <c r="AZ135" i="1" s="1"/>
  <c r="AX136" i="1"/>
  <c r="AZ136" i="1" s="1"/>
  <c r="AX137" i="1"/>
  <c r="AZ137" i="1" s="1"/>
  <c r="AX138" i="1"/>
  <c r="AZ138" i="1" s="1"/>
  <c r="AX139" i="1"/>
  <c r="AZ139" i="1" s="1"/>
  <c r="AX140" i="1"/>
  <c r="AZ140" i="1" s="1"/>
  <c r="AX141" i="1"/>
  <c r="AZ141" i="1" s="1"/>
  <c r="AX142" i="1"/>
  <c r="AZ142" i="1" s="1"/>
  <c r="AX143" i="1"/>
  <c r="AZ143" i="1" s="1"/>
  <c r="AX144" i="1"/>
  <c r="AZ144" i="1" s="1"/>
  <c r="AX145" i="1"/>
  <c r="AZ145" i="1" s="1"/>
  <c r="AX146" i="1"/>
  <c r="AZ146" i="1" s="1"/>
  <c r="AX147" i="1"/>
  <c r="AZ147" i="1" s="1"/>
  <c r="AX148" i="1"/>
  <c r="AZ148" i="1" s="1"/>
  <c r="AX149" i="1"/>
  <c r="AZ149" i="1" s="1"/>
  <c r="AX150" i="1"/>
  <c r="AZ150" i="1" s="1"/>
  <c r="AX151" i="1"/>
  <c r="AZ151" i="1" s="1"/>
  <c r="AX152" i="1"/>
  <c r="AZ152" i="1" s="1"/>
  <c r="AX153" i="1"/>
  <c r="AZ153" i="1" s="1"/>
  <c r="AX154" i="1"/>
  <c r="AZ154" i="1" s="1"/>
  <c r="AX155" i="1"/>
  <c r="AZ155" i="1" s="1"/>
  <c r="AX156" i="1"/>
  <c r="AZ156" i="1" s="1"/>
  <c r="AX157" i="1"/>
  <c r="AZ157" i="1" s="1"/>
  <c r="AX158" i="1"/>
  <c r="AZ158" i="1" s="1"/>
  <c r="AX159" i="1"/>
  <c r="AZ159" i="1" s="1"/>
  <c r="AX160" i="1"/>
  <c r="AZ160" i="1" s="1"/>
  <c r="AX161" i="1"/>
  <c r="AZ161" i="1" s="1"/>
  <c r="AX162" i="1"/>
  <c r="AZ162" i="1" s="1"/>
  <c r="AX163" i="1"/>
  <c r="AZ163" i="1" s="1"/>
  <c r="AX164" i="1"/>
  <c r="AZ164" i="1" s="1"/>
  <c r="AX165" i="1"/>
  <c r="AZ165" i="1" s="1"/>
  <c r="AX166" i="1"/>
  <c r="AZ166" i="1" s="1"/>
  <c r="AX167" i="1"/>
  <c r="AZ167" i="1" s="1"/>
  <c r="AX168" i="1"/>
  <c r="AZ168" i="1" s="1"/>
  <c r="AX169" i="1"/>
  <c r="AZ169" i="1" s="1"/>
  <c r="AX170" i="1"/>
  <c r="AZ170" i="1" s="1"/>
  <c r="AX171" i="1"/>
  <c r="AX172" i="1"/>
  <c r="AZ172" i="1" s="1"/>
  <c r="AX173" i="1"/>
  <c r="AZ173" i="1" s="1"/>
  <c r="AX174" i="1"/>
  <c r="AZ174" i="1" s="1"/>
  <c r="AX175" i="1"/>
  <c r="AZ175" i="1" s="1"/>
  <c r="AX176" i="1"/>
  <c r="AZ176" i="1" s="1"/>
  <c r="AX177" i="1"/>
  <c r="AZ177" i="1" s="1"/>
  <c r="AX178" i="1"/>
  <c r="AZ178" i="1" s="1"/>
  <c r="AX179" i="1"/>
  <c r="AZ179" i="1" s="1"/>
  <c r="AX180" i="1"/>
  <c r="AZ180" i="1" s="1"/>
  <c r="AX181" i="1"/>
  <c r="AZ181" i="1" s="1"/>
  <c r="AX182" i="1"/>
  <c r="AZ182" i="1" s="1"/>
  <c r="AX183" i="1"/>
  <c r="AZ183" i="1" s="1"/>
  <c r="AX184" i="1"/>
  <c r="AZ184" i="1" s="1"/>
  <c r="AX185" i="1"/>
  <c r="AZ185" i="1" s="1"/>
  <c r="AX186" i="1"/>
  <c r="AZ186" i="1" s="1"/>
  <c r="AX187" i="1"/>
  <c r="AZ187" i="1" s="1"/>
  <c r="AX188" i="1"/>
  <c r="AZ188" i="1" s="1"/>
  <c r="AX189" i="1"/>
  <c r="AZ189" i="1" s="1"/>
  <c r="AX190" i="1"/>
  <c r="AZ190" i="1" s="1"/>
  <c r="AX191" i="1"/>
  <c r="AZ191" i="1" s="1"/>
  <c r="AX192" i="1"/>
  <c r="AZ192" i="1" s="1"/>
  <c r="AX193" i="1"/>
  <c r="AZ193" i="1" s="1"/>
  <c r="AX194" i="1"/>
  <c r="AZ194" i="1" s="1"/>
  <c r="AX195" i="1"/>
  <c r="AZ195" i="1" s="1"/>
  <c r="AX196" i="1"/>
  <c r="AZ196" i="1" s="1"/>
  <c r="AX197" i="1"/>
  <c r="AZ197" i="1" s="1"/>
  <c r="AX198" i="1"/>
  <c r="AZ198" i="1" s="1"/>
  <c r="AX199" i="1"/>
  <c r="AZ199" i="1" s="1"/>
  <c r="AX200" i="1"/>
  <c r="AZ200" i="1" s="1"/>
  <c r="AX201" i="1"/>
  <c r="AZ201" i="1" s="1"/>
  <c r="AX202" i="1"/>
  <c r="AZ202" i="1" s="1"/>
  <c r="AX203" i="1"/>
  <c r="AZ203" i="1" s="1"/>
  <c r="AX204" i="1"/>
  <c r="AZ204" i="1" s="1"/>
  <c r="AX205" i="1"/>
  <c r="AZ205" i="1" s="1"/>
  <c r="AX206" i="1"/>
  <c r="AZ206" i="1" s="1"/>
  <c r="AX207" i="1"/>
  <c r="AZ207" i="1" s="1"/>
  <c r="AX208" i="1"/>
  <c r="AZ208" i="1" s="1"/>
  <c r="AX209" i="1"/>
  <c r="AZ209" i="1" s="1"/>
  <c r="AX210" i="1"/>
  <c r="AZ210" i="1" s="1"/>
  <c r="AX211" i="1"/>
  <c r="AZ211" i="1" s="1"/>
  <c r="AX212" i="1"/>
  <c r="AZ212" i="1" s="1"/>
  <c r="AX213" i="1"/>
  <c r="AZ213" i="1" s="1"/>
  <c r="AX214" i="1"/>
  <c r="AZ214" i="1" s="1"/>
  <c r="AX215" i="1"/>
  <c r="AZ215" i="1" s="1"/>
  <c r="AX216" i="1"/>
  <c r="AZ216" i="1" s="1"/>
  <c r="AX217" i="1"/>
  <c r="AZ217" i="1" s="1"/>
  <c r="AX218" i="1"/>
  <c r="AZ218" i="1" s="1"/>
  <c r="AX219" i="1"/>
  <c r="AZ219" i="1" s="1"/>
  <c r="AX220" i="1"/>
  <c r="AZ220" i="1" s="1"/>
  <c r="AX221" i="1"/>
  <c r="AZ221" i="1" s="1"/>
  <c r="AX222" i="1"/>
  <c r="AZ222" i="1" s="1"/>
  <c r="AX223" i="1"/>
  <c r="AZ223" i="1" s="1"/>
  <c r="AX224" i="1"/>
  <c r="AZ224" i="1" s="1"/>
  <c r="AX225" i="1"/>
  <c r="AZ225" i="1" s="1"/>
  <c r="AX226" i="1"/>
  <c r="AZ226" i="1" s="1"/>
  <c r="AX227" i="1"/>
  <c r="AZ227" i="1" s="1"/>
  <c r="AX228" i="1"/>
  <c r="AZ228" i="1" s="1"/>
  <c r="AX229" i="1"/>
  <c r="AZ229" i="1" s="1"/>
  <c r="AX230" i="1"/>
  <c r="AZ230" i="1" s="1"/>
  <c r="AX231" i="1"/>
  <c r="AZ231" i="1" s="1"/>
  <c r="AX232" i="1"/>
  <c r="AZ232" i="1" s="1"/>
  <c r="AX233" i="1"/>
  <c r="AZ233" i="1" s="1"/>
  <c r="AX234" i="1"/>
  <c r="AZ234" i="1" s="1"/>
  <c r="AX235" i="1"/>
  <c r="AZ235" i="1" s="1"/>
  <c r="AX236" i="1"/>
  <c r="AZ236" i="1" s="1"/>
  <c r="AX237" i="1"/>
  <c r="AZ237" i="1" s="1"/>
  <c r="AX238" i="1"/>
  <c r="AZ238" i="1" s="1"/>
  <c r="AX239" i="1"/>
  <c r="AZ239" i="1" s="1"/>
  <c r="AX240" i="1"/>
  <c r="AZ240" i="1" s="1"/>
  <c r="AX241" i="1"/>
  <c r="AX242" i="1"/>
  <c r="AZ242" i="1" s="1"/>
  <c r="AX243" i="1"/>
  <c r="AZ243" i="1" s="1"/>
  <c r="AX244" i="1"/>
  <c r="AZ244" i="1" s="1"/>
  <c r="AX245" i="1"/>
  <c r="AZ245" i="1" s="1"/>
  <c r="AX246" i="1"/>
  <c r="AZ246" i="1" s="1"/>
  <c r="AX247" i="1"/>
  <c r="AZ247" i="1" s="1"/>
  <c r="AX248" i="1"/>
  <c r="AZ248" i="1" s="1"/>
  <c r="AX249" i="1"/>
  <c r="AZ249" i="1" s="1"/>
  <c r="AX250" i="1"/>
  <c r="AZ250" i="1" s="1"/>
  <c r="AX251" i="1"/>
  <c r="AZ251" i="1" s="1"/>
  <c r="AX252" i="1"/>
  <c r="AZ252" i="1" s="1"/>
  <c r="AX253" i="1"/>
  <c r="AZ253" i="1" s="1"/>
  <c r="AX254" i="1"/>
  <c r="AZ254" i="1" s="1"/>
  <c r="AX255" i="1"/>
  <c r="AZ255" i="1" s="1"/>
  <c r="AX256" i="1"/>
  <c r="AZ256" i="1" s="1"/>
  <c r="AX257" i="1"/>
  <c r="AZ257" i="1" s="1"/>
  <c r="AX258" i="1"/>
  <c r="AZ258" i="1" s="1"/>
  <c r="AX259" i="1"/>
  <c r="AZ259" i="1" s="1"/>
  <c r="AX260" i="1"/>
  <c r="AZ260" i="1" s="1"/>
  <c r="AX261" i="1"/>
  <c r="AZ261" i="1" s="1"/>
  <c r="AX262" i="1"/>
  <c r="AZ262" i="1" s="1"/>
  <c r="AX263" i="1"/>
  <c r="AZ263" i="1" s="1"/>
  <c r="AX264" i="1"/>
  <c r="AZ264" i="1" s="1"/>
  <c r="AX265" i="1"/>
  <c r="AZ265" i="1" s="1"/>
  <c r="AX266" i="1"/>
  <c r="AZ266" i="1" s="1"/>
  <c r="AX267" i="1"/>
  <c r="AZ267" i="1" s="1"/>
  <c r="AX268" i="1"/>
  <c r="AZ268" i="1" s="1"/>
  <c r="AX269" i="1"/>
  <c r="AZ269" i="1" s="1"/>
  <c r="AX270" i="1"/>
  <c r="AZ270" i="1" s="1"/>
  <c r="AX271" i="1"/>
  <c r="AZ271" i="1" s="1"/>
  <c r="AX272" i="1"/>
  <c r="AZ272" i="1" s="1"/>
  <c r="AX273" i="1"/>
  <c r="AZ273" i="1" s="1"/>
  <c r="AX274" i="1"/>
  <c r="AZ274" i="1" s="1"/>
  <c r="AX275" i="1"/>
  <c r="AZ275" i="1" s="1"/>
  <c r="AX276" i="1"/>
  <c r="AZ276" i="1" s="1"/>
  <c r="AX277" i="1"/>
  <c r="AZ277" i="1" s="1"/>
  <c r="AX278" i="1"/>
  <c r="AZ278" i="1" s="1"/>
  <c r="AX279" i="1"/>
  <c r="AZ279" i="1" s="1"/>
  <c r="AX280" i="1"/>
  <c r="AZ280" i="1" s="1"/>
  <c r="AX281" i="1"/>
  <c r="AZ281" i="1" s="1"/>
  <c r="AX282" i="1"/>
  <c r="AZ282" i="1" s="1"/>
  <c r="AX283" i="1"/>
  <c r="AZ283" i="1" s="1"/>
  <c r="AX284" i="1"/>
  <c r="AZ284" i="1" s="1"/>
  <c r="AX285" i="1"/>
  <c r="AZ285" i="1" s="1"/>
  <c r="AX286" i="1"/>
  <c r="AZ286" i="1" s="1"/>
  <c r="AX287" i="1"/>
  <c r="AZ287" i="1" s="1"/>
  <c r="AX288" i="1"/>
  <c r="AZ288" i="1" s="1"/>
  <c r="AX289" i="1"/>
  <c r="AZ289" i="1" s="1"/>
  <c r="AX290" i="1"/>
  <c r="AZ290" i="1" s="1"/>
  <c r="AX291" i="1"/>
  <c r="AZ291" i="1" s="1"/>
  <c r="AX292" i="1"/>
  <c r="AZ292" i="1" s="1"/>
  <c r="AX293" i="1"/>
  <c r="AZ293" i="1" s="1"/>
  <c r="AX294" i="1"/>
  <c r="AZ294" i="1" s="1"/>
  <c r="AX295" i="1"/>
  <c r="AZ295" i="1" s="1"/>
  <c r="AX296" i="1"/>
  <c r="AZ296" i="1" s="1"/>
  <c r="AX297" i="1"/>
  <c r="AZ297" i="1" s="1"/>
  <c r="AX298" i="1"/>
  <c r="AZ298" i="1" s="1"/>
  <c r="AX299" i="1"/>
  <c r="AZ299" i="1" s="1"/>
  <c r="AX300" i="1"/>
  <c r="AZ300" i="1" s="1"/>
  <c r="AX301" i="1"/>
  <c r="AZ301" i="1" s="1"/>
  <c r="AX302" i="1"/>
  <c r="AZ302" i="1" s="1"/>
  <c r="AX303" i="1"/>
  <c r="AZ303" i="1" s="1"/>
  <c r="AX304" i="1"/>
  <c r="AZ304" i="1" s="1"/>
  <c r="AX305" i="1"/>
  <c r="AZ305" i="1" s="1"/>
  <c r="AX306" i="1"/>
  <c r="AZ306" i="1" s="1"/>
  <c r="AX307" i="1"/>
  <c r="AZ307" i="1" s="1"/>
  <c r="AX308" i="1"/>
  <c r="AZ308" i="1" s="1"/>
  <c r="AX309" i="1"/>
  <c r="AZ309" i="1" s="1"/>
  <c r="AX310" i="1"/>
  <c r="AZ310" i="1" s="1"/>
  <c r="AX311" i="1"/>
  <c r="AZ311" i="1" s="1"/>
  <c r="AX312" i="1"/>
  <c r="AZ312" i="1" s="1"/>
  <c r="AX313" i="1"/>
  <c r="AZ313" i="1" s="1"/>
  <c r="AX314" i="1"/>
  <c r="AZ314" i="1" s="1"/>
  <c r="AX315" i="1"/>
  <c r="AZ315" i="1" s="1"/>
  <c r="AX316" i="1"/>
  <c r="AZ316" i="1" s="1"/>
  <c r="AX317" i="1"/>
  <c r="AZ317" i="1" s="1"/>
  <c r="AX318" i="1"/>
  <c r="AZ318" i="1" s="1"/>
  <c r="AX319" i="1"/>
  <c r="AZ319" i="1" s="1"/>
  <c r="AX320" i="1"/>
  <c r="AZ320" i="1" s="1"/>
  <c r="AX321" i="1"/>
  <c r="AZ321" i="1" s="1"/>
  <c r="AX322" i="1"/>
  <c r="AZ322" i="1" s="1"/>
  <c r="AX323" i="1"/>
  <c r="AZ323" i="1" s="1"/>
  <c r="AX324" i="1"/>
  <c r="AZ324" i="1" s="1"/>
  <c r="AX325" i="1"/>
  <c r="AZ325" i="1" s="1"/>
  <c r="AX326" i="1"/>
  <c r="AZ326" i="1" s="1"/>
  <c r="AX327" i="1"/>
  <c r="AZ327" i="1" s="1"/>
  <c r="AX328" i="1"/>
  <c r="AZ328" i="1" s="1"/>
  <c r="AX329" i="1"/>
  <c r="AZ329" i="1" s="1"/>
  <c r="AX330" i="1"/>
  <c r="AZ330" i="1" s="1"/>
  <c r="AX331" i="1"/>
  <c r="AZ331" i="1" s="1"/>
  <c r="AX332" i="1"/>
  <c r="AZ332" i="1" s="1"/>
  <c r="AX333" i="1"/>
  <c r="AZ333" i="1" s="1"/>
  <c r="AX334" i="1"/>
  <c r="AZ334" i="1" s="1"/>
  <c r="AX335" i="1"/>
  <c r="AZ335" i="1" s="1"/>
  <c r="AX336" i="1"/>
  <c r="AZ336" i="1" s="1"/>
  <c r="AX337" i="1"/>
  <c r="AZ337" i="1" s="1"/>
  <c r="AX338" i="1"/>
  <c r="AZ338" i="1" s="1"/>
  <c r="AX339" i="1"/>
  <c r="AZ339" i="1" s="1"/>
  <c r="AX340" i="1"/>
  <c r="AZ340" i="1" s="1"/>
  <c r="AX341" i="1"/>
  <c r="AZ341" i="1" s="1"/>
  <c r="AX342" i="1"/>
  <c r="AZ342" i="1" s="1"/>
  <c r="AX343" i="1"/>
  <c r="AZ343" i="1" s="1"/>
  <c r="AX344" i="1"/>
  <c r="AZ344" i="1" s="1"/>
  <c r="AX345" i="1"/>
  <c r="AZ345" i="1" s="1"/>
  <c r="AX346" i="1"/>
  <c r="AZ346" i="1" s="1"/>
  <c r="AX347" i="1"/>
  <c r="AZ347" i="1" s="1"/>
  <c r="AX348" i="1"/>
  <c r="AZ348" i="1" s="1"/>
  <c r="AX349" i="1"/>
  <c r="AZ349" i="1" s="1"/>
  <c r="AX350" i="1"/>
  <c r="AZ350" i="1" s="1"/>
  <c r="AX351" i="1"/>
  <c r="AZ351" i="1" s="1"/>
  <c r="AX352" i="1"/>
  <c r="AZ352" i="1" s="1"/>
  <c r="AX353" i="1"/>
  <c r="AZ353" i="1" s="1"/>
  <c r="AX354" i="1"/>
  <c r="AZ354" i="1" s="1"/>
  <c r="AX355" i="1"/>
  <c r="AZ355" i="1" s="1"/>
  <c r="AX356" i="1"/>
  <c r="AZ356" i="1" s="1"/>
  <c r="AX357" i="1"/>
  <c r="AZ357" i="1" s="1"/>
  <c r="AX358" i="1"/>
  <c r="AZ358" i="1" s="1"/>
  <c r="AX359" i="1"/>
  <c r="AZ359" i="1" s="1"/>
  <c r="AX360" i="1"/>
  <c r="AZ360" i="1" s="1"/>
  <c r="AX361" i="1"/>
  <c r="AZ361" i="1" s="1"/>
  <c r="AX362" i="1"/>
  <c r="AZ362" i="1" s="1"/>
  <c r="AX363" i="1"/>
  <c r="AX364" i="1"/>
  <c r="AZ364" i="1" s="1"/>
  <c r="AX365" i="1"/>
  <c r="AZ365" i="1" s="1"/>
  <c r="AX366" i="1"/>
  <c r="AZ366" i="1" s="1"/>
  <c r="AX367" i="1"/>
  <c r="AZ367" i="1" s="1"/>
  <c r="AX368" i="1"/>
  <c r="AZ368" i="1" s="1"/>
  <c r="AX369" i="1"/>
  <c r="AZ369" i="1" s="1"/>
  <c r="AZ171" i="1"/>
  <c r="AZ241" i="1"/>
  <c r="AZ363" i="1"/>
  <c r="BC40" i="1"/>
  <c r="BE40" i="1" s="1"/>
  <c r="BB40" i="1" s="1"/>
  <c r="BC41" i="1"/>
  <c r="BE41" i="1" s="1"/>
  <c r="BB41" i="1" s="1"/>
  <c r="BC45" i="1"/>
  <c r="BE45" i="1" s="1"/>
  <c r="BB45" i="1" s="1"/>
  <c r="BC92" i="1"/>
  <c r="BE92" i="1" s="1"/>
  <c r="BB92" i="1" s="1"/>
  <c r="BC93" i="1"/>
  <c r="BE93" i="1" s="1"/>
  <c r="BC94" i="1"/>
  <c r="BE94" i="1" s="1"/>
  <c r="BC121" i="1"/>
  <c r="BE121" i="1" s="1"/>
  <c r="BC122" i="1"/>
  <c r="BE122" i="1" s="1"/>
  <c r="BC123" i="1"/>
  <c r="BE123" i="1" s="1"/>
  <c r="BC124" i="1"/>
  <c r="BE124" i="1" s="1"/>
  <c r="BC125" i="1"/>
  <c r="BE125" i="1" s="1"/>
  <c r="BC126" i="1"/>
  <c r="BE126" i="1" s="1"/>
  <c r="BC127" i="1"/>
  <c r="BE127" i="1" s="1"/>
  <c r="BC128" i="1"/>
  <c r="BE128" i="1" s="1"/>
  <c r="BC129" i="1"/>
  <c r="BE129" i="1" s="1"/>
  <c r="BC130" i="1"/>
  <c r="BE130" i="1" s="1"/>
  <c r="BC131" i="1"/>
  <c r="BE131" i="1" s="1"/>
  <c r="BC132" i="1"/>
  <c r="BE132" i="1" s="1"/>
  <c r="BC133" i="1"/>
  <c r="BE133" i="1" s="1"/>
  <c r="BC134" i="1"/>
  <c r="BE134" i="1" s="1"/>
  <c r="BC135" i="1"/>
  <c r="BE135" i="1" s="1"/>
  <c r="BC136" i="1"/>
  <c r="BE136" i="1" s="1"/>
  <c r="BC137" i="1"/>
  <c r="BE137" i="1" s="1"/>
  <c r="BC138" i="1"/>
  <c r="BE138" i="1" s="1"/>
  <c r="BC139" i="1"/>
  <c r="BE139" i="1" s="1"/>
  <c r="BC140" i="1"/>
  <c r="BE140" i="1" s="1"/>
  <c r="BC141" i="1"/>
  <c r="BE141" i="1" s="1"/>
  <c r="BC142" i="1"/>
  <c r="BE142" i="1" s="1"/>
  <c r="BC143" i="1"/>
  <c r="BE143" i="1" s="1"/>
  <c r="BC144" i="1"/>
  <c r="BE144" i="1" s="1"/>
  <c r="BC145" i="1"/>
  <c r="BE145" i="1" s="1"/>
  <c r="BC146" i="1"/>
  <c r="BE146" i="1" s="1"/>
  <c r="BC147" i="1"/>
  <c r="BE147" i="1" s="1"/>
  <c r="BC148" i="1"/>
  <c r="BE148" i="1" s="1"/>
  <c r="BC149" i="1"/>
  <c r="BE149" i="1" s="1"/>
  <c r="BC150" i="1"/>
  <c r="BE150" i="1" s="1"/>
  <c r="BC151" i="1"/>
  <c r="BE151" i="1" s="1"/>
  <c r="BC152" i="1"/>
  <c r="BE152" i="1" s="1"/>
  <c r="BC153" i="1"/>
  <c r="BE153" i="1" s="1"/>
  <c r="BC154" i="1"/>
  <c r="BE154" i="1" s="1"/>
  <c r="BC155" i="1"/>
  <c r="BE155" i="1" s="1"/>
  <c r="BC156" i="1"/>
  <c r="BE156" i="1" s="1"/>
  <c r="BC157" i="1"/>
  <c r="BE157" i="1" s="1"/>
  <c r="BC158" i="1"/>
  <c r="BE158" i="1" s="1"/>
  <c r="BC159" i="1"/>
  <c r="BE159" i="1" s="1"/>
  <c r="BC160" i="1"/>
  <c r="BE160" i="1" s="1"/>
  <c r="BC161" i="1"/>
  <c r="BE161" i="1" s="1"/>
  <c r="BC162" i="1"/>
  <c r="BE162" i="1" s="1"/>
  <c r="BC163" i="1"/>
  <c r="BE163" i="1" s="1"/>
  <c r="BC164" i="1"/>
  <c r="BE164" i="1" s="1"/>
  <c r="BC165" i="1"/>
  <c r="BE165" i="1" s="1"/>
  <c r="BC166" i="1"/>
  <c r="BE166" i="1" s="1"/>
  <c r="BC167" i="1"/>
  <c r="BE167" i="1" s="1"/>
  <c r="BC168" i="1"/>
  <c r="BE168" i="1" s="1"/>
  <c r="BC169" i="1"/>
  <c r="BE169" i="1" s="1"/>
  <c r="BC170" i="1"/>
  <c r="BE170" i="1" s="1"/>
  <c r="BC171" i="1"/>
  <c r="BE171" i="1" s="1"/>
  <c r="BC172" i="1"/>
  <c r="BE172" i="1" s="1"/>
  <c r="BC173" i="1"/>
  <c r="BE173" i="1" s="1"/>
  <c r="BC174" i="1"/>
  <c r="BE174" i="1" s="1"/>
  <c r="BC175" i="1"/>
  <c r="BE175" i="1" s="1"/>
  <c r="BC176" i="1"/>
  <c r="BE176" i="1" s="1"/>
  <c r="BC177" i="1"/>
  <c r="BE177" i="1" s="1"/>
  <c r="BC178" i="1"/>
  <c r="BE178" i="1" s="1"/>
  <c r="BC179" i="1"/>
  <c r="BE179" i="1" s="1"/>
  <c r="BC180" i="1"/>
  <c r="BE180" i="1" s="1"/>
  <c r="BC181" i="1"/>
  <c r="BE181" i="1" s="1"/>
  <c r="BC182" i="1"/>
  <c r="BE182" i="1" s="1"/>
  <c r="BC183" i="1"/>
  <c r="BE183" i="1" s="1"/>
  <c r="BC184" i="1"/>
  <c r="BE184" i="1" s="1"/>
  <c r="BC185" i="1"/>
  <c r="BE185" i="1" s="1"/>
  <c r="BC186" i="1"/>
  <c r="BE186" i="1" s="1"/>
  <c r="BC187" i="1"/>
  <c r="BE187" i="1" s="1"/>
  <c r="BC188" i="1"/>
  <c r="BE188" i="1" s="1"/>
  <c r="BC189" i="1"/>
  <c r="BE189" i="1" s="1"/>
  <c r="BC190" i="1"/>
  <c r="BE190" i="1" s="1"/>
  <c r="BC191" i="1"/>
  <c r="BE191" i="1" s="1"/>
  <c r="BC192" i="1"/>
  <c r="BE192" i="1" s="1"/>
  <c r="BC193" i="1"/>
  <c r="BE193" i="1" s="1"/>
  <c r="BC194" i="1"/>
  <c r="BE194" i="1" s="1"/>
  <c r="BC195" i="1"/>
  <c r="BE195" i="1" s="1"/>
  <c r="BC196" i="1"/>
  <c r="BE196" i="1" s="1"/>
  <c r="BC197" i="1"/>
  <c r="BE197" i="1" s="1"/>
  <c r="BC198" i="1"/>
  <c r="BE198" i="1" s="1"/>
  <c r="BC199" i="1"/>
  <c r="BE199" i="1" s="1"/>
  <c r="BC200" i="1"/>
  <c r="BE200" i="1" s="1"/>
  <c r="BC201" i="1"/>
  <c r="BE201" i="1" s="1"/>
  <c r="BC202" i="1"/>
  <c r="BE202" i="1" s="1"/>
  <c r="BC203" i="1"/>
  <c r="BE203" i="1" s="1"/>
  <c r="BC204" i="1"/>
  <c r="BE204" i="1" s="1"/>
  <c r="BC205" i="1"/>
  <c r="BE205" i="1" s="1"/>
  <c r="BC206" i="1"/>
  <c r="BE206" i="1" s="1"/>
  <c r="BC207" i="1"/>
  <c r="BE207" i="1" s="1"/>
  <c r="BC208" i="1"/>
  <c r="BE208" i="1" s="1"/>
  <c r="BC209" i="1"/>
  <c r="BE209" i="1" s="1"/>
  <c r="BC210" i="1"/>
  <c r="BE210" i="1" s="1"/>
  <c r="BC211" i="1"/>
  <c r="BE211" i="1" s="1"/>
  <c r="BC212" i="1"/>
  <c r="BE212" i="1" s="1"/>
  <c r="BC213" i="1"/>
  <c r="BE213" i="1" s="1"/>
  <c r="BC214" i="1"/>
  <c r="BE214" i="1" s="1"/>
  <c r="BC215" i="1"/>
  <c r="BE215" i="1" s="1"/>
  <c r="BC216" i="1"/>
  <c r="BE216" i="1" s="1"/>
  <c r="BC217" i="1"/>
  <c r="BE217" i="1" s="1"/>
  <c r="BC218" i="1"/>
  <c r="BE218" i="1" s="1"/>
  <c r="BC219" i="1"/>
  <c r="BE219" i="1" s="1"/>
  <c r="BC220" i="1"/>
  <c r="BE220" i="1" s="1"/>
  <c r="BC221" i="1"/>
  <c r="BE221" i="1" s="1"/>
  <c r="BC222" i="1"/>
  <c r="BE222" i="1" s="1"/>
  <c r="BC223" i="1"/>
  <c r="BE223" i="1" s="1"/>
  <c r="BC224" i="1"/>
  <c r="BE224" i="1" s="1"/>
  <c r="BC225" i="1"/>
  <c r="BE225" i="1" s="1"/>
  <c r="BC226" i="1"/>
  <c r="BE226" i="1" s="1"/>
  <c r="BC227" i="1"/>
  <c r="BE227" i="1" s="1"/>
  <c r="BC228" i="1"/>
  <c r="BE228" i="1" s="1"/>
  <c r="BC229" i="1"/>
  <c r="BE229" i="1" s="1"/>
  <c r="BC230" i="1"/>
  <c r="BE230" i="1" s="1"/>
  <c r="BC231" i="1"/>
  <c r="BE231" i="1" s="1"/>
  <c r="BC232" i="1"/>
  <c r="BE232" i="1" s="1"/>
  <c r="BC233" i="1"/>
  <c r="BE233" i="1" s="1"/>
  <c r="BC234" i="1"/>
  <c r="BE234" i="1" s="1"/>
  <c r="BC235" i="1"/>
  <c r="BE235" i="1" s="1"/>
  <c r="BC236" i="1"/>
  <c r="BE236" i="1" s="1"/>
  <c r="BC237" i="1"/>
  <c r="BE237" i="1" s="1"/>
  <c r="BC238" i="1"/>
  <c r="BE238" i="1" s="1"/>
  <c r="BC239" i="1"/>
  <c r="BE239" i="1" s="1"/>
  <c r="BC240" i="1"/>
  <c r="BE240" i="1" s="1"/>
  <c r="BC241" i="1"/>
  <c r="BE241" i="1" s="1"/>
  <c r="BC242" i="1"/>
  <c r="BE242" i="1" s="1"/>
  <c r="BC243" i="1"/>
  <c r="BE243" i="1" s="1"/>
  <c r="BC244" i="1"/>
  <c r="BE244" i="1" s="1"/>
  <c r="BC245" i="1"/>
  <c r="BE245" i="1" s="1"/>
  <c r="BC246" i="1"/>
  <c r="BE246" i="1" s="1"/>
  <c r="BC247" i="1"/>
  <c r="BE247" i="1" s="1"/>
  <c r="BC248" i="1"/>
  <c r="BE248" i="1" s="1"/>
  <c r="BC249" i="1"/>
  <c r="BE249" i="1" s="1"/>
  <c r="BC250" i="1"/>
  <c r="BE250" i="1" s="1"/>
  <c r="BC251" i="1"/>
  <c r="BE251" i="1" s="1"/>
  <c r="BC252" i="1"/>
  <c r="BE252" i="1" s="1"/>
  <c r="BC253" i="1"/>
  <c r="BE253" i="1" s="1"/>
  <c r="BC254" i="1"/>
  <c r="BE254" i="1" s="1"/>
  <c r="BC255" i="1"/>
  <c r="BE255" i="1" s="1"/>
  <c r="BC256" i="1"/>
  <c r="BE256" i="1" s="1"/>
  <c r="BC257" i="1"/>
  <c r="BE257" i="1" s="1"/>
  <c r="BC258" i="1"/>
  <c r="BE258" i="1" s="1"/>
  <c r="BC259" i="1"/>
  <c r="BE259" i="1" s="1"/>
  <c r="BC260" i="1"/>
  <c r="BE260" i="1" s="1"/>
  <c r="BC261" i="1"/>
  <c r="BE261" i="1" s="1"/>
  <c r="BC262" i="1"/>
  <c r="BE262" i="1" s="1"/>
  <c r="BC263" i="1"/>
  <c r="BE263" i="1" s="1"/>
  <c r="BC264" i="1"/>
  <c r="BE264" i="1" s="1"/>
  <c r="BC265" i="1"/>
  <c r="BE265" i="1" s="1"/>
  <c r="BC266" i="1"/>
  <c r="BE266" i="1" s="1"/>
  <c r="BC267" i="1"/>
  <c r="BE267" i="1" s="1"/>
  <c r="BC268" i="1"/>
  <c r="BE268" i="1" s="1"/>
  <c r="BC269" i="1"/>
  <c r="BE269" i="1" s="1"/>
  <c r="BC270" i="1"/>
  <c r="BE270" i="1" s="1"/>
  <c r="BC271" i="1"/>
  <c r="BE271" i="1" s="1"/>
  <c r="BC272" i="1"/>
  <c r="BE272" i="1" s="1"/>
  <c r="BC273" i="1"/>
  <c r="BE273" i="1" s="1"/>
  <c r="BC274" i="1"/>
  <c r="BE274" i="1" s="1"/>
  <c r="BC275" i="1"/>
  <c r="BE275" i="1" s="1"/>
  <c r="BC276" i="1"/>
  <c r="BE276" i="1" s="1"/>
  <c r="BC277" i="1"/>
  <c r="BE277" i="1" s="1"/>
  <c r="BC278" i="1"/>
  <c r="BE278" i="1" s="1"/>
  <c r="BC279" i="1"/>
  <c r="BE279" i="1" s="1"/>
  <c r="BC280" i="1"/>
  <c r="BE280" i="1" s="1"/>
  <c r="BC281" i="1"/>
  <c r="BE281" i="1" s="1"/>
  <c r="BC282" i="1"/>
  <c r="BE282" i="1" s="1"/>
  <c r="BC283" i="1"/>
  <c r="BE283" i="1" s="1"/>
  <c r="BC284" i="1"/>
  <c r="BE284" i="1" s="1"/>
  <c r="BC285" i="1"/>
  <c r="BE285" i="1" s="1"/>
  <c r="BC286" i="1"/>
  <c r="BE286" i="1" s="1"/>
  <c r="BC287" i="1"/>
  <c r="BE287" i="1" s="1"/>
  <c r="BC288" i="1"/>
  <c r="BE288" i="1" s="1"/>
  <c r="BC289" i="1"/>
  <c r="BE289" i="1" s="1"/>
  <c r="BC290" i="1"/>
  <c r="BE290" i="1" s="1"/>
  <c r="BC291" i="1"/>
  <c r="BE291" i="1" s="1"/>
  <c r="BC292" i="1"/>
  <c r="BE292" i="1" s="1"/>
  <c r="BC293" i="1"/>
  <c r="BE293" i="1" s="1"/>
  <c r="BC294" i="1"/>
  <c r="BE294" i="1" s="1"/>
  <c r="BC295" i="1"/>
  <c r="BE295" i="1" s="1"/>
  <c r="BC296" i="1"/>
  <c r="BE296" i="1" s="1"/>
  <c r="BC297" i="1"/>
  <c r="BE297" i="1" s="1"/>
  <c r="BC298" i="1"/>
  <c r="BE298" i="1" s="1"/>
  <c r="BC299" i="1"/>
  <c r="BE299" i="1" s="1"/>
  <c r="BC300" i="1"/>
  <c r="BE300" i="1" s="1"/>
  <c r="BC301" i="1"/>
  <c r="BE301" i="1" s="1"/>
  <c r="BC302" i="1"/>
  <c r="BE302" i="1" s="1"/>
  <c r="BC303" i="1"/>
  <c r="BE303" i="1" s="1"/>
  <c r="BC304" i="1"/>
  <c r="BE304" i="1" s="1"/>
  <c r="BC305" i="1"/>
  <c r="BE305" i="1" s="1"/>
  <c r="BC306" i="1"/>
  <c r="BE306" i="1" s="1"/>
  <c r="BC307" i="1"/>
  <c r="BE307" i="1" s="1"/>
  <c r="BC308" i="1"/>
  <c r="BE308" i="1" s="1"/>
  <c r="BC309" i="1"/>
  <c r="BC310" i="1"/>
  <c r="BE310" i="1" s="1"/>
  <c r="BC311" i="1"/>
  <c r="BE311" i="1" s="1"/>
  <c r="BC312" i="1"/>
  <c r="BE312" i="1" s="1"/>
  <c r="BC313" i="1"/>
  <c r="BE313" i="1" s="1"/>
  <c r="BC314" i="1"/>
  <c r="BE314" i="1" s="1"/>
  <c r="BC315" i="1"/>
  <c r="BE315" i="1" s="1"/>
  <c r="BC316" i="1"/>
  <c r="BE316" i="1" s="1"/>
  <c r="BC317" i="1"/>
  <c r="BE317" i="1" s="1"/>
  <c r="BC318" i="1"/>
  <c r="BE318" i="1" s="1"/>
  <c r="BC319" i="1"/>
  <c r="BE319" i="1" s="1"/>
  <c r="BC320" i="1"/>
  <c r="BE320" i="1" s="1"/>
  <c r="BC321" i="1"/>
  <c r="BE321" i="1" s="1"/>
  <c r="BC322" i="1"/>
  <c r="BE322" i="1" s="1"/>
  <c r="BC323" i="1"/>
  <c r="BE323" i="1" s="1"/>
  <c r="BC324" i="1"/>
  <c r="BE324" i="1" s="1"/>
  <c r="BC325" i="1"/>
  <c r="BE325" i="1" s="1"/>
  <c r="BC326" i="1"/>
  <c r="BE326" i="1" s="1"/>
  <c r="BC327" i="1"/>
  <c r="BE327" i="1" s="1"/>
  <c r="BC328" i="1"/>
  <c r="BE328" i="1" s="1"/>
  <c r="BC329" i="1"/>
  <c r="BE329" i="1" s="1"/>
  <c r="BC330" i="1"/>
  <c r="BE330" i="1" s="1"/>
  <c r="BC331" i="1"/>
  <c r="BE331" i="1" s="1"/>
  <c r="BC332" i="1"/>
  <c r="BE332" i="1" s="1"/>
  <c r="BC333" i="1"/>
  <c r="BE333" i="1" s="1"/>
  <c r="BC334" i="1"/>
  <c r="BE334" i="1" s="1"/>
  <c r="BC335" i="1"/>
  <c r="BE335" i="1" s="1"/>
  <c r="BC336" i="1"/>
  <c r="BE336" i="1" s="1"/>
  <c r="BC337" i="1"/>
  <c r="BE337" i="1" s="1"/>
  <c r="BC338" i="1"/>
  <c r="BE338" i="1" s="1"/>
  <c r="BC339" i="1"/>
  <c r="BE339" i="1" s="1"/>
  <c r="BC340" i="1"/>
  <c r="BE340" i="1" s="1"/>
  <c r="BC341" i="1"/>
  <c r="BE341" i="1" s="1"/>
  <c r="BC342" i="1"/>
  <c r="BE342" i="1" s="1"/>
  <c r="BC343" i="1"/>
  <c r="BE343" i="1" s="1"/>
  <c r="BC344" i="1"/>
  <c r="BE344" i="1" s="1"/>
  <c r="BC345" i="1"/>
  <c r="BE345" i="1" s="1"/>
  <c r="BC346" i="1"/>
  <c r="BE346" i="1" s="1"/>
  <c r="BC347" i="1"/>
  <c r="BE347" i="1" s="1"/>
  <c r="BC348" i="1"/>
  <c r="BE348" i="1" s="1"/>
  <c r="BC349" i="1"/>
  <c r="BE349" i="1" s="1"/>
  <c r="BC350" i="1"/>
  <c r="BE350" i="1" s="1"/>
  <c r="BC351" i="1"/>
  <c r="BE351" i="1" s="1"/>
  <c r="BC352" i="1"/>
  <c r="BE352" i="1" s="1"/>
  <c r="BC353" i="1"/>
  <c r="BE353" i="1" s="1"/>
  <c r="BC354" i="1"/>
  <c r="BE354" i="1" s="1"/>
  <c r="BC355" i="1"/>
  <c r="BE355" i="1" s="1"/>
  <c r="BC356" i="1"/>
  <c r="BE356" i="1" s="1"/>
  <c r="BC357" i="1"/>
  <c r="BE357" i="1" s="1"/>
  <c r="BC358" i="1"/>
  <c r="BE358" i="1" s="1"/>
  <c r="BC359" i="1"/>
  <c r="BE359" i="1" s="1"/>
  <c r="BC360" i="1"/>
  <c r="BE360" i="1" s="1"/>
  <c r="BC361" i="1"/>
  <c r="BE361" i="1" s="1"/>
  <c r="BC362" i="1"/>
  <c r="BE362" i="1" s="1"/>
  <c r="BC363" i="1"/>
  <c r="BC364" i="1"/>
  <c r="BE364" i="1" s="1"/>
  <c r="BC365" i="1"/>
  <c r="BE365" i="1" s="1"/>
  <c r="BC366" i="1"/>
  <c r="BE366" i="1" s="1"/>
  <c r="BC367" i="1"/>
  <c r="BE367" i="1" s="1"/>
  <c r="BC368" i="1"/>
  <c r="BE368" i="1" s="1"/>
  <c r="BC369" i="1"/>
  <c r="BE369" i="1" s="1"/>
  <c r="BE309" i="1"/>
  <c r="BE363" i="1"/>
  <c r="BH40" i="1"/>
  <c r="BJ40" i="1" s="1"/>
  <c r="BG40" i="1" s="1"/>
  <c r="BH45" i="1"/>
  <c r="BJ45" i="1" s="1"/>
  <c r="BG45" i="1" s="1"/>
  <c r="BH92" i="1"/>
  <c r="BJ92" i="1" s="1"/>
  <c r="BG92" i="1" s="1"/>
  <c r="BH93" i="1"/>
  <c r="BJ93" i="1" s="1"/>
  <c r="BG93" i="1" s="1"/>
  <c r="BH94" i="1"/>
  <c r="BJ94" i="1" s="1"/>
  <c r="BH121" i="1"/>
  <c r="BJ121" i="1" s="1"/>
  <c r="BH122" i="1"/>
  <c r="BJ122" i="1" s="1"/>
  <c r="BH123" i="1"/>
  <c r="BJ123" i="1" s="1"/>
  <c r="BH124" i="1"/>
  <c r="BJ124" i="1" s="1"/>
  <c r="BH125" i="1"/>
  <c r="BJ125" i="1" s="1"/>
  <c r="BH126" i="1"/>
  <c r="BJ126" i="1" s="1"/>
  <c r="BH127" i="1"/>
  <c r="BJ127" i="1" s="1"/>
  <c r="BH128" i="1"/>
  <c r="BJ128" i="1" s="1"/>
  <c r="BH129" i="1"/>
  <c r="BJ129" i="1" s="1"/>
  <c r="BH130" i="1"/>
  <c r="BJ130" i="1" s="1"/>
  <c r="BH131" i="1"/>
  <c r="BJ131" i="1" s="1"/>
  <c r="BH132" i="1"/>
  <c r="BJ132" i="1" s="1"/>
  <c r="BH133" i="1"/>
  <c r="BJ133" i="1" s="1"/>
  <c r="BH134" i="1"/>
  <c r="BJ134" i="1" s="1"/>
  <c r="BH135" i="1"/>
  <c r="BJ135" i="1" s="1"/>
  <c r="BH136" i="1"/>
  <c r="BJ136" i="1" s="1"/>
  <c r="BH137" i="1"/>
  <c r="BJ137" i="1" s="1"/>
  <c r="BH138" i="1"/>
  <c r="BJ138" i="1" s="1"/>
  <c r="BH139" i="1"/>
  <c r="BJ139" i="1" s="1"/>
  <c r="BH140" i="1"/>
  <c r="BJ140" i="1" s="1"/>
  <c r="BH141" i="1"/>
  <c r="BJ141" i="1" s="1"/>
  <c r="BH142" i="1"/>
  <c r="BJ142" i="1" s="1"/>
  <c r="BH143" i="1"/>
  <c r="BJ143" i="1" s="1"/>
  <c r="BH144" i="1"/>
  <c r="BJ144" i="1" s="1"/>
  <c r="BH145" i="1"/>
  <c r="BJ145" i="1" s="1"/>
  <c r="BH146" i="1"/>
  <c r="BJ146" i="1" s="1"/>
  <c r="BH147" i="1"/>
  <c r="BJ147" i="1" s="1"/>
  <c r="BH148" i="1"/>
  <c r="BJ148" i="1" s="1"/>
  <c r="BH149" i="1"/>
  <c r="BJ149" i="1" s="1"/>
  <c r="BH150" i="1"/>
  <c r="BJ150" i="1" s="1"/>
  <c r="BH151" i="1"/>
  <c r="BJ151" i="1" s="1"/>
  <c r="BH152" i="1"/>
  <c r="BJ152" i="1" s="1"/>
  <c r="BH153" i="1"/>
  <c r="BJ153" i="1" s="1"/>
  <c r="BH154" i="1"/>
  <c r="BJ154" i="1" s="1"/>
  <c r="BH155" i="1"/>
  <c r="BJ155" i="1" s="1"/>
  <c r="BH156" i="1"/>
  <c r="BJ156" i="1" s="1"/>
  <c r="BH157" i="1"/>
  <c r="BJ157" i="1" s="1"/>
  <c r="BH158" i="1"/>
  <c r="BJ158" i="1" s="1"/>
  <c r="BH159" i="1"/>
  <c r="BJ159" i="1" s="1"/>
  <c r="BH160" i="1"/>
  <c r="BJ160" i="1" s="1"/>
  <c r="BH161" i="1"/>
  <c r="BJ161" i="1" s="1"/>
  <c r="BH162" i="1"/>
  <c r="BJ162" i="1" s="1"/>
  <c r="BH163" i="1"/>
  <c r="BJ163" i="1" s="1"/>
  <c r="BH164" i="1"/>
  <c r="BJ164" i="1" s="1"/>
  <c r="BH165" i="1"/>
  <c r="BJ165" i="1" s="1"/>
  <c r="BH166" i="1"/>
  <c r="BJ166" i="1" s="1"/>
  <c r="BH167" i="1"/>
  <c r="BJ167" i="1" s="1"/>
  <c r="BH168" i="1"/>
  <c r="BJ168" i="1" s="1"/>
  <c r="BH169" i="1"/>
  <c r="BJ169" i="1" s="1"/>
  <c r="BH170" i="1"/>
  <c r="BJ170" i="1" s="1"/>
  <c r="BH171" i="1"/>
  <c r="BJ171" i="1" s="1"/>
  <c r="BH172" i="1"/>
  <c r="BJ172" i="1" s="1"/>
  <c r="BH173" i="1"/>
  <c r="BJ173" i="1" s="1"/>
  <c r="BH174" i="1"/>
  <c r="BJ174" i="1" s="1"/>
  <c r="BH175" i="1"/>
  <c r="BJ175" i="1" s="1"/>
  <c r="BH176" i="1"/>
  <c r="BJ176" i="1" s="1"/>
  <c r="BH177" i="1"/>
  <c r="BJ177" i="1" s="1"/>
  <c r="BH178" i="1"/>
  <c r="BJ178" i="1" s="1"/>
  <c r="BH179" i="1"/>
  <c r="BJ179" i="1" s="1"/>
  <c r="BH180" i="1"/>
  <c r="BJ180" i="1" s="1"/>
  <c r="BH181" i="1"/>
  <c r="BJ181" i="1" s="1"/>
  <c r="BH182" i="1"/>
  <c r="BJ182" i="1" s="1"/>
  <c r="BH183" i="1"/>
  <c r="BJ183" i="1" s="1"/>
  <c r="BH184" i="1"/>
  <c r="BJ184" i="1" s="1"/>
  <c r="BH185" i="1"/>
  <c r="BJ185" i="1" s="1"/>
  <c r="BH186" i="1"/>
  <c r="BJ186" i="1" s="1"/>
  <c r="BH187" i="1"/>
  <c r="BJ187" i="1" s="1"/>
  <c r="BH188" i="1"/>
  <c r="BJ188" i="1" s="1"/>
  <c r="BH189" i="1"/>
  <c r="BJ189" i="1" s="1"/>
  <c r="BH190" i="1"/>
  <c r="BJ190" i="1" s="1"/>
  <c r="BH191" i="1"/>
  <c r="BJ191" i="1" s="1"/>
  <c r="BH192" i="1"/>
  <c r="BJ192" i="1" s="1"/>
  <c r="BH193" i="1"/>
  <c r="BJ193" i="1" s="1"/>
  <c r="BH194" i="1"/>
  <c r="BJ194" i="1" s="1"/>
  <c r="BH195" i="1"/>
  <c r="BJ195" i="1" s="1"/>
  <c r="BH196" i="1"/>
  <c r="BJ196" i="1" s="1"/>
  <c r="BH197" i="1"/>
  <c r="BJ197" i="1" s="1"/>
  <c r="BH198" i="1"/>
  <c r="BJ198" i="1" s="1"/>
  <c r="BH199" i="1"/>
  <c r="BJ199" i="1" s="1"/>
  <c r="BH200" i="1"/>
  <c r="BJ200" i="1" s="1"/>
  <c r="BH201" i="1"/>
  <c r="BJ201" i="1" s="1"/>
  <c r="BH202" i="1"/>
  <c r="BJ202" i="1" s="1"/>
  <c r="BH203" i="1"/>
  <c r="BJ203" i="1" s="1"/>
  <c r="BH204" i="1"/>
  <c r="BJ204" i="1" s="1"/>
  <c r="BH205" i="1"/>
  <c r="BJ205" i="1" s="1"/>
  <c r="BH206" i="1"/>
  <c r="BJ206" i="1" s="1"/>
  <c r="BH207" i="1"/>
  <c r="BJ207" i="1" s="1"/>
  <c r="BH208" i="1"/>
  <c r="BJ208" i="1" s="1"/>
  <c r="BH209" i="1"/>
  <c r="BJ209" i="1" s="1"/>
  <c r="BH210" i="1"/>
  <c r="BJ210" i="1" s="1"/>
  <c r="BH211" i="1"/>
  <c r="BJ211" i="1" s="1"/>
  <c r="BH212" i="1"/>
  <c r="BJ212" i="1" s="1"/>
  <c r="BH213" i="1"/>
  <c r="BJ213" i="1" s="1"/>
  <c r="BH214" i="1"/>
  <c r="BJ214" i="1" s="1"/>
  <c r="BH215" i="1"/>
  <c r="BJ215" i="1" s="1"/>
  <c r="BH216" i="1"/>
  <c r="BJ216" i="1" s="1"/>
  <c r="BH217" i="1"/>
  <c r="BJ217" i="1" s="1"/>
  <c r="BH218" i="1"/>
  <c r="BJ218" i="1" s="1"/>
  <c r="BH219" i="1"/>
  <c r="BJ219" i="1" s="1"/>
  <c r="BH220" i="1"/>
  <c r="BJ220" i="1" s="1"/>
  <c r="BH221" i="1"/>
  <c r="BJ221" i="1" s="1"/>
  <c r="BH222" i="1"/>
  <c r="BJ222" i="1" s="1"/>
  <c r="BH223" i="1"/>
  <c r="BJ223" i="1" s="1"/>
  <c r="BH224" i="1"/>
  <c r="BJ224" i="1" s="1"/>
  <c r="BH225" i="1"/>
  <c r="BJ225" i="1" s="1"/>
  <c r="BH226" i="1"/>
  <c r="BJ226" i="1" s="1"/>
  <c r="BH227" i="1"/>
  <c r="BJ227" i="1" s="1"/>
  <c r="BH228" i="1"/>
  <c r="BJ228" i="1" s="1"/>
  <c r="BH229" i="1"/>
  <c r="BJ229" i="1" s="1"/>
  <c r="BH230" i="1"/>
  <c r="BJ230" i="1" s="1"/>
  <c r="BH231" i="1"/>
  <c r="BJ231" i="1" s="1"/>
  <c r="BH232" i="1"/>
  <c r="BJ232" i="1" s="1"/>
  <c r="BH233" i="1"/>
  <c r="BJ233" i="1" s="1"/>
  <c r="BH234" i="1"/>
  <c r="BJ234" i="1" s="1"/>
  <c r="BH235" i="1"/>
  <c r="BJ235" i="1" s="1"/>
  <c r="BH236" i="1"/>
  <c r="BJ236" i="1" s="1"/>
  <c r="BH237" i="1"/>
  <c r="BJ237" i="1" s="1"/>
  <c r="BH238" i="1"/>
  <c r="BJ238" i="1" s="1"/>
  <c r="BH239" i="1"/>
  <c r="BH240" i="1"/>
  <c r="BJ240" i="1" s="1"/>
  <c r="BH241" i="1"/>
  <c r="BJ241" i="1" s="1"/>
  <c r="BH242" i="1"/>
  <c r="BJ242" i="1" s="1"/>
  <c r="BH243" i="1"/>
  <c r="BJ243" i="1" s="1"/>
  <c r="BH244" i="1"/>
  <c r="BJ244" i="1" s="1"/>
  <c r="BH245" i="1"/>
  <c r="BJ245" i="1" s="1"/>
  <c r="BH246" i="1"/>
  <c r="BJ246" i="1" s="1"/>
  <c r="BH247" i="1"/>
  <c r="BJ247" i="1" s="1"/>
  <c r="BH248" i="1"/>
  <c r="BJ248" i="1" s="1"/>
  <c r="BH249" i="1"/>
  <c r="BJ249" i="1" s="1"/>
  <c r="BH250" i="1"/>
  <c r="BJ250" i="1" s="1"/>
  <c r="BH251" i="1"/>
  <c r="BJ251" i="1" s="1"/>
  <c r="BH252" i="1"/>
  <c r="BJ252" i="1" s="1"/>
  <c r="BH253" i="1"/>
  <c r="BJ253" i="1" s="1"/>
  <c r="BH254" i="1"/>
  <c r="BJ254" i="1" s="1"/>
  <c r="BH255" i="1"/>
  <c r="BJ255" i="1" s="1"/>
  <c r="BH256" i="1"/>
  <c r="BJ256" i="1" s="1"/>
  <c r="BH257" i="1"/>
  <c r="BJ257" i="1" s="1"/>
  <c r="BH258" i="1"/>
  <c r="BJ258" i="1" s="1"/>
  <c r="BH259" i="1"/>
  <c r="BJ259" i="1" s="1"/>
  <c r="BH260" i="1"/>
  <c r="BJ260" i="1" s="1"/>
  <c r="BH261" i="1"/>
  <c r="BJ261" i="1" s="1"/>
  <c r="BH262" i="1"/>
  <c r="BJ262" i="1" s="1"/>
  <c r="BH263" i="1"/>
  <c r="BJ263" i="1" s="1"/>
  <c r="BH264" i="1"/>
  <c r="BJ264" i="1" s="1"/>
  <c r="BH265" i="1"/>
  <c r="BJ265" i="1" s="1"/>
  <c r="BH266" i="1"/>
  <c r="BJ266" i="1" s="1"/>
  <c r="BH267" i="1"/>
  <c r="BJ267" i="1" s="1"/>
  <c r="BH268" i="1"/>
  <c r="BJ268" i="1" s="1"/>
  <c r="BH269" i="1"/>
  <c r="BJ269" i="1" s="1"/>
  <c r="BH270" i="1"/>
  <c r="BJ270" i="1" s="1"/>
  <c r="BH271" i="1"/>
  <c r="BJ271" i="1" s="1"/>
  <c r="BH272" i="1"/>
  <c r="BJ272" i="1" s="1"/>
  <c r="BH273" i="1"/>
  <c r="BJ273" i="1" s="1"/>
  <c r="BH274" i="1"/>
  <c r="BJ274" i="1" s="1"/>
  <c r="BH275" i="1"/>
  <c r="BJ275" i="1" s="1"/>
  <c r="BH276" i="1"/>
  <c r="BJ276" i="1" s="1"/>
  <c r="BH277" i="1"/>
  <c r="BJ277" i="1" s="1"/>
  <c r="BH278" i="1"/>
  <c r="BJ278" i="1" s="1"/>
  <c r="BH279" i="1"/>
  <c r="BJ279" i="1" s="1"/>
  <c r="BH280" i="1"/>
  <c r="BJ280" i="1" s="1"/>
  <c r="BH281" i="1"/>
  <c r="BJ281" i="1" s="1"/>
  <c r="BH282" i="1"/>
  <c r="BJ282" i="1" s="1"/>
  <c r="BH283" i="1"/>
  <c r="BJ283" i="1" s="1"/>
  <c r="BH284" i="1"/>
  <c r="BJ284" i="1" s="1"/>
  <c r="BH285" i="1"/>
  <c r="BJ285" i="1" s="1"/>
  <c r="BH286" i="1"/>
  <c r="BJ286" i="1" s="1"/>
  <c r="BH287" i="1"/>
  <c r="BJ287" i="1" s="1"/>
  <c r="BH288" i="1"/>
  <c r="BJ288" i="1" s="1"/>
  <c r="BH289" i="1"/>
  <c r="BJ289" i="1" s="1"/>
  <c r="BH290" i="1"/>
  <c r="BJ290" i="1" s="1"/>
  <c r="BH291" i="1"/>
  <c r="BJ291" i="1" s="1"/>
  <c r="BH292" i="1"/>
  <c r="BJ292" i="1" s="1"/>
  <c r="BH293" i="1"/>
  <c r="BJ293" i="1" s="1"/>
  <c r="BH294" i="1"/>
  <c r="BJ294" i="1" s="1"/>
  <c r="BH295" i="1"/>
  <c r="BJ295" i="1" s="1"/>
  <c r="BH296" i="1"/>
  <c r="BJ296" i="1" s="1"/>
  <c r="BH297" i="1"/>
  <c r="BJ297" i="1" s="1"/>
  <c r="BH298" i="1"/>
  <c r="BJ298" i="1" s="1"/>
  <c r="BH299" i="1"/>
  <c r="BJ299" i="1" s="1"/>
  <c r="BH300" i="1"/>
  <c r="BJ300" i="1" s="1"/>
  <c r="BH301" i="1"/>
  <c r="BJ301" i="1" s="1"/>
  <c r="BH302" i="1"/>
  <c r="BJ302" i="1" s="1"/>
  <c r="BH303" i="1"/>
  <c r="BH304" i="1"/>
  <c r="BH305" i="1"/>
  <c r="BJ305" i="1" s="1"/>
  <c r="BH306" i="1"/>
  <c r="BJ306" i="1" s="1"/>
  <c r="BH307" i="1"/>
  <c r="BJ307" i="1" s="1"/>
  <c r="BH308" i="1"/>
  <c r="BJ308" i="1" s="1"/>
  <c r="BH309" i="1"/>
  <c r="BJ309" i="1" s="1"/>
  <c r="BH310" i="1"/>
  <c r="BJ310" i="1" s="1"/>
  <c r="BH311" i="1"/>
  <c r="BJ311" i="1" s="1"/>
  <c r="BH312" i="1"/>
  <c r="BJ312" i="1" s="1"/>
  <c r="BH313" i="1"/>
  <c r="BJ313" i="1" s="1"/>
  <c r="BH314" i="1"/>
  <c r="BJ314" i="1" s="1"/>
  <c r="BH315" i="1"/>
  <c r="BJ315" i="1" s="1"/>
  <c r="BH316" i="1"/>
  <c r="BJ316" i="1" s="1"/>
  <c r="BH317" i="1"/>
  <c r="BJ317" i="1" s="1"/>
  <c r="BH318" i="1"/>
  <c r="BJ318" i="1" s="1"/>
  <c r="BH319" i="1"/>
  <c r="BJ319" i="1" s="1"/>
  <c r="BH320" i="1"/>
  <c r="BJ320" i="1" s="1"/>
  <c r="BH321" i="1"/>
  <c r="BJ321" i="1" s="1"/>
  <c r="BH322" i="1"/>
  <c r="BJ322" i="1" s="1"/>
  <c r="BH323" i="1"/>
  <c r="BJ323" i="1" s="1"/>
  <c r="BH324" i="1"/>
  <c r="BJ324" i="1" s="1"/>
  <c r="BH325" i="1"/>
  <c r="BJ325" i="1" s="1"/>
  <c r="BH326" i="1"/>
  <c r="BJ326" i="1" s="1"/>
  <c r="BH327" i="1"/>
  <c r="BJ327" i="1" s="1"/>
  <c r="BH328" i="1"/>
  <c r="BJ328" i="1" s="1"/>
  <c r="BH329" i="1"/>
  <c r="BJ329" i="1" s="1"/>
  <c r="BH330" i="1"/>
  <c r="BJ330" i="1" s="1"/>
  <c r="BH331" i="1"/>
  <c r="BJ331" i="1" s="1"/>
  <c r="BH332" i="1"/>
  <c r="BJ332" i="1" s="1"/>
  <c r="BH333" i="1"/>
  <c r="BJ333" i="1" s="1"/>
  <c r="BH334" i="1"/>
  <c r="BJ334" i="1" s="1"/>
  <c r="BH335" i="1"/>
  <c r="BH336" i="1"/>
  <c r="BH337" i="1"/>
  <c r="BJ337" i="1" s="1"/>
  <c r="BH338" i="1"/>
  <c r="BJ338" i="1" s="1"/>
  <c r="BH339" i="1"/>
  <c r="BJ339" i="1" s="1"/>
  <c r="BH340" i="1"/>
  <c r="BJ340" i="1" s="1"/>
  <c r="BH341" i="1"/>
  <c r="BJ341" i="1" s="1"/>
  <c r="BH342" i="1"/>
  <c r="BJ342" i="1" s="1"/>
  <c r="BH343" i="1"/>
  <c r="BH344" i="1"/>
  <c r="BJ344" i="1" s="1"/>
  <c r="BH345" i="1"/>
  <c r="BJ345" i="1" s="1"/>
  <c r="BH346" i="1"/>
  <c r="BJ346" i="1" s="1"/>
  <c r="BH347" i="1"/>
  <c r="BJ347" i="1" s="1"/>
  <c r="BH348" i="1"/>
  <c r="BJ348" i="1" s="1"/>
  <c r="BH349" i="1"/>
  <c r="BJ349" i="1" s="1"/>
  <c r="BH350" i="1"/>
  <c r="BJ350" i="1" s="1"/>
  <c r="BH351" i="1"/>
  <c r="BJ351" i="1" s="1"/>
  <c r="BH352" i="1"/>
  <c r="BJ352" i="1" s="1"/>
  <c r="BH353" i="1"/>
  <c r="BJ353" i="1" s="1"/>
  <c r="BH354" i="1"/>
  <c r="BJ354" i="1" s="1"/>
  <c r="BH355" i="1"/>
  <c r="BJ355" i="1" s="1"/>
  <c r="BH356" i="1"/>
  <c r="BJ356" i="1" s="1"/>
  <c r="BH357" i="1"/>
  <c r="BJ357" i="1" s="1"/>
  <c r="BH358" i="1"/>
  <c r="BJ358" i="1" s="1"/>
  <c r="BH359" i="1"/>
  <c r="BJ359" i="1" s="1"/>
  <c r="BH360" i="1"/>
  <c r="BJ360" i="1" s="1"/>
  <c r="BH361" i="1"/>
  <c r="BJ361" i="1" s="1"/>
  <c r="BH362" i="1"/>
  <c r="BJ362" i="1" s="1"/>
  <c r="BH363" i="1"/>
  <c r="BJ363" i="1" s="1"/>
  <c r="BH364" i="1"/>
  <c r="BJ364" i="1" s="1"/>
  <c r="BH365" i="1"/>
  <c r="BJ365" i="1" s="1"/>
  <c r="BH366" i="1"/>
  <c r="BJ366" i="1" s="1"/>
  <c r="BH367" i="1"/>
  <c r="BJ367" i="1" s="1"/>
  <c r="BH368" i="1"/>
  <c r="BJ368" i="1" s="1"/>
  <c r="BH369" i="1"/>
  <c r="BJ369" i="1" s="1"/>
  <c r="BJ239" i="1"/>
  <c r="BJ303" i="1"/>
  <c r="BJ304" i="1"/>
  <c r="BJ335" i="1"/>
  <c r="BJ336" i="1"/>
  <c r="BJ343" i="1"/>
  <c r="BM40" i="1"/>
  <c r="BO40" i="1" s="1"/>
  <c r="BL40" i="1" s="1"/>
  <c r="BM41" i="1"/>
  <c r="BO41" i="1" s="1"/>
  <c r="BL41" i="1" s="1"/>
  <c r="BM45" i="1"/>
  <c r="BM92" i="1"/>
  <c r="BO92" i="1" s="1"/>
  <c r="BL92" i="1" s="1"/>
  <c r="BM93" i="1"/>
  <c r="BO93" i="1" s="1"/>
  <c r="BL93" i="1" s="1"/>
  <c r="BM94" i="1"/>
  <c r="BO94" i="1" s="1"/>
  <c r="BM121" i="1"/>
  <c r="BO121" i="1" s="1"/>
  <c r="BL121" i="1" s="1"/>
  <c r="BM122" i="1"/>
  <c r="BO122" i="1" s="1"/>
  <c r="BL122" i="1" s="1"/>
  <c r="BM123" i="1"/>
  <c r="BO123" i="1" s="1"/>
  <c r="BL123" i="1" s="1"/>
  <c r="BM124" i="1"/>
  <c r="BO124" i="1" s="1"/>
  <c r="BL124" i="1" s="1"/>
  <c r="BM125" i="1"/>
  <c r="BO125" i="1" s="1"/>
  <c r="BL125" i="1" s="1"/>
  <c r="BM126" i="1"/>
  <c r="BO126" i="1" s="1"/>
  <c r="BL126" i="1" s="1"/>
  <c r="BM127" i="1"/>
  <c r="BO127" i="1" s="1"/>
  <c r="BL127" i="1" s="1"/>
  <c r="BM128" i="1"/>
  <c r="BO128" i="1" s="1"/>
  <c r="BL128" i="1" s="1"/>
  <c r="BM129" i="1"/>
  <c r="BO129" i="1" s="1"/>
  <c r="BL129" i="1" s="1"/>
  <c r="BM130" i="1"/>
  <c r="BO130" i="1" s="1"/>
  <c r="BL130" i="1" s="1"/>
  <c r="BM131" i="1"/>
  <c r="BO131" i="1" s="1"/>
  <c r="BL131" i="1" s="1"/>
  <c r="BM132" i="1"/>
  <c r="BM133" i="1"/>
  <c r="BO133" i="1" s="1"/>
  <c r="BL133" i="1" s="1"/>
  <c r="BM134" i="1"/>
  <c r="BO134" i="1" s="1"/>
  <c r="BL134" i="1" s="1"/>
  <c r="BM135" i="1"/>
  <c r="BO135" i="1" s="1"/>
  <c r="BL135" i="1" s="1"/>
  <c r="BM136" i="1"/>
  <c r="BO136" i="1" s="1"/>
  <c r="BL136" i="1" s="1"/>
  <c r="BM137" i="1"/>
  <c r="BO137" i="1" s="1"/>
  <c r="BL137" i="1" s="1"/>
  <c r="BM138" i="1"/>
  <c r="BO138" i="1" s="1"/>
  <c r="BL138" i="1" s="1"/>
  <c r="BM139" i="1"/>
  <c r="BO139" i="1" s="1"/>
  <c r="BL139" i="1" s="1"/>
  <c r="BM140" i="1"/>
  <c r="BO140" i="1" s="1"/>
  <c r="BL140" i="1" s="1"/>
  <c r="BM141" i="1"/>
  <c r="BO141" i="1" s="1"/>
  <c r="BL141" i="1" s="1"/>
  <c r="BM142" i="1"/>
  <c r="BO142" i="1" s="1"/>
  <c r="BL142" i="1" s="1"/>
  <c r="BM143" i="1"/>
  <c r="BO143" i="1" s="1"/>
  <c r="BL143" i="1" s="1"/>
  <c r="BM144" i="1"/>
  <c r="BO144" i="1" s="1"/>
  <c r="BL144" i="1" s="1"/>
  <c r="BM145" i="1"/>
  <c r="BO145" i="1" s="1"/>
  <c r="BL145" i="1" s="1"/>
  <c r="BM146" i="1"/>
  <c r="BO146" i="1" s="1"/>
  <c r="BL146" i="1" s="1"/>
  <c r="BM147" i="1"/>
  <c r="BO147" i="1" s="1"/>
  <c r="BL147" i="1" s="1"/>
  <c r="BM148" i="1"/>
  <c r="BO148" i="1" s="1"/>
  <c r="BL148" i="1" s="1"/>
  <c r="BM149" i="1"/>
  <c r="BO149" i="1" s="1"/>
  <c r="BL149" i="1" s="1"/>
  <c r="BM150" i="1"/>
  <c r="BO150" i="1" s="1"/>
  <c r="BL150" i="1" s="1"/>
  <c r="BM151" i="1"/>
  <c r="BO151" i="1" s="1"/>
  <c r="BL151" i="1" s="1"/>
  <c r="BM152" i="1"/>
  <c r="BO152" i="1" s="1"/>
  <c r="BL152" i="1" s="1"/>
  <c r="BM153" i="1"/>
  <c r="BO153" i="1" s="1"/>
  <c r="BL153" i="1" s="1"/>
  <c r="BM154" i="1"/>
  <c r="BO154" i="1" s="1"/>
  <c r="BL154" i="1" s="1"/>
  <c r="BM155" i="1"/>
  <c r="BO155" i="1" s="1"/>
  <c r="BL155" i="1" s="1"/>
  <c r="BM156" i="1"/>
  <c r="BO156" i="1" s="1"/>
  <c r="BL156" i="1" s="1"/>
  <c r="BM157" i="1"/>
  <c r="BO157" i="1" s="1"/>
  <c r="BL157" i="1" s="1"/>
  <c r="BM158" i="1"/>
  <c r="BO158" i="1" s="1"/>
  <c r="BL158" i="1" s="1"/>
  <c r="BM159" i="1"/>
  <c r="BO159" i="1" s="1"/>
  <c r="BL159" i="1" s="1"/>
  <c r="BM160" i="1"/>
  <c r="BO160" i="1" s="1"/>
  <c r="BL160" i="1" s="1"/>
  <c r="BM161" i="1"/>
  <c r="BO161" i="1" s="1"/>
  <c r="BL161" i="1" s="1"/>
  <c r="BM162" i="1"/>
  <c r="BO162" i="1" s="1"/>
  <c r="BL162" i="1" s="1"/>
  <c r="BM163" i="1"/>
  <c r="BO163" i="1" s="1"/>
  <c r="BL163" i="1" s="1"/>
  <c r="BM164" i="1"/>
  <c r="BO164" i="1" s="1"/>
  <c r="BL164" i="1" s="1"/>
  <c r="BM165" i="1"/>
  <c r="BO165" i="1" s="1"/>
  <c r="BL165" i="1" s="1"/>
  <c r="BM166" i="1"/>
  <c r="BO166" i="1" s="1"/>
  <c r="BL166" i="1" s="1"/>
  <c r="BM167" i="1"/>
  <c r="BO167" i="1" s="1"/>
  <c r="BL167" i="1" s="1"/>
  <c r="BM168" i="1"/>
  <c r="BO168" i="1" s="1"/>
  <c r="BL168" i="1" s="1"/>
  <c r="BM169" i="1"/>
  <c r="BM170" i="1"/>
  <c r="BO170" i="1" s="1"/>
  <c r="BL170" i="1" s="1"/>
  <c r="BM171" i="1"/>
  <c r="BO171" i="1" s="1"/>
  <c r="BL171" i="1" s="1"/>
  <c r="BM172" i="1"/>
  <c r="BO172" i="1" s="1"/>
  <c r="BL172" i="1" s="1"/>
  <c r="BM173" i="1"/>
  <c r="BO173" i="1" s="1"/>
  <c r="BL173" i="1" s="1"/>
  <c r="BM174" i="1"/>
  <c r="BO174" i="1" s="1"/>
  <c r="BL174" i="1" s="1"/>
  <c r="BM175" i="1"/>
  <c r="BO175" i="1" s="1"/>
  <c r="BL175" i="1" s="1"/>
  <c r="BM176" i="1"/>
  <c r="BO176" i="1" s="1"/>
  <c r="BL176" i="1" s="1"/>
  <c r="BM177" i="1"/>
  <c r="BO177" i="1" s="1"/>
  <c r="BL177" i="1" s="1"/>
  <c r="BM178" i="1"/>
  <c r="BO178" i="1" s="1"/>
  <c r="BL178" i="1" s="1"/>
  <c r="BM179" i="1"/>
  <c r="BO179" i="1" s="1"/>
  <c r="BL179" i="1" s="1"/>
  <c r="BM180" i="1"/>
  <c r="BO180" i="1" s="1"/>
  <c r="BL180" i="1" s="1"/>
  <c r="BM181" i="1"/>
  <c r="BO181" i="1" s="1"/>
  <c r="BL181" i="1" s="1"/>
  <c r="BM182" i="1"/>
  <c r="BO182" i="1" s="1"/>
  <c r="BL182" i="1" s="1"/>
  <c r="BM183" i="1"/>
  <c r="BO183" i="1" s="1"/>
  <c r="BL183" i="1" s="1"/>
  <c r="BM184" i="1"/>
  <c r="BO184" i="1" s="1"/>
  <c r="BL184" i="1" s="1"/>
  <c r="BM185" i="1"/>
  <c r="BO185" i="1" s="1"/>
  <c r="BL185" i="1" s="1"/>
  <c r="BM186" i="1"/>
  <c r="BO186" i="1" s="1"/>
  <c r="BL186" i="1" s="1"/>
  <c r="BM187" i="1"/>
  <c r="BO187" i="1" s="1"/>
  <c r="BL187" i="1" s="1"/>
  <c r="BM188" i="1"/>
  <c r="BO188" i="1" s="1"/>
  <c r="BL188" i="1" s="1"/>
  <c r="BM189" i="1"/>
  <c r="BO189" i="1" s="1"/>
  <c r="BL189" i="1" s="1"/>
  <c r="BM190" i="1"/>
  <c r="BO190" i="1" s="1"/>
  <c r="BL190" i="1" s="1"/>
  <c r="BM191" i="1"/>
  <c r="BO191" i="1" s="1"/>
  <c r="BL191" i="1" s="1"/>
  <c r="BM192" i="1"/>
  <c r="BO192" i="1" s="1"/>
  <c r="BL192" i="1" s="1"/>
  <c r="BM193" i="1"/>
  <c r="BO193" i="1" s="1"/>
  <c r="BL193" i="1" s="1"/>
  <c r="BM194" i="1"/>
  <c r="BO194" i="1" s="1"/>
  <c r="BL194" i="1" s="1"/>
  <c r="BM195" i="1"/>
  <c r="BO195" i="1" s="1"/>
  <c r="BL195" i="1" s="1"/>
  <c r="BM196" i="1"/>
  <c r="BM197" i="1"/>
  <c r="BO197" i="1" s="1"/>
  <c r="BL197" i="1" s="1"/>
  <c r="BM198" i="1"/>
  <c r="BO198" i="1" s="1"/>
  <c r="BL198" i="1" s="1"/>
  <c r="BM199" i="1"/>
  <c r="BO199" i="1" s="1"/>
  <c r="BL199" i="1" s="1"/>
  <c r="BM200" i="1"/>
  <c r="BO200" i="1" s="1"/>
  <c r="BL200" i="1" s="1"/>
  <c r="BM201" i="1"/>
  <c r="BO201" i="1" s="1"/>
  <c r="BL201" i="1" s="1"/>
  <c r="BM202" i="1"/>
  <c r="BO202" i="1" s="1"/>
  <c r="BL202" i="1" s="1"/>
  <c r="BM203" i="1"/>
  <c r="BO203" i="1" s="1"/>
  <c r="BL203" i="1" s="1"/>
  <c r="BM204" i="1"/>
  <c r="BO204" i="1" s="1"/>
  <c r="BL204" i="1" s="1"/>
  <c r="BM205" i="1"/>
  <c r="BO205" i="1" s="1"/>
  <c r="BL205" i="1" s="1"/>
  <c r="BM206" i="1"/>
  <c r="BO206" i="1" s="1"/>
  <c r="BL206" i="1" s="1"/>
  <c r="BM207" i="1"/>
  <c r="BO207" i="1" s="1"/>
  <c r="BL207" i="1" s="1"/>
  <c r="BM208" i="1"/>
  <c r="BO208" i="1" s="1"/>
  <c r="BL208" i="1" s="1"/>
  <c r="BM209" i="1"/>
  <c r="BO209" i="1" s="1"/>
  <c r="BL209" i="1" s="1"/>
  <c r="BM210" i="1"/>
  <c r="BO210" i="1" s="1"/>
  <c r="BL210" i="1" s="1"/>
  <c r="BM211" i="1"/>
  <c r="BO211" i="1" s="1"/>
  <c r="BL211" i="1" s="1"/>
  <c r="BM212" i="1"/>
  <c r="BO212" i="1" s="1"/>
  <c r="BL212" i="1" s="1"/>
  <c r="BM213" i="1"/>
  <c r="BO213" i="1" s="1"/>
  <c r="BL213" i="1" s="1"/>
  <c r="BM214" i="1"/>
  <c r="BO214" i="1" s="1"/>
  <c r="BL214" i="1" s="1"/>
  <c r="BM215" i="1"/>
  <c r="BO215" i="1" s="1"/>
  <c r="BL215" i="1" s="1"/>
  <c r="BM216" i="1"/>
  <c r="BO216" i="1" s="1"/>
  <c r="BL216" i="1" s="1"/>
  <c r="BM217" i="1"/>
  <c r="BO217" i="1" s="1"/>
  <c r="BL217" i="1" s="1"/>
  <c r="BM218" i="1"/>
  <c r="BO218" i="1" s="1"/>
  <c r="BL218" i="1" s="1"/>
  <c r="BM219" i="1"/>
  <c r="BO219" i="1" s="1"/>
  <c r="BL219" i="1" s="1"/>
  <c r="BM220" i="1"/>
  <c r="BO220" i="1" s="1"/>
  <c r="BL220" i="1" s="1"/>
  <c r="BM221" i="1"/>
  <c r="BO221" i="1" s="1"/>
  <c r="BL221" i="1" s="1"/>
  <c r="BM222" i="1"/>
  <c r="BO222" i="1" s="1"/>
  <c r="BL222" i="1" s="1"/>
  <c r="BM223" i="1"/>
  <c r="BO223" i="1" s="1"/>
  <c r="BL223" i="1" s="1"/>
  <c r="BM224" i="1"/>
  <c r="BO224" i="1" s="1"/>
  <c r="BL224" i="1" s="1"/>
  <c r="BM225" i="1"/>
  <c r="BO225" i="1" s="1"/>
  <c r="BL225" i="1" s="1"/>
  <c r="BM226" i="1"/>
  <c r="BO226" i="1" s="1"/>
  <c r="BL226" i="1" s="1"/>
  <c r="BM227" i="1"/>
  <c r="BO227" i="1" s="1"/>
  <c r="BL227" i="1" s="1"/>
  <c r="BM228" i="1"/>
  <c r="BO228" i="1" s="1"/>
  <c r="BL228" i="1" s="1"/>
  <c r="BM229" i="1"/>
  <c r="BO229" i="1" s="1"/>
  <c r="BL229" i="1" s="1"/>
  <c r="BM230" i="1"/>
  <c r="BO230" i="1" s="1"/>
  <c r="BL230" i="1" s="1"/>
  <c r="BM231" i="1"/>
  <c r="BO231" i="1" s="1"/>
  <c r="BL231" i="1" s="1"/>
  <c r="BM232" i="1"/>
  <c r="BO232" i="1" s="1"/>
  <c r="BL232" i="1" s="1"/>
  <c r="BM233" i="1"/>
  <c r="BO233" i="1" s="1"/>
  <c r="BL233" i="1" s="1"/>
  <c r="BM234" i="1"/>
  <c r="BO234" i="1" s="1"/>
  <c r="BL234" i="1" s="1"/>
  <c r="BM235" i="1"/>
  <c r="BO235" i="1" s="1"/>
  <c r="BL235" i="1" s="1"/>
  <c r="BM236" i="1"/>
  <c r="BO236" i="1" s="1"/>
  <c r="BL236" i="1" s="1"/>
  <c r="BM237" i="1"/>
  <c r="BO237" i="1" s="1"/>
  <c r="BL237" i="1" s="1"/>
  <c r="BM238" i="1"/>
  <c r="BO238" i="1" s="1"/>
  <c r="BL238" i="1" s="1"/>
  <c r="BM239" i="1"/>
  <c r="BO239" i="1" s="1"/>
  <c r="BL239" i="1" s="1"/>
  <c r="BM240" i="1"/>
  <c r="BO240" i="1" s="1"/>
  <c r="BL240" i="1" s="1"/>
  <c r="BM241" i="1"/>
  <c r="BO241" i="1" s="1"/>
  <c r="BL241" i="1" s="1"/>
  <c r="BM242" i="1"/>
  <c r="BO242" i="1" s="1"/>
  <c r="BL242" i="1" s="1"/>
  <c r="BM243" i="1"/>
  <c r="BO243" i="1" s="1"/>
  <c r="BL243" i="1" s="1"/>
  <c r="BM244" i="1"/>
  <c r="BO244" i="1" s="1"/>
  <c r="BL244" i="1" s="1"/>
  <c r="BM245" i="1"/>
  <c r="BO245" i="1" s="1"/>
  <c r="BL245" i="1" s="1"/>
  <c r="BM246" i="1"/>
  <c r="BO246" i="1" s="1"/>
  <c r="BL246" i="1" s="1"/>
  <c r="BM247" i="1"/>
  <c r="BO247" i="1" s="1"/>
  <c r="BL247" i="1" s="1"/>
  <c r="BM248" i="1"/>
  <c r="BO248" i="1" s="1"/>
  <c r="BL248" i="1" s="1"/>
  <c r="BM249" i="1"/>
  <c r="BO249" i="1" s="1"/>
  <c r="BL249" i="1" s="1"/>
  <c r="BM250" i="1"/>
  <c r="BO250" i="1" s="1"/>
  <c r="BL250" i="1" s="1"/>
  <c r="BM251" i="1"/>
  <c r="BO251" i="1" s="1"/>
  <c r="BL251" i="1" s="1"/>
  <c r="BM252" i="1"/>
  <c r="BO252" i="1" s="1"/>
  <c r="BL252" i="1" s="1"/>
  <c r="BM253" i="1"/>
  <c r="BO253" i="1" s="1"/>
  <c r="BL253" i="1" s="1"/>
  <c r="BM254" i="1"/>
  <c r="BO254" i="1" s="1"/>
  <c r="BL254" i="1" s="1"/>
  <c r="BM255" i="1"/>
  <c r="BO255" i="1" s="1"/>
  <c r="BL255" i="1" s="1"/>
  <c r="BM256" i="1"/>
  <c r="BO256" i="1" s="1"/>
  <c r="BL256" i="1" s="1"/>
  <c r="BM257" i="1"/>
  <c r="BO257" i="1" s="1"/>
  <c r="BL257" i="1" s="1"/>
  <c r="BM258" i="1"/>
  <c r="BO258" i="1" s="1"/>
  <c r="BL258" i="1" s="1"/>
  <c r="BM259" i="1"/>
  <c r="BO259" i="1" s="1"/>
  <c r="BL259" i="1" s="1"/>
  <c r="BM260" i="1"/>
  <c r="BO260" i="1" s="1"/>
  <c r="BL260" i="1" s="1"/>
  <c r="BM261" i="1"/>
  <c r="BO261" i="1" s="1"/>
  <c r="BL261" i="1" s="1"/>
  <c r="BM262" i="1"/>
  <c r="BO262" i="1" s="1"/>
  <c r="BL262" i="1" s="1"/>
  <c r="BM263" i="1"/>
  <c r="BO263" i="1" s="1"/>
  <c r="BL263" i="1" s="1"/>
  <c r="BM264" i="1"/>
  <c r="BO264" i="1" s="1"/>
  <c r="BL264" i="1" s="1"/>
  <c r="BM265" i="1"/>
  <c r="BO265" i="1" s="1"/>
  <c r="BL265" i="1" s="1"/>
  <c r="BM266" i="1"/>
  <c r="BO266" i="1" s="1"/>
  <c r="BL266" i="1" s="1"/>
  <c r="BM267" i="1"/>
  <c r="BO267" i="1" s="1"/>
  <c r="BL267" i="1" s="1"/>
  <c r="BM268" i="1"/>
  <c r="BO268" i="1" s="1"/>
  <c r="BL268" i="1" s="1"/>
  <c r="BM269" i="1"/>
  <c r="BO269" i="1" s="1"/>
  <c r="BL269" i="1" s="1"/>
  <c r="BM270" i="1"/>
  <c r="BO270" i="1" s="1"/>
  <c r="BL270" i="1" s="1"/>
  <c r="BM271" i="1"/>
  <c r="BO271" i="1" s="1"/>
  <c r="BL271" i="1" s="1"/>
  <c r="BM272" i="1"/>
  <c r="BO272" i="1" s="1"/>
  <c r="BL272" i="1" s="1"/>
  <c r="BM273" i="1"/>
  <c r="BO273" i="1" s="1"/>
  <c r="BL273" i="1" s="1"/>
  <c r="BM274" i="1"/>
  <c r="BO274" i="1" s="1"/>
  <c r="BL274" i="1" s="1"/>
  <c r="BM275" i="1"/>
  <c r="BO275" i="1" s="1"/>
  <c r="BL275" i="1" s="1"/>
  <c r="BM276" i="1"/>
  <c r="BO276" i="1" s="1"/>
  <c r="BL276" i="1" s="1"/>
  <c r="BM277" i="1"/>
  <c r="BO277" i="1" s="1"/>
  <c r="BL277" i="1" s="1"/>
  <c r="BM278" i="1"/>
  <c r="BO278" i="1" s="1"/>
  <c r="BL278" i="1" s="1"/>
  <c r="BM279" i="1"/>
  <c r="BO279" i="1" s="1"/>
  <c r="BL279" i="1" s="1"/>
  <c r="BM280" i="1"/>
  <c r="BO280" i="1" s="1"/>
  <c r="BL280" i="1" s="1"/>
  <c r="BM281" i="1"/>
  <c r="BO281" i="1" s="1"/>
  <c r="BL281" i="1" s="1"/>
  <c r="BM282" i="1"/>
  <c r="BO282" i="1" s="1"/>
  <c r="BL282" i="1" s="1"/>
  <c r="BM283" i="1"/>
  <c r="BO283" i="1" s="1"/>
  <c r="BL283" i="1" s="1"/>
  <c r="BM284" i="1"/>
  <c r="BO284" i="1" s="1"/>
  <c r="BL284" i="1" s="1"/>
  <c r="BM285" i="1"/>
  <c r="BO285" i="1" s="1"/>
  <c r="BL285" i="1" s="1"/>
  <c r="BM286" i="1"/>
  <c r="BO286" i="1" s="1"/>
  <c r="BL286" i="1" s="1"/>
  <c r="BM287" i="1"/>
  <c r="BO287" i="1" s="1"/>
  <c r="BL287" i="1" s="1"/>
  <c r="BM288" i="1"/>
  <c r="BO288" i="1" s="1"/>
  <c r="BL288" i="1" s="1"/>
  <c r="BM289" i="1"/>
  <c r="BO289" i="1" s="1"/>
  <c r="BL289" i="1" s="1"/>
  <c r="BM290" i="1"/>
  <c r="BO290" i="1" s="1"/>
  <c r="BL290" i="1" s="1"/>
  <c r="BM291" i="1"/>
  <c r="BO291" i="1" s="1"/>
  <c r="BL291" i="1" s="1"/>
  <c r="BM292" i="1"/>
  <c r="BO292" i="1" s="1"/>
  <c r="BL292" i="1" s="1"/>
  <c r="BM293" i="1"/>
  <c r="BO293" i="1" s="1"/>
  <c r="BL293" i="1" s="1"/>
  <c r="BM294" i="1"/>
  <c r="BO294" i="1" s="1"/>
  <c r="BL294" i="1" s="1"/>
  <c r="BM295" i="1"/>
  <c r="BO295" i="1" s="1"/>
  <c r="BL295" i="1" s="1"/>
  <c r="BM296" i="1"/>
  <c r="BO296" i="1" s="1"/>
  <c r="BL296" i="1" s="1"/>
  <c r="BM297" i="1"/>
  <c r="BO297" i="1" s="1"/>
  <c r="BL297" i="1" s="1"/>
  <c r="BM298" i="1"/>
  <c r="BO298" i="1" s="1"/>
  <c r="BL298" i="1" s="1"/>
  <c r="BM299" i="1"/>
  <c r="BO299" i="1" s="1"/>
  <c r="BL299" i="1" s="1"/>
  <c r="BM300" i="1"/>
  <c r="BO300" i="1" s="1"/>
  <c r="BL300" i="1" s="1"/>
  <c r="BM301" i="1"/>
  <c r="BO301" i="1" s="1"/>
  <c r="BL301" i="1" s="1"/>
  <c r="BM302" i="1"/>
  <c r="BO302" i="1" s="1"/>
  <c r="BL302" i="1" s="1"/>
  <c r="BM303" i="1"/>
  <c r="BO303" i="1" s="1"/>
  <c r="BL303" i="1" s="1"/>
  <c r="BM304" i="1"/>
  <c r="BO304" i="1" s="1"/>
  <c r="BL304" i="1" s="1"/>
  <c r="BM305" i="1"/>
  <c r="BO305" i="1" s="1"/>
  <c r="BL305" i="1" s="1"/>
  <c r="BM306" i="1"/>
  <c r="BO306" i="1" s="1"/>
  <c r="BL306" i="1" s="1"/>
  <c r="BM307" i="1"/>
  <c r="BO307" i="1" s="1"/>
  <c r="BL307" i="1" s="1"/>
  <c r="BM308" i="1"/>
  <c r="BO308" i="1" s="1"/>
  <c r="BL308" i="1" s="1"/>
  <c r="BM309" i="1"/>
  <c r="BO309" i="1" s="1"/>
  <c r="BL309" i="1" s="1"/>
  <c r="BM310" i="1"/>
  <c r="BO310" i="1" s="1"/>
  <c r="BL310" i="1" s="1"/>
  <c r="BM311" i="1"/>
  <c r="BO311" i="1" s="1"/>
  <c r="BL311" i="1" s="1"/>
  <c r="BM312" i="1"/>
  <c r="BO312" i="1" s="1"/>
  <c r="BL312" i="1" s="1"/>
  <c r="BM313" i="1"/>
  <c r="BO313" i="1" s="1"/>
  <c r="BL313" i="1" s="1"/>
  <c r="BM314" i="1"/>
  <c r="BO314" i="1" s="1"/>
  <c r="BL314" i="1" s="1"/>
  <c r="BM315" i="1"/>
  <c r="BO315" i="1" s="1"/>
  <c r="BL315" i="1" s="1"/>
  <c r="BM316" i="1"/>
  <c r="BO316" i="1" s="1"/>
  <c r="BL316" i="1" s="1"/>
  <c r="BM317" i="1"/>
  <c r="BO317" i="1" s="1"/>
  <c r="BL317" i="1" s="1"/>
  <c r="BM318" i="1"/>
  <c r="BO318" i="1" s="1"/>
  <c r="BL318" i="1" s="1"/>
  <c r="BM319" i="1"/>
  <c r="BO319" i="1" s="1"/>
  <c r="BL319" i="1" s="1"/>
  <c r="BM320" i="1"/>
  <c r="BO320" i="1" s="1"/>
  <c r="BL320" i="1" s="1"/>
  <c r="BM321" i="1"/>
  <c r="BO321" i="1" s="1"/>
  <c r="BL321" i="1" s="1"/>
  <c r="BM322" i="1"/>
  <c r="BO322" i="1" s="1"/>
  <c r="BL322" i="1" s="1"/>
  <c r="BM323" i="1"/>
  <c r="BO323" i="1" s="1"/>
  <c r="BL323" i="1" s="1"/>
  <c r="BM324" i="1"/>
  <c r="BO324" i="1" s="1"/>
  <c r="BL324" i="1" s="1"/>
  <c r="BM325" i="1"/>
  <c r="BO325" i="1" s="1"/>
  <c r="BL325" i="1" s="1"/>
  <c r="BM326" i="1"/>
  <c r="BO326" i="1" s="1"/>
  <c r="BL326" i="1" s="1"/>
  <c r="BM327" i="1"/>
  <c r="BO327" i="1" s="1"/>
  <c r="BL327" i="1" s="1"/>
  <c r="BM328" i="1"/>
  <c r="BO328" i="1" s="1"/>
  <c r="BL328" i="1" s="1"/>
  <c r="BM329" i="1"/>
  <c r="BO329" i="1" s="1"/>
  <c r="BL329" i="1" s="1"/>
  <c r="BM330" i="1"/>
  <c r="BO330" i="1" s="1"/>
  <c r="BL330" i="1" s="1"/>
  <c r="BM331" i="1"/>
  <c r="BO331" i="1" s="1"/>
  <c r="BL331" i="1" s="1"/>
  <c r="BM332" i="1"/>
  <c r="BO332" i="1" s="1"/>
  <c r="BL332" i="1" s="1"/>
  <c r="BM333" i="1"/>
  <c r="BO333" i="1" s="1"/>
  <c r="BL333" i="1" s="1"/>
  <c r="BM334" i="1"/>
  <c r="BO334" i="1" s="1"/>
  <c r="BL334" i="1" s="1"/>
  <c r="BM335" i="1"/>
  <c r="BO335" i="1" s="1"/>
  <c r="BL335" i="1" s="1"/>
  <c r="BM336" i="1"/>
  <c r="BO336" i="1" s="1"/>
  <c r="BL336" i="1" s="1"/>
  <c r="BM337" i="1"/>
  <c r="BO337" i="1" s="1"/>
  <c r="BL337" i="1" s="1"/>
  <c r="BM338" i="1"/>
  <c r="BO338" i="1" s="1"/>
  <c r="BL338" i="1" s="1"/>
  <c r="BM339" i="1"/>
  <c r="BO339" i="1" s="1"/>
  <c r="BL339" i="1" s="1"/>
  <c r="BM340" i="1"/>
  <c r="BO340" i="1" s="1"/>
  <c r="BL340" i="1" s="1"/>
  <c r="BM341" i="1"/>
  <c r="BO341" i="1" s="1"/>
  <c r="BL341" i="1" s="1"/>
  <c r="BM342" i="1"/>
  <c r="BO342" i="1" s="1"/>
  <c r="BL342" i="1" s="1"/>
  <c r="BM343" i="1"/>
  <c r="BO343" i="1" s="1"/>
  <c r="BL343" i="1" s="1"/>
  <c r="BM344" i="1"/>
  <c r="BO344" i="1" s="1"/>
  <c r="BL344" i="1" s="1"/>
  <c r="BM345" i="1"/>
  <c r="BO345" i="1" s="1"/>
  <c r="BL345" i="1" s="1"/>
  <c r="BM346" i="1"/>
  <c r="BO346" i="1" s="1"/>
  <c r="BL346" i="1" s="1"/>
  <c r="BM347" i="1"/>
  <c r="BO347" i="1" s="1"/>
  <c r="BL347" i="1" s="1"/>
  <c r="BM348" i="1"/>
  <c r="BO348" i="1" s="1"/>
  <c r="BL348" i="1" s="1"/>
  <c r="BM349" i="1"/>
  <c r="BO349" i="1" s="1"/>
  <c r="BL349" i="1" s="1"/>
  <c r="BM350" i="1"/>
  <c r="BO350" i="1" s="1"/>
  <c r="BL350" i="1" s="1"/>
  <c r="BM351" i="1"/>
  <c r="BO351" i="1" s="1"/>
  <c r="BL351" i="1" s="1"/>
  <c r="BM352" i="1"/>
  <c r="BO352" i="1" s="1"/>
  <c r="BL352" i="1" s="1"/>
  <c r="BM353" i="1"/>
  <c r="BO353" i="1" s="1"/>
  <c r="BL353" i="1" s="1"/>
  <c r="BM354" i="1"/>
  <c r="BO354" i="1" s="1"/>
  <c r="BL354" i="1" s="1"/>
  <c r="BM355" i="1"/>
  <c r="BO355" i="1" s="1"/>
  <c r="BL355" i="1" s="1"/>
  <c r="BM356" i="1"/>
  <c r="BO356" i="1" s="1"/>
  <c r="BL356" i="1" s="1"/>
  <c r="BM357" i="1"/>
  <c r="BO357" i="1" s="1"/>
  <c r="BL357" i="1" s="1"/>
  <c r="BM358" i="1"/>
  <c r="BO358" i="1" s="1"/>
  <c r="BL358" i="1" s="1"/>
  <c r="BM359" i="1"/>
  <c r="BO359" i="1" s="1"/>
  <c r="BL359" i="1" s="1"/>
  <c r="BM360" i="1"/>
  <c r="BO360" i="1" s="1"/>
  <c r="BL360" i="1" s="1"/>
  <c r="BM361" i="1"/>
  <c r="BO361" i="1" s="1"/>
  <c r="BL361" i="1" s="1"/>
  <c r="BM362" i="1"/>
  <c r="BO362" i="1" s="1"/>
  <c r="BL362" i="1" s="1"/>
  <c r="BM363" i="1"/>
  <c r="BO363" i="1" s="1"/>
  <c r="BL363" i="1" s="1"/>
  <c r="BM364" i="1"/>
  <c r="BO364" i="1" s="1"/>
  <c r="BL364" i="1" s="1"/>
  <c r="BM365" i="1"/>
  <c r="BO365" i="1" s="1"/>
  <c r="BL365" i="1" s="1"/>
  <c r="BM366" i="1"/>
  <c r="BO366" i="1" s="1"/>
  <c r="BL366" i="1" s="1"/>
  <c r="BM367" i="1"/>
  <c r="BO367" i="1" s="1"/>
  <c r="BL367" i="1" s="1"/>
  <c r="BM368" i="1"/>
  <c r="BO368" i="1" s="1"/>
  <c r="BL368" i="1" s="1"/>
  <c r="BM369" i="1"/>
  <c r="BO369" i="1" s="1"/>
  <c r="BL369" i="1" s="1"/>
  <c r="BO132" i="1"/>
  <c r="BL132" i="1" s="1"/>
  <c r="BO169" i="1"/>
  <c r="BL169" i="1" s="1"/>
  <c r="BO196" i="1"/>
  <c r="BL196" i="1" s="1"/>
  <c r="B33" i="20"/>
  <c r="C33" i="20"/>
  <c r="D33" i="20"/>
  <c r="B31" i="20"/>
  <c r="B32" i="20"/>
  <c r="C31" i="20"/>
  <c r="C32" i="20"/>
  <c r="D31" i="20"/>
  <c r="D32" i="20"/>
  <c r="B30" i="20"/>
  <c r="C30" i="20"/>
  <c r="D30" i="20"/>
  <c r="BI13" i="1"/>
  <c r="Y28" i="1"/>
  <c r="Y27" i="1"/>
  <c r="Y24" i="1"/>
  <c r="Y23" i="1"/>
  <c r="Y22" i="1"/>
  <c r="Y21" i="1"/>
  <c r="Y20" i="1"/>
  <c r="Y19" i="1"/>
  <c r="Y18" i="1"/>
  <c r="Y17" i="1"/>
  <c r="Y16" i="1"/>
  <c r="Y15" i="1"/>
  <c r="Y14" i="1"/>
  <c r="F91" i="38" s="1"/>
  <c r="Y13" i="1"/>
  <c r="B29" i="20"/>
  <c r="C29" i="20"/>
  <c r="D29" i="20"/>
  <c r="B28" i="20"/>
  <c r="C28" i="20"/>
  <c r="D28" i="20"/>
  <c r="B27" i="20"/>
  <c r="C27" i="20"/>
  <c r="D27" i="20"/>
  <c r="B26" i="20"/>
  <c r="C26" i="20"/>
  <c r="D26" i="20"/>
  <c r="B25" i="20"/>
  <c r="C25" i="20"/>
  <c r="D25" i="20"/>
  <c r="AK12" i="1"/>
  <c r="O12" i="1"/>
  <c r="T13" i="38" s="1"/>
  <c r="J12" i="1"/>
  <c r="AK11" i="1"/>
  <c r="O11" i="1"/>
  <c r="J11" i="1"/>
  <c r="B24" i="20"/>
  <c r="C24" i="20"/>
  <c r="D24" i="20"/>
  <c r="B23" i="20"/>
  <c r="C23" i="20"/>
  <c r="D23" i="20"/>
  <c r="B22" i="20"/>
  <c r="C22" i="20"/>
  <c r="D22" i="20"/>
  <c r="B21" i="20"/>
  <c r="C21" i="20"/>
  <c r="D21" i="20"/>
  <c r="B20" i="20"/>
  <c r="C20" i="20"/>
  <c r="D20" i="20"/>
  <c r="T10" i="1"/>
  <c r="AK10" i="1"/>
  <c r="B19" i="20"/>
  <c r="C19" i="20"/>
  <c r="D19" i="20"/>
  <c r="B18" i="20"/>
  <c r="C18" i="20"/>
  <c r="D18" i="20"/>
  <c r="B17" i="20"/>
  <c r="C17" i="20"/>
  <c r="D17" i="20"/>
  <c r="B16" i="20"/>
  <c r="C16" i="20"/>
  <c r="D16" i="20"/>
  <c r="B15" i="20"/>
  <c r="C15" i="20"/>
  <c r="D15" i="20"/>
  <c r="B14" i="20"/>
  <c r="C14" i="20"/>
  <c r="D14" i="20"/>
  <c r="O10" i="1"/>
  <c r="J10" i="1"/>
  <c r="A9" i="1"/>
  <c r="A10" i="1"/>
  <c r="A11" i="1"/>
  <c r="A12" i="1"/>
  <c r="A13" i="1"/>
  <c r="A14" i="1"/>
  <c r="A15" i="1"/>
  <c r="A16" i="1"/>
  <c r="A17" i="1"/>
  <c r="A18" i="1"/>
  <c r="A19" i="1"/>
  <c r="A20" i="1"/>
  <c r="A21" i="1"/>
  <c r="A22" i="1"/>
  <c r="B11" i="20"/>
  <c r="B12" i="20"/>
  <c r="B13" i="20"/>
  <c r="C11" i="20"/>
  <c r="C12" i="20"/>
  <c r="C13" i="20"/>
  <c r="D11" i="20"/>
  <c r="D12" i="20"/>
  <c r="D13" i="20"/>
  <c r="B10" i="20"/>
  <c r="C10" i="20"/>
  <c r="D10" i="20"/>
  <c r="B9" i="20"/>
  <c r="C9" i="20"/>
  <c r="D9" i="20"/>
  <c r="B8" i="20"/>
  <c r="C8" i="20"/>
  <c r="D8" i="20"/>
  <c r="E9" i="1"/>
  <c r="E10" i="1"/>
  <c r="E11" i="1"/>
  <c r="E12" i="1"/>
  <c r="E13" i="1"/>
  <c r="E14" i="1"/>
  <c r="E15" i="1"/>
  <c r="E16" i="1"/>
  <c r="F6" i="38" s="1"/>
  <c r="E17" i="1"/>
  <c r="E18" i="1"/>
  <c r="E19" i="1"/>
  <c r="E20" i="1"/>
  <c r="E21" i="1"/>
  <c r="E22" i="1"/>
  <c r="E23" i="1"/>
  <c r="E24" i="1"/>
  <c r="E25" i="1"/>
  <c r="E26" i="1"/>
  <c r="E27" i="1"/>
  <c r="E28" i="1"/>
  <c r="E29" i="1"/>
  <c r="E30" i="1"/>
  <c r="E31" i="1"/>
  <c r="E32" i="1"/>
  <c r="E33" i="1"/>
  <c r="E34" i="1"/>
  <c r="E35" i="1"/>
  <c r="E37" i="1"/>
  <c r="G37" i="1" s="1"/>
  <c r="D37" i="1" s="1"/>
  <c r="E38" i="1"/>
  <c r="G38" i="1" s="1"/>
  <c r="D38" i="1" s="1"/>
  <c r="J9" i="1"/>
  <c r="J13" i="1"/>
  <c r="J14" i="1"/>
  <c r="O9" i="1"/>
  <c r="O13" i="1"/>
  <c r="O14" i="1"/>
  <c r="Q20" i="1"/>
  <c r="T9" i="1"/>
  <c r="T11" i="1"/>
  <c r="T12" i="1"/>
  <c r="T13" i="1"/>
  <c r="T14" i="1"/>
  <c r="T15" i="1"/>
  <c r="T16" i="1"/>
  <c r="M44" i="38" s="1"/>
  <c r="T17" i="1"/>
  <c r="T18" i="1"/>
  <c r="T19" i="1"/>
  <c r="T20" i="1"/>
  <c r="T21" i="1"/>
  <c r="T22" i="1"/>
  <c r="T23" i="1"/>
  <c r="T24" i="1"/>
  <c r="T25" i="1"/>
  <c r="T26" i="1"/>
  <c r="T27" i="1"/>
  <c r="T28" i="1"/>
  <c r="T30" i="1"/>
  <c r="Y9" i="1"/>
  <c r="Y10" i="1"/>
  <c r="Y11" i="1"/>
  <c r="Y12" i="1"/>
  <c r="AD9" i="1"/>
  <c r="AD10" i="1"/>
  <c r="AD11" i="1"/>
  <c r="AD12" i="1"/>
  <c r="AD13" i="1"/>
  <c r="AD14" i="1"/>
  <c r="AD15" i="1"/>
  <c r="AD16" i="1"/>
  <c r="M82" i="38" s="1"/>
  <c r="AD17" i="1"/>
  <c r="AD18" i="1"/>
  <c r="AD19" i="1"/>
  <c r="AD20" i="1"/>
  <c r="AD21" i="1"/>
  <c r="AD22" i="1"/>
  <c r="AD23" i="1"/>
  <c r="AD24" i="1"/>
  <c r="AD25" i="1"/>
  <c r="AD26" i="1"/>
  <c r="AK9" i="1"/>
  <c r="AK13" i="1"/>
  <c r="AK14" i="1"/>
  <c r="AN9" i="1"/>
  <c r="AN10" i="1"/>
  <c r="AN11" i="1"/>
  <c r="AN12" i="1"/>
  <c r="AN13" i="1"/>
  <c r="AN14" i="1"/>
  <c r="AN15" i="1"/>
  <c r="AN16" i="1"/>
  <c r="F44" i="38" s="1"/>
  <c r="AN17" i="1"/>
  <c r="AN18" i="1"/>
  <c r="AN19" i="1"/>
  <c r="AN20" i="1"/>
  <c r="AN21" i="1"/>
  <c r="AN22" i="1"/>
  <c r="AN23" i="1"/>
  <c r="AN24" i="1"/>
  <c r="AN25" i="1"/>
  <c r="AN26" i="1"/>
  <c r="AN27" i="1"/>
  <c r="AN28" i="1"/>
  <c r="AN29" i="1"/>
  <c r="AN30" i="1"/>
  <c r="AN31" i="1"/>
  <c r="AN32" i="1"/>
  <c r="AN33" i="1"/>
  <c r="AN34" i="1"/>
  <c r="AS9" i="1"/>
  <c r="AU9" i="1" s="1"/>
  <c r="AR9" i="1" s="1"/>
  <c r="AS10" i="1"/>
  <c r="AU10" i="1" s="1"/>
  <c r="AR10" i="1" s="1"/>
  <c r="AS11" i="1"/>
  <c r="AU11" i="1" s="1"/>
  <c r="AR11" i="1" s="1"/>
  <c r="AS12" i="1"/>
  <c r="AU12" i="1" s="1"/>
  <c r="AR12" i="1" s="1"/>
  <c r="AS13" i="1"/>
  <c r="AU13" i="1" s="1"/>
  <c r="AR13" i="1" s="1"/>
  <c r="AS14" i="1"/>
  <c r="AU14" i="1" s="1"/>
  <c r="AR14" i="1" s="1"/>
  <c r="AS15" i="1"/>
  <c r="AU15" i="1" s="1"/>
  <c r="AR15" i="1" s="1"/>
  <c r="AS16" i="1"/>
  <c r="AU16" i="1" s="1"/>
  <c r="AR16" i="1" s="1"/>
  <c r="AS17" i="1"/>
  <c r="AU17" i="1" s="1"/>
  <c r="AR17" i="1" s="1"/>
  <c r="AS18" i="1"/>
  <c r="AU18" i="1" s="1"/>
  <c r="AR18" i="1" s="1"/>
  <c r="AS19" i="1"/>
  <c r="AU19" i="1" s="1"/>
  <c r="AR19" i="1" s="1"/>
  <c r="AS20" i="1"/>
  <c r="AU20" i="1" s="1"/>
  <c r="AR20" i="1" s="1"/>
  <c r="AS21" i="1"/>
  <c r="AU21" i="1" s="1"/>
  <c r="AR21" i="1" s="1"/>
  <c r="AS22" i="1"/>
  <c r="AU22" i="1" s="1"/>
  <c r="AR22" i="1" s="1"/>
  <c r="AS23" i="1"/>
  <c r="AU23" i="1" s="1"/>
  <c r="AR23" i="1" s="1"/>
  <c r="AS24" i="1"/>
  <c r="AU24" i="1" s="1"/>
  <c r="AR24" i="1" s="1"/>
  <c r="AS25" i="1"/>
  <c r="AU25" i="1" s="1"/>
  <c r="AR25" i="1" s="1"/>
  <c r="AS26" i="1"/>
  <c r="AU26" i="1" s="1"/>
  <c r="AR26" i="1" s="1"/>
  <c r="AS27" i="1"/>
  <c r="AU27" i="1" s="1"/>
  <c r="AR27" i="1" s="1"/>
  <c r="AS28" i="1"/>
  <c r="AU28" i="1" s="1"/>
  <c r="AR28" i="1" s="1"/>
  <c r="AS29" i="1"/>
  <c r="AU29" i="1" s="1"/>
  <c r="AR29" i="1" s="1"/>
  <c r="AS30" i="1"/>
  <c r="AU30" i="1" s="1"/>
  <c r="AR30" i="1" s="1"/>
  <c r="AS31" i="1"/>
  <c r="AU31" i="1" s="1"/>
  <c r="AR31" i="1" s="1"/>
  <c r="AS32" i="1"/>
  <c r="AU32" i="1" s="1"/>
  <c r="AR32" i="1" s="1"/>
  <c r="AS33" i="1"/>
  <c r="AU33" i="1" s="1"/>
  <c r="AR33" i="1" s="1"/>
  <c r="AS34" i="1"/>
  <c r="AU34" i="1" s="1"/>
  <c r="AR34" i="1" s="1"/>
  <c r="AX9" i="1"/>
  <c r="AX10" i="1"/>
  <c r="AX11" i="1"/>
  <c r="AX12" i="1"/>
  <c r="AX13" i="1"/>
  <c r="AX14" i="1"/>
  <c r="AX15" i="1"/>
  <c r="AX16" i="1"/>
  <c r="T44" i="38" s="1"/>
  <c r="AX17" i="1"/>
  <c r="AX19" i="1"/>
  <c r="AX20" i="1"/>
  <c r="AX21" i="1"/>
  <c r="AX22" i="1"/>
  <c r="AX23" i="1"/>
  <c r="AX24" i="1"/>
  <c r="AX25" i="1"/>
  <c r="AX26" i="1"/>
  <c r="AX27" i="1"/>
  <c r="AX28" i="1"/>
  <c r="AX29" i="1"/>
  <c r="T57" i="38" s="1"/>
  <c r="AX30" i="1"/>
  <c r="AX31" i="1"/>
  <c r="AX32" i="1"/>
  <c r="AX33" i="1"/>
  <c r="BC9" i="1"/>
  <c r="BC10" i="1"/>
  <c r="BC11" i="1"/>
  <c r="BC12" i="1"/>
  <c r="BC13" i="1"/>
  <c r="BC14" i="1"/>
  <c r="BC17" i="1"/>
  <c r="BC18" i="1"/>
  <c r="BC19" i="1"/>
  <c r="BC20" i="1"/>
  <c r="BC21" i="1"/>
  <c r="BC22" i="1"/>
  <c r="BC23" i="1"/>
  <c r="BC24" i="1"/>
  <c r="BC25" i="1"/>
  <c r="BC26" i="1"/>
  <c r="F132" i="38" s="1"/>
  <c r="BC27" i="1"/>
  <c r="F133" i="38" s="1"/>
  <c r="BC28" i="1"/>
  <c r="BC29" i="1"/>
  <c r="BC30" i="1"/>
  <c r="BC31" i="1"/>
  <c r="BC32" i="1"/>
  <c r="BC33" i="1"/>
  <c r="BC34" i="1"/>
  <c r="BC38" i="1"/>
  <c r="BE38" i="1" s="1"/>
  <c r="BB38" i="1" s="1"/>
  <c r="BH9" i="1"/>
  <c r="BH10" i="1"/>
  <c r="BH11" i="1"/>
  <c r="BH12" i="1"/>
  <c r="BH15" i="1"/>
  <c r="BH16" i="1"/>
  <c r="M122" i="38" s="1"/>
  <c r="BH17" i="1"/>
  <c r="BH18" i="1"/>
  <c r="BH19" i="1"/>
  <c r="BH20" i="1"/>
  <c r="BH21" i="1"/>
  <c r="BH22" i="1"/>
  <c r="BH23" i="1"/>
  <c r="BH24" i="1"/>
  <c r="BH25" i="1"/>
  <c r="BH26" i="1"/>
  <c r="BH27" i="1"/>
  <c r="BH28" i="1"/>
  <c r="BH29" i="1"/>
  <c r="BH30" i="1"/>
  <c r="BH31" i="1"/>
  <c r="BH32" i="1"/>
  <c r="BH33" i="1"/>
  <c r="BH34" i="1"/>
  <c r="BM9" i="1"/>
  <c r="BM10" i="1"/>
  <c r="BM11" i="1"/>
  <c r="BM12" i="1"/>
  <c r="BM13" i="1"/>
  <c r="BM14" i="1"/>
  <c r="BM15" i="1"/>
  <c r="BM16" i="1"/>
  <c r="T122" i="38" s="1"/>
  <c r="BM17" i="1"/>
  <c r="BM18" i="1"/>
  <c r="BM19" i="1"/>
  <c r="BM20" i="1"/>
  <c r="BM21" i="1"/>
  <c r="BM22" i="1"/>
  <c r="BM23" i="1"/>
  <c r="BM24" i="1"/>
  <c r="BM25" i="1"/>
  <c r="BM26" i="1"/>
  <c r="BM27" i="1"/>
  <c r="BM28" i="1"/>
  <c r="BM29" i="1"/>
  <c r="BM30" i="1"/>
  <c r="BM31" i="1"/>
  <c r="BM32" i="1"/>
  <c r="B7" i="20"/>
  <c r="C7" i="20"/>
  <c r="D7" i="20"/>
  <c r="B6" i="20"/>
  <c r="C6" i="20"/>
  <c r="D6" i="20"/>
  <c r="B5" i="20"/>
  <c r="C5" i="20"/>
  <c r="D5" i="20"/>
  <c r="B4" i="20"/>
  <c r="C4" i="20"/>
  <c r="D4" i="20"/>
  <c r="B3" i="20"/>
  <c r="C3" i="20"/>
  <c r="D3" i="20"/>
  <c r="Y8" i="1"/>
  <c r="Y7" i="1"/>
  <c r="BH8" i="1"/>
  <c r="BH7" i="1"/>
  <c r="BH6" i="1"/>
  <c r="BM8" i="1"/>
  <c r="BM7" i="1"/>
  <c r="BM6" i="1"/>
  <c r="BC8" i="1"/>
  <c r="BC7" i="1"/>
  <c r="BC6" i="1"/>
  <c r="AX8" i="1"/>
  <c r="AX7" i="1"/>
  <c r="AX6" i="1"/>
  <c r="AN8" i="1"/>
  <c r="AN7" i="1"/>
  <c r="AN6" i="1"/>
  <c r="AD8" i="1"/>
  <c r="AD7" i="1"/>
  <c r="AD6" i="1"/>
  <c r="Y6" i="1"/>
  <c r="T8" i="1"/>
  <c r="T7" i="1"/>
  <c r="T6" i="1"/>
  <c r="O8" i="1"/>
  <c r="O7" i="1"/>
  <c r="O6" i="1"/>
  <c r="J8" i="1"/>
  <c r="M9" i="38" s="1"/>
  <c r="J7" i="1"/>
  <c r="J6" i="1"/>
  <c r="E8" i="1"/>
  <c r="E7" i="1"/>
  <c r="E6" i="1"/>
  <c r="B3458" i="21"/>
  <c r="B3459" i="21"/>
  <c r="B3460" i="21"/>
  <c r="B3461" i="21"/>
  <c r="B3462" i="21"/>
  <c r="B3463" i="21"/>
  <c r="B3464" i="21"/>
  <c r="B3465" i="21"/>
  <c r="B3466" i="21"/>
  <c r="B3467" i="21"/>
  <c r="B3468" i="21"/>
  <c r="B3469" i="21"/>
  <c r="B3470" i="21"/>
  <c r="B3471" i="21"/>
  <c r="B3472" i="21"/>
  <c r="B3473" i="21"/>
  <c r="B3474" i="21"/>
  <c r="B3475" i="21"/>
  <c r="B3476" i="21"/>
  <c r="B3477" i="21"/>
  <c r="B3478" i="21"/>
  <c r="B3479" i="21"/>
  <c r="B3480" i="21"/>
  <c r="B3481" i="21"/>
  <c r="B3482" i="21"/>
  <c r="B3483" i="21"/>
  <c r="B3484" i="21"/>
  <c r="B3485" i="21"/>
  <c r="B3486" i="21"/>
  <c r="B3487" i="21"/>
  <c r="B3488" i="21"/>
  <c r="B3489" i="21"/>
  <c r="C3458" i="21"/>
  <c r="C3459" i="21"/>
  <c r="C3460" i="21"/>
  <c r="C3461" i="21"/>
  <c r="C3462" i="21"/>
  <c r="C3463" i="21"/>
  <c r="C3464" i="21"/>
  <c r="C3465" i="21"/>
  <c r="C3466" i="21"/>
  <c r="C3467" i="21"/>
  <c r="C3468" i="21"/>
  <c r="C3469" i="21"/>
  <c r="C3470" i="21"/>
  <c r="C3471" i="21"/>
  <c r="C3472" i="21"/>
  <c r="C3473" i="21"/>
  <c r="C3474" i="21"/>
  <c r="C3475" i="21"/>
  <c r="C3476" i="21"/>
  <c r="C3477" i="21"/>
  <c r="C3478" i="21"/>
  <c r="C3479" i="21"/>
  <c r="C3480" i="21"/>
  <c r="C3481" i="21"/>
  <c r="C3482" i="21"/>
  <c r="C3483" i="21"/>
  <c r="C3484" i="21"/>
  <c r="C3485" i="21"/>
  <c r="C3486" i="21"/>
  <c r="C3487" i="21"/>
  <c r="C3488" i="21"/>
  <c r="C3489" i="21"/>
  <c r="A5" i="1"/>
  <c r="A6" i="1"/>
  <c r="A7" i="1"/>
  <c r="A8" i="1"/>
  <c r="G5" i="1"/>
  <c r="L5" i="1"/>
  <c r="Q5" i="1"/>
  <c r="V5" i="1"/>
  <c r="AF5" i="1"/>
  <c r="AK5" i="1"/>
  <c r="AP5" i="1"/>
  <c r="AS5" i="1"/>
  <c r="AU5" i="1" s="1"/>
  <c r="AR5" i="1" s="1"/>
  <c r="AZ5" i="1"/>
  <c r="BE5" i="1"/>
  <c r="BJ5" i="1"/>
  <c r="BO5" i="1"/>
  <c r="AK6" i="1"/>
  <c r="AS6" i="1"/>
  <c r="AU6" i="1" s="1"/>
  <c r="AR6" i="1" s="1"/>
  <c r="AK7" i="1"/>
  <c r="AS7" i="1"/>
  <c r="AU7" i="1" s="1"/>
  <c r="AR7" i="1" s="1"/>
  <c r="AK8" i="1"/>
  <c r="AS8" i="1"/>
  <c r="AU8" i="1" s="1"/>
  <c r="AR8" i="1" s="1"/>
  <c r="N1" i="24"/>
  <c r="M1" i="24"/>
  <c r="L1" i="24"/>
  <c r="K1" i="24"/>
  <c r="J1" i="24"/>
  <c r="I1" i="24"/>
  <c r="H1" i="24"/>
  <c r="G1" i="24"/>
  <c r="Y97" i="1" l="1"/>
  <c r="Y96" i="1"/>
  <c r="AA96" i="1" s="1"/>
  <c r="W96" i="1" s="1"/>
  <c r="AA97" i="1"/>
  <c r="W97" i="1" s="1"/>
  <c r="L94" i="1"/>
  <c r="M36" i="38"/>
  <c r="Q94" i="1"/>
  <c r="T36" i="38"/>
  <c r="T131" i="35"/>
  <c r="S24" i="38"/>
  <c r="M52" i="38"/>
  <c r="L19" i="38"/>
  <c r="T137" i="35"/>
  <c r="S22" i="38"/>
  <c r="L21" i="38"/>
  <c r="AA92" i="1"/>
  <c r="S20" i="38"/>
  <c r="R73" i="1"/>
  <c r="AA73" i="1"/>
  <c r="W73" i="1" s="1"/>
  <c r="L20" i="38"/>
  <c r="S18" i="38"/>
  <c r="F86" i="38"/>
  <c r="S16" i="38"/>
  <c r="AZ45" i="1"/>
  <c r="D16" i="17" s="1"/>
  <c r="T73" i="38"/>
  <c r="S17" i="38"/>
  <c r="L23" i="38"/>
  <c r="V45" i="1"/>
  <c r="D11" i="17" s="1"/>
  <c r="M73" i="38"/>
  <c r="L18" i="38"/>
  <c r="T85" i="35"/>
  <c r="F94" i="38"/>
  <c r="F25" i="38"/>
  <c r="Q45" i="1"/>
  <c r="D10" i="17" s="1"/>
  <c r="T35" i="38"/>
  <c r="AF45" i="1"/>
  <c r="M111" i="38"/>
  <c r="L25" i="38"/>
  <c r="AK90" i="35"/>
  <c r="AF42" i="1"/>
  <c r="M108" i="38"/>
  <c r="L45" i="1"/>
  <c r="M35" i="38"/>
  <c r="L17" i="38"/>
  <c r="L24" i="38"/>
  <c r="M51" i="38"/>
  <c r="M50" i="38"/>
  <c r="S19" i="38"/>
  <c r="BO45" i="1"/>
  <c r="T151" i="38"/>
  <c r="F93" i="38"/>
  <c r="F82" i="38"/>
  <c r="T88" i="35"/>
  <c r="S23" i="38"/>
  <c r="C91" i="35"/>
  <c r="G24" i="1"/>
  <c r="D24" i="1" s="1"/>
  <c r="C128" i="35"/>
  <c r="AA9" i="1"/>
  <c r="D112" i="35" s="1"/>
  <c r="AP22" i="1"/>
  <c r="F61" i="38"/>
  <c r="F8" i="17"/>
  <c r="BE9" i="1"/>
  <c r="F126" i="38"/>
  <c r="BJ17" i="1"/>
  <c r="M134" i="38"/>
  <c r="M16" i="17"/>
  <c r="AA15" i="1"/>
  <c r="F92" i="38"/>
  <c r="BO6" i="1"/>
  <c r="T123" i="38"/>
  <c r="I5" i="1"/>
  <c r="L6" i="38" s="1"/>
  <c r="U14" i="35"/>
  <c r="T14" i="35" s="1"/>
  <c r="O6" i="38"/>
  <c r="D5" i="1"/>
  <c r="BJ18" i="1"/>
  <c r="M135" i="38"/>
  <c r="AF10" i="1"/>
  <c r="M87" i="38"/>
  <c r="L9" i="1"/>
  <c r="I9" i="1" s="1"/>
  <c r="L10" i="38" s="1"/>
  <c r="M10" i="38"/>
  <c r="AZ33" i="1"/>
  <c r="T72" i="38"/>
  <c r="D74" i="38"/>
  <c r="C74" i="38"/>
  <c r="AF7" i="1"/>
  <c r="M84" i="38"/>
  <c r="BJ29" i="1"/>
  <c r="M146" i="38"/>
  <c r="BE22" i="1"/>
  <c r="F139" i="38"/>
  <c r="AZ12" i="1"/>
  <c r="T51" i="38"/>
  <c r="AP33" i="1"/>
  <c r="F72" i="38"/>
  <c r="AF22" i="1"/>
  <c r="M99" i="38"/>
  <c r="V15" i="1"/>
  <c r="M54" i="38"/>
  <c r="G19" i="1"/>
  <c r="D19" i="1" s="1"/>
  <c r="F20" i="38"/>
  <c r="AP32" i="1"/>
  <c r="F71" i="38"/>
  <c r="AL113" i="35"/>
  <c r="AK113" i="35" s="1"/>
  <c r="V87" i="38"/>
  <c r="Q87" i="38" s="1"/>
  <c r="AF21" i="1"/>
  <c r="M98" i="38"/>
  <c r="AZ10" i="1"/>
  <c r="AV10" i="1" s="1"/>
  <c r="T49" i="38"/>
  <c r="AF11" i="1"/>
  <c r="AB11" i="1" s="1"/>
  <c r="M88" i="38"/>
  <c r="BO23" i="1"/>
  <c r="T140" i="38"/>
  <c r="BJ28" i="1"/>
  <c r="M145" i="38"/>
  <c r="AZ11" i="1"/>
  <c r="AV11" i="1" s="1"/>
  <c r="T50" i="38"/>
  <c r="G18" i="1"/>
  <c r="F19" i="38"/>
  <c r="AP6" i="1"/>
  <c r="F45" i="38"/>
  <c r="BJ27" i="1"/>
  <c r="M144" i="38"/>
  <c r="AP31" i="1"/>
  <c r="F70" i="38"/>
  <c r="G17" i="1"/>
  <c r="F18" i="38"/>
  <c r="AP30" i="1"/>
  <c r="F69" i="38"/>
  <c r="BO32" i="1"/>
  <c r="T149" i="38"/>
  <c r="BE19" i="1"/>
  <c r="F136" i="38"/>
  <c r="AF19" i="1"/>
  <c r="M96" i="38"/>
  <c r="G16" i="1"/>
  <c r="H6" i="38" s="1"/>
  <c r="F17" i="38"/>
  <c r="AP8" i="1"/>
  <c r="F47" i="38"/>
  <c r="AP29" i="1"/>
  <c r="F68" i="38"/>
  <c r="AF18" i="1"/>
  <c r="M95" i="38"/>
  <c r="G15" i="1"/>
  <c r="F16" i="38"/>
  <c r="J106" i="38"/>
  <c r="BO24" i="1"/>
  <c r="T141" i="38"/>
  <c r="L13" i="1"/>
  <c r="M14" i="38"/>
  <c r="BO7" i="1"/>
  <c r="T124" i="38"/>
  <c r="AP21" i="1"/>
  <c r="F60" i="38"/>
  <c r="BL5" i="1"/>
  <c r="AF8" i="1"/>
  <c r="M85" i="38"/>
  <c r="BE21" i="1"/>
  <c r="F138" i="38"/>
  <c r="V14" i="1"/>
  <c r="M53" i="38"/>
  <c r="BG5" i="1"/>
  <c r="BE20" i="1"/>
  <c r="F137" i="38"/>
  <c r="AF20" i="1"/>
  <c r="M97" i="38"/>
  <c r="V10" i="1"/>
  <c r="M49" i="38"/>
  <c r="BB5" i="1"/>
  <c r="H122" i="38"/>
  <c r="AP7" i="1"/>
  <c r="F46" i="38"/>
  <c r="BJ26" i="1"/>
  <c r="M143" i="38"/>
  <c r="AZ9" i="1"/>
  <c r="AV9" i="1" s="1"/>
  <c r="T48" i="38"/>
  <c r="AL61" i="35"/>
  <c r="BO31" i="1"/>
  <c r="T148" i="38"/>
  <c r="BJ25" i="1"/>
  <c r="M142" i="38"/>
  <c r="BE18" i="1"/>
  <c r="F135" i="38"/>
  <c r="AZ6" i="1"/>
  <c r="T45" i="38"/>
  <c r="BO30" i="1"/>
  <c r="T147" i="38"/>
  <c r="BJ24" i="1"/>
  <c r="M141" i="38"/>
  <c r="BE17" i="1"/>
  <c r="F134" i="38"/>
  <c r="AP28" i="1"/>
  <c r="F67" i="38"/>
  <c r="AF17" i="1"/>
  <c r="M94" i="38"/>
  <c r="V9" i="1"/>
  <c r="M48" i="38"/>
  <c r="G14" i="1"/>
  <c r="F15" i="38"/>
  <c r="AL108" i="35"/>
  <c r="AK108" i="35" s="1"/>
  <c r="V82" i="38"/>
  <c r="AZ8" i="1"/>
  <c r="T47" i="38"/>
  <c r="BO28" i="1"/>
  <c r="T145" i="38"/>
  <c r="BJ22" i="1"/>
  <c r="M139" i="38"/>
  <c r="BE13" i="1"/>
  <c r="F130" i="38"/>
  <c r="AP26" i="1"/>
  <c r="F65" i="38"/>
  <c r="AF15" i="1"/>
  <c r="AB15" i="1" s="1"/>
  <c r="M92" i="38"/>
  <c r="Q14" i="1"/>
  <c r="T15" i="38"/>
  <c r="G12" i="1"/>
  <c r="F13" i="38"/>
  <c r="I15" i="1"/>
  <c r="L16" i="38" s="1"/>
  <c r="U24" i="35"/>
  <c r="T24" i="35" s="1"/>
  <c r="O16" i="38"/>
  <c r="J16" i="38" s="1"/>
  <c r="BE12" i="1"/>
  <c r="F129" i="38"/>
  <c r="AB5" i="1"/>
  <c r="U108" i="35"/>
  <c r="BE6" i="1"/>
  <c r="F123" i="38"/>
  <c r="BO27" i="1"/>
  <c r="T144" i="38"/>
  <c r="BJ21" i="1"/>
  <c r="M138" i="38"/>
  <c r="AF14" i="1"/>
  <c r="M91" i="38"/>
  <c r="G11" i="1"/>
  <c r="F12" i="38"/>
  <c r="BO26" i="1"/>
  <c r="T143" i="38"/>
  <c r="BE11" i="1"/>
  <c r="F128" i="38"/>
  <c r="Q9" i="1"/>
  <c r="T10" i="38"/>
  <c r="BB15" i="1"/>
  <c r="AL5" i="1"/>
  <c r="D61" i="35"/>
  <c r="AZ7" i="1"/>
  <c r="T46" i="38"/>
  <c r="BO29" i="1"/>
  <c r="T146" i="38"/>
  <c r="BJ23" i="1"/>
  <c r="M140" i="38"/>
  <c r="BE14" i="1"/>
  <c r="F131" i="38"/>
  <c r="AP27" i="1"/>
  <c r="F66" i="38"/>
  <c r="AF16" i="1"/>
  <c r="O82" i="38" s="1"/>
  <c r="M93" i="38"/>
  <c r="N20" i="1"/>
  <c r="S21" i="38" s="1"/>
  <c r="AL29" i="35"/>
  <c r="AK29" i="35" s="1"/>
  <c r="V21" i="38"/>
  <c r="Q21" i="38" s="1"/>
  <c r="G13" i="1"/>
  <c r="F14" i="38"/>
  <c r="AP25" i="1"/>
  <c r="F64" i="38"/>
  <c r="Q13" i="1"/>
  <c r="N13" i="1" s="1"/>
  <c r="S14" i="38" s="1"/>
  <c r="T14" i="38"/>
  <c r="R5" i="1"/>
  <c r="U61" i="35"/>
  <c r="BE7" i="1"/>
  <c r="F124" i="38"/>
  <c r="BJ20" i="1"/>
  <c r="M137" i="38"/>
  <c r="AP24" i="1"/>
  <c r="F63" i="38"/>
  <c r="AF13" i="1"/>
  <c r="AB13" i="1" s="1"/>
  <c r="M90" i="38"/>
  <c r="G10" i="1"/>
  <c r="F11" i="38"/>
  <c r="AA13" i="1"/>
  <c r="F90" i="38"/>
  <c r="AL14" i="35"/>
  <c r="AK14" i="35" s="1"/>
  <c r="V6" i="38"/>
  <c r="BE8" i="1"/>
  <c r="F125" i="38"/>
  <c r="BO25" i="1"/>
  <c r="T142" i="38"/>
  <c r="BJ19" i="1"/>
  <c r="M136" i="38"/>
  <c r="BE10" i="1"/>
  <c r="F127" i="38"/>
  <c r="AP23" i="1"/>
  <c r="F62" i="38"/>
  <c r="AF12" i="1"/>
  <c r="M89" i="38"/>
  <c r="L14" i="1"/>
  <c r="M15" i="38"/>
  <c r="G9" i="1"/>
  <c r="F10" i="38"/>
  <c r="BO8" i="1"/>
  <c r="T125" i="38"/>
  <c r="BJ6" i="1"/>
  <c r="M123" i="38"/>
  <c r="BO21" i="1"/>
  <c r="T138" i="38"/>
  <c r="BJ15" i="1"/>
  <c r="M132" i="38"/>
  <c r="AZ31" i="1"/>
  <c r="T70" i="38"/>
  <c r="AP19" i="1"/>
  <c r="F58" i="38"/>
  <c r="AA12" i="1"/>
  <c r="F89" i="38"/>
  <c r="Q10" i="1"/>
  <c r="T11" i="38"/>
  <c r="F95" i="38"/>
  <c r="AA18" i="1"/>
  <c r="W18" i="1" s="1"/>
  <c r="D138" i="35"/>
  <c r="H112" i="38"/>
  <c r="W35" i="1"/>
  <c r="BO20" i="1"/>
  <c r="T137" i="38"/>
  <c r="BJ16" i="1"/>
  <c r="O122" i="38" s="1"/>
  <c r="M133" i="38"/>
  <c r="BJ12" i="1"/>
  <c r="M129" i="38"/>
  <c r="BJ8" i="1"/>
  <c r="M125" i="38"/>
  <c r="AA7" i="1"/>
  <c r="W7" i="1" s="1"/>
  <c r="F84" i="38"/>
  <c r="BO18" i="1"/>
  <c r="T135" i="38"/>
  <c r="BJ10" i="1"/>
  <c r="M127" i="38"/>
  <c r="AZ28" i="1"/>
  <c r="T67" i="38"/>
  <c r="AP16" i="1"/>
  <c r="H44" i="38" s="1"/>
  <c r="F55" i="38"/>
  <c r="G34" i="1"/>
  <c r="F35" i="38"/>
  <c r="F98" i="38"/>
  <c r="AA21" i="1"/>
  <c r="BJ7" i="1"/>
  <c r="M124" i="38"/>
  <c r="G6" i="1"/>
  <c r="F7" i="38"/>
  <c r="AA8" i="1"/>
  <c r="F85" i="38"/>
  <c r="BO17" i="1"/>
  <c r="T134" i="38"/>
  <c r="BJ9" i="1"/>
  <c r="M126" i="38"/>
  <c r="AZ27" i="1"/>
  <c r="T66" i="38"/>
  <c r="AP15" i="1"/>
  <c r="AL15" i="1" s="1"/>
  <c r="F54" i="38"/>
  <c r="V30" i="1"/>
  <c r="M69" i="38"/>
  <c r="G33" i="1"/>
  <c r="F34" i="38"/>
  <c r="AA22" i="1"/>
  <c r="F99" i="38"/>
  <c r="W34" i="1"/>
  <c r="D137" i="35"/>
  <c r="AF9" i="1"/>
  <c r="M86" i="38"/>
  <c r="AZ26" i="1"/>
  <c r="T65" i="38"/>
  <c r="AP14" i="1"/>
  <c r="F53" i="38"/>
  <c r="G32" i="1"/>
  <c r="F33" i="38"/>
  <c r="L11" i="1"/>
  <c r="M12" i="38"/>
  <c r="F100" i="38"/>
  <c r="AA23" i="1"/>
  <c r="W23" i="1" s="1"/>
  <c r="Q74" i="38"/>
  <c r="R74" i="38"/>
  <c r="BO22" i="1"/>
  <c r="T139" i="38"/>
  <c r="G7" i="1"/>
  <c r="F8" i="38"/>
  <c r="BO16" i="1"/>
  <c r="V122" i="38" s="1"/>
  <c r="T133" i="38"/>
  <c r="V28" i="1"/>
  <c r="M67" i="38"/>
  <c r="G8" i="1"/>
  <c r="F9" i="38"/>
  <c r="BO15" i="1"/>
  <c r="T132" i="38"/>
  <c r="BE34" i="1"/>
  <c r="F151" i="38"/>
  <c r="AZ25" i="1"/>
  <c r="T64" i="38"/>
  <c r="AP13" i="1"/>
  <c r="F52" i="38"/>
  <c r="V27" i="1"/>
  <c r="M66" i="38"/>
  <c r="G31" i="1"/>
  <c r="F32" i="38"/>
  <c r="Q11" i="1"/>
  <c r="T12" i="38"/>
  <c r="F101" i="38"/>
  <c r="AA24" i="1"/>
  <c r="AK91" i="35"/>
  <c r="I14" i="17"/>
  <c r="AP20" i="1"/>
  <c r="F59" i="38"/>
  <c r="G30" i="1"/>
  <c r="F31" i="38"/>
  <c r="L7" i="1"/>
  <c r="I7" i="1" s="1"/>
  <c r="L8" i="38" s="1"/>
  <c r="M8" i="38"/>
  <c r="BO13" i="1"/>
  <c r="T130" i="38"/>
  <c r="BE32" i="1"/>
  <c r="F149" i="38"/>
  <c r="AZ23" i="1"/>
  <c r="T62" i="38"/>
  <c r="AP11" i="1"/>
  <c r="F50" i="38"/>
  <c r="V25" i="1"/>
  <c r="M64" i="38"/>
  <c r="G29" i="1"/>
  <c r="F30" i="38"/>
  <c r="L12" i="1"/>
  <c r="I12" i="1" s="1"/>
  <c r="L13" i="38" s="1"/>
  <c r="M13" i="38"/>
  <c r="F105" i="38"/>
  <c r="AA28" i="1"/>
  <c r="T90" i="35"/>
  <c r="BJ11" i="1"/>
  <c r="M128" i="38"/>
  <c r="V26" i="1"/>
  <c r="M65" i="38"/>
  <c r="BO12" i="1"/>
  <c r="T129" i="38"/>
  <c r="G28" i="1"/>
  <c r="F29" i="38"/>
  <c r="BH13" i="1"/>
  <c r="N130" i="38"/>
  <c r="BE30" i="1"/>
  <c r="F147" i="38"/>
  <c r="Q12" i="1"/>
  <c r="L10" i="1"/>
  <c r="M11" i="38"/>
  <c r="AA19" i="1"/>
  <c r="F96" i="38"/>
  <c r="AP9" i="1"/>
  <c r="F48" i="38"/>
  <c r="V22" i="1"/>
  <c r="O50" i="38" s="1"/>
  <c r="M61" i="38"/>
  <c r="AZ30" i="1"/>
  <c r="T69" i="38"/>
  <c r="AZ24" i="1"/>
  <c r="T63" i="38"/>
  <c r="F104" i="38"/>
  <c r="AA27" i="1"/>
  <c r="Q6" i="1"/>
  <c r="N6" i="1" s="1"/>
  <c r="S7" i="38" s="1"/>
  <c r="T7" i="38"/>
  <c r="AL116" i="35"/>
  <c r="AK116" i="35" s="1"/>
  <c r="V90" i="38"/>
  <c r="Q90" i="38" s="1"/>
  <c r="AL24" i="35"/>
  <c r="AK24" i="35" s="1"/>
  <c r="V16" i="38"/>
  <c r="Q16" i="38" s="1"/>
  <c r="AZ29" i="1"/>
  <c r="V57" i="38" s="1"/>
  <c r="R57" i="38" s="1"/>
  <c r="T68" i="38"/>
  <c r="BO11" i="1"/>
  <c r="T128" i="38"/>
  <c r="BO10" i="1"/>
  <c r="T127" i="38"/>
  <c r="G26" i="1"/>
  <c r="F27" i="38"/>
  <c r="BE28" i="1"/>
  <c r="F145" i="38"/>
  <c r="V21" i="1"/>
  <c r="M60" i="38"/>
  <c r="AA11" i="1"/>
  <c r="F88" i="38"/>
  <c r="AA10" i="1"/>
  <c r="F87" i="38"/>
  <c r="V24" i="1"/>
  <c r="O52" i="38" s="1"/>
  <c r="M63" i="38"/>
  <c r="G27" i="1"/>
  <c r="F28" i="38"/>
  <c r="AZ20" i="1"/>
  <c r="AV20" i="1" s="1"/>
  <c r="T59" i="38"/>
  <c r="AZ19" i="1"/>
  <c r="AV19" i="1" s="1"/>
  <c r="T58" i="38"/>
  <c r="AL111" i="35"/>
  <c r="AK111" i="35" s="1"/>
  <c r="V85" i="38"/>
  <c r="Q85" i="38" s="1"/>
  <c r="V20" i="1"/>
  <c r="M59" i="38"/>
  <c r="BO19" i="1"/>
  <c r="T136" i="38"/>
  <c r="AP17" i="1"/>
  <c r="F56" i="38"/>
  <c r="G35" i="1"/>
  <c r="H25" i="38" s="1"/>
  <c r="C25" i="38" s="1"/>
  <c r="F36" i="38"/>
  <c r="F97" i="38"/>
  <c r="AA20" i="1"/>
  <c r="W20" i="1" s="1"/>
  <c r="L6" i="1"/>
  <c r="I6" i="1" s="1"/>
  <c r="L7" i="38" s="1"/>
  <c r="M7" i="38"/>
  <c r="BO14" i="1"/>
  <c r="T131" i="38"/>
  <c r="BE33" i="1"/>
  <c r="F150" i="38"/>
  <c r="AP12" i="1"/>
  <c r="F51" i="38"/>
  <c r="AL114" i="35"/>
  <c r="AK114" i="35" s="1"/>
  <c r="V88" i="38"/>
  <c r="Q88" i="38" s="1"/>
  <c r="AP10" i="1"/>
  <c r="F49" i="38"/>
  <c r="AZ21" i="1"/>
  <c r="AV21" i="1" s="1"/>
  <c r="T60" i="38"/>
  <c r="V23" i="1"/>
  <c r="O51" i="38" s="1"/>
  <c r="M62" i="38"/>
  <c r="Q7" i="1"/>
  <c r="T8" i="38"/>
  <c r="BE29" i="1"/>
  <c r="F146" i="38"/>
  <c r="AL117" i="35"/>
  <c r="AK117" i="35" s="1"/>
  <c r="V91" i="38"/>
  <c r="Q91" i="38" s="1"/>
  <c r="AL115" i="35"/>
  <c r="AK115" i="35" s="1"/>
  <c r="V89" i="38"/>
  <c r="Q89" i="38" s="1"/>
  <c r="Q8" i="1"/>
  <c r="T9" i="38"/>
  <c r="BO9" i="1"/>
  <c r="T126" i="38"/>
  <c r="G25" i="1"/>
  <c r="F26" i="38"/>
  <c r="V6" i="1"/>
  <c r="M45" i="38"/>
  <c r="BJ34" i="1"/>
  <c r="M151" i="38"/>
  <c r="BE27" i="1"/>
  <c r="H133" i="38" s="1"/>
  <c r="C133" i="38" s="1"/>
  <c r="F144" i="38"/>
  <c r="AZ17" i="1"/>
  <c r="AV17" i="1" s="1"/>
  <c r="T56" i="38"/>
  <c r="AL112" i="35"/>
  <c r="AK112" i="35" s="1"/>
  <c r="V86" i="38"/>
  <c r="Q86" i="38" s="1"/>
  <c r="V7" i="1"/>
  <c r="M46" i="38"/>
  <c r="BJ33" i="1"/>
  <c r="M150" i="38"/>
  <c r="BE26" i="1"/>
  <c r="H132" i="38" s="1"/>
  <c r="C132" i="38" s="1"/>
  <c r="F143" i="38"/>
  <c r="AZ16" i="1"/>
  <c r="AV16" i="1" s="1"/>
  <c r="T55" i="38"/>
  <c r="AF26" i="1"/>
  <c r="M103" i="38"/>
  <c r="V19" i="1"/>
  <c r="M58" i="38"/>
  <c r="G23" i="1"/>
  <c r="F24" i="38"/>
  <c r="AL110" i="35"/>
  <c r="AK110" i="35" s="1"/>
  <c r="V84" i="38"/>
  <c r="Q84" i="38" s="1"/>
  <c r="V8" i="1"/>
  <c r="M47" i="38"/>
  <c r="BJ32" i="1"/>
  <c r="M149" i="38"/>
  <c r="BE25" i="1"/>
  <c r="F142" i="38"/>
  <c r="AZ15" i="1"/>
  <c r="T54" i="38"/>
  <c r="AF25" i="1"/>
  <c r="M102" i="38"/>
  <c r="V18" i="1"/>
  <c r="M57" i="38"/>
  <c r="G22" i="1"/>
  <c r="F23" i="38"/>
  <c r="AK74" i="35"/>
  <c r="BE31" i="1"/>
  <c r="F148" i="38"/>
  <c r="BJ31" i="1"/>
  <c r="M148" i="38"/>
  <c r="BE24" i="1"/>
  <c r="F141" i="38"/>
  <c r="AZ14" i="1"/>
  <c r="AV14" i="1" s="1"/>
  <c r="T53" i="38"/>
  <c r="AF24" i="1"/>
  <c r="M101" i="38"/>
  <c r="G21" i="1"/>
  <c r="F22" i="38"/>
  <c r="J74" i="38"/>
  <c r="AZ32" i="1"/>
  <c r="T71" i="38"/>
  <c r="AP18" i="1"/>
  <c r="F57" i="38"/>
  <c r="AZ22" i="1"/>
  <c r="T61" i="38"/>
  <c r="AA6" i="1"/>
  <c r="F83" i="38"/>
  <c r="V17" i="1"/>
  <c r="M56" i="38"/>
  <c r="AL109" i="35"/>
  <c r="AK109" i="35" s="1"/>
  <c r="V83" i="38"/>
  <c r="Q83" i="38" s="1"/>
  <c r="AF6" i="1"/>
  <c r="M83" i="38"/>
  <c r="BJ30" i="1"/>
  <c r="M147" i="38"/>
  <c r="BE23" i="1"/>
  <c r="F140" i="38"/>
  <c r="AZ13" i="1"/>
  <c r="AV13" i="1" s="1"/>
  <c r="T52" i="38"/>
  <c r="AP34" i="1"/>
  <c r="F73" i="38"/>
  <c r="AF23" i="1"/>
  <c r="M100" i="38"/>
  <c r="V16" i="1"/>
  <c r="O44" i="38" s="1"/>
  <c r="M55" i="38"/>
  <c r="G20" i="1"/>
  <c r="F21" i="38"/>
  <c r="T91" i="35"/>
  <c r="E10" i="17"/>
  <c r="AB165" i="1"/>
  <c r="H13" i="17"/>
  <c r="G16" i="17"/>
  <c r="F16" i="17"/>
  <c r="J9" i="17"/>
  <c r="K9" i="17"/>
  <c r="L9" i="17"/>
  <c r="N9" i="17"/>
  <c r="D18" i="1"/>
  <c r="L13" i="17"/>
  <c r="AA16" i="1"/>
  <c r="AA17" i="1"/>
  <c r="I16" i="17"/>
  <c r="I9" i="17"/>
  <c r="N5" i="1"/>
  <c r="S6" i="38" s="1"/>
  <c r="C14" i="24"/>
  <c r="H16" i="17"/>
  <c r="N14" i="17"/>
  <c r="H14" i="17"/>
  <c r="G14" i="17"/>
  <c r="AB134" i="1"/>
  <c r="G13" i="17"/>
  <c r="E13" i="17"/>
  <c r="N16" i="17"/>
  <c r="L16" i="17"/>
  <c r="N275" i="1"/>
  <c r="K10" i="17"/>
  <c r="AM309" i="1"/>
  <c r="M15" i="17"/>
  <c r="AB123" i="1"/>
  <c r="F13" i="17"/>
  <c r="E16" i="17"/>
  <c r="AB346" i="1"/>
  <c r="N13" i="17"/>
  <c r="K11" i="17"/>
  <c r="J16" i="17"/>
  <c r="AB186" i="1"/>
  <c r="I13" i="17"/>
  <c r="L14" i="17"/>
  <c r="D164" i="1"/>
  <c r="H8" i="17"/>
  <c r="N12" i="17"/>
  <c r="AM157" i="1"/>
  <c r="H15" i="17"/>
  <c r="AM125" i="1"/>
  <c r="G15" i="17"/>
  <c r="M14" i="17"/>
  <c r="M13" i="17"/>
  <c r="D344" i="1"/>
  <c r="N8" i="17"/>
  <c r="AM278" i="1"/>
  <c r="L15" i="17"/>
  <c r="W187" i="1"/>
  <c r="I12" i="17"/>
  <c r="H11" i="17"/>
  <c r="F14" i="17"/>
  <c r="E14" i="17"/>
  <c r="E8" i="17"/>
  <c r="M11" i="17"/>
  <c r="J11" i="17"/>
  <c r="I11" i="17"/>
  <c r="N15" i="17"/>
  <c r="D287" i="1"/>
  <c r="L8" i="17"/>
  <c r="L11" i="17"/>
  <c r="J8" i="17"/>
  <c r="M9" i="17"/>
  <c r="E9" i="17"/>
  <c r="N339" i="1"/>
  <c r="N10" i="17"/>
  <c r="H10" i="17"/>
  <c r="D260" i="1"/>
  <c r="K8" i="17"/>
  <c r="F9" i="17"/>
  <c r="AM186" i="1"/>
  <c r="I15" i="17"/>
  <c r="W160" i="1"/>
  <c r="H12" i="17"/>
  <c r="AM217" i="1"/>
  <c r="J15" i="17"/>
  <c r="K16" i="17"/>
  <c r="F12" i="17"/>
  <c r="D132" i="1"/>
  <c r="G8" i="17"/>
  <c r="F10" i="17"/>
  <c r="E11" i="17"/>
  <c r="J13" i="17"/>
  <c r="L10" i="17"/>
  <c r="F11" i="17"/>
  <c r="K13" i="17"/>
  <c r="I166" i="1"/>
  <c r="H9" i="17"/>
  <c r="D186" i="1"/>
  <c r="I8" i="17"/>
  <c r="G11" i="17"/>
  <c r="I10" i="17"/>
  <c r="K12" i="17"/>
  <c r="G10" i="17"/>
  <c r="F15" i="17"/>
  <c r="J14" i="17"/>
  <c r="J10" i="17"/>
  <c r="L12" i="17"/>
  <c r="M12" i="17"/>
  <c r="AM249" i="1"/>
  <c r="K15" i="17"/>
  <c r="K14" i="17"/>
  <c r="G9" i="17"/>
  <c r="N138" i="1"/>
  <c r="J12" i="17"/>
  <c r="M10" i="17"/>
  <c r="E15" i="17"/>
  <c r="N11" i="17"/>
  <c r="M8" i="17"/>
  <c r="G12" i="17"/>
  <c r="D14" i="17"/>
  <c r="BH14" i="1"/>
  <c r="AB29" i="1"/>
  <c r="T132" i="35" s="1"/>
  <c r="L8" i="1"/>
  <c r="AA14" i="1"/>
  <c r="W26" i="1"/>
  <c r="C129" i="35" s="1"/>
  <c r="W21" i="1"/>
  <c r="I13" i="1"/>
  <c r="L14" i="38" s="1"/>
  <c r="D8" i="17"/>
  <c r="D15" i="17"/>
  <c r="D9" i="17"/>
  <c r="W36" i="1"/>
  <c r="C102" i="38" s="1"/>
  <c r="B5" i="15"/>
  <c r="C14" i="17"/>
  <c r="AV5" i="1"/>
  <c r="AA5" i="1"/>
  <c r="B3430" i="21"/>
  <c r="B3431" i="21"/>
  <c r="B3432" i="21"/>
  <c r="B3433" i="21"/>
  <c r="B3434" i="21"/>
  <c r="B3435" i="21"/>
  <c r="B3436" i="21"/>
  <c r="B3437" i="21"/>
  <c r="B3438" i="21"/>
  <c r="B3439" i="21"/>
  <c r="B3440" i="21"/>
  <c r="B3441" i="21"/>
  <c r="B3442" i="21"/>
  <c r="B3443" i="21"/>
  <c r="B3444" i="21"/>
  <c r="B3445" i="21"/>
  <c r="B3446" i="21"/>
  <c r="B3447" i="21"/>
  <c r="B3448" i="21"/>
  <c r="B3449" i="21"/>
  <c r="B3450" i="21"/>
  <c r="B3451" i="21"/>
  <c r="B3452" i="21"/>
  <c r="B3453" i="21"/>
  <c r="B3454" i="21"/>
  <c r="B3455" i="21"/>
  <c r="B3456" i="21"/>
  <c r="B3457" i="21"/>
  <c r="C3430" i="21"/>
  <c r="C3431" i="21"/>
  <c r="C3432" i="21"/>
  <c r="C3433" i="21"/>
  <c r="C3434" i="21"/>
  <c r="C3435" i="21"/>
  <c r="C3436" i="21"/>
  <c r="C3437" i="21"/>
  <c r="C3438" i="21"/>
  <c r="C3439" i="21"/>
  <c r="C3440" i="21"/>
  <c r="C3441" i="21"/>
  <c r="C3442" i="21"/>
  <c r="C3443" i="21"/>
  <c r="C3444" i="21"/>
  <c r="C3445" i="21"/>
  <c r="C3446" i="21"/>
  <c r="C3447" i="21"/>
  <c r="C3448" i="21"/>
  <c r="C3449" i="21"/>
  <c r="C3450" i="21"/>
  <c r="C3451" i="21"/>
  <c r="C3452" i="21"/>
  <c r="C3453" i="21"/>
  <c r="C3454" i="21"/>
  <c r="C3455" i="21"/>
  <c r="C3456" i="21"/>
  <c r="C3457" i="21"/>
  <c r="I94" i="1" l="1"/>
  <c r="L36" i="38" s="1"/>
  <c r="O36" i="38"/>
  <c r="J36" i="38" s="1"/>
  <c r="N94" i="1"/>
  <c r="S36" i="38" s="1"/>
  <c r="V36" i="38"/>
  <c r="Q36" i="38" s="1"/>
  <c r="E12" i="17"/>
  <c r="H86" i="38"/>
  <c r="C86" i="38" s="1"/>
  <c r="W9" i="1"/>
  <c r="BO370" i="1"/>
  <c r="H8" i="38"/>
  <c r="C8" i="38" s="1"/>
  <c r="E122" i="38"/>
  <c r="D16" i="1"/>
  <c r="E6" i="38" s="1"/>
  <c r="H10" i="38"/>
  <c r="C10" i="38" s="1"/>
  <c r="H12" i="38"/>
  <c r="C12" i="38" s="1"/>
  <c r="C11" i="24"/>
  <c r="H18" i="38"/>
  <c r="C18" i="38" s="1"/>
  <c r="BL45" i="1"/>
  <c r="S151" i="38" s="1"/>
  <c r="V151" i="38"/>
  <c r="Q151" i="38" s="1"/>
  <c r="AB45" i="1"/>
  <c r="O111" i="38"/>
  <c r="C16" i="24"/>
  <c r="N45" i="1"/>
  <c r="V35" i="38"/>
  <c r="Q35" i="38" s="1"/>
  <c r="H17" i="38"/>
  <c r="C17" i="38" s="1"/>
  <c r="H19" i="38"/>
  <c r="C19" i="38" s="1"/>
  <c r="R45" i="1"/>
  <c r="AA45" i="1"/>
  <c r="O73" i="38"/>
  <c r="I45" i="1"/>
  <c r="O35" i="38"/>
  <c r="J35" i="38" s="1"/>
  <c r="V44" i="38"/>
  <c r="C137" i="35"/>
  <c r="H20" i="38"/>
  <c r="C20" i="38" s="1"/>
  <c r="AB42" i="1"/>
  <c r="O108" i="38"/>
  <c r="AV45" i="1"/>
  <c r="V73" i="38"/>
  <c r="C103" i="38"/>
  <c r="C112" i="38"/>
  <c r="C138" i="35"/>
  <c r="C11" i="17"/>
  <c r="C61" i="35"/>
  <c r="D11" i="1"/>
  <c r="C10" i="17"/>
  <c r="T61" i="35"/>
  <c r="D113" i="35"/>
  <c r="H87" i="38"/>
  <c r="U66" i="35"/>
  <c r="T66" i="35" s="1"/>
  <c r="O49" i="38"/>
  <c r="D79" i="35"/>
  <c r="H62" i="38"/>
  <c r="AL23" i="1"/>
  <c r="BL28" i="1"/>
  <c r="S145" i="38" s="1"/>
  <c r="V145" i="38"/>
  <c r="Q145" i="38" s="1"/>
  <c r="U120" i="35"/>
  <c r="O94" i="38"/>
  <c r="BG27" i="1"/>
  <c r="L144" i="38" s="1"/>
  <c r="O144" i="38"/>
  <c r="J144" i="38" s="1"/>
  <c r="H139" i="38"/>
  <c r="C139" i="38" s="1"/>
  <c r="BB22" i="1"/>
  <c r="H126" i="38"/>
  <c r="C126" i="38" s="1"/>
  <c r="BB9" i="1"/>
  <c r="C12" i="24"/>
  <c r="D108" i="35"/>
  <c r="H82" i="38"/>
  <c r="AL69" i="35"/>
  <c r="AK69" i="35" s="1"/>
  <c r="V52" i="38"/>
  <c r="H24" i="38"/>
  <c r="C24" i="38" s="1"/>
  <c r="D23" i="1"/>
  <c r="W28" i="1"/>
  <c r="D131" i="35"/>
  <c r="H105" i="38"/>
  <c r="C105" i="38" s="1"/>
  <c r="D6" i="1"/>
  <c r="H7" i="38"/>
  <c r="C7" i="38" s="1"/>
  <c r="J122" i="38"/>
  <c r="BL19" i="1"/>
  <c r="V136" i="38"/>
  <c r="Q136" i="38" s="1"/>
  <c r="AB12" i="1"/>
  <c r="U115" i="35"/>
  <c r="O89" i="38"/>
  <c r="O139" i="38"/>
  <c r="J139" i="38" s="1"/>
  <c r="BG22" i="1"/>
  <c r="U65" i="35"/>
  <c r="T65" i="35" s="1"/>
  <c r="O48" i="38"/>
  <c r="AB20" i="1"/>
  <c r="U123" i="35"/>
  <c r="O97" i="38"/>
  <c r="D87" i="35"/>
  <c r="H70" i="38"/>
  <c r="AL31" i="1"/>
  <c r="AL68" i="35"/>
  <c r="V51" i="38"/>
  <c r="J6" i="38"/>
  <c r="BB20" i="1"/>
  <c r="H137" i="38"/>
  <c r="C137" i="38" s="1"/>
  <c r="U78" i="35"/>
  <c r="O61" i="38"/>
  <c r="R22" i="1"/>
  <c r="J50" i="38" s="1"/>
  <c r="BL18" i="1"/>
  <c r="V135" i="38"/>
  <c r="Q135" i="38" s="1"/>
  <c r="D121" i="35"/>
  <c r="C121" i="35" s="1"/>
  <c r="H95" i="38"/>
  <c r="C95" i="38" s="1"/>
  <c r="BB10" i="1"/>
  <c r="H127" i="38"/>
  <c r="C127" i="38" s="1"/>
  <c r="AV8" i="1"/>
  <c r="AL64" i="35"/>
  <c r="V47" i="38"/>
  <c r="D84" i="35"/>
  <c r="H67" i="38"/>
  <c r="AL28" i="1"/>
  <c r="AL6" i="1"/>
  <c r="D62" i="35"/>
  <c r="H45" i="38"/>
  <c r="O146" i="38"/>
  <c r="J146" i="38" s="1"/>
  <c r="BG29" i="1"/>
  <c r="L146" i="38" s="1"/>
  <c r="BL6" i="1"/>
  <c r="V123" i="38"/>
  <c r="Q123" i="38" s="1"/>
  <c r="BG10" i="1"/>
  <c r="O127" i="38"/>
  <c r="J127" i="38" s="1"/>
  <c r="H140" i="38"/>
  <c r="C140" i="38" s="1"/>
  <c r="BB23" i="1"/>
  <c r="R19" i="1"/>
  <c r="U75" i="35"/>
  <c r="O58" i="38"/>
  <c r="H146" i="38"/>
  <c r="C146" i="38" s="1"/>
  <c r="BB29" i="1"/>
  <c r="E146" i="38" s="1"/>
  <c r="Q82" i="38"/>
  <c r="V113" i="38"/>
  <c r="V114" i="38" s="1"/>
  <c r="V115" i="38" s="1"/>
  <c r="AL86" i="35"/>
  <c r="V69" i="38"/>
  <c r="AV30" i="1"/>
  <c r="U23" i="35"/>
  <c r="T23" i="35" s="1"/>
  <c r="O15" i="38"/>
  <c r="J15" i="38" s="1"/>
  <c r="D89" i="35"/>
  <c r="H72" i="38"/>
  <c r="AL33" i="1"/>
  <c r="AL84" i="35"/>
  <c r="V67" i="38"/>
  <c r="AV28" i="1"/>
  <c r="D90" i="35"/>
  <c r="H73" i="38"/>
  <c r="AL34" i="1"/>
  <c r="V139" i="38"/>
  <c r="Q139" i="38" s="1"/>
  <c r="BL22" i="1"/>
  <c r="S139" i="38" s="1"/>
  <c r="W8" i="1"/>
  <c r="D111" i="35"/>
  <c r="C111" i="35" s="1"/>
  <c r="H85" i="38"/>
  <c r="D114" i="35"/>
  <c r="H88" i="38"/>
  <c r="C8" i="17"/>
  <c r="I14" i="1"/>
  <c r="L15" i="38" s="1"/>
  <c r="AL9" i="1"/>
  <c r="D65" i="35"/>
  <c r="H48" i="38"/>
  <c r="U21" i="35"/>
  <c r="T21" i="35" s="1"/>
  <c r="O13" i="38"/>
  <c r="J13" i="38" s="1"/>
  <c r="D127" i="35"/>
  <c r="H101" i="38"/>
  <c r="W24" i="1"/>
  <c r="D110" i="35"/>
  <c r="C110" i="35" s="1"/>
  <c r="H84" i="38"/>
  <c r="C84" i="38" s="1"/>
  <c r="BG19" i="1"/>
  <c r="O136" i="38"/>
  <c r="J136" i="38" s="1"/>
  <c r="BB17" i="1"/>
  <c r="H134" i="38"/>
  <c r="C134" i="38" s="1"/>
  <c r="R14" i="1"/>
  <c r="U70" i="35"/>
  <c r="O53" i="38"/>
  <c r="AB7" i="1"/>
  <c r="U110" i="35"/>
  <c r="O84" i="38"/>
  <c r="AL16" i="1"/>
  <c r="D72" i="35"/>
  <c r="H55" i="38"/>
  <c r="BB13" i="1"/>
  <c r="H130" i="38"/>
  <c r="C130" i="38" s="1"/>
  <c r="BG17" i="1"/>
  <c r="O134" i="38"/>
  <c r="J134" i="38" s="1"/>
  <c r="D81" i="35"/>
  <c r="H64" i="38"/>
  <c r="AL25" i="1"/>
  <c r="N10" i="1"/>
  <c r="S11" i="38" s="1"/>
  <c r="AL19" i="35"/>
  <c r="AK19" i="35" s="1"/>
  <c r="V11" i="38"/>
  <c r="Q11" i="38" s="1"/>
  <c r="AL67" i="35"/>
  <c r="AK67" i="35" s="1"/>
  <c r="V50" i="38"/>
  <c r="D88" i="35"/>
  <c r="H71" i="38"/>
  <c r="AL32" i="1"/>
  <c r="R16" i="1"/>
  <c r="J44" i="38" s="1"/>
  <c r="U72" i="35"/>
  <c r="O55" i="38"/>
  <c r="C6" i="38"/>
  <c r="U64" i="35"/>
  <c r="T64" i="35" s="1"/>
  <c r="O47" i="38"/>
  <c r="N7" i="1"/>
  <c r="S8" i="38" s="1"/>
  <c r="AL16" i="35"/>
  <c r="AK16" i="35" s="1"/>
  <c r="V8" i="38"/>
  <c r="Q8" i="38" s="1"/>
  <c r="D115" i="35"/>
  <c r="H89" i="38"/>
  <c r="W10" i="1"/>
  <c r="AL11" i="1"/>
  <c r="D67" i="35"/>
  <c r="H50" i="38"/>
  <c r="D85" i="35"/>
  <c r="H68" i="38"/>
  <c r="AL29" i="1"/>
  <c r="V140" i="38"/>
  <c r="Q140" i="38" s="1"/>
  <c r="BL23" i="1"/>
  <c r="S140" i="38" s="1"/>
  <c r="U17" i="35"/>
  <c r="T17" i="35" s="1"/>
  <c r="O9" i="38"/>
  <c r="J9" i="38" s="1"/>
  <c r="AL87" i="35"/>
  <c r="V70" i="38"/>
  <c r="AV31" i="1"/>
  <c r="AB16" i="1"/>
  <c r="U119" i="35"/>
  <c r="O93" i="38"/>
  <c r="J93" i="38" s="1"/>
  <c r="D82" i="35"/>
  <c r="H65" i="38"/>
  <c r="AL26" i="1"/>
  <c r="O125" i="38"/>
  <c r="J125" i="38" s="1"/>
  <c r="BG8" i="1"/>
  <c r="AL62" i="35"/>
  <c r="V45" i="38"/>
  <c r="C112" i="35"/>
  <c r="D21" i="1"/>
  <c r="H22" i="38"/>
  <c r="C22" i="38" s="1"/>
  <c r="O150" i="38"/>
  <c r="J150" i="38" s="1"/>
  <c r="BG33" i="1"/>
  <c r="L150" i="38" s="1"/>
  <c r="AL10" i="1"/>
  <c r="D66" i="35"/>
  <c r="H49" i="38"/>
  <c r="U83" i="35"/>
  <c r="O66" i="38"/>
  <c r="J66" i="38" s="1"/>
  <c r="R27" i="1"/>
  <c r="AL79" i="35"/>
  <c r="V62" i="38"/>
  <c r="AV23" i="1"/>
  <c r="D126" i="35"/>
  <c r="C126" i="35" s="1"/>
  <c r="H100" i="38"/>
  <c r="C100" i="38" s="1"/>
  <c r="BL8" i="1"/>
  <c r="V125" i="38"/>
  <c r="Q125" i="38" s="1"/>
  <c r="D116" i="35"/>
  <c r="H90" i="38"/>
  <c r="BB18" i="1"/>
  <c r="H135" i="38"/>
  <c r="C135" i="38" s="1"/>
  <c r="AL8" i="1"/>
  <c r="D64" i="35"/>
  <c r="H47" i="38"/>
  <c r="U114" i="35"/>
  <c r="T114" i="35" s="1"/>
  <c r="O88" i="38"/>
  <c r="BG18" i="1"/>
  <c r="O135" i="38"/>
  <c r="J135" i="38" s="1"/>
  <c r="D17" i="1"/>
  <c r="V142" i="38"/>
  <c r="Q142" i="38" s="1"/>
  <c r="BL25" i="1"/>
  <c r="S142" i="38" s="1"/>
  <c r="D13" i="1"/>
  <c r="E14" i="38" s="1"/>
  <c r="H14" i="38"/>
  <c r="C14" i="38" s="1"/>
  <c r="O141" i="38"/>
  <c r="J141" i="38" s="1"/>
  <c r="BG24" i="1"/>
  <c r="L141" i="38" s="1"/>
  <c r="U79" i="35"/>
  <c r="O62" i="38"/>
  <c r="R23" i="1"/>
  <c r="J51" i="38" s="1"/>
  <c r="D7" i="1"/>
  <c r="E8" i="38" s="1"/>
  <c r="C15" i="24"/>
  <c r="R17" i="1"/>
  <c r="U73" i="35"/>
  <c r="O56" i="38"/>
  <c r="AB24" i="1"/>
  <c r="U127" i="35"/>
  <c r="O101" i="38"/>
  <c r="J101" i="38" s="1"/>
  <c r="R7" i="1"/>
  <c r="U63" i="35"/>
  <c r="O46" i="38"/>
  <c r="AL13" i="1"/>
  <c r="D69" i="35"/>
  <c r="H52" i="38"/>
  <c r="BG15" i="1"/>
  <c r="O132" i="38"/>
  <c r="J132" i="38" s="1"/>
  <c r="D83" i="35"/>
  <c r="H66" i="38"/>
  <c r="AL27" i="1"/>
  <c r="AB14" i="1"/>
  <c r="U117" i="35"/>
  <c r="O91" i="38"/>
  <c r="AB9" i="1"/>
  <c r="U112" i="35"/>
  <c r="O86" i="38"/>
  <c r="W14" i="1"/>
  <c r="D117" i="35"/>
  <c r="H91" i="38"/>
  <c r="C91" i="38" s="1"/>
  <c r="W12" i="1"/>
  <c r="BJ13" i="1"/>
  <c r="M130" i="38"/>
  <c r="H149" i="38"/>
  <c r="C149" i="38" s="1"/>
  <c r="BB32" i="1"/>
  <c r="E149" i="38" s="1"/>
  <c r="BG12" i="1"/>
  <c r="O129" i="38"/>
  <c r="J129" i="38" s="1"/>
  <c r="D10" i="1"/>
  <c r="H11" i="38"/>
  <c r="C11" i="38" s="1"/>
  <c r="O142" i="38"/>
  <c r="J142" i="38" s="1"/>
  <c r="BG25" i="1"/>
  <c r="L142" i="38" s="1"/>
  <c r="O149" i="38"/>
  <c r="J149" i="38" s="1"/>
  <c r="BG32" i="1"/>
  <c r="L149" i="38" s="1"/>
  <c r="N12" i="1"/>
  <c r="S13" i="38" s="1"/>
  <c r="AL21" i="35"/>
  <c r="AK21" i="35" s="1"/>
  <c r="V13" i="38"/>
  <c r="Q13" i="38" s="1"/>
  <c r="N8" i="1"/>
  <c r="S9" i="38" s="1"/>
  <c r="AL17" i="35"/>
  <c r="AK17" i="35" s="1"/>
  <c r="V9" i="38"/>
  <c r="Q9" i="38" s="1"/>
  <c r="W6" i="1"/>
  <c r="D109" i="35"/>
  <c r="C109" i="35" s="1"/>
  <c r="H83" i="38"/>
  <c r="AL70" i="35"/>
  <c r="AK70" i="35" s="1"/>
  <c r="V53" i="38"/>
  <c r="AL12" i="1"/>
  <c r="D68" i="35"/>
  <c r="H51" i="38"/>
  <c r="R21" i="1"/>
  <c r="U77" i="35"/>
  <c r="O60" i="38"/>
  <c r="AL81" i="35"/>
  <c r="V64" i="38"/>
  <c r="AV25" i="1"/>
  <c r="BL21" i="1"/>
  <c r="V138" i="38"/>
  <c r="Q138" i="38" s="1"/>
  <c r="BB14" i="1"/>
  <c r="H131" i="38"/>
  <c r="C131" i="38" s="1"/>
  <c r="BG21" i="1"/>
  <c r="O138" i="38"/>
  <c r="J138" i="38" s="1"/>
  <c r="AB23" i="1"/>
  <c r="U126" i="35"/>
  <c r="O100" i="38"/>
  <c r="J100" i="38" s="1"/>
  <c r="O147" i="38"/>
  <c r="J147" i="38" s="1"/>
  <c r="BG30" i="1"/>
  <c r="L147" i="38" s="1"/>
  <c r="D9" i="1"/>
  <c r="AV6" i="1"/>
  <c r="R20" i="1"/>
  <c r="U76" i="35"/>
  <c r="O59" i="38"/>
  <c r="J59" i="38" s="1"/>
  <c r="H29" i="38"/>
  <c r="C29" i="38" s="1"/>
  <c r="D28" i="1"/>
  <c r="E29" i="38" s="1"/>
  <c r="BL13" i="1"/>
  <c r="V130" i="38"/>
  <c r="Q130" i="38" s="1"/>
  <c r="I11" i="1"/>
  <c r="L12" i="38" s="1"/>
  <c r="U20" i="35"/>
  <c r="T20" i="35" s="1"/>
  <c r="O12" i="38"/>
  <c r="J12" i="38" s="1"/>
  <c r="BG16" i="1"/>
  <c r="L133" i="38" s="1"/>
  <c r="O133" i="38"/>
  <c r="J133" i="38" s="1"/>
  <c r="U116" i="35"/>
  <c r="T116" i="35" s="1"/>
  <c r="O90" i="38"/>
  <c r="J90" i="38" s="1"/>
  <c r="V148" i="38"/>
  <c r="Q148" i="38" s="1"/>
  <c r="BL31" i="1"/>
  <c r="S148" i="38" s="1"/>
  <c r="AL21" i="1"/>
  <c r="D77" i="35"/>
  <c r="H60" i="38"/>
  <c r="AB19" i="1"/>
  <c r="U122" i="35"/>
  <c r="O96" i="38"/>
  <c r="BL9" i="1"/>
  <c r="V126" i="38"/>
  <c r="Q126" i="38" s="1"/>
  <c r="AV12" i="1"/>
  <c r="D15" i="1"/>
  <c r="H16" i="38"/>
  <c r="C16" i="38" s="1"/>
  <c r="H143" i="38"/>
  <c r="C143" i="38" s="1"/>
  <c r="BB26" i="1"/>
  <c r="E143" i="38" s="1"/>
  <c r="H32" i="38"/>
  <c r="C32" i="38" s="1"/>
  <c r="D31" i="1"/>
  <c r="E32" i="38" s="1"/>
  <c r="AL19" i="1"/>
  <c r="D75" i="35"/>
  <c r="H58" i="38"/>
  <c r="AL78" i="35"/>
  <c r="V61" i="38"/>
  <c r="AV22" i="1"/>
  <c r="H141" i="38"/>
  <c r="C141" i="38" s="1"/>
  <c r="BB24" i="1"/>
  <c r="E141" i="38" s="1"/>
  <c r="H23" i="38"/>
  <c r="C23" i="38" s="1"/>
  <c r="D22" i="1"/>
  <c r="AL73" i="35"/>
  <c r="AK73" i="35" s="1"/>
  <c r="V56" i="38"/>
  <c r="H150" i="38"/>
  <c r="C150" i="38" s="1"/>
  <c r="BB33" i="1"/>
  <c r="E150" i="38" s="1"/>
  <c r="H145" i="38"/>
  <c r="C145" i="38" s="1"/>
  <c r="BB28" i="1"/>
  <c r="E145" i="38" s="1"/>
  <c r="BB34" i="1"/>
  <c r="E151" i="38" s="1"/>
  <c r="H151" i="38"/>
  <c r="C151" i="38" s="1"/>
  <c r="D125" i="35"/>
  <c r="H99" i="38"/>
  <c r="W22" i="1"/>
  <c r="BG6" i="1"/>
  <c r="O123" i="38"/>
  <c r="J123" i="38" s="1"/>
  <c r="O140" i="38"/>
  <c r="J140" i="38" s="1"/>
  <c r="BG23" i="1"/>
  <c r="BL27" i="1"/>
  <c r="S144" i="38" s="1"/>
  <c r="V144" i="38"/>
  <c r="Q144" i="38" s="1"/>
  <c r="H35" i="38"/>
  <c r="C35" i="38" s="1"/>
  <c r="D34" i="1"/>
  <c r="E35" i="38" s="1"/>
  <c r="AB22" i="1"/>
  <c r="U125" i="35"/>
  <c r="O99" i="38"/>
  <c r="J99" i="38" s="1"/>
  <c r="AL17" i="1"/>
  <c r="D73" i="35"/>
  <c r="H56" i="38"/>
  <c r="D14" i="1"/>
  <c r="H15" i="38"/>
  <c r="C15" i="38" s="1"/>
  <c r="C8" i="24"/>
  <c r="U81" i="35"/>
  <c r="O64" i="38"/>
  <c r="R25" i="1"/>
  <c r="AB18" i="1"/>
  <c r="U121" i="35"/>
  <c r="O95" i="38"/>
  <c r="J95" i="38" s="1"/>
  <c r="U113" i="35"/>
  <c r="O87" i="38"/>
  <c r="AB10" i="1"/>
  <c r="V143" i="38"/>
  <c r="Q143" i="38" s="1"/>
  <c r="BL26" i="1"/>
  <c r="S143" i="38" s="1"/>
  <c r="BJ14" i="1"/>
  <c r="M131" i="38"/>
  <c r="W17" i="1"/>
  <c r="D120" i="35"/>
  <c r="H94" i="38"/>
  <c r="AL15" i="35"/>
  <c r="AK15" i="35" s="1"/>
  <c r="V7" i="38"/>
  <c r="Q7" i="38" s="1"/>
  <c r="BL12" i="1"/>
  <c r="V129" i="38"/>
  <c r="Q129" i="38" s="1"/>
  <c r="U16" i="35"/>
  <c r="T16" i="35" s="1"/>
  <c r="O8" i="38"/>
  <c r="J8" i="38" s="1"/>
  <c r="H33" i="38"/>
  <c r="C33" i="38" s="1"/>
  <c r="D32" i="1"/>
  <c r="E33" i="38" s="1"/>
  <c r="BL20" i="1"/>
  <c r="V137" i="38"/>
  <c r="Q137" i="38" s="1"/>
  <c r="D80" i="35"/>
  <c r="H63" i="38"/>
  <c r="AL24" i="1"/>
  <c r="AK61" i="35"/>
  <c r="BL7" i="1"/>
  <c r="V124" i="38"/>
  <c r="Q124" i="38" s="1"/>
  <c r="BB19" i="1"/>
  <c r="H136" i="38"/>
  <c r="C136" i="38" s="1"/>
  <c r="AL66" i="35"/>
  <c r="AK66" i="35" s="1"/>
  <c r="V49" i="38"/>
  <c r="AL20" i="1"/>
  <c r="D76" i="35"/>
  <c r="H59" i="38"/>
  <c r="H147" i="38"/>
  <c r="C147" i="38" s="1"/>
  <c r="BB30" i="1"/>
  <c r="E147" i="38" s="1"/>
  <c r="W19" i="1"/>
  <c r="D122" i="35"/>
  <c r="C122" i="35" s="1"/>
  <c r="H96" i="38"/>
  <c r="C96" i="38" s="1"/>
  <c r="AL72" i="35"/>
  <c r="AK72" i="35" s="1"/>
  <c r="V55" i="38"/>
  <c r="N11" i="1"/>
  <c r="S12" i="38" s="1"/>
  <c r="AL20" i="35"/>
  <c r="AK20" i="35" s="1"/>
  <c r="V12" i="38"/>
  <c r="Q12" i="38" s="1"/>
  <c r="C15" i="17"/>
  <c r="BL30" i="1"/>
  <c r="S147" i="38" s="1"/>
  <c r="V147" i="38"/>
  <c r="Q147" i="38" s="1"/>
  <c r="AL18" i="1"/>
  <c r="D74" i="35"/>
  <c r="H57" i="38"/>
  <c r="O148" i="38"/>
  <c r="J148" i="38" s="1"/>
  <c r="BG31" i="1"/>
  <c r="L148" i="38" s="1"/>
  <c r="R18" i="1"/>
  <c r="U74" i="35"/>
  <c r="O57" i="38"/>
  <c r="J57" i="38" s="1"/>
  <c r="H144" i="38"/>
  <c r="C144" i="38" s="1"/>
  <c r="BB27" i="1"/>
  <c r="BL14" i="1"/>
  <c r="V131" i="38"/>
  <c r="Q131" i="38" s="1"/>
  <c r="D26" i="1"/>
  <c r="E27" i="38" s="1"/>
  <c r="H27" i="38"/>
  <c r="C27" i="38" s="1"/>
  <c r="W27" i="1"/>
  <c r="D130" i="35"/>
  <c r="H104" i="38"/>
  <c r="BL15" i="1"/>
  <c r="V132" i="38"/>
  <c r="Q132" i="38" s="1"/>
  <c r="H34" i="38"/>
  <c r="C34" i="38" s="1"/>
  <c r="D33" i="1"/>
  <c r="E34" i="38" s="1"/>
  <c r="V146" i="38"/>
  <c r="Q146" i="38" s="1"/>
  <c r="BL29" i="1"/>
  <c r="S146" i="38" s="1"/>
  <c r="BB6" i="1"/>
  <c r="H123" i="38"/>
  <c r="C123" i="38" s="1"/>
  <c r="BB12" i="1"/>
  <c r="H129" i="38"/>
  <c r="C129" i="38" s="1"/>
  <c r="D86" i="35"/>
  <c r="H69" i="38"/>
  <c r="AL30" i="1"/>
  <c r="AB26" i="1"/>
  <c r="U129" i="35"/>
  <c r="O103" i="38"/>
  <c r="C13" i="17"/>
  <c r="H30" i="38"/>
  <c r="C30" i="38" s="1"/>
  <c r="D29" i="1"/>
  <c r="E30" i="38" s="1"/>
  <c r="AB6" i="1"/>
  <c r="U109" i="35"/>
  <c r="O83" i="38"/>
  <c r="W16" i="1"/>
  <c r="D119" i="35"/>
  <c r="H93" i="38"/>
  <c r="AL75" i="35"/>
  <c r="AK75" i="35" s="1"/>
  <c r="V58" i="38"/>
  <c r="U82" i="35"/>
  <c r="O65" i="38"/>
  <c r="R26" i="1"/>
  <c r="H31" i="38"/>
  <c r="C31" i="38" s="1"/>
  <c r="D30" i="1"/>
  <c r="E31" i="38" s="1"/>
  <c r="AL14" i="1"/>
  <c r="D70" i="35"/>
  <c r="H53" i="38"/>
  <c r="BG20" i="1"/>
  <c r="L137" i="38" s="1"/>
  <c r="O137" i="38"/>
  <c r="J137" i="38" s="1"/>
  <c r="J82" i="38"/>
  <c r="D12" i="1"/>
  <c r="H13" i="38"/>
  <c r="C13" i="38" s="1"/>
  <c r="AL65" i="35"/>
  <c r="AK65" i="35" s="1"/>
  <c r="V48" i="38"/>
  <c r="BL32" i="1"/>
  <c r="S149" i="38" s="1"/>
  <c r="V149" i="38"/>
  <c r="Q149" i="38" s="1"/>
  <c r="AB21" i="1"/>
  <c r="U124" i="35"/>
  <c r="T124" i="35" s="1"/>
  <c r="O98" i="38"/>
  <c r="AL89" i="35"/>
  <c r="V72" i="38"/>
  <c r="AV33" i="1"/>
  <c r="D78" i="35"/>
  <c r="H61" i="38"/>
  <c r="AL22" i="1"/>
  <c r="U80" i="35"/>
  <c r="O63" i="38"/>
  <c r="J63" i="38" s="1"/>
  <c r="R24" i="1"/>
  <c r="J52" i="38" s="1"/>
  <c r="N9" i="1"/>
  <c r="S10" i="38" s="1"/>
  <c r="AL18" i="35"/>
  <c r="AK18" i="35" s="1"/>
  <c r="V10" i="38"/>
  <c r="Q10" i="38" s="1"/>
  <c r="AL88" i="35"/>
  <c r="V71" i="38"/>
  <c r="AV32" i="1"/>
  <c r="H148" i="38"/>
  <c r="C148" i="38" s="1"/>
  <c r="BB31" i="1"/>
  <c r="E148" i="38" s="1"/>
  <c r="AB25" i="1"/>
  <c r="U128" i="35"/>
  <c r="O102" i="38"/>
  <c r="O151" i="38"/>
  <c r="J151" i="38" s="1"/>
  <c r="BG34" i="1"/>
  <c r="L151" i="38" s="1"/>
  <c r="U15" i="35"/>
  <c r="T15" i="35" s="1"/>
  <c r="O7" i="38"/>
  <c r="J7" i="38" s="1"/>
  <c r="BL10" i="1"/>
  <c r="V127" i="38"/>
  <c r="Q127" i="38" s="1"/>
  <c r="D8" i="1"/>
  <c r="E9" i="38" s="1"/>
  <c r="H9" i="38"/>
  <c r="C9" i="38" s="1"/>
  <c r="U86" i="35"/>
  <c r="O69" i="38"/>
  <c r="R30" i="1"/>
  <c r="AV7" i="1"/>
  <c r="AL63" i="35"/>
  <c r="V46" i="38"/>
  <c r="T108" i="35"/>
  <c r="BB21" i="1"/>
  <c r="E138" i="38" s="1"/>
  <c r="H138" i="38"/>
  <c r="C138" i="38" s="1"/>
  <c r="C10" i="24"/>
  <c r="I10" i="1"/>
  <c r="L11" i="38" s="1"/>
  <c r="U19" i="35"/>
  <c r="T19" i="35" s="1"/>
  <c r="O11" i="38"/>
  <c r="J11" i="38" s="1"/>
  <c r="AL77" i="35"/>
  <c r="AK77" i="35" s="1"/>
  <c r="V60" i="38"/>
  <c r="C13" i="24"/>
  <c r="D123" i="35"/>
  <c r="C123" i="35" s="1"/>
  <c r="H97" i="38"/>
  <c r="C97" i="38" s="1"/>
  <c r="AL76" i="35"/>
  <c r="AK76" i="35" s="1"/>
  <c r="V59" i="38"/>
  <c r="AL80" i="35"/>
  <c r="V63" i="38"/>
  <c r="AV24" i="1"/>
  <c r="AL82" i="35"/>
  <c r="V65" i="38"/>
  <c r="AV26" i="1"/>
  <c r="BB7" i="1"/>
  <c r="H124" i="38"/>
  <c r="C124" i="38" s="1"/>
  <c r="C44" i="38"/>
  <c r="D44" i="38"/>
  <c r="N14" i="1"/>
  <c r="S15" i="38" s="1"/>
  <c r="AL23" i="35"/>
  <c r="AK23" i="35" s="1"/>
  <c r="V15" i="38"/>
  <c r="Q15" i="38" s="1"/>
  <c r="O143" i="38"/>
  <c r="J143" i="38" s="1"/>
  <c r="BG26" i="1"/>
  <c r="L143" i="38" s="1"/>
  <c r="U22" i="35"/>
  <c r="T22" i="35" s="1"/>
  <c r="O14" i="38"/>
  <c r="J14" i="38" s="1"/>
  <c r="AL22" i="35"/>
  <c r="AK22" i="35" s="1"/>
  <c r="V14" i="38"/>
  <c r="Q14" i="38" s="1"/>
  <c r="BL17" i="1"/>
  <c r="V134" i="38"/>
  <c r="Q134" i="38" s="1"/>
  <c r="BG7" i="1"/>
  <c r="O124" i="38"/>
  <c r="J124" i="38" s="1"/>
  <c r="O145" i="38"/>
  <c r="J145" i="38" s="1"/>
  <c r="BG28" i="1"/>
  <c r="L145" i="38" s="1"/>
  <c r="C16" i="17"/>
  <c r="Q6" i="38"/>
  <c r="AV15" i="1"/>
  <c r="AL71" i="35"/>
  <c r="V54" i="38"/>
  <c r="R6" i="1"/>
  <c r="U62" i="35"/>
  <c r="O45" i="38"/>
  <c r="BL11" i="1"/>
  <c r="V128" i="38"/>
  <c r="Q128" i="38" s="1"/>
  <c r="R28" i="1"/>
  <c r="U84" i="35"/>
  <c r="O67" i="38"/>
  <c r="J67" i="38" s="1"/>
  <c r="D71" i="35"/>
  <c r="C71" i="35" s="1"/>
  <c r="H54" i="38"/>
  <c r="D124" i="35"/>
  <c r="C124" i="35" s="1"/>
  <c r="H98" i="38"/>
  <c r="C98" i="38" s="1"/>
  <c r="BB11" i="1"/>
  <c r="H128" i="38"/>
  <c r="C128" i="38" s="1"/>
  <c r="BB8" i="1"/>
  <c r="H125" i="38"/>
  <c r="C125" i="38" s="1"/>
  <c r="AB8" i="1"/>
  <c r="U111" i="35"/>
  <c r="O85" i="38"/>
  <c r="W15" i="1"/>
  <c r="D118" i="35"/>
  <c r="H92" i="38"/>
  <c r="C92" i="38" s="1"/>
  <c r="Q122" i="38"/>
  <c r="H28" i="38"/>
  <c r="C28" i="38" s="1"/>
  <c r="D27" i="1"/>
  <c r="E28" i="38" s="1"/>
  <c r="BG11" i="1"/>
  <c r="O128" i="38"/>
  <c r="J128" i="38" s="1"/>
  <c r="U118" i="35"/>
  <c r="T118" i="35" s="1"/>
  <c r="O92" i="38"/>
  <c r="AL7" i="1"/>
  <c r="D63" i="35"/>
  <c r="H46" i="38"/>
  <c r="BL24" i="1"/>
  <c r="S141" i="38" s="1"/>
  <c r="V141" i="38"/>
  <c r="Q141" i="38" s="1"/>
  <c r="R15" i="1"/>
  <c r="U71" i="35"/>
  <c r="O54" i="38"/>
  <c r="U18" i="35"/>
  <c r="T18" i="35" s="1"/>
  <c r="O10" i="38"/>
  <c r="J10" i="38" s="1"/>
  <c r="BG9" i="1"/>
  <c r="L126" i="38" s="1"/>
  <c r="O126" i="38"/>
  <c r="J126" i="38" s="1"/>
  <c r="W11" i="1"/>
  <c r="AB17" i="1"/>
  <c r="D20" i="1"/>
  <c r="H21" i="38"/>
  <c r="C21" i="38" s="1"/>
  <c r="H142" i="38"/>
  <c r="C142" i="38" s="1"/>
  <c r="BB25" i="1"/>
  <c r="E142" i="38" s="1"/>
  <c r="D25" i="1"/>
  <c r="E26" i="38" s="1"/>
  <c r="H26" i="38"/>
  <c r="C26" i="38" s="1"/>
  <c r="H36" i="38"/>
  <c r="C36" i="38" s="1"/>
  <c r="D35" i="1"/>
  <c r="E36" i="38" s="1"/>
  <c r="AL85" i="35"/>
  <c r="V68" i="38"/>
  <c r="AV29" i="1"/>
  <c r="Q57" i="38" s="1"/>
  <c r="BL16" i="1"/>
  <c r="S133" i="38" s="1"/>
  <c r="V133" i="38"/>
  <c r="Q133" i="38" s="1"/>
  <c r="AL83" i="35"/>
  <c r="V66" i="38"/>
  <c r="AV27" i="1"/>
  <c r="C122" i="38"/>
  <c r="F5" i="15"/>
  <c r="I8" i="1"/>
  <c r="L9" i="38" s="1"/>
  <c r="C9" i="17"/>
  <c r="W5" i="1"/>
  <c r="R25" i="31"/>
  <c r="R26" i="31" s="1"/>
  <c r="R27" i="31" s="1"/>
  <c r="S25" i="31"/>
  <c r="S26" i="31" s="1"/>
  <c r="S27" i="31" s="1"/>
  <c r="T25" i="31"/>
  <c r="T26" i="31" s="1"/>
  <c r="T27" i="31" s="1"/>
  <c r="U25" i="31"/>
  <c r="U26" i="31" s="1"/>
  <c r="U27" i="31" s="1"/>
  <c r="U19" i="31"/>
  <c r="U28" i="31" s="1"/>
  <c r="W25" i="31"/>
  <c r="W26" i="31" s="1"/>
  <c r="W27" i="31" s="1"/>
  <c r="V25" i="31"/>
  <c r="V26" i="31" s="1"/>
  <c r="V27" i="31" s="1"/>
  <c r="J108" i="38" l="1"/>
  <c r="J111" i="38"/>
  <c r="L128" i="38"/>
  <c r="S125" i="38"/>
  <c r="E125" i="38"/>
  <c r="T74" i="35"/>
  <c r="T63" i="35"/>
  <c r="L124" i="38"/>
  <c r="J86" i="38"/>
  <c r="E124" i="38"/>
  <c r="T84" i="35"/>
  <c r="T125" i="35"/>
  <c r="T112" i="35"/>
  <c r="E130" i="38"/>
  <c r="T115" i="35"/>
  <c r="BL370" i="1"/>
  <c r="J85" i="38"/>
  <c r="E123" i="38"/>
  <c r="C83" i="38"/>
  <c r="D370" i="1"/>
  <c r="S127" i="38"/>
  <c r="E13" i="38"/>
  <c r="L139" i="38"/>
  <c r="S134" i="38"/>
  <c r="C63" i="35"/>
  <c r="C131" i="35"/>
  <c r="AK83" i="35"/>
  <c r="C65" i="35"/>
  <c r="L135" i="38"/>
  <c r="T111" i="35"/>
  <c r="E16" i="38"/>
  <c r="E11" i="38"/>
  <c r="J88" i="38"/>
  <c r="L125" i="38"/>
  <c r="S128" i="38"/>
  <c r="BB370" i="1"/>
  <c r="S129" i="38"/>
  <c r="L138" i="38"/>
  <c r="L123" i="38"/>
  <c r="L140" i="38"/>
  <c r="E21" i="38"/>
  <c r="S131" i="38"/>
  <c r="S124" i="38"/>
  <c r="E128" i="38"/>
  <c r="S35" i="38"/>
  <c r="N370" i="1"/>
  <c r="J47" i="38"/>
  <c r="L35" i="38"/>
  <c r="I370" i="1"/>
  <c r="T75" i="35"/>
  <c r="J92" i="38"/>
  <c r="C119" i="35"/>
  <c r="C85" i="38"/>
  <c r="S135" i="38"/>
  <c r="C73" i="35"/>
  <c r="C75" i="35"/>
  <c r="C117" i="35"/>
  <c r="E22" i="38"/>
  <c r="L136" i="38"/>
  <c r="S122" i="38"/>
  <c r="L134" i="38"/>
  <c r="E10" i="38"/>
  <c r="J89" i="38"/>
  <c r="C108" i="35"/>
  <c r="AK62" i="35"/>
  <c r="L122" i="38"/>
  <c r="C118" i="35"/>
  <c r="E18" i="38"/>
  <c r="E137" i="38"/>
  <c r="E126" i="38"/>
  <c r="E20" i="38"/>
  <c r="J91" i="38"/>
  <c r="C127" i="35"/>
  <c r="S132" i="38"/>
  <c r="C74" i="35"/>
  <c r="C76" i="35"/>
  <c r="T126" i="35"/>
  <c r="T117" i="35"/>
  <c r="S136" i="38"/>
  <c r="E139" i="38"/>
  <c r="E17" i="38"/>
  <c r="E12" i="38"/>
  <c r="E23" i="38"/>
  <c r="L129" i="38"/>
  <c r="T83" i="35"/>
  <c r="E140" i="38"/>
  <c r="E7" i="38"/>
  <c r="J73" i="38"/>
  <c r="S137" i="38"/>
  <c r="S126" i="38"/>
  <c r="C64" i="35"/>
  <c r="T119" i="35"/>
  <c r="W45" i="1"/>
  <c r="D12" i="17"/>
  <c r="H111" i="38"/>
  <c r="C111" i="38" s="1"/>
  <c r="E25" i="38"/>
  <c r="E136" i="38"/>
  <c r="S130" i="38"/>
  <c r="E131" i="38"/>
  <c r="E127" i="38"/>
  <c r="L132" i="38"/>
  <c r="L127" i="38"/>
  <c r="E19" i="38"/>
  <c r="S138" i="38"/>
  <c r="E135" i="38"/>
  <c r="E24" i="38"/>
  <c r="E132" i="38"/>
  <c r="C93" i="38"/>
  <c r="E129" i="38"/>
  <c r="E144" i="38"/>
  <c r="E133" i="38"/>
  <c r="E15" i="38"/>
  <c r="E134" i="38"/>
  <c r="S123" i="38"/>
  <c r="Q73" i="38"/>
  <c r="R73" i="38"/>
  <c r="J48" i="38"/>
  <c r="C77" i="35"/>
  <c r="T76" i="35"/>
  <c r="J46" i="38"/>
  <c r="C79" i="35"/>
  <c r="J49" i="38"/>
  <c r="C62" i="35"/>
  <c r="C78" i="35"/>
  <c r="T71" i="35"/>
  <c r="C70" i="35"/>
  <c r="C68" i="35"/>
  <c r="AK63" i="35"/>
  <c r="AK89" i="35"/>
  <c r="J53" i="38"/>
  <c r="AK71" i="35"/>
  <c r="C66" i="35"/>
  <c r="T70" i="35"/>
  <c r="J54" i="38"/>
  <c r="AK82" i="35"/>
  <c r="C101" i="38"/>
  <c r="AK80" i="35"/>
  <c r="C104" i="38"/>
  <c r="T62" i="35"/>
  <c r="C130" i="35"/>
  <c r="AK78" i="35"/>
  <c r="AK87" i="35"/>
  <c r="T78" i="35"/>
  <c r="J64" i="38"/>
  <c r="T80" i="35"/>
  <c r="J65" i="38"/>
  <c r="AK85" i="35"/>
  <c r="C72" i="35"/>
  <c r="J84" i="38"/>
  <c r="T129" i="35"/>
  <c r="T110" i="35"/>
  <c r="AK64" i="35"/>
  <c r="C89" i="38"/>
  <c r="T113" i="35"/>
  <c r="J96" i="38"/>
  <c r="C115" i="35"/>
  <c r="C94" i="38"/>
  <c r="T122" i="35"/>
  <c r="C120" i="35"/>
  <c r="AK81" i="35"/>
  <c r="J60" i="38"/>
  <c r="H37" i="38"/>
  <c r="H38" i="38" s="1"/>
  <c r="H39" i="38" s="1"/>
  <c r="R69" i="38"/>
  <c r="Q69" i="38"/>
  <c r="T86" i="35"/>
  <c r="C49" i="38"/>
  <c r="D49" i="38"/>
  <c r="C69" i="38"/>
  <c r="D69" i="38"/>
  <c r="Q48" i="38"/>
  <c r="R48" i="38"/>
  <c r="D72" i="38"/>
  <c r="C72" i="38"/>
  <c r="R64" i="38"/>
  <c r="Q64" i="38"/>
  <c r="O113" i="38"/>
  <c r="O114" i="38" s="1"/>
  <c r="O115" i="38" s="1"/>
  <c r="BG14" i="1"/>
  <c r="L131" i="38" s="1"/>
  <c r="O131" i="38"/>
  <c r="J131" i="38" s="1"/>
  <c r="R65" i="38"/>
  <c r="Q65" i="38"/>
  <c r="T77" i="35"/>
  <c r="R45" i="38"/>
  <c r="Q45" i="38"/>
  <c r="AK86" i="35"/>
  <c r="J61" i="38"/>
  <c r="R52" i="38"/>
  <c r="Q52" i="38"/>
  <c r="J102" i="38"/>
  <c r="J55" i="38"/>
  <c r="C46" i="38"/>
  <c r="D46" i="38"/>
  <c r="J45" i="38"/>
  <c r="T128" i="35"/>
  <c r="C53" i="38"/>
  <c r="D53" i="38"/>
  <c r="J87" i="38"/>
  <c r="C51" i="38"/>
  <c r="D51" i="38"/>
  <c r="T72" i="35"/>
  <c r="C82" i="38"/>
  <c r="J69" i="38"/>
  <c r="C125" i="35"/>
  <c r="H153" i="38"/>
  <c r="H154" i="38" s="1"/>
  <c r="H155" i="38" s="1"/>
  <c r="R54" i="38"/>
  <c r="Q54" i="38"/>
  <c r="R59" i="38"/>
  <c r="Q59" i="38"/>
  <c r="T121" i="35"/>
  <c r="R53" i="38"/>
  <c r="Q53" i="38"/>
  <c r="D65" i="38"/>
  <c r="C65" i="38"/>
  <c r="C71" i="38"/>
  <c r="D71" i="38"/>
  <c r="J58" i="38"/>
  <c r="C86" i="35"/>
  <c r="C59" i="38"/>
  <c r="D59" i="38"/>
  <c r="O37" i="38"/>
  <c r="O38" i="38" s="1"/>
  <c r="O39" i="38" s="1"/>
  <c r="R49" i="38"/>
  <c r="Q49" i="38"/>
  <c r="C82" i="35"/>
  <c r="C88" i="35"/>
  <c r="R51" i="38"/>
  <c r="Q51" i="38"/>
  <c r="R71" i="38"/>
  <c r="Q71" i="38"/>
  <c r="C66" i="38"/>
  <c r="D66" i="38"/>
  <c r="C47" i="38"/>
  <c r="D47" i="38"/>
  <c r="Q50" i="38"/>
  <c r="R50" i="38"/>
  <c r="C48" i="38"/>
  <c r="D48" i="38"/>
  <c r="AK68" i="35"/>
  <c r="R66" i="38"/>
  <c r="Q66" i="38"/>
  <c r="V37" i="38"/>
  <c r="V38" i="38" s="1"/>
  <c r="V39" i="38" s="1"/>
  <c r="AK88" i="35"/>
  <c r="C83" i="35"/>
  <c r="T82" i="35"/>
  <c r="T81" i="35"/>
  <c r="D70" i="38"/>
  <c r="C70" i="38"/>
  <c r="C54" i="38"/>
  <c r="D54" i="38"/>
  <c r="BG13" i="1"/>
  <c r="L130" i="38" s="1"/>
  <c r="O130" i="38"/>
  <c r="J130" i="38" s="1"/>
  <c r="C87" i="35"/>
  <c r="C99" i="38"/>
  <c r="J97" i="38"/>
  <c r="J94" i="38"/>
  <c r="V153" i="38"/>
  <c r="V154" i="38" s="1"/>
  <c r="V155" i="38" s="1"/>
  <c r="C69" i="35"/>
  <c r="C88" i="38"/>
  <c r="T123" i="35"/>
  <c r="T120" i="35"/>
  <c r="Q58" i="38"/>
  <c r="R58" i="38"/>
  <c r="C56" i="38"/>
  <c r="D56" i="38"/>
  <c r="D58" i="38"/>
  <c r="C58" i="38"/>
  <c r="D64" i="38"/>
  <c r="C64" i="38"/>
  <c r="C114" i="35"/>
  <c r="R63" i="38"/>
  <c r="Q63" i="38"/>
  <c r="R61" i="38"/>
  <c r="Q61" i="38"/>
  <c r="C63" i="38"/>
  <c r="D63" i="38"/>
  <c r="C81" i="35"/>
  <c r="J83" i="38"/>
  <c r="C80" i="35"/>
  <c r="C52" i="38"/>
  <c r="D52" i="38"/>
  <c r="C61" i="38"/>
  <c r="D61" i="38"/>
  <c r="T109" i="35"/>
  <c r="C45" i="38"/>
  <c r="D45" i="38"/>
  <c r="C62" i="38"/>
  <c r="D62" i="38"/>
  <c r="R67" i="38"/>
  <c r="Q67" i="38"/>
  <c r="C89" i="35"/>
  <c r="R60" i="38"/>
  <c r="Q60" i="38"/>
  <c r="R70" i="38"/>
  <c r="Q70" i="38"/>
  <c r="R68" i="38"/>
  <c r="Q68" i="38"/>
  <c r="T127" i="35"/>
  <c r="C68" i="38"/>
  <c r="D68" i="38"/>
  <c r="R46" i="38"/>
  <c r="Q46" i="38"/>
  <c r="R72" i="38"/>
  <c r="Q72" i="38"/>
  <c r="C57" i="38"/>
  <c r="D57" i="38"/>
  <c r="R62" i="38"/>
  <c r="Q62" i="38"/>
  <c r="C85" i="35"/>
  <c r="D55" i="38"/>
  <c r="C55" i="38"/>
  <c r="O75" i="38"/>
  <c r="T79" i="35"/>
  <c r="D60" i="38"/>
  <c r="C60" i="38"/>
  <c r="J56" i="38"/>
  <c r="AK79" i="35"/>
  <c r="D50" i="38"/>
  <c r="C50" i="38"/>
  <c r="C73" i="38"/>
  <c r="D73" i="38"/>
  <c r="C67" i="38"/>
  <c r="D67" i="38"/>
  <c r="C87" i="38"/>
  <c r="Q47" i="38"/>
  <c r="R47" i="38"/>
  <c r="AK84" i="35"/>
  <c r="H75" i="38"/>
  <c r="J62" i="38"/>
  <c r="R55" i="38"/>
  <c r="Q55" i="38"/>
  <c r="Q56" i="38"/>
  <c r="R56" i="38"/>
  <c r="J98" i="38"/>
  <c r="J103" i="38"/>
  <c r="T73" i="35"/>
  <c r="C67" i="35"/>
  <c r="C90" i="35"/>
  <c r="C84" i="35"/>
  <c r="C113" i="35"/>
  <c r="O76" i="38" l="1"/>
  <c r="O77" i="38" s="1"/>
  <c r="BG370" i="1"/>
  <c r="H113" i="38"/>
  <c r="H114" i="38" s="1"/>
  <c r="H115" i="38" s="1"/>
  <c r="H76" i="38"/>
  <c r="H77" i="38" s="1"/>
  <c r="O153" i="38"/>
  <c r="O154" i="38" s="1"/>
  <c r="O155" i="38" s="1"/>
  <c r="B3422" i="21"/>
  <c r="B3423" i="21"/>
  <c r="B3424" i="21"/>
  <c r="B3425" i="21"/>
  <c r="B3426" i="21"/>
  <c r="B3427" i="21"/>
  <c r="B3428" i="21"/>
  <c r="B3429" i="21"/>
  <c r="C3422" i="21"/>
  <c r="C3423" i="21"/>
  <c r="C3424" i="21"/>
  <c r="C3425" i="21"/>
  <c r="C3426" i="21"/>
  <c r="C3427" i="21"/>
  <c r="C3428" i="21"/>
  <c r="C3429" i="21"/>
  <c r="B3419" i="21"/>
  <c r="B3420" i="21"/>
  <c r="B3421" i="21"/>
  <c r="C3419" i="21"/>
  <c r="C3420" i="21"/>
  <c r="C3421" i="21"/>
  <c r="B3418" i="21"/>
  <c r="C3418" i="21"/>
  <c r="B3415" i="21"/>
  <c r="B3416" i="21"/>
  <c r="B3417" i="21"/>
  <c r="C3415" i="21"/>
  <c r="C3416" i="21"/>
  <c r="C3417" i="21"/>
  <c r="B3414" i="21"/>
  <c r="C3414" i="21"/>
  <c r="B3412" i="21"/>
  <c r="B3413" i="21"/>
  <c r="C3412" i="21"/>
  <c r="C3413" i="21"/>
  <c r="B3411" i="21"/>
  <c r="C3411" i="21"/>
  <c r="B3410" i="21"/>
  <c r="C3410" i="21"/>
  <c r="B3407" i="21"/>
  <c r="B3408" i="21"/>
  <c r="B3409" i="21"/>
  <c r="C3407" i="21"/>
  <c r="C3408" i="21"/>
  <c r="C3409" i="21"/>
  <c r="B3406" i="21"/>
  <c r="C3406" i="21"/>
  <c r="B3403" i="21"/>
  <c r="B3404" i="21"/>
  <c r="B3405" i="21"/>
  <c r="C3403" i="21"/>
  <c r="C3404" i="21"/>
  <c r="C3405" i="21"/>
  <c r="B3402" i="21"/>
  <c r="C3402" i="21"/>
  <c r="B3399" i="21"/>
  <c r="B3400" i="21"/>
  <c r="B3401" i="21"/>
  <c r="C3399" i="21"/>
  <c r="C3400" i="21"/>
  <c r="C3401" i="21"/>
  <c r="B3398" i="21"/>
  <c r="C3398" i="21"/>
  <c r="B3395" i="21"/>
  <c r="B3396" i="21"/>
  <c r="B3397" i="21"/>
  <c r="C3395" i="21"/>
  <c r="C3396" i="21"/>
  <c r="C3397" i="21"/>
  <c r="B3394" i="21"/>
  <c r="C3394" i="21"/>
  <c r="B3391" i="21"/>
  <c r="B3392" i="21"/>
  <c r="B3393" i="21"/>
  <c r="C3391" i="21"/>
  <c r="C3392" i="21"/>
  <c r="C3393" i="21"/>
  <c r="B3390" i="21"/>
  <c r="C3390" i="21"/>
  <c r="B3387" i="21"/>
  <c r="B3388" i="21"/>
  <c r="B3389" i="21"/>
  <c r="C3387" i="21"/>
  <c r="C3388" i="21"/>
  <c r="C3389" i="21"/>
  <c r="B3386" i="21"/>
  <c r="C3386" i="21"/>
  <c r="B3383" i="21"/>
  <c r="B3384" i="21"/>
  <c r="B3385" i="21"/>
  <c r="C3383" i="21"/>
  <c r="C3384" i="21"/>
  <c r="C3385" i="21"/>
  <c r="B3382" i="21"/>
  <c r="C3382" i="21"/>
  <c r="B3379" i="21"/>
  <c r="B3380" i="21"/>
  <c r="B3381" i="21"/>
  <c r="C3379" i="21"/>
  <c r="C3380" i="21"/>
  <c r="C3381" i="21"/>
  <c r="B3378" i="21"/>
  <c r="C3378" i="21"/>
  <c r="B3375" i="21"/>
  <c r="B3376" i="21"/>
  <c r="B3377" i="21"/>
  <c r="C3375" i="21"/>
  <c r="C3376" i="21"/>
  <c r="C3377" i="21"/>
  <c r="B3374" i="21"/>
  <c r="C3374" i="21"/>
  <c r="B3371" i="21"/>
  <c r="B3372" i="21"/>
  <c r="B3373" i="21"/>
  <c r="C3371" i="21"/>
  <c r="C3372" i="21"/>
  <c r="C3373" i="21"/>
  <c r="B3370" i="21"/>
  <c r="C3370" i="21"/>
  <c r="B3367" i="21"/>
  <c r="B3368" i="21"/>
  <c r="B3369" i="21"/>
  <c r="C3367" i="21"/>
  <c r="C3368" i="21"/>
  <c r="C3369" i="21"/>
  <c r="B3366" i="21"/>
  <c r="C3366" i="21"/>
  <c r="B3363" i="21"/>
  <c r="B3364" i="21"/>
  <c r="B3365" i="21"/>
  <c r="C3363" i="21"/>
  <c r="C3364" i="21"/>
  <c r="C3365" i="21"/>
  <c r="B3362" i="21"/>
  <c r="C3362" i="21"/>
  <c r="B3359" i="21"/>
  <c r="B3360" i="21"/>
  <c r="B3361" i="21"/>
  <c r="C3359" i="21"/>
  <c r="C3360" i="21"/>
  <c r="C3361" i="21"/>
  <c r="B3358" i="21"/>
  <c r="C3358" i="21"/>
  <c r="B3355" i="21"/>
  <c r="B3356" i="21"/>
  <c r="B3357" i="21"/>
  <c r="C3355" i="21"/>
  <c r="C3356" i="21"/>
  <c r="C3357" i="21"/>
  <c r="B3354" i="21"/>
  <c r="C3354" i="21"/>
  <c r="B3353" i="21"/>
  <c r="C3353" i="21"/>
  <c r="B3351" i="21"/>
  <c r="B3352" i="21"/>
  <c r="C3351" i="21"/>
  <c r="C3352" i="21"/>
  <c r="B3350" i="21"/>
  <c r="C3350" i="21"/>
  <c r="B3347" i="21"/>
  <c r="B3348" i="21"/>
  <c r="B3349" i="21"/>
  <c r="C3347" i="21"/>
  <c r="C3348" i="21"/>
  <c r="C3349" i="21"/>
  <c r="B3346" i="21"/>
  <c r="C3346" i="21"/>
  <c r="B3343" i="21"/>
  <c r="B3344" i="21"/>
  <c r="B3345" i="21"/>
  <c r="C3343" i="21"/>
  <c r="C3344" i="21"/>
  <c r="C3345" i="21"/>
  <c r="B3342" i="21"/>
  <c r="C3342" i="21"/>
  <c r="B3339" i="21"/>
  <c r="B3340" i="21"/>
  <c r="B3341" i="21"/>
  <c r="C3339" i="21"/>
  <c r="C3340" i="21"/>
  <c r="C3341" i="21"/>
  <c r="B3338" i="21"/>
  <c r="C3338" i="21"/>
  <c r="B3335" i="21"/>
  <c r="B3336" i="21"/>
  <c r="B3337" i="21"/>
  <c r="C3335" i="21"/>
  <c r="C3336" i="21"/>
  <c r="C3337" i="21"/>
  <c r="B3334" i="21"/>
  <c r="C3334" i="21"/>
  <c r="B3331" i="21"/>
  <c r="B3332" i="21"/>
  <c r="B3333" i="21"/>
  <c r="C3331" i="21"/>
  <c r="C3332" i="21"/>
  <c r="C3333" i="21"/>
  <c r="B3330" i="21"/>
  <c r="C3330" i="21"/>
  <c r="B3327" i="21"/>
  <c r="B3328" i="21"/>
  <c r="B3329" i="21"/>
  <c r="C3327" i="21"/>
  <c r="C3328" i="21"/>
  <c r="C3329" i="21"/>
  <c r="B3326" i="21"/>
  <c r="C3326" i="21"/>
  <c r="B3323" i="21"/>
  <c r="B3324" i="21"/>
  <c r="B3325" i="21"/>
  <c r="C3323" i="21"/>
  <c r="C3324" i="21"/>
  <c r="C3325" i="21"/>
  <c r="B3322" i="21"/>
  <c r="C3322" i="21"/>
  <c r="B3319" i="21"/>
  <c r="B3320" i="21"/>
  <c r="B3321" i="21"/>
  <c r="C3319" i="21"/>
  <c r="C3320" i="21"/>
  <c r="C3321" i="21"/>
  <c r="B3318" i="21"/>
  <c r="C3318" i="21"/>
  <c r="B3315" i="21"/>
  <c r="B3316" i="21"/>
  <c r="B3317" i="21"/>
  <c r="C3315" i="21"/>
  <c r="C3316" i="21"/>
  <c r="C3317" i="21"/>
  <c r="B3314" i="21"/>
  <c r="C3314" i="21"/>
  <c r="B3313" i="21"/>
  <c r="C3313" i="21"/>
  <c r="B3311" i="21"/>
  <c r="B3312" i="21"/>
  <c r="C3311" i="21"/>
  <c r="C3312" i="21"/>
  <c r="B3310" i="21"/>
  <c r="C3310" i="21"/>
  <c r="B3307" i="21"/>
  <c r="B3308" i="21"/>
  <c r="B3309" i="21"/>
  <c r="C3307" i="21"/>
  <c r="C3308" i="21"/>
  <c r="C3309" i="21"/>
  <c r="B3299" i="21"/>
  <c r="B3300" i="21"/>
  <c r="B3301" i="21"/>
  <c r="C3299" i="21"/>
  <c r="C3300" i="21"/>
  <c r="C3301" i="21"/>
  <c r="B3283" i="21"/>
  <c r="B3284" i="21"/>
  <c r="B3285" i="21"/>
  <c r="C3283" i="21"/>
  <c r="C3284" i="21"/>
  <c r="C3285" i="21"/>
  <c r="B3295" i="21"/>
  <c r="B3296" i="21"/>
  <c r="B3297" i="21"/>
  <c r="C3295" i="21"/>
  <c r="C3296" i="21"/>
  <c r="C3297" i="21"/>
  <c r="B3291" i="21"/>
  <c r="B3292" i="21"/>
  <c r="B3293" i="21"/>
  <c r="C3291" i="21"/>
  <c r="C3292" i="21"/>
  <c r="C3293" i="21"/>
  <c r="B3287" i="21"/>
  <c r="B3288" i="21"/>
  <c r="B3289" i="21"/>
  <c r="C3287" i="21"/>
  <c r="C3288" i="21"/>
  <c r="C3289" i="21"/>
  <c r="C2" i="16"/>
  <c r="C3" i="36" l="1"/>
  <c r="D3" i="36" l="1"/>
  <c r="E3" i="36" s="1"/>
  <c r="C7" i="36"/>
  <c r="C6" i="36"/>
  <c r="C4" i="36"/>
  <c r="C9" i="36"/>
  <c r="C11" i="36"/>
  <c r="C5" i="36"/>
  <c r="C10" i="36"/>
  <c r="C12" i="36"/>
  <c r="C8" i="36"/>
  <c r="C3260" i="21"/>
  <c r="B3260" i="21"/>
  <c r="C3259" i="21"/>
  <c r="B3259" i="21"/>
  <c r="C3258" i="21"/>
  <c r="B3258" i="21"/>
  <c r="Y4" i="18"/>
  <c r="E5" i="36" l="1"/>
  <c r="E11" i="36"/>
  <c r="E6" i="36"/>
  <c r="E12" i="36"/>
  <c r="E10" i="36"/>
  <c r="E8" i="36"/>
  <c r="E9" i="36"/>
  <c r="E7" i="36"/>
  <c r="E4" i="36"/>
  <c r="D11" i="36"/>
  <c r="D9" i="36"/>
  <c r="D7" i="36"/>
  <c r="D6" i="36"/>
  <c r="D12" i="36"/>
  <c r="D5" i="36"/>
  <c r="D4" i="36"/>
  <c r="D10" i="36"/>
  <c r="D8" i="36"/>
  <c r="F3" i="36"/>
  <c r="F15" i="36" s="1"/>
  <c r="F7" i="36" l="1"/>
  <c r="F9" i="36"/>
  <c r="F4" i="36"/>
  <c r="F11" i="36"/>
  <c r="F6" i="36"/>
  <c r="F12" i="36"/>
  <c r="F8" i="36"/>
  <c r="F10" i="36"/>
  <c r="F5" i="36"/>
  <c r="G3" i="36"/>
  <c r="B3267" i="21"/>
  <c r="B3268" i="21"/>
  <c r="B3269" i="21"/>
  <c r="B3270" i="21"/>
  <c r="B3271" i="21"/>
  <c r="B3272" i="21"/>
  <c r="B3273" i="21"/>
  <c r="B3274" i="21"/>
  <c r="B3275" i="21"/>
  <c r="B3276" i="21"/>
  <c r="B3277" i="21"/>
  <c r="B3278" i="21"/>
  <c r="B3279" i="21"/>
  <c r="B3280" i="21"/>
  <c r="B3281" i="21"/>
  <c r="B3282" i="21"/>
  <c r="B3286" i="21"/>
  <c r="B3290" i="21"/>
  <c r="B3294" i="21"/>
  <c r="B3298" i="21"/>
  <c r="B3302" i="21"/>
  <c r="B3303" i="21"/>
  <c r="B3304" i="21"/>
  <c r="B3305" i="21"/>
  <c r="B3306" i="21"/>
  <c r="C3267" i="21"/>
  <c r="C3268" i="21"/>
  <c r="C3269" i="21"/>
  <c r="C3270" i="21"/>
  <c r="C3271" i="21"/>
  <c r="C3272" i="21"/>
  <c r="C3273" i="21"/>
  <c r="C3274" i="21"/>
  <c r="C3275" i="21"/>
  <c r="C3276" i="21"/>
  <c r="C3277" i="21"/>
  <c r="C3278" i="21"/>
  <c r="C3279" i="21"/>
  <c r="C3280" i="21"/>
  <c r="C3281" i="21"/>
  <c r="C3282" i="21"/>
  <c r="C3286" i="21"/>
  <c r="C3290" i="21"/>
  <c r="C3294" i="21"/>
  <c r="C3298" i="21"/>
  <c r="C3302" i="21"/>
  <c r="C3303" i="21"/>
  <c r="C3304" i="21"/>
  <c r="C3305" i="21"/>
  <c r="C3306" i="21"/>
  <c r="G16" i="36" l="1"/>
  <c r="G17" i="36"/>
  <c r="G15" i="36"/>
  <c r="G7" i="36"/>
  <c r="G11" i="36"/>
  <c r="G8" i="36"/>
  <c r="G10" i="36"/>
  <c r="G9" i="36"/>
  <c r="G6" i="36"/>
  <c r="G4" i="36"/>
  <c r="G5" i="36"/>
  <c r="G12" i="36"/>
  <c r="H3" i="36"/>
  <c r="H15" i="36" l="1"/>
  <c r="H16" i="36"/>
  <c r="H17" i="36"/>
  <c r="H5" i="36"/>
  <c r="H4" i="36"/>
  <c r="H11" i="36"/>
  <c r="H8" i="36"/>
  <c r="H6" i="36"/>
  <c r="H9" i="36"/>
  <c r="H12" i="36"/>
  <c r="H10" i="36"/>
  <c r="H7" i="36"/>
  <c r="I3" i="36"/>
  <c r="I15" i="36" l="1"/>
  <c r="I16" i="36"/>
  <c r="I17" i="36"/>
  <c r="I10" i="36"/>
  <c r="I8" i="36"/>
  <c r="I5" i="36"/>
  <c r="I7" i="36"/>
  <c r="I4" i="36"/>
  <c r="I6" i="36"/>
  <c r="I11" i="36"/>
  <c r="I12" i="36"/>
  <c r="I9" i="36"/>
  <c r="J3" i="36"/>
  <c r="B3253" i="21"/>
  <c r="B3254" i="21"/>
  <c r="B3255" i="21"/>
  <c r="B3256" i="21"/>
  <c r="B3257" i="21"/>
  <c r="B3261" i="21"/>
  <c r="B3262" i="21"/>
  <c r="B3263" i="21"/>
  <c r="B3264" i="21"/>
  <c r="B3265" i="21"/>
  <c r="B3266" i="21"/>
  <c r="C3253" i="21"/>
  <c r="C3254" i="21"/>
  <c r="C3255" i="21"/>
  <c r="C3256" i="21"/>
  <c r="C3257" i="21"/>
  <c r="C3261" i="21"/>
  <c r="C3262" i="21"/>
  <c r="C3263" i="21"/>
  <c r="C3264" i="21"/>
  <c r="C3265" i="21"/>
  <c r="C3266" i="21"/>
  <c r="B3249" i="21"/>
  <c r="B3250" i="21"/>
  <c r="B3251" i="21"/>
  <c r="C3249" i="21"/>
  <c r="C3250" i="21"/>
  <c r="C3251" i="21"/>
  <c r="B3245" i="21"/>
  <c r="B3246" i="21"/>
  <c r="B3247" i="21"/>
  <c r="C3245" i="21"/>
  <c r="C3246" i="21"/>
  <c r="C3247" i="21"/>
  <c r="B3241" i="21"/>
  <c r="B3242" i="21"/>
  <c r="B3243" i="21"/>
  <c r="C3241" i="21"/>
  <c r="C3242" i="21"/>
  <c r="C3243" i="21"/>
  <c r="B3237" i="21"/>
  <c r="B3238" i="21"/>
  <c r="B3239" i="21"/>
  <c r="C3237" i="21"/>
  <c r="C3238" i="21"/>
  <c r="C3239" i="21"/>
  <c r="B3233" i="21"/>
  <c r="B3234" i="21"/>
  <c r="B3235" i="21"/>
  <c r="C3233" i="21"/>
  <c r="C3234" i="21"/>
  <c r="C3235" i="21"/>
  <c r="B3229" i="21"/>
  <c r="B3230" i="21"/>
  <c r="B3231" i="21"/>
  <c r="C3229" i="21"/>
  <c r="C3230" i="21"/>
  <c r="C3231" i="21"/>
  <c r="B3225" i="21"/>
  <c r="B3226" i="21"/>
  <c r="B3227" i="21"/>
  <c r="C3225" i="21"/>
  <c r="C3226" i="21"/>
  <c r="C3227" i="21"/>
  <c r="B3221" i="21"/>
  <c r="B3222" i="21"/>
  <c r="B3223" i="21"/>
  <c r="C3221" i="21"/>
  <c r="C3222" i="21"/>
  <c r="C3223" i="21"/>
  <c r="B3217" i="21"/>
  <c r="B3218" i="21"/>
  <c r="B3219" i="21"/>
  <c r="C3217" i="21"/>
  <c r="C3218" i="21"/>
  <c r="C3219" i="21"/>
  <c r="B3213" i="21"/>
  <c r="C3213" i="21"/>
  <c r="B3214" i="21"/>
  <c r="C3214" i="21"/>
  <c r="C3215" i="21"/>
  <c r="B3215" i="21"/>
  <c r="B3209" i="21"/>
  <c r="C3209" i="21"/>
  <c r="B3210" i="21"/>
  <c r="C3210" i="21"/>
  <c r="B3211" i="21"/>
  <c r="C3211" i="21"/>
  <c r="B3205" i="21"/>
  <c r="C3205" i="21"/>
  <c r="B3206" i="21"/>
  <c r="C3206" i="21"/>
  <c r="B3207" i="21"/>
  <c r="C3207" i="21"/>
  <c r="B3201" i="21"/>
  <c r="C3201" i="21"/>
  <c r="B3202" i="21"/>
  <c r="C3202" i="21"/>
  <c r="B3203" i="21"/>
  <c r="C3203" i="21"/>
  <c r="B3197" i="21"/>
  <c r="C3197" i="21"/>
  <c r="B3198" i="21"/>
  <c r="C3198" i="21"/>
  <c r="B3199" i="21"/>
  <c r="C3199" i="21"/>
  <c r="B3193" i="21"/>
  <c r="C3193" i="21"/>
  <c r="B3194" i="21"/>
  <c r="C3194" i="21"/>
  <c r="B3195" i="21"/>
  <c r="C3195" i="21"/>
  <c r="B3189" i="21"/>
  <c r="C3189" i="21"/>
  <c r="B3190" i="21"/>
  <c r="C3190" i="21"/>
  <c r="B3191" i="21"/>
  <c r="C3191" i="21"/>
  <c r="B3185" i="21"/>
  <c r="C3185" i="21"/>
  <c r="B3186" i="21"/>
  <c r="C3186" i="21"/>
  <c r="B3187" i="21"/>
  <c r="C3187" i="21"/>
  <c r="B3181" i="21"/>
  <c r="C3181" i="21"/>
  <c r="B3182" i="21"/>
  <c r="C3182" i="21"/>
  <c r="B3183" i="21"/>
  <c r="C3183" i="21"/>
  <c r="B3177" i="21"/>
  <c r="C3177" i="21"/>
  <c r="B3178" i="21"/>
  <c r="C3178" i="21"/>
  <c r="B3179" i="21"/>
  <c r="C3179" i="21"/>
  <c r="B3173" i="21"/>
  <c r="C3173" i="21"/>
  <c r="B3174" i="21"/>
  <c r="C3174" i="21"/>
  <c r="B3175" i="21"/>
  <c r="C3175" i="21"/>
  <c r="B3169" i="21"/>
  <c r="C3169" i="21"/>
  <c r="B3170" i="21"/>
  <c r="C3170" i="21"/>
  <c r="B3171" i="21"/>
  <c r="C3171" i="21"/>
  <c r="B3165" i="21"/>
  <c r="C3165" i="21"/>
  <c r="B3166" i="21"/>
  <c r="C3166" i="21"/>
  <c r="B3167" i="21"/>
  <c r="C3167" i="21"/>
  <c r="B3161" i="21"/>
  <c r="C3161" i="21"/>
  <c r="B3162" i="21"/>
  <c r="C3162" i="21"/>
  <c r="B3163" i="21"/>
  <c r="C3163" i="21"/>
  <c r="B3157" i="21"/>
  <c r="C3157" i="21"/>
  <c r="B3158" i="21"/>
  <c r="C3158" i="21"/>
  <c r="B3159" i="21"/>
  <c r="C3159" i="21"/>
  <c r="B3153" i="21"/>
  <c r="C3153" i="21"/>
  <c r="B3154" i="21"/>
  <c r="C3154" i="21"/>
  <c r="B3155" i="21"/>
  <c r="C3155" i="21"/>
  <c r="B3149" i="21"/>
  <c r="C3149" i="21"/>
  <c r="B3150" i="21"/>
  <c r="C3150" i="21"/>
  <c r="B3151" i="21"/>
  <c r="C3151" i="21"/>
  <c r="B3145" i="21"/>
  <c r="C3145" i="21"/>
  <c r="B3146" i="21"/>
  <c r="C3146" i="21"/>
  <c r="B3147" i="21"/>
  <c r="C3147" i="21"/>
  <c r="B3141" i="21"/>
  <c r="C3141" i="21"/>
  <c r="B3142" i="21"/>
  <c r="C3142" i="21"/>
  <c r="B3143" i="21"/>
  <c r="C3143" i="21"/>
  <c r="B3138" i="21"/>
  <c r="C3138" i="21"/>
  <c r="B3139" i="21"/>
  <c r="C3139" i="21"/>
  <c r="C3137" i="21"/>
  <c r="B3137" i="21"/>
  <c r="B3133" i="21"/>
  <c r="C3133" i="21"/>
  <c r="B3134" i="21"/>
  <c r="C3134" i="21"/>
  <c r="B3135" i="21"/>
  <c r="C3135" i="21"/>
  <c r="B3252" i="21"/>
  <c r="C3252" i="21"/>
  <c r="B3144" i="21"/>
  <c r="B3148" i="21"/>
  <c r="B3152" i="21"/>
  <c r="B3156" i="21"/>
  <c r="B3160" i="21"/>
  <c r="B3164" i="21"/>
  <c r="B3168" i="21"/>
  <c r="B3172" i="21"/>
  <c r="B3176" i="21"/>
  <c r="B3180" i="21"/>
  <c r="B3184" i="21"/>
  <c r="B3188" i="21"/>
  <c r="B3192" i="21"/>
  <c r="B3196" i="21"/>
  <c r="B3200" i="21"/>
  <c r="B3204" i="21"/>
  <c r="B3208" i="21"/>
  <c r="B3212" i="21"/>
  <c r="B3216" i="21"/>
  <c r="B3220" i="21"/>
  <c r="B3224" i="21"/>
  <c r="B3228" i="21"/>
  <c r="B3232" i="21"/>
  <c r="B3236" i="21"/>
  <c r="B3240" i="21"/>
  <c r="B3244" i="21"/>
  <c r="B3248" i="21"/>
  <c r="C3144" i="21"/>
  <c r="C3148" i="21"/>
  <c r="C3152" i="21"/>
  <c r="C3156" i="21"/>
  <c r="C3160" i="21"/>
  <c r="C3164" i="21"/>
  <c r="C3168" i="21"/>
  <c r="C3172" i="21"/>
  <c r="C3176" i="21"/>
  <c r="C3180" i="21"/>
  <c r="C3184" i="21"/>
  <c r="C3188" i="21"/>
  <c r="C3192" i="21"/>
  <c r="C3196" i="21"/>
  <c r="C3200" i="21"/>
  <c r="C3204" i="21"/>
  <c r="C3208" i="21"/>
  <c r="C3212" i="21"/>
  <c r="C3216" i="21"/>
  <c r="C3220" i="21"/>
  <c r="C3224" i="21"/>
  <c r="C3228" i="21"/>
  <c r="C3232" i="21"/>
  <c r="C3236" i="21"/>
  <c r="C3240" i="21"/>
  <c r="C3244" i="21"/>
  <c r="C3248" i="21"/>
  <c r="B3140" i="21"/>
  <c r="C3140" i="21"/>
  <c r="B3136" i="21"/>
  <c r="C3136" i="21"/>
  <c r="B3132" i="21"/>
  <c r="C3132" i="21"/>
  <c r="B3121" i="21"/>
  <c r="B3122" i="21"/>
  <c r="B3123" i="21"/>
  <c r="B3124" i="21"/>
  <c r="C3121" i="21"/>
  <c r="C3122" i="21"/>
  <c r="C3123" i="21"/>
  <c r="C3124" i="21"/>
  <c r="B3125" i="21"/>
  <c r="B3126" i="21"/>
  <c r="B3127" i="21"/>
  <c r="B3128" i="21"/>
  <c r="C3125" i="21"/>
  <c r="C3126" i="21"/>
  <c r="C3127" i="21"/>
  <c r="C3128" i="21"/>
  <c r="B3129" i="21"/>
  <c r="B3130" i="21"/>
  <c r="C3129" i="21"/>
  <c r="C3130" i="21"/>
  <c r="B3117" i="21"/>
  <c r="B3118" i="21"/>
  <c r="B3119" i="21"/>
  <c r="C3117" i="21"/>
  <c r="C3118" i="21"/>
  <c r="C3119" i="21"/>
  <c r="B3113" i="21"/>
  <c r="B3114" i="21"/>
  <c r="B3115" i="21"/>
  <c r="C3113" i="21"/>
  <c r="C3114" i="21"/>
  <c r="C3115" i="21"/>
  <c r="B3109" i="21"/>
  <c r="B3110" i="21"/>
  <c r="B3111" i="21"/>
  <c r="C3109" i="21"/>
  <c r="C3110" i="21"/>
  <c r="C3111" i="21"/>
  <c r="B3105" i="21"/>
  <c r="B3106" i="21"/>
  <c r="B3107" i="21"/>
  <c r="C3105" i="21"/>
  <c r="C3106" i="21"/>
  <c r="C3107" i="21"/>
  <c r="B3101" i="21"/>
  <c r="B3102" i="21"/>
  <c r="B3103" i="21"/>
  <c r="C3101" i="21"/>
  <c r="C3102" i="21"/>
  <c r="C3103" i="21"/>
  <c r="B3097" i="21"/>
  <c r="B3098" i="21"/>
  <c r="B3099" i="21"/>
  <c r="C3097" i="21"/>
  <c r="C3098" i="21"/>
  <c r="C3099" i="21"/>
  <c r="B3093" i="21"/>
  <c r="B3094" i="21"/>
  <c r="B3095" i="21"/>
  <c r="C3093" i="21"/>
  <c r="C3094" i="21"/>
  <c r="C3095" i="21"/>
  <c r="B3089" i="21"/>
  <c r="B3090" i="21"/>
  <c r="B3091" i="21"/>
  <c r="C3089" i="21"/>
  <c r="C3090" i="21"/>
  <c r="C3091" i="21"/>
  <c r="B3085" i="21"/>
  <c r="B3086" i="21"/>
  <c r="B3087" i="21"/>
  <c r="C3085" i="21"/>
  <c r="C3086" i="21"/>
  <c r="C3087" i="21"/>
  <c r="B3081" i="21"/>
  <c r="B3082" i="21"/>
  <c r="B3083" i="21"/>
  <c r="C3081" i="21"/>
  <c r="C3082" i="21"/>
  <c r="C3083" i="21"/>
  <c r="B3077" i="21"/>
  <c r="B3078" i="21"/>
  <c r="B3079" i="21"/>
  <c r="C3077" i="21"/>
  <c r="C3078" i="21"/>
  <c r="C3079" i="21"/>
  <c r="B3073" i="21"/>
  <c r="B3074" i="21"/>
  <c r="B3075" i="21"/>
  <c r="C3073" i="21"/>
  <c r="C3074" i="21"/>
  <c r="C3075" i="21"/>
  <c r="B3069" i="21"/>
  <c r="B3070" i="21"/>
  <c r="B3071" i="21"/>
  <c r="C3069" i="21"/>
  <c r="C3070" i="21"/>
  <c r="C3071" i="21"/>
  <c r="B3065" i="21"/>
  <c r="B3066" i="21"/>
  <c r="B3067" i="21"/>
  <c r="C3065" i="21"/>
  <c r="C3066" i="21"/>
  <c r="C3067" i="21"/>
  <c r="B3061" i="21"/>
  <c r="B3062" i="21"/>
  <c r="B3063" i="21"/>
  <c r="C3061" i="21"/>
  <c r="C3062" i="21"/>
  <c r="C3063" i="21"/>
  <c r="B3057" i="21"/>
  <c r="B3058" i="21"/>
  <c r="B3059" i="21"/>
  <c r="C3057" i="21"/>
  <c r="C3058" i="21"/>
  <c r="C3059" i="21"/>
  <c r="B3053" i="21"/>
  <c r="B3054" i="21"/>
  <c r="B3055" i="21"/>
  <c r="C3053" i="21"/>
  <c r="C3054" i="21"/>
  <c r="C3055" i="21"/>
  <c r="B3049" i="21"/>
  <c r="B3050" i="21"/>
  <c r="B3051" i="21"/>
  <c r="C3049" i="21"/>
  <c r="C3050" i="21"/>
  <c r="C3051" i="21"/>
  <c r="J15" i="36" l="1"/>
  <c r="J16" i="36"/>
  <c r="J17" i="36"/>
  <c r="J6" i="36"/>
  <c r="J9" i="36"/>
  <c r="J4" i="36"/>
  <c r="J10" i="36"/>
  <c r="J11" i="36"/>
  <c r="J7" i="36"/>
  <c r="J8" i="36"/>
  <c r="J5" i="36"/>
  <c r="J12" i="36"/>
  <c r="K3" i="36"/>
  <c r="B3033" i="21"/>
  <c r="B3034" i="21"/>
  <c r="B3035" i="21"/>
  <c r="C3033" i="21"/>
  <c r="C3034" i="21"/>
  <c r="C3035" i="21"/>
  <c r="B3045" i="21"/>
  <c r="B3046" i="21"/>
  <c r="B3047" i="21"/>
  <c r="C3045" i="21"/>
  <c r="C3046" i="21"/>
  <c r="C3047" i="21"/>
  <c r="B3041" i="21"/>
  <c r="B3042" i="21"/>
  <c r="B3043" i="21"/>
  <c r="C3041" i="21"/>
  <c r="C3042" i="21"/>
  <c r="C3043" i="21"/>
  <c r="B3037" i="21"/>
  <c r="B3038" i="21"/>
  <c r="B3039" i="21"/>
  <c r="C3037" i="21"/>
  <c r="C3038" i="21"/>
  <c r="C3039" i="21"/>
  <c r="W19" i="31"/>
  <c r="V19" i="31"/>
  <c r="V28" i="31" s="1"/>
  <c r="T19" i="31"/>
  <c r="T28" i="31" s="1"/>
  <c r="S19" i="31"/>
  <c r="S28" i="31" s="1"/>
  <c r="R19" i="31"/>
  <c r="R28" i="31" s="1"/>
  <c r="P18" i="31"/>
  <c r="P17" i="31"/>
  <c r="P16" i="31"/>
  <c r="O15" i="31"/>
  <c r="O19" i="31" s="1"/>
  <c r="N15" i="31"/>
  <c r="N19" i="31" s="1"/>
  <c r="M15" i="31"/>
  <c r="M19" i="31" s="1"/>
  <c r="L15" i="31"/>
  <c r="K15" i="31"/>
  <c r="K19" i="31" s="1"/>
  <c r="J15" i="31"/>
  <c r="J19" i="31" s="1"/>
  <c r="I15" i="31"/>
  <c r="I19" i="31" s="1"/>
  <c r="H15" i="31"/>
  <c r="H19" i="31" s="1"/>
  <c r="G15" i="31"/>
  <c r="G19" i="31" s="1"/>
  <c r="F15" i="31"/>
  <c r="F19" i="31" s="1"/>
  <c r="E15" i="31"/>
  <c r="E19" i="31" s="1"/>
  <c r="D15" i="31"/>
  <c r="D19" i="31" s="1"/>
  <c r="P13" i="31"/>
  <c r="P12" i="31"/>
  <c r="P11" i="31"/>
  <c r="B3028" i="21"/>
  <c r="C3028" i="21"/>
  <c r="B3029" i="21"/>
  <c r="C3029" i="21"/>
  <c r="B3030" i="21"/>
  <c r="C3030" i="21"/>
  <c r="B3025" i="21"/>
  <c r="C3025" i="21"/>
  <c r="B3021" i="21"/>
  <c r="B3022" i="21"/>
  <c r="B3023" i="21"/>
  <c r="B3024" i="21"/>
  <c r="B3026" i="21"/>
  <c r="C3021" i="21"/>
  <c r="C3022" i="21"/>
  <c r="C3023" i="21"/>
  <c r="C3024" i="21"/>
  <c r="C3026" i="21"/>
  <c r="B3010" i="21"/>
  <c r="C3010" i="21"/>
  <c r="B3011" i="21"/>
  <c r="C3011" i="21"/>
  <c r="B3012" i="21"/>
  <c r="C3012" i="21"/>
  <c r="B3013" i="21"/>
  <c r="C3013" i="21"/>
  <c r="B3014" i="21"/>
  <c r="C3014" i="21"/>
  <c r="B3015" i="21"/>
  <c r="C3015" i="21"/>
  <c r="B3016" i="21"/>
  <c r="C3016" i="21"/>
  <c r="B3017" i="21"/>
  <c r="C3017" i="21"/>
  <c r="B3020" i="21"/>
  <c r="B3027" i="21"/>
  <c r="B3031" i="21"/>
  <c r="B3032" i="21"/>
  <c r="B3036" i="21"/>
  <c r="B3040" i="21"/>
  <c r="B3044" i="21"/>
  <c r="B3048" i="21"/>
  <c r="B3052" i="21"/>
  <c r="B3056" i="21"/>
  <c r="B3060" i="21"/>
  <c r="B3064" i="21"/>
  <c r="B3068" i="21"/>
  <c r="B3072" i="21"/>
  <c r="B3076" i="21"/>
  <c r="B3080" i="21"/>
  <c r="B3084" i="21"/>
  <c r="B3088" i="21"/>
  <c r="B3092" i="21"/>
  <c r="B3096" i="21"/>
  <c r="B3100" i="21"/>
  <c r="B3104" i="21"/>
  <c r="B3108" i="21"/>
  <c r="B3112" i="21"/>
  <c r="B3116" i="21"/>
  <c r="B3120" i="21"/>
  <c r="B3131" i="21"/>
  <c r="C3020" i="21"/>
  <c r="C3027" i="21"/>
  <c r="C3031" i="21"/>
  <c r="C3032" i="21"/>
  <c r="C3036" i="21"/>
  <c r="C3040" i="21"/>
  <c r="C3044" i="21"/>
  <c r="C3048" i="21"/>
  <c r="C3052" i="21"/>
  <c r="C3056" i="21"/>
  <c r="C3060" i="21"/>
  <c r="C3064" i="21"/>
  <c r="C3068" i="21"/>
  <c r="C3072" i="21"/>
  <c r="C3076" i="21"/>
  <c r="C3080" i="21"/>
  <c r="C3084" i="21"/>
  <c r="C3088" i="21"/>
  <c r="C3092" i="21"/>
  <c r="C3096" i="21"/>
  <c r="C3100" i="21"/>
  <c r="C3104" i="21"/>
  <c r="C3108" i="21"/>
  <c r="C3112" i="21"/>
  <c r="C3116" i="21"/>
  <c r="C3120" i="21"/>
  <c r="C3131" i="21"/>
  <c r="B3019" i="21"/>
  <c r="C3019" i="21"/>
  <c r="K15" i="36" l="1"/>
  <c r="K16" i="36"/>
  <c r="K17" i="36"/>
  <c r="K9" i="36"/>
  <c r="K4" i="36"/>
  <c r="K6" i="36"/>
  <c r="K7" i="36"/>
  <c r="K11" i="36"/>
  <c r="K12" i="36"/>
  <c r="K5" i="36"/>
  <c r="K10" i="36"/>
  <c r="W28" i="31"/>
  <c r="W21" i="31"/>
  <c r="AJ106" i="35"/>
  <c r="S59" i="35"/>
  <c r="S106" i="35"/>
  <c r="B106" i="35"/>
  <c r="P15" i="31"/>
  <c r="P19" i="31" s="1"/>
  <c r="S21" i="31"/>
  <c r="V21" i="31"/>
  <c r="T21" i="31"/>
  <c r="U21" i="31"/>
  <c r="L3" i="36"/>
  <c r="AJ59" i="35"/>
  <c r="B59" i="35"/>
  <c r="S12" i="35"/>
  <c r="AJ12" i="35"/>
  <c r="L19" i="31"/>
  <c r="B12" i="35" l="1"/>
  <c r="D14" i="35"/>
  <c r="C14" i="35" s="1"/>
  <c r="L7" i="36"/>
  <c r="L12" i="36"/>
  <c r="L9" i="36"/>
  <c r="L6" i="36"/>
  <c r="L5" i="36"/>
  <c r="L11" i="36"/>
  <c r="L4" i="36"/>
  <c r="L10" i="36"/>
  <c r="L8" i="36"/>
  <c r="M3" i="36"/>
  <c r="M8" i="36" s="1"/>
  <c r="D15" i="35" l="1"/>
  <c r="C15" i="35" s="1"/>
  <c r="M7" i="36"/>
  <c r="M10" i="36"/>
  <c r="M12" i="36"/>
  <c r="M9" i="36"/>
  <c r="M4" i="36"/>
  <c r="M11" i="36"/>
  <c r="M6" i="36"/>
  <c r="M5" i="36"/>
  <c r="N3" i="36"/>
  <c r="N8" i="36" s="1"/>
  <c r="B3005" i="21"/>
  <c r="B3006" i="21"/>
  <c r="B3007" i="21"/>
  <c r="C3005" i="21"/>
  <c r="C3006" i="21"/>
  <c r="C3007" i="21"/>
  <c r="B3001" i="21"/>
  <c r="B3002" i="21"/>
  <c r="B3003" i="21"/>
  <c r="C3001" i="21"/>
  <c r="C3002" i="21"/>
  <c r="C3003" i="21"/>
  <c r="B2997" i="21"/>
  <c r="B2998" i="21"/>
  <c r="B2999" i="21"/>
  <c r="C2997" i="21"/>
  <c r="C2998" i="21"/>
  <c r="C2999" i="21"/>
  <c r="B2993" i="21"/>
  <c r="B2994" i="21"/>
  <c r="B2995" i="21"/>
  <c r="C2993" i="21"/>
  <c r="C2994" i="21"/>
  <c r="C2995" i="21"/>
  <c r="B2989" i="21"/>
  <c r="B2990" i="21"/>
  <c r="B2991" i="21"/>
  <c r="C2989" i="21"/>
  <c r="C2990" i="21"/>
  <c r="C2991" i="21"/>
  <c r="B2985" i="21"/>
  <c r="B2986" i="21"/>
  <c r="B2987" i="21"/>
  <c r="C2985" i="21"/>
  <c r="C2986" i="21"/>
  <c r="C2987" i="21"/>
  <c r="B2981" i="21"/>
  <c r="B2982" i="21"/>
  <c r="B2983" i="21"/>
  <c r="C2981" i="21"/>
  <c r="C2982" i="21"/>
  <c r="C2983" i="21"/>
  <c r="B2977" i="21"/>
  <c r="B2978" i="21"/>
  <c r="B2979" i="21"/>
  <c r="C2977" i="21"/>
  <c r="C2978" i="21"/>
  <c r="C2979" i="21"/>
  <c r="B2973" i="21"/>
  <c r="B2974" i="21"/>
  <c r="B2975" i="21"/>
  <c r="C2973" i="21"/>
  <c r="C2974" i="21"/>
  <c r="C2975" i="21"/>
  <c r="B2969" i="21"/>
  <c r="B2970" i="21"/>
  <c r="B2971" i="21"/>
  <c r="C2969" i="21"/>
  <c r="C2970" i="21"/>
  <c r="C2971" i="21"/>
  <c r="B2965" i="21"/>
  <c r="B2966" i="21"/>
  <c r="B2967" i="21"/>
  <c r="C2965" i="21"/>
  <c r="C2966" i="21"/>
  <c r="C2967" i="21"/>
  <c r="B2961" i="21"/>
  <c r="B2962" i="21"/>
  <c r="B2963" i="21"/>
  <c r="C2961" i="21"/>
  <c r="C2962" i="21"/>
  <c r="C2963" i="21"/>
  <c r="B2957" i="21"/>
  <c r="B2958" i="21"/>
  <c r="B2959" i="21"/>
  <c r="C2957" i="21"/>
  <c r="C2958" i="21"/>
  <c r="C2959" i="21"/>
  <c r="B2953" i="21"/>
  <c r="B2954" i="21"/>
  <c r="B2955" i="21"/>
  <c r="C2953" i="21"/>
  <c r="C2954" i="21"/>
  <c r="C2955" i="21"/>
  <c r="B2949" i="21"/>
  <c r="B2950" i="21"/>
  <c r="B2951" i="21"/>
  <c r="C2949" i="21"/>
  <c r="C2950" i="21"/>
  <c r="C2951" i="21"/>
  <c r="B2945" i="21"/>
  <c r="B2946" i="21"/>
  <c r="B2947" i="21"/>
  <c r="C2945" i="21"/>
  <c r="C2946" i="21"/>
  <c r="C2947" i="21"/>
  <c r="B2941" i="21"/>
  <c r="B2942" i="21"/>
  <c r="B2943" i="21"/>
  <c r="C2941" i="21"/>
  <c r="C2942" i="21"/>
  <c r="C2943" i="21"/>
  <c r="J11" i="16"/>
  <c r="J12" i="16"/>
  <c r="J13" i="16"/>
  <c r="J14" i="16"/>
  <c r="B2937" i="21"/>
  <c r="B2938" i="21"/>
  <c r="B2939" i="21"/>
  <c r="C2937" i="21"/>
  <c r="C2938" i="21"/>
  <c r="C2939" i="21"/>
  <c r="B2933" i="21"/>
  <c r="B2934" i="21"/>
  <c r="B2935" i="21"/>
  <c r="C2933" i="21"/>
  <c r="C2934" i="21"/>
  <c r="C2935" i="21"/>
  <c r="B2929" i="21"/>
  <c r="B2930" i="21"/>
  <c r="B2931" i="21"/>
  <c r="C2929" i="21"/>
  <c r="C2930" i="21"/>
  <c r="C2931" i="21"/>
  <c r="B2925" i="21"/>
  <c r="B2926" i="21"/>
  <c r="B2927" i="21"/>
  <c r="C2925" i="21"/>
  <c r="C2926" i="21"/>
  <c r="C2927" i="21"/>
  <c r="B2921" i="21"/>
  <c r="B2922" i="21"/>
  <c r="B2923" i="21"/>
  <c r="C2921" i="21"/>
  <c r="C2922" i="21"/>
  <c r="C2923" i="21"/>
  <c r="B2917" i="21"/>
  <c r="B2918" i="21"/>
  <c r="B2919" i="21"/>
  <c r="C2917" i="21"/>
  <c r="C2918" i="21"/>
  <c r="C2919" i="21"/>
  <c r="B2913" i="21"/>
  <c r="B2914" i="21"/>
  <c r="B2915" i="21"/>
  <c r="C2913" i="21"/>
  <c r="C2914" i="21"/>
  <c r="C2915" i="21"/>
  <c r="B2909" i="21"/>
  <c r="B2910" i="21"/>
  <c r="B2911" i="21"/>
  <c r="C2909" i="21"/>
  <c r="C2910" i="21"/>
  <c r="C2911" i="21"/>
  <c r="B2905" i="21"/>
  <c r="B2906" i="21"/>
  <c r="B2907" i="21"/>
  <c r="C2905" i="21"/>
  <c r="C2906" i="21"/>
  <c r="C2907" i="21"/>
  <c r="B2901" i="21"/>
  <c r="B2902" i="21"/>
  <c r="B2903" i="21"/>
  <c r="C2901" i="21"/>
  <c r="C2902" i="21"/>
  <c r="C2903" i="21"/>
  <c r="B2893" i="21"/>
  <c r="B2894" i="21"/>
  <c r="B2895" i="21"/>
  <c r="C2893" i="21"/>
  <c r="C2894" i="21"/>
  <c r="C2895" i="21"/>
  <c r="B2897" i="21"/>
  <c r="B2898" i="21"/>
  <c r="B2899" i="21"/>
  <c r="C2897" i="21"/>
  <c r="C2898" i="21"/>
  <c r="C2899" i="21"/>
  <c r="D16" i="35" l="1"/>
  <c r="C16" i="35" s="1"/>
  <c r="N10" i="36"/>
  <c r="N7" i="36"/>
  <c r="N11" i="36"/>
  <c r="N4" i="36"/>
  <c r="N12" i="36"/>
  <c r="N9" i="36"/>
  <c r="N6" i="36"/>
  <c r="N5" i="36"/>
  <c r="O3" i="36"/>
  <c r="B2904" i="21"/>
  <c r="B2908" i="21"/>
  <c r="B2912" i="21"/>
  <c r="B2916" i="21"/>
  <c r="B2920" i="21"/>
  <c r="B2924" i="21"/>
  <c r="B2928" i="21"/>
  <c r="B2932" i="21"/>
  <c r="B2936" i="21"/>
  <c r="B2940" i="21"/>
  <c r="B2944" i="21"/>
  <c r="B2948" i="21"/>
  <c r="B2952" i="21"/>
  <c r="B2956" i="21"/>
  <c r="B2960" i="21"/>
  <c r="B2964" i="21"/>
  <c r="B2968" i="21"/>
  <c r="B2972" i="21"/>
  <c r="B2976" i="21"/>
  <c r="B2980" i="21"/>
  <c r="B2984" i="21"/>
  <c r="B2988" i="21"/>
  <c r="B2992" i="21"/>
  <c r="B2996" i="21"/>
  <c r="B3000" i="21"/>
  <c r="B3004" i="21"/>
  <c r="B3008" i="21"/>
  <c r="B3009" i="21"/>
  <c r="B3018" i="21"/>
  <c r="C2904" i="21"/>
  <c r="C2908" i="21"/>
  <c r="C2912" i="21"/>
  <c r="C2916" i="21"/>
  <c r="C2920" i="21"/>
  <c r="C2924" i="21"/>
  <c r="C2928" i="21"/>
  <c r="C2932" i="21"/>
  <c r="C2936" i="21"/>
  <c r="C2940" i="21"/>
  <c r="C2944" i="21"/>
  <c r="C2948" i="21"/>
  <c r="C2952" i="21"/>
  <c r="C2956" i="21"/>
  <c r="C2960" i="21"/>
  <c r="C2964" i="21"/>
  <c r="C2968" i="21"/>
  <c r="C2972" i="21"/>
  <c r="C2976" i="21"/>
  <c r="C2980" i="21"/>
  <c r="C2984" i="21"/>
  <c r="C2988" i="21"/>
  <c r="C2992" i="21"/>
  <c r="C2996" i="21"/>
  <c r="C3000" i="21"/>
  <c r="C3004" i="21"/>
  <c r="C3008" i="21"/>
  <c r="C3009" i="21"/>
  <c r="C3018" i="21"/>
  <c r="B2900" i="21"/>
  <c r="C2900" i="21"/>
  <c r="B2896" i="21"/>
  <c r="C2896" i="21"/>
  <c r="B2892" i="21"/>
  <c r="C2892" i="21"/>
  <c r="B2881" i="21"/>
  <c r="B2882" i="21"/>
  <c r="B2883" i="21"/>
  <c r="B2884" i="21"/>
  <c r="B2885" i="21"/>
  <c r="B2886" i="21"/>
  <c r="B2887" i="21"/>
  <c r="B2888" i="21"/>
  <c r="B2889" i="21"/>
  <c r="B2890" i="21"/>
  <c r="B2891" i="21"/>
  <c r="C2881" i="21"/>
  <c r="C2882" i="21"/>
  <c r="C2883" i="21"/>
  <c r="C2884" i="21"/>
  <c r="C2885" i="21"/>
  <c r="C2886" i="21"/>
  <c r="C2887" i="21"/>
  <c r="C2888" i="21"/>
  <c r="C2889" i="21"/>
  <c r="C2890" i="21"/>
  <c r="C2891" i="21"/>
  <c r="B2877" i="21"/>
  <c r="B2878" i="21"/>
  <c r="B2879" i="21"/>
  <c r="C2877" i="21"/>
  <c r="C2878" i="21"/>
  <c r="C2879" i="21"/>
  <c r="B2873" i="21"/>
  <c r="B2874" i="21"/>
  <c r="B2875" i="21"/>
  <c r="C2873" i="21"/>
  <c r="C2874" i="21"/>
  <c r="C2875" i="21"/>
  <c r="B2869" i="21"/>
  <c r="B2870" i="21"/>
  <c r="B2871" i="21"/>
  <c r="C2869" i="21"/>
  <c r="C2870" i="21"/>
  <c r="C2871" i="21"/>
  <c r="B2865" i="21"/>
  <c r="B2866" i="21"/>
  <c r="B2867" i="21"/>
  <c r="C2865" i="21"/>
  <c r="C2866" i="21"/>
  <c r="C2867" i="21"/>
  <c r="B2861" i="21"/>
  <c r="B2862" i="21"/>
  <c r="B2863" i="21"/>
  <c r="C2861" i="21"/>
  <c r="C2862" i="21"/>
  <c r="C2863" i="21"/>
  <c r="B2857" i="21"/>
  <c r="B2858" i="21"/>
  <c r="B2859" i="21"/>
  <c r="C2857" i="21"/>
  <c r="C2858" i="21"/>
  <c r="C2859" i="21"/>
  <c r="B2853" i="21"/>
  <c r="B2854" i="21"/>
  <c r="B2855" i="21"/>
  <c r="C2853" i="21"/>
  <c r="C2854" i="21"/>
  <c r="C2855" i="21"/>
  <c r="B2849" i="21"/>
  <c r="B2850" i="21"/>
  <c r="B2851" i="21"/>
  <c r="C2849" i="21"/>
  <c r="C2850" i="21"/>
  <c r="C2851" i="21"/>
  <c r="B2845" i="21"/>
  <c r="B2846" i="21"/>
  <c r="B2847" i="21"/>
  <c r="C2845" i="21"/>
  <c r="C2846" i="21"/>
  <c r="C2847" i="21"/>
  <c r="B2841" i="21"/>
  <c r="B2842" i="21"/>
  <c r="B2843" i="21"/>
  <c r="C2841" i="21"/>
  <c r="C2842" i="21"/>
  <c r="C2843" i="21"/>
  <c r="B2837" i="21"/>
  <c r="B2838" i="21"/>
  <c r="B2839" i="21"/>
  <c r="C2837" i="21"/>
  <c r="C2838" i="21"/>
  <c r="C2839" i="21"/>
  <c r="B2833" i="21"/>
  <c r="B2834" i="21"/>
  <c r="B2835" i="21"/>
  <c r="C2833" i="21"/>
  <c r="C2834" i="21"/>
  <c r="C2835" i="21"/>
  <c r="B2829" i="21"/>
  <c r="B2830" i="21"/>
  <c r="B2831" i="21"/>
  <c r="C2829" i="21"/>
  <c r="C2830" i="21"/>
  <c r="C2831" i="21"/>
  <c r="B2825" i="21"/>
  <c r="B2826" i="21"/>
  <c r="B2827" i="21"/>
  <c r="C2825" i="21"/>
  <c r="C2826" i="21"/>
  <c r="C2827" i="21"/>
  <c r="B2821" i="21"/>
  <c r="B2822" i="21"/>
  <c r="B2823" i="21"/>
  <c r="C2821" i="21"/>
  <c r="C2822" i="21"/>
  <c r="C2823" i="21"/>
  <c r="B2817" i="21"/>
  <c r="B2818" i="21"/>
  <c r="B2819" i="21"/>
  <c r="C2817" i="21"/>
  <c r="C2818" i="21"/>
  <c r="C2819" i="21"/>
  <c r="B2813" i="21"/>
  <c r="C2813" i="21"/>
  <c r="B2814" i="21"/>
  <c r="C2814" i="21"/>
  <c r="B2815" i="21"/>
  <c r="C2815" i="21"/>
  <c r="B2808" i="21"/>
  <c r="C2808" i="21"/>
  <c r="B2809" i="21"/>
  <c r="C2809" i="21"/>
  <c r="B2810" i="21"/>
  <c r="C2810" i="21"/>
  <c r="B2805" i="21"/>
  <c r="C2805" i="21"/>
  <c r="B2806" i="21"/>
  <c r="C2806" i="21"/>
  <c r="B2807" i="21"/>
  <c r="C2807" i="21"/>
  <c r="B2801" i="21"/>
  <c r="C2801" i="21"/>
  <c r="B2802" i="21"/>
  <c r="C2802" i="21"/>
  <c r="B2803" i="21"/>
  <c r="C2803" i="21"/>
  <c r="B2796" i="21"/>
  <c r="C2796" i="21"/>
  <c r="B2797" i="21"/>
  <c r="C2797" i="21"/>
  <c r="B2798" i="21"/>
  <c r="C2798" i="21"/>
  <c r="B2792" i="21"/>
  <c r="C2792" i="21"/>
  <c r="B2793" i="21"/>
  <c r="C2793" i="21"/>
  <c r="B2794" i="21"/>
  <c r="C2794" i="21"/>
  <c r="B2788" i="21"/>
  <c r="C2788" i="21"/>
  <c r="B2789" i="21"/>
  <c r="C2789" i="21"/>
  <c r="B2790" i="21"/>
  <c r="C2790" i="21"/>
  <c r="B2781" i="21"/>
  <c r="C2781" i="21"/>
  <c r="B2782" i="21"/>
  <c r="C2782" i="21"/>
  <c r="B2783" i="21"/>
  <c r="C2783" i="21"/>
  <c r="B2784" i="21"/>
  <c r="C2784" i="21"/>
  <c r="B2785" i="21"/>
  <c r="C2785" i="21"/>
  <c r="B2786" i="21"/>
  <c r="C2786" i="21"/>
  <c r="B2777" i="21"/>
  <c r="C2777" i="21"/>
  <c r="B2778" i="21"/>
  <c r="C2778" i="21"/>
  <c r="B2779" i="21"/>
  <c r="C2779" i="21"/>
  <c r="B2773" i="21"/>
  <c r="C2773" i="21"/>
  <c r="B2774" i="21"/>
  <c r="C2774" i="21"/>
  <c r="B2775" i="21"/>
  <c r="C2775" i="21"/>
  <c r="B2769" i="21"/>
  <c r="C2769" i="21"/>
  <c r="B2770" i="21"/>
  <c r="C2770" i="21"/>
  <c r="B2771" i="21"/>
  <c r="C2771" i="21"/>
  <c r="C2880" i="21"/>
  <c r="C2876" i="21"/>
  <c r="C2872" i="21"/>
  <c r="C2864" i="21"/>
  <c r="C2860" i="21"/>
  <c r="C2856" i="21"/>
  <c r="C2852" i="21"/>
  <c r="C2848" i="21"/>
  <c r="C2844" i="21"/>
  <c r="C2840" i="21"/>
  <c r="C2836" i="21"/>
  <c r="C2832" i="21"/>
  <c r="C2828" i="21"/>
  <c r="C2824" i="21"/>
  <c r="C2820" i="21"/>
  <c r="C2816" i="21"/>
  <c r="C2812" i="21"/>
  <c r="C2811" i="21"/>
  <c r="C2804" i="21"/>
  <c r="C2800" i="21"/>
  <c r="C2799" i="21"/>
  <c r="C2795" i="21"/>
  <c r="C2791" i="21"/>
  <c r="C2787" i="21"/>
  <c r="C2780" i="21"/>
  <c r="C2776" i="21"/>
  <c r="C2772" i="21"/>
  <c r="C2768" i="21"/>
  <c r="B2880" i="21"/>
  <c r="B2876" i="21"/>
  <c r="B2872" i="21"/>
  <c r="B2864" i="21"/>
  <c r="B2860" i="21"/>
  <c r="B2856" i="21"/>
  <c r="B2852" i="21"/>
  <c r="B2848" i="21"/>
  <c r="B2844" i="21"/>
  <c r="B2840" i="21"/>
  <c r="B2836" i="21"/>
  <c r="B2832" i="21"/>
  <c r="B2828" i="21"/>
  <c r="B2824" i="21"/>
  <c r="B2820" i="21"/>
  <c r="B2816" i="21"/>
  <c r="B2812" i="21"/>
  <c r="B2811" i="21"/>
  <c r="B2804" i="21"/>
  <c r="B2800" i="21"/>
  <c r="B2799" i="21"/>
  <c r="B2795" i="21"/>
  <c r="B2791" i="21"/>
  <c r="B2787" i="21"/>
  <c r="B2780" i="21"/>
  <c r="B2776" i="21"/>
  <c r="B2772" i="21"/>
  <c r="B2768" i="21"/>
  <c r="C2767" i="21"/>
  <c r="C2766" i="21"/>
  <c r="C2765" i="21"/>
  <c r="B2767" i="21"/>
  <c r="B2766" i="21"/>
  <c r="B2765" i="21"/>
  <c r="C2764" i="21"/>
  <c r="B2764" i="21"/>
  <c r="B2755" i="21"/>
  <c r="C2755" i="21"/>
  <c r="B2763" i="21"/>
  <c r="C2763" i="21"/>
  <c r="B2762" i="21"/>
  <c r="C2762" i="21"/>
  <c r="B2756" i="21"/>
  <c r="C2756" i="21"/>
  <c r="B2757" i="21"/>
  <c r="C2757" i="21"/>
  <c r="B2758" i="21"/>
  <c r="C2758" i="21"/>
  <c r="B2759" i="21"/>
  <c r="C2759" i="21"/>
  <c r="B2760" i="21"/>
  <c r="C2760" i="21"/>
  <c r="B2761" i="21"/>
  <c r="C2761" i="21"/>
  <c r="B2753" i="21"/>
  <c r="C2753" i="21"/>
  <c r="B2754" i="21"/>
  <c r="C2754" i="21"/>
  <c r="B2752" i="21"/>
  <c r="C2752" i="21"/>
  <c r="B2749" i="21"/>
  <c r="B2750" i="21"/>
  <c r="B2751" i="21"/>
  <c r="C2749" i="21"/>
  <c r="C2750" i="21"/>
  <c r="C2751" i="21"/>
  <c r="B2746" i="21"/>
  <c r="B2747" i="21"/>
  <c r="B2748" i="21"/>
  <c r="C2746" i="21"/>
  <c r="C2747" i="21"/>
  <c r="C2748" i="21"/>
  <c r="B2743" i="21"/>
  <c r="B2744" i="21"/>
  <c r="B2745" i="21"/>
  <c r="C2743" i="21"/>
  <c r="C2744" i="21"/>
  <c r="C2745" i="21"/>
  <c r="B2740" i="21"/>
  <c r="B2741" i="21"/>
  <c r="B2742" i="21"/>
  <c r="C2740" i="21"/>
  <c r="C2741" i="21"/>
  <c r="C2742" i="21"/>
  <c r="C2731" i="21"/>
  <c r="B2731" i="21"/>
  <c r="C2730" i="21"/>
  <c r="B2730" i="21"/>
  <c r="C2729" i="21"/>
  <c r="B2729" i="21"/>
  <c r="B2725" i="21"/>
  <c r="B2726" i="21"/>
  <c r="B2727" i="21"/>
  <c r="C2725" i="21"/>
  <c r="C2726" i="21"/>
  <c r="C2727" i="21"/>
  <c r="B2721" i="21"/>
  <c r="B2722" i="21"/>
  <c r="B2723" i="21"/>
  <c r="C2721" i="21"/>
  <c r="C2722" i="21"/>
  <c r="C2723" i="21"/>
  <c r="B2717" i="21"/>
  <c r="B2718" i="21"/>
  <c r="B2719" i="21"/>
  <c r="C2717" i="21"/>
  <c r="C2718" i="21"/>
  <c r="C2719" i="21"/>
  <c r="B2713" i="21"/>
  <c r="B2714" i="21"/>
  <c r="B2715" i="21"/>
  <c r="C2713" i="21"/>
  <c r="C2714" i="21"/>
  <c r="C2715" i="21"/>
  <c r="B2709" i="21"/>
  <c r="B2710" i="21"/>
  <c r="B2711" i="21"/>
  <c r="C2709" i="21"/>
  <c r="C2710" i="21"/>
  <c r="C2711" i="21"/>
  <c r="B2705" i="21"/>
  <c r="B2706" i="21"/>
  <c r="B2707" i="21"/>
  <c r="C2705" i="21"/>
  <c r="C2706" i="21"/>
  <c r="C2707" i="21"/>
  <c r="B2701" i="21"/>
  <c r="B2702" i="21"/>
  <c r="B2703" i="21"/>
  <c r="C2701" i="21"/>
  <c r="C2702" i="21"/>
  <c r="C2703" i="21"/>
  <c r="B2737" i="21"/>
  <c r="C2737" i="21"/>
  <c r="B2738" i="21"/>
  <c r="C2738" i="21"/>
  <c r="B2739" i="21"/>
  <c r="C2739" i="21"/>
  <c r="B2695" i="21"/>
  <c r="C2695" i="21"/>
  <c r="B2696" i="21"/>
  <c r="C2696" i="21"/>
  <c r="B2697" i="21"/>
  <c r="C2697" i="21"/>
  <c r="B2698" i="21"/>
  <c r="C2698" i="21"/>
  <c r="B2699" i="21"/>
  <c r="C2699" i="21"/>
  <c r="B2700" i="21"/>
  <c r="C2700" i="21"/>
  <c r="B2704" i="21"/>
  <c r="C2704" i="21"/>
  <c r="B2708" i="21"/>
  <c r="C2708" i="21"/>
  <c r="B2712" i="21"/>
  <c r="C2712" i="21"/>
  <c r="B2716" i="21"/>
  <c r="C2716" i="21"/>
  <c r="B2720" i="21"/>
  <c r="C2720" i="21"/>
  <c r="B2724" i="21"/>
  <c r="C2724" i="21"/>
  <c r="B2728" i="21"/>
  <c r="C2728" i="21"/>
  <c r="B2732" i="21"/>
  <c r="C2732" i="21"/>
  <c r="B2733" i="21"/>
  <c r="C2733" i="21"/>
  <c r="B2734" i="21"/>
  <c r="C2734" i="21"/>
  <c r="B2735" i="21"/>
  <c r="C2735" i="21"/>
  <c r="B2736" i="21"/>
  <c r="C2736" i="21"/>
  <c r="B2689" i="21"/>
  <c r="B2690" i="21"/>
  <c r="B2691" i="21"/>
  <c r="C2689" i="21"/>
  <c r="C2690" i="21"/>
  <c r="C2691" i="21"/>
  <c r="B2685" i="21"/>
  <c r="B2686" i="21"/>
  <c r="B2687" i="21"/>
  <c r="C2685" i="21"/>
  <c r="C2686" i="21"/>
  <c r="C2687" i="21"/>
  <c r="B2681" i="21"/>
  <c r="B2682" i="21"/>
  <c r="B2683" i="21"/>
  <c r="C2681" i="21"/>
  <c r="C2682" i="21"/>
  <c r="C2683" i="21"/>
  <c r="B2677" i="21"/>
  <c r="B2678" i="21"/>
  <c r="B2679" i="21"/>
  <c r="C2677" i="21"/>
  <c r="C2678" i="21"/>
  <c r="C2679" i="21"/>
  <c r="B2673" i="21"/>
  <c r="B2674" i="21"/>
  <c r="B2675" i="21"/>
  <c r="C2673" i="21"/>
  <c r="C2674" i="21"/>
  <c r="C2675" i="21"/>
  <c r="B2669" i="21"/>
  <c r="B2670" i="21"/>
  <c r="B2671" i="21"/>
  <c r="C2669" i="21"/>
  <c r="C2670" i="21"/>
  <c r="C2671" i="21"/>
  <c r="B2665" i="21"/>
  <c r="B2666" i="21"/>
  <c r="B2667" i="21"/>
  <c r="C2665" i="21"/>
  <c r="C2666" i="21"/>
  <c r="C2667" i="21"/>
  <c r="B2661" i="21"/>
  <c r="B2662" i="21"/>
  <c r="B2663" i="21"/>
  <c r="C2661" i="21"/>
  <c r="C2662" i="21"/>
  <c r="C2663" i="21"/>
  <c r="B2657" i="21"/>
  <c r="B2658" i="21"/>
  <c r="B2659" i="21"/>
  <c r="C2657" i="21"/>
  <c r="C2658" i="21"/>
  <c r="C2659" i="21"/>
  <c r="B2653" i="21"/>
  <c r="B2654" i="21"/>
  <c r="B2655" i="21"/>
  <c r="C2653" i="21"/>
  <c r="C2654" i="21"/>
  <c r="C2655" i="21"/>
  <c r="B2649" i="21"/>
  <c r="B2650" i="21"/>
  <c r="B2651" i="21"/>
  <c r="C2649" i="21"/>
  <c r="C2650" i="21"/>
  <c r="C2651" i="21"/>
  <c r="B2656" i="21"/>
  <c r="B2660" i="21"/>
  <c r="B2664" i="21"/>
  <c r="B2668" i="21"/>
  <c r="B2672" i="21"/>
  <c r="B2676" i="21"/>
  <c r="B2680" i="21"/>
  <c r="B2684" i="21"/>
  <c r="B2688" i="21"/>
  <c r="B2692" i="21"/>
  <c r="B2693" i="21"/>
  <c r="B2694" i="21"/>
  <c r="C2656" i="21"/>
  <c r="C2660" i="21"/>
  <c r="C2664" i="21"/>
  <c r="C2668" i="21"/>
  <c r="C2672" i="21"/>
  <c r="C2676" i="21"/>
  <c r="C2680" i="21"/>
  <c r="C2684" i="21"/>
  <c r="C2688" i="21"/>
  <c r="C2692" i="21"/>
  <c r="C2693" i="21"/>
  <c r="C2694" i="21"/>
  <c r="B2652" i="21"/>
  <c r="C2652" i="21"/>
  <c r="B2648" i="21"/>
  <c r="C2648" i="21"/>
  <c r="B2644" i="21"/>
  <c r="C2644" i="21"/>
  <c r="B2645" i="21"/>
  <c r="C2645" i="21"/>
  <c r="C2646" i="21"/>
  <c r="B2646" i="21"/>
  <c r="B2641" i="21"/>
  <c r="C2641" i="21"/>
  <c r="B2642" i="21"/>
  <c r="C2642" i="21"/>
  <c r="B2643" i="21"/>
  <c r="C2643" i="21"/>
  <c r="B2637" i="21"/>
  <c r="C2637" i="21"/>
  <c r="B2638" i="21"/>
  <c r="B2639" i="21"/>
  <c r="C2638" i="21"/>
  <c r="C2639" i="21"/>
  <c r="B2613" i="21"/>
  <c r="B2614" i="21"/>
  <c r="B2615" i="21"/>
  <c r="C2613" i="21"/>
  <c r="C2614" i="21"/>
  <c r="C2615" i="21"/>
  <c r="B2633" i="21"/>
  <c r="B2634" i="21"/>
  <c r="B2635" i="21"/>
  <c r="C2633" i="21"/>
  <c r="C2634" i="21"/>
  <c r="C2635" i="21"/>
  <c r="B2629" i="21"/>
  <c r="B2630" i="21"/>
  <c r="B2631" i="21"/>
  <c r="C2629" i="21"/>
  <c r="C2630" i="21"/>
  <c r="C2631" i="21"/>
  <c r="B2625" i="21"/>
  <c r="B2626" i="21"/>
  <c r="B2627" i="21"/>
  <c r="C2625" i="21"/>
  <c r="C2626" i="21"/>
  <c r="C2627" i="21"/>
  <c r="B2621" i="21"/>
  <c r="B2622" i="21"/>
  <c r="B2623" i="21"/>
  <c r="C2621" i="21"/>
  <c r="C2622" i="21"/>
  <c r="C2623" i="21"/>
  <c r="B2617" i="21"/>
  <c r="B2618" i="21"/>
  <c r="B2619" i="21"/>
  <c r="C2617" i="21"/>
  <c r="C2618" i="21"/>
  <c r="C2619" i="21"/>
  <c r="B2610" i="21"/>
  <c r="B2611" i="21"/>
  <c r="B2612" i="21"/>
  <c r="C2610" i="21"/>
  <c r="C2611" i="21"/>
  <c r="C2612" i="21"/>
  <c r="D17" i="35" l="1"/>
  <c r="C17" i="35" s="1"/>
  <c r="O7" i="36"/>
  <c r="O10" i="36"/>
  <c r="O9" i="36"/>
  <c r="O12" i="36"/>
  <c r="O8" i="36"/>
  <c r="O5" i="36"/>
  <c r="O11" i="36"/>
  <c r="O6" i="36"/>
  <c r="O4" i="36"/>
  <c r="P3" i="36"/>
  <c r="B2605" i="21"/>
  <c r="B2606" i="21"/>
  <c r="B2607" i="21"/>
  <c r="C2605" i="21"/>
  <c r="C2606" i="21"/>
  <c r="C2607" i="21"/>
  <c r="B2601" i="21"/>
  <c r="B2602" i="21"/>
  <c r="B2603" i="21"/>
  <c r="C2601" i="21"/>
  <c r="C2602" i="21"/>
  <c r="C2603" i="21"/>
  <c r="B260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92" i="21"/>
  <c r="B93" i="21"/>
  <c r="B94" i="21"/>
  <c r="B95" i="21"/>
  <c r="B96" i="21"/>
  <c r="B97" i="21"/>
  <c r="B98" i="21"/>
  <c r="B99" i="21"/>
  <c r="B100" i="21"/>
  <c r="B101" i="21"/>
  <c r="B102" i="21"/>
  <c r="B103" i="21"/>
  <c r="B104" i="21"/>
  <c r="B105" i="21"/>
  <c r="B106" i="21"/>
  <c r="B107" i="21"/>
  <c r="B108" i="21"/>
  <c r="B109" i="21"/>
  <c r="B110" i="21"/>
  <c r="B111" i="21"/>
  <c r="B112" i="21"/>
  <c r="B113" i="21"/>
  <c r="B114" i="21"/>
  <c r="B115" i="21"/>
  <c r="B116" i="21"/>
  <c r="B117" i="21"/>
  <c r="B118" i="21"/>
  <c r="B119" i="21"/>
  <c r="B120" i="21"/>
  <c r="B121" i="21"/>
  <c r="B122" i="21"/>
  <c r="B123" i="21"/>
  <c r="B124" i="21"/>
  <c r="B125" i="21"/>
  <c r="B126" i="21"/>
  <c r="B127" i="21"/>
  <c r="B128" i="21"/>
  <c r="B129" i="21"/>
  <c r="B130" i="21"/>
  <c r="B131" i="21"/>
  <c r="B132" i="21"/>
  <c r="B133" i="21"/>
  <c r="B134" i="21"/>
  <c r="B135" i="21"/>
  <c r="B136" i="21"/>
  <c r="B137" i="21"/>
  <c r="B138" i="21"/>
  <c r="B139" i="21"/>
  <c r="B140" i="21"/>
  <c r="B141" i="21"/>
  <c r="B142" i="21"/>
  <c r="B143" i="21"/>
  <c r="B144" i="21"/>
  <c r="B145" i="21"/>
  <c r="B146" i="21"/>
  <c r="B147" i="21"/>
  <c r="B148" i="21"/>
  <c r="B149" i="21"/>
  <c r="B150" i="21"/>
  <c r="B151" i="21"/>
  <c r="B152" i="21"/>
  <c r="B153" i="21"/>
  <c r="B154" i="21"/>
  <c r="B155" i="21"/>
  <c r="B156" i="21"/>
  <c r="B157" i="21"/>
  <c r="B158" i="21"/>
  <c r="B159" i="21"/>
  <c r="B160" i="21"/>
  <c r="B161" i="21"/>
  <c r="B162" i="21"/>
  <c r="B163" i="21"/>
  <c r="B164" i="21"/>
  <c r="B165" i="21"/>
  <c r="B166" i="21"/>
  <c r="B167" i="21"/>
  <c r="B168" i="21"/>
  <c r="B169" i="21"/>
  <c r="B170" i="21"/>
  <c r="B171" i="21"/>
  <c r="B172" i="21"/>
  <c r="B173" i="21"/>
  <c r="B174" i="21"/>
  <c r="B175" i="21"/>
  <c r="B176" i="21"/>
  <c r="B177" i="21"/>
  <c r="B178" i="21"/>
  <c r="B179" i="21"/>
  <c r="B180" i="21"/>
  <c r="B181" i="21"/>
  <c r="B182" i="21"/>
  <c r="B183" i="21"/>
  <c r="B184" i="21"/>
  <c r="B185" i="21"/>
  <c r="B186" i="21"/>
  <c r="B187" i="21"/>
  <c r="B188" i="21"/>
  <c r="B189" i="21"/>
  <c r="B190" i="21"/>
  <c r="B191" i="21"/>
  <c r="B192" i="21"/>
  <c r="B193" i="21"/>
  <c r="B194" i="21"/>
  <c r="B195" i="21"/>
  <c r="B196" i="21"/>
  <c r="B197" i="21"/>
  <c r="B198" i="21"/>
  <c r="B199" i="21"/>
  <c r="B200" i="21"/>
  <c r="B201" i="21"/>
  <c r="B202" i="21"/>
  <c r="B203" i="21"/>
  <c r="B204" i="21"/>
  <c r="B205" i="21"/>
  <c r="B206" i="21"/>
  <c r="B207" i="21"/>
  <c r="B208" i="21"/>
  <c r="B209" i="21"/>
  <c r="B210" i="21"/>
  <c r="B211" i="21"/>
  <c r="B212" i="21"/>
  <c r="B213" i="21"/>
  <c r="B214" i="21"/>
  <c r="B215" i="21"/>
  <c r="B216" i="21"/>
  <c r="B217" i="21"/>
  <c r="B218" i="21"/>
  <c r="B219" i="21"/>
  <c r="B220" i="21"/>
  <c r="B221" i="21"/>
  <c r="B222" i="21"/>
  <c r="B223" i="21"/>
  <c r="B224" i="21"/>
  <c r="B225" i="21"/>
  <c r="B226" i="21"/>
  <c r="B227" i="21"/>
  <c r="B228" i="21"/>
  <c r="B229" i="21"/>
  <c r="B230" i="21"/>
  <c r="B231" i="21"/>
  <c r="B232" i="21"/>
  <c r="B233" i="21"/>
  <c r="B234" i="21"/>
  <c r="B235" i="21"/>
  <c r="B236" i="21"/>
  <c r="B237" i="21"/>
  <c r="B238" i="21"/>
  <c r="B239" i="21"/>
  <c r="B240" i="21"/>
  <c r="B241" i="21"/>
  <c r="B242" i="21"/>
  <c r="B243" i="21"/>
  <c r="B244" i="21"/>
  <c r="B245" i="21"/>
  <c r="B246" i="21"/>
  <c r="B247" i="21"/>
  <c r="B248" i="21"/>
  <c r="B249" i="21"/>
  <c r="B250" i="21"/>
  <c r="B251" i="21"/>
  <c r="B252" i="21"/>
  <c r="B253" i="21"/>
  <c r="B254" i="21"/>
  <c r="B255" i="21"/>
  <c r="B256" i="21"/>
  <c r="B257" i="21"/>
  <c r="B258" i="21"/>
  <c r="B259" i="21"/>
  <c r="B260" i="21"/>
  <c r="B261" i="21"/>
  <c r="B262" i="21"/>
  <c r="B263" i="21"/>
  <c r="B264" i="21"/>
  <c r="B265" i="21"/>
  <c r="B266" i="21"/>
  <c r="B267" i="21"/>
  <c r="B268" i="21"/>
  <c r="B269" i="21"/>
  <c r="B270" i="21"/>
  <c r="B271" i="21"/>
  <c r="B272" i="21"/>
  <c r="B273" i="21"/>
  <c r="B274" i="21"/>
  <c r="B275" i="21"/>
  <c r="B276" i="21"/>
  <c r="B277" i="21"/>
  <c r="B278" i="21"/>
  <c r="B279" i="21"/>
  <c r="B280" i="21"/>
  <c r="B281" i="21"/>
  <c r="B282" i="21"/>
  <c r="B283" i="21"/>
  <c r="B284" i="21"/>
  <c r="B285" i="21"/>
  <c r="B286" i="21"/>
  <c r="B287" i="21"/>
  <c r="B288" i="21"/>
  <c r="B289" i="21"/>
  <c r="B290" i="21"/>
  <c r="B291" i="21"/>
  <c r="B292" i="21"/>
  <c r="B293" i="21"/>
  <c r="B294" i="21"/>
  <c r="B295" i="21"/>
  <c r="B296" i="21"/>
  <c r="B297" i="21"/>
  <c r="B298" i="21"/>
  <c r="B299" i="21"/>
  <c r="B300" i="21"/>
  <c r="B301" i="21"/>
  <c r="B302" i="21"/>
  <c r="B303" i="21"/>
  <c r="B304" i="21"/>
  <c r="B305" i="21"/>
  <c r="B306" i="21"/>
  <c r="B307" i="21"/>
  <c r="B308" i="21"/>
  <c r="B309" i="21"/>
  <c r="B310" i="21"/>
  <c r="B311" i="21"/>
  <c r="B312" i="21"/>
  <c r="B313" i="21"/>
  <c r="B314" i="21"/>
  <c r="B315" i="21"/>
  <c r="B316" i="21"/>
  <c r="B317" i="21"/>
  <c r="B318" i="21"/>
  <c r="B319" i="21"/>
  <c r="B320" i="21"/>
  <c r="B321" i="21"/>
  <c r="B322" i="21"/>
  <c r="B323" i="21"/>
  <c r="B324" i="21"/>
  <c r="B325" i="21"/>
  <c r="B326" i="21"/>
  <c r="B327" i="21"/>
  <c r="B328" i="21"/>
  <c r="B329" i="21"/>
  <c r="B330" i="21"/>
  <c r="B331" i="21"/>
  <c r="B332" i="21"/>
  <c r="B333" i="21"/>
  <c r="B334" i="21"/>
  <c r="B335" i="21"/>
  <c r="B336" i="21"/>
  <c r="B337" i="21"/>
  <c r="B338" i="21"/>
  <c r="B339" i="21"/>
  <c r="B340" i="21"/>
  <c r="B341" i="21"/>
  <c r="B342" i="21"/>
  <c r="B343" i="21"/>
  <c r="B344" i="21"/>
  <c r="B345" i="21"/>
  <c r="B346" i="21"/>
  <c r="B347" i="21"/>
  <c r="B348" i="21"/>
  <c r="B349" i="21"/>
  <c r="B350" i="21"/>
  <c r="B351" i="21"/>
  <c r="B352" i="21"/>
  <c r="B353" i="21"/>
  <c r="B354" i="21"/>
  <c r="B355" i="21"/>
  <c r="B356" i="21"/>
  <c r="B357" i="21"/>
  <c r="B358" i="21"/>
  <c r="B359" i="21"/>
  <c r="B360" i="21"/>
  <c r="B361" i="21"/>
  <c r="B362" i="21"/>
  <c r="B363" i="21"/>
  <c r="B364" i="21"/>
  <c r="B365" i="21"/>
  <c r="B366" i="21"/>
  <c r="B367" i="21"/>
  <c r="B368" i="21"/>
  <c r="B369" i="21"/>
  <c r="B370" i="21"/>
  <c r="B371" i="21"/>
  <c r="B372" i="21"/>
  <c r="B373" i="21"/>
  <c r="B374" i="21"/>
  <c r="B375" i="21"/>
  <c r="B376" i="21"/>
  <c r="B377" i="21"/>
  <c r="B378" i="21"/>
  <c r="B379" i="21"/>
  <c r="B380" i="21"/>
  <c r="B381" i="21"/>
  <c r="B382" i="21"/>
  <c r="B383" i="21"/>
  <c r="B384" i="21"/>
  <c r="B385" i="21"/>
  <c r="B386" i="21"/>
  <c r="B387" i="21"/>
  <c r="B388" i="21"/>
  <c r="B389" i="21"/>
  <c r="B390" i="21"/>
  <c r="B391" i="21"/>
  <c r="B392" i="21"/>
  <c r="B393" i="21"/>
  <c r="B394" i="21"/>
  <c r="B395" i="21"/>
  <c r="B396" i="21"/>
  <c r="B397" i="21"/>
  <c r="B398" i="21"/>
  <c r="B399" i="21"/>
  <c r="B400" i="21"/>
  <c r="B401" i="21"/>
  <c r="B402" i="21"/>
  <c r="B403" i="21"/>
  <c r="B404" i="21"/>
  <c r="B405" i="21"/>
  <c r="B406" i="21"/>
  <c r="B407" i="21"/>
  <c r="B408" i="21"/>
  <c r="B409" i="21"/>
  <c r="B410" i="21"/>
  <c r="B411" i="21"/>
  <c r="B412" i="21"/>
  <c r="B413" i="21"/>
  <c r="B414" i="21"/>
  <c r="B415" i="21"/>
  <c r="B416" i="21"/>
  <c r="B417" i="21"/>
  <c r="B418" i="21"/>
  <c r="B419" i="21"/>
  <c r="B420" i="21"/>
  <c r="B421" i="21"/>
  <c r="B422" i="21"/>
  <c r="B423" i="21"/>
  <c r="B424" i="21"/>
  <c r="B425" i="21"/>
  <c r="B426" i="21"/>
  <c r="B427" i="21"/>
  <c r="B428" i="21"/>
  <c r="B429" i="21"/>
  <c r="B430" i="21"/>
  <c r="B431" i="21"/>
  <c r="B432" i="21"/>
  <c r="B433" i="21"/>
  <c r="B434" i="21"/>
  <c r="B435" i="21"/>
  <c r="B436" i="21"/>
  <c r="B437" i="21"/>
  <c r="B438" i="21"/>
  <c r="B439" i="21"/>
  <c r="B440" i="21"/>
  <c r="B441" i="21"/>
  <c r="B442" i="21"/>
  <c r="B443" i="21"/>
  <c r="B444" i="21"/>
  <c r="B445" i="21"/>
  <c r="B446" i="21"/>
  <c r="B447" i="21"/>
  <c r="B448" i="21"/>
  <c r="B449" i="21"/>
  <c r="B450" i="21"/>
  <c r="B451" i="21"/>
  <c r="B452" i="21"/>
  <c r="B453" i="21"/>
  <c r="B454" i="21"/>
  <c r="B455" i="21"/>
  <c r="B456" i="21"/>
  <c r="B457" i="21"/>
  <c r="B458" i="21"/>
  <c r="B459" i="21"/>
  <c r="B460" i="21"/>
  <c r="B461" i="21"/>
  <c r="B462" i="21"/>
  <c r="B463" i="21"/>
  <c r="B464" i="21"/>
  <c r="B465" i="21"/>
  <c r="B466" i="21"/>
  <c r="B467" i="21"/>
  <c r="B468" i="21"/>
  <c r="B469" i="21"/>
  <c r="B470" i="21"/>
  <c r="B471" i="21"/>
  <c r="B472" i="21"/>
  <c r="B473" i="21"/>
  <c r="B474" i="21"/>
  <c r="B475" i="21"/>
  <c r="B476" i="21"/>
  <c r="B477" i="21"/>
  <c r="B478" i="21"/>
  <c r="B479" i="21"/>
  <c r="B480" i="21"/>
  <c r="B481" i="21"/>
  <c r="B482" i="21"/>
  <c r="B483" i="21"/>
  <c r="B484" i="21"/>
  <c r="B485" i="21"/>
  <c r="B486" i="21"/>
  <c r="B487" i="21"/>
  <c r="B488" i="21"/>
  <c r="B489" i="21"/>
  <c r="B490" i="21"/>
  <c r="B491" i="21"/>
  <c r="B492" i="21"/>
  <c r="B493" i="21"/>
  <c r="B494" i="21"/>
  <c r="B495" i="21"/>
  <c r="B496" i="21"/>
  <c r="B497" i="21"/>
  <c r="B498" i="21"/>
  <c r="B499" i="21"/>
  <c r="B500" i="21"/>
  <c r="B501" i="21"/>
  <c r="B502" i="21"/>
  <c r="B503" i="21"/>
  <c r="B504" i="21"/>
  <c r="B505" i="21"/>
  <c r="B506" i="21"/>
  <c r="B507" i="21"/>
  <c r="B508" i="21"/>
  <c r="B509" i="21"/>
  <c r="B510" i="21"/>
  <c r="B511" i="21"/>
  <c r="B512" i="21"/>
  <c r="B513" i="21"/>
  <c r="B514" i="21"/>
  <c r="B515" i="21"/>
  <c r="B516" i="21"/>
  <c r="B517" i="21"/>
  <c r="B518" i="21"/>
  <c r="B519" i="21"/>
  <c r="B520" i="21"/>
  <c r="B521" i="21"/>
  <c r="B522" i="21"/>
  <c r="B523" i="21"/>
  <c r="B524" i="21"/>
  <c r="B525" i="21"/>
  <c r="B526" i="21"/>
  <c r="B527" i="21"/>
  <c r="B528" i="21"/>
  <c r="B529" i="21"/>
  <c r="B530" i="21"/>
  <c r="B531" i="21"/>
  <c r="B532" i="21"/>
  <c r="B533" i="21"/>
  <c r="B534" i="21"/>
  <c r="B535" i="21"/>
  <c r="B536" i="21"/>
  <c r="B537" i="21"/>
  <c r="B538" i="21"/>
  <c r="B539" i="21"/>
  <c r="B540" i="21"/>
  <c r="B541" i="21"/>
  <c r="B542" i="21"/>
  <c r="B543" i="21"/>
  <c r="B544" i="21"/>
  <c r="B545" i="21"/>
  <c r="B546" i="21"/>
  <c r="B547" i="21"/>
  <c r="B548" i="21"/>
  <c r="B549" i="21"/>
  <c r="B550" i="21"/>
  <c r="B551" i="21"/>
  <c r="B552" i="21"/>
  <c r="B553" i="21"/>
  <c r="B554" i="21"/>
  <c r="B555" i="21"/>
  <c r="B556" i="21"/>
  <c r="B557" i="21"/>
  <c r="B558" i="21"/>
  <c r="B559" i="21"/>
  <c r="B560" i="21"/>
  <c r="B561" i="21"/>
  <c r="B562" i="21"/>
  <c r="B563" i="21"/>
  <c r="B564" i="21"/>
  <c r="B565" i="21"/>
  <c r="B566" i="21"/>
  <c r="B567" i="21"/>
  <c r="B568" i="21"/>
  <c r="B569" i="21"/>
  <c r="B570" i="21"/>
  <c r="B571" i="21"/>
  <c r="B572" i="21"/>
  <c r="B573" i="21"/>
  <c r="B574" i="21"/>
  <c r="B575" i="21"/>
  <c r="B576" i="21"/>
  <c r="B577" i="21"/>
  <c r="B578" i="21"/>
  <c r="B579" i="21"/>
  <c r="B580" i="21"/>
  <c r="B581" i="21"/>
  <c r="B582" i="21"/>
  <c r="B583" i="21"/>
  <c r="B584" i="21"/>
  <c r="B585" i="21"/>
  <c r="B586" i="21"/>
  <c r="B587" i="21"/>
  <c r="B588" i="21"/>
  <c r="B589" i="21"/>
  <c r="B590" i="21"/>
  <c r="B591" i="21"/>
  <c r="B592" i="21"/>
  <c r="B593" i="21"/>
  <c r="B594" i="21"/>
  <c r="B595" i="21"/>
  <c r="B596" i="21"/>
  <c r="B597" i="21"/>
  <c r="B598" i="21"/>
  <c r="B599" i="21"/>
  <c r="B600" i="21"/>
  <c r="B601" i="21"/>
  <c r="B602" i="21"/>
  <c r="B603" i="21"/>
  <c r="B604" i="21"/>
  <c r="B605" i="21"/>
  <c r="B606" i="21"/>
  <c r="B607" i="21"/>
  <c r="B608" i="21"/>
  <c r="B609" i="21"/>
  <c r="B610" i="21"/>
  <c r="B611" i="21"/>
  <c r="B612" i="21"/>
  <c r="B613" i="21"/>
  <c r="B614" i="21"/>
  <c r="B615" i="21"/>
  <c r="B616" i="21"/>
  <c r="B617" i="21"/>
  <c r="B618" i="21"/>
  <c r="B619" i="21"/>
  <c r="B620" i="21"/>
  <c r="B621" i="21"/>
  <c r="B622" i="21"/>
  <c r="B623" i="21"/>
  <c r="B624" i="21"/>
  <c r="B625" i="21"/>
  <c r="B626" i="21"/>
  <c r="B627" i="21"/>
  <c r="B628" i="21"/>
  <c r="B629" i="21"/>
  <c r="B630" i="21"/>
  <c r="B631" i="21"/>
  <c r="B632" i="21"/>
  <c r="B633" i="21"/>
  <c r="B634" i="21"/>
  <c r="B635" i="21"/>
  <c r="B636" i="21"/>
  <c r="B637" i="21"/>
  <c r="B638" i="21"/>
  <c r="B639" i="21"/>
  <c r="B640" i="21"/>
  <c r="B641" i="21"/>
  <c r="B642" i="21"/>
  <c r="B643" i="21"/>
  <c r="B644" i="21"/>
  <c r="B645" i="21"/>
  <c r="B646" i="21"/>
  <c r="B647" i="21"/>
  <c r="B648" i="21"/>
  <c r="B649" i="21"/>
  <c r="B650" i="21"/>
  <c r="B651" i="21"/>
  <c r="B652" i="21"/>
  <c r="B653" i="21"/>
  <c r="B654" i="21"/>
  <c r="B655" i="21"/>
  <c r="B656" i="21"/>
  <c r="B657" i="21"/>
  <c r="B658" i="21"/>
  <c r="B659" i="21"/>
  <c r="B660" i="21"/>
  <c r="B661" i="21"/>
  <c r="B662" i="21"/>
  <c r="B663" i="21"/>
  <c r="B664" i="21"/>
  <c r="B665" i="21"/>
  <c r="B666" i="21"/>
  <c r="B667" i="21"/>
  <c r="B668" i="21"/>
  <c r="B669" i="21"/>
  <c r="B670" i="21"/>
  <c r="B671" i="21"/>
  <c r="B672" i="21"/>
  <c r="B673" i="21"/>
  <c r="B674" i="21"/>
  <c r="B675" i="21"/>
  <c r="B676" i="21"/>
  <c r="B677" i="21"/>
  <c r="B678" i="21"/>
  <c r="B679" i="21"/>
  <c r="B680" i="21"/>
  <c r="B681" i="21"/>
  <c r="B682" i="21"/>
  <c r="B683" i="21"/>
  <c r="B684" i="21"/>
  <c r="B685" i="21"/>
  <c r="B686" i="21"/>
  <c r="B687" i="21"/>
  <c r="B688" i="21"/>
  <c r="B689" i="21"/>
  <c r="B690" i="21"/>
  <c r="B691" i="21"/>
  <c r="B692" i="21"/>
  <c r="B693" i="21"/>
  <c r="B694" i="21"/>
  <c r="B695" i="21"/>
  <c r="B696" i="21"/>
  <c r="B697" i="21"/>
  <c r="B698" i="21"/>
  <c r="B699" i="21"/>
  <c r="B700" i="21"/>
  <c r="B701" i="21"/>
  <c r="B702" i="21"/>
  <c r="B703" i="21"/>
  <c r="B704" i="21"/>
  <c r="B705" i="21"/>
  <c r="B706" i="21"/>
  <c r="B707" i="21"/>
  <c r="B708" i="21"/>
  <c r="B709" i="21"/>
  <c r="B710" i="21"/>
  <c r="B711" i="21"/>
  <c r="B712" i="21"/>
  <c r="B713" i="21"/>
  <c r="B714" i="21"/>
  <c r="B715" i="21"/>
  <c r="B716" i="21"/>
  <c r="B717" i="21"/>
  <c r="B718" i="21"/>
  <c r="B719" i="21"/>
  <c r="B720" i="21"/>
  <c r="B721" i="21"/>
  <c r="B722" i="21"/>
  <c r="B723" i="21"/>
  <c r="B724" i="21"/>
  <c r="B725" i="21"/>
  <c r="B726" i="21"/>
  <c r="B727" i="21"/>
  <c r="B728" i="21"/>
  <c r="B729" i="21"/>
  <c r="B730" i="21"/>
  <c r="B731" i="21"/>
  <c r="B732" i="21"/>
  <c r="B733" i="21"/>
  <c r="B734" i="21"/>
  <c r="B735" i="21"/>
  <c r="B736" i="21"/>
  <c r="B737" i="21"/>
  <c r="B738" i="21"/>
  <c r="B739" i="21"/>
  <c r="B740" i="21"/>
  <c r="B741" i="21"/>
  <c r="B742" i="21"/>
  <c r="B743" i="21"/>
  <c r="B744" i="21"/>
  <c r="B745" i="21"/>
  <c r="B746" i="21"/>
  <c r="B747" i="21"/>
  <c r="B748" i="21"/>
  <c r="B749" i="21"/>
  <c r="B750" i="21"/>
  <c r="B751" i="21"/>
  <c r="B752" i="21"/>
  <c r="B753" i="21"/>
  <c r="B754" i="21"/>
  <c r="B755" i="21"/>
  <c r="B756" i="21"/>
  <c r="B757" i="21"/>
  <c r="B758" i="21"/>
  <c r="B759" i="21"/>
  <c r="B760" i="21"/>
  <c r="B761" i="21"/>
  <c r="B762" i="21"/>
  <c r="B763" i="21"/>
  <c r="B764" i="21"/>
  <c r="B765" i="21"/>
  <c r="B766" i="21"/>
  <c r="B767" i="21"/>
  <c r="B768" i="21"/>
  <c r="B769" i="21"/>
  <c r="B770" i="21"/>
  <c r="B771" i="21"/>
  <c r="B772" i="21"/>
  <c r="B773" i="21"/>
  <c r="B774" i="21"/>
  <c r="B775" i="21"/>
  <c r="B776" i="21"/>
  <c r="B777" i="21"/>
  <c r="B778" i="21"/>
  <c r="B779" i="21"/>
  <c r="B780" i="21"/>
  <c r="B781" i="21"/>
  <c r="B782" i="21"/>
  <c r="B783" i="21"/>
  <c r="B784" i="21"/>
  <c r="B785" i="21"/>
  <c r="B786" i="21"/>
  <c r="B787" i="21"/>
  <c r="B788" i="21"/>
  <c r="B789" i="21"/>
  <c r="B790" i="21"/>
  <c r="B791" i="21"/>
  <c r="B792" i="21"/>
  <c r="B793" i="21"/>
  <c r="B794" i="21"/>
  <c r="B795" i="21"/>
  <c r="B796" i="21"/>
  <c r="B797" i="21"/>
  <c r="B798" i="21"/>
  <c r="B799" i="21"/>
  <c r="B800" i="21"/>
  <c r="B801" i="21"/>
  <c r="B802" i="21"/>
  <c r="B803" i="21"/>
  <c r="B804" i="21"/>
  <c r="B805" i="21"/>
  <c r="B806" i="21"/>
  <c r="B807" i="21"/>
  <c r="B808" i="21"/>
  <c r="B809" i="21"/>
  <c r="B810" i="21"/>
  <c r="B811" i="21"/>
  <c r="B812" i="21"/>
  <c r="B813" i="21"/>
  <c r="B814" i="21"/>
  <c r="B815" i="21"/>
  <c r="B816" i="21"/>
  <c r="B817" i="21"/>
  <c r="B818" i="21"/>
  <c r="B819" i="21"/>
  <c r="B820" i="21"/>
  <c r="B821" i="21"/>
  <c r="B822" i="21"/>
  <c r="B823" i="21"/>
  <c r="B824" i="21"/>
  <c r="B825" i="21"/>
  <c r="B826" i="21"/>
  <c r="B827" i="21"/>
  <c r="B828" i="21"/>
  <c r="B829" i="21"/>
  <c r="B830" i="21"/>
  <c r="B831" i="21"/>
  <c r="B832" i="21"/>
  <c r="B833" i="21"/>
  <c r="B834" i="21"/>
  <c r="B835" i="21"/>
  <c r="B836" i="21"/>
  <c r="B837" i="21"/>
  <c r="B838" i="21"/>
  <c r="B839" i="21"/>
  <c r="B840" i="21"/>
  <c r="B841" i="21"/>
  <c r="B842" i="21"/>
  <c r="B843" i="21"/>
  <c r="B844" i="21"/>
  <c r="B845" i="21"/>
  <c r="B846" i="21"/>
  <c r="B847" i="21"/>
  <c r="B848" i="21"/>
  <c r="B849" i="21"/>
  <c r="B850" i="21"/>
  <c r="B851" i="21"/>
  <c r="B852" i="21"/>
  <c r="B853" i="21"/>
  <c r="B854" i="21"/>
  <c r="B855" i="21"/>
  <c r="B856" i="21"/>
  <c r="B857" i="21"/>
  <c r="B858" i="21"/>
  <c r="B859" i="21"/>
  <c r="B860" i="21"/>
  <c r="B861" i="21"/>
  <c r="B862" i="21"/>
  <c r="B863" i="21"/>
  <c r="B864" i="21"/>
  <c r="B865" i="21"/>
  <c r="B866" i="21"/>
  <c r="B867" i="21"/>
  <c r="B868" i="21"/>
  <c r="B869" i="21"/>
  <c r="B870" i="21"/>
  <c r="B871" i="21"/>
  <c r="B872" i="21"/>
  <c r="B873" i="21"/>
  <c r="B874" i="21"/>
  <c r="B875" i="21"/>
  <c r="B876" i="21"/>
  <c r="B877" i="21"/>
  <c r="B878" i="21"/>
  <c r="B879" i="21"/>
  <c r="B880" i="21"/>
  <c r="B881" i="21"/>
  <c r="B882" i="21"/>
  <c r="B883" i="21"/>
  <c r="B884" i="21"/>
  <c r="B885" i="21"/>
  <c r="B886" i="21"/>
  <c r="B887" i="21"/>
  <c r="B888" i="21"/>
  <c r="B889" i="21"/>
  <c r="B890" i="21"/>
  <c r="B891" i="21"/>
  <c r="B892" i="21"/>
  <c r="B893" i="21"/>
  <c r="B894" i="21"/>
  <c r="B895" i="21"/>
  <c r="B896" i="21"/>
  <c r="B897" i="21"/>
  <c r="B898" i="21"/>
  <c r="B899" i="21"/>
  <c r="B900" i="21"/>
  <c r="B901" i="21"/>
  <c r="B902" i="21"/>
  <c r="B903" i="21"/>
  <c r="B904" i="21"/>
  <c r="B905" i="21"/>
  <c r="B906" i="21"/>
  <c r="B907" i="21"/>
  <c r="B908" i="21"/>
  <c r="B909" i="21"/>
  <c r="B910" i="21"/>
  <c r="B911" i="21"/>
  <c r="B912" i="21"/>
  <c r="B913" i="21"/>
  <c r="B914" i="21"/>
  <c r="B915" i="21"/>
  <c r="B916" i="21"/>
  <c r="B917" i="21"/>
  <c r="B918" i="21"/>
  <c r="B919" i="21"/>
  <c r="B920" i="21"/>
  <c r="B921" i="21"/>
  <c r="B922" i="21"/>
  <c r="B923" i="21"/>
  <c r="B924" i="21"/>
  <c r="B925" i="21"/>
  <c r="B926" i="21"/>
  <c r="B927" i="21"/>
  <c r="B928" i="21"/>
  <c r="B929" i="21"/>
  <c r="B930" i="21"/>
  <c r="B931" i="21"/>
  <c r="B932" i="21"/>
  <c r="B933" i="21"/>
  <c r="B934" i="21"/>
  <c r="B935" i="21"/>
  <c r="B936" i="21"/>
  <c r="B937" i="21"/>
  <c r="B938" i="21"/>
  <c r="B939" i="21"/>
  <c r="B940" i="21"/>
  <c r="B941" i="21"/>
  <c r="B942" i="21"/>
  <c r="B943" i="21"/>
  <c r="B944" i="21"/>
  <c r="B945" i="21"/>
  <c r="B946" i="21"/>
  <c r="B947" i="21"/>
  <c r="B948" i="21"/>
  <c r="B949" i="21"/>
  <c r="B950" i="21"/>
  <c r="B951" i="21"/>
  <c r="B952" i="21"/>
  <c r="B953" i="21"/>
  <c r="B954" i="21"/>
  <c r="B955" i="21"/>
  <c r="B956" i="21"/>
  <c r="B957" i="21"/>
  <c r="B958" i="21"/>
  <c r="B959" i="21"/>
  <c r="B960" i="21"/>
  <c r="B961" i="21"/>
  <c r="B962" i="21"/>
  <c r="B963" i="21"/>
  <c r="B964" i="21"/>
  <c r="B965" i="21"/>
  <c r="B966" i="21"/>
  <c r="B967" i="21"/>
  <c r="B968" i="21"/>
  <c r="B969" i="21"/>
  <c r="B970" i="21"/>
  <c r="B971" i="21"/>
  <c r="B972" i="21"/>
  <c r="B973" i="21"/>
  <c r="B974" i="21"/>
  <c r="B975" i="21"/>
  <c r="B976" i="21"/>
  <c r="B977" i="21"/>
  <c r="B978" i="21"/>
  <c r="B979" i="21"/>
  <c r="B980" i="21"/>
  <c r="B981" i="21"/>
  <c r="B982" i="21"/>
  <c r="B983" i="21"/>
  <c r="B984" i="21"/>
  <c r="B985" i="21"/>
  <c r="B986" i="21"/>
  <c r="B987" i="21"/>
  <c r="B988" i="21"/>
  <c r="B989" i="21"/>
  <c r="B990" i="21"/>
  <c r="B991" i="21"/>
  <c r="B992" i="21"/>
  <c r="B993" i="21"/>
  <c r="B994" i="21"/>
  <c r="B995" i="21"/>
  <c r="B996" i="21"/>
  <c r="B997" i="21"/>
  <c r="B998" i="21"/>
  <c r="B999" i="21"/>
  <c r="B1000" i="21"/>
  <c r="B1001" i="21"/>
  <c r="B1002" i="21"/>
  <c r="B1003" i="21"/>
  <c r="B1004" i="21"/>
  <c r="B1005" i="21"/>
  <c r="B1006" i="21"/>
  <c r="B1007" i="21"/>
  <c r="B1008" i="21"/>
  <c r="B1009" i="21"/>
  <c r="B1010" i="21"/>
  <c r="B1011" i="21"/>
  <c r="B1012" i="21"/>
  <c r="B1013" i="21"/>
  <c r="B1014" i="21"/>
  <c r="B1015" i="21"/>
  <c r="B1016" i="21"/>
  <c r="B1017" i="21"/>
  <c r="B1018" i="21"/>
  <c r="B1019" i="21"/>
  <c r="B1020" i="21"/>
  <c r="B1021" i="21"/>
  <c r="B1022" i="21"/>
  <c r="B1023" i="21"/>
  <c r="B1024" i="21"/>
  <c r="B1025" i="21"/>
  <c r="B1026" i="21"/>
  <c r="B1027" i="21"/>
  <c r="B1028" i="21"/>
  <c r="B1029" i="21"/>
  <c r="B1030" i="21"/>
  <c r="B1031" i="21"/>
  <c r="B1032" i="21"/>
  <c r="B1033" i="21"/>
  <c r="B1034" i="21"/>
  <c r="B1035" i="21"/>
  <c r="B1036" i="21"/>
  <c r="B1037" i="21"/>
  <c r="B1038" i="21"/>
  <c r="B1039" i="21"/>
  <c r="B1040" i="21"/>
  <c r="B1041" i="21"/>
  <c r="B1042" i="21"/>
  <c r="B1043" i="21"/>
  <c r="B1044" i="21"/>
  <c r="B1045" i="21"/>
  <c r="B1046" i="21"/>
  <c r="B1047" i="21"/>
  <c r="B1048" i="21"/>
  <c r="B1049" i="21"/>
  <c r="B1050" i="21"/>
  <c r="B1051" i="21"/>
  <c r="B1052" i="21"/>
  <c r="B1053" i="21"/>
  <c r="B1054" i="21"/>
  <c r="B1055" i="21"/>
  <c r="B1056" i="21"/>
  <c r="B1057" i="21"/>
  <c r="B1058" i="21"/>
  <c r="B1059" i="21"/>
  <c r="B1060" i="21"/>
  <c r="B1061" i="21"/>
  <c r="B1062" i="21"/>
  <c r="B1063" i="21"/>
  <c r="B1064" i="21"/>
  <c r="B1065" i="21"/>
  <c r="B1066" i="21"/>
  <c r="B1067" i="21"/>
  <c r="B1068" i="21"/>
  <c r="B1069" i="21"/>
  <c r="B1070" i="21"/>
  <c r="B1071" i="21"/>
  <c r="B1072" i="21"/>
  <c r="B1073" i="21"/>
  <c r="B1074" i="21"/>
  <c r="B1075" i="21"/>
  <c r="B1076" i="21"/>
  <c r="B1077" i="21"/>
  <c r="B1078" i="21"/>
  <c r="B1079" i="21"/>
  <c r="B1080" i="21"/>
  <c r="B1081" i="21"/>
  <c r="B1082" i="21"/>
  <c r="B1083" i="21"/>
  <c r="B1084" i="21"/>
  <c r="B1085" i="21"/>
  <c r="B1086" i="21"/>
  <c r="B1087" i="21"/>
  <c r="B1088" i="21"/>
  <c r="B1089" i="21"/>
  <c r="B1090" i="21"/>
  <c r="B1091" i="21"/>
  <c r="B1092" i="21"/>
  <c r="B1093" i="21"/>
  <c r="B1094" i="21"/>
  <c r="B1095" i="21"/>
  <c r="B1096" i="21"/>
  <c r="B1097" i="21"/>
  <c r="B1098" i="21"/>
  <c r="B1099" i="21"/>
  <c r="B1100" i="21"/>
  <c r="B1101" i="21"/>
  <c r="B1102" i="21"/>
  <c r="B1103" i="21"/>
  <c r="B1104" i="21"/>
  <c r="B1105" i="21"/>
  <c r="B1106" i="21"/>
  <c r="B1107" i="21"/>
  <c r="B1108" i="21"/>
  <c r="B1109" i="21"/>
  <c r="B1110" i="21"/>
  <c r="B1111" i="21"/>
  <c r="B1112" i="21"/>
  <c r="B1113" i="21"/>
  <c r="B1114" i="21"/>
  <c r="B1115" i="21"/>
  <c r="B1116" i="21"/>
  <c r="B1117" i="21"/>
  <c r="B1118" i="21"/>
  <c r="B1119" i="21"/>
  <c r="B1120" i="21"/>
  <c r="B1121" i="21"/>
  <c r="B1122" i="21"/>
  <c r="B1123" i="21"/>
  <c r="B1124" i="21"/>
  <c r="B1125" i="21"/>
  <c r="B1126" i="21"/>
  <c r="B1127" i="21"/>
  <c r="B1128" i="21"/>
  <c r="B1129" i="21"/>
  <c r="B1130" i="21"/>
  <c r="B1131" i="21"/>
  <c r="B1132" i="21"/>
  <c r="B1133" i="21"/>
  <c r="B1134" i="21"/>
  <c r="B1135" i="21"/>
  <c r="B1136" i="21"/>
  <c r="B1137" i="21"/>
  <c r="B1138" i="21"/>
  <c r="B1139" i="21"/>
  <c r="B1140" i="21"/>
  <c r="B1141" i="21"/>
  <c r="B1142" i="21"/>
  <c r="B1143" i="21"/>
  <c r="B1144" i="21"/>
  <c r="B1145" i="21"/>
  <c r="B1146" i="21"/>
  <c r="B1147" i="21"/>
  <c r="B1148" i="21"/>
  <c r="B1149" i="21"/>
  <c r="B1150" i="21"/>
  <c r="B1151" i="21"/>
  <c r="B1152" i="21"/>
  <c r="B1153" i="21"/>
  <c r="B1154" i="21"/>
  <c r="B1155" i="21"/>
  <c r="B1156" i="21"/>
  <c r="B1157" i="21"/>
  <c r="B1158" i="21"/>
  <c r="B1159" i="21"/>
  <c r="B1160" i="21"/>
  <c r="B1161" i="21"/>
  <c r="B1162" i="21"/>
  <c r="B1163" i="21"/>
  <c r="B1164" i="21"/>
  <c r="B1165" i="21"/>
  <c r="B1166" i="21"/>
  <c r="B1167" i="21"/>
  <c r="B1168" i="21"/>
  <c r="B1169" i="21"/>
  <c r="B1170" i="21"/>
  <c r="B1171" i="21"/>
  <c r="B1172" i="21"/>
  <c r="B1173" i="21"/>
  <c r="B1174" i="21"/>
  <c r="B1175" i="21"/>
  <c r="B1176" i="21"/>
  <c r="B1177" i="21"/>
  <c r="B1178" i="21"/>
  <c r="B1179" i="21"/>
  <c r="B1180" i="21"/>
  <c r="B1181" i="21"/>
  <c r="B1182" i="21"/>
  <c r="B1183" i="21"/>
  <c r="B1184" i="21"/>
  <c r="B1185" i="21"/>
  <c r="B1186" i="21"/>
  <c r="B1187" i="21"/>
  <c r="B1188" i="21"/>
  <c r="B1189" i="21"/>
  <c r="B1190" i="21"/>
  <c r="B1191" i="21"/>
  <c r="B1192" i="21"/>
  <c r="B1193" i="21"/>
  <c r="B1194" i="21"/>
  <c r="B1195" i="21"/>
  <c r="B1196" i="21"/>
  <c r="B1197" i="21"/>
  <c r="B1198" i="21"/>
  <c r="B1199" i="21"/>
  <c r="B1200" i="21"/>
  <c r="B1201" i="21"/>
  <c r="B1202" i="21"/>
  <c r="B1203" i="21"/>
  <c r="B1204" i="21"/>
  <c r="B1205" i="21"/>
  <c r="B1206" i="21"/>
  <c r="B1207" i="21"/>
  <c r="B1208" i="21"/>
  <c r="B1209" i="21"/>
  <c r="B1210" i="21"/>
  <c r="B1211" i="21"/>
  <c r="B1212" i="21"/>
  <c r="B1213" i="21"/>
  <c r="B1214" i="21"/>
  <c r="B1215" i="21"/>
  <c r="B1216" i="21"/>
  <c r="B1217" i="21"/>
  <c r="B1218" i="21"/>
  <c r="B1219" i="21"/>
  <c r="B1220" i="21"/>
  <c r="B1221" i="21"/>
  <c r="B1222" i="21"/>
  <c r="B1223" i="21"/>
  <c r="B1224" i="21"/>
  <c r="B1225" i="21"/>
  <c r="B1226" i="21"/>
  <c r="B1227" i="21"/>
  <c r="B1228" i="21"/>
  <c r="B1229" i="21"/>
  <c r="B1230" i="21"/>
  <c r="B1231" i="21"/>
  <c r="B1232" i="21"/>
  <c r="B1233" i="21"/>
  <c r="B1234" i="21"/>
  <c r="B1235" i="21"/>
  <c r="B1236" i="21"/>
  <c r="B1237" i="21"/>
  <c r="B1238" i="21"/>
  <c r="B1239" i="21"/>
  <c r="B1240" i="21"/>
  <c r="B1241" i="21"/>
  <c r="B1242" i="21"/>
  <c r="B1243" i="21"/>
  <c r="B1244" i="21"/>
  <c r="B1245" i="21"/>
  <c r="B1246" i="21"/>
  <c r="B1247" i="21"/>
  <c r="B1248" i="21"/>
  <c r="B1249" i="21"/>
  <c r="B1250" i="21"/>
  <c r="B1251" i="21"/>
  <c r="B1252" i="21"/>
  <c r="B1253" i="21"/>
  <c r="B1254" i="21"/>
  <c r="B1255" i="21"/>
  <c r="B1256" i="21"/>
  <c r="B1257" i="21"/>
  <c r="B1258" i="21"/>
  <c r="B1259" i="21"/>
  <c r="B1260" i="21"/>
  <c r="B1261" i="21"/>
  <c r="B1262" i="21"/>
  <c r="B1263" i="21"/>
  <c r="B1264" i="21"/>
  <c r="B1265" i="21"/>
  <c r="B1266" i="21"/>
  <c r="B1267" i="21"/>
  <c r="B1268" i="21"/>
  <c r="B1269" i="21"/>
  <c r="B1270" i="21"/>
  <c r="B1271" i="21"/>
  <c r="B1272" i="21"/>
  <c r="B1273" i="21"/>
  <c r="B1274" i="21"/>
  <c r="B1275" i="21"/>
  <c r="B1276" i="21"/>
  <c r="B1277" i="21"/>
  <c r="B1278" i="21"/>
  <c r="B1279" i="21"/>
  <c r="B1280" i="21"/>
  <c r="B1281" i="21"/>
  <c r="B1282" i="21"/>
  <c r="B1283" i="21"/>
  <c r="B1284" i="21"/>
  <c r="B1285" i="21"/>
  <c r="B1286" i="21"/>
  <c r="B1287" i="21"/>
  <c r="B1288" i="21"/>
  <c r="B1289" i="21"/>
  <c r="B1290" i="21"/>
  <c r="B1291" i="21"/>
  <c r="B1292" i="21"/>
  <c r="B1293" i="21"/>
  <c r="B1294" i="21"/>
  <c r="B1295" i="21"/>
  <c r="B1296" i="21"/>
  <c r="B1297" i="21"/>
  <c r="B1298" i="21"/>
  <c r="B1299" i="21"/>
  <c r="B1300" i="21"/>
  <c r="B1301" i="21"/>
  <c r="B1302" i="21"/>
  <c r="B1303" i="21"/>
  <c r="B1304" i="21"/>
  <c r="B1305" i="21"/>
  <c r="B1306" i="21"/>
  <c r="B1307" i="21"/>
  <c r="B1308" i="21"/>
  <c r="B1309" i="21"/>
  <c r="B1310" i="21"/>
  <c r="B1311" i="21"/>
  <c r="B1312" i="21"/>
  <c r="B1313" i="21"/>
  <c r="B1314" i="21"/>
  <c r="B1315" i="21"/>
  <c r="B1316" i="21"/>
  <c r="B1317" i="21"/>
  <c r="B1318" i="21"/>
  <c r="B1319" i="21"/>
  <c r="B1320" i="21"/>
  <c r="B1321" i="21"/>
  <c r="B1322" i="21"/>
  <c r="B1323" i="21"/>
  <c r="B1324" i="21"/>
  <c r="B1325" i="21"/>
  <c r="B1326" i="21"/>
  <c r="B1327" i="21"/>
  <c r="B1328" i="21"/>
  <c r="B1329" i="21"/>
  <c r="B1330" i="21"/>
  <c r="B1331" i="21"/>
  <c r="B1332" i="21"/>
  <c r="B1333" i="21"/>
  <c r="B1334" i="21"/>
  <c r="B1335" i="21"/>
  <c r="B1336" i="21"/>
  <c r="B1337" i="21"/>
  <c r="B1338" i="21"/>
  <c r="B1339" i="21"/>
  <c r="B1340" i="21"/>
  <c r="B1341" i="21"/>
  <c r="B1342" i="21"/>
  <c r="B1343" i="21"/>
  <c r="B1344" i="21"/>
  <c r="B1345" i="21"/>
  <c r="B1346" i="21"/>
  <c r="B1347" i="21"/>
  <c r="B1348" i="21"/>
  <c r="B1349" i="21"/>
  <c r="B1350" i="21"/>
  <c r="B1351" i="21"/>
  <c r="B1352" i="21"/>
  <c r="B1353" i="21"/>
  <c r="B1354" i="21"/>
  <c r="B1355" i="21"/>
  <c r="B1356" i="21"/>
  <c r="B1357" i="21"/>
  <c r="B1358" i="21"/>
  <c r="B1359" i="21"/>
  <c r="B1360" i="21"/>
  <c r="B1361" i="21"/>
  <c r="B1362" i="21"/>
  <c r="B1363" i="21"/>
  <c r="B1364" i="21"/>
  <c r="B1365" i="21"/>
  <c r="B1366" i="21"/>
  <c r="B1367" i="21"/>
  <c r="B1368" i="21"/>
  <c r="B1369" i="21"/>
  <c r="B1370" i="21"/>
  <c r="B1371" i="21"/>
  <c r="B1372" i="21"/>
  <c r="B1373" i="21"/>
  <c r="B1374" i="21"/>
  <c r="B1375" i="21"/>
  <c r="B1376" i="21"/>
  <c r="B1377" i="21"/>
  <c r="B1378" i="21"/>
  <c r="B1379" i="21"/>
  <c r="B1380" i="21"/>
  <c r="B1381" i="21"/>
  <c r="B1382" i="21"/>
  <c r="B1383" i="21"/>
  <c r="B1384" i="21"/>
  <c r="B1385" i="21"/>
  <c r="B1386" i="21"/>
  <c r="B1387" i="21"/>
  <c r="B1388" i="21"/>
  <c r="B1389" i="21"/>
  <c r="B1390" i="21"/>
  <c r="B1391" i="21"/>
  <c r="B1392" i="21"/>
  <c r="B1393" i="21"/>
  <c r="B1394" i="21"/>
  <c r="B1395" i="21"/>
  <c r="B1396" i="21"/>
  <c r="B1397" i="21"/>
  <c r="B1398" i="21"/>
  <c r="B1399" i="21"/>
  <c r="B1400" i="21"/>
  <c r="B1401" i="21"/>
  <c r="B1402" i="21"/>
  <c r="B1403" i="21"/>
  <c r="B1404" i="21"/>
  <c r="B1405" i="21"/>
  <c r="B1406" i="21"/>
  <c r="B1407" i="21"/>
  <c r="B1408" i="21"/>
  <c r="B1409" i="21"/>
  <c r="B1410" i="21"/>
  <c r="B1411" i="21"/>
  <c r="B1412" i="21"/>
  <c r="B1413" i="21"/>
  <c r="B1414" i="21"/>
  <c r="B1415" i="21"/>
  <c r="B1416" i="21"/>
  <c r="B1417" i="21"/>
  <c r="B1418" i="21"/>
  <c r="B1419" i="21"/>
  <c r="B1420" i="21"/>
  <c r="B1421" i="21"/>
  <c r="B1422" i="21"/>
  <c r="B1423" i="21"/>
  <c r="B1424" i="21"/>
  <c r="B1425" i="21"/>
  <c r="B1426" i="21"/>
  <c r="B1427" i="21"/>
  <c r="B1428" i="21"/>
  <c r="B1429" i="21"/>
  <c r="B1430" i="21"/>
  <c r="B1431" i="21"/>
  <c r="B1432" i="21"/>
  <c r="B1433" i="21"/>
  <c r="B1434" i="21"/>
  <c r="B1435" i="21"/>
  <c r="B1436" i="21"/>
  <c r="B1437" i="21"/>
  <c r="B1438" i="21"/>
  <c r="B1439" i="21"/>
  <c r="B1440" i="21"/>
  <c r="B1441" i="21"/>
  <c r="B1442" i="21"/>
  <c r="B1443" i="21"/>
  <c r="B1444" i="21"/>
  <c r="B1445" i="21"/>
  <c r="B1446" i="21"/>
  <c r="B1447" i="21"/>
  <c r="B1448" i="21"/>
  <c r="B1449" i="21"/>
  <c r="B1450" i="21"/>
  <c r="B1451" i="21"/>
  <c r="B1452" i="21"/>
  <c r="B1453" i="21"/>
  <c r="B1454" i="21"/>
  <c r="B1455" i="21"/>
  <c r="B1456" i="21"/>
  <c r="B1457" i="21"/>
  <c r="B1458" i="21"/>
  <c r="B1459" i="21"/>
  <c r="B1460" i="21"/>
  <c r="B1461" i="21"/>
  <c r="B1462" i="21"/>
  <c r="B1463" i="21"/>
  <c r="B1464" i="21"/>
  <c r="B1465" i="21"/>
  <c r="B1466" i="21"/>
  <c r="B1467" i="21"/>
  <c r="B1468" i="21"/>
  <c r="B1469" i="21"/>
  <c r="B1470" i="21"/>
  <c r="B1471" i="21"/>
  <c r="B1472" i="21"/>
  <c r="B1473" i="21"/>
  <c r="B1474" i="21"/>
  <c r="B1475" i="21"/>
  <c r="B1476" i="21"/>
  <c r="B1477" i="21"/>
  <c r="B1478" i="21"/>
  <c r="B1479" i="21"/>
  <c r="B1480" i="21"/>
  <c r="B1481" i="21"/>
  <c r="B1482" i="21"/>
  <c r="B1483" i="21"/>
  <c r="B1484" i="21"/>
  <c r="B1485" i="21"/>
  <c r="B1486" i="21"/>
  <c r="B1487" i="21"/>
  <c r="B1488" i="21"/>
  <c r="B1489" i="21"/>
  <c r="B1490" i="21"/>
  <c r="B1491" i="21"/>
  <c r="B1492" i="21"/>
  <c r="B1493" i="21"/>
  <c r="B1494" i="21"/>
  <c r="B1495" i="21"/>
  <c r="B1496" i="21"/>
  <c r="B1497" i="21"/>
  <c r="B1498" i="21"/>
  <c r="B1499" i="21"/>
  <c r="B1500" i="21"/>
  <c r="B1501" i="21"/>
  <c r="B1502" i="21"/>
  <c r="B1503" i="21"/>
  <c r="B1504" i="21"/>
  <c r="B1505" i="21"/>
  <c r="B1506" i="21"/>
  <c r="B1507" i="21"/>
  <c r="B1508" i="21"/>
  <c r="B1509" i="21"/>
  <c r="B1510" i="21"/>
  <c r="B1511" i="21"/>
  <c r="B1512" i="21"/>
  <c r="B1513" i="21"/>
  <c r="B1514" i="21"/>
  <c r="B1515" i="21"/>
  <c r="B1516" i="21"/>
  <c r="B1517" i="21"/>
  <c r="B1518" i="21"/>
  <c r="B1519" i="21"/>
  <c r="B1520" i="21"/>
  <c r="B1521" i="21"/>
  <c r="B1522" i="21"/>
  <c r="B1523" i="21"/>
  <c r="B1524" i="21"/>
  <c r="B1525" i="21"/>
  <c r="B1526" i="21"/>
  <c r="B1527" i="21"/>
  <c r="B1528" i="21"/>
  <c r="B1529" i="21"/>
  <c r="B1530" i="21"/>
  <c r="B1531" i="21"/>
  <c r="B1532" i="21"/>
  <c r="B1533" i="21"/>
  <c r="B1534" i="21"/>
  <c r="B1535" i="21"/>
  <c r="B1536" i="21"/>
  <c r="B1537" i="21"/>
  <c r="B1538" i="21"/>
  <c r="B1539" i="21"/>
  <c r="B1540" i="21"/>
  <c r="B1541" i="21"/>
  <c r="B1542" i="21"/>
  <c r="B1543" i="21"/>
  <c r="B1544" i="21"/>
  <c r="B1545" i="21"/>
  <c r="B1546" i="21"/>
  <c r="B1547" i="21"/>
  <c r="B1548" i="21"/>
  <c r="B1549" i="21"/>
  <c r="B1550" i="21"/>
  <c r="B1551" i="21"/>
  <c r="B1552" i="21"/>
  <c r="B1553" i="21"/>
  <c r="B1554" i="21"/>
  <c r="B1555" i="21"/>
  <c r="B1556" i="21"/>
  <c r="B1557" i="21"/>
  <c r="B1558" i="21"/>
  <c r="B1559" i="21"/>
  <c r="B1560" i="21"/>
  <c r="B1561" i="21"/>
  <c r="B1562" i="21"/>
  <c r="B1563" i="21"/>
  <c r="B1564" i="21"/>
  <c r="B1565" i="21"/>
  <c r="B1566" i="21"/>
  <c r="B1567" i="21"/>
  <c r="B1568" i="21"/>
  <c r="B1569" i="21"/>
  <c r="B1570" i="21"/>
  <c r="B1571" i="21"/>
  <c r="B1572" i="21"/>
  <c r="B1573" i="21"/>
  <c r="B1574" i="21"/>
  <c r="B1575" i="21"/>
  <c r="B1576" i="21"/>
  <c r="B1577" i="21"/>
  <c r="B1578" i="21"/>
  <c r="B1579" i="21"/>
  <c r="B1580" i="21"/>
  <c r="B1581" i="21"/>
  <c r="B1582" i="21"/>
  <c r="B1583" i="21"/>
  <c r="B1584" i="21"/>
  <c r="B1585" i="21"/>
  <c r="B1586" i="21"/>
  <c r="B1587" i="21"/>
  <c r="B1588" i="21"/>
  <c r="B1589" i="21"/>
  <c r="B1590" i="21"/>
  <c r="B1591" i="21"/>
  <c r="B1592" i="21"/>
  <c r="B1593" i="21"/>
  <c r="B1594" i="21"/>
  <c r="B1595" i="21"/>
  <c r="B1596" i="21"/>
  <c r="B1597" i="21"/>
  <c r="B1598" i="21"/>
  <c r="B1599" i="21"/>
  <c r="B1600" i="21"/>
  <c r="B1601" i="21"/>
  <c r="B1602" i="21"/>
  <c r="B1603" i="21"/>
  <c r="B1604" i="21"/>
  <c r="B1605" i="21"/>
  <c r="B1606" i="21"/>
  <c r="B1607" i="21"/>
  <c r="B1608" i="21"/>
  <c r="B1609" i="21"/>
  <c r="B1610" i="21"/>
  <c r="B1611" i="21"/>
  <c r="B1612" i="21"/>
  <c r="B1613" i="21"/>
  <c r="B1614" i="21"/>
  <c r="B1615" i="21"/>
  <c r="B1616" i="21"/>
  <c r="B1617" i="21"/>
  <c r="B1618" i="21"/>
  <c r="B1619" i="21"/>
  <c r="B1620" i="21"/>
  <c r="B1621" i="21"/>
  <c r="B1622" i="21"/>
  <c r="B1623" i="21"/>
  <c r="B1624" i="21"/>
  <c r="B1625" i="21"/>
  <c r="B1626" i="21"/>
  <c r="B1627" i="21"/>
  <c r="B1628" i="21"/>
  <c r="B1629" i="21"/>
  <c r="B1630" i="21"/>
  <c r="B1631" i="21"/>
  <c r="B1632" i="21"/>
  <c r="B1633" i="21"/>
  <c r="B1634" i="21"/>
  <c r="B1635" i="21"/>
  <c r="B1636" i="21"/>
  <c r="B1637" i="21"/>
  <c r="B1638" i="21"/>
  <c r="B1639" i="21"/>
  <c r="B1640" i="21"/>
  <c r="B1641" i="21"/>
  <c r="B1642" i="21"/>
  <c r="B1643" i="21"/>
  <c r="B1644" i="21"/>
  <c r="B1645" i="21"/>
  <c r="B1646" i="21"/>
  <c r="B1647" i="21"/>
  <c r="B1648" i="21"/>
  <c r="B1649" i="21"/>
  <c r="B1650" i="21"/>
  <c r="B1651" i="21"/>
  <c r="B1652" i="21"/>
  <c r="B1653" i="21"/>
  <c r="B1654" i="21"/>
  <c r="B1655" i="21"/>
  <c r="B1656" i="21"/>
  <c r="B1657" i="21"/>
  <c r="B1658" i="21"/>
  <c r="B1659" i="21"/>
  <c r="B1660" i="21"/>
  <c r="B1661" i="21"/>
  <c r="B1662" i="21"/>
  <c r="B1663" i="21"/>
  <c r="B1664" i="21"/>
  <c r="B1665" i="21"/>
  <c r="B1666" i="21"/>
  <c r="B1667" i="21"/>
  <c r="B1668" i="21"/>
  <c r="B1669" i="21"/>
  <c r="B1670" i="21"/>
  <c r="B1671" i="21"/>
  <c r="B1672" i="21"/>
  <c r="B1673" i="21"/>
  <c r="B1674" i="21"/>
  <c r="B1675" i="21"/>
  <c r="B1676" i="21"/>
  <c r="B1677" i="21"/>
  <c r="B1678" i="21"/>
  <c r="B1679" i="21"/>
  <c r="B1680" i="21"/>
  <c r="B1681" i="21"/>
  <c r="B1682" i="21"/>
  <c r="B1683" i="21"/>
  <c r="B1684" i="21"/>
  <c r="B1685" i="21"/>
  <c r="B1686" i="21"/>
  <c r="B1687" i="21"/>
  <c r="B1688" i="21"/>
  <c r="B1689" i="21"/>
  <c r="B1690" i="21"/>
  <c r="B1691" i="21"/>
  <c r="B1692" i="21"/>
  <c r="B1693" i="21"/>
  <c r="B1694" i="21"/>
  <c r="B1695" i="21"/>
  <c r="B1696" i="21"/>
  <c r="B1697" i="21"/>
  <c r="B1698" i="21"/>
  <c r="B1699" i="21"/>
  <c r="B1700" i="21"/>
  <c r="B1701" i="21"/>
  <c r="B1702" i="21"/>
  <c r="B1703" i="21"/>
  <c r="B1704" i="21"/>
  <c r="B1705" i="21"/>
  <c r="B1706" i="21"/>
  <c r="B1707" i="21"/>
  <c r="B1708" i="21"/>
  <c r="B1709" i="21"/>
  <c r="B1710" i="21"/>
  <c r="B1711" i="21"/>
  <c r="B1712" i="21"/>
  <c r="B1713" i="21"/>
  <c r="B1714" i="21"/>
  <c r="B1715" i="21"/>
  <c r="B1716" i="21"/>
  <c r="B1717" i="21"/>
  <c r="B1718" i="21"/>
  <c r="B1719" i="21"/>
  <c r="B1720" i="21"/>
  <c r="B1721" i="21"/>
  <c r="B1722" i="21"/>
  <c r="B1723" i="21"/>
  <c r="B1724" i="21"/>
  <c r="B1725" i="21"/>
  <c r="B1726" i="21"/>
  <c r="B1727" i="21"/>
  <c r="B1728" i="21"/>
  <c r="B1729" i="21"/>
  <c r="B1730" i="21"/>
  <c r="B1731" i="21"/>
  <c r="B1732" i="21"/>
  <c r="B1733" i="21"/>
  <c r="B1734" i="21"/>
  <c r="B1735" i="21"/>
  <c r="B1736" i="21"/>
  <c r="B1737" i="21"/>
  <c r="B1738" i="21"/>
  <c r="B1739" i="21"/>
  <c r="B1740" i="21"/>
  <c r="B1741" i="21"/>
  <c r="B1742" i="21"/>
  <c r="B1743" i="21"/>
  <c r="B1744" i="21"/>
  <c r="B1745" i="21"/>
  <c r="B1746" i="21"/>
  <c r="B1747" i="21"/>
  <c r="B1748" i="21"/>
  <c r="B1749" i="21"/>
  <c r="B1750" i="21"/>
  <c r="B1751" i="21"/>
  <c r="B1752" i="21"/>
  <c r="B1753" i="21"/>
  <c r="B1754" i="21"/>
  <c r="B1755" i="21"/>
  <c r="B1756" i="21"/>
  <c r="B1757" i="21"/>
  <c r="B1758" i="21"/>
  <c r="B1759" i="21"/>
  <c r="B1760" i="21"/>
  <c r="B1761" i="21"/>
  <c r="B1762" i="21"/>
  <c r="B1763" i="21"/>
  <c r="B1764" i="21"/>
  <c r="B1765" i="21"/>
  <c r="B1766" i="21"/>
  <c r="B1767" i="21"/>
  <c r="B1768" i="21"/>
  <c r="B1769" i="21"/>
  <c r="B1770" i="21"/>
  <c r="B1771" i="21"/>
  <c r="B1772" i="21"/>
  <c r="B1773" i="21"/>
  <c r="B1774" i="21"/>
  <c r="B1775" i="21"/>
  <c r="B1776" i="21"/>
  <c r="B1777" i="21"/>
  <c r="B1778" i="21"/>
  <c r="B1779" i="21"/>
  <c r="B1780" i="21"/>
  <c r="B1781" i="21"/>
  <c r="B1782" i="21"/>
  <c r="B1783" i="21"/>
  <c r="B1784" i="21"/>
  <c r="B1785" i="21"/>
  <c r="B1786" i="21"/>
  <c r="B1787" i="21"/>
  <c r="B1788" i="21"/>
  <c r="B1789" i="21"/>
  <c r="B1790" i="21"/>
  <c r="B1791" i="21"/>
  <c r="B1792" i="21"/>
  <c r="B1793" i="21"/>
  <c r="B1794" i="21"/>
  <c r="B1795" i="21"/>
  <c r="B1796" i="21"/>
  <c r="B1797" i="21"/>
  <c r="B1798" i="21"/>
  <c r="B1799" i="21"/>
  <c r="B1800" i="21"/>
  <c r="B1801" i="21"/>
  <c r="B1802" i="21"/>
  <c r="B1803" i="21"/>
  <c r="B1804" i="21"/>
  <c r="B1805" i="21"/>
  <c r="B1806" i="21"/>
  <c r="B1807" i="21"/>
  <c r="B1808" i="21"/>
  <c r="B1809" i="21"/>
  <c r="B1810" i="21"/>
  <c r="B1811" i="21"/>
  <c r="B1812" i="21"/>
  <c r="B1813" i="21"/>
  <c r="B1814" i="21"/>
  <c r="B1815" i="21"/>
  <c r="B1816" i="21"/>
  <c r="B1817" i="21"/>
  <c r="B1818" i="21"/>
  <c r="B1819" i="21"/>
  <c r="B1820" i="21"/>
  <c r="B1821" i="21"/>
  <c r="B1822" i="21"/>
  <c r="B1823" i="21"/>
  <c r="B1824" i="21"/>
  <c r="B1825" i="21"/>
  <c r="B1826" i="21"/>
  <c r="B1827" i="21"/>
  <c r="B1828" i="21"/>
  <c r="B1829" i="21"/>
  <c r="B1830" i="21"/>
  <c r="B1831" i="21"/>
  <c r="B1832" i="21"/>
  <c r="B1833" i="21"/>
  <c r="B1834" i="21"/>
  <c r="B1835" i="21"/>
  <c r="B1836" i="21"/>
  <c r="B1837" i="21"/>
  <c r="B1838" i="21"/>
  <c r="B1839" i="21"/>
  <c r="B1840" i="21"/>
  <c r="B1841" i="21"/>
  <c r="B1842" i="21"/>
  <c r="B1843" i="21"/>
  <c r="B1844" i="21"/>
  <c r="B1845" i="21"/>
  <c r="B1846" i="21"/>
  <c r="B1847" i="21"/>
  <c r="B1848" i="21"/>
  <c r="B1849" i="21"/>
  <c r="B1850" i="21"/>
  <c r="B1851" i="21"/>
  <c r="B1852" i="21"/>
  <c r="B1853" i="21"/>
  <c r="B1854" i="21"/>
  <c r="B1855" i="21"/>
  <c r="B1856" i="21"/>
  <c r="B1857" i="21"/>
  <c r="B1858" i="21"/>
  <c r="B1859" i="21"/>
  <c r="B1860" i="21"/>
  <c r="B1861" i="21"/>
  <c r="B1862" i="21"/>
  <c r="B1863" i="21"/>
  <c r="B1864" i="21"/>
  <c r="B1865" i="21"/>
  <c r="B1866" i="21"/>
  <c r="B1867" i="21"/>
  <c r="B1868" i="21"/>
  <c r="B1869" i="21"/>
  <c r="B1870" i="21"/>
  <c r="B1871" i="21"/>
  <c r="B1872" i="21"/>
  <c r="B1873" i="21"/>
  <c r="B1874" i="21"/>
  <c r="B1875" i="21"/>
  <c r="B1876" i="21"/>
  <c r="B1877" i="21"/>
  <c r="B1878" i="21"/>
  <c r="B1879" i="21"/>
  <c r="B1880" i="21"/>
  <c r="B1881" i="21"/>
  <c r="B1882" i="21"/>
  <c r="B1883" i="21"/>
  <c r="B1884" i="21"/>
  <c r="B1885" i="21"/>
  <c r="B1886" i="21"/>
  <c r="B1887" i="21"/>
  <c r="B1888" i="21"/>
  <c r="B1889" i="21"/>
  <c r="B1890" i="21"/>
  <c r="B1891" i="21"/>
  <c r="B1892" i="21"/>
  <c r="B1893" i="21"/>
  <c r="B1894" i="21"/>
  <c r="B1895" i="21"/>
  <c r="B1896" i="21"/>
  <c r="B1897" i="21"/>
  <c r="B1898" i="21"/>
  <c r="B1899" i="21"/>
  <c r="B1900" i="21"/>
  <c r="B1901" i="21"/>
  <c r="B1902" i="21"/>
  <c r="B1903" i="21"/>
  <c r="B1904" i="21"/>
  <c r="B1905" i="21"/>
  <c r="B1906" i="21"/>
  <c r="B1907" i="21"/>
  <c r="B1908" i="21"/>
  <c r="B1909" i="21"/>
  <c r="B1910" i="21"/>
  <c r="B1911" i="21"/>
  <c r="B1912" i="21"/>
  <c r="B1913" i="21"/>
  <c r="B1914" i="21"/>
  <c r="B1915" i="21"/>
  <c r="B1916" i="21"/>
  <c r="B1917" i="21"/>
  <c r="B1918" i="21"/>
  <c r="B1919" i="21"/>
  <c r="B1920" i="21"/>
  <c r="B1921" i="21"/>
  <c r="B1922" i="21"/>
  <c r="B1923" i="21"/>
  <c r="B1924" i="21"/>
  <c r="B1925" i="21"/>
  <c r="B1926" i="21"/>
  <c r="B1927" i="21"/>
  <c r="B1928" i="21"/>
  <c r="B1929" i="21"/>
  <c r="B1930" i="21"/>
  <c r="B1931" i="21"/>
  <c r="B1932" i="21"/>
  <c r="B1933" i="21"/>
  <c r="B1934" i="21"/>
  <c r="B1935" i="21"/>
  <c r="B1936" i="21"/>
  <c r="B1937" i="21"/>
  <c r="B1938" i="21"/>
  <c r="B1939" i="21"/>
  <c r="B1940" i="21"/>
  <c r="B1941" i="21"/>
  <c r="B1942" i="21"/>
  <c r="B1943" i="21"/>
  <c r="B1944" i="21"/>
  <c r="B1945" i="21"/>
  <c r="B1946" i="21"/>
  <c r="B1947" i="21"/>
  <c r="B1948" i="21"/>
  <c r="B1949" i="21"/>
  <c r="B1950" i="21"/>
  <c r="B1951" i="21"/>
  <c r="B1952" i="21"/>
  <c r="B1953" i="21"/>
  <c r="B1954" i="21"/>
  <c r="B1955" i="21"/>
  <c r="B1956" i="21"/>
  <c r="B1957" i="21"/>
  <c r="B1958" i="21"/>
  <c r="B1959" i="21"/>
  <c r="B1960" i="21"/>
  <c r="B1961" i="21"/>
  <c r="B1962" i="21"/>
  <c r="B1963" i="21"/>
  <c r="B1964" i="21"/>
  <c r="B1965" i="21"/>
  <c r="B1966" i="21"/>
  <c r="B1967" i="21"/>
  <c r="B1968" i="21"/>
  <c r="B1969" i="21"/>
  <c r="B1970" i="21"/>
  <c r="B1971" i="21"/>
  <c r="B1972" i="21"/>
  <c r="B1973" i="21"/>
  <c r="B1974" i="21"/>
  <c r="B1975" i="21"/>
  <c r="B1976" i="21"/>
  <c r="B1977" i="21"/>
  <c r="B1978" i="21"/>
  <c r="B1979" i="21"/>
  <c r="B1980" i="21"/>
  <c r="B1981" i="21"/>
  <c r="B1982" i="21"/>
  <c r="B1983" i="21"/>
  <c r="B1984" i="21"/>
  <c r="B1985" i="21"/>
  <c r="B1986" i="21"/>
  <c r="B1987" i="21"/>
  <c r="B1988" i="21"/>
  <c r="B1989" i="21"/>
  <c r="B1990" i="21"/>
  <c r="B1991" i="21"/>
  <c r="B1992" i="21"/>
  <c r="B1993" i="21"/>
  <c r="B1994" i="21"/>
  <c r="B1995" i="21"/>
  <c r="B1996" i="21"/>
  <c r="B1997" i="21"/>
  <c r="B1998" i="21"/>
  <c r="B1999" i="21"/>
  <c r="B2000" i="21"/>
  <c r="B2001" i="21"/>
  <c r="B2002" i="21"/>
  <c r="B2003" i="21"/>
  <c r="B2004" i="21"/>
  <c r="B2005" i="21"/>
  <c r="B2006" i="21"/>
  <c r="B2007" i="21"/>
  <c r="B2008" i="21"/>
  <c r="B2009" i="21"/>
  <c r="B2010" i="21"/>
  <c r="B2011" i="21"/>
  <c r="B2012" i="21"/>
  <c r="B2013" i="21"/>
  <c r="B2014" i="21"/>
  <c r="B2015" i="21"/>
  <c r="B2016" i="21"/>
  <c r="B2017" i="21"/>
  <c r="B2018" i="21"/>
  <c r="B2019" i="21"/>
  <c r="B2020" i="21"/>
  <c r="B2021" i="21"/>
  <c r="B2022" i="21"/>
  <c r="B2023" i="21"/>
  <c r="B2024" i="21"/>
  <c r="B2025" i="21"/>
  <c r="B2026" i="21"/>
  <c r="B2027" i="21"/>
  <c r="B2028" i="21"/>
  <c r="B2029" i="21"/>
  <c r="B2030" i="21"/>
  <c r="B2031" i="21"/>
  <c r="B2032" i="21"/>
  <c r="B2033" i="21"/>
  <c r="B2034" i="21"/>
  <c r="B2035" i="21"/>
  <c r="B2036" i="21"/>
  <c r="B2037" i="21"/>
  <c r="B2038" i="21"/>
  <c r="B2039" i="21"/>
  <c r="B2040" i="21"/>
  <c r="B2041" i="21"/>
  <c r="B2042" i="21"/>
  <c r="B2043" i="21"/>
  <c r="B2044" i="21"/>
  <c r="B2045" i="21"/>
  <c r="B2046" i="21"/>
  <c r="B2047" i="21"/>
  <c r="B2048" i="21"/>
  <c r="B2049" i="21"/>
  <c r="B2050" i="21"/>
  <c r="B2051" i="21"/>
  <c r="B2052" i="21"/>
  <c r="B2053" i="21"/>
  <c r="B2054" i="21"/>
  <c r="B2055" i="21"/>
  <c r="B2056" i="21"/>
  <c r="B2057" i="21"/>
  <c r="B2058" i="21"/>
  <c r="B2059" i="21"/>
  <c r="B2060" i="21"/>
  <c r="B2061" i="21"/>
  <c r="B2062" i="21"/>
  <c r="B2063" i="21"/>
  <c r="B2064" i="21"/>
  <c r="B2065" i="21"/>
  <c r="B2066" i="21"/>
  <c r="B2067" i="21"/>
  <c r="B2068" i="21"/>
  <c r="B2069" i="21"/>
  <c r="B2070" i="21"/>
  <c r="B2071" i="21"/>
  <c r="B2072" i="21"/>
  <c r="B2073" i="21"/>
  <c r="B2074" i="21"/>
  <c r="B2075" i="21"/>
  <c r="B2076" i="21"/>
  <c r="B2077" i="21"/>
  <c r="B2078" i="21"/>
  <c r="B2079" i="21"/>
  <c r="B2080" i="21"/>
  <c r="B2081" i="21"/>
  <c r="B2082" i="21"/>
  <c r="B2083" i="21"/>
  <c r="B2084" i="21"/>
  <c r="B2085" i="21"/>
  <c r="B2086" i="21"/>
  <c r="B2087" i="21"/>
  <c r="B2088" i="21"/>
  <c r="B2089" i="21"/>
  <c r="B2090" i="21"/>
  <c r="B2091" i="21"/>
  <c r="B2092" i="21"/>
  <c r="B2093" i="21"/>
  <c r="B2094" i="21"/>
  <c r="B2095" i="21"/>
  <c r="B2096" i="21"/>
  <c r="B2097" i="21"/>
  <c r="B2098" i="21"/>
  <c r="B2099" i="21"/>
  <c r="B2100" i="21"/>
  <c r="B2101" i="21"/>
  <c r="B2102" i="21"/>
  <c r="B2103" i="21"/>
  <c r="B2104" i="21"/>
  <c r="B2105" i="21"/>
  <c r="B2106" i="21"/>
  <c r="B2107" i="21"/>
  <c r="B2108" i="21"/>
  <c r="B2109" i="21"/>
  <c r="B2110" i="21"/>
  <c r="B2111" i="21"/>
  <c r="B2112" i="21"/>
  <c r="B2113" i="21"/>
  <c r="B2114" i="21"/>
  <c r="B2115" i="21"/>
  <c r="B2116" i="21"/>
  <c r="B2117" i="21"/>
  <c r="B2118" i="21"/>
  <c r="B2119" i="21"/>
  <c r="B2120" i="21"/>
  <c r="B2121" i="21"/>
  <c r="B2122" i="21"/>
  <c r="B2123" i="21"/>
  <c r="B2124" i="21"/>
  <c r="B2125" i="21"/>
  <c r="B2126" i="21"/>
  <c r="B2127" i="21"/>
  <c r="B2128" i="21"/>
  <c r="B2129" i="21"/>
  <c r="B2130" i="21"/>
  <c r="B2131" i="21"/>
  <c r="B2132" i="21"/>
  <c r="B2133" i="21"/>
  <c r="B2134" i="21"/>
  <c r="B2135" i="21"/>
  <c r="B2136" i="21"/>
  <c r="B2137" i="21"/>
  <c r="B2138" i="21"/>
  <c r="B2139" i="21"/>
  <c r="B2140" i="21"/>
  <c r="B2141" i="21"/>
  <c r="B2142" i="21"/>
  <c r="B2143" i="21"/>
  <c r="B2144" i="21"/>
  <c r="B2145" i="21"/>
  <c r="B2146" i="21"/>
  <c r="B2147" i="21"/>
  <c r="B2148" i="21"/>
  <c r="B2149" i="21"/>
  <c r="B2150" i="21"/>
  <c r="B2151" i="21"/>
  <c r="B2152" i="21"/>
  <c r="B2153" i="21"/>
  <c r="B2154" i="21"/>
  <c r="B2155" i="21"/>
  <c r="B2156" i="21"/>
  <c r="B2157" i="21"/>
  <c r="B2158" i="21"/>
  <c r="B2159" i="21"/>
  <c r="B2160" i="21"/>
  <c r="B2161" i="21"/>
  <c r="B2162" i="21"/>
  <c r="B2163" i="21"/>
  <c r="B2164" i="21"/>
  <c r="B2165" i="21"/>
  <c r="B2166" i="21"/>
  <c r="B2167" i="21"/>
  <c r="B2168" i="21"/>
  <c r="B2169" i="21"/>
  <c r="B2170" i="21"/>
  <c r="B2171" i="21"/>
  <c r="B2172" i="21"/>
  <c r="B2173" i="21"/>
  <c r="B2174" i="21"/>
  <c r="B2175" i="21"/>
  <c r="B2176" i="21"/>
  <c r="B2177" i="21"/>
  <c r="B2178" i="21"/>
  <c r="B2179" i="21"/>
  <c r="B2180" i="21"/>
  <c r="B2181" i="21"/>
  <c r="B2182" i="21"/>
  <c r="B2183" i="21"/>
  <c r="B2184" i="21"/>
  <c r="B2185" i="21"/>
  <c r="B2186" i="21"/>
  <c r="B2187" i="21"/>
  <c r="B2188" i="21"/>
  <c r="B2189" i="21"/>
  <c r="B2190" i="21"/>
  <c r="B2191" i="21"/>
  <c r="B2192" i="21"/>
  <c r="B2193" i="21"/>
  <c r="B2194" i="21"/>
  <c r="B2195" i="21"/>
  <c r="B2196" i="21"/>
  <c r="B2197" i="21"/>
  <c r="B2198" i="21"/>
  <c r="B2199" i="21"/>
  <c r="B2200" i="21"/>
  <c r="B2201" i="21"/>
  <c r="B2202" i="21"/>
  <c r="B2203" i="21"/>
  <c r="B2204" i="21"/>
  <c r="B2205" i="21"/>
  <c r="B2206" i="21"/>
  <c r="B2207" i="21"/>
  <c r="B2208" i="21"/>
  <c r="B2209" i="21"/>
  <c r="B2210" i="21"/>
  <c r="B2211" i="21"/>
  <c r="B2212" i="21"/>
  <c r="B2213" i="21"/>
  <c r="B2214" i="21"/>
  <c r="B2215" i="21"/>
  <c r="B2216" i="21"/>
  <c r="B2217" i="21"/>
  <c r="B2218" i="21"/>
  <c r="B2219" i="21"/>
  <c r="B2220" i="21"/>
  <c r="B2221" i="21"/>
  <c r="B2222" i="21"/>
  <c r="B2223" i="21"/>
  <c r="B2224" i="21"/>
  <c r="B2225" i="21"/>
  <c r="B2226" i="21"/>
  <c r="B2227" i="21"/>
  <c r="B2228" i="21"/>
  <c r="B2229" i="21"/>
  <c r="B2230" i="21"/>
  <c r="B2231" i="21"/>
  <c r="B2232" i="21"/>
  <c r="B2233" i="21"/>
  <c r="B2234" i="21"/>
  <c r="B2235" i="21"/>
  <c r="B2236" i="21"/>
  <c r="B2237" i="21"/>
  <c r="B2238" i="21"/>
  <c r="B2239" i="21"/>
  <c r="B2240" i="21"/>
  <c r="B2241" i="21"/>
  <c r="B2242" i="21"/>
  <c r="B2243" i="21"/>
  <c r="B2244" i="21"/>
  <c r="B2245" i="21"/>
  <c r="B2246" i="21"/>
  <c r="B2247" i="21"/>
  <c r="B2248" i="21"/>
  <c r="B2249" i="21"/>
  <c r="B2250" i="21"/>
  <c r="B2251" i="21"/>
  <c r="B2252" i="21"/>
  <c r="B2253" i="21"/>
  <c r="B2254" i="21"/>
  <c r="B2255" i="21"/>
  <c r="B2256" i="21"/>
  <c r="B2257" i="21"/>
  <c r="B2258" i="21"/>
  <c r="B2259" i="21"/>
  <c r="B2260" i="21"/>
  <c r="B2261" i="21"/>
  <c r="B2262" i="21"/>
  <c r="B2263" i="21"/>
  <c r="B2264" i="21"/>
  <c r="B2265" i="21"/>
  <c r="B2266" i="21"/>
  <c r="B2267" i="21"/>
  <c r="B2268" i="21"/>
  <c r="B2269" i="21"/>
  <c r="B2270" i="21"/>
  <c r="B2271" i="21"/>
  <c r="B2272" i="21"/>
  <c r="B2273" i="21"/>
  <c r="B2274" i="21"/>
  <c r="B2275" i="21"/>
  <c r="B2276" i="21"/>
  <c r="B2277" i="21"/>
  <c r="B2278" i="21"/>
  <c r="B2279" i="21"/>
  <c r="B2280" i="21"/>
  <c r="B2281" i="21"/>
  <c r="B2282" i="21"/>
  <c r="B2283" i="21"/>
  <c r="B2284" i="21"/>
  <c r="B2285" i="21"/>
  <c r="B2286" i="21"/>
  <c r="B2287" i="21"/>
  <c r="B2288" i="21"/>
  <c r="B2289" i="21"/>
  <c r="B2290" i="21"/>
  <c r="B2291" i="21"/>
  <c r="B2292" i="21"/>
  <c r="B2293" i="21"/>
  <c r="B2294" i="21"/>
  <c r="B2295" i="21"/>
  <c r="B2296" i="21"/>
  <c r="B2297" i="21"/>
  <c r="B2298" i="21"/>
  <c r="B2299" i="21"/>
  <c r="B2300" i="21"/>
  <c r="B2301" i="21"/>
  <c r="B2302" i="21"/>
  <c r="B2303" i="21"/>
  <c r="B2304" i="21"/>
  <c r="B2305" i="21"/>
  <c r="B2306" i="21"/>
  <c r="B2307" i="21"/>
  <c r="B2308" i="21"/>
  <c r="B2309" i="21"/>
  <c r="B2310" i="21"/>
  <c r="B2311" i="21"/>
  <c r="B2312" i="21"/>
  <c r="B2313" i="21"/>
  <c r="B2314" i="21"/>
  <c r="B2315" i="21"/>
  <c r="B2316" i="21"/>
  <c r="B2317" i="21"/>
  <c r="B2318" i="21"/>
  <c r="B2319" i="21"/>
  <c r="B2320" i="21"/>
  <c r="B2321" i="21"/>
  <c r="B2322" i="21"/>
  <c r="B2323" i="21"/>
  <c r="B2324" i="21"/>
  <c r="B2325" i="21"/>
  <c r="B2326" i="21"/>
  <c r="B2327" i="21"/>
  <c r="B2328" i="21"/>
  <c r="B2329" i="21"/>
  <c r="B2330" i="21"/>
  <c r="B2331" i="21"/>
  <c r="B2332" i="21"/>
  <c r="B2333" i="21"/>
  <c r="B2334" i="21"/>
  <c r="B2335" i="21"/>
  <c r="B2336" i="21"/>
  <c r="B2337" i="21"/>
  <c r="B2338" i="21"/>
  <c r="B2339" i="21"/>
  <c r="B2340" i="21"/>
  <c r="B2341" i="21"/>
  <c r="B2342" i="21"/>
  <c r="B2343" i="21"/>
  <c r="B2344" i="21"/>
  <c r="B2345" i="21"/>
  <c r="B2346" i="21"/>
  <c r="B2347" i="21"/>
  <c r="B2348" i="21"/>
  <c r="B2349" i="21"/>
  <c r="B2350" i="21"/>
  <c r="B2351" i="21"/>
  <c r="B2352" i="21"/>
  <c r="B2353" i="21"/>
  <c r="B2354" i="21"/>
  <c r="B2355" i="21"/>
  <c r="B2356" i="21"/>
  <c r="B2357" i="21"/>
  <c r="B2358" i="21"/>
  <c r="B2359" i="21"/>
  <c r="B2360" i="21"/>
  <c r="B2361" i="21"/>
  <c r="B2362" i="21"/>
  <c r="B2363" i="21"/>
  <c r="B2364" i="21"/>
  <c r="B2365" i="21"/>
  <c r="B2366" i="21"/>
  <c r="B2367" i="21"/>
  <c r="B2368" i="21"/>
  <c r="B2369" i="21"/>
  <c r="B2370" i="21"/>
  <c r="B2371" i="21"/>
  <c r="B2372" i="21"/>
  <c r="B2373" i="21"/>
  <c r="B2374" i="21"/>
  <c r="B2375" i="21"/>
  <c r="B2376" i="21"/>
  <c r="B2377" i="21"/>
  <c r="B2378" i="21"/>
  <c r="B2379" i="21"/>
  <c r="B2380" i="21"/>
  <c r="B2381" i="21"/>
  <c r="B2382" i="21"/>
  <c r="B2383" i="21"/>
  <c r="B2384" i="21"/>
  <c r="B2385" i="21"/>
  <c r="B2386" i="21"/>
  <c r="B2387" i="21"/>
  <c r="B2388" i="21"/>
  <c r="B2389" i="21"/>
  <c r="B2390" i="21"/>
  <c r="B2391" i="21"/>
  <c r="B2392" i="21"/>
  <c r="B2393" i="21"/>
  <c r="B2394" i="21"/>
  <c r="B2395" i="21"/>
  <c r="B2396" i="21"/>
  <c r="B2397" i="21"/>
  <c r="B2398" i="21"/>
  <c r="B2399" i="21"/>
  <c r="B2400" i="21"/>
  <c r="B2401" i="21"/>
  <c r="B2402" i="21"/>
  <c r="B2403" i="21"/>
  <c r="B2404" i="21"/>
  <c r="B2405" i="21"/>
  <c r="B2406" i="21"/>
  <c r="B2407" i="21"/>
  <c r="B2408" i="21"/>
  <c r="B2409" i="21"/>
  <c r="B2410" i="21"/>
  <c r="B2411" i="21"/>
  <c r="B2412" i="21"/>
  <c r="B2413" i="21"/>
  <c r="B2414" i="21"/>
  <c r="B2415" i="21"/>
  <c r="B2416" i="21"/>
  <c r="B2417" i="21"/>
  <c r="B2418" i="21"/>
  <c r="B2419" i="21"/>
  <c r="B2420" i="21"/>
  <c r="B2421" i="21"/>
  <c r="B2422" i="21"/>
  <c r="B2423" i="21"/>
  <c r="B2424" i="21"/>
  <c r="B2425" i="21"/>
  <c r="B2426" i="21"/>
  <c r="B2427" i="21"/>
  <c r="B2428" i="21"/>
  <c r="B2429" i="21"/>
  <c r="B2430" i="21"/>
  <c r="B2431" i="21"/>
  <c r="B2432" i="21"/>
  <c r="B2433" i="21"/>
  <c r="B2434" i="21"/>
  <c r="B2435" i="21"/>
  <c r="B2436" i="21"/>
  <c r="B2437" i="21"/>
  <c r="B2438" i="21"/>
  <c r="B2439" i="21"/>
  <c r="B2440" i="21"/>
  <c r="B2441" i="21"/>
  <c r="B2442" i="21"/>
  <c r="B2443" i="21"/>
  <c r="B2444" i="21"/>
  <c r="B2445" i="21"/>
  <c r="B2446" i="21"/>
  <c r="B2447" i="21"/>
  <c r="B2448" i="21"/>
  <c r="B2449" i="21"/>
  <c r="B2450" i="21"/>
  <c r="B2451" i="21"/>
  <c r="B2452" i="21"/>
  <c r="B2453" i="21"/>
  <c r="B2454" i="21"/>
  <c r="B2455" i="21"/>
  <c r="B2456" i="21"/>
  <c r="B2457" i="21"/>
  <c r="B2458" i="21"/>
  <c r="B2459" i="21"/>
  <c r="B2460" i="21"/>
  <c r="B2461" i="21"/>
  <c r="B2462" i="21"/>
  <c r="B2463" i="21"/>
  <c r="B2464" i="21"/>
  <c r="B2465" i="21"/>
  <c r="B2466" i="21"/>
  <c r="B2467" i="21"/>
  <c r="B2468" i="21"/>
  <c r="B2469" i="21"/>
  <c r="B2470" i="21"/>
  <c r="B2471" i="21"/>
  <c r="B2472" i="21"/>
  <c r="B2473" i="21"/>
  <c r="B2474" i="21"/>
  <c r="B2475" i="21"/>
  <c r="B2476" i="21"/>
  <c r="B2477" i="21"/>
  <c r="B2478" i="21"/>
  <c r="B2479" i="21"/>
  <c r="B2480" i="21"/>
  <c r="B2481" i="21"/>
  <c r="B2482" i="21"/>
  <c r="B2483" i="21"/>
  <c r="B2484" i="21"/>
  <c r="B2485" i="21"/>
  <c r="B2486" i="21"/>
  <c r="B2487" i="21"/>
  <c r="B2488" i="21"/>
  <c r="B2489" i="21"/>
  <c r="B2490" i="21"/>
  <c r="B2491" i="21"/>
  <c r="B2492" i="21"/>
  <c r="B2493" i="21"/>
  <c r="B2494" i="21"/>
  <c r="B2495" i="21"/>
  <c r="B2496" i="21"/>
  <c r="B2497" i="21"/>
  <c r="B2498" i="21"/>
  <c r="B2499" i="21"/>
  <c r="B2500" i="21"/>
  <c r="B2501" i="21"/>
  <c r="B2502" i="21"/>
  <c r="B2503" i="21"/>
  <c r="B2504" i="21"/>
  <c r="B2505" i="21"/>
  <c r="B2506" i="21"/>
  <c r="B2507" i="21"/>
  <c r="B2508" i="21"/>
  <c r="B2509" i="21"/>
  <c r="B2510" i="21"/>
  <c r="B2511" i="21"/>
  <c r="B2512" i="21"/>
  <c r="B2513" i="21"/>
  <c r="B2514" i="21"/>
  <c r="B2515" i="21"/>
  <c r="B2516" i="21"/>
  <c r="B2517" i="21"/>
  <c r="B2518" i="21"/>
  <c r="B2519" i="21"/>
  <c r="B2520" i="21"/>
  <c r="B2521" i="21"/>
  <c r="B2522" i="21"/>
  <c r="B2523" i="21"/>
  <c r="B2524" i="21"/>
  <c r="B2525" i="21"/>
  <c r="B2526" i="21"/>
  <c r="B2527" i="21"/>
  <c r="B2528" i="21"/>
  <c r="B2529" i="21"/>
  <c r="B2530" i="21"/>
  <c r="B2531" i="21"/>
  <c r="B2532" i="21"/>
  <c r="B2533" i="21"/>
  <c r="B2534" i="21"/>
  <c r="B2535" i="21"/>
  <c r="B2536" i="21"/>
  <c r="B2537" i="21"/>
  <c r="B2538" i="21"/>
  <c r="B2539" i="21"/>
  <c r="B2540" i="21"/>
  <c r="B2541" i="21"/>
  <c r="B2542" i="21"/>
  <c r="B2543" i="21"/>
  <c r="B2544" i="21"/>
  <c r="B2545" i="21"/>
  <c r="B2546" i="21"/>
  <c r="B2547" i="21"/>
  <c r="B2548" i="21"/>
  <c r="B2549" i="21"/>
  <c r="B2550" i="21"/>
  <c r="B2551" i="21"/>
  <c r="B2552" i="21"/>
  <c r="B2553" i="21"/>
  <c r="B2554" i="21"/>
  <c r="B2555" i="21"/>
  <c r="B2556" i="21"/>
  <c r="B2557" i="21"/>
  <c r="B2558" i="21"/>
  <c r="B2559" i="21"/>
  <c r="B2560" i="21"/>
  <c r="B2561" i="21"/>
  <c r="B2562" i="21"/>
  <c r="B2563" i="21"/>
  <c r="B2564" i="21"/>
  <c r="B2565" i="21"/>
  <c r="B2566" i="21"/>
  <c r="B2567" i="21"/>
  <c r="B2568" i="21"/>
  <c r="B2569" i="21"/>
  <c r="B2570" i="21"/>
  <c r="B2571" i="21"/>
  <c r="B2572" i="21"/>
  <c r="B2573" i="21"/>
  <c r="B2574" i="21"/>
  <c r="B2575" i="21"/>
  <c r="B2576" i="21"/>
  <c r="B2577" i="21"/>
  <c r="B2578" i="21"/>
  <c r="B2579" i="21"/>
  <c r="B2580" i="21"/>
  <c r="B2581" i="21"/>
  <c r="B2582" i="21"/>
  <c r="B2583" i="21"/>
  <c r="B2584" i="21"/>
  <c r="B2585" i="21"/>
  <c r="B2586" i="21"/>
  <c r="B2587" i="21"/>
  <c r="B2588" i="21"/>
  <c r="B2589" i="21"/>
  <c r="B2590" i="21"/>
  <c r="B2591" i="21"/>
  <c r="B2592" i="21"/>
  <c r="B2593" i="21"/>
  <c r="B2594" i="21"/>
  <c r="B2595" i="21"/>
  <c r="B2596" i="21"/>
  <c r="B2597" i="21"/>
  <c r="B2598" i="21"/>
  <c r="B2599" i="21"/>
  <c r="B2600" i="21"/>
  <c r="B2608" i="21"/>
  <c r="B2609" i="21"/>
  <c r="B2616" i="21"/>
  <c r="B2620" i="21"/>
  <c r="B2624" i="21"/>
  <c r="B2628" i="21"/>
  <c r="B2632" i="21"/>
  <c r="B2636" i="21"/>
  <c r="B2640" i="21"/>
  <c r="B2647" i="21"/>
  <c r="C2597" i="21"/>
  <c r="C2598" i="21"/>
  <c r="C2599" i="21"/>
  <c r="C2593" i="21"/>
  <c r="C2594" i="21"/>
  <c r="C2595" i="21"/>
  <c r="C2589" i="21"/>
  <c r="C2590" i="21"/>
  <c r="C2591" i="21"/>
  <c r="C2585" i="21"/>
  <c r="C2586" i="21"/>
  <c r="C2587" i="21"/>
  <c r="C2581" i="21"/>
  <c r="C2582" i="21"/>
  <c r="C2583" i="21"/>
  <c r="C2577" i="21"/>
  <c r="C2578" i="21"/>
  <c r="C2579" i="21"/>
  <c r="C2573" i="21"/>
  <c r="C2574" i="21"/>
  <c r="C2575" i="21"/>
  <c r="D18" i="35" l="1"/>
  <c r="C18" i="35" s="1"/>
  <c r="P5" i="36"/>
  <c r="P10" i="36"/>
  <c r="P12" i="36"/>
  <c r="P4" i="36"/>
  <c r="P7" i="36"/>
  <c r="P6" i="36"/>
  <c r="P11" i="36"/>
  <c r="P8" i="36"/>
  <c r="P9" i="36"/>
  <c r="Q3" i="36"/>
  <c r="C2553" i="21"/>
  <c r="C2554" i="21"/>
  <c r="C2555" i="21"/>
  <c r="C2569" i="21"/>
  <c r="C2570" i="21"/>
  <c r="C2571" i="21"/>
  <c r="C2565" i="21"/>
  <c r="C2566" i="21"/>
  <c r="C2567" i="21"/>
  <c r="C2561" i="21"/>
  <c r="C2562" i="21"/>
  <c r="C2563" i="21"/>
  <c r="C2557" i="21"/>
  <c r="C2558" i="21"/>
  <c r="C2559" i="21"/>
  <c r="C2636" i="21"/>
  <c r="C2640" i="21"/>
  <c r="C2647" i="21"/>
  <c r="C2624" i="21"/>
  <c r="C2628" i="21"/>
  <c r="C2632" i="21"/>
  <c r="C2609" i="21"/>
  <c r="C2616" i="21"/>
  <c r="C2620" i="21"/>
  <c r="C2600" i="21"/>
  <c r="C2604" i="21"/>
  <c r="C2608" i="21"/>
  <c r="C2533" i="21"/>
  <c r="C2534" i="21"/>
  <c r="C2535" i="21"/>
  <c r="C2529" i="21"/>
  <c r="C2530" i="21"/>
  <c r="C2531" i="21"/>
  <c r="C2525" i="21"/>
  <c r="C2526" i="21"/>
  <c r="C2527" i="21"/>
  <c r="C2537" i="21"/>
  <c r="C2538" i="21"/>
  <c r="C2539" i="21"/>
  <c r="C2540" i="21"/>
  <c r="C2541" i="21"/>
  <c r="C2542" i="21"/>
  <c r="C2543" i="21"/>
  <c r="C2544" i="21"/>
  <c r="C2545" i="21"/>
  <c r="C2546" i="21"/>
  <c r="C2547" i="21"/>
  <c r="C2548" i="21"/>
  <c r="C2549" i="21"/>
  <c r="C2550" i="21"/>
  <c r="C2551" i="21"/>
  <c r="C2552" i="21"/>
  <c r="C2556" i="21"/>
  <c r="C2560" i="21"/>
  <c r="C2564" i="21"/>
  <c r="C2568" i="21"/>
  <c r="C2572" i="21"/>
  <c r="C2576" i="21"/>
  <c r="C2580" i="21"/>
  <c r="C2584" i="21"/>
  <c r="C2588" i="21"/>
  <c r="C2592" i="21"/>
  <c r="C2596" i="21"/>
  <c r="C2536" i="21"/>
  <c r="C2532" i="21"/>
  <c r="C2528" i="21"/>
  <c r="C2524" i="21"/>
  <c r="C2521" i="21"/>
  <c r="C2522" i="21"/>
  <c r="C2523" i="21"/>
  <c r="C2520" i="21"/>
  <c r="C2517" i="21"/>
  <c r="C2518" i="21"/>
  <c r="C2519" i="21"/>
  <c r="C2516" i="21"/>
  <c r="C2513" i="21"/>
  <c r="C2514" i="21"/>
  <c r="C2515" i="21"/>
  <c r="C2512" i="21"/>
  <c r="C2509" i="21"/>
  <c r="C2510" i="21"/>
  <c r="C2511" i="21"/>
  <c r="C2508" i="21"/>
  <c r="C2505" i="21"/>
  <c r="C2506" i="21"/>
  <c r="C2507" i="21"/>
  <c r="C2504" i="21"/>
  <c r="C2501" i="21"/>
  <c r="C2502" i="21"/>
  <c r="C2503" i="21"/>
  <c r="C2500" i="21"/>
  <c r="C2497" i="21"/>
  <c r="C2498" i="21"/>
  <c r="C2499" i="21"/>
  <c r="C2496" i="21"/>
  <c r="C2495" i="21"/>
  <c r="C2494" i="21"/>
  <c r="C2493" i="21"/>
  <c r="C2492" i="21"/>
  <c r="C2489" i="21"/>
  <c r="C2490" i="21"/>
  <c r="C2491" i="21"/>
  <c r="C2488" i="21"/>
  <c r="C2485" i="21"/>
  <c r="C2486" i="21"/>
  <c r="C2487" i="21"/>
  <c r="C2484" i="21"/>
  <c r="C2481" i="21"/>
  <c r="C2482" i="21"/>
  <c r="C2483" i="21"/>
  <c r="C2480" i="21"/>
  <c r="C2477" i="21"/>
  <c r="C2478" i="21"/>
  <c r="C2479" i="21"/>
  <c r="C2476" i="21"/>
  <c r="C2473" i="21"/>
  <c r="C2474" i="21"/>
  <c r="C2475" i="21"/>
  <c r="C2472" i="21"/>
  <c r="C2469" i="21"/>
  <c r="C2470" i="21"/>
  <c r="C2471" i="21"/>
  <c r="C2468" i="21"/>
  <c r="C2465" i="21"/>
  <c r="C2466" i="21"/>
  <c r="C2467" i="21"/>
  <c r="C2464" i="21"/>
  <c r="C2461" i="21"/>
  <c r="C2462" i="21"/>
  <c r="C2463" i="21"/>
  <c r="C2460" i="21"/>
  <c r="C2457" i="21"/>
  <c r="C2458" i="21"/>
  <c r="C2459" i="21"/>
  <c r="C2456" i="21"/>
  <c r="C2444" i="21"/>
  <c r="C2445" i="21"/>
  <c r="C2446" i="21"/>
  <c r="C2447" i="21"/>
  <c r="C2448" i="21"/>
  <c r="C2449" i="21"/>
  <c r="C2450" i="21"/>
  <c r="C2451" i="21"/>
  <c r="C2452" i="21"/>
  <c r="C2453" i="21"/>
  <c r="C2454" i="21"/>
  <c r="C2455" i="21"/>
  <c r="C2432" i="21"/>
  <c r="C2433" i="21"/>
  <c r="C2434" i="21"/>
  <c r="C2435" i="21"/>
  <c r="C2436" i="21"/>
  <c r="C2437" i="21"/>
  <c r="C2438" i="21"/>
  <c r="C2439" i="21"/>
  <c r="C2440" i="21"/>
  <c r="C2441" i="21"/>
  <c r="C2442" i="21"/>
  <c r="C2443" i="21"/>
  <c r="C2420" i="21"/>
  <c r="C2421" i="21"/>
  <c r="C2422" i="21"/>
  <c r="C2423" i="21"/>
  <c r="C2424" i="21"/>
  <c r="C2425" i="21"/>
  <c r="C2426" i="21"/>
  <c r="C2427" i="21"/>
  <c r="C2428" i="21"/>
  <c r="C2429" i="21"/>
  <c r="C2430" i="21"/>
  <c r="C2431" i="21"/>
  <c r="C2417" i="21"/>
  <c r="C2418" i="21"/>
  <c r="C2419" i="21"/>
  <c r="C2416" i="21"/>
  <c r="C2413" i="21"/>
  <c r="C2414" i="21"/>
  <c r="C2415" i="21"/>
  <c r="C2412" i="21"/>
  <c r="C2409" i="21"/>
  <c r="C2410" i="21"/>
  <c r="C2411" i="21"/>
  <c r="C2408" i="21"/>
  <c r="C2404" i="21"/>
  <c r="C2405" i="21"/>
  <c r="C2406" i="21"/>
  <c r="C2407" i="21"/>
  <c r="C2397" i="21"/>
  <c r="C2398" i="21"/>
  <c r="C2399" i="21"/>
  <c r="C2400" i="21"/>
  <c r="C2401" i="21"/>
  <c r="C2402" i="21"/>
  <c r="C2403" i="21"/>
  <c r="C2396" i="21"/>
  <c r="D19" i="35" l="1"/>
  <c r="C19" i="35" s="1"/>
  <c r="Q10" i="36"/>
  <c r="Q5" i="36"/>
  <c r="Q7" i="36"/>
  <c r="Q6" i="36"/>
  <c r="Q8" i="36"/>
  <c r="Q9" i="36"/>
  <c r="Q12" i="36"/>
  <c r="Q11" i="36"/>
  <c r="Q4" i="36"/>
  <c r="H7" i="16"/>
  <c r="R3" i="36"/>
  <c r="D20" i="35" l="1"/>
  <c r="C20" i="35" s="1"/>
  <c r="R10" i="36"/>
  <c r="R11" i="36"/>
  <c r="R9" i="36"/>
  <c r="R7" i="36"/>
  <c r="R4" i="36"/>
  <c r="R5" i="36"/>
  <c r="R6" i="36"/>
  <c r="R12" i="36"/>
  <c r="R8" i="36"/>
  <c r="S3" i="36"/>
  <c r="G13" i="24"/>
  <c r="G14" i="24"/>
  <c r="F14" i="24"/>
  <c r="D21" i="35" l="1"/>
  <c r="C21" i="35" s="1"/>
  <c r="S10" i="36"/>
  <c r="S5" i="36"/>
  <c r="S7" i="36"/>
  <c r="S8" i="36"/>
  <c r="S9" i="36"/>
  <c r="S4" i="36"/>
  <c r="S11" i="36"/>
  <c r="S12" i="36"/>
  <c r="S6" i="36"/>
  <c r="T3" i="36"/>
  <c r="C2393" i="21"/>
  <c r="C2394" i="21"/>
  <c r="C2395" i="21"/>
  <c r="C2392" i="21"/>
  <c r="C2389" i="21"/>
  <c r="C2390" i="21"/>
  <c r="C2391" i="21"/>
  <c r="C2388" i="21"/>
  <c r="C2385" i="21"/>
  <c r="C2386" i="21"/>
  <c r="C2387" i="21"/>
  <c r="C2384" i="21"/>
  <c r="C2381" i="21"/>
  <c r="C2382" i="21"/>
  <c r="C2383" i="21"/>
  <c r="C2380" i="21"/>
  <c r="C2379" i="21"/>
  <c r="C2377" i="21"/>
  <c r="C2378" i="21"/>
  <c r="C2376" i="21"/>
  <c r="C2373" i="21"/>
  <c r="C2374" i="21"/>
  <c r="C2375" i="21"/>
  <c r="C2372" i="21"/>
  <c r="C2369" i="21"/>
  <c r="C2370" i="21"/>
  <c r="C2371" i="21"/>
  <c r="C2368" i="21"/>
  <c r="C2365" i="21"/>
  <c r="C2366" i="21"/>
  <c r="C2367" i="21"/>
  <c r="C2364" i="21"/>
  <c r="C2361" i="21"/>
  <c r="C2362" i="21"/>
  <c r="C2363" i="21"/>
  <c r="C2360" i="21"/>
  <c r="C2357" i="21"/>
  <c r="C2358" i="21"/>
  <c r="C2359" i="21"/>
  <c r="C2356" i="21"/>
  <c r="C2353" i="21"/>
  <c r="C2354" i="21"/>
  <c r="C2355" i="21"/>
  <c r="C2352" i="21"/>
  <c r="C2349" i="21"/>
  <c r="C2350" i="21"/>
  <c r="C2351" i="21"/>
  <c r="C2348" i="21"/>
  <c r="C2345" i="21"/>
  <c r="C2346" i="21"/>
  <c r="C2347" i="21"/>
  <c r="C2344" i="21"/>
  <c r="C2342" i="21"/>
  <c r="C2343" i="21"/>
  <c r="C2341" i="21"/>
  <c r="C2340" i="21"/>
  <c r="C2337" i="21"/>
  <c r="C2338" i="21"/>
  <c r="C2339" i="21"/>
  <c r="C2336" i="21"/>
  <c r="C2333" i="21"/>
  <c r="C2334" i="21"/>
  <c r="C2335" i="21"/>
  <c r="C2332" i="21"/>
  <c r="C2328" i="21"/>
  <c r="C2325" i="21"/>
  <c r="C2326" i="21"/>
  <c r="C2327" i="21"/>
  <c r="C2324" i="21"/>
  <c r="C2323" i="21"/>
  <c r="C2321" i="21"/>
  <c r="C2322" i="21"/>
  <c r="C2320" i="21"/>
  <c r="C2319" i="21"/>
  <c r="C2315" i="21"/>
  <c r="C2316" i="21"/>
  <c r="C2317" i="21"/>
  <c r="C2318" i="21"/>
  <c r="C2285" i="21"/>
  <c r="C2286" i="21"/>
  <c r="C2287" i="21"/>
  <c r="C2290" i="21"/>
  <c r="C2291" i="21"/>
  <c r="C2292" i="21"/>
  <c r="C2293" i="21"/>
  <c r="C2294" i="21"/>
  <c r="C2295" i="21"/>
  <c r="C2296" i="21"/>
  <c r="C2297" i="21"/>
  <c r="C2298" i="21"/>
  <c r="C2299" i="21"/>
  <c r="C2300" i="21"/>
  <c r="C2301" i="21"/>
  <c r="C2302" i="21"/>
  <c r="C2303" i="21"/>
  <c r="C2304" i="21"/>
  <c r="C2305" i="21"/>
  <c r="C2306" i="21"/>
  <c r="C2307" i="21"/>
  <c r="C2308" i="21"/>
  <c r="C2309" i="21"/>
  <c r="C2310" i="21"/>
  <c r="C2311" i="21"/>
  <c r="C2312" i="21"/>
  <c r="C2313" i="21"/>
  <c r="C2314" i="21"/>
  <c r="C2289" i="21"/>
  <c r="C2288" i="21"/>
  <c r="C2284" i="21"/>
  <c r="C2281" i="21"/>
  <c r="C2282" i="21"/>
  <c r="C2283" i="21"/>
  <c r="C2278" i="21"/>
  <c r="C2279" i="21"/>
  <c r="C2280" i="21"/>
  <c r="C2273" i="21"/>
  <c r="C2274" i="21"/>
  <c r="C2275" i="21"/>
  <c r="C2276" i="21"/>
  <c r="C2277" i="21"/>
  <c r="C2269" i="21"/>
  <c r="C2270" i="21"/>
  <c r="C2271" i="21"/>
  <c r="C2272" i="21"/>
  <c r="C2265" i="21"/>
  <c r="C2266" i="21"/>
  <c r="C2267" i="21"/>
  <c r="C2268" i="21"/>
  <c r="C2254" i="21"/>
  <c r="C2255" i="21"/>
  <c r="C2256" i="21"/>
  <c r="C2257" i="21"/>
  <c r="C2258" i="21"/>
  <c r="C2259" i="21"/>
  <c r="C2260" i="21"/>
  <c r="C2261" i="21"/>
  <c r="C2262" i="21"/>
  <c r="C2263" i="21"/>
  <c r="C2264" i="21"/>
  <c r="C2240" i="21"/>
  <c r="C2241" i="21"/>
  <c r="C2242" i="21"/>
  <c r="C2243" i="21"/>
  <c r="C2244" i="21"/>
  <c r="C2245" i="21"/>
  <c r="C2246" i="21"/>
  <c r="C2247" i="21"/>
  <c r="C2248" i="21"/>
  <c r="C2249" i="21"/>
  <c r="C2250" i="21"/>
  <c r="C2251" i="21"/>
  <c r="C2252" i="21"/>
  <c r="C2253" i="21"/>
  <c r="C2239" i="21"/>
  <c r="C2225" i="21"/>
  <c r="C2226" i="21"/>
  <c r="C2227" i="21"/>
  <c r="C2228" i="21"/>
  <c r="C2229" i="21"/>
  <c r="C2230" i="21"/>
  <c r="C2231" i="21"/>
  <c r="C2232" i="21"/>
  <c r="C2233" i="21"/>
  <c r="C2234" i="21"/>
  <c r="C2235" i="21"/>
  <c r="C2236" i="21"/>
  <c r="C2237" i="21"/>
  <c r="C2238" i="21"/>
  <c r="D22" i="35" l="1"/>
  <c r="C22" i="35" s="1"/>
  <c r="T9" i="36"/>
  <c r="T5" i="36"/>
  <c r="T11" i="36"/>
  <c r="T10" i="36"/>
  <c r="T12" i="36"/>
  <c r="T4" i="36"/>
  <c r="T8" i="36"/>
  <c r="T6" i="36"/>
  <c r="T7" i="36"/>
  <c r="M17" i="36"/>
  <c r="L17" i="36"/>
  <c r="Q17" i="36"/>
  <c r="C17" i="36"/>
  <c r="T17" i="36"/>
  <c r="S17" i="36"/>
  <c r="R17" i="36"/>
  <c r="P17" i="36"/>
  <c r="O17" i="36"/>
  <c r="N17" i="36"/>
  <c r="F17" i="36"/>
  <c r="E17" i="36"/>
  <c r="D17" i="36"/>
  <c r="F7" i="16"/>
  <c r="U3" i="36"/>
  <c r="U15" i="36" s="1"/>
  <c r="C2330" i="21"/>
  <c r="C2329" i="21"/>
  <c r="C2218" i="21"/>
  <c r="C2219" i="21"/>
  <c r="C2220" i="21"/>
  <c r="C2221" i="21"/>
  <c r="C2222" i="21"/>
  <c r="C2223" i="21"/>
  <c r="C2224" i="21"/>
  <c r="C2217" i="21"/>
  <c r="C2216" i="21"/>
  <c r="C2213" i="21"/>
  <c r="C2214" i="21"/>
  <c r="C2215" i="21"/>
  <c r="C2209" i="21"/>
  <c r="C2210" i="21"/>
  <c r="C2211" i="21"/>
  <c r="C2212" i="21"/>
  <c r="C2197" i="21"/>
  <c r="C2198" i="21"/>
  <c r="C2199" i="21"/>
  <c r="C2200" i="21"/>
  <c r="C2201" i="21"/>
  <c r="C2202" i="21"/>
  <c r="C2203" i="21"/>
  <c r="C2204" i="21"/>
  <c r="C2205" i="21"/>
  <c r="C2206" i="21"/>
  <c r="C2207" i="21"/>
  <c r="C2208" i="21"/>
  <c r="C2193" i="21"/>
  <c r="C2194" i="21"/>
  <c r="C2195" i="21"/>
  <c r="C2196" i="21"/>
  <c r="C2190" i="21"/>
  <c r="C2191" i="21"/>
  <c r="C2192" i="21"/>
  <c r="C2188" i="21"/>
  <c r="C2189" i="21"/>
  <c r="C2185" i="21"/>
  <c r="C2186" i="21"/>
  <c r="C2187" i="21"/>
  <c r="C2182" i="21"/>
  <c r="C2183" i="21"/>
  <c r="C2184" i="21"/>
  <c r="C2181" i="21"/>
  <c r="AA88" i="20"/>
  <c r="C2180" i="21"/>
  <c r="C2054" i="21"/>
  <c r="C2055" i="21"/>
  <c r="C2056" i="21"/>
  <c r="C2057" i="21"/>
  <c r="C2058" i="21"/>
  <c r="C2059" i="21"/>
  <c r="C2060" i="21"/>
  <c r="C2061" i="21"/>
  <c r="C2062" i="21"/>
  <c r="C2063" i="21"/>
  <c r="C2064" i="21"/>
  <c r="C2065" i="21"/>
  <c r="C2066" i="21"/>
  <c r="C2067" i="21"/>
  <c r="C2068" i="21"/>
  <c r="C2069" i="21"/>
  <c r="C2070" i="21"/>
  <c r="C2071" i="21"/>
  <c r="C2072" i="21"/>
  <c r="C2073" i="21"/>
  <c r="C2074" i="21"/>
  <c r="C2075" i="21"/>
  <c r="C2076" i="21"/>
  <c r="C2077" i="21"/>
  <c r="C2078" i="21"/>
  <c r="C2079" i="21"/>
  <c r="C2080" i="21"/>
  <c r="C2081" i="21"/>
  <c r="C2082" i="21"/>
  <c r="C2083" i="21"/>
  <c r="C2084" i="21"/>
  <c r="C2085" i="21"/>
  <c r="C2086" i="21"/>
  <c r="C2087" i="21"/>
  <c r="C2088" i="21"/>
  <c r="C2089" i="21"/>
  <c r="C2090" i="21"/>
  <c r="C2091" i="21"/>
  <c r="C2092" i="21"/>
  <c r="C2093" i="21"/>
  <c r="C2094" i="21"/>
  <c r="C2095" i="21"/>
  <c r="C2096" i="21"/>
  <c r="C2097" i="21"/>
  <c r="C2098" i="21"/>
  <c r="C2099" i="21"/>
  <c r="C2100" i="21"/>
  <c r="C2101" i="21"/>
  <c r="C2102" i="21"/>
  <c r="C2103" i="21"/>
  <c r="C2104" i="21"/>
  <c r="C2105" i="21"/>
  <c r="C2106" i="21"/>
  <c r="C2107" i="21"/>
  <c r="C2108" i="21"/>
  <c r="C2109" i="21"/>
  <c r="C2110" i="21"/>
  <c r="C2111" i="21"/>
  <c r="C2112" i="21"/>
  <c r="C2113" i="21"/>
  <c r="C2114" i="21"/>
  <c r="C2115" i="21"/>
  <c r="C2116" i="21"/>
  <c r="C2117" i="21"/>
  <c r="C2118" i="21"/>
  <c r="C2119" i="21"/>
  <c r="C2120" i="21"/>
  <c r="C2121" i="21"/>
  <c r="C2122" i="21"/>
  <c r="C2123" i="21"/>
  <c r="C2124" i="21"/>
  <c r="C2125" i="21"/>
  <c r="C2126" i="21"/>
  <c r="C2127" i="21"/>
  <c r="C2128" i="21"/>
  <c r="C2129" i="21"/>
  <c r="C2130" i="21"/>
  <c r="C2131" i="21"/>
  <c r="C2132" i="21"/>
  <c r="C2133" i="21"/>
  <c r="C2134" i="21"/>
  <c r="C2135" i="21"/>
  <c r="C2136" i="21"/>
  <c r="C2137" i="21"/>
  <c r="C2138" i="21"/>
  <c r="C2139" i="21"/>
  <c r="C2140" i="21"/>
  <c r="C2141" i="21"/>
  <c r="C2142" i="21"/>
  <c r="C2143" i="21"/>
  <c r="C2144" i="21"/>
  <c r="C2145" i="21"/>
  <c r="C2146" i="21"/>
  <c r="C2147" i="21"/>
  <c r="C2148" i="21"/>
  <c r="C2149" i="21"/>
  <c r="C2150" i="21"/>
  <c r="C2151" i="21"/>
  <c r="C2152" i="21"/>
  <c r="C2153" i="21"/>
  <c r="C2154" i="21"/>
  <c r="C2155" i="21"/>
  <c r="C2156" i="21"/>
  <c r="C2157" i="21"/>
  <c r="C2158" i="21"/>
  <c r="C2159" i="21"/>
  <c r="C2160" i="21"/>
  <c r="C2161" i="21"/>
  <c r="C2162" i="21"/>
  <c r="C2163" i="21"/>
  <c r="C2164" i="21"/>
  <c r="C2165" i="21"/>
  <c r="C2166" i="21"/>
  <c r="C2167" i="21"/>
  <c r="C2168" i="21"/>
  <c r="C2169" i="21"/>
  <c r="C2170" i="21"/>
  <c r="C2171" i="21"/>
  <c r="C2172" i="21"/>
  <c r="C2173" i="21"/>
  <c r="C2174" i="21"/>
  <c r="C2175" i="21"/>
  <c r="C2176" i="21"/>
  <c r="C2177" i="21"/>
  <c r="C2178" i="21"/>
  <c r="C2179" i="21"/>
  <c r="C2051" i="21"/>
  <c r="C2052" i="21"/>
  <c r="C2053" i="21"/>
  <c r="C2047" i="21"/>
  <c r="C2048" i="21"/>
  <c r="C2049" i="21"/>
  <c r="C2050" i="21"/>
  <c r="C2043" i="21"/>
  <c r="C2044" i="21"/>
  <c r="C2045" i="21"/>
  <c r="C2046" i="21"/>
  <c r="C2039" i="21"/>
  <c r="C2040" i="21"/>
  <c r="C2041" i="21"/>
  <c r="C2042" i="21"/>
  <c r="C2035" i="21"/>
  <c r="C2036" i="21"/>
  <c r="C2037" i="21"/>
  <c r="C2038" i="21"/>
  <c r="C2031" i="21"/>
  <c r="C2032" i="21"/>
  <c r="C2033" i="21"/>
  <c r="C2034" i="21"/>
  <c r="C2027" i="21"/>
  <c r="C2028" i="21"/>
  <c r="C2029" i="21"/>
  <c r="C2030" i="21"/>
  <c r="C2023" i="21"/>
  <c r="C2024" i="21"/>
  <c r="C2025" i="21"/>
  <c r="C2026" i="21"/>
  <c r="C2019" i="21"/>
  <c r="C2020" i="21"/>
  <c r="C2021" i="21"/>
  <c r="C2022" i="21"/>
  <c r="C2015" i="21"/>
  <c r="C2016" i="21"/>
  <c r="C2017" i="21"/>
  <c r="C2018" i="21"/>
  <c r="C2011" i="21"/>
  <c r="C2012" i="21"/>
  <c r="C2013" i="21"/>
  <c r="C2014" i="21"/>
  <c r="C2008" i="21"/>
  <c r="C2009" i="21"/>
  <c r="C2010" i="21"/>
  <c r="C2004" i="21"/>
  <c r="C2005" i="21"/>
  <c r="C2006" i="21"/>
  <c r="C2007" i="21"/>
  <c r="C2000" i="21"/>
  <c r="C2001" i="21"/>
  <c r="C2002" i="21"/>
  <c r="C2003" i="21"/>
  <c r="C1996" i="21"/>
  <c r="C1997" i="21"/>
  <c r="C1998" i="21"/>
  <c r="C1999" i="21"/>
  <c r="C1992" i="21"/>
  <c r="C1993" i="21"/>
  <c r="C1994" i="21"/>
  <c r="C1995" i="21"/>
  <c r="C1988" i="21"/>
  <c r="C1989" i="21"/>
  <c r="C1990" i="21"/>
  <c r="C1991" i="21"/>
  <c r="C1984" i="21"/>
  <c r="C1985" i="21"/>
  <c r="C1986" i="21"/>
  <c r="C1987" i="21"/>
  <c r="C1980" i="21"/>
  <c r="C1981" i="21"/>
  <c r="C1982" i="21"/>
  <c r="C1983" i="21"/>
  <c r="C1976" i="21"/>
  <c r="C1977" i="21"/>
  <c r="C1978" i="21"/>
  <c r="C1979" i="21"/>
  <c r="C1972" i="21"/>
  <c r="C1973" i="21"/>
  <c r="C1974" i="21"/>
  <c r="C1975" i="21"/>
  <c r="C1968" i="21"/>
  <c r="C1969" i="21"/>
  <c r="C1970" i="21"/>
  <c r="C1971" i="21"/>
  <c r="C1964" i="21"/>
  <c r="C1965" i="21"/>
  <c r="C1966" i="21"/>
  <c r="C1967" i="21"/>
  <c r="C1960" i="21"/>
  <c r="C1961" i="21"/>
  <c r="C1962" i="21"/>
  <c r="C1963" i="21"/>
  <c r="C1956" i="21"/>
  <c r="C1957" i="21"/>
  <c r="C1958" i="21"/>
  <c r="C1959" i="21"/>
  <c r="C1952" i="21"/>
  <c r="C1953" i="21"/>
  <c r="C1954" i="21"/>
  <c r="C1955" i="21"/>
  <c r="C1948" i="21"/>
  <c r="C1949" i="21"/>
  <c r="C1950" i="21"/>
  <c r="C1951" i="21"/>
  <c r="C1944" i="21"/>
  <c r="C1945" i="21"/>
  <c r="C1946" i="21"/>
  <c r="C1947" i="21"/>
  <c r="C1940" i="21"/>
  <c r="C1941" i="21"/>
  <c r="C1942" i="21"/>
  <c r="C1943" i="21"/>
  <c r="C1936" i="21"/>
  <c r="C1937" i="21"/>
  <c r="C1938" i="21"/>
  <c r="C1939" i="21"/>
  <c r="C1932" i="21"/>
  <c r="C1933" i="21"/>
  <c r="C1934" i="21"/>
  <c r="C1935" i="21"/>
  <c r="C1928" i="21"/>
  <c r="C1929" i="21"/>
  <c r="C1930" i="21"/>
  <c r="C1931" i="21"/>
  <c r="C1924" i="21"/>
  <c r="C1925" i="21"/>
  <c r="C1926" i="21"/>
  <c r="C1927" i="21"/>
  <c r="C1920" i="21"/>
  <c r="C1921" i="21"/>
  <c r="C1922" i="21"/>
  <c r="C1923" i="21"/>
  <c r="C1919" i="21"/>
  <c r="C1915" i="21"/>
  <c r="C1916" i="21"/>
  <c r="C1917" i="21"/>
  <c r="C1918" i="21"/>
  <c r="C1911" i="21"/>
  <c r="C1912" i="21"/>
  <c r="C1913" i="21"/>
  <c r="C1914" i="21"/>
  <c r="C1907" i="21"/>
  <c r="C1908" i="21"/>
  <c r="C1909" i="21"/>
  <c r="C1910" i="21"/>
  <c r="C1903" i="21"/>
  <c r="C1904" i="21"/>
  <c r="C1905" i="21"/>
  <c r="C1906" i="21"/>
  <c r="C1899" i="21"/>
  <c r="C1900" i="21"/>
  <c r="C1901" i="21"/>
  <c r="C1902" i="21"/>
  <c r="C1895" i="21"/>
  <c r="C1896" i="21"/>
  <c r="C1897" i="21"/>
  <c r="C1898" i="21"/>
  <c r="C1891" i="21"/>
  <c r="C1892" i="21"/>
  <c r="C1893" i="21"/>
  <c r="C1894" i="21"/>
  <c r="C1887" i="21"/>
  <c r="C1888" i="21"/>
  <c r="C1889" i="21"/>
  <c r="C1890" i="21"/>
  <c r="C1883" i="21"/>
  <c r="C1884" i="21"/>
  <c r="C1885" i="21"/>
  <c r="C1886" i="21"/>
  <c r="C1879" i="21"/>
  <c r="C1880" i="21"/>
  <c r="C1881" i="21"/>
  <c r="C1882" i="21"/>
  <c r="C1876" i="21"/>
  <c r="C1877" i="21"/>
  <c r="C1878" i="21"/>
  <c r="C1872" i="21"/>
  <c r="C1873" i="21"/>
  <c r="C1874" i="21"/>
  <c r="C1875" i="21"/>
  <c r="C1868" i="21"/>
  <c r="C1869" i="21"/>
  <c r="C1870" i="21"/>
  <c r="C1871" i="21"/>
  <c r="C1864" i="21"/>
  <c r="C1865" i="21"/>
  <c r="C1866" i="21"/>
  <c r="C1867" i="21"/>
  <c r="C1860" i="21"/>
  <c r="C1861" i="21"/>
  <c r="C1862" i="21"/>
  <c r="C1863" i="21"/>
  <c r="C1856" i="21"/>
  <c r="C1857" i="21"/>
  <c r="C1858" i="21"/>
  <c r="C1859" i="21"/>
  <c r="C1852" i="21"/>
  <c r="C1853" i="21"/>
  <c r="C1854" i="21"/>
  <c r="C1855" i="21"/>
  <c r="C1848" i="21"/>
  <c r="C1849" i="21"/>
  <c r="C1850" i="21"/>
  <c r="C1851" i="21"/>
  <c r="C1844" i="21"/>
  <c r="C1845" i="21"/>
  <c r="C1846" i="21"/>
  <c r="C1847" i="21"/>
  <c r="C1840" i="21"/>
  <c r="C1841" i="21"/>
  <c r="C1842" i="21"/>
  <c r="C1843" i="21"/>
  <c r="C1836" i="21"/>
  <c r="C1837" i="21"/>
  <c r="C1838" i="21"/>
  <c r="C1839" i="21"/>
  <c r="C1832" i="21"/>
  <c r="C1833" i="21"/>
  <c r="C1834" i="21"/>
  <c r="C1835" i="21"/>
  <c r="C1829" i="21"/>
  <c r="C1830" i="21"/>
  <c r="C1831" i="21"/>
  <c r="C1826" i="21"/>
  <c r="C1827" i="21"/>
  <c r="C1828" i="21"/>
  <c r="C1822" i="21"/>
  <c r="C1823" i="21"/>
  <c r="C1824" i="21"/>
  <c r="C1825" i="21"/>
  <c r="C1818" i="21"/>
  <c r="C1819" i="21"/>
  <c r="C1820" i="21"/>
  <c r="C1821" i="21"/>
  <c r="C1814" i="21"/>
  <c r="C1815" i="21"/>
  <c r="C1816" i="21"/>
  <c r="C1817" i="21"/>
  <c r="C1810" i="21"/>
  <c r="C1811" i="21"/>
  <c r="C1812" i="21"/>
  <c r="C1813" i="21"/>
  <c r="C1806" i="21"/>
  <c r="C1807" i="21"/>
  <c r="C1808" i="21"/>
  <c r="C1809" i="21"/>
  <c r="C1802" i="21"/>
  <c r="C1803" i="21"/>
  <c r="C1804" i="21"/>
  <c r="C1805" i="21"/>
  <c r="C1798" i="21"/>
  <c r="C1799" i="21"/>
  <c r="C1800" i="21"/>
  <c r="C1801" i="21"/>
  <c r="C1794" i="21"/>
  <c r="C1795" i="21"/>
  <c r="C1796" i="21"/>
  <c r="C1797" i="21"/>
  <c r="C1790" i="21"/>
  <c r="C1791" i="21"/>
  <c r="C1792" i="21"/>
  <c r="C1793" i="21"/>
  <c r="C1786" i="21"/>
  <c r="C1787" i="21"/>
  <c r="C1788" i="21"/>
  <c r="C1789" i="21"/>
  <c r="C1782" i="21"/>
  <c r="C1783" i="21"/>
  <c r="C1784" i="21"/>
  <c r="C1785" i="21"/>
  <c r="C1778" i="21"/>
  <c r="C1779" i="21"/>
  <c r="C1780" i="21"/>
  <c r="C1781" i="21"/>
  <c r="C1774" i="21"/>
  <c r="C1775" i="21"/>
  <c r="C1776" i="21"/>
  <c r="C1777" i="21"/>
  <c r="C1770" i="21"/>
  <c r="C1771" i="21"/>
  <c r="C1772" i="21"/>
  <c r="C1773" i="21"/>
  <c r="C1766" i="21"/>
  <c r="C1767" i="21"/>
  <c r="C1768" i="21"/>
  <c r="C1769" i="21"/>
  <c r="C1762" i="21"/>
  <c r="C1763" i="21"/>
  <c r="C1764" i="21"/>
  <c r="C1765" i="21"/>
  <c r="C1758" i="21"/>
  <c r="C1759" i="21"/>
  <c r="C1760" i="21"/>
  <c r="C1761" i="21"/>
  <c r="C1754" i="21"/>
  <c r="C1755" i="21"/>
  <c r="C1756" i="21"/>
  <c r="C1757" i="21"/>
  <c r="C1750" i="21"/>
  <c r="C1751" i="21"/>
  <c r="C1752" i="21"/>
  <c r="C1753" i="21"/>
  <c r="C1746" i="21"/>
  <c r="C1747" i="21"/>
  <c r="C1748" i="21"/>
  <c r="C1749" i="21"/>
  <c r="C1742" i="21"/>
  <c r="C1743" i="21"/>
  <c r="C1744" i="21"/>
  <c r="C1745" i="21"/>
  <c r="C1738" i="21"/>
  <c r="C1739" i="21"/>
  <c r="C1740" i="21"/>
  <c r="C1741" i="21"/>
  <c r="C1734" i="21"/>
  <c r="C1735" i="21"/>
  <c r="C1736" i="21"/>
  <c r="C1737" i="21"/>
  <c r="C1732" i="21"/>
  <c r="C1733" i="21"/>
  <c r="C1728" i="21"/>
  <c r="C1729" i="21"/>
  <c r="C1730" i="21"/>
  <c r="C1731" i="21"/>
  <c r="C1724" i="21"/>
  <c r="C1725" i="21"/>
  <c r="C1726" i="21"/>
  <c r="C1727" i="21"/>
  <c r="C1720" i="21"/>
  <c r="C1721" i="21"/>
  <c r="C1722" i="21"/>
  <c r="C1723" i="21"/>
  <c r="C1716" i="21"/>
  <c r="C1717" i="21"/>
  <c r="C1718" i="21"/>
  <c r="C1719" i="21"/>
  <c r="C1712" i="21"/>
  <c r="C1713" i="21"/>
  <c r="C1714" i="21"/>
  <c r="C1715" i="21"/>
  <c r="C1708" i="21"/>
  <c r="C1709" i="21"/>
  <c r="C1710" i="21"/>
  <c r="C1711" i="21"/>
  <c r="C1704" i="21"/>
  <c r="C1705" i="21"/>
  <c r="C1706" i="21"/>
  <c r="C1707" i="21"/>
  <c r="C1700" i="21"/>
  <c r="C1701" i="21"/>
  <c r="C1702" i="21"/>
  <c r="C1703" i="21"/>
  <c r="C1696" i="21"/>
  <c r="C1697" i="21"/>
  <c r="C1698" i="21"/>
  <c r="C1699" i="21"/>
  <c r="C1692" i="21"/>
  <c r="C1693" i="21"/>
  <c r="C1694" i="21"/>
  <c r="C1695" i="21"/>
  <c r="C1688" i="21"/>
  <c r="C1689" i="21"/>
  <c r="C1690" i="21"/>
  <c r="C1691" i="21"/>
  <c r="C1684" i="21"/>
  <c r="C1685" i="21"/>
  <c r="C1686" i="21"/>
  <c r="C1687" i="21"/>
  <c r="C1680" i="21"/>
  <c r="C1681" i="21"/>
  <c r="C1682" i="21"/>
  <c r="C1683" i="21"/>
  <c r="C1676" i="21"/>
  <c r="C1677" i="21"/>
  <c r="C1678" i="21"/>
  <c r="C1679" i="21"/>
  <c r="C1672" i="21"/>
  <c r="C1673" i="21"/>
  <c r="C1674" i="21"/>
  <c r="C1675" i="21"/>
  <c r="C1668" i="21"/>
  <c r="C1669" i="21"/>
  <c r="C1670" i="21"/>
  <c r="C1671" i="21"/>
  <c r="C1664" i="21"/>
  <c r="C1665" i="21"/>
  <c r="C1666" i="21"/>
  <c r="C1667" i="21"/>
  <c r="C1660" i="21"/>
  <c r="C1661" i="21"/>
  <c r="C1662" i="21"/>
  <c r="C1663" i="21"/>
  <c r="C1656" i="21"/>
  <c r="C1657" i="21"/>
  <c r="C1658" i="21"/>
  <c r="C1659" i="21"/>
  <c r="C1652" i="21"/>
  <c r="C1653" i="21"/>
  <c r="C1654" i="21"/>
  <c r="C1655" i="21"/>
  <c r="C1648" i="21"/>
  <c r="C1649" i="21"/>
  <c r="C1650" i="21"/>
  <c r="C1651" i="21"/>
  <c r="C1644" i="21"/>
  <c r="C1645" i="21"/>
  <c r="C1646" i="21"/>
  <c r="C1647" i="21"/>
  <c r="C1640" i="21"/>
  <c r="C1641" i="21"/>
  <c r="C1642" i="21"/>
  <c r="C1643" i="21"/>
  <c r="C1636" i="21"/>
  <c r="C1637" i="21"/>
  <c r="C1638" i="21"/>
  <c r="C1639" i="21"/>
  <c r="C1632" i="21"/>
  <c r="C1633" i="21"/>
  <c r="C1634" i="21"/>
  <c r="C1635" i="21"/>
  <c r="C1628" i="21"/>
  <c r="C1629" i="21"/>
  <c r="C1630" i="21"/>
  <c r="C1631" i="21"/>
  <c r="C1624" i="21"/>
  <c r="C1625" i="21"/>
  <c r="C1626" i="21"/>
  <c r="C1627" i="21"/>
  <c r="C1620" i="21"/>
  <c r="C1621" i="21"/>
  <c r="C1622" i="21"/>
  <c r="C1623" i="21"/>
  <c r="C1616" i="21"/>
  <c r="C1617" i="21"/>
  <c r="C1618" i="21"/>
  <c r="C1619" i="21"/>
  <c r="C1612" i="21"/>
  <c r="C1613" i="21"/>
  <c r="C1614" i="21"/>
  <c r="C1615" i="21"/>
  <c r="C1608" i="21"/>
  <c r="C1609" i="21"/>
  <c r="C1610" i="21"/>
  <c r="C1611" i="21"/>
  <c r="C1604" i="21"/>
  <c r="C1605" i="21"/>
  <c r="C1606" i="21"/>
  <c r="C1607" i="21"/>
  <c r="C1600" i="21"/>
  <c r="C1601" i="21"/>
  <c r="C1602" i="21"/>
  <c r="C1603" i="21"/>
  <c r="C1596" i="21"/>
  <c r="C1597" i="21"/>
  <c r="C1598" i="21"/>
  <c r="C1599" i="21"/>
  <c r="C1592" i="21"/>
  <c r="C1593" i="21"/>
  <c r="C1594" i="21"/>
  <c r="C1595" i="21"/>
  <c r="C1588" i="21"/>
  <c r="C1589" i="21"/>
  <c r="C1590" i="21"/>
  <c r="C1591" i="21"/>
  <c r="C1584" i="21"/>
  <c r="C1585" i="21"/>
  <c r="C1586" i="21"/>
  <c r="C1587" i="21"/>
  <c r="C1580" i="21"/>
  <c r="C1581" i="21"/>
  <c r="C1582" i="21"/>
  <c r="C1583" i="21"/>
  <c r="C1576" i="21"/>
  <c r="C1577" i="21"/>
  <c r="C1578" i="21"/>
  <c r="C1579" i="21"/>
  <c r="C1572" i="21"/>
  <c r="C1573" i="21"/>
  <c r="C1574" i="21"/>
  <c r="C1575" i="21"/>
  <c r="C1568" i="21"/>
  <c r="C1569" i="21"/>
  <c r="C1570" i="21"/>
  <c r="C1571" i="21"/>
  <c r="C1564" i="21"/>
  <c r="C1565" i="21"/>
  <c r="C1566" i="21"/>
  <c r="C1567" i="21"/>
  <c r="C1560" i="21"/>
  <c r="C1561" i="21"/>
  <c r="C1562" i="21"/>
  <c r="C1563" i="21"/>
  <c r="C1556" i="21"/>
  <c r="C1557" i="21"/>
  <c r="C1558" i="21"/>
  <c r="C1559" i="21"/>
  <c r="C1552" i="21"/>
  <c r="C1553" i="21"/>
  <c r="C1554" i="21"/>
  <c r="C1555" i="21"/>
  <c r="C1548" i="21"/>
  <c r="C1549" i="21"/>
  <c r="C1550" i="21"/>
  <c r="C1551" i="21"/>
  <c r="C1544" i="21"/>
  <c r="C1545" i="21"/>
  <c r="C1546" i="21"/>
  <c r="C1547" i="21"/>
  <c r="C1540" i="21"/>
  <c r="C1541" i="21"/>
  <c r="C1542" i="21"/>
  <c r="C1543" i="21"/>
  <c r="C1536" i="21"/>
  <c r="C1537" i="21"/>
  <c r="C1538" i="21"/>
  <c r="C1539" i="21"/>
  <c r="C1532" i="21"/>
  <c r="C1533" i="21"/>
  <c r="C1534" i="21"/>
  <c r="C1535" i="21"/>
  <c r="C1528" i="21"/>
  <c r="C1529" i="21"/>
  <c r="C1530" i="21"/>
  <c r="C1531" i="21"/>
  <c r="C1524" i="21"/>
  <c r="C1525" i="21"/>
  <c r="C1526" i="21"/>
  <c r="C1527" i="21"/>
  <c r="C1520" i="21"/>
  <c r="C1521" i="21"/>
  <c r="C1522" i="21"/>
  <c r="C1523" i="21"/>
  <c r="C1516" i="21"/>
  <c r="C1517" i="21"/>
  <c r="C1518" i="21"/>
  <c r="C1519" i="21"/>
  <c r="C1512" i="21"/>
  <c r="C1513" i="21"/>
  <c r="C1514" i="21"/>
  <c r="C1515" i="21"/>
  <c r="C1508" i="21"/>
  <c r="C1509" i="21"/>
  <c r="C1510" i="21"/>
  <c r="C1511" i="21"/>
  <c r="C1504" i="21"/>
  <c r="C1505" i="21"/>
  <c r="C1506" i="21"/>
  <c r="C1507" i="21"/>
  <c r="C1500" i="21"/>
  <c r="C1501" i="21"/>
  <c r="C1502" i="21"/>
  <c r="C1503" i="21"/>
  <c r="C1496" i="21"/>
  <c r="C1497" i="21"/>
  <c r="C1498" i="21"/>
  <c r="C1499" i="21"/>
  <c r="C1492" i="21"/>
  <c r="C1493" i="21"/>
  <c r="C1494" i="21"/>
  <c r="C1495" i="21"/>
  <c r="C1488" i="21"/>
  <c r="C1489" i="21"/>
  <c r="C1490" i="21"/>
  <c r="C1491" i="21"/>
  <c r="C1484" i="21"/>
  <c r="C1485" i="21"/>
  <c r="C1486" i="21"/>
  <c r="C1487" i="21"/>
  <c r="C1480" i="21"/>
  <c r="C1481" i="21"/>
  <c r="C1482" i="21"/>
  <c r="C1483" i="21"/>
  <c r="C1476" i="21"/>
  <c r="C1477" i="21"/>
  <c r="C1478" i="21"/>
  <c r="C1479" i="21"/>
  <c r="C1472" i="21"/>
  <c r="C1473" i="21"/>
  <c r="C1474" i="21"/>
  <c r="C1475" i="21"/>
  <c r="C1468" i="21"/>
  <c r="C1469" i="21"/>
  <c r="C1470" i="21"/>
  <c r="C1471" i="21"/>
  <c r="C1464" i="21"/>
  <c r="C1465" i="21"/>
  <c r="C1466" i="21"/>
  <c r="C1467" i="21"/>
  <c r="C1460" i="21"/>
  <c r="C1461" i="21"/>
  <c r="C1462" i="21"/>
  <c r="C1463" i="21"/>
  <c r="C1456" i="21"/>
  <c r="C1457" i="21"/>
  <c r="C1458" i="21"/>
  <c r="C1459" i="21"/>
  <c r="C1453" i="21"/>
  <c r="C1454" i="21"/>
  <c r="C1455" i="21"/>
  <c r="C1449" i="21"/>
  <c r="C1450" i="21"/>
  <c r="C1451" i="21"/>
  <c r="C1452" i="21"/>
  <c r="C1445" i="21"/>
  <c r="C1446" i="21"/>
  <c r="C1447" i="21"/>
  <c r="C1448" i="21"/>
  <c r="C1441" i="21"/>
  <c r="C1442" i="21"/>
  <c r="C1443" i="21"/>
  <c r="C1444" i="21"/>
  <c r="C1437" i="21"/>
  <c r="C1438" i="21"/>
  <c r="C1439" i="21"/>
  <c r="C1440" i="21"/>
  <c r="C1434" i="21"/>
  <c r="C1435" i="21"/>
  <c r="C1436" i="21"/>
  <c r="C1430" i="21"/>
  <c r="C1431" i="21"/>
  <c r="C1432" i="21"/>
  <c r="C1433" i="21"/>
  <c r="C1426" i="21"/>
  <c r="C1427" i="21"/>
  <c r="C1428" i="21"/>
  <c r="C1429" i="21"/>
  <c r="C1424" i="21"/>
  <c r="C1425" i="21"/>
  <c r="C1420" i="21"/>
  <c r="C1421" i="21"/>
  <c r="C1422" i="21"/>
  <c r="C1423" i="21"/>
  <c r="C1416" i="21"/>
  <c r="C1417" i="21"/>
  <c r="C1418" i="21"/>
  <c r="C1419" i="21"/>
  <c r="C1412" i="21"/>
  <c r="C1413" i="21"/>
  <c r="C1414" i="21"/>
  <c r="C1415" i="21"/>
  <c r="C1408" i="21"/>
  <c r="C1409" i="21"/>
  <c r="C1410" i="21"/>
  <c r="C1411" i="21"/>
  <c r="C1404" i="21"/>
  <c r="C1405" i="21"/>
  <c r="C1406" i="21"/>
  <c r="C1407" i="21"/>
  <c r="C1400" i="21"/>
  <c r="C1401" i="21"/>
  <c r="C1402" i="21"/>
  <c r="C1403" i="21"/>
  <c r="C1396" i="21"/>
  <c r="C1397" i="21"/>
  <c r="C1398" i="21"/>
  <c r="C1399" i="21"/>
  <c r="C1392" i="21"/>
  <c r="C1393" i="21"/>
  <c r="C1394" i="21"/>
  <c r="C1395" i="21"/>
  <c r="C1388" i="21"/>
  <c r="C1389" i="21"/>
  <c r="C1390" i="21"/>
  <c r="C1391" i="21"/>
  <c r="C1384" i="21"/>
  <c r="C1385" i="21"/>
  <c r="C1386" i="21"/>
  <c r="C1387" i="21"/>
  <c r="C1380" i="21"/>
  <c r="C1381" i="21"/>
  <c r="C1382" i="21"/>
  <c r="C1383" i="21"/>
  <c r="C1376" i="21"/>
  <c r="C1377" i="21"/>
  <c r="C1378" i="21"/>
  <c r="C1379" i="21"/>
  <c r="C1372" i="21"/>
  <c r="C1373" i="21"/>
  <c r="C1374" i="21"/>
  <c r="C1375" i="21"/>
  <c r="C1368" i="21"/>
  <c r="C1369" i="21"/>
  <c r="C1370" i="21"/>
  <c r="C1371" i="21"/>
  <c r="C1364" i="21"/>
  <c r="C1365" i="21"/>
  <c r="C1366" i="21"/>
  <c r="C1367" i="21"/>
  <c r="C1360" i="21"/>
  <c r="C1361" i="21"/>
  <c r="C1362" i="21"/>
  <c r="C1363" i="21"/>
  <c r="C1356" i="21"/>
  <c r="C1357" i="21"/>
  <c r="C1358" i="21"/>
  <c r="C1359" i="21"/>
  <c r="C1352" i="21"/>
  <c r="C1353" i="21"/>
  <c r="C1354" i="21"/>
  <c r="C1355" i="21"/>
  <c r="C1348" i="21"/>
  <c r="C1349" i="21"/>
  <c r="C1350" i="21"/>
  <c r="C1351" i="21"/>
  <c r="C1344" i="21"/>
  <c r="C1345" i="21"/>
  <c r="C1346" i="21"/>
  <c r="C1347" i="21"/>
  <c r="C1340" i="21"/>
  <c r="C1341" i="21"/>
  <c r="C1342" i="21"/>
  <c r="C1343" i="21"/>
  <c r="C1336" i="21"/>
  <c r="C1337" i="21"/>
  <c r="C1338" i="21"/>
  <c r="C1339" i="21"/>
  <c r="C1332" i="21"/>
  <c r="C1333" i="21"/>
  <c r="C1334" i="21"/>
  <c r="C1335" i="21"/>
  <c r="C1328" i="21"/>
  <c r="C1329" i="21"/>
  <c r="C1330" i="21"/>
  <c r="C1331" i="21"/>
  <c r="C1324" i="21"/>
  <c r="C1325" i="21"/>
  <c r="C1326" i="21"/>
  <c r="C1327" i="21"/>
  <c r="C1320" i="21"/>
  <c r="C1321" i="21"/>
  <c r="C1322" i="21"/>
  <c r="C1323" i="21"/>
  <c r="C1317" i="21"/>
  <c r="C1318" i="21"/>
  <c r="C1319" i="21"/>
  <c r="C1313" i="21"/>
  <c r="C1314" i="21"/>
  <c r="C1315" i="21"/>
  <c r="C1316" i="21"/>
  <c r="C1309" i="21"/>
  <c r="C1310" i="21"/>
  <c r="C1311" i="21"/>
  <c r="C1312" i="21"/>
  <c r="C1305" i="21"/>
  <c r="C1306" i="21"/>
  <c r="C1307" i="21"/>
  <c r="C1308" i="21"/>
  <c r="C1301" i="21"/>
  <c r="C1302" i="21"/>
  <c r="C1303" i="21"/>
  <c r="C1304" i="21"/>
  <c r="C1297" i="21"/>
  <c r="C1298" i="21"/>
  <c r="C1299" i="21"/>
  <c r="C1300" i="21"/>
  <c r="C1293" i="21"/>
  <c r="C1294" i="21"/>
  <c r="C1295" i="21"/>
  <c r="C1296" i="21"/>
  <c r="C1289" i="21"/>
  <c r="C1290" i="21"/>
  <c r="C1291" i="21"/>
  <c r="C1292" i="21"/>
  <c r="C1285" i="21"/>
  <c r="C1286" i="21"/>
  <c r="C1287" i="21"/>
  <c r="C1288" i="21"/>
  <c r="C1281" i="21"/>
  <c r="C1282" i="21"/>
  <c r="C1283" i="21"/>
  <c r="C1284" i="21"/>
  <c r="C1277" i="21"/>
  <c r="C1278" i="21"/>
  <c r="C1279" i="21"/>
  <c r="C1280" i="21"/>
  <c r="C1273" i="21"/>
  <c r="C1274" i="21"/>
  <c r="C1275" i="21"/>
  <c r="C1276" i="21"/>
  <c r="C1269" i="21"/>
  <c r="C1270" i="21"/>
  <c r="C1271" i="21"/>
  <c r="C1272" i="21"/>
  <c r="C1265" i="21"/>
  <c r="C1266" i="21"/>
  <c r="C1267" i="21"/>
  <c r="C1268" i="21"/>
  <c r="C1261" i="21"/>
  <c r="C1262" i="21"/>
  <c r="C1263" i="21"/>
  <c r="C1264" i="21"/>
  <c r="C1257" i="21"/>
  <c r="C1258" i="21"/>
  <c r="C1259" i="21"/>
  <c r="C1260" i="21"/>
  <c r="C1253" i="21"/>
  <c r="C1254" i="21"/>
  <c r="C1255" i="21"/>
  <c r="C1256" i="21"/>
  <c r="C1249" i="21"/>
  <c r="C1250" i="21"/>
  <c r="C1251" i="21"/>
  <c r="C1252" i="21"/>
  <c r="C1245" i="21"/>
  <c r="C1246" i="21"/>
  <c r="C1247" i="21"/>
  <c r="C1248" i="21"/>
  <c r="C1241" i="21"/>
  <c r="C1242" i="21"/>
  <c r="C1243" i="21"/>
  <c r="C1244" i="21"/>
  <c r="C1237" i="21"/>
  <c r="C1238" i="21"/>
  <c r="C1239" i="21"/>
  <c r="C1240" i="21"/>
  <c r="C1233" i="21"/>
  <c r="C1234" i="21"/>
  <c r="C1235" i="21"/>
  <c r="C1236" i="21"/>
  <c r="C1229" i="21"/>
  <c r="C1230" i="21"/>
  <c r="C1231" i="21"/>
  <c r="C1232" i="21"/>
  <c r="C1226" i="21"/>
  <c r="C1227" i="21"/>
  <c r="C1228" i="21"/>
  <c r="C1222" i="21"/>
  <c r="C1223" i="21"/>
  <c r="C1224" i="21"/>
  <c r="C1225" i="21"/>
  <c r="C1218" i="21"/>
  <c r="C1219" i="21"/>
  <c r="C1220" i="21"/>
  <c r="C1221" i="21"/>
  <c r="C1214" i="21"/>
  <c r="C1215" i="21"/>
  <c r="C1216" i="21"/>
  <c r="C1217" i="21"/>
  <c r="C1210" i="21"/>
  <c r="C1211" i="21"/>
  <c r="C1212" i="21"/>
  <c r="C1213" i="21"/>
  <c r="C1206" i="21"/>
  <c r="C1207" i="21"/>
  <c r="C1208" i="21"/>
  <c r="C1209" i="21"/>
  <c r="C1202" i="21"/>
  <c r="C1203" i="21"/>
  <c r="C1204" i="21"/>
  <c r="C1205" i="21"/>
  <c r="C1198" i="21"/>
  <c r="C1199" i="21"/>
  <c r="C1200" i="21"/>
  <c r="C1201" i="21"/>
  <c r="C1194" i="21"/>
  <c r="C1195" i="21"/>
  <c r="C1196" i="21"/>
  <c r="C1197" i="21"/>
  <c r="C1190" i="21"/>
  <c r="C1191" i="21"/>
  <c r="C1192" i="21"/>
  <c r="C1193" i="21"/>
  <c r="C1186" i="21"/>
  <c r="C1187" i="21"/>
  <c r="C1188" i="21"/>
  <c r="C1189" i="21"/>
  <c r="C1182" i="21"/>
  <c r="C1183" i="21"/>
  <c r="C1184" i="21"/>
  <c r="C1185" i="21"/>
  <c r="C1178" i="21"/>
  <c r="C1179" i="21"/>
  <c r="C1180" i="21"/>
  <c r="C1181" i="21"/>
  <c r="C1174" i="21"/>
  <c r="C1175" i="21"/>
  <c r="C1176" i="21"/>
  <c r="C1177" i="21"/>
  <c r="C1170" i="21"/>
  <c r="C1171" i="21"/>
  <c r="C1172" i="21"/>
  <c r="C1173" i="21"/>
  <c r="C1166" i="21"/>
  <c r="C1167" i="21"/>
  <c r="C1168" i="21"/>
  <c r="C1169" i="21"/>
  <c r="C1162" i="21"/>
  <c r="C1163" i="21"/>
  <c r="C1164" i="21"/>
  <c r="C1165" i="21"/>
  <c r="C1158" i="21"/>
  <c r="C1159" i="21"/>
  <c r="C1160" i="21"/>
  <c r="C1161" i="21"/>
  <c r="C1154" i="21"/>
  <c r="C1155" i="21"/>
  <c r="C1156" i="21"/>
  <c r="C1157" i="21"/>
  <c r="C1150" i="21"/>
  <c r="C1151" i="21"/>
  <c r="C1152" i="21"/>
  <c r="C1153" i="21"/>
  <c r="C1146" i="21"/>
  <c r="C1147" i="21"/>
  <c r="C1148" i="21"/>
  <c r="C1149" i="21"/>
  <c r="C1142" i="21"/>
  <c r="C1143" i="21"/>
  <c r="C1144" i="21"/>
  <c r="C1145" i="21"/>
  <c r="C1138" i="21"/>
  <c r="C1139" i="21"/>
  <c r="C1140" i="21"/>
  <c r="C1141" i="21"/>
  <c r="C1134" i="21"/>
  <c r="C1135" i="21"/>
  <c r="C1136" i="21"/>
  <c r="C1137" i="21"/>
  <c r="C1130" i="21"/>
  <c r="C1131" i="21"/>
  <c r="C1132" i="21"/>
  <c r="C1133" i="21"/>
  <c r="C1126" i="21"/>
  <c r="C1127" i="21"/>
  <c r="C1128" i="21"/>
  <c r="C1129" i="21"/>
  <c r="C1122" i="21"/>
  <c r="C1123" i="21"/>
  <c r="C1124" i="21"/>
  <c r="C1125" i="21"/>
  <c r="C1118" i="21"/>
  <c r="C1119" i="21"/>
  <c r="C1120" i="21"/>
  <c r="C1121" i="21"/>
  <c r="C1114" i="21"/>
  <c r="C1115" i="21"/>
  <c r="C1116" i="21"/>
  <c r="C1117" i="21"/>
  <c r="C1110" i="21"/>
  <c r="C1111" i="21"/>
  <c r="C1112" i="21"/>
  <c r="C1113" i="21"/>
  <c r="C1106" i="21"/>
  <c r="C1107" i="21"/>
  <c r="C1108" i="21"/>
  <c r="C1109" i="21"/>
  <c r="C1102" i="21"/>
  <c r="C1103" i="21"/>
  <c r="C1104" i="21"/>
  <c r="C1105" i="21"/>
  <c r="C1098" i="21"/>
  <c r="C1099" i="21"/>
  <c r="C1100" i="21"/>
  <c r="C1101" i="21"/>
  <c r="C1094" i="21"/>
  <c r="C1095" i="21"/>
  <c r="C1096" i="21"/>
  <c r="C1097" i="21"/>
  <c r="C1090" i="21"/>
  <c r="C1091" i="21"/>
  <c r="C1092" i="21"/>
  <c r="C1093" i="21"/>
  <c r="C1086" i="21"/>
  <c r="C1087" i="21"/>
  <c r="C1088" i="21"/>
  <c r="C1089" i="21"/>
  <c r="C1082" i="21"/>
  <c r="C1083" i="21"/>
  <c r="C1084" i="21"/>
  <c r="C1085" i="21"/>
  <c r="C1081" i="21"/>
  <c r="C1077" i="21"/>
  <c r="C1078" i="21"/>
  <c r="C1079" i="21"/>
  <c r="C1080" i="21"/>
  <c r="C1073" i="21"/>
  <c r="C1074" i="21"/>
  <c r="C1075" i="21"/>
  <c r="C1076" i="21"/>
  <c r="C1069" i="21"/>
  <c r="C1070" i="21"/>
  <c r="C1071" i="21"/>
  <c r="C1072" i="21"/>
  <c r="C1065" i="21"/>
  <c r="C1066" i="21"/>
  <c r="C1067" i="21"/>
  <c r="C1068" i="21"/>
  <c r="C1061" i="21"/>
  <c r="C1062" i="21"/>
  <c r="C1063" i="21"/>
  <c r="C1064" i="21"/>
  <c r="C1057" i="21"/>
  <c r="C1058" i="21"/>
  <c r="C1059" i="21"/>
  <c r="C1060" i="21"/>
  <c r="C1053" i="21"/>
  <c r="C1054" i="21"/>
  <c r="C1055" i="21"/>
  <c r="C1056" i="21"/>
  <c r="C1049" i="21"/>
  <c r="C1050" i="21"/>
  <c r="C1051" i="21"/>
  <c r="C1052" i="21"/>
  <c r="C1045" i="21"/>
  <c r="C1046" i="21"/>
  <c r="C1047" i="21"/>
  <c r="C1048" i="21"/>
  <c r="C1041" i="21"/>
  <c r="C1042" i="21"/>
  <c r="C1043" i="21"/>
  <c r="C1044" i="21"/>
  <c r="C1037" i="21"/>
  <c r="C1038" i="21"/>
  <c r="C1039" i="21"/>
  <c r="C1040" i="21"/>
  <c r="C1033" i="21"/>
  <c r="C1034" i="21"/>
  <c r="C1035" i="21"/>
  <c r="C1036" i="21"/>
  <c r="C1029" i="21"/>
  <c r="C1030" i="21"/>
  <c r="C1031" i="21"/>
  <c r="C1032" i="21"/>
  <c r="C1025" i="21"/>
  <c r="C1026" i="21"/>
  <c r="C1027" i="21"/>
  <c r="C1028" i="21"/>
  <c r="C1021" i="21"/>
  <c r="C1022" i="21"/>
  <c r="C1023" i="21"/>
  <c r="C1024" i="21"/>
  <c r="C1017" i="21"/>
  <c r="C1018" i="21"/>
  <c r="C1019" i="21"/>
  <c r="C1020" i="21"/>
  <c r="C1013" i="21"/>
  <c r="C1014" i="21"/>
  <c r="C1015" i="21"/>
  <c r="C1016" i="21"/>
  <c r="C1009" i="21"/>
  <c r="C1010" i="21"/>
  <c r="C1011" i="21"/>
  <c r="C1012" i="21"/>
  <c r="C1005" i="21"/>
  <c r="C1006" i="21"/>
  <c r="C1007" i="21"/>
  <c r="C1008" i="21"/>
  <c r="C1001" i="21"/>
  <c r="C1002" i="21"/>
  <c r="C1003" i="21"/>
  <c r="C1004" i="21"/>
  <c r="C997" i="21"/>
  <c r="C998" i="21"/>
  <c r="C999" i="21"/>
  <c r="C1000" i="21"/>
  <c r="C993" i="21"/>
  <c r="C994" i="21"/>
  <c r="C995" i="21"/>
  <c r="C996" i="21"/>
  <c r="C989" i="21"/>
  <c r="C990" i="21"/>
  <c r="C991" i="21"/>
  <c r="C992" i="21"/>
  <c r="C985" i="21"/>
  <c r="C986" i="21"/>
  <c r="C987" i="21"/>
  <c r="C988" i="21"/>
  <c r="C981" i="21"/>
  <c r="C982" i="21"/>
  <c r="C983" i="21"/>
  <c r="C984" i="21"/>
  <c r="C977" i="21"/>
  <c r="C978" i="21"/>
  <c r="C979" i="21"/>
  <c r="C980" i="21"/>
  <c r="C973" i="21"/>
  <c r="C974" i="21"/>
  <c r="C975" i="21"/>
  <c r="C976" i="21"/>
  <c r="C969" i="21"/>
  <c r="C970" i="21"/>
  <c r="C971" i="21"/>
  <c r="C972" i="21"/>
  <c r="C965" i="21"/>
  <c r="C966" i="21"/>
  <c r="C967" i="21"/>
  <c r="C968" i="21"/>
  <c r="C961" i="21"/>
  <c r="C962" i="21"/>
  <c r="C963" i="21"/>
  <c r="C964" i="21"/>
  <c r="C957" i="21"/>
  <c r="C958" i="21"/>
  <c r="C959" i="21"/>
  <c r="C960" i="21"/>
  <c r="C953" i="21"/>
  <c r="C954" i="21"/>
  <c r="C955" i="21"/>
  <c r="C956" i="21"/>
  <c r="C949" i="21"/>
  <c r="C950" i="21"/>
  <c r="C951" i="21"/>
  <c r="C952" i="21"/>
  <c r="C945" i="21"/>
  <c r="C946" i="21"/>
  <c r="C947" i="21"/>
  <c r="C948" i="21"/>
  <c r="C941" i="21"/>
  <c r="C942" i="21"/>
  <c r="C943" i="21"/>
  <c r="C944" i="21"/>
  <c r="C937" i="21"/>
  <c r="C938" i="21"/>
  <c r="C939" i="21"/>
  <c r="C940" i="21"/>
  <c r="C933" i="21"/>
  <c r="C934" i="21"/>
  <c r="C935" i="21"/>
  <c r="C936" i="21"/>
  <c r="C929" i="21"/>
  <c r="C930" i="21"/>
  <c r="C931" i="21"/>
  <c r="C932" i="21"/>
  <c r="C925" i="21"/>
  <c r="C926" i="21"/>
  <c r="C927" i="21"/>
  <c r="C928" i="21"/>
  <c r="C921" i="21"/>
  <c r="C922" i="21"/>
  <c r="C923" i="21"/>
  <c r="C924" i="21"/>
  <c r="C917" i="21"/>
  <c r="C918" i="21"/>
  <c r="C919" i="21"/>
  <c r="C920" i="21"/>
  <c r="C913" i="21"/>
  <c r="C914" i="21"/>
  <c r="C915" i="21"/>
  <c r="C916" i="21"/>
  <c r="C909" i="21"/>
  <c r="C910" i="21"/>
  <c r="C911" i="21"/>
  <c r="C912" i="21"/>
  <c r="C905" i="21"/>
  <c r="C906" i="21"/>
  <c r="C907" i="21"/>
  <c r="C908" i="21"/>
  <c r="C901" i="21"/>
  <c r="C902" i="21"/>
  <c r="C903" i="21"/>
  <c r="C904" i="21"/>
  <c r="C897" i="21"/>
  <c r="C898" i="21"/>
  <c r="C899" i="21"/>
  <c r="C900" i="21"/>
  <c r="C893" i="21"/>
  <c r="C894" i="21"/>
  <c r="C895" i="21"/>
  <c r="C896" i="21"/>
  <c r="C889" i="21"/>
  <c r="C890" i="21"/>
  <c r="C891" i="21"/>
  <c r="C892" i="21"/>
  <c r="C885" i="21"/>
  <c r="C886" i="21"/>
  <c r="C887" i="21"/>
  <c r="C888" i="21"/>
  <c r="C881" i="21"/>
  <c r="C882" i="21"/>
  <c r="C883" i="21"/>
  <c r="C884" i="21"/>
  <c r="C877" i="21"/>
  <c r="C878" i="21"/>
  <c r="C879" i="21"/>
  <c r="C880" i="21"/>
  <c r="C873" i="21"/>
  <c r="C874" i="21"/>
  <c r="C875" i="21"/>
  <c r="C876" i="21"/>
  <c r="C869" i="21"/>
  <c r="C870" i="21"/>
  <c r="C871" i="21"/>
  <c r="C872" i="21"/>
  <c r="C865" i="21"/>
  <c r="C866" i="21"/>
  <c r="C867" i="21"/>
  <c r="C868" i="21"/>
  <c r="C860" i="21"/>
  <c r="C861" i="21"/>
  <c r="C862" i="21"/>
  <c r="C863" i="21"/>
  <c r="C864" i="21"/>
  <c r="C856" i="21"/>
  <c r="C857" i="21"/>
  <c r="C858" i="21"/>
  <c r="C859" i="21"/>
  <c r="C852" i="21"/>
  <c r="C853" i="21"/>
  <c r="C854" i="21"/>
  <c r="C855" i="21"/>
  <c r="C848" i="21"/>
  <c r="C849" i="21"/>
  <c r="C850" i="21"/>
  <c r="C851" i="21"/>
  <c r="C844" i="21"/>
  <c r="C845" i="21"/>
  <c r="C846" i="21"/>
  <c r="C847" i="21"/>
  <c r="C840" i="21"/>
  <c r="C841" i="21"/>
  <c r="C842" i="21"/>
  <c r="C843" i="21"/>
  <c r="C836" i="21"/>
  <c r="C837" i="21"/>
  <c r="C838" i="21"/>
  <c r="C839" i="21"/>
  <c r="C832" i="21"/>
  <c r="C833" i="21"/>
  <c r="C834" i="21"/>
  <c r="C835" i="21"/>
  <c r="C828" i="21"/>
  <c r="C829" i="21"/>
  <c r="C830" i="21"/>
  <c r="C831" i="21"/>
  <c r="C824" i="21"/>
  <c r="C825" i="21"/>
  <c r="C826" i="21"/>
  <c r="C827" i="21"/>
  <c r="C821" i="21"/>
  <c r="C822" i="21"/>
  <c r="C823" i="21"/>
  <c r="C817" i="21"/>
  <c r="C818" i="21"/>
  <c r="C819" i="21"/>
  <c r="C820" i="21"/>
  <c r="C813" i="21"/>
  <c r="C814" i="21"/>
  <c r="C815" i="21"/>
  <c r="C816" i="21"/>
  <c r="C809" i="21"/>
  <c r="C810" i="21"/>
  <c r="C811" i="21"/>
  <c r="C812" i="21"/>
  <c r="C805" i="21"/>
  <c r="C806" i="21"/>
  <c r="C807" i="21"/>
  <c r="C808" i="21"/>
  <c r="C801" i="21"/>
  <c r="C802" i="21"/>
  <c r="C803" i="21"/>
  <c r="C804" i="21"/>
  <c r="C797" i="21"/>
  <c r="C798" i="21"/>
  <c r="C799" i="21"/>
  <c r="C800" i="21"/>
  <c r="C793" i="21"/>
  <c r="C794" i="21"/>
  <c r="C795" i="21"/>
  <c r="C796" i="21"/>
  <c r="C789" i="21"/>
  <c r="C790" i="21"/>
  <c r="C791" i="21"/>
  <c r="C792" i="21"/>
  <c r="C785" i="21"/>
  <c r="C786" i="21"/>
  <c r="C787" i="21"/>
  <c r="C788" i="21"/>
  <c r="C781" i="21"/>
  <c r="C782" i="21"/>
  <c r="C783" i="21"/>
  <c r="C784" i="21"/>
  <c r="C777" i="21"/>
  <c r="C778" i="21"/>
  <c r="C779" i="21"/>
  <c r="C780" i="21"/>
  <c r="C773" i="21"/>
  <c r="C774" i="21"/>
  <c r="C775" i="21"/>
  <c r="C776" i="21"/>
  <c r="C769" i="21"/>
  <c r="C770" i="21"/>
  <c r="C771" i="21"/>
  <c r="C772" i="21"/>
  <c r="C766" i="21"/>
  <c r="C767" i="21"/>
  <c r="C768" i="21"/>
  <c r="C762" i="21"/>
  <c r="C763" i="21"/>
  <c r="C764" i="21"/>
  <c r="C765" i="21"/>
  <c r="C758" i="21"/>
  <c r="C759" i="21"/>
  <c r="C760" i="21"/>
  <c r="C761" i="21"/>
  <c r="C754" i="21"/>
  <c r="C755" i="21"/>
  <c r="C756" i="21"/>
  <c r="C757" i="21"/>
  <c r="C750" i="21"/>
  <c r="C751" i="21"/>
  <c r="C752" i="21"/>
  <c r="C753" i="21"/>
  <c r="C746" i="21"/>
  <c r="C747" i="21"/>
  <c r="C748" i="21"/>
  <c r="C749" i="21"/>
  <c r="C742" i="21"/>
  <c r="C743" i="21"/>
  <c r="C744" i="21"/>
  <c r="C745" i="21"/>
  <c r="C738" i="21"/>
  <c r="C739" i="21"/>
  <c r="C740" i="21"/>
  <c r="C741" i="21"/>
  <c r="C734" i="21"/>
  <c r="C735" i="21"/>
  <c r="C736" i="21"/>
  <c r="C737" i="21"/>
  <c r="C730" i="21"/>
  <c r="C731" i="21"/>
  <c r="C732" i="21"/>
  <c r="C733" i="21"/>
  <c r="C727" i="21"/>
  <c r="C728" i="21"/>
  <c r="C729" i="21"/>
  <c r="C723" i="21"/>
  <c r="C724" i="21"/>
  <c r="C725" i="21"/>
  <c r="C726" i="21"/>
  <c r="C719" i="21"/>
  <c r="C720" i="21"/>
  <c r="C721" i="21"/>
  <c r="C722" i="21"/>
  <c r="C715" i="21"/>
  <c r="C716" i="21"/>
  <c r="C717" i="21"/>
  <c r="C718" i="21"/>
  <c r="C711" i="21"/>
  <c r="C712" i="21"/>
  <c r="C713" i="21"/>
  <c r="C714" i="21"/>
  <c r="C707" i="21"/>
  <c r="C708" i="21"/>
  <c r="C709" i="21"/>
  <c r="C710" i="21"/>
  <c r="C703" i="21"/>
  <c r="C704" i="21"/>
  <c r="C705" i="21"/>
  <c r="C706" i="21"/>
  <c r="C699" i="21"/>
  <c r="C700" i="21"/>
  <c r="C701" i="21"/>
  <c r="C702" i="21"/>
  <c r="C695" i="21"/>
  <c r="C696" i="21"/>
  <c r="C697" i="21"/>
  <c r="C698" i="21"/>
  <c r="C691" i="21"/>
  <c r="C692" i="21"/>
  <c r="C693" i="21"/>
  <c r="C694" i="21"/>
  <c r="C687" i="21"/>
  <c r="C688" i="21"/>
  <c r="C689" i="21"/>
  <c r="C690" i="21"/>
  <c r="C683" i="21"/>
  <c r="C684" i="21"/>
  <c r="C685" i="21"/>
  <c r="C686" i="21"/>
  <c r="C679" i="21"/>
  <c r="C680" i="21"/>
  <c r="C681" i="21"/>
  <c r="C682" i="21"/>
  <c r="C675" i="21"/>
  <c r="C676" i="21"/>
  <c r="C677" i="21"/>
  <c r="C678" i="21"/>
  <c r="C671" i="21"/>
  <c r="C672" i="21"/>
  <c r="C673" i="21"/>
  <c r="C674" i="21"/>
  <c r="C667" i="21"/>
  <c r="C668" i="21"/>
  <c r="C669" i="21"/>
  <c r="C670" i="21"/>
  <c r="C663" i="21"/>
  <c r="C664" i="21"/>
  <c r="C665" i="21"/>
  <c r="C666" i="21"/>
  <c r="C659" i="21"/>
  <c r="C660" i="21"/>
  <c r="C661" i="21"/>
  <c r="C662" i="21"/>
  <c r="C655" i="21"/>
  <c r="C656" i="21"/>
  <c r="C657" i="21"/>
  <c r="C658" i="21"/>
  <c r="C651" i="21"/>
  <c r="C652" i="21"/>
  <c r="C653" i="21"/>
  <c r="C654" i="21"/>
  <c r="C647" i="21"/>
  <c r="C648" i="21"/>
  <c r="C649" i="21"/>
  <c r="C650" i="21"/>
  <c r="C643" i="21"/>
  <c r="C644" i="21"/>
  <c r="C645" i="21"/>
  <c r="C646" i="21"/>
  <c r="C639" i="21"/>
  <c r="C640" i="21"/>
  <c r="C641" i="21"/>
  <c r="C642" i="21"/>
  <c r="C635" i="21"/>
  <c r="C636" i="21"/>
  <c r="C637" i="21"/>
  <c r="C638" i="21"/>
  <c r="C631" i="21"/>
  <c r="C632" i="21"/>
  <c r="C633" i="21"/>
  <c r="C634" i="21"/>
  <c r="C627" i="21"/>
  <c r="C628" i="21"/>
  <c r="C629" i="21"/>
  <c r="C630" i="21"/>
  <c r="C623" i="21"/>
  <c r="C624" i="21"/>
  <c r="C625" i="21"/>
  <c r="C626" i="21"/>
  <c r="C619" i="21"/>
  <c r="C620" i="21"/>
  <c r="C621" i="21"/>
  <c r="C622" i="21"/>
  <c r="C615" i="21"/>
  <c r="C616" i="21"/>
  <c r="C617" i="21"/>
  <c r="C618" i="21"/>
  <c r="C611" i="21"/>
  <c r="C612" i="21"/>
  <c r="C613" i="21"/>
  <c r="C614" i="21"/>
  <c r="C607" i="21"/>
  <c r="C608" i="21"/>
  <c r="C609" i="21"/>
  <c r="C610" i="21"/>
  <c r="C603" i="21"/>
  <c r="C604" i="21"/>
  <c r="C605" i="21"/>
  <c r="C606" i="21"/>
  <c r="C599" i="21"/>
  <c r="C600" i="21"/>
  <c r="C601" i="21"/>
  <c r="C602" i="21"/>
  <c r="C595" i="21"/>
  <c r="C596" i="21"/>
  <c r="C597" i="21"/>
  <c r="C598" i="21"/>
  <c r="C591" i="21"/>
  <c r="C592" i="21"/>
  <c r="C593" i="21"/>
  <c r="C594" i="21"/>
  <c r="C587" i="21"/>
  <c r="C588" i="21"/>
  <c r="C589" i="21"/>
  <c r="C590" i="21"/>
  <c r="C583" i="21"/>
  <c r="C584" i="21"/>
  <c r="C585" i="21"/>
  <c r="C586" i="21"/>
  <c r="C579" i="21"/>
  <c r="C580" i="21"/>
  <c r="C581" i="21"/>
  <c r="C582" i="21"/>
  <c r="C575" i="21"/>
  <c r="C576" i="21"/>
  <c r="C577" i="21"/>
  <c r="C578" i="21"/>
  <c r="C571" i="21"/>
  <c r="C572" i="21"/>
  <c r="C573" i="21"/>
  <c r="C574" i="21"/>
  <c r="C567" i="21"/>
  <c r="C568" i="21"/>
  <c r="C569" i="21"/>
  <c r="C570" i="21"/>
  <c r="C563" i="21"/>
  <c r="C564" i="21"/>
  <c r="C565" i="21"/>
  <c r="C566" i="21"/>
  <c r="C559" i="21"/>
  <c r="C560" i="21"/>
  <c r="C561" i="21"/>
  <c r="C562" i="21"/>
  <c r="C555" i="21"/>
  <c r="C556" i="21"/>
  <c r="C557" i="21"/>
  <c r="C558" i="21"/>
  <c r="C551" i="21"/>
  <c r="C552" i="21"/>
  <c r="C553" i="21"/>
  <c r="C554" i="21"/>
  <c r="C547" i="21"/>
  <c r="C548" i="21"/>
  <c r="C549" i="21"/>
  <c r="C550" i="21"/>
  <c r="C543" i="21"/>
  <c r="C544" i="21"/>
  <c r="C545" i="21"/>
  <c r="C546" i="21"/>
  <c r="C539" i="21"/>
  <c r="C540" i="21"/>
  <c r="C541" i="21"/>
  <c r="C542" i="21"/>
  <c r="C535" i="21"/>
  <c r="C536" i="21"/>
  <c r="C537" i="21"/>
  <c r="C538" i="21"/>
  <c r="C531" i="21"/>
  <c r="C532" i="21"/>
  <c r="C533" i="21"/>
  <c r="C534" i="21"/>
  <c r="C527" i="21"/>
  <c r="C528" i="21"/>
  <c r="C529" i="21"/>
  <c r="C530" i="21"/>
  <c r="C523" i="21"/>
  <c r="C524" i="21"/>
  <c r="C525" i="21"/>
  <c r="C526" i="21"/>
  <c r="C519" i="21"/>
  <c r="C520" i="21"/>
  <c r="C521" i="21"/>
  <c r="C522" i="21"/>
  <c r="C515" i="21"/>
  <c r="C516" i="21"/>
  <c r="C517" i="21"/>
  <c r="C518" i="21"/>
  <c r="C511" i="21"/>
  <c r="C512" i="21"/>
  <c r="C513" i="21"/>
  <c r="C514" i="21"/>
  <c r="C507" i="21"/>
  <c r="C508" i="21"/>
  <c r="C509" i="21"/>
  <c r="C510" i="21"/>
  <c r="C503" i="21"/>
  <c r="C504" i="21"/>
  <c r="C505" i="21"/>
  <c r="C506" i="21"/>
  <c r="C499" i="21"/>
  <c r="C500" i="21"/>
  <c r="C501" i="21"/>
  <c r="C502" i="21"/>
  <c r="C495" i="21"/>
  <c r="C496" i="21"/>
  <c r="C497" i="21"/>
  <c r="C498" i="21"/>
  <c r="C491" i="21"/>
  <c r="C492" i="21"/>
  <c r="C493" i="21"/>
  <c r="C494" i="21"/>
  <c r="C487" i="21"/>
  <c r="C488" i="21"/>
  <c r="C489" i="21"/>
  <c r="C490" i="21"/>
  <c r="C483" i="21"/>
  <c r="C484" i="21"/>
  <c r="C485" i="21"/>
  <c r="C486" i="21"/>
  <c r="C479" i="21"/>
  <c r="C480" i="21"/>
  <c r="C481" i="21"/>
  <c r="C482" i="21"/>
  <c r="C476" i="21"/>
  <c r="C477" i="21"/>
  <c r="C478" i="21"/>
  <c r="C473" i="21"/>
  <c r="C474" i="21"/>
  <c r="C475" i="21"/>
  <c r="C469" i="21"/>
  <c r="C470" i="21"/>
  <c r="C471" i="21"/>
  <c r="C472" i="21"/>
  <c r="C465" i="21"/>
  <c r="C466" i="21"/>
  <c r="C467" i="21"/>
  <c r="C468" i="21"/>
  <c r="C461" i="21"/>
  <c r="C462" i="21"/>
  <c r="C463" i="21"/>
  <c r="C464" i="21"/>
  <c r="C457" i="21"/>
  <c r="C458" i="21"/>
  <c r="C459" i="21"/>
  <c r="C460" i="21"/>
  <c r="C453" i="21"/>
  <c r="C454" i="21"/>
  <c r="C455" i="21"/>
  <c r="C456" i="21"/>
  <c r="C449" i="21"/>
  <c r="C450" i="21"/>
  <c r="C451" i="21"/>
  <c r="C452" i="21"/>
  <c r="C445" i="21"/>
  <c r="C446" i="21"/>
  <c r="C447" i="21"/>
  <c r="C448" i="21"/>
  <c r="C441" i="21"/>
  <c r="C442" i="21"/>
  <c r="C443" i="21"/>
  <c r="C444" i="21"/>
  <c r="C437" i="21"/>
  <c r="C438" i="21"/>
  <c r="C439" i="21"/>
  <c r="C440" i="21"/>
  <c r="C433" i="21"/>
  <c r="C434" i="21"/>
  <c r="C435" i="21"/>
  <c r="C436" i="21"/>
  <c r="C429" i="21"/>
  <c r="C430" i="21"/>
  <c r="C431" i="21"/>
  <c r="C432" i="21"/>
  <c r="C428" i="21"/>
  <c r="C424" i="21"/>
  <c r="C425" i="21"/>
  <c r="C426" i="21"/>
  <c r="C427" i="21"/>
  <c r="C420" i="21"/>
  <c r="C421" i="21"/>
  <c r="C422" i="21"/>
  <c r="C423" i="21"/>
  <c r="C416" i="21"/>
  <c r="C417" i="21"/>
  <c r="C418" i="21"/>
  <c r="C419" i="21"/>
  <c r="C412" i="21"/>
  <c r="C413" i="21"/>
  <c r="C414" i="21"/>
  <c r="C415" i="21"/>
  <c r="C408" i="21"/>
  <c r="C409" i="21"/>
  <c r="C410" i="21"/>
  <c r="C411" i="21"/>
  <c r="C404" i="21"/>
  <c r="C405" i="21"/>
  <c r="C406" i="21"/>
  <c r="C407" i="21"/>
  <c r="C400" i="21"/>
  <c r="C401" i="21"/>
  <c r="C402" i="21"/>
  <c r="C403" i="21"/>
  <c r="C396" i="21"/>
  <c r="C397" i="21"/>
  <c r="C398" i="21"/>
  <c r="C399" i="21"/>
  <c r="C392" i="21"/>
  <c r="C393" i="21"/>
  <c r="C394" i="21"/>
  <c r="C395" i="21"/>
  <c r="C388" i="21"/>
  <c r="C389" i="21"/>
  <c r="C390" i="21"/>
  <c r="C391" i="21"/>
  <c r="C384" i="21"/>
  <c r="C385" i="21"/>
  <c r="C386" i="21"/>
  <c r="C387" i="21"/>
  <c r="C380" i="21"/>
  <c r="C381" i="21"/>
  <c r="C382" i="21"/>
  <c r="C383" i="21"/>
  <c r="C376" i="21"/>
  <c r="C377" i="21"/>
  <c r="C378" i="21"/>
  <c r="C379" i="21"/>
  <c r="C372" i="21"/>
  <c r="C373" i="21"/>
  <c r="C374" i="21"/>
  <c r="C375" i="21"/>
  <c r="C368" i="21"/>
  <c r="C369" i="21"/>
  <c r="C370" i="21"/>
  <c r="C371" i="21"/>
  <c r="C364" i="21"/>
  <c r="C365" i="21"/>
  <c r="C366" i="21"/>
  <c r="C367" i="21"/>
  <c r="C360" i="21"/>
  <c r="C361" i="21"/>
  <c r="C362" i="21"/>
  <c r="C363" i="21"/>
  <c r="C356" i="21"/>
  <c r="C357" i="21"/>
  <c r="C358" i="21"/>
  <c r="C359" i="21"/>
  <c r="C352" i="21"/>
  <c r="C353" i="21"/>
  <c r="C354" i="21"/>
  <c r="C355" i="21"/>
  <c r="C348" i="21"/>
  <c r="C349" i="21"/>
  <c r="C350" i="21"/>
  <c r="C351" i="21"/>
  <c r="C344" i="21"/>
  <c r="C345" i="21"/>
  <c r="C346" i="21"/>
  <c r="C347" i="21"/>
  <c r="C340" i="21"/>
  <c r="C341" i="21"/>
  <c r="C342" i="21"/>
  <c r="C343" i="21"/>
  <c r="C336" i="21"/>
  <c r="C337" i="21"/>
  <c r="C338" i="21"/>
  <c r="C339" i="21"/>
  <c r="C332" i="21"/>
  <c r="C333" i="21"/>
  <c r="C334" i="21"/>
  <c r="C335" i="21"/>
  <c r="C328" i="21"/>
  <c r="C329" i="21"/>
  <c r="C330" i="21"/>
  <c r="C331" i="21"/>
  <c r="C324" i="21"/>
  <c r="C325" i="21"/>
  <c r="C326" i="21"/>
  <c r="C327" i="21"/>
  <c r="C320" i="21"/>
  <c r="C321" i="21"/>
  <c r="C322" i="21"/>
  <c r="C323" i="21"/>
  <c r="C316" i="21"/>
  <c r="C317" i="21"/>
  <c r="C318" i="21"/>
  <c r="C319" i="21"/>
  <c r="C312" i="21"/>
  <c r="C313" i="21"/>
  <c r="C314" i="21"/>
  <c r="C315" i="21"/>
  <c r="C308" i="21"/>
  <c r="C309" i="21"/>
  <c r="C310" i="21"/>
  <c r="C311" i="21"/>
  <c r="C304" i="21"/>
  <c r="C305" i="21"/>
  <c r="C306" i="21"/>
  <c r="C307" i="21"/>
  <c r="C300" i="21"/>
  <c r="C301" i="21"/>
  <c r="C302" i="21"/>
  <c r="C303" i="21"/>
  <c r="C296" i="21"/>
  <c r="C297" i="21"/>
  <c r="C298" i="21"/>
  <c r="C299" i="21"/>
  <c r="C292" i="21"/>
  <c r="C293" i="21"/>
  <c r="C294" i="21"/>
  <c r="C295" i="21"/>
  <c r="C288" i="21"/>
  <c r="C289" i="21"/>
  <c r="C290" i="21"/>
  <c r="C291" i="21"/>
  <c r="C282" i="21"/>
  <c r="C283" i="21"/>
  <c r="C284" i="21"/>
  <c r="C285" i="21"/>
  <c r="C286" i="21"/>
  <c r="C287" i="21"/>
  <c r="C278" i="21"/>
  <c r="C279" i="21"/>
  <c r="C280" i="21"/>
  <c r="C281" i="21"/>
  <c r="C274" i="21"/>
  <c r="C275" i="21"/>
  <c r="C276" i="21"/>
  <c r="C277" i="21"/>
  <c r="C270" i="21"/>
  <c r="C271" i="21"/>
  <c r="C272" i="21"/>
  <c r="C273" i="21"/>
  <c r="C266" i="21"/>
  <c r="C267" i="21"/>
  <c r="C268" i="21"/>
  <c r="C269" i="21"/>
  <c r="C262" i="21"/>
  <c r="C263" i="21"/>
  <c r="C264" i="21"/>
  <c r="C265" i="21"/>
  <c r="C258" i="21"/>
  <c r="C259" i="21"/>
  <c r="C260" i="21"/>
  <c r="C261" i="21"/>
  <c r="C254" i="21"/>
  <c r="C255" i="21"/>
  <c r="C256" i="21"/>
  <c r="C257" i="21"/>
  <c r="C250" i="21"/>
  <c r="C251" i="21"/>
  <c r="C252" i="21"/>
  <c r="C253" i="21"/>
  <c r="C246" i="21"/>
  <c r="C247" i="21"/>
  <c r="C248" i="21"/>
  <c r="C249" i="21"/>
  <c r="C242" i="21"/>
  <c r="C243" i="21"/>
  <c r="C244" i="21"/>
  <c r="C245" i="21"/>
  <c r="C238" i="21"/>
  <c r="C239" i="21"/>
  <c r="C240" i="21"/>
  <c r="C241" i="21"/>
  <c r="C234" i="21"/>
  <c r="C235" i="21"/>
  <c r="C236" i="21"/>
  <c r="C237" i="21"/>
  <c r="C230" i="21"/>
  <c r="C231" i="21"/>
  <c r="C232" i="21"/>
  <c r="C233" i="21"/>
  <c r="C226" i="21"/>
  <c r="C227" i="21"/>
  <c r="C228" i="21"/>
  <c r="C229" i="21"/>
  <c r="C222" i="21"/>
  <c r="C223" i="21"/>
  <c r="C224" i="21"/>
  <c r="C225" i="21"/>
  <c r="C218" i="21"/>
  <c r="C219" i="21"/>
  <c r="C220" i="21"/>
  <c r="C221" i="21"/>
  <c r="C214" i="21"/>
  <c r="C215" i="21"/>
  <c r="C216" i="21"/>
  <c r="C217" i="21"/>
  <c r="C210" i="21"/>
  <c r="C211" i="21"/>
  <c r="C212" i="21"/>
  <c r="C213" i="21"/>
  <c r="C206" i="21"/>
  <c r="C207" i="21"/>
  <c r="C208" i="21"/>
  <c r="C209" i="21"/>
  <c r="C202" i="21"/>
  <c r="C203" i="21"/>
  <c r="C204" i="21"/>
  <c r="C205" i="21"/>
  <c r="C198" i="21"/>
  <c r="C199" i="21"/>
  <c r="C200" i="21"/>
  <c r="C201" i="21"/>
  <c r="C194" i="21"/>
  <c r="C195" i="21"/>
  <c r="C196" i="21"/>
  <c r="C197" i="21"/>
  <c r="C190" i="21"/>
  <c r="C191" i="21"/>
  <c r="C192" i="21"/>
  <c r="C193" i="21"/>
  <c r="C186" i="21"/>
  <c r="C187" i="21"/>
  <c r="C188" i="21"/>
  <c r="C189" i="21"/>
  <c r="C182" i="21"/>
  <c r="C183" i="21"/>
  <c r="C184" i="21"/>
  <c r="C185" i="21"/>
  <c r="C178" i="21"/>
  <c r="C179" i="21"/>
  <c r="C180" i="21"/>
  <c r="C181" i="21"/>
  <c r="C174" i="21"/>
  <c r="C175" i="21"/>
  <c r="C176" i="21"/>
  <c r="C177" i="21"/>
  <c r="C170" i="21"/>
  <c r="C171" i="21"/>
  <c r="C172" i="21"/>
  <c r="C173" i="21"/>
  <c r="C166" i="21"/>
  <c r="C167" i="21"/>
  <c r="C168" i="21"/>
  <c r="C169" i="21"/>
  <c r="C162" i="21"/>
  <c r="C163" i="21"/>
  <c r="C164" i="21"/>
  <c r="C165" i="21"/>
  <c r="C158" i="21"/>
  <c r="C159" i="21"/>
  <c r="C160" i="21"/>
  <c r="C161" i="21"/>
  <c r="C153" i="21"/>
  <c r="C154" i="21"/>
  <c r="C155" i="21"/>
  <c r="C156" i="21"/>
  <c r="C157" i="21"/>
  <c r="C149" i="21"/>
  <c r="C150" i="21"/>
  <c r="C151" i="21"/>
  <c r="C152" i="21"/>
  <c r="C145" i="21"/>
  <c r="C146" i="21"/>
  <c r="C147" i="21"/>
  <c r="C148" i="21"/>
  <c r="C140" i="21"/>
  <c r="C141" i="21"/>
  <c r="C142" i="21"/>
  <c r="C143" i="21"/>
  <c r="C144" i="21"/>
  <c r="C136" i="21"/>
  <c r="C137" i="21"/>
  <c r="C138" i="21"/>
  <c r="C139" i="21"/>
  <c r="C132" i="21"/>
  <c r="C133" i="21"/>
  <c r="C134" i="21"/>
  <c r="C135" i="21"/>
  <c r="C128" i="21"/>
  <c r="C129" i="21"/>
  <c r="C130" i="21"/>
  <c r="C131" i="21"/>
  <c r="C124" i="21"/>
  <c r="C125" i="21"/>
  <c r="C126" i="21"/>
  <c r="C127" i="21"/>
  <c r="C120" i="21"/>
  <c r="C121" i="21"/>
  <c r="C122" i="21"/>
  <c r="C123" i="21"/>
  <c r="C116" i="21"/>
  <c r="C117" i="21"/>
  <c r="C118" i="21"/>
  <c r="C119" i="21"/>
  <c r="C112" i="21"/>
  <c r="C113" i="21"/>
  <c r="C114" i="21"/>
  <c r="C115" i="21"/>
  <c r="C108" i="21"/>
  <c r="C109" i="21"/>
  <c r="C110" i="21"/>
  <c r="C111" i="21"/>
  <c r="C104" i="21"/>
  <c r="C105" i="21"/>
  <c r="C106" i="21"/>
  <c r="C107" i="21"/>
  <c r="C100" i="21"/>
  <c r="C101" i="21"/>
  <c r="C102" i="21"/>
  <c r="C103" i="21"/>
  <c r="C96" i="21"/>
  <c r="C97" i="21"/>
  <c r="C98" i="21"/>
  <c r="C99" i="21"/>
  <c r="C92" i="21"/>
  <c r="C93" i="21"/>
  <c r="C94" i="21"/>
  <c r="C95" i="21"/>
  <c r="C88" i="21"/>
  <c r="C89" i="21"/>
  <c r="C90" i="21"/>
  <c r="C91" i="21"/>
  <c r="C84" i="21"/>
  <c r="C85" i="21"/>
  <c r="C86" i="21"/>
  <c r="C87" i="21"/>
  <c r="C80" i="21"/>
  <c r="C81" i="21"/>
  <c r="C82" i="21"/>
  <c r="C83" i="21"/>
  <c r="C76" i="21"/>
  <c r="C77" i="21"/>
  <c r="C78" i="21"/>
  <c r="C79" i="21"/>
  <c r="C72" i="21"/>
  <c r="C73" i="21"/>
  <c r="C74" i="21"/>
  <c r="C75" i="21"/>
  <c r="C68" i="21"/>
  <c r="C69" i="21"/>
  <c r="C70" i="21"/>
  <c r="C71" i="21"/>
  <c r="C64" i="21"/>
  <c r="C65" i="21"/>
  <c r="C66" i="21"/>
  <c r="C67" i="21"/>
  <c r="C60" i="21"/>
  <c r="C61" i="21"/>
  <c r="C62" i="21"/>
  <c r="C63" i="21"/>
  <c r="C56" i="21"/>
  <c r="C57" i="21"/>
  <c r="C58" i="21"/>
  <c r="C59" i="21"/>
  <c r="C52" i="21"/>
  <c r="C53" i="21"/>
  <c r="C54" i="21"/>
  <c r="C55" i="21"/>
  <c r="C48" i="21"/>
  <c r="C49" i="21"/>
  <c r="C50" i="21"/>
  <c r="C51" i="21"/>
  <c r="C44" i="21"/>
  <c r="C45" i="21"/>
  <c r="C46" i="21"/>
  <c r="C47" i="21"/>
  <c r="C40" i="21"/>
  <c r="C41" i="21"/>
  <c r="C42" i="21"/>
  <c r="C43" i="21"/>
  <c r="C36" i="21"/>
  <c r="C37" i="21"/>
  <c r="C38" i="21"/>
  <c r="C39" i="21"/>
  <c r="C35" i="21"/>
  <c r="C31" i="21"/>
  <c r="C32" i="21"/>
  <c r="C33" i="21"/>
  <c r="C34" i="21"/>
  <c r="C27" i="21"/>
  <c r="C28" i="21"/>
  <c r="C29" i="21"/>
  <c r="C30" i="21"/>
  <c r="C23" i="21"/>
  <c r="C24" i="21"/>
  <c r="C25" i="21"/>
  <c r="C26" i="21"/>
  <c r="C19" i="21"/>
  <c r="C20" i="21"/>
  <c r="C21" i="21"/>
  <c r="C22" i="21"/>
  <c r="C15" i="21"/>
  <c r="C16" i="21"/>
  <c r="C17" i="21"/>
  <c r="C18" i="21"/>
  <c r="B1" i="15"/>
  <c r="C1" i="15" s="1"/>
  <c r="D1" i="15" s="1"/>
  <c r="E1" i="15" s="1"/>
  <c r="F1" i="15" s="1"/>
  <c r="G1" i="15" s="1"/>
  <c r="H1" i="15" s="1"/>
  <c r="I1" i="15" s="1"/>
  <c r="J1" i="15" s="1"/>
  <c r="K1" i="15" s="1"/>
  <c r="L1" i="15" s="1"/>
  <c r="M1" i="15" s="1"/>
  <c r="N1" i="15" s="1"/>
  <c r="O1" i="15" s="1"/>
  <c r="P1" i="15" s="1"/>
  <c r="Q1" i="15" s="1"/>
  <c r="R1" i="15" s="1"/>
  <c r="W8" i="20"/>
  <c r="W7" i="20"/>
  <c r="W6" i="20"/>
  <c r="K617" i="20" s="1"/>
  <c r="W15" i="20"/>
  <c r="K759" i="20" s="1"/>
  <c r="W5" i="20"/>
  <c r="J27" i="16"/>
  <c r="J26" i="16"/>
  <c r="J25" i="16"/>
  <c r="J20" i="16"/>
  <c r="J19" i="16"/>
  <c r="J15" i="16"/>
  <c r="J41" i="16"/>
  <c r="J10" i="16"/>
  <c r="U2" i="15"/>
  <c r="T15" i="36"/>
  <c r="S15" i="36"/>
  <c r="R15" i="36"/>
  <c r="Q15" i="36"/>
  <c r="P15" i="36"/>
  <c r="O15" i="36"/>
  <c r="N15" i="36"/>
  <c r="N14" i="24"/>
  <c r="P14" i="24" s="1"/>
  <c r="C1" i="1"/>
  <c r="D1" i="1" s="1"/>
  <c r="E1" i="1" s="1"/>
  <c r="F1" i="1" s="1"/>
  <c r="G1" i="1" s="1"/>
  <c r="H1" i="1" s="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K742" i="20" l="1"/>
  <c r="K755" i="20"/>
  <c r="K749" i="20"/>
  <c r="K728" i="20"/>
  <c r="K735" i="20"/>
  <c r="K693" i="20"/>
  <c r="K709" i="20"/>
  <c r="K700" i="20"/>
  <c r="K678" i="20"/>
  <c r="K676" i="20"/>
  <c r="K673" i="20"/>
  <c r="K667" i="20"/>
  <c r="K657" i="20"/>
  <c r="K666" i="20"/>
  <c r="K663" i="20"/>
  <c r="K626" i="20"/>
  <c r="K635" i="20"/>
  <c r="K610" i="20"/>
  <c r="K620" i="20"/>
  <c r="K605" i="20"/>
  <c r="K612" i="20"/>
  <c r="K607" i="20"/>
  <c r="K609" i="20"/>
  <c r="K596" i="20"/>
  <c r="K600" i="20"/>
  <c r="K595" i="20"/>
  <c r="K602" i="20"/>
  <c r="K598" i="20"/>
  <c r="K583" i="20"/>
  <c r="K589" i="20"/>
  <c r="K584" i="20"/>
  <c r="K587" i="20"/>
  <c r="K580" i="20"/>
  <c r="K576" i="20"/>
  <c r="K579" i="20"/>
  <c r="K569" i="20"/>
  <c r="K577" i="20"/>
  <c r="K567" i="20"/>
  <c r="K571" i="20"/>
  <c r="K565" i="20"/>
  <c r="K557" i="20"/>
  <c r="K559" i="20"/>
  <c r="K549" i="20"/>
  <c r="K555" i="20"/>
  <c r="K562" i="20"/>
  <c r="K531" i="20"/>
  <c r="K546" i="20"/>
  <c r="K534" i="20"/>
  <c r="K542" i="20"/>
  <c r="K494" i="20"/>
  <c r="K527" i="20"/>
  <c r="K519" i="20"/>
  <c r="K522" i="20"/>
  <c r="K510" i="20"/>
  <c r="K501" i="20"/>
  <c r="K520" i="20"/>
  <c r="K507" i="20"/>
  <c r="K497" i="20"/>
  <c r="K511" i="20"/>
  <c r="K525" i="20"/>
  <c r="K515" i="20"/>
  <c r="K528" i="20"/>
  <c r="K505" i="20"/>
  <c r="K485" i="20"/>
  <c r="K490" i="20"/>
  <c r="K492" i="20"/>
  <c r="K489" i="20"/>
  <c r="K479" i="20"/>
  <c r="K473" i="20"/>
  <c r="K468" i="20"/>
  <c r="K477" i="20"/>
  <c r="K472" i="20"/>
  <c r="K465" i="20"/>
  <c r="K422" i="20"/>
  <c r="K444" i="20"/>
  <c r="K434" i="20"/>
  <c r="K446" i="20"/>
  <c r="K458" i="20"/>
  <c r="K437" i="20"/>
  <c r="K429" i="20"/>
  <c r="K328" i="20"/>
  <c r="K462" i="20"/>
  <c r="K457" i="20"/>
  <c r="K451" i="20"/>
  <c r="K464" i="20"/>
  <c r="K438" i="20"/>
  <c r="K430" i="20"/>
  <c r="K453" i="20"/>
  <c r="K435" i="20"/>
  <c r="K447" i="20"/>
  <c r="K459" i="20"/>
  <c r="K413" i="20"/>
  <c r="K417" i="20"/>
  <c r="K410" i="20"/>
  <c r="K401" i="20"/>
  <c r="K407" i="20"/>
  <c r="K393" i="20"/>
  <c r="K381" i="20"/>
  <c r="K386" i="20"/>
  <c r="K383" i="20"/>
  <c r="K394" i="20"/>
  <c r="K359" i="20"/>
  <c r="K368" i="20"/>
  <c r="K364" i="20"/>
  <c r="K374" i="20"/>
  <c r="K354" i="20"/>
  <c r="K356" i="20"/>
  <c r="K365" i="20"/>
  <c r="K323" i="20"/>
  <c r="K347" i="20"/>
  <c r="K345" i="20"/>
  <c r="K330" i="20"/>
  <c r="K340" i="20"/>
  <c r="K338" i="20"/>
  <c r="K317" i="20"/>
  <c r="K244" i="20"/>
  <c r="K309" i="20"/>
  <c r="K315" i="20"/>
  <c r="K298" i="20"/>
  <c r="K306" i="20"/>
  <c r="K301" i="20"/>
  <c r="K293" i="20"/>
  <c r="K289" i="20"/>
  <c r="K285" i="20"/>
  <c r="K276" i="20"/>
  <c r="K280" i="20"/>
  <c r="K254" i="20"/>
  <c r="K272" i="20"/>
  <c r="K262" i="20"/>
  <c r="K269" i="20"/>
  <c r="K242" i="20"/>
  <c r="K252" i="20"/>
  <c r="K247" i="20"/>
  <c r="K250" i="20"/>
  <c r="K230" i="20"/>
  <c r="K239" i="20"/>
  <c r="K217" i="20"/>
  <c r="K228" i="20"/>
  <c r="K235" i="20"/>
  <c r="D23" i="35"/>
  <c r="C23" i="35" s="1"/>
  <c r="K219" i="20"/>
  <c r="K212" i="20"/>
  <c r="K203" i="20"/>
  <c r="K208" i="20"/>
  <c r="K198" i="20"/>
  <c r="K194" i="20"/>
  <c r="K192" i="20"/>
  <c r="K172" i="20"/>
  <c r="K160" i="20"/>
  <c r="K182" i="20"/>
  <c r="K163" i="20"/>
  <c r="K157" i="20"/>
  <c r="K150" i="20"/>
  <c r="K154" i="20"/>
  <c r="K145" i="20"/>
  <c r="K179" i="20"/>
  <c r="K173" i="20"/>
  <c r="K130" i="20"/>
  <c r="K125" i="20"/>
  <c r="K119" i="20"/>
  <c r="K143" i="20"/>
  <c r="K138" i="20"/>
  <c r="K135" i="20"/>
  <c r="K140" i="20"/>
  <c r="K123" i="20"/>
  <c r="K132" i="20"/>
  <c r="K127" i="20"/>
  <c r="K109" i="20"/>
  <c r="K116" i="20"/>
  <c r="K115" i="20"/>
  <c r="K111" i="20"/>
  <c r="K93" i="20"/>
  <c r="K100" i="20"/>
  <c r="K106" i="20"/>
  <c r="K105" i="20"/>
  <c r="K97" i="20"/>
  <c r="K83" i="20"/>
  <c r="K89" i="20"/>
  <c r="U9" i="36"/>
  <c r="U10" i="36"/>
  <c r="U12" i="36"/>
  <c r="U5" i="36"/>
  <c r="U4" i="36"/>
  <c r="U11" i="36"/>
  <c r="U6" i="36"/>
  <c r="U8" i="36"/>
  <c r="U7" i="36"/>
  <c r="K85" i="20"/>
  <c r="K81" i="20"/>
  <c r="K90" i="20"/>
  <c r="K77" i="20"/>
  <c r="K73" i="20"/>
  <c r="K61" i="20"/>
  <c r="K67" i="20"/>
  <c r="K72" i="20"/>
  <c r="K62" i="20"/>
  <c r="K51" i="20"/>
  <c r="K56" i="20"/>
  <c r="K59" i="20"/>
  <c r="K50" i="20"/>
  <c r="K47" i="20"/>
  <c r="U17" i="36"/>
  <c r="G7" i="16"/>
  <c r="V3" i="36"/>
  <c r="V16" i="36" s="1"/>
  <c r="N16" i="24"/>
  <c r="P16" i="24" s="1"/>
  <c r="N8" i="24"/>
  <c r="P8" i="24" s="1"/>
  <c r="AQ1" i="1"/>
  <c r="AR1" i="1" s="1"/>
  <c r="AS1" i="1" s="1"/>
  <c r="AT1" i="1" s="1"/>
  <c r="AU1" i="1" s="1"/>
  <c r="AV1" i="1" s="1"/>
  <c r="AW1" i="1" s="1"/>
  <c r="AX1" i="1" s="1"/>
  <c r="AY1" i="1" s="1"/>
  <c r="AZ1" i="1" s="1"/>
  <c r="BA1" i="1" s="1"/>
  <c r="BB1" i="1" s="1"/>
  <c r="BC1" i="1" s="1"/>
  <c r="BD1" i="1" s="1"/>
  <c r="BE1" i="1" s="1"/>
  <c r="BF1" i="1" s="1"/>
  <c r="BG1" i="1" s="1"/>
  <c r="BH1" i="1" s="1"/>
  <c r="BI1" i="1" s="1"/>
  <c r="BJ1" i="1" s="1"/>
  <c r="BK1" i="1" s="1"/>
  <c r="BL1" i="1" s="1"/>
  <c r="BM1" i="1" s="1"/>
  <c r="BN1" i="1" s="1"/>
  <c r="BO1" i="1" s="1"/>
  <c r="D16" i="36"/>
  <c r="O16" i="36"/>
  <c r="M16" i="36"/>
  <c r="F16" i="36"/>
  <c r="Q16" i="36"/>
  <c r="S16" i="36"/>
  <c r="U16" i="36"/>
  <c r="R16" i="36"/>
  <c r="T16" i="36"/>
  <c r="L16" i="36"/>
  <c r="C16" i="36"/>
  <c r="N16" i="36"/>
  <c r="E16" i="36"/>
  <c r="P16" i="36"/>
  <c r="H14" i="24"/>
  <c r="J14" i="24"/>
  <c r="M14" i="24"/>
  <c r="Q14" i="24" s="1"/>
  <c r="L14" i="24"/>
  <c r="R14" i="24" s="1"/>
  <c r="I14" i="24"/>
  <c r="E14" i="24"/>
  <c r="K14" i="24"/>
  <c r="D13" i="24"/>
  <c r="D14" i="24"/>
  <c r="C2331" i="21"/>
  <c r="AH88" i="20"/>
  <c r="AI88" i="20"/>
  <c r="AJ88" i="20"/>
  <c r="AK88" i="20"/>
  <c r="AB88" i="20"/>
  <c r="AC88" i="20"/>
  <c r="AD88" i="20"/>
  <c r="AE88" i="20"/>
  <c r="AG88" i="20"/>
  <c r="AF88" i="20"/>
  <c r="B6" i="16"/>
  <c r="C6" i="16" s="1"/>
  <c r="D24" i="35" l="1"/>
  <c r="C24" i="35" s="1"/>
  <c r="V10" i="36"/>
  <c r="V6" i="36"/>
  <c r="V8" i="36"/>
  <c r="V12" i="36"/>
  <c r="V11" i="36"/>
  <c r="V5" i="36"/>
  <c r="V4" i="36"/>
  <c r="V7" i="36"/>
  <c r="V17" i="36"/>
  <c r="V15" i="36"/>
  <c r="D15" i="36"/>
  <c r="L15" i="36"/>
  <c r="M15" i="36"/>
  <c r="E15" i="36"/>
  <c r="W3" i="36"/>
  <c r="N22" i="24"/>
  <c r="M22" i="24"/>
  <c r="H12" i="24"/>
  <c r="M12" i="24"/>
  <c r="Q12" i="24" s="1"/>
  <c r="J12" i="24"/>
  <c r="F12" i="24"/>
  <c r="I12" i="24"/>
  <c r="L12" i="24"/>
  <c r="R12" i="24" s="1"/>
  <c r="L22" i="24"/>
  <c r="K22" i="24"/>
  <c r="J22" i="24"/>
  <c r="I22" i="24"/>
  <c r="E12" i="24"/>
  <c r="C9" i="24"/>
  <c r="C17" i="24" s="1"/>
  <c r="G12" i="24"/>
  <c r="H22" i="24"/>
  <c r="G16" i="24"/>
  <c r="G22" i="24"/>
  <c r="G15" i="24"/>
  <c r="G11" i="24"/>
  <c r="G10" i="24"/>
  <c r="G9" i="24"/>
  <c r="G8" i="24"/>
  <c r="I10" i="24"/>
  <c r="N10" i="24"/>
  <c r="P10" i="24" s="1"/>
  <c r="M16" i="24"/>
  <c r="Q16" i="24" s="1"/>
  <c r="J15" i="24"/>
  <c r="H15" i="24"/>
  <c r="H16" i="24"/>
  <c r="M8" i="24"/>
  <c r="Q8" i="24" s="1"/>
  <c r="D15" i="24"/>
  <c r="H9" i="24"/>
  <c r="J9" i="24"/>
  <c r="J11" i="24"/>
  <c r="H11" i="24"/>
  <c r="N9" i="24"/>
  <c r="P9" i="24" s="1"/>
  <c r="M11" i="24"/>
  <c r="K12" i="24"/>
  <c r="D16" i="24"/>
  <c r="O6" i="16"/>
  <c r="K27" i="16" s="1"/>
  <c r="M27" i="16" s="1"/>
  <c r="F9" i="24"/>
  <c r="F8" i="24"/>
  <c r="F22" i="24"/>
  <c r="F16" i="24"/>
  <c r="F15" i="24"/>
  <c r="F11" i="24"/>
  <c r="F10" i="24"/>
  <c r="J16" i="24"/>
  <c r="K10" i="24"/>
  <c r="L9" i="24"/>
  <c r="R9" i="24" s="1"/>
  <c r="M9" i="24"/>
  <c r="Q9" i="24" s="1"/>
  <c r="L10" i="24"/>
  <c r="R10" i="24" s="1"/>
  <c r="N15" i="24"/>
  <c r="P15" i="24" s="1"/>
  <c r="L16" i="24"/>
  <c r="R16" i="24" s="1"/>
  <c r="N11" i="24"/>
  <c r="I8" i="24"/>
  <c r="D9" i="24"/>
  <c r="I9" i="24"/>
  <c r="N12" i="24"/>
  <c r="P12" i="24" s="1"/>
  <c r="M15" i="24"/>
  <c r="Q15" i="24" s="1"/>
  <c r="J8" i="24"/>
  <c r="K8" i="24"/>
  <c r="L11" i="24"/>
  <c r="H10" i="24"/>
  <c r="D8" i="24"/>
  <c r="H8" i="24"/>
  <c r="K15" i="24"/>
  <c r="J10" i="24"/>
  <c r="I11" i="24"/>
  <c r="I16" i="24"/>
  <c r="I15" i="24"/>
  <c r="L8" i="24"/>
  <c r="R8" i="24" s="1"/>
  <c r="L15" i="24"/>
  <c r="R15" i="24" s="1"/>
  <c r="K9" i="24"/>
  <c r="K16" i="24"/>
  <c r="E11" i="24"/>
  <c r="E8" i="24"/>
  <c r="E9" i="24"/>
  <c r="E10" i="24"/>
  <c r="E16" i="24"/>
  <c r="E15" i="24"/>
  <c r="D22" i="24"/>
  <c r="E22" i="24"/>
  <c r="C22" i="24"/>
  <c r="D10" i="24"/>
  <c r="O14" i="24"/>
  <c r="AP81" i="20"/>
  <c r="D6" i="16"/>
  <c r="C42" i="16" s="1"/>
  <c r="M6" i="16"/>
  <c r="K25" i="16" s="1"/>
  <c r="I6" i="16"/>
  <c r="C48" i="16" s="1"/>
  <c r="H6" i="16"/>
  <c r="C47" i="16" s="1"/>
  <c r="K6" i="16"/>
  <c r="N6" i="16"/>
  <c r="K26" i="16" s="1"/>
  <c r="L6" i="16"/>
  <c r="F6" i="16"/>
  <c r="C41" i="16"/>
  <c r="D25" i="35" l="1"/>
  <c r="C25" i="35" s="1"/>
  <c r="W7" i="36"/>
  <c r="W6" i="36"/>
  <c r="W12" i="36"/>
  <c r="W4" i="36"/>
  <c r="W5" i="36"/>
  <c r="W11" i="36"/>
  <c r="W9" i="36"/>
  <c r="W8" i="36"/>
  <c r="W10" i="36"/>
  <c r="G17" i="24"/>
  <c r="G18" i="24" s="1"/>
  <c r="Q11" i="24"/>
  <c r="R11" i="24"/>
  <c r="P11" i="24"/>
  <c r="W17" i="36"/>
  <c r="W15" i="36"/>
  <c r="W16" i="36"/>
  <c r="M7" i="16"/>
  <c r="D7" i="16"/>
  <c r="C7" i="16"/>
  <c r="X3" i="36"/>
  <c r="O22" i="24"/>
  <c r="O9" i="24"/>
  <c r="O8" i="24"/>
  <c r="C45" i="16"/>
  <c r="K13" i="16"/>
  <c r="L13" i="16" s="1"/>
  <c r="C44" i="16"/>
  <c r="K12" i="16"/>
  <c r="L12" i="16" s="1"/>
  <c r="K10" i="16"/>
  <c r="K20" i="16"/>
  <c r="L20" i="16" s="1"/>
  <c r="C49" i="16"/>
  <c r="F28" i="24"/>
  <c r="G28" i="24"/>
  <c r="L25" i="16"/>
  <c r="M25" i="16"/>
  <c r="L26" i="16"/>
  <c r="M26" i="16"/>
  <c r="L27" i="16"/>
  <c r="O15" i="24"/>
  <c r="O16" i="24"/>
  <c r="K41" i="16"/>
  <c r="K19" i="16"/>
  <c r="K15" i="16"/>
  <c r="K28" i="16"/>
  <c r="K33" i="16" s="1"/>
  <c r="O16" i="17"/>
  <c r="O9" i="17"/>
  <c r="O15" i="17"/>
  <c r="Y17" i="31" s="1"/>
  <c r="O10" i="17"/>
  <c r="D26" i="35" l="1"/>
  <c r="C26" i="35" s="1"/>
  <c r="X9" i="36"/>
  <c r="X6" i="36"/>
  <c r="X5" i="36"/>
  <c r="X4" i="36"/>
  <c r="X8" i="36"/>
  <c r="X7" i="36"/>
  <c r="X10" i="36"/>
  <c r="X12" i="36"/>
  <c r="X11" i="36"/>
  <c r="X17" i="36"/>
  <c r="X15" i="36"/>
  <c r="X16" i="36"/>
  <c r="Y3" i="36"/>
  <c r="Y18" i="31"/>
  <c r="Z18" i="31"/>
  <c r="Z17" i="31"/>
  <c r="Y14" i="31"/>
  <c r="Z14" i="31"/>
  <c r="Y12" i="31"/>
  <c r="Z12" i="31"/>
  <c r="P9" i="17"/>
  <c r="L10" i="16"/>
  <c r="Q15" i="17"/>
  <c r="H28" i="24"/>
  <c r="H29" i="24" s="1"/>
  <c r="Q16" i="17"/>
  <c r="P16" i="17"/>
  <c r="P15" i="17"/>
  <c r="P10" i="17"/>
  <c r="Q10" i="17"/>
  <c r="Q9" i="17"/>
  <c r="L28" i="16"/>
  <c r="L41" i="16"/>
  <c r="L15" i="16"/>
  <c r="K32" i="16"/>
  <c r="M20" i="16" s="1"/>
  <c r="L19" i="16"/>
  <c r="D27" i="35" l="1"/>
  <c r="C27" i="35" s="1"/>
  <c r="Y7" i="36"/>
  <c r="Y4" i="36"/>
  <c r="Y9" i="36"/>
  <c r="Y11" i="36"/>
  <c r="Y6" i="36"/>
  <c r="Y10" i="36"/>
  <c r="Y5" i="36"/>
  <c r="Y12" i="36"/>
  <c r="Y8" i="36"/>
  <c r="Y17" i="36"/>
  <c r="Y15" i="36"/>
  <c r="Y16" i="36"/>
  <c r="X25" i="31"/>
  <c r="X26" i="31" s="1"/>
  <c r="X27" i="31" s="1"/>
  <c r="Z3" i="36"/>
  <c r="Y11" i="31"/>
  <c r="Z11" i="31"/>
  <c r="M19" i="16"/>
  <c r="D28" i="35" l="1"/>
  <c r="C28" i="35" s="1"/>
  <c r="Z7" i="36"/>
  <c r="Z9" i="36"/>
  <c r="Z8" i="36"/>
  <c r="Z5" i="36"/>
  <c r="Z4" i="36"/>
  <c r="Z10" i="36"/>
  <c r="Z11" i="36"/>
  <c r="Z6" i="36"/>
  <c r="Z12" i="36"/>
  <c r="Z17" i="36"/>
  <c r="Z15" i="36"/>
  <c r="Z16" i="36"/>
  <c r="AA3" i="36"/>
  <c r="AA7" i="36" s="1"/>
  <c r="Y15" i="31"/>
  <c r="Z15" i="31"/>
  <c r="Q5" i="15"/>
  <c r="O5" i="15"/>
  <c r="P5" i="15"/>
  <c r="I5" i="15"/>
  <c r="H5" i="15"/>
  <c r="K5" i="15"/>
  <c r="A6" i="15"/>
  <c r="B6" i="15" s="1"/>
  <c r="E5" i="15"/>
  <c r="C5" i="15"/>
  <c r="L5" i="15"/>
  <c r="G5" i="15"/>
  <c r="D5" i="15"/>
  <c r="M5" i="15"/>
  <c r="J5" i="15"/>
  <c r="N5" i="15"/>
  <c r="D29" i="35" l="1"/>
  <c r="C29" i="35" s="1"/>
  <c r="AA12" i="36"/>
  <c r="AA9" i="36"/>
  <c r="AA8" i="36"/>
  <c r="AA10" i="36"/>
  <c r="AA4" i="36"/>
  <c r="AA6" i="36"/>
  <c r="AA5" i="36"/>
  <c r="AA11" i="36"/>
  <c r="AA17" i="36"/>
  <c r="AA15" i="36"/>
  <c r="AA16" i="36"/>
  <c r="AB3" i="36"/>
  <c r="Q6" i="15"/>
  <c r="P6" i="15"/>
  <c r="O6" i="15"/>
  <c r="R5" i="15"/>
  <c r="G6" i="15"/>
  <c r="C6" i="15"/>
  <c r="J6" i="15"/>
  <c r="E6" i="15"/>
  <c r="N6" i="15"/>
  <c r="H6" i="15"/>
  <c r="K6" i="15"/>
  <c r="F6" i="15"/>
  <c r="D6" i="15"/>
  <c r="L6" i="15"/>
  <c r="I6" i="15"/>
  <c r="M6" i="15"/>
  <c r="A7" i="15"/>
  <c r="B7" i="15" s="1"/>
  <c r="AB7" i="36" l="1"/>
  <c r="AB4" i="36"/>
  <c r="AB10" i="36"/>
  <c r="AB8" i="36"/>
  <c r="AB9" i="36"/>
  <c r="AB6" i="36"/>
  <c r="AB12" i="36"/>
  <c r="AB11" i="36"/>
  <c r="AB5" i="36"/>
  <c r="D30" i="35"/>
  <c r="C30" i="35" s="1"/>
  <c r="AB17" i="36"/>
  <c r="AB15" i="36"/>
  <c r="AB16" i="36"/>
  <c r="AC3" i="36"/>
  <c r="Q7" i="15"/>
  <c r="O7" i="15"/>
  <c r="P7" i="15"/>
  <c r="R6" i="15"/>
  <c r="K7" i="15"/>
  <c r="I7" i="15"/>
  <c r="C7" i="15"/>
  <c r="N7" i="15"/>
  <c r="L7" i="15"/>
  <c r="M7" i="15"/>
  <c r="G7" i="15"/>
  <c r="F7" i="15"/>
  <c r="J7" i="15"/>
  <c r="H7" i="15"/>
  <c r="E7" i="15"/>
  <c r="D7" i="15"/>
  <c r="A8" i="15"/>
  <c r="B8" i="15" s="1"/>
  <c r="D31" i="35" l="1"/>
  <c r="C31" i="35" s="1"/>
  <c r="AC6" i="36"/>
  <c r="AC5" i="36"/>
  <c r="AC12" i="36"/>
  <c r="AC9" i="36"/>
  <c r="AC11" i="36"/>
  <c r="AC8" i="36"/>
  <c r="AC10" i="36"/>
  <c r="AC4" i="36"/>
  <c r="AC7" i="36"/>
  <c r="AD3" i="36"/>
  <c r="Q8" i="15"/>
  <c r="P8" i="15"/>
  <c r="O8" i="15"/>
  <c r="L8" i="15"/>
  <c r="C8" i="15"/>
  <c r="I8" i="15"/>
  <c r="N8" i="15"/>
  <c r="D8" i="15"/>
  <c r="M8" i="15"/>
  <c r="J8" i="15"/>
  <c r="F8" i="15"/>
  <c r="E8" i="15"/>
  <c r="K8" i="15"/>
  <c r="H8" i="15"/>
  <c r="G8" i="15"/>
  <c r="A9" i="15"/>
  <c r="B9" i="15" s="1"/>
  <c r="R7" i="15"/>
  <c r="D32" i="35" l="1"/>
  <c r="C32" i="35" s="1"/>
  <c r="AD12" i="36"/>
  <c r="AD11" i="36"/>
  <c r="AD10" i="36"/>
  <c r="AD8" i="36"/>
  <c r="AD4" i="36"/>
  <c r="AD7" i="36"/>
  <c r="AD6" i="36"/>
  <c r="AD5" i="36"/>
  <c r="AD9" i="36"/>
  <c r="AE3" i="36"/>
  <c r="Q9" i="15"/>
  <c r="O9" i="15"/>
  <c r="P9" i="15"/>
  <c r="R8" i="15"/>
  <c r="D9" i="15"/>
  <c r="F9" i="15"/>
  <c r="K9" i="15"/>
  <c r="I9" i="15"/>
  <c r="H9" i="15"/>
  <c r="M9" i="15"/>
  <c r="G9" i="15"/>
  <c r="C9" i="15"/>
  <c r="N9" i="15"/>
  <c r="L9" i="15"/>
  <c r="J9" i="15"/>
  <c r="E9" i="15"/>
  <c r="A10" i="15"/>
  <c r="B10" i="15" s="1"/>
  <c r="D33" i="35" l="1"/>
  <c r="C33" i="35" s="1"/>
  <c r="AE4" i="36"/>
  <c r="AE12" i="36"/>
  <c r="AE10" i="36"/>
  <c r="AE9" i="36"/>
  <c r="AE6" i="36"/>
  <c r="AE8" i="36"/>
  <c r="AE11" i="36"/>
  <c r="AE5" i="36"/>
  <c r="AE7" i="36"/>
  <c r="AF3" i="36"/>
  <c r="Q10" i="15"/>
  <c r="O10" i="15"/>
  <c r="P10" i="15"/>
  <c r="R9" i="15"/>
  <c r="M10" i="15"/>
  <c r="G10" i="15"/>
  <c r="N10" i="15"/>
  <c r="J10" i="15"/>
  <c r="I10" i="15"/>
  <c r="F10" i="15"/>
  <c r="H10" i="15"/>
  <c r="L10" i="15"/>
  <c r="D10" i="15"/>
  <c r="K10" i="15"/>
  <c r="C10" i="15"/>
  <c r="A11" i="15"/>
  <c r="B11" i="15" s="1"/>
  <c r="D34" i="35" l="1"/>
  <c r="C34" i="35" s="1"/>
  <c r="AF11" i="36"/>
  <c r="AF6" i="36"/>
  <c r="AF7" i="36"/>
  <c r="AF5" i="36"/>
  <c r="AF10" i="36"/>
  <c r="AF12" i="36"/>
  <c r="AF9" i="36"/>
  <c r="AF4" i="36"/>
  <c r="AG3" i="36"/>
  <c r="Q11" i="15"/>
  <c r="O11" i="15"/>
  <c r="P11" i="15"/>
  <c r="R10" i="15"/>
  <c r="I11" i="15"/>
  <c r="G11" i="15"/>
  <c r="N11" i="15"/>
  <c r="F11" i="15"/>
  <c r="D11" i="15"/>
  <c r="M11" i="15"/>
  <c r="C11" i="15"/>
  <c r="K11" i="15"/>
  <c r="H11" i="15"/>
  <c r="J11" i="15"/>
  <c r="L11" i="15"/>
  <c r="A12" i="15"/>
  <c r="B12" i="15" s="1"/>
  <c r="D35" i="35" l="1"/>
  <c r="C35" i="35" s="1"/>
  <c r="AG4" i="36"/>
  <c r="AH4" i="36" s="1"/>
  <c r="AG6" i="36"/>
  <c r="AH6" i="36" s="1"/>
  <c r="AG9" i="36"/>
  <c r="AG7" i="36"/>
  <c r="AH7" i="36" s="1"/>
  <c r="AG11" i="36"/>
  <c r="AH11" i="36" s="1"/>
  <c r="AG12" i="36"/>
  <c r="AH12" i="36" s="1"/>
  <c r="AG10" i="36"/>
  <c r="AH10" i="36" s="1"/>
  <c r="AG8" i="36"/>
  <c r="AG5" i="36"/>
  <c r="AH5" i="36" s="1"/>
  <c r="Q12" i="15"/>
  <c r="O12" i="15"/>
  <c r="P12" i="15"/>
  <c r="J12" i="15"/>
  <c r="G12" i="15"/>
  <c r="E12" i="15"/>
  <c r="H12" i="15"/>
  <c r="C12" i="15"/>
  <c r="K12" i="15"/>
  <c r="M12" i="15"/>
  <c r="N12" i="15"/>
  <c r="D12" i="15"/>
  <c r="F12" i="15"/>
  <c r="L12" i="15"/>
  <c r="I12" i="15"/>
  <c r="A13" i="15"/>
  <c r="B13" i="15" s="1"/>
  <c r="R11" i="15"/>
  <c r="D36" i="35" l="1"/>
  <c r="C36" i="35" s="1"/>
  <c r="Q13" i="15"/>
  <c r="O13" i="15"/>
  <c r="P13" i="15"/>
  <c r="R12" i="15"/>
  <c r="L13" i="15"/>
  <c r="M13" i="15"/>
  <c r="J13" i="15"/>
  <c r="C13" i="15"/>
  <c r="I13" i="15"/>
  <c r="D13" i="15"/>
  <c r="G13" i="15"/>
  <c r="H13" i="15"/>
  <c r="K13" i="15"/>
  <c r="N13" i="15"/>
  <c r="E13" i="15"/>
  <c r="A14" i="15"/>
  <c r="B14" i="15" s="1"/>
  <c r="D37" i="35" l="1"/>
  <c r="C37" i="35" s="1"/>
  <c r="P14" i="15"/>
  <c r="Q14" i="15"/>
  <c r="O14" i="15"/>
  <c r="R13" i="15"/>
  <c r="D14" i="15"/>
  <c r="F14" i="15"/>
  <c r="E14" i="15"/>
  <c r="N14" i="15"/>
  <c r="H14" i="15"/>
  <c r="L14" i="15"/>
  <c r="K14" i="15"/>
  <c r="J14" i="15"/>
  <c r="M14" i="15"/>
  <c r="G14" i="15"/>
  <c r="I14" i="15"/>
  <c r="C14" i="15"/>
  <c r="A15" i="15"/>
  <c r="B15" i="15" s="1"/>
  <c r="D38" i="35" l="1"/>
  <c r="C38" i="35" s="1"/>
  <c r="O15" i="15"/>
  <c r="Q15" i="15"/>
  <c r="P15" i="15"/>
  <c r="I15" i="15"/>
  <c r="H15" i="15"/>
  <c r="G15" i="15"/>
  <c r="J15" i="15"/>
  <c r="C15" i="15"/>
  <c r="N15" i="15"/>
  <c r="F15" i="15"/>
  <c r="D15" i="15"/>
  <c r="E15" i="15"/>
  <c r="M15" i="15"/>
  <c r="K15" i="15"/>
  <c r="L15" i="15"/>
  <c r="A16" i="15"/>
  <c r="B16" i="15" s="1"/>
  <c r="R14" i="15"/>
  <c r="D39" i="35" l="1"/>
  <c r="C39" i="35" s="1"/>
  <c r="P16" i="15"/>
  <c r="O16" i="15"/>
  <c r="Q16" i="15"/>
  <c r="R15" i="15"/>
  <c r="C16" i="15"/>
  <c r="M16" i="15"/>
  <c r="I16" i="15"/>
  <c r="D16" i="15"/>
  <c r="H16" i="15"/>
  <c r="N16" i="15"/>
  <c r="E16" i="15"/>
  <c r="F16" i="15"/>
  <c r="G16" i="15"/>
  <c r="J16" i="15"/>
  <c r="K16" i="15"/>
  <c r="A17" i="15"/>
  <c r="L16" i="15"/>
  <c r="B17" i="15" l="1"/>
  <c r="P17" i="15"/>
  <c r="D40" i="35"/>
  <c r="C40" i="35" s="1"/>
  <c r="Q17" i="15"/>
  <c r="O17" i="15"/>
  <c r="R16" i="15"/>
  <c r="M17" i="15"/>
  <c r="G17" i="15"/>
  <c r="F17" i="15"/>
  <c r="K17" i="15"/>
  <c r="E17" i="15"/>
  <c r="J17" i="15"/>
  <c r="D17" i="15"/>
  <c r="H17" i="15"/>
  <c r="N17" i="15"/>
  <c r="I17" i="15"/>
  <c r="C17" i="15"/>
  <c r="L17" i="15"/>
  <c r="A18" i="15"/>
  <c r="B18" i="15" s="1"/>
  <c r="D41" i="35" l="1"/>
  <c r="C41" i="35" s="1"/>
  <c r="P18" i="15"/>
  <c r="Q18" i="15"/>
  <c r="O18" i="15"/>
  <c r="R17" i="15"/>
  <c r="J18" i="15"/>
  <c r="G18" i="15"/>
  <c r="C18" i="15"/>
  <c r="I18" i="15"/>
  <c r="F18" i="15"/>
  <c r="L18" i="15"/>
  <c r="N18" i="15"/>
  <c r="E18" i="15"/>
  <c r="H18" i="15"/>
  <c r="A19" i="15"/>
  <c r="B19" i="15" s="1"/>
  <c r="K18" i="15"/>
  <c r="M18" i="15"/>
  <c r="D42" i="35" l="1"/>
  <c r="C42" i="35" s="1"/>
  <c r="U45" i="35"/>
  <c r="U46" i="35" s="1"/>
  <c r="U47" i="35" s="1"/>
  <c r="P19" i="15"/>
  <c r="Q19" i="15"/>
  <c r="O19" i="15"/>
  <c r="R18" i="15"/>
  <c r="M19" i="15"/>
  <c r="L19" i="15"/>
  <c r="E19" i="15"/>
  <c r="J19" i="15"/>
  <c r="H19" i="15"/>
  <c r="I19" i="15"/>
  <c r="G19" i="15"/>
  <c r="C19" i="15"/>
  <c r="F19" i="15"/>
  <c r="N19" i="15"/>
  <c r="A20" i="15"/>
  <c r="B20" i="15" s="1"/>
  <c r="K19" i="15"/>
  <c r="D43" i="35" l="1"/>
  <c r="C43" i="35" s="1"/>
  <c r="AL139" i="35"/>
  <c r="AL140" i="35" s="1"/>
  <c r="AL141" i="35" s="1"/>
  <c r="P20" i="15"/>
  <c r="Q20" i="15"/>
  <c r="O20" i="15"/>
  <c r="R19" i="15"/>
  <c r="K20" i="15"/>
  <c r="J20" i="15"/>
  <c r="C20" i="15"/>
  <c r="F20" i="15"/>
  <c r="G20" i="15"/>
  <c r="N20" i="15"/>
  <c r="E20" i="15"/>
  <c r="M20" i="15"/>
  <c r="L20" i="15"/>
  <c r="D20" i="15"/>
  <c r="I20" i="15"/>
  <c r="H20" i="15"/>
  <c r="A21" i="15"/>
  <c r="B21" i="15" s="1"/>
  <c r="D44" i="35" l="1"/>
  <c r="C44" i="35" s="1"/>
  <c r="D92" i="35"/>
  <c r="D93" i="35" s="1"/>
  <c r="D94" i="35" s="1"/>
  <c r="U139" i="35"/>
  <c r="U140" i="35" s="1"/>
  <c r="U141" i="35" s="1"/>
  <c r="D139" i="35"/>
  <c r="D140" i="35" s="1"/>
  <c r="D141" i="35" s="1"/>
  <c r="AL92" i="35"/>
  <c r="AL93" i="35" s="1"/>
  <c r="AL94" i="35" s="1"/>
  <c r="AL45" i="35"/>
  <c r="AL46" i="35" s="1"/>
  <c r="AL47" i="35" s="1"/>
  <c r="P21" i="15"/>
  <c r="Q21" i="15"/>
  <c r="O21" i="15"/>
  <c r="M21" i="15"/>
  <c r="C21" i="15"/>
  <c r="H21" i="15"/>
  <c r="I21" i="15"/>
  <c r="E21" i="15"/>
  <c r="K21" i="15"/>
  <c r="N21" i="15"/>
  <c r="F21" i="15"/>
  <c r="A22" i="15"/>
  <c r="B22" i="15" s="1"/>
  <c r="L21" i="15"/>
  <c r="D21" i="15"/>
  <c r="G21" i="15"/>
  <c r="J21" i="15"/>
  <c r="R20" i="15"/>
  <c r="D45" i="35" l="1"/>
  <c r="D46" i="35" s="1"/>
  <c r="D47" i="35" s="1"/>
  <c r="O22" i="15"/>
  <c r="P22" i="15"/>
  <c r="Q22" i="15"/>
  <c r="G22" i="15"/>
  <c r="K22" i="15"/>
  <c r="E22" i="15"/>
  <c r="F22" i="15"/>
  <c r="C22" i="15"/>
  <c r="D22" i="15"/>
  <c r="A23" i="15"/>
  <c r="B23" i="15" s="1"/>
  <c r="H22" i="15"/>
  <c r="I22" i="15"/>
  <c r="J22" i="15"/>
  <c r="L22" i="15"/>
  <c r="N22" i="15"/>
  <c r="M22" i="15"/>
  <c r="R21" i="15"/>
  <c r="Q23" i="15" l="1"/>
  <c r="O23" i="15"/>
  <c r="P23" i="15"/>
  <c r="F23" i="15"/>
  <c r="L23" i="15"/>
  <c r="C23" i="15"/>
  <c r="G23" i="15"/>
  <c r="J23" i="15"/>
  <c r="N23" i="15"/>
  <c r="D23" i="15"/>
  <c r="M23" i="15"/>
  <c r="I23" i="15"/>
  <c r="E23" i="15"/>
  <c r="K23" i="15"/>
  <c r="H23" i="15"/>
  <c r="A24" i="15"/>
  <c r="B24" i="15" s="1"/>
  <c r="R22" i="15"/>
  <c r="Q24" i="15" l="1"/>
  <c r="O24" i="15"/>
  <c r="P24" i="15"/>
  <c r="R23" i="15"/>
  <c r="J24" i="15"/>
  <c r="C24" i="15"/>
  <c r="L24" i="15"/>
  <c r="N24" i="15"/>
  <c r="I24" i="15"/>
  <c r="D24" i="15"/>
  <c r="M24" i="15"/>
  <c r="H24" i="15"/>
  <c r="F24" i="15"/>
  <c r="K24" i="15"/>
  <c r="E24" i="15"/>
  <c r="A25" i="15"/>
  <c r="B25" i="15" s="1"/>
  <c r="Q25" i="15" l="1"/>
  <c r="O25" i="15"/>
  <c r="P25" i="15"/>
  <c r="R24" i="15"/>
  <c r="K25" i="15"/>
  <c r="E25" i="15"/>
  <c r="H25" i="15"/>
  <c r="G25" i="15"/>
  <c r="M25" i="15"/>
  <c r="I25" i="15"/>
  <c r="N25" i="15"/>
  <c r="C25" i="15"/>
  <c r="F25" i="15"/>
  <c r="D25" i="15"/>
  <c r="J25" i="15"/>
  <c r="L25" i="15"/>
  <c r="A26" i="15"/>
  <c r="B26" i="15" s="1"/>
  <c r="Q26" i="15" l="1"/>
  <c r="O26" i="15"/>
  <c r="P26" i="15"/>
  <c r="R25" i="15"/>
  <c r="F26" i="15"/>
  <c r="L26" i="15"/>
  <c r="E26" i="15"/>
  <c r="J26" i="15"/>
  <c r="A27" i="15"/>
  <c r="B27" i="15" s="1"/>
  <c r="I26" i="15"/>
  <c r="D26" i="15"/>
  <c r="K26" i="15"/>
  <c r="H26" i="15"/>
  <c r="M26" i="15"/>
  <c r="G26" i="15"/>
  <c r="C26" i="15"/>
  <c r="N26" i="15"/>
  <c r="P27" i="15" l="1"/>
  <c r="Q27" i="15"/>
  <c r="O27" i="15"/>
  <c r="J27" i="15"/>
  <c r="D27" i="15"/>
  <c r="N27" i="15"/>
  <c r="I27" i="15"/>
  <c r="L27" i="15"/>
  <c r="M27" i="15"/>
  <c r="C27" i="15"/>
  <c r="F27" i="15"/>
  <c r="H27" i="15"/>
  <c r="E27" i="15"/>
  <c r="K27" i="15"/>
  <c r="G27" i="15"/>
  <c r="A28" i="15"/>
  <c r="B28" i="15" s="1"/>
  <c r="R26" i="15"/>
  <c r="O28" i="15" l="1"/>
  <c r="Q28" i="15"/>
  <c r="P28" i="15"/>
  <c r="R27" i="15"/>
  <c r="K28" i="15"/>
  <c r="N28" i="15"/>
  <c r="J28" i="15"/>
  <c r="F28" i="15"/>
  <c r="M28" i="15"/>
  <c r="E28" i="15"/>
  <c r="L28" i="15"/>
  <c r="C28" i="15"/>
  <c r="G28" i="15"/>
  <c r="A29" i="15"/>
  <c r="B29" i="15" s="1"/>
  <c r="D28" i="15"/>
  <c r="I28" i="15"/>
  <c r="H28" i="15"/>
  <c r="J37" i="15" l="1"/>
  <c r="Q29" i="15"/>
  <c r="O29" i="15"/>
  <c r="P29" i="15"/>
  <c r="R28" i="15"/>
  <c r="N29" i="15"/>
  <c r="D29" i="15"/>
  <c r="H29" i="15"/>
  <c r="F29" i="15"/>
  <c r="K29" i="15"/>
  <c r="A30" i="15"/>
  <c r="B30" i="15" s="1"/>
  <c r="C29" i="15"/>
  <c r="J29" i="15"/>
  <c r="L29" i="15"/>
  <c r="E29" i="15"/>
  <c r="G29" i="15"/>
  <c r="I29" i="15"/>
  <c r="M29" i="15"/>
  <c r="Q30" i="15" l="1"/>
  <c r="O30" i="15"/>
  <c r="P30" i="15"/>
  <c r="K30" i="15"/>
  <c r="H30" i="15"/>
  <c r="E30" i="15"/>
  <c r="N30" i="15"/>
  <c r="G30" i="15"/>
  <c r="D30" i="15"/>
  <c r="A31" i="15"/>
  <c r="B31" i="15" s="1"/>
  <c r="C30" i="15"/>
  <c r="M30" i="15"/>
  <c r="F30" i="15"/>
  <c r="L30" i="15"/>
  <c r="J30" i="15"/>
  <c r="I30" i="15"/>
  <c r="R29" i="15"/>
  <c r="Q31" i="15" l="1"/>
  <c r="O31" i="15"/>
  <c r="P31" i="15"/>
  <c r="R30" i="15"/>
  <c r="L31" i="15"/>
  <c r="F31" i="15"/>
  <c r="M31" i="15"/>
  <c r="G31" i="15"/>
  <c r="N31" i="15"/>
  <c r="I31" i="15"/>
  <c r="E31" i="15"/>
  <c r="A32" i="15"/>
  <c r="B32" i="15" s="1"/>
  <c r="C31" i="15"/>
  <c r="H31" i="15"/>
  <c r="K31" i="15"/>
  <c r="J31" i="15"/>
  <c r="D31" i="15"/>
  <c r="O32" i="15" l="1"/>
  <c r="Q32" i="15"/>
  <c r="P32" i="15"/>
  <c r="R31" i="15"/>
  <c r="N32" i="15"/>
  <c r="M32" i="15"/>
  <c r="D32" i="15"/>
  <c r="H32" i="15"/>
  <c r="F32" i="15"/>
  <c r="C32" i="15"/>
  <c r="J32" i="15"/>
  <c r="A33" i="15"/>
  <c r="K32" i="15"/>
  <c r="G32" i="15"/>
  <c r="L32" i="15"/>
  <c r="I32" i="15"/>
  <c r="E32" i="15"/>
  <c r="B33" i="15" l="1"/>
  <c r="P33" i="15"/>
  <c r="O33" i="15"/>
  <c r="Q33" i="15"/>
  <c r="R32" i="15"/>
  <c r="H33" i="15"/>
  <c r="K33" i="15"/>
  <c r="E33" i="15"/>
  <c r="I33" i="15"/>
  <c r="A34" i="15"/>
  <c r="B34" i="15" s="1"/>
  <c r="J33" i="15"/>
  <c r="D33" i="15"/>
  <c r="F33" i="15"/>
  <c r="M33" i="15"/>
  <c r="L33" i="15"/>
  <c r="C33" i="15"/>
  <c r="N33" i="15"/>
  <c r="P34" i="15" l="1"/>
  <c r="Q34" i="15"/>
  <c r="O34" i="15"/>
  <c r="A35" i="15"/>
  <c r="J34" i="15"/>
  <c r="E34" i="15"/>
  <c r="M34" i="15"/>
  <c r="C34" i="15"/>
  <c r="I34" i="15"/>
  <c r="N34" i="15"/>
  <c r="D34" i="15"/>
  <c r="L34" i="15"/>
  <c r="K34" i="15"/>
  <c r="H34" i="15"/>
  <c r="R33" i="15"/>
  <c r="B35" i="15" l="1"/>
  <c r="P35" i="15"/>
  <c r="Q6" i="16" s="1"/>
  <c r="Q35" i="15"/>
  <c r="R6" i="16" s="1"/>
  <c r="O35" i="15"/>
  <c r="P6" i="16" s="1"/>
  <c r="R34" i="15"/>
  <c r="K35" i="15"/>
  <c r="C35" i="15"/>
  <c r="N35" i="15"/>
  <c r="E35" i="15"/>
  <c r="L35" i="15"/>
  <c r="F35" i="15"/>
  <c r="D35" i="15"/>
  <c r="H35" i="15"/>
  <c r="I35" i="15"/>
  <c r="M35" i="15"/>
  <c r="J35" i="15"/>
  <c r="K34" i="16" l="1"/>
  <c r="R35" i="15"/>
  <c r="R36" i="15" s="1"/>
  <c r="M13" i="24" l="1"/>
  <c r="Q13" i="24" s="1"/>
  <c r="G17" i="17"/>
  <c r="G19" i="17" s="1"/>
  <c r="K13" i="24"/>
  <c r="G35" i="15"/>
  <c r="I13" i="24"/>
  <c r="I17" i="24" s="1"/>
  <c r="I17" i="17"/>
  <c r="I19" i="17" s="1"/>
  <c r="F13" i="24"/>
  <c r="H13" i="24"/>
  <c r="H17" i="24" s="1"/>
  <c r="J13" i="24"/>
  <c r="J17" i="24" s="1"/>
  <c r="G34" i="15"/>
  <c r="G33" i="15"/>
  <c r="F17" i="17"/>
  <c r="F19" i="17" s="1"/>
  <c r="N13" i="24"/>
  <c r="N17" i="24" s="1"/>
  <c r="H17" i="17"/>
  <c r="H19" i="17" s="1"/>
  <c r="L13" i="24"/>
  <c r="R13" i="24" l="1"/>
  <c r="L17" i="24"/>
  <c r="F17" i="24"/>
  <c r="F18" i="24" s="1"/>
  <c r="P17" i="24"/>
  <c r="P13" i="24"/>
  <c r="H18" i="24"/>
  <c r="I18" i="24"/>
  <c r="J17" i="17"/>
  <c r="J19" i="17" s="1"/>
  <c r="N17" i="17"/>
  <c r="N19" i="17" s="1"/>
  <c r="M17" i="17"/>
  <c r="M19" i="17" s="1"/>
  <c r="I18" i="17"/>
  <c r="G18" i="17"/>
  <c r="H18" i="17"/>
  <c r="F18" i="17"/>
  <c r="O14" i="17"/>
  <c r="E17" i="17"/>
  <c r="E19" i="17" s="1"/>
  <c r="N18" i="24" l="1"/>
  <c r="Y16" i="31"/>
  <c r="Z16" i="31"/>
  <c r="L18" i="24"/>
  <c r="R17" i="24"/>
  <c r="J18" i="24"/>
  <c r="N18" i="17"/>
  <c r="J18" i="17"/>
  <c r="M18" i="17"/>
  <c r="E18" i="17"/>
  <c r="P14" i="17"/>
  <c r="Q14" i="17"/>
  <c r="B2868" i="21"/>
  <c r="C2868" i="21"/>
  <c r="K11" i="24" l="1"/>
  <c r="E10" i="15"/>
  <c r="E11" i="15"/>
  <c r="K17" i="24" l="1"/>
  <c r="K18" i="24" s="1"/>
  <c r="K17" i="17"/>
  <c r="K19" i="17" s="1"/>
  <c r="K18" i="17" l="1"/>
  <c r="D11" i="24" l="1"/>
  <c r="O8" i="17" l="1"/>
  <c r="P8" i="17" s="1"/>
  <c r="O11" i="24"/>
  <c r="U92" i="35" l="1"/>
  <c r="U93" i="35" s="1"/>
  <c r="U94" i="35" s="1"/>
  <c r="Q8" i="17"/>
  <c r="Y9" i="31" l="1"/>
  <c r="Z9" i="31"/>
  <c r="D19" i="15" l="1"/>
  <c r="D18" i="15"/>
  <c r="E6" i="16"/>
  <c r="M10" i="24"/>
  <c r="Q10" i="24" l="1"/>
  <c r="M17" i="24"/>
  <c r="Q17" i="24" s="1"/>
  <c r="L17" i="17"/>
  <c r="L19" i="17" s="1"/>
  <c r="O10" i="24"/>
  <c r="K11" i="16"/>
  <c r="C43" i="16"/>
  <c r="O11" i="17" l="1"/>
  <c r="X19" i="31" s="1"/>
  <c r="X21" i="31" s="1"/>
  <c r="E7" i="16"/>
  <c r="L11" i="16"/>
  <c r="M18" i="24"/>
  <c r="L18" i="17"/>
  <c r="Q11" i="17" l="1"/>
  <c r="P11" i="17"/>
  <c r="Z13" i="31"/>
  <c r="Y13" i="31"/>
  <c r="K7" i="16"/>
  <c r="N7" i="16"/>
  <c r="O7" i="16" l="1"/>
  <c r="X28" i="31"/>
  <c r="K8" i="36" l="1"/>
  <c r="W13" i="1"/>
  <c r="F13" i="15"/>
  <c r="C90" i="38" l="1"/>
  <c r="C116" i="35"/>
  <c r="C18" i="24"/>
  <c r="D12" i="24" l="1"/>
  <c r="F34" i="15"/>
  <c r="AF8" i="36"/>
  <c r="AH8" i="36" s="1"/>
  <c r="C12" i="17"/>
  <c r="C17" i="17" s="1"/>
  <c r="O12" i="17" l="1"/>
  <c r="D17" i="24"/>
  <c r="O12" i="24"/>
  <c r="C19" i="17" l="1"/>
  <c r="C18" i="17"/>
  <c r="D18" i="24"/>
  <c r="Q12" i="17"/>
  <c r="P12" i="17"/>
  <c r="V75" i="38"/>
  <c r="Q44" i="38"/>
  <c r="R44" i="38"/>
  <c r="V76" i="38" l="1"/>
  <c r="V77" i="38" s="1"/>
  <c r="X44" i="38" s="1"/>
  <c r="AD55" i="1"/>
  <c r="AF55" i="1" s="1"/>
  <c r="G24" i="15" l="1"/>
  <c r="AB55" i="1"/>
  <c r="AE56" i="1" s="1"/>
  <c r="G6" i="16"/>
  <c r="V9" i="36"/>
  <c r="AH9" i="36" s="1"/>
  <c r="AH13" i="36" s="1"/>
  <c r="AD56" i="1" l="1"/>
  <c r="AF56" i="1" s="1"/>
  <c r="K14" i="16"/>
  <c r="C46" i="16"/>
  <c r="AB56" i="1" l="1"/>
  <c r="AE57" i="1" s="1"/>
  <c r="K22" i="16"/>
  <c r="K31" i="16"/>
  <c r="M14" i="16" s="1"/>
  <c r="L14" i="16"/>
  <c r="L22" i="16" s="1"/>
  <c r="AD57" i="1" l="1"/>
  <c r="AF57" i="1" s="1"/>
  <c r="AD58" i="1"/>
  <c r="AF58" i="1" s="1"/>
  <c r="AB58" i="1" s="1"/>
  <c r="M41" i="16"/>
  <c r="M10" i="16"/>
  <c r="M12" i="16"/>
  <c r="M15" i="16"/>
  <c r="M13" i="16"/>
  <c r="M11" i="16"/>
  <c r="AB57" i="1" l="1"/>
  <c r="E13" i="24"/>
  <c r="D13" i="17"/>
  <c r="O13" i="24" l="1"/>
  <c r="E17" i="24"/>
  <c r="O13" i="17"/>
  <c r="D17" i="17"/>
  <c r="O17" i="24" l="1"/>
  <c r="E18" i="24"/>
  <c r="O18" i="24" s="1"/>
  <c r="D19" i="17"/>
  <c r="O19" i="17" s="1"/>
  <c r="D18" i="17"/>
  <c r="O18" i="17" s="1"/>
  <c r="O17" i="17"/>
  <c r="P13" i="17"/>
  <c r="Q13" i="17"/>
  <c r="R80" i="1"/>
  <c r="R92" i="1" l="1"/>
  <c r="R93" i="1" l="1"/>
  <c r="AM370" i="1"/>
  <c r="I7" i="16" s="1"/>
  <c r="R204" i="1" l="1"/>
  <c r="S204" i="1"/>
  <c r="R320" i="1"/>
  <c r="S320" i="1"/>
  <c r="R239" i="1"/>
  <c r="S239" i="1"/>
  <c r="R232" i="1"/>
  <c r="S232" i="1"/>
  <c r="R157" i="1"/>
  <c r="S157" i="1"/>
  <c r="R340" i="1"/>
  <c r="S340" i="1"/>
  <c r="R234" i="1"/>
  <c r="S234" i="1"/>
  <c r="S326" i="1"/>
  <c r="R326" i="1"/>
  <c r="R228" i="1"/>
  <c r="S228" i="1"/>
  <c r="S145" i="1"/>
  <c r="R145" i="1"/>
  <c r="S235" i="1"/>
  <c r="R235" i="1"/>
  <c r="R192" i="1"/>
  <c r="S192" i="1"/>
  <c r="R134" i="1"/>
  <c r="S134" i="1"/>
  <c r="S181" i="1"/>
  <c r="R181" i="1"/>
  <c r="S135" i="1"/>
  <c r="R135" i="1"/>
  <c r="S270" i="1"/>
  <c r="R270" i="1"/>
  <c r="S339" i="1"/>
  <c r="R339" i="1"/>
  <c r="S127" i="1"/>
  <c r="R127" i="1"/>
  <c r="R301" i="1"/>
  <c r="S301" i="1"/>
  <c r="S177" i="1"/>
  <c r="R177" i="1"/>
  <c r="S281" i="1"/>
  <c r="R281" i="1"/>
  <c r="R142" i="1"/>
  <c r="S142" i="1"/>
  <c r="S368" i="1"/>
  <c r="R368" i="1"/>
  <c r="R278" i="1"/>
  <c r="S278" i="1"/>
  <c r="S262" i="1"/>
  <c r="R262" i="1"/>
  <c r="R151" i="1"/>
  <c r="S151" i="1"/>
  <c r="S305" i="1"/>
  <c r="R305" i="1"/>
  <c r="S214" i="1"/>
  <c r="R214" i="1"/>
  <c r="R306" i="1"/>
  <c r="S306" i="1"/>
  <c r="S163" i="1"/>
  <c r="R163" i="1"/>
  <c r="R300" i="1"/>
  <c r="S300" i="1"/>
  <c r="S251" i="1"/>
  <c r="R251" i="1"/>
  <c r="R318" i="1"/>
  <c r="S318" i="1"/>
  <c r="R230" i="1"/>
  <c r="S230" i="1"/>
  <c r="R249" i="1"/>
  <c r="S249" i="1"/>
  <c r="R312" i="1"/>
  <c r="S312" i="1"/>
  <c r="S231" i="1"/>
  <c r="R231" i="1"/>
  <c r="S227" i="1"/>
  <c r="R227" i="1"/>
  <c r="S172" i="1"/>
  <c r="R172" i="1"/>
  <c r="R141" i="1"/>
  <c r="S141" i="1"/>
  <c r="R276" i="1"/>
  <c r="S276" i="1"/>
  <c r="R161" i="1"/>
  <c r="S161" i="1"/>
  <c r="R197" i="1"/>
  <c r="S197" i="1"/>
  <c r="S225" i="1"/>
  <c r="R225" i="1"/>
  <c r="S242" i="1"/>
  <c r="R242" i="1"/>
  <c r="R335" i="1"/>
  <c r="S335" i="1"/>
  <c r="R229" i="1"/>
  <c r="S229" i="1"/>
  <c r="S313" i="1"/>
  <c r="R313" i="1"/>
  <c r="R343" i="1"/>
  <c r="S343" i="1"/>
  <c r="S187" i="1"/>
  <c r="R187" i="1"/>
  <c r="R341" i="1"/>
  <c r="S341" i="1"/>
  <c r="S190" i="1"/>
  <c r="R190" i="1"/>
  <c r="S198" i="1"/>
  <c r="R198" i="1"/>
  <c r="R156" i="1"/>
  <c r="S156" i="1"/>
  <c r="R334" i="1"/>
  <c r="S334" i="1"/>
  <c r="R319" i="1"/>
  <c r="S319" i="1"/>
  <c r="R361" i="1"/>
  <c r="S361" i="1"/>
  <c r="R315" i="1"/>
  <c r="S315" i="1"/>
  <c r="S254" i="1"/>
  <c r="R254" i="1"/>
  <c r="S195" i="1"/>
  <c r="R195" i="1"/>
  <c r="R309" i="1"/>
  <c r="S309" i="1"/>
  <c r="S191" i="1"/>
  <c r="R191" i="1"/>
  <c r="S202" i="1"/>
  <c r="R202" i="1"/>
  <c r="S277" i="1"/>
  <c r="R277" i="1"/>
  <c r="R283" i="1"/>
  <c r="S283" i="1"/>
  <c r="R184" i="1"/>
  <c r="S184" i="1"/>
  <c r="S288" i="1"/>
  <c r="R288" i="1"/>
  <c r="S266" i="1"/>
  <c r="R266" i="1"/>
  <c r="R260" i="1"/>
  <c r="S260" i="1"/>
  <c r="R222" i="1"/>
  <c r="S222" i="1"/>
  <c r="S144" i="1"/>
  <c r="R144" i="1"/>
  <c r="R289" i="1"/>
  <c r="S289" i="1"/>
  <c r="R336" i="1"/>
  <c r="S336" i="1"/>
  <c r="S369" i="1"/>
  <c r="R369" i="1"/>
  <c r="S224" i="1"/>
  <c r="R224" i="1"/>
  <c r="S226" i="1"/>
  <c r="R226" i="1"/>
  <c r="R360" i="1"/>
  <c r="S360" i="1"/>
  <c r="R321" i="1"/>
  <c r="S321" i="1"/>
  <c r="S246" i="1"/>
  <c r="R246" i="1"/>
  <c r="S193" i="1"/>
  <c r="R193" i="1"/>
  <c r="S347" i="1"/>
  <c r="R347" i="1"/>
  <c r="R122" i="1"/>
  <c r="S122" i="1"/>
  <c r="R295" i="1"/>
  <c r="S295" i="1"/>
  <c r="S298" i="1"/>
  <c r="R298" i="1"/>
  <c r="S261" i="1"/>
  <c r="R261" i="1"/>
  <c r="R286" i="1"/>
  <c r="S286" i="1"/>
  <c r="S263" i="1"/>
  <c r="R263" i="1"/>
  <c r="S165" i="1"/>
  <c r="R165" i="1"/>
  <c r="S252" i="1"/>
  <c r="R252" i="1"/>
  <c r="S162" i="1"/>
  <c r="R162" i="1"/>
  <c r="S325" i="1"/>
  <c r="R325" i="1"/>
  <c r="R199" i="1"/>
  <c r="S199" i="1"/>
  <c r="R303" i="1"/>
  <c r="S303" i="1"/>
  <c r="S329" i="1"/>
  <c r="R329" i="1"/>
  <c r="S365" i="1"/>
  <c r="R365" i="1"/>
  <c r="R271" i="1"/>
  <c r="S271" i="1"/>
  <c r="S171" i="1"/>
  <c r="R171" i="1"/>
  <c r="R133" i="1"/>
  <c r="S133" i="1"/>
  <c r="S253" i="1"/>
  <c r="R253" i="1"/>
  <c r="R284" i="1"/>
  <c r="S284" i="1"/>
  <c r="S245" i="1"/>
  <c r="R245" i="1"/>
  <c r="S290" i="1"/>
  <c r="R290" i="1"/>
  <c r="S362" i="1"/>
  <c r="R362" i="1"/>
  <c r="S213" i="1"/>
  <c r="R213" i="1"/>
  <c r="R338" i="1"/>
  <c r="S338" i="1"/>
  <c r="R146" i="1"/>
  <c r="S146" i="1"/>
  <c r="S173" i="1"/>
  <c r="R173" i="1"/>
  <c r="R159" i="1"/>
  <c r="S159" i="1"/>
  <c r="S279" i="1"/>
  <c r="R279" i="1"/>
  <c r="S149" i="1"/>
  <c r="R149" i="1"/>
  <c r="R131" i="1"/>
  <c r="S131" i="1"/>
  <c r="S155" i="1"/>
  <c r="R155" i="1"/>
  <c r="S210" i="1"/>
  <c r="R210" i="1"/>
  <c r="R168" i="1"/>
  <c r="S168" i="1"/>
  <c r="S275" i="1"/>
  <c r="R275" i="1"/>
  <c r="R273" i="1"/>
  <c r="S273" i="1"/>
  <c r="S272" i="1"/>
  <c r="R272" i="1"/>
  <c r="R258" i="1"/>
  <c r="S258" i="1"/>
  <c r="S317" i="1"/>
  <c r="R317" i="1"/>
  <c r="S274" i="1"/>
  <c r="R274" i="1"/>
  <c r="R292" i="1"/>
  <c r="S292" i="1"/>
  <c r="R128" i="1"/>
  <c r="S128" i="1"/>
  <c r="R233" i="1"/>
  <c r="S233" i="1"/>
  <c r="R215" i="1"/>
  <c r="S215" i="1"/>
  <c r="S259" i="1"/>
  <c r="R259" i="1"/>
  <c r="S244" i="1"/>
  <c r="R244" i="1"/>
  <c r="S351" i="1"/>
  <c r="R351" i="1"/>
  <c r="R148" i="1"/>
  <c r="S148" i="1"/>
  <c r="S194" i="1"/>
  <c r="R194" i="1"/>
  <c r="R308" i="1"/>
  <c r="S308" i="1"/>
  <c r="R140" i="1"/>
  <c r="S140" i="1"/>
  <c r="R203" i="1"/>
  <c r="S203" i="1"/>
  <c r="S287" i="1"/>
  <c r="R287" i="1"/>
  <c r="S264" i="1"/>
  <c r="R264" i="1"/>
  <c r="S311" i="1"/>
  <c r="R311" i="1"/>
  <c r="R123" i="1"/>
  <c r="S123" i="1"/>
  <c r="S147" i="1"/>
  <c r="R147" i="1"/>
  <c r="S189" i="1"/>
  <c r="R189" i="1"/>
  <c r="R307" i="1"/>
  <c r="S307" i="1"/>
  <c r="S302" i="1"/>
  <c r="R302" i="1"/>
  <c r="S330" i="1"/>
  <c r="R330" i="1"/>
  <c r="R164" i="1"/>
  <c r="S164" i="1"/>
  <c r="R139" i="1"/>
  <c r="S139" i="1"/>
  <c r="S363" i="1"/>
  <c r="R363" i="1"/>
  <c r="S323" i="1"/>
  <c r="R323" i="1"/>
  <c r="R136" i="1"/>
  <c r="S136" i="1"/>
  <c r="R353" i="1"/>
  <c r="S353" i="1"/>
  <c r="R322" i="1"/>
  <c r="S322" i="1"/>
  <c r="R176" i="1"/>
  <c r="S176" i="1"/>
  <c r="R327" i="1"/>
  <c r="S327" i="1"/>
  <c r="R294" i="1"/>
  <c r="S294" i="1"/>
  <c r="R221" i="1"/>
  <c r="S221" i="1"/>
  <c r="S354" i="1"/>
  <c r="R354" i="1"/>
  <c r="R255" i="1"/>
  <c r="S255" i="1"/>
  <c r="S331" i="1"/>
  <c r="R331" i="1"/>
  <c r="S310" i="1"/>
  <c r="R310" i="1"/>
  <c r="S217" i="1"/>
  <c r="R217" i="1"/>
  <c r="S236" i="1"/>
  <c r="R236" i="1"/>
  <c r="S126" i="1"/>
  <c r="R126" i="1"/>
  <c r="S154" i="1"/>
  <c r="R154" i="1"/>
  <c r="R250" i="1"/>
  <c r="S250" i="1"/>
  <c r="L7" i="16"/>
  <c r="R121" i="1"/>
  <c r="S121" i="1"/>
  <c r="S370" i="1"/>
  <c r="R291" i="1"/>
  <c r="S291" i="1"/>
  <c r="R207" i="1"/>
  <c r="S207" i="1"/>
  <c r="R219" i="1"/>
  <c r="S219" i="1"/>
  <c r="R169" i="1"/>
  <c r="S169" i="1"/>
  <c r="R137" i="1"/>
  <c r="S137" i="1"/>
  <c r="R175" i="1"/>
  <c r="S175" i="1"/>
  <c r="S352" i="1"/>
  <c r="R352" i="1"/>
  <c r="S237" i="1"/>
  <c r="R237" i="1"/>
  <c r="S265" i="1"/>
  <c r="R265" i="1"/>
  <c r="S179" i="1"/>
  <c r="R179" i="1"/>
  <c r="S182" i="1"/>
  <c r="R182" i="1"/>
  <c r="R344" i="1"/>
  <c r="S344" i="1"/>
  <c r="R328" i="1"/>
  <c r="S328" i="1"/>
  <c r="R124" i="1"/>
  <c r="S124" i="1"/>
  <c r="R138" i="1"/>
  <c r="S138" i="1"/>
  <c r="S280" i="1"/>
  <c r="R280" i="1"/>
  <c r="R216" i="1"/>
  <c r="S216" i="1"/>
  <c r="R257" i="1"/>
  <c r="S257" i="1"/>
  <c r="S247" i="1"/>
  <c r="R247" i="1"/>
  <c r="R200" i="1"/>
  <c r="S200" i="1"/>
  <c r="S297" i="1"/>
  <c r="R297" i="1"/>
  <c r="S348" i="1"/>
  <c r="R348" i="1"/>
  <c r="S143" i="1"/>
  <c r="R143" i="1"/>
  <c r="R269" i="1"/>
  <c r="S269" i="1"/>
  <c r="S183" i="1"/>
  <c r="R183" i="1"/>
  <c r="R201" i="1"/>
  <c r="S201" i="1"/>
  <c r="S220" i="1"/>
  <c r="R220" i="1"/>
  <c r="R153" i="1"/>
  <c r="S153" i="1"/>
  <c r="R158" i="1"/>
  <c r="S158" i="1"/>
  <c r="S174" i="1"/>
  <c r="R174" i="1"/>
  <c r="R125" i="1"/>
  <c r="S125" i="1"/>
  <c r="S130" i="1"/>
  <c r="R130" i="1"/>
  <c r="S346" i="1"/>
  <c r="R346" i="1"/>
  <c r="S357" i="1"/>
  <c r="R357" i="1"/>
  <c r="S256" i="1"/>
  <c r="R256" i="1"/>
  <c r="R170" i="1"/>
  <c r="S170" i="1"/>
  <c r="R129" i="1"/>
  <c r="S129" i="1"/>
  <c r="R332" i="1"/>
  <c r="S332" i="1"/>
  <c r="S358" i="1"/>
  <c r="R358" i="1"/>
  <c r="R212" i="1"/>
  <c r="S212" i="1"/>
  <c r="R268" i="1"/>
  <c r="S268" i="1"/>
  <c r="S223" i="1"/>
  <c r="R223" i="1"/>
  <c r="R324" i="1"/>
  <c r="S324" i="1"/>
  <c r="S218" i="1"/>
  <c r="R218" i="1"/>
  <c r="S188" i="1"/>
  <c r="R188" i="1"/>
  <c r="R209" i="1"/>
  <c r="S209" i="1"/>
  <c r="S166" i="1"/>
  <c r="R166" i="1"/>
  <c r="S211" i="1"/>
  <c r="R211" i="1"/>
  <c r="S167" i="1"/>
  <c r="R167" i="1"/>
  <c r="R316" i="1"/>
  <c r="S316" i="1"/>
  <c r="S186" i="1"/>
  <c r="R186" i="1"/>
  <c r="S180" i="1"/>
  <c r="R180" i="1"/>
  <c r="S150" i="1"/>
  <c r="R150" i="1"/>
  <c r="R355" i="1"/>
  <c r="S355" i="1"/>
  <c r="S366" i="1"/>
  <c r="R366" i="1"/>
  <c r="R248" i="1"/>
  <c r="S248" i="1"/>
  <c r="R349" i="1"/>
  <c r="S349" i="1"/>
  <c r="S296" i="1"/>
  <c r="R296" i="1"/>
  <c r="R345" i="1"/>
  <c r="S345" i="1"/>
  <c r="R267" i="1"/>
  <c r="S267" i="1"/>
  <c r="R337" i="1"/>
  <c r="S337" i="1"/>
  <c r="R208" i="1"/>
  <c r="S208" i="1"/>
  <c r="R205" i="1"/>
  <c r="S205" i="1"/>
  <c r="R178" i="1"/>
  <c r="S178" i="1"/>
  <c r="S367" i="1"/>
  <c r="R367" i="1"/>
  <c r="S160" i="1"/>
  <c r="R160" i="1"/>
  <c r="S152" i="1"/>
  <c r="R152" i="1"/>
  <c r="R304" i="1"/>
  <c r="S304" i="1"/>
  <c r="R132" i="1"/>
  <c r="S132" i="1"/>
  <c r="R241" i="1"/>
  <c r="S241" i="1"/>
  <c r="R238" i="1"/>
  <c r="S238" i="1"/>
  <c r="R243" i="1"/>
  <c r="S243" i="1"/>
  <c r="S282" i="1"/>
  <c r="R282" i="1"/>
  <c r="S185" i="1"/>
  <c r="R185" i="1"/>
  <c r="S333" i="1"/>
  <c r="R333" i="1"/>
  <c r="R240" i="1"/>
  <c r="S240" i="1"/>
  <c r="S299" i="1"/>
  <c r="R299" i="1"/>
  <c r="R342" i="1"/>
  <c r="S342" i="1"/>
  <c r="R293" i="1"/>
  <c r="S293" i="1"/>
  <c r="R356" i="1"/>
  <c r="S356" i="1"/>
  <c r="S206" i="1"/>
  <c r="R206" i="1"/>
  <c r="S285" i="1"/>
  <c r="R285" i="1"/>
  <c r="S314" i="1"/>
  <c r="R314" i="1"/>
  <c r="R359" i="1"/>
  <c r="S359" i="1"/>
  <c r="S196" i="1"/>
  <c r="R196" i="1"/>
  <c r="S350" i="1"/>
  <c r="R350" i="1"/>
  <c r="S364" i="1"/>
  <c r="R364" i="1"/>
</calcChain>
</file>

<file path=xl/sharedStrings.xml><?xml version="1.0" encoding="utf-8"?>
<sst xmlns="http://schemas.openxmlformats.org/spreadsheetml/2006/main" count="8083" uniqueCount="859">
  <si>
    <t>POZO N° 10</t>
  </si>
  <si>
    <t>POZO N° 11</t>
  </si>
  <si>
    <t>POZO N° 13</t>
  </si>
  <si>
    <t>MINAQUEROS</t>
  </si>
  <si>
    <t>PLANTA DE TRATAMIENTO</t>
  </si>
  <si>
    <t>GALERIAS FILTRANTES NARANJAL</t>
  </si>
  <si>
    <t>POZO CHINCHA BAJA</t>
  </si>
  <si>
    <t>POZO CALLE MORA</t>
  </si>
  <si>
    <t>POZO TAMBO DE MORA</t>
  </si>
  <si>
    <t>POZO MEDRANO</t>
  </si>
  <si>
    <t>CBAP HIJAYA</t>
  </si>
  <si>
    <t>CBAP ALTO LARAN</t>
  </si>
  <si>
    <t>CBAP PUEBLO NUEVO</t>
  </si>
  <si>
    <t>Dia</t>
  </si>
  <si>
    <t>m3/día</t>
  </si>
  <si>
    <t>diciembre</t>
  </si>
  <si>
    <t>SUB TOTAL</t>
  </si>
  <si>
    <t>ERROR DE LECTURA</t>
  </si>
  <si>
    <t>Mes</t>
  </si>
  <si>
    <t>ELEGIR EL MES A VISUALIZAR</t>
  </si>
  <si>
    <t>Resumen Mensual (m3/día)</t>
  </si>
  <si>
    <t>POZO 10</t>
  </si>
  <si>
    <t>POZO 11</t>
  </si>
  <si>
    <t>POZO 13</t>
  </si>
  <si>
    <t>GF MINAQUEROS</t>
  </si>
  <si>
    <t>PTAP PORTACHUELOS</t>
  </si>
  <si>
    <t>GF NARANJAL</t>
  </si>
  <si>
    <t>POZO CBAJA</t>
  </si>
  <si>
    <t>POZO MORA</t>
  </si>
  <si>
    <t>POZO TAMBO</t>
  </si>
  <si>
    <t>DIA</t>
  </si>
  <si>
    <t>PORTACHUELOS</t>
  </si>
  <si>
    <t>NARANJAL</t>
  </si>
  <si>
    <t>PZO CHBAJA</t>
  </si>
  <si>
    <t>POZO C.MORA</t>
  </si>
  <si>
    <t>PZO T.MORA</t>
  </si>
  <si>
    <t>CAPTACIONES</t>
  </si>
  <si>
    <t>Q prom/dia</t>
  </si>
  <si>
    <t>TOTAL</t>
  </si>
  <si>
    <t>REBOMBEO DE AP</t>
  </si>
  <si>
    <t>Volumen total</t>
  </si>
  <si>
    <t>Q prom/día</t>
  </si>
  <si>
    <t>TOTAL REBOMBEO</t>
  </si>
  <si>
    <t>FUENTES</t>
  </si>
  <si>
    <t xml:space="preserve">MESES </t>
  </si>
  <si>
    <t>ENE</t>
  </si>
  <si>
    <t>FEB</t>
  </si>
  <si>
    <t>MAR</t>
  </si>
  <si>
    <t>ABR</t>
  </si>
  <si>
    <t>MAY</t>
  </si>
  <si>
    <t>JUN</t>
  </si>
  <si>
    <t>JUL</t>
  </si>
  <si>
    <t>AGO</t>
  </si>
  <si>
    <t>SET</t>
  </si>
  <si>
    <t>OCT</t>
  </si>
  <si>
    <t>NOV</t>
  </si>
  <si>
    <t>DIC</t>
  </si>
  <si>
    <t xml:space="preserve">POZO Nº 10 </t>
  </si>
  <si>
    <t>POZO Nº 11</t>
  </si>
  <si>
    <t>POZO Nº 13</t>
  </si>
  <si>
    <t xml:space="preserve">GALERIA FILTRANTE DE NARANJAL </t>
  </si>
  <si>
    <t>GALERIA FILTRANTE MINAQUEROS</t>
  </si>
  <si>
    <t>PLANTA DE TRATAMIENTO DE PORTACHUELOS</t>
  </si>
  <si>
    <t>POZO DE CHINCHA BAJA</t>
  </si>
  <si>
    <t>POZO DE TAMBO DE MORA</t>
  </si>
  <si>
    <t>FUENTES DE PRODUCCION</t>
  </si>
  <si>
    <t>PRODUCCION AUTORIZADA - ANA</t>
  </si>
  <si>
    <t>PRODUCCION ANUAL 2019</t>
  </si>
  <si>
    <t>PRODUCCION ANUAL 2020</t>
  </si>
  <si>
    <t>PRODUCCION ANUAL 2021</t>
  </si>
  <si>
    <t>PRODUCCION ANUAL 2022</t>
  </si>
  <si>
    <t>PRODUCCION ANUAL 2023</t>
  </si>
  <si>
    <t>POZO Nº 9</t>
  </si>
  <si>
    <t>TOTAL PRODUCCION</t>
  </si>
  <si>
    <t>FECHA DE REPORTE :</t>
  </si>
  <si>
    <t>CORTE</t>
  </si>
  <si>
    <t>RESTABLECIMIENTO</t>
  </si>
  <si>
    <t>ITEM</t>
  </si>
  <si>
    <t xml:space="preserve">FUENTE DE CAPTACION </t>
  </si>
  <si>
    <t>MOTIVO</t>
  </si>
  <si>
    <t>FECHA</t>
  </si>
  <si>
    <t>HORA</t>
  </si>
  <si>
    <t xml:space="preserve">FECHA </t>
  </si>
  <si>
    <t>TIEMPO DE CORTE (HR)</t>
  </si>
  <si>
    <t>Etiquetas de fila</t>
  </si>
  <si>
    <t>Total general</t>
  </si>
  <si>
    <t>PLACA</t>
  </si>
  <si>
    <t>EAL211</t>
  </si>
  <si>
    <t>EAL214</t>
  </si>
  <si>
    <t>EAK804</t>
  </si>
  <si>
    <t>EAL223</t>
  </si>
  <si>
    <t>GLN</t>
  </si>
  <si>
    <t>M3</t>
  </si>
  <si>
    <t>CLORO RESIDUAL</t>
  </si>
  <si>
    <t>OPERADOR</t>
  </si>
  <si>
    <t>EAJ724</t>
  </si>
  <si>
    <t>EAA065</t>
  </si>
  <si>
    <t>EAJ561</t>
  </si>
  <si>
    <t>EAK735</t>
  </si>
  <si>
    <t>EAL187</t>
  </si>
  <si>
    <t>EAL478</t>
  </si>
  <si>
    <t>CISTERNA</t>
  </si>
  <si>
    <t>HIDROJET</t>
  </si>
  <si>
    <t>TVEHICULO</t>
  </si>
  <si>
    <t>EAK750</t>
  </si>
  <si>
    <t>BAE937</t>
  </si>
  <si>
    <t>ITM</t>
  </si>
  <si>
    <t>SURTIDOR RE03</t>
  </si>
  <si>
    <t>SURTIDOR</t>
  </si>
  <si>
    <t>EBAP HIJAYA</t>
  </si>
  <si>
    <t>SURTIDOR EBAP HIJAYA</t>
  </si>
  <si>
    <t>06:00</t>
  </si>
  <si>
    <t>01/01/2023</t>
  </si>
  <si>
    <t>10:00</t>
  </si>
  <si>
    <t>14:00</t>
  </si>
  <si>
    <t>18:00</t>
  </si>
  <si>
    <t>02/01/2023</t>
  </si>
  <si>
    <t>03/01/2023</t>
  </si>
  <si>
    <t>04/01/2023</t>
  </si>
  <si>
    <t>05/01/2023</t>
  </si>
  <si>
    <t>06/01/2023</t>
  </si>
  <si>
    <t>07/01/2023</t>
  </si>
  <si>
    <t>08/01/2023</t>
  </si>
  <si>
    <t>09/01/2023</t>
  </si>
  <si>
    <t>10/01/2023</t>
  </si>
  <si>
    <t>11/01/2023</t>
  </si>
  <si>
    <t>12/01/2023</t>
  </si>
  <si>
    <t>13/01/2023</t>
  </si>
  <si>
    <t>14/01/2023</t>
  </si>
  <si>
    <t>15/01/2023</t>
  </si>
  <si>
    <t>16/01/2023</t>
  </si>
  <si>
    <t>17/01/2023</t>
  </si>
  <si>
    <t>18/01/2023</t>
  </si>
  <si>
    <t>19/01/2023</t>
  </si>
  <si>
    <t>20/01/2023</t>
  </si>
  <si>
    <t>21/01/2023</t>
  </si>
  <si>
    <t>22/01/2023</t>
  </si>
  <si>
    <t>23/01/2023</t>
  </si>
  <si>
    <t>24/01/2023</t>
  </si>
  <si>
    <t>25/01/2023</t>
  </si>
  <si>
    <t>26/01/2023</t>
  </si>
  <si>
    <t>27/01/2023</t>
  </si>
  <si>
    <t>28/01/2023</t>
  </si>
  <si>
    <t>29/01/2023</t>
  </si>
  <si>
    <t>30/01/2023</t>
  </si>
  <si>
    <t>31/01/2023</t>
  </si>
  <si>
    <t>01/02/2023</t>
  </si>
  <si>
    <t>02/02/2023</t>
  </si>
  <si>
    <t>08:00</t>
  </si>
  <si>
    <t>03/02/2023</t>
  </si>
  <si>
    <t>04/02/2023</t>
  </si>
  <si>
    <t>05/02/2023</t>
  </si>
  <si>
    <t>07:00</t>
  </si>
  <si>
    <t>06/02/2023</t>
  </si>
  <si>
    <t>07/02/2023</t>
  </si>
  <si>
    <t>08/02/2023</t>
  </si>
  <si>
    <t>09/02/2023</t>
  </si>
  <si>
    <t>10/02/2023</t>
  </si>
  <si>
    <t>11/02/2023</t>
  </si>
  <si>
    <t>12/02/2023</t>
  </si>
  <si>
    <t>13/02/2023</t>
  </si>
  <si>
    <t>14/02/2023</t>
  </si>
  <si>
    <t>15/02/2023</t>
  </si>
  <si>
    <t>16/02/2023</t>
  </si>
  <si>
    <t>17/02/2023</t>
  </si>
  <si>
    <t>18/02/2023</t>
  </si>
  <si>
    <t>19/02/2023</t>
  </si>
  <si>
    <t>20/02/2023</t>
  </si>
  <si>
    <t>21/02/2023</t>
  </si>
  <si>
    <t>22/02/2023</t>
  </si>
  <si>
    <t>23/02/2023</t>
  </si>
  <si>
    <t>24/02/2023</t>
  </si>
  <si>
    <t>25/02/2023</t>
  </si>
  <si>
    <t>26/02/2023</t>
  </si>
  <si>
    <t>27/02/2023</t>
  </si>
  <si>
    <t>28/02/2023</t>
  </si>
  <si>
    <t>06/03/2023</t>
  </si>
  <si>
    <t>07/03/2023</t>
  </si>
  <si>
    <t>08/03/2023</t>
  </si>
  <si>
    <t>09/03/2023</t>
  </si>
  <si>
    <t>10/03/2023</t>
  </si>
  <si>
    <t>11/03/2023</t>
  </si>
  <si>
    <t>12/03/2023</t>
  </si>
  <si>
    <t>13/03/2023</t>
  </si>
  <si>
    <t>05:00</t>
  </si>
  <si>
    <t>14/03/2023</t>
  </si>
  <si>
    <t>22:00</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</si>
  <si>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</si>
  <si>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</si>
  <si>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</si>
  <si>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</si>
  <si>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</si>
  <si>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</si>
  <si>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</si>
  <si>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</si>
  <si>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</si>
  <si>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</si>
  <si>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</si>
  <si>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</si>
  <si>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</si>
  <si>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</si>
  <si>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</si>
  <si>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</si>
  <si>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</si>
  <si>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01/04/2023</t>
  </si>
  <si>
    <t>02/04/2023</t>
  </si>
  <si>
    <t>03/04/2023</t>
  </si>
  <si>
    <t>04/04/2023</t>
  </si>
  <si>
    <t>05/04/2023</t>
  </si>
  <si>
    <t>06/04/2023</t>
  </si>
  <si>
    <t>07/04/2023</t>
  </si>
  <si>
    <t>08/04/2023</t>
  </si>
  <si>
    <t>09/04/2023</t>
  </si>
  <si>
    <t>10/04/2023</t>
  </si>
  <si>
    <t>11/04/2023</t>
  </si>
  <si>
    <t>12/04/2023</t>
  </si>
  <si>
    <t>13/04/2023</t>
  </si>
  <si>
    <t>14/04/2023</t>
  </si>
  <si>
    <t>15/04/2023</t>
  </si>
  <si>
    <t>16/04/2023</t>
  </si>
  <si>
    <t>17/04/2023</t>
  </si>
  <si>
    <t>18/04/2023</t>
  </si>
  <si>
    <t>19/04/2023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</si>
  <si>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</si>
  <si>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</si>
  <si>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</si>
  <si>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</si>
  <si>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</si>
  <si>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</si>
  <si>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</si>
  <si>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</si>
  <si>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</si>
  <si>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</si>
  <si>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</si>
  <si>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</si>
  <si>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</si>
  <si>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</si>
  <si>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</si>
  <si>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</si>
  <si>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</si>
  <si>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05/11/2023</t>
  </si>
  <si>
    <t>06/11/2023</t>
  </si>
  <si>
    <t>07/11/2023</t>
  </si>
  <si>
    <t>08/11/2023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</si>
  <si>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</si>
  <si>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</si>
  <si>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</si>
  <si>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</si>
  <si>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</si>
  <si>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</si>
  <si>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</si>
  <si>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</si>
  <si>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</si>
  <si>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</si>
  <si>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</si>
  <si>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</si>
  <si>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</si>
  <si>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</si>
  <si>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</si>
  <si>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</si>
  <si>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</si>
  <si>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</si>
  <si>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</si>
  <si>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</si>
  <si>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</si>
  <si>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</si>
  <si>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01/12/2023</t>
  </si>
  <si>
    <t>02/12/2023</t>
  </si>
  <si>
    <t>03/12/2023</t>
  </si>
  <si>
    <t>04/12/2023</t>
  </si>
  <si>
    <t>05/12/2023</t>
  </si>
  <si>
    <t>06/12/2023</t>
  </si>
  <si>
    <t>07/12/2023</t>
  </si>
  <si>
    <t>08/12/2023</t>
  </si>
  <si>
    <t>09/12/2023</t>
  </si>
  <si>
    <t>10/12/2023</t>
  </si>
  <si>
    <t>11/12/2023</t>
  </si>
  <si>
    <t>12/12/2023</t>
  </si>
  <si>
    <t>13/12/2023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</si>
  <si>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</si>
  <si>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</si>
  <si>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</si>
  <si>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</si>
  <si>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</si>
  <si>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</si>
  <si>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</si>
  <si>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</si>
  <si>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</si>
  <si>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</si>
  <si>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</si>
  <si>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</si>
  <si>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</si>
  <si>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</si>
  <si>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</si>
  <si>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</si>
  <si>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</si>
  <si>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</si>
  <si>
    <t>01/01/2024</t>
  </si>
  <si>
    <t>02/01/2024</t>
  </si>
  <si>
    <t>03/01/2024</t>
  </si>
  <si>
    <t>04/01/2024</t>
  </si>
  <si>
    <t>05/01/2024</t>
  </si>
  <si>
    <t>06/01/2024</t>
  </si>
  <si>
    <t>07/01/2024</t>
  </si>
  <si>
    <t>08/01/2024</t>
  </si>
  <si>
    <t>09/01/2024</t>
  </si>
  <si>
    <t>10/01/2024</t>
  </si>
  <si>
    <t>11/01/2024</t>
  </si>
  <si>
    <t>12/01/2024</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</si>
  <si>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</si>
  <si>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</si>
  <si>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</si>
  <si>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</si>
  <si>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</si>
  <si>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</si>
  <si>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</si>
  <si>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</si>
  <si>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</si>
  <si>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</si>
  <si>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</si>
  <si>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</si>
  <si>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</si>
  <si>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</si>
  <si>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</si>
  <si>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</si>
  <si>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</si>
  <si>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</si>
  <si>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31/01/2024</t>
  </si>
  <si>
    <t>01/02/2024</t>
  </si>
  <si>
    <t>02/02/2024</t>
  </si>
  <si>
    <t>03/02/2024</t>
  </si>
  <si>
    <t>04/02/2024</t>
  </si>
  <si>
    <t>05/02/2024</t>
  </si>
  <si>
    <t>21:00</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</si>
  <si>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</si>
  <si>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</si>
  <si>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</si>
  <si>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</si>
  <si>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</si>
  <si>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</si>
  <si>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</si>
  <si>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</si>
  <si>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</si>
  <si>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</si>
  <si>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</si>
  <si>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</si>
  <si>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</si>
  <si>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</si>
  <si>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</si>
  <si>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</si>
  <si>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</si>
  <si>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</si>
  <si>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</si>
  <si>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</si>
  <si>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</si>
  <si>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</si>
  <si>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</si>
  <si>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</si>
  <si>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</si>
  <si>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</si>
  <si>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</si>
  <si>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</si>
  <si>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</si>
  <si>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</si>
  <si>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</si>
  <si>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</si>
  <si>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</si>
  <si>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</si>
  <si>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</si>
  <si>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</si>
  <si>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</si>
  <si>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</si>
  <si>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</si>
  <si>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</si>
  <si>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</si>
  <si>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</si>
  <si>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</si>
  <si>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</si>
  <si>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</si>
  <si>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</si>
  <si>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</si>
  <si>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</si>
  <si>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</si>
  <si>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</si>
  <si>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27/03/2024</t>
  </si>
  <si>
    <t>28/03/2024</t>
  </si>
  <si>
    <t>29/03/2024</t>
  </si>
  <si>
    <t>30/03/2024</t>
  </si>
  <si>
    <t>31/03/2024</t>
  </si>
  <si>
    <t>01/04/2024</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</si>
  <si>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</si>
  <si>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</si>
  <si>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</si>
  <si>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</si>
  <si>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</si>
  <si>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</si>
  <si>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</si>
  <si>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</si>
  <si>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</si>
  <si>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</si>
  <si>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</si>
  <si>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</si>
  <si>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</si>
  <si>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</si>
  <si>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</si>
  <si>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</si>
  <si>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</si>
  <si>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</si>
  <si>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</si>
  <si>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</si>
  <si>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</si>
  <si>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</si>
  <si>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</si>
  <si>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</si>
  <si>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</si>
  <si>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</si>
  <si>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</si>
  <si>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</si>
  <si>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</si>
  <si>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01/05/2024</t>
  </si>
  <si>
    <t>02/05/2024</t>
  </si>
  <si>
    <t>03/05/2024</t>
  </si>
  <si>
    <t>04/05/2024</t>
  </si>
  <si>
    <t>05/05/2024</t>
  </si>
  <si>
    <t>06/05/2024</t>
  </si>
  <si>
    <t>Caudal (m³/s)</t>
  </si>
  <si>
    <t>MES</t>
  </si>
  <si>
    <t>AÑO</t>
  </si>
  <si>
    <t/>
  </si>
  <si>
    <t>Los datos descargados corresponden a información primaria sin control de calidad, la misma que está sujeta a variación según el criterio del operador de la estación.</t>
  </si>
  <si>
    <t>Río: San Juan</t>
  </si>
  <si>
    <t>Nombre de la Fuente:</t>
  </si>
  <si>
    <t>Cuenca San Juan</t>
  </si>
  <si>
    <t>Unidad Hidrográfica:</t>
  </si>
  <si>
    <t>AAA: Chaparra Chincha / ALA: San Juan</t>
  </si>
  <si>
    <t>Ámbito Administrativo:</t>
  </si>
  <si>
    <t>Dpto: Ica / Prov: Chincha / Dist.: Alto Laran</t>
  </si>
  <si>
    <t>Ámbito Político:</t>
  </si>
  <si>
    <t>Convencional / Hidrométrica</t>
  </si>
  <si>
    <t>Tipo:</t>
  </si>
  <si>
    <t>Latitud: -13.4394 / Longitud: -75.9751 / Altitud(msnm): 314</t>
  </si>
  <si>
    <t>WGS 84 Geográficas:</t>
  </si>
  <si>
    <t>Servicio Nacional Meteorología E Hidrología</t>
  </si>
  <si>
    <t>Operador:</t>
  </si>
  <si>
    <t>Caudal Instantáneo (m³/s)</t>
  </si>
  <si>
    <t>Variable:</t>
  </si>
  <si>
    <t>Conta (Código: 203501)</t>
  </si>
  <si>
    <t>Estación:</t>
  </si>
  <si>
    <t>Máx. de Caudal (m³/s)</t>
  </si>
  <si>
    <t>Consumo Ca(ClO)2</t>
  </si>
  <si>
    <t>CONSUMO CA(CLO2)</t>
  </si>
  <si>
    <t>PU. Hipoclorito</t>
  </si>
  <si>
    <t>PRODUCCION ANUAL 2024</t>
  </si>
  <si>
    <t>SURTIDOR RE07</t>
  </si>
  <si>
    <t>VOLUMEN-m32</t>
  </si>
  <si>
    <t>VOLUMEN-gln</t>
  </si>
  <si>
    <t>Suma de VOLUMEN-m32</t>
  </si>
  <si>
    <t>TOTALES DIARIOS</t>
  </si>
  <si>
    <t>VOLUMEN</t>
  </si>
  <si>
    <t>SURTIDORES</t>
  </si>
  <si>
    <t>E.REBOMBEO</t>
  </si>
  <si>
    <t>NUM. VIAJES</t>
  </si>
  <si>
    <t>NUM SEM</t>
  </si>
  <si>
    <t>VEHICULO</t>
  </si>
  <si>
    <t>HORA2</t>
  </si>
  <si>
    <t>AG - CH.ALTA</t>
  </si>
  <si>
    <t>AG - CH.BAJA-TM</t>
  </si>
  <si>
    <t>PRODUCCION 2025</t>
  </si>
  <si>
    <t>EBAP ALTO LARAN</t>
  </si>
  <si>
    <t>FUENTE DE CAPTACION</t>
  </si>
  <si>
    <t>CISTERNAS</t>
  </si>
  <si>
    <t>Amarillo</t>
  </si>
  <si>
    <t>Naranja</t>
  </si>
  <si>
    <t>Rojo</t>
  </si>
  <si>
    <t xml:space="preserve">REPORTE DE PRODUCCION DE AGUA POTABLE EN M3 MEDIANTE CISTERNAS </t>
  </si>
  <si>
    <t>REPORTE DE PRODUCCION DE AGUA EN M3 DE LAS FUENTES DE CAPTACION</t>
  </si>
  <si>
    <t>VOL PROMEDIO MES (m3/dia)</t>
  </si>
  <si>
    <t>CONTROL DE PRODUCCION MENSUAL DE AGUA POTABLE EN M3 DE LAS UNIDADES DE PRODUCCION DE LA EPS SEMAPACH S.A.</t>
  </si>
  <si>
    <t>PZ10 Final</t>
  </si>
  <si>
    <t>PZ11 Caudal PROM</t>
  </si>
  <si>
    <t>PZ 11 Horas Activo</t>
  </si>
  <si>
    <t>PZ 11 Inicio</t>
  </si>
  <si>
    <t>PZ 11 Final</t>
  </si>
  <si>
    <t>PZ 11  m3/día</t>
  </si>
  <si>
    <t>PZ 13 Caudal PROM</t>
  </si>
  <si>
    <t>PZ 13 Horas Activo</t>
  </si>
  <si>
    <t>PZ 13 Inicio</t>
  </si>
  <si>
    <t>PZ 13 Final</t>
  </si>
  <si>
    <t>PZ 13 m3/día</t>
  </si>
  <si>
    <t>PZ MED Caudal PROM</t>
  </si>
  <si>
    <t>PZ MED Horas Activo</t>
  </si>
  <si>
    <t>PZ MED  Inicio</t>
  </si>
  <si>
    <t>PZ MED Final</t>
  </si>
  <si>
    <t>PZ MED m3/día</t>
  </si>
  <si>
    <t>GF MIN Caudal PROM</t>
  </si>
  <si>
    <t>GF MIN Horas Activo</t>
  </si>
  <si>
    <t>GF MIN Inicio</t>
  </si>
  <si>
    <t>GF MIN Final</t>
  </si>
  <si>
    <t>GF MIN m3/día</t>
  </si>
  <si>
    <t>PTAP1 Caudal PROM</t>
  </si>
  <si>
    <t>PTAP1 Horas Activo</t>
  </si>
  <si>
    <t>PTAP1 Inicio</t>
  </si>
  <si>
    <t>PTAP1 Final</t>
  </si>
  <si>
    <t>PTAP1 m3/día</t>
  </si>
  <si>
    <t>GF NAR Caudal PROM</t>
  </si>
  <si>
    <t>GF NAR Horas Activo</t>
  </si>
  <si>
    <t>GF NAR Inicio</t>
  </si>
  <si>
    <t>GF NAR Final</t>
  </si>
  <si>
    <t>GF NAR m3/día</t>
  </si>
  <si>
    <t>PZ CHB Caudal PROM</t>
  </si>
  <si>
    <t>PZ CHB Horas Activo</t>
  </si>
  <si>
    <t>PZ CHB Inicio</t>
  </si>
  <si>
    <t>PZ CHB Final</t>
  </si>
  <si>
    <t>PZ CHB m3/día</t>
  </si>
  <si>
    <t>PZ CM Caudal PROM</t>
  </si>
  <si>
    <t>PZ CM Horas Activo</t>
  </si>
  <si>
    <t>PZ CM Inicio</t>
  </si>
  <si>
    <t>PZ CM Final</t>
  </si>
  <si>
    <t>PZ CM m3/día</t>
  </si>
  <si>
    <t>PZ TM Caudal PROM</t>
  </si>
  <si>
    <t>PZ TM Horas Activo</t>
  </si>
  <si>
    <t>PZ TM Inicio</t>
  </si>
  <si>
    <t>PZ TM Final</t>
  </si>
  <si>
    <t>PZ TM m3/día</t>
  </si>
  <si>
    <t>EBAP ALAR Caudal PROM</t>
  </si>
  <si>
    <t>EBAP ALAR Horas Activo</t>
  </si>
  <si>
    <t>EBAP ALAR Inicio</t>
  </si>
  <si>
    <t>EBAP ALAR Final</t>
  </si>
  <si>
    <t>EBAP ALAR m3/día</t>
  </si>
  <si>
    <t>EBAP HIJA Caudal PROM</t>
  </si>
  <si>
    <t>EBAP HIJA Horas Activo</t>
  </si>
  <si>
    <t>EBAP HIJA Inicio</t>
  </si>
  <si>
    <t>EBAP HIJA Final</t>
  </si>
  <si>
    <t>EBAP HIJA m3/día</t>
  </si>
  <si>
    <t>EBAP PNUE Caudal PROM57</t>
  </si>
  <si>
    <t>EBAP PNUE Horas Activo</t>
  </si>
  <si>
    <t>EBAP PNUE Inicio</t>
  </si>
  <si>
    <t>EBAP PNUE  Final</t>
  </si>
  <si>
    <t>EBAP PNUE m3/día</t>
  </si>
  <si>
    <t>CAUDALES MAXIMOS DIARIOS - RIO SAN JUAN (FUENTE SENAMHI - ANA)</t>
  </si>
  <si>
    <t>% Aportación</t>
  </si>
  <si>
    <t>SECTOR CHINCHA ALTA</t>
  </si>
  <si>
    <t>SECTOR CHINCHA BAJA</t>
  </si>
  <si>
    <t>-</t>
  </si>
  <si>
    <t>prom diario</t>
  </si>
  <si>
    <t>Eficiencia %</t>
  </si>
  <si>
    <t>CAUDAL PROMEDIO DIA</t>
  </si>
  <si>
    <t>VOL PROMEDIO MES</t>
  </si>
  <si>
    <t>RE03</t>
  </si>
  <si>
    <t>REPORTE SUNASS</t>
  </si>
  <si>
    <t>G.F. MINAQUEROS</t>
  </si>
  <si>
    <t>G.F. NARANJAL</t>
  </si>
  <si>
    <t>POZO TAMBO DE MROA</t>
  </si>
  <si>
    <t>S/C</t>
  </si>
  <si>
    <t>EBAP PUEBLO NUEVO</t>
  </si>
  <si>
    <t>MOD</t>
  </si>
  <si>
    <t>NUEVO</t>
  </si>
  <si>
    <t>PTAP DE PORTACHUELOS</t>
  </si>
  <si>
    <t>EAN576</t>
  </si>
  <si>
    <t>VIVIENDA</t>
  </si>
  <si>
    <t>PROGRAMA</t>
  </si>
  <si>
    <t>EPS</t>
  </si>
  <si>
    <t xml:space="preserve"> </t>
  </si>
  <si>
    <t>EPS PISCO</t>
  </si>
  <si>
    <r>
      <t>TOTAL M</t>
    </r>
    <r>
      <rPr>
        <sz val="19"/>
        <color theme="1"/>
        <rFont val="Calibri"/>
        <family val="2"/>
      </rPr>
      <t>³</t>
    </r>
    <r>
      <rPr>
        <sz val="19"/>
        <color theme="1"/>
        <rFont val="Arial"/>
        <family val="2"/>
      </rPr>
      <t>/MES</t>
    </r>
  </si>
  <si>
    <t>P.T.A.P. PORTACHUELO</t>
  </si>
  <si>
    <t>C.B.A.P. PUEBLO NUEVO</t>
  </si>
  <si>
    <t>C.B.A.P. ALTO LARAN</t>
  </si>
  <si>
    <t>C.B.A.P. HIJAYA (EX POZO 12)</t>
  </si>
  <si>
    <t>CAUDAL</t>
  </si>
  <si>
    <t xml:space="preserve">PRODUCCION -10% </t>
  </si>
  <si>
    <t>PRODUCCION 2025 -10%</t>
  </si>
  <si>
    <t>N° COMUNICADO (CORTE)</t>
  </si>
  <si>
    <t>N° COMUNICADO (RESTABLECIMIENTO)</t>
  </si>
  <si>
    <t>JUAN HERNANDEZ</t>
  </si>
  <si>
    <r>
      <t>TOTAL M</t>
    </r>
    <r>
      <rPr>
        <sz val="8"/>
        <color theme="1"/>
        <rFont val="Calibri"/>
        <family val="2"/>
      </rPr>
      <t>³</t>
    </r>
    <r>
      <rPr>
        <sz val="8"/>
        <color theme="1"/>
        <rFont val="Arial"/>
        <family val="2"/>
      </rPr>
      <t>/MES</t>
    </r>
  </si>
  <si>
    <t>OFICINA DE PRODUCCION DE AGUA POTABLE Y TRATAMIENTO DE AGUA RESIDUAL</t>
  </si>
  <si>
    <t>“Año de la recuperación y consolidación de la economía peruana”</t>
  </si>
  <si>
    <t>G.F. EL NARANJAL</t>
  </si>
  <si>
    <t>SEMANA:</t>
  </si>
  <si>
    <t>OFICINA DE PRODUCCIÓN DE AGUA POTABLE Y TRATAMIENTO DE AGUA RESIDUALES</t>
  </si>
  <si>
    <t xml:space="preserve">FUENTE </t>
  </si>
  <si>
    <t>2024 VS 2025</t>
  </si>
  <si>
    <t>ANA VS EJEC</t>
  </si>
  <si>
    <t>Total</t>
  </si>
  <si>
    <t xml:space="preserve">HORAS ACUMULADAS </t>
  </si>
  <si>
    <t>AL SER UNA FUENTE DE AGUA QUE DEPENDE DE SER MEZCLADA CON AGUA DEL POZO 10 PARA BAJAR NIVELES DE CONDUCTIVIDAD SE MANTUVO DETENIDA DE IGUAL FORMA QUE EL POZO MENCIONADO.</t>
  </si>
  <si>
    <t>SE MANTUVIERON NIVELES ESTANDAR DE PRODUCCION CON PEQUEÑAS VARIACIONES PRINCIPALMENTE DEBIDO A TRABAJOS DE MANTENIMIENTO DE RED REALIZADAS DE MANERA MENSUAL</t>
  </si>
  <si>
    <t>LA ACTIVACION DEL POZO MEDRANO OBEDECE PRINCIPALMENTE A BAJAS DE CAUDAL DE LA G.F. MINAQUERPOS AL IGUAL QUE A PROBLEMAS PRESENTADOS EN LA P.T.A.P. PORTACHUELOS, ESTO CON EL FIN DE REDUCIR LA AFECTACION EN LA CONTINUIDAD DEL SERVICIO Y MANTENER UN SUFICIENTE VOLUMEN DE PRODUCCION.</t>
  </si>
  <si>
    <t>LA PRODUCCION DE LA G.F. MINAQUEROS SE MANTUVO EN UN NIVEL NORMAL EXCEPTUANDO LOS CORTES PROGRAMADOS POR TRABAJOS AJENOS DE "MEGA CONSTRUCCIONES GENERALES Y CONSORCIO STEAM", QUE SOLICITO EL CIERRE DE SERVICIO TOTAL EN EL SUBSISTEMA CHINCHA ALTA PARA LA EJECUCION DE ACTIVIDADES CONLLEVANDO A NIVELES BAJOS DE CAPTACION DURANTE HORAS DE LAS FECHAS VISIBLES EN EL GRAFICO.</t>
  </si>
  <si>
    <t>SE PRESENTARON SITUACIONES DIVERAS EN LA PLANTA DESDE LOS CORTES PROGRAMADOS PARA TRABAJOS DE EMPALME SOLICITADOS POR PARTE DE "MEGA CONSTRUCCIONES GENERALES Y CONSORCIO STEAM", TAMBIEN ROTURA DE LINEAS DE CONDUCCION QUE CONLLEVARON A LA NECESIDAD DE CORTE PARA SU ATENCION Y REPARACION, TAMBIEN SE VIENEN REALIZANDO TRAJABOS DE MANTENIMIENTO Y LIMPIEZA EN LA PLANTA CONLLEVANDO A LA NECESIDAD DE CORTE PARA LA REALIZACION DE ESTOS.</t>
  </si>
  <si>
    <t>EN LA ULTIMA EVALUACION DE LA CAPTACION DE LA G.F.NARANJAL EL AFORRO INDICO UNA VARIACION DE LA CAPTACION REALIZADA EN LA MISMA ADEMAS DE PRESENTARSE CORTES POR LA MISMA SITUACION QUE OTROS SOBRE TRABAJOS DE EMPALME EN LINEAS MATRIZ SOLICITADO POR "MEGA CONSTRUCCIONES GENERALES Y CONSORCIO STEAM".</t>
  </si>
  <si>
    <t>HIPOCLORITO</t>
  </si>
  <si>
    <t>VOL/DIA</t>
  </si>
  <si>
    <t>VOL/HORA</t>
  </si>
  <si>
    <t>L/S</t>
  </si>
  <si>
    <t>% APORTE</t>
  </si>
  <si>
    <t>PRODUCCION ANUAL 2025</t>
  </si>
  <si>
    <t>AÑO 2026</t>
  </si>
  <si>
    <t>12DIC2025 - 11ENE2026</t>
  </si>
  <si>
    <t>12ENE2026 - 11FEB2026</t>
  </si>
  <si>
    <t>12FEB2026 - 11MAR2026</t>
  </si>
  <si>
    <t>12MAR2026 - 11ABR2026</t>
  </si>
  <si>
    <t>12ABR2026 - 11MAY2026</t>
  </si>
  <si>
    <t>12MAY2026 - 11JUN2026</t>
  </si>
  <si>
    <t>12JUN2026 - 11JUL2026</t>
  </si>
  <si>
    <t>12JUL2026 - 11AGO2026</t>
  </si>
  <si>
    <t>12AGO2026 - 11SET2026</t>
  </si>
  <si>
    <t>12SET2026 - 11OCT2026</t>
  </si>
  <si>
    <t>12OCT2026 - 11NOV2026</t>
  </si>
  <si>
    <t>12NOV2026 - 11DIC2026</t>
  </si>
  <si>
    <t>MANTENIMIENTO VALVULA COMPUERTA - DERIVACION PTAP ETERNIT DN400</t>
  </si>
  <si>
    <t>008-2026</t>
  </si>
  <si>
    <t>009-2026</t>
  </si>
  <si>
    <t>TIPO</t>
  </si>
  <si>
    <t>IMPREVISTO</t>
  </si>
  <si>
    <t>Reparación de emergencia de válvula compuerta DN 400</t>
  </si>
  <si>
    <t>SECTORES AFECTADOS</t>
  </si>
  <si>
    <t>Distrito de alto laran:
Santa rosa
Upis santa Ana
13 de junio
San Martin
Av. San Luis
Av. San Pedro
Huampullo alto
Entrada de Fdo La Calera</t>
  </si>
  <si>
    <t>CONEXIONES AFECTADAS</t>
  </si>
  <si>
    <t>OBSERVACIONES</t>
  </si>
  <si>
    <t>INCIDENCIA SUCEDIÓ AL TERMINO DEL HORARIO DE ABASTECIMIENTO DEL DIA ANTERIOR, SE ATENDIO AL DIA SIGUIENTE A PRIMERA HORA</t>
  </si>
  <si>
    <t>PZ10_Caudal</t>
  </si>
  <si>
    <t>PZ10_Horas Activo</t>
  </si>
  <si>
    <t>PZ10 Inicio</t>
  </si>
  <si>
    <t>PZ10 m3/día</t>
  </si>
  <si>
    <t>PABLO CASTILLA</t>
  </si>
  <si>
    <t>012-2026</t>
  </si>
  <si>
    <t>014-2026</t>
  </si>
  <si>
    <t>Distritos de Chincha Alta, Pueblo Nuevo, Sunampe  y Grocio Prado</t>
  </si>
  <si>
    <t xml:space="preserve">Incremento de turbidez  del Rio San Juan </t>
  </si>
  <si>
    <t>017-2026</t>
  </si>
  <si>
    <t>018-2026</t>
  </si>
  <si>
    <t>020-2026</t>
  </si>
  <si>
    <t>021-2026</t>
  </si>
  <si>
    <t>024-2026</t>
  </si>
  <si>
    <t>023-2026</t>
  </si>
  <si>
    <t>026-2026</t>
  </si>
  <si>
    <t>027-2026</t>
  </si>
  <si>
    <t>029-2026</t>
  </si>
  <si>
    <t>030-2026</t>
  </si>
  <si>
    <t>G.F. MINAQUEROS  Y PTAP PORTACHUELO</t>
  </si>
  <si>
    <t xml:space="preserve">PTAP  PORTACHUELO </t>
  </si>
  <si>
    <t>SUNAMPE</t>
  </si>
  <si>
    <t>GROCIO PRADO</t>
  </si>
  <si>
    <t>CHINCHA ALTA</t>
  </si>
  <si>
    <t>LARAN</t>
  </si>
  <si>
    <t>PUEBLO NUEVO</t>
  </si>
  <si>
    <t>TAMBO DE MORA</t>
  </si>
  <si>
    <t>CHINCHA BAJA</t>
  </si>
  <si>
    <t>CONEX. ACT.</t>
  </si>
  <si>
    <t>FACTOR</t>
  </si>
  <si>
    <t>EBAP LARAN</t>
  </si>
  <si>
    <t xml:space="preserve">PTAP PORTACHUELO </t>
  </si>
  <si>
    <t>CONDORILLO ALTO Y CONDORILLO BAJO</t>
  </si>
  <si>
    <t>ALTO LARAN</t>
  </si>
  <si>
    <t>ALTO LARAN + SECTOR CRUZ BLANCA, AV AMERICA, AV ARGENTINA (CHINCHA ALTA)</t>
  </si>
  <si>
    <t>DISTRITO TAMBO DE MORA</t>
  </si>
  <si>
    <t>DISTRITO CHINCHA BAJA</t>
  </si>
  <si>
    <t>DISTRITO CHINCHA ALTA, PUEBLO NUEVO, SUNAMPE, GROCIO PRADO</t>
  </si>
  <si>
    <t>MINAQUEROS 380LPS</t>
  </si>
  <si>
    <t>MINAQUEROS 200 LPS</t>
  </si>
  <si>
    <t>SECTOR MICAELA BASTIDAS, JOSE OLIVA RAZZETO, LEON DE VIVERO</t>
  </si>
  <si>
    <t>DISTRITO PUEBLO NUEVO, UPIS SAN AGUSTIN, UPIS ALEJANDRO TOLEDO, CP EL TIGRE, TUPAC AMARU (DISTRITO CHINCHA ALTA)</t>
  </si>
  <si>
    <t xml:space="preserve">Colmatacion de la bocatoma </t>
  </si>
  <si>
    <t xml:space="preserve">Rotura de la linea de impulsion de la EBAP Alto Laran </t>
  </si>
  <si>
    <t>034-2026</t>
  </si>
  <si>
    <t xml:space="preserve">ALTO LARAN </t>
  </si>
  <si>
    <t xml:space="preserve">Distritos de Alto laran </t>
  </si>
  <si>
    <t xml:space="preserve">_ </t>
  </si>
  <si>
    <t>Distritos de Alto laran</t>
  </si>
  <si>
    <t>sábado, 24 de enero de 2026</t>
  </si>
  <si>
    <t>037-2026</t>
  </si>
  <si>
    <t>038-2026</t>
  </si>
  <si>
    <t>DISTRITO PUEBLO NUEVO</t>
  </si>
  <si>
    <t>Corte del fluido eléctrico por Electrodunas.</t>
  </si>
  <si>
    <t>lunes, 26 de enero de 2026</t>
  </si>
  <si>
    <t>047-2026</t>
  </si>
  <si>
    <t>046-2026</t>
  </si>
  <si>
    <t>Chincha Alta (Upis Alejandro Toledo, CP El Tigre, Tupac Amaru.) Todo el distrito de Pueblo Nuevo y Alto Laran</t>
  </si>
  <si>
    <t xml:space="preserve">PUEBLO NUEVO, ALTO LARAN HY CHICHA ALTA </t>
  </si>
  <si>
    <t xml:space="preserve">PROGRAMADO </t>
  </si>
  <si>
    <t xml:space="preserve">POZO TAMBO DE MORA </t>
  </si>
  <si>
    <t>Trabajos de mantenimiento en la EBAR Tambo de Mora</t>
  </si>
  <si>
    <t>043-2026</t>
  </si>
  <si>
    <t>048-2026</t>
  </si>
  <si>
    <t xml:space="preserve">DISTRITO CHINCHA ALTA, PUEBLO NUEVO, SUNAMPE, GROCIO PRADO, ALTO LARAN </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</si>
  <si>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</si>
  <si>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</si>
  <si>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</si>
  <si>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</si>
  <si>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</si>
  <si>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</si>
  <si>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</si>
  <si>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</si>
  <si>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</si>
  <si>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</si>
  <si>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</si>
  <si>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</si>
  <si>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</si>
  <si>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</si>
  <si>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</si>
  <si>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</si>
  <si>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</si>
  <si>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</si>
  <si>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</si>
  <si>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</si>
  <si>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</si>
  <si>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</si>
  <si>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</si>
  <si>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</si>
  <si>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N. FREATICO</t>
  </si>
  <si>
    <t>H. ACTIVO</t>
  </si>
  <si>
    <t>V. INICIAL</t>
  </si>
  <si>
    <t>V. FINAL</t>
  </si>
  <si>
    <r>
      <t>Volumen (m</t>
    </r>
    <r>
      <rPr>
        <sz val="20"/>
        <color theme="1"/>
        <rFont val="Calibri"/>
        <family val="2"/>
      </rPr>
      <t>³/dia)</t>
    </r>
  </si>
  <si>
    <t>DURANTE EL MES DE ENERO  SE PRESENTARON PROBLEMAS CON EL VARIADOR DEL POZO 10 QUE CONLLEVO A DIFERENTES ACTIVIDADES DE MANTENIMIENTO AL POZO RESULTANDO EN UN TIMEPO PROLONGADO DE CORTE.</t>
  </si>
  <si>
    <t>050-2026</t>
  </si>
  <si>
    <t xml:space="preserve">Rotura de la linea de impulsion </t>
  </si>
  <si>
    <t>053-2026</t>
  </si>
  <si>
    <t xml:space="preserve">CHINCHA ALTA  - SECTOR CONDORILLO ALTO Y PARTE DE CONDORILLO BAJO </t>
  </si>
  <si>
    <t>PTAP PORTACHUELO</t>
  </si>
  <si>
    <t>052-2026</t>
  </si>
  <si>
    <t>054-2026</t>
  </si>
  <si>
    <t>_</t>
  </si>
  <si>
    <t>Rotura de la linea de conduccion - sector Huampullo Alto</t>
  </si>
  <si>
    <t>Columna1</t>
  </si>
  <si>
    <t xml:space="preserve"> - </t>
  </si>
  <si>
    <t>Q inst</t>
  </si>
  <si>
    <t xml:space="preserve">CAPTACIONES </t>
  </si>
  <si>
    <t xml:space="preserve">POZO MEDRANO </t>
  </si>
  <si>
    <t xml:space="preserve">MINAQUEROS </t>
  </si>
  <si>
    <t xml:space="preserve">PORTACHUELO </t>
  </si>
  <si>
    <t xml:space="preserve">NARANJAL </t>
  </si>
  <si>
    <t xml:space="preserve">TOTAL </t>
  </si>
  <si>
    <t xml:space="preserve">IVAN ESPINOZA </t>
  </si>
  <si>
    <t>Rotura de la línea de impulsión (condorillo)</t>
  </si>
  <si>
    <t>sábado, 21 de Febrero de 2026</t>
  </si>
  <si>
    <t>078-2026</t>
  </si>
  <si>
    <t>domingo, 22 de Febrero de 2026</t>
  </si>
  <si>
    <t>lunes, 23 de Febrero de 2026</t>
  </si>
  <si>
    <t>079-2026</t>
  </si>
  <si>
    <t>081-2026</t>
  </si>
  <si>
    <t>Sobrecarga de corriente en conductor eléctrico línea 01</t>
  </si>
  <si>
    <t>domingo, 15 de Febrero de 2026</t>
  </si>
  <si>
    <t>Limpieza y desinfección de los componentes de la PTAP Portachuelo</t>
  </si>
  <si>
    <t>martes, 17 de Febrero de 2026</t>
  </si>
  <si>
    <t>jueves, 19 de Febrero de 2026</t>
  </si>
  <si>
    <t>La limpieza coincidió con el incremento de la turbidez en el río San Juan, por lo que se ejecutó el mantenimiento ante la paralización por colmatación de la bocatoma, el abastecimiento fue cubierto por la Galería Filtrante El Naranjal.</t>
  </si>
  <si>
    <t>Incremento de turbidez del Río San Juan (restricción de servicio)</t>
  </si>
  <si>
    <t>070-2026</t>
  </si>
  <si>
    <t>071-2026</t>
  </si>
  <si>
    <t>Chincha Alta (Urbis Alejandro Toledo, CP El Tigre, Tupac Amaru). Todo el distrito de Pueblo Nuevo.</t>
  </si>
  <si>
    <t>miércoles, 18 de Febrero de 2026</t>
  </si>
  <si>
    <t>072-2026</t>
  </si>
  <si>
    <t>074-2026</t>
  </si>
  <si>
    <t>Reforzamiento de las redes en media tensión por electro dunas</t>
  </si>
  <si>
    <t>EBAR TAMBO DE MORA</t>
  </si>
  <si>
    <t xml:space="preserve">ROTURA DE LA LINEA DE IMPULSION </t>
  </si>
  <si>
    <t xml:space="preserve">CHINCHA BAJA Y TAMBO DE MORA </t>
  </si>
  <si>
    <t>086-2026</t>
  </si>
  <si>
    <t>087-2026</t>
  </si>
  <si>
    <t>RESERVORIO 07</t>
  </si>
  <si>
    <t>090-2026</t>
  </si>
  <si>
    <t xml:space="preserve">CHINCHA ALTA, PUEBO NUEVO, SUNAMPE Y GRCOCIO PRADO </t>
  </si>
  <si>
    <t xml:space="preserve">EBAP HIJAYA </t>
  </si>
  <si>
    <t>ROTURA DE LA LINEA DE IMPULSION</t>
  </si>
  <si>
    <t>091-2026</t>
  </si>
  <si>
    <t>Incidencia operativa en la linea de distribución del reservorio RE07</t>
  </si>
  <si>
    <t xml:space="preserve">Mant. De la red de alcantarillado en Calle 2 de Mayo.  </t>
  </si>
  <si>
    <t>096-2026</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</si>
  <si>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</si>
  <si>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</si>
  <si>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</si>
  <si>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</si>
  <si>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</si>
  <si>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</si>
  <si>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</si>
  <si>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</si>
  <si>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</si>
  <si>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</si>
  <si>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</si>
  <si>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</si>
  <si>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</si>
  <si>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</si>
  <si>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</si>
  <si>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</si>
  <si>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</si>
  <si>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</si>
  <si>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</si>
  <si>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</si>
  <si>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</si>
  <si>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</si>
  <si>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</si>
  <si>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</si>
  <si>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</si>
  <si>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</si>
  <si>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</si>
  <si>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</si>
  <si>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</si>
  <si>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</si>
  <si>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Mantenieminto correctivo de la bomba de la EBAP HIJAYA</t>
  </si>
  <si>
    <t xml:space="preserve">Reaparacion en la tuberia de conduccion de la G.F.  Minaqueros , Sector Huamanpali </t>
  </si>
  <si>
    <t>108-2026</t>
  </si>
  <si>
    <t>LINEA DE CONDUCCION DE LA PTAP PORTACHUELO</t>
  </si>
  <si>
    <t xml:space="preserve">Incidencia operativa en la linea de impulsion  </t>
  </si>
  <si>
    <t>Rotura de la linea de impulsion de la EBAP Pueblo Nuevo</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</si>
  <si>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</si>
  <si>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</si>
  <si>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</si>
  <si>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</si>
  <si>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</si>
  <si>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</si>
  <si>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</si>
  <si>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</si>
  <si>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</si>
  <si>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</si>
  <si>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</si>
  <si>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</si>
  <si>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</si>
  <si>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</si>
  <si>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</si>
  <si>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</si>
  <si>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</si>
  <si>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</si>
  <si>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</si>
  <si>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</si>
  <si>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</si>
  <si>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</si>
  <si>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</si>
  <si>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</si>
  <si>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</si>
  <si>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</si>
  <si>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</si>
  <si>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</si>
  <si>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</si>
  <si>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</si>
  <si>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</si>
  <si>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115-2026</t>
  </si>
  <si>
    <t xml:space="preserve">Incidencia operativa de linea de conduccion de la PTAP </t>
  </si>
  <si>
    <t>123-2026</t>
  </si>
  <si>
    <t>126-2026</t>
  </si>
  <si>
    <t xml:space="preserve">DIST. ALTO LARAN </t>
  </si>
  <si>
    <t>Corte de servicio por fuga de agua a causa de trabajos de obra del GORE</t>
  </si>
  <si>
    <t>124-2026</t>
  </si>
  <si>
    <t>128-2026</t>
  </si>
  <si>
    <t>Reparacion de rotura de tuberia matriz, obra que ejecuta el gobierno regional de Ica , en Chincha Baja</t>
  </si>
  <si>
    <t>129-2026</t>
  </si>
  <si>
    <t>DIST. CHINCHA BAJA</t>
  </si>
  <si>
    <t>Incidencia por reparacion de emergencia de rotura matriz a cargo de la obra "Mejoramiento del servivio de transitabilidad  con asfalto y veredas en el cercado - distrito de Chincha Baja"</t>
  </si>
  <si>
    <t>Incidencia operativa en el funcionammiento del sistema de bombeo de la ebap hijaya</t>
  </si>
  <si>
    <t>140-2026</t>
  </si>
  <si>
    <t xml:space="preserve">POZO CHINCHA BAJA Y TAMBO DE MORA </t>
  </si>
  <si>
    <t xml:space="preserve">Incidencia operativa en el sistema de alcantarillado </t>
  </si>
  <si>
    <t>141-2026</t>
  </si>
  <si>
    <t>142-2026</t>
  </si>
  <si>
    <t xml:space="preserve">Incidencia operativa por rotura de linea de conduccion ( eternit) ' Portachuelo </t>
  </si>
  <si>
    <t>150-2026</t>
  </si>
  <si>
    <t>152-2026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</si>
</sst>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S/&quot;\ * #,##0.00_-;\-&quot;S/&quot;\ * #,##0.00_-;_-&quot;S/&quot;\ * &quot;-&quot;??_-;_-@_-"/>
    <numFmt numFmtId="43" formatCode="_-* #,##0.00_-;\-* #,##0.00_-;_-* &quot;-&quot;??_-;_-@_-"/>
    <numFmt numFmtId="164" formatCode="_-* #,##0.00_-;\-* #,##0.00_-;_-* &quot;-&quot;??_-;_-@"/>
    <numFmt numFmtId="165" formatCode="_-* #,##0_-;\-* #,##0_-;_-* &quot;-&quot;??_-;_-@"/>
    <numFmt numFmtId="166" formatCode="[$-F800]dddd\,\ mmmm\ dd\,\ yyyy"/>
    <numFmt numFmtId="167" formatCode="[$-280A]dddd\,\ dd&quot; de &quot;mmmm&quot; de &quot;yyyy"/>
    <numFmt numFmtId="168" formatCode="###,###,###,##0.0000"/>
    <numFmt numFmtId="169" formatCode="[$-409]d\-mmm\-yy;@"/>
    <numFmt numFmtId="170" formatCode="[$-409]d\-mmm;@"/>
    <numFmt numFmtId="171" formatCode="###,###,###,##0.00"/>
    <numFmt numFmtId="172" formatCode="_-&quot;S/&quot;\ * #,##0.0000_-;\-&quot;S/&quot;\ * #,##0.0000_-;_-&quot;S/&quot;\ * &quot;-&quot;??_-;_-@_-"/>
    <numFmt numFmtId="173" formatCode="dd/mm/yyyy;@"/>
    <numFmt numFmtId="174" formatCode="_-* #,##0_-;\-* #,##0_-;_-* &quot;-&quot;??_-;_-@_-"/>
    <numFmt numFmtId="175" formatCode="[$-280A]ddd\ d&quot; de &quot;mmm&quot; de &quot;yyyy;@"/>
    <numFmt numFmtId="176" formatCode="0.0"/>
    <numFmt numFmtId="177" formatCode="#,##0.00;[Red]#,##0.00"/>
    <numFmt numFmtId="178" formatCode="0.000"/>
  </numFmts>
  <fonts count="1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masis MT Pro Light"/>
      <family val="1"/>
    </font>
    <font>
      <sz val="11"/>
      <color theme="1"/>
      <name val="Calibri"/>
      <family val="2"/>
    </font>
    <font>
      <sz val="11"/>
      <name val="Calibri"/>
      <family val="2"/>
    </font>
    <font>
      <b/>
      <sz val="11"/>
      <color theme="1"/>
      <name val="Amasis MT Pro Light"/>
      <family val="1"/>
    </font>
    <font>
      <sz val="19"/>
      <color theme="1"/>
      <name val="Calibri"/>
      <family val="2"/>
    </font>
    <font>
      <sz val="19"/>
      <color theme="1"/>
      <name val="Arial"/>
      <family val="2"/>
    </font>
    <font>
      <sz val="20"/>
      <color theme="1"/>
      <name val="Arial"/>
      <family val="2"/>
    </font>
    <font>
      <sz val="11"/>
      <color theme="1"/>
      <name val="Arial"/>
      <family val="2"/>
    </font>
    <font>
      <sz val="16"/>
      <color theme="1"/>
      <name val="Arial"/>
      <family val="2"/>
    </font>
    <font>
      <sz val="13"/>
      <color theme="1"/>
      <name val="Amasis MT Pro Light"/>
      <family val="1"/>
    </font>
    <font>
      <b/>
      <sz val="18"/>
      <color theme="1"/>
      <name val="Amasis MT Pro Light"/>
      <family val="1"/>
    </font>
    <font>
      <sz val="11"/>
      <color rgb="FFFF0000"/>
      <name val="Arial"/>
      <family val="2"/>
    </font>
    <font>
      <b/>
      <sz val="20"/>
      <color theme="1"/>
      <name val="Calibri"/>
      <family val="2"/>
    </font>
    <font>
      <b/>
      <sz val="11"/>
      <color theme="1"/>
      <name val="Calibri"/>
      <family val="2"/>
    </font>
    <font>
      <sz val="12"/>
      <color theme="1"/>
      <name val="Calibri"/>
      <family val="2"/>
    </font>
    <font>
      <b/>
      <sz val="14"/>
      <color rgb="FFFF0000"/>
      <name val="Amasis MT Pro Light"/>
      <family val="1"/>
    </font>
    <font>
      <b/>
      <sz val="14"/>
      <color rgb="FFFF0000"/>
      <name val="Arial"/>
      <family val="2"/>
    </font>
    <font>
      <b/>
      <sz val="11"/>
      <color rgb="FFFF0000"/>
      <name val="Amasis MT Pro Light"/>
      <family val="1"/>
    </font>
    <font>
      <b/>
      <sz val="16"/>
      <color theme="1"/>
      <name val="Arial"/>
      <family val="2"/>
    </font>
    <font>
      <b/>
      <sz val="11"/>
      <color theme="1"/>
      <name val="Arial"/>
      <family val="2"/>
    </font>
    <font>
      <b/>
      <sz val="15"/>
      <color theme="1"/>
      <name val="Arial"/>
      <family val="2"/>
    </font>
    <font>
      <b/>
      <sz val="18"/>
      <color theme="1"/>
      <name val="Arial"/>
      <family val="2"/>
    </font>
    <font>
      <b/>
      <sz val="11"/>
      <color theme="1"/>
      <name val="Calibri"/>
      <family val="2"/>
      <scheme val="minor"/>
    </font>
    <font>
      <sz val="11"/>
      <color theme="1"/>
      <name val="Calibri"/>
      <family val="2"/>
    </font>
    <font>
      <b/>
      <sz val="11"/>
      <color theme="1"/>
      <name val="Amasis MT Pro Light"/>
      <family val="1"/>
    </font>
    <font>
      <b/>
      <sz val="11"/>
      <color rgb="FFFF0000"/>
      <name val="Calibri"/>
      <family val="2"/>
      <scheme val="minor"/>
    </font>
    <font>
      <sz val="11"/>
      <color theme="1"/>
      <name val="Calibri"/>
      <family val="2"/>
      <scheme val="minor"/>
    </font>
    <font>
      <sz val="11"/>
      <name val="Calibri"/>
      <family val="2"/>
    </font>
    <font>
      <b/>
      <sz val="11"/>
      <color rgb="FFFFFFFF"/>
      <name val="Calibri"/>
      <family val="2"/>
    </font>
    <font>
      <b/>
      <sz val="11"/>
      <color rgb="FFFFFFFF"/>
      <name val="Calibri"/>
      <family val="2"/>
    </font>
    <font>
      <b/>
      <sz val="11"/>
      <name val="Calibri"/>
      <family val="2"/>
      <scheme val="minor"/>
    </font>
    <font>
      <sz val="8"/>
      <name val="Calibri"/>
      <family val="2"/>
      <scheme val="minor"/>
    </font>
    <font>
      <sz val="11"/>
      <color theme="1"/>
      <name val="Amasis MT Pro Light"/>
      <family val="1"/>
    </font>
    <font>
      <sz val="10"/>
      <color theme="1"/>
      <name val="Arial"/>
      <family val="2"/>
    </font>
    <font>
      <sz val="11"/>
      <name val="Arial"/>
      <family val="2"/>
    </font>
    <font>
      <b/>
      <sz val="11"/>
      <color theme="0"/>
      <name val="Calibri"/>
      <family val="2"/>
      <scheme val="minor"/>
    </font>
    <font>
      <b/>
      <sz val="11"/>
      <color theme="0"/>
      <name val="Calibri"/>
      <family val="2"/>
      <scheme val="minor"/>
    </font>
    <font>
      <b/>
      <sz val="11"/>
      <name val="Calibri"/>
      <family val="2"/>
    </font>
    <font>
      <sz val="8"/>
      <name val="Calibri"/>
      <family val="2"/>
      <scheme val="minor"/>
    </font>
    <font>
      <sz val="8"/>
      <name val="Calibri"/>
      <family val="2"/>
      <scheme val="minor"/>
    </font>
    <font>
      <sz val="11"/>
      <name val="Amasis MT Pro Light"/>
      <family val="1"/>
    </font>
    <font>
      <sz val="11"/>
      <name val="Calibri"/>
      <family val="2"/>
      <scheme val="minor"/>
    </font>
    <font>
      <b/>
      <sz val="22"/>
      <color theme="1"/>
      <name val="Arial"/>
      <family val="2"/>
    </font>
    <font>
      <sz val="22"/>
      <name val="Arial"/>
      <family val="2"/>
    </font>
    <font>
      <b/>
      <sz val="26"/>
      <color theme="1"/>
      <name val="Arial"/>
      <family val="2"/>
    </font>
    <font>
      <b/>
      <sz val="11"/>
      <color theme="0"/>
      <name val="Amasis MT Pro Light"/>
      <family val="1"/>
    </font>
    <font>
      <b/>
      <sz val="10"/>
      <color theme="1"/>
      <name val="Arial"/>
      <family val="2"/>
    </font>
    <font>
      <b/>
      <sz val="10"/>
      <color theme="0"/>
      <name val="Arial"/>
      <family val="2"/>
    </font>
    <font>
      <sz val="10"/>
      <name val="Arial"/>
      <family val="2"/>
    </font>
    <font>
      <b/>
      <sz val="14"/>
      <name val="Calibri"/>
      <family val="2"/>
    </font>
    <font>
      <sz val="11"/>
      <color theme="1"/>
      <name val="Calibri"/>
      <family val="2"/>
      <scheme val="minor"/>
    </font>
    <font>
      <sz val="10"/>
      <color theme="0"/>
      <name val="Arial"/>
      <family val="2"/>
    </font>
    <font>
      <b/>
      <sz val="10"/>
      <color rgb="FFFF0000"/>
      <name val="Arial"/>
      <family val="2"/>
    </font>
    <font>
      <b/>
      <sz val="12"/>
      <color theme="1"/>
      <name val="Arial"/>
      <family val="2"/>
    </font>
    <font>
      <sz val="12"/>
      <name val="Arial"/>
      <family val="2"/>
    </font>
    <font>
      <sz val="11"/>
      <color theme="1"/>
      <name val="Calibri"/>
      <family val="2"/>
      <scheme val="minor"/>
    </font>
    <font>
      <sz val="8"/>
      <color theme="1"/>
      <name val="Calibri"/>
      <family val="2"/>
      <scheme val="minor"/>
    </font>
    <font>
      <sz val="8"/>
      <color theme="1"/>
      <name val="Arial"/>
      <family val="2"/>
    </font>
    <font>
      <sz val="8"/>
      <color theme="1"/>
      <name val="Calibri"/>
      <family val="2"/>
    </font>
    <font>
      <sz val="16"/>
      <color theme="1"/>
      <name val="Calibri"/>
      <family val="2"/>
      <scheme val="minor"/>
    </font>
    <font>
      <sz val="8"/>
      <color theme="1"/>
      <name val="Arial Narrow"/>
      <family val="2"/>
    </font>
    <font>
      <sz val="8"/>
      <color theme="1"/>
      <name val="Arial Nova"/>
      <family val="2"/>
    </font>
    <font>
      <sz val="10"/>
      <color theme="1"/>
      <name val="Calibri"/>
      <family val="2"/>
      <scheme val="minor"/>
    </font>
    <font>
      <sz val="12"/>
      <color theme="1"/>
      <name val="Calibri"/>
      <family val="2"/>
      <scheme val="minor"/>
    </font>
    <font>
      <b/>
      <sz val="14"/>
      <color theme="1"/>
      <name val="Arial"/>
      <family val="2"/>
    </font>
    <font>
      <sz val="10"/>
      <color rgb="FFFF0000"/>
      <name val="Arial"/>
      <family val="2"/>
    </font>
    <font>
      <sz val="11"/>
      <color theme="1"/>
      <name val="Calibri"/>
      <family val="2"/>
      <scheme val="minor"/>
    </font>
    <font>
      <sz val="15"/>
      <color theme="1"/>
      <name val="Calibri"/>
      <family val="2"/>
      <scheme val="minor"/>
    </font>
    <font>
      <sz val="8"/>
      <name val="Calibri"/>
      <family val="2"/>
      <scheme val="minor"/>
    </font>
    <font>
      <b/>
      <sz val="10"/>
      <name val="Arial"/>
      <family val="2"/>
    </font>
    <font>
      <sz val="11"/>
      <color theme="1"/>
      <name val="Calibri"/>
      <family val="2"/>
      <scheme val="minor"/>
    </font>
    <font>
      <sz val="20"/>
      <color theme="1"/>
      <name val="Calibri"/>
      <family val="2"/>
      <scheme val="minor"/>
    </font>
    <font>
      <sz val="20"/>
      <color theme="1"/>
      <name val="Calibri"/>
      <family val="2"/>
    </font>
    <font>
      <b/>
      <sz val="11"/>
      <color theme="0"/>
      <name val="Calibri"/>
      <family val="2"/>
      <scheme val="minor"/>
    </font>
    <font>
      <sz val="11"/>
      <color theme="1"/>
      <name val="Times New Roman"/>
      <family val="1"/>
    </font>
    <font>
      <b/>
      <sz val="11"/>
      <color rgb="FFFF0000"/>
      <name val="Times New Roman"/>
      <family val="1"/>
    </font>
    <font>
      <b/>
      <sz val="11"/>
      <color theme="1"/>
      <name val="Times New Roman"/>
      <family val="1"/>
    </font>
    <font>
      <sz val="8"/>
      <name val="Arial"/>
      <family val="2"/>
    </font>
    <font>
      <sz val="10"/>
      <color indexed="8"/>
      <name val="Arial"/>
      <family val="2"/>
    </font>
    <font>
      <sz val="10"/>
      <name val="Arial"/>
      <family val="2"/>
    </font>
    <font>
      <sz val="10"/>
      <color rgb="FF000000"/>
      <name val="Arial"/>
      <family val="2"/>
    </font>
    <font>
      <sz val="11"/>
      <color rgb="FF000000"/>
      <name val="Calibri"/>
      <family val="2"/>
    </font>
    <font>
      <sz val="24"/>
      <color theme="1"/>
      <name val="Calibri"/>
      <family val="2"/>
      <scheme val="minor"/>
    </font>
  </fonts>
  <fills count="36">
    <fill>
      <patternFill patternType="none"/>
    </fill>
    <fill>
      <patternFill patternType="gray125"/>
    </fill>
    <fill>
      <patternFill patternType="solid">
        <fgColor rgb="FFFFC000"/>
        <bgColor rgb="FFFFC000"/>
      </patternFill>
    </fill>
    <fill>
      <patternFill patternType="solid">
        <fgColor rgb="FFD8D8D8"/>
        <bgColor rgb="FFD8D8D8"/>
      </patternFill>
    </fill>
    <fill>
      <patternFill patternType="solid">
        <fgColor rgb="FFFBE4D5"/>
        <bgColor rgb="FFFBE4D5"/>
      </patternFill>
    </fill>
    <fill>
      <patternFill patternType="solid">
        <fgColor rgb="FFFFFF00"/>
        <bgColor rgb="FFFFFF00"/>
      </patternFill>
    </fill>
    <fill>
      <patternFill patternType="solid">
        <fgColor rgb="FFFEF2CB"/>
        <bgColor rgb="FFFEF2CB"/>
      </patternFill>
    </fill>
    <fill>
      <patternFill patternType="solid">
        <fgColor theme="0"/>
        <bgColor theme="0"/>
      </patternFill>
    </fill>
    <fill>
      <patternFill patternType="solid">
        <fgColor rgb="FF92D050"/>
        <bgColor rgb="FF92D050"/>
      </patternFill>
    </fill>
    <fill>
      <patternFill patternType="solid">
        <fgColor rgb="FF0AEBF6"/>
        <bgColor rgb="FF0AEBF6"/>
      </patternFill>
    </fill>
    <fill>
      <patternFill patternType="solid">
        <fgColor rgb="FFE9FBFD"/>
        <bgColor rgb="FFE9FBFD"/>
      </patternFill>
    </fill>
    <fill>
      <patternFill patternType="solid">
        <fgColor rgb="FFFF0000"/>
        <bgColor rgb="FFFF0000"/>
      </patternFill>
    </fill>
    <fill>
      <patternFill patternType="solid">
        <fgColor rgb="FFD9E2F3"/>
        <bgColor rgb="FFD9E2F3"/>
      </patternFill>
    </fill>
    <fill>
      <patternFill patternType="solid">
        <fgColor rgb="FFDEEAF6"/>
        <bgColor rgb="FFDEEAF6"/>
      </patternFill>
    </fill>
    <fill>
      <patternFill patternType="solid">
        <fgColor rgb="FFE2EFD9"/>
        <bgColor rgb="FFE2EFD9"/>
      </patternFill>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72C6"/>
      </patternFill>
    </fill>
    <fill>
      <patternFill patternType="solid">
        <fgColor rgb="FF0072C6"/>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theme="4"/>
      </patternFill>
    </fill>
    <fill>
      <patternFill patternType="solid">
        <fgColor theme="3"/>
        <bgColor indexed="64"/>
      </patternFill>
    </fill>
    <fill>
      <patternFill patternType="solid">
        <fgColor theme="1"/>
        <bgColor indexed="64"/>
      </patternFill>
    </fill>
    <fill>
      <patternFill patternType="solid">
        <fgColor rgb="FFFFC000"/>
        <bgColor indexed="64"/>
      </patternFill>
    </fill>
    <fill>
      <patternFill patternType="solid">
        <fgColor rgb="FFFFFF00"/>
        <bgColor rgb="FF0AEBF6"/>
      </patternFill>
    </fill>
    <fill>
      <patternFill patternType="solid">
        <fgColor rgb="FFFFFF00"/>
        <bgColor theme="0"/>
      </patternFill>
    </fill>
    <fill>
      <patternFill patternType="solid">
        <fgColor rgb="FF00B0F0"/>
        <bgColor indexed="64"/>
      </patternFill>
    </fill>
    <fill>
      <patternFill patternType="solid">
        <fgColor indexed="47"/>
        <bgColor indexed="64"/>
      </patternFill>
    </fill>
    <fill>
      <patternFill patternType="solid">
        <fgColor indexed="11"/>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rgb="FFA8D08D"/>
        <bgColor indexed="64"/>
      </patternFill>
    </fill>
    <fill>
      <patternFill patternType="solid">
        <fgColor theme="2" tint="-0.14999847407452621"/>
        <bgColor indexed="64"/>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rgb="FFA0A0A0"/>
      </left>
      <right style="thin">
        <color rgb="FFA0A0A0"/>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rgb="FFA0A0A0"/>
      </right>
      <top style="thin">
        <color rgb="FFA0A0A0"/>
      </top>
      <bottom/>
      <diagonal/>
    </border>
    <border>
      <left/>
      <right style="thin">
        <color rgb="FFA0A0A0"/>
      </right>
      <top/>
      <bottom style="thin">
        <color rgb="FFA0A0A0"/>
      </bottom>
      <diagonal/>
    </border>
    <border>
      <left style="thin">
        <color rgb="FFA0A0A0"/>
      </left>
      <right/>
      <top/>
      <bottom style="thin">
        <color rgb="FFA0A0A0"/>
      </bottom>
      <diagonal/>
    </border>
    <border>
      <left style="thin">
        <color rgb="FFA0A0A0"/>
      </left>
      <right style="thin">
        <color rgb="FFA0A0A0"/>
      </right>
      <top/>
      <bottom style="thin">
        <color rgb="FFA0A0A0"/>
      </bottom>
      <diagonal/>
    </border>
    <border>
      <left style="thin">
        <color rgb="FFA0A0A0"/>
      </left>
      <right/>
      <top style="thin">
        <color rgb="FFA0A0A0"/>
      </top>
      <bottom/>
      <diagonal/>
    </border>
    <border>
      <left style="thin">
        <color rgb="FFA0A0A0"/>
      </left>
      <right/>
      <top style="thin">
        <color rgb="FFA0A0A0"/>
      </top>
      <bottom style="thin">
        <color rgb="FFA0A0A0"/>
      </bottom>
      <diagonal/>
    </border>
    <border>
      <left style="thin">
        <color rgb="FFA0A0A0"/>
      </left>
      <right style="thin">
        <color rgb="FFA0A0A0"/>
      </right>
      <top style="thin">
        <color rgb="FFA0A0A0"/>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theme="4" tint="0.39997558519241921"/>
      </left>
      <right/>
      <top/>
      <bottom style="thin">
        <color theme="4" tint="0.39997558519241921"/>
      </bottom>
      <diagonal/>
    </border>
    <border>
      <left style="thin">
        <color theme="4" tint="0.39997558519241921"/>
      </left>
      <right/>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indexed="64"/>
      </right>
      <top style="thin">
        <color rgb="FF000000"/>
      </top>
      <bottom/>
      <diagonal/>
    </border>
    <border>
      <left style="thin">
        <color rgb="FF000000"/>
      </left>
      <right/>
      <top style="thin">
        <color indexed="64"/>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medium">
        <color rgb="FF000000"/>
      </left>
      <right style="medium">
        <color rgb="FF000000"/>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bottom style="medium">
        <color indexed="64"/>
      </bottom>
      <diagonal/>
    </border>
    <border>
      <left style="thin">
        <color indexed="64"/>
      </left>
      <right/>
      <top/>
      <bottom/>
      <diagonal/>
    </border>
    <border>
      <left style="thin">
        <color rgb="FF000000"/>
      </left>
      <right style="thin">
        <color rgb="FF000000"/>
      </right>
      <top style="thin">
        <color rgb="FF000000"/>
      </top>
      <bottom style="thin">
        <color theme="4" tint="0.39997558519241921"/>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s>
  <cellStyleXfs count="59">
    <xf numFmtId="0" fontId="0" fillId="0" borderId="0"/>
    <xf numFmtId="43" fontId="55" fillId="0" borderId="0" applyFont="0" applyFill="0" applyBorder="0" applyAlignment="0" applyProtection="0"/>
    <xf numFmtId="0" fontId="31" fillId="0" borderId="5"/>
    <xf numFmtId="44" fontId="55" fillId="0" borderId="0" applyFont="0" applyFill="0" applyBorder="0" applyAlignment="0" applyProtection="0"/>
    <xf numFmtId="9" fontId="79" fillId="0" borderId="0" applyFont="0" applyFill="0" applyBorder="0" applyAlignment="0" applyProtection="0"/>
    <xf numFmtId="0" fontId="84" fillId="0" borderId="5"/>
    <xf numFmtId="0" fontId="95" fillId="0" borderId="5"/>
    <xf numFmtId="43" fontId="21" fillId="0" borderId="5" applyFont="0" applyFill="0" applyBorder="0" applyAlignment="0" applyProtection="0"/>
    <xf numFmtId="44" fontId="21" fillId="0" borderId="5" applyFont="0" applyFill="0" applyBorder="0" applyAlignment="0" applyProtection="0"/>
    <xf numFmtId="9" fontId="21" fillId="0" borderId="5" applyFont="0" applyFill="0" applyBorder="0" applyAlignment="0" applyProtection="0"/>
    <xf numFmtId="0" fontId="21"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43" fontId="20" fillId="0" borderId="5" applyFont="0" applyFill="0" applyBorder="0" applyAlignment="0" applyProtection="0"/>
    <xf numFmtId="44" fontId="20" fillId="0" borderId="5" applyFont="0" applyFill="0" applyBorder="0" applyAlignment="0" applyProtection="0"/>
    <xf numFmtId="9" fontId="20" fillId="0" borderId="5" applyFont="0" applyFill="0" applyBorder="0" applyAlignment="0" applyProtection="0"/>
    <xf numFmtId="0" fontId="20"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43" fontId="19" fillId="0" borderId="5" applyFont="0" applyFill="0" applyBorder="0" applyAlignment="0" applyProtection="0"/>
    <xf numFmtId="44" fontId="19" fillId="0" borderId="5" applyFont="0" applyFill="0" applyBorder="0" applyAlignment="0" applyProtection="0"/>
    <xf numFmtId="9" fontId="19" fillId="0" borderId="5" applyFont="0" applyFill="0" applyBorder="0" applyAlignment="0" applyProtection="0"/>
    <xf numFmtId="0" fontId="19"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5" fillId="0" borderId="5"/>
    <xf numFmtId="0" fontId="99" fillId="0" borderId="5"/>
  </cellStyleXfs>
  <cellXfs count="535">
    <xf numFmtId="0" fontId="0" fillId="0" borderId="0" xfId="0"/>
    <xf numFmtId="0" fontId="29" fillId="0" borderId="0" xfId="0" applyFont="1" applyAlignment="1">
      <alignment horizontal="center" vertical="center"/>
    </xf>
    <xf numFmtId="0" fontId="30" fillId="0" borderId="0" xfId="0" applyFont="1"/>
    <xf numFmtId="0" fontId="30" fillId="0" borderId="0" xfId="0" applyFont="1" applyAlignment="1">
      <alignment horizontal="center" vertical="center" wrapText="1"/>
    </xf>
    <xf numFmtId="0" fontId="36" fillId="0" borderId="0" xfId="0" applyFont="1"/>
    <xf numFmtId="0" fontId="38" fillId="0" borderId="0" xfId="0" applyFont="1"/>
    <xf numFmtId="0" fontId="29" fillId="0" borderId="0" xfId="0" applyFont="1"/>
    <xf numFmtId="0" fontId="39" fillId="5" borderId="1" xfId="0" applyFont="1" applyFill="1" applyBorder="1"/>
    <xf numFmtId="0" fontId="40" fillId="0" borderId="0" xfId="0" applyFont="1"/>
    <xf numFmtId="0" fontId="41" fillId="0" borderId="0" xfId="0" applyFont="1"/>
    <xf numFmtId="0" fontId="41" fillId="0" borderId="0" xfId="0" applyFont="1" applyAlignment="1">
      <alignment horizontal="right"/>
    </xf>
    <xf numFmtId="0" fontId="32" fillId="8" borderId="1" xfId="0" applyFont="1" applyFill="1" applyBorder="1" applyAlignment="1">
      <alignment horizontal="center" vertical="center" wrapText="1"/>
    </xf>
    <xf numFmtId="0" fontId="32" fillId="0" borderId="0" xfId="0" applyFont="1"/>
    <xf numFmtId="0" fontId="44" fillId="5" borderId="1" xfId="0" applyFont="1" applyFill="1" applyBorder="1"/>
    <xf numFmtId="14" fontId="45" fillId="5" borderId="1" xfId="0" applyNumberFormat="1" applyFont="1" applyFill="1" applyBorder="1"/>
    <xf numFmtId="0" fontId="32" fillId="3" borderId="12" xfId="0" applyFont="1" applyFill="1" applyBorder="1" applyAlignment="1">
      <alignment horizontal="center" vertical="center"/>
    </xf>
    <xf numFmtId="0" fontId="32" fillId="3" borderId="1" xfId="0" applyFont="1" applyFill="1" applyBorder="1" applyAlignment="1">
      <alignment horizontal="center" vertical="center"/>
    </xf>
    <xf numFmtId="14" fontId="32" fillId="0" borderId="4" xfId="0" applyNumberFormat="1" applyFont="1" applyBorder="1"/>
    <xf numFmtId="164" fontId="32" fillId="0" borderId="1" xfId="0" applyNumberFormat="1" applyFont="1" applyBorder="1" applyAlignment="1">
      <alignment horizontal="center" vertical="center"/>
    </xf>
    <xf numFmtId="0" fontId="46" fillId="0" borderId="1" xfId="0" applyFont="1" applyBorder="1"/>
    <xf numFmtId="15" fontId="46" fillId="0" borderId="1" xfId="0" applyNumberFormat="1" applyFont="1" applyBorder="1"/>
    <xf numFmtId="15" fontId="46" fillId="0" borderId="1" xfId="0" applyNumberFormat="1" applyFont="1" applyBorder="1" applyAlignment="1">
      <alignment horizontal="center"/>
    </xf>
    <xf numFmtId="0" fontId="29" fillId="0" borderId="1" xfId="0" applyFont="1" applyBorder="1"/>
    <xf numFmtId="164" fontId="29" fillId="0" borderId="1" xfId="0" applyNumberFormat="1" applyFont="1" applyBorder="1"/>
    <xf numFmtId="0" fontId="32" fillId="0" borderId="1" xfId="0" applyFont="1" applyBorder="1"/>
    <xf numFmtId="164" fontId="32" fillId="0" borderId="1" xfId="0" applyNumberFormat="1" applyFont="1" applyBorder="1"/>
    <xf numFmtId="164" fontId="29" fillId="0" borderId="4" xfId="0" applyNumberFormat="1" applyFont="1" applyBorder="1"/>
    <xf numFmtId="0" fontId="29" fillId="0" borderId="2" xfId="0" applyFont="1" applyBorder="1"/>
    <xf numFmtId="164" fontId="29" fillId="0" borderId="8" xfId="0" applyNumberFormat="1" applyFont="1" applyBorder="1"/>
    <xf numFmtId="0" fontId="43" fillId="7" borderId="5" xfId="0" applyFont="1" applyFill="1" applyBorder="1"/>
    <xf numFmtId="0" fontId="47" fillId="9" borderId="11" xfId="0" applyFont="1" applyFill="1" applyBorder="1" applyAlignment="1">
      <alignment horizontal="center" vertical="center" wrapText="1"/>
    </xf>
    <xf numFmtId="0" fontId="47" fillId="9" borderId="1" xfId="0" applyFont="1" applyFill="1" applyBorder="1" applyAlignment="1">
      <alignment horizontal="center" vertical="center" wrapText="1"/>
    </xf>
    <xf numFmtId="0" fontId="47" fillId="10" borderId="1" xfId="0" applyFont="1" applyFill="1" applyBorder="1" applyAlignment="1">
      <alignment horizontal="center" vertical="center" wrapText="1"/>
    </xf>
    <xf numFmtId="3" fontId="37" fillId="0" borderId="1" xfId="0" applyNumberFormat="1" applyFont="1" applyBorder="1" applyAlignment="1">
      <alignment horizontal="center" vertical="center"/>
    </xf>
    <xf numFmtId="3" fontId="37" fillId="10" borderId="1" xfId="0" applyNumberFormat="1" applyFont="1" applyFill="1" applyBorder="1" applyAlignment="1">
      <alignment horizontal="center" vertical="center"/>
    </xf>
    <xf numFmtId="0" fontId="49" fillId="0" borderId="0" xfId="0" applyFont="1"/>
    <xf numFmtId="0" fontId="0" fillId="0" borderId="0" xfId="0" pivotButton="1"/>
    <xf numFmtId="0" fontId="0" fillId="0" borderId="0" xfId="0" applyAlignment="1">
      <alignment horizontal="left"/>
    </xf>
    <xf numFmtId="0" fontId="52" fillId="0" borderId="0" xfId="0" applyFont="1"/>
    <xf numFmtId="0" fontId="0" fillId="0" borderId="5" xfId="0" applyBorder="1"/>
    <xf numFmtId="16" fontId="29" fillId="0" borderId="0" xfId="0" applyNumberFormat="1" applyFont="1"/>
    <xf numFmtId="0" fontId="0" fillId="0" borderId="0" xfId="0" applyAlignment="1">
      <alignment horizontal="left" indent="1"/>
    </xf>
    <xf numFmtId="14" fontId="0" fillId="0" borderId="0" xfId="0" applyNumberFormat="1"/>
    <xf numFmtId="0" fontId="27" fillId="0" borderId="0" xfId="0" applyFont="1"/>
    <xf numFmtId="43" fontId="0" fillId="0" borderId="0" xfId="1" applyFont="1"/>
    <xf numFmtId="0" fontId="26" fillId="0" borderId="0" xfId="0" applyFont="1"/>
    <xf numFmtId="0" fontId="53" fillId="8" borderId="10" xfId="0" applyFont="1" applyFill="1" applyBorder="1" applyAlignment="1">
      <alignment vertical="center" wrapText="1"/>
    </xf>
    <xf numFmtId="0" fontId="53" fillId="8" borderId="5" xfId="0" applyFont="1" applyFill="1" applyBorder="1" applyAlignment="1">
      <alignment vertical="center" wrapText="1"/>
    </xf>
    <xf numFmtId="0" fontId="31" fillId="0" borderId="5" xfId="2"/>
    <xf numFmtId="0" fontId="31" fillId="0" borderId="26" xfId="2" applyBorder="1" applyAlignment="1">
      <alignment horizontal="right"/>
    </xf>
    <xf numFmtId="169" fontId="31" fillId="0" borderId="26" xfId="2" applyNumberFormat="1" applyBorder="1" applyAlignment="1">
      <alignment horizontal="right"/>
    </xf>
    <xf numFmtId="0" fontId="31" fillId="0" borderId="27" xfId="2" applyBorder="1" applyAlignment="1">
      <alignment horizontal="right"/>
    </xf>
    <xf numFmtId="0" fontId="31" fillId="0" borderId="28" xfId="2" applyBorder="1" applyAlignment="1">
      <alignment horizontal="right"/>
    </xf>
    <xf numFmtId="0" fontId="31" fillId="0" borderId="29" xfId="2" applyBorder="1" applyAlignment="1">
      <alignment horizontal="right"/>
    </xf>
    <xf numFmtId="0" fontId="57" fillId="18" borderId="30" xfId="2" applyFont="1" applyFill="1" applyBorder="1" applyAlignment="1">
      <alignment horizontal="center"/>
    </xf>
    <xf numFmtId="0" fontId="57" fillId="18" borderId="31" xfId="2" applyFont="1" applyFill="1" applyBorder="1" applyAlignment="1">
      <alignment horizontal="center"/>
    </xf>
    <xf numFmtId="0" fontId="57" fillId="18" borderId="29" xfId="2" applyFont="1" applyFill="1" applyBorder="1" applyAlignment="1">
      <alignment horizontal="center"/>
    </xf>
    <xf numFmtId="0" fontId="58" fillId="19" borderId="29" xfId="2" applyFont="1" applyFill="1" applyBorder="1" applyAlignment="1">
      <alignment horizontal="center"/>
    </xf>
    <xf numFmtId="0" fontId="58" fillId="19" borderId="31" xfId="2" applyFont="1" applyFill="1" applyBorder="1" applyAlignment="1">
      <alignment horizontal="center"/>
    </xf>
    <xf numFmtId="0" fontId="57" fillId="18" borderId="26" xfId="2" applyFont="1" applyFill="1" applyBorder="1" applyAlignment="1">
      <alignment horizontal="right"/>
    </xf>
    <xf numFmtId="0" fontId="0" fillId="0" borderId="26" xfId="0" applyBorder="1" applyAlignment="1">
      <alignment horizontal="right"/>
    </xf>
    <xf numFmtId="0" fontId="0" fillId="0" borderId="34" xfId="0" applyBorder="1" applyAlignment="1">
      <alignment horizontal="right"/>
    </xf>
    <xf numFmtId="170" fontId="0" fillId="0" borderId="27" xfId="0" applyNumberFormat="1" applyBorder="1" applyAlignment="1">
      <alignment horizontal="right"/>
    </xf>
    <xf numFmtId="170" fontId="0" fillId="0" borderId="28" xfId="0" applyNumberFormat="1" applyBorder="1" applyAlignment="1">
      <alignment horizontal="right"/>
    </xf>
    <xf numFmtId="14" fontId="0" fillId="0" borderId="0" xfId="0" applyNumberFormat="1" applyAlignment="1">
      <alignment horizontal="left"/>
    </xf>
    <xf numFmtId="43" fontId="31" fillId="0" borderId="26" xfId="1" applyFont="1" applyBorder="1"/>
    <xf numFmtId="43" fontId="0" fillId="0" borderId="33" xfId="1" applyFont="1" applyBorder="1"/>
    <xf numFmtId="43" fontId="0" fillId="0" borderId="32" xfId="1" applyFont="1" applyBorder="1"/>
    <xf numFmtId="171" fontId="0" fillId="0" borderId="0" xfId="0" applyNumberFormat="1"/>
    <xf numFmtId="0" fontId="28" fillId="0" borderId="24" xfId="0" applyFont="1" applyBorder="1"/>
    <xf numFmtId="0" fontId="0" fillId="0" borderId="24" xfId="0" applyBorder="1"/>
    <xf numFmtId="0" fontId="25" fillId="0" borderId="0" xfId="0" applyFont="1"/>
    <xf numFmtId="169" fontId="56" fillId="0" borderId="34" xfId="2" applyNumberFormat="1" applyFont="1" applyBorder="1" applyAlignment="1">
      <alignment horizontal="right"/>
    </xf>
    <xf numFmtId="20" fontId="31" fillId="0" borderId="34" xfId="2" applyNumberFormat="1" applyBorder="1" applyAlignment="1">
      <alignment horizontal="right"/>
    </xf>
    <xf numFmtId="0" fontId="54" fillId="0" borderId="5" xfId="0" applyFont="1" applyBorder="1" applyAlignment="1">
      <alignment horizontal="center" vertical="center"/>
    </xf>
    <xf numFmtId="0" fontId="59" fillId="0" borderId="23" xfId="0" applyFont="1" applyBorder="1" applyAlignment="1">
      <alignment horizontal="center" vertical="center"/>
    </xf>
    <xf numFmtId="0" fontId="59" fillId="0" borderId="23" xfId="0" applyFont="1" applyBorder="1" applyAlignment="1">
      <alignment horizontal="center" vertical="center" wrapText="1"/>
    </xf>
    <xf numFmtId="44" fontId="0" fillId="0" borderId="0" xfId="3" applyFont="1"/>
    <xf numFmtId="172" fontId="0" fillId="0" borderId="0" xfId="3" applyNumberFormat="1" applyFont="1"/>
    <xf numFmtId="169" fontId="56" fillId="0" borderId="26" xfId="2" applyNumberFormat="1" applyFont="1" applyBorder="1" applyAlignment="1">
      <alignment horizontal="right"/>
    </xf>
    <xf numFmtId="20" fontId="31" fillId="0" borderId="26" xfId="2" applyNumberFormat="1" applyBorder="1" applyAlignment="1">
      <alignment horizontal="right"/>
    </xf>
    <xf numFmtId="169" fontId="31" fillId="0" borderId="34" xfId="2" applyNumberFormat="1" applyBorder="1" applyAlignment="1">
      <alignment horizontal="right"/>
    </xf>
    <xf numFmtId="43" fontId="31" fillId="0" borderId="34" xfId="1" applyFont="1" applyBorder="1"/>
    <xf numFmtId="0" fontId="0" fillId="0" borderId="0" xfId="0" applyAlignment="1">
      <alignment horizontal="left" indent="2"/>
    </xf>
    <xf numFmtId="0" fontId="51" fillId="20" borderId="35" xfId="0" applyFont="1" applyFill="1" applyBorder="1"/>
    <xf numFmtId="44" fontId="51" fillId="0" borderId="0" xfId="0" applyNumberFormat="1" applyFont="1"/>
    <xf numFmtId="0" fontId="31" fillId="0" borderId="34" xfId="2" applyBorder="1" applyAlignment="1">
      <alignment horizontal="right"/>
    </xf>
    <xf numFmtId="0" fontId="32" fillId="8" borderId="10" xfId="0" applyFont="1" applyFill="1" applyBorder="1" applyAlignment="1">
      <alignment vertical="center" wrapText="1"/>
    </xf>
    <xf numFmtId="0" fontId="62" fillId="0" borderId="0" xfId="0" applyFont="1"/>
    <xf numFmtId="0" fontId="36" fillId="0" borderId="0" xfId="0" applyFont="1" applyAlignment="1">
      <alignment horizontal="center" vertical="center"/>
    </xf>
    <xf numFmtId="0" fontId="36" fillId="17" borderId="0" xfId="0" applyFont="1" applyFill="1" applyAlignment="1">
      <alignment horizontal="center" vertical="center"/>
    </xf>
    <xf numFmtId="0" fontId="36" fillId="15" borderId="0" xfId="0" applyFont="1" applyFill="1" applyAlignment="1">
      <alignment horizontal="center" vertical="center"/>
    </xf>
    <xf numFmtId="0" fontId="63" fillId="0" borderId="0" xfId="0" applyFont="1" applyAlignment="1">
      <alignment horizontal="center" vertical="center"/>
    </xf>
    <xf numFmtId="0" fontId="63" fillId="15" borderId="0" xfId="0" applyFont="1" applyFill="1" applyAlignment="1">
      <alignment horizontal="center" vertical="center"/>
    </xf>
    <xf numFmtId="14" fontId="36" fillId="0" borderId="0" xfId="0" applyNumberFormat="1" applyFont="1" applyAlignment="1">
      <alignment horizontal="center" vertical="center"/>
    </xf>
    <xf numFmtId="164" fontId="36" fillId="17" borderId="0" xfId="0" applyNumberFormat="1" applyFont="1" applyFill="1" applyAlignment="1">
      <alignment horizontal="center" vertical="center"/>
    </xf>
    <xf numFmtId="164" fontId="36" fillId="15" borderId="0" xfId="0" applyNumberFormat="1" applyFont="1" applyFill="1" applyAlignment="1">
      <alignment horizontal="center" vertical="center"/>
    </xf>
    <xf numFmtId="164" fontId="36" fillId="0" borderId="0" xfId="0" applyNumberFormat="1" applyFont="1" applyAlignment="1">
      <alignment horizontal="center" vertical="center"/>
    </xf>
    <xf numFmtId="164" fontId="63" fillId="15" borderId="0" xfId="0" applyNumberFormat="1" applyFont="1" applyFill="1" applyAlignment="1">
      <alignment horizontal="center" vertical="center"/>
    </xf>
    <xf numFmtId="0" fontId="36" fillId="15" borderId="0" xfId="0" applyFont="1" applyFill="1"/>
    <xf numFmtId="0" fontId="63" fillId="0" borderId="0" xfId="0" applyFont="1"/>
    <xf numFmtId="0" fontId="0" fillId="0" borderId="35" xfId="0" applyBorder="1"/>
    <xf numFmtId="14" fontId="65" fillId="21" borderId="37" xfId="0" applyNumberFormat="1" applyFont="1" applyFill="1" applyBorder="1"/>
    <xf numFmtId="14" fontId="65" fillId="21" borderId="38" xfId="0" applyNumberFormat="1" applyFont="1" applyFill="1" applyBorder="1"/>
    <xf numFmtId="0" fontId="65" fillId="21" borderId="5" xfId="0" applyFont="1" applyFill="1" applyBorder="1"/>
    <xf numFmtId="0" fontId="64" fillId="21" borderId="5" xfId="0" applyFont="1" applyFill="1" applyBorder="1"/>
    <xf numFmtId="169" fontId="0" fillId="0" borderId="34" xfId="0" applyNumberFormat="1" applyBorder="1" applyAlignment="1">
      <alignment horizontal="right"/>
    </xf>
    <xf numFmtId="43" fontId="0" fillId="0" borderId="34" xfId="1" applyFont="1" applyBorder="1"/>
    <xf numFmtId="169" fontId="0" fillId="0" borderId="26" xfId="0" applyNumberFormat="1" applyBorder="1" applyAlignment="1">
      <alignment horizontal="right"/>
    </xf>
    <xf numFmtId="43" fontId="0" fillId="0" borderId="26" xfId="1" applyFont="1" applyBorder="1"/>
    <xf numFmtId="14" fontId="64" fillId="21" borderId="38" xfId="0" applyNumberFormat="1" applyFont="1" applyFill="1" applyBorder="1"/>
    <xf numFmtId="164" fontId="36" fillId="0" borderId="25" xfId="0" applyNumberFormat="1" applyFont="1" applyBorder="1" applyAlignment="1">
      <alignment horizontal="center" vertical="center"/>
    </xf>
    <xf numFmtId="14" fontId="24" fillId="0" borderId="0" xfId="0" applyNumberFormat="1" applyFont="1"/>
    <xf numFmtId="0" fontId="47" fillId="10" borderId="10" xfId="0" applyFont="1" applyFill="1" applyBorder="1" applyAlignment="1">
      <alignment horizontal="center" vertical="center" wrapText="1"/>
    </xf>
    <xf numFmtId="0" fontId="0" fillId="0" borderId="0" xfId="0" applyAlignment="1">
      <alignment wrapText="1"/>
    </xf>
    <xf numFmtId="0" fontId="48" fillId="16" borderId="25" xfId="0" applyFont="1" applyFill="1" applyBorder="1" applyAlignment="1">
      <alignment horizontal="center" vertical="center" wrapText="1"/>
    </xf>
    <xf numFmtId="0" fontId="48" fillId="16" borderId="18" xfId="0" applyFont="1" applyFill="1" applyBorder="1" applyAlignment="1">
      <alignment wrapText="1"/>
    </xf>
    <xf numFmtId="173" fontId="0" fillId="15" borderId="0" xfId="0" applyNumberFormat="1" applyFill="1"/>
    <xf numFmtId="14" fontId="0" fillId="15" borderId="0" xfId="0" applyNumberFormat="1" applyFill="1"/>
    <xf numFmtId="0" fontId="0" fillId="15" borderId="0" xfId="0" applyFill="1"/>
    <xf numFmtId="173" fontId="65" fillId="22" borderId="38" xfId="0" applyNumberFormat="1" applyFont="1" applyFill="1" applyBorder="1"/>
    <xf numFmtId="14" fontId="64" fillId="22" borderId="5" xfId="0" applyNumberFormat="1" applyFont="1" applyFill="1" applyBorder="1"/>
    <xf numFmtId="0" fontId="65" fillId="22" borderId="5" xfId="0" applyFont="1" applyFill="1" applyBorder="1"/>
    <xf numFmtId="0" fontId="0" fillId="15" borderId="35" xfId="0" applyFill="1" applyBorder="1"/>
    <xf numFmtId="173" fontId="0" fillId="15" borderId="36" xfId="0" applyNumberFormat="1" applyFill="1" applyBorder="1"/>
    <xf numFmtId="43" fontId="0" fillId="15" borderId="35" xfId="1" applyFont="1" applyFill="1" applyBorder="1"/>
    <xf numFmtId="20" fontId="0" fillId="15" borderId="35" xfId="0" applyNumberFormat="1" applyFill="1" applyBorder="1"/>
    <xf numFmtId="171" fontId="0" fillId="0" borderId="26" xfId="0" applyNumberFormat="1" applyBorder="1"/>
    <xf numFmtId="168" fontId="0" fillId="0" borderId="26" xfId="0" applyNumberFormat="1" applyBorder="1"/>
    <xf numFmtId="0" fontId="70" fillId="0" borderId="0" xfId="0" applyFont="1"/>
    <xf numFmtId="0" fontId="32" fillId="0" borderId="11" xfId="0" applyFont="1" applyBorder="1" applyAlignment="1">
      <alignment horizontal="center" vertical="center" wrapText="1"/>
    </xf>
    <xf numFmtId="14" fontId="29" fillId="0" borderId="16" xfId="0" applyNumberFormat="1" applyFont="1" applyBorder="1" applyAlignment="1">
      <alignment horizontal="center" vertical="center"/>
    </xf>
    <xf numFmtId="14" fontId="29" fillId="0" borderId="11" xfId="0" applyNumberFormat="1" applyFont="1" applyBorder="1" applyAlignment="1">
      <alignment horizontal="center" vertical="center"/>
    </xf>
    <xf numFmtId="14" fontId="69" fillId="0" borderId="11" xfId="0" applyNumberFormat="1" applyFont="1" applyBorder="1" applyAlignment="1">
      <alignment horizontal="center" vertical="center"/>
    </xf>
    <xf numFmtId="165" fontId="29" fillId="0" borderId="10" xfId="0" applyNumberFormat="1" applyFont="1" applyBorder="1" applyAlignment="1">
      <alignment horizontal="center" vertical="center"/>
    </xf>
    <xf numFmtId="165" fontId="29" fillId="0" borderId="8" xfId="0" applyNumberFormat="1" applyFont="1" applyBorder="1" applyAlignment="1">
      <alignment horizontal="center" vertical="center"/>
    </xf>
    <xf numFmtId="0" fontId="53" fillId="8" borderId="20" xfId="0" applyFont="1" applyFill="1" applyBorder="1" applyAlignment="1">
      <alignment vertical="center" wrapText="1"/>
    </xf>
    <xf numFmtId="0" fontId="0" fillId="0" borderId="20" xfId="0" applyBorder="1"/>
    <xf numFmtId="0" fontId="70" fillId="0" borderId="20" xfId="0" applyFont="1" applyBorder="1"/>
    <xf numFmtId="0" fontId="0" fillId="0" borderId="41" xfId="0" applyBorder="1"/>
    <xf numFmtId="0" fontId="74" fillId="8" borderId="8" xfId="0" applyFont="1" applyFill="1" applyBorder="1" applyAlignment="1">
      <alignment vertical="center" wrapText="1"/>
    </xf>
    <xf numFmtId="0" fontId="74" fillId="8" borderId="10" xfId="0" applyFont="1" applyFill="1" applyBorder="1" applyAlignment="1">
      <alignment vertical="center" wrapText="1"/>
    </xf>
    <xf numFmtId="165" fontId="29" fillId="20" borderId="8" xfId="0" applyNumberFormat="1" applyFont="1" applyFill="1" applyBorder="1" applyAlignment="1">
      <alignment horizontal="center" vertical="center"/>
    </xf>
    <xf numFmtId="165" fontId="29" fillId="20" borderId="10" xfId="0" applyNumberFormat="1" applyFont="1" applyFill="1" applyBorder="1" applyAlignment="1">
      <alignment horizontal="center" vertical="center"/>
    </xf>
    <xf numFmtId="165" fontId="69" fillId="0" borderId="8" xfId="0" applyNumberFormat="1" applyFont="1" applyBorder="1" applyAlignment="1">
      <alignment horizontal="center" vertical="center"/>
    </xf>
    <xf numFmtId="165" fontId="69" fillId="0" borderId="10" xfId="0" applyNumberFormat="1" applyFont="1" applyBorder="1" applyAlignment="1">
      <alignment horizontal="center" vertical="center"/>
    </xf>
    <xf numFmtId="165" fontId="29" fillId="20" borderId="11" xfId="0" applyNumberFormat="1" applyFont="1" applyFill="1" applyBorder="1" applyAlignment="1">
      <alignment horizontal="center" vertical="center"/>
    </xf>
    <xf numFmtId="165" fontId="29" fillId="20" borderId="1" xfId="0" applyNumberFormat="1" applyFont="1" applyFill="1" applyBorder="1" applyAlignment="1">
      <alignment horizontal="center" vertical="center"/>
    </xf>
    <xf numFmtId="0" fontId="74" fillId="8" borderId="8" xfId="0" applyFont="1" applyFill="1" applyBorder="1" applyAlignment="1">
      <alignment horizontal="center" vertical="center" wrapText="1"/>
    </xf>
    <xf numFmtId="0" fontId="74" fillId="8" borderId="42" xfId="0" applyFont="1" applyFill="1" applyBorder="1" applyAlignment="1">
      <alignment vertical="center" wrapText="1"/>
    </xf>
    <xf numFmtId="0" fontId="0" fillId="20" borderId="43" xfId="0" applyFill="1" applyBorder="1"/>
    <xf numFmtId="0" fontId="0" fillId="20" borderId="41" xfId="0" applyFill="1" applyBorder="1"/>
    <xf numFmtId="0" fontId="0" fillId="20" borderId="40" xfId="0" applyFill="1" applyBorder="1"/>
    <xf numFmtId="0" fontId="0" fillId="0" borderId="43" xfId="0" applyBorder="1"/>
    <xf numFmtId="0" fontId="0" fillId="0" borderId="40" xfId="0" applyBorder="1"/>
    <xf numFmtId="0" fontId="0" fillId="20" borderId="44" xfId="0" applyFill="1" applyBorder="1"/>
    <xf numFmtId="0" fontId="0" fillId="20" borderId="25" xfId="0" applyFill="1" applyBorder="1"/>
    <xf numFmtId="0" fontId="36" fillId="23" borderId="5" xfId="0" applyFont="1" applyFill="1" applyBorder="1" applyAlignment="1">
      <alignment wrapText="1"/>
    </xf>
    <xf numFmtId="0" fontId="0" fillId="23" borderId="5" xfId="0" applyFill="1" applyBorder="1" applyAlignment="1">
      <alignment wrapText="1"/>
    </xf>
    <xf numFmtId="0" fontId="75" fillId="23" borderId="25" xfId="0" applyFont="1" applyFill="1" applyBorder="1" applyAlignment="1">
      <alignment horizontal="center" vertical="center" wrapText="1"/>
    </xf>
    <xf numFmtId="0" fontId="76" fillId="23" borderId="25" xfId="0" applyFont="1" applyFill="1" applyBorder="1" applyAlignment="1">
      <alignment horizontal="center" vertical="center" wrapText="1"/>
    </xf>
    <xf numFmtId="0" fontId="75" fillId="23" borderId="17" xfId="0" applyFont="1" applyFill="1" applyBorder="1" applyAlignment="1">
      <alignment horizontal="center" vertical="center" wrapText="1"/>
    </xf>
    <xf numFmtId="0" fontId="75" fillId="23" borderId="15" xfId="0" applyFont="1" applyFill="1" applyBorder="1" applyAlignment="1">
      <alignment horizontal="center" vertical="center" wrapText="1"/>
    </xf>
    <xf numFmtId="0" fontId="75" fillId="23" borderId="3" xfId="0" applyFont="1" applyFill="1" applyBorder="1" applyAlignment="1">
      <alignment horizontal="center" vertical="center" wrapText="1"/>
    </xf>
    <xf numFmtId="164" fontId="62" fillId="17" borderId="25" xfId="0" applyNumberFormat="1" applyFont="1" applyFill="1" applyBorder="1" applyAlignment="1">
      <alignment horizontal="center" vertical="center"/>
    </xf>
    <xf numFmtId="164" fontId="62" fillId="0" borderId="25" xfId="0" applyNumberFormat="1" applyFont="1" applyBorder="1" applyAlignment="1">
      <alignment horizontal="center" vertical="center"/>
    </xf>
    <xf numFmtId="164" fontId="62" fillId="17" borderId="0" xfId="0" applyNumberFormat="1" applyFont="1" applyFill="1" applyAlignment="1">
      <alignment horizontal="center" vertical="center"/>
    </xf>
    <xf numFmtId="164" fontId="62" fillId="0" borderId="0" xfId="0" applyNumberFormat="1" applyFont="1" applyAlignment="1">
      <alignment horizontal="center" vertical="center"/>
    </xf>
    <xf numFmtId="164" fontId="62" fillId="15" borderId="0" xfId="0" applyNumberFormat="1" applyFont="1" applyFill="1" applyAlignment="1">
      <alignment horizontal="center" vertical="center"/>
    </xf>
    <xf numFmtId="164" fontId="77" fillId="15" borderId="0" xfId="0" applyNumberFormat="1" applyFont="1" applyFill="1" applyAlignment="1">
      <alignment horizontal="center" vertical="center"/>
    </xf>
    <xf numFmtId="14" fontId="62" fillId="0" borderId="0" xfId="0" applyNumberFormat="1" applyFont="1" applyAlignment="1">
      <alignment horizontal="center" vertical="center"/>
    </xf>
    <xf numFmtId="2" fontId="62" fillId="0" borderId="0" xfId="0" applyNumberFormat="1" applyFont="1" applyAlignment="1">
      <alignment horizontal="center" vertical="center"/>
    </xf>
    <xf numFmtId="164" fontId="29" fillId="0" borderId="11" xfId="0" applyNumberFormat="1" applyFont="1" applyBorder="1"/>
    <xf numFmtId="15" fontId="46" fillId="0" borderId="10" xfId="0" applyNumberFormat="1" applyFont="1" applyBorder="1" applyAlignment="1">
      <alignment horizontal="center"/>
    </xf>
    <xf numFmtId="9" fontId="29" fillId="0" borderId="25" xfId="4" applyFont="1" applyBorder="1" applyAlignment="1">
      <alignment horizontal="center"/>
    </xf>
    <xf numFmtId="15" fontId="46" fillId="0" borderId="1" xfId="0" applyNumberFormat="1" applyFont="1" applyBorder="1" applyAlignment="1">
      <alignment horizontal="center" wrapText="1"/>
    </xf>
    <xf numFmtId="0" fontId="46" fillId="0" borderId="8" xfId="0" applyFont="1" applyBorder="1"/>
    <xf numFmtId="0" fontId="46" fillId="0" borderId="25" xfId="0" applyFont="1" applyBorder="1"/>
    <xf numFmtId="9" fontId="0" fillId="0" borderId="25" xfId="4" applyFont="1" applyBorder="1"/>
    <xf numFmtId="0" fontId="0" fillId="0" borderId="25" xfId="0" applyBorder="1"/>
    <xf numFmtId="0" fontId="46" fillId="0" borderId="25" xfId="0" applyFont="1" applyBorder="1" applyAlignment="1">
      <alignment horizontal="center" vertical="center"/>
    </xf>
    <xf numFmtId="3" fontId="0" fillId="0" borderId="0" xfId="0" applyNumberFormat="1"/>
    <xf numFmtId="0" fontId="47" fillId="9" borderId="10" xfId="0" applyFont="1" applyFill="1" applyBorder="1" applyAlignment="1">
      <alignment horizontal="center" vertical="center" wrapText="1"/>
    </xf>
    <xf numFmtId="3" fontId="47" fillId="9" borderId="10" xfId="0" applyNumberFormat="1" applyFont="1" applyFill="1" applyBorder="1" applyAlignment="1">
      <alignment horizontal="center" vertical="center" wrapText="1"/>
    </xf>
    <xf numFmtId="0" fontId="62" fillId="7" borderId="5" xfId="0" applyFont="1" applyFill="1" applyBorder="1"/>
    <xf numFmtId="0" fontId="80" fillId="0" borderId="0" xfId="0" applyFont="1"/>
    <xf numFmtId="0" fontId="62" fillId="0" borderId="5" xfId="0" applyFont="1" applyBorder="1"/>
    <xf numFmtId="0" fontId="75" fillId="9" borderId="46" xfId="0" applyFont="1" applyFill="1" applyBorder="1" applyAlignment="1">
      <alignment horizontal="center" vertical="center" wrapText="1"/>
    </xf>
    <xf numFmtId="0" fontId="75" fillId="9" borderId="47" xfId="0" applyFont="1" applyFill="1" applyBorder="1" applyAlignment="1">
      <alignment horizontal="center" vertical="center" wrapText="1"/>
    </xf>
    <xf numFmtId="3" fontId="62" fillId="0" borderId="0" xfId="0" applyNumberFormat="1" applyFont="1"/>
    <xf numFmtId="0" fontId="62" fillId="0" borderId="9" xfId="0" applyFont="1" applyBorder="1"/>
    <xf numFmtId="3" fontId="62" fillId="0" borderId="1" xfId="0" applyNumberFormat="1" applyFont="1" applyBorder="1" applyAlignment="1">
      <alignment horizontal="center" vertical="center"/>
    </xf>
    <xf numFmtId="4" fontId="62" fillId="10" borderId="1" xfId="0" applyNumberFormat="1" applyFont="1" applyFill="1" applyBorder="1" applyAlignment="1">
      <alignment horizontal="center" vertical="center"/>
    </xf>
    <xf numFmtId="4" fontId="75" fillId="9" borderId="1" xfId="0" applyNumberFormat="1" applyFont="1" applyFill="1" applyBorder="1" applyAlignment="1">
      <alignment horizontal="center" vertical="center" wrapText="1"/>
    </xf>
    <xf numFmtId="4" fontId="75" fillId="4" borderId="1" xfId="0" applyNumberFormat="1" applyFont="1" applyFill="1" applyBorder="1" applyAlignment="1">
      <alignment horizontal="center" vertical="center" wrapText="1"/>
    </xf>
    <xf numFmtId="43" fontId="23" fillId="0" borderId="0" xfId="1" applyFont="1"/>
    <xf numFmtId="1" fontId="29" fillId="0" borderId="1" xfId="0" applyNumberFormat="1" applyFont="1" applyBorder="1"/>
    <xf numFmtId="0" fontId="77" fillId="0" borderId="9" xfId="0" applyFont="1" applyBorder="1"/>
    <xf numFmtId="0" fontId="77" fillId="0" borderId="1" xfId="0" applyFont="1" applyBorder="1"/>
    <xf numFmtId="4" fontId="77" fillId="7" borderId="7" xfId="0" applyNumberFormat="1" applyFont="1" applyFill="1" applyBorder="1" applyAlignment="1">
      <alignment horizontal="center" vertical="center"/>
    </xf>
    <xf numFmtId="4" fontId="77" fillId="7" borderId="15" xfId="0" applyNumberFormat="1" applyFont="1" applyFill="1" applyBorder="1" applyAlignment="1">
      <alignment horizontal="center" vertical="center"/>
    </xf>
    <xf numFmtId="4" fontId="77" fillId="7" borderId="16" xfId="0" applyNumberFormat="1" applyFont="1" applyFill="1" applyBorder="1" applyAlignment="1">
      <alignment horizontal="center" vertical="center"/>
    </xf>
    <xf numFmtId="4" fontId="77" fillId="7" borderId="1" xfId="0" applyNumberFormat="1" applyFont="1" applyFill="1" applyBorder="1" applyAlignment="1">
      <alignment horizontal="center" vertical="center"/>
    </xf>
    <xf numFmtId="0" fontId="62" fillId="0" borderId="0" xfId="0" applyFont="1" applyAlignment="1">
      <alignment horizontal="left"/>
    </xf>
    <xf numFmtId="0" fontId="81" fillId="10" borderId="1" xfId="0" applyFont="1" applyFill="1" applyBorder="1" applyAlignment="1">
      <alignment horizontal="left" vertical="center" wrapText="1"/>
    </xf>
    <xf numFmtId="0" fontId="75" fillId="10" borderId="1" xfId="0" applyFont="1" applyFill="1" applyBorder="1" applyAlignment="1">
      <alignment horizontal="left" vertical="center" wrapText="1"/>
    </xf>
    <xf numFmtId="0" fontId="75" fillId="9" borderId="1" xfId="0" applyFont="1" applyFill="1" applyBorder="1" applyAlignment="1">
      <alignment horizontal="left" vertical="center" wrapText="1"/>
    </xf>
    <xf numFmtId="0" fontId="75" fillId="0" borderId="0" xfId="0" applyFont="1" applyAlignment="1">
      <alignment vertical="center" wrapText="1"/>
    </xf>
    <xf numFmtId="4" fontId="0" fillId="0" borderId="0" xfId="0" applyNumberFormat="1"/>
    <xf numFmtId="0" fontId="80" fillId="0" borderId="5" xfId="0" applyFont="1" applyBorder="1"/>
    <xf numFmtId="3" fontId="75" fillId="2" borderId="54" xfId="0" applyNumberFormat="1" applyFont="1" applyFill="1" applyBorder="1" applyAlignment="1">
      <alignment horizontal="center" vertical="center" wrapText="1"/>
    </xf>
    <xf numFmtId="0" fontId="75" fillId="9" borderId="54" xfId="0" applyFont="1" applyFill="1" applyBorder="1" applyAlignment="1">
      <alignment horizontal="center" vertical="center" wrapText="1"/>
    </xf>
    <xf numFmtId="3" fontId="75" fillId="9" borderId="54" xfId="0" applyNumberFormat="1" applyFont="1" applyFill="1" applyBorder="1" applyAlignment="1">
      <alignment horizontal="center" vertical="center" wrapText="1"/>
    </xf>
    <xf numFmtId="3" fontId="62" fillId="10" borderId="54" xfId="0" applyNumberFormat="1" applyFont="1" applyFill="1" applyBorder="1" applyAlignment="1">
      <alignment horizontal="center" vertical="center"/>
    </xf>
    <xf numFmtId="4" fontId="62" fillId="2" borderId="54" xfId="0" applyNumberFormat="1" applyFont="1" applyFill="1" applyBorder="1" applyAlignment="1">
      <alignment horizontal="center" vertical="center"/>
    </xf>
    <xf numFmtId="174" fontId="62" fillId="2" borderId="54" xfId="1" applyNumberFormat="1" applyFont="1" applyFill="1" applyBorder="1" applyAlignment="1">
      <alignment horizontal="center" vertical="center"/>
    </xf>
    <xf numFmtId="0" fontId="75" fillId="10" borderId="54" xfId="0" applyFont="1" applyFill="1" applyBorder="1" applyAlignment="1">
      <alignment horizontal="left" vertical="center" wrapText="1"/>
    </xf>
    <xf numFmtId="0" fontId="75" fillId="9" borderId="54" xfId="0" applyFont="1" applyFill="1" applyBorder="1" applyAlignment="1">
      <alignment horizontal="left" vertical="center" wrapText="1"/>
    </xf>
    <xf numFmtId="0" fontId="75" fillId="2" borderId="54" xfId="0" applyFont="1" applyFill="1" applyBorder="1" applyAlignment="1">
      <alignment horizontal="left" vertical="center" wrapText="1"/>
    </xf>
    <xf numFmtId="9" fontId="0" fillId="0" borderId="0" xfId="4" applyFont="1"/>
    <xf numFmtId="0" fontId="66" fillId="4" borderId="25" xfId="0" applyFont="1" applyFill="1" applyBorder="1" applyAlignment="1">
      <alignment horizontal="center" vertical="center" wrapText="1"/>
    </xf>
    <xf numFmtId="0" fontId="85" fillId="0" borderId="0" xfId="0" applyFont="1"/>
    <xf numFmtId="0" fontId="85" fillId="25" borderId="54" xfId="0" applyFont="1" applyFill="1" applyBorder="1" applyAlignment="1">
      <alignment horizontal="center"/>
    </xf>
    <xf numFmtId="14" fontId="86" fillId="0" borderId="54" xfId="0" applyNumberFormat="1" applyFont="1" applyBorder="1" applyAlignment="1">
      <alignment horizontal="center" vertical="center"/>
    </xf>
    <xf numFmtId="2" fontId="86" fillId="0" borderId="56" xfId="0" applyNumberFormat="1" applyFont="1" applyBorder="1" applyAlignment="1">
      <alignment horizontal="center" vertical="center"/>
    </xf>
    <xf numFmtId="2" fontId="86" fillId="0" borderId="54" xfId="0" applyNumberFormat="1" applyFont="1" applyBorder="1" applyAlignment="1">
      <alignment horizontal="center" vertical="center"/>
    </xf>
    <xf numFmtId="0" fontId="0" fillId="0" borderId="48" xfId="0" applyBorder="1"/>
    <xf numFmtId="0" fontId="85" fillId="0" borderId="49" xfId="0" applyFont="1" applyBorder="1"/>
    <xf numFmtId="0" fontId="0" fillId="0" borderId="50" xfId="0" applyBorder="1"/>
    <xf numFmtId="0" fontId="0" fillId="0" borderId="60" xfId="0" applyBorder="1"/>
    <xf numFmtId="0" fontId="0" fillId="0" borderId="61" xfId="0" applyBorder="1"/>
    <xf numFmtId="0" fontId="0" fillId="0" borderId="51" xfId="0" applyBorder="1"/>
    <xf numFmtId="0" fontId="85" fillId="0" borderId="52" xfId="0" applyFont="1" applyBorder="1"/>
    <xf numFmtId="0" fontId="0" fillId="0" borderId="53" xfId="0" applyBorder="1"/>
    <xf numFmtId="0" fontId="0" fillId="0" borderId="49" xfId="0" applyBorder="1"/>
    <xf numFmtId="0" fontId="0" fillId="0" borderId="52" xfId="0" applyBorder="1"/>
    <xf numFmtId="14" fontId="88" fillId="15" borderId="0" xfId="0" applyNumberFormat="1" applyFont="1" applyFill="1"/>
    <xf numFmtId="166" fontId="49" fillId="0" borderId="0" xfId="0" applyNumberFormat="1" applyFont="1"/>
    <xf numFmtId="14" fontId="89" fillId="15" borderId="0" xfId="0" applyNumberFormat="1" applyFont="1" applyFill="1" applyAlignment="1">
      <alignment horizontal="center" vertical="center"/>
    </xf>
    <xf numFmtId="0" fontId="90" fillId="0" borderId="0" xfId="0" applyFont="1" applyAlignment="1">
      <alignment horizontal="center" vertical="center" textRotation="255"/>
    </xf>
    <xf numFmtId="0" fontId="90" fillId="0" borderId="0" xfId="0" applyFont="1" applyAlignment="1">
      <alignment horizontal="center" vertical="center"/>
    </xf>
    <xf numFmtId="14" fontId="90" fillId="0" borderId="63" xfId="0" applyNumberFormat="1" applyFont="1" applyBorder="1" applyAlignment="1">
      <alignment horizontal="center" vertical="center"/>
    </xf>
    <xf numFmtId="0" fontId="90" fillId="0" borderId="66" xfId="0" applyFont="1" applyBorder="1" applyAlignment="1">
      <alignment horizontal="center" vertical="center"/>
    </xf>
    <xf numFmtId="0" fontId="91" fillId="0" borderId="62" xfId="0" applyFont="1" applyBorder="1"/>
    <xf numFmtId="0" fontId="91" fillId="0" borderId="64" xfId="0" applyFont="1" applyBorder="1"/>
    <xf numFmtId="0" fontId="91" fillId="0" borderId="65" xfId="0" applyFont="1" applyBorder="1"/>
    <xf numFmtId="0" fontId="62" fillId="0" borderId="0" xfId="0" applyFont="1" applyAlignment="1">
      <alignment horizontal="center" vertical="center"/>
    </xf>
    <xf numFmtId="0" fontId="62" fillId="17" borderId="59" xfId="0" applyFont="1" applyFill="1" applyBorder="1" applyAlignment="1">
      <alignment horizontal="center" vertical="center"/>
    </xf>
    <xf numFmtId="0" fontId="62" fillId="17" borderId="0" xfId="0" applyFont="1" applyFill="1" applyAlignment="1">
      <alignment horizontal="center" vertical="center"/>
    </xf>
    <xf numFmtId="0" fontId="62" fillId="15" borderId="0" xfId="0" applyFont="1" applyFill="1" applyAlignment="1">
      <alignment horizontal="center" vertical="center"/>
    </xf>
    <xf numFmtId="0" fontId="62" fillId="0" borderId="59" xfId="0" applyFont="1" applyBorder="1" applyAlignment="1">
      <alignment horizontal="center" vertical="center"/>
    </xf>
    <xf numFmtId="0" fontId="77" fillId="15" borderId="0" xfId="0" applyFont="1" applyFill="1" applyAlignment="1">
      <alignment horizontal="center" vertical="center"/>
    </xf>
    <xf numFmtId="16" fontId="0" fillId="0" borderId="0" xfId="0" applyNumberFormat="1"/>
    <xf numFmtId="0" fontId="47" fillId="26" borderId="1" xfId="0" applyFont="1" applyFill="1" applyBorder="1" applyAlignment="1">
      <alignment horizontal="center" vertical="center" wrapText="1"/>
    </xf>
    <xf numFmtId="3" fontId="37" fillId="15" borderId="1" xfId="0" applyNumberFormat="1" applyFont="1" applyFill="1" applyBorder="1" applyAlignment="1">
      <alignment horizontal="center" vertical="center"/>
    </xf>
    <xf numFmtId="3" fontId="47" fillId="26" borderId="10" xfId="0" applyNumberFormat="1" applyFont="1" applyFill="1" applyBorder="1" applyAlignment="1">
      <alignment horizontal="center" vertical="center" wrapText="1"/>
    </xf>
    <xf numFmtId="0" fontId="92" fillId="0" borderId="0" xfId="0" applyFont="1"/>
    <xf numFmtId="0" fontId="91" fillId="0" borderId="5" xfId="0" applyFont="1" applyBorder="1"/>
    <xf numFmtId="0" fontId="90" fillId="0" borderId="5" xfId="0" applyFont="1" applyBorder="1" applyAlignment="1">
      <alignment horizontal="center" vertical="center"/>
    </xf>
    <xf numFmtId="0" fontId="90" fillId="0" borderId="40" xfId="0" applyFont="1" applyBorder="1" applyAlignment="1">
      <alignment horizontal="center" vertical="center"/>
    </xf>
    <xf numFmtId="166" fontId="0" fillId="0" borderId="0" xfId="0" applyNumberFormat="1"/>
    <xf numFmtId="9" fontId="0" fillId="15" borderId="0" xfId="4" applyFont="1" applyFill="1"/>
    <xf numFmtId="4" fontId="77" fillId="27" borderId="7" xfId="0" applyNumberFormat="1" applyFont="1" applyFill="1" applyBorder="1" applyAlignment="1">
      <alignment horizontal="center" vertical="center"/>
    </xf>
    <xf numFmtId="4" fontId="94" fillId="7" borderId="1" xfId="0" applyNumberFormat="1" applyFont="1" applyFill="1" applyBorder="1" applyAlignment="1">
      <alignment horizontal="center" vertical="center"/>
    </xf>
    <xf numFmtId="4" fontId="94" fillId="7" borderId="7" xfId="0" applyNumberFormat="1" applyFont="1" applyFill="1" applyBorder="1" applyAlignment="1">
      <alignment horizontal="center" vertical="center"/>
    </xf>
    <xf numFmtId="14" fontId="95" fillId="15" borderId="35" xfId="26" applyNumberFormat="1" applyFill="1" applyBorder="1"/>
    <xf numFmtId="164" fontId="62" fillId="15" borderId="5" xfId="35" applyNumberFormat="1" applyFont="1" applyFill="1" applyAlignment="1">
      <alignment horizontal="center" vertical="center"/>
    </xf>
    <xf numFmtId="0" fontId="30" fillId="0" borderId="0" xfId="0" applyFont="1" applyAlignment="1">
      <alignment horizontal="center"/>
    </xf>
    <xf numFmtId="0" fontId="96" fillId="0" borderId="0" xfId="0" applyFont="1"/>
    <xf numFmtId="0" fontId="47" fillId="0" borderId="5" xfId="0" applyFont="1" applyBorder="1" applyAlignment="1">
      <alignment horizontal="center" vertical="center" wrapText="1"/>
    </xf>
    <xf numFmtId="3" fontId="37" fillId="0" borderId="5" xfId="0" applyNumberFormat="1" applyFont="1" applyBorder="1" applyAlignment="1">
      <alignment horizontal="center" vertical="center"/>
    </xf>
    <xf numFmtId="176" fontId="96" fillId="0" borderId="0" xfId="0" applyNumberFormat="1" applyFont="1"/>
    <xf numFmtId="0" fontId="0" fillId="0" borderId="25" xfId="0" applyBorder="1" applyAlignment="1">
      <alignment horizontal="center" vertical="center"/>
    </xf>
    <xf numFmtId="164" fontId="62" fillId="17" borderId="59" xfId="0" applyNumberFormat="1" applyFont="1" applyFill="1" applyBorder="1" applyAlignment="1">
      <alignment horizontal="center" vertical="center"/>
    </xf>
    <xf numFmtId="0" fontId="75" fillId="0" borderId="59" xfId="0" applyFont="1" applyBorder="1" applyAlignment="1">
      <alignment horizontal="center" vertical="center"/>
    </xf>
    <xf numFmtId="164" fontId="62" fillId="0" borderId="59" xfId="0" applyNumberFormat="1" applyFont="1" applyBorder="1" applyAlignment="1">
      <alignment horizontal="center" vertical="center"/>
    </xf>
    <xf numFmtId="0" fontId="0" fillId="0" borderId="66" xfId="0" applyBorder="1" applyAlignment="1">
      <alignment horizontal="center" vertical="center"/>
    </xf>
    <xf numFmtId="0" fontId="0" fillId="0" borderId="68" xfId="0" applyBorder="1" applyAlignment="1">
      <alignment horizontal="center" vertical="center"/>
    </xf>
    <xf numFmtId="0" fontId="0" fillId="0" borderId="67" xfId="0" applyBorder="1" applyAlignment="1">
      <alignment horizontal="center" vertical="center"/>
    </xf>
    <xf numFmtId="0" fontId="0" fillId="0" borderId="69" xfId="0" applyBorder="1" applyAlignment="1">
      <alignment horizontal="center" vertical="center"/>
    </xf>
    <xf numFmtId="0" fontId="0" fillId="0" borderId="55" xfId="0" applyBorder="1" applyAlignment="1">
      <alignment horizontal="center" vertical="center"/>
    </xf>
    <xf numFmtId="14" fontId="18" fillId="0" borderId="0" xfId="0" applyNumberFormat="1" applyFont="1"/>
    <xf numFmtId="16" fontId="50" fillId="5" borderId="11" xfId="0" applyNumberFormat="1" applyFont="1" applyFill="1" applyBorder="1"/>
    <xf numFmtId="14" fontId="95" fillId="15" borderId="0" xfId="26" applyNumberFormat="1" applyFill="1" applyBorder="1"/>
    <xf numFmtId="164" fontId="75" fillId="0" borderId="25" xfId="0" applyNumberFormat="1" applyFont="1" applyBorder="1" applyAlignment="1">
      <alignment horizontal="center" vertical="center"/>
    </xf>
    <xf numFmtId="173" fontId="17" fillId="15" borderId="36" xfId="0" applyNumberFormat="1" applyFont="1" applyFill="1" applyBorder="1"/>
    <xf numFmtId="0" fontId="17" fillId="15" borderId="35" xfId="0" applyFont="1" applyFill="1" applyBorder="1"/>
    <xf numFmtId="0" fontId="17" fillId="0" borderId="35" xfId="0" applyFont="1" applyBorder="1"/>
    <xf numFmtId="43" fontId="17" fillId="15" borderId="35" xfId="1" applyFont="1" applyFill="1" applyBorder="1"/>
    <xf numFmtId="20" fontId="17" fillId="15" borderId="35" xfId="0" applyNumberFormat="1" applyFont="1" applyFill="1" applyBorder="1"/>
    <xf numFmtId="0" fontId="17" fillId="0" borderId="5" xfId="0" applyFont="1" applyBorder="1"/>
    <xf numFmtId="167" fontId="36" fillId="7" borderId="25" xfId="0" applyNumberFormat="1" applyFont="1" applyFill="1" applyBorder="1" applyAlignment="1">
      <alignment horizontal="center" vertical="center" wrapText="1"/>
    </xf>
    <xf numFmtId="21" fontId="36" fillId="7" borderId="25" xfId="0" applyNumberFormat="1" applyFont="1" applyFill="1" applyBorder="1" applyAlignment="1">
      <alignment horizontal="center" vertical="center" wrapText="1"/>
    </xf>
    <xf numFmtId="164" fontId="36" fillId="0" borderId="25" xfId="0" applyNumberFormat="1" applyFont="1" applyBorder="1" applyAlignment="1">
      <alignment horizontal="center" vertical="center" wrapText="1"/>
    </xf>
    <xf numFmtId="17" fontId="36" fillId="7" borderId="25" xfId="0" applyNumberFormat="1" applyFont="1" applyFill="1" applyBorder="1" applyAlignment="1">
      <alignment horizontal="center" vertical="center" wrapText="1"/>
    </xf>
    <xf numFmtId="0" fontId="36" fillId="7" borderId="25" xfId="0" applyFont="1" applyFill="1" applyBorder="1" applyAlignment="1">
      <alignment horizontal="center" vertical="center" wrapText="1"/>
    </xf>
    <xf numFmtId="0" fontId="66" fillId="13" borderId="25" xfId="0" applyFont="1" applyFill="1" applyBorder="1" applyAlignment="1">
      <alignment horizontal="center" vertical="center" wrapText="1"/>
    </xf>
    <xf numFmtId="0" fontId="66" fillId="0" borderId="25" xfId="0" applyFont="1" applyBorder="1" applyAlignment="1">
      <alignment horizontal="center" vertical="center" wrapText="1"/>
    </xf>
    <xf numFmtId="177" fontId="77" fillId="0" borderId="25" xfId="0" applyNumberFormat="1" applyFont="1" applyBorder="1" applyAlignment="1">
      <alignment vertical="center"/>
    </xf>
    <xf numFmtId="177" fontId="98" fillId="0" borderId="25" xfId="0" applyNumberFormat="1" applyFont="1" applyBorder="1" applyAlignment="1">
      <alignment horizontal="center" vertical="center"/>
    </xf>
    <xf numFmtId="177" fontId="77" fillId="0" borderId="25" xfId="0" applyNumberFormat="1" applyFont="1" applyBorder="1" applyAlignment="1">
      <alignment horizontal="center" vertical="center" wrapText="1"/>
    </xf>
    <xf numFmtId="177" fontId="77" fillId="29" borderId="25" xfId="0" applyNumberFormat="1" applyFont="1" applyFill="1" applyBorder="1" applyAlignment="1">
      <alignment horizontal="center" vertical="center"/>
    </xf>
    <xf numFmtId="177" fontId="98" fillId="30" borderId="25" xfId="0" applyNumberFormat="1" applyFont="1" applyFill="1" applyBorder="1" applyAlignment="1">
      <alignment horizontal="center" vertical="center"/>
    </xf>
    <xf numFmtId="177" fontId="0" fillId="0" borderId="25" xfId="0" applyNumberFormat="1" applyBorder="1" applyAlignment="1">
      <alignment wrapText="1"/>
    </xf>
    <xf numFmtId="0" fontId="16" fillId="31" borderId="25" xfId="0" applyFont="1" applyFill="1" applyBorder="1" applyAlignment="1">
      <alignment wrapText="1"/>
    </xf>
    <xf numFmtId="177" fontId="36" fillId="7" borderId="25" xfId="0" applyNumberFormat="1" applyFont="1" applyFill="1" applyBorder="1" applyAlignment="1">
      <alignment horizontal="center" vertical="center" wrapText="1"/>
    </xf>
    <xf numFmtId="0" fontId="16" fillId="0" borderId="45" xfId="0" applyFont="1" applyBorder="1" applyAlignment="1">
      <alignment horizontal="center" wrapText="1"/>
    </xf>
    <xf numFmtId="0" fontId="16" fillId="0" borderId="21" xfId="0" applyFont="1" applyBorder="1" applyAlignment="1">
      <alignment horizontal="center" wrapText="1"/>
    </xf>
    <xf numFmtId="164" fontId="62" fillId="32" borderId="0" xfId="0" applyNumberFormat="1" applyFont="1" applyFill="1" applyAlignment="1">
      <alignment horizontal="center" vertical="center"/>
    </xf>
    <xf numFmtId="43" fontId="0" fillId="15" borderId="35" xfId="1" quotePrefix="1" applyFont="1" applyFill="1" applyBorder="1"/>
    <xf numFmtId="173" fontId="14" fillId="15" borderId="36" xfId="0" applyNumberFormat="1" applyFont="1" applyFill="1" applyBorder="1"/>
    <xf numFmtId="0" fontId="14" fillId="15" borderId="35" xfId="0" applyFont="1" applyFill="1" applyBorder="1"/>
    <xf numFmtId="0" fontId="14" fillId="0" borderId="35" xfId="0" applyFont="1" applyBorder="1"/>
    <xf numFmtId="43" fontId="14" fillId="15" borderId="35" xfId="1" applyFont="1" applyFill="1" applyBorder="1"/>
    <xf numFmtId="20" fontId="14" fillId="15" borderId="35" xfId="0" applyNumberFormat="1" applyFont="1" applyFill="1" applyBorder="1"/>
    <xf numFmtId="0" fontId="14" fillId="0" borderId="5" xfId="0" applyFont="1" applyBorder="1"/>
    <xf numFmtId="0" fontId="36" fillId="33" borderId="25" xfId="0" applyFont="1" applyFill="1" applyBorder="1" applyAlignment="1">
      <alignment horizontal="center" vertical="center" wrapText="1"/>
    </xf>
    <xf numFmtId="21" fontId="36" fillId="33" borderId="25" xfId="0" applyNumberFormat="1" applyFont="1" applyFill="1" applyBorder="1" applyAlignment="1">
      <alignment horizontal="center" vertical="center" wrapText="1"/>
    </xf>
    <xf numFmtId="4" fontId="36" fillId="33" borderId="25" xfId="0" applyNumberFormat="1" applyFont="1" applyFill="1" applyBorder="1" applyAlignment="1">
      <alignment horizontal="center" vertical="center" wrapText="1"/>
    </xf>
    <xf numFmtId="166" fontId="36" fillId="33" borderId="25" xfId="0" applyNumberFormat="1" applyFont="1" applyFill="1" applyBorder="1" applyAlignment="1">
      <alignment horizontal="center" vertical="center" wrapText="1"/>
    </xf>
    <xf numFmtId="21" fontId="36" fillId="0" borderId="25" xfId="0" applyNumberFormat="1" applyFont="1" applyBorder="1" applyAlignment="1">
      <alignment horizontal="center" vertical="center" wrapText="1"/>
    </xf>
    <xf numFmtId="0" fontId="91" fillId="0" borderId="25" xfId="0" applyFont="1" applyBorder="1" applyAlignment="1">
      <alignment horizontal="center" vertical="center" wrapText="1"/>
    </xf>
    <xf numFmtId="0" fontId="15" fillId="0" borderId="25" xfId="0" applyFont="1" applyBorder="1" applyAlignment="1">
      <alignment horizontal="center" vertical="center" wrapText="1"/>
    </xf>
    <xf numFmtId="167" fontId="66" fillId="6" borderId="25" xfId="0" applyNumberFormat="1" applyFont="1" applyFill="1" applyBorder="1" applyAlignment="1">
      <alignment horizontal="center" vertical="center" wrapText="1"/>
    </xf>
    <xf numFmtId="0" fontId="66" fillId="14" borderId="25" xfId="0" applyFont="1" applyFill="1" applyBorder="1" applyAlignment="1">
      <alignment horizontal="center" vertical="center" wrapText="1"/>
    </xf>
    <xf numFmtId="0" fontId="13" fillId="34" borderId="70" xfId="0" applyFont="1" applyFill="1" applyBorder="1" applyAlignment="1">
      <alignment wrapText="1"/>
    </xf>
    <xf numFmtId="177" fontId="36" fillId="7" borderId="5" xfId="0" applyNumberFormat="1" applyFont="1" applyFill="1" applyBorder="1" applyAlignment="1">
      <alignment horizontal="center" vertical="center" wrapText="1"/>
    </xf>
    <xf numFmtId="0" fontId="0" fillId="20" borderId="24" xfId="0" applyFill="1" applyBorder="1"/>
    <xf numFmtId="173" fontId="12" fillId="15" borderId="75" xfId="0" applyNumberFormat="1" applyFont="1" applyFill="1" applyBorder="1"/>
    <xf numFmtId="14" fontId="12" fillId="15" borderId="24" xfId="26" applyNumberFormat="1" applyFont="1" applyFill="1" applyBorder="1"/>
    <xf numFmtId="0" fontId="12" fillId="15" borderId="24" xfId="0" applyFont="1" applyFill="1" applyBorder="1"/>
    <xf numFmtId="0" fontId="12" fillId="20" borderId="24" xfId="0" applyFont="1" applyFill="1" applyBorder="1"/>
    <xf numFmtId="43" fontId="12" fillId="15" borderId="24" xfId="1" applyFont="1" applyFill="1" applyBorder="1"/>
    <xf numFmtId="20" fontId="12" fillId="15" borderId="24" xfId="0" applyNumberFormat="1" applyFont="1" applyFill="1" applyBorder="1"/>
    <xf numFmtId="0" fontId="0" fillId="15" borderId="76" xfId="0" applyFill="1" applyBorder="1"/>
    <xf numFmtId="0" fontId="12" fillId="0" borderId="24" xfId="0" applyFont="1" applyBorder="1"/>
    <xf numFmtId="0" fontId="0" fillId="15" borderId="24" xfId="0" applyFill="1" applyBorder="1"/>
    <xf numFmtId="43" fontId="0" fillId="15" borderId="24" xfId="1" applyFont="1" applyFill="1" applyBorder="1"/>
    <xf numFmtId="20" fontId="0" fillId="15" borderId="24" xfId="0" applyNumberFormat="1" applyFill="1" applyBorder="1"/>
    <xf numFmtId="14" fontId="34" fillId="15" borderId="5" xfId="58" applyNumberFormat="1" applyFont="1" applyFill="1" applyAlignment="1">
      <alignment horizontal="center" vertical="center"/>
    </xf>
    <xf numFmtId="0" fontId="99" fillId="0" borderId="5" xfId="58"/>
    <xf numFmtId="0" fontId="100" fillId="25" borderId="54" xfId="58" applyFont="1" applyFill="1" applyBorder="1" applyAlignment="1">
      <alignment horizontal="center" vertical="center"/>
    </xf>
    <xf numFmtId="14" fontId="34" fillId="0" borderId="77" xfId="58" applyNumberFormat="1" applyFont="1" applyBorder="1" applyAlignment="1">
      <alignment horizontal="center" vertical="center"/>
    </xf>
    <xf numFmtId="2" fontId="34" fillId="0" borderId="56" xfId="58" applyNumberFormat="1" applyFont="1" applyBorder="1" applyAlignment="1">
      <alignment horizontal="center" vertical="center"/>
    </xf>
    <xf numFmtId="2" fontId="34" fillId="0" borderId="23" xfId="58" applyNumberFormat="1" applyFont="1" applyBorder="1" applyAlignment="1">
      <alignment horizontal="center" vertical="center"/>
    </xf>
    <xf numFmtId="2" fontId="34" fillId="0" borderId="57" xfId="58" applyNumberFormat="1" applyFont="1" applyBorder="1" applyAlignment="1">
      <alignment horizontal="center" vertical="center"/>
    </xf>
    <xf numFmtId="14" fontId="34" fillId="0" borderId="54" xfId="58" applyNumberFormat="1" applyFont="1" applyBorder="1" applyAlignment="1">
      <alignment horizontal="center" vertical="center"/>
    </xf>
    <xf numFmtId="2" fontId="34" fillId="0" borderId="21" xfId="58" applyNumberFormat="1" applyFont="1" applyBorder="1" applyAlignment="1">
      <alignment horizontal="center" vertical="center"/>
    </xf>
    <xf numFmtId="2" fontId="34" fillId="0" borderId="54" xfId="58" applyNumberFormat="1" applyFont="1" applyBorder="1" applyAlignment="1">
      <alignment horizontal="center" vertical="center"/>
    </xf>
    <xf numFmtId="0" fontId="99" fillId="24" borderId="5" xfId="58" applyFill="1"/>
    <xf numFmtId="0" fontId="36" fillId="33" borderId="40" xfId="0" applyFont="1" applyFill="1" applyBorder="1" applyAlignment="1">
      <alignment horizontal="center" vertical="center" wrapText="1"/>
    </xf>
    <xf numFmtId="0" fontId="36" fillId="7" borderId="40" xfId="0" applyFont="1" applyFill="1" applyBorder="1" applyAlignment="1">
      <alignment horizontal="center" vertical="center" wrapText="1"/>
    </xf>
    <xf numFmtId="166" fontId="36" fillId="33" borderId="40" xfId="0" applyNumberFormat="1" applyFont="1" applyFill="1" applyBorder="1" applyAlignment="1">
      <alignment horizontal="center" vertical="center" wrapText="1"/>
    </xf>
    <xf numFmtId="21" fontId="36" fillId="33" borderId="40" xfId="0" applyNumberFormat="1" applyFont="1" applyFill="1" applyBorder="1" applyAlignment="1">
      <alignment horizontal="center" vertical="center" wrapText="1"/>
    </xf>
    <xf numFmtId="21" fontId="36" fillId="0" borderId="40" xfId="0" applyNumberFormat="1" applyFont="1" applyBorder="1" applyAlignment="1">
      <alignment horizontal="center" vertical="center" wrapText="1"/>
    </xf>
    <xf numFmtId="4" fontId="36" fillId="33" borderId="40" xfId="0" applyNumberFormat="1" applyFont="1" applyFill="1" applyBorder="1" applyAlignment="1">
      <alignment horizontal="center" vertical="center" wrapText="1"/>
    </xf>
    <xf numFmtId="0" fontId="10" fillId="0" borderId="25" xfId="0" applyFont="1" applyBorder="1" applyAlignment="1">
      <alignment horizontal="center" vertical="center"/>
    </xf>
    <xf numFmtId="0" fontId="13" fillId="0" borderId="25" xfId="0" applyFont="1" applyBorder="1" applyAlignment="1">
      <alignment horizontal="center" vertical="center"/>
    </xf>
    <xf numFmtId="0" fontId="13" fillId="0" borderId="25" xfId="0" applyFont="1" applyBorder="1" applyAlignment="1">
      <alignment horizontal="center" vertical="center" wrapText="1"/>
    </xf>
    <xf numFmtId="21" fontId="0" fillId="0" borderId="25" xfId="0" applyNumberFormat="1" applyBorder="1" applyAlignment="1">
      <alignment horizontal="center" vertical="center"/>
    </xf>
    <xf numFmtId="0" fontId="36" fillId="0" borderId="40" xfId="0" applyFont="1" applyBorder="1" applyAlignment="1">
      <alignment horizontal="center" vertical="center" wrapText="1"/>
    </xf>
    <xf numFmtId="0" fontId="36" fillId="0" borderId="25" xfId="0" applyFont="1" applyBorder="1" applyAlignment="1">
      <alignment horizontal="center" vertical="center" wrapText="1"/>
    </xf>
    <xf numFmtId="2" fontId="100" fillId="15" borderId="54" xfId="58" applyNumberFormat="1" applyFont="1" applyFill="1" applyBorder="1"/>
    <xf numFmtId="0" fontId="102" fillId="21" borderId="5" xfId="0" applyFont="1" applyFill="1" applyBorder="1"/>
    <xf numFmtId="14" fontId="0" fillId="15" borderId="35" xfId="0" applyNumberFormat="1" applyFill="1" applyBorder="1"/>
    <xf numFmtId="0" fontId="0" fillId="15" borderId="35" xfId="1" applyNumberFormat="1" applyFont="1" applyFill="1" applyBorder="1"/>
    <xf numFmtId="0" fontId="29" fillId="0" borderId="11" xfId="0" applyFont="1" applyBorder="1"/>
    <xf numFmtId="15" fontId="46" fillId="0" borderId="10" xfId="0" applyNumberFormat="1" applyFont="1" applyBorder="1" applyAlignment="1">
      <alignment horizontal="center" wrapText="1"/>
    </xf>
    <xf numFmtId="164" fontId="29" fillId="0" borderId="25" xfId="0" applyNumberFormat="1" applyFont="1" applyBorder="1"/>
    <xf numFmtId="164" fontId="32" fillId="0" borderId="25" xfId="0" applyNumberFormat="1" applyFont="1" applyBorder="1"/>
    <xf numFmtId="14" fontId="9" fillId="0" borderId="0" xfId="0" applyNumberFormat="1" applyFont="1"/>
    <xf numFmtId="22" fontId="0" fillId="0" borderId="0" xfId="0" applyNumberFormat="1"/>
    <xf numFmtId="0" fontId="29" fillId="0" borderId="25" xfId="0" applyFont="1" applyBorder="1"/>
    <xf numFmtId="165" fontId="29" fillId="0" borderId="25" xfId="0" applyNumberFormat="1" applyFont="1" applyBorder="1"/>
    <xf numFmtId="0" fontId="61" fillId="0" borderId="25" xfId="0" applyFont="1" applyBorder="1"/>
    <xf numFmtId="0" fontId="103" fillId="0" borderId="0" xfId="0" applyFont="1"/>
    <xf numFmtId="14" fontId="103" fillId="0" borderId="0" xfId="0" applyNumberFormat="1" applyFont="1"/>
    <xf numFmtId="20" fontId="103" fillId="0" borderId="0" xfId="0" applyNumberFormat="1" applyFont="1"/>
    <xf numFmtId="0" fontId="104" fillId="0" borderId="25" xfId="0" applyFont="1" applyBorder="1"/>
    <xf numFmtId="0" fontId="103" fillId="0" borderId="25" xfId="0" applyFont="1" applyBorder="1"/>
    <xf numFmtId="0" fontId="105" fillId="0" borderId="25" xfId="0" applyFont="1" applyBorder="1"/>
    <xf numFmtId="20" fontId="90" fillId="0" borderId="0" xfId="0" applyNumberFormat="1" applyFont="1" applyAlignment="1">
      <alignment horizontal="center" vertical="center" textRotation="255"/>
    </xf>
    <xf numFmtId="14" fontId="8" fillId="15" borderId="24" xfId="26" applyNumberFormat="1" applyFont="1" applyFill="1" applyBorder="1"/>
    <xf numFmtId="0" fontId="0" fillId="0" borderId="0" xfId="0" applyAlignment="1">
      <alignment horizontal="center"/>
    </xf>
    <xf numFmtId="0" fontId="0" fillId="0" borderId="0" xfId="0" applyAlignment="1">
      <alignment horizontal="center" wrapText="1"/>
    </xf>
    <xf numFmtId="0" fontId="30" fillId="0" borderId="5" xfId="0" applyFont="1" applyBorder="1" applyAlignment="1">
      <alignment horizontal="center"/>
    </xf>
    <xf numFmtId="0" fontId="30" fillId="0" borderId="5" xfId="0" applyFont="1" applyBorder="1" applyAlignment="1">
      <alignment horizontal="center" wrapText="1"/>
    </xf>
    <xf numFmtId="0" fontId="0" fillId="0" borderId="5" xfId="0" applyBorder="1" applyAlignment="1">
      <alignment horizontal="center"/>
    </xf>
    <xf numFmtId="0" fontId="0" fillId="0" borderId="25" xfId="0" applyBorder="1" applyAlignment="1">
      <alignment horizontal="center" vertical="center" wrapText="1"/>
    </xf>
    <xf numFmtId="21" fontId="0" fillId="0" borderId="25" xfId="0" applyNumberFormat="1" applyBorder="1" applyAlignment="1">
      <alignment horizontal="center" vertical="center" wrapText="1"/>
    </xf>
    <xf numFmtId="20" fontId="0" fillId="0" borderId="0" xfId="0" applyNumberFormat="1"/>
    <xf numFmtId="166" fontId="0" fillId="0" borderId="25" xfId="0" applyNumberFormat="1" applyBorder="1" applyAlignment="1">
      <alignment horizontal="center" vertical="center" wrapText="1"/>
    </xf>
    <xf numFmtId="177" fontId="0" fillId="0" borderId="0" xfId="0" applyNumberFormat="1"/>
    <xf numFmtId="2" fontId="0" fillId="0" borderId="25" xfId="0" applyNumberFormat="1" applyBorder="1" applyAlignment="1">
      <alignment horizontal="center" vertical="center" wrapText="1"/>
    </xf>
    <xf numFmtId="177" fontId="106" fillId="25" borderId="25" xfId="0" applyNumberFormat="1" applyFont="1" applyFill="1" applyBorder="1" applyAlignment="1">
      <alignment horizontal="center" vertical="center"/>
    </xf>
    <xf numFmtId="177" fontId="106" fillId="15" borderId="25" xfId="0" applyNumberFormat="1" applyFont="1" applyFill="1" applyBorder="1" applyAlignment="1">
      <alignment horizontal="center" vertical="center"/>
    </xf>
    <xf numFmtId="177" fontId="106" fillId="28" borderId="25" xfId="0" applyNumberFormat="1" applyFont="1" applyFill="1" applyBorder="1" applyAlignment="1">
      <alignment horizontal="center" vertical="center"/>
    </xf>
    <xf numFmtId="173" fontId="7" fillId="15" borderId="36" xfId="0" applyNumberFormat="1" applyFont="1" applyFill="1" applyBorder="1"/>
    <xf numFmtId="0" fontId="7" fillId="15" borderId="35" xfId="0" applyFont="1" applyFill="1" applyBorder="1"/>
    <xf numFmtId="0" fontId="7" fillId="0" borderId="35" xfId="0" applyFont="1" applyBorder="1"/>
    <xf numFmtId="43" fontId="7" fillId="15" borderId="35" xfId="1" applyFont="1" applyFill="1" applyBorder="1"/>
    <xf numFmtId="20" fontId="7" fillId="15" borderId="35" xfId="0" applyNumberFormat="1" applyFont="1" applyFill="1" applyBorder="1"/>
    <xf numFmtId="0" fontId="7" fillId="0" borderId="0" xfId="0" applyFont="1"/>
    <xf numFmtId="1" fontId="0" fillId="0" borderId="0" xfId="0" applyNumberFormat="1"/>
    <xf numFmtId="0" fontId="0" fillId="0" borderId="78" xfId="0" applyBorder="1"/>
    <xf numFmtId="16" fontId="41" fillId="0" borderId="0" xfId="0" applyNumberFormat="1" applyFont="1"/>
    <xf numFmtId="165" fontId="0" fillId="0" borderId="0" xfId="0" applyNumberFormat="1"/>
    <xf numFmtId="0" fontId="36" fillId="33" borderId="5" xfId="0" applyFont="1" applyFill="1" applyBorder="1" applyAlignment="1">
      <alignment horizontal="center" vertical="center" wrapText="1"/>
    </xf>
    <xf numFmtId="0" fontId="36" fillId="7" borderId="79" xfId="0" applyFont="1" applyFill="1" applyBorder="1" applyAlignment="1">
      <alignment horizontal="center" vertical="center" wrapText="1"/>
    </xf>
    <xf numFmtId="164" fontId="62" fillId="35" borderId="0" xfId="0" applyNumberFormat="1" applyFont="1" applyFill="1" applyAlignment="1">
      <alignment horizontal="center" vertical="center"/>
    </xf>
    <xf numFmtId="164" fontId="62" fillId="35" borderId="25" xfId="0" applyNumberFormat="1" applyFont="1" applyFill="1" applyBorder="1" applyAlignment="1">
      <alignment horizontal="center" vertical="center"/>
    </xf>
    <xf numFmtId="14" fontId="5" fillId="15" borderId="24" xfId="26" applyNumberFormat="1" applyFont="1" applyFill="1" applyBorder="1"/>
    <xf numFmtId="0" fontId="0" fillId="0" borderId="25" xfId="0" applyBorder="1" applyAlignment="1">
      <alignment wrapText="1"/>
    </xf>
    <xf numFmtId="4" fontId="13" fillId="0" borderId="71" xfId="0" applyNumberFormat="1" applyFont="1" applyBorder="1" applyAlignment="1">
      <alignment horizontal="right" wrapText="1"/>
    </xf>
    <xf numFmtId="164" fontId="107" fillId="15" borderId="5" xfId="0" applyNumberFormat="1" applyFont="1" applyFill="1" applyBorder="1" applyAlignment="1">
      <alignment horizontal="center" vertical="center"/>
    </xf>
    <xf numFmtId="164" fontId="108" fillId="15" borderId="5" xfId="0" applyNumberFormat="1" applyFont="1" applyFill="1" applyBorder="1" applyAlignment="1">
      <alignment horizontal="center" vertical="center"/>
    </xf>
    <xf numFmtId="0" fontId="109" fillId="0" borderId="80" xfId="0" applyFont="1" applyBorder="1" applyAlignment="1">
      <alignment horizontal="center" vertical="center"/>
    </xf>
    <xf numFmtId="0" fontId="110" fillId="0" borderId="81" xfId="0" applyFont="1" applyBorder="1" applyAlignment="1">
      <alignment horizontal="center" vertical="center"/>
    </xf>
    <xf numFmtId="0" fontId="109" fillId="0" borderId="81" xfId="0" applyFont="1" applyBorder="1" applyAlignment="1">
      <alignment horizontal="center" vertical="center"/>
    </xf>
    <xf numFmtId="178" fontId="111" fillId="0" borderId="5" xfId="58" applyNumberFormat="1" applyFont="1"/>
    <xf numFmtId="0" fontId="4" fillId="0" borderId="25" xfId="0" applyFont="1" applyBorder="1" applyAlignment="1">
      <alignment horizontal="center" vertical="center" wrapText="1"/>
    </xf>
    <xf numFmtId="0" fontId="3" fillId="0" borderId="25" xfId="0" applyFont="1" applyBorder="1" applyAlignment="1">
      <alignment horizontal="center" vertical="center" wrapText="1"/>
    </xf>
    <xf numFmtId="0" fontId="2" fillId="0" borderId="25" xfId="0" applyFont="1" applyBorder="1" applyAlignment="1">
      <alignment horizontal="center" vertical="center" wrapText="1"/>
    </xf>
    <xf numFmtId="46" fontId="0" fillId="0" borderId="25" xfId="0" applyNumberFormat="1" applyBorder="1" applyAlignment="1">
      <alignment horizontal="center" vertical="center"/>
    </xf>
    <xf numFmtId="0" fontId="0" fillId="0" borderId="25" xfId="0" applyBorder="1" applyAlignment="1">
      <alignment vertical="center" wrapText="1"/>
    </xf>
    <xf numFmtId="20" fontId="0" fillId="15" borderId="35" xfId="1" applyNumberFormat="1" applyFont="1" applyFill="1" applyBorder="1"/>
    <xf numFmtId="0" fontId="1" fillId="0" borderId="25" xfId="0" applyFont="1" applyBorder="1" applyAlignment="1">
      <alignment horizontal="center" vertical="center" wrapText="1"/>
    </xf>
    <xf numFmtId="0" fontId="0" fillId="0" borderId="25" xfId="0" applyBorder="1" applyAlignment="1">
      <alignment horizontal="center"/>
    </xf>
    <xf numFmtId="166" fontId="0" fillId="0" borderId="25" xfId="0" applyNumberFormat="1" applyBorder="1" applyAlignment="1">
      <alignment horizontal="center"/>
    </xf>
    <xf numFmtId="175" fontId="93" fillId="0" borderId="0" xfId="0" applyNumberFormat="1" applyFont="1" applyAlignment="1">
      <alignment horizontal="center" vertical="center"/>
    </xf>
    <xf numFmtId="0" fontId="48" fillId="16" borderId="25" xfId="0" applyFont="1" applyFill="1" applyBorder="1" applyAlignment="1">
      <alignment horizontal="center" vertical="center" wrapText="1"/>
    </xf>
    <xf numFmtId="0" fontId="48" fillId="16" borderId="18" xfId="0" applyFont="1" applyFill="1" applyBorder="1" applyAlignment="1">
      <alignment horizontal="center" vertical="center" wrapText="1"/>
    </xf>
    <xf numFmtId="0" fontId="48" fillId="16" borderId="19" xfId="0" applyFont="1" applyFill="1" applyBorder="1" applyAlignment="1">
      <alignment horizontal="center" vertical="center" wrapText="1"/>
    </xf>
    <xf numFmtId="0" fontId="48" fillId="16" borderId="22" xfId="0" applyFont="1" applyFill="1" applyBorder="1" applyAlignment="1">
      <alignment horizontal="center" vertical="center" wrapText="1"/>
    </xf>
    <xf numFmtId="0" fontId="48" fillId="16" borderId="20" xfId="0" applyFont="1" applyFill="1" applyBorder="1" applyAlignment="1">
      <alignment horizontal="center" vertical="center" wrapText="1"/>
    </xf>
    <xf numFmtId="0" fontId="48" fillId="16" borderId="45" xfId="0" applyFont="1" applyFill="1" applyBorder="1" applyAlignment="1">
      <alignment horizontal="center" vertical="center" wrapText="1"/>
    </xf>
    <xf numFmtId="0" fontId="48" fillId="16" borderId="21" xfId="0" applyFont="1" applyFill="1" applyBorder="1" applyAlignment="1">
      <alignment horizontal="center" vertical="center" wrapText="1"/>
    </xf>
    <xf numFmtId="0" fontId="31" fillId="0" borderId="5" xfId="2" applyAlignment="1">
      <alignment horizontal="center" wrapText="1"/>
    </xf>
    <xf numFmtId="0" fontId="78" fillId="0" borderId="5" xfId="2" applyFont="1" applyAlignment="1">
      <alignment horizontal="center"/>
    </xf>
    <xf numFmtId="1" fontId="103" fillId="0" borderId="25" xfId="0" applyNumberFormat="1" applyFont="1" applyBorder="1" applyAlignment="1">
      <alignment horizontal="center"/>
    </xf>
    <xf numFmtId="0" fontId="103" fillId="0" borderId="25" xfId="0" applyFont="1" applyBorder="1" applyAlignment="1">
      <alignment horizontal="center"/>
    </xf>
    <xf numFmtId="0" fontId="103" fillId="0" borderId="0" xfId="0" applyFont="1" applyAlignment="1">
      <alignment horizontal="center"/>
    </xf>
    <xf numFmtId="1" fontId="105" fillId="0" borderId="25" xfId="0" applyNumberFormat="1" applyFont="1" applyBorder="1" applyAlignment="1">
      <alignment horizontal="center"/>
    </xf>
    <xf numFmtId="0" fontId="104" fillId="0" borderId="25" xfId="0" applyFont="1" applyBorder="1" applyAlignment="1">
      <alignment horizontal="center"/>
    </xf>
    <xf numFmtId="1" fontId="103" fillId="0" borderId="25" xfId="0" quotePrefix="1" applyNumberFormat="1" applyFont="1" applyBorder="1" applyAlignment="1">
      <alignment horizontal="center"/>
    </xf>
    <xf numFmtId="0" fontId="86" fillId="25" borderId="54" xfId="0" applyFont="1" applyFill="1" applyBorder="1" applyAlignment="1">
      <alignment horizontal="center"/>
    </xf>
    <xf numFmtId="0" fontId="85" fillId="25" borderId="54" xfId="0" applyFont="1" applyFill="1" applyBorder="1" applyAlignment="1">
      <alignment horizontal="center"/>
    </xf>
    <xf numFmtId="0" fontId="22" fillId="0" borderId="49" xfId="0" applyFont="1" applyBorder="1" applyAlignment="1">
      <alignment horizontal="justify" vertical="center"/>
    </xf>
    <xf numFmtId="0" fontId="0" fillId="0" borderId="49" xfId="0" applyBorder="1" applyAlignment="1">
      <alignment horizontal="justify" vertical="center"/>
    </xf>
    <xf numFmtId="0" fontId="0" fillId="0" borderId="5" xfId="0" applyBorder="1" applyAlignment="1">
      <alignment horizontal="justify" vertical="center"/>
    </xf>
    <xf numFmtId="0" fontId="0" fillId="0" borderId="52" xfId="0" applyBorder="1" applyAlignment="1">
      <alignment horizontal="justify" vertical="center"/>
    </xf>
    <xf numFmtId="2" fontId="86" fillId="25" borderId="54" xfId="0" applyNumberFormat="1" applyFont="1" applyFill="1" applyBorder="1" applyAlignment="1">
      <alignment horizontal="left" vertical="center"/>
    </xf>
    <xf numFmtId="0" fontId="85" fillId="0" borderId="48" xfId="0" applyFont="1" applyBorder="1" applyAlignment="1">
      <alignment horizontal="center"/>
    </xf>
    <xf numFmtId="0" fontId="85" fillId="0" borderId="50" xfId="0" applyFont="1" applyBorder="1" applyAlignment="1">
      <alignment horizontal="center"/>
    </xf>
    <xf numFmtId="0" fontId="85" fillId="0" borderId="60" xfId="0" applyFont="1" applyBorder="1" applyAlignment="1">
      <alignment horizontal="center"/>
    </xf>
    <xf numFmtId="0" fontId="85" fillId="0" borderId="61" xfId="0" applyFont="1" applyBorder="1" applyAlignment="1">
      <alignment horizontal="center"/>
    </xf>
    <xf numFmtId="0" fontId="85" fillId="0" borderId="51" xfId="0" applyFont="1" applyBorder="1" applyAlignment="1">
      <alignment horizontal="center"/>
    </xf>
    <xf numFmtId="0" fontId="85" fillId="0" borderId="53" xfId="0" applyFont="1" applyBorder="1" applyAlignment="1">
      <alignment horizontal="center"/>
    </xf>
    <xf numFmtId="0" fontId="88" fillId="0" borderId="48" xfId="0" applyFont="1" applyBorder="1" applyAlignment="1">
      <alignment horizontal="center" vertical="center" wrapText="1"/>
    </xf>
    <xf numFmtId="0" fontId="88" fillId="0" borderId="49" xfId="0" applyFont="1" applyBorder="1" applyAlignment="1">
      <alignment horizontal="center" vertical="center" wrapText="1"/>
    </xf>
    <xf numFmtId="0" fontId="88" fillId="0" borderId="50" xfId="0" applyFont="1" applyBorder="1" applyAlignment="1">
      <alignment horizontal="center" vertical="center" wrapText="1"/>
    </xf>
    <xf numFmtId="0" fontId="88" fillId="0" borderId="60" xfId="0" applyFont="1" applyBorder="1" applyAlignment="1">
      <alignment horizontal="center" vertical="center" wrapText="1"/>
    </xf>
    <xf numFmtId="0" fontId="88" fillId="0" borderId="5" xfId="0" applyFont="1" applyBorder="1" applyAlignment="1">
      <alignment horizontal="center" vertical="center" wrapText="1"/>
    </xf>
    <xf numFmtId="0" fontId="88" fillId="0" borderId="61" xfId="0" applyFont="1" applyBorder="1" applyAlignment="1">
      <alignment horizontal="center" vertical="center" wrapText="1"/>
    </xf>
    <xf numFmtId="0" fontId="88" fillId="0" borderId="51" xfId="0" applyFont="1" applyBorder="1" applyAlignment="1">
      <alignment horizontal="center" vertical="center" wrapText="1"/>
    </xf>
    <xf numFmtId="0" fontId="88" fillId="0" borderId="52" xfId="0" applyFont="1" applyBorder="1" applyAlignment="1">
      <alignment horizontal="center" vertical="center" wrapText="1"/>
    </xf>
    <xf numFmtId="0" fontId="88" fillId="0" borderId="53" xfId="0" applyFont="1" applyBorder="1" applyAlignment="1">
      <alignment horizontal="center" vertical="center" wrapText="1"/>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0" fillId="0" borderId="50" xfId="0" applyBorder="1" applyAlignment="1">
      <alignment horizontal="center" vertical="center" wrapText="1"/>
    </xf>
    <xf numFmtId="0" fontId="0" fillId="0" borderId="60" xfId="0" applyBorder="1" applyAlignment="1">
      <alignment horizontal="center" vertical="center" wrapText="1"/>
    </xf>
    <xf numFmtId="0" fontId="0" fillId="0" borderId="5" xfId="0" applyBorder="1" applyAlignment="1">
      <alignment horizontal="center" vertical="center" wrapText="1"/>
    </xf>
    <xf numFmtId="0" fontId="0" fillId="0" borderId="61" xfId="0" applyBorder="1" applyAlignment="1">
      <alignment horizontal="center" vertical="center" wrapText="1"/>
    </xf>
    <xf numFmtId="0" fontId="0" fillId="0" borderId="51"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11" fillId="0" borderId="49" xfId="0" applyFont="1" applyBorder="1" applyAlignment="1">
      <alignment horizontal="justify" vertical="center" wrapText="1"/>
    </xf>
    <xf numFmtId="0" fontId="0" fillId="0" borderId="49" xfId="0" applyBorder="1" applyAlignment="1">
      <alignment horizontal="justify" vertical="center" wrapText="1"/>
    </xf>
    <xf numFmtId="0" fontId="0" fillId="0" borderId="5" xfId="0" applyBorder="1" applyAlignment="1">
      <alignment horizontal="justify" vertical="center" wrapText="1"/>
    </xf>
    <xf numFmtId="0" fontId="0" fillId="0" borderId="52" xfId="0" applyBorder="1" applyAlignment="1">
      <alignment horizontal="justify" vertical="center" wrapText="1"/>
    </xf>
    <xf numFmtId="0" fontId="0" fillId="0" borderId="18" xfId="0" applyBorder="1" applyAlignment="1">
      <alignment horizontal="center"/>
    </xf>
    <xf numFmtId="0" fontId="0" fillId="0" borderId="19" xfId="0" applyBorder="1" applyAlignment="1">
      <alignment horizontal="center"/>
    </xf>
    <xf numFmtId="0" fontId="0" fillId="0" borderId="22" xfId="0" applyBorder="1" applyAlignment="1">
      <alignment horizontal="center"/>
    </xf>
    <xf numFmtId="0" fontId="75" fillId="2" borderId="54" xfId="0" applyFont="1" applyFill="1" applyBorder="1" applyAlignment="1">
      <alignment horizontal="center" vertical="center" wrapText="1"/>
    </xf>
    <xf numFmtId="0" fontId="77" fillId="0" borderId="54" xfId="0" applyFont="1" applyBorder="1"/>
    <xf numFmtId="0" fontId="82" fillId="0" borderId="48" xfId="0" applyFont="1" applyBorder="1" applyAlignment="1">
      <alignment horizontal="center" vertical="center" wrapText="1"/>
    </xf>
    <xf numFmtId="0" fontId="83" fillId="0" borderId="49" xfId="0" applyFont="1" applyBorder="1" applyAlignment="1">
      <alignment wrapText="1"/>
    </xf>
    <xf numFmtId="0" fontId="83" fillId="0" borderId="50" xfId="0" applyFont="1" applyBorder="1" applyAlignment="1">
      <alignment wrapText="1"/>
    </xf>
    <xf numFmtId="0" fontId="62" fillId="0" borderId="0" xfId="0" applyFont="1" applyAlignment="1">
      <alignment horizontal="center"/>
    </xf>
    <xf numFmtId="0" fontId="62" fillId="0" borderId="0" xfId="0" applyFont="1"/>
    <xf numFmtId="0" fontId="82" fillId="0" borderId="51" xfId="0" applyFont="1" applyBorder="1" applyAlignment="1">
      <alignment horizontal="center" vertical="center"/>
    </xf>
    <xf numFmtId="0" fontId="83" fillId="0" borderId="52" xfId="0" applyFont="1" applyBorder="1"/>
    <xf numFmtId="0" fontId="83" fillId="0" borderId="53" xfId="0" applyFont="1" applyBorder="1"/>
    <xf numFmtId="0" fontId="75" fillId="10" borderId="54" xfId="0" applyFont="1" applyFill="1" applyBorder="1" applyAlignment="1">
      <alignment horizontal="center" vertical="center" wrapText="1"/>
    </xf>
    <xf numFmtId="0" fontId="13" fillId="0" borderId="74" xfId="0" applyFont="1" applyBorder="1" applyAlignment="1">
      <alignment horizontal="center" wrapText="1"/>
    </xf>
    <xf numFmtId="0" fontId="13" fillId="0" borderId="72" xfId="0" applyFont="1" applyBorder="1" applyAlignment="1">
      <alignment horizontal="center" wrapText="1"/>
    </xf>
    <xf numFmtId="0" fontId="13" fillId="0" borderId="73" xfId="0" applyFont="1" applyBorder="1" applyAlignment="1">
      <alignment horizontal="center" wrapText="1"/>
    </xf>
    <xf numFmtId="177" fontId="98" fillId="0" borderId="40" xfId="0" applyNumberFormat="1" applyFont="1" applyBorder="1" applyAlignment="1">
      <alignment horizontal="center" vertical="center" wrapText="1"/>
    </xf>
    <xf numFmtId="177" fontId="98" fillId="0" borderId="58" xfId="0" applyNumberFormat="1" applyFont="1" applyBorder="1" applyAlignment="1">
      <alignment horizontal="center" vertical="center" wrapText="1"/>
    </xf>
    <xf numFmtId="0" fontId="16" fillId="0" borderId="25" xfId="0" applyFont="1" applyBorder="1" applyAlignment="1">
      <alignment horizontal="center" wrapText="1"/>
    </xf>
    <xf numFmtId="0" fontId="6" fillId="0" borderId="20" xfId="0" applyFont="1" applyBorder="1" applyAlignment="1">
      <alignment horizontal="center" wrapText="1"/>
    </xf>
    <xf numFmtId="0" fontId="16" fillId="0" borderId="45" xfId="0" applyFont="1" applyBorder="1" applyAlignment="1">
      <alignment horizontal="center" wrapText="1"/>
    </xf>
    <xf numFmtId="0" fontId="16" fillId="0" borderId="21" xfId="0" applyFont="1" applyBorder="1" applyAlignment="1">
      <alignment horizontal="center" wrapText="1"/>
    </xf>
    <xf numFmtId="0" fontId="10" fillId="0" borderId="25" xfId="0" applyFont="1" applyBorder="1" applyAlignment="1">
      <alignment horizontal="center" wrapText="1"/>
    </xf>
    <xf numFmtId="0" fontId="6" fillId="0" borderId="25" xfId="0" applyFont="1" applyBorder="1" applyAlignment="1">
      <alignment horizontal="center" wrapText="1"/>
    </xf>
    <xf numFmtId="0" fontId="42" fillId="11" borderId="8" xfId="0" applyFont="1" applyFill="1" applyBorder="1" applyAlignment="1">
      <alignment horizontal="center" vertical="center"/>
    </xf>
    <xf numFmtId="0" fontId="31" fillId="0" borderId="39" xfId="0" applyFont="1" applyBorder="1" applyAlignment="1">
      <alignment horizontal="center"/>
    </xf>
    <xf numFmtId="0" fontId="42" fillId="12" borderId="8" xfId="0" applyFont="1" applyFill="1" applyBorder="1" applyAlignment="1">
      <alignment horizontal="center" vertical="center"/>
    </xf>
    <xf numFmtId="177" fontId="98" fillId="0" borderId="40" xfId="0" applyNumberFormat="1" applyFont="1" applyBorder="1" applyAlignment="1">
      <alignment horizontal="center" vertical="center"/>
    </xf>
    <xf numFmtId="177" fontId="98" fillId="0" borderId="58" xfId="0" applyNumberFormat="1" applyFont="1" applyBorder="1" applyAlignment="1">
      <alignment horizontal="center" vertical="center"/>
    </xf>
    <xf numFmtId="0" fontId="71" fillId="0" borderId="25" xfId="0" applyFont="1" applyBorder="1" applyAlignment="1">
      <alignment horizontal="center" vertical="center" wrapText="1"/>
    </xf>
    <xf numFmtId="0" fontId="72" fillId="0" borderId="25" xfId="0" applyFont="1" applyBorder="1" applyAlignment="1">
      <alignment wrapText="1"/>
    </xf>
    <xf numFmtId="0" fontId="43" fillId="0" borderId="0" xfId="0" applyFont="1" applyAlignment="1">
      <alignment horizontal="center"/>
    </xf>
    <xf numFmtId="0" fontId="0" fillId="0" borderId="0" xfId="0"/>
    <xf numFmtId="0" fontId="30" fillId="0" borderId="0" xfId="0" applyFont="1" applyAlignment="1">
      <alignment horizontal="center"/>
    </xf>
    <xf numFmtId="0" fontId="73" fillId="0" borderId="25" xfId="0" applyFont="1" applyBorder="1" applyAlignment="1">
      <alignment horizontal="center" vertical="center"/>
    </xf>
    <xf numFmtId="0" fontId="63" fillId="0" borderId="25" xfId="0" applyFont="1" applyBorder="1"/>
    <xf numFmtId="0" fontId="75" fillId="9" borderId="2" xfId="0" applyFont="1" applyFill="1" applyBorder="1" applyAlignment="1">
      <alignment horizontal="left" vertical="center" wrapText="1"/>
    </xf>
    <xf numFmtId="0" fontId="77" fillId="0" borderId="9" xfId="0" applyFont="1" applyBorder="1" applyAlignment="1">
      <alignment horizontal="left"/>
    </xf>
    <xf numFmtId="0" fontId="75" fillId="9" borderId="4" xfId="0" applyFont="1" applyFill="1" applyBorder="1" applyAlignment="1">
      <alignment horizontal="center" vertical="center" wrapText="1"/>
    </xf>
    <xf numFmtId="0" fontId="77" fillId="0" borderId="13" xfId="0" applyFont="1" applyBorder="1"/>
    <xf numFmtId="0" fontId="77" fillId="0" borderId="6" xfId="0" applyFont="1" applyBorder="1"/>
    <xf numFmtId="0" fontId="75" fillId="9" borderId="2" xfId="0" applyFont="1" applyFill="1" applyBorder="1" applyAlignment="1">
      <alignment horizontal="center" vertical="center" wrapText="1"/>
    </xf>
    <xf numFmtId="0" fontId="77" fillId="0" borderId="9" xfId="0" applyFont="1" applyBorder="1"/>
    <xf numFmtId="0" fontId="75" fillId="4" borderId="2" xfId="0" applyFont="1" applyFill="1" applyBorder="1" applyAlignment="1">
      <alignment horizontal="center" vertical="center" wrapText="1"/>
    </xf>
    <xf numFmtId="0" fontId="77" fillId="0" borderId="14" xfId="0" applyFont="1" applyBorder="1"/>
    <xf numFmtId="0" fontId="75" fillId="4" borderId="10" xfId="0" applyFont="1" applyFill="1" applyBorder="1" applyAlignment="1">
      <alignment horizontal="center" vertical="center" wrapText="1"/>
    </xf>
    <xf numFmtId="0" fontId="75" fillId="4" borderId="15" xfId="0" applyFont="1" applyFill="1" applyBorder="1" applyAlignment="1">
      <alignment horizontal="center" vertical="center" wrapText="1"/>
    </xf>
    <xf numFmtId="0" fontId="35" fillId="25" borderId="18" xfId="58" applyFont="1" applyFill="1" applyBorder="1" applyAlignment="1">
      <alignment horizontal="center"/>
    </xf>
    <xf numFmtId="0" fontId="35" fillId="25" borderId="19" xfId="58" applyFont="1" applyFill="1" applyBorder="1" applyAlignment="1">
      <alignment horizontal="center"/>
    </xf>
    <xf numFmtId="0" fontId="35" fillId="25" borderId="22" xfId="58" applyFont="1" applyFill="1" applyBorder="1" applyAlignment="1">
      <alignment horizontal="center"/>
    </xf>
    <xf numFmtId="0" fontId="35" fillId="25" borderId="54" xfId="58" applyFont="1" applyFill="1" applyBorder="1" applyAlignment="1">
      <alignment horizontal="center"/>
    </xf>
    <xf numFmtId="2" fontId="34" fillId="25" borderId="18" xfId="58" applyNumberFormat="1" applyFont="1" applyFill="1" applyBorder="1" applyAlignment="1">
      <alignment horizontal="left" vertical="center"/>
    </xf>
    <xf numFmtId="2" fontId="34" fillId="25" borderId="19" xfId="58" applyNumberFormat="1" applyFont="1" applyFill="1" applyBorder="1" applyAlignment="1">
      <alignment horizontal="left" vertical="center"/>
    </xf>
    <xf numFmtId="2" fontId="34" fillId="25" borderId="22" xfId="58" applyNumberFormat="1" applyFont="1" applyFill="1" applyBorder="1" applyAlignment="1">
      <alignment horizontal="left" vertical="center"/>
    </xf>
  </cellXfs>
  <cellStyles count="59">
    <cellStyle name="Millares" xfId="1" builtinId="3"/>
    <cellStyle name="Millares 2" xfId="7" xr:uid="{C2E62D61-0156-4FB0-9275-9B385A53E0AD}"/>
    <cellStyle name="Millares 3" xfId="22" xr:uid="{7893BB92-C730-4A1C-BD72-71C061CF3885}"/>
    <cellStyle name="Millares 4" xfId="44" xr:uid="{9192A703-C39B-4C06-A44B-9F40B69301D0}"/>
    <cellStyle name="Moneda" xfId="3" builtinId="4"/>
    <cellStyle name="Moneda 2" xfId="8" xr:uid="{46F5A1BC-2EAA-43D6-AC3C-CE13BAC4C914}"/>
    <cellStyle name="Moneda 3" xfId="23" xr:uid="{0F87D36E-DE27-4B67-80CF-FA9B94EB638B}"/>
    <cellStyle name="Moneda 4" xfId="45" xr:uid="{589C28B5-D49B-4319-8FEB-F0A2D1F17F8B}"/>
    <cellStyle name="Normal" xfId="0" builtinId="0"/>
    <cellStyle name="Normal 10" xfId="14" xr:uid="{8FC04060-C2BB-4239-81C4-4E94A5D24ECE}"/>
    <cellStyle name="Normal 11" xfId="17" xr:uid="{4A2DBA39-D424-4C4A-8CD7-89BB0A7E709D}"/>
    <cellStyle name="Normal 12" xfId="18" xr:uid="{A1CE87D5-DDCA-4441-8AAD-4F46445437D7}"/>
    <cellStyle name="Normal 13" xfId="19" xr:uid="{643EBA78-CF0A-4AEA-BBEF-DB87573ED091}"/>
    <cellStyle name="Normal 14" xfId="20" xr:uid="{635454D1-91D8-4CE9-88DF-0FD3E602C5DE}"/>
    <cellStyle name="Normal 15" xfId="21" xr:uid="{58DB2EFE-3EBD-48BE-9266-750E9AA2DEA4}"/>
    <cellStyle name="Normal 16" xfId="26" xr:uid="{3B35EB41-1941-4C20-A54A-8BE9A4150512}"/>
    <cellStyle name="Normal 17" xfId="27" xr:uid="{336B87B8-CAAF-4B9A-8249-470F4CB5F741}"/>
    <cellStyle name="Normal 18" xfId="29" xr:uid="{BEFE7343-7FDD-44C7-ACCA-934B70420C46}"/>
    <cellStyle name="Normal 19" xfId="30" xr:uid="{EFD9A00C-36E3-487F-A0B9-C9F3626EE96F}"/>
    <cellStyle name="Normal 2" xfId="2" xr:uid="{AC9746D8-41AB-488D-B103-C456FFC0D039}"/>
    <cellStyle name="Normal 20" xfId="28" xr:uid="{220DC6E7-1841-4F3B-B1B3-5569A0013C75}"/>
    <cellStyle name="Normal 21" xfId="31" xr:uid="{930C17AE-AE23-40A8-B045-BA0FEE605664}"/>
    <cellStyle name="Normal 22" xfId="32" xr:uid="{870E0ACC-25CB-4226-8DCF-DE41C50EEC48}"/>
    <cellStyle name="Normal 23" xfId="33" xr:uid="{A41BC698-0FFA-420B-9874-EA007FAA0948}"/>
    <cellStyle name="Normal 24" xfId="35" xr:uid="{412F2B78-2DF9-4A62-8037-587AB6F1FB2B}"/>
    <cellStyle name="Normal 25" xfId="34" xr:uid="{C704979C-59C2-4A87-9342-D6D14233938B}"/>
    <cellStyle name="Normal 26" xfId="37" xr:uid="{9CD0DB1C-4B2F-432B-AC64-3D8E7236D95E}"/>
    <cellStyle name="Normal 27" xfId="38" xr:uid="{D084EF4C-33E4-4222-9F6A-9D50AE6E2850}"/>
    <cellStyle name="Normal 28" xfId="39" xr:uid="{A86DCE33-679F-4EDF-853E-900360C5DACC}"/>
    <cellStyle name="Normal 29" xfId="40" xr:uid="{08DDAFF3-8923-497F-8AC4-BBD462F253BE}"/>
    <cellStyle name="Normal 3" xfId="5" xr:uid="{9EE78529-DD48-4C5A-876F-34C3CFECCACE}"/>
    <cellStyle name="Normal 3 2" xfId="10" xr:uid="{B455A609-06AF-4DD3-AF81-392F5E8DC902}"/>
    <cellStyle name="Normal 3 3" xfId="25" xr:uid="{8ED50CC0-6BA7-4DF8-A6D4-694B29DEB197}"/>
    <cellStyle name="Normal 3 4" xfId="47" xr:uid="{3119CE57-C83E-45C7-B2D9-DB97D588D750}"/>
    <cellStyle name="Normal 30" xfId="41" xr:uid="{0E656B7F-6AF3-4C05-AF85-0925A705A17C}"/>
    <cellStyle name="Normal 31" xfId="36" xr:uid="{706960DE-9293-4C6E-9979-18EC42ADEAB3}"/>
    <cellStyle name="Normal 32" xfId="42" xr:uid="{FB5A192F-108A-4434-894F-04A4054693BC}"/>
    <cellStyle name="Normal 33" xfId="43" xr:uid="{26FCA8B8-1FA7-40B9-A0C3-2DB6FEA6581C}"/>
    <cellStyle name="Normal 34" xfId="48" xr:uid="{6776E2C7-927C-4741-A233-EF5FC4551DD4}"/>
    <cellStyle name="Normal 35" xfId="49" xr:uid="{103F918B-34D1-4971-9303-8AC78E897A10}"/>
    <cellStyle name="Normal 36" xfId="50" xr:uid="{1B878BE3-C029-4BAC-AF19-6F8FBE63363A}"/>
    <cellStyle name="Normal 37" xfId="51" xr:uid="{53E74260-5790-45FA-9E94-D83185E04A8D}"/>
    <cellStyle name="Normal 38" xfId="52" xr:uid="{5FDB4BDD-2B62-4699-9FAC-5BCF2671B204}"/>
    <cellStyle name="Normal 39" xfId="53" xr:uid="{7C033265-71F6-42BD-87B2-B26CD1EAFDE4}"/>
    <cellStyle name="Normal 4" xfId="6" xr:uid="{6A312913-7D98-4177-9044-31361D0B41AC}"/>
    <cellStyle name="Normal 40" xfId="54" xr:uid="{2EBD0676-BC36-4E14-8ADD-4B52A24C17CD}"/>
    <cellStyle name="Normal 41" xfId="55" xr:uid="{B0E34C63-D0B9-4664-B89A-12185D218C37}"/>
    <cellStyle name="Normal 42" xfId="56" xr:uid="{C4DF9752-27EC-45BE-AE35-C5C6B3B779EE}"/>
    <cellStyle name="Normal 43" xfId="57" xr:uid="{D72FAC2A-49F9-496C-85E7-34EC8A3F61C2}"/>
    <cellStyle name="Normal 44" xfId="58" xr:uid="{E9A2EE74-3C29-44B2-BE8A-9B7DA48AB67B}"/>
    <cellStyle name="Normal 5" xfId="11" xr:uid="{ADB6D607-0FDC-485D-80E4-BFA8135A166B}"/>
    <cellStyle name="Normal 6" xfId="12" xr:uid="{5E701F72-3899-4A44-9D9A-63CF18A08153}"/>
    <cellStyle name="Normal 7" xfId="13" xr:uid="{EE0ABE2B-2871-41CE-8046-2A0A4403D349}"/>
    <cellStyle name="Normal 8" xfId="15" xr:uid="{5F483C25-A78F-4A5E-9D8B-DB2324B6180C}"/>
    <cellStyle name="Normal 9" xfId="16" xr:uid="{65A69246-F5DE-405B-B2A6-2C6523276840}"/>
    <cellStyle name="Porcentaje" xfId="4" builtinId="5"/>
    <cellStyle name="Porcentaje 2" xfId="9" xr:uid="{5FED0E87-C180-48E4-ADF9-03B8AB92BBA7}"/>
    <cellStyle name="Porcentaje 3" xfId="24" xr:uid="{99D94A7E-0EC0-479D-9ECE-BB59491C7122}"/>
    <cellStyle name="Porcentaje 4" xfId="46" xr:uid="{A263D1AE-0E8F-4521-BBA1-9745910DB14B}"/>
  </cellStyles>
  <dxfs count="211">
    <dxf>
      <font>
        <b val="0"/>
        <i val="0"/>
        <strike val="0"/>
        <condense val="0"/>
        <extend val="0"/>
        <outline val="0"/>
        <shadow val="0"/>
        <u val="none"/>
        <vertAlign val="baseline"/>
        <sz val="11"/>
        <color theme="1"/>
        <name val="Arial"/>
        <family val="2"/>
        <scheme val="none"/>
      </font>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22" formatCode="mmm\-yy"/>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164" formatCode="_-* #,##0.00_-;\-* #,##0.00_-;_-* &quot;-&quot;??_-;_-@"/>
      <fill>
        <patternFill patternType="none">
          <fgColor theme="0"/>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26" formatCode="hh:mm:ss"/>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167" formatCode="[$-280A]dddd\,\ dd&quot; de &quot;mmmm&quot; de &quot;yyyy"/>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26" formatCode="hh:mm:ss"/>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167" formatCode="[$-280A]dddd\,\ dd&quot; de &quot;mmmm&quot; de &quot;yyyy"/>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theme="0"/>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theme="0"/>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family val="2"/>
        <scheme val="none"/>
      </font>
      <fill>
        <patternFill patternType="solid">
          <fgColor theme="0"/>
          <bgColor theme="0"/>
        </patternFill>
      </fill>
      <alignment horizontal="center" vertical="center" textRotation="0" wrapText="1" indent="0" justifyLastLine="0" shrinkToFit="0" readingOrder="0"/>
    </dxf>
    <dxf>
      <border outline="0">
        <bottom style="thin">
          <color rgb="FF000000"/>
        </bottom>
      </border>
    </dxf>
    <dxf>
      <font>
        <strike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numFmt numFmtId="35" formatCode="_-* #,##0.00_-;\-* #,##0.00_-;_-* &quot;-&quot;??_-;_-@_-"/>
      <border diagonalUp="0" diagonalDown="0" outline="0">
        <left style="thin">
          <color rgb="FFA0A0A0"/>
        </left>
        <right style="thin">
          <color rgb="FFA0A0A0"/>
        </right>
        <top style="thin">
          <color rgb="FFA0A0A0"/>
        </top>
        <bottom style="thin">
          <color rgb="FFA0A0A0"/>
        </bottom>
      </border>
    </dxf>
    <dxf>
      <alignment horizontal="right" vertical="bottom" textRotation="0" wrapText="0" indent="0" justifyLastLine="0" shrinkToFit="0" readingOrder="0"/>
      <border diagonalUp="0" diagonalDown="0" outline="0">
        <left style="thin">
          <color rgb="FFA0A0A0"/>
        </left>
        <right style="thin">
          <color rgb="FFA0A0A0"/>
        </right>
        <top style="thin">
          <color rgb="FFA0A0A0"/>
        </top>
        <bottom style="thin">
          <color rgb="FFA0A0A0"/>
        </bottom>
      </border>
    </dxf>
    <dxf>
      <numFmt numFmtId="169" formatCode="[$-409]d\-mmm\-yy;@"/>
      <alignment horizontal="right" vertical="bottom" textRotation="0" wrapText="0" indent="0" justifyLastLine="0" shrinkToFit="0" readingOrder="0"/>
      <border diagonalUp="0" diagonalDown="0">
        <left style="thin">
          <color rgb="FFA0A0A0"/>
        </left>
        <right style="thin">
          <color rgb="FFA0A0A0"/>
        </right>
        <top style="thin">
          <color rgb="FFA0A0A0"/>
        </top>
        <bottom style="thin">
          <color rgb="FFA0A0A0"/>
        </bottom>
        <vertical/>
        <horizontal/>
      </border>
    </dxf>
    <dxf>
      <numFmt numFmtId="0" formatCode="General"/>
      <alignment horizontal="right" vertical="bottom" textRotation="0" wrapText="0" indent="0" justifyLastLine="0" shrinkToFit="0" readingOrder="0"/>
      <border diagonalUp="0" diagonalDown="0">
        <left/>
        <right style="thin">
          <color rgb="FFA0A0A0"/>
        </right>
        <top style="thin">
          <color rgb="FFA0A0A0"/>
        </top>
        <bottom style="thin">
          <color rgb="FFA0A0A0"/>
        </bottom>
        <vertical/>
        <horizontal/>
      </border>
    </dxf>
    <dxf>
      <numFmt numFmtId="0" formatCode="General"/>
      <alignment horizontal="right" vertical="bottom" textRotation="0" wrapText="0" indent="0" justifyLastLine="0" shrinkToFit="0" readingOrder="0"/>
      <border diagonalUp="0" diagonalDown="0">
        <left/>
        <right style="thin">
          <color rgb="FFA0A0A0"/>
        </right>
        <top style="thin">
          <color rgb="FFA0A0A0"/>
        </top>
        <bottom style="thin">
          <color rgb="FFA0A0A0"/>
        </bottom>
        <vertical/>
        <horizontal/>
      </border>
    </dxf>
    <dxf>
      <border outline="0">
        <top style="thin">
          <color rgb="FFA0A0A0"/>
        </top>
      </border>
    </dxf>
    <dxf>
      <border outline="0">
        <left style="thin">
          <color rgb="FFA0A0A0"/>
        </left>
        <right style="thin">
          <color rgb="FFA0A0A0"/>
        </right>
        <top style="thin">
          <color rgb="FFA0A0A0"/>
        </top>
        <bottom style="thin">
          <color rgb="FFA0A0A0"/>
        </bottom>
      </border>
    </dxf>
    <dxf>
      <border outline="0">
        <bottom style="thin">
          <color rgb="FFA0A0A0"/>
        </bottom>
      </border>
    </dxf>
    <dxf>
      <font>
        <b/>
        <i val="0"/>
        <strike val="0"/>
        <condense val="0"/>
        <extend val="0"/>
        <outline val="0"/>
        <shadow val="0"/>
        <u val="none"/>
        <vertAlign val="baseline"/>
        <sz val="11"/>
        <color rgb="FFFFFFFF"/>
        <name val="Calibri"/>
        <scheme val="none"/>
      </font>
      <fill>
        <patternFill patternType="solid">
          <fgColor indexed="64"/>
          <bgColor rgb="FF0072C6"/>
        </patternFill>
      </fill>
      <alignment horizontal="center" vertical="bottom" textRotation="0" wrapText="0" indent="0" justifyLastLine="0" shrinkToFit="0" readingOrder="0"/>
      <border diagonalUp="0" diagonalDown="0" outline="0">
        <left style="thin">
          <color rgb="FFA0A0A0"/>
        </left>
        <right style="thin">
          <color rgb="FFA0A0A0"/>
        </right>
        <top/>
        <bottom/>
      </border>
    </dxf>
    <dxf>
      <font>
        <b val="0"/>
        <i val="0"/>
        <strike val="0"/>
        <condense val="0"/>
        <extend val="0"/>
        <outline val="0"/>
        <shadow val="0"/>
        <u val="none"/>
        <vertAlign val="baseline"/>
        <sz val="11"/>
        <color theme="1"/>
        <name val="Calibri"/>
        <scheme val="minor"/>
      </font>
    </dxf>
    <dxf>
      <fill>
        <patternFill patternType="solid">
          <fgColor indexed="64"/>
          <bgColor rgb="FFFFFF0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bgColor rgb="FFFFFF00"/>
        </patternFill>
      </fill>
      <border diagonalUp="0" diagonalDown="0" outline="0">
        <left/>
        <right/>
        <top style="thin">
          <color theme="4" tint="0.39997558519241921"/>
        </top>
        <bottom/>
      </border>
    </dxf>
    <dxf>
      <numFmt numFmtId="25" formatCode="hh:mm"/>
      <fill>
        <patternFill patternType="solid">
          <fgColor indexed="64"/>
          <bgColor rgb="FFFFFF0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25" formatCode="hh:mm"/>
      <fill>
        <patternFill>
          <bgColor rgb="FFFFFF0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35" formatCode="_-* #,##0.00_-;\-* #,##0.00_-;_-* &quot;-&quot;??_-;_-@_-"/>
      <fill>
        <patternFill patternType="solid">
          <fgColor indexed="64"/>
          <bgColor rgb="FFFFFF0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35" formatCode="_-* #,##0.00_-;\-* #,##0.00_-;_-* &quot;-&quot;??_-;_-@_-"/>
      <fill>
        <patternFill>
          <bgColor rgb="FFFFFF00"/>
        </patternFill>
      </fill>
      <border diagonalUp="0" diagonalDown="0" outline="0">
        <left/>
        <right/>
        <top style="thin">
          <color theme="4" tint="0.39997558519241921"/>
        </top>
        <bottom/>
      </border>
    </dxf>
    <dxf>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4" tint="0.39997558519241921"/>
        </top>
        <bottom/>
        <vertical/>
        <horizontal/>
      </border>
    </dxf>
    <dxf>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4" tint="0.39997558519241921"/>
        </top>
        <bottom/>
        <vertical/>
        <horizontal/>
      </border>
    </dxf>
    <dxf>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border diagonalUp="0" diagonalDown="0" outline="0">
        <left/>
        <right/>
        <top style="thin">
          <color theme="4" tint="0.39997558519241921"/>
        </top>
        <bottom/>
      </border>
    </dxf>
    <dxf>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4" tint="0.39997558519241921"/>
        </top>
        <bottom/>
        <vertical/>
        <horizontal/>
      </border>
    </dxf>
    <dxf>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4" tint="0.39997558519241921"/>
        </top>
        <bottom/>
        <vertical/>
        <horizontal/>
      </border>
    </dxf>
    <dxf>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border diagonalUp="0" diagonalDown="0" outline="0">
        <left/>
        <right/>
        <top style="thin">
          <color theme="4" tint="0.39997558519241921"/>
        </top>
        <bottom/>
      </border>
    </dxf>
    <dxf>
      <fill>
        <patternFill patternType="solid">
          <fgColor indexed="64"/>
          <bgColor rgb="FFFFFF0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bgColor rgb="FFFFFF00"/>
        </patternFill>
      </fill>
      <border diagonalUp="0" diagonalDown="0" outline="0">
        <left/>
        <right/>
        <top style="thin">
          <color theme="4" tint="0.39997558519241921"/>
        </top>
        <bottom/>
      </border>
    </dxf>
    <dxf>
      <fill>
        <patternFill patternType="solid">
          <fgColor indexed="64"/>
          <bgColor rgb="FFFFFF0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fill>
        <patternFill>
          <bgColor rgb="FFFFFF00"/>
        </patternFill>
      </fill>
      <border diagonalUp="0" diagonalDown="0" outline="0">
        <left/>
        <right/>
        <top style="thin">
          <color theme="4" tint="0.39997558519241921"/>
        </top>
        <bottom/>
      </border>
    </dxf>
    <dxf>
      <numFmt numFmtId="19" formatCode="dd/mm/yyyy"/>
      <fill>
        <patternFill patternType="solid">
          <fgColor indexed="64"/>
          <bgColor rgb="FFFFFF0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19" formatCode="dd/mm/yyyy"/>
      <fill>
        <patternFill>
          <bgColor rgb="FFFFFF00"/>
        </patternFill>
      </fill>
      <border diagonalUp="0" diagonalDown="0" outline="0">
        <left/>
        <right/>
        <top style="thin">
          <color theme="4" tint="0.39997558519241921"/>
        </top>
        <bottom/>
      </border>
    </dxf>
    <dxf>
      <numFmt numFmtId="173" formatCode="dd/mm/yyyy;@"/>
      <fill>
        <patternFill patternType="solid">
          <fgColor indexed="64"/>
          <bgColor rgb="FFFFFF00"/>
        </patternFill>
      </fill>
      <border diagonalUp="0" diagonalDown="0" outline="0">
        <left style="thin">
          <color theme="4" tint="0.39997558519241921"/>
        </left>
        <right/>
        <top style="thin">
          <color theme="4" tint="0.39997558519241921"/>
        </top>
        <bottom/>
      </border>
    </dxf>
    <dxf>
      <font>
        <b val="0"/>
        <i val="0"/>
        <strike val="0"/>
        <condense val="0"/>
        <extend val="0"/>
        <outline val="0"/>
        <shadow val="0"/>
        <u val="none"/>
        <vertAlign val="baseline"/>
        <sz val="11"/>
        <color theme="1"/>
        <name val="Calibri"/>
        <scheme val="minor"/>
      </font>
      <numFmt numFmtId="173" formatCode="dd/mm/yyyy;@"/>
      <fill>
        <patternFill>
          <bgColor rgb="FFFFFF00"/>
        </patternFill>
      </fill>
      <border diagonalUp="0" diagonalDown="0" outline="0">
        <left style="thin">
          <color theme="4" tint="0.39997558519241921"/>
        </left>
        <right/>
        <top style="thin">
          <color theme="4" tint="0.39997558519241921"/>
        </top>
        <bottom/>
      </border>
    </dxf>
    <dxf>
      <numFmt numFmtId="0" formatCode="General"/>
    </dxf>
    <dxf>
      <numFmt numFmtId="0" formatCode="General"/>
    </dxf>
    <dxf>
      <numFmt numFmtId="0" formatCode="General"/>
    </dxf>
    <dxf>
      <border outline="0">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theme="4"/>
        </patternFill>
      </fill>
    </dxf>
    <dxf>
      <font>
        <b val="0"/>
        <i val="0"/>
        <strike val="0"/>
        <condense val="0"/>
        <extend val="0"/>
        <outline val="0"/>
        <shadow val="0"/>
        <u val="none"/>
        <vertAlign val="baseline"/>
        <sz val="11"/>
        <color theme="1"/>
        <name val="Calibri"/>
        <scheme val="minor"/>
      </font>
    </dxf>
    <dxf>
      <border outline="0">
        <bottom style="thin">
          <color indexed="64"/>
        </bottom>
      </border>
    </dxf>
    <dxf>
      <font>
        <b/>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numFmt numFmtId="164" formatCode="_-* #,##0.00_-;\-* #,##0.00_-;_-* &quot;-&quot;??_-;_-@"/>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3"/>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FFFA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500" b="1" i="0">
                <a:solidFill>
                  <a:srgbClr val="000000"/>
                </a:solidFill>
                <a:latin typeface="Arial"/>
              </a:defRPr>
            </a:pPr>
            <a:r>
              <a:rPr lang="es-PE" sz="1500" b="1" i="0">
                <a:solidFill>
                  <a:srgbClr val="000000"/>
                </a:solidFill>
                <a:latin typeface="Arial"/>
              </a:rPr>
              <a:t> VOLUMEN ACUMULADO ANUAL</a:t>
            </a:r>
          </a:p>
        </c:rich>
      </c:tx>
      <c:overlay val="0"/>
    </c:title>
    <c:autoTitleDeleted val="0"/>
    <c:plotArea>
      <c:layout>
        <c:manualLayout>
          <c:layoutTarget val="inner"/>
          <c:xMode val="edge"/>
          <c:yMode val="edge"/>
          <c:x val="9.3241453098617449E-2"/>
          <c:y val="0.10865665721255875"/>
          <c:w val="0.88807489509671178"/>
          <c:h val="0.77964999966943682"/>
        </c:manualLayout>
      </c:layout>
      <c:barChart>
        <c:barDir val="col"/>
        <c:grouping val="clustered"/>
        <c:varyColors val="1"/>
        <c:ser>
          <c:idx val="0"/>
          <c:order val="0"/>
          <c:tx>
            <c:v>PRODUCCION 2024</c:v>
          </c:tx>
          <c:spPr>
            <a:solidFill>
              <a:srgbClr val="FFFF00"/>
            </a:solidFill>
            <a:ln cmpd="sng">
              <a:solidFill>
                <a:srgbClr val="000000"/>
              </a:solidFill>
            </a:ln>
          </c:spPr>
          <c:invertIfNegative val="1"/>
          <c:dPt>
            <c:idx val="11"/>
            <c:invertIfNegative val="1"/>
            <c:bubble3D val="0"/>
            <c:extLst>
              <c:ext xmlns:c16="http://schemas.microsoft.com/office/drawing/2014/chart" uri="{C3380CC4-5D6E-409C-BE32-E72D297353CC}">
                <c16:uniqueId val="{00000000-0185-4275-9746-8B68ED0355C8}"/>
              </c:ext>
            </c:extLst>
          </c:dPt>
          <c:dLbls>
            <c:spPr>
              <a:noFill/>
              <a:ln>
                <a:noFill/>
              </a:ln>
              <a:effectLst/>
            </c:spPr>
            <c:txPr>
              <a:bodyPr rot="-5400000" vert="horz" wrap="square" lIns="38100" tIns="19050" rIns="38100" bIns="19050" anchor="ctr">
                <a:spAutoFit/>
              </a:bodyPr>
              <a:lstStyle/>
              <a:p>
                <a:pPr>
                  <a:defRPr sz="1100" b="1"/>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RPTGO!$C$7:$N$7</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RPTGO!$C$17:$N$17</c:f>
              <c:numCache>
                <c:formatCode>#,##0</c:formatCode>
                <c:ptCount val="12"/>
                <c:pt idx="0">
                  <c:v>1395527.09801076</c:v>
                </c:pt>
                <c:pt idx="1">
                  <c:v>1276739.5797141201</c:v>
                </c:pt>
                <c:pt idx="2">
                  <c:v>1521924.3222751198</c:v>
                </c:pt>
                <c:pt idx="3">
                  <c:v>1368798</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185-4275-9746-8B68ED0355C8}"/>
            </c:ext>
          </c:extLst>
        </c:ser>
        <c:dLbls>
          <c:showLegendKey val="0"/>
          <c:showVal val="0"/>
          <c:showCatName val="0"/>
          <c:showSerName val="0"/>
          <c:showPercent val="0"/>
          <c:showBubbleSize val="0"/>
        </c:dLbls>
        <c:gapWidth val="20"/>
        <c:axId val="1607314625"/>
        <c:axId val="1924702786"/>
      </c:barChart>
      <c:catAx>
        <c:axId val="1607314625"/>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1000" b="0" i="0">
                <a:solidFill>
                  <a:srgbClr val="000000"/>
                </a:solidFill>
                <a:latin typeface="+mn-lt"/>
              </a:defRPr>
            </a:pPr>
            <a:endParaRPr lang="es-PE"/>
          </a:p>
        </c:txPr>
        <c:crossAx val="1924702786"/>
        <c:crosses val="autoZero"/>
        <c:auto val="1"/>
        <c:lblAlgn val="ctr"/>
        <c:lblOffset val="100"/>
        <c:noMultiLvlLbl val="1"/>
      </c:catAx>
      <c:valAx>
        <c:axId val="192470278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0" sourceLinked="1"/>
        <c:majorTickMark val="none"/>
        <c:minorTickMark val="none"/>
        <c:tickLblPos val="nextTo"/>
        <c:spPr>
          <a:ln/>
        </c:spPr>
        <c:txPr>
          <a:bodyPr/>
          <a:lstStyle/>
          <a:p>
            <a:pPr lvl="0">
              <a:defRPr sz="1000" b="0" i="0">
                <a:solidFill>
                  <a:srgbClr val="000000"/>
                </a:solidFill>
                <a:latin typeface="+mn-lt"/>
              </a:defRPr>
            </a:pPr>
            <a:endParaRPr lang="es-PE"/>
          </a:p>
        </c:txPr>
        <c:crossAx val="1607314625"/>
        <c:crosses val="autoZero"/>
        <c:crossBetween val="between"/>
      </c:valAx>
    </c:plotArea>
    <c:plotVisOnly val="1"/>
    <c:dispBlanksAs val="zero"/>
    <c:showDLblsOverMax val="1"/>
  </c:chart>
  <c:spPr>
    <a:solidFill>
      <a:schemeClr val="accent3"/>
    </a:solidFill>
    <a:ln>
      <a:solidFill>
        <a:schemeClr val="tx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rgbClr val="757575"/>
                </a:solidFill>
                <a:latin typeface="+mn-lt"/>
              </a:defRPr>
            </a:pPr>
            <a:r>
              <a:rPr lang="es-PE" sz="1600" b="1" i="0">
                <a:solidFill>
                  <a:sysClr val="windowText" lastClr="000000"/>
                </a:solidFill>
                <a:latin typeface="+mn-lt"/>
              </a:rPr>
              <a:t>VOLUMEN DIARIO OTRAS FUENTES</a:t>
            </a:r>
          </a:p>
        </c:rich>
      </c:tx>
      <c:overlay val="0"/>
    </c:title>
    <c:autoTitleDeleted val="0"/>
    <c:plotArea>
      <c:layout>
        <c:manualLayout>
          <c:layoutTarget val="inner"/>
          <c:xMode val="edge"/>
          <c:yMode val="edge"/>
          <c:x val="0.10631526031003218"/>
          <c:y val="0.10451405622489959"/>
          <c:w val="0.8558391356327778"/>
          <c:h val="0.6714586218891313"/>
        </c:manualLayout>
      </c:layout>
      <c:barChart>
        <c:barDir val="col"/>
        <c:grouping val="clustered"/>
        <c:varyColors val="1"/>
        <c:ser>
          <c:idx val="0"/>
          <c:order val="0"/>
          <c:spPr>
            <a:solidFill>
              <a:srgbClr val="00B050"/>
            </a:solidFill>
            <a:ln cmpd="sng">
              <a:solidFill>
                <a:srgbClr val="000000"/>
              </a:solidFill>
            </a:ln>
          </c:spPr>
          <c:invertIfNegative val="1"/>
          <c:dPt>
            <c:idx val="3"/>
            <c:invertIfNegative val="1"/>
            <c:bubble3D val="0"/>
            <c:spPr>
              <a:solidFill>
                <a:schemeClr val="accent1">
                  <a:lumMod val="60000"/>
                  <a:lumOff val="40000"/>
                </a:schemeClr>
              </a:solidFill>
              <a:ln cmpd="sng">
                <a:solidFill>
                  <a:srgbClr val="000000"/>
                </a:solidFill>
              </a:ln>
            </c:spPr>
            <c:extLst>
              <c:ext xmlns:c16="http://schemas.microsoft.com/office/drawing/2014/chart" uri="{C3380CC4-5D6E-409C-BE32-E72D297353CC}">
                <c16:uniqueId val="{00000001-0078-4058-83AF-C90FCC0F7BD7}"/>
              </c:ext>
            </c:extLst>
          </c:dPt>
          <c:dPt>
            <c:idx val="4"/>
            <c:invertIfNegative val="1"/>
            <c:bubble3D val="0"/>
            <c:spPr>
              <a:solidFill>
                <a:schemeClr val="accent1">
                  <a:lumMod val="60000"/>
                  <a:lumOff val="40000"/>
                </a:schemeClr>
              </a:solidFill>
              <a:ln cmpd="sng">
                <a:solidFill>
                  <a:srgbClr val="000000"/>
                </a:solidFill>
              </a:ln>
            </c:spPr>
            <c:extLst>
              <c:ext xmlns:c16="http://schemas.microsoft.com/office/drawing/2014/chart" uri="{C3380CC4-5D6E-409C-BE32-E72D297353CC}">
                <c16:uniqueId val="{00000003-0078-4058-83AF-C90FCC0F7BD7}"/>
              </c:ext>
            </c:extLst>
          </c:dPt>
          <c:dPt>
            <c:idx val="5"/>
            <c:invertIfNegative val="1"/>
            <c:bubble3D val="0"/>
            <c:spPr>
              <a:solidFill>
                <a:srgbClr val="FFFF00"/>
              </a:solidFill>
              <a:ln cmpd="sng">
                <a:solidFill>
                  <a:srgbClr val="000000"/>
                </a:solidFill>
              </a:ln>
            </c:spPr>
            <c:extLst>
              <c:ext xmlns:c16="http://schemas.microsoft.com/office/drawing/2014/chart" uri="{C3380CC4-5D6E-409C-BE32-E72D297353CC}">
                <c16:uniqueId val="{00000005-0078-4058-83AF-C90FCC0F7BD7}"/>
              </c:ext>
            </c:extLst>
          </c:dPt>
          <c:dPt>
            <c:idx val="6"/>
            <c:invertIfNegative val="1"/>
            <c:bubble3D val="0"/>
            <c:spPr>
              <a:solidFill>
                <a:srgbClr val="FFFF00"/>
              </a:solidFill>
              <a:ln cmpd="sng">
                <a:solidFill>
                  <a:srgbClr val="000000"/>
                </a:solidFill>
              </a:ln>
            </c:spPr>
            <c:extLst>
              <c:ext xmlns:c16="http://schemas.microsoft.com/office/drawing/2014/chart" uri="{C3380CC4-5D6E-409C-BE32-E72D297353CC}">
                <c16:uniqueId val="{00000007-0078-4058-83AF-C90FCC0F7BD7}"/>
              </c:ext>
            </c:extLst>
          </c:dPt>
          <c:dPt>
            <c:idx val="7"/>
            <c:invertIfNegative val="1"/>
            <c:bubble3D val="0"/>
            <c:extLst>
              <c:ext xmlns:c16="http://schemas.microsoft.com/office/drawing/2014/chart" uri="{C3380CC4-5D6E-409C-BE32-E72D297353CC}">
                <c16:uniqueId val="{00000008-0078-4058-83AF-C90FCC0F7BD7}"/>
              </c:ext>
            </c:extLst>
          </c:dPt>
          <c:dLbls>
            <c:dLbl>
              <c:idx val="0"/>
              <c:layout>
                <c:manualLayout>
                  <c:x val="2.1280952366725434E-17"/>
                  <c:y val="-6.16159124687727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078-4058-83AF-C90FCC0F7BD7}"/>
                </c:ext>
              </c:extLst>
            </c:dLbl>
            <c:dLbl>
              <c:idx val="1"/>
              <c:layout>
                <c:manualLayout>
                  <c:x val="-4.2561904733450868E-17"/>
                  <c:y val="-6.58685134237738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078-4058-83AF-C90FCC0F7BD7}"/>
                </c:ext>
              </c:extLst>
            </c:dLbl>
            <c:dLbl>
              <c:idx val="2"/>
              <c:layout>
                <c:manualLayout>
                  <c:x val="-4.6431705176952325E-3"/>
                  <c:y val="-7.42295164911614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078-4058-83AF-C90FCC0F7BD7}"/>
                </c:ext>
              </c:extLst>
            </c:dLbl>
            <c:dLbl>
              <c:idx val="4"/>
              <c:layout>
                <c:manualLayout>
                  <c:x val="-2.3215852588475312E-3"/>
                  <c:y val="0.1846660974607088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78-4058-83AF-C90FCC0F7BD7}"/>
                </c:ext>
              </c:extLst>
            </c:dLbl>
            <c:dLbl>
              <c:idx val="5"/>
              <c:layout>
                <c:manualLayout>
                  <c:x val="0"/>
                  <c:y val="0.164417291212092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078-4058-83AF-C90FCC0F7BD7}"/>
                </c:ext>
              </c:extLst>
            </c:dLbl>
            <c:dLbl>
              <c:idx val="6"/>
              <c:layout>
                <c:manualLayout>
                  <c:x val="-4.6431705176952325E-3"/>
                  <c:y val="-2.84410713721025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78-4058-83AF-C90FCC0F7BD7}"/>
                </c:ext>
              </c:extLst>
            </c:dLbl>
            <c:spPr>
              <a:noFill/>
              <a:ln>
                <a:noFill/>
              </a:ln>
              <a:effectLst/>
            </c:spPr>
            <c:txPr>
              <a:bodyPr rot="-5400000" vertOverflow="overflow" horzOverflow="overflow" vert="horz" anchor="ctr" anchorCtr="0">
                <a:spAutoFit/>
              </a:bodyPr>
              <a:lstStyle/>
              <a:p>
                <a:pPr lvl="0">
                  <a:defRPr sz="1050" b="1" i="0"/>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(RPTdiario!$J$10:$J$15,RPTdiario!$J$19:$J$21)</c15:sqref>
                  </c15:fullRef>
                </c:ext>
              </c:extLst>
              <c:f>(RPTdiario!$J$10:$J$12,RPTdiario!$J$14:$J$15,RPTdiario!$J$19:$J$20)</c:f>
              <c:strCache>
                <c:ptCount val="7"/>
                <c:pt idx="0">
                  <c:v>POZO N° 10</c:v>
                </c:pt>
                <c:pt idx="1">
                  <c:v>POZO N° 13</c:v>
                </c:pt>
                <c:pt idx="2">
                  <c:v>POZO MEDRANO</c:v>
                </c:pt>
                <c:pt idx="3">
                  <c:v>PORTACHUELOS</c:v>
                </c:pt>
                <c:pt idx="4">
                  <c:v>NARANJAL</c:v>
                </c:pt>
                <c:pt idx="5">
                  <c:v>PZO CHBAJA</c:v>
                </c:pt>
                <c:pt idx="6">
                  <c:v>PZO T.MORA</c:v>
                </c:pt>
              </c:strCache>
            </c:strRef>
          </c:cat>
          <c:val>
            <c:numRef>
              <c:extLst>
                <c:ext xmlns:c15="http://schemas.microsoft.com/office/drawing/2012/chart" uri="{02D57815-91ED-43cb-92C2-25804820EDAC}">
                  <c15:fullRef>
                    <c15:sqref>(RPTdiario!$K$10:$K$15,RPTdiario!$K$19:$K$21)</c15:sqref>
                  </c15:fullRef>
                </c:ext>
              </c:extLst>
              <c:f>(RPTdiario!$K$10:$K$12,RPTdiario!$K$14:$K$15,RPTdiario!$K$19:$K$20)</c:f>
              <c:numCache>
                <c:formatCode>_-* #,##0.00_-;\-* #,##0.00_-;_-* "-"??_-;_-@</c:formatCode>
                <c:ptCount val="7"/>
                <c:pt idx="0">
                  <c:v>2405</c:v>
                </c:pt>
                <c:pt idx="1">
                  <c:v>0</c:v>
                </c:pt>
                <c:pt idx="2">
                  <c:v>0</c:v>
                </c:pt>
                <c:pt idx="3">
                  <c:v>6478</c:v>
                </c:pt>
                <c:pt idx="4">
                  <c:v>3456</c:v>
                </c:pt>
                <c:pt idx="5">
                  <c:v>2513</c:v>
                </c:pt>
                <c:pt idx="6">
                  <c:v>676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5="http://schemas.microsoft.com/office/drawing/2012/chart" uri="{02D57815-91ED-43cb-92C2-25804820EDAC}">
              <c15:categoryFilterExceptions>
                <c15:categoryFilterException>
                  <c15:sqref>RPTdiario!$K$21</c15:sqref>
                  <c15:spPr xmlns:c15="http://schemas.microsoft.com/office/drawing/2012/chart">
                    <a:solidFill>
                      <a:srgbClr val="00B050"/>
                    </a:solidFill>
                    <a:ln cmpd="sng">
                      <a:solidFill>
                        <a:srgbClr val="000000"/>
                      </a:solidFill>
                    </a:ln>
                  </c15:spPr>
                  <c15:invertIfNegative val="1"/>
                  <c15:bubble3D val="0"/>
                </c15:categoryFilterException>
              </c15:categoryFilterExceptions>
            </c:ext>
            <c:ext xmlns:c16="http://schemas.microsoft.com/office/drawing/2014/chart" uri="{C3380CC4-5D6E-409C-BE32-E72D297353CC}">
              <c16:uniqueId val="{0000000C-0078-4058-83AF-C90FCC0F7BD7}"/>
            </c:ext>
          </c:extLst>
        </c:ser>
        <c:dLbls>
          <c:showLegendKey val="0"/>
          <c:showVal val="0"/>
          <c:showCatName val="0"/>
          <c:showSerName val="0"/>
          <c:showPercent val="0"/>
          <c:showBubbleSize val="0"/>
        </c:dLbls>
        <c:gapWidth val="50"/>
        <c:axId val="1768411322"/>
        <c:axId val="498739337"/>
      </c:barChart>
      <c:catAx>
        <c:axId val="1768411322"/>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rot="-5400000"/>
          <a:lstStyle/>
          <a:p>
            <a:pPr lvl="0">
              <a:defRPr sz="900" b="0" i="0">
                <a:solidFill>
                  <a:srgbClr val="000000"/>
                </a:solidFill>
                <a:latin typeface="+mn-lt"/>
              </a:defRPr>
            </a:pPr>
            <a:endParaRPr lang="es-PE"/>
          </a:p>
        </c:txPr>
        <c:crossAx val="498739337"/>
        <c:crosses val="autoZero"/>
        <c:auto val="1"/>
        <c:lblAlgn val="ctr"/>
        <c:lblOffset val="100"/>
        <c:noMultiLvlLbl val="1"/>
      </c:catAx>
      <c:valAx>
        <c:axId val="4987393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_-* #,##0.00_-;\-* #,##0.00_-;_-* &quot;-&quot;??_-;_-@" sourceLinked="1"/>
        <c:majorTickMark val="none"/>
        <c:minorTickMark val="none"/>
        <c:tickLblPos val="nextTo"/>
        <c:spPr>
          <a:ln/>
        </c:spPr>
        <c:txPr>
          <a:bodyPr/>
          <a:lstStyle/>
          <a:p>
            <a:pPr lvl="0">
              <a:defRPr sz="900" b="0" i="0">
                <a:solidFill>
                  <a:srgbClr val="000000"/>
                </a:solidFill>
                <a:latin typeface="+mn-lt"/>
              </a:defRPr>
            </a:pPr>
            <a:endParaRPr lang="es-PE"/>
          </a:p>
        </c:txPr>
        <c:crossAx val="1768411322"/>
        <c:crosses val="autoZero"/>
        <c:crossBetween val="between"/>
      </c:valAx>
    </c:plotArea>
    <c:plotVisOnly val="1"/>
    <c:dispBlanksAs val="zero"/>
    <c:showDLblsOverMax val="1"/>
  </c:chart>
  <c:spPr>
    <a:solidFill>
      <a:schemeClr val="accent3"/>
    </a:solidFill>
    <a:ln>
      <a:solidFill>
        <a:schemeClr val="tx1"/>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defRPr sz="1400" b="1" i="0" u="none" strike="noStrike" kern="1200" baseline="0">
                <a:solidFill>
                  <a:srgbClr val="757575"/>
                </a:solidFill>
                <a:latin typeface="+mn-lt"/>
                <a:ea typeface="+mn-ea"/>
                <a:cs typeface="+mn-cs"/>
              </a:defRPr>
            </a:pPr>
            <a:r>
              <a:rPr lang="es-PE" sz="1400" b="1" i="0">
                <a:solidFill>
                  <a:sysClr val="windowText" lastClr="000000"/>
                </a:solidFill>
                <a:latin typeface="+mn-lt"/>
              </a:rPr>
              <a:t>VOLUMEN</a:t>
            </a:r>
            <a:r>
              <a:rPr lang="es-PE" sz="1400" b="1" i="0" baseline="0">
                <a:solidFill>
                  <a:sysClr val="windowText" lastClr="000000"/>
                </a:solidFill>
                <a:latin typeface="+mn-lt"/>
              </a:rPr>
              <a:t> MENSUAL POZOS, NARANJAL Y PTAP</a:t>
            </a:r>
            <a:endParaRPr lang="es-PE" sz="1400" b="1" i="0">
              <a:solidFill>
                <a:sysClr val="windowText" lastClr="000000"/>
              </a:solidFill>
              <a:latin typeface="+mn-lt"/>
            </a:endParaRPr>
          </a:p>
        </c:rich>
      </c:tx>
      <c:overlay val="0"/>
      <c:spPr>
        <a:noFill/>
        <a:ln>
          <a:noFill/>
        </a:ln>
        <a:effectLst/>
      </c:spPr>
      <c:txPr>
        <a:bodyPr rot="0" spcFirstLastPara="1" vertOverflow="ellipsis" vert="horz" wrap="square" anchor="ctr" anchorCtr="1"/>
        <a:lstStyle/>
        <a:p>
          <a:pPr lvl="0">
            <a:defRPr sz="1400" b="1" i="0" u="none" strike="noStrike" kern="1200" baseline="0">
              <a:solidFill>
                <a:srgbClr val="757575"/>
              </a:solidFill>
              <a:latin typeface="+mn-lt"/>
              <a:ea typeface="+mn-ea"/>
              <a:cs typeface="+mn-cs"/>
            </a:defRPr>
          </a:pPr>
          <a:endParaRPr lang="es-PE"/>
        </a:p>
      </c:txPr>
    </c:title>
    <c:autoTitleDeleted val="0"/>
    <c:view3D>
      <c:rotX val="10"/>
      <c:rotY val="20"/>
      <c:depthPercent val="100"/>
      <c:rAngAx val="1"/>
    </c:view3D>
    <c:floor>
      <c:thickness val="0"/>
      <c:spPr>
        <a:noFill/>
        <a:ln w="6350" cap="flat" cmpd="sng" algn="ctr">
          <a:solidFill>
            <a:schemeClr val="tx1">
              <a:tint val="75000"/>
            </a:schemeClr>
          </a:solidFill>
          <a:prstDash val="solid"/>
          <a:round/>
        </a:ln>
        <a:effectLst/>
        <a:sp3d contourW="6350">
          <a:contourClr>
            <a:schemeClr val="tx1">
              <a:tint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064251845718201E-2"/>
          <c:y val="9.6674698795180744E-2"/>
          <c:w val="0.86341496004789298"/>
          <c:h val="0.61627730401445402"/>
        </c:manualLayout>
      </c:layout>
      <c:line3DChart>
        <c:grouping val="standard"/>
        <c:varyColors val="0"/>
        <c:ser>
          <c:idx val="0"/>
          <c:order val="0"/>
          <c:tx>
            <c:v>POZO 10</c:v>
          </c:tx>
          <c:spPr>
            <a:solidFill>
              <a:schemeClr val="accent1"/>
            </a:solidFill>
            <a:ln>
              <a:noFill/>
            </a:ln>
            <a:effectLst/>
            <a:sp3d/>
          </c:spP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BDmensual!$B$5:$B$35</c:f>
              <c:numCache>
                <c:formatCode>_-* #,##0_-;\-* #,##0_-;_-* "-"??_-;_-@</c:formatCode>
                <c:ptCount val="31"/>
                <c:pt idx="0">
                  <c:v>2362</c:v>
                </c:pt>
                <c:pt idx="1">
                  <c:v>2404</c:v>
                </c:pt>
                <c:pt idx="2">
                  <c:v>2357</c:v>
                </c:pt>
                <c:pt idx="3">
                  <c:v>2395</c:v>
                </c:pt>
                <c:pt idx="4">
                  <c:v>2383</c:v>
                </c:pt>
                <c:pt idx="5">
                  <c:v>2414</c:v>
                </c:pt>
                <c:pt idx="6">
                  <c:v>2317</c:v>
                </c:pt>
                <c:pt idx="7">
                  <c:v>2368</c:v>
                </c:pt>
                <c:pt idx="8">
                  <c:v>2414</c:v>
                </c:pt>
                <c:pt idx="9">
                  <c:v>2386</c:v>
                </c:pt>
                <c:pt idx="10">
                  <c:v>2412</c:v>
                </c:pt>
                <c:pt idx="11">
                  <c:v>1923</c:v>
                </c:pt>
                <c:pt idx="12">
                  <c:v>1921</c:v>
                </c:pt>
                <c:pt idx="13">
                  <c:v>0</c:v>
                </c:pt>
                <c:pt idx="14">
                  <c:v>0</c:v>
                </c:pt>
                <c:pt idx="15">
                  <c:v>0</c:v>
                </c:pt>
                <c:pt idx="16">
                  <c:v>0</c:v>
                </c:pt>
                <c:pt idx="17">
                  <c:v>117</c:v>
                </c:pt>
                <c:pt idx="18">
                  <c:v>0</c:v>
                </c:pt>
                <c:pt idx="19">
                  <c:v>0</c:v>
                </c:pt>
                <c:pt idx="20">
                  <c:v>337</c:v>
                </c:pt>
                <c:pt idx="21">
                  <c:v>2307</c:v>
                </c:pt>
                <c:pt idx="22">
                  <c:v>2444</c:v>
                </c:pt>
                <c:pt idx="23">
                  <c:v>2427</c:v>
                </c:pt>
                <c:pt idx="24">
                  <c:v>1991</c:v>
                </c:pt>
                <c:pt idx="25">
                  <c:v>2405</c:v>
                </c:pt>
                <c:pt idx="26">
                  <c:v>0</c:v>
                </c:pt>
                <c:pt idx="27">
                  <c:v>0</c:v>
                </c:pt>
                <c:pt idx="28">
                  <c:v>0</c:v>
                </c:pt>
                <c:pt idx="29">
                  <c:v>0</c:v>
                </c:pt>
                <c:pt idx="30">
                  <c:v>0</c:v>
                </c:pt>
              </c:numCache>
            </c:numRef>
          </c:val>
          <c:smooth val="0"/>
          <c:extLst>
            <c:ext xmlns:c16="http://schemas.microsoft.com/office/drawing/2014/chart" uri="{C3380CC4-5D6E-409C-BE32-E72D297353CC}">
              <c16:uniqueId val="{00000000-F840-4CF7-AE6C-B073E14516AF}"/>
            </c:ext>
          </c:extLst>
        </c:ser>
        <c:ser>
          <c:idx val="1"/>
          <c:order val="1"/>
          <c:tx>
            <c:v>POZO 11</c:v>
          </c:tx>
          <c:spPr>
            <a:solidFill>
              <a:schemeClr val="accent2"/>
            </a:solidFill>
            <a:ln>
              <a:noFill/>
            </a:ln>
            <a:effectLst/>
            <a:sp3d/>
          </c:spP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BDmensual!$C$5:$C$35</c:f>
              <c:numCache>
                <c:formatCode>_-* #,##0_-;\-* #,##0_-;_-* "-"??_-;_-@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F840-4CF7-AE6C-B073E14516AF}"/>
            </c:ext>
          </c:extLst>
        </c:ser>
        <c:ser>
          <c:idx val="2"/>
          <c:order val="2"/>
          <c:tx>
            <c:v>POZO 13</c:v>
          </c:tx>
          <c:spPr>
            <a:solidFill>
              <a:schemeClr val="accent3"/>
            </a:solidFill>
            <a:ln>
              <a:noFill/>
            </a:ln>
            <a:effectLst/>
            <a:sp3d/>
          </c:spP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BDmensual!$D$5:$D$35</c:f>
              <c:numCache>
                <c:formatCode>_-* #,##0_-;\-* #,##0_-;_-* "-"??_-;_-@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F840-4CF7-AE6C-B073E14516AF}"/>
            </c:ext>
          </c:extLst>
        </c:ser>
        <c:ser>
          <c:idx val="3"/>
          <c:order val="3"/>
          <c:tx>
            <c:strRef>
              <c:f>BDmensual!$E$4</c:f>
              <c:strCache>
                <c:ptCount val="1"/>
                <c:pt idx="0">
                  <c:v>POZO MEDRANO</c:v>
                </c:pt>
              </c:strCache>
            </c:strRef>
          </c:tx>
          <c:spPr>
            <a:solidFill>
              <a:schemeClr val="accent4"/>
            </a:solidFill>
            <a:ln>
              <a:noFill/>
            </a:ln>
            <a:effectLst/>
            <a:sp3d/>
          </c:spPr>
          <c:val>
            <c:numRef>
              <c:f>BDmensual!$E$5:$E$35</c:f>
              <c:numCache>
                <c:formatCode>_-* #,##0_-;\-* #,##0_-;_-* "-"??_-;_-@</c:formatCode>
                <c:ptCount val="31"/>
                <c:pt idx="0">
                  <c:v>1771</c:v>
                </c:pt>
                <c:pt idx="1">
                  <c:v>1686</c:v>
                </c:pt>
                <c:pt idx="2">
                  <c:v>0</c:v>
                </c:pt>
                <c:pt idx="3">
                  <c:v>0</c:v>
                </c:pt>
                <c:pt idx="4">
                  <c:v>0</c:v>
                </c:pt>
                <c:pt idx="5">
                  <c:v>2577</c:v>
                </c:pt>
                <c:pt idx="6">
                  <c:v>795</c:v>
                </c:pt>
                <c:pt idx="7">
                  <c:v>37</c:v>
                </c:pt>
                <c:pt idx="8">
                  <c:v>0</c:v>
                </c:pt>
                <c:pt idx="9">
                  <c:v>0</c:v>
                </c:pt>
                <c:pt idx="10">
                  <c:v>0</c:v>
                </c:pt>
                <c:pt idx="11">
                  <c:v>0</c:v>
                </c:pt>
                <c:pt idx="12">
                  <c:v>406</c:v>
                </c:pt>
                <c:pt idx="13">
                  <c:v>0</c:v>
                </c:pt>
                <c:pt idx="14">
                  <c:v>100</c:v>
                </c:pt>
                <c:pt idx="15">
                  <c:v>0</c:v>
                </c:pt>
                <c:pt idx="16">
                  <c:v>53</c:v>
                </c:pt>
                <c:pt idx="17">
                  <c:v>0</c:v>
                </c:pt>
                <c:pt idx="18">
                  <c:v>0</c:v>
                </c:pt>
                <c:pt idx="19">
                  <c:v>0</c:v>
                </c:pt>
                <c:pt idx="20">
                  <c:v>1167</c:v>
                </c:pt>
                <c:pt idx="21">
                  <c:v>812</c:v>
                </c:pt>
                <c:pt idx="22">
                  <c:v>386</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F840-4CF7-AE6C-B073E14516AF}"/>
            </c:ext>
          </c:extLst>
        </c:ser>
        <c:ser>
          <c:idx val="4"/>
          <c:order val="4"/>
          <c:tx>
            <c:strRef>
              <c:f>BDmensual!$I$4</c:f>
              <c:strCache>
                <c:ptCount val="1"/>
                <c:pt idx="0">
                  <c:v>POZO CBAJA</c:v>
                </c:pt>
              </c:strCache>
            </c:strRef>
          </c:tx>
          <c:spPr>
            <a:solidFill>
              <a:schemeClr val="accent5"/>
            </a:solidFill>
            <a:ln>
              <a:noFill/>
            </a:ln>
            <a:effectLst/>
            <a:sp3d/>
          </c:spPr>
          <c:val>
            <c:numRef>
              <c:f>BDmensual!$I$5:$I$35</c:f>
              <c:numCache>
                <c:formatCode>_-* #,##0_-;\-* #,##0_-;_-* "-"??_-;_-@</c:formatCode>
                <c:ptCount val="31"/>
                <c:pt idx="0">
                  <c:v>1959</c:v>
                </c:pt>
                <c:pt idx="1">
                  <c:v>2043</c:v>
                </c:pt>
                <c:pt idx="2">
                  <c:v>2528</c:v>
                </c:pt>
                <c:pt idx="3">
                  <c:v>2529</c:v>
                </c:pt>
                <c:pt idx="4">
                  <c:v>1384</c:v>
                </c:pt>
                <c:pt idx="5">
                  <c:v>2541</c:v>
                </c:pt>
                <c:pt idx="6">
                  <c:v>1801</c:v>
                </c:pt>
                <c:pt idx="7">
                  <c:v>2570</c:v>
                </c:pt>
                <c:pt idx="8">
                  <c:v>2545</c:v>
                </c:pt>
                <c:pt idx="9">
                  <c:v>2518</c:v>
                </c:pt>
                <c:pt idx="10">
                  <c:v>2468</c:v>
                </c:pt>
                <c:pt idx="11">
                  <c:v>2531</c:v>
                </c:pt>
                <c:pt idx="12">
                  <c:v>2570</c:v>
                </c:pt>
                <c:pt idx="13">
                  <c:v>1439</c:v>
                </c:pt>
                <c:pt idx="14">
                  <c:v>2512</c:v>
                </c:pt>
                <c:pt idx="15">
                  <c:v>2425</c:v>
                </c:pt>
                <c:pt idx="16">
                  <c:v>2546</c:v>
                </c:pt>
                <c:pt idx="17">
                  <c:v>2555</c:v>
                </c:pt>
                <c:pt idx="18">
                  <c:v>2547</c:v>
                </c:pt>
                <c:pt idx="19">
                  <c:v>2594</c:v>
                </c:pt>
                <c:pt idx="20">
                  <c:v>2465</c:v>
                </c:pt>
                <c:pt idx="21">
                  <c:v>2605</c:v>
                </c:pt>
                <c:pt idx="22">
                  <c:v>2503</c:v>
                </c:pt>
                <c:pt idx="23">
                  <c:v>2571</c:v>
                </c:pt>
                <c:pt idx="24">
                  <c:v>2536</c:v>
                </c:pt>
                <c:pt idx="25">
                  <c:v>2513</c:v>
                </c:pt>
                <c:pt idx="26">
                  <c:v>0</c:v>
                </c:pt>
                <c:pt idx="27">
                  <c:v>0</c:v>
                </c:pt>
                <c:pt idx="28">
                  <c:v>0</c:v>
                </c:pt>
                <c:pt idx="29">
                  <c:v>0</c:v>
                </c:pt>
                <c:pt idx="30">
                  <c:v>0</c:v>
                </c:pt>
              </c:numCache>
            </c:numRef>
          </c:val>
          <c:smooth val="0"/>
          <c:extLst>
            <c:ext xmlns:c16="http://schemas.microsoft.com/office/drawing/2014/chart" uri="{C3380CC4-5D6E-409C-BE32-E72D297353CC}">
              <c16:uniqueId val="{00000004-F840-4CF7-AE6C-B073E14516AF}"/>
            </c:ext>
          </c:extLst>
        </c:ser>
        <c:ser>
          <c:idx val="6"/>
          <c:order val="5"/>
          <c:tx>
            <c:strRef>
              <c:f>BDmensual!$K$4</c:f>
              <c:strCache>
                <c:ptCount val="1"/>
                <c:pt idx="0">
                  <c:v>POZO TAMBO</c:v>
                </c:pt>
              </c:strCache>
            </c:strRef>
          </c:tx>
          <c:spPr>
            <a:solidFill>
              <a:schemeClr val="accent1">
                <a:lumMod val="60000"/>
              </a:schemeClr>
            </a:solidFill>
            <a:ln>
              <a:noFill/>
            </a:ln>
            <a:effectLst/>
            <a:sp3d/>
          </c:spPr>
          <c:val>
            <c:numRef>
              <c:f>BDmensual!$K$5:$K$35</c:f>
              <c:numCache>
                <c:formatCode>_-* #,##0_-;\-* #,##0_-;_-* "-"??_-;_-@</c:formatCode>
                <c:ptCount val="31"/>
                <c:pt idx="0">
                  <c:v>668</c:v>
                </c:pt>
                <c:pt idx="1">
                  <c:v>583</c:v>
                </c:pt>
                <c:pt idx="2">
                  <c:v>573</c:v>
                </c:pt>
                <c:pt idx="3">
                  <c:v>677</c:v>
                </c:pt>
                <c:pt idx="4">
                  <c:v>703</c:v>
                </c:pt>
                <c:pt idx="5">
                  <c:v>714</c:v>
                </c:pt>
                <c:pt idx="6">
                  <c:v>903</c:v>
                </c:pt>
                <c:pt idx="7">
                  <c:v>584</c:v>
                </c:pt>
                <c:pt idx="8">
                  <c:v>865</c:v>
                </c:pt>
                <c:pt idx="9">
                  <c:v>675</c:v>
                </c:pt>
                <c:pt idx="10">
                  <c:v>673</c:v>
                </c:pt>
                <c:pt idx="11">
                  <c:v>691</c:v>
                </c:pt>
                <c:pt idx="12">
                  <c:v>724</c:v>
                </c:pt>
                <c:pt idx="13">
                  <c:v>0</c:v>
                </c:pt>
                <c:pt idx="14">
                  <c:v>0</c:v>
                </c:pt>
                <c:pt idx="15">
                  <c:v>0</c:v>
                </c:pt>
                <c:pt idx="16">
                  <c:v>0</c:v>
                </c:pt>
                <c:pt idx="17">
                  <c:v>0</c:v>
                </c:pt>
                <c:pt idx="18">
                  <c:v>0</c:v>
                </c:pt>
                <c:pt idx="19">
                  <c:v>396</c:v>
                </c:pt>
                <c:pt idx="20">
                  <c:v>802</c:v>
                </c:pt>
                <c:pt idx="21">
                  <c:v>747</c:v>
                </c:pt>
                <c:pt idx="22">
                  <c:v>736</c:v>
                </c:pt>
                <c:pt idx="23">
                  <c:v>729</c:v>
                </c:pt>
                <c:pt idx="24">
                  <c:v>627</c:v>
                </c:pt>
                <c:pt idx="25">
                  <c:v>676</c:v>
                </c:pt>
                <c:pt idx="26">
                  <c:v>0</c:v>
                </c:pt>
                <c:pt idx="27">
                  <c:v>0</c:v>
                </c:pt>
                <c:pt idx="28">
                  <c:v>0</c:v>
                </c:pt>
                <c:pt idx="29">
                  <c:v>0</c:v>
                </c:pt>
                <c:pt idx="30">
                  <c:v>0</c:v>
                </c:pt>
              </c:numCache>
            </c:numRef>
          </c:val>
          <c:smooth val="0"/>
          <c:extLst>
            <c:ext xmlns:c16="http://schemas.microsoft.com/office/drawing/2014/chart" uri="{C3380CC4-5D6E-409C-BE32-E72D297353CC}">
              <c16:uniqueId val="{00000005-F840-4CF7-AE6C-B073E14516AF}"/>
            </c:ext>
          </c:extLst>
        </c:ser>
        <c:ser>
          <c:idx val="5"/>
          <c:order val="6"/>
          <c:tx>
            <c:strRef>
              <c:f>BDmensual!$G$4</c:f>
              <c:strCache>
                <c:ptCount val="1"/>
                <c:pt idx="0">
                  <c:v>PTAP PORTACHUELOS</c:v>
                </c:pt>
              </c:strCache>
            </c:strRef>
          </c:tx>
          <c:spPr>
            <a:solidFill>
              <a:schemeClr val="accent6"/>
            </a:solidFill>
            <a:ln>
              <a:noFill/>
            </a:ln>
            <a:effectLst/>
            <a:sp3d/>
          </c:spPr>
          <c:val>
            <c:numRef>
              <c:f>BDmensual!$G$5:$G$35</c:f>
              <c:numCache>
                <c:formatCode>_-* #,##0_-;\-* #,##0_-;_-* "-"??_-;_-@</c:formatCode>
                <c:ptCount val="31"/>
                <c:pt idx="0">
                  <c:v>5382</c:v>
                </c:pt>
                <c:pt idx="1">
                  <c:v>3910</c:v>
                </c:pt>
                <c:pt idx="2">
                  <c:v>4550</c:v>
                </c:pt>
                <c:pt idx="3">
                  <c:v>94</c:v>
                </c:pt>
                <c:pt idx="4">
                  <c:v>87</c:v>
                </c:pt>
                <c:pt idx="5">
                  <c:v>1238</c:v>
                </c:pt>
                <c:pt idx="6">
                  <c:v>5362.4000000003725</c:v>
                </c:pt>
                <c:pt idx="7">
                  <c:v>5609.5999999996275</c:v>
                </c:pt>
                <c:pt idx="8">
                  <c:v>5891</c:v>
                </c:pt>
                <c:pt idx="9">
                  <c:v>6115</c:v>
                </c:pt>
                <c:pt idx="10">
                  <c:v>5399</c:v>
                </c:pt>
                <c:pt idx="11">
                  <c:v>6099</c:v>
                </c:pt>
                <c:pt idx="12">
                  <c:v>5389</c:v>
                </c:pt>
                <c:pt idx="13">
                  <c:v>5394</c:v>
                </c:pt>
                <c:pt idx="14">
                  <c:v>5637</c:v>
                </c:pt>
                <c:pt idx="15">
                  <c:v>5415</c:v>
                </c:pt>
                <c:pt idx="16">
                  <c:v>5712</c:v>
                </c:pt>
                <c:pt idx="17">
                  <c:v>5456</c:v>
                </c:pt>
                <c:pt idx="18">
                  <c:v>5624</c:v>
                </c:pt>
                <c:pt idx="19">
                  <c:v>5599</c:v>
                </c:pt>
                <c:pt idx="20">
                  <c:v>4681</c:v>
                </c:pt>
                <c:pt idx="21">
                  <c:v>5837</c:v>
                </c:pt>
                <c:pt idx="22">
                  <c:v>6605</c:v>
                </c:pt>
                <c:pt idx="23">
                  <c:v>6897</c:v>
                </c:pt>
                <c:pt idx="24">
                  <c:v>5616</c:v>
                </c:pt>
                <c:pt idx="25">
                  <c:v>6478</c:v>
                </c:pt>
                <c:pt idx="26">
                  <c:v>0</c:v>
                </c:pt>
                <c:pt idx="27">
                  <c:v>0</c:v>
                </c:pt>
                <c:pt idx="28">
                  <c:v>0</c:v>
                </c:pt>
                <c:pt idx="29">
                  <c:v>0</c:v>
                </c:pt>
                <c:pt idx="30">
                  <c:v>0</c:v>
                </c:pt>
              </c:numCache>
            </c:numRef>
          </c:val>
          <c:smooth val="0"/>
          <c:extLst>
            <c:ext xmlns:c16="http://schemas.microsoft.com/office/drawing/2014/chart" uri="{C3380CC4-5D6E-409C-BE32-E72D297353CC}">
              <c16:uniqueId val="{00000006-F840-4CF7-AE6C-B073E14516AF}"/>
            </c:ext>
          </c:extLst>
        </c:ser>
        <c:ser>
          <c:idx val="7"/>
          <c:order val="7"/>
          <c:tx>
            <c:strRef>
              <c:f>BDmensual!$H$4</c:f>
              <c:strCache>
                <c:ptCount val="1"/>
                <c:pt idx="0">
                  <c:v>GF NARANJAL</c:v>
                </c:pt>
              </c:strCache>
            </c:strRef>
          </c:tx>
          <c:spPr>
            <a:solidFill>
              <a:schemeClr val="accent2">
                <a:lumMod val="60000"/>
              </a:schemeClr>
            </a:solidFill>
            <a:ln>
              <a:noFill/>
            </a:ln>
            <a:effectLst/>
            <a:sp3d/>
          </c:spPr>
          <c:val>
            <c:numRef>
              <c:f>BDmensual!$H$5:$H$35</c:f>
              <c:numCache>
                <c:formatCode>_-* #,##0_-;\-* #,##0_-;_-* "-"??_-;_-@</c:formatCode>
                <c:ptCount val="31"/>
                <c:pt idx="0">
                  <c:v>3456</c:v>
                </c:pt>
                <c:pt idx="1">
                  <c:v>3456</c:v>
                </c:pt>
                <c:pt idx="2">
                  <c:v>3456</c:v>
                </c:pt>
                <c:pt idx="3">
                  <c:v>3456</c:v>
                </c:pt>
                <c:pt idx="4">
                  <c:v>3456</c:v>
                </c:pt>
                <c:pt idx="5">
                  <c:v>3456</c:v>
                </c:pt>
                <c:pt idx="6">
                  <c:v>3456</c:v>
                </c:pt>
                <c:pt idx="7">
                  <c:v>3456</c:v>
                </c:pt>
                <c:pt idx="8">
                  <c:v>3456</c:v>
                </c:pt>
                <c:pt idx="9">
                  <c:v>3456</c:v>
                </c:pt>
                <c:pt idx="10">
                  <c:v>3456</c:v>
                </c:pt>
                <c:pt idx="11">
                  <c:v>3456</c:v>
                </c:pt>
                <c:pt idx="12">
                  <c:v>3456</c:v>
                </c:pt>
                <c:pt idx="13">
                  <c:v>3456</c:v>
                </c:pt>
                <c:pt idx="14">
                  <c:v>3456</c:v>
                </c:pt>
                <c:pt idx="15">
                  <c:v>3456</c:v>
                </c:pt>
                <c:pt idx="16">
                  <c:v>3456</c:v>
                </c:pt>
                <c:pt idx="17">
                  <c:v>3456</c:v>
                </c:pt>
                <c:pt idx="18">
                  <c:v>3456</c:v>
                </c:pt>
                <c:pt idx="19">
                  <c:v>3456</c:v>
                </c:pt>
                <c:pt idx="20">
                  <c:v>3456</c:v>
                </c:pt>
                <c:pt idx="21">
                  <c:v>3456</c:v>
                </c:pt>
                <c:pt idx="22">
                  <c:v>3456</c:v>
                </c:pt>
                <c:pt idx="23">
                  <c:v>3456</c:v>
                </c:pt>
                <c:pt idx="24">
                  <c:v>3456</c:v>
                </c:pt>
                <c:pt idx="25">
                  <c:v>3456</c:v>
                </c:pt>
                <c:pt idx="26">
                  <c:v>0</c:v>
                </c:pt>
                <c:pt idx="27">
                  <c:v>0</c:v>
                </c:pt>
                <c:pt idx="28">
                  <c:v>0</c:v>
                </c:pt>
                <c:pt idx="29">
                  <c:v>0</c:v>
                </c:pt>
                <c:pt idx="30">
                  <c:v>0</c:v>
                </c:pt>
              </c:numCache>
            </c:numRef>
          </c:val>
          <c:smooth val="0"/>
          <c:extLst>
            <c:ext xmlns:c16="http://schemas.microsoft.com/office/drawing/2014/chart" uri="{C3380CC4-5D6E-409C-BE32-E72D297353CC}">
              <c16:uniqueId val="{00000007-F840-4CF7-AE6C-B073E14516AF}"/>
            </c:ext>
          </c:extLst>
        </c:ser>
        <c:dLbls>
          <c:showLegendKey val="0"/>
          <c:showVal val="0"/>
          <c:showCatName val="0"/>
          <c:showSerName val="0"/>
          <c:showPercent val="0"/>
          <c:showBubbleSize val="0"/>
        </c:dLbls>
        <c:axId val="826727763"/>
        <c:axId val="1536274367"/>
        <c:axId val="1097845184"/>
      </c:line3DChart>
      <c:dateAx>
        <c:axId val="826727763"/>
        <c:scaling>
          <c:orientation val="minMax"/>
        </c:scaling>
        <c:delete val="0"/>
        <c:axPos val="b"/>
        <c:title>
          <c:tx>
            <c:rich>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xPr>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txPr>
        </c:title>
        <c:numFmt formatCode="m/d/yyyy" sourceLinked="1"/>
        <c:majorTickMark val="out"/>
        <c:minorTickMark val="none"/>
        <c:tickLblPos val="nextTo"/>
        <c:spPr>
          <a:noFill/>
          <a:ln w="6350" cap="flat" cmpd="sng" algn="ctr">
            <a:solidFill>
              <a:schemeClr val="tx1"/>
            </a:solidFill>
            <a:prstDash val="solid"/>
            <a:round/>
          </a:ln>
          <a:effectLst/>
        </c:spPr>
        <c:txPr>
          <a:bodyPr rot="-5400000" spcFirstLastPara="1" vertOverflow="ellipsis" wrap="square" anchor="ctr" anchorCtr="1"/>
          <a:lstStyle/>
          <a:p>
            <a:pPr lvl="0">
              <a:defRPr sz="900" b="0" i="0" u="none" strike="noStrike" kern="1200" baseline="0">
                <a:solidFill>
                  <a:srgbClr val="000000"/>
                </a:solidFill>
                <a:latin typeface="+mn-lt"/>
                <a:ea typeface="+mn-ea"/>
                <a:cs typeface="+mn-cs"/>
              </a:defRPr>
            </a:pPr>
            <a:endParaRPr lang="es-PE"/>
          </a:p>
        </c:txPr>
        <c:crossAx val="1536274367"/>
        <c:crosses val="autoZero"/>
        <c:auto val="1"/>
        <c:lblOffset val="100"/>
        <c:baseTimeUnit val="days"/>
      </c:dateAx>
      <c:valAx>
        <c:axId val="1536274367"/>
        <c:scaling>
          <c:orientation val="minMax"/>
        </c:scaling>
        <c:delete val="0"/>
        <c:axPos val="l"/>
        <c:majorGridlines>
          <c:spPr>
            <a:ln w="6350" cap="flat" cmpd="sng" algn="ctr">
              <a:solidFill>
                <a:srgbClr val="B7B7B7"/>
              </a:solidFill>
              <a:prstDash val="solid"/>
              <a:round/>
            </a:ln>
            <a:effectLst/>
          </c:spPr>
        </c:majorGridlines>
        <c:title>
          <c:tx>
            <c:rich>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xPr>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txPr>
        </c:title>
        <c:numFmt formatCode="_-* #,##0_-;\-* #,##0_-;_-* &quot;-&quot;??_-;_-@"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s-PE"/>
          </a:p>
        </c:txPr>
        <c:crossAx val="826727763"/>
        <c:crosses val="autoZero"/>
        <c:crossBetween val="between"/>
      </c:valAx>
      <c:serAx>
        <c:axId val="1097845184"/>
        <c:scaling>
          <c:orientation val="minMax"/>
        </c:scaling>
        <c:delete val="0"/>
        <c:axPos val="b"/>
        <c:majorTickMark val="out"/>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PE"/>
          </a:p>
        </c:txPr>
        <c:crossAx val="1536274367"/>
        <c:crosses val="autoZero"/>
      </c:serAx>
      <c:spPr>
        <a:solidFill>
          <a:schemeClr val="bg2"/>
        </a:solidFill>
        <a:ln>
          <a:noFill/>
        </a:ln>
        <a:effectLst/>
      </c:spPr>
    </c:plotArea>
    <c:legend>
      <c:legendPos val="b"/>
      <c:overlay val="0"/>
      <c:spPr>
        <a:noFill/>
        <a:ln>
          <a:noFill/>
        </a:ln>
        <a:effectLst/>
      </c:spPr>
      <c:txPr>
        <a:bodyPr rot="0" spcFirstLastPara="1" vertOverflow="ellipsis" vert="horz" wrap="square" anchor="ctr" anchorCtr="1"/>
        <a:lstStyle/>
        <a:p>
          <a:pPr lvl="0">
            <a:defRPr sz="900" b="0" i="0" u="none" strike="noStrike" kern="1200" baseline="0">
              <a:solidFill>
                <a:srgbClr val="1A1A1A"/>
              </a:solidFill>
              <a:latin typeface="+mn-lt"/>
              <a:ea typeface="+mn-ea"/>
              <a:cs typeface="+mn-cs"/>
            </a:defRPr>
          </a:pPr>
          <a:endParaRPr lang="es-PE"/>
        </a:p>
      </c:txPr>
    </c:legend>
    <c:plotVisOnly val="1"/>
    <c:dispBlanksAs val="zero"/>
    <c:showDLblsOverMax val="1"/>
  </c:chart>
  <c:spPr>
    <a:solidFill>
      <a:schemeClr val="accent3"/>
    </a:solidFill>
    <a:ln w="6350" cap="flat" cmpd="sng" algn="ctr">
      <a:solidFill>
        <a:schemeClr val="tx1"/>
      </a:solidFill>
      <a:prstDash val="solid"/>
      <a:round/>
    </a:ln>
    <a:effectLst/>
  </c:spPr>
  <c:txPr>
    <a:bodyPr/>
    <a:lstStyle/>
    <a:p>
      <a:pPr>
        <a:defRPr/>
      </a:pPr>
      <a:endParaRPr lang="es-P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defRPr sz="1200" b="1" i="0" u="none" strike="noStrike" kern="1200" baseline="0">
                <a:solidFill>
                  <a:srgbClr val="757575"/>
                </a:solidFill>
                <a:latin typeface="Arial"/>
                <a:ea typeface="+mn-ea"/>
                <a:cs typeface="+mn-cs"/>
              </a:defRPr>
            </a:pPr>
            <a:r>
              <a:rPr lang="es-PE" sz="1200" b="1" i="0">
                <a:solidFill>
                  <a:sysClr val="windowText" lastClr="000000"/>
                </a:solidFill>
                <a:latin typeface="Arial"/>
              </a:rPr>
              <a:t>VOLUMEN DIARIO MINAQUEROS</a:t>
            </a:r>
          </a:p>
        </c:rich>
      </c:tx>
      <c:overlay val="0"/>
      <c:spPr>
        <a:noFill/>
        <a:ln>
          <a:noFill/>
        </a:ln>
        <a:effectLst/>
      </c:spPr>
      <c:txPr>
        <a:bodyPr rot="0" spcFirstLastPara="1" vertOverflow="ellipsis" vert="horz" wrap="square" anchor="ctr" anchorCtr="1"/>
        <a:lstStyle/>
        <a:p>
          <a:pPr lvl="0">
            <a:defRPr sz="1200" b="1" i="0" u="none" strike="noStrike" kern="1200" baseline="0">
              <a:solidFill>
                <a:srgbClr val="757575"/>
              </a:solidFill>
              <a:latin typeface="Arial"/>
              <a:ea typeface="+mn-ea"/>
              <a:cs typeface="+mn-cs"/>
            </a:defRPr>
          </a:pPr>
          <a:endParaRPr lang="es-PE"/>
        </a:p>
      </c:txPr>
    </c:title>
    <c:autoTitleDeleted val="0"/>
    <c:plotArea>
      <c:layout>
        <c:manualLayout>
          <c:layoutTarget val="inner"/>
          <c:xMode val="edge"/>
          <c:yMode val="edge"/>
          <c:x val="0.10818101552968358"/>
          <c:y val="0.11443980011339383"/>
          <c:w val="0.85667753177678174"/>
          <c:h val="0.60819927458872081"/>
        </c:manualLayout>
      </c:layout>
      <c:barChart>
        <c:barDir val="col"/>
        <c:grouping val="clustered"/>
        <c:varyColors val="0"/>
        <c:ser>
          <c:idx val="0"/>
          <c:order val="0"/>
          <c:tx>
            <c:v>GF MINAQUEROS</c:v>
          </c:tx>
          <c:spPr>
            <a:solidFill>
              <a:srgbClr val="00B0F0"/>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BDmensual!$F$5:$F$35</c:f>
              <c:numCache>
                <c:formatCode>_-* #,##0_-;\-* #,##0_-;_-* "-"??_-;_-@</c:formatCode>
                <c:ptCount val="31"/>
                <c:pt idx="0">
                  <c:v>32194</c:v>
                </c:pt>
                <c:pt idx="1">
                  <c:v>32342.416666666511</c:v>
                </c:pt>
                <c:pt idx="2">
                  <c:v>39237.583333333489</c:v>
                </c:pt>
                <c:pt idx="3">
                  <c:v>38377</c:v>
                </c:pt>
                <c:pt idx="4">
                  <c:v>39130</c:v>
                </c:pt>
                <c:pt idx="5">
                  <c:v>36328</c:v>
                </c:pt>
                <c:pt idx="6">
                  <c:v>38224</c:v>
                </c:pt>
                <c:pt idx="7">
                  <c:v>37257.200000000186</c:v>
                </c:pt>
                <c:pt idx="8">
                  <c:v>38559.599999999627</c:v>
                </c:pt>
                <c:pt idx="9">
                  <c:v>40308.170182680245</c:v>
                </c:pt>
                <c:pt idx="10">
                  <c:v>40839.029817319941</c:v>
                </c:pt>
                <c:pt idx="11">
                  <c:v>40314.200000000186</c:v>
                </c:pt>
                <c:pt idx="12">
                  <c:v>40549.068242359906</c:v>
                </c:pt>
                <c:pt idx="13">
                  <c:v>40671.033406639937</c:v>
                </c:pt>
                <c:pt idx="14">
                  <c:v>40369.69835099997</c:v>
                </c:pt>
                <c:pt idx="15">
                  <c:v>40105.959999999963</c:v>
                </c:pt>
                <c:pt idx="16">
                  <c:v>41304.860152560286</c:v>
                </c:pt>
                <c:pt idx="17">
                  <c:v>40924.275455319323</c:v>
                </c:pt>
                <c:pt idx="18">
                  <c:v>40392.421484200284</c:v>
                </c:pt>
                <c:pt idx="19">
                  <c:v>41714.482907920144</c:v>
                </c:pt>
                <c:pt idx="20">
                  <c:v>39349</c:v>
                </c:pt>
                <c:pt idx="21">
                  <c:v>40870</c:v>
                </c:pt>
                <c:pt idx="22">
                  <c:v>40778.94299999997</c:v>
                </c:pt>
                <c:pt idx="23">
                  <c:v>41045.05700000003</c:v>
                </c:pt>
                <c:pt idx="24">
                  <c:v>41071.599999999627</c:v>
                </c:pt>
                <c:pt idx="25">
                  <c:v>39189.400000000373</c:v>
                </c:pt>
                <c:pt idx="26">
                  <c:v>0</c:v>
                </c:pt>
                <c:pt idx="27">
                  <c:v>0</c:v>
                </c:pt>
                <c:pt idx="28">
                  <c:v>0</c:v>
                </c:pt>
                <c:pt idx="29">
                  <c:v>0</c:v>
                </c:pt>
                <c:pt idx="30">
                  <c:v>0</c:v>
                </c:pt>
              </c:numCache>
            </c:numRef>
          </c:val>
          <c:extLst>
            <c:ext xmlns:c16="http://schemas.microsoft.com/office/drawing/2014/chart" uri="{C3380CC4-5D6E-409C-BE32-E72D297353CC}">
              <c16:uniqueId val="{00000000-89EF-4071-AD50-82DA183C8F93}"/>
            </c:ext>
          </c:extLst>
        </c:ser>
        <c:dLbls>
          <c:showLegendKey val="0"/>
          <c:showVal val="0"/>
          <c:showCatName val="0"/>
          <c:showSerName val="0"/>
          <c:showPercent val="0"/>
          <c:showBubbleSize val="0"/>
        </c:dLbls>
        <c:gapWidth val="10"/>
        <c:axId val="87645475"/>
        <c:axId val="1055733668"/>
      </c:barChart>
      <c:dateAx>
        <c:axId val="87645475"/>
        <c:scaling>
          <c:orientation val="minMax"/>
        </c:scaling>
        <c:delete val="0"/>
        <c:axPos val="b"/>
        <c:title>
          <c:tx>
            <c:rich>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xPr>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txPr>
        </c:title>
        <c:numFmt formatCode="m/d/yyyy" sourceLinked="1"/>
        <c:majorTickMark val="out"/>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s-PE"/>
          </a:p>
        </c:txPr>
        <c:crossAx val="1055733668"/>
        <c:crosses val="autoZero"/>
        <c:auto val="1"/>
        <c:lblOffset val="100"/>
        <c:baseTimeUnit val="days"/>
        <c:majorUnit val="1"/>
      </c:dateAx>
      <c:valAx>
        <c:axId val="1055733668"/>
        <c:scaling>
          <c:orientation val="minMax"/>
        </c:scaling>
        <c:delete val="0"/>
        <c:axPos val="l"/>
        <c:majorGridlines>
          <c:spPr>
            <a:ln w="6350" cap="flat" cmpd="sng" algn="ctr">
              <a:solidFill>
                <a:srgbClr val="B7B7B7"/>
              </a:solidFill>
              <a:prstDash val="solid"/>
              <a:round/>
            </a:ln>
            <a:effectLst/>
          </c:spPr>
        </c:majorGridlines>
        <c:title>
          <c:tx>
            <c:rich>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xPr>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txPr>
        </c:title>
        <c:numFmt formatCode="_-* #,##0_-;\-* #,##0_-;_-* &quot;-&quot;??_-;_-@" sourceLinked="1"/>
        <c:majorTickMark val="none"/>
        <c:minorTickMark val="none"/>
        <c:tickLblPos val="nextTo"/>
        <c:spPr>
          <a:noFill/>
          <a:ln w="6350" cap="flat" cmpd="sng" algn="ctr">
            <a:solidFill>
              <a:schemeClr val="tx1"/>
            </a:solidFill>
            <a:prstDash val="solid"/>
            <a:round/>
          </a:ln>
          <a:effectLst/>
        </c:spPr>
        <c:txPr>
          <a:bodyPr rot="0" spcFirstLastPara="1" vertOverflow="ellipsis" wrap="square" anchor="ctr" anchorCtr="1"/>
          <a:lstStyle/>
          <a:p>
            <a:pPr lvl="0">
              <a:defRPr sz="900" b="0" i="0" u="none" strike="noStrike" kern="1200" baseline="0">
                <a:solidFill>
                  <a:srgbClr val="000000"/>
                </a:solidFill>
                <a:latin typeface="+mn-lt"/>
                <a:ea typeface="+mn-ea"/>
                <a:cs typeface="+mn-cs"/>
              </a:defRPr>
            </a:pPr>
            <a:endParaRPr lang="es-PE"/>
          </a:p>
        </c:txPr>
        <c:crossAx val="87645475"/>
        <c:crosses val="autoZero"/>
        <c:crossBetween val="between"/>
      </c:valAx>
      <c:spPr>
        <a:solidFill>
          <a:schemeClr val="bg1"/>
        </a:solidFill>
        <a:ln>
          <a:noFill/>
        </a:ln>
        <a:effectLst/>
      </c:spPr>
    </c:plotArea>
    <c:legend>
      <c:legendPos val="b"/>
      <c:layout>
        <c:manualLayout>
          <c:xMode val="edge"/>
          <c:yMode val="edge"/>
          <c:x val="9.9065930319765447E-2"/>
          <c:y val="0.91978118685474386"/>
          <c:w val="0.16810885678112727"/>
          <c:h val="5.950984121587654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PE"/>
        </a:p>
      </c:txPr>
    </c:legend>
    <c:plotVisOnly val="1"/>
    <c:dispBlanksAs val="zero"/>
    <c:showDLblsOverMax val="1"/>
  </c:chart>
  <c:spPr>
    <a:solidFill>
      <a:schemeClr val="accent3"/>
    </a:solidFill>
    <a:ln w="6350" cap="flat" cmpd="sng" algn="ctr">
      <a:solidFill>
        <a:schemeClr val="tx1"/>
      </a:solidFill>
      <a:prstDash val="solid"/>
      <a:round/>
    </a:ln>
    <a:effectLst/>
  </c:spPr>
  <c:txPr>
    <a:bodyPr/>
    <a:lstStyle/>
    <a:p>
      <a:pPr>
        <a:defRPr/>
      </a:pPr>
      <a:endParaRPr lang="es-P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defRPr sz="1600" b="1" i="0" u="none" strike="noStrike" kern="1200" baseline="0">
                <a:solidFill>
                  <a:srgbClr val="757575"/>
                </a:solidFill>
                <a:latin typeface="+mn-lt"/>
                <a:ea typeface="+mn-ea"/>
                <a:cs typeface="+mn-cs"/>
              </a:defRPr>
            </a:pPr>
            <a:r>
              <a:rPr lang="es-PE" sz="1600" b="1" i="0">
                <a:solidFill>
                  <a:sysClr val="windowText" lastClr="000000"/>
                </a:solidFill>
                <a:latin typeface="+mn-lt"/>
              </a:rPr>
              <a:t>VOLUMEN ACUMULADO</a:t>
            </a:r>
            <a:r>
              <a:rPr lang="es-PE" sz="1600" b="1" i="0" baseline="0">
                <a:solidFill>
                  <a:sysClr val="windowText" lastClr="000000"/>
                </a:solidFill>
                <a:latin typeface="+mn-lt"/>
              </a:rPr>
              <a:t> MENSUAL</a:t>
            </a:r>
            <a:r>
              <a:rPr lang="es-PE" sz="1600" b="1" i="0">
                <a:solidFill>
                  <a:sysClr val="windowText" lastClr="000000"/>
                </a:solidFill>
                <a:latin typeface="+mn-lt"/>
              </a:rPr>
              <a:t> - </a:t>
            </a:r>
            <a:r>
              <a:rPr lang="es-PE" sz="1600" b="1" i="0" baseline="0">
                <a:solidFill>
                  <a:sysClr val="windowText" lastClr="000000"/>
                </a:solidFill>
                <a:latin typeface="+mn-lt"/>
              </a:rPr>
              <a:t> REBOMBEO</a:t>
            </a:r>
            <a:endParaRPr lang="es-PE" sz="1600" b="1" i="0">
              <a:solidFill>
                <a:sysClr val="windowText" lastClr="000000"/>
              </a:solidFill>
              <a:latin typeface="+mn-lt"/>
            </a:endParaRPr>
          </a:p>
        </c:rich>
      </c:tx>
      <c:overlay val="0"/>
      <c:spPr>
        <a:noFill/>
        <a:ln>
          <a:noFill/>
        </a:ln>
        <a:effectLst/>
      </c:spPr>
    </c:title>
    <c:autoTitleDeleted val="0"/>
    <c:plotArea>
      <c:layout>
        <c:manualLayout>
          <c:layoutTarget val="inner"/>
          <c:xMode val="edge"/>
          <c:yMode val="edge"/>
          <c:x val="8.6152596996393618E-2"/>
          <c:y val="9.9791164658634551E-2"/>
          <c:w val="0.88004280441681781"/>
          <c:h val="0.6639079151250673"/>
        </c:manualLayout>
      </c:layout>
      <c:barChart>
        <c:barDir val="col"/>
        <c:grouping val="stacked"/>
        <c:varyColors val="1"/>
        <c:ser>
          <c:idx val="0"/>
          <c:order val="0"/>
          <c:tx>
            <c:strRef>
              <c:f>BDmensual!$L$4</c:f>
              <c:strCache>
                <c:ptCount val="1"/>
                <c:pt idx="0">
                  <c:v>CBAP HIJAYA</c:v>
                </c:pt>
              </c:strCache>
            </c:strRef>
          </c:tx>
          <c:spPr>
            <a:solidFill>
              <a:schemeClr val="accent2"/>
            </a:solidFill>
            <a:ln>
              <a:noFill/>
            </a:ln>
            <a:effectLst/>
          </c:spPr>
          <c:invertIfNegative val="0"/>
          <c:dLbls>
            <c:spPr>
              <a:noFill/>
              <a:ln>
                <a:noFill/>
              </a:ln>
              <a:effectLst/>
            </c:spPr>
            <c:txPr>
              <a:bodyPr rot="-5400000" spcFirstLastPara="1" vertOverflow="ellipsis" vert="horz" wrap="square" lIns="38100" tIns="19050" rIns="38100" bIns="19050" anchor="ctr" anchorCtr="0">
                <a:spAutoFit/>
              </a:bodyPr>
              <a:lstStyle/>
              <a:p>
                <a:pPr>
                  <a:defRPr sz="100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BDmensual!$L$5:$L$35</c:f>
              <c:numCache>
                <c:formatCode>_-* #,##0_-;\-* #,##0_-;_-* "-"??_-;_-@</c:formatCode>
                <c:ptCount val="31"/>
                <c:pt idx="0">
                  <c:v>2491</c:v>
                </c:pt>
                <c:pt idx="1">
                  <c:v>2480</c:v>
                </c:pt>
                <c:pt idx="2">
                  <c:v>2431</c:v>
                </c:pt>
                <c:pt idx="3">
                  <c:v>2383</c:v>
                </c:pt>
                <c:pt idx="4">
                  <c:v>2407</c:v>
                </c:pt>
                <c:pt idx="5">
                  <c:v>2485</c:v>
                </c:pt>
                <c:pt idx="6">
                  <c:v>2388</c:v>
                </c:pt>
                <c:pt idx="7">
                  <c:v>2481</c:v>
                </c:pt>
                <c:pt idx="8">
                  <c:v>2504</c:v>
                </c:pt>
                <c:pt idx="9">
                  <c:v>2450</c:v>
                </c:pt>
                <c:pt idx="10">
                  <c:v>2419</c:v>
                </c:pt>
                <c:pt idx="11">
                  <c:v>1933</c:v>
                </c:pt>
                <c:pt idx="12">
                  <c:v>1972</c:v>
                </c:pt>
                <c:pt idx="13">
                  <c:v>0</c:v>
                </c:pt>
                <c:pt idx="14">
                  <c:v>0</c:v>
                </c:pt>
                <c:pt idx="15">
                  <c:v>0</c:v>
                </c:pt>
                <c:pt idx="16">
                  <c:v>0</c:v>
                </c:pt>
                <c:pt idx="17">
                  <c:v>0</c:v>
                </c:pt>
                <c:pt idx="18">
                  <c:v>0</c:v>
                </c:pt>
                <c:pt idx="19">
                  <c:v>0</c:v>
                </c:pt>
                <c:pt idx="20">
                  <c:v>0</c:v>
                </c:pt>
                <c:pt idx="21">
                  <c:v>2522</c:v>
                </c:pt>
                <c:pt idx="22">
                  <c:v>2497</c:v>
                </c:pt>
                <c:pt idx="23">
                  <c:v>2290</c:v>
                </c:pt>
                <c:pt idx="24">
                  <c:v>2231</c:v>
                </c:pt>
                <c:pt idx="25">
                  <c:v>2344</c:v>
                </c:pt>
                <c:pt idx="26">
                  <c:v>0</c:v>
                </c:pt>
                <c:pt idx="27">
                  <c:v>0</c:v>
                </c:pt>
                <c:pt idx="28">
                  <c:v>0</c:v>
                </c:pt>
                <c:pt idx="29">
                  <c:v>0</c:v>
                </c:pt>
                <c:pt idx="30">
                  <c:v>0</c:v>
                </c:pt>
              </c:numCache>
            </c:numRef>
          </c:val>
          <c:extLst>
            <c:ext xmlns:c16="http://schemas.microsoft.com/office/drawing/2014/chart" uri="{C3380CC4-5D6E-409C-BE32-E72D297353CC}">
              <c16:uniqueId val="{00000000-852D-487A-91F4-34B09B870DAC}"/>
            </c:ext>
          </c:extLst>
        </c:ser>
        <c:ser>
          <c:idx val="1"/>
          <c:order val="1"/>
          <c:tx>
            <c:strRef>
              <c:f>BDmensual!$M$4</c:f>
              <c:strCache>
                <c:ptCount val="1"/>
                <c:pt idx="0">
                  <c:v>CBAP ALTO LARAN</c:v>
                </c:pt>
              </c:strCache>
            </c:strRef>
          </c:tx>
          <c:spPr>
            <a:solidFill>
              <a:schemeClr val="accent4"/>
            </a:solidFill>
            <a:ln>
              <a:noFill/>
            </a:ln>
            <a:effectLst/>
          </c:spPr>
          <c:invertIfNegative val="0"/>
          <c:dLbls>
            <c:spPr>
              <a:noFill/>
              <a:ln>
                <a:noFill/>
              </a:ln>
              <a:effectLst/>
            </c:spPr>
            <c:txPr>
              <a:bodyPr rot="-5400000" spcFirstLastPara="1" vertOverflow="ellipsis" vert="horz" wrap="square" lIns="38100" tIns="19050" rIns="38100" bIns="19050" anchor="ctr" anchorCtr="0">
                <a:spAutoFit/>
              </a:bodyPr>
              <a:lstStyle/>
              <a:p>
                <a:pPr>
                  <a:defRPr sz="100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val>
            <c:numRef>
              <c:f>BDmensual!$M$5:$M$35</c:f>
              <c:numCache>
                <c:formatCode>_-* #,##0_-;\-* #,##0_-;_-* "-"??_-;_-@</c:formatCode>
                <c:ptCount val="31"/>
                <c:pt idx="0">
                  <c:v>1219</c:v>
                </c:pt>
                <c:pt idx="1">
                  <c:v>1294</c:v>
                </c:pt>
                <c:pt idx="2">
                  <c:v>1250</c:v>
                </c:pt>
                <c:pt idx="3">
                  <c:v>0</c:v>
                </c:pt>
                <c:pt idx="4">
                  <c:v>401</c:v>
                </c:pt>
                <c:pt idx="5">
                  <c:v>1376</c:v>
                </c:pt>
                <c:pt idx="6">
                  <c:v>1176</c:v>
                </c:pt>
                <c:pt idx="7">
                  <c:v>1265</c:v>
                </c:pt>
                <c:pt idx="8">
                  <c:v>1254</c:v>
                </c:pt>
                <c:pt idx="9">
                  <c:v>1310</c:v>
                </c:pt>
                <c:pt idx="10">
                  <c:v>1324</c:v>
                </c:pt>
                <c:pt idx="11">
                  <c:v>1271</c:v>
                </c:pt>
                <c:pt idx="12">
                  <c:v>1028</c:v>
                </c:pt>
                <c:pt idx="13">
                  <c:v>1224</c:v>
                </c:pt>
                <c:pt idx="14">
                  <c:v>1237</c:v>
                </c:pt>
                <c:pt idx="15">
                  <c:v>1244</c:v>
                </c:pt>
                <c:pt idx="16">
                  <c:v>1239</c:v>
                </c:pt>
                <c:pt idx="17">
                  <c:v>1338</c:v>
                </c:pt>
                <c:pt idx="18">
                  <c:v>1300</c:v>
                </c:pt>
                <c:pt idx="19">
                  <c:v>1265</c:v>
                </c:pt>
                <c:pt idx="20">
                  <c:v>710</c:v>
                </c:pt>
                <c:pt idx="21">
                  <c:v>1279</c:v>
                </c:pt>
                <c:pt idx="22">
                  <c:v>1255</c:v>
                </c:pt>
                <c:pt idx="23">
                  <c:v>1313</c:v>
                </c:pt>
                <c:pt idx="24">
                  <c:v>1305</c:v>
                </c:pt>
                <c:pt idx="25">
                  <c:v>1289</c:v>
                </c:pt>
                <c:pt idx="26">
                  <c:v>0</c:v>
                </c:pt>
                <c:pt idx="27">
                  <c:v>0</c:v>
                </c:pt>
                <c:pt idx="28">
                  <c:v>0</c:v>
                </c:pt>
                <c:pt idx="29">
                  <c:v>0</c:v>
                </c:pt>
                <c:pt idx="30">
                  <c:v>0</c:v>
                </c:pt>
              </c:numCache>
            </c:numRef>
          </c:val>
          <c:extLst>
            <c:ext xmlns:c16="http://schemas.microsoft.com/office/drawing/2014/chart" uri="{C3380CC4-5D6E-409C-BE32-E72D297353CC}">
              <c16:uniqueId val="{00000001-852D-487A-91F4-34B09B870DAC}"/>
            </c:ext>
          </c:extLst>
        </c:ser>
        <c:ser>
          <c:idx val="2"/>
          <c:order val="2"/>
          <c:tx>
            <c:strRef>
              <c:f>BDmensual!$N$4</c:f>
              <c:strCache>
                <c:ptCount val="1"/>
                <c:pt idx="0">
                  <c:v>CBAP PUEBLO NUEVO</c:v>
                </c:pt>
              </c:strCache>
            </c:strRef>
          </c:tx>
          <c:spPr>
            <a:solidFill>
              <a:schemeClr val="accent6"/>
            </a:solidFill>
            <a:ln>
              <a:noFill/>
            </a:ln>
            <a:effectLst/>
          </c:spPr>
          <c:invertIfNegative val="0"/>
          <c:dLbls>
            <c:spPr>
              <a:noFill/>
              <a:ln>
                <a:noFill/>
              </a:ln>
              <a:effectLst/>
            </c:spPr>
            <c:txPr>
              <a:bodyPr rot="-5400000" spcFirstLastPara="1" vertOverflow="ellipsis" vert="horz" wrap="square" lIns="38100" tIns="19050" rIns="38100" bIns="19050" anchor="ctr" anchorCtr="0">
                <a:spAutoFit/>
              </a:bodyPr>
              <a:lstStyle/>
              <a:p>
                <a:pPr>
                  <a:defRPr sz="100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val>
            <c:numRef>
              <c:f>BDmensual!$N$5:$N$35</c:f>
              <c:numCache>
                <c:formatCode>_-* #,##0_-;\-* #,##0_-;_-* "-"??_-;_-@</c:formatCode>
                <c:ptCount val="31"/>
                <c:pt idx="0">
                  <c:v>4607</c:v>
                </c:pt>
                <c:pt idx="1">
                  <c:v>4156</c:v>
                </c:pt>
                <c:pt idx="2">
                  <c:v>4657</c:v>
                </c:pt>
                <c:pt idx="3">
                  <c:v>4721</c:v>
                </c:pt>
                <c:pt idx="4">
                  <c:v>4934</c:v>
                </c:pt>
                <c:pt idx="5">
                  <c:v>4800</c:v>
                </c:pt>
                <c:pt idx="6">
                  <c:v>4556</c:v>
                </c:pt>
                <c:pt idx="7">
                  <c:v>4516</c:v>
                </c:pt>
                <c:pt idx="8">
                  <c:v>4870</c:v>
                </c:pt>
                <c:pt idx="9">
                  <c:v>4440</c:v>
                </c:pt>
                <c:pt idx="10">
                  <c:v>4670</c:v>
                </c:pt>
                <c:pt idx="11">
                  <c:v>4193</c:v>
                </c:pt>
                <c:pt idx="12">
                  <c:v>4279</c:v>
                </c:pt>
                <c:pt idx="13">
                  <c:v>4581</c:v>
                </c:pt>
                <c:pt idx="14">
                  <c:v>4313</c:v>
                </c:pt>
                <c:pt idx="15">
                  <c:v>4396</c:v>
                </c:pt>
                <c:pt idx="16">
                  <c:v>4714</c:v>
                </c:pt>
                <c:pt idx="17">
                  <c:v>4559</c:v>
                </c:pt>
                <c:pt idx="18">
                  <c:v>4301</c:v>
                </c:pt>
                <c:pt idx="19">
                  <c:v>4252</c:v>
                </c:pt>
                <c:pt idx="20">
                  <c:v>4632</c:v>
                </c:pt>
                <c:pt idx="21">
                  <c:v>4517</c:v>
                </c:pt>
                <c:pt idx="22">
                  <c:v>4650</c:v>
                </c:pt>
                <c:pt idx="23">
                  <c:v>4858</c:v>
                </c:pt>
                <c:pt idx="24">
                  <c:v>4838</c:v>
                </c:pt>
                <c:pt idx="25">
                  <c:v>4265</c:v>
                </c:pt>
                <c:pt idx="26">
                  <c:v>0</c:v>
                </c:pt>
                <c:pt idx="27">
                  <c:v>0</c:v>
                </c:pt>
                <c:pt idx="28">
                  <c:v>0</c:v>
                </c:pt>
                <c:pt idx="29">
                  <c:v>0</c:v>
                </c:pt>
                <c:pt idx="30">
                  <c:v>0</c:v>
                </c:pt>
              </c:numCache>
            </c:numRef>
          </c:val>
          <c:extLst>
            <c:ext xmlns:c16="http://schemas.microsoft.com/office/drawing/2014/chart" uri="{C3380CC4-5D6E-409C-BE32-E72D297353CC}">
              <c16:uniqueId val="{00000002-852D-487A-91F4-34B09B870DAC}"/>
            </c:ext>
          </c:extLst>
        </c:ser>
        <c:dLbls>
          <c:dLblPos val="ctr"/>
          <c:showLegendKey val="0"/>
          <c:showVal val="1"/>
          <c:showCatName val="0"/>
          <c:showSerName val="0"/>
          <c:showPercent val="0"/>
          <c:showBubbleSize val="0"/>
        </c:dLbls>
        <c:gapWidth val="20"/>
        <c:overlap val="100"/>
        <c:axId val="1768411322"/>
        <c:axId val="498739337"/>
      </c:barChart>
      <c:dateAx>
        <c:axId val="1768411322"/>
        <c:scaling>
          <c:orientation val="minMax"/>
        </c:scaling>
        <c:delete val="0"/>
        <c:axPos val="b"/>
        <c:title>
          <c:tx>
            <c:rich>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itle>
        <c:numFmt formatCode="m/d/yyyy" sourceLinked="1"/>
        <c:majorTickMark val="none"/>
        <c:minorTickMark val="none"/>
        <c:tickLblPos val="nextTo"/>
        <c:spPr>
          <a:noFill/>
          <a:ln w="6350" cap="flat" cmpd="sng" algn="ctr">
            <a:solidFill>
              <a:schemeClr val="tx1">
                <a:tint val="75000"/>
              </a:schemeClr>
            </a:solidFill>
            <a:prstDash val="solid"/>
            <a:round/>
          </a:ln>
          <a:effectLst/>
        </c:spPr>
        <c:txPr>
          <a:bodyPr rot="-5400000" spcFirstLastPara="1" vertOverflow="ellipsis" wrap="square" anchor="ctr" anchorCtr="1"/>
          <a:lstStyle/>
          <a:p>
            <a:pPr lvl="0">
              <a:defRPr sz="900" b="0" i="0" u="none" strike="noStrike" kern="1200" baseline="0">
                <a:solidFill>
                  <a:srgbClr val="000000"/>
                </a:solidFill>
                <a:latin typeface="+mn-lt"/>
                <a:ea typeface="+mn-ea"/>
                <a:cs typeface="+mn-cs"/>
              </a:defRPr>
            </a:pPr>
            <a:endParaRPr lang="es-PE"/>
          </a:p>
        </c:txPr>
        <c:crossAx val="498739337"/>
        <c:crosses val="autoZero"/>
        <c:auto val="1"/>
        <c:lblOffset val="100"/>
        <c:baseTimeUnit val="days"/>
      </c:dateAx>
      <c:valAx>
        <c:axId val="498739337"/>
        <c:scaling>
          <c:orientation val="minMax"/>
        </c:scaling>
        <c:delete val="0"/>
        <c:axPos val="l"/>
        <c:majorGridlines>
          <c:spPr>
            <a:ln w="6350" cap="flat" cmpd="sng" algn="ctr">
              <a:solidFill>
                <a:srgbClr val="B7B7B7"/>
              </a:solidFill>
              <a:prstDash val="solid"/>
              <a:round/>
            </a:ln>
            <a:effectLst/>
          </c:spPr>
        </c:majorGridlines>
        <c:title>
          <c:tx>
            <c:rich>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itle>
        <c:numFmt formatCode="_-* #,##0_-;\-* #,##0_-;_-* &quot;-&quot;??_-;_-@"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s-PE"/>
          </a:p>
        </c:txPr>
        <c:crossAx val="1768411322"/>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PE"/>
        </a:p>
      </c:txPr>
    </c:legend>
    <c:plotVisOnly val="1"/>
    <c:dispBlanksAs val="zero"/>
    <c:showDLblsOverMax val="1"/>
  </c:chart>
  <c:spPr>
    <a:solidFill>
      <a:schemeClr val="accent3"/>
    </a:solidFill>
    <a:ln w="6350" cap="flat" cmpd="sng" algn="ctr">
      <a:solidFill>
        <a:schemeClr val="tx1"/>
      </a:solidFill>
      <a:prstDash val="solid"/>
      <a:round/>
    </a:ln>
    <a:effectLst/>
  </c:spPr>
  <c:txPr>
    <a:bodyPr/>
    <a:lstStyle/>
    <a:p>
      <a:pPr>
        <a:defRPr/>
      </a:pPr>
      <a:endParaRPr lang="es-P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r>
              <a:rPr lang="es-PE"/>
              <a:t>VOLUMEN acumulado</a:t>
            </a:r>
            <a:r>
              <a:rPr lang="es-PE" baseline="0"/>
              <a:t> mensual </a:t>
            </a:r>
            <a:r>
              <a:rPr lang="es-PE"/>
              <a:t>REPARTIDO CISTERNAS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s-PE"/>
        </a:p>
      </c:txPr>
    </c:title>
    <c:autoTitleDeleted val="0"/>
    <c:plotArea>
      <c:layout>
        <c:manualLayout>
          <c:layoutTarget val="inner"/>
          <c:xMode val="edge"/>
          <c:yMode val="edge"/>
          <c:x val="7.5988710331366865E-2"/>
          <c:y val="0.16439775178921376"/>
          <c:w val="0.90205741010224194"/>
          <c:h val="0.62348300278617919"/>
        </c:manualLayout>
      </c:layout>
      <c:barChart>
        <c:barDir val="col"/>
        <c:grouping val="clustered"/>
        <c:varyColors val="1"/>
        <c:ser>
          <c:idx val="0"/>
          <c:order val="0"/>
          <c:tx>
            <c:strRef>
              <c:f>BDmensual!$R$4</c:f>
              <c:strCache>
                <c:ptCount val="1"/>
                <c:pt idx="0">
                  <c:v>TOTAL</c:v>
                </c:pt>
              </c:strCache>
            </c:strRef>
          </c:tx>
          <c:spPr>
            <a:solidFill>
              <a:schemeClr val="accent1"/>
            </a:solidFill>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193-41F6-BCB8-D97BD098075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193-41F6-BCB8-D97BD098075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8193-41F6-BCB8-D97BD098075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8193-41F6-BCB8-D97BD098075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8193-41F6-BCB8-D97BD0980752}"/>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8193-41F6-BCB8-D97BD0980752}"/>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D-8193-41F6-BCB8-D97BD0980752}"/>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F-8193-41F6-BCB8-D97BD0980752}"/>
              </c:ext>
            </c:extLst>
          </c:dPt>
          <c:dPt>
            <c:idx val="8"/>
            <c:invertIfNegative val="0"/>
            <c:bubble3D val="0"/>
            <c:spPr>
              <a:solidFill>
                <a:schemeClr val="accent1"/>
              </a:solidFill>
              <a:ln>
                <a:noFill/>
              </a:ln>
              <a:effectLst/>
            </c:spPr>
            <c:extLst>
              <c:ext xmlns:c16="http://schemas.microsoft.com/office/drawing/2014/chart" uri="{C3380CC4-5D6E-409C-BE32-E72D297353CC}">
                <c16:uniqueId val="{00000011-8193-41F6-BCB8-D97BD0980752}"/>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3-8193-41F6-BCB8-D97BD0980752}"/>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15-8193-41F6-BCB8-D97BD0980752}"/>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17-8193-41F6-BCB8-D97BD0980752}"/>
              </c:ext>
            </c:extLst>
          </c:dPt>
          <c:dPt>
            <c:idx val="12"/>
            <c:invertIfNegative val="0"/>
            <c:bubble3D val="0"/>
            <c:spPr>
              <a:solidFill>
                <a:schemeClr val="accent1"/>
              </a:solidFill>
              <a:ln>
                <a:noFill/>
              </a:ln>
              <a:effectLst/>
            </c:spPr>
            <c:extLst>
              <c:ext xmlns:c16="http://schemas.microsoft.com/office/drawing/2014/chart" uri="{C3380CC4-5D6E-409C-BE32-E72D297353CC}">
                <c16:uniqueId val="{00000019-8193-41F6-BCB8-D97BD0980752}"/>
              </c:ext>
            </c:extLst>
          </c:dPt>
          <c:dPt>
            <c:idx val="13"/>
            <c:invertIfNegative val="0"/>
            <c:bubble3D val="0"/>
            <c:spPr>
              <a:solidFill>
                <a:schemeClr val="accent1"/>
              </a:solidFill>
              <a:ln>
                <a:noFill/>
              </a:ln>
              <a:effectLst/>
            </c:spPr>
            <c:extLst>
              <c:ext xmlns:c16="http://schemas.microsoft.com/office/drawing/2014/chart" uri="{C3380CC4-5D6E-409C-BE32-E72D297353CC}">
                <c16:uniqueId val="{0000001B-8193-41F6-BCB8-D97BD0980752}"/>
              </c:ext>
            </c:extLst>
          </c:dPt>
          <c:dPt>
            <c:idx val="14"/>
            <c:invertIfNegative val="0"/>
            <c:bubble3D val="0"/>
            <c:spPr>
              <a:solidFill>
                <a:schemeClr val="accent1"/>
              </a:solidFill>
              <a:ln>
                <a:noFill/>
              </a:ln>
              <a:effectLst/>
            </c:spPr>
            <c:extLst>
              <c:ext xmlns:c16="http://schemas.microsoft.com/office/drawing/2014/chart" uri="{C3380CC4-5D6E-409C-BE32-E72D297353CC}">
                <c16:uniqueId val="{0000001D-8193-41F6-BCB8-D97BD0980752}"/>
              </c:ext>
            </c:extLst>
          </c:dPt>
          <c:dPt>
            <c:idx val="15"/>
            <c:invertIfNegative val="0"/>
            <c:bubble3D val="0"/>
            <c:spPr>
              <a:solidFill>
                <a:schemeClr val="accent1"/>
              </a:solidFill>
              <a:ln>
                <a:noFill/>
              </a:ln>
              <a:effectLst/>
            </c:spPr>
            <c:extLst>
              <c:ext xmlns:c16="http://schemas.microsoft.com/office/drawing/2014/chart" uri="{C3380CC4-5D6E-409C-BE32-E72D297353CC}">
                <c16:uniqueId val="{0000001F-8193-41F6-BCB8-D97BD0980752}"/>
              </c:ext>
            </c:extLst>
          </c:dPt>
          <c:dPt>
            <c:idx val="16"/>
            <c:invertIfNegative val="0"/>
            <c:bubble3D val="0"/>
            <c:spPr>
              <a:solidFill>
                <a:schemeClr val="accent1"/>
              </a:solidFill>
              <a:ln>
                <a:noFill/>
              </a:ln>
              <a:effectLst/>
            </c:spPr>
            <c:extLst>
              <c:ext xmlns:c16="http://schemas.microsoft.com/office/drawing/2014/chart" uri="{C3380CC4-5D6E-409C-BE32-E72D297353CC}">
                <c16:uniqueId val="{00000021-8193-41F6-BCB8-D97BD0980752}"/>
              </c:ext>
            </c:extLst>
          </c:dPt>
          <c:dPt>
            <c:idx val="17"/>
            <c:invertIfNegative val="0"/>
            <c:bubble3D val="0"/>
            <c:spPr>
              <a:solidFill>
                <a:schemeClr val="accent1"/>
              </a:solidFill>
              <a:ln>
                <a:noFill/>
              </a:ln>
              <a:effectLst/>
            </c:spPr>
            <c:extLst>
              <c:ext xmlns:c16="http://schemas.microsoft.com/office/drawing/2014/chart" uri="{C3380CC4-5D6E-409C-BE32-E72D297353CC}">
                <c16:uniqueId val="{00000023-8193-41F6-BCB8-D97BD0980752}"/>
              </c:ext>
            </c:extLst>
          </c:dPt>
          <c:dPt>
            <c:idx val="18"/>
            <c:invertIfNegative val="0"/>
            <c:bubble3D val="0"/>
            <c:spPr>
              <a:solidFill>
                <a:schemeClr val="accent1"/>
              </a:solidFill>
              <a:ln>
                <a:noFill/>
              </a:ln>
              <a:effectLst/>
            </c:spPr>
            <c:extLst>
              <c:ext xmlns:c16="http://schemas.microsoft.com/office/drawing/2014/chart" uri="{C3380CC4-5D6E-409C-BE32-E72D297353CC}">
                <c16:uniqueId val="{00000025-8193-41F6-BCB8-D97BD0980752}"/>
              </c:ext>
            </c:extLst>
          </c:dPt>
          <c:dPt>
            <c:idx val="19"/>
            <c:invertIfNegative val="0"/>
            <c:bubble3D val="0"/>
            <c:spPr>
              <a:solidFill>
                <a:schemeClr val="accent1"/>
              </a:solidFill>
              <a:ln>
                <a:noFill/>
              </a:ln>
              <a:effectLst/>
            </c:spPr>
            <c:extLst>
              <c:ext xmlns:c16="http://schemas.microsoft.com/office/drawing/2014/chart" uri="{C3380CC4-5D6E-409C-BE32-E72D297353CC}">
                <c16:uniqueId val="{00000027-8193-41F6-BCB8-D97BD0980752}"/>
              </c:ext>
            </c:extLst>
          </c:dPt>
          <c:dPt>
            <c:idx val="20"/>
            <c:invertIfNegative val="0"/>
            <c:bubble3D val="0"/>
            <c:spPr>
              <a:solidFill>
                <a:schemeClr val="accent1"/>
              </a:solidFill>
              <a:ln>
                <a:noFill/>
              </a:ln>
              <a:effectLst/>
            </c:spPr>
            <c:extLst>
              <c:ext xmlns:c16="http://schemas.microsoft.com/office/drawing/2014/chart" uri="{C3380CC4-5D6E-409C-BE32-E72D297353CC}">
                <c16:uniqueId val="{00000029-8193-41F6-BCB8-D97BD0980752}"/>
              </c:ext>
            </c:extLst>
          </c:dPt>
          <c:dPt>
            <c:idx val="21"/>
            <c:invertIfNegative val="0"/>
            <c:bubble3D val="0"/>
            <c:spPr>
              <a:solidFill>
                <a:schemeClr val="accent1"/>
              </a:solidFill>
              <a:ln>
                <a:noFill/>
              </a:ln>
              <a:effectLst/>
            </c:spPr>
            <c:extLst>
              <c:ext xmlns:c16="http://schemas.microsoft.com/office/drawing/2014/chart" uri="{C3380CC4-5D6E-409C-BE32-E72D297353CC}">
                <c16:uniqueId val="{0000002B-8193-41F6-BCB8-D97BD0980752}"/>
              </c:ext>
            </c:extLst>
          </c:dPt>
          <c:dPt>
            <c:idx val="22"/>
            <c:invertIfNegative val="0"/>
            <c:bubble3D val="0"/>
            <c:spPr>
              <a:solidFill>
                <a:schemeClr val="accent1"/>
              </a:solidFill>
              <a:ln>
                <a:noFill/>
              </a:ln>
              <a:effectLst/>
            </c:spPr>
            <c:extLst>
              <c:ext xmlns:c16="http://schemas.microsoft.com/office/drawing/2014/chart" uri="{C3380CC4-5D6E-409C-BE32-E72D297353CC}">
                <c16:uniqueId val="{0000002D-8193-41F6-BCB8-D97BD0980752}"/>
              </c:ext>
            </c:extLst>
          </c:dPt>
          <c:dPt>
            <c:idx val="23"/>
            <c:invertIfNegative val="0"/>
            <c:bubble3D val="0"/>
            <c:spPr>
              <a:solidFill>
                <a:schemeClr val="accent1"/>
              </a:solidFill>
              <a:ln>
                <a:noFill/>
              </a:ln>
              <a:effectLst/>
            </c:spPr>
            <c:extLst>
              <c:ext xmlns:c16="http://schemas.microsoft.com/office/drawing/2014/chart" uri="{C3380CC4-5D6E-409C-BE32-E72D297353CC}">
                <c16:uniqueId val="{0000002F-8193-41F6-BCB8-D97BD0980752}"/>
              </c:ext>
            </c:extLst>
          </c:dPt>
          <c:dPt>
            <c:idx val="24"/>
            <c:invertIfNegative val="0"/>
            <c:bubble3D val="0"/>
            <c:spPr>
              <a:solidFill>
                <a:schemeClr val="accent1"/>
              </a:solidFill>
              <a:ln>
                <a:noFill/>
              </a:ln>
              <a:effectLst/>
            </c:spPr>
            <c:extLst>
              <c:ext xmlns:c16="http://schemas.microsoft.com/office/drawing/2014/chart" uri="{C3380CC4-5D6E-409C-BE32-E72D297353CC}">
                <c16:uniqueId val="{00000031-8193-41F6-BCB8-D97BD0980752}"/>
              </c:ext>
            </c:extLst>
          </c:dPt>
          <c:dPt>
            <c:idx val="25"/>
            <c:invertIfNegative val="0"/>
            <c:bubble3D val="0"/>
            <c:spPr>
              <a:solidFill>
                <a:schemeClr val="accent1"/>
              </a:solidFill>
              <a:ln>
                <a:noFill/>
              </a:ln>
              <a:effectLst/>
            </c:spPr>
            <c:extLst>
              <c:ext xmlns:c16="http://schemas.microsoft.com/office/drawing/2014/chart" uri="{C3380CC4-5D6E-409C-BE32-E72D297353CC}">
                <c16:uniqueId val="{00000033-8193-41F6-BCB8-D97BD0980752}"/>
              </c:ext>
            </c:extLst>
          </c:dPt>
          <c:dPt>
            <c:idx val="26"/>
            <c:invertIfNegative val="0"/>
            <c:bubble3D val="0"/>
            <c:spPr>
              <a:solidFill>
                <a:schemeClr val="accent1"/>
              </a:solidFill>
              <a:ln>
                <a:noFill/>
              </a:ln>
              <a:effectLst/>
            </c:spPr>
            <c:extLst>
              <c:ext xmlns:c16="http://schemas.microsoft.com/office/drawing/2014/chart" uri="{C3380CC4-5D6E-409C-BE32-E72D297353CC}">
                <c16:uniqueId val="{00000035-8193-41F6-BCB8-D97BD0980752}"/>
              </c:ext>
            </c:extLst>
          </c:dPt>
          <c:dPt>
            <c:idx val="27"/>
            <c:invertIfNegative val="0"/>
            <c:bubble3D val="0"/>
            <c:spPr>
              <a:solidFill>
                <a:schemeClr val="accent1"/>
              </a:solidFill>
              <a:ln>
                <a:noFill/>
              </a:ln>
              <a:effectLst/>
            </c:spPr>
            <c:extLst>
              <c:ext xmlns:c16="http://schemas.microsoft.com/office/drawing/2014/chart" uri="{C3380CC4-5D6E-409C-BE32-E72D297353CC}">
                <c16:uniqueId val="{00000037-8193-41F6-BCB8-D97BD0980752}"/>
              </c:ext>
            </c:extLst>
          </c:dPt>
          <c:dPt>
            <c:idx val="28"/>
            <c:invertIfNegative val="0"/>
            <c:bubble3D val="0"/>
            <c:spPr>
              <a:solidFill>
                <a:schemeClr val="accent1"/>
              </a:solidFill>
              <a:ln>
                <a:noFill/>
              </a:ln>
              <a:effectLst/>
            </c:spPr>
            <c:extLst>
              <c:ext xmlns:c16="http://schemas.microsoft.com/office/drawing/2014/chart" uri="{C3380CC4-5D6E-409C-BE32-E72D297353CC}">
                <c16:uniqueId val="{00000039-8193-41F6-BCB8-D97BD0980752}"/>
              </c:ext>
            </c:extLst>
          </c:dPt>
          <c:dPt>
            <c:idx val="29"/>
            <c:invertIfNegative val="0"/>
            <c:bubble3D val="0"/>
            <c:spPr>
              <a:solidFill>
                <a:schemeClr val="accent1"/>
              </a:solidFill>
              <a:ln>
                <a:noFill/>
              </a:ln>
              <a:effectLst/>
            </c:spPr>
            <c:extLst>
              <c:ext xmlns:c16="http://schemas.microsoft.com/office/drawing/2014/chart" uri="{C3380CC4-5D6E-409C-BE32-E72D297353CC}">
                <c16:uniqueId val="{0000003B-8193-41F6-BCB8-D97BD0980752}"/>
              </c:ext>
            </c:extLst>
          </c:dPt>
          <c:dPt>
            <c:idx val="30"/>
            <c:invertIfNegative val="0"/>
            <c:bubble3D val="0"/>
            <c:spPr>
              <a:solidFill>
                <a:schemeClr val="accent1"/>
              </a:solidFill>
              <a:ln>
                <a:noFill/>
              </a:ln>
              <a:effectLst/>
            </c:spPr>
            <c:extLst>
              <c:ext xmlns:c16="http://schemas.microsoft.com/office/drawing/2014/chart" uri="{C3380CC4-5D6E-409C-BE32-E72D297353CC}">
                <c16:uniqueId val="{0000003D-8193-41F6-BCB8-D97BD0980752}"/>
              </c:ext>
            </c:extLst>
          </c:dPt>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P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BDmensual!$R$5:$R$35</c:f>
              <c:numCache>
                <c:formatCode>General</c:formatCode>
                <c:ptCount val="31"/>
                <c:pt idx="0">
                  <c:v>68</c:v>
                </c:pt>
                <c:pt idx="1">
                  <c:v>34</c:v>
                </c:pt>
                <c:pt idx="2">
                  <c:v>0</c:v>
                </c:pt>
                <c:pt idx="3">
                  <c:v>34</c:v>
                </c:pt>
                <c:pt idx="4">
                  <c:v>68</c:v>
                </c:pt>
                <c:pt idx="5">
                  <c:v>94</c:v>
                </c:pt>
                <c:pt idx="6">
                  <c:v>86</c:v>
                </c:pt>
                <c:pt idx="7">
                  <c:v>103</c:v>
                </c:pt>
                <c:pt idx="8">
                  <c:v>86</c:v>
                </c:pt>
                <c:pt idx="9">
                  <c:v>102</c:v>
                </c:pt>
                <c:pt idx="10">
                  <c:v>34</c:v>
                </c:pt>
                <c:pt idx="11">
                  <c:v>0</c:v>
                </c:pt>
                <c:pt idx="12">
                  <c:v>111</c:v>
                </c:pt>
                <c:pt idx="13">
                  <c:v>60</c:v>
                </c:pt>
                <c:pt idx="14">
                  <c:v>68</c:v>
                </c:pt>
                <c:pt idx="15">
                  <c:v>77</c:v>
                </c:pt>
                <c:pt idx="16">
                  <c:v>68</c:v>
                </c:pt>
                <c:pt idx="17">
                  <c:v>85</c:v>
                </c:pt>
                <c:pt idx="18">
                  <c:v>34</c:v>
                </c:pt>
                <c:pt idx="19">
                  <c:v>111</c:v>
                </c:pt>
                <c:pt idx="20">
                  <c:v>111</c:v>
                </c:pt>
                <c:pt idx="21">
                  <c:v>111</c:v>
                </c:pt>
                <c:pt idx="22">
                  <c:v>103</c:v>
                </c:pt>
                <c:pt idx="23">
                  <c:v>77</c:v>
                </c:pt>
                <c:pt idx="24">
                  <c:v>43</c:v>
                </c:pt>
                <c:pt idx="25">
                  <c:v>0</c:v>
                </c:pt>
                <c:pt idx="26">
                  <c:v>0</c:v>
                </c:pt>
                <c:pt idx="27">
                  <c:v>0</c:v>
                </c:pt>
                <c:pt idx="28">
                  <c:v>0</c:v>
                </c:pt>
                <c:pt idx="29">
                  <c:v>0</c:v>
                </c:pt>
                <c:pt idx="30">
                  <c:v>0</c:v>
                </c:pt>
              </c:numCache>
            </c:numRef>
          </c:val>
          <c:extLst>
            <c:ext xmlns:c16="http://schemas.microsoft.com/office/drawing/2014/chart" uri="{C3380CC4-5D6E-409C-BE32-E72D297353CC}">
              <c16:uniqueId val="{0000003E-8193-41F6-BCB8-D97BD0980752}"/>
            </c:ext>
          </c:extLst>
        </c:ser>
        <c:dLbls>
          <c:dLblPos val="outEnd"/>
          <c:showLegendKey val="0"/>
          <c:showVal val="1"/>
          <c:showCatName val="0"/>
          <c:showSerName val="0"/>
          <c:showPercent val="0"/>
          <c:showBubbleSize val="0"/>
        </c:dLbls>
        <c:gapWidth val="20"/>
        <c:axId val="242705374"/>
        <c:axId val="1499389549"/>
      </c:barChart>
      <c:dateAx>
        <c:axId val="24270537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s-PE"/>
              </a:p>
            </c:rich>
          </c:tx>
          <c:overlay val="0"/>
          <c:spPr>
            <a:noFill/>
            <a:ln>
              <a:noFill/>
            </a:ln>
            <a:effectLst/>
          </c:spPr>
          <c:txPr>
            <a:bodyPr rot="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s-PE"/>
            </a:p>
          </c:txPr>
        </c:title>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1" i="0" u="none" strike="noStrike" kern="1200" cap="all" spc="120" normalizeH="0" baseline="0">
                <a:solidFill>
                  <a:sysClr val="windowText" lastClr="000000"/>
                </a:solidFill>
                <a:latin typeface="+mn-lt"/>
                <a:ea typeface="+mn-ea"/>
                <a:cs typeface="+mn-cs"/>
              </a:defRPr>
            </a:pPr>
            <a:endParaRPr lang="es-PE"/>
          </a:p>
        </c:txPr>
        <c:crossAx val="1499389549"/>
        <c:crosses val="autoZero"/>
        <c:auto val="1"/>
        <c:lblOffset val="100"/>
        <c:baseTimeUnit val="days"/>
      </c:dateAx>
      <c:valAx>
        <c:axId val="149938954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s-PE"/>
              </a:p>
            </c:rich>
          </c:tx>
          <c:overlay val="0"/>
          <c:spPr>
            <a:noFill/>
            <a:ln>
              <a:noFill/>
            </a:ln>
            <a:effectLst/>
          </c:spPr>
          <c:txPr>
            <a:bodyPr rot="-54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s-PE"/>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crossAx val="242705374"/>
        <c:crosses val="autoZero"/>
        <c:crossBetween val="between"/>
      </c:valAx>
      <c:spPr>
        <a:solidFill>
          <a:schemeClr val="bg1"/>
        </a:solidFill>
        <a:ln>
          <a:noFill/>
        </a:ln>
        <a:effectLst/>
      </c:spPr>
    </c:plotArea>
    <c:plotVisOnly val="1"/>
    <c:dispBlanksAs val="zero"/>
    <c:showDLblsOverMax val="1"/>
  </c:chart>
  <c:spPr>
    <a:solidFill>
      <a:schemeClr val="bg2">
        <a:lumMod val="65000"/>
      </a:schemeClr>
    </a:solidFill>
    <a:ln w="9525" cap="flat" cmpd="sng" algn="ctr">
      <a:solidFill>
        <a:schemeClr val="tx1">
          <a:lumMod val="95000"/>
          <a:lumOff val="5000"/>
        </a:schemeClr>
      </a:solidFill>
      <a:round/>
    </a:ln>
    <a:effectLst/>
  </c:spPr>
  <c:txPr>
    <a:bodyPr/>
    <a:lstStyle/>
    <a:p>
      <a:pPr>
        <a:defRPr>
          <a:solidFill>
            <a:sysClr val="windowText" lastClr="000000"/>
          </a:solidFill>
        </a:defRPr>
      </a:pPr>
      <a:endParaRPr lang="es-P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rgbClr val="757575"/>
                </a:solidFill>
                <a:latin typeface="+mn-lt"/>
              </a:defRPr>
            </a:pPr>
            <a:r>
              <a:rPr lang="es-PE" sz="1600" b="1" i="0">
                <a:solidFill>
                  <a:sysClr val="windowText" lastClr="000000"/>
                </a:solidFill>
                <a:latin typeface="+mn-lt"/>
              </a:rPr>
              <a:t>VOLUMEN</a:t>
            </a:r>
            <a:r>
              <a:rPr lang="es-PE" sz="1600" b="1" i="0" baseline="0">
                <a:solidFill>
                  <a:sysClr val="windowText" lastClr="000000"/>
                </a:solidFill>
                <a:latin typeface="+mn-lt"/>
              </a:rPr>
              <a:t> </a:t>
            </a:r>
            <a:r>
              <a:rPr lang="es-PE" sz="1600" b="1" i="0">
                <a:solidFill>
                  <a:sysClr val="windowText" lastClr="000000"/>
                </a:solidFill>
                <a:latin typeface="+mn-lt"/>
              </a:rPr>
              <a:t>DIARIO POR SECTOR</a:t>
            </a:r>
          </a:p>
        </c:rich>
      </c:tx>
      <c:layout>
        <c:manualLayout>
          <c:xMode val="edge"/>
          <c:yMode val="edge"/>
          <c:x val="0.17171283387251327"/>
          <c:y val="3.8405477165373382E-2"/>
        </c:manualLayout>
      </c:layout>
      <c:overlay val="0"/>
    </c:title>
    <c:autoTitleDeleted val="0"/>
    <c:plotArea>
      <c:layout>
        <c:manualLayout>
          <c:layoutTarget val="inner"/>
          <c:xMode val="edge"/>
          <c:yMode val="edge"/>
          <c:x val="0.16594786439137496"/>
          <c:y val="0.16083534136546185"/>
          <c:w val="0.7388523227729169"/>
          <c:h val="0.72459713849105767"/>
        </c:manualLayout>
      </c:layout>
      <c:barChart>
        <c:barDir val="col"/>
        <c:grouping val="clustered"/>
        <c:varyColors val="1"/>
        <c:ser>
          <c:idx val="0"/>
          <c:order val="0"/>
          <c:tx>
            <c:strRef>
              <c:f>RPTdiario!$J$31</c:f>
              <c:strCache>
                <c:ptCount val="1"/>
                <c:pt idx="0">
                  <c:v>AG - CH.ALTA</c:v>
                </c:pt>
              </c:strCache>
            </c:strRef>
          </c:tx>
          <c:invertIfNegative val="0"/>
          <c:dLbls>
            <c:spPr>
              <a:noFill/>
              <a:ln>
                <a:noFill/>
              </a:ln>
              <a:effectLst/>
            </c:spPr>
            <c:txPr>
              <a:bodyPr rot="-5400000" vert="horz" wrap="square" lIns="38100" tIns="19050" rIns="38100" bIns="19050" anchor="ctr">
                <a:spAutoFit/>
              </a:bodyPr>
              <a:lstStyle/>
              <a:p>
                <a:pPr>
                  <a:defRPr sz="1600" b="1"/>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RPTdiario!$K$31</c:f>
              <c:numCache>
                <c:formatCode>_-* #,##0_-;\-* #,##0_-;_-* "-"??_-;_-@</c:formatCode>
                <c:ptCount val="1"/>
                <c:pt idx="0">
                  <c:v>51528.400000000373</c:v>
                </c:pt>
              </c:numCache>
            </c:numRef>
          </c:val>
          <c:extLst>
            <c:ext xmlns:c16="http://schemas.microsoft.com/office/drawing/2014/chart" uri="{C3380CC4-5D6E-409C-BE32-E72D297353CC}">
              <c16:uniqueId val="{00000000-ECED-469A-BCCF-899E13EC1A79}"/>
            </c:ext>
          </c:extLst>
        </c:ser>
        <c:ser>
          <c:idx val="1"/>
          <c:order val="1"/>
          <c:tx>
            <c:strRef>
              <c:f>RPTdiario!$J$32</c:f>
              <c:strCache>
                <c:ptCount val="1"/>
                <c:pt idx="0">
                  <c:v>AG - CH.BAJA-TM</c:v>
                </c:pt>
              </c:strCache>
            </c:strRef>
          </c:tx>
          <c:invertIfNegative val="0"/>
          <c:dLbls>
            <c:spPr>
              <a:noFill/>
              <a:ln>
                <a:noFill/>
              </a:ln>
              <a:effectLst/>
            </c:spPr>
            <c:txPr>
              <a:bodyPr rot="-5400000" vert="horz" wrap="square" lIns="38100" tIns="19050" rIns="38100" bIns="19050" anchor="ctr" anchorCtr="0">
                <a:spAutoFit/>
              </a:bodyPr>
              <a:lstStyle/>
              <a:p>
                <a:pPr>
                  <a:defRPr sz="1600" b="1"/>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RPTdiario!$K$32</c:f>
              <c:numCache>
                <c:formatCode>_-* #,##0_-;\-* #,##0_-;_-* "-"??_-;_-@</c:formatCode>
                <c:ptCount val="1"/>
                <c:pt idx="0">
                  <c:v>3189</c:v>
                </c:pt>
              </c:numCache>
            </c:numRef>
          </c:val>
          <c:extLst>
            <c:ext xmlns:c16="http://schemas.microsoft.com/office/drawing/2014/chart" uri="{C3380CC4-5D6E-409C-BE32-E72D297353CC}">
              <c16:uniqueId val="{00000001-ECED-469A-BCCF-899E13EC1A79}"/>
            </c:ext>
          </c:extLst>
        </c:ser>
        <c:ser>
          <c:idx val="2"/>
          <c:order val="2"/>
          <c:tx>
            <c:strRef>
              <c:f>RPTdiario!$J$33</c:f>
              <c:strCache>
                <c:ptCount val="1"/>
                <c:pt idx="0">
                  <c:v>E.REBOMBEO</c:v>
                </c:pt>
              </c:strCache>
            </c:strRef>
          </c:tx>
          <c:invertIfNegative val="0"/>
          <c:dLbls>
            <c:spPr>
              <a:noFill/>
              <a:ln>
                <a:noFill/>
              </a:ln>
              <a:effectLst/>
            </c:spPr>
            <c:txPr>
              <a:bodyPr rot="-5400000" vert="horz" wrap="square" lIns="38100" tIns="19050" rIns="38100" bIns="19050" anchor="ctr">
                <a:spAutoFit/>
              </a:bodyPr>
              <a:lstStyle/>
              <a:p>
                <a:pPr>
                  <a:defRPr sz="1600" b="1"/>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RPTdiario!$K$33</c:f>
              <c:numCache>
                <c:formatCode>_-* #,##0_-;\-* #,##0_-;_-* "-"??_-;_-@</c:formatCode>
                <c:ptCount val="1"/>
                <c:pt idx="0">
                  <c:v>7898</c:v>
                </c:pt>
              </c:numCache>
            </c:numRef>
          </c:val>
          <c:extLst>
            <c:ext xmlns:c16="http://schemas.microsoft.com/office/drawing/2014/chart" uri="{C3380CC4-5D6E-409C-BE32-E72D297353CC}">
              <c16:uniqueId val="{00000002-ECED-469A-BCCF-899E13EC1A79}"/>
            </c:ext>
          </c:extLst>
        </c:ser>
        <c:ser>
          <c:idx val="3"/>
          <c:order val="3"/>
          <c:tx>
            <c:strRef>
              <c:f>RPTdiario!$J$34</c:f>
              <c:strCache>
                <c:ptCount val="1"/>
                <c:pt idx="0">
                  <c:v>SURTIDORES</c:v>
                </c:pt>
              </c:strCache>
            </c:strRef>
          </c:tx>
          <c:invertIfNegative val="0"/>
          <c:dLbls>
            <c:dLbl>
              <c:idx val="0"/>
              <c:spPr>
                <a:noFill/>
                <a:ln>
                  <a:noFill/>
                </a:ln>
                <a:effectLst/>
              </c:spPr>
              <c:txPr>
                <a:bodyPr rot="-5400000" vert="horz"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3-ECED-469A-BCCF-899E13EC1A79}"/>
                </c:ext>
              </c:extLst>
            </c:dLbl>
            <c:spPr>
              <a:noFill/>
              <a:ln>
                <a:noFill/>
              </a:ln>
              <a:effectLst/>
            </c:spPr>
            <c:txPr>
              <a:bodyPr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RPTdiario!$K$34</c:f>
              <c:numCache>
                <c:formatCode>_-* #,##0_-;\-* #,##0_-;_-* "-"??_-;_-@</c:formatCode>
                <c:ptCount val="1"/>
                <c:pt idx="0">
                  <c:v>0</c:v>
                </c:pt>
              </c:numCache>
            </c:numRef>
          </c:val>
          <c:extLst>
            <c:ext xmlns:c16="http://schemas.microsoft.com/office/drawing/2014/chart" uri="{C3380CC4-5D6E-409C-BE32-E72D297353CC}">
              <c16:uniqueId val="{00000004-ECED-469A-BCCF-899E13EC1A79}"/>
            </c:ext>
          </c:extLst>
        </c:ser>
        <c:dLbls>
          <c:dLblPos val="ctr"/>
          <c:showLegendKey val="0"/>
          <c:showVal val="1"/>
          <c:showCatName val="0"/>
          <c:showSerName val="0"/>
          <c:showPercent val="0"/>
          <c:showBubbleSize val="0"/>
        </c:dLbls>
        <c:gapWidth val="150"/>
        <c:axId val="1768411322"/>
        <c:axId val="498739337"/>
      </c:barChart>
      <c:catAx>
        <c:axId val="1768411322"/>
        <c:scaling>
          <c:orientation val="minMax"/>
        </c:scaling>
        <c:delete val="1"/>
        <c:axPos val="b"/>
        <c:numFmt formatCode="General" sourceLinked="1"/>
        <c:majorTickMark val="none"/>
        <c:minorTickMark val="none"/>
        <c:tickLblPos val="nextTo"/>
        <c:crossAx val="498739337"/>
        <c:crosses val="autoZero"/>
        <c:auto val="1"/>
        <c:lblAlgn val="ctr"/>
        <c:lblOffset val="100"/>
        <c:noMultiLvlLbl val="1"/>
      </c:catAx>
      <c:valAx>
        <c:axId val="4987393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_-* #,##0_-;\-* #,##0_-;_-* &quot;-&quot;??_-;_-@" sourceLinked="1"/>
        <c:majorTickMark val="none"/>
        <c:minorTickMark val="none"/>
        <c:tickLblPos val="nextTo"/>
        <c:spPr>
          <a:ln/>
        </c:spPr>
        <c:txPr>
          <a:bodyPr/>
          <a:lstStyle/>
          <a:p>
            <a:pPr lvl="0">
              <a:defRPr sz="900" b="0" i="0">
                <a:solidFill>
                  <a:srgbClr val="000000"/>
                </a:solidFill>
                <a:latin typeface="+mn-lt"/>
              </a:defRPr>
            </a:pPr>
            <a:endParaRPr lang="es-PE"/>
          </a:p>
        </c:txPr>
        <c:crossAx val="1768411322"/>
        <c:crosses val="autoZero"/>
        <c:crossBetween val="between"/>
      </c:valAx>
    </c:plotArea>
    <c:legend>
      <c:legendPos val="b"/>
      <c:overlay val="0"/>
    </c:legend>
    <c:plotVisOnly val="1"/>
    <c:dispBlanksAs val="zero"/>
    <c:showDLblsOverMax val="1"/>
  </c:chart>
  <c:spPr>
    <a:solidFill>
      <a:schemeClr val="accent3"/>
    </a:solidFill>
    <a:ln>
      <a:solidFill>
        <a:schemeClr val="tx1"/>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[PRODUCCION OPAPTAR 2026.xlsx]BDrsanjuan!TablaDinámica1</c:name>
    <c:fmtId val="2562"/>
  </c:pivotSource>
  <c:chart>
    <c:title>
      <c:tx>
        <c:rich>
          <a:bodyPr rot="0" spcFirstLastPara="1" vertOverflow="ellipsis" vert="horz" wrap="square" anchor="ctr" anchorCtr="1"/>
          <a:lstStyle/>
          <a:p>
            <a:pPr>
              <a:defRPr lang="en-US" sz="1600" b="1" i="0" u="none" strike="noStrike" kern="1200" cap="all" spc="120" normalizeH="0" baseline="0">
                <a:solidFill>
                  <a:sysClr val="windowText" lastClr="000000"/>
                </a:solidFill>
                <a:latin typeface="+mn-lt"/>
                <a:ea typeface="+mn-ea"/>
                <a:cs typeface="+mn-cs"/>
              </a:defRPr>
            </a:pPr>
            <a:r>
              <a:rPr lang="en-US" sz="1400" b="1"/>
              <a:t>historicos MÁXIMOS</a:t>
            </a:r>
            <a:r>
              <a:rPr lang="en-US" sz="1400" b="1" baseline="0"/>
              <a:t> </a:t>
            </a:r>
            <a:r>
              <a:rPr lang="en-US" sz="1400" b="1"/>
              <a:t>caudales rio san juan</a:t>
            </a:r>
          </a:p>
        </c:rich>
      </c:tx>
      <c:layout>
        <c:manualLayout>
          <c:xMode val="edge"/>
          <c:yMode val="edge"/>
          <c:x val="0.37824720694740149"/>
          <c:y val="1.4126339143298514E-2"/>
        </c:manualLayout>
      </c:layout>
      <c:overlay val="0"/>
      <c:spPr>
        <a:noFill/>
        <a:ln>
          <a:noFill/>
        </a:ln>
        <a:effectLst/>
      </c:spPr>
      <c:txPr>
        <a:bodyPr rot="0" spcFirstLastPara="1" vertOverflow="ellipsis" vert="horz" wrap="square" anchor="ctr" anchorCtr="1"/>
        <a:lstStyle/>
        <a:p>
          <a:pPr>
            <a:defRPr lang="en-US" sz="1600" b="1" i="0" u="none" strike="noStrike" kern="1200" cap="all" spc="120" normalizeH="0" baseline="0">
              <a:solidFill>
                <a:sysClr val="windowText" lastClr="000000"/>
              </a:solidFill>
              <a:latin typeface="+mn-lt"/>
              <a:ea typeface="+mn-ea"/>
              <a:cs typeface="+mn-cs"/>
            </a:defRPr>
          </a:pPr>
          <a:endParaRPr lang="es-P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ellipsis" wrap="square" lIns="38100" tIns="19050" rIns="38100" bIns="19050" anchor="ctr" anchorCtr="1">
              <a:spAutoFit/>
            </a:bodyPr>
            <a:lstStyle/>
            <a:p>
              <a:pPr>
                <a:defRPr lang="en-US" sz="900" b="0" i="0" u="none" strike="noStrike" kern="1200" baseline="0">
                  <a:solidFill>
                    <a:sysClr val="windowText" lastClr="000000"/>
                  </a:solidFill>
                  <a:latin typeface="+mn-lt"/>
                  <a:ea typeface="+mn-ea"/>
                  <a:cs typeface="+mn-cs"/>
                </a:defRPr>
              </a:pPr>
              <a:endParaRPr lang="es-PE"/>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ellipsis" wrap="square" lIns="38100" tIns="19050" rIns="38100" bIns="19050" anchor="ctr" anchorCtr="1">
              <a:spAutoFit/>
            </a:bodyPr>
            <a:lstStyle/>
            <a:p>
              <a:pPr>
                <a:defRPr lang="en-US" sz="900" b="0" i="0" u="none" strike="noStrike" kern="1200" baseline="0">
                  <a:solidFill>
                    <a:sysClr val="windowText" lastClr="000000"/>
                  </a:solidFill>
                  <a:latin typeface="+mn-lt"/>
                  <a:ea typeface="+mn-ea"/>
                  <a:cs typeface="+mn-cs"/>
                </a:defRPr>
              </a:pPr>
              <a:endParaRPr lang="es-PE"/>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ellipsis" wrap="square" lIns="38100" tIns="19050" rIns="38100" bIns="19050" anchor="ctr" anchorCtr="1">
              <a:spAutoFit/>
            </a:bodyPr>
            <a:lstStyle/>
            <a:p>
              <a:pPr>
                <a:defRPr lang="en-US" sz="900" b="0" i="0" u="none" strike="noStrike" kern="1200" baseline="0">
                  <a:solidFill>
                    <a:sysClr val="windowText" lastClr="000000"/>
                  </a:solidFill>
                  <a:latin typeface="+mn-lt"/>
                  <a:ea typeface="+mn-ea"/>
                  <a:cs typeface="+mn-cs"/>
                </a:defRPr>
              </a:pPr>
              <a:endParaRPr lang="es-P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31333698326413E-2"/>
          <c:y val="8.7446409523744259E-2"/>
          <c:w val="0.89564815338473824"/>
          <c:h val="0.68195763824014366"/>
        </c:manualLayout>
      </c:layout>
      <c:lineChart>
        <c:grouping val="standard"/>
        <c:varyColors val="0"/>
        <c:ser>
          <c:idx val="0"/>
          <c:order val="0"/>
          <c:tx>
            <c:strRef>
              <c:f>BDrsanjuan!$L$14</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5400000" spcFirstLastPara="1" vertOverflow="ellipsis" wrap="square" lIns="38100" tIns="19050" rIns="38100" bIns="19050" anchor="ctr" anchorCtr="1">
                <a:spAutoFit/>
              </a:bodyPr>
              <a:lstStyle/>
              <a:p>
                <a:pPr>
                  <a:defRPr lang="en-US" sz="900" b="0" i="0" u="none" strike="noStrike" kern="1200" baseline="0">
                    <a:solidFill>
                      <a:sysClr val="windowText" lastClr="000000"/>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BDrsanjuan!$K$15:$K$45</c:f>
              <c:strCache>
                <c:ptCount val="30"/>
                <c:pt idx="0">
                  <c:v>01/04/2026</c:v>
                </c:pt>
                <c:pt idx="1">
                  <c:v>02/04/2026</c:v>
                </c:pt>
                <c:pt idx="2">
                  <c:v>03/04/2026</c:v>
                </c:pt>
                <c:pt idx="3">
                  <c:v>04/04/2026</c:v>
                </c:pt>
                <c:pt idx="4">
                  <c:v>05/04/2026</c:v>
                </c:pt>
                <c:pt idx="5">
                  <c:v>06/04/2026</c:v>
                </c:pt>
                <c:pt idx="6">
                  <c:v>07/04/2026</c:v>
                </c:pt>
                <c:pt idx="7">
                  <c:v>08/04/2026</c:v>
                </c:pt>
                <c:pt idx="8">
                  <c:v>09/04/2026</c:v>
                </c:pt>
                <c:pt idx="9">
                  <c:v>10/04/2026</c:v>
                </c:pt>
                <c:pt idx="10">
                  <c:v>11/04/2026</c:v>
                </c:pt>
                <c:pt idx="11">
                  <c:v>12/04/2026</c:v>
                </c:pt>
                <c:pt idx="12">
                  <c:v>13/04/2026</c:v>
                </c:pt>
                <c:pt idx="13">
                  <c:v>14/04/2026</c:v>
                </c:pt>
                <c:pt idx="14">
                  <c:v>15/04/2026</c:v>
                </c:pt>
                <c:pt idx="15">
                  <c:v>16/04/2026</c:v>
                </c:pt>
                <c:pt idx="16">
                  <c:v>17/04/2026</c:v>
                </c:pt>
                <c:pt idx="17">
                  <c:v>18/04/2026</c:v>
                </c:pt>
                <c:pt idx="18">
                  <c:v>19/04/2026</c:v>
                </c:pt>
                <c:pt idx="19">
                  <c:v>20/04/2026</c:v>
                </c:pt>
                <c:pt idx="20">
                  <c:v>21/04/2026</c:v>
                </c:pt>
                <c:pt idx="21">
                  <c:v>22/04/2026</c:v>
                </c:pt>
                <c:pt idx="22">
                  <c:v>23/04/2026</c:v>
                </c:pt>
                <c:pt idx="23">
                  <c:v>24/04/2026</c:v>
                </c:pt>
                <c:pt idx="24">
                  <c:v>25/04/2026</c:v>
                </c:pt>
                <c:pt idx="25">
                  <c:v>26/04/2026</c:v>
                </c:pt>
                <c:pt idx="26">
                  <c:v>27/04/2026</c:v>
                </c:pt>
                <c:pt idx="27">
                  <c:v>28/04/2026</c:v>
                </c:pt>
                <c:pt idx="28">
                  <c:v>29/04/2026</c:v>
                </c:pt>
                <c:pt idx="29">
                  <c:v>30/04/2026</c:v>
                </c:pt>
              </c:strCache>
            </c:strRef>
          </c:cat>
          <c:val>
            <c:numRef>
              <c:f>BDrsanjuan!$L$15:$L$45</c:f>
              <c:numCache>
                <c:formatCode>###,###,###,##0.00</c:formatCode>
                <c:ptCount val="30"/>
                <c:pt idx="0">
                  <c:v>35.909999999999997</c:v>
                </c:pt>
                <c:pt idx="1">
                  <c:v>39.67</c:v>
                </c:pt>
                <c:pt idx="2">
                  <c:v>35.909999999999997</c:v>
                </c:pt>
                <c:pt idx="3">
                  <c:v>34.07</c:v>
                </c:pt>
                <c:pt idx="4">
                  <c:v>32.270000000000003</c:v>
                </c:pt>
                <c:pt idx="5">
                  <c:v>28.75</c:v>
                </c:pt>
                <c:pt idx="6">
                  <c:v>28.75</c:v>
                </c:pt>
                <c:pt idx="7">
                  <c:v>28.75</c:v>
                </c:pt>
                <c:pt idx="8">
                  <c:v>28.75</c:v>
                </c:pt>
                <c:pt idx="9">
                  <c:v>28.41</c:v>
                </c:pt>
                <c:pt idx="10">
                  <c:v>28.07</c:v>
                </c:pt>
                <c:pt idx="11">
                  <c:v>28.07</c:v>
                </c:pt>
                <c:pt idx="12">
                  <c:v>28.07</c:v>
                </c:pt>
                <c:pt idx="13">
                  <c:v>27.38</c:v>
                </c:pt>
                <c:pt idx="14">
                  <c:v>26.71</c:v>
                </c:pt>
                <c:pt idx="15">
                  <c:v>27.38</c:v>
                </c:pt>
                <c:pt idx="16">
                  <c:v>26.71</c:v>
                </c:pt>
                <c:pt idx="17">
                  <c:v>26.71</c:v>
                </c:pt>
                <c:pt idx="18">
                  <c:v>26.71</c:v>
                </c:pt>
                <c:pt idx="19">
                  <c:v>26.71</c:v>
                </c:pt>
                <c:pt idx="20">
                  <c:v>26.71</c:v>
                </c:pt>
                <c:pt idx="21">
                  <c:v>26.71</c:v>
                </c:pt>
                <c:pt idx="22">
                  <c:v>26.03</c:v>
                </c:pt>
                <c:pt idx="23">
                  <c:v>26.03</c:v>
                </c:pt>
                <c:pt idx="24">
                  <c:v>26.03</c:v>
                </c:pt>
                <c:pt idx="25">
                  <c:v>23.22</c:v>
                </c:pt>
              </c:numCache>
            </c:numRef>
          </c:val>
          <c:smooth val="0"/>
          <c:extLst>
            <c:ext xmlns:c16="http://schemas.microsoft.com/office/drawing/2014/chart" uri="{C3380CC4-5D6E-409C-BE32-E72D297353CC}">
              <c16:uniqueId val="{00000000-815E-45EB-89EF-49AFF720D57F}"/>
            </c:ext>
          </c:extLst>
        </c:ser>
        <c:dLbls>
          <c:showLegendKey val="0"/>
          <c:showVal val="0"/>
          <c:showCatName val="0"/>
          <c:showSerName val="0"/>
          <c:showPercent val="0"/>
          <c:showBubbleSize val="0"/>
        </c:dLbls>
        <c:hiLowLines>
          <c:spPr>
            <a:ln w="9525">
              <a:noFill/>
            </a:ln>
            <a:effectLst/>
          </c:spPr>
        </c:hiLowLines>
        <c:marker val="1"/>
        <c:smooth val="0"/>
        <c:axId val="1846921424"/>
        <c:axId val="1846922864"/>
      </c:lineChart>
      <c:catAx>
        <c:axId val="1846921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lang="en-US" sz="900" b="0" i="0" u="none" strike="noStrike" kern="1200" cap="all" spc="120" normalizeH="0" baseline="0">
                <a:solidFill>
                  <a:sysClr val="windowText" lastClr="000000"/>
                </a:solidFill>
                <a:latin typeface="+mn-lt"/>
                <a:ea typeface="+mn-ea"/>
                <a:cs typeface="+mn-cs"/>
              </a:defRPr>
            </a:pPr>
            <a:endParaRPr lang="es-PE"/>
          </a:p>
        </c:txPr>
        <c:crossAx val="1846922864"/>
        <c:crosses val="autoZero"/>
        <c:auto val="1"/>
        <c:lblAlgn val="ctr"/>
        <c:lblOffset val="100"/>
        <c:noMultiLvlLbl val="0"/>
      </c:catAx>
      <c:valAx>
        <c:axId val="1846922864"/>
        <c:scaling>
          <c:orientation val="minMax"/>
          <c:max val="300"/>
          <c:min val="0"/>
        </c:scaling>
        <c:delete val="0"/>
        <c:axPos val="l"/>
        <c:numFmt formatCode="###,###,###,##0.00" sourceLinked="1"/>
        <c:majorTickMark val="in"/>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s-PE"/>
          </a:p>
        </c:txPr>
        <c:crossAx val="1846921424"/>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65000"/>
      </a:schemeClr>
    </a:solidFill>
    <a:ln w="9525" cap="flat" cmpd="sng" algn="ctr">
      <a:solidFill>
        <a:schemeClr val="tx1"/>
      </a:solidFill>
      <a:round/>
    </a:ln>
    <a:effectLst/>
  </c:spPr>
  <c:txPr>
    <a:bodyPr/>
    <a:lstStyle/>
    <a:p>
      <a:pPr>
        <a:defRPr lang="en-US" sz="900" b="0" i="0" u="none" strike="noStrike" kern="1200" baseline="0">
          <a:solidFill>
            <a:sysClr val="windowText" lastClr="000000"/>
          </a:solidFill>
          <a:latin typeface="+mn-lt"/>
          <a:ea typeface="+mn-ea"/>
          <a:cs typeface="+mn-cs"/>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[PRODUCCION OPAPTAR 2026.xlsx]BDrsanjuan!TablaDinámica1</c:name>
    <c:fmtId val="9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BDrsanjuan!$L$14</c:f>
              <c:strCache>
                <c:ptCount val="1"/>
                <c:pt idx="0">
                  <c:v>Total</c:v>
                </c:pt>
              </c:strCache>
            </c:strRef>
          </c:tx>
          <c:spPr>
            <a:ln w="28575" cap="rnd">
              <a:solidFill>
                <a:schemeClr val="accent1"/>
              </a:solid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BDrsanjuan!$K$15:$K$45</c:f>
              <c:strCache>
                <c:ptCount val="30"/>
                <c:pt idx="0">
                  <c:v>01/04/2026</c:v>
                </c:pt>
                <c:pt idx="1">
                  <c:v>02/04/2026</c:v>
                </c:pt>
                <c:pt idx="2">
                  <c:v>03/04/2026</c:v>
                </c:pt>
                <c:pt idx="3">
                  <c:v>04/04/2026</c:v>
                </c:pt>
                <c:pt idx="4">
                  <c:v>05/04/2026</c:v>
                </c:pt>
                <c:pt idx="5">
                  <c:v>06/04/2026</c:v>
                </c:pt>
                <c:pt idx="6">
                  <c:v>07/04/2026</c:v>
                </c:pt>
                <c:pt idx="7">
                  <c:v>08/04/2026</c:v>
                </c:pt>
                <c:pt idx="8">
                  <c:v>09/04/2026</c:v>
                </c:pt>
                <c:pt idx="9">
                  <c:v>10/04/2026</c:v>
                </c:pt>
                <c:pt idx="10">
                  <c:v>11/04/2026</c:v>
                </c:pt>
                <c:pt idx="11">
                  <c:v>12/04/2026</c:v>
                </c:pt>
                <c:pt idx="12">
                  <c:v>13/04/2026</c:v>
                </c:pt>
                <c:pt idx="13">
                  <c:v>14/04/2026</c:v>
                </c:pt>
                <c:pt idx="14">
                  <c:v>15/04/2026</c:v>
                </c:pt>
                <c:pt idx="15">
                  <c:v>16/04/2026</c:v>
                </c:pt>
                <c:pt idx="16">
                  <c:v>17/04/2026</c:v>
                </c:pt>
                <c:pt idx="17">
                  <c:v>18/04/2026</c:v>
                </c:pt>
                <c:pt idx="18">
                  <c:v>19/04/2026</c:v>
                </c:pt>
                <c:pt idx="19">
                  <c:v>20/04/2026</c:v>
                </c:pt>
                <c:pt idx="20">
                  <c:v>21/04/2026</c:v>
                </c:pt>
                <c:pt idx="21">
                  <c:v>22/04/2026</c:v>
                </c:pt>
                <c:pt idx="22">
                  <c:v>23/04/2026</c:v>
                </c:pt>
                <c:pt idx="23">
                  <c:v>24/04/2026</c:v>
                </c:pt>
                <c:pt idx="24">
                  <c:v>25/04/2026</c:v>
                </c:pt>
                <c:pt idx="25">
                  <c:v>26/04/2026</c:v>
                </c:pt>
                <c:pt idx="26">
                  <c:v>27/04/2026</c:v>
                </c:pt>
                <c:pt idx="27">
                  <c:v>28/04/2026</c:v>
                </c:pt>
                <c:pt idx="28">
                  <c:v>29/04/2026</c:v>
                </c:pt>
                <c:pt idx="29">
                  <c:v>30/04/2026</c:v>
                </c:pt>
              </c:strCache>
            </c:strRef>
          </c:cat>
          <c:val>
            <c:numRef>
              <c:f>BDrsanjuan!$L$15:$L$45</c:f>
              <c:numCache>
                <c:formatCode>###,###,###,##0.00</c:formatCode>
                <c:ptCount val="30"/>
                <c:pt idx="0">
                  <c:v>35.909999999999997</c:v>
                </c:pt>
                <c:pt idx="1">
                  <c:v>39.67</c:v>
                </c:pt>
                <c:pt idx="2">
                  <c:v>35.909999999999997</c:v>
                </c:pt>
                <c:pt idx="3">
                  <c:v>34.07</c:v>
                </c:pt>
                <c:pt idx="4">
                  <c:v>32.270000000000003</c:v>
                </c:pt>
                <c:pt idx="5">
                  <c:v>28.75</c:v>
                </c:pt>
                <c:pt idx="6">
                  <c:v>28.75</c:v>
                </c:pt>
                <c:pt idx="7">
                  <c:v>28.75</c:v>
                </c:pt>
                <c:pt idx="8">
                  <c:v>28.75</c:v>
                </c:pt>
                <c:pt idx="9">
                  <c:v>28.41</c:v>
                </c:pt>
                <c:pt idx="10">
                  <c:v>28.07</c:v>
                </c:pt>
                <c:pt idx="11">
                  <c:v>28.07</c:v>
                </c:pt>
                <c:pt idx="12">
                  <c:v>28.07</c:v>
                </c:pt>
                <c:pt idx="13">
                  <c:v>27.38</c:v>
                </c:pt>
                <c:pt idx="14">
                  <c:v>26.71</c:v>
                </c:pt>
                <c:pt idx="15">
                  <c:v>27.38</c:v>
                </c:pt>
                <c:pt idx="16">
                  <c:v>26.71</c:v>
                </c:pt>
                <c:pt idx="17">
                  <c:v>26.71</c:v>
                </c:pt>
                <c:pt idx="18">
                  <c:v>26.71</c:v>
                </c:pt>
                <c:pt idx="19">
                  <c:v>26.71</c:v>
                </c:pt>
                <c:pt idx="20">
                  <c:v>26.71</c:v>
                </c:pt>
                <c:pt idx="21">
                  <c:v>26.71</c:v>
                </c:pt>
                <c:pt idx="22">
                  <c:v>26.03</c:v>
                </c:pt>
                <c:pt idx="23">
                  <c:v>26.03</c:v>
                </c:pt>
                <c:pt idx="24">
                  <c:v>26.03</c:v>
                </c:pt>
                <c:pt idx="25">
                  <c:v>23.22</c:v>
                </c:pt>
              </c:numCache>
            </c:numRef>
          </c:val>
          <c:smooth val="0"/>
          <c:extLst>
            <c:ext xmlns:c16="http://schemas.microsoft.com/office/drawing/2014/chart" uri="{C3380CC4-5D6E-409C-BE32-E72D297353CC}">
              <c16:uniqueId val="{00000000-ACFE-4229-8D0F-F0F56952A112}"/>
            </c:ext>
          </c:extLst>
        </c:ser>
        <c:dLbls>
          <c:dLblPos val="t"/>
          <c:showLegendKey val="0"/>
          <c:showVal val="1"/>
          <c:showCatName val="0"/>
          <c:showSerName val="0"/>
          <c:showPercent val="0"/>
          <c:showBubbleSize val="0"/>
        </c:dLbls>
        <c:smooth val="0"/>
        <c:axId val="1465043263"/>
        <c:axId val="1465045183"/>
      </c:lineChart>
      <c:catAx>
        <c:axId val="146504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465045183"/>
        <c:crosses val="autoZero"/>
        <c:auto val="1"/>
        <c:lblAlgn val="ctr"/>
        <c:lblOffset val="100"/>
        <c:noMultiLvlLbl val="0"/>
      </c:catAx>
      <c:valAx>
        <c:axId val="1465045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46504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[PRODUCCION OPAPTAR 2026.xlsx]BDrsanjuan!TablaDinámica2</c:name>
    <c:fmtId val="9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BDrsanjuan!$L$52</c:f>
              <c:strCache>
                <c:ptCount val="1"/>
                <c:pt idx="0">
                  <c:v>Total</c:v>
                </c:pt>
              </c:strCache>
            </c:strRef>
          </c:tx>
          <c:spPr>
            <a:ln w="28575" cap="rnd">
              <a:solidFill>
                <a:schemeClr val="accent1"/>
              </a:solid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BDrsanjuan!$K$53:$K$84</c:f>
              <c:strCache>
                <c:ptCount val="31"/>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strCache>
            </c:strRef>
          </c:cat>
          <c:val>
            <c:numRef>
              <c:f>BDrsanjuan!$L$53:$L$84</c:f>
              <c:numCache>
                <c:formatCode>###,###,###,##0.00</c:formatCode>
                <c:ptCount val="31"/>
                <c:pt idx="0">
                  <c:v>10.679600000000001</c:v>
                </c:pt>
                <c:pt idx="1">
                  <c:v>12.591699999999999</c:v>
                </c:pt>
                <c:pt idx="2">
                  <c:v>13.6088</c:v>
                </c:pt>
                <c:pt idx="3">
                  <c:v>26.017199999999999</c:v>
                </c:pt>
                <c:pt idx="4">
                  <c:v>9.7845999999999993</c:v>
                </c:pt>
                <c:pt idx="5">
                  <c:v>8.9303000000000008</c:v>
                </c:pt>
                <c:pt idx="6">
                  <c:v>8.9303000000000008</c:v>
                </c:pt>
                <c:pt idx="7">
                  <c:v>4.6588000000000003</c:v>
                </c:pt>
                <c:pt idx="8">
                  <c:v>2.6248</c:v>
                </c:pt>
                <c:pt idx="9">
                  <c:v>2.218</c:v>
                </c:pt>
                <c:pt idx="10">
                  <c:v>1.5265</c:v>
                </c:pt>
                <c:pt idx="11">
                  <c:v>0.99780000000000002</c:v>
                </c:pt>
                <c:pt idx="12">
                  <c:v>0.99780000000000002</c:v>
                </c:pt>
                <c:pt idx="13">
                  <c:v>0.99780000000000002</c:v>
                </c:pt>
                <c:pt idx="14">
                  <c:v>0.99780000000000002</c:v>
                </c:pt>
                <c:pt idx="15">
                  <c:v>0.7944</c:v>
                </c:pt>
                <c:pt idx="16">
                  <c:v>0.7944</c:v>
                </c:pt>
                <c:pt idx="17">
                  <c:v>0.99780000000000002</c:v>
                </c:pt>
                <c:pt idx="18">
                  <c:v>1.5265</c:v>
                </c:pt>
                <c:pt idx="19">
                  <c:v>18.0839</c:v>
                </c:pt>
                <c:pt idx="20">
                  <c:v>16.9041</c:v>
                </c:pt>
                <c:pt idx="21">
                  <c:v>20.5656</c:v>
                </c:pt>
                <c:pt idx="22">
                  <c:v>16.9041</c:v>
                </c:pt>
                <c:pt idx="23">
                  <c:v>15.765000000000001</c:v>
                </c:pt>
                <c:pt idx="24">
                  <c:v>18.0839</c:v>
                </c:pt>
                <c:pt idx="25">
                  <c:v>18.0839</c:v>
                </c:pt>
                <c:pt idx="26">
                  <c:v>16.9041</c:v>
                </c:pt>
                <c:pt idx="27">
                  <c:v>21.8674</c:v>
                </c:pt>
                <c:pt idx="28">
                  <c:v>72.397199999999998</c:v>
                </c:pt>
                <c:pt idx="29">
                  <c:v>85.009399999999999</c:v>
                </c:pt>
                <c:pt idx="30">
                  <c:v>37.123800000000003</c:v>
                </c:pt>
              </c:numCache>
            </c:numRef>
          </c:val>
          <c:smooth val="0"/>
          <c:extLst>
            <c:ext xmlns:c16="http://schemas.microsoft.com/office/drawing/2014/chart" uri="{C3380CC4-5D6E-409C-BE32-E72D297353CC}">
              <c16:uniqueId val="{00000000-D603-461E-BE56-EF14C96AB470}"/>
            </c:ext>
          </c:extLst>
        </c:ser>
        <c:dLbls>
          <c:showLegendKey val="0"/>
          <c:showVal val="0"/>
          <c:showCatName val="0"/>
          <c:showSerName val="0"/>
          <c:showPercent val="0"/>
          <c:showBubbleSize val="0"/>
        </c:dLbls>
        <c:smooth val="0"/>
        <c:axId val="1476384047"/>
        <c:axId val="1476385487"/>
      </c:lineChart>
      <c:catAx>
        <c:axId val="147638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476385487"/>
        <c:crosses val="autoZero"/>
        <c:auto val="1"/>
        <c:lblAlgn val="ctr"/>
        <c:lblOffset val="100"/>
        <c:noMultiLvlLbl val="0"/>
      </c:catAx>
      <c:valAx>
        <c:axId val="1476385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47638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PE" sz="1600" b="1" i="0">
                <a:solidFill>
                  <a:sysClr val="windowText" lastClr="000000"/>
                </a:solidFill>
                <a:latin typeface="+mn-lt"/>
              </a:rPr>
              <a:t>VOLUMEN DIARIO OTRAS FUENTES</a:t>
            </a:r>
          </a:p>
        </c:rich>
      </c:tx>
      <c:overlay val="0"/>
    </c:title>
    <c:autoTitleDeleted val="0"/>
    <c:plotArea>
      <c:layout>
        <c:manualLayout>
          <c:layoutTarget val="inner"/>
          <c:xMode val="edge"/>
          <c:yMode val="edge"/>
          <c:x val="0.10631526031003218"/>
          <c:y val="0.10451405622489959"/>
          <c:w val="0.8558391356327778"/>
          <c:h val="0.6714586218891313"/>
        </c:manualLayout>
      </c:layout>
      <c:barChart>
        <c:barDir val="col"/>
        <c:grouping val="clustered"/>
        <c:varyColors val="1"/>
        <c:ser>
          <c:idx val="0"/>
          <c:order val="0"/>
          <c:spPr>
            <a:solidFill>
              <a:srgbClr val="00B050"/>
            </a:solidFill>
            <a:ln cmpd="sng">
              <a:solidFill>
                <a:srgbClr val="000000"/>
              </a:solidFill>
            </a:ln>
          </c:spPr>
          <c:invertIfNegative val="1"/>
          <c:dPt>
            <c:idx val="3"/>
            <c:invertIfNegative val="1"/>
            <c:bubble3D val="0"/>
            <c:spPr>
              <a:solidFill>
                <a:schemeClr val="accent1">
                  <a:lumMod val="60000"/>
                  <a:lumOff val="40000"/>
                </a:schemeClr>
              </a:solidFill>
              <a:ln cmpd="sng">
                <a:solidFill>
                  <a:srgbClr val="000000"/>
                </a:solidFill>
              </a:ln>
            </c:spPr>
            <c:extLst>
              <c:ext xmlns:c16="http://schemas.microsoft.com/office/drawing/2014/chart" uri="{C3380CC4-5D6E-409C-BE32-E72D297353CC}">
                <c16:uniqueId val="{0000000C-A76F-4248-9BE4-C747FA9FA3A2}"/>
              </c:ext>
            </c:extLst>
          </c:dPt>
          <c:dPt>
            <c:idx val="4"/>
            <c:invertIfNegative val="1"/>
            <c:bubble3D val="0"/>
            <c:spPr>
              <a:solidFill>
                <a:schemeClr val="accent1">
                  <a:lumMod val="60000"/>
                  <a:lumOff val="40000"/>
                </a:schemeClr>
              </a:solidFill>
              <a:ln cmpd="sng">
                <a:solidFill>
                  <a:srgbClr val="000000"/>
                </a:solidFill>
              </a:ln>
            </c:spPr>
            <c:extLst>
              <c:ext xmlns:c16="http://schemas.microsoft.com/office/drawing/2014/chart" uri="{C3380CC4-5D6E-409C-BE32-E72D297353CC}">
                <c16:uniqueId val="{00000009-A76F-4248-9BE4-C747FA9FA3A2}"/>
              </c:ext>
            </c:extLst>
          </c:dPt>
          <c:dPt>
            <c:idx val="5"/>
            <c:invertIfNegative val="1"/>
            <c:bubble3D val="0"/>
            <c:spPr>
              <a:solidFill>
                <a:srgbClr val="FFFF00"/>
              </a:solidFill>
              <a:ln cmpd="sng">
                <a:solidFill>
                  <a:srgbClr val="000000"/>
                </a:solidFill>
              </a:ln>
            </c:spPr>
            <c:extLst>
              <c:ext xmlns:c16="http://schemas.microsoft.com/office/drawing/2014/chart" uri="{C3380CC4-5D6E-409C-BE32-E72D297353CC}">
                <c16:uniqueId val="{00000001-A11B-4A81-8BAE-B8E0DA9943AD}"/>
              </c:ext>
            </c:extLst>
          </c:dPt>
          <c:dPt>
            <c:idx val="6"/>
            <c:invertIfNegative val="1"/>
            <c:bubble3D val="0"/>
            <c:spPr>
              <a:solidFill>
                <a:srgbClr val="FFFF00"/>
              </a:solidFill>
              <a:ln cmpd="sng">
                <a:solidFill>
                  <a:srgbClr val="000000"/>
                </a:solidFill>
              </a:ln>
            </c:spPr>
            <c:extLst>
              <c:ext xmlns:c16="http://schemas.microsoft.com/office/drawing/2014/chart" uri="{C3380CC4-5D6E-409C-BE32-E72D297353CC}">
                <c16:uniqueId val="{00000003-A11B-4A81-8BAE-B8E0DA9943AD}"/>
              </c:ext>
            </c:extLst>
          </c:dPt>
          <c:dPt>
            <c:idx val="7"/>
            <c:invertIfNegative val="1"/>
            <c:bubble3D val="0"/>
            <c:extLst>
              <c:ext xmlns:c16="http://schemas.microsoft.com/office/drawing/2014/chart" uri="{C3380CC4-5D6E-409C-BE32-E72D297353CC}">
                <c16:uniqueId val="{00000007-408E-4D79-8CA4-290DCFFBF662}"/>
              </c:ext>
            </c:extLst>
          </c:dPt>
          <c:dLbls>
            <c:dLbl>
              <c:idx val="0"/>
              <c:layout>
                <c:manualLayout>
                  <c:x val="2.1280952366725434E-17"/>
                  <c:y val="-6.16159124687727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76F-4248-9BE4-C747FA9FA3A2}"/>
                </c:ext>
              </c:extLst>
            </c:dLbl>
            <c:dLbl>
              <c:idx val="1"/>
              <c:layout>
                <c:manualLayout>
                  <c:x val="-4.2561904733450868E-17"/>
                  <c:y val="-6.58685134237738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76F-4248-9BE4-C747FA9FA3A2}"/>
                </c:ext>
              </c:extLst>
            </c:dLbl>
            <c:dLbl>
              <c:idx val="2"/>
              <c:layout>
                <c:manualLayout>
                  <c:x val="-4.6431705176952325E-3"/>
                  <c:y val="-7.42295164911614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76F-4248-9BE4-C747FA9FA3A2}"/>
                </c:ext>
              </c:extLst>
            </c:dLbl>
            <c:dLbl>
              <c:idx val="4"/>
              <c:layout>
                <c:manualLayout>
                  <c:x val="-2.3215852588475312E-3"/>
                  <c:y val="0.1846660974607088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76F-4248-9BE4-C747FA9FA3A2}"/>
                </c:ext>
              </c:extLst>
            </c:dLbl>
            <c:dLbl>
              <c:idx val="5"/>
              <c:layout>
                <c:manualLayout>
                  <c:x val="0"/>
                  <c:y val="0.164417291212092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1B-4A81-8BAE-B8E0DA9943AD}"/>
                </c:ext>
              </c:extLst>
            </c:dLbl>
            <c:dLbl>
              <c:idx val="6"/>
              <c:layout>
                <c:manualLayout>
                  <c:x val="-4.6431705176952325E-3"/>
                  <c:y val="-2.84410713721025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1B-4A81-8BAE-B8E0DA9943AD}"/>
                </c:ext>
              </c:extLst>
            </c:dLbl>
            <c:spPr>
              <a:noFill/>
              <a:ln>
                <a:noFill/>
              </a:ln>
              <a:effectLst/>
            </c:spPr>
            <c:txPr>
              <a:bodyPr rot="-5400000" vertOverflow="overflow" horzOverflow="overflow" vert="horz" anchor="ctr" anchorCtr="0">
                <a:spAutoFit/>
              </a:bodyPr>
              <a:lstStyle/>
              <a:p>
                <a:pPr lvl="0">
                  <a:defRPr sz="1050" b="1" i="0"/>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(RPTdiario!$J$10:$J$15,RPTdiario!$J$19:$J$21)</c15:sqref>
                  </c15:fullRef>
                </c:ext>
              </c:extLst>
              <c:f>(RPTdiario!$J$10:$J$12,RPTdiario!$J$14:$J$15,RPTdiario!$J$19:$J$20)</c:f>
              <c:strCache>
                <c:ptCount val="7"/>
                <c:pt idx="0">
                  <c:v>POZO N° 10</c:v>
                </c:pt>
                <c:pt idx="1">
                  <c:v>POZO N° 13</c:v>
                </c:pt>
                <c:pt idx="2">
                  <c:v>POZO MEDRANO</c:v>
                </c:pt>
                <c:pt idx="3">
                  <c:v>PORTACHUELOS</c:v>
                </c:pt>
                <c:pt idx="4">
                  <c:v>NARANJAL</c:v>
                </c:pt>
                <c:pt idx="5">
                  <c:v>PZO CHBAJA</c:v>
                </c:pt>
                <c:pt idx="6">
                  <c:v>PZO T.MORA</c:v>
                </c:pt>
              </c:strCache>
            </c:strRef>
          </c:cat>
          <c:val>
            <c:numRef>
              <c:extLst>
                <c:ext xmlns:c15="http://schemas.microsoft.com/office/drawing/2012/chart" uri="{02D57815-91ED-43cb-92C2-25804820EDAC}">
                  <c15:fullRef>
                    <c15:sqref>(RPTdiario!$K$10:$K$15,RPTdiario!$K$19:$K$21)</c15:sqref>
                  </c15:fullRef>
                </c:ext>
              </c:extLst>
              <c:f>(RPTdiario!$K$10:$K$12,RPTdiario!$K$14:$K$15,RPTdiario!$K$19:$K$20)</c:f>
              <c:numCache>
                <c:formatCode>_-* #,##0.00_-;\-* #,##0.00_-;_-* "-"??_-;_-@</c:formatCode>
                <c:ptCount val="7"/>
                <c:pt idx="0">
                  <c:v>2405</c:v>
                </c:pt>
                <c:pt idx="1">
                  <c:v>0</c:v>
                </c:pt>
                <c:pt idx="2">
                  <c:v>0</c:v>
                </c:pt>
                <c:pt idx="3">
                  <c:v>6478</c:v>
                </c:pt>
                <c:pt idx="4">
                  <c:v>3456</c:v>
                </c:pt>
                <c:pt idx="5">
                  <c:v>2513</c:v>
                </c:pt>
                <c:pt idx="6">
                  <c:v>676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5="http://schemas.microsoft.com/office/drawing/2012/chart" uri="{02D57815-91ED-43cb-92C2-25804820EDAC}">
              <c15:categoryFilterExceptions>
                <c15:categoryFilterException>
                  <c15:sqref>RPTdiario!$K$21</c15:sqref>
                  <c15:spPr xmlns:c15="http://schemas.microsoft.com/office/drawing/2012/chart">
                    <a:solidFill>
                      <a:srgbClr val="00B050"/>
                    </a:solidFill>
                    <a:ln cmpd="sng">
                      <a:solidFill>
                        <a:srgbClr val="000000"/>
                      </a:solidFill>
                    </a:ln>
                  </c15:spPr>
                  <c15:invertIfNegative val="1"/>
                  <c15:bubble3D val="0"/>
                </c15:categoryFilterException>
              </c15:categoryFilterExceptions>
            </c:ext>
            <c:ext xmlns:c16="http://schemas.microsoft.com/office/drawing/2014/chart" uri="{C3380CC4-5D6E-409C-BE32-E72D297353CC}">
              <c16:uniqueId val="{00000006-A11B-4A81-8BAE-B8E0DA9943AD}"/>
            </c:ext>
          </c:extLst>
        </c:ser>
        <c:dLbls>
          <c:showLegendKey val="0"/>
          <c:showVal val="0"/>
          <c:showCatName val="0"/>
          <c:showSerName val="0"/>
          <c:showPercent val="0"/>
          <c:showBubbleSize val="0"/>
        </c:dLbls>
        <c:gapWidth val="50"/>
        <c:axId val="1768411322"/>
        <c:axId val="498739337"/>
      </c:barChart>
      <c:catAx>
        <c:axId val="1768411322"/>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rot="-5400000"/>
          <a:lstStyle/>
          <a:p>
            <a:pPr lvl="0">
              <a:defRPr sz="900" b="0" i="0">
                <a:solidFill>
                  <a:srgbClr val="000000"/>
                </a:solidFill>
                <a:latin typeface="+mn-lt"/>
              </a:defRPr>
            </a:pPr>
            <a:endParaRPr lang="es-PE"/>
          </a:p>
        </c:txPr>
        <c:crossAx val="498739337"/>
        <c:crosses val="autoZero"/>
        <c:auto val="1"/>
        <c:lblAlgn val="ctr"/>
        <c:lblOffset val="100"/>
        <c:noMultiLvlLbl val="1"/>
      </c:catAx>
      <c:valAx>
        <c:axId val="4987393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_-* #,##0.00_-;\-* #,##0.00_-;_-* &quot;-&quot;??_-;_-@" sourceLinked="1"/>
        <c:majorTickMark val="none"/>
        <c:minorTickMark val="none"/>
        <c:tickLblPos val="nextTo"/>
        <c:spPr>
          <a:ln/>
        </c:spPr>
        <c:txPr>
          <a:bodyPr/>
          <a:lstStyle/>
          <a:p>
            <a:pPr lvl="0">
              <a:defRPr sz="900" b="0" i="0">
                <a:solidFill>
                  <a:srgbClr val="000000"/>
                </a:solidFill>
                <a:latin typeface="+mn-lt"/>
              </a:defRPr>
            </a:pPr>
            <a:endParaRPr lang="es-PE"/>
          </a:p>
        </c:txPr>
        <c:crossAx val="1768411322"/>
        <c:crosses val="autoZero"/>
        <c:crossBetween val="between"/>
      </c:valAx>
    </c:plotArea>
    <c:plotVisOnly val="1"/>
    <c:dispBlanksAs val="zero"/>
    <c:showDLblsOverMax val="1"/>
  </c:chart>
  <c:spPr>
    <a:solidFill>
      <a:schemeClr val="accent3"/>
    </a:solidFill>
    <a:ln>
      <a:solidFill>
        <a:schemeClr val="tx1"/>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defRPr sz="1200" b="1" i="0" u="none" strike="noStrike" kern="1200" baseline="0">
                <a:solidFill>
                  <a:srgbClr val="757575"/>
                </a:solidFill>
                <a:latin typeface="Arial"/>
                <a:ea typeface="+mn-ea"/>
                <a:cs typeface="+mn-cs"/>
              </a:defRPr>
            </a:pPr>
            <a:r>
              <a:rPr lang="es-PE" sz="1200" b="1" i="0">
                <a:solidFill>
                  <a:sysClr val="windowText" lastClr="000000"/>
                </a:solidFill>
                <a:latin typeface="Arial"/>
              </a:rPr>
              <a:t>VOLUMEN DIARIO MINAQUEROS</a:t>
            </a:r>
          </a:p>
        </c:rich>
      </c:tx>
      <c:overlay val="0"/>
      <c:spPr>
        <a:noFill/>
        <a:ln>
          <a:noFill/>
        </a:ln>
        <a:effectLst/>
      </c:spPr>
      <c:txPr>
        <a:bodyPr rot="0" spcFirstLastPara="1" vertOverflow="ellipsis" vert="horz" wrap="square" anchor="ctr" anchorCtr="1"/>
        <a:lstStyle/>
        <a:p>
          <a:pPr lvl="0">
            <a:defRPr sz="1200" b="1" i="0" u="none" strike="noStrike" kern="1200" baseline="0">
              <a:solidFill>
                <a:srgbClr val="757575"/>
              </a:solidFill>
              <a:latin typeface="Arial"/>
              <a:ea typeface="+mn-ea"/>
              <a:cs typeface="+mn-cs"/>
            </a:defRPr>
          </a:pPr>
          <a:endParaRPr lang="es-PE"/>
        </a:p>
      </c:txPr>
    </c:title>
    <c:autoTitleDeleted val="0"/>
    <c:plotArea>
      <c:layout>
        <c:manualLayout>
          <c:layoutTarget val="inner"/>
          <c:xMode val="edge"/>
          <c:yMode val="edge"/>
          <c:x val="0.10818101552968358"/>
          <c:y val="0.11443980011339383"/>
          <c:w val="0.85667753177678174"/>
          <c:h val="0.60819927458872081"/>
        </c:manualLayout>
      </c:layout>
      <c:barChart>
        <c:barDir val="col"/>
        <c:grouping val="clustered"/>
        <c:varyColors val="0"/>
        <c:ser>
          <c:idx val="0"/>
          <c:order val="0"/>
          <c:tx>
            <c:v>GF MINAQUEROS</c:v>
          </c:tx>
          <c:spPr>
            <a:solidFill>
              <a:srgbClr val="00B0F0"/>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BDmensual!$F$5:$F$35</c:f>
              <c:numCache>
                <c:formatCode>_-* #,##0_-;\-* #,##0_-;_-* "-"??_-;_-@</c:formatCode>
                <c:ptCount val="31"/>
                <c:pt idx="0">
                  <c:v>32194</c:v>
                </c:pt>
                <c:pt idx="1">
                  <c:v>32342.416666666511</c:v>
                </c:pt>
                <c:pt idx="2">
                  <c:v>39237.583333333489</c:v>
                </c:pt>
                <c:pt idx="3">
                  <c:v>38377</c:v>
                </c:pt>
                <c:pt idx="4">
                  <c:v>39130</c:v>
                </c:pt>
                <c:pt idx="5">
                  <c:v>36328</c:v>
                </c:pt>
                <c:pt idx="6">
                  <c:v>38224</c:v>
                </c:pt>
                <c:pt idx="7">
                  <c:v>37257.200000000186</c:v>
                </c:pt>
                <c:pt idx="8">
                  <c:v>38559.599999999627</c:v>
                </c:pt>
                <c:pt idx="9">
                  <c:v>40308.170182680245</c:v>
                </c:pt>
                <c:pt idx="10">
                  <c:v>40839.029817319941</c:v>
                </c:pt>
                <c:pt idx="11">
                  <c:v>40314.200000000186</c:v>
                </c:pt>
                <c:pt idx="12">
                  <c:v>40549.068242359906</c:v>
                </c:pt>
                <c:pt idx="13">
                  <c:v>40671.033406639937</c:v>
                </c:pt>
                <c:pt idx="14">
                  <c:v>40369.69835099997</c:v>
                </c:pt>
                <c:pt idx="15">
                  <c:v>40105.959999999963</c:v>
                </c:pt>
                <c:pt idx="16">
                  <c:v>41304.860152560286</c:v>
                </c:pt>
                <c:pt idx="17">
                  <c:v>40924.275455319323</c:v>
                </c:pt>
                <c:pt idx="18">
                  <c:v>40392.421484200284</c:v>
                </c:pt>
                <c:pt idx="19">
                  <c:v>41714.482907920144</c:v>
                </c:pt>
                <c:pt idx="20">
                  <c:v>39349</c:v>
                </c:pt>
                <c:pt idx="21">
                  <c:v>40870</c:v>
                </c:pt>
                <c:pt idx="22">
                  <c:v>40778.94299999997</c:v>
                </c:pt>
                <c:pt idx="23">
                  <c:v>41045.05700000003</c:v>
                </c:pt>
                <c:pt idx="24">
                  <c:v>41071.599999999627</c:v>
                </c:pt>
                <c:pt idx="25">
                  <c:v>39189.400000000373</c:v>
                </c:pt>
                <c:pt idx="26">
                  <c:v>0</c:v>
                </c:pt>
                <c:pt idx="27">
                  <c:v>0</c:v>
                </c:pt>
                <c:pt idx="28">
                  <c:v>0</c:v>
                </c:pt>
                <c:pt idx="29">
                  <c:v>0</c:v>
                </c:pt>
                <c:pt idx="30">
                  <c:v>0</c:v>
                </c:pt>
              </c:numCache>
            </c:numRef>
          </c:val>
          <c:extLst>
            <c:ext xmlns:c16="http://schemas.microsoft.com/office/drawing/2014/chart" uri="{C3380CC4-5D6E-409C-BE32-E72D297353CC}">
              <c16:uniqueId val="{00000000-776B-4EEE-83E6-77750CC80742}"/>
            </c:ext>
          </c:extLst>
        </c:ser>
        <c:dLbls>
          <c:showLegendKey val="0"/>
          <c:showVal val="0"/>
          <c:showCatName val="0"/>
          <c:showSerName val="0"/>
          <c:showPercent val="0"/>
          <c:showBubbleSize val="0"/>
        </c:dLbls>
        <c:gapWidth val="10"/>
        <c:axId val="87645475"/>
        <c:axId val="1055733668"/>
      </c:barChart>
      <c:dateAx>
        <c:axId val="87645475"/>
        <c:scaling>
          <c:orientation val="minMax"/>
        </c:scaling>
        <c:delete val="0"/>
        <c:axPos val="b"/>
        <c:title>
          <c:tx>
            <c:rich>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xPr>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txPr>
        </c:title>
        <c:numFmt formatCode="m/d/yyyy" sourceLinked="1"/>
        <c:majorTickMark val="out"/>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s-PE"/>
          </a:p>
        </c:txPr>
        <c:crossAx val="1055733668"/>
        <c:crosses val="autoZero"/>
        <c:auto val="1"/>
        <c:lblOffset val="100"/>
        <c:baseTimeUnit val="days"/>
        <c:majorUnit val="1"/>
      </c:dateAx>
      <c:valAx>
        <c:axId val="1055733668"/>
        <c:scaling>
          <c:orientation val="minMax"/>
        </c:scaling>
        <c:delete val="0"/>
        <c:axPos val="l"/>
        <c:majorGridlines>
          <c:spPr>
            <a:ln w="6350" cap="flat" cmpd="sng" algn="ctr">
              <a:solidFill>
                <a:srgbClr val="B7B7B7"/>
              </a:solidFill>
              <a:prstDash val="solid"/>
              <a:round/>
            </a:ln>
            <a:effectLst/>
          </c:spPr>
        </c:majorGridlines>
        <c:title>
          <c:tx>
            <c:rich>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xPr>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txPr>
        </c:title>
        <c:numFmt formatCode="_-* #,##0_-;\-* #,##0_-;_-* &quot;-&quot;??_-;_-@" sourceLinked="1"/>
        <c:majorTickMark val="none"/>
        <c:minorTickMark val="none"/>
        <c:tickLblPos val="nextTo"/>
        <c:spPr>
          <a:noFill/>
          <a:ln w="6350" cap="flat" cmpd="sng" algn="ctr">
            <a:solidFill>
              <a:schemeClr val="tx1"/>
            </a:solidFill>
            <a:prstDash val="solid"/>
            <a:round/>
          </a:ln>
          <a:effectLst/>
        </c:spPr>
        <c:txPr>
          <a:bodyPr rot="0" spcFirstLastPara="1" vertOverflow="ellipsis" wrap="square" anchor="ctr" anchorCtr="1"/>
          <a:lstStyle/>
          <a:p>
            <a:pPr lvl="0">
              <a:defRPr sz="900" b="0" i="0" u="none" strike="noStrike" kern="1200" baseline="0">
                <a:solidFill>
                  <a:srgbClr val="000000"/>
                </a:solidFill>
                <a:latin typeface="+mn-lt"/>
                <a:ea typeface="+mn-ea"/>
                <a:cs typeface="+mn-cs"/>
              </a:defRPr>
            </a:pPr>
            <a:endParaRPr lang="es-PE"/>
          </a:p>
        </c:txPr>
        <c:crossAx val="87645475"/>
        <c:crosses val="autoZero"/>
        <c:crossBetween val="between"/>
      </c:valAx>
      <c:spPr>
        <a:solidFill>
          <a:schemeClr val="bg1"/>
        </a:solidFill>
        <a:ln>
          <a:noFill/>
        </a:ln>
        <a:effectLst/>
      </c:spPr>
    </c:plotArea>
    <c:legend>
      <c:legendPos val="b"/>
      <c:layout>
        <c:manualLayout>
          <c:xMode val="edge"/>
          <c:yMode val="edge"/>
          <c:x val="9.9065930319765447E-2"/>
          <c:y val="0.91978118685474386"/>
          <c:w val="0.16810885678112727"/>
          <c:h val="5.950984121587654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PE"/>
        </a:p>
      </c:txPr>
    </c:legend>
    <c:plotVisOnly val="1"/>
    <c:dispBlanksAs val="zero"/>
    <c:showDLblsOverMax val="1"/>
  </c:chart>
  <c:spPr>
    <a:solidFill>
      <a:schemeClr val="accent3"/>
    </a:solidFill>
    <a:ln w="6350" cap="flat" cmpd="sng" algn="ctr">
      <a:solidFill>
        <a:schemeClr val="tx1"/>
      </a:solidFill>
      <a:prstDash val="solid"/>
      <a:round/>
    </a:ln>
    <a:effectLst/>
  </c:spPr>
  <c:txPr>
    <a:bodyPr/>
    <a:lstStyle/>
    <a:p>
      <a:pPr>
        <a:defRPr/>
      </a:pPr>
      <a:endParaRPr lang="es-P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defRPr sz="1600" b="1" i="0" u="none" strike="noStrike" kern="1200" baseline="0">
                <a:solidFill>
                  <a:srgbClr val="757575"/>
                </a:solidFill>
                <a:latin typeface="+mn-lt"/>
                <a:ea typeface="+mn-ea"/>
                <a:cs typeface="+mn-cs"/>
              </a:defRPr>
            </a:pPr>
            <a:r>
              <a:rPr lang="es-PE" sz="1600" b="1" i="0">
                <a:solidFill>
                  <a:sysClr val="windowText" lastClr="000000"/>
                </a:solidFill>
                <a:latin typeface="+mn-lt"/>
              </a:rPr>
              <a:t>VOLUMEN ACUMULADO</a:t>
            </a:r>
            <a:r>
              <a:rPr lang="es-PE" sz="1600" b="1" i="0" baseline="0">
                <a:solidFill>
                  <a:sysClr val="windowText" lastClr="000000"/>
                </a:solidFill>
                <a:latin typeface="+mn-lt"/>
              </a:rPr>
              <a:t> MENSUAL</a:t>
            </a:r>
            <a:r>
              <a:rPr lang="es-PE" sz="1600" b="1" i="0">
                <a:solidFill>
                  <a:sysClr val="windowText" lastClr="000000"/>
                </a:solidFill>
                <a:latin typeface="+mn-lt"/>
              </a:rPr>
              <a:t> - </a:t>
            </a:r>
            <a:r>
              <a:rPr lang="es-PE" sz="1600" b="1" i="0" baseline="0">
                <a:solidFill>
                  <a:sysClr val="windowText" lastClr="000000"/>
                </a:solidFill>
                <a:latin typeface="+mn-lt"/>
              </a:rPr>
              <a:t> REBOMBEO</a:t>
            </a:r>
            <a:endParaRPr lang="es-PE" sz="1600" b="1" i="0">
              <a:solidFill>
                <a:sysClr val="windowText" lastClr="000000"/>
              </a:solidFill>
              <a:latin typeface="+mn-lt"/>
            </a:endParaRPr>
          </a:p>
        </c:rich>
      </c:tx>
      <c:overlay val="0"/>
      <c:spPr>
        <a:noFill/>
        <a:ln>
          <a:noFill/>
        </a:ln>
        <a:effectLst/>
      </c:spPr>
    </c:title>
    <c:autoTitleDeleted val="0"/>
    <c:plotArea>
      <c:layout>
        <c:manualLayout>
          <c:layoutTarget val="inner"/>
          <c:xMode val="edge"/>
          <c:yMode val="edge"/>
          <c:x val="8.6152596996393618E-2"/>
          <c:y val="9.9791164658634551E-2"/>
          <c:w val="0.88004280441681781"/>
          <c:h val="0.6639079151250673"/>
        </c:manualLayout>
      </c:layout>
      <c:barChart>
        <c:barDir val="col"/>
        <c:grouping val="stacked"/>
        <c:varyColors val="1"/>
        <c:ser>
          <c:idx val="0"/>
          <c:order val="0"/>
          <c:tx>
            <c:strRef>
              <c:f>BDmensual!$L$4</c:f>
              <c:strCache>
                <c:ptCount val="1"/>
                <c:pt idx="0">
                  <c:v>CBAP HIJAYA</c:v>
                </c:pt>
              </c:strCache>
            </c:strRef>
          </c:tx>
          <c:spPr>
            <a:solidFill>
              <a:schemeClr val="accent2"/>
            </a:solidFill>
            <a:ln>
              <a:noFill/>
            </a:ln>
            <a:effectLst/>
          </c:spPr>
          <c:invertIfNegative val="0"/>
          <c:dLbls>
            <c:spPr>
              <a:noFill/>
              <a:ln>
                <a:noFill/>
              </a:ln>
              <a:effectLst/>
            </c:spPr>
            <c:txPr>
              <a:bodyPr rot="-5400000" spcFirstLastPara="1" vertOverflow="ellipsis" vert="horz" wrap="square" lIns="38100" tIns="19050" rIns="38100" bIns="19050" anchor="ctr" anchorCtr="0">
                <a:spAutoFit/>
              </a:bodyPr>
              <a:lstStyle/>
              <a:p>
                <a:pPr>
                  <a:defRPr sz="100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BDmensual!$L$5:$L$35</c:f>
              <c:numCache>
                <c:formatCode>_-* #,##0_-;\-* #,##0_-;_-* "-"??_-;_-@</c:formatCode>
                <c:ptCount val="31"/>
                <c:pt idx="0">
                  <c:v>2491</c:v>
                </c:pt>
                <c:pt idx="1">
                  <c:v>2480</c:v>
                </c:pt>
                <c:pt idx="2">
                  <c:v>2431</c:v>
                </c:pt>
                <c:pt idx="3">
                  <c:v>2383</c:v>
                </c:pt>
                <c:pt idx="4">
                  <c:v>2407</c:v>
                </c:pt>
                <c:pt idx="5">
                  <c:v>2485</c:v>
                </c:pt>
                <c:pt idx="6">
                  <c:v>2388</c:v>
                </c:pt>
                <c:pt idx="7">
                  <c:v>2481</c:v>
                </c:pt>
                <c:pt idx="8">
                  <c:v>2504</c:v>
                </c:pt>
                <c:pt idx="9">
                  <c:v>2450</c:v>
                </c:pt>
                <c:pt idx="10">
                  <c:v>2419</c:v>
                </c:pt>
                <c:pt idx="11">
                  <c:v>1933</c:v>
                </c:pt>
                <c:pt idx="12">
                  <c:v>1972</c:v>
                </c:pt>
                <c:pt idx="13">
                  <c:v>0</c:v>
                </c:pt>
                <c:pt idx="14">
                  <c:v>0</c:v>
                </c:pt>
                <c:pt idx="15">
                  <c:v>0</c:v>
                </c:pt>
                <c:pt idx="16">
                  <c:v>0</c:v>
                </c:pt>
                <c:pt idx="17">
                  <c:v>0</c:v>
                </c:pt>
                <c:pt idx="18">
                  <c:v>0</c:v>
                </c:pt>
                <c:pt idx="19">
                  <c:v>0</c:v>
                </c:pt>
                <c:pt idx="20">
                  <c:v>0</c:v>
                </c:pt>
                <c:pt idx="21">
                  <c:v>2522</c:v>
                </c:pt>
                <c:pt idx="22">
                  <c:v>2497</c:v>
                </c:pt>
                <c:pt idx="23">
                  <c:v>2290</c:v>
                </c:pt>
                <c:pt idx="24">
                  <c:v>2231</c:v>
                </c:pt>
                <c:pt idx="25">
                  <c:v>2344</c:v>
                </c:pt>
                <c:pt idx="26">
                  <c:v>0</c:v>
                </c:pt>
                <c:pt idx="27">
                  <c:v>0</c:v>
                </c:pt>
                <c:pt idx="28">
                  <c:v>0</c:v>
                </c:pt>
                <c:pt idx="29">
                  <c:v>0</c:v>
                </c:pt>
                <c:pt idx="30">
                  <c:v>0</c:v>
                </c:pt>
              </c:numCache>
            </c:numRef>
          </c:val>
          <c:extLst>
            <c:ext xmlns:c16="http://schemas.microsoft.com/office/drawing/2014/chart" uri="{C3380CC4-5D6E-409C-BE32-E72D297353CC}">
              <c16:uniqueId val="{00000008-EF00-4773-978E-5FB4B00FADE8}"/>
            </c:ext>
          </c:extLst>
        </c:ser>
        <c:ser>
          <c:idx val="1"/>
          <c:order val="1"/>
          <c:tx>
            <c:strRef>
              <c:f>BDmensual!$M$4</c:f>
              <c:strCache>
                <c:ptCount val="1"/>
                <c:pt idx="0">
                  <c:v>CBAP ALTO LARAN</c:v>
                </c:pt>
              </c:strCache>
            </c:strRef>
          </c:tx>
          <c:spPr>
            <a:solidFill>
              <a:schemeClr val="accent4"/>
            </a:solidFill>
            <a:ln>
              <a:noFill/>
            </a:ln>
            <a:effectLst/>
          </c:spPr>
          <c:invertIfNegative val="0"/>
          <c:dLbls>
            <c:spPr>
              <a:noFill/>
              <a:ln>
                <a:noFill/>
              </a:ln>
              <a:effectLst/>
            </c:spPr>
            <c:txPr>
              <a:bodyPr rot="-5400000" spcFirstLastPara="1" vertOverflow="ellipsis" vert="horz" wrap="square" lIns="38100" tIns="19050" rIns="38100" bIns="19050" anchor="ctr" anchorCtr="0">
                <a:spAutoFit/>
              </a:bodyPr>
              <a:lstStyle/>
              <a:p>
                <a:pPr>
                  <a:defRPr sz="100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val>
            <c:numRef>
              <c:f>BDmensual!$M$5:$M$35</c:f>
              <c:numCache>
                <c:formatCode>_-* #,##0_-;\-* #,##0_-;_-* "-"??_-;_-@</c:formatCode>
                <c:ptCount val="31"/>
                <c:pt idx="0">
                  <c:v>1219</c:v>
                </c:pt>
                <c:pt idx="1">
                  <c:v>1294</c:v>
                </c:pt>
                <c:pt idx="2">
                  <c:v>1250</c:v>
                </c:pt>
                <c:pt idx="3">
                  <c:v>0</c:v>
                </c:pt>
                <c:pt idx="4">
                  <c:v>401</c:v>
                </c:pt>
                <c:pt idx="5">
                  <c:v>1376</c:v>
                </c:pt>
                <c:pt idx="6">
                  <c:v>1176</c:v>
                </c:pt>
                <c:pt idx="7">
                  <c:v>1265</c:v>
                </c:pt>
                <c:pt idx="8">
                  <c:v>1254</c:v>
                </c:pt>
                <c:pt idx="9">
                  <c:v>1310</c:v>
                </c:pt>
                <c:pt idx="10">
                  <c:v>1324</c:v>
                </c:pt>
                <c:pt idx="11">
                  <c:v>1271</c:v>
                </c:pt>
                <c:pt idx="12">
                  <c:v>1028</c:v>
                </c:pt>
                <c:pt idx="13">
                  <c:v>1224</c:v>
                </c:pt>
                <c:pt idx="14">
                  <c:v>1237</c:v>
                </c:pt>
                <c:pt idx="15">
                  <c:v>1244</c:v>
                </c:pt>
                <c:pt idx="16">
                  <c:v>1239</c:v>
                </c:pt>
                <c:pt idx="17">
                  <c:v>1338</c:v>
                </c:pt>
                <c:pt idx="18">
                  <c:v>1300</c:v>
                </c:pt>
                <c:pt idx="19">
                  <c:v>1265</c:v>
                </c:pt>
                <c:pt idx="20">
                  <c:v>710</c:v>
                </c:pt>
                <c:pt idx="21">
                  <c:v>1279</c:v>
                </c:pt>
                <c:pt idx="22">
                  <c:v>1255</c:v>
                </c:pt>
                <c:pt idx="23">
                  <c:v>1313</c:v>
                </c:pt>
                <c:pt idx="24">
                  <c:v>1305</c:v>
                </c:pt>
                <c:pt idx="25">
                  <c:v>1289</c:v>
                </c:pt>
                <c:pt idx="26">
                  <c:v>0</c:v>
                </c:pt>
                <c:pt idx="27">
                  <c:v>0</c:v>
                </c:pt>
                <c:pt idx="28">
                  <c:v>0</c:v>
                </c:pt>
                <c:pt idx="29">
                  <c:v>0</c:v>
                </c:pt>
                <c:pt idx="30">
                  <c:v>0</c:v>
                </c:pt>
              </c:numCache>
            </c:numRef>
          </c:val>
          <c:extLst>
            <c:ext xmlns:c16="http://schemas.microsoft.com/office/drawing/2014/chart" uri="{C3380CC4-5D6E-409C-BE32-E72D297353CC}">
              <c16:uniqueId val="{00000009-EF00-4773-978E-5FB4B00FADE8}"/>
            </c:ext>
          </c:extLst>
        </c:ser>
        <c:ser>
          <c:idx val="2"/>
          <c:order val="2"/>
          <c:tx>
            <c:strRef>
              <c:f>BDmensual!$N$4</c:f>
              <c:strCache>
                <c:ptCount val="1"/>
                <c:pt idx="0">
                  <c:v>CBAP PUEBLO NUEVO</c:v>
                </c:pt>
              </c:strCache>
            </c:strRef>
          </c:tx>
          <c:spPr>
            <a:solidFill>
              <a:schemeClr val="accent6"/>
            </a:solidFill>
            <a:ln>
              <a:noFill/>
            </a:ln>
            <a:effectLst/>
          </c:spPr>
          <c:invertIfNegative val="0"/>
          <c:dLbls>
            <c:spPr>
              <a:noFill/>
              <a:ln>
                <a:noFill/>
              </a:ln>
              <a:effectLst/>
            </c:spPr>
            <c:txPr>
              <a:bodyPr rot="-5400000" spcFirstLastPara="1" vertOverflow="ellipsis" vert="horz" wrap="square" lIns="38100" tIns="19050" rIns="38100" bIns="19050" anchor="ctr" anchorCtr="0">
                <a:spAutoFit/>
              </a:bodyPr>
              <a:lstStyle/>
              <a:p>
                <a:pPr>
                  <a:defRPr sz="100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val>
            <c:numRef>
              <c:f>BDmensual!$N$5:$N$35</c:f>
              <c:numCache>
                <c:formatCode>_-* #,##0_-;\-* #,##0_-;_-* "-"??_-;_-@</c:formatCode>
                <c:ptCount val="31"/>
                <c:pt idx="0">
                  <c:v>4607</c:v>
                </c:pt>
                <c:pt idx="1">
                  <c:v>4156</c:v>
                </c:pt>
                <c:pt idx="2">
                  <c:v>4657</c:v>
                </c:pt>
                <c:pt idx="3">
                  <c:v>4721</c:v>
                </c:pt>
                <c:pt idx="4">
                  <c:v>4934</c:v>
                </c:pt>
                <c:pt idx="5">
                  <c:v>4800</c:v>
                </c:pt>
                <c:pt idx="6">
                  <c:v>4556</c:v>
                </c:pt>
                <c:pt idx="7">
                  <c:v>4516</c:v>
                </c:pt>
                <c:pt idx="8">
                  <c:v>4870</c:v>
                </c:pt>
                <c:pt idx="9">
                  <c:v>4440</c:v>
                </c:pt>
                <c:pt idx="10">
                  <c:v>4670</c:v>
                </c:pt>
                <c:pt idx="11">
                  <c:v>4193</c:v>
                </c:pt>
                <c:pt idx="12">
                  <c:v>4279</c:v>
                </c:pt>
                <c:pt idx="13">
                  <c:v>4581</c:v>
                </c:pt>
                <c:pt idx="14">
                  <c:v>4313</c:v>
                </c:pt>
                <c:pt idx="15">
                  <c:v>4396</c:v>
                </c:pt>
                <c:pt idx="16">
                  <c:v>4714</c:v>
                </c:pt>
                <c:pt idx="17">
                  <c:v>4559</c:v>
                </c:pt>
                <c:pt idx="18">
                  <c:v>4301</c:v>
                </c:pt>
                <c:pt idx="19">
                  <c:v>4252</c:v>
                </c:pt>
                <c:pt idx="20">
                  <c:v>4632</c:v>
                </c:pt>
                <c:pt idx="21">
                  <c:v>4517</c:v>
                </c:pt>
                <c:pt idx="22">
                  <c:v>4650</c:v>
                </c:pt>
                <c:pt idx="23">
                  <c:v>4858</c:v>
                </c:pt>
                <c:pt idx="24">
                  <c:v>4838</c:v>
                </c:pt>
                <c:pt idx="25">
                  <c:v>4265</c:v>
                </c:pt>
                <c:pt idx="26">
                  <c:v>0</c:v>
                </c:pt>
                <c:pt idx="27">
                  <c:v>0</c:v>
                </c:pt>
                <c:pt idx="28">
                  <c:v>0</c:v>
                </c:pt>
                <c:pt idx="29">
                  <c:v>0</c:v>
                </c:pt>
                <c:pt idx="30">
                  <c:v>0</c:v>
                </c:pt>
              </c:numCache>
            </c:numRef>
          </c:val>
          <c:extLst>
            <c:ext xmlns:c16="http://schemas.microsoft.com/office/drawing/2014/chart" uri="{C3380CC4-5D6E-409C-BE32-E72D297353CC}">
              <c16:uniqueId val="{0000000A-EF00-4773-978E-5FB4B00FADE8}"/>
            </c:ext>
          </c:extLst>
        </c:ser>
        <c:dLbls>
          <c:dLblPos val="ctr"/>
          <c:showLegendKey val="0"/>
          <c:showVal val="1"/>
          <c:showCatName val="0"/>
          <c:showSerName val="0"/>
          <c:showPercent val="0"/>
          <c:showBubbleSize val="0"/>
        </c:dLbls>
        <c:gapWidth val="20"/>
        <c:overlap val="100"/>
        <c:axId val="1768411322"/>
        <c:axId val="498739337"/>
      </c:barChart>
      <c:dateAx>
        <c:axId val="1768411322"/>
        <c:scaling>
          <c:orientation val="minMax"/>
        </c:scaling>
        <c:delete val="0"/>
        <c:axPos val="b"/>
        <c:title>
          <c:tx>
            <c:rich>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itle>
        <c:numFmt formatCode="m/d/yyyy" sourceLinked="1"/>
        <c:majorTickMark val="none"/>
        <c:minorTickMark val="none"/>
        <c:tickLblPos val="nextTo"/>
        <c:spPr>
          <a:noFill/>
          <a:ln w="6350" cap="flat" cmpd="sng" algn="ctr">
            <a:solidFill>
              <a:schemeClr val="tx1">
                <a:tint val="75000"/>
              </a:schemeClr>
            </a:solidFill>
            <a:prstDash val="solid"/>
            <a:round/>
          </a:ln>
          <a:effectLst/>
        </c:spPr>
        <c:txPr>
          <a:bodyPr rot="-5400000" spcFirstLastPara="1" vertOverflow="ellipsis" wrap="square" anchor="ctr" anchorCtr="1"/>
          <a:lstStyle/>
          <a:p>
            <a:pPr lvl="0">
              <a:defRPr sz="900" b="0" i="0" u="none" strike="noStrike" kern="1200" baseline="0">
                <a:solidFill>
                  <a:srgbClr val="000000"/>
                </a:solidFill>
                <a:latin typeface="+mn-lt"/>
                <a:ea typeface="+mn-ea"/>
                <a:cs typeface="+mn-cs"/>
              </a:defRPr>
            </a:pPr>
            <a:endParaRPr lang="es-PE"/>
          </a:p>
        </c:txPr>
        <c:crossAx val="498739337"/>
        <c:crosses val="autoZero"/>
        <c:auto val="1"/>
        <c:lblOffset val="100"/>
        <c:baseTimeUnit val="days"/>
      </c:dateAx>
      <c:valAx>
        <c:axId val="498739337"/>
        <c:scaling>
          <c:orientation val="minMax"/>
        </c:scaling>
        <c:delete val="0"/>
        <c:axPos val="l"/>
        <c:majorGridlines>
          <c:spPr>
            <a:ln w="6350" cap="flat" cmpd="sng" algn="ctr">
              <a:solidFill>
                <a:srgbClr val="B7B7B7"/>
              </a:solidFill>
              <a:prstDash val="solid"/>
              <a:round/>
            </a:ln>
            <a:effectLst/>
          </c:spPr>
        </c:majorGridlines>
        <c:title>
          <c:tx>
            <c:rich>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itle>
        <c:numFmt formatCode="_-* #,##0_-;\-* #,##0_-;_-* &quot;-&quot;??_-;_-@"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s-PE"/>
          </a:p>
        </c:txPr>
        <c:crossAx val="1768411322"/>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PE"/>
        </a:p>
      </c:txPr>
    </c:legend>
    <c:plotVisOnly val="1"/>
    <c:dispBlanksAs val="zero"/>
    <c:showDLblsOverMax val="1"/>
  </c:chart>
  <c:spPr>
    <a:solidFill>
      <a:schemeClr val="accent3"/>
    </a:solidFill>
    <a:ln w="6350" cap="flat" cmpd="sng" algn="ctr">
      <a:solidFill>
        <a:schemeClr val="tx1"/>
      </a:solidFill>
      <a:prstDash val="solid"/>
      <a:round/>
    </a:ln>
    <a:effectLst/>
  </c:spPr>
  <c:txPr>
    <a:bodyPr/>
    <a:lstStyle/>
    <a:p>
      <a:pPr>
        <a:defRPr/>
      </a:pPr>
      <a:endParaRPr lang="es-P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rgbClr val="757575"/>
                </a:solidFill>
                <a:latin typeface="+mn-lt"/>
              </a:defRPr>
            </a:pPr>
            <a:r>
              <a:rPr lang="es-PE" sz="1600" b="1" i="0">
                <a:solidFill>
                  <a:sysClr val="windowText" lastClr="000000"/>
                </a:solidFill>
                <a:latin typeface="+mn-lt"/>
              </a:rPr>
              <a:t>VOLUMEN</a:t>
            </a:r>
            <a:r>
              <a:rPr lang="es-PE" sz="1600" b="1" i="0" baseline="0">
                <a:solidFill>
                  <a:sysClr val="windowText" lastClr="000000"/>
                </a:solidFill>
                <a:latin typeface="+mn-lt"/>
              </a:rPr>
              <a:t> </a:t>
            </a:r>
            <a:r>
              <a:rPr lang="es-PE" sz="1600" b="1" i="0">
                <a:solidFill>
                  <a:sysClr val="windowText" lastClr="000000"/>
                </a:solidFill>
                <a:latin typeface="+mn-lt"/>
              </a:rPr>
              <a:t>DIARIO POR SECTOR</a:t>
            </a:r>
          </a:p>
        </c:rich>
      </c:tx>
      <c:layout>
        <c:manualLayout>
          <c:xMode val="edge"/>
          <c:yMode val="edge"/>
          <c:x val="0.17171283387251327"/>
          <c:y val="3.8405477165373382E-2"/>
        </c:manualLayout>
      </c:layout>
      <c:overlay val="0"/>
    </c:title>
    <c:autoTitleDeleted val="0"/>
    <c:plotArea>
      <c:layout>
        <c:manualLayout>
          <c:layoutTarget val="inner"/>
          <c:xMode val="edge"/>
          <c:yMode val="edge"/>
          <c:x val="0.16594786439137496"/>
          <c:y val="0.16083534136546185"/>
          <c:w val="0.7388523227729169"/>
          <c:h val="0.72459713849105767"/>
        </c:manualLayout>
      </c:layout>
      <c:barChart>
        <c:barDir val="col"/>
        <c:grouping val="clustered"/>
        <c:varyColors val="1"/>
        <c:ser>
          <c:idx val="0"/>
          <c:order val="0"/>
          <c:tx>
            <c:strRef>
              <c:f>RPTdiario!$J$31</c:f>
              <c:strCache>
                <c:ptCount val="1"/>
                <c:pt idx="0">
                  <c:v>AG - CH.ALTA</c:v>
                </c:pt>
              </c:strCache>
            </c:strRef>
          </c:tx>
          <c:invertIfNegative val="0"/>
          <c:dLbls>
            <c:spPr>
              <a:noFill/>
              <a:ln>
                <a:noFill/>
              </a:ln>
              <a:effectLst/>
            </c:spPr>
            <c:txPr>
              <a:bodyPr rot="-5400000" vert="horz" wrap="square" lIns="38100" tIns="19050" rIns="38100" bIns="19050" anchor="ctr">
                <a:spAutoFit/>
              </a:bodyPr>
              <a:lstStyle/>
              <a:p>
                <a:pPr>
                  <a:defRPr sz="1600" b="1"/>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RPTdiario!$K$31</c:f>
              <c:numCache>
                <c:formatCode>_-* #,##0_-;\-* #,##0_-;_-* "-"??_-;_-@</c:formatCode>
                <c:ptCount val="1"/>
                <c:pt idx="0">
                  <c:v>51528.400000000373</c:v>
                </c:pt>
              </c:numCache>
            </c:numRef>
          </c:val>
          <c:extLst>
            <c:ext xmlns:c16="http://schemas.microsoft.com/office/drawing/2014/chart" uri="{C3380CC4-5D6E-409C-BE32-E72D297353CC}">
              <c16:uniqueId val="{0000000C-A7F3-4FA2-8FA7-F027A9DAD45F}"/>
            </c:ext>
          </c:extLst>
        </c:ser>
        <c:ser>
          <c:idx val="1"/>
          <c:order val="1"/>
          <c:tx>
            <c:strRef>
              <c:f>RPTdiario!$J$32</c:f>
              <c:strCache>
                <c:ptCount val="1"/>
                <c:pt idx="0">
                  <c:v>AG - CH.BAJA-TM</c:v>
                </c:pt>
              </c:strCache>
            </c:strRef>
          </c:tx>
          <c:invertIfNegative val="0"/>
          <c:dLbls>
            <c:spPr>
              <a:noFill/>
              <a:ln>
                <a:noFill/>
              </a:ln>
              <a:effectLst/>
            </c:spPr>
            <c:txPr>
              <a:bodyPr rot="-5400000" vert="horz" wrap="square" lIns="38100" tIns="19050" rIns="38100" bIns="19050" anchor="ctr" anchorCtr="0">
                <a:spAutoFit/>
              </a:bodyPr>
              <a:lstStyle/>
              <a:p>
                <a:pPr>
                  <a:defRPr sz="1600" b="1"/>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RPTdiario!$K$32</c:f>
              <c:numCache>
                <c:formatCode>_-* #,##0_-;\-* #,##0_-;_-* "-"??_-;_-@</c:formatCode>
                <c:ptCount val="1"/>
                <c:pt idx="0">
                  <c:v>3189</c:v>
                </c:pt>
              </c:numCache>
            </c:numRef>
          </c:val>
          <c:extLst>
            <c:ext xmlns:c16="http://schemas.microsoft.com/office/drawing/2014/chart" uri="{C3380CC4-5D6E-409C-BE32-E72D297353CC}">
              <c16:uniqueId val="{0000000D-A7F3-4FA2-8FA7-F027A9DAD45F}"/>
            </c:ext>
          </c:extLst>
        </c:ser>
        <c:ser>
          <c:idx val="2"/>
          <c:order val="2"/>
          <c:tx>
            <c:strRef>
              <c:f>RPTdiario!$J$33</c:f>
              <c:strCache>
                <c:ptCount val="1"/>
                <c:pt idx="0">
                  <c:v>E.REBOMBEO</c:v>
                </c:pt>
              </c:strCache>
            </c:strRef>
          </c:tx>
          <c:invertIfNegative val="0"/>
          <c:dLbls>
            <c:spPr>
              <a:noFill/>
              <a:ln>
                <a:noFill/>
              </a:ln>
              <a:effectLst/>
            </c:spPr>
            <c:txPr>
              <a:bodyPr rot="-5400000" vert="horz" wrap="square" lIns="38100" tIns="19050" rIns="38100" bIns="19050" anchor="ctr">
                <a:spAutoFit/>
              </a:bodyPr>
              <a:lstStyle/>
              <a:p>
                <a:pPr>
                  <a:defRPr sz="1600" b="1"/>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RPTdiario!$K$33</c:f>
              <c:numCache>
                <c:formatCode>_-* #,##0_-;\-* #,##0_-;_-* "-"??_-;_-@</c:formatCode>
                <c:ptCount val="1"/>
                <c:pt idx="0">
                  <c:v>7898</c:v>
                </c:pt>
              </c:numCache>
            </c:numRef>
          </c:val>
          <c:extLst>
            <c:ext xmlns:c16="http://schemas.microsoft.com/office/drawing/2014/chart" uri="{C3380CC4-5D6E-409C-BE32-E72D297353CC}">
              <c16:uniqueId val="{0000000E-A7F3-4FA2-8FA7-F027A9DAD45F}"/>
            </c:ext>
          </c:extLst>
        </c:ser>
        <c:ser>
          <c:idx val="3"/>
          <c:order val="3"/>
          <c:tx>
            <c:strRef>
              <c:f>RPTdiario!$J$34</c:f>
              <c:strCache>
                <c:ptCount val="1"/>
                <c:pt idx="0">
                  <c:v>SURTIDORES</c:v>
                </c:pt>
              </c:strCache>
            </c:strRef>
          </c:tx>
          <c:invertIfNegative val="0"/>
          <c:dLbls>
            <c:dLbl>
              <c:idx val="0"/>
              <c:spPr>
                <a:noFill/>
                <a:ln>
                  <a:noFill/>
                </a:ln>
                <a:effectLst/>
              </c:spPr>
              <c:txPr>
                <a:bodyPr rot="-5400000" vert="horz"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1-9CC1-479A-A067-EC03A7BA182E}"/>
                </c:ext>
              </c:extLst>
            </c:dLbl>
            <c:spPr>
              <a:noFill/>
              <a:ln>
                <a:noFill/>
              </a:ln>
              <a:effectLst/>
            </c:spPr>
            <c:txPr>
              <a:bodyPr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RPTdiario!$K$34</c:f>
              <c:numCache>
                <c:formatCode>_-* #,##0_-;\-* #,##0_-;_-* "-"??_-;_-@</c:formatCode>
                <c:ptCount val="1"/>
                <c:pt idx="0">
                  <c:v>0</c:v>
                </c:pt>
              </c:numCache>
            </c:numRef>
          </c:val>
          <c:extLst>
            <c:ext xmlns:c16="http://schemas.microsoft.com/office/drawing/2014/chart" uri="{C3380CC4-5D6E-409C-BE32-E72D297353CC}">
              <c16:uniqueId val="{00000000-9CC1-479A-A067-EC03A7BA182E}"/>
            </c:ext>
          </c:extLst>
        </c:ser>
        <c:dLbls>
          <c:dLblPos val="ctr"/>
          <c:showLegendKey val="0"/>
          <c:showVal val="1"/>
          <c:showCatName val="0"/>
          <c:showSerName val="0"/>
          <c:showPercent val="0"/>
          <c:showBubbleSize val="0"/>
        </c:dLbls>
        <c:gapWidth val="150"/>
        <c:axId val="1768411322"/>
        <c:axId val="498739337"/>
      </c:barChart>
      <c:catAx>
        <c:axId val="1768411322"/>
        <c:scaling>
          <c:orientation val="minMax"/>
        </c:scaling>
        <c:delete val="1"/>
        <c:axPos val="b"/>
        <c:numFmt formatCode="General" sourceLinked="1"/>
        <c:majorTickMark val="none"/>
        <c:minorTickMark val="none"/>
        <c:tickLblPos val="nextTo"/>
        <c:crossAx val="498739337"/>
        <c:crosses val="autoZero"/>
        <c:auto val="1"/>
        <c:lblAlgn val="ctr"/>
        <c:lblOffset val="100"/>
        <c:noMultiLvlLbl val="1"/>
      </c:catAx>
      <c:valAx>
        <c:axId val="4987393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_-* #,##0_-;\-* #,##0_-;_-* &quot;-&quot;??_-;_-@" sourceLinked="1"/>
        <c:majorTickMark val="none"/>
        <c:minorTickMark val="none"/>
        <c:tickLblPos val="nextTo"/>
        <c:spPr>
          <a:ln/>
        </c:spPr>
        <c:txPr>
          <a:bodyPr/>
          <a:lstStyle/>
          <a:p>
            <a:pPr lvl="0">
              <a:defRPr sz="900" b="0" i="0">
                <a:solidFill>
                  <a:srgbClr val="000000"/>
                </a:solidFill>
                <a:latin typeface="+mn-lt"/>
              </a:defRPr>
            </a:pPr>
            <a:endParaRPr lang="es-PE"/>
          </a:p>
        </c:txPr>
        <c:crossAx val="1768411322"/>
        <c:crosses val="autoZero"/>
        <c:crossBetween val="between"/>
      </c:valAx>
    </c:plotArea>
    <c:legend>
      <c:legendPos val="b"/>
      <c:overlay val="0"/>
    </c:legend>
    <c:plotVisOnly val="1"/>
    <c:dispBlanksAs val="zero"/>
    <c:showDLblsOverMax val="1"/>
  </c:chart>
  <c:spPr>
    <a:solidFill>
      <a:schemeClr val="accent3"/>
    </a:solidFill>
    <a:ln>
      <a:solidFill>
        <a:schemeClr val="tx1"/>
      </a:solidFill>
    </a:ln>
    <a:effectLst>
      <a:softEdge rad="12700"/>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[PRODUCCION OPAPTAR 2026.xlsx]BDrsanjuan!TablaDinámica1</c:name>
    <c:fmtId val="7"/>
  </c:pivotSource>
  <c:chart>
    <c:title>
      <c:tx>
        <c:rich>
          <a:bodyPr rot="0" spcFirstLastPara="1" vertOverflow="ellipsis" vert="horz" wrap="square" anchor="ctr" anchorCtr="1"/>
          <a:lstStyle/>
          <a:p>
            <a:pPr>
              <a:defRPr lang="en-US" sz="1600" b="1" i="0" u="none" strike="noStrike" kern="1200" cap="all" spc="120" normalizeH="0" baseline="0">
                <a:solidFill>
                  <a:sysClr val="windowText" lastClr="000000"/>
                </a:solidFill>
                <a:latin typeface="+mn-lt"/>
                <a:ea typeface="+mn-ea"/>
                <a:cs typeface="+mn-cs"/>
              </a:defRPr>
            </a:pPr>
            <a:r>
              <a:rPr lang="en-US" sz="1400" b="1"/>
              <a:t>historicos MÁXIMOS</a:t>
            </a:r>
            <a:r>
              <a:rPr lang="en-US" sz="1400" b="1" baseline="0"/>
              <a:t> </a:t>
            </a:r>
            <a:r>
              <a:rPr lang="en-US" sz="1400" b="1"/>
              <a:t>caudales rio san juan</a:t>
            </a:r>
          </a:p>
        </c:rich>
      </c:tx>
      <c:layout>
        <c:manualLayout>
          <c:xMode val="edge"/>
          <c:yMode val="edge"/>
          <c:x val="0.37824720694740149"/>
          <c:y val="1.4126339143298514E-2"/>
        </c:manualLayout>
      </c:layout>
      <c:overlay val="0"/>
      <c:spPr>
        <a:noFill/>
        <a:ln>
          <a:noFill/>
        </a:ln>
        <a:effectLst/>
      </c:spPr>
      <c:txPr>
        <a:bodyPr rot="0" spcFirstLastPara="1" vertOverflow="ellipsis" vert="horz" wrap="square" anchor="ctr" anchorCtr="1"/>
        <a:lstStyle/>
        <a:p>
          <a:pPr>
            <a:defRPr lang="en-US" sz="1600" b="1" i="0" u="none" strike="noStrike" kern="1200" cap="all" spc="120" normalizeH="0" baseline="0">
              <a:solidFill>
                <a:sysClr val="windowText" lastClr="000000"/>
              </a:solidFill>
              <a:latin typeface="+mn-lt"/>
              <a:ea typeface="+mn-ea"/>
              <a:cs typeface="+mn-cs"/>
            </a:defRPr>
          </a:pPr>
          <a:endParaRPr lang="es-P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ellipsis" wrap="square" lIns="38100" tIns="19050" rIns="38100" bIns="19050" anchor="ctr" anchorCtr="1">
              <a:spAutoFit/>
            </a:bodyPr>
            <a:lstStyle/>
            <a:p>
              <a:pPr>
                <a:defRPr lang="en-US" sz="900" b="0" i="0" u="none" strike="noStrike" kern="1200" baseline="0">
                  <a:solidFill>
                    <a:sysClr val="windowText" lastClr="000000"/>
                  </a:solidFill>
                  <a:latin typeface="+mn-lt"/>
                  <a:ea typeface="+mn-ea"/>
                  <a:cs typeface="+mn-cs"/>
                </a:defRPr>
              </a:pPr>
              <a:endParaRPr lang="es-P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31333698326413E-2"/>
          <c:y val="8.7446409523744259E-2"/>
          <c:w val="0.89564815338473824"/>
          <c:h val="0.68195763824014366"/>
        </c:manualLayout>
      </c:layout>
      <c:lineChart>
        <c:grouping val="standard"/>
        <c:varyColors val="0"/>
        <c:ser>
          <c:idx val="0"/>
          <c:order val="0"/>
          <c:tx>
            <c:strRef>
              <c:f>BDrsanjuan!$L$14</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5400000" spcFirstLastPara="1" vertOverflow="ellipsis" wrap="square" lIns="38100" tIns="19050" rIns="38100" bIns="19050" anchor="ctr" anchorCtr="1">
                <a:spAutoFit/>
              </a:bodyPr>
              <a:lstStyle/>
              <a:p>
                <a:pPr>
                  <a:defRPr lang="en-US" sz="900" b="0" i="0" u="none" strike="noStrike" kern="1200" baseline="0">
                    <a:solidFill>
                      <a:sysClr val="windowText" lastClr="000000"/>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BDrsanjuan!$K$15:$K$45</c:f>
              <c:strCache>
                <c:ptCount val="30"/>
                <c:pt idx="0">
                  <c:v>01/04/2026</c:v>
                </c:pt>
                <c:pt idx="1">
                  <c:v>02/04/2026</c:v>
                </c:pt>
                <c:pt idx="2">
                  <c:v>03/04/2026</c:v>
                </c:pt>
                <c:pt idx="3">
                  <c:v>04/04/2026</c:v>
                </c:pt>
                <c:pt idx="4">
                  <c:v>05/04/2026</c:v>
                </c:pt>
                <c:pt idx="5">
                  <c:v>06/04/2026</c:v>
                </c:pt>
                <c:pt idx="6">
                  <c:v>07/04/2026</c:v>
                </c:pt>
                <c:pt idx="7">
                  <c:v>08/04/2026</c:v>
                </c:pt>
                <c:pt idx="8">
                  <c:v>09/04/2026</c:v>
                </c:pt>
                <c:pt idx="9">
                  <c:v>10/04/2026</c:v>
                </c:pt>
                <c:pt idx="10">
                  <c:v>11/04/2026</c:v>
                </c:pt>
                <c:pt idx="11">
                  <c:v>12/04/2026</c:v>
                </c:pt>
                <c:pt idx="12">
                  <c:v>13/04/2026</c:v>
                </c:pt>
                <c:pt idx="13">
                  <c:v>14/04/2026</c:v>
                </c:pt>
                <c:pt idx="14">
                  <c:v>15/04/2026</c:v>
                </c:pt>
                <c:pt idx="15">
                  <c:v>16/04/2026</c:v>
                </c:pt>
                <c:pt idx="16">
                  <c:v>17/04/2026</c:v>
                </c:pt>
                <c:pt idx="17">
                  <c:v>18/04/2026</c:v>
                </c:pt>
                <c:pt idx="18">
                  <c:v>19/04/2026</c:v>
                </c:pt>
                <c:pt idx="19">
                  <c:v>20/04/2026</c:v>
                </c:pt>
                <c:pt idx="20">
                  <c:v>21/04/2026</c:v>
                </c:pt>
                <c:pt idx="21">
                  <c:v>22/04/2026</c:v>
                </c:pt>
                <c:pt idx="22">
                  <c:v>23/04/2026</c:v>
                </c:pt>
                <c:pt idx="23">
                  <c:v>24/04/2026</c:v>
                </c:pt>
                <c:pt idx="24">
                  <c:v>25/04/2026</c:v>
                </c:pt>
                <c:pt idx="25">
                  <c:v>26/04/2026</c:v>
                </c:pt>
                <c:pt idx="26">
                  <c:v>27/04/2026</c:v>
                </c:pt>
                <c:pt idx="27">
                  <c:v>28/04/2026</c:v>
                </c:pt>
                <c:pt idx="28">
                  <c:v>29/04/2026</c:v>
                </c:pt>
                <c:pt idx="29">
                  <c:v>30/04/2026</c:v>
                </c:pt>
              </c:strCache>
            </c:strRef>
          </c:cat>
          <c:val>
            <c:numRef>
              <c:f>BDrsanjuan!$L$15:$L$45</c:f>
              <c:numCache>
                <c:formatCode>###,###,###,##0.00</c:formatCode>
                <c:ptCount val="30"/>
                <c:pt idx="0">
                  <c:v>35.909999999999997</c:v>
                </c:pt>
                <c:pt idx="1">
                  <c:v>39.67</c:v>
                </c:pt>
                <c:pt idx="2">
                  <c:v>35.909999999999997</c:v>
                </c:pt>
                <c:pt idx="3">
                  <c:v>34.07</c:v>
                </c:pt>
                <c:pt idx="4">
                  <c:v>32.270000000000003</c:v>
                </c:pt>
                <c:pt idx="5">
                  <c:v>28.75</c:v>
                </c:pt>
                <c:pt idx="6">
                  <c:v>28.75</c:v>
                </c:pt>
                <c:pt idx="7">
                  <c:v>28.75</c:v>
                </c:pt>
                <c:pt idx="8">
                  <c:v>28.75</c:v>
                </c:pt>
                <c:pt idx="9">
                  <c:v>28.41</c:v>
                </c:pt>
                <c:pt idx="10">
                  <c:v>28.07</c:v>
                </c:pt>
                <c:pt idx="11">
                  <c:v>28.07</c:v>
                </c:pt>
                <c:pt idx="12">
                  <c:v>28.07</c:v>
                </c:pt>
                <c:pt idx="13">
                  <c:v>27.38</c:v>
                </c:pt>
                <c:pt idx="14">
                  <c:v>26.71</c:v>
                </c:pt>
                <c:pt idx="15">
                  <c:v>27.38</c:v>
                </c:pt>
                <c:pt idx="16">
                  <c:v>26.71</c:v>
                </c:pt>
                <c:pt idx="17">
                  <c:v>26.71</c:v>
                </c:pt>
                <c:pt idx="18">
                  <c:v>26.71</c:v>
                </c:pt>
                <c:pt idx="19">
                  <c:v>26.71</c:v>
                </c:pt>
                <c:pt idx="20">
                  <c:v>26.71</c:v>
                </c:pt>
                <c:pt idx="21">
                  <c:v>26.71</c:v>
                </c:pt>
                <c:pt idx="22">
                  <c:v>26.03</c:v>
                </c:pt>
                <c:pt idx="23">
                  <c:v>26.03</c:v>
                </c:pt>
                <c:pt idx="24">
                  <c:v>26.03</c:v>
                </c:pt>
                <c:pt idx="25">
                  <c:v>23.22</c:v>
                </c:pt>
              </c:numCache>
            </c:numRef>
          </c:val>
          <c:smooth val="0"/>
          <c:extLst>
            <c:ext xmlns:c16="http://schemas.microsoft.com/office/drawing/2014/chart" uri="{C3380CC4-5D6E-409C-BE32-E72D297353CC}">
              <c16:uniqueId val="{00000000-ADEC-4D43-8EDA-B0A9C89C61AC}"/>
            </c:ext>
          </c:extLst>
        </c:ser>
        <c:dLbls>
          <c:showLegendKey val="0"/>
          <c:showVal val="0"/>
          <c:showCatName val="0"/>
          <c:showSerName val="0"/>
          <c:showPercent val="0"/>
          <c:showBubbleSize val="0"/>
        </c:dLbls>
        <c:hiLowLines>
          <c:spPr>
            <a:ln w="9525">
              <a:noFill/>
            </a:ln>
            <a:effectLst/>
          </c:spPr>
        </c:hiLowLines>
        <c:marker val="1"/>
        <c:smooth val="0"/>
        <c:axId val="1846921424"/>
        <c:axId val="1846922864"/>
      </c:lineChart>
      <c:catAx>
        <c:axId val="1846921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lang="en-US" sz="900" b="0" i="0" u="none" strike="noStrike" kern="1200" cap="all" spc="120" normalizeH="0" baseline="0">
                <a:solidFill>
                  <a:sysClr val="windowText" lastClr="000000"/>
                </a:solidFill>
                <a:latin typeface="+mn-lt"/>
                <a:ea typeface="+mn-ea"/>
                <a:cs typeface="+mn-cs"/>
              </a:defRPr>
            </a:pPr>
            <a:endParaRPr lang="es-PE"/>
          </a:p>
        </c:txPr>
        <c:crossAx val="1846922864"/>
        <c:crosses val="autoZero"/>
        <c:auto val="1"/>
        <c:lblAlgn val="ctr"/>
        <c:lblOffset val="100"/>
        <c:noMultiLvlLbl val="0"/>
      </c:catAx>
      <c:valAx>
        <c:axId val="1846922864"/>
        <c:scaling>
          <c:orientation val="minMax"/>
          <c:max val="300"/>
          <c:min val="0"/>
        </c:scaling>
        <c:delete val="0"/>
        <c:axPos val="l"/>
        <c:numFmt formatCode="###,###,###,##0.00" sourceLinked="1"/>
        <c:majorTickMark val="in"/>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mn-lt"/>
                <a:ea typeface="+mn-ea"/>
                <a:cs typeface="+mn-cs"/>
              </a:defRPr>
            </a:pPr>
            <a:endParaRPr lang="es-PE"/>
          </a:p>
        </c:txPr>
        <c:crossAx val="1846921424"/>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65000"/>
      </a:schemeClr>
    </a:solidFill>
    <a:ln w="9525" cap="flat" cmpd="sng" algn="ctr">
      <a:solidFill>
        <a:schemeClr val="tx1"/>
      </a:solidFill>
      <a:round/>
    </a:ln>
    <a:effectLst/>
  </c:spPr>
  <c:txPr>
    <a:bodyPr/>
    <a:lstStyle/>
    <a:p>
      <a:pPr>
        <a:defRPr lang="en-US" sz="900" b="0" i="0" u="none" strike="noStrike" kern="1200" baseline="0">
          <a:solidFill>
            <a:sysClr val="windowText" lastClr="000000"/>
          </a:solidFill>
          <a:latin typeface="+mn-lt"/>
          <a:ea typeface="+mn-ea"/>
          <a:cs typeface="+mn-cs"/>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defRPr sz="1400" b="1" i="0" u="none" strike="noStrike" kern="1200" baseline="0">
                <a:solidFill>
                  <a:srgbClr val="757575"/>
                </a:solidFill>
                <a:latin typeface="+mn-lt"/>
                <a:ea typeface="+mn-ea"/>
                <a:cs typeface="+mn-cs"/>
              </a:defRPr>
            </a:pPr>
            <a:r>
              <a:rPr lang="es-PE" sz="1400" b="1" i="0">
                <a:solidFill>
                  <a:sysClr val="windowText" lastClr="000000"/>
                </a:solidFill>
                <a:latin typeface="+mn-lt"/>
              </a:rPr>
              <a:t>VOLUMEN</a:t>
            </a:r>
            <a:r>
              <a:rPr lang="es-PE" sz="1400" b="1" i="0" baseline="0">
                <a:solidFill>
                  <a:sysClr val="windowText" lastClr="000000"/>
                </a:solidFill>
                <a:latin typeface="+mn-lt"/>
              </a:rPr>
              <a:t> MENSUAL POZOS, NARANJAL Y PTAP</a:t>
            </a:r>
            <a:endParaRPr lang="es-PE" sz="1400" b="1" i="0">
              <a:solidFill>
                <a:sysClr val="windowText" lastClr="000000"/>
              </a:solidFill>
              <a:latin typeface="+mn-lt"/>
            </a:endParaRPr>
          </a:p>
        </c:rich>
      </c:tx>
      <c:overlay val="0"/>
      <c:spPr>
        <a:noFill/>
        <a:ln>
          <a:noFill/>
        </a:ln>
        <a:effectLst/>
      </c:spPr>
      <c:txPr>
        <a:bodyPr rot="0" spcFirstLastPara="1" vertOverflow="ellipsis" vert="horz" wrap="square" anchor="ctr" anchorCtr="1"/>
        <a:lstStyle/>
        <a:p>
          <a:pPr lvl="0">
            <a:defRPr sz="1400" b="1" i="0" u="none" strike="noStrike" kern="1200" baseline="0">
              <a:solidFill>
                <a:srgbClr val="757575"/>
              </a:solidFill>
              <a:latin typeface="+mn-lt"/>
              <a:ea typeface="+mn-ea"/>
              <a:cs typeface="+mn-cs"/>
            </a:defRPr>
          </a:pPr>
          <a:endParaRPr lang="es-PE"/>
        </a:p>
      </c:txPr>
    </c:title>
    <c:autoTitleDeleted val="0"/>
    <c:view3D>
      <c:rotX val="10"/>
      <c:rotY val="20"/>
      <c:depthPercent val="100"/>
      <c:rAngAx val="1"/>
    </c:view3D>
    <c:floor>
      <c:thickness val="0"/>
      <c:spPr>
        <a:noFill/>
        <a:ln w="6350" cap="flat" cmpd="sng" algn="ctr">
          <a:solidFill>
            <a:schemeClr val="tx1">
              <a:tint val="75000"/>
            </a:schemeClr>
          </a:solidFill>
          <a:prstDash val="solid"/>
          <a:round/>
        </a:ln>
        <a:effectLst/>
        <a:sp3d contourW="6350">
          <a:contourClr>
            <a:schemeClr val="tx1">
              <a:tint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064251845718201E-2"/>
          <c:y val="9.6674698795180744E-2"/>
          <c:w val="0.86341496004789298"/>
          <c:h val="0.61627730401445402"/>
        </c:manualLayout>
      </c:layout>
      <c:line3DChart>
        <c:grouping val="standard"/>
        <c:varyColors val="0"/>
        <c:ser>
          <c:idx val="0"/>
          <c:order val="0"/>
          <c:tx>
            <c:v>POZO 10</c:v>
          </c:tx>
          <c:spPr>
            <a:solidFill>
              <a:schemeClr val="accent1"/>
            </a:solidFill>
            <a:ln>
              <a:noFill/>
            </a:ln>
            <a:effectLst/>
            <a:sp3d/>
          </c:spP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BDmensual!$B$5:$B$35</c:f>
              <c:numCache>
                <c:formatCode>_-* #,##0_-;\-* #,##0_-;_-* "-"??_-;_-@</c:formatCode>
                <c:ptCount val="31"/>
                <c:pt idx="0">
                  <c:v>2362</c:v>
                </c:pt>
                <c:pt idx="1">
                  <c:v>2404</c:v>
                </c:pt>
                <c:pt idx="2">
                  <c:v>2357</c:v>
                </c:pt>
                <c:pt idx="3">
                  <c:v>2395</c:v>
                </c:pt>
                <c:pt idx="4">
                  <c:v>2383</c:v>
                </c:pt>
                <c:pt idx="5">
                  <c:v>2414</c:v>
                </c:pt>
                <c:pt idx="6">
                  <c:v>2317</c:v>
                </c:pt>
                <c:pt idx="7">
                  <c:v>2368</c:v>
                </c:pt>
                <c:pt idx="8">
                  <c:v>2414</c:v>
                </c:pt>
                <c:pt idx="9">
                  <c:v>2386</c:v>
                </c:pt>
                <c:pt idx="10">
                  <c:v>2412</c:v>
                </c:pt>
                <c:pt idx="11">
                  <c:v>1923</c:v>
                </c:pt>
                <c:pt idx="12">
                  <c:v>1921</c:v>
                </c:pt>
                <c:pt idx="13">
                  <c:v>0</c:v>
                </c:pt>
                <c:pt idx="14">
                  <c:v>0</c:v>
                </c:pt>
                <c:pt idx="15">
                  <c:v>0</c:v>
                </c:pt>
                <c:pt idx="16">
                  <c:v>0</c:v>
                </c:pt>
                <c:pt idx="17">
                  <c:v>117</c:v>
                </c:pt>
                <c:pt idx="18">
                  <c:v>0</c:v>
                </c:pt>
                <c:pt idx="19">
                  <c:v>0</c:v>
                </c:pt>
                <c:pt idx="20">
                  <c:v>337</c:v>
                </c:pt>
                <c:pt idx="21">
                  <c:v>2307</c:v>
                </c:pt>
                <c:pt idx="22">
                  <c:v>2444</c:v>
                </c:pt>
                <c:pt idx="23">
                  <c:v>2427</c:v>
                </c:pt>
                <c:pt idx="24">
                  <c:v>1991</c:v>
                </c:pt>
                <c:pt idx="25">
                  <c:v>2405</c:v>
                </c:pt>
                <c:pt idx="26">
                  <c:v>0</c:v>
                </c:pt>
                <c:pt idx="27">
                  <c:v>0</c:v>
                </c:pt>
                <c:pt idx="28">
                  <c:v>0</c:v>
                </c:pt>
                <c:pt idx="29">
                  <c:v>0</c:v>
                </c:pt>
                <c:pt idx="30">
                  <c:v>0</c:v>
                </c:pt>
              </c:numCache>
            </c:numRef>
          </c:val>
          <c:smooth val="0"/>
          <c:extLst>
            <c:ext xmlns:c16="http://schemas.microsoft.com/office/drawing/2014/chart" uri="{C3380CC4-5D6E-409C-BE32-E72D297353CC}">
              <c16:uniqueId val="{00000000-86F4-416F-93B9-93C58C964ABF}"/>
            </c:ext>
          </c:extLst>
        </c:ser>
        <c:ser>
          <c:idx val="1"/>
          <c:order val="1"/>
          <c:tx>
            <c:v>POZO 11</c:v>
          </c:tx>
          <c:spPr>
            <a:solidFill>
              <a:schemeClr val="accent2"/>
            </a:solidFill>
            <a:ln>
              <a:noFill/>
            </a:ln>
            <a:effectLst/>
            <a:sp3d/>
          </c:spP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BDmensual!$C$5:$C$35</c:f>
              <c:numCache>
                <c:formatCode>_-* #,##0_-;\-* #,##0_-;_-* "-"??_-;_-@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86F4-416F-93B9-93C58C964ABF}"/>
            </c:ext>
          </c:extLst>
        </c:ser>
        <c:ser>
          <c:idx val="2"/>
          <c:order val="2"/>
          <c:tx>
            <c:v>POZO 13</c:v>
          </c:tx>
          <c:spPr>
            <a:solidFill>
              <a:schemeClr val="accent3"/>
            </a:solidFill>
            <a:ln>
              <a:noFill/>
            </a:ln>
            <a:effectLst/>
            <a:sp3d/>
          </c:spP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BDmensual!$D$5:$D$35</c:f>
              <c:numCache>
                <c:formatCode>_-* #,##0_-;\-* #,##0_-;_-* "-"??_-;_-@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86F4-416F-93B9-93C58C964ABF}"/>
            </c:ext>
          </c:extLst>
        </c:ser>
        <c:ser>
          <c:idx val="3"/>
          <c:order val="3"/>
          <c:tx>
            <c:strRef>
              <c:f>BDmensual!$E$4</c:f>
              <c:strCache>
                <c:ptCount val="1"/>
                <c:pt idx="0">
                  <c:v>POZO MEDRANO</c:v>
                </c:pt>
              </c:strCache>
            </c:strRef>
          </c:tx>
          <c:spPr>
            <a:solidFill>
              <a:schemeClr val="accent4"/>
            </a:solidFill>
            <a:ln>
              <a:noFill/>
            </a:ln>
            <a:effectLst/>
            <a:sp3d/>
          </c:spPr>
          <c:val>
            <c:numRef>
              <c:f>BDmensual!$E$5:$E$35</c:f>
              <c:numCache>
                <c:formatCode>_-* #,##0_-;\-* #,##0_-;_-* "-"??_-;_-@</c:formatCode>
                <c:ptCount val="31"/>
                <c:pt idx="0">
                  <c:v>1771</c:v>
                </c:pt>
                <c:pt idx="1">
                  <c:v>1686</c:v>
                </c:pt>
                <c:pt idx="2">
                  <c:v>0</c:v>
                </c:pt>
                <c:pt idx="3">
                  <c:v>0</c:v>
                </c:pt>
                <c:pt idx="4">
                  <c:v>0</c:v>
                </c:pt>
                <c:pt idx="5">
                  <c:v>2577</c:v>
                </c:pt>
                <c:pt idx="6">
                  <c:v>795</c:v>
                </c:pt>
                <c:pt idx="7">
                  <c:v>37</c:v>
                </c:pt>
                <c:pt idx="8">
                  <c:v>0</c:v>
                </c:pt>
                <c:pt idx="9">
                  <c:v>0</c:v>
                </c:pt>
                <c:pt idx="10">
                  <c:v>0</c:v>
                </c:pt>
                <c:pt idx="11">
                  <c:v>0</c:v>
                </c:pt>
                <c:pt idx="12">
                  <c:v>406</c:v>
                </c:pt>
                <c:pt idx="13">
                  <c:v>0</c:v>
                </c:pt>
                <c:pt idx="14">
                  <c:v>100</c:v>
                </c:pt>
                <c:pt idx="15">
                  <c:v>0</c:v>
                </c:pt>
                <c:pt idx="16">
                  <c:v>53</c:v>
                </c:pt>
                <c:pt idx="17">
                  <c:v>0</c:v>
                </c:pt>
                <c:pt idx="18">
                  <c:v>0</c:v>
                </c:pt>
                <c:pt idx="19">
                  <c:v>0</c:v>
                </c:pt>
                <c:pt idx="20">
                  <c:v>1167</c:v>
                </c:pt>
                <c:pt idx="21">
                  <c:v>812</c:v>
                </c:pt>
                <c:pt idx="22">
                  <c:v>386</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0FBE-43E1-AF4E-F1ED969C0279}"/>
            </c:ext>
          </c:extLst>
        </c:ser>
        <c:ser>
          <c:idx val="4"/>
          <c:order val="4"/>
          <c:tx>
            <c:strRef>
              <c:f>BDmensual!$I$4</c:f>
              <c:strCache>
                <c:ptCount val="1"/>
                <c:pt idx="0">
                  <c:v>POZO CBAJA</c:v>
                </c:pt>
              </c:strCache>
            </c:strRef>
          </c:tx>
          <c:spPr>
            <a:solidFill>
              <a:schemeClr val="accent5"/>
            </a:solidFill>
            <a:ln>
              <a:noFill/>
            </a:ln>
            <a:effectLst/>
            <a:sp3d/>
          </c:spPr>
          <c:val>
            <c:numRef>
              <c:f>BDmensual!$I$5:$I$35</c:f>
              <c:numCache>
                <c:formatCode>_-* #,##0_-;\-* #,##0_-;_-* "-"??_-;_-@</c:formatCode>
                <c:ptCount val="31"/>
                <c:pt idx="0">
                  <c:v>1959</c:v>
                </c:pt>
                <c:pt idx="1">
                  <c:v>2043</c:v>
                </c:pt>
                <c:pt idx="2">
                  <c:v>2528</c:v>
                </c:pt>
                <c:pt idx="3">
                  <c:v>2529</c:v>
                </c:pt>
                <c:pt idx="4">
                  <c:v>1384</c:v>
                </c:pt>
                <c:pt idx="5">
                  <c:v>2541</c:v>
                </c:pt>
                <c:pt idx="6">
                  <c:v>1801</c:v>
                </c:pt>
                <c:pt idx="7">
                  <c:v>2570</c:v>
                </c:pt>
                <c:pt idx="8">
                  <c:v>2545</c:v>
                </c:pt>
                <c:pt idx="9">
                  <c:v>2518</c:v>
                </c:pt>
                <c:pt idx="10">
                  <c:v>2468</c:v>
                </c:pt>
                <c:pt idx="11">
                  <c:v>2531</c:v>
                </c:pt>
                <c:pt idx="12">
                  <c:v>2570</c:v>
                </c:pt>
                <c:pt idx="13">
                  <c:v>1439</c:v>
                </c:pt>
                <c:pt idx="14">
                  <c:v>2512</c:v>
                </c:pt>
                <c:pt idx="15">
                  <c:v>2425</c:v>
                </c:pt>
                <c:pt idx="16">
                  <c:v>2546</c:v>
                </c:pt>
                <c:pt idx="17">
                  <c:v>2555</c:v>
                </c:pt>
                <c:pt idx="18">
                  <c:v>2547</c:v>
                </c:pt>
                <c:pt idx="19">
                  <c:v>2594</c:v>
                </c:pt>
                <c:pt idx="20">
                  <c:v>2465</c:v>
                </c:pt>
                <c:pt idx="21">
                  <c:v>2605</c:v>
                </c:pt>
                <c:pt idx="22">
                  <c:v>2503</c:v>
                </c:pt>
                <c:pt idx="23">
                  <c:v>2571</c:v>
                </c:pt>
                <c:pt idx="24">
                  <c:v>2536</c:v>
                </c:pt>
                <c:pt idx="25">
                  <c:v>2513</c:v>
                </c:pt>
                <c:pt idx="26">
                  <c:v>0</c:v>
                </c:pt>
                <c:pt idx="27">
                  <c:v>0</c:v>
                </c:pt>
                <c:pt idx="28">
                  <c:v>0</c:v>
                </c:pt>
                <c:pt idx="29">
                  <c:v>0</c:v>
                </c:pt>
                <c:pt idx="30">
                  <c:v>0</c:v>
                </c:pt>
              </c:numCache>
            </c:numRef>
          </c:val>
          <c:smooth val="0"/>
          <c:extLst>
            <c:ext xmlns:c16="http://schemas.microsoft.com/office/drawing/2014/chart" uri="{C3380CC4-5D6E-409C-BE32-E72D297353CC}">
              <c16:uniqueId val="{00000003-0FBE-43E1-AF4E-F1ED969C0279}"/>
            </c:ext>
          </c:extLst>
        </c:ser>
        <c:ser>
          <c:idx val="6"/>
          <c:order val="5"/>
          <c:tx>
            <c:strRef>
              <c:f>BDmensual!$K$4</c:f>
              <c:strCache>
                <c:ptCount val="1"/>
                <c:pt idx="0">
                  <c:v>POZO TAMBO</c:v>
                </c:pt>
              </c:strCache>
            </c:strRef>
          </c:tx>
          <c:spPr>
            <a:solidFill>
              <a:schemeClr val="accent1">
                <a:lumMod val="60000"/>
              </a:schemeClr>
            </a:solidFill>
            <a:ln>
              <a:noFill/>
            </a:ln>
            <a:effectLst/>
            <a:sp3d/>
          </c:spPr>
          <c:val>
            <c:numRef>
              <c:f>BDmensual!$K$5:$K$35</c:f>
              <c:numCache>
                <c:formatCode>_-* #,##0_-;\-* #,##0_-;_-* "-"??_-;_-@</c:formatCode>
                <c:ptCount val="31"/>
                <c:pt idx="0">
                  <c:v>668</c:v>
                </c:pt>
                <c:pt idx="1">
                  <c:v>583</c:v>
                </c:pt>
                <c:pt idx="2">
                  <c:v>573</c:v>
                </c:pt>
                <c:pt idx="3">
                  <c:v>677</c:v>
                </c:pt>
                <c:pt idx="4">
                  <c:v>703</c:v>
                </c:pt>
                <c:pt idx="5">
                  <c:v>714</c:v>
                </c:pt>
                <c:pt idx="6">
                  <c:v>903</c:v>
                </c:pt>
                <c:pt idx="7">
                  <c:v>584</c:v>
                </c:pt>
                <c:pt idx="8">
                  <c:v>865</c:v>
                </c:pt>
                <c:pt idx="9">
                  <c:v>675</c:v>
                </c:pt>
                <c:pt idx="10">
                  <c:v>673</c:v>
                </c:pt>
                <c:pt idx="11">
                  <c:v>691</c:v>
                </c:pt>
                <c:pt idx="12">
                  <c:v>724</c:v>
                </c:pt>
                <c:pt idx="13">
                  <c:v>0</c:v>
                </c:pt>
                <c:pt idx="14">
                  <c:v>0</c:v>
                </c:pt>
                <c:pt idx="15">
                  <c:v>0</c:v>
                </c:pt>
                <c:pt idx="16">
                  <c:v>0</c:v>
                </c:pt>
                <c:pt idx="17">
                  <c:v>0</c:v>
                </c:pt>
                <c:pt idx="18">
                  <c:v>0</c:v>
                </c:pt>
                <c:pt idx="19">
                  <c:v>396</c:v>
                </c:pt>
                <c:pt idx="20">
                  <c:v>802</c:v>
                </c:pt>
                <c:pt idx="21">
                  <c:v>747</c:v>
                </c:pt>
                <c:pt idx="22">
                  <c:v>736</c:v>
                </c:pt>
                <c:pt idx="23">
                  <c:v>729</c:v>
                </c:pt>
                <c:pt idx="24">
                  <c:v>627</c:v>
                </c:pt>
                <c:pt idx="25">
                  <c:v>676</c:v>
                </c:pt>
                <c:pt idx="26">
                  <c:v>0</c:v>
                </c:pt>
                <c:pt idx="27">
                  <c:v>0</c:v>
                </c:pt>
                <c:pt idx="28">
                  <c:v>0</c:v>
                </c:pt>
                <c:pt idx="29">
                  <c:v>0</c:v>
                </c:pt>
                <c:pt idx="30">
                  <c:v>0</c:v>
                </c:pt>
              </c:numCache>
            </c:numRef>
          </c:val>
          <c:smooth val="0"/>
          <c:extLst>
            <c:ext xmlns:c16="http://schemas.microsoft.com/office/drawing/2014/chart" uri="{C3380CC4-5D6E-409C-BE32-E72D297353CC}">
              <c16:uniqueId val="{00000005-0FBE-43E1-AF4E-F1ED969C0279}"/>
            </c:ext>
          </c:extLst>
        </c:ser>
        <c:ser>
          <c:idx val="5"/>
          <c:order val="6"/>
          <c:tx>
            <c:strRef>
              <c:f>BDmensual!$G$4</c:f>
              <c:strCache>
                <c:ptCount val="1"/>
                <c:pt idx="0">
                  <c:v>PTAP PORTACHUELOS</c:v>
                </c:pt>
              </c:strCache>
            </c:strRef>
          </c:tx>
          <c:spPr>
            <a:solidFill>
              <a:schemeClr val="accent6"/>
            </a:solidFill>
            <a:ln>
              <a:noFill/>
            </a:ln>
            <a:effectLst/>
            <a:sp3d/>
          </c:spPr>
          <c:val>
            <c:numRef>
              <c:f>BDmensual!$G$5:$G$35</c:f>
              <c:numCache>
                <c:formatCode>_-* #,##0_-;\-* #,##0_-;_-* "-"??_-;_-@</c:formatCode>
                <c:ptCount val="31"/>
                <c:pt idx="0">
                  <c:v>5382</c:v>
                </c:pt>
                <c:pt idx="1">
                  <c:v>3910</c:v>
                </c:pt>
                <c:pt idx="2">
                  <c:v>4550</c:v>
                </c:pt>
                <c:pt idx="3">
                  <c:v>94</c:v>
                </c:pt>
                <c:pt idx="4">
                  <c:v>87</c:v>
                </c:pt>
                <c:pt idx="5">
                  <c:v>1238</c:v>
                </c:pt>
                <c:pt idx="6">
                  <c:v>5362.4000000003725</c:v>
                </c:pt>
                <c:pt idx="7">
                  <c:v>5609.5999999996275</c:v>
                </c:pt>
                <c:pt idx="8">
                  <c:v>5891</c:v>
                </c:pt>
                <c:pt idx="9">
                  <c:v>6115</c:v>
                </c:pt>
                <c:pt idx="10">
                  <c:v>5399</c:v>
                </c:pt>
                <c:pt idx="11">
                  <c:v>6099</c:v>
                </c:pt>
                <c:pt idx="12">
                  <c:v>5389</c:v>
                </c:pt>
                <c:pt idx="13">
                  <c:v>5394</c:v>
                </c:pt>
                <c:pt idx="14">
                  <c:v>5637</c:v>
                </c:pt>
                <c:pt idx="15">
                  <c:v>5415</c:v>
                </c:pt>
                <c:pt idx="16">
                  <c:v>5712</c:v>
                </c:pt>
                <c:pt idx="17">
                  <c:v>5456</c:v>
                </c:pt>
                <c:pt idx="18">
                  <c:v>5624</c:v>
                </c:pt>
                <c:pt idx="19">
                  <c:v>5599</c:v>
                </c:pt>
                <c:pt idx="20">
                  <c:v>4681</c:v>
                </c:pt>
                <c:pt idx="21">
                  <c:v>5837</c:v>
                </c:pt>
                <c:pt idx="22">
                  <c:v>6605</c:v>
                </c:pt>
                <c:pt idx="23">
                  <c:v>6897</c:v>
                </c:pt>
                <c:pt idx="24">
                  <c:v>5616</c:v>
                </c:pt>
                <c:pt idx="25">
                  <c:v>6478</c:v>
                </c:pt>
                <c:pt idx="26">
                  <c:v>0</c:v>
                </c:pt>
                <c:pt idx="27">
                  <c:v>0</c:v>
                </c:pt>
                <c:pt idx="28">
                  <c:v>0</c:v>
                </c:pt>
                <c:pt idx="29">
                  <c:v>0</c:v>
                </c:pt>
                <c:pt idx="30">
                  <c:v>0</c:v>
                </c:pt>
              </c:numCache>
            </c:numRef>
          </c:val>
          <c:smooth val="0"/>
          <c:extLst>
            <c:ext xmlns:c16="http://schemas.microsoft.com/office/drawing/2014/chart" uri="{C3380CC4-5D6E-409C-BE32-E72D297353CC}">
              <c16:uniqueId val="{00000001-05EB-4972-99E2-8B124A97FE11}"/>
            </c:ext>
          </c:extLst>
        </c:ser>
        <c:ser>
          <c:idx val="7"/>
          <c:order val="7"/>
          <c:tx>
            <c:strRef>
              <c:f>BDmensual!$H$4</c:f>
              <c:strCache>
                <c:ptCount val="1"/>
                <c:pt idx="0">
                  <c:v>GF NARANJAL</c:v>
                </c:pt>
              </c:strCache>
            </c:strRef>
          </c:tx>
          <c:spPr>
            <a:solidFill>
              <a:schemeClr val="accent2">
                <a:lumMod val="60000"/>
              </a:schemeClr>
            </a:solidFill>
            <a:ln>
              <a:noFill/>
            </a:ln>
            <a:effectLst/>
            <a:sp3d/>
          </c:spPr>
          <c:val>
            <c:numRef>
              <c:f>BDmensual!$H$5:$H$35</c:f>
              <c:numCache>
                <c:formatCode>_-* #,##0_-;\-* #,##0_-;_-* "-"??_-;_-@</c:formatCode>
                <c:ptCount val="31"/>
                <c:pt idx="0">
                  <c:v>3456</c:v>
                </c:pt>
                <c:pt idx="1">
                  <c:v>3456</c:v>
                </c:pt>
                <c:pt idx="2">
                  <c:v>3456</c:v>
                </c:pt>
                <c:pt idx="3">
                  <c:v>3456</c:v>
                </c:pt>
                <c:pt idx="4">
                  <c:v>3456</c:v>
                </c:pt>
                <c:pt idx="5">
                  <c:v>3456</c:v>
                </c:pt>
                <c:pt idx="6">
                  <c:v>3456</c:v>
                </c:pt>
                <c:pt idx="7">
                  <c:v>3456</c:v>
                </c:pt>
                <c:pt idx="8">
                  <c:v>3456</c:v>
                </c:pt>
                <c:pt idx="9">
                  <c:v>3456</c:v>
                </c:pt>
                <c:pt idx="10">
                  <c:v>3456</c:v>
                </c:pt>
                <c:pt idx="11">
                  <c:v>3456</c:v>
                </c:pt>
                <c:pt idx="12">
                  <c:v>3456</c:v>
                </c:pt>
                <c:pt idx="13">
                  <c:v>3456</c:v>
                </c:pt>
                <c:pt idx="14">
                  <c:v>3456</c:v>
                </c:pt>
                <c:pt idx="15">
                  <c:v>3456</c:v>
                </c:pt>
                <c:pt idx="16">
                  <c:v>3456</c:v>
                </c:pt>
                <c:pt idx="17">
                  <c:v>3456</c:v>
                </c:pt>
                <c:pt idx="18">
                  <c:v>3456</c:v>
                </c:pt>
                <c:pt idx="19">
                  <c:v>3456</c:v>
                </c:pt>
                <c:pt idx="20">
                  <c:v>3456</c:v>
                </c:pt>
                <c:pt idx="21">
                  <c:v>3456</c:v>
                </c:pt>
                <c:pt idx="22">
                  <c:v>3456</c:v>
                </c:pt>
                <c:pt idx="23">
                  <c:v>3456</c:v>
                </c:pt>
                <c:pt idx="24">
                  <c:v>3456</c:v>
                </c:pt>
                <c:pt idx="25">
                  <c:v>3456</c:v>
                </c:pt>
                <c:pt idx="26">
                  <c:v>0</c:v>
                </c:pt>
                <c:pt idx="27">
                  <c:v>0</c:v>
                </c:pt>
                <c:pt idx="28">
                  <c:v>0</c:v>
                </c:pt>
                <c:pt idx="29">
                  <c:v>0</c:v>
                </c:pt>
                <c:pt idx="30">
                  <c:v>0</c:v>
                </c:pt>
              </c:numCache>
            </c:numRef>
          </c:val>
          <c:smooth val="0"/>
          <c:extLst>
            <c:ext xmlns:c16="http://schemas.microsoft.com/office/drawing/2014/chart" uri="{C3380CC4-5D6E-409C-BE32-E72D297353CC}">
              <c16:uniqueId val="{00000002-05EB-4972-99E2-8B124A97FE11}"/>
            </c:ext>
          </c:extLst>
        </c:ser>
        <c:dLbls>
          <c:showLegendKey val="0"/>
          <c:showVal val="0"/>
          <c:showCatName val="0"/>
          <c:showSerName val="0"/>
          <c:showPercent val="0"/>
          <c:showBubbleSize val="0"/>
        </c:dLbls>
        <c:axId val="826727763"/>
        <c:axId val="1536274367"/>
        <c:axId val="1097845184"/>
      </c:line3DChart>
      <c:dateAx>
        <c:axId val="826727763"/>
        <c:scaling>
          <c:orientation val="minMax"/>
        </c:scaling>
        <c:delete val="0"/>
        <c:axPos val="b"/>
        <c:title>
          <c:tx>
            <c:rich>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xPr>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txPr>
        </c:title>
        <c:numFmt formatCode="m/d/yyyy" sourceLinked="1"/>
        <c:majorTickMark val="out"/>
        <c:minorTickMark val="none"/>
        <c:tickLblPos val="nextTo"/>
        <c:spPr>
          <a:noFill/>
          <a:ln w="6350" cap="flat" cmpd="sng" algn="ctr">
            <a:solidFill>
              <a:schemeClr val="tx1"/>
            </a:solidFill>
            <a:prstDash val="solid"/>
            <a:round/>
          </a:ln>
          <a:effectLst/>
        </c:spPr>
        <c:txPr>
          <a:bodyPr rot="-5400000" spcFirstLastPara="1" vertOverflow="ellipsis" wrap="square" anchor="ctr" anchorCtr="1"/>
          <a:lstStyle/>
          <a:p>
            <a:pPr lvl="0">
              <a:defRPr sz="900" b="0" i="0" u="none" strike="noStrike" kern="1200" baseline="0">
                <a:solidFill>
                  <a:srgbClr val="000000"/>
                </a:solidFill>
                <a:latin typeface="+mn-lt"/>
                <a:ea typeface="+mn-ea"/>
                <a:cs typeface="+mn-cs"/>
              </a:defRPr>
            </a:pPr>
            <a:endParaRPr lang="es-PE"/>
          </a:p>
        </c:txPr>
        <c:crossAx val="1536274367"/>
        <c:crosses val="autoZero"/>
        <c:auto val="1"/>
        <c:lblOffset val="100"/>
        <c:baseTimeUnit val="days"/>
      </c:dateAx>
      <c:valAx>
        <c:axId val="1536274367"/>
        <c:scaling>
          <c:orientation val="minMax"/>
        </c:scaling>
        <c:delete val="0"/>
        <c:axPos val="l"/>
        <c:majorGridlines>
          <c:spPr>
            <a:ln w="6350" cap="flat" cmpd="sng" algn="ctr">
              <a:solidFill>
                <a:srgbClr val="B7B7B7"/>
              </a:solidFill>
              <a:prstDash val="solid"/>
              <a:round/>
            </a:ln>
            <a:effectLst/>
          </c:spPr>
        </c:majorGridlines>
        <c:title>
          <c:tx>
            <c:rich>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rich>
          </c:tx>
          <c:overlay val="0"/>
          <c:spPr>
            <a:noFill/>
            <a:ln>
              <a:noFill/>
            </a:ln>
            <a:effectLst/>
          </c:spPr>
          <c:txPr>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s-PE"/>
            </a:p>
          </c:txPr>
        </c:title>
        <c:numFmt formatCode="_-* #,##0_-;\-* #,##0_-;_-* &quot;-&quot;??_-;_-@"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s-PE"/>
          </a:p>
        </c:txPr>
        <c:crossAx val="826727763"/>
        <c:crosses val="autoZero"/>
        <c:crossBetween val="between"/>
      </c:valAx>
      <c:serAx>
        <c:axId val="1097845184"/>
        <c:scaling>
          <c:orientation val="minMax"/>
        </c:scaling>
        <c:delete val="0"/>
        <c:axPos val="b"/>
        <c:majorTickMark val="out"/>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PE"/>
          </a:p>
        </c:txPr>
        <c:crossAx val="1536274367"/>
        <c:crosses val="autoZero"/>
      </c:serAx>
      <c:spPr>
        <a:solidFill>
          <a:schemeClr val="bg2"/>
        </a:solidFill>
        <a:ln>
          <a:noFill/>
        </a:ln>
        <a:effectLst/>
      </c:spPr>
    </c:plotArea>
    <c:legend>
      <c:legendPos val="b"/>
      <c:overlay val="0"/>
      <c:spPr>
        <a:noFill/>
        <a:ln>
          <a:noFill/>
        </a:ln>
        <a:effectLst/>
      </c:spPr>
      <c:txPr>
        <a:bodyPr rot="0" spcFirstLastPara="1" vertOverflow="ellipsis" vert="horz" wrap="square" anchor="ctr" anchorCtr="1"/>
        <a:lstStyle/>
        <a:p>
          <a:pPr lvl="0">
            <a:defRPr sz="900" b="0" i="0" u="none" strike="noStrike" kern="1200" baseline="0">
              <a:solidFill>
                <a:srgbClr val="1A1A1A"/>
              </a:solidFill>
              <a:latin typeface="+mn-lt"/>
              <a:ea typeface="+mn-ea"/>
              <a:cs typeface="+mn-cs"/>
            </a:defRPr>
          </a:pPr>
          <a:endParaRPr lang="es-PE"/>
        </a:p>
      </c:txPr>
    </c:legend>
    <c:plotVisOnly val="1"/>
    <c:dispBlanksAs val="zero"/>
    <c:showDLblsOverMax val="1"/>
  </c:chart>
  <c:spPr>
    <a:solidFill>
      <a:schemeClr val="accent3"/>
    </a:solidFill>
    <a:ln w="6350" cap="flat" cmpd="sng" algn="ctr">
      <a:solidFill>
        <a:schemeClr val="tx1"/>
      </a:solidFill>
      <a:prstDash val="solid"/>
      <a:round/>
    </a:ln>
    <a:effectLst/>
  </c:spPr>
  <c:txPr>
    <a:bodyPr/>
    <a:lstStyle/>
    <a:p>
      <a:pPr>
        <a:defRPr/>
      </a:pPr>
      <a:endParaRPr lang="es-P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r>
              <a:rPr lang="es-PE"/>
              <a:t>VOLUMEN acumulado</a:t>
            </a:r>
            <a:r>
              <a:rPr lang="es-PE" baseline="0"/>
              <a:t> mensual </a:t>
            </a:r>
            <a:r>
              <a:rPr lang="es-PE"/>
              <a:t>REPARTIDO CISTERNAS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s-PE"/>
        </a:p>
      </c:txPr>
    </c:title>
    <c:autoTitleDeleted val="0"/>
    <c:plotArea>
      <c:layout>
        <c:manualLayout>
          <c:layoutTarget val="inner"/>
          <c:xMode val="edge"/>
          <c:yMode val="edge"/>
          <c:x val="7.5988710331366865E-2"/>
          <c:y val="0.16439775178921376"/>
          <c:w val="0.90205741010224194"/>
          <c:h val="0.62348300278617919"/>
        </c:manualLayout>
      </c:layout>
      <c:barChart>
        <c:barDir val="col"/>
        <c:grouping val="clustered"/>
        <c:varyColors val="1"/>
        <c:ser>
          <c:idx val="0"/>
          <c:order val="0"/>
          <c:tx>
            <c:strRef>
              <c:f>BDmensual!$R$4</c:f>
              <c:strCache>
                <c:ptCount val="1"/>
                <c:pt idx="0">
                  <c:v>TOTAL</c:v>
                </c:pt>
              </c:strCache>
            </c:strRef>
          </c:tx>
          <c:spPr>
            <a:solidFill>
              <a:schemeClr val="accent1"/>
            </a:solidFill>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D34-43BC-99F1-4472C5F9A33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A-C30D-4A89-B703-874EDD615D0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2D34-43BC-99F1-4472C5F9A33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2D34-43BC-99F1-4472C5F9A337}"/>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2D34-43BC-99F1-4472C5F9A337}"/>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2D34-43BC-99F1-4472C5F9A337}"/>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D-2D34-43BC-99F1-4472C5F9A337}"/>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F-2D34-43BC-99F1-4472C5F9A337}"/>
              </c:ext>
            </c:extLst>
          </c:dPt>
          <c:dPt>
            <c:idx val="8"/>
            <c:invertIfNegative val="0"/>
            <c:bubble3D val="0"/>
            <c:spPr>
              <a:solidFill>
                <a:schemeClr val="accent1"/>
              </a:solidFill>
              <a:ln>
                <a:noFill/>
              </a:ln>
              <a:effectLst/>
            </c:spPr>
            <c:extLst>
              <c:ext xmlns:c16="http://schemas.microsoft.com/office/drawing/2014/chart" uri="{C3380CC4-5D6E-409C-BE32-E72D297353CC}">
                <c16:uniqueId val="{00000011-2D34-43BC-99F1-4472C5F9A337}"/>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3-2D34-43BC-99F1-4472C5F9A337}"/>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15-2D34-43BC-99F1-4472C5F9A337}"/>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17-2D34-43BC-99F1-4472C5F9A337}"/>
              </c:ext>
            </c:extLst>
          </c:dPt>
          <c:dPt>
            <c:idx val="12"/>
            <c:invertIfNegative val="0"/>
            <c:bubble3D val="0"/>
            <c:spPr>
              <a:solidFill>
                <a:schemeClr val="accent1"/>
              </a:solidFill>
              <a:ln>
                <a:noFill/>
              </a:ln>
              <a:effectLst/>
            </c:spPr>
            <c:extLst>
              <c:ext xmlns:c16="http://schemas.microsoft.com/office/drawing/2014/chart" uri="{C3380CC4-5D6E-409C-BE32-E72D297353CC}">
                <c16:uniqueId val="{00000019-2D34-43BC-99F1-4472C5F9A337}"/>
              </c:ext>
            </c:extLst>
          </c:dPt>
          <c:dPt>
            <c:idx val="13"/>
            <c:invertIfNegative val="0"/>
            <c:bubble3D val="0"/>
            <c:spPr>
              <a:solidFill>
                <a:schemeClr val="accent1"/>
              </a:solidFill>
              <a:ln>
                <a:noFill/>
              </a:ln>
              <a:effectLst/>
            </c:spPr>
            <c:extLst>
              <c:ext xmlns:c16="http://schemas.microsoft.com/office/drawing/2014/chart" uri="{C3380CC4-5D6E-409C-BE32-E72D297353CC}">
                <c16:uniqueId val="{0000001B-2D34-43BC-99F1-4472C5F9A337}"/>
              </c:ext>
            </c:extLst>
          </c:dPt>
          <c:dPt>
            <c:idx val="14"/>
            <c:invertIfNegative val="0"/>
            <c:bubble3D val="0"/>
            <c:spPr>
              <a:solidFill>
                <a:schemeClr val="accent1"/>
              </a:solidFill>
              <a:ln>
                <a:noFill/>
              </a:ln>
              <a:effectLst/>
            </c:spPr>
            <c:extLst>
              <c:ext xmlns:c16="http://schemas.microsoft.com/office/drawing/2014/chart" uri="{C3380CC4-5D6E-409C-BE32-E72D297353CC}">
                <c16:uniqueId val="{0000001D-2D34-43BC-99F1-4472C5F9A337}"/>
              </c:ext>
            </c:extLst>
          </c:dPt>
          <c:dPt>
            <c:idx val="15"/>
            <c:invertIfNegative val="0"/>
            <c:bubble3D val="0"/>
            <c:spPr>
              <a:solidFill>
                <a:schemeClr val="accent1"/>
              </a:solidFill>
              <a:ln>
                <a:noFill/>
              </a:ln>
              <a:effectLst/>
            </c:spPr>
            <c:extLst>
              <c:ext xmlns:c16="http://schemas.microsoft.com/office/drawing/2014/chart" uri="{C3380CC4-5D6E-409C-BE32-E72D297353CC}">
                <c16:uniqueId val="{0000001F-2D34-43BC-99F1-4472C5F9A337}"/>
              </c:ext>
            </c:extLst>
          </c:dPt>
          <c:dPt>
            <c:idx val="16"/>
            <c:invertIfNegative val="0"/>
            <c:bubble3D val="0"/>
            <c:spPr>
              <a:solidFill>
                <a:schemeClr val="accent1"/>
              </a:solidFill>
              <a:ln>
                <a:noFill/>
              </a:ln>
              <a:effectLst/>
            </c:spPr>
            <c:extLst>
              <c:ext xmlns:c16="http://schemas.microsoft.com/office/drawing/2014/chart" uri="{C3380CC4-5D6E-409C-BE32-E72D297353CC}">
                <c16:uniqueId val="{00000021-2D34-43BC-99F1-4472C5F9A337}"/>
              </c:ext>
            </c:extLst>
          </c:dPt>
          <c:dPt>
            <c:idx val="17"/>
            <c:invertIfNegative val="0"/>
            <c:bubble3D val="0"/>
            <c:spPr>
              <a:solidFill>
                <a:schemeClr val="accent1"/>
              </a:solidFill>
              <a:ln>
                <a:noFill/>
              </a:ln>
              <a:effectLst/>
            </c:spPr>
            <c:extLst>
              <c:ext xmlns:c16="http://schemas.microsoft.com/office/drawing/2014/chart" uri="{C3380CC4-5D6E-409C-BE32-E72D297353CC}">
                <c16:uniqueId val="{00000023-2D34-43BC-99F1-4472C5F9A337}"/>
              </c:ext>
            </c:extLst>
          </c:dPt>
          <c:dPt>
            <c:idx val="18"/>
            <c:invertIfNegative val="0"/>
            <c:bubble3D val="0"/>
            <c:spPr>
              <a:solidFill>
                <a:schemeClr val="accent1"/>
              </a:solidFill>
              <a:ln>
                <a:noFill/>
              </a:ln>
              <a:effectLst/>
            </c:spPr>
            <c:extLst>
              <c:ext xmlns:c16="http://schemas.microsoft.com/office/drawing/2014/chart" uri="{C3380CC4-5D6E-409C-BE32-E72D297353CC}">
                <c16:uniqueId val="{00000025-2D34-43BC-99F1-4472C5F9A337}"/>
              </c:ext>
            </c:extLst>
          </c:dPt>
          <c:dPt>
            <c:idx val="19"/>
            <c:invertIfNegative val="0"/>
            <c:bubble3D val="0"/>
            <c:spPr>
              <a:solidFill>
                <a:schemeClr val="accent1"/>
              </a:solidFill>
              <a:ln>
                <a:noFill/>
              </a:ln>
              <a:effectLst/>
            </c:spPr>
            <c:extLst>
              <c:ext xmlns:c16="http://schemas.microsoft.com/office/drawing/2014/chart" uri="{C3380CC4-5D6E-409C-BE32-E72D297353CC}">
                <c16:uniqueId val="{00000027-2D34-43BC-99F1-4472C5F9A337}"/>
              </c:ext>
            </c:extLst>
          </c:dPt>
          <c:dPt>
            <c:idx val="20"/>
            <c:invertIfNegative val="0"/>
            <c:bubble3D val="0"/>
            <c:spPr>
              <a:solidFill>
                <a:schemeClr val="accent1"/>
              </a:solidFill>
              <a:ln>
                <a:noFill/>
              </a:ln>
              <a:effectLst/>
            </c:spPr>
            <c:extLst>
              <c:ext xmlns:c16="http://schemas.microsoft.com/office/drawing/2014/chart" uri="{C3380CC4-5D6E-409C-BE32-E72D297353CC}">
                <c16:uniqueId val="{00000029-2D34-43BC-99F1-4472C5F9A337}"/>
              </c:ext>
            </c:extLst>
          </c:dPt>
          <c:dPt>
            <c:idx val="21"/>
            <c:invertIfNegative val="0"/>
            <c:bubble3D val="0"/>
            <c:spPr>
              <a:solidFill>
                <a:schemeClr val="accent1"/>
              </a:solidFill>
              <a:ln>
                <a:noFill/>
              </a:ln>
              <a:effectLst/>
            </c:spPr>
            <c:extLst>
              <c:ext xmlns:c16="http://schemas.microsoft.com/office/drawing/2014/chart" uri="{C3380CC4-5D6E-409C-BE32-E72D297353CC}">
                <c16:uniqueId val="{0000002B-2D34-43BC-99F1-4472C5F9A337}"/>
              </c:ext>
            </c:extLst>
          </c:dPt>
          <c:dPt>
            <c:idx val="22"/>
            <c:invertIfNegative val="0"/>
            <c:bubble3D val="0"/>
            <c:spPr>
              <a:solidFill>
                <a:schemeClr val="accent1"/>
              </a:solidFill>
              <a:ln>
                <a:noFill/>
              </a:ln>
              <a:effectLst/>
            </c:spPr>
            <c:extLst>
              <c:ext xmlns:c16="http://schemas.microsoft.com/office/drawing/2014/chart" uri="{C3380CC4-5D6E-409C-BE32-E72D297353CC}">
                <c16:uniqueId val="{0000002D-2D34-43BC-99F1-4472C5F9A337}"/>
              </c:ext>
            </c:extLst>
          </c:dPt>
          <c:dPt>
            <c:idx val="23"/>
            <c:invertIfNegative val="0"/>
            <c:bubble3D val="0"/>
            <c:spPr>
              <a:solidFill>
                <a:schemeClr val="accent1"/>
              </a:solidFill>
              <a:ln>
                <a:noFill/>
              </a:ln>
              <a:effectLst/>
            </c:spPr>
            <c:extLst>
              <c:ext xmlns:c16="http://schemas.microsoft.com/office/drawing/2014/chart" uri="{C3380CC4-5D6E-409C-BE32-E72D297353CC}">
                <c16:uniqueId val="{0000002F-2D34-43BC-99F1-4472C5F9A337}"/>
              </c:ext>
            </c:extLst>
          </c:dPt>
          <c:dPt>
            <c:idx val="24"/>
            <c:invertIfNegative val="0"/>
            <c:bubble3D val="0"/>
            <c:spPr>
              <a:solidFill>
                <a:schemeClr val="accent1"/>
              </a:solidFill>
              <a:ln>
                <a:noFill/>
              </a:ln>
              <a:effectLst/>
            </c:spPr>
            <c:extLst>
              <c:ext xmlns:c16="http://schemas.microsoft.com/office/drawing/2014/chart" uri="{C3380CC4-5D6E-409C-BE32-E72D297353CC}">
                <c16:uniqueId val="{00000031-2D34-43BC-99F1-4472C5F9A337}"/>
              </c:ext>
            </c:extLst>
          </c:dPt>
          <c:dPt>
            <c:idx val="25"/>
            <c:invertIfNegative val="0"/>
            <c:bubble3D val="0"/>
            <c:spPr>
              <a:solidFill>
                <a:schemeClr val="accent1"/>
              </a:solidFill>
              <a:ln>
                <a:noFill/>
              </a:ln>
              <a:effectLst/>
            </c:spPr>
            <c:extLst>
              <c:ext xmlns:c16="http://schemas.microsoft.com/office/drawing/2014/chart" uri="{C3380CC4-5D6E-409C-BE32-E72D297353CC}">
                <c16:uniqueId val="{00000033-2D34-43BC-99F1-4472C5F9A337}"/>
              </c:ext>
            </c:extLst>
          </c:dPt>
          <c:dPt>
            <c:idx val="26"/>
            <c:invertIfNegative val="0"/>
            <c:bubble3D val="0"/>
            <c:spPr>
              <a:solidFill>
                <a:schemeClr val="accent1"/>
              </a:solidFill>
              <a:ln>
                <a:noFill/>
              </a:ln>
              <a:effectLst/>
            </c:spPr>
            <c:extLst>
              <c:ext xmlns:c16="http://schemas.microsoft.com/office/drawing/2014/chart" uri="{C3380CC4-5D6E-409C-BE32-E72D297353CC}">
                <c16:uniqueId val="{00000035-2D34-43BC-99F1-4472C5F9A337}"/>
              </c:ext>
            </c:extLst>
          </c:dPt>
          <c:dPt>
            <c:idx val="27"/>
            <c:invertIfNegative val="0"/>
            <c:bubble3D val="0"/>
            <c:spPr>
              <a:solidFill>
                <a:schemeClr val="accent1"/>
              </a:solidFill>
              <a:ln>
                <a:noFill/>
              </a:ln>
              <a:effectLst/>
            </c:spPr>
            <c:extLst>
              <c:ext xmlns:c16="http://schemas.microsoft.com/office/drawing/2014/chart" uri="{C3380CC4-5D6E-409C-BE32-E72D297353CC}">
                <c16:uniqueId val="{00000037-2D34-43BC-99F1-4472C5F9A337}"/>
              </c:ext>
            </c:extLst>
          </c:dPt>
          <c:dPt>
            <c:idx val="28"/>
            <c:invertIfNegative val="0"/>
            <c:bubble3D val="0"/>
            <c:spPr>
              <a:solidFill>
                <a:schemeClr val="accent1"/>
              </a:solidFill>
              <a:ln>
                <a:noFill/>
              </a:ln>
              <a:effectLst/>
            </c:spPr>
            <c:extLst>
              <c:ext xmlns:c16="http://schemas.microsoft.com/office/drawing/2014/chart" uri="{C3380CC4-5D6E-409C-BE32-E72D297353CC}">
                <c16:uniqueId val="{00000039-2D34-43BC-99F1-4472C5F9A337}"/>
              </c:ext>
            </c:extLst>
          </c:dPt>
          <c:dPt>
            <c:idx val="29"/>
            <c:invertIfNegative val="0"/>
            <c:bubble3D val="0"/>
            <c:spPr>
              <a:solidFill>
                <a:schemeClr val="accent1"/>
              </a:solidFill>
              <a:ln>
                <a:noFill/>
              </a:ln>
              <a:effectLst/>
            </c:spPr>
            <c:extLst>
              <c:ext xmlns:c16="http://schemas.microsoft.com/office/drawing/2014/chart" uri="{C3380CC4-5D6E-409C-BE32-E72D297353CC}">
                <c16:uniqueId val="{0000003B-2D34-43BC-99F1-4472C5F9A337}"/>
              </c:ext>
            </c:extLst>
          </c:dPt>
          <c:dPt>
            <c:idx val="30"/>
            <c:invertIfNegative val="0"/>
            <c:bubble3D val="0"/>
            <c:spPr>
              <a:solidFill>
                <a:schemeClr val="accent1"/>
              </a:solidFill>
              <a:ln>
                <a:noFill/>
              </a:ln>
              <a:effectLst/>
            </c:spPr>
            <c:extLst>
              <c:ext xmlns:c16="http://schemas.microsoft.com/office/drawing/2014/chart" uri="{C3380CC4-5D6E-409C-BE32-E72D297353CC}">
                <c16:uniqueId val="{0000003D-2D34-43BC-99F1-4472C5F9A337}"/>
              </c:ext>
            </c:extLst>
          </c:dPt>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P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BDmensual!$R$5:$R$35</c:f>
              <c:numCache>
                <c:formatCode>General</c:formatCode>
                <c:ptCount val="31"/>
                <c:pt idx="0">
                  <c:v>68</c:v>
                </c:pt>
                <c:pt idx="1">
                  <c:v>34</c:v>
                </c:pt>
                <c:pt idx="2">
                  <c:v>0</c:v>
                </c:pt>
                <c:pt idx="3">
                  <c:v>34</c:v>
                </c:pt>
                <c:pt idx="4">
                  <c:v>68</c:v>
                </c:pt>
                <c:pt idx="5">
                  <c:v>94</c:v>
                </c:pt>
                <c:pt idx="6">
                  <c:v>86</c:v>
                </c:pt>
                <c:pt idx="7">
                  <c:v>103</c:v>
                </c:pt>
                <c:pt idx="8">
                  <c:v>86</c:v>
                </c:pt>
                <c:pt idx="9">
                  <c:v>102</c:v>
                </c:pt>
                <c:pt idx="10">
                  <c:v>34</c:v>
                </c:pt>
                <c:pt idx="11">
                  <c:v>0</c:v>
                </c:pt>
                <c:pt idx="12">
                  <c:v>111</c:v>
                </c:pt>
                <c:pt idx="13">
                  <c:v>60</c:v>
                </c:pt>
                <c:pt idx="14">
                  <c:v>68</c:v>
                </c:pt>
                <c:pt idx="15">
                  <c:v>77</c:v>
                </c:pt>
                <c:pt idx="16">
                  <c:v>68</c:v>
                </c:pt>
                <c:pt idx="17">
                  <c:v>85</c:v>
                </c:pt>
                <c:pt idx="18">
                  <c:v>34</c:v>
                </c:pt>
                <c:pt idx="19">
                  <c:v>111</c:v>
                </c:pt>
                <c:pt idx="20">
                  <c:v>111</c:v>
                </c:pt>
                <c:pt idx="21">
                  <c:v>111</c:v>
                </c:pt>
                <c:pt idx="22">
                  <c:v>103</c:v>
                </c:pt>
                <c:pt idx="23">
                  <c:v>77</c:v>
                </c:pt>
                <c:pt idx="24">
                  <c:v>43</c:v>
                </c:pt>
                <c:pt idx="25">
                  <c:v>0</c:v>
                </c:pt>
                <c:pt idx="26">
                  <c:v>0</c:v>
                </c:pt>
                <c:pt idx="27">
                  <c:v>0</c:v>
                </c:pt>
                <c:pt idx="28">
                  <c:v>0</c:v>
                </c:pt>
                <c:pt idx="29">
                  <c:v>0</c:v>
                </c:pt>
                <c:pt idx="30">
                  <c:v>0</c:v>
                </c:pt>
              </c:numCache>
            </c:numRef>
          </c:val>
          <c:extLst>
            <c:ext xmlns:c16="http://schemas.microsoft.com/office/drawing/2014/chart" uri="{C3380CC4-5D6E-409C-BE32-E72D297353CC}">
              <c16:uniqueId val="{00000009-C30D-4A89-B703-874EDD615D0C}"/>
            </c:ext>
          </c:extLst>
        </c:ser>
        <c:dLbls>
          <c:dLblPos val="outEnd"/>
          <c:showLegendKey val="0"/>
          <c:showVal val="1"/>
          <c:showCatName val="0"/>
          <c:showSerName val="0"/>
          <c:showPercent val="0"/>
          <c:showBubbleSize val="0"/>
        </c:dLbls>
        <c:gapWidth val="20"/>
        <c:axId val="242705374"/>
        <c:axId val="1499389549"/>
      </c:barChart>
      <c:dateAx>
        <c:axId val="24270537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s-PE"/>
              </a:p>
            </c:rich>
          </c:tx>
          <c:overlay val="0"/>
          <c:spPr>
            <a:noFill/>
            <a:ln>
              <a:noFill/>
            </a:ln>
            <a:effectLst/>
          </c:spPr>
          <c:txPr>
            <a:bodyPr rot="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s-PE"/>
            </a:p>
          </c:txPr>
        </c:title>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1" i="0" u="none" strike="noStrike" kern="1200" cap="all" spc="120" normalizeH="0" baseline="0">
                <a:solidFill>
                  <a:sysClr val="windowText" lastClr="000000"/>
                </a:solidFill>
                <a:latin typeface="+mn-lt"/>
                <a:ea typeface="+mn-ea"/>
                <a:cs typeface="+mn-cs"/>
              </a:defRPr>
            </a:pPr>
            <a:endParaRPr lang="es-PE"/>
          </a:p>
        </c:txPr>
        <c:crossAx val="1499389549"/>
        <c:crosses val="autoZero"/>
        <c:auto val="1"/>
        <c:lblOffset val="100"/>
        <c:baseTimeUnit val="days"/>
      </c:dateAx>
      <c:valAx>
        <c:axId val="149938954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s-PE"/>
              </a:p>
            </c:rich>
          </c:tx>
          <c:overlay val="0"/>
          <c:spPr>
            <a:noFill/>
            <a:ln>
              <a:noFill/>
            </a:ln>
            <a:effectLst/>
          </c:spPr>
          <c:txPr>
            <a:bodyPr rot="-54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s-PE"/>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crossAx val="242705374"/>
        <c:crosses val="autoZero"/>
        <c:crossBetween val="between"/>
      </c:valAx>
      <c:spPr>
        <a:solidFill>
          <a:schemeClr val="bg1"/>
        </a:solidFill>
        <a:ln>
          <a:noFill/>
        </a:ln>
        <a:effectLst/>
      </c:spPr>
    </c:plotArea>
    <c:plotVisOnly val="1"/>
    <c:dispBlanksAs val="zero"/>
    <c:showDLblsOverMax val="1"/>
  </c:chart>
  <c:spPr>
    <a:solidFill>
      <a:schemeClr val="bg2">
        <a:lumMod val="65000"/>
      </a:schemeClr>
    </a:solidFill>
    <a:ln w="9525" cap="flat" cmpd="sng" algn="ctr">
      <a:solidFill>
        <a:schemeClr val="tx1">
          <a:lumMod val="95000"/>
          <a:lumOff val="5000"/>
        </a:schemeClr>
      </a:solidFill>
      <a:round/>
    </a:ln>
    <a:effectLst/>
  </c:spPr>
  <c:txPr>
    <a:bodyPr/>
    <a:lstStyle/>
    <a:p>
      <a:pPr>
        <a:defRPr>
          <a:solidFill>
            <a:sysClr val="windowText" lastClr="000000"/>
          </a:solidFill>
        </a:defRPr>
      </a:pPr>
      <a:endParaRPr lang="es-P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500" b="1" i="0">
                <a:solidFill>
                  <a:srgbClr val="000000"/>
                </a:solidFill>
                <a:latin typeface="Arial"/>
              </a:defRPr>
            </a:pPr>
            <a:r>
              <a:rPr lang="es-PE" sz="1500" b="1" i="0">
                <a:solidFill>
                  <a:srgbClr val="000000"/>
                </a:solidFill>
                <a:latin typeface="Arial"/>
              </a:rPr>
              <a:t> VOLUMEN ACUMULADO ANUAL</a:t>
            </a:r>
          </a:p>
        </c:rich>
      </c:tx>
      <c:overlay val="0"/>
    </c:title>
    <c:autoTitleDeleted val="0"/>
    <c:plotArea>
      <c:layout>
        <c:manualLayout>
          <c:layoutTarget val="inner"/>
          <c:xMode val="edge"/>
          <c:yMode val="edge"/>
          <c:x val="9.3241453098617449E-2"/>
          <c:y val="0.10865665721255875"/>
          <c:w val="0.88807489509671178"/>
          <c:h val="0.77964999966943682"/>
        </c:manualLayout>
      </c:layout>
      <c:barChart>
        <c:barDir val="col"/>
        <c:grouping val="clustered"/>
        <c:varyColors val="1"/>
        <c:ser>
          <c:idx val="0"/>
          <c:order val="0"/>
          <c:tx>
            <c:v>PRODUCCION 2024</c:v>
          </c:tx>
          <c:spPr>
            <a:solidFill>
              <a:srgbClr val="FFFF00"/>
            </a:solidFill>
            <a:ln cmpd="sng">
              <a:solidFill>
                <a:srgbClr val="000000"/>
              </a:solidFill>
            </a:ln>
          </c:spPr>
          <c:invertIfNegative val="1"/>
          <c:dPt>
            <c:idx val="11"/>
            <c:invertIfNegative val="1"/>
            <c:bubble3D val="0"/>
            <c:extLst>
              <c:ext xmlns:c16="http://schemas.microsoft.com/office/drawing/2014/chart" uri="{C3380CC4-5D6E-409C-BE32-E72D297353CC}">
                <c16:uniqueId val="{00000001-BD4D-4EBC-B0B9-6494AB61AA6D}"/>
              </c:ext>
            </c:extLst>
          </c:dPt>
          <c:dLbls>
            <c:spPr>
              <a:noFill/>
              <a:ln>
                <a:noFill/>
              </a:ln>
              <a:effectLst/>
            </c:spPr>
            <c:txPr>
              <a:bodyPr rot="-5400000" vert="horz" wrap="square" lIns="38100" tIns="19050" rIns="38100" bIns="19050" anchor="ctr">
                <a:spAutoFit/>
              </a:bodyPr>
              <a:lstStyle/>
              <a:p>
                <a:pPr>
                  <a:defRPr sz="1100" b="1"/>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RPTGO!$C$7:$N$7</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RPTGO!$C$17:$N$17</c:f>
              <c:numCache>
                <c:formatCode>#,##0</c:formatCode>
                <c:ptCount val="12"/>
                <c:pt idx="0">
                  <c:v>1395527.09801076</c:v>
                </c:pt>
                <c:pt idx="1">
                  <c:v>1276739.5797141201</c:v>
                </c:pt>
                <c:pt idx="2">
                  <c:v>1521924.3222751198</c:v>
                </c:pt>
                <c:pt idx="3">
                  <c:v>1368798</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4D-4EBC-B0B9-6494AB61AA6D}"/>
            </c:ext>
          </c:extLst>
        </c:ser>
        <c:dLbls>
          <c:showLegendKey val="0"/>
          <c:showVal val="0"/>
          <c:showCatName val="0"/>
          <c:showSerName val="0"/>
          <c:showPercent val="0"/>
          <c:showBubbleSize val="0"/>
        </c:dLbls>
        <c:gapWidth val="20"/>
        <c:axId val="1607314625"/>
        <c:axId val="1924702786"/>
      </c:barChart>
      <c:catAx>
        <c:axId val="1607314625"/>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1000" b="0" i="0">
                <a:solidFill>
                  <a:srgbClr val="000000"/>
                </a:solidFill>
                <a:latin typeface="+mn-lt"/>
              </a:defRPr>
            </a:pPr>
            <a:endParaRPr lang="es-PE"/>
          </a:p>
        </c:txPr>
        <c:crossAx val="1924702786"/>
        <c:crosses val="autoZero"/>
        <c:auto val="1"/>
        <c:lblAlgn val="ctr"/>
        <c:lblOffset val="100"/>
        <c:noMultiLvlLbl val="1"/>
      </c:catAx>
      <c:valAx>
        <c:axId val="192470278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0" sourceLinked="1"/>
        <c:majorTickMark val="none"/>
        <c:minorTickMark val="none"/>
        <c:tickLblPos val="nextTo"/>
        <c:spPr>
          <a:ln/>
        </c:spPr>
        <c:txPr>
          <a:bodyPr/>
          <a:lstStyle/>
          <a:p>
            <a:pPr lvl="0">
              <a:defRPr sz="1000" b="0" i="0">
                <a:solidFill>
                  <a:srgbClr val="000000"/>
                </a:solidFill>
                <a:latin typeface="+mn-lt"/>
              </a:defRPr>
            </a:pPr>
            <a:endParaRPr lang="es-PE"/>
          </a:p>
        </c:txPr>
        <c:crossAx val="1607314625"/>
        <c:crosses val="autoZero"/>
        <c:crossBetween val="between"/>
      </c:valAx>
    </c:plotArea>
    <c:plotVisOnly val="1"/>
    <c:dispBlanksAs val="zero"/>
    <c:showDLblsOverMax val="1"/>
  </c:chart>
  <c:spPr>
    <a:solidFill>
      <a:schemeClr val="accent3"/>
    </a:solidFill>
    <a:ln>
      <a:solidFill>
        <a:schemeClr val="tx1"/>
      </a:solidFill>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lang="es-PE" sz="1400" b="0" i="0">
                <a:solidFill>
                  <a:srgbClr val="757575"/>
                </a:solidFill>
                <a:latin typeface="+mn-lt"/>
              </a:rPr>
              <a:t>POZOS SECTOR HIJAYA</a:t>
            </a:r>
          </a:p>
        </c:rich>
      </c:tx>
      <c:overlay val="0"/>
    </c:title>
    <c:autoTitleDeleted val="0"/>
    <c:plotArea>
      <c:layout/>
      <c:lineChart>
        <c:grouping val="standard"/>
        <c:varyColors val="1"/>
        <c:ser>
          <c:idx val="0"/>
          <c:order val="0"/>
          <c:tx>
            <c:v>POZO 10</c:v>
          </c:tx>
          <c:spPr>
            <a:ln w="28575" cmpd="sng">
              <a:solidFill>
                <a:schemeClr val="accent1"/>
              </a:solidFill>
            </a:ln>
          </c:spPr>
          <c:marker>
            <c:symbol val="none"/>
          </c:marke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BDmensual!$B$5:$B$35</c:f>
              <c:numCache>
                <c:formatCode>_-* #,##0_-;\-* #,##0_-;_-* "-"??_-;_-@</c:formatCode>
                <c:ptCount val="31"/>
                <c:pt idx="0">
                  <c:v>2362</c:v>
                </c:pt>
                <c:pt idx="1">
                  <c:v>2404</c:v>
                </c:pt>
                <c:pt idx="2">
                  <c:v>2357</c:v>
                </c:pt>
                <c:pt idx="3">
                  <c:v>2395</c:v>
                </c:pt>
                <c:pt idx="4">
                  <c:v>2383</c:v>
                </c:pt>
                <c:pt idx="5">
                  <c:v>2414</c:v>
                </c:pt>
                <c:pt idx="6">
                  <c:v>2317</c:v>
                </c:pt>
                <c:pt idx="7">
                  <c:v>2368</c:v>
                </c:pt>
                <c:pt idx="8">
                  <c:v>2414</c:v>
                </c:pt>
                <c:pt idx="9">
                  <c:v>2386</c:v>
                </c:pt>
                <c:pt idx="10">
                  <c:v>2412</c:v>
                </c:pt>
                <c:pt idx="11">
                  <c:v>1923</c:v>
                </c:pt>
                <c:pt idx="12">
                  <c:v>1921</c:v>
                </c:pt>
                <c:pt idx="13">
                  <c:v>0</c:v>
                </c:pt>
                <c:pt idx="14">
                  <c:v>0</c:v>
                </c:pt>
                <c:pt idx="15">
                  <c:v>0</c:v>
                </c:pt>
                <c:pt idx="16">
                  <c:v>0</c:v>
                </c:pt>
                <c:pt idx="17">
                  <c:v>117</c:v>
                </c:pt>
                <c:pt idx="18">
                  <c:v>0</c:v>
                </c:pt>
                <c:pt idx="19">
                  <c:v>0</c:v>
                </c:pt>
                <c:pt idx="20">
                  <c:v>337</c:v>
                </c:pt>
                <c:pt idx="21">
                  <c:v>2307</c:v>
                </c:pt>
                <c:pt idx="22">
                  <c:v>2444</c:v>
                </c:pt>
                <c:pt idx="23">
                  <c:v>2427</c:v>
                </c:pt>
                <c:pt idx="24">
                  <c:v>1991</c:v>
                </c:pt>
                <c:pt idx="25">
                  <c:v>2405</c:v>
                </c:pt>
                <c:pt idx="26">
                  <c:v>0</c:v>
                </c:pt>
                <c:pt idx="27">
                  <c:v>0</c:v>
                </c:pt>
                <c:pt idx="28">
                  <c:v>0</c:v>
                </c:pt>
                <c:pt idx="29">
                  <c:v>0</c:v>
                </c:pt>
                <c:pt idx="30">
                  <c:v>0</c:v>
                </c:pt>
              </c:numCache>
            </c:numRef>
          </c:val>
          <c:smooth val="0"/>
          <c:extLst>
            <c:ext xmlns:c16="http://schemas.microsoft.com/office/drawing/2014/chart" uri="{C3380CC4-5D6E-409C-BE32-E72D297353CC}">
              <c16:uniqueId val="{00000000-0DDF-496C-A8BF-F8319F3C398F}"/>
            </c:ext>
          </c:extLst>
        </c:ser>
        <c:ser>
          <c:idx val="1"/>
          <c:order val="1"/>
          <c:tx>
            <c:v>POZO 11</c:v>
          </c:tx>
          <c:spPr>
            <a:ln w="28575" cmpd="sng">
              <a:solidFill>
                <a:schemeClr val="accent2"/>
              </a:solidFill>
            </a:ln>
          </c:spPr>
          <c:marker>
            <c:symbol val="none"/>
          </c:marke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BDmensual!$C$5:$C$35</c:f>
              <c:numCache>
                <c:formatCode>_-* #,##0_-;\-* #,##0_-;_-* "-"??_-;_-@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0DDF-496C-A8BF-F8319F3C398F}"/>
            </c:ext>
          </c:extLst>
        </c:ser>
        <c:ser>
          <c:idx val="2"/>
          <c:order val="2"/>
          <c:tx>
            <c:v>POZO 13</c:v>
          </c:tx>
          <c:spPr>
            <a:ln w="28575" cmpd="sng">
              <a:solidFill>
                <a:schemeClr val="accent3"/>
              </a:solidFill>
            </a:ln>
          </c:spPr>
          <c:marker>
            <c:symbol val="none"/>
          </c:marke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BDmensual!$D$5:$D$35</c:f>
              <c:numCache>
                <c:formatCode>_-* #,##0_-;\-* #,##0_-;_-* "-"??_-;_-@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0DDF-496C-A8BF-F8319F3C398F}"/>
            </c:ext>
          </c:extLst>
        </c:ser>
        <c:dLbls>
          <c:showLegendKey val="0"/>
          <c:showVal val="0"/>
          <c:showCatName val="0"/>
          <c:showSerName val="0"/>
          <c:showPercent val="0"/>
          <c:showBubbleSize val="0"/>
        </c:dLbls>
        <c:smooth val="0"/>
        <c:axId val="1654869195"/>
        <c:axId val="671941391"/>
      </c:lineChart>
      <c:dateAx>
        <c:axId val="1654869195"/>
        <c:scaling>
          <c:orientation val="minMax"/>
        </c:scaling>
        <c:delete val="0"/>
        <c:axPos val="b"/>
        <c:title>
          <c:tx>
            <c:rich>
              <a:bodyPr/>
              <a:lstStyle/>
              <a:p>
                <a:pPr lvl="0">
                  <a:defRPr b="0">
                    <a:solidFill>
                      <a:srgbClr val="000000"/>
                    </a:solidFill>
                    <a:latin typeface="+mn-lt"/>
                  </a:defRPr>
                </a:pPr>
                <a:endParaRPr lang="es-PE"/>
              </a:p>
            </c:rich>
          </c:tx>
          <c:overlay val="0"/>
        </c:title>
        <c:numFmt formatCode="m/d/yyyy" sourceLinked="1"/>
        <c:majorTickMark val="out"/>
        <c:minorTickMark val="none"/>
        <c:tickLblPos val="nextTo"/>
        <c:txPr>
          <a:bodyPr/>
          <a:lstStyle/>
          <a:p>
            <a:pPr lvl="0">
              <a:defRPr sz="900" b="0" i="0">
                <a:solidFill>
                  <a:srgbClr val="000000"/>
                </a:solidFill>
                <a:latin typeface="+mn-lt"/>
              </a:defRPr>
            </a:pPr>
            <a:endParaRPr lang="es-PE"/>
          </a:p>
        </c:txPr>
        <c:crossAx val="671941391"/>
        <c:crosses val="autoZero"/>
        <c:auto val="1"/>
        <c:lblOffset val="100"/>
        <c:baseTimeUnit val="days"/>
      </c:dateAx>
      <c:valAx>
        <c:axId val="67194139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_-* #,##0_-;\-* #,##0_-;_-* &quot;-&quot;??_-;_-@" sourceLinked="1"/>
        <c:majorTickMark val="none"/>
        <c:minorTickMark val="none"/>
        <c:tickLblPos val="nextTo"/>
        <c:spPr>
          <a:ln/>
        </c:spPr>
        <c:txPr>
          <a:bodyPr/>
          <a:lstStyle/>
          <a:p>
            <a:pPr lvl="0">
              <a:defRPr sz="900" b="0" i="0">
                <a:solidFill>
                  <a:srgbClr val="000000"/>
                </a:solidFill>
                <a:latin typeface="+mn-lt"/>
              </a:defRPr>
            </a:pPr>
            <a:endParaRPr lang="es-PE"/>
          </a:p>
        </c:txPr>
        <c:crossAx val="1654869195"/>
        <c:crosses val="autoZero"/>
        <c:crossBetween val="between"/>
      </c:valAx>
    </c:plotArea>
    <c:legend>
      <c:legendPos val="b"/>
      <c:overlay val="0"/>
      <c:txPr>
        <a:bodyPr/>
        <a:lstStyle/>
        <a:p>
          <a:pPr lvl="0">
            <a:defRPr sz="900" b="0" i="0">
              <a:solidFill>
                <a:srgbClr val="1A1A1A"/>
              </a:solidFill>
              <a:latin typeface="+mn-lt"/>
            </a:defRPr>
          </a:pPr>
          <a:endParaRPr lang="es-PE"/>
        </a:p>
      </c:txPr>
    </c:legend>
    <c:plotVisOnly val="1"/>
    <c:dispBlanksAs val="zero"/>
    <c:showDLblsOverMax val="1"/>
  </c:chart>
  <c:spPr>
    <a:solidFill>
      <a:schemeClr val="accent3"/>
    </a:solidFill>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lang="es-PE" sz="1400" b="0" i="0">
                <a:solidFill>
                  <a:srgbClr val="757575"/>
                </a:solidFill>
                <a:latin typeface="+mn-lt"/>
              </a:rPr>
              <a:t>POZOS SECTOR CHINCHA BAJA</a:t>
            </a:r>
          </a:p>
        </c:rich>
      </c:tx>
      <c:overlay val="0"/>
    </c:title>
    <c:autoTitleDeleted val="0"/>
    <c:plotArea>
      <c:layout/>
      <c:lineChart>
        <c:grouping val="standard"/>
        <c:varyColors val="1"/>
        <c:ser>
          <c:idx val="0"/>
          <c:order val="0"/>
          <c:tx>
            <c:v>POZO CBAJA</c:v>
          </c:tx>
          <c:spPr>
            <a:ln w="28575" cmpd="sng">
              <a:solidFill>
                <a:schemeClr val="accent1"/>
              </a:solidFill>
            </a:ln>
          </c:spPr>
          <c:marker>
            <c:symbol val="none"/>
          </c:marke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BDmensual!$I$5:$I$35</c:f>
              <c:numCache>
                <c:formatCode>_-* #,##0_-;\-* #,##0_-;_-* "-"??_-;_-@</c:formatCode>
                <c:ptCount val="31"/>
                <c:pt idx="0">
                  <c:v>1959</c:v>
                </c:pt>
                <c:pt idx="1">
                  <c:v>2043</c:v>
                </c:pt>
                <c:pt idx="2">
                  <c:v>2528</c:v>
                </c:pt>
                <c:pt idx="3">
                  <c:v>2529</c:v>
                </c:pt>
                <c:pt idx="4">
                  <c:v>1384</c:v>
                </c:pt>
                <c:pt idx="5">
                  <c:v>2541</c:v>
                </c:pt>
                <c:pt idx="6">
                  <c:v>1801</c:v>
                </c:pt>
                <c:pt idx="7">
                  <c:v>2570</c:v>
                </c:pt>
                <c:pt idx="8">
                  <c:v>2545</c:v>
                </c:pt>
                <c:pt idx="9">
                  <c:v>2518</c:v>
                </c:pt>
                <c:pt idx="10">
                  <c:v>2468</c:v>
                </c:pt>
                <c:pt idx="11">
                  <c:v>2531</c:v>
                </c:pt>
                <c:pt idx="12">
                  <c:v>2570</c:v>
                </c:pt>
                <c:pt idx="13">
                  <c:v>1439</c:v>
                </c:pt>
                <c:pt idx="14">
                  <c:v>2512</c:v>
                </c:pt>
                <c:pt idx="15">
                  <c:v>2425</c:v>
                </c:pt>
                <c:pt idx="16">
                  <c:v>2546</c:v>
                </c:pt>
                <c:pt idx="17">
                  <c:v>2555</c:v>
                </c:pt>
                <c:pt idx="18">
                  <c:v>2547</c:v>
                </c:pt>
                <c:pt idx="19">
                  <c:v>2594</c:v>
                </c:pt>
                <c:pt idx="20">
                  <c:v>2465</c:v>
                </c:pt>
                <c:pt idx="21">
                  <c:v>2605</c:v>
                </c:pt>
                <c:pt idx="22">
                  <c:v>2503</c:v>
                </c:pt>
                <c:pt idx="23">
                  <c:v>2571</c:v>
                </c:pt>
                <c:pt idx="24">
                  <c:v>2536</c:v>
                </c:pt>
                <c:pt idx="25">
                  <c:v>2513</c:v>
                </c:pt>
                <c:pt idx="26">
                  <c:v>0</c:v>
                </c:pt>
                <c:pt idx="27">
                  <c:v>0</c:v>
                </c:pt>
                <c:pt idx="28">
                  <c:v>0</c:v>
                </c:pt>
                <c:pt idx="29">
                  <c:v>0</c:v>
                </c:pt>
                <c:pt idx="30">
                  <c:v>0</c:v>
                </c:pt>
              </c:numCache>
            </c:numRef>
          </c:val>
          <c:smooth val="0"/>
          <c:extLst>
            <c:ext xmlns:c16="http://schemas.microsoft.com/office/drawing/2014/chart" uri="{C3380CC4-5D6E-409C-BE32-E72D297353CC}">
              <c16:uniqueId val="{00000000-7F9E-430B-9568-510B42477B55}"/>
            </c:ext>
          </c:extLst>
        </c:ser>
        <c:ser>
          <c:idx val="1"/>
          <c:order val="1"/>
          <c:tx>
            <c:v>POZO MORA</c:v>
          </c:tx>
          <c:spPr>
            <a:ln w="28575" cmpd="sng">
              <a:solidFill>
                <a:schemeClr val="accent2"/>
              </a:solidFill>
            </a:ln>
          </c:spPr>
          <c:marker>
            <c:symbol val="none"/>
          </c:marke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BDmensual!$J$5:$J$35</c:f>
              <c:numCache>
                <c:formatCode>_-* #,##0_-;\-* #,##0_-;_-* "-"??_-;_-@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7F9E-430B-9568-510B42477B55}"/>
            </c:ext>
          </c:extLst>
        </c:ser>
        <c:ser>
          <c:idx val="2"/>
          <c:order val="2"/>
          <c:tx>
            <c:v>POZO TAMBO</c:v>
          </c:tx>
          <c:spPr>
            <a:ln w="28575" cmpd="sng">
              <a:solidFill>
                <a:schemeClr val="accent3"/>
              </a:solidFill>
            </a:ln>
          </c:spPr>
          <c:marker>
            <c:symbol val="none"/>
          </c:marke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BDmensual!$K$5:$K$35</c:f>
              <c:numCache>
                <c:formatCode>_-* #,##0_-;\-* #,##0_-;_-* "-"??_-;_-@</c:formatCode>
                <c:ptCount val="31"/>
                <c:pt idx="0">
                  <c:v>668</c:v>
                </c:pt>
                <c:pt idx="1">
                  <c:v>583</c:v>
                </c:pt>
                <c:pt idx="2">
                  <c:v>573</c:v>
                </c:pt>
                <c:pt idx="3">
                  <c:v>677</c:v>
                </c:pt>
                <c:pt idx="4">
                  <c:v>703</c:v>
                </c:pt>
                <c:pt idx="5">
                  <c:v>714</c:v>
                </c:pt>
                <c:pt idx="6">
                  <c:v>903</c:v>
                </c:pt>
                <c:pt idx="7">
                  <c:v>584</c:v>
                </c:pt>
                <c:pt idx="8">
                  <c:v>865</c:v>
                </c:pt>
                <c:pt idx="9">
                  <c:v>675</c:v>
                </c:pt>
                <c:pt idx="10">
                  <c:v>673</c:v>
                </c:pt>
                <c:pt idx="11">
                  <c:v>691</c:v>
                </c:pt>
                <c:pt idx="12">
                  <c:v>724</c:v>
                </c:pt>
                <c:pt idx="13">
                  <c:v>0</c:v>
                </c:pt>
                <c:pt idx="14">
                  <c:v>0</c:v>
                </c:pt>
                <c:pt idx="15">
                  <c:v>0</c:v>
                </c:pt>
                <c:pt idx="16">
                  <c:v>0</c:v>
                </c:pt>
                <c:pt idx="17">
                  <c:v>0</c:v>
                </c:pt>
                <c:pt idx="18">
                  <c:v>0</c:v>
                </c:pt>
                <c:pt idx="19">
                  <c:v>396</c:v>
                </c:pt>
                <c:pt idx="20">
                  <c:v>802</c:v>
                </c:pt>
                <c:pt idx="21">
                  <c:v>747</c:v>
                </c:pt>
                <c:pt idx="22">
                  <c:v>736</c:v>
                </c:pt>
                <c:pt idx="23">
                  <c:v>729</c:v>
                </c:pt>
                <c:pt idx="24">
                  <c:v>627</c:v>
                </c:pt>
                <c:pt idx="25">
                  <c:v>676</c:v>
                </c:pt>
                <c:pt idx="26">
                  <c:v>0</c:v>
                </c:pt>
                <c:pt idx="27">
                  <c:v>0</c:v>
                </c:pt>
                <c:pt idx="28">
                  <c:v>0</c:v>
                </c:pt>
                <c:pt idx="29">
                  <c:v>0</c:v>
                </c:pt>
                <c:pt idx="30">
                  <c:v>0</c:v>
                </c:pt>
              </c:numCache>
            </c:numRef>
          </c:val>
          <c:smooth val="0"/>
          <c:extLst>
            <c:ext xmlns:c16="http://schemas.microsoft.com/office/drawing/2014/chart" uri="{C3380CC4-5D6E-409C-BE32-E72D297353CC}">
              <c16:uniqueId val="{00000002-7F9E-430B-9568-510B42477B55}"/>
            </c:ext>
          </c:extLst>
        </c:ser>
        <c:dLbls>
          <c:showLegendKey val="0"/>
          <c:showVal val="0"/>
          <c:showCatName val="0"/>
          <c:showSerName val="0"/>
          <c:showPercent val="0"/>
          <c:showBubbleSize val="0"/>
        </c:dLbls>
        <c:smooth val="0"/>
        <c:axId val="2051079197"/>
        <c:axId val="444920963"/>
      </c:lineChart>
      <c:dateAx>
        <c:axId val="2051079197"/>
        <c:scaling>
          <c:orientation val="minMax"/>
        </c:scaling>
        <c:delete val="0"/>
        <c:axPos val="b"/>
        <c:title>
          <c:tx>
            <c:rich>
              <a:bodyPr/>
              <a:lstStyle/>
              <a:p>
                <a:pPr lvl="0">
                  <a:defRPr b="0">
                    <a:solidFill>
                      <a:srgbClr val="000000"/>
                    </a:solidFill>
                    <a:latin typeface="+mn-lt"/>
                  </a:defRPr>
                </a:pPr>
                <a:endParaRPr lang="es-PE"/>
              </a:p>
            </c:rich>
          </c:tx>
          <c:overlay val="0"/>
        </c:title>
        <c:numFmt formatCode="m/d/yyyy" sourceLinked="1"/>
        <c:majorTickMark val="out"/>
        <c:minorTickMark val="none"/>
        <c:tickLblPos val="nextTo"/>
        <c:txPr>
          <a:bodyPr/>
          <a:lstStyle/>
          <a:p>
            <a:pPr lvl="0">
              <a:defRPr sz="900" b="0" i="0">
                <a:solidFill>
                  <a:srgbClr val="000000"/>
                </a:solidFill>
                <a:latin typeface="+mn-lt"/>
              </a:defRPr>
            </a:pPr>
            <a:endParaRPr lang="es-PE"/>
          </a:p>
        </c:txPr>
        <c:crossAx val="444920963"/>
        <c:crosses val="autoZero"/>
        <c:auto val="1"/>
        <c:lblOffset val="100"/>
        <c:baseTimeUnit val="days"/>
      </c:dateAx>
      <c:valAx>
        <c:axId val="44492096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_-* #,##0_-;\-* #,##0_-;_-* &quot;-&quot;??_-;_-@" sourceLinked="1"/>
        <c:majorTickMark val="none"/>
        <c:minorTickMark val="none"/>
        <c:tickLblPos val="nextTo"/>
        <c:spPr>
          <a:ln/>
        </c:spPr>
        <c:txPr>
          <a:bodyPr/>
          <a:lstStyle/>
          <a:p>
            <a:pPr lvl="0">
              <a:defRPr sz="900" b="0" i="0">
                <a:solidFill>
                  <a:srgbClr val="000000"/>
                </a:solidFill>
                <a:latin typeface="+mn-lt"/>
              </a:defRPr>
            </a:pPr>
            <a:endParaRPr lang="es-PE"/>
          </a:p>
        </c:txPr>
        <c:crossAx val="2051079197"/>
        <c:crosses val="autoZero"/>
        <c:crossBetween val="between"/>
      </c:valAx>
    </c:plotArea>
    <c:legend>
      <c:legendPos val="b"/>
      <c:overlay val="0"/>
      <c:txPr>
        <a:bodyPr/>
        <a:lstStyle/>
        <a:p>
          <a:pPr lvl="0">
            <a:defRPr sz="900" b="0" i="0">
              <a:solidFill>
                <a:srgbClr val="1A1A1A"/>
              </a:solidFill>
              <a:latin typeface="+mn-lt"/>
            </a:defRPr>
          </a:pPr>
          <a:endParaRPr lang="es-PE"/>
        </a:p>
      </c:txPr>
    </c:legend>
    <c:plotVisOnly val="1"/>
    <c:dispBlanksAs val="zero"/>
    <c:showDLblsOverMax val="1"/>
  </c:chart>
  <c:spPr>
    <a:solidFill>
      <a:schemeClr val="accent3"/>
    </a:solidFill>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0"/>
        <c:ser>
          <c:idx val="0"/>
          <c:order val="0"/>
          <c:tx>
            <c:v>GF MINAQUEROS</c:v>
          </c:tx>
          <c:spPr>
            <a:ln w="28575" cmpd="sng">
              <a:solidFill>
                <a:schemeClr val="accent1"/>
              </a:solidFill>
            </a:ln>
          </c:spPr>
          <c:marker>
            <c:symbol val="none"/>
          </c:marke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BDmensual!$F$5:$F$35</c:f>
              <c:numCache>
                <c:formatCode>_-* #,##0_-;\-* #,##0_-;_-* "-"??_-;_-@</c:formatCode>
                <c:ptCount val="31"/>
                <c:pt idx="0">
                  <c:v>32194</c:v>
                </c:pt>
                <c:pt idx="1">
                  <c:v>32342.416666666511</c:v>
                </c:pt>
                <c:pt idx="2">
                  <c:v>39237.583333333489</c:v>
                </c:pt>
                <c:pt idx="3">
                  <c:v>38377</c:v>
                </c:pt>
                <c:pt idx="4">
                  <c:v>39130</c:v>
                </c:pt>
                <c:pt idx="5">
                  <c:v>36328</c:v>
                </c:pt>
                <c:pt idx="6">
                  <c:v>38224</c:v>
                </c:pt>
                <c:pt idx="7">
                  <c:v>37257.200000000186</c:v>
                </c:pt>
                <c:pt idx="8">
                  <c:v>38559.599999999627</c:v>
                </c:pt>
                <c:pt idx="9">
                  <c:v>40308.170182680245</c:v>
                </c:pt>
                <c:pt idx="10">
                  <c:v>40839.029817319941</c:v>
                </c:pt>
                <c:pt idx="11">
                  <c:v>40314.200000000186</c:v>
                </c:pt>
                <c:pt idx="12">
                  <c:v>40549.068242359906</c:v>
                </c:pt>
                <c:pt idx="13">
                  <c:v>40671.033406639937</c:v>
                </c:pt>
                <c:pt idx="14">
                  <c:v>40369.69835099997</c:v>
                </c:pt>
                <c:pt idx="15">
                  <c:v>40105.959999999963</c:v>
                </c:pt>
                <c:pt idx="16">
                  <c:v>41304.860152560286</c:v>
                </c:pt>
                <c:pt idx="17">
                  <c:v>40924.275455319323</c:v>
                </c:pt>
                <c:pt idx="18">
                  <c:v>40392.421484200284</c:v>
                </c:pt>
                <c:pt idx="19">
                  <c:v>41714.482907920144</c:v>
                </c:pt>
                <c:pt idx="20">
                  <c:v>39349</c:v>
                </c:pt>
                <c:pt idx="21">
                  <c:v>40870</c:v>
                </c:pt>
                <c:pt idx="22">
                  <c:v>40778.94299999997</c:v>
                </c:pt>
                <c:pt idx="23">
                  <c:v>41045.05700000003</c:v>
                </c:pt>
                <c:pt idx="24">
                  <c:v>41071.599999999627</c:v>
                </c:pt>
                <c:pt idx="25">
                  <c:v>39189.400000000373</c:v>
                </c:pt>
                <c:pt idx="26">
                  <c:v>0</c:v>
                </c:pt>
                <c:pt idx="27">
                  <c:v>0</c:v>
                </c:pt>
                <c:pt idx="28">
                  <c:v>0</c:v>
                </c:pt>
                <c:pt idx="29">
                  <c:v>0</c:v>
                </c:pt>
                <c:pt idx="30">
                  <c:v>0</c:v>
                </c:pt>
              </c:numCache>
            </c:numRef>
          </c:val>
          <c:smooth val="0"/>
          <c:extLst>
            <c:ext xmlns:c16="http://schemas.microsoft.com/office/drawing/2014/chart" uri="{C3380CC4-5D6E-409C-BE32-E72D297353CC}">
              <c16:uniqueId val="{00000000-305E-4D19-B0F2-C5440C23C558}"/>
            </c:ext>
          </c:extLst>
        </c:ser>
        <c:dLbls>
          <c:showLegendKey val="0"/>
          <c:showVal val="0"/>
          <c:showCatName val="0"/>
          <c:showSerName val="0"/>
          <c:showPercent val="0"/>
          <c:showBubbleSize val="0"/>
        </c:dLbls>
        <c:smooth val="0"/>
        <c:axId val="1804641214"/>
        <c:axId val="794932310"/>
      </c:lineChart>
      <c:dateAx>
        <c:axId val="1804641214"/>
        <c:scaling>
          <c:orientation val="minMax"/>
        </c:scaling>
        <c:delete val="0"/>
        <c:axPos val="b"/>
        <c:title>
          <c:tx>
            <c:rich>
              <a:bodyPr/>
              <a:lstStyle/>
              <a:p>
                <a:pPr lvl="0">
                  <a:defRPr b="0">
                    <a:solidFill>
                      <a:srgbClr val="000000"/>
                    </a:solidFill>
                    <a:latin typeface="+mn-lt"/>
                  </a:defRPr>
                </a:pPr>
                <a:endParaRPr lang="es-PE"/>
              </a:p>
            </c:rich>
          </c:tx>
          <c:overlay val="0"/>
        </c:title>
        <c:numFmt formatCode="m/d/yyyy" sourceLinked="1"/>
        <c:majorTickMark val="out"/>
        <c:minorTickMark val="none"/>
        <c:tickLblPos val="nextTo"/>
        <c:txPr>
          <a:bodyPr/>
          <a:lstStyle/>
          <a:p>
            <a:pPr lvl="0">
              <a:defRPr sz="900" b="0" i="0">
                <a:solidFill>
                  <a:srgbClr val="000000"/>
                </a:solidFill>
                <a:latin typeface="+mn-lt"/>
              </a:defRPr>
            </a:pPr>
            <a:endParaRPr lang="es-PE"/>
          </a:p>
        </c:txPr>
        <c:crossAx val="794932310"/>
        <c:crosses val="autoZero"/>
        <c:auto val="1"/>
        <c:lblOffset val="100"/>
        <c:baseTimeUnit val="days"/>
      </c:dateAx>
      <c:valAx>
        <c:axId val="7949323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_-* #,##0_-;\-* #,##0_-;_-* &quot;-&quot;??_-;_-@" sourceLinked="1"/>
        <c:majorTickMark val="none"/>
        <c:minorTickMark val="none"/>
        <c:tickLblPos val="nextTo"/>
        <c:spPr>
          <a:ln/>
        </c:spPr>
        <c:txPr>
          <a:bodyPr/>
          <a:lstStyle/>
          <a:p>
            <a:pPr lvl="0">
              <a:defRPr sz="900" b="0" i="0">
                <a:solidFill>
                  <a:srgbClr val="000000"/>
                </a:solidFill>
                <a:latin typeface="+mn-lt"/>
              </a:defRPr>
            </a:pPr>
            <a:endParaRPr lang="es-PE"/>
          </a:p>
        </c:txPr>
        <c:crossAx val="1804641214"/>
        <c:crosses val="autoZero"/>
        <c:crossBetween val="between"/>
      </c:valAx>
    </c:plotArea>
    <c:plotVisOnly val="1"/>
    <c:dispBlanksAs val="zero"/>
    <c:showDLblsOverMax val="1"/>
  </c:chart>
  <c:spPr>
    <a:solidFill>
      <a:schemeClr val="accent3"/>
    </a:solidFill>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mn-lt"/>
              </a:defRPr>
            </a:pPr>
            <a:r>
              <a:rPr lang="es-PE" sz="1400" b="0" i="0">
                <a:solidFill>
                  <a:srgbClr val="757575"/>
                </a:solidFill>
                <a:latin typeface="+mn-lt"/>
              </a:rPr>
              <a:t>PTAP, GF NARANJAL, PZ MEDRANO</a:t>
            </a:r>
          </a:p>
        </c:rich>
      </c:tx>
      <c:overlay val="0"/>
    </c:title>
    <c:autoTitleDeleted val="0"/>
    <c:plotArea>
      <c:layout/>
      <c:lineChart>
        <c:grouping val="standard"/>
        <c:varyColors val="1"/>
        <c:ser>
          <c:idx val="0"/>
          <c:order val="0"/>
          <c:tx>
            <c:v>PTAP PORTACHUELOS</c:v>
          </c:tx>
          <c:spPr>
            <a:ln w="28575" cmpd="sng">
              <a:solidFill>
                <a:schemeClr val="accent1"/>
              </a:solidFill>
            </a:ln>
          </c:spPr>
          <c:marker>
            <c:symbol val="none"/>
          </c:marke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BDmensual!$G$5:$G$35</c:f>
              <c:numCache>
                <c:formatCode>_-* #,##0_-;\-* #,##0_-;_-* "-"??_-;_-@</c:formatCode>
                <c:ptCount val="31"/>
                <c:pt idx="0">
                  <c:v>5382</c:v>
                </c:pt>
                <c:pt idx="1">
                  <c:v>3910</c:v>
                </c:pt>
                <c:pt idx="2">
                  <c:v>4550</c:v>
                </c:pt>
                <c:pt idx="3">
                  <c:v>94</c:v>
                </c:pt>
                <c:pt idx="4">
                  <c:v>87</c:v>
                </c:pt>
                <c:pt idx="5">
                  <c:v>1238</c:v>
                </c:pt>
                <c:pt idx="6">
                  <c:v>5362.4000000003725</c:v>
                </c:pt>
                <c:pt idx="7">
                  <c:v>5609.5999999996275</c:v>
                </c:pt>
                <c:pt idx="8">
                  <c:v>5891</c:v>
                </c:pt>
                <c:pt idx="9">
                  <c:v>6115</c:v>
                </c:pt>
                <c:pt idx="10">
                  <c:v>5399</c:v>
                </c:pt>
                <c:pt idx="11">
                  <c:v>6099</c:v>
                </c:pt>
                <c:pt idx="12">
                  <c:v>5389</c:v>
                </c:pt>
                <c:pt idx="13">
                  <c:v>5394</c:v>
                </c:pt>
                <c:pt idx="14">
                  <c:v>5637</c:v>
                </c:pt>
                <c:pt idx="15">
                  <c:v>5415</c:v>
                </c:pt>
                <c:pt idx="16">
                  <c:v>5712</c:v>
                </c:pt>
                <c:pt idx="17">
                  <c:v>5456</c:v>
                </c:pt>
                <c:pt idx="18">
                  <c:v>5624</c:v>
                </c:pt>
                <c:pt idx="19">
                  <c:v>5599</c:v>
                </c:pt>
                <c:pt idx="20">
                  <c:v>4681</c:v>
                </c:pt>
                <c:pt idx="21">
                  <c:v>5837</c:v>
                </c:pt>
                <c:pt idx="22">
                  <c:v>6605</c:v>
                </c:pt>
                <c:pt idx="23">
                  <c:v>6897</c:v>
                </c:pt>
                <c:pt idx="24">
                  <c:v>5616</c:v>
                </c:pt>
                <c:pt idx="25">
                  <c:v>6478</c:v>
                </c:pt>
                <c:pt idx="26">
                  <c:v>0</c:v>
                </c:pt>
                <c:pt idx="27">
                  <c:v>0</c:v>
                </c:pt>
                <c:pt idx="28">
                  <c:v>0</c:v>
                </c:pt>
                <c:pt idx="29">
                  <c:v>0</c:v>
                </c:pt>
                <c:pt idx="30">
                  <c:v>0</c:v>
                </c:pt>
              </c:numCache>
            </c:numRef>
          </c:val>
          <c:smooth val="0"/>
          <c:extLst>
            <c:ext xmlns:c16="http://schemas.microsoft.com/office/drawing/2014/chart" uri="{C3380CC4-5D6E-409C-BE32-E72D297353CC}">
              <c16:uniqueId val="{00000000-6E5E-415A-AD30-6D25E3C99E77}"/>
            </c:ext>
          </c:extLst>
        </c:ser>
        <c:ser>
          <c:idx val="1"/>
          <c:order val="1"/>
          <c:tx>
            <c:v>GF NARANJAL</c:v>
          </c:tx>
          <c:spPr>
            <a:ln w="28575" cmpd="sng">
              <a:solidFill>
                <a:schemeClr val="accent2"/>
              </a:solidFill>
            </a:ln>
          </c:spPr>
          <c:marker>
            <c:symbol val="none"/>
          </c:marke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BDmensual!$H$5:$H$35</c:f>
              <c:numCache>
                <c:formatCode>_-* #,##0_-;\-* #,##0_-;_-* "-"??_-;_-@</c:formatCode>
                <c:ptCount val="31"/>
                <c:pt idx="0">
                  <c:v>3456</c:v>
                </c:pt>
                <c:pt idx="1">
                  <c:v>3456</c:v>
                </c:pt>
                <c:pt idx="2">
                  <c:v>3456</c:v>
                </c:pt>
                <c:pt idx="3">
                  <c:v>3456</c:v>
                </c:pt>
                <c:pt idx="4">
                  <c:v>3456</c:v>
                </c:pt>
                <c:pt idx="5">
                  <c:v>3456</c:v>
                </c:pt>
                <c:pt idx="6">
                  <c:v>3456</c:v>
                </c:pt>
                <c:pt idx="7">
                  <c:v>3456</c:v>
                </c:pt>
                <c:pt idx="8">
                  <c:v>3456</c:v>
                </c:pt>
                <c:pt idx="9">
                  <c:v>3456</c:v>
                </c:pt>
                <c:pt idx="10">
                  <c:v>3456</c:v>
                </c:pt>
                <c:pt idx="11">
                  <c:v>3456</c:v>
                </c:pt>
                <c:pt idx="12">
                  <c:v>3456</c:v>
                </c:pt>
                <c:pt idx="13">
                  <c:v>3456</c:v>
                </c:pt>
                <c:pt idx="14">
                  <c:v>3456</c:v>
                </c:pt>
                <c:pt idx="15">
                  <c:v>3456</c:v>
                </c:pt>
                <c:pt idx="16">
                  <c:v>3456</c:v>
                </c:pt>
                <c:pt idx="17">
                  <c:v>3456</c:v>
                </c:pt>
                <c:pt idx="18">
                  <c:v>3456</c:v>
                </c:pt>
                <c:pt idx="19">
                  <c:v>3456</c:v>
                </c:pt>
                <c:pt idx="20">
                  <c:v>3456</c:v>
                </c:pt>
                <c:pt idx="21">
                  <c:v>3456</c:v>
                </c:pt>
                <c:pt idx="22">
                  <c:v>3456</c:v>
                </c:pt>
                <c:pt idx="23">
                  <c:v>3456</c:v>
                </c:pt>
                <c:pt idx="24">
                  <c:v>3456</c:v>
                </c:pt>
                <c:pt idx="25">
                  <c:v>3456</c:v>
                </c:pt>
                <c:pt idx="26">
                  <c:v>0</c:v>
                </c:pt>
                <c:pt idx="27">
                  <c:v>0</c:v>
                </c:pt>
                <c:pt idx="28">
                  <c:v>0</c:v>
                </c:pt>
                <c:pt idx="29">
                  <c:v>0</c:v>
                </c:pt>
                <c:pt idx="30">
                  <c:v>0</c:v>
                </c:pt>
              </c:numCache>
            </c:numRef>
          </c:val>
          <c:smooth val="0"/>
          <c:extLst>
            <c:ext xmlns:c16="http://schemas.microsoft.com/office/drawing/2014/chart" uri="{C3380CC4-5D6E-409C-BE32-E72D297353CC}">
              <c16:uniqueId val="{00000001-6E5E-415A-AD30-6D25E3C99E77}"/>
            </c:ext>
          </c:extLst>
        </c:ser>
        <c:ser>
          <c:idx val="2"/>
          <c:order val="2"/>
          <c:tx>
            <c:v>POZO MEDRANO</c:v>
          </c:tx>
          <c:spPr>
            <a:ln w="28575" cmpd="sng">
              <a:solidFill>
                <a:schemeClr val="accent3"/>
              </a:solidFill>
            </a:ln>
          </c:spPr>
          <c:marker>
            <c:symbol val="none"/>
          </c:marker>
          <c:cat>
            <c:numRef>
              <c:f>BDmensual!$A$5:$A$35</c:f>
              <c:numCache>
                <c:formatCode>m/d/yyyy</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numCache>
            </c:numRef>
          </c:cat>
          <c:val>
            <c:numRef>
              <c:f>BDmensual!$E$5:$E$35</c:f>
              <c:numCache>
                <c:formatCode>_-* #,##0_-;\-* #,##0_-;_-* "-"??_-;_-@</c:formatCode>
                <c:ptCount val="31"/>
                <c:pt idx="0">
                  <c:v>1771</c:v>
                </c:pt>
                <c:pt idx="1">
                  <c:v>1686</c:v>
                </c:pt>
                <c:pt idx="2">
                  <c:v>0</c:v>
                </c:pt>
                <c:pt idx="3">
                  <c:v>0</c:v>
                </c:pt>
                <c:pt idx="4">
                  <c:v>0</c:v>
                </c:pt>
                <c:pt idx="5">
                  <c:v>2577</c:v>
                </c:pt>
                <c:pt idx="6">
                  <c:v>795</c:v>
                </c:pt>
                <c:pt idx="7">
                  <c:v>37</c:v>
                </c:pt>
                <c:pt idx="8">
                  <c:v>0</c:v>
                </c:pt>
                <c:pt idx="9">
                  <c:v>0</c:v>
                </c:pt>
                <c:pt idx="10">
                  <c:v>0</c:v>
                </c:pt>
                <c:pt idx="11">
                  <c:v>0</c:v>
                </c:pt>
                <c:pt idx="12">
                  <c:v>406</c:v>
                </c:pt>
                <c:pt idx="13">
                  <c:v>0</c:v>
                </c:pt>
                <c:pt idx="14">
                  <c:v>100</c:v>
                </c:pt>
                <c:pt idx="15">
                  <c:v>0</c:v>
                </c:pt>
                <c:pt idx="16">
                  <c:v>53</c:v>
                </c:pt>
                <c:pt idx="17">
                  <c:v>0</c:v>
                </c:pt>
                <c:pt idx="18">
                  <c:v>0</c:v>
                </c:pt>
                <c:pt idx="19">
                  <c:v>0</c:v>
                </c:pt>
                <c:pt idx="20">
                  <c:v>1167</c:v>
                </c:pt>
                <c:pt idx="21">
                  <c:v>812</c:v>
                </c:pt>
                <c:pt idx="22">
                  <c:v>386</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6E5E-415A-AD30-6D25E3C99E77}"/>
            </c:ext>
          </c:extLst>
        </c:ser>
        <c:dLbls>
          <c:showLegendKey val="0"/>
          <c:showVal val="0"/>
          <c:showCatName val="0"/>
          <c:showSerName val="0"/>
          <c:showPercent val="0"/>
          <c:showBubbleSize val="0"/>
        </c:dLbls>
        <c:smooth val="0"/>
        <c:axId val="1980334056"/>
        <c:axId val="2143928115"/>
      </c:lineChart>
      <c:dateAx>
        <c:axId val="1980334056"/>
        <c:scaling>
          <c:orientation val="minMax"/>
        </c:scaling>
        <c:delete val="0"/>
        <c:axPos val="b"/>
        <c:title>
          <c:tx>
            <c:rich>
              <a:bodyPr/>
              <a:lstStyle/>
              <a:p>
                <a:pPr lvl="0">
                  <a:defRPr b="0">
                    <a:solidFill>
                      <a:srgbClr val="000000"/>
                    </a:solidFill>
                    <a:latin typeface="+mn-lt"/>
                  </a:defRPr>
                </a:pPr>
                <a:endParaRPr lang="es-PE"/>
              </a:p>
            </c:rich>
          </c:tx>
          <c:overlay val="0"/>
        </c:title>
        <c:numFmt formatCode="m/d/yyyy" sourceLinked="1"/>
        <c:majorTickMark val="out"/>
        <c:minorTickMark val="none"/>
        <c:tickLblPos val="nextTo"/>
        <c:txPr>
          <a:bodyPr/>
          <a:lstStyle/>
          <a:p>
            <a:pPr lvl="0">
              <a:defRPr sz="900" b="0" i="0">
                <a:solidFill>
                  <a:srgbClr val="000000"/>
                </a:solidFill>
                <a:latin typeface="+mn-lt"/>
              </a:defRPr>
            </a:pPr>
            <a:endParaRPr lang="es-PE"/>
          </a:p>
        </c:txPr>
        <c:crossAx val="2143928115"/>
        <c:crosses val="autoZero"/>
        <c:auto val="1"/>
        <c:lblOffset val="100"/>
        <c:baseTimeUnit val="days"/>
      </c:dateAx>
      <c:valAx>
        <c:axId val="21439281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_-* #,##0_-;\-* #,##0_-;_-* &quot;-&quot;??_-;_-@" sourceLinked="1"/>
        <c:majorTickMark val="none"/>
        <c:minorTickMark val="none"/>
        <c:tickLblPos val="nextTo"/>
        <c:spPr>
          <a:ln/>
        </c:spPr>
        <c:txPr>
          <a:bodyPr/>
          <a:lstStyle/>
          <a:p>
            <a:pPr lvl="0">
              <a:defRPr sz="900" b="0" i="0">
                <a:solidFill>
                  <a:srgbClr val="000000"/>
                </a:solidFill>
                <a:latin typeface="+mn-lt"/>
              </a:defRPr>
            </a:pPr>
            <a:endParaRPr lang="es-PE"/>
          </a:p>
        </c:txPr>
        <c:crossAx val="1980334056"/>
        <c:crosses val="autoZero"/>
        <c:crossBetween val="between"/>
      </c:valAx>
    </c:plotArea>
    <c:legend>
      <c:legendPos val="b"/>
      <c:overlay val="0"/>
      <c:txPr>
        <a:bodyPr/>
        <a:lstStyle/>
        <a:p>
          <a:pPr lvl="0">
            <a:defRPr sz="900" b="0" i="0">
              <a:solidFill>
                <a:srgbClr val="1A1A1A"/>
              </a:solidFill>
              <a:latin typeface="+mn-lt"/>
            </a:defRPr>
          </a:pPr>
          <a:endParaRPr lang="es-PE"/>
        </a:p>
      </c:txPr>
    </c:legend>
    <c:plotVisOnly val="1"/>
    <c:dispBlanksAs val="zero"/>
    <c:showDLblsOverMax val="1"/>
  </c:chart>
  <c:spPr>
    <a:solidFill>
      <a:schemeClr val="accent3"/>
    </a:solidFill>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PE" sz="1800"/>
              <a:t>POZO 10</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PE"/>
        </a:p>
      </c:txPr>
    </c:title>
    <c:autoTitleDeleted val="0"/>
    <c:plotArea>
      <c:layout/>
      <c:lineChart>
        <c:grouping val="standard"/>
        <c:varyColors val="0"/>
        <c:ser>
          <c:idx val="0"/>
          <c:order val="0"/>
          <c:spPr>
            <a:ln w="38100" cap="flat" cmpd="dbl" algn="ctr">
              <a:solidFill>
                <a:schemeClr val="accent1"/>
              </a:solidFill>
              <a:prstDash val="sysDot"/>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96C7-4822-BED6-76196A4C2409}"/>
            </c:ext>
          </c:extLst>
        </c:ser>
        <c:ser>
          <c:idx val="1"/>
          <c:order val="1"/>
          <c:spPr>
            <a:ln w="38100" cap="flat" cmpd="dbl" algn="ctr">
              <a:solidFill>
                <a:schemeClr val="accent2"/>
              </a:solidFill>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96C7-4822-BED6-76196A4C2409}"/>
            </c:ext>
          </c:extLst>
        </c:ser>
        <c:dLbls>
          <c:showLegendKey val="0"/>
          <c:showVal val="0"/>
          <c:showCatName val="0"/>
          <c:showSerName val="0"/>
          <c:showPercent val="0"/>
          <c:showBubbleSize val="0"/>
        </c:dLbls>
        <c:smooth val="0"/>
        <c:axId val="1680455583"/>
        <c:axId val="1680455167"/>
      </c:lineChart>
      <c:catAx>
        <c:axId val="1680455583"/>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DIA DEL MES</a:t>
                </a:r>
              </a:p>
            </c:rich>
          </c:tx>
          <c:layout>
            <c:manualLayout>
              <c:xMode val="edge"/>
              <c:yMode val="edge"/>
              <c:x val="0.46556446624084191"/>
              <c:y val="0.9349909048538003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167"/>
        <c:crosses val="autoZero"/>
        <c:auto val="1"/>
        <c:lblAlgn val="ctr"/>
        <c:lblOffset val="100"/>
        <c:noMultiLvlLbl val="0"/>
      </c:catAx>
      <c:valAx>
        <c:axId val="1680455167"/>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VOLUMEN PRODUCIDO</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pPr>
      <a:endParaRPr lang="es-P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PE"/>
              <a:t>POZO 11</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PE"/>
        </a:p>
      </c:txPr>
    </c:title>
    <c:autoTitleDeleted val="0"/>
    <c:plotArea>
      <c:layout/>
      <c:lineChart>
        <c:grouping val="standard"/>
        <c:varyColors val="0"/>
        <c:ser>
          <c:idx val="0"/>
          <c:order val="0"/>
          <c:spPr>
            <a:ln w="38100" cap="flat" cmpd="dbl" algn="ctr">
              <a:solidFill>
                <a:schemeClr val="accent1"/>
              </a:solidFill>
              <a:prstDash val="sysDot"/>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ACF-4FFE-BCA7-82F190B8BCCB}"/>
            </c:ext>
          </c:extLst>
        </c:ser>
        <c:ser>
          <c:idx val="1"/>
          <c:order val="1"/>
          <c:spPr>
            <a:ln w="38100" cap="flat" cmpd="dbl" algn="ctr">
              <a:solidFill>
                <a:schemeClr val="accent2"/>
              </a:solidFill>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CACF-4FFE-BCA7-82F190B8BCCB}"/>
            </c:ext>
          </c:extLst>
        </c:ser>
        <c:dLbls>
          <c:showLegendKey val="0"/>
          <c:showVal val="0"/>
          <c:showCatName val="0"/>
          <c:showSerName val="0"/>
          <c:showPercent val="0"/>
          <c:showBubbleSize val="0"/>
        </c:dLbls>
        <c:smooth val="0"/>
        <c:axId val="1680455583"/>
        <c:axId val="1680455167"/>
      </c:lineChart>
      <c:catAx>
        <c:axId val="1680455583"/>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DIA DEL MES</a:t>
                </a:r>
              </a:p>
            </c:rich>
          </c:tx>
          <c:layout>
            <c:manualLayout>
              <c:xMode val="edge"/>
              <c:yMode val="edge"/>
              <c:x val="0.4600131893192444"/>
              <c:y val="0.93820355109480058"/>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167"/>
        <c:crosses val="autoZero"/>
        <c:auto val="1"/>
        <c:lblAlgn val="ctr"/>
        <c:lblOffset val="100"/>
        <c:noMultiLvlLbl val="0"/>
      </c:catAx>
      <c:valAx>
        <c:axId val="1680455167"/>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VOLUMEN PRODUCIDO</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PE"/>
              <a:t>POZO 13</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PE"/>
        </a:p>
      </c:txPr>
    </c:title>
    <c:autoTitleDeleted val="0"/>
    <c:plotArea>
      <c:layout/>
      <c:lineChart>
        <c:grouping val="standard"/>
        <c:varyColors val="0"/>
        <c:ser>
          <c:idx val="0"/>
          <c:order val="0"/>
          <c:spPr>
            <a:ln w="38100" cap="flat" cmpd="dbl" algn="ctr">
              <a:solidFill>
                <a:schemeClr val="accent1"/>
              </a:solidFill>
              <a:prstDash val="sysDot"/>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F565-4F23-8919-55C7FE1F7DE8}"/>
            </c:ext>
          </c:extLst>
        </c:ser>
        <c:ser>
          <c:idx val="1"/>
          <c:order val="1"/>
          <c:spPr>
            <a:ln w="38100" cap="flat" cmpd="dbl" algn="ctr">
              <a:solidFill>
                <a:schemeClr val="accent2"/>
              </a:solidFill>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F565-4F23-8919-55C7FE1F7DE8}"/>
            </c:ext>
          </c:extLst>
        </c:ser>
        <c:dLbls>
          <c:showLegendKey val="0"/>
          <c:showVal val="0"/>
          <c:showCatName val="0"/>
          <c:showSerName val="0"/>
          <c:showPercent val="0"/>
          <c:showBubbleSize val="0"/>
        </c:dLbls>
        <c:smooth val="0"/>
        <c:axId val="1680455583"/>
        <c:axId val="1680455167"/>
      </c:lineChart>
      <c:catAx>
        <c:axId val="1680455583"/>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DIA DEL MES</a:t>
                </a:r>
              </a:p>
            </c:rich>
          </c:tx>
          <c:layout>
            <c:manualLayout>
              <c:xMode val="edge"/>
              <c:yMode val="edge"/>
              <c:x val="0.47412987786714328"/>
              <c:y val="0.9276019444444444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167"/>
        <c:crosses val="autoZero"/>
        <c:auto val="1"/>
        <c:lblAlgn val="ctr"/>
        <c:lblOffset val="100"/>
        <c:noMultiLvlLbl val="0"/>
      </c:catAx>
      <c:valAx>
        <c:axId val="1680455167"/>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VOLUMEN PRODUCIDO</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PE"/>
              <a:t>POZO CHINCHA</a:t>
            </a:r>
            <a:r>
              <a:rPr lang="es-PE" baseline="0"/>
              <a:t> BAJA</a:t>
            </a:r>
            <a:endParaRPr lang="es-PE"/>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PE"/>
        </a:p>
      </c:txPr>
    </c:title>
    <c:autoTitleDeleted val="0"/>
    <c:plotArea>
      <c:layout/>
      <c:lineChart>
        <c:grouping val="standard"/>
        <c:varyColors val="0"/>
        <c:ser>
          <c:idx val="0"/>
          <c:order val="0"/>
          <c:spPr>
            <a:ln w="38100" cap="flat" cmpd="dbl" algn="ctr">
              <a:solidFill>
                <a:schemeClr val="accent1"/>
              </a:solidFill>
              <a:prstDash val="sysDot"/>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048-4FE0-8707-5B3EDDA6E68E}"/>
            </c:ext>
          </c:extLst>
        </c:ser>
        <c:ser>
          <c:idx val="1"/>
          <c:order val="1"/>
          <c:spPr>
            <a:ln w="38100" cap="flat" cmpd="dbl" algn="ctr">
              <a:solidFill>
                <a:schemeClr val="accent2"/>
              </a:solidFill>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8048-4FE0-8707-5B3EDDA6E68E}"/>
            </c:ext>
          </c:extLst>
        </c:ser>
        <c:dLbls>
          <c:showLegendKey val="0"/>
          <c:showVal val="0"/>
          <c:showCatName val="0"/>
          <c:showSerName val="0"/>
          <c:showPercent val="0"/>
          <c:showBubbleSize val="0"/>
        </c:dLbls>
        <c:smooth val="0"/>
        <c:axId val="1680455583"/>
        <c:axId val="1680455167"/>
      </c:lineChart>
      <c:catAx>
        <c:axId val="1680455583"/>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DIA DEL MES</a:t>
                </a:r>
              </a:p>
            </c:rich>
          </c:tx>
          <c:layout>
            <c:manualLayout>
              <c:xMode val="edge"/>
              <c:yMode val="edge"/>
              <c:x val="0.46556446624084191"/>
              <c:y val="0.9349909048538003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167"/>
        <c:crosses val="autoZero"/>
        <c:auto val="1"/>
        <c:lblAlgn val="ctr"/>
        <c:lblOffset val="100"/>
        <c:noMultiLvlLbl val="0"/>
      </c:catAx>
      <c:valAx>
        <c:axId val="1680455167"/>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VOLUMEN PRODUCIDO</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PE"/>
              <a:t>POZO MEDRANO</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PE"/>
        </a:p>
      </c:txPr>
    </c:title>
    <c:autoTitleDeleted val="0"/>
    <c:plotArea>
      <c:layout/>
      <c:lineChart>
        <c:grouping val="standard"/>
        <c:varyColors val="0"/>
        <c:ser>
          <c:idx val="0"/>
          <c:order val="0"/>
          <c:spPr>
            <a:ln w="38100" cap="flat" cmpd="dbl" algn="ctr">
              <a:solidFill>
                <a:schemeClr val="accent1"/>
              </a:solidFill>
              <a:prstDash val="sysDot"/>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2F64-4B9C-B168-3C7F6EB3F37E}"/>
            </c:ext>
          </c:extLst>
        </c:ser>
        <c:ser>
          <c:idx val="1"/>
          <c:order val="1"/>
          <c:spPr>
            <a:ln w="38100" cap="flat" cmpd="dbl" algn="ctr">
              <a:solidFill>
                <a:schemeClr val="accent2"/>
              </a:solidFill>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2F64-4B9C-B168-3C7F6EB3F37E}"/>
            </c:ext>
          </c:extLst>
        </c:ser>
        <c:dLbls>
          <c:showLegendKey val="0"/>
          <c:showVal val="0"/>
          <c:showCatName val="0"/>
          <c:showSerName val="0"/>
          <c:showPercent val="0"/>
          <c:showBubbleSize val="0"/>
        </c:dLbls>
        <c:smooth val="0"/>
        <c:axId val="1680455583"/>
        <c:axId val="1680455167"/>
      </c:lineChart>
      <c:catAx>
        <c:axId val="1680455583"/>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DIA DEL MES</a:t>
                </a:r>
              </a:p>
            </c:rich>
          </c:tx>
          <c:layout>
            <c:manualLayout>
              <c:xMode val="edge"/>
              <c:yMode val="edge"/>
              <c:x val="0.4600131893192444"/>
              <c:y val="0.93820355109480058"/>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167"/>
        <c:crosses val="autoZero"/>
        <c:auto val="1"/>
        <c:lblAlgn val="ctr"/>
        <c:lblOffset val="100"/>
        <c:noMultiLvlLbl val="0"/>
      </c:catAx>
      <c:valAx>
        <c:axId val="1680455167"/>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VOLUMEN PRODUCIDO</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PE"/>
              <a:t>POZO TAMBO</a:t>
            </a:r>
            <a:r>
              <a:rPr lang="es-PE" baseline="0"/>
              <a:t> DE MORA</a:t>
            </a:r>
            <a:endParaRPr lang="es-PE"/>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PE"/>
        </a:p>
      </c:txPr>
    </c:title>
    <c:autoTitleDeleted val="0"/>
    <c:plotArea>
      <c:layout/>
      <c:lineChart>
        <c:grouping val="standard"/>
        <c:varyColors val="0"/>
        <c:ser>
          <c:idx val="0"/>
          <c:order val="0"/>
          <c:spPr>
            <a:ln w="38100" cap="flat" cmpd="dbl" algn="ctr">
              <a:solidFill>
                <a:schemeClr val="accent1"/>
              </a:solidFill>
              <a:prstDash val="sysDot"/>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23E-4DD1-9912-DC06E872AE74}"/>
            </c:ext>
          </c:extLst>
        </c:ser>
        <c:ser>
          <c:idx val="1"/>
          <c:order val="1"/>
          <c:spPr>
            <a:ln w="38100" cap="flat" cmpd="dbl" algn="ctr">
              <a:solidFill>
                <a:schemeClr val="accent2"/>
              </a:solidFill>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E23E-4DD1-9912-DC06E872AE74}"/>
            </c:ext>
          </c:extLst>
        </c:ser>
        <c:dLbls>
          <c:showLegendKey val="0"/>
          <c:showVal val="0"/>
          <c:showCatName val="0"/>
          <c:showSerName val="0"/>
          <c:showPercent val="0"/>
          <c:showBubbleSize val="0"/>
        </c:dLbls>
        <c:smooth val="0"/>
        <c:axId val="1680455583"/>
        <c:axId val="1680455167"/>
      </c:lineChart>
      <c:catAx>
        <c:axId val="1680455583"/>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DIA DEL MES</a:t>
                </a:r>
              </a:p>
            </c:rich>
          </c:tx>
          <c:layout>
            <c:manualLayout>
              <c:xMode val="edge"/>
              <c:yMode val="edge"/>
              <c:x val="0.46467202859696155"/>
              <c:y val="0.9170186111111109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167"/>
        <c:crosses val="autoZero"/>
        <c:auto val="1"/>
        <c:lblAlgn val="ctr"/>
        <c:lblOffset val="100"/>
        <c:noMultiLvlLbl val="0"/>
      </c:catAx>
      <c:valAx>
        <c:axId val="1680455167"/>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VOLUMEN PRODUCIDO</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PE"/>
              <a:t>G.F.</a:t>
            </a:r>
            <a:r>
              <a:rPr lang="es-PE" baseline="0"/>
              <a:t> MINAQUEROS</a:t>
            </a:r>
            <a:endParaRPr lang="es-PE"/>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PE"/>
        </a:p>
      </c:txPr>
    </c:title>
    <c:autoTitleDeleted val="0"/>
    <c:plotArea>
      <c:layout/>
      <c:lineChart>
        <c:grouping val="standard"/>
        <c:varyColors val="0"/>
        <c:ser>
          <c:idx val="0"/>
          <c:order val="0"/>
          <c:spPr>
            <a:ln w="38100" cap="flat" cmpd="dbl" algn="ctr">
              <a:solidFill>
                <a:schemeClr val="accent1"/>
              </a:solidFill>
              <a:prstDash val="sysDot"/>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3EC-411C-AFED-740C55C7C4D0}"/>
            </c:ext>
          </c:extLst>
        </c:ser>
        <c:ser>
          <c:idx val="1"/>
          <c:order val="1"/>
          <c:spPr>
            <a:ln w="38100" cap="flat" cmpd="dbl" algn="ctr">
              <a:solidFill>
                <a:schemeClr val="accent2"/>
              </a:solidFill>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53EC-411C-AFED-740C55C7C4D0}"/>
            </c:ext>
          </c:extLst>
        </c:ser>
        <c:dLbls>
          <c:showLegendKey val="0"/>
          <c:showVal val="0"/>
          <c:showCatName val="0"/>
          <c:showSerName val="0"/>
          <c:showPercent val="0"/>
          <c:showBubbleSize val="0"/>
        </c:dLbls>
        <c:smooth val="0"/>
        <c:axId val="1680455583"/>
        <c:axId val="1680455167"/>
      </c:lineChart>
      <c:catAx>
        <c:axId val="1680455583"/>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DIA DEL MES</a:t>
                </a:r>
              </a:p>
            </c:rich>
          </c:tx>
          <c:layout>
            <c:manualLayout>
              <c:xMode val="edge"/>
              <c:yMode val="edge"/>
              <c:x val="0.46556446624084191"/>
              <c:y val="0.9349909048538003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167"/>
        <c:crosses val="autoZero"/>
        <c:auto val="1"/>
        <c:lblAlgn val="ctr"/>
        <c:lblOffset val="100"/>
        <c:noMultiLvlLbl val="0"/>
      </c:catAx>
      <c:valAx>
        <c:axId val="1680455167"/>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VOLUMEN PRODUCIDO</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PE"/>
              <a:t>P.T.A.P.</a:t>
            </a:r>
            <a:r>
              <a:rPr lang="es-PE" baseline="0"/>
              <a:t> PORTACHUELO</a:t>
            </a:r>
            <a:endParaRPr lang="es-PE"/>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PE"/>
        </a:p>
      </c:txPr>
    </c:title>
    <c:autoTitleDeleted val="0"/>
    <c:plotArea>
      <c:layout/>
      <c:lineChart>
        <c:grouping val="standard"/>
        <c:varyColors val="0"/>
        <c:ser>
          <c:idx val="0"/>
          <c:order val="0"/>
          <c:spPr>
            <a:ln w="38100" cap="flat" cmpd="dbl" algn="ctr">
              <a:solidFill>
                <a:schemeClr val="accent1"/>
              </a:solidFill>
              <a:prstDash val="sysDot"/>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9598-4D97-953C-ED28055BC8D5}"/>
            </c:ext>
          </c:extLst>
        </c:ser>
        <c:ser>
          <c:idx val="1"/>
          <c:order val="1"/>
          <c:spPr>
            <a:ln w="38100" cap="flat" cmpd="dbl" algn="ctr">
              <a:solidFill>
                <a:schemeClr val="accent2"/>
              </a:solidFill>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9598-4D97-953C-ED28055BC8D5}"/>
            </c:ext>
          </c:extLst>
        </c:ser>
        <c:dLbls>
          <c:showLegendKey val="0"/>
          <c:showVal val="0"/>
          <c:showCatName val="0"/>
          <c:showSerName val="0"/>
          <c:showPercent val="0"/>
          <c:showBubbleSize val="0"/>
        </c:dLbls>
        <c:smooth val="0"/>
        <c:axId val="1680455583"/>
        <c:axId val="1680455167"/>
      </c:lineChart>
      <c:catAx>
        <c:axId val="1680455583"/>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DIA DEL MES</a:t>
                </a:r>
              </a:p>
            </c:rich>
          </c:tx>
          <c:layout>
            <c:manualLayout>
              <c:xMode val="edge"/>
              <c:yMode val="edge"/>
              <c:x val="0.4600131893192444"/>
              <c:y val="0.93820355109480058"/>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167"/>
        <c:crosses val="autoZero"/>
        <c:auto val="1"/>
        <c:lblAlgn val="ctr"/>
        <c:lblOffset val="100"/>
        <c:noMultiLvlLbl val="0"/>
      </c:catAx>
      <c:valAx>
        <c:axId val="1680455167"/>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VOLUMEN PRODUCIDO</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PE"/>
              <a:t>G.F. NARANJAL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PE"/>
        </a:p>
      </c:txPr>
    </c:title>
    <c:autoTitleDeleted val="0"/>
    <c:plotArea>
      <c:layout/>
      <c:lineChart>
        <c:grouping val="standard"/>
        <c:varyColors val="0"/>
        <c:ser>
          <c:idx val="0"/>
          <c:order val="0"/>
          <c:spPr>
            <a:ln w="38100" cap="flat" cmpd="dbl" algn="ctr">
              <a:solidFill>
                <a:schemeClr val="accent1"/>
              </a:solidFill>
              <a:prstDash val="sysDot"/>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635-47CF-B54C-1B3B92DB4594}"/>
            </c:ext>
          </c:extLst>
        </c:ser>
        <c:ser>
          <c:idx val="1"/>
          <c:order val="1"/>
          <c:spPr>
            <a:ln w="38100" cap="flat" cmpd="dbl" algn="ctr">
              <a:solidFill>
                <a:schemeClr val="accent2"/>
              </a:solidFill>
              <a:miter lim="800000"/>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8635-47CF-B54C-1B3B92DB4594}"/>
            </c:ext>
          </c:extLst>
        </c:ser>
        <c:dLbls>
          <c:showLegendKey val="0"/>
          <c:showVal val="0"/>
          <c:showCatName val="0"/>
          <c:showSerName val="0"/>
          <c:showPercent val="0"/>
          <c:showBubbleSize val="0"/>
        </c:dLbls>
        <c:smooth val="0"/>
        <c:axId val="1680455583"/>
        <c:axId val="1680455167"/>
      </c:lineChart>
      <c:catAx>
        <c:axId val="1680455583"/>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DIA DEL MES</a:t>
                </a:r>
              </a:p>
            </c:rich>
          </c:tx>
          <c:layout>
            <c:manualLayout>
              <c:xMode val="edge"/>
              <c:yMode val="edge"/>
              <c:x val="0.46278045874292523"/>
              <c:y val="0.9240741666666666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167"/>
        <c:crosses val="autoZero"/>
        <c:auto val="1"/>
        <c:lblAlgn val="ctr"/>
        <c:lblOffset val="100"/>
        <c:noMultiLvlLbl val="0"/>
      </c:catAx>
      <c:valAx>
        <c:axId val="1680455167"/>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PE"/>
                  <a:t>VOLUMEN PRODUCIDO</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0455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1"/>
        <c:ser>
          <c:idx val="0"/>
          <c:order val="0"/>
          <c:spPr>
            <a:solidFill>
              <a:srgbClr val="5B9BD5"/>
            </a:solidFill>
            <a:ln cmpd="sng">
              <a:solidFill>
                <a:srgbClr val="000000"/>
              </a:solidFill>
            </a:ln>
          </c:spPr>
          <c:invertIfNegative val="1"/>
          <c:dPt>
            <c:idx val="6"/>
            <c:invertIfNegative val="1"/>
            <c:bubble3D val="0"/>
            <c:spPr>
              <a:solidFill>
                <a:srgbClr val="FFC000"/>
              </a:solidFill>
              <a:ln cmpd="sng">
                <a:solidFill>
                  <a:srgbClr val="000000"/>
                </a:solidFill>
              </a:ln>
            </c:spPr>
            <c:extLst>
              <c:ext xmlns:c16="http://schemas.microsoft.com/office/drawing/2014/chart" uri="{C3380CC4-5D6E-409C-BE32-E72D297353CC}">
                <c16:uniqueId val="{00000001-A919-4C4E-9BC2-B31FA12C6DD6}"/>
              </c:ext>
            </c:extLst>
          </c:dPt>
          <c:dPt>
            <c:idx val="7"/>
            <c:invertIfNegative val="1"/>
            <c:bubble3D val="0"/>
            <c:spPr>
              <a:solidFill>
                <a:srgbClr val="FFC000"/>
              </a:solidFill>
              <a:ln cmpd="sng">
                <a:solidFill>
                  <a:srgbClr val="000000"/>
                </a:solidFill>
              </a:ln>
            </c:spPr>
            <c:extLst>
              <c:ext xmlns:c16="http://schemas.microsoft.com/office/drawing/2014/chart" uri="{C3380CC4-5D6E-409C-BE32-E72D297353CC}">
                <c16:uniqueId val="{00000003-A919-4C4E-9BC2-B31FA12C6DD6}"/>
              </c:ext>
            </c:extLst>
          </c:dPt>
          <c:dLbls>
            <c:spPr>
              <a:noFill/>
              <a:ln>
                <a:noFill/>
              </a:ln>
              <a:effectLst/>
            </c:spPr>
            <c:txPr>
              <a:bodyPr/>
              <a:lstStyle/>
              <a:p>
                <a:pPr lvl="0">
                  <a:defRPr b="1" i="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(RPTdiario!$J$10:$J$15,RPTdiario!$J$19:$J$21)</c:f>
              <c:strCache>
                <c:ptCount val="8"/>
                <c:pt idx="0">
                  <c:v>POZO N° 10</c:v>
                </c:pt>
                <c:pt idx="1">
                  <c:v>POZO N° 13</c:v>
                </c:pt>
                <c:pt idx="2">
                  <c:v>POZO MEDRANO</c:v>
                </c:pt>
                <c:pt idx="3">
                  <c:v>MINAQUEROS</c:v>
                </c:pt>
                <c:pt idx="4">
                  <c:v>PORTACHUELOS</c:v>
                </c:pt>
                <c:pt idx="5">
                  <c:v>NARANJAL</c:v>
                </c:pt>
                <c:pt idx="6">
                  <c:v>PZO CHBAJA</c:v>
                </c:pt>
                <c:pt idx="7">
                  <c:v>PZO T.MORA</c:v>
                </c:pt>
              </c:strCache>
            </c:strRef>
          </c:cat>
          <c:val>
            <c:numRef>
              <c:f>(RPTdiario!$K$10:$K$15,RPTdiario!$K$19:$K$21)</c:f>
              <c:numCache>
                <c:formatCode>_-* #,##0.00_-;\-* #,##0.00_-;_-* "-"??_-;_-@</c:formatCode>
                <c:ptCount val="9"/>
                <c:pt idx="0">
                  <c:v>2405</c:v>
                </c:pt>
                <c:pt idx="1">
                  <c:v>0</c:v>
                </c:pt>
                <c:pt idx="2">
                  <c:v>0</c:v>
                </c:pt>
                <c:pt idx="3">
                  <c:v>39189.400000000373</c:v>
                </c:pt>
                <c:pt idx="4">
                  <c:v>6478</c:v>
                </c:pt>
                <c:pt idx="5">
                  <c:v>3456</c:v>
                </c:pt>
                <c:pt idx="6">
                  <c:v>2513</c:v>
                </c:pt>
                <c:pt idx="7">
                  <c:v>676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A919-4C4E-9BC2-B31FA12C6DD6}"/>
            </c:ext>
          </c:extLst>
        </c:ser>
        <c:dLbls>
          <c:showLegendKey val="0"/>
          <c:showVal val="0"/>
          <c:showCatName val="0"/>
          <c:showSerName val="0"/>
          <c:showPercent val="0"/>
          <c:showBubbleSize val="0"/>
        </c:dLbls>
        <c:gapWidth val="150"/>
        <c:axId val="984625508"/>
        <c:axId val="1837702514"/>
      </c:barChart>
      <c:catAx>
        <c:axId val="984625508"/>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PE"/>
          </a:p>
        </c:txPr>
        <c:crossAx val="1837702514"/>
        <c:crosses val="autoZero"/>
        <c:auto val="1"/>
        <c:lblAlgn val="ctr"/>
        <c:lblOffset val="100"/>
        <c:noMultiLvlLbl val="1"/>
      </c:catAx>
      <c:valAx>
        <c:axId val="183770251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_-* #,##0.00_-;\-* #,##0.00_-;_-* &quot;-&quot;??_-;_-@" sourceLinked="1"/>
        <c:majorTickMark val="none"/>
        <c:minorTickMark val="none"/>
        <c:tickLblPos val="nextTo"/>
        <c:spPr>
          <a:ln/>
        </c:spPr>
        <c:txPr>
          <a:bodyPr/>
          <a:lstStyle/>
          <a:p>
            <a:pPr lvl="0">
              <a:defRPr sz="900" b="0" i="0">
                <a:solidFill>
                  <a:srgbClr val="000000"/>
                </a:solidFill>
                <a:latin typeface="+mn-lt"/>
              </a:defRPr>
            </a:pPr>
            <a:endParaRPr lang="es-PE"/>
          </a:p>
        </c:txPr>
        <c:crossAx val="984625508"/>
        <c:crosses val="autoZero"/>
        <c:crossBetween val="between"/>
      </c:valAx>
    </c:plotArea>
    <c:plotVisOnly val="1"/>
    <c:dispBlanksAs val="zero"/>
    <c:showDLblsOverMax val="1"/>
  </c:chart>
  <c:spPr>
    <a:solidFill>
      <a:schemeClr val="accent3"/>
    </a:solidFill>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image" Target="../media/image2.png"/><Relationship Id="rId7" Type="http://schemas.openxmlformats.org/officeDocument/2006/relationships/chart" Target="../charts/chart27.xml"/><Relationship Id="rId2" Type="http://schemas.openxmlformats.org/officeDocument/2006/relationships/image" Target="../media/image1.png"/><Relationship Id="rId1" Type="http://schemas.openxmlformats.org/officeDocument/2006/relationships/chart" Target="../charts/chart23.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70</xdr:col>
      <xdr:colOff>66460</xdr:colOff>
      <xdr:row>85</xdr:row>
      <xdr:rowOff>33254</xdr:rowOff>
    </xdr:from>
    <xdr:ext cx="4823040" cy="4093029"/>
    <xdr:graphicFrame macro="">
      <xdr:nvGraphicFramePr>
        <xdr:cNvPr id="2" name="Chart 6">
          <a:extLst>
            <a:ext uri="{FF2B5EF4-FFF2-40B4-BE49-F238E27FC236}">
              <a16:creationId xmlns:a16="http://schemas.microsoft.com/office/drawing/2014/main" id="{8D3DD5E2-5633-4F33-ACFD-714744ED3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80</xdr:col>
      <xdr:colOff>267583</xdr:colOff>
      <xdr:row>45</xdr:row>
      <xdr:rowOff>99603</xdr:rowOff>
    </xdr:from>
    <xdr:ext cx="5470400" cy="3869292"/>
    <xdr:graphicFrame macro="">
      <xdr:nvGraphicFramePr>
        <xdr:cNvPr id="3" name="Chart 7" title="Gráfico">
          <a:extLst>
            <a:ext uri="{FF2B5EF4-FFF2-40B4-BE49-F238E27FC236}">
              <a16:creationId xmlns:a16="http://schemas.microsoft.com/office/drawing/2014/main" id="{2D41742F-A152-4F49-9881-B564281CA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80</xdr:col>
      <xdr:colOff>192902</xdr:colOff>
      <xdr:row>65</xdr:row>
      <xdr:rowOff>89301</xdr:rowOff>
    </xdr:from>
    <xdr:ext cx="9440699" cy="4045325"/>
    <xdr:graphicFrame macro="">
      <xdr:nvGraphicFramePr>
        <xdr:cNvPr id="4" name="Chart 8">
          <a:extLst>
            <a:ext uri="{FF2B5EF4-FFF2-40B4-BE49-F238E27FC236}">
              <a16:creationId xmlns:a16="http://schemas.microsoft.com/office/drawing/2014/main" id="{046E9AAD-7FA4-4108-9375-CC57001BA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70</xdr:col>
      <xdr:colOff>50707</xdr:colOff>
      <xdr:row>45</xdr:row>
      <xdr:rowOff>65206</xdr:rowOff>
    </xdr:from>
    <xdr:ext cx="7445967" cy="3859076"/>
    <xdr:graphicFrame macro="">
      <xdr:nvGraphicFramePr>
        <xdr:cNvPr id="5" name="Chart 10">
          <a:extLst>
            <a:ext uri="{FF2B5EF4-FFF2-40B4-BE49-F238E27FC236}">
              <a16:creationId xmlns:a16="http://schemas.microsoft.com/office/drawing/2014/main" id="{4BC78115-F3C6-4561-8D7B-63BA78417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85</xdr:col>
      <xdr:colOff>162723</xdr:colOff>
      <xdr:row>85</xdr:row>
      <xdr:rowOff>45442</xdr:rowOff>
    </xdr:from>
    <xdr:ext cx="5919108" cy="4086024"/>
    <xdr:graphicFrame macro="">
      <xdr:nvGraphicFramePr>
        <xdr:cNvPr id="6" name="Chart 7" title="Gráfico">
          <a:extLst>
            <a:ext uri="{FF2B5EF4-FFF2-40B4-BE49-F238E27FC236}">
              <a16:creationId xmlns:a16="http://schemas.microsoft.com/office/drawing/2014/main" id="{2FE2C16D-B6FC-46C9-B124-1E017163C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76</xdr:col>
      <xdr:colOff>522143</xdr:colOff>
      <xdr:row>85</xdr:row>
      <xdr:rowOff>28033</xdr:rowOff>
    </xdr:from>
    <xdr:ext cx="6130704" cy="4133659"/>
    <xdr:graphicFrame macro="">
      <xdr:nvGraphicFramePr>
        <xdr:cNvPr id="7" name="Chart 11">
          <a:extLst>
            <a:ext uri="{FF2B5EF4-FFF2-40B4-BE49-F238E27FC236}">
              <a16:creationId xmlns:a16="http://schemas.microsoft.com/office/drawing/2014/main" id="{45A52348-9246-4A20-8274-A5AA78773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87</xdr:col>
      <xdr:colOff>692578</xdr:colOff>
      <xdr:row>45</xdr:row>
      <xdr:rowOff>88412</xdr:rowOff>
    </xdr:from>
    <xdr:ext cx="3935297" cy="3869448"/>
    <xdr:graphicFrame macro="">
      <xdr:nvGraphicFramePr>
        <xdr:cNvPr id="8" name="Chart 7" title="Gráfico">
          <a:extLst>
            <a:ext uri="{FF2B5EF4-FFF2-40B4-BE49-F238E27FC236}">
              <a16:creationId xmlns:a16="http://schemas.microsoft.com/office/drawing/2014/main" id="{542FDE5A-49FF-4549-AC10-139E6EF8E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twoCellAnchor>
    <xdr:from>
      <xdr:col>70</xdr:col>
      <xdr:colOff>70662</xdr:colOff>
      <xdr:row>65</xdr:row>
      <xdr:rowOff>38574</xdr:rowOff>
    </xdr:from>
    <xdr:to>
      <xdr:col>80</xdr:col>
      <xdr:colOff>247557</xdr:colOff>
      <xdr:row>85</xdr:row>
      <xdr:rowOff>39730</xdr:rowOff>
    </xdr:to>
    <xdr:grpSp>
      <xdr:nvGrpSpPr>
        <xdr:cNvPr id="9" name="Grupo 8">
          <a:extLst>
            <a:ext uri="{FF2B5EF4-FFF2-40B4-BE49-F238E27FC236}">
              <a16:creationId xmlns:a16="http://schemas.microsoft.com/office/drawing/2014/main" id="{C32D0A22-D7C4-4ABD-BD31-AA4DBC1A0E7E}"/>
            </a:ext>
          </a:extLst>
        </xdr:cNvPr>
        <xdr:cNvGrpSpPr/>
      </xdr:nvGrpSpPr>
      <xdr:grpSpPr>
        <a:xfrm>
          <a:off x="60001962" y="13192599"/>
          <a:ext cx="9797145" cy="3811156"/>
          <a:chOff x="1433946" y="5108428"/>
          <a:chExt cx="7311986" cy="3958854"/>
        </a:xfrm>
      </xdr:grpSpPr>
      <xdr:graphicFrame macro="">
        <xdr:nvGraphicFramePr>
          <xdr:cNvPr id="10" name="Gráfico 9">
            <a:extLst>
              <a:ext uri="{FF2B5EF4-FFF2-40B4-BE49-F238E27FC236}">
                <a16:creationId xmlns:a16="http://schemas.microsoft.com/office/drawing/2014/main" id="{174147A4-CA42-1924-A9E4-F5B69F5C7C6D}"/>
              </a:ext>
            </a:extLst>
          </xdr:cNvPr>
          <xdr:cNvGraphicFramePr>
            <a:graphicFrameLocks/>
          </xdr:cNvGraphicFramePr>
        </xdr:nvGraphicFramePr>
        <xdr:xfrm>
          <a:off x="1433946" y="5108428"/>
          <a:ext cx="7311986" cy="3958854"/>
        </xdr:xfrm>
        <a:graphic>
          <a:graphicData uri="http://schemas.openxmlformats.org/drawingml/2006/chart">
            <c:chart xmlns:c="http://schemas.openxmlformats.org/drawingml/2006/chart" xmlns:r="http://schemas.openxmlformats.org/officeDocument/2006/relationships" r:id="rId8"/>
          </a:graphicData>
        </a:graphic>
      </xdr:graphicFrame>
      <xdr:cxnSp macro="">
        <xdr:nvCxnSpPr>
          <xdr:cNvPr id="11" name="Conector recto 10">
            <a:extLst>
              <a:ext uri="{FF2B5EF4-FFF2-40B4-BE49-F238E27FC236}">
                <a16:creationId xmlns:a16="http://schemas.microsoft.com/office/drawing/2014/main" id="{33BC73B6-DE7A-713D-1508-56FE87068FCD}"/>
              </a:ext>
            </a:extLst>
          </xdr:cNvPr>
          <xdr:cNvCxnSpPr/>
        </xdr:nvCxnSpPr>
        <xdr:spPr>
          <a:xfrm flipV="1">
            <a:off x="2073043" y="7547305"/>
            <a:ext cx="6549984" cy="27214"/>
          </a:xfrm>
          <a:prstGeom prst="line">
            <a:avLst/>
          </a:prstGeom>
          <a:ln w="38100">
            <a:solidFill>
              <a:srgbClr val="FFFA00">
                <a:alpha val="50000"/>
              </a:srgbClr>
            </a:solidFill>
            <a:prstDash val="dash"/>
          </a:ln>
        </xdr:spPr>
        <xdr:style>
          <a:lnRef idx="1">
            <a:schemeClr val="accent4"/>
          </a:lnRef>
          <a:fillRef idx="0">
            <a:schemeClr val="accent4"/>
          </a:fillRef>
          <a:effectRef idx="0">
            <a:schemeClr val="accent4"/>
          </a:effectRef>
          <a:fontRef idx="minor">
            <a:schemeClr val="tx1"/>
          </a:fontRef>
        </xdr:style>
      </xdr:cxnSp>
      <xdr:cxnSp macro="">
        <xdr:nvCxnSpPr>
          <xdr:cNvPr id="12" name="Conector recto 11">
            <a:extLst>
              <a:ext uri="{FF2B5EF4-FFF2-40B4-BE49-F238E27FC236}">
                <a16:creationId xmlns:a16="http://schemas.microsoft.com/office/drawing/2014/main" id="{8EDC6EBA-E327-322E-CD1B-127C056DA18F}"/>
              </a:ext>
            </a:extLst>
          </xdr:cNvPr>
          <xdr:cNvCxnSpPr/>
        </xdr:nvCxnSpPr>
        <xdr:spPr>
          <a:xfrm flipV="1">
            <a:off x="2089754" y="6691846"/>
            <a:ext cx="6549984" cy="27214"/>
          </a:xfrm>
          <a:prstGeom prst="line">
            <a:avLst/>
          </a:prstGeom>
          <a:ln w="38100">
            <a:solidFill>
              <a:schemeClr val="accent2"/>
            </a:solidFill>
            <a:prstDash val="dash"/>
          </a:ln>
        </xdr:spPr>
        <xdr:style>
          <a:lnRef idx="1">
            <a:schemeClr val="accent4"/>
          </a:lnRef>
          <a:fillRef idx="0">
            <a:schemeClr val="accent4"/>
          </a:fillRef>
          <a:effectRef idx="0">
            <a:schemeClr val="accent4"/>
          </a:effectRef>
          <a:fontRef idx="minor">
            <a:schemeClr val="tx1"/>
          </a:fontRef>
        </xdr:style>
      </xdr:cxnSp>
      <xdr:cxnSp macro="">
        <xdr:nvCxnSpPr>
          <xdr:cNvPr id="13" name="Conector recto 12">
            <a:extLst>
              <a:ext uri="{FF2B5EF4-FFF2-40B4-BE49-F238E27FC236}">
                <a16:creationId xmlns:a16="http://schemas.microsoft.com/office/drawing/2014/main" id="{B2EFD0ED-54BF-8385-EBA3-EEAF2547AA57}"/>
              </a:ext>
            </a:extLst>
          </xdr:cNvPr>
          <xdr:cNvCxnSpPr/>
        </xdr:nvCxnSpPr>
        <xdr:spPr>
          <a:xfrm flipV="1">
            <a:off x="2105702" y="5823796"/>
            <a:ext cx="6549984" cy="27214"/>
          </a:xfrm>
          <a:prstGeom prst="line">
            <a:avLst/>
          </a:prstGeom>
          <a:ln w="38100">
            <a:solidFill>
              <a:srgbClr val="FF0000"/>
            </a:solidFill>
            <a:prstDash val="dash"/>
          </a:ln>
        </xdr:spPr>
        <xdr:style>
          <a:lnRef idx="1">
            <a:schemeClr val="accent4"/>
          </a:lnRef>
          <a:fillRef idx="0">
            <a:schemeClr val="accent4"/>
          </a:fillRef>
          <a:effectRef idx="0">
            <a:schemeClr val="accent4"/>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16806</xdr:colOff>
      <xdr:row>22</xdr:row>
      <xdr:rowOff>180413</xdr:rowOff>
    </xdr:from>
    <xdr:to>
      <xdr:col>23</xdr:col>
      <xdr:colOff>705969</xdr:colOff>
      <xdr:row>43</xdr:row>
      <xdr:rowOff>100852</xdr:rowOff>
    </xdr:to>
    <xdr:graphicFrame macro="">
      <xdr:nvGraphicFramePr>
        <xdr:cNvPr id="3" name="Gráfico 2">
          <a:extLst>
            <a:ext uri="{FF2B5EF4-FFF2-40B4-BE49-F238E27FC236}">
              <a16:creationId xmlns:a16="http://schemas.microsoft.com/office/drawing/2014/main" id="{C8C43065-4634-310F-F614-3AA7D9020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39219</xdr:colOff>
      <xdr:row>43</xdr:row>
      <xdr:rowOff>113178</xdr:rowOff>
    </xdr:from>
    <xdr:to>
      <xdr:col>23</xdr:col>
      <xdr:colOff>705970</xdr:colOff>
      <xdr:row>62</xdr:row>
      <xdr:rowOff>123264</xdr:rowOff>
    </xdr:to>
    <xdr:graphicFrame macro="">
      <xdr:nvGraphicFramePr>
        <xdr:cNvPr id="4" name="Gráfico 3">
          <a:extLst>
            <a:ext uri="{FF2B5EF4-FFF2-40B4-BE49-F238E27FC236}">
              <a16:creationId xmlns:a16="http://schemas.microsoft.com/office/drawing/2014/main" id="{F01D7AA4-4A45-2D63-FDF8-522AA0C1D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190500</xdr:colOff>
      <xdr:row>23</xdr:row>
      <xdr:rowOff>112059</xdr:rowOff>
    </xdr:from>
    <xdr:to>
      <xdr:col>22</xdr:col>
      <xdr:colOff>683559</xdr:colOff>
      <xdr:row>25</xdr:row>
      <xdr:rowOff>123265</xdr:rowOff>
    </xdr:to>
    <xdr:sp macro="" textlink="">
      <xdr:nvSpPr>
        <xdr:cNvPr id="2" name="CuadroTexto 1">
          <a:extLst>
            <a:ext uri="{FF2B5EF4-FFF2-40B4-BE49-F238E27FC236}">
              <a16:creationId xmlns:a16="http://schemas.microsoft.com/office/drawing/2014/main" id="{33A9C90D-A7D5-503B-72D5-437AB914801F}"/>
            </a:ext>
          </a:extLst>
        </xdr:cNvPr>
        <xdr:cNvSpPr txBox="1"/>
      </xdr:nvSpPr>
      <xdr:spPr>
        <a:xfrm>
          <a:off x="16876059" y="4762500"/>
          <a:ext cx="1255059" cy="392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600" b="1">
              <a:latin typeface="Arial" panose="020B0604020202020204" pitchFamily="34" charset="0"/>
              <a:cs typeface="Arial" panose="020B0604020202020204" pitchFamily="34" charset="0"/>
            </a:rPr>
            <a:t>AÑO:</a:t>
          </a:r>
          <a:r>
            <a:rPr lang="es-PE" sz="1600" b="1" baseline="0">
              <a:latin typeface="Arial" panose="020B0604020202020204" pitchFamily="34" charset="0"/>
              <a:cs typeface="Arial" panose="020B0604020202020204" pitchFamily="34" charset="0"/>
            </a:rPr>
            <a:t> </a:t>
          </a:r>
          <a:r>
            <a:rPr lang="es-PE" sz="1600" b="1">
              <a:latin typeface="Arial" panose="020B0604020202020204" pitchFamily="34" charset="0"/>
              <a:cs typeface="Arial" panose="020B0604020202020204" pitchFamily="34" charset="0"/>
            </a:rPr>
            <a:t>2025</a:t>
          </a:r>
        </a:p>
      </xdr:txBody>
    </xdr:sp>
    <xdr:clientData/>
  </xdr:twoCellAnchor>
  <xdr:twoCellAnchor>
    <xdr:from>
      <xdr:col>21</xdr:col>
      <xdr:colOff>190499</xdr:colOff>
      <xdr:row>43</xdr:row>
      <xdr:rowOff>134472</xdr:rowOff>
    </xdr:from>
    <xdr:to>
      <xdr:col>22</xdr:col>
      <xdr:colOff>683558</xdr:colOff>
      <xdr:row>45</xdr:row>
      <xdr:rowOff>145678</xdr:rowOff>
    </xdr:to>
    <xdr:sp macro="" textlink="">
      <xdr:nvSpPr>
        <xdr:cNvPr id="5" name="CuadroTexto 4">
          <a:extLst>
            <a:ext uri="{FF2B5EF4-FFF2-40B4-BE49-F238E27FC236}">
              <a16:creationId xmlns:a16="http://schemas.microsoft.com/office/drawing/2014/main" id="{70AB64A1-3484-4346-856C-6BAC3CB38D87}"/>
            </a:ext>
          </a:extLst>
        </xdr:cNvPr>
        <xdr:cNvSpPr txBox="1"/>
      </xdr:nvSpPr>
      <xdr:spPr>
        <a:xfrm>
          <a:off x="16876058" y="8594913"/>
          <a:ext cx="1255059" cy="392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600" b="1">
              <a:latin typeface="Arial" panose="020B0604020202020204" pitchFamily="34" charset="0"/>
              <a:cs typeface="Arial" panose="020B0604020202020204" pitchFamily="34" charset="0"/>
            </a:rPr>
            <a:t>AÑO:</a:t>
          </a:r>
          <a:r>
            <a:rPr lang="es-PE" sz="1600" b="1" baseline="0">
              <a:latin typeface="Arial" panose="020B0604020202020204" pitchFamily="34" charset="0"/>
              <a:cs typeface="Arial" panose="020B0604020202020204" pitchFamily="34" charset="0"/>
            </a:rPr>
            <a:t> </a:t>
          </a:r>
          <a:r>
            <a:rPr lang="es-PE" sz="1600" b="1">
              <a:latin typeface="Arial" panose="020B0604020202020204" pitchFamily="34" charset="0"/>
              <a:cs typeface="Arial" panose="020B0604020202020204" pitchFamily="34" charset="0"/>
            </a:rPr>
            <a:t>2023</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12</xdr:col>
      <xdr:colOff>137586</xdr:colOff>
      <xdr:row>5</xdr:row>
      <xdr:rowOff>83989</xdr:rowOff>
    </xdr:from>
    <xdr:ext cx="5522323" cy="3908086"/>
    <xdr:graphicFrame macro="">
      <xdr:nvGraphicFramePr>
        <xdr:cNvPr id="438281239" name="Chart 7" title="Gráfico">
          <a:extLst>
            <a:ext uri="{FF2B5EF4-FFF2-40B4-BE49-F238E27FC236}">
              <a16:creationId xmlns:a16="http://schemas.microsoft.com/office/drawing/2014/main" id="{00000000-0008-0000-1100-000017A41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520700</xdr:colOff>
      <xdr:row>5</xdr:row>
      <xdr:rowOff>79010</xdr:rowOff>
    </xdr:from>
    <xdr:ext cx="7674394" cy="3874764"/>
    <xdr:graphicFrame macro="">
      <xdr:nvGraphicFramePr>
        <xdr:cNvPr id="1762357502" name="Chart 10">
          <a:extLst>
            <a:ext uri="{FF2B5EF4-FFF2-40B4-BE49-F238E27FC236}">
              <a16:creationId xmlns:a16="http://schemas.microsoft.com/office/drawing/2014/main" id="{00000000-0008-0000-1100-0000FE700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17</xdr:col>
      <xdr:colOff>147107</xdr:colOff>
      <xdr:row>46</xdr:row>
      <xdr:rowOff>53814</xdr:rowOff>
    </xdr:from>
    <xdr:ext cx="5936121" cy="4093183"/>
    <xdr:graphicFrame macro="">
      <xdr:nvGraphicFramePr>
        <xdr:cNvPr id="2" name="Chart 7" title="Gráfico">
          <a:extLst>
            <a:ext uri="{FF2B5EF4-FFF2-40B4-BE49-F238E27FC236}">
              <a16:creationId xmlns:a16="http://schemas.microsoft.com/office/drawing/2014/main" id="{80BFC316-A036-45F3-8667-8F5C3D227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19</xdr:col>
      <xdr:colOff>598889</xdr:colOff>
      <xdr:row>5</xdr:row>
      <xdr:rowOff>88411</xdr:rowOff>
    </xdr:from>
    <xdr:ext cx="4016007" cy="3937249"/>
    <xdr:graphicFrame macro="">
      <xdr:nvGraphicFramePr>
        <xdr:cNvPr id="3" name="Chart 7" title="Gráfico">
          <a:extLst>
            <a:ext uri="{FF2B5EF4-FFF2-40B4-BE49-F238E27FC236}">
              <a16:creationId xmlns:a16="http://schemas.microsoft.com/office/drawing/2014/main" id="{F85108A6-14D0-4B67-BADC-38B3142E3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xdr:from>
      <xdr:col>1</xdr:col>
      <xdr:colOff>504266</xdr:colOff>
      <xdr:row>24</xdr:row>
      <xdr:rowOff>154768</xdr:rowOff>
    </xdr:from>
    <xdr:to>
      <xdr:col>12</xdr:col>
      <xdr:colOff>198459</xdr:colOff>
      <xdr:row>47</xdr:row>
      <xdr:rowOff>183679</xdr:rowOff>
    </xdr:to>
    <xdr:grpSp>
      <xdr:nvGrpSpPr>
        <xdr:cNvPr id="5" name="Grupo 4">
          <a:extLst>
            <a:ext uri="{FF2B5EF4-FFF2-40B4-BE49-F238E27FC236}">
              <a16:creationId xmlns:a16="http://schemas.microsoft.com/office/drawing/2014/main" id="{647C2A6B-5BC1-4073-BC85-2F788B03FEF2}"/>
            </a:ext>
          </a:extLst>
        </xdr:cNvPr>
        <xdr:cNvGrpSpPr/>
      </xdr:nvGrpSpPr>
      <xdr:grpSpPr>
        <a:xfrm>
          <a:off x="1224747" y="4892845"/>
          <a:ext cx="7790443" cy="4522757"/>
          <a:chOff x="1433946" y="5259339"/>
          <a:chExt cx="7311986" cy="3958854"/>
        </a:xfrm>
      </xdr:grpSpPr>
      <xdr:graphicFrame macro="">
        <xdr:nvGraphicFramePr>
          <xdr:cNvPr id="4" name="Gráfico 3">
            <a:extLst>
              <a:ext uri="{FF2B5EF4-FFF2-40B4-BE49-F238E27FC236}">
                <a16:creationId xmlns:a16="http://schemas.microsoft.com/office/drawing/2014/main" id="{BF74C20A-580E-4A59-906A-01647A4B5593}"/>
              </a:ext>
            </a:extLst>
          </xdr:cNvPr>
          <xdr:cNvGraphicFramePr>
            <a:graphicFrameLocks/>
          </xdr:cNvGraphicFramePr>
        </xdr:nvGraphicFramePr>
        <xdr:xfrm>
          <a:off x="1433946" y="5259339"/>
          <a:ext cx="7311986" cy="3958854"/>
        </xdr:xfrm>
        <a:graphic>
          <a:graphicData uri="http://schemas.openxmlformats.org/drawingml/2006/chart">
            <c:chart xmlns:c="http://schemas.openxmlformats.org/drawingml/2006/chart" xmlns:r="http://schemas.openxmlformats.org/officeDocument/2006/relationships" r:id="rId5"/>
          </a:graphicData>
        </a:graphic>
      </xdr:graphicFrame>
      <xdr:cxnSp macro="">
        <xdr:nvCxnSpPr>
          <xdr:cNvPr id="7" name="Conector recto 6">
            <a:extLst>
              <a:ext uri="{FF2B5EF4-FFF2-40B4-BE49-F238E27FC236}">
                <a16:creationId xmlns:a16="http://schemas.microsoft.com/office/drawing/2014/main" id="{5392945F-F0D0-8242-80BA-F717CA5526CD}"/>
              </a:ext>
            </a:extLst>
          </xdr:cNvPr>
          <xdr:cNvCxnSpPr/>
        </xdr:nvCxnSpPr>
        <xdr:spPr>
          <a:xfrm flipV="1">
            <a:off x="2073043" y="7547305"/>
            <a:ext cx="6549984" cy="27214"/>
          </a:xfrm>
          <a:prstGeom prst="line">
            <a:avLst/>
          </a:prstGeom>
          <a:ln w="38100">
            <a:solidFill>
              <a:srgbClr val="FFFA00">
                <a:alpha val="50000"/>
              </a:srgbClr>
            </a:solidFill>
            <a:prstDash val="dash"/>
          </a:ln>
        </xdr:spPr>
        <xdr:style>
          <a:lnRef idx="1">
            <a:schemeClr val="accent4"/>
          </a:lnRef>
          <a:fillRef idx="0">
            <a:schemeClr val="accent4"/>
          </a:fillRef>
          <a:effectRef idx="0">
            <a:schemeClr val="accent4"/>
          </a:effectRef>
          <a:fontRef idx="minor">
            <a:schemeClr val="tx1"/>
          </a:fontRef>
        </xdr:style>
      </xdr:cxnSp>
      <xdr:cxnSp macro="">
        <xdr:nvCxnSpPr>
          <xdr:cNvPr id="8" name="Conector recto 7">
            <a:extLst>
              <a:ext uri="{FF2B5EF4-FFF2-40B4-BE49-F238E27FC236}">
                <a16:creationId xmlns:a16="http://schemas.microsoft.com/office/drawing/2014/main" id="{6D4321BF-12C2-4F04-A283-E3922D3E20CE}"/>
              </a:ext>
            </a:extLst>
          </xdr:cNvPr>
          <xdr:cNvCxnSpPr/>
        </xdr:nvCxnSpPr>
        <xdr:spPr>
          <a:xfrm flipV="1">
            <a:off x="2089754" y="6691846"/>
            <a:ext cx="6549984" cy="27214"/>
          </a:xfrm>
          <a:prstGeom prst="line">
            <a:avLst/>
          </a:prstGeom>
          <a:ln w="38100">
            <a:solidFill>
              <a:schemeClr val="accent2"/>
            </a:solidFill>
            <a:prstDash val="dash"/>
          </a:ln>
        </xdr:spPr>
        <xdr:style>
          <a:lnRef idx="1">
            <a:schemeClr val="accent4"/>
          </a:lnRef>
          <a:fillRef idx="0">
            <a:schemeClr val="accent4"/>
          </a:fillRef>
          <a:effectRef idx="0">
            <a:schemeClr val="accent4"/>
          </a:effectRef>
          <a:fontRef idx="minor">
            <a:schemeClr val="tx1"/>
          </a:fontRef>
        </xdr:style>
      </xdr:cxnSp>
      <xdr:cxnSp macro="">
        <xdr:nvCxnSpPr>
          <xdr:cNvPr id="9" name="Conector recto 8">
            <a:extLst>
              <a:ext uri="{FF2B5EF4-FFF2-40B4-BE49-F238E27FC236}">
                <a16:creationId xmlns:a16="http://schemas.microsoft.com/office/drawing/2014/main" id="{0007B50B-15B9-4E97-A435-74492E740151}"/>
              </a:ext>
            </a:extLst>
          </xdr:cNvPr>
          <xdr:cNvCxnSpPr/>
        </xdr:nvCxnSpPr>
        <xdr:spPr>
          <a:xfrm flipV="1">
            <a:off x="2105702" y="5823796"/>
            <a:ext cx="6549984" cy="27214"/>
          </a:xfrm>
          <a:prstGeom prst="line">
            <a:avLst/>
          </a:prstGeom>
          <a:ln w="38100">
            <a:solidFill>
              <a:srgbClr val="FF0000"/>
            </a:solidFill>
            <a:prstDash val="dash"/>
          </a:ln>
        </xdr:spPr>
        <xdr:style>
          <a:lnRef idx="1">
            <a:schemeClr val="accent4"/>
          </a:lnRef>
          <a:fillRef idx="0">
            <a:schemeClr val="accent4"/>
          </a:fillRef>
          <a:effectRef idx="0">
            <a:schemeClr val="accent4"/>
          </a:effectRef>
          <a:fontRef idx="minor">
            <a:schemeClr val="tx1"/>
          </a:fontRef>
        </xdr:style>
      </xdr:cxnSp>
    </xdr:grpSp>
    <xdr:clientData/>
  </xdr:twoCellAnchor>
  <xdr:oneCellAnchor>
    <xdr:from>
      <xdr:col>12</xdr:col>
      <xdr:colOff>220511</xdr:colOff>
      <xdr:row>25</xdr:row>
      <xdr:rowOff>89300</xdr:rowOff>
    </xdr:from>
    <xdr:ext cx="9440699" cy="4220371"/>
    <xdr:graphicFrame macro="">
      <xdr:nvGraphicFramePr>
        <xdr:cNvPr id="685490877" name="Chart 8">
          <a:extLst>
            <a:ext uri="{FF2B5EF4-FFF2-40B4-BE49-F238E27FC236}">
              <a16:creationId xmlns:a16="http://schemas.microsoft.com/office/drawing/2014/main" id="{00000000-0008-0000-1100-0000BDC2D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8</xdr:col>
      <xdr:colOff>421598</xdr:colOff>
      <xdr:row>46</xdr:row>
      <xdr:rowOff>69447</xdr:rowOff>
    </xdr:from>
    <xdr:ext cx="6203641" cy="4133659"/>
    <xdr:graphicFrame macro="">
      <xdr:nvGraphicFramePr>
        <xdr:cNvPr id="6" name="Chart 11">
          <a:extLst>
            <a:ext uri="{FF2B5EF4-FFF2-40B4-BE49-F238E27FC236}">
              <a16:creationId xmlns:a16="http://schemas.microsoft.com/office/drawing/2014/main" id="{343E1A1D-A881-4AEE-8023-4489999AD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xdr:col>
      <xdr:colOff>528081</xdr:colOff>
      <xdr:row>46</xdr:row>
      <xdr:rowOff>97354</xdr:rowOff>
    </xdr:from>
    <xdr:ext cx="5110318" cy="4108050"/>
    <xdr:graphicFrame macro="">
      <xdr:nvGraphicFramePr>
        <xdr:cNvPr id="2020436344" name="Chart 6">
          <a:extLst>
            <a:ext uri="{FF2B5EF4-FFF2-40B4-BE49-F238E27FC236}">
              <a16:creationId xmlns:a16="http://schemas.microsoft.com/office/drawing/2014/main" id="{00000000-0008-0000-1100-000078696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19</xdr:col>
      <xdr:colOff>284069</xdr:colOff>
      <xdr:row>2</xdr:row>
      <xdr:rowOff>175932</xdr:rowOff>
    </xdr:from>
    <xdr:ext cx="4953000" cy="3533775"/>
    <xdr:graphicFrame macro="">
      <xdr:nvGraphicFramePr>
        <xdr:cNvPr id="1159790379" name="Chart 1">
          <a:extLst>
            <a:ext uri="{FF2B5EF4-FFF2-40B4-BE49-F238E27FC236}">
              <a16:creationId xmlns:a16="http://schemas.microsoft.com/office/drawing/2014/main" id="{00000000-0008-0000-0E00-00002BFF2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19</xdr:col>
      <xdr:colOff>685800</xdr:colOff>
      <xdr:row>19</xdr:row>
      <xdr:rowOff>95250</xdr:rowOff>
    </xdr:from>
    <xdr:ext cx="4953000" cy="3533775"/>
    <xdr:graphicFrame macro="">
      <xdr:nvGraphicFramePr>
        <xdr:cNvPr id="678849076" name="Chart 2">
          <a:extLst>
            <a:ext uri="{FF2B5EF4-FFF2-40B4-BE49-F238E27FC236}">
              <a16:creationId xmlns:a16="http://schemas.microsoft.com/office/drawing/2014/main" id="{00000000-0008-0000-0E00-0000346A7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24</xdr:col>
      <xdr:colOff>114300</xdr:colOff>
      <xdr:row>3</xdr:row>
      <xdr:rowOff>28575</xdr:rowOff>
    </xdr:from>
    <xdr:ext cx="5353050" cy="3533775"/>
    <xdr:graphicFrame macro="">
      <xdr:nvGraphicFramePr>
        <xdr:cNvPr id="1715329045" name="Chart 3">
          <a:extLst>
            <a:ext uri="{FF2B5EF4-FFF2-40B4-BE49-F238E27FC236}">
              <a16:creationId xmlns:a16="http://schemas.microsoft.com/office/drawing/2014/main" id="{00000000-0008-0000-0E00-000015D83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24</xdr:col>
      <xdr:colOff>123825</xdr:colOff>
      <xdr:row>19</xdr:row>
      <xdr:rowOff>95250</xdr:rowOff>
    </xdr:from>
    <xdr:ext cx="5353050" cy="3533775"/>
    <xdr:graphicFrame macro="">
      <xdr:nvGraphicFramePr>
        <xdr:cNvPr id="2111842756" name="Chart 4">
          <a:extLst>
            <a:ext uri="{FF2B5EF4-FFF2-40B4-BE49-F238E27FC236}">
              <a16:creationId xmlns:a16="http://schemas.microsoft.com/office/drawing/2014/main" id="{00000000-0008-0000-0E00-0000C429E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twoCellAnchor>
    <xdr:from>
      <xdr:col>6</xdr:col>
      <xdr:colOff>66675</xdr:colOff>
      <xdr:row>10</xdr:row>
      <xdr:rowOff>15735</xdr:rowOff>
    </xdr:from>
    <xdr:to>
      <xdr:col>14</xdr:col>
      <xdr:colOff>685800</xdr:colOff>
      <xdr:row>28</xdr:row>
      <xdr:rowOff>187185</xdr:rowOff>
    </xdr:to>
    <xdr:graphicFrame macro="">
      <xdr:nvGraphicFramePr>
        <xdr:cNvPr id="6" name="Gráfico 5">
          <a:extLst>
            <a:ext uri="{FF2B5EF4-FFF2-40B4-BE49-F238E27FC236}">
              <a16:creationId xmlns:a16="http://schemas.microsoft.com/office/drawing/2014/main" id="{1828C20A-7D60-420E-B2C3-96FBB5FBA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582705</xdr:colOff>
      <xdr:row>3</xdr:row>
      <xdr:rowOff>168088</xdr:rowOff>
    </xdr:from>
    <xdr:to>
      <xdr:col>2</xdr:col>
      <xdr:colOff>571499</xdr:colOff>
      <xdr:row>7</xdr:row>
      <xdr:rowOff>145677</xdr:rowOff>
    </xdr:to>
    <xdr:pic>
      <xdr:nvPicPr>
        <xdr:cNvPr id="9" name="Imagen 8">
          <a:extLst>
            <a:ext uri="{FF2B5EF4-FFF2-40B4-BE49-F238E27FC236}">
              <a16:creationId xmlns:a16="http://schemas.microsoft.com/office/drawing/2014/main" id="{D0731029-6128-4A89-B8CB-DFB277CB53C7}"/>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20000"/>
        <a:stretch/>
      </xdr:blipFill>
      <xdr:spPr bwMode="auto">
        <a:xfrm>
          <a:off x="773205" y="168088"/>
          <a:ext cx="1120588" cy="739589"/>
        </a:xfrm>
        <a:prstGeom prst="rect">
          <a:avLst/>
        </a:prstGeom>
        <a:noFill/>
        <a:ln>
          <a:noFill/>
        </a:ln>
        <a:extLst>
          <a:ext uri="{53640926-AAD7-44D8-BBD7-CCE9431645EC}">
            <a14:shadowObscured xmlns:a14="http://schemas.microsoft.com/office/drawing/2010/main"/>
          </a:ext>
        </a:extLst>
      </xdr:spPr>
    </xdr:pic>
    <xdr:clientData/>
  </xdr:twoCellAnchor>
  <xdr:oneCellAnchor>
    <xdr:from>
      <xdr:col>1</xdr:col>
      <xdr:colOff>582705</xdr:colOff>
      <xdr:row>51</xdr:row>
      <xdr:rowOff>11206</xdr:rowOff>
    </xdr:from>
    <xdr:ext cx="1120588" cy="739589"/>
    <xdr:pic>
      <xdr:nvPicPr>
        <xdr:cNvPr id="11" name="Imagen 10">
          <a:extLst>
            <a:ext uri="{FF2B5EF4-FFF2-40B4-BE49-F238E27FC236}">
              <a16:creationId xmlns:a16="http://schemas.microsoft.com/office/drawing/2014/main" id="{DD4B9AAD-5907-4342-92D4-ACCC3DDE3A31}"/>
            </a:ext>
          </a:extLst>
        </xdr:cNvPr>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000"/>
        <a:stretch/>
      </xdr:blipFill>
      <xdr:spPr bwMode="auto">
        <a:xfrm>
          <a:off x="773205" y="9345706"/>
          <a:ext cx="1120588" cy="739589"/>
        </a:xfrm>
        <a:prstGeom prst="rect">
          <a:avLst/>
        </a:prstGeom>
        <a:noFill/>
        <a:ln>
          <a:noFill/>
        </a:ln>
        <a:extLst>
          <a:ext uri="{53640926-AAD7-44D8-BBD7-CCE9431645EC}">
            <a14:shadowObscured xmlns:a14="http://schemas.microsoft.com/office/drawing/2010/main"/>
          </a:ext>
        </a:extLst>
      </xdr:spPr>
    </xdr:pic>
    <xdr:clientData/>
  </xdr:oneCellAnchor>
  <xdr:oneCellAnchor>
    <xdr:from>
      <xdr:col>1</xdr:col>
      <xdr:colOff>582705</xdr:colOff>
      <xdr:row>98</xdr:row>
      <xdr:rowOff>22412</xdr:rowOff>
    </xdr:from>
    <xdr:ext cx="1120588" cy="739589"/>
    <xdr:pic>
      <xdr:nvPicPr>
        <xdr:cNvPr id="13" name="Imagen 12">
          <a:extLst>
            <a:ext uri="{FF2B5EF4-FFF2-40B4-BE49-F238E27FC236}">
              <a16:creationId xmlns:a16="http://schemas.microsoft.com/office/drawing/2014/main" id="{2994F87E-8FFE-467A-8B81-C9B68B5B2A4C}"/>
            </a:ext>
          </a:extLst>
        </xdr:cNvPr>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000"/>
        <a:stretch/>
      </xdr:blipFill>
      <xdr:spPr bwMode="auto">
        <a:xfrm>
          <a:off x="773205" y="18500912"/>
          <a:ext cx="1120588" cy="739589"/>
        </a:xfrm>
        <a:prstGeom prst="rect">
          <a:avLst/>
        </a:prstGeom>
        <a:noFill/>
        <a:ln>
          <a:noFill/>
        </a:ln>
        <a:extLst>
          <a:ext uri="{53640926-AAD7-44D8-BBD7-CCE9431645EC}">
            <a14:shadowObscured xmlns:a14="http://schemas.microsoft.com/office/drawing/2010/main"/>
          </a:ext>
        </a:extLst>
      </xdr:spPr>
    </xdr:pic>
    <xdr:clientData/>
  </xdr:oneCellAnchor>
  <xdr:oneCellAnchor>
    <xdr:from>
      <xdr:col>18</xdr:col>
      <xdr:colOff>582705</xdr:colOff>
      <xdr:row>3</xdr:row>
      <xdr:rowOff>168088</xdr:rowOff>
    </xdr:from>
    <xdr:ext cx="1120588" cy="739589"/>
    <xdr:pic>
      <xdr:nvPicPr>
        <xdr:cNvPr id="15" name="Imagen 14">
          <a:extLst>
            <a:ext uri="{FF2B5EF4-FFF2-40B4-BE49-F238E27FC236}">
              <a16:creationId xmlns:a16="http://schemas.microsoft.com/office/drawing/2014/main" id="{49F0D2E2-0801-4C9B-A9E6-F95F3C578200}"/>
            </a:ext>
          </a:extLst>
        </xdr:cNvPr>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000"/>
        <a:stretch/>
      </xdr:blipFill>
      <xdr:spPr bwMode="auto">
        <a:xfrm>
          <a:off x="773205" y="168088"/>
          <a:ext cx="1120588" cy="739589"/>
        </a:xfrm>
        <a:prstGeom prst="rect">
          <a:avLst/>
        </a:prstGeom>
        <a:noFill/>
        <a:ln>
          <a:noFill/>
        </a:ln>
        <a:extLst>
          <a:ext uri="{53640926-AAD7-44D8-BBD7-CCE9431645EC}">
            <a14:shadowObscured xmlns:a14="http://schemas.microsoft.com/office/drawing/2010/main"/>
          </a:ext>
        </a:extLst>
      </xdr:spPr>
    </xdr:pic>
    <xdr:clientData/>
  </xdr:oneCellAnchor>
  <xdr:oneCellAnchor>
    <xdr:from>
      <xdr:col>18</xdr:col>
      <xdr:colOff>582705</xdr:colOff>
      <xdr:row>51</xdr:row>
      <xdr:rowOff>11206</xdr:rowOff>
    </xdr:from>
    <xdr:ext cx="1120588" cy="739589"/>
    <xdr:pic>
      <xdr:nvPicPr>
        <xdr:cNvPr id="17" name="Imagen 16">
          <a:extLst>
            <a:ext uri="{FF2B5EF4-FFF2-40B4-BE49-F238E27FC236}">
              <a16:creationId xmlns:a16="http://schemas.microsoft.com/office/drawing/2014/main" id="{364B3481-5F15-4A71-B5FD-CB4312D06885}"/>
            </a:ext>
          </a:extLst>
        </xdr:cNvPr>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000"/>
        <a:stretch/>
      </xdr:blipFill>
      <xdr:spPr bwMode="auto">
        <a:xfrm>
          <a:off x="773205" y="9345706"/>
          <a:ext cx="1120588" cy="739589"/>
        </a:xfrm>
        <a:prstGeom prst="rect">
          <a:avLst/>
        </a:prstGeom>
        <a:noFill/>
        <a:ln>
          <a:noFill/>
        </a:ln>
        <a:extLst>
          <a:ext uri="{53640926-AAD7-44D8-BBD7-CCE9431645EC}">
            <a14:shadowObscured xmlns:a14="http://schemas.microsoft.com/office/drawing/2010/main"/>
          </a:ext>
        </a:extLst>
      </xdr:spPr>
    </xdr:pic>
    <xdr:clientData/>
  </xdr:oneCellAnchor>
  <xdr:oneCellAnchor>
    <xdr:from>
      <xdr:col>18</xdr:col>
      <xdr:colOff>582705</xdr:colOff>
      <xdr:row>98</xdr:row>
      <xdr:rowOff>22412</xdr:rowOff>
    </xdr:from>
    <xdr:ext cx="1120588" cy="739589"/>
    <xdr:pic>
      <xdr:nvPicPr>
        <xdr:cNvPr id="19" name="Imagen 18">
          <a:extLst>
            <a:ext uri="{FF2B5EF4-FFF2-40B4-BE49-F238E27FC236}">
              <a16:creationId xmlns:a16="http://schemas.microsoft.com/office/drawing/2014/main" id="{2BF5870C-EE06-456B-AFFF-E3B94FF0539A}"/>
            </a:ext>
          </a:extLst>
        </xdr:cNvPr>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000"/>
        <a:stretch/>
      </xdr:blipFill>
      <xdr:spPr bwMode="auto">
        <a:xfrm>
          <a:off x="773205" y="18500912"/>
          <a:ext cx="1120588" cy="739589"/>
        </a:xfrm>
        <a:prstGeom prst="rect">
          <a:avLst/>
        </a:prstGeom>
        <a:noFill/>
        <a:ln>
          <a:noFill/>
        </a:ln>
        <a:extLst>
          <a:ext uri="{53640926-AAD7-44D8-BBD7-CCE9431645EC}">
            <a14:shadowObscured xmlns:a14="http://schemas.microsoft.com/office/drawing/2010/main"/>
          </a:ext>
        </a:extLst>
      </xdr:spPr>
    </xdr:pic>
    <xdr:clientData/>
  </xdr:oneCellAnchor>
  <xdr:oneCellAnchor>
    <xdr:from>
      <xdr:col>35</xdr:col>
      <xdr:colOff>582705</xdr:colOff>
      <xdr:row>3</xdr:row>
      <xdr:rowOff>168088</xdr:rowOff>
    </xdr:from>
    <xdr:ext cx="1120588" cy="739589"/>
    <xdr:pic>
      <xdr:nvPicPr>
        <xdr:cNvPr id="21" name="Imagen 20">
          <a:extLst>
            <a:ext uri="{FF2B5EF4-FFF2-40B4-BE49-F238E27FC236}">
              <a16:creationId xmlns:a16="http://schemas.microsoft.com/office/drawing/2014/main" id="{BEC0C016-301D-46FC-92DE-8BC0C1513606}"/>
            </a:ext>
          </a:extLst>
        </xdr:cNvPr>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000"/>
        <a:stretch/>
      </xdr:blipFill>
      <xdr:spPr bwMode="auto">
        <a:xfrm>
          <a:off x="11960750" y="168088"/>
          <a:ext cx="1120588" cy="739589"/>
        </a:xfrm>
        <a:prstGeom prst="rect">
          <a:avLst/>
        </a:prstGeom>
        <a:noFill/>
        <a:ln>
          <a:noFill/>
        </a:ln>
        <a:extLst>
          <a:ext uri="{53640926-AAD7-44D8-BBD7-CCE9431645EC}">
            <a14:shadowObscured xmlns:a14="http://schemas.microsoft.com/office/drawing/2010/main"/>
          </a:ext>
        </a:extLst>
      </xdr:spPr>
    </xdr:pic>
    <xdr:clientData/>
  </xdr:oneCellAnchor>
  <xdr:oneCellAnchor>
    <xdr:from>
      <xdr:col>35</xdr:col>
      <xdr:colOff>582705</xdr:colOff>
      <xdr:row>51</xdr:row>
      <xdr:rowOff>11206</xdr:rowOff>
    </xdr:from>
    <xdr:ext cx="1120588" cy="739589"/>
    <xdr:pic>
      <xdr:nvPicPr>
        <xdr:cNvPr id="23" name="Imagen 22">
          <a:extLst>
            <a:ext uri="{FF2B5EF4-FFF2-40B4-BE49-F238E27FC236}">
              <a16:creationId xmlns:a16="http://schemas.microsoft.com/office/drawing/2014/main" id="{5451A6DE-D29B-4A37-B2AB-5E92525B038F}"/>
            </a:ext>
          </a:extLst>
        </xdr:cNvPr>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000"/>
        <a:stretch/>
      </xdr:blipFill>
      <xdr:spPr bwMode="auto">
        <a:xfrm>
          <a:off x="11960750" y="9345706"/>
          <a:ext cx="1120588" cy="739589"/>
        </a:xfrm>
        <a:prstGeom prst="rect">
          <a:avLst/>
        </a:prstGeom>
        <a:noFill/>
        <a:ln>
          <a:noFill/>
        </a:ln>
        <a:extLst>
          <a:ext uri="{53640926-AAD7-44D8-BBD7-CCE9431645EC}">
            <a14:shadowObscured xmlns:a14="http://schemas.microsoft.com/office/drawing/2010/main"/>
          </a:ext>
        </a:extLst>
      </xdr:spPr>
    </xdr:pic>
    <xdr:clientData/>
  </xdr:oneCellAnchor>
  <xdr:oneCellAnchor>
    <xdr:from>
      <xdr:col>35</xdr:col>
      <xdr:colOff>582705</xdr:colOff>
      <xdr:row>98</xdr:row>
      <xdr:rowOff>22412</xdr:rowOff>
    </xdr:from>
    <xdr:ext cx="1120588" cy="739589"/>
    <xdr:pic>
      <xdr:nvPicPr>
        <xdr:cNvPr id="25" name="Imagen 24">
          <a:extLst>
            <a:ext uri="{FF2B5EF4-FFF2-40B4-BE49-F238E27FC236}">
              <a16:creationId xmlns:a16="http://schemas.microsoft.com/office/drawing/2014/main" id="{2DB7D783-C3EB-4095-A038-3B029FBB4335}"/>
            </a:ext>
          </a:extLst>
        </xdr:cNvPr>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000"/>
        <a:stretch/>
      </xdr:blipFill>
      <xdr:spPr bwMode="auto">
        <a:xfrm>
          <a:off x="11960750" y="18500912"/>
          <a:ext cx="1120588" cy="739589"/>
        </a:xfrm>
        <a:prstGeom prst="rect">
          <a:avLst/>
        </a:prstGeom>
        <a:noFill/>
        <a:ln>
          <a:noFill/>
        </a:ln>
        <a:extLst>
          <a:ext uri="{53640926-AAD7-44D8-BBD7-CCE9431645EC}">
            <a14:shadowObscured xmlns:a14="http://schemas.microsoft.com/office/drawing/2010/main"/>
          </a:ext>
        </a:extLst>
      </xdr:spPr>
    </xdr:pic>
    <xdr:clientData/>
  </xdr:oneCellAnchor>
  <xdr:twoCellAnchor>
    <xdr:from>
      <xdr:col>23</xdr:col>
      <xdr:colOff>67236</xdr:colOff>
      <xdr:row>10</xdr:row>
      <xdr:rowOff>11205</xdr:rowOff>
    </xdr:from>
    <xdr:to>
      <xdr:col>31</xdr:col>
      <xdr:colOff>685236</xdr:colOff>
      <xdr:row>28</xdr:row>
      <xdr:rowOff>182205</xdr:rowOff>
    </xdr:to>
    <xdr:graphicFrame macro="">
      <xdr:nvGraphicFramePr>
        <xdr:cNvPr id="26" name="Gráfico 25">
          <a:extLst>
            <a:ext uri="{FF2B5EF4-FFF2-40B4-BE49-F238E27FC236}">
              <a16:creationId xmlns:a16="http://schemas.microsoft.com/office/drawing/2014/main" id="{F28A9F9E-FC94-4798-98E8-A56EDEAE4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40</xdr:col>
      <xdr:colOff>68035</xdr:colOff>
      <xdr:row>10</xdr:row>
      <xdr:rowOff>13608</xdr:rowOff>
    </xdr:from>
    <xdr:to>
      <xdr:col>48</xdr:col>
      <xdr:colOff>686035</xdr:colOff>
      <xdr:row>28</xdr:row>
      <xdr:rowOff>184608</xdr:rowOff>
    </xdr:to>
    <xdr:graphicFrame macro="">
      <xdr:nvGraphicFramePr>
        <xdr:cNvPr id="27" name="Gráfico 26">
          <a:extLst>
            <a:ext uri="{FF2B5EF4-FFF2-40B4-BE49-F238E27FC236}">
              <a16:creationId xmlns:a16="http://schemas.microsoft.com/office/drawing/2014/main" id="{9E4C5E9B-8566-4C53-A32A-39A87F504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67236</xdr:colOff>
      <xdr:row>57</xdr:row>
      <xdr:rowOff>11205</xdr:rowOff>
    </xdr:from>
    <xdr:to>
      <xdr:col>14</xdr:col>
      <xdr:colOff>685236</xdr:colOff>
      <xdr:row>75</xdr:row>
      <xdr:rowOff>182205</xdr:rowOff>
    </xdr:to>
    <xdr:graphicFrame macro="">
      <xdr:nvGraphicFramePr>
        <xdr:cNvPr id="28" name="Gráfico 27">
          <a:extLst>
            <a:ext uri="{FF2B5EF4-FFF2-40B4-BE49-F238E27FC236}">
              <a16:creationId xmlns:a16="http://schemas.microsoft.com/office/drawing/2014/main" id="{DE8721C9-56DD-4D15-9793-7488C7CDA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78442</xdr:colOff>
      <xdr:row>57</xdr:row>
      <xdr:rowOff>11206</xdr:rowOff>
    </xdr:from>
    <xdr:to>
      <xdr:col>31</xdr:col>
      <xdr:colOff>696442</xdr:colOff>
      <xdr:row>75</xdr:row>
      <xdr:rowOff>182206</xdr:rowOff>
    </xdr:to>
    <xdr:graphicFrame macro="">
      <xdr:nvGraphicFramePr>
        <xdr:cNvPr id="29" name="Gráfico 28">
          <a:extLst>
            <a:ext uri="{FF2B5EF4-FFF2-40B4-BE49-F238E27FC236}">
              <a16:creationId xmlns:a16="http://schemas.microsoft.com/office/drawing/2014/main" id="{940FC603-A5DC-4F51-B920-93816C705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40</xdr:col>
      <xdr:colOff>67236</xdr:colOff>
      <xdr:row>57</xdr:row>
      <xdr:rowOff>11206</xdr:rowOff>
    </xdr:from>
    <xdr:to>
      <xdr:col>48</xdr:col>
      <xdr:colOff>685236</xdr:colOff>
      <xdr:row>75</xdr:row>
      <xdr:rowOff>182206</xdr:rowOff>
    </xdr:to>
    <xdr:graphicFrame macro="">
      <xdr:nvGraphicFramePr>
        <xdr:cNvPr id="30" name="Gráfico 29">
          <a:extLst>
            <a:ext uri="{FF2B5EF4-FFF2-40B4-BE49-F238E27FC236}">
              <a16:creationId xmlns:a16="http://schemas.microsoft.com/office/drawing/2014/main" id="{831D700B-EF3B-40B4-A2FF-B791847CF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67237</xdr:colOff>
      <xdr:row>104</xdr:row>
      <xdr:rowOff>11205</xdr:rowOff>
    </xdr:from>
    <xdr:to>
      <xdr:col>14</xdr:col>
      <xdr:colOff>685237</xdr:colOff>
      <xdr:row>122</xdr:row>
      <xdr:rowOff>182205</xdr:rowOff>
    </xdr:to>
    <xdr:graphicFrame macro="">
      <xdr:nvGraphicFramePr>
        <xdr:cNvPr id="31" name="Gráfico 30">
          <a:extLst>
            <a:ext uri="{FF2B5EF4-FFF2-40B4-BE49-F238E27FC236}">
              <a16:creationId xmlns:a16="http://schemas.microsoft.com/office/drawing/2014/main" id="{EBB19A34-6953-4034-A8E6-3FF6A2C2B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56030</xdr:colOff>
      <xdr:row>104</xdr:row>
      <xdr:rowOff>0</xdr:rowOff>
    </xdr:from>
    <xdr:to>
      <xdr:col>31</xdr:col>
      <xdr:colOff>674030</xdr:colOff>
      <xdr:row>122</xdr:row>
      <xdr:rowOff>171000</xdr:rowOff>
    </xdr:to>
    <xdr:graphicFrame macro="">
      <xdr:nvGraphicFramePr>
        <xdr:cNvPr id="32" name="Gráfico 31">
          <a:extLst>
            <a:ext uri="{FF2B5EF4-FFF2-40B4-BE49-F238E27FC236}">
              <a16:creationId xmlns:a16="http://schemas.microsoft.com/office/drawing/2014/main" id="{9029CEC2-D3F2-4E5C-AA0B-6C5DC8316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40</xdr:col>
      <xdr:colOff>67236</xdr:colOff>
      <xdr:row>104</xdr:row>
      <xdr:rowOff>11206</xdr:rowOff>
    </xdr:from>
    <xdr:to>
      <xdr:col>48</xdr:col>
      <xdr:colOff>685236</xdr:colOff>
      <xdr:row>122</xdr:row>
      <xdr:rowOff>182206</xdr:rowOff>
    </xdr:to>
    <xdr:graphicFrame macro="">
      <xdr:nvGraphicFramePr>
        <xdr:cNvPr id="33" name="Gráfico 32">
          <a:extLst>
            <a:ext uri="{FF2B5EF4-FFF2-40B4-BE49-F238E27FC236}">
              <a16:creationId xmlns:a16="http://schemas.microsoft.com/office/drawing/2014/main" id="{8FFD9EA3-D4BD-4E40-B9EA-6D164ACAE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87857</xdr:colOff>
      <xdr:row>2</xdr:row>
      <xdr:rowOff>40748</xdr:rowOff>
    </xdr:from>
    <xdr:ext cx="1677070" cy="1286589"/>
    <xdr:pic>
      <xdr:nvPicPr>
        <xdr:cNvPr id="2" name="image2.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xfrm>
          <a:off x="802232" y="431273"/>
          <a:ext cx="1677070" cy="1286589"/>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104775</xdr:colOff>
      <xdr:row>7</xdr:row>
      <xdr:rowOff>38100</xdr:rowOff>
    </xdr:from>
    <xdr:ext cx="9896475" cy="4448175"/>
    <xdr:graphicFrame macro="">
      <xdr:nvGraphicFramePr>
        <xdr:cNvPr id="1761438929" name="Chart 5" title="Gráfico">
          <a:extLst>
            <a:ext uri="{FF2B5EF4-FFF2-40B4-BE49-F238E27FC236}">
              <a16:creationId xmlns:a16="http://schemas.microsoft.com/office/drawing/2014/main" id="{00000000-0008-0000-0F00-0000D16CF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272761</xdr:colOff>
      <xdr:row>2</xdr:row>
      <xdr:rowOff>173181</xdr:rowOff>
    </xdr:from>
    <xdr:ext cx="2314575" cy="1629641"/>
    <xdr:pic>
      <xdr:nvPicPr>
        <xdr:cNvPr id="5" name="image1.png">
          <a:extLst>
            <a:ext uri="{FF2B5EF4-FFF2-40B4-BE49-F238E27FC236}">
              <a16:creationId xmlns:a16="http://schemas.microsoft.com/office/drawing/2014/main" id="{0E11A460-D1FB-4544-977F-7719D3BD2997}"/>
            </a:ext>
          </a:extLst>
        </xdr:cNvPr>
        <xdr:cNvPicPr preferRelativeResize="0"/>
      </xdr:nvPicPr>
      <xdr:blipFill>
        <a:blip xmlns:r="http://schemas.openxmlformats.org/officeDocument/2006/relationships" r:embed="rId1" cstate="print"/>
        <a:stretch>
          <a:fillRect/>
        </a:stretch>
      </xdr:blipFill>
      <xdr:spPr>
        <a:xfrm>
          <a:off x="982806" y="554181"/>
          <a:ext cx="2314575" cy="1629641"/>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161925</xdr:colOff>
      <xdr:row>1</xdr:row>
      <xdr:rowOff>19049</xdr:rowOff>
    </xdr:from>
    <xdr:ext cx="1457325" cy="1114425"/>
    <xdr:pic>
      <xdr:nvPicPr>
        <xdr:cNvPr id="2" name="image1.png">
          <a:extLst>
            <a:ext uri="{FF2B5EF4-FFF2-40B4-BE49-F238E27FC236}">
              <a16:creationId xmlns:a16="http://schemas.microsoft.com/office/drawing/2014/main" id="{2006BAC9-50C1-4583-97A1-5AE0B4B152BE}"/>
            </a:ext>
          </a:extLst>
        </xdr:cNvPr>
        <xdr:cNvPicPr preferRelativeResize="0"/>
      </xdr:nvPicPr>
      <xdr:blipFill>
        <a:blip xmlns:r="http://schemas.openxmlformats.org/officeDocument/2006/relationships" r:embed="rId1" cstate="print"/>
        <a:stretch>
          <a:fillRect/>
        </a:stretch>
      </xdr:blipFill>
      <xdr:spPr>
        <a:xfrm>
          <a:off x="1400175" y="209549"/>
          <a:ext cx="1457325" cy="11144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shortcut-targets-by-id\1eUBOZeGPuO5PmKO1SmzUBm-Zb4fbWC5s\SEMAPACH%202026\PRODUCCION%202026\AGUA%20POTABLE\PRODUCCION%20OPAPTAR%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BDsurtidor"/>
      <sheetName val="BDrsanjuan"/>
      <sheetName val="BDmensual"/>
      <sheetName val="DASHBOARD"/>
      <sheetName val="DATOS FOR SCI"/>
      <sheetName val="IMPRESION SCI"/>
      <sheetName val="rpt sunass"/>
      <sheetName val="CORTES"/>
      <sheetName val="RPTdiario"/>
      <sheetName val="RPTGO"/>
      <sheetName val="RPTGC"/>
      <sheetName val="RE_ANUAL"/>
      <sheetName val="PRODUCCION OPAPTAR 2026"/>
    </sheetNames>
    <sheetDataSet>
      <sheetData sheetId="0" refreshError="1">
        <row r="4">
          <cell r="B4" t="str">
            <v>Dia</v>
          </cell>
          <cell r="C4" t="str">
            <v>PZ10_Caudal</v>
          </cell>
          <cell r="D4" t="str">
            <v>PZ10_Horas Activo</v>
          </cell>
          <cell r="E4" t="str">
            <v>PZ10 Inicio</v>
          </cell>
          <cell r="F4" t="str">
            <v>PZ10 Final</v>
          </cell>
          <cell r="G4" t="str">
            <v>PZ10 m3/día</v>
          </cell>
          <cell r="H4" t="str">
            <v>PZ11 Caudal PROM</v>
          </cell>
          <cell r="I4" t="str">
            <v>PZ 11 Horas Activo</v>
          </cell>
          <cell r="J4" t="str">
            <v>PZ 11 Inicio</v>
          </cell>
          <cell r="K4" t="str">
            <v>PZ 11 Final</v>
          </cell>
          <cell r="L4" t="str">
            <v>PZ 11  m3/día</v>
          </cell>
          <cell r="M4" t="str">
            <v>PZ 13 Caudal PROM</v>
          </cell>
          <cell r="N4" t="str">
            <v>PZ 13 Horas Activo</v>
          </cell>
          <cell r="O4" t="str">
            <v>PZ 13 Inicio</v>
          </cell>
          <cell r="P4" t="str">
            <v>PZ 13 Final</v>
          </cell>
          <cell r="Q4" t="str">
            <v>PZ 13 m3/día</v>
          </cell>
          <cell r="R4" t="str">
            <v>PZ MED Caudal PROM</v>
          </cell>
          <cell r="S4" t="str">
            <v>PZ MED Horas Activo</v>
          </cell>
          <cell r="T4" t="str">
            <v>PZ MED  Inicio</v>
          </cell>
          <cell r="U4" t="str">
            <v>PZ MED Final</v>
          </cell>
          <cell r="V4" t="str">
            <v>PZ MED m3/día</v>
          </cell>
          <cell r="W4" t="str">
            <v>GF MIN Caudal PROM</v>
          </cell>
          <cell r="X4" t="str">
            <v>GF MIN Horas Activo</v>
          </cell>
          <cell r="Y4" t="str">
            <v>GF MIN Inicio</v>
          </cell>
          <cell r="Z4" t="str">
            <v>GF MIN Final</v>
          </cell>
          <cell r="AA4" t="str">
            <v>GF MIN m3/día</v>
          </cell>
          <cell r="AB4" t="str">
            <v>PTAP1 Caudal PROM</v>
          </cell>
          <cell r="AC4" t="str">
            <v>PTAP1 Horas Activo</v>
          </cell>
          <cell r="AD4" t="str">
            <v>PTAP1 Inicio</v>
          </cell>
          <cell r="AE4" t="str">
            <v>PTAP1 Final</v>
          </cell>
          <cell r="AF4" t="str">
            <v>PTAP1 m3/día</v>
          </cell>
          <cell r="AG4" t="str">
            <v>GF NAR Caudal PROM</v>
          </cell>
          <cell r="AH4" t="str">
            <v>GF NAR Horas Activo</v>
          </cell>
          <cell r="AI4" t="str">
            <v>GF NAR Inicio</v>
          </cell>
          <cell r="AJ4" t="str">
            <v>GF NAR Final</v>
          </cell>
          <cell r="AK4" t="str">
            <v>GF NAR m3/día</v>
          </cell>
          <cell r="AL4" t="str">
            <v>PZ CHB Caudal PROM</v>
          </cell>
          <cell r="AM4" t="str">
            <v>PZ CHB Horas Activo</v>
          </cell>
          <cell r="AN4" t="str">
            <v>PZ CHB Inicio</v>
          </cell>
          <cell r="AO4" t="str">
            <v>PZ CHB Final</v>
          </cell>
          <cell r="AP4" t="str">
            <v>PZ CHB m3/día</v>
          </cell>
          <cell r="AQ4" t="str">
            <v>PZ CM Caudal PROM</v>
          </cell>
          <cell r="AR4" t="str">
            <v>PZ CM Horas Activo</v>
          </cell>
          <cell r="AS4" t="str">
            <v>PZ CM Inicio</v>
          </cell>
          <cell r="AT4" t="str">
            <v>PZ CM Final</v>
          </cell>
          <cell r="AU4" t="str">
            <v>PZ CM m3/día</v>
          </cell>
          <cell r="AV4" t="str">
            <v>PZ TM Caudal PROM</v>
          </cell>
          <cell r="AW4" t="str">
            <v>PZ TM Horas Activo</v>
          </cell>
          <cell r="AX4" t="str">
            <v>PZ TM Inicio</v>
          </cell>
          <cell r="AY4" t="str">
            <v>PZ TM Final</v>
          </cell>
          <cell r="AZ4" t="str">
            <v>PZ TM m3/día</v>
          </cell>
          <cell r="BA4" t="str">
            <v>EBAP HIJA Caudal PROM</v>
          </cell>
          <cell r="BB4" t="str">
            <v>EBAP HIJA Horas Activo</v>
          </cell>
          <cell r="BC4" t="str">
            <v>EBAP HIJA Inicio</v>
          </cell>
          <cell r="BD4" t="str">
            <v>EBAP HIJA Final</v>
          </cell>
          <cell r="BE4" t="str">
            <v>EBAP HIJA m3/día</v>
          </cell>
          <cell r="BF4" t="str">
            <v>EBAP ALAR Caudal PROM</v>
          </cell>
          <cell r="BG4" t="str">
            <v>EBAP ALAR Horas Activo</v>
          </cell>
          <cell r="BH4" t="str">
            <v>EBAP ALAR Inicio</v>
          </cell>
          <cell r="BI4" t="str">
            <v>EBAP ALAR Final</v>
          </cell>
          <cell r="BJ4" t="str">
            <v>EBAP ALAR m3/día</v>
          </cell>
          <cell r="BK4" t="str">
            <v>EBAP PNUE Caudal PROM57</v>
          </cell>
          <cell r="BL4" t="str">
            <v>EBAP PNUE Horas Activo</v>
          </cell>
          <cell r="BM4" t="str">
            <v>EBAP PNUE Inicio</v>
          </cell>
          <cell r="BN4" t="str">
            <v>EBAP PNUE  Final</v>
          </cell>
          <cell r="BO4" t="str">
            <v>EBAP PNUE m3/día</v>
          </cell>
        </row>
        <row r="5">
          <cell r="B5">
            <v>46023</v>
          </cell>
          <cell r="C5">
            <v>38</v>
          </cell>
          <cell r="D5">
            <v>13.435672514619881</v>
          </cell>
          <cell r="E5">
            <v>3735917</v>
          </cell>
          <cell r="F5">
            <v>3737755</v>
          </cell>
          <cell r="G5">
            <v>1838</v>
          </cell>
          <cell r="H5">
            <v>25</v>
          </cell>
          <cell r="I5">
            <v>0</v>
          </cell>
          <cell r="J5">
            <v>1970853</v>
          </cell>
          <cell r="K5">
            <v>1970853</v>
          </cell>
          <cell r="L5">
            <v>0</v>
          </cell>
          <cell r="M5">
            <v>38</v>
          </cell>
          <cell r="N5">
            <v>0</v>
          </cell>
          <cell r="O5">
            <v>414403</v>
          </cell>
          <cell r="P5">
            <v>414403</v>
          </cell>
          <cell r="Q5">
            <v>0</v>
          </cell>
          <cell r="R5">
            <v>29.854497354497354</v>
          </cell>
          <cell r="S5">
            <v>21</v>
          </cell>
          <cell r="T5">
            <v>227566</v>
          </cell>
          <cell r="U5">
            <v>229823</v>
          </cell>
          <cell r="V5">
            <v>2257</v>
          </cell>
          <cell r="W5">
            <v>338.47222222222223</v>
          </cell>
          <cell r="X5">
            <v>24</v>
          </cell>
          <cell r="Y5">
            <v>622319</v>
          </cell>
          <cell r="Z5">
            <v>653820</v>
          </cell>
          <cell r="AA5">
            <v>29244</v>
          </cell>
          <cell r="AB5">
            <v>85</v>
          </cell>
          <cell r="AC5">
            <v>24</v>
          </cell>
          <cell r="AD5">
            <v>5049069</v>
          </cell>
          <cell r="AE5">
            <v>5056413</v>
          </cell>
          <cell r="AF5">
            <v>7344</v>
          </cell>
          <cell r="AG5">
            <v>20</v>
          </cell>
          <cell r="AH5">
            <v>24</v>
          </cell>
          <cell r="AI5"/>
          <cell r="AJ5"/>
          <cell r="AK5">
            <v>1728</v>
          </cell>
          <cell r="AL5">
            <v>38.22530864197531</v>
          </cell>
          <cell r="AM5">
            <v>18</v>
          </cell>
          <cell r="AN5">
            <v>3509686</v>
          </cell>
          <cell r="AO5">
            <v>3512163</v>
          </cell>
          <cell r="AP5">
            <v>2477</v>
          </cell>
          <cell r="AQ5"/>
          <cell r="AR5" t="str">
            <v xml:space="preserve"> </v>
          </cell>
          <cell r="AS5" t="str">
            <v xml:space="preserve"> </v>
          </cell>
          <cell r="AT5"/>
          <cell r="AU5" t="str">
            <v xml:space="preserve"> </v>
          </cell>
          <cell r="AV5">
            <v>11.296296296296296</v>
          </cell>
          <cell r="AW5">
            <v>15</v>
          </cell>
          <cell r="AX5">
            <v>564606</v>
          </cell>
          <cell r="AY5">
            <v>565216</v>
          </cell>
          <cell r="AZ5">
            <v>610</v>
          </cell>
          <cell r="BA5">
            <v>125</v>
          </cell>
          <cell r="BB5">
            <v>4.3111111111111109</v>
          </cell>
          <cell r="BC5">
            <v>5867299</v>
          </cell>
          <cell r="BD5">
            <v>5869239</v>
          </cell>
          <cell r="BE5">
            <v>1940</v>
          </cell>
          <cell r="BF5">
            <v>20</v>
          </cell>
          <cell r="BG5">
            <v>17.888888888888889</v>
          </cell>
          <cell r="BH5">
            <v>1526369</v>
          </cell>
          <cell r="BI5">
            <v>1527657</v>
          </cell>
          <cell r="BJ5">
            <v>1288</v>
          </cell>
          <cell r="BK5">
            <v>60</v>
          </cell>
          <cell r="BL5">
            <v>19.962962962962962</v>
          </cell>
          <cell r="BM5">
            <v>6105110</v>
          </cell>
          <cell r="BN5">
            <v>6109422</v>
          </cell>
          <cell r="BO5">
            <v>4312</v>
          </cell>
        </row>
        <row r="6">
          <cell r="B6">
            <v>46024</v>
          </cell>
          <cell r="C6">
            <v>38</v>
          </cell>
          <cell r="D6">
            <v>13.333333333333332</v>
          </cell>
          <cell r="E6">
            <v>3737755</v>
          </cell>
          <cell r="F6">
            <v>3739579</v>
          </cell>
          <cell r="G6">
            <v>1824</v>
          </cell>
          <cell r="H6">
            <v>25</v>
          </cell>
          <cell r="I6">
            <v>0</v>
          </cell>
          <cell r="J6">
            <v>1970853</v>
          </cell>
          <cell r="K6">
            <v>1970853</v>
          </cell>
          <cell r="L6">
            <v>0</v>
          </cell>
          <cell r="M6">
            <v>38</v>
          </cell>
          <cell r="N6">
            <v>0</v>
          </cell>
          <cell r="O6">
            <v>414403</v>
          </cell>
          <cell r="P6">
            <v>414403</v>
          </cell>
          <cell r="Q6">
            <v>0</v>
          </cell>
          <cell r="R6">
            <v>27.156862745098039</v>
          </cell>
          <cell r="S6">
            <v>17</v>
          </cell>
          <cell r="T6">
            <v>229823</v>
          </cell>
          <cell r="U6">
            <v>231485</v>
          </cell>
          <cell r="V6">
            <v>1662</v>
          </cell>
          <cell r="W6">
            <v>368.39371980676327</v>
          </cell>
          <cell r="X6">
            <v>23</v>
          </cell>
          <cell r="Y6">
            <v>653820</v>
          </cell>
          <cell r="Z6">
            <v>685985</v>
          </cell>
          <cell r="AA6">
            <v>30503</v>
          </cell>
          <cell r="AB6">
            <v>91</v>
          </cell>
          <cell r="AC6">
            <v>24</v>
          </cell>
          <cell r="AD6">
            <v>5056413</v>
          </cell>
          <cell r="AE6">
            <v>5064297</v>
          </cell>
          <cell r="AF6">
            <v>7884</v>
          </cell>
          <cell r="AG6">
            <v>20</v>
          </cell>
          <cell r="AH6">
            <v>24</v>
          </cell>
          <cell r="AI6"/>
          <cell r="AJ6"/>
          <cell r="AK6">
            <v>1728</v>
          </cell>
          <cell r="AL6">
            <v>37.810457516339866</v>
          </cell>
          <cell r="AM6">
            <v>17</v>
          </cell>
          <cell r="AN6">
            <v>3512163</v>
          </cell>
          <cell r="AO6">
            <v>3514477</v>
          </cell>
          <cell r="AP6">
            <v>2314</v>
          </cell>
          <cell r="AQ6"/>
          <cell r="AR6" t="str">
            <v xml:space="preserve"> </v>
          </cell>
          <cell r="AS6" t="str">
            <v xml:space="preserve"> </v>
          </cell>
          <cell r="AT6"/>
          <cell r="AU6" t="str">
            <v xml:space="preserve"> </v>
          </cell>
          <cell r="AV6">
            <v>10.666666666666666</v>
          </cell>
          <cell r="AW6">
            <v>15</v>
          </cell>
          <cell r="AX6">
            <v>565216</v>
          </cell>
          <cell r="AY6">
            <v>565792</v>
          </cell>
          <cell r="AZ6">
            <v>576</v>
          </cell>
          <cell r="BA6">
            <v>125</v>
          </cell>
          <cell r="BB6">
            <v>4.1977777777777776</v>
          </cell>
          <cell r="BC6">
            <v>5869239</v>
          </cell>
          <cell r="BD6">
            <v>5871128</v>
          </cell>
          <cell r="BE6">
            <v>1889</v>
          </cell>
          <cell r="BF6">
            <v>20</v>
          </cell>
          <cell r="BG6">
            <v>17.402777777777779</v>
          </cell>
          <cell r="BH6">
            <v>1527657</v>
          </cell>
          <cell r="BI6">
            <v>1528910</v>
          </cell>
          <cell r="BJ6">
            <v>1253</v>
          </cell>
          <cell r="BK6">
            <v>60</v>
          </cell>
          <cell r="BL6">
            <v>16.11574074074074</v>
          </cell>
          <cell r="BM6">
            <v>6109422</v>
          </cell>
          <cell r="BN6">
            <v>6112903</v>
          </cell>
          <cell r="BO6">
            <v>3481</v>
          </cell>
        </row>
        <row r="7">
          <cell r="B7">
            <v>46025</v>
          </cell>
          <cell r="C7">
            <v>38</v>
          </cell>
          <cell r="D7">
            <v>13.150584795321636</v>
          </cell>
          <cell r="E7">
            <v>3739579</v>
          </cell>
          <cell r="F7">
            <v>3741378</v>
          </cell>
          <cell r="G7">
            <v>1799</v>
          </cell>
          <cell r="H7">
            <v>25</v>
          </cell>
          <cell r="I7">
            <v>0</v>
          </cell>
          <cell r="J7">
            <v>1970853</v>
          </cell>
          <cell r="K7">
            <v>1970853</v>
          </cell>
          <cell r="L7">
            <v>0</v>
          </cell>
          <cell r="M7">
            <v>38</v>
          </cell>
          <cell r="N7">
            <v>0</v>
          </cell>
          <cell r="O7">
            <v>414403</v>
          </cell>
          <cell r="P7">
            <v>414403</v>
          </cell>
          <cell r="Q7">
            <v>0</v>
          </cell>
          <cell r="R7">
            <v>27.631578947368421</v>
          </cell>
          <cell r="S7">
            <v>3.8</v>
          </cell>
          <cell r="T7">
            <v>231485</v>
          </cell>
          <cell r="U7">
            <v>231863</v>
          </cell>
          <cell r="V7">
            <v>378</v>
          </cell>
          <cell r="W7">
            <v>446.74768518518522</v>
          </cell>
          <cell r="X7">
            <v>24</v>
          </cell>
          <cell r="Y7">
            <v>685985</v>
          </cell>
          <cell r="Z7">
            <v>724962</v>
          </cell>
          <cell r="AA7">
            <v>38599</v>
          </cell>
          <cell r="AB7">
            <v>85</v>
          </cell>
          <cell r="AC7">
            <v>24</v>
          </cell>
          <cell r="AD7">
            <v>5064297</v>
          </cell>
          <cell r="AE7">
            <v>5071665</v>
          </cell>
          <cell r="AF7">
            <v>7368</v>
          </cell>
          <cell r="AG7">
            <v>20</v>
          </cell>
          <cell r="AH7">
            <v>24</v>
          </cell>
          <cell r="AI7"/>
          <cell r="AJ7"/>
          <cell r="AK7">
            <v>1728</v>
          </cell>
          <cell r="AL7">
            <v>36.857638888888886</v>
          </cell>
          <cell r="AM7">
            <v>16</v>
          </cell>
          <cell r="AN7">
            <v>3514477</v>
          </cell>
          <cell r="AO7">
            <v>3516600</v>
          </cell>
          <cell r="AP7">
            <v>2123</v>
          </cell>
          <cell r="AQ7"/>
          <cell r="AR7" t="str">
            <v xml:space="preserve"> </v>
          </cell>
          <cell r="AS7" t="str">
            <v xml:space="preserve"> </v>
          </cell>
          <cell r="AT7"/>
          <cell r="AU7" t="str">
            <v xml:space="preserve"> </v>
          </cell>
          <cell r="AV7">
            <v>11.148148148148149</v>
          </cell>
          <cell r="AW7">
            <v>15</v>
          </cell>
          <cell r="AX7">
            <v>565792</v>
          </cell>
          <cell r="AY7">
            <v>566394</v>
          </cell>
          <cell r="AZ7">
            <v>602</v>
          </cell>
          <cell r="BA7">
            <v>125</v>
          </cell>
          <cell r="BB7">
            <v>3.9733333333333332</v>
          </cell>
          <cell r="BC7">
            <v>5871128</v>
          </cell>
          <cell r="BD7">
            <v>5872916</v>
          </cell>
          <cell r="BE7">
            <v>1788</v>
          </cell>
          <cell r="BF7">
            <v>20</v>
          </cell>
          <cell r="BG7">
            <v>18.083333333333332</v>
          </cell>
          <cell r="BH7">
            <v>1528910</v>
          </cell>
          <cell r="BI7">
            <v>1530212</v>
          </cell>
          <cell r="BJ7">
            <v>1302</v>
          </cell>
          <cell r="BK7">
            <v>60</v>
          </cell>
          <cell r="BL7">
            <v>21.587962962962962</v>
          </cell>
          <cell r="BM7">
            <v>6112903</v>
          </cell>
          <cell r="BN7">
            <v>6117566</v>
          </cell>
          <cell r="BO7">
            <v>4663</v>
          </cell>
        </row>
        <row r="8">
          <cell r="B8">
            <v>46026</v>
          </cell>
          <cell r="C8">
            <v>38</v>
          </cell>
          <cell r="D8">
            <v>13.311403508771928</v>
          </cell>
          <cell r="E8">
            <v>3741378</v>
          </cell>
          <cell r="F8">
            <v>3743199</v>
          </cell>
          <cell r="G8">
            <v>1821</v>
          </cell>
          <cell r="H8">
            <v>25</v>
          </cell>
          <cell r="I8">
            <v>0</v>
          </cell>
          <cell r="J8">
            <v>1970853</v>
          </cell>
          <cell r="K8">
            <v>1970853</v>
          </cell>
          <cell r="L8">
            <v>0</v>
          </cell>
          <cell r="M8">
            <v>38</v>
          </cell>
          <cell r="N8">
            <v>0</v>
          </cell>
          <cell r="O8">
            <v>414403</v>
          </cell>
          <cell r="P8">
            <v>414403</v>
          </cell>
          <cell r="Q8">
            <v>0</v>
          </cell>
          <cell r="R8">
            <v>0</v>
          </cell>
          <cell r="S8">
            <v>0</v>
          </cell>
          <cell r="T8">
            <v>231863</v>
          </cell>
          <cell r="U8">
            <v>231863</v>
          </cell>
          <cell r="V8">
            <v>0</v>
          </cell>
          <cell r="W8">
            <v>454.0162037037037</v>
          </cell>
          <cell r="X8">
            <v>24</v>
          </cell>
          <cell r="Y8">
            <v>724962</v>
          </cell>
          <cell r="Z8">
            <v>764189</v>
          </cell>
          <cell r="AA8">
            <v>39227</v>
          </cell>
          <cell r="AB8">
            <v>79</v>
          </cell>
          <cell r="AC8">
            <v>24</v>
          </cell>
          <cell r="AD8">
            <v>5071665</v>
          </cell>
          <cell r="AE8">
            <v>5078571</v>
          </cell>
          <cell r="AF8">
            <v>6906</v>
          </cell>
          <cell r="AG8">
            <v>20</v>
          </cell>
          <cell r="AH8">
            <v>24</v>
          </cell>
          <cell r="AI8"/>
          <cell r="AJ8"/>
          <cell r="AK8">
            <v>1728</v>
          </cell>
          <cell r="AL8">
            <v>38.83986928104575</v>
          </cell>
          <cell r="AM8">
            <v>17</v>
          </cell>
          <cell r="AN8">
            <v>3516600</v>
          </cell>
          <cell r="AO8">
            <v>3518977</v>
          </cell>
          <cell r="AP8">
            <v>2377</v>
          </cell>
          <cell r="AQ8"/>
          <cell r="AR8" t="str">
            <v xml:space="preserve"> </v>
          </cell>
          <cell r="AS8" t="str">
            <v xml:space="preserve"> </v>
          </cell>
          <cell r="AT8"/>
          <cell r="AU8" t="str">
            <v xml:space="preserve"> </v>
          </cell>
          <cell r="AV8">
            <v>10.074074074074074</v>
          </cell>
          <cell r="AW8">
            <v>15</v>
          </cell>
          <cell r="AX8">
            <v>566394</v>
          </cell>
          <cell r="AY8">
            <v>566938</v>
          </cell>
          <cell r="AZ8">
            <v>544</v>
          </cell>
          <cell r="BA8">
            <v>125</v>
          </cell>
          <cell r="BB8">
            <v>4.0555555555555554</v>
          </cell>
          <cell r="BC8">
            <v>5872916</v>
          </cell>
          <cell r="BD8">
            <v>5874741</v>
          </cell>
          <cell r="BE8">
            <v>1825</v>
          </cell>
          <cell r="BF8">
            <v>20</v>
          </cell>
          <cell r="BG8">
            <v>18.638888888888889</v>
          </cell>
          <cell r="BH8">
            <v>1530212</v>
          </cell>
          <cell r="BI8">
            <v>1531554</v>
          </cell>
          <cell r="BJ8">
            <v>1342</v>
          </cell>
          <cell r="BK8">
            <v>60</v>
          </cell>
          <cell r="BL8">
            <v>18.99537037037037</v>
          </cell>
          <cell r="BM8">
            <v>6117566</v>
          </cell>
          <cell r="BN8">
            <v>6121669</v>
          </cell>
          <cell r="BO8">
            <v>4103</v>
          </cell>
        </row>
        <row r="9">
          <cell r="B9">
            <v>46027</v>
          </cell>
          <cell r="C9">
            <v>38</v>
          </cell>
          <cell r="D9">
            <v>13.362573099415204</v>
          </cell>
          <cell r="E9">
            <v>3743199</v>
          </cell>
          <cell r="F9">
            <v>3745027</v>
          </cell>
          <cell r="G9">
            <v>1828</v>
          </cell>
          <cell r="H9">
            <v>25</v>
          </cell>
          <cell r="I9">
            <v>0</v>
          </cell>
          <cell r="J9">
            <v>1970853</v>
          </cell>
          <cell r="K9">
            <v>1970853</v>
          </cell>
          <cell r="L9">
            <v>0</v>
          </cell>
          <cell r="M9">
            <v>38</v>
          </cell>
          <cell r="N9">
            <v>0</v>
          </cell>
          <cell r="O9">
            <v>414403</v>
          </cell>
          <cell r="P9">
            <v>414403</v>
          </cell>
          <cell r="Q9">
            <v>0</v>
          </cell>
          <cell r="R9">
            <v>0</v>
          </cell>
          <cell r="S9">
            <v>0</v>
          </cell>
          <cell r="T9">
            <v>231863</v>
          </cell>
          <cell r="U9">
            <v>231990</v>
          </cell>
          <cell r="V9">
            <v>127</v>
          </cell>
          <cell r="W9">
            <v>454.91898148148147</v>
          </cell>
          <cell r="X9">
            <v>24</v>
          </cell>
          <cell r="Y9">
            <v>764189</v>
          </cell>
          <cell r="Z9">
            <v>803621</v>
          </cell>
          <cell r="AA9">
            <v>39305</v>
          </cell>
          <cell r="AB9">
            <v>77</v>
          </cell>
          <cell r="AC9">
            <v>24</v>
          </cell>
          <cell r="AD9">
            <v>5078571</v>
          </cell>
          <cell r="AE9">
            <v>5085283</v>
          </cell>
          <cell r="AF9">
            <v>6712</v>
          </cell>
          <cell r="AG9">
            <v>20</v>
          </cell>
          <cell r="AH9">
            <v>24</v>
          </cell>
          <cell r="AI9"/>
          <cell r="AJ9"/>
          <cell r="AK9">
            <v>1728</v>
          </cell>
          <cell r="AL9">
            <v>38.496732026143789</v>
          </cell>
          <cell r="AM9">
            <v>17</v>
          </cell>
          <cell r="AN9">
            <v>3518977</v>
          </cell>
          <cell r="AO9">
            <v>3521333</v>
          </cell>
          <cell r="AP9">
            <v>2356</v>
          </cell>
          <cell r="AQ9"/>
          <cell r="AR9" t="str">
            <v xml:space="preserve"> </v>
          </cell>
          <cell r="AS9" t="str">
            <v xml:space="preserve"> </v>
          </cell>
          <cell r="AT9"/>
          <cell r="AU9" t="str">
            <v xml:space="preserve"> </v>
          </cell>
          <cell r="AV9">
            <v>11.458333333333334</v>
          </cell>
          <cell r="AW9">
            <v>16</v>
          </cell>
          <cell r="AX9">
            <v>566938</v>
          </cell>
          <cell r="AY9">
            <v>567598</v>
          </cell>
          <cell r="AZ9">
            <v>660</v>
          </cell>
          <cell r="BA9">
            <v>125</v>
          </cell>
          <cell r="BB9">
            <v>4.3822222222222225</v>
          </cell>
          <cell r="BC9">
            <v>5874741</v>
          </cell>
          <cell r="BD9">
            <v>5876713</v>
          </cell>
          <cell r="BE9">
            <v>1972</v>
          </cell>
          <cell r="BF9">
            <v>20</v>
          </cell>
          <cell r="BG9">
            <v>16.152777777777779</v>
          </cell>
          <cell r="BH9">
            <v>1531554</v>
          </cell>
          <cell r="BI9">
            <v>1532717</v>
          </cell>
          <cell r="BJ9">
            <v>1163</v>
          </cell>
          <cell r="BK9">
            <v>60</v>
          </cell>
          <cell r="BL9">
            <v>22.537037037037038</v>
          </cell>
          <cell r="BM9">
            <v>6121669</v>
          </cell>
          <cell r="BN9">
            <v>6126537</v>
          </cell>
          <cell r="BO9">
            <v>4868</v>
          </cell>
        </row>
        <row r="10">
          <cell r="B10">
            <v>46028</v>
          </cell>
          <cell r="C10">
            <v>38</v>
          </cell>
          <cell r="D10">
            <v>13.421052631578947</v>
          </cell>
          <cell r="E10">
            <v>3745027</v>
          </cell>
          <cell r="F10">
            <v>3746863</v>
          </cell>
          <cell r="G10">
            <v>1836</v>
          </cell>
          <cell r="H10">
            <v>25</v>
          </cell>
          <cell r="I10">
            <v>0</v>
          </cell>
          <cell r="J10">
            <v>1970853</v>
          </cell>
          <cell r="K10">
            <v>1970853</v>
          </cell>
          <cell r="L10">
            <v>0</v>
          </cell>
          <cell r="M10">
            <v>38</v>
          </cell>
          <cell r="N10">
            <v>0</v>
          </cell>
          <cell r="O10">
            <v>414403</v>
          </cell>
          <cell r="P10">
            <v>414403</v>
          </cell>
          <cell r="Q10">
            <v>0</v>
          </cell>
          <cell r="R10">
            <v>0</v>
          </cell>
          <cell r="S10">
            <v>0</v>
          </cell>
          <cell r="T10">
            <v>231990</v>
          </cell>
          <cell r="U10">
            <v>231990</v>
          </cell>
          <cell r="V10">
            <v>0</v>
          </cell>
          <cell r="W10">
            <v>416.35416666666663</v>
          </cell>
          <cell r="X10">
            <v>24</v>
          </cell>
          <cell r="Y10">
            <v>803621</v>
          </cell>
          <cell r="Z10">
            <v>839594</v>
          </cell>
          <cell r="AA10">
            <v>35973</v>
          </cell>
          <cell r="AB10">
            <v>77</v>
          </cell>
          <cell r="AC10">
            <v>24</v>
          </cell>
          <cell r="AD10">
            <v>5085283</v>
          </cell>
          <cell r="AE10">
            <v>5091948</v>
          </cell>
          <cell r="AF10">
            <v>6665</v>
          </cell>
          <cell r="AG10">
            <v>20</v>
          </cell>
          <cell r="AH10">
            <v>24</v>
          </cell>
          <cell r="AI10"/>
          <cell r="AJ10"/>
          <cell r="AK10">
            <v>1728</v>
          </cell>
          <cell r="AL10">
            <v>39.526143790849673</v>
          </cell>
          <cell r="AM10">
            <v>17</v>
          </cell>
          <cell r="AN10">
            <v>3521333</v>
          </cell>
          <cell r="AO10">
            <v>3523752</v>
          </cell>
          <cell r="AP10">
            <v>2419</v>
          </cell>
          <cell r="AQ10"/>
          <cell r="AR10" t="str">
            <v xml:space="preserve"> </v>
          </cell>
          <cell r="AS10" t="str">
            <v xml:space="preserve"> </v>
          </cell>
          <cell r="AT10"/>
          <cell r="AU10" t="str">
            <v xml:space="preserve"> </v>
          </cell>
          <cell r="AV10">
            <v>11.092592592592592</v>
          </cell>
          <cell r="AW10">
            <v>15</v>
          </cell>
          <cell r="AX10">
            <v>567598</v>
          </cell>
          <cell r="AY10">
            <v>568197</v>
          </cell>
          <cell r="AZ10">
            <v>599</v>
          </cell>
          <cell r="BA10">
            <v>125</v>
          </cell>
          <cell r="BB10">
            <v>4.264444444444444</v>
          </cell>
          <cell r="BC10">
            <v>5876713</v>
          </cell>
          <cell r="BD10">
            <v>5878632</v>
          </cell>
          <cell r="BE10">
            <v>1919</v>
          </cell>
          <cell r="BF10">
            <v>20</v>
          </cell>
          <cell r="BG10">
            <v>17.375</v>
          </cell>
          <cell r="BH10">
            <v>1532717</v>
          </cell>
          <cell r="BI10">
            <v>1533968</v>
          </cell>
          <cell r="BJ10">
            <v>1251</v>
          </cell>
          <cell r="BK10">
            <v>60</v>
          </cell>
          <cell r="BL10">
            <v>19.439814814814813</v>
          </cell>
          <cell r="BM10">
            <v>6126537</v>
          </cell>
          <cell r="BN10">
            <v>6130736</v>
          </cell>
          <cell r="BO10">
            <v>4199</v>
          </cell>
        </row>
        <row r="11">
          <cell r="B11">
            <v>46029</v>
          </cell>
          <cell r="C11">
            <v>38</v>
          </cell>
          <cell r="D11">
            <v>13.289473684210526</v>
          </cell>
          <cell r="E11">
            <v>3746863</v>
          </cell>
          <cell r="F11">
            <v>3748681</v>
          </cell>
          <cell r="G11">
            <v>1818</v>
          </cell>
          <cell r="H11">
            <v>25</v>
          </cell>
          <cell r="I11">
            <v>0</v>
          </cell>
          <cell r="J11">
            <v>1970853</v>
          </cell>
          <cell r="K11">
            <v>1970853</v>
          </cell>
          <cell r="L11">
            <v>0</v>
          </cell>
          <cell r="M11">
            <v>38</v>
          </cell>
          <cell r="N11">
            <v>0</v>
          </cell>
          <cell r="O11">
            <v>414403</v>
          </cell>
          <cell r="P11">
            <v>414403</v>
          </cell>
          <cell r="Q11">
            <v>0</v>
          </cell>
          <cell r="R11">
            <v>0</v>
          </cell>
          <cell r="S11">
            <v>0</v>
          </cell>
          <cell r="T11">
            <v>231990</v>
          </cell>
          <cell r="U11">
            <v>232061</v>
          </cell>
          <cell r="V11">
            <v>0</v>
          </cell>
          <cell r="W11">
            <v>432.96296296296299</v>
          </cell>
          <cell r="X11">
            <v>24</v>
          </cell>
          <cell r="Y11">
            <v>839594</v>
          </cell>
          <cell r="Z11">
            <v>877002</v>
          </cell>
          <cell r="AA11">
            <v>37408</v>
          </cell>
          <cell r="AB11">
            <v>77</v>
          </cell>
          <cell r="AC11">
            <v>24</v>
          </cell>
          <cell r="AD11">
            <v>5091948</v>
          </cell>
          <cell r="AE11">
            <v>5098663</v>
          </cell>
          <cell r="AF11">
            <v>6715</v>
          </cell>
          <cell r="AG11">
            <v>20</v>
          </cell>
          <cell r="AH11">
            <v>24</v>
          </cell>
          <cell r="AI11"/>
          <cell r="AJ11"/>
          <cell r="AK11">
            <v>1728</v>
          </cell>
          <cell r="AL11">
            <v>39.068627450980387</v>
          </cell>
          <cell r="AM11">
            <v>17</v>
          </cell>
          <cell r="AN11">
            <v>3523752</v>
          </cell>
          <cell r="AO11">
            <v>3526143</v>
          </cell>
          <cell r="AP11">
            <v>2391</v>
          </cell>
          <cell r="AQ11"/>
          <cell r="AR11" t="str">
            <v xml:space="preserve"> </v>
          </cell>
          <cell r="AS11" t="str">
            <v xml:space="preserve"> </v>
          </cell>
          <cell r="AT11"/>
          <cell r="AU11" t="str">
            <v xml:space="preserve"> </v>
          </cell>
          <cell r="AV11">
            <v>11.277777777777777</v>
          </cell>
          <cell r="AW11">
            <v>15</v>
          </cell>
          <cell r="AX11">
            <v>568197</v>
          </cell>
          <cell r="AY11">
            <v>568806</v>
          </cell>
          <cell r="AZ11">
            <v>609</v>
          </cell>
          <cell r="BA11">
            <v>125</v>
          </cell>
          <cell r="BB11">
            <v>4.12</v>
          </cell>
          <cell r="BC11">
            <v>5878632</v>
          </cell>
          <cell r="BD11">
            <v>5880486</v>
          </cell>
          <cell r="BE11">
            <v>1854</v>
          </cell>
          <cell r="BF11">
            <v>20</v>
          </cell>
          <cell r="BG11">
            <v>17.638888888888889</v>
          </cell>
          <cell r="BH11">
            <v>1533968</v>
          </cell>
          <cell r="BI11">
            <v>1535238</v>
          </cell>
          <cell r="BJ11">
            <v>1270</v>
          </cell>
          <cell r="BK11">
            <v>60</v>
          </cell>
          <cell r="BL11">
            <v>22.092592592592592</v>
          </cell>
          <cell r="BM11">
            <v>6130736</v>
          </cell>
          <cell r="BN11">
            <v>6135508</v>
          </cell>
          <cell r="BO11">
            <v>4772</v>
          </cell>
        </row>
        <row r="12">
          <cell r="B12">
            <v>46030</v>
          </cell>
          <cell r="C12">
            <v>38</v>
          </cell>
          <cell r="D12">
            <v>13.450292397660817</v>
          </cell>
          <cell r="E12">
            <v>3748681</v>
          </cell>
          <cell r="F12">
            <v>3750521</v>
          </cell>
          <cell r="G12">
            <v>1840</v>
          </cell>
          <cell r="H12">
            <v>25</v>
          </cell>
          <cell r="I12">
            <v>0</v>
          </cell>
          <cell r="J12">
            <v>1970853</v>
          </cell>
          <cell r="K12">
            <v>1970853</v>
          </cell>
          <cell r="L12">
            <v>0</v>
          </cell>
          <cell r="M12">
            <v>38</v>
          </cell>
          <cell r="N12">
            <v>0</v>
          </cell>
          <cell r="O12">
            <v>414403</v>
          </cell>
          <cell r="P12">
            <v>414403</v>
          </cell>
          <cell r="Q12">
            <v>0</v>
          </cell>
          <cell r="R12">
            <v>0</v>
          </cell>
          <cell r="S12">
            <v>0</v>
          </cell>
          <cell r="T12">
            <v>232061</v>
          </cell>
          <cell r="U12">
            <v>232133</v>
          </cell>
          <cell r="V12">
            <v>0</v>
          </cell>
          <cell r="W12">
            <v>463.61262980509275</v>
          </cell>
          <cell r="X12">
            <v>24</v>
          </cell>
          <cell r="Y12">
            <v>877002</v>
          </cell>
          <cell r="Z12">
            <v>917058.13121516001</v>
          </cell>
          <cell r="AA12">
            <v>40056.131215160014</v>
          </cell>
          <cell r="AB12">
            <v>79</v>
          </cell>
          <cell r="AC12">
            <v>24</v>
          </cell>
          <cell r="AD12">
            <v>5098663</v>
          </cell>
          <cell r="AE12">
            <v>5105497</v>
          </cell>
          <cell r="AF12">
            <v>6834</v>
          </cell>
          <cell r="AG12">
            <v>20</v>
          </cell>
          <cell r="AH12">
            <v>24</v>
          </cell>
          <cell r="AI12"/>
          <cell r="AJ12"/>
          <cell r="AK12">
            <v>1728</v>
          </cell>
          <cell r="AL12">
            <v>39.243827160493829</v>
          </cell>
          <cell r="AM12">
            <v>18</v>
          </cell>
          <cell r="AN12">
            <v>3526143</v>
          </cell>
          <cell r="AO12">
            <v>3528686</v>
          </cell>
          <cell r="AP12">
            <v>2543</v>
          </cell>
          <cell r="AQ12"/>
          <cell r="AR12" t="str">
            <v xml:space="preserve"> </v>
          </cell>
          <cell r="AS12" t="str">
            <v xml:space="preserve"> </v>
          </cell>
          <cell r="AT12"/>
          <cell r="AU12" t="str">
            <v xml:space="preserve"> </v>
          </cell>
          <cell r="AV12">
            <v>11.333333333333334</v>
          </cell>
          <cell r="AW12">
            <v>15</v>
          </cell>
          <cell r="AX12">
            <v>568806</v>
          </cell>
          <cell r="AY12">
            <v>569418</v>
          </cell>
          <cell r="AZ12">
            <v>612</v>
          </cell>
          <cell r="BA12">
            <v>125</v>
          </cell>
          <cell r="BB12">
            <v>4.2866666666666671</v>
          </cell>
          <cell r="BC12">
            <v>5880486</v>
          </cell>
          <cell r="BD12">
            <v>5882415</v>
          </cell>
          <cell r="BE12">
            <v>1929</v>
          </cell>
          <cell r="BF12">
            <v>20</v>
          </cell>
          <cell r="BG12">
            <v>17.902777777777779</v>
          </cell>
          <cell r="BH12">
            <v>1535238</v>
          </cell>
          <cell r="BI12">
            <v>1536527</v>
          </cell>
          <cell r="BJ12">
            <v>1289</v>
          </cell>
          <cell r="BK12">
            <v>60</v>
          </cell>
          <cell r="BL12">
            <v>19.921296296296298</v>
          </cell>
          <cell r="BM12">
            <v>6135508</v>
          </cell>
          <cell r="BN12">
            <v>6139811</v>
          </cell>
          <cell r="BO12">
            <v>4303</v>
          </cell>
        </row>
        <row r="13">
          <cell r="B13">
            <v>46031</v>
          </cell>
          <cell r="C13">
            <v>38</v>
          </cell>
          <cell r="D13">
            <v>13.267543859649122</v>
          </cell>
          <cell r="E13">
            <v>3750521</v>
          </cell>
          <cell r="F13">
            <v>3752336</v>
          </cell>
          <cell r="G13">
            <v>1815</v>
          </cell>
          <cell r="H13">
            <v>25</v>
          </cell>
          <cell r="I13">
            <v>0</v>
          </cell>
          <cell r="J13">
            <v>1970853</v>
          </cell>
          <cell r="K13">
            <v>1970853</v>
          </cell>
          <cell r="L13">
            <v>0</v>
          </cell>
          <cell r="M13">
            <v>38</v>
          </cell>
          <cell r="N13">
            <v>0</v>
          </cell>
          <cell r="O13">
            <v>414403</v>
          </cell>
          <cell r="P13">
            <v>414403</v>
          </cell>
          <cell r="Q13">
            <v>0</v>
          </cell>
          <cell r="R13">
            <v>0</v>
          </cell>
          <cell r="S13">
            <v>0</v>
          </cell>
          <cell r="T13">
            <v>232133</v>
          </cell>
          <cell r="U13">
            <v>232172</v>
          </cell>
          <cell r="V13">
            <v>0</v>
          </cell>
          <cell r="W13">
            <v>431.3642220467591</v>
          </cell>
          <cell r="X13">
            <v>24</v>
          </cell>
          <cell r="Y13">
            <v>917058.13121516001</v>
          </cell>
          <cell r="Z13">
            <v>954328</v>
          </cell>
          <cell r="AA13">
            <v>37269.868784839986</v>
          </cell>
          <cell r="AB13">
            <v>83</v>
          </cell>
          <cell r="AC13">
            <v>24</v>
          </cell>
          <cell r="AD13">
            <v>5105497</v>
          </cell>
          <cell r="AE13">
            <v>5112705</v>
          </cell>
          <cell r="AF13">
            <v>7208</v>
          </cell>
          <cell r="AG13">
            <v>20</v>
          </cell>
          <cell r="AH13">
            <v>24</v>
          </cell>
          <cell r="AI13"/>
          <cell r="AJ13"/>
          <cell r="AK13">
            <v>1728</v>
          </cell>
          <cell r="AL13">
            <v>38.56481481481481</v>
          </cell>
          <cell r="AM13">
            <v>18</v>
          </cell>
          <cell r="AN13">
            <v>3528686</v>
          </cell>
          <cell r="AO13">
            <v>3531185</v>
          </cell>
          <cell r="AP13">
            <v>2499</v>
          </cell>
          <cell r="AQ13"/>
          <cell r="AR13" t="str">
            <v xml:space="preserve"> </v>
          </cell>
          <cell r="AS13" t="str">
            <v xml:space="preserve"> </v>
          </cell>
          <cell r="AT13"/>
          <cell r="AU13" t="str">
            <v xml:space="preserve"> </v>
          </cell>
          <cell r="AV13">
            <v>11.777777777777777</v>
          </cell>
          <cell r="AW13">
            <v>15</v>
          </cell>
          <cell r="AX13">
            <v>569418</v>
          </cell>
          <cell r="AY13">
            <v>570054</v>
          </cell>
          <cell r="AZ13">
            <v>636</v>
          </cell>
          <cell r="BA13">
            <v>125</v>
          </cell>
          <cell r="BB13">
            <v>4.0955555555555554</v>
          </cell>
          <cell r="BC13">
            <v>5882415</v>
          </cell>
          <cell r="BD13">
            <v>5884258</v>
          </cell>
          <cell r="BE13">
            <v>1843</v>
          </cell>
          <cell r="BF13">
            <v>20</v>
          </cell>
          <cell r="BG13">
            <v>15.694444444444445</v>
          </cell>
          <cell r="BH13">
            <v>1536527</v>
          </cell>
          <cell r="BI13">
            <v>1537657</v>
          </cell>
          <cell r="BJ13">
            <v>1130</v>
          </cell>
          <cell r="BK13">
            <v>60</v>
          </cell>
          <cell r="BL13">
            <v>22.458333333333332</v>
          </cell>
          <cell r="BM13">
            <v>6139811</v>
          </cell>
          <cell r="BN13">
            <v>6144662</v>
          </cell>
          <cell r="BO13">
            <v>4851</v>
          </cell>
        </row>
        <row r="14">
          <cell r="B14">
            <v>46032</v>
          </cell>
          <cell r="C14">
            <v>38</v>
          </cell>
          <cell r="D14">
            <v>19.064327485380115</v>
          </cell>
          <cell r="E14">
            <v>3752336</v>
          </cell>
          <cell r="F14">
            <v>3754944</v>
          </cell>
          <cell r="G14">
            <v>2608</v>
          </cell>
          <cell r="H14">
            <v>25</v>
          </cell>
          <cell r="I14">
            <v>0</v>
          </cell>
          <cell r="J14">
            <v>1970853</v>
          </cell>
          <cell r="K14">
            <v>1970853</v>
          </cell>
          <cell r="L14">
            <v>0</v>
          </cell>
          <cell r="M14">
            <v>38</v>
          </cell>
          <cell r="N14">
            <v>0</v>
          </cell>
          <cell r="O14">
            <v>414403</v>
          </cell>
          <cell r="P14">
            <v>414403</v>
          </cell>
          <cell r="Q14">
            <v>0</v>
          </cell>
          <cell r="R14">
            <v>27.972222222222221</v>
          </cell>
          <cell r="S14">
            <v>10</v>
          </cell>
          <cell r="T14">
            <v>232172</v>
          </cell>
          <cell r="U14">
            <v>233179</v>
          </cell>
          <cell r="V14">
            <v>1007</v>
          </cell>
          <cell r="W14">
            <v>383.72685185185185</v>
          </cell>
          <cell r="X14">
            <v>24</v>
          </cell>
          <cell r="Y14">
            <v>954328</v>
          </cell>
          <cell r="Z14">
            <v>988489</v>
          </cell>
          <cell r="AA14">
            <v>33154</v>
          </cell>
          <cell r="AB14">
            <v>58</v>
          </cell>
          <cell r="AC14">
            <v>24</v>
          </cell>
          <cell r="AD14">
            <v>5112705</v>
          </cell>
          <cell r="AE14">
            <v>5117791</v>
          </cell>
          <cell r="AF14">
            <v>5086</v>
          </cell>
          <cell r="AG14">
            <v>20</v>
          </cell>
          <cell r="AH14">
            <v>24</v>
          </cell>
          <cell r="AI14"/>
          <cell r="AJ14"/>
          <cell r="AK14">
            <v>1728</v>
          </cell>
          <cell r="AL14">
            <v>38.22530864197531</v>
          </cell>
          <cell r="AM14">
            <v>18</v>
          </cell>
          <cell r="AN14">
            <v>3531185</v>
          </cell>
          <cell r="AO14">
            <v>3533662</v>
          </cell>
          <cell r="AP14">
            <v>2477</v>
          </cell>
          <cell r="AQ14"/>
          <cell r="AR14" t="str">
            <v xml:space="preserve"> </v>
          </cell>
          <cell r="AS14" t="str">
            <v xml:space="preserve"> </v>
          </cell>
          <cell r="AT14"/>
          <cell r="AU14" t="str">
            <v xml:space="preserve"> </v>
          </cell>
          <cell r="AV14">
            <v>11.222222222222223</v>
          </cell>
          <cell r="AW14">
            <v>15</v>
          </cell>
          <cell r="AX14">
            <v>570054</v>
          </cell>
          <cell r="AY14">
            <v>570660</v>
          </cell>
          <cell r="AZ14">
            <v>606</v>
          </cell>
          <cell r="BA14">
            <v>125</v>
          </cell>
          <cell r="BB14">
            <v>5.9466666666666663</v>
          </cell>
          <cell r="BC14">
            <v>5884258</v>
          </cell>
          <cell r="BD14">
            <v>5886934</v>
          </cell>
          <cell r="BE14">
            <v>2676</v>
          </cell>
          <cell r="BF14">
            <v>20</v>
          </cell>
          <cell r="BG14">
            <v>18.388888888888889</v>
          </cell>
          <cell r="BH14">
            <v>1537657</v>
          </cell>
          <cell r="BI14">
            <v>1538981</v>
          </cell>
          <cell r="BJ14">
            <v>1324</v>
          </cell>
          <cell r="BK14">
            <v>60</v>
          </cell>
          <cell r="BL14">
            <v>20.00462962962963</v>
          </cell>
          <cell r="BM14">
            <v>6144662</v>
          </cell>
          <cell r="BN14">
            <v>6148983</v>
          </cell>
          <cell r="BO14">
            <v>4321</v>
          </cell>
        </row>
        <row r="15">
          <cell r="B15">
            <v>46033</v>
          </cell>
          <cell r="C15">
            <v>38</v>
          </cell>
          <cell r="D15">
            <v>13.311403508771928</v>
          </cell>
          <cell r="E15">
            <v>3754944</v>
          </cell>
          <cell r="F15">
            <v>3756765</v>
          </cell>
          <cell r="G15">
            <v>1821</v>
          </cell>
          <cell r="H15">
            <v>25</v>
          </cell>
          <cell r="I15">
            <v>0</v>
          </cell>
          <cell r="J15">
            <v>1970853</v>
          </cell>
          <cell r="K15">
            <v>1970853</v>
          </cell>
          <cell r="L15">
            <v>0</v>
          </cell>
          <cell r="M15">
            <v>38</v>
          </cell>
          <cell r="N15">
            <v>0</v>
          </cell>
          <cell r="O15">
            <v>414403</v>
          </cell>
          <cell r="P15">
            <v>414403</v>
          </cell>
          <cell r="Q15">
            <v>0</v>
          </cell>
          <cell r="R15">
            <v>29.411764705882351</v>
          </cell>
          <cell r="S15">
            <v>17</v>
          </cell>
          <cell r="T15">
            <v>233179</v>
          </cell>
          <cell r="U15">
            <v>234979</v>
          </cell>
          <cell r="V15">
            <v>1800</v>
          </cell>
          <cell r="W15">
            <v>360.19675925925924</v>
          </cell>
          <cell r="X15">
            <v>24</v>
          </cell>
          <cell r="Y15">
            <v>988489</v>
          </cell>
          <cell r="Z15">
            <v>1021410</v>
          </cell>
          <cell r="AA15">
            <v>31121</v>
          </cell>
          <cell r="AB15">
            <v>73</v>
          </cell>
          <cell r="AC15">
            <v>24</v>
          </cell>
          <cell r="AD15">
            <v>5117791</v>
          </cell>
          <cell r="AE15">
            <v>5124148</v>
          </cell>
          <cell r="AF15">
            <v>6357</v>
          </cell>
          <cell r="AG15">
            <v>20</v>
          </cell>
          <cell r="AH15">
            <v>24</v>
          </cell>
          <cell r="AI15"/>
          <cell r="AJ15"/>
          <cell r="AK15">
            <v>1728</v>
          </cell>
          <cell r="AL15">
            <v>40.123456790123456</v>
          </cell>
          <cell r="AM15">
            <v>18</v>
          </cell>
          <cell r="AN15">
            <v>3533662</v>
          </cell>
          <cell r="AO15">
            <v>3536262</v>
          </cell>
          <cell r="AP15">
            <v>2600</v>
          </cell>
          <cell r="AQ15"/>
          <cell r="AR15" t="str">
            <v xml:space="preserve"> </v>
          </cell>
          <cell r="AS15" t="str">
            <v xml:space="preserve"> </v>
          </cell>
          <cell r="AT15"/>
          <cell r="AU15" t="str">
            <v xml:space="preserve"> </v>
          </cell>
          <cell r="AV15">
            <v>11.25925925925926</v>
          </cell>
          <cell r="AW15">
            <v>15</v>
          </cell>
          <cell r="AX15">
            <v>570660</v>
          </cell>
          <cell r="AY15">
            <v>571268</v>
          </cell>
          <cell r="AZ15">
            <v>608</v>
          </cell>
          <cell r="BA15">
            <v>125</v>
          </cell>
          <cell r="BB15">
            <v>4.1222222222222218</v>
          </cell>
          <cell r="BC15">
            <v>5886934</v>
          </cell>
          <cell r="BD15">
            <v>5888789</v>
          </cell>
          <cell r="BE15">
            <v>1855</v>
          </cell>
          <cell r="BF15">
            <v>20</v>
          </cell>
          <cell r="BG15">
            <v>17.583333333333332</v>
          </cell>
          <cell r="BH15">
            <v>1538981</v>
          </cell>
          <cell r="BI15">
            <v>1540247</v>
          </cell>
          <cell r="BJ15">
            <v>1266</v>
          </cell>
          <cell r="BK15">
            <v>60</v>
          </cell>
          <cell r="BL15">
            <v>21.592592592592592</v>
          </cell>
          <cell r="BM15">
            <v>6148983</v>
          </cell>
          <cell r="BN15">
            <v>6153647</v>
          </cell>
          <cell r="BO15">
            <v>4664</v>
          </cell>
        </row>
        <row r="16">
          <cell r="B16">
            <v>46034</v>
          </cell>
          <cell r="C16">
            <v>38</v>
          </cell>
          <cell r="D16">
            <v>13.486842105263158</v>
          </cell>
          <cell r="E16">
            <v>3756765</v>
          </cell>
          <cell r="F16">
            <v>3758610</v>
          </cell>
          <cell r="G16">
            <v>1845</v>
          </cell>
          <cell r="H16">
            <v>25</v>
          </cell>
          <cell r="I16">
            <v>0</v>
          </cell>
          <cell r="J16">
            <v>1970853</v>
          </cell>
          <cell r="K16">
            <v>1970853</v>
          </cell>
          <cell r="L16">
            <v>0</v>
          </cell>
          <cell r="M16">
            <v>38</v>
          </cell>
          <cell r="N16">
            <v>0</v>
          </cell>
          <cell r="O16">
            <v>414403</v>
          </cell>
          <cell r="P16">
            <v>414403</v>
          </cell>
          <cell r="Q16">
            <v>0</v>
          </cell>
          <cell r="R16">
            <v>28.402777777777779</v>
          </cell>
          <cell r="S16">
            <v>20</v>
          </cell>
          <cell r="T16">
            <v>234979</v>
          </cell>
          <cell r="U16">
            <v>237024</v>
          </cell>
          <cell r="V16">
            <v>2045</v>
          </cell>
          <cell r="W16">
            <v>359.74568892222118</v>
          </cell>
          <cell r="X16">
            <v>22</v>
          </cell>
          <cell r="Y16">
            <v>1021410</v>
          </cell>
          <cell r="Z16">
            <v>1051946.8585626399</v>
          </cell>
          <cell r="AA16">
            <v>28491.858562639914</v>
          </cell>
          <cell r="AB16">
            <v>76</v>
          </cell>
          <cell r="AC16">
            <v>24</v>
          </cell>
          <cell r="AD16">
            <v>5124148</v>
          </cell>
          <cell r="AE16">
            <v>5130715</v>
          </cell>
          <cell r="AF16">
            <v>6567</v>
          </cell>
          <cell r="AG16">
            <v>20</v>
          </cell>
          <cell r="AH16">
            <v>24</v>
          </cell>
          <cell r="AI16"/>
          <cell r="AJ16"/>
          <cell r="AK16">
            <v>1728</v>
          </cell>
          <cell r="AL16">
            <v>39.444444444444443</v>
          </cell>
          <cell r="AM16">
            <v>17</v>
          </cell>
          <cell r="AN16">
            <v>3536262</v>
          </cell>
          <cell r="AO16">
            <v>3538676</v>
          </cell>
          <cell r="AP16">
            <v>2414</v>
          </cell>
          <cell r="AQ16"/>
          <cell r="AR16" t="str">
            <v xml:space="preserve"> </v>
          </cell>
          <cell r="AS16" t="str">
            <v xml:space="preserve"> </v>
          </cell>
          <cell r="AT16"/>
          <cell r="AU16" t="str">
            <v xml:space="preserve"> </v>
          </cell>
          <cell r="AV16">
            <v>11.592592592592592</v>
          </cell>
          <cell r="AW16">
            <v>15</v>
          </cell>
          <cell r="AX16">
            <v>571268</v>
          </cell>
          <cell r="AY16">
            <v>571894</v>
          </cell>
          <cell r="AZ16">
            <v>626</v>
          </cell>
          <cell r="BA16">
            <v>125</v>
          </cell>
          <cell r="BB16">
            <v>4.2022222222222219</v>
          </cell>
          <cell r="BC16">
            <v>5888789</v>
          </cell>
          <cell r="BD16">
            <v>5890680</v>
          </cell>
          <cell r="BE16">
            <v>1891</v>
          </cell>
          <cell r="BF16">
            <v>20</v>
          </cell>
          <cell r="BG16">
            <v>13.25</v>
          </cell>
          <cell r="BH16">
            <v>1540247</v>
          </cell>
          <cell r="BI16">
            <v>1541201</v>
          </cell>
          <cell r="BJ16">
            <v>954</v>
          </cell>
          <cell r="BK16">
            <v>60</v>
          </cell>
          <cell r="BL16">
            <v>17.37037037037037</v>
          </cell>
          <cell r="BM16">
            <v>6153647</v>
          </cell>
          <cell r="BN16">
            <v>6157399</v>
          </cell>
          <cell r="BO16">
            <v>3752</v>
          </cell>
        </row>
        <row r="17">
          <cell r="B17">
            <v>46035</v>
          </cell>
          <cell r="C17">
            <v>38</v>
          </cell>
          <cell r="D17">
            <v>13.450292397660817</v>
          </cell>
          <cell r="E17">
            <v>3758610</v>
          </cell>
          <cell r="F17">
            <v>3760450</v>
          </cell>
          <cell r="G17">
            <v>1840</v>
          </cell>
          <cell r="H17">
            <v>25</v>
          </cell>
          <cell r="I17">
            <v>0</v>
          </cell>
          <cell r="J17">
            <v>1970853</v>
          </cell>
          <cell r="K17">
            <v>1970853</v>
          </cell>
          <cell r="L17">
            <v>0</v>
          </cell>
          <cell r="M17">
            <v>38</v>
          </cell>
          <cell r="N17">
            <v>0</v>
          </cell>
          <cell r="O17">
            <v>414403</v>
          </cell>
          <cell r="P17">
            <v>414403</v>
          </cell>
          <cell r="Q17">
            <v>0</v>
          </cell>
          <cell r="R17">
            <v>28.425925925925924</v>
          </cell>
          <cell r="S17">
            <v>18</v>
          </cell>
          <cell r="T17">
            <v>237024</v>
          </cell>
          <cell r="U17">
            <v>238866</v>
          </cell>
          <cell r="V17">
            <v>1842</v>
          </cell>
          <cell r="W17">
            <v>199.41700150138922</v>
          </cell>
          <cell r="X17">
            <v>24</v>
          </cell>
          <cell r="Y17">
            <v>1051946.8585626399</v>
          </cell>
          <cell r="Z17">
            <v>1071018.4874923599</v>
          </cell>
          <cell r="AA17">
            <v>17229.628929720027</v>
          </cell>
          <cell r="AB17">
            <v>65</v>
          </cell>
          <cell r="AC17">
            <v>24</v>
          </cell>
          <cell r="AD17">
            <v>5130715</v>
          </cell>
          <cell r="AE17">
            <v>5136358</v>
          </cell>
          <cell r="AF17">
            <v>5643</v>
          </cell>
          <cell r="AG17">
            <v>20</v>
          </cell>
          <cell r="AH17">
            <v>24</v>
          </cell>
          <cell r="AI17"/>
          <cell r="AJ17"/>
          <cell r="AK17">
            <v>1728</v>
          </cell>
          <cell r="AL17">
            <v>38.395061728395063</v>
          </cell>
          <cell r="AM17">
            <v>18</v>
          </cell>
          <cell r="AN17">
            <v>3538676</v>
          </cell>
          <cell r="AO17">
            <v>3541164</v>
          </cell>
          <cell r="AP17">
            <v>2488</v>
          </cell>
          <cell r="AQ17"/>
          <cell r="AR17" t="str">
            <v xml:space="preserve"> </v>
          </cell>
          <cell r="AS17" t="str">
            <v xml:space="preserve"> </v>
          </cell>
          <cell r="AT17"/>
          <cell r="AU17" t="str">
            <v xml:space="preserve"> </v>
          </cell>
          <cell r="AV17">
            <v>11.351851851851851</v>
          </cell>
          <cell r="AW17">
            <v>15</v>
          </cell>
          <cell r="AX17">
            <v>571894</v>
          </cell>
          <cell r="AY17">
            <v>572507</v>
          </cell>
          <cell r="AZ17">
            <v>613</v>
          </cell>
          <cell r="BA17">
            <v>125</v>
          </cell>
          <cell r="BB17">
            <v>4.2044444444444444</v>
          </cell>
          <cell r="BC17">
            <v>5890680</v>
          </cell>
          <cell r="BD17">
            <v>5892572</v>
          </cell>
          <cell r="BE17">
            <v>1892</v>
          </cell>
          <cell r="BF17">
            <v>20</v>
          </cell>
          <cell r="BG17">
            <v>17.347222222222221</v>
          </cell>
          <cell r="BH17">
            <v>1541201</v>
          </cell>
          <cell r="BI17">
            <v>1542450</v>
          </cell>
          <cell r="BJ17">
            <v>1249</v>
          </cell>
          <cell r="BK17">
            <v>60</v>
          </cell>
          <cell r="BL17">
            <v>7.8935185185185182</v>
          </cell>
          <cell r="BM17">
            <v>6157399</v>
          </cell>
          <cell r="BN17">
            <v>6159104</v>
          </cell>
          <cell r="BO17">
            <v>1705</v>
          </cell>
        </row>
        <row r="18">
          <cell r="B18">
            <v>46036</v>
          </cell>
          <cell r="C18">
            <v>38</v>
          </cell>
          <cell r="D18">
            <v>13.245614035087717</v>
          </cell>
          <cell r="E18">
            <v>3760450</v>
          </cell>
          <cell r="F18">
            <v>3762262</v>
          </cell>
          <cell r="G18">
            <v>1812</v>
          </cell>
          <cell r="H18">
            <v>25</v>
          </cell>
          <cell r="I18">
            <v>0</v>
          </cell>
          <cell r="J18">
            <v>1970853</v>
          </cell>
          <cell r="K18">
            <v>1970853</v>
          </cell>
          <cell r="L18">
            <v>0</v>
          </cell>
          <cell r="M18">
            <v>38</v>
          </cell>
          <cell r="N18">
            <v>0</v>
          </cell>
          <cell r="O18">
            <v>414403</v>
          </cell>
          <cell r="P18">
            <v>414403</v>
          </cell>
          <cell r="Q18">
            <v>0</v>
          </cell>
          <cell r="R18">
            <v>27.401960784313726</v>
          </cell>
          <cell r="S18">
            <v>17</v>
          </cell>
          <cell r="T18">
            <v>238866</v>
          </cell>
          <cell r="U18">
            <v>240543</v>
          </cell>
          <cell r="V18">
            <v>1677</v>
          </cell>
          <cell r="W18">
            <v>281.48113412175951</v>
          </cell>
          <cell r="X18">
            <v>24</v>
          </cell>
          <cell r="Y18">
            <v>1071018.4874923599</v>
          </cell>
          <cell r="Z18">
            <v>1097015.45748048</v>
          </cell>
          <cell r="AA18">
            <v>24319.969988120021</v>
          </cell>
          <cell r="AB18">
            <v>65</v>
          </cell>
          <cell r="AC18">
            <v>24</v>
          </cell>
          <cell r="AD18">
            <v>5136358</v>
          </cell>
          <cell r="AE18">
            <v>5141977</v>
          </cell>
          <cell r="AF18">
            <v>5619</v>
          </cell>
          <cell r="AG18">
            <v>20</v>
          </cell>
          <cell r="AH18">
            <v>24</v>
          </cell>
          <cell r="AI18"/>
          <cell r="AJ18"/>
          <cell r="AK18">
            <v>1728</v>
          </cell>
          <cell r="AL18">
            <v>38.117283950617285</v>
          </cell>
          <cell r="AM18">
            <v>18</v>
          </cell>
          <cell r="AN18">
            <v>3541164</v>
          </cell>
          <cell r="AO18">
            <v>3543634</v>
          </cell>
          <cell r="AP18">
            <v>2470</v>
          </cell>
          <cell r="AQ18"/>
          <cell r="AR18" t="str">
            <v xml:space="preserve"> </v>
          </cell>
          <cell r="AS18" t="str">
            <v xml:space="preserve"> </v>
          </cell>
          <cell r="AT18"/>
          <cell r="AU18" t="str">
            <v xml:space="preserve"> </v>
          </cell>
          <cell r="AV18">
            <v>10.555555555555555</v>
          </cell>
          <cell r="AW18">
            <v>14</v>
          </cell>
          <cell r="AX18">
            <v>572507</v>
          </cell>
          <cell r="AY18">
            <v>573039</v>
          </cell>
          <cell r="AZ18">
            <v>532</v>
          </cell>
          <cell r="BA18">
            <v>125</v>
          </cell>
          <cell r="BB18">
            <v>4.32</v>
          </cell>
          <cell r="BC18">
            <v>5892572</v>
          </cell>
          <cell r="BD18">
            <v>5894516</v>
          </cell>
          <cell r="BE18">
            <v>1944</v>
          </cell>
          <cell r="BF18">
            <v>20</v>
          </cell>
          <cell r="BG18">
            <v>17.652777777777779</v>
          </cell>
          <cell r="BH18">
            <v>1542450</v>
          </cell>
          <cell r="BI18">
            <v>1543721</v>
          </cell>
          <cell r="BJ18">
            <v>1271</v>
          </cell>
          <cell r="BK18">
            <v>60</v>
          </cell>
          <cell r="BL18">
            <v>14.12037037037037</v>
          </cell>
          <cell r="BM18">
            <v>6159104</v>
          </cell>
          <cell r="BN18">
            <v>6162154</v>
          </cell>
          <cell r="BO18">
            <v>3050</v>
          </cell>
        </row>
        <row r="19">
          <cell r="B19">
            <v>46037</v>
          </cell>
          <cell r="C19">
            <v>38</v>
          </cell>
          <cell r="D19">
            <v>13.114035087719298</v>
          </cell>
          <cell r="E19">
            <v>3762262</v>
          </cell>
          <cell r="F19">
            <v>3764056</v>
          </cell>
          <cell r="G19">
            <v>1794</v>
          </cell>
          <cell r="H19">
            <v>25</v>
          </cell>
          <cell r="I19">
            <v>0</v>
          </cell>
          <cell r="J19">
            <v>1970853</v>
          </cell>
          <cell r="K19">
            <v>1970853</v>
          </cell>
          <cell r="L19">
            <v>0</v>
          </cell>
          <cell r="M19">
            <v>38</v>
          </cell>
          <cell r="N19">
            <v>1.8494152046783625</v>
          </cell>
          <cell r="O19">
            <v>414403</v>
          </cell>
          <cell r="P19">
            <v>414656</v>
          </cell>
          <cell r="Q19">
            <v>253</v>
          </cell>
          <cell r="R19">
            <v>27.222222222222221</v>
          </cell>
          <cell r="S19">
            <v>13</v>
          </cell>
          <cell r="T19">
            <v>240543</v>
          </cell>
          <cell r="U19">
            <v>241817</v>
          </cell>
          <cell r="V19">
            <v>1274</v>
          </cell>
          <cell r="W19">
            <v>268.50750242963034</v>
          </cell>
          <cell r="X19">
            <v>24</v>
          </cell>
          <cell r="Y19">
            <v>1097015.45748048</v>
          </cell>
          <cell r="Z19">
            <v>1121488.5056904</v>
          </cell>
          <cell r="AA19">
            <v>23199.04820992006</v>
          </cell>
          <cell r="AB19">
            <v>61</v>
          </cell>
          <cell r="AC19">
            <v>24</v>
          </cell>
          <cell r="AD19">
            <v>5141977</v>
          </cell>
          <cell r="AE19">
            <v>5147251</v>
          </cell>
          <cell r="AF19">
            <v>5274</v>
          </cell>
          <cell r="AG19">
            <v>20</v>
          </cell>
          <cell r="AH19">
            <v>24</v>
          </cell>
          <cell r="AI19"/>
          <cell r="AJ19"/>
          <cell r="AK19">
            <v>1728</v>
          </cell>
          <cell r="AL19">
            <v>37.962962962962962</v>
          </cell>
          <cell r="AM19">
            <v>18</v>
          </cell>
          <cell r="AN19">
            <v>3543634</v>
          </cell>
          <cell r="AO19">
            <v>3546094</v>
          </cell>
          <cell r="AP19">
            <v>2460</v>
          </cell>
          <cell r="AQ19"/>
          <cell r="AR19" t="str">
            <v xml:space="preserve"> </v>
          </cell>
          <cell r="AS19" t="str">
            <v xml:space="preserve"> </v>
          </cell>
          <cell r="AT19"/>
          <cell r="AU19" t="str">
            <v xml:space="preserve"> </v>
          </cell>
          <cell r="AV19">
            <v>11.611111111111111</v>
          </cell>
          <cell r="AW19">
            <v>15</v>
          </cell>
          <cell r="AX19">
            <v>573039</v>
          </cell>
          <cell r="AY19">
            <v>573666</v>
          </cell>
          <cell r="AZ19">
            <v>627</v>
          </cell>
          <cell r="BA19">
            <v>125</v>
          </cell>
          <cell r="BB19">
            <v>4.72</v>
          </cell>
          <cell r="BC19">
            <v>5894516</v>
          </cell>
          <cell r="BD19">
            <v>5896640</v>
          </cell>
          <cell r="BE19">
            <v>2124</v>
          </cell>
          <cell r="BF19">
            <v>20</v>
          </cell>
          <cell r="BG19">
            <v>17.972222222222221</v>
          </cell>
          <cell r="BH19">
            <v>1543721</v>
          </cell>
          <cell r="BI19">
            <v>1545015</v>
          </cell>
          <cell r="BJ19">
            <v>1294</v>
          </cell>
          <cell r="BK19">
            <v>60</v>
          </cell>
          <cell r="BL19">
            <v>13.291666666666666</v>
          </cell>
          <cell r="BM19">
            <v>6162154</v>
          </cell>
          <cell r="BN19">
            <v>6165025</v>
          </cell>
          <cell r="BO19">
            <v>2871</v>
          </cell>
        </row>
        <row r="20">
          <cell r="B20">
            <v>46038</v>
          </cell>
          <cell r="C20">
            <v>38</v>
          </cell>
          <cell r="D20">
            <v>13.428362573099415</v>
          </cell>
          <cell r="E20">
            <v>3764056</v>
          </cell>
          <cell r="F20">
            <v>3765893</v>
          </cell>
          <cell r="G20">
            <v>1837</v>
          </cell>
          <cell r="H20">
            <v>25</v>
          </cell>
          <cell r="I20">
            <v>0</v>
          </cell>
          <cell r="J20">
            <v>1970853</v>
          </cell>
          <cell r="K20">
            <v>1970853</v>
          </cell>
          <cell r="L20">
            <v>0</v>
          </cell>
          <cell r="M20">
            <v>38</v>
          </cell>
          <cell r="N20">
            <v>0</v>
          </cell>
          <cell r="O20">
            <v>414656</v>
          </cell>
          <cell r="P20">
            <v>414656</v>
          </cell>
          <cell r="Q20">
            <v>0</v>
          </cell>
          <cell r="R20">
            <v>28.300653594771241</v>
          </cell>
          <cell r="S20">
            <v>17</v>
          </cell>
          <cell r="T20">
            <v>241817</v>
          </cell>
          <cell r="U20">
            <v>243549</v>
          </cell>
          <cell r="V20">
            <v>1732</v>
          </cell>
          <cell r="W20">
            <v>305.31822117592566</v>
          </cell>
          <cell r="X20">
            <v>24</v>
          </cell>
          <cell r="Y20">
            <v>1121488.5056904</v>
          </cell>
          <cell r="Z20">
            <v>1149600</v>
          </cell>
          <cell r="AA20">
            <v>26379.494309599977</v>
          </cell>
          <cell r="AB20">
            <v>58</v>
          </cell>
          <cell r="AC20">
            <v>24</v>
          </cell>
          <cell r="AD20">
            <v>5147251</v>
          </cell>
          <cell r="AE20">
            <v>5152286</v>
          </cell>
          <cell r="AF20">
            <v>5035</v>
          </cell>
          <cell r="AG20">
            <v>20</v>
          </cell>
          <cell r="AH20">
            <v>24</v>
          </cell>
          <cell r="AI20"/>
          <cell r="AJ20"/>
          <cell r="AK20">
            <v>1728</v>
          </cell>
          <cell r="AL20">
            <v>40.879629629629633</v>
          </cell>
          <cell r="AM20">
            <v>18</v>
          </cell>
          <cell r="AN20">
            <v>3546094</v>
          </cell>
          <cell r="AO20">
            <v>3548743</v>
          </cell>
          <cell r="AP20">
            <v>2649</v>
          </cell>
          <cell r="AQ20"/>
          <cell r="AR20" t="str">
            <v xml:space="preserve"> </v>
          </cell>
          <cell r="AS20" t="str">
            <v xml:space="preserve"> </v>
          </cell>
          <cell r="AT20"/>
          <cell r="AU20" t="str">
            <v xml:space="preserve"> </v>
          </cell>
          <cell r="AV20">
            <v>11.648148148148149</v>
          </cell>
          <cell r="AW20">
            <v>15</v>
          </cell>
          <cell r="AX20">
            <v>573666</v>
          </cell>
          <cell r="AY20">
            <v>574295</v>
          </cell>
          <cell r="AZ20">
            <v>629</v>
          </cell>
          <cell r="BA20">
            <v>125</v>
          </cell>
          <cell r="BB20">
            <v>4.5111111111111111</v>
          </cell>
          <cell r="BC20">
            <v>5896640</v>
          </cell>
          <cell r="BD20">
            <v>5898670</v>
          </cell>
          <cell r="BE20">
            <v>2030</v>
          </cell>
          <cell r="BF20">
            <v>20</v>
          </cell>
          <cell r="BG20">
            <v>17.041666666666668</v>
          </cell>
          <cell r="BH20">
            <v>1545015</v>
          </cell>
          <cell r="BI20">
            <v>1546242</v>
          </cell>
          <cell r="BJ20">
            <v>1227</v>
          </cell>
          <cell r="BK20">
            <v>60</v>
          </cell>
          <cell r="BL20">
            <v>13.689814814814815</v>
          </cell>
          <cell r="BM20">
            <v>6165025</v>
          </cell>
          <cell r="BN20">
            <v>6167982</v>
          </cell>
          <cell r="BO20">
            <v>2957</v>
          </cell>
        </row>
        <row r="21">
          <cell r="B21">
            <v>46039</v>
          </cell>
          <cell r="C21">
            <v>38</v>
          </cell>
          <cell r="D21">
            <v>13.450292397660817</v>
          </cell>
          <cell r="E21">
            <v>3765893</v>
          </cell>
          <cell r="F21">
            <v>3767733</v>
          </cell>
          <cell r="G21">
            <v>1840</v>
          </cell>
          <cell r="H21">
            <v>25</v>
          </cell>
          <cell r="I21">
            <v>0</v>
          </cell>
          <cell r="J21">
            <v>1970853</v>
          </cell>
          <cell r="K21">
            <v>1970853</v>
          </cell>
          <cell r="L21">
            <v>0</v>
          </cell>
          <cell r="M21">
            <v>38</v>
          </cell>
          <cell r="N21">
            <v>0</v>
          </cell>
          <cell r="O21">
            <v>414656</v>
          </cell>
          <cell r="P21">
            <v>414656</v>
          </cell>
          <cell r="Q21">
            <v>0</v>
          </cell>
          <cell r="R21">
            <v>28.347953216374268</v>
          </cell>
          <cell r="S21">
            <v>19</v>
          </cell>
          <cell r="T21">
            <v>243549</v>
          </cell>
          <cell r="U21">
            <v>245488</v>
          </cell>
          <cell r="V21">
            <v>1939</v>
          </cell>
          <cell r="W21">
            <v>323.27546296296299</v>
          </cell>
          <cell r="X21">
            <v>24</v>
          </cell>
          <cell r="Y21">
            <v>1149600</v>
          </cell>
          <cell r="Z21">
            <v>1179470</v>
          </cell>
          <cell r="AA21">
            <v>27931</v>
          </cell>
          <cell r="AB21">
            <v>57</v>
          </cell>
          <cell r="AC21">
            <v>23</v>
          </cell>
          <cell r="AD21">
            <v>5152286</v>
          </cell>
          <cell r="AE21">
            <v>5157086</v>
          </cell>
          <cell r="AF21">
            <v>4800</v>
          </cell>
          <cell r="AG21">
            <v>20</v>
          </cell>
          <cell r="AH21">
            <v>24</v>
          </cell>
          <cell r="AI21"/>
          <cell r="AJ21"/>
          <cell r="AK21">
            <v>1728</v>
          </cell>
          <cell r="AL21">
            <v>37.947530864197532</v>
          </cell>
          <cell r="AM21">
            <v>18</v>
          </cell>
          <cell r="AN21">
            <v>3548743</v>
          </cell>
          <cell r="AO21">
            <v>3551202</v>
          </cell>
          <cell r="AP21">
            <v>2459</v>
          </cell>
          <cell r="AQ21"/>
          <cell r="AR21" t="str">
            <v xml:space="preserve"> </v>
          </cell>
          <cell r="AS21" t="str">
            <v xml:space="preserve"> </v>
          </cell>
          <cell r="AT21"/>
          <cell r="AU21" t="str">
            <v xml:space="preserve"> </v>
          </cell>
          <cell r="AV21">
            <v>11.5</v>
          </cell>
          <cell r="AW21">
            <v>15</v>
          </cell>
          <cell r="AX21">
            <v>574295</v>
          </cell>
          <cell r="AY21">
            <v>574916</v>
          </cell>
          <cell r="AZ21">
            <v>621</v>
          </cell>
          <cell r="BA21">
            <v>125</v>
          </cell>
          <cell r="BB21">
            <v>4.0777777777777775</v>
          </cell>
          <cell r="BC21">
            <v>5898670</v>
          </cell>
          <cell r="BD21">
            <v>5900505</v>
          </cell>
          <cell r="BE21">
            <v>1835</v>
          </cell>
          <cell r="BF21">
            <v>20</v>
          </cell>
          <cell r="BG21">
            <v>16.791666666666668</v>
          </cell>
          <cell r="BH21">
            <v>1546242</v>
          </cell>
          <cell r="BI21">
            <v>1547451</v>
          </cell>
          <cell r="BJ21">
            <v>1209</v>
          </cell>
          <cell r="BK21">
            <v>60</v>
          </cell>
          <cell r="BL21">
            <v>19.435185185185187</v>
          </cell>
          <cell r="BM21">
            <v>6167982</v>
          </cell>
          <cell r="BN21">
            <v>6172180</v>
          </cell>
          <cell r="BO21">
            <v>4198</v>
          </cell>
        </row>
        <row r="22">
          <cell r="B22">
            <v>46040</v>
          </cell>
          <cell r="C22">
            <v>38</v>
          </cell>
          <cell r="D22">
            <v>13.230994152046783</v>
          </cell>
          <cell r="E22">
            <v>3767733</v>
          </cell>
          <cell r="F22">
            <v>3769543</v>
          </cell>
          <cell r="G22">
            <v>1810</v>
          </cell>
          <cell r="H22">
            <v>25</v>
          </cell>
          <cell r="I22">
            <v>0</v>
          </cell>
          <cell r="J22">
            <v>1970853</v>
          </cell>
          <cell r="K22">
            <v>1970853</v>
          </cell>
          <cell r="L22">
            <v>0</v>
          </cell>
          <cell r="M22">
            <v>38</v>
          </cell>
          <cell r="N22">
            <v>0</v>
          </cell>
          <cell r="O22">
            <v>414656</v>
          </cell>
          <cell r="P22">
            <v>414656</v>
          </cell>
          <cell r="Q22">
            <v>0</v>
          </cell>
          <cell r="R22">
            <v>27.777777777777779</v>
          </cell>
          <cell r="S22">
            <v>0.01</v>
          </cell>
          <cell r="T22">
            <v>245488</v>
          </cell>
          <cell r="U22">
            <v>245489</v>
          </cell>
          <cell r="V22">
            <v>1</v>
          </cell>
          <cell r="W22">
            <v>372.53877614536947</v>
          </cell>
          <cell r="X22">
            <v>24</v>
          </cell>
          <cell r="Y22">
            <v>1179470</v>
          </cell>
          <cell r="Z22">
            <v>1211657.3502589599</v>
          </cell>
          <cell r="AA22">
            <v>32187.350258959923</v>
          </cell>
          <cell r="AB22">
            <v>60</v>
          </cell>
          <cell r="AC22">
            <v>19</v>
          </cell>
          <cell r="AD22">
            <v>5157086</v>
          </cell>
          <cell r="AE22">
            <v>5161200</v>
          </cell>
          <cell r="AF22">
            <v>4114</v>
          </cell>
          <cell r="AG22">
            <v>20</v>
          </cell>
          <cell r="AH22">
            <v>24</v>
          </cell>
          <cell r="AI22"/>
          <cell r="AJ22"/>
          <cell r="AK22">
            <v>1728</v>
          </cell>
          <cell r="AL22">
            <v>38.56481481481481</v>
          </cell>
          <cell r="AM22">
            <v>18</v>
          </cell>
          <cell r="AN22">
            <v>3551202</v>
          </cell>
          <cell r="AO22">
            <v>3553701</v>
          </cell>
          <cell r="AP22">
            <v>2499</v>
          </cell>
          <cell r="AQ22"/>
          <cell r="AR22" t="str">
            <v xml:space="preserve"> </v>
          </cell>
          <cell r="AS22" t="str">
            <v xml:space="preserve"> </v>
          </cell>
          <cell r="AT22"/>
          <cell r="AU22" t="str">
            <v xml:space="preserve"> </v>
          </cell>
          <cell r="AV22">
            <v>11.148148148148149</v>
          </cell>
          <cell r="AW22">
            <v>15</v>
          </cell>
          <cell r="AX22">
            <v>574916</v>
          </cell>
          <cell r="AY22">
            <v>575518</v>
          </cell>
          <cell r="AZ22">
            <v>602</v>
          </cell>
          <cell r="BA22">
            <v>125</v>
          </cell>
          <cell r="BB22">
            <v>4.137777777777778</v>
          </cell>
          <cell r="BC22">
            <v>5900505</v>
          </cell>
          <cell r="BD22">
            <v>5902367</v>
          </cell>
          <cell r="BE22">
            <v>1862</v>
          </cell>
          <cell r="BF22">
            <v>20</v>
          </cell>
          <cell r="BG22">
            <v>16.208333333333332</v>
          </cell>
          <cell r="BH22">
            <v>1547451</v>
          </cell>
          <cell r="BI22">
            <v>1548618</v>
          </cell>
          <cell r="BJ22">
            <v>1167</v>
          </cell>
          <cell r="BK22">
            <v>60</v>
          </cell>
          <cell r="BL22">
            <v>16.925925925925927</v>
          </cell>
          <cell r="BM22">
            <v>6172180</v>
          </cell>
          <cell r="BN22">
            <v>6175836</v>
          </cell>
          <cell r="BO22">
            <v>3656</v>
          </cell>
        </row>
        <row r="23">
          <cell r="B23">
            <v>46041</v>
          </cell>
          <cell r="C23">
            <v>38</v>
          </cell>
          <cell r="D23">
            <v>13.377192982456139</v>
          </cell>
          <cell r="E23">
            <v>3769543</v>
          </cell>
          <cell r="F23">
            <v>3771373</v>
          </cell>
          <cell r="G23">
            <v>1830</v>
          </cell>
          <cell r="H23">
            <v>25</v>
          </cell>
          <cell r="I23">
            <v>0</v>
          </cell>
          <cell r="J23">
            <v>1970853</v>
          </cell>
          <cell r="K23">
            <v>1970853</v>
          </cell>
          <cell r="L23">
            <v>0</v>
          </cell>
          <cell r="M23">
            <v>38</v>
          </cell>
          <cell r="N23">
            <v>0</v>
          </cell>
          <cell r="O23">
            <v>414656</v>
          </cell>
          <cell r="P23">
            <v>414656</v>
          </cell>
          <cell r="Q23">
            <v>0</v>
          </cell>
          <cell r="R23">
            <v>27.700617283950617</v>
          </cell>
          <cell r="S23">
            <v>18</v>
          </cell>
          <cell r="T23">
            <v>245489</v>
          </cell>
          <cell r="U23">
            <v>247284</v>
          </cell>
          <cell r="V23">
            <v>1795</v>
          </cell>
          <cell r="W23">
            <v>265.97974237314901</v>
          </cell>
          <cell r="X23">
            <v>24</v>
          </cell>
          <cell r="Y23">
            <v>1211657.3502589599</v>
          </cell>
          <cell r="Z23">
            <v>1236433</v>
          </cell>
          <cell r="AA23">
            <v>22980.649741040077</v>
          </cell>
          <cell r="AB23">
            <v>58</v>
          </cell>
          <cell r="AC23">
            <v>15</v>
          </cell>
          <cell r="AD23">
            <v>5161200</v>
          </cell>
          <cell r="AE23">
            <v>5164362</v>
          </cell>
          <cell r="AF23">
            <v>3162</v>
          </cell>
          <cell r="AG23">
            <v>20</v>
          </cell>
          <cell r="AH23">
            <v>24</v>
          </cell>
          <cell r="AI23"/>
          <cell r="AJ23"/>
          <cell r="AK23">
            <v>1728</v>
          </cell>
          <cell r="AL23">
            <v>38.302469135802468</v>
          </cell>
          <cell r="AM23">
            <v>18</v>
          </cell>
          <cell r="AN23">
            <v>3553701</v>
          </cell>
          <cell r="AO23">
            <v>3556183</v>
          </cell>
          <cell r="AP23">
            <v>2482</v>
          </cell>
          <cell r="AQ23"/>
          <cell r="AR23" t="str">
            <v xml:space="preserve"> </v>
          </cell>
          <cell r="AS23" t="str">
            <v xml:space="preserve"> </v>
          </cell>
          <cell r="AT23"/>
          <cell r="AU23" t="str">
            <v xml:space="preserve"> </v>
          </cell>
          <cell r="AV23">
            <v>11.28968253968254</v>
          </cell>
          <cell r="AW23">
            <v>14</v>
          </cell>
          <cell r="AX23">
            <v>575518</v>
          </cell>
          <cell r="AY23">
            <v>576087</v>
          </cell>
          <cell r="AZ23">
            <v>569</v>
          </cell>
          <cell r="BA23">
            <v>125</v>
          </cell>
          <cell r="BB23">
            <v>4.1688888888888886</v>
          </cell>
          <cell r="BC23">
            <v>5902367</v>
          </cell>
          <cell r="BD23">
            <v>5904243</v>
          </cell>
          <cell r="BE23">
            <v>1876</v>
          </cell>
          <cell r="BF23">
            <v>20</v>
          </cell>
          <cell r="BG23">
            <v>16.222222222222221</v>
          </cell>
          <cell r="BH23">
            <v>1548618</v>
          </cell>
          <cell r="BI23">
            <v>1549786</v>
          </cell>
          <cell r="BJ23">
            <v>1168</v>
          </cell>
          <cell r="BK23">
            <v>60</v>
          </cell>
          <cell r="BL23">
            <v>5.8935185185185182</v>
          </cell>
          <cell r="BM23">
            <v>6175836</v>
          </cell>
          <cell r="BN23">
            <v>6177109</v>
          </cell>
          <cell r="BO23">
            <v>1273</v>
          </cell>
        </row>
        <row r="24">
          <cell r="B24">
            <v>46042</v>
          </cell>
          <cell r="C24">
            <v>38</v>
          </cell>
          <cell r="D24">
            <v>13.464912280701753</v>
          </cell>
          <cell r="E24">
            <v>3771373</v>
          </cell>
          <cell r="F24">
            <v>3773215</v>
          </cell>
          <cell r="G24">
            <v>1842</v>
          </cell>
          <cell r="H24">
            <v>25</v>
          </cell>
          <cell r="I24">
            <v>0</v>
          </cell>
          <cell r="J24">
            <v>1970853</v>
          </cell>
          <cell r="K24">
            <v>1970853</v>
          </cell>
          <cell r="L24">
            <v>0</v>
          </cell>
          <cell r="M24">
            <v>38</v>
          </cell>
          <cell r="N24">
            <v>0</v>
          </cell>
          <cell r="O24">
            <v>414656</v>
          </cell>
          <cell r="P24">
            <v>414656</v>
          </cell>
          <cell r="Q24">
            <v>0</v>
          </cell>
          <cell r="R24">
            <v>28.494152046783626</v>
          </cell>
          <cell r="S24">
            <v>19</v>
          </cell>
          <cell r="T24">
            <v>247284</v>
          </cell>
          <cell r="U24">
            <v>249233</v>
          </cell>
          <cell r="V24">
            <v>1949</v>
          </cell>
          <cell r="W24">
            <v>339.37073513611085</v>
          </cell>
          <cell r="X24">
            <v>24</v>
          </cell>
          <cell r="Y24">
            <v>1236433</v>
          </cell>
          <cell r="Z24">
            <v>1267703.63151576</v>
          </cell>
          <cell r="AA24">
            <v>29321.631515759975</v>
          </cell>
          <cell r="AB24">
            <v>52</v>
          </cell>
          <cell r="AC24">
            <v>23.3</v>
          </cell>
          <cell r="AD24">
            <v>5164362</v>
          </cell>
          <cell r="AE24">
            <v>5168753</v>
          </cell>
          <cell r="AF24">
            <v>4391</v>
          </cell>
          <cell r="AG24">
            <v>20</v>
          </cell>
          <cell r="AH24">
            <v>24</v>
          </cell>
          <cell r="AI24"/>
          <cell r="AJ24"/>
          <cell r="AK24">
            <v>1728</v>
          </cell>
          <cell r="AL24">
            <v>38.796296296296298</v>
          </cell>
          <cell r="AM24">
            <v>18</v>
          </cell>
          <cell r="AN24">
            <v>3556183</v>
          </cell>
          <cell r="AO24">
            <v>3558697</v>
          </cell>
          <cell r="AP24">
            <v>2514</v>
          </cell>
          <cell r="AQ24"/>
          <cell r="AR24" t="str">
            <v xml:space="preserve"> </v>
          </cell>
          <cell r="AS24" t="str">
            <v xml:space="preserve"> </v>
          </cell>
          <cell r="AT24"/>
          <cell r="AU24" t="str">
            <v xml:space="preserve"> </v>
          </cell>
          <cell r="AV24">
            <v>11.777777777777777</v>
          </cell>
          <cell r="AW24">
            <v>15</v>
          </cell>
          <cell r="AX24">
            <v>576087</v>
          </cell>
          <cell r="AY24">
            <v>576723</v>
          </cell>
          <cell r="AZ24">
            <v>636</v>
          </cell>
          <cell r="BA24">
            <v>125</v>
          </cell>
          <cell r="BB24">
            <v>4.0888888888888886</v>
          </cell>
          <cell r="BC24">
            <v>5904243</v>
          </cell>
          <cell r="BD24">
            <v>5906083</v>
          </cell>
          <cell r="BE24">
            <v>1840</v>
          </cell>
          <cell r="BF24">
            <v>20</v>
          </cell>
          <cell r="BG24">
            <v>8.3472222222222214</v>
          </cell>
          <cell r="BH24">
            <v>1549786</v>
          </cell>
          <cell r="BI24">
            <v>1550387</v>
          </cell>
          <cell r="BJ24">
            <v>601</v>
          </cell>
          <cell r="BK24">
            <v>60</v>
          </cell>
          <cell r="BL24">
            <v>19.976851851851851</v>
          </cell>
          <cell r="BM24">
            <v>6177109</v>
          </cell>
          <cell r="BN24">
            <v>6181424</v>
          </cell>
          <cell r="BO24">
            <v>4315</v>
          </cell>
        </row>
        <row r="25">
          <cell r="B25">
            <v>46043</v>
          </cell>
          <cell r="C25">
            <v>38</v>
          </cell>
          <cell r="D25">
            <v>13.267543859649122</v>
          </cell>
          <cell r="E25">
            <v>3773215</v>
          </cell>
          <cell r="F25">
            <v>3775030</v>
          </cell>
          <cell r="G25">
            <v>1815</v>
          </cell>
          <cell r="H25">
            <v>25</v>
          </cell>
          <cell r="I25">
            <v>0</v>
          </cell>
          <cell r="J25">
            <v>1970853</v>
          </cell>
          <cell r="K25">
            <v>1970853</v>
          </cell>
          <cell r="L25">
            <v>0</v>
          </cell>
          <cell r="M25">
            <v>38</v>
          </cell>
          <cell r="N25">
            <v>0</v>
          </cell>
          <cell r="O25">
            <v>414656</v>
          </cell>
          <cell r="P25">
            <v>414656</v>
          </cell>
          <cell r="Q25">
            <v>0</v>
          </cell>
          <cell r="R25">
            <v>28.777777777777779</v>
          </cell>
          <cell r="S25">
            <v>20</v>
          </cell>
          <cell r="T25">
            <v>249233</v>
          </cell>
          <cell r="U25">
            <v>251305</v>
          </cell>
          <cell r="V25">
            <v>2072</v>
          </cell>
          <cell r="W25">
            <v>389.44394203981642</v>
          </cell>
          <cell r="X25">
            <v>24</v>
          </cell>
          <cell r="Y25">
            <v>1267703.63151576</v>
          </cell>
          <cell r="Z25">
            <v>1303300.5881080001</v>
          </cell>
          <cell r="AA25">
            <v>33647.956592240138</v>
          </cell>
          <cell r="AB25">
            <v>69</v>
          </cell>
          <cell r="AC25">
            <v>13</v>
          </cell>
          <cell r="AD25">
            <v>5168753</v>
          </cell>
          <cell r="AE25">
            <v>5171997</v>
          </cell>
          <cell r="AF25">
            <v>3244</v>
          </cell>
          <cell r="AG25">
            <v>20</v>
          </cell>
          <cell r="AH25">
            <v>24</v>
          </cell>
          <cell r="AI25"/>
          <cell r="AJ25"/>
          <cell r="AK25">
            <v>1728</v>
          </cell>
          <cell r="AL25">
            <v>38.348765432098759</v>
          </cell>
          <cell r="AM25">
            <v>18</v>
          </cell>
          <cell r="AN25">
            <v>3558697</v>
          </cell>
          <cell r="AO25">
            <v>3561182</v>
          </cell>
          <cell r="AP25">
            <v>2485</v>
          </cell>
          <cell r="AQ25"/>
          <cell r="AR25" t="str">
            <v xml:space="preserve"> </v>
          </cell>
          <cell r="AS25" t="str">
            <v xml:space="preserve"> </v>
          </cell>
          <cell r="AT25"/>
          <cell r="AU25" t="str">
            <v xml:space="preserve"> </v>
          </cell>
          <cell r="AV25">
            <v>11.444444444444445</v>
          </cell>
          <cell r="AW25">
            <v>15</v>
          </cell>
          <cell r="AX25">
            <v>576723</v>
          </cell>
          <cell r="AY25">
            <v>577341</v>
          </cell>
          <cell r="AZ25">
            <v>618</v>
          </cell>
          <cell r="BA25">
            <v>125</v>
          </cell>
          <cell r="BB25">
            <v>4.1866666666666665</v>
          </cell>
          <cell r="BC25">
            <v>5906083</v>
          </cell>
          <cell r="BD25">
            <v>5907967</v>
          </cell>
          <cell r="BE25">
            <v>1884</v>
          </cell>
          <cell r="BF25">
            <v>20</v>
          </cell>
          <cell r="BG25">
            <v>13.569444444444445</v>
          </cell>
          <cell r="BH25">
            <v>1550387</v>
          </cell>
          <cell r="BI25">
            <v>1551364</v>
          </cell>
          <cell r="BJ25">
            <v>977</v>
          </cell>
          <cell r="BK25">
            <v>60</v>
          </cell>
          <cell r="BL25">
            <v>21.972222222222221</v>
          </cell>
          <cell r="BM25">
            <v>6181424</v>
          </cell>
          <cell r="BN25">
            <v>6186170</v>
          </cell>
          <cell r="BO25">
            <v>4746</v>
          </cell>
        </row>
        <row r="26">
          <cell r="B26">
            <v>46044</v>
          </cell>
          <cell r="C26">
            <v>38</v>
          </cell>
          <cell r="D26">
            <v>13.296783625730994</v>
          </cell>
          <cell r="E26">
            <v>3775030</v>
          </cell>
          <cell r="F26">
            <v>3776849</v>
          </cell>
          <cell r="G26">
            <v>1819</v>
          </cell>
          <cell r="H26">
            <v>25</v>
          </cell>
          <cell r="I26">
            <v>0</v>
          </cell>
          <cell r="J26">
            <v>1970853</v>
          </cell>
          <cell r="K26">
            <v>1970853</v>
          </cell>
          <cell r="L26">
            <v>0</v>
          </cell>
          <cell r="M26">
            <v>38</v>
          </cell>
          <cell r="N26">
            <v>0</v>
          </cell>
          <cell r="O26">
            <v>414656</v>
          </cell>
          <cell r="P26">
            <v>414656</v>
          </cell>
          <cell r="Q26">
            <v>0</v>
          </cell>
          <cell r="R26">
            <v>28.533950617283949</v>
          </cell>
          <cell r="S26">
            <v>18</v>
          </cell>
          <cell r="T26">
            <v>251305</v>
          </cell>
          <cell r="U26">
            <v>253154</v>
          </cell>
          <cell r="V26">
            <v>1849</v>
          </cell>
          <cell r="W26">
            <v>372.71310060185056</v>
          </cell>
          <cell r="X26">
            <v>24</v>
          </cell>
          <cell r="Y26">
            <v>1303300.5881080001</v>
          </cell>
          <cell r="Z26">
            <v>1337352</v>
          </cell>
          <cell r="AA26">
            <v>32202.411891999887</v>
          </cell>
          <cell r="AB26">
            <v>63</v>
          </cell>
          <cell r="AC26">
            <v>24</v>
          </cell>
          <cell r="AD26">
            <v>5171997</v>
          </cell>
          <cell r="AE26">
            <v>5177487</v>
          </cell>
          <cell r="AF26">
            <v>5490</v>
          </cell>
          <cell r="AG26">
            <v>20</v>
          </cell>
          <cell r="AH26">
            <v>24</v>
          </cell>
          <cell r="AI26"/>
          <cell r="AJ26"/>
          <cell r="AK26">
            <v>1728</v>
          </cell>
          <cell r="AL26">
            <v>38.830409356725141</v>
          </cell>
          <cell r="AM26">
            <v>19</v>
          </cell>
          <cell r="AN26">
            <v>3561182</v>
          </cell>
          <cell r="AO26">
            <v>3563838</v>
          </cell>
          <cell r="AP26">
            <v>2656</v>
          </cell>
          <cell r="AQ26"/>
          <cell r="AR26" t="str">
            <v xml:space="preserve"> </v>
          </cell>
          <cell r="AS26" t="str">
            <v xml:space="preserve"> </v>
          </cell>
          <cell r="AT26"/>
          <cell r="AU26" t="str">
            <v xml:space="preserve"> </v>
          </cell>
          <cell r="AV26">
            <v>11.685185185185185</v>
          </cell>
          <cell r="AW26">
            <v>15</v>
          </cell>
          <cell r="AX26">
            <v>577341</v>
          </cell>
          <cell r="AY26">
            <v>577972</v>
          </cell>
          <cell r="AZ26">
            <v>631</v>
          </cell>
          <cell r="BA26">
            <v>125</v>
          </cell>
          <cell r="BB26">
            <v>4.16</v>
          </cell>
          <cell r="BC26">
            <v>5907967</v>
          </cell>
          <cell r="BD26">
            <v>5909839</v>
          </cell>
          <cell r="BE26">
            <v>1872</v>
          </cell>
          <cell r="BF26">
            <v>20</v>
          </cell>
          <cell r="BG26">
            <v>17.333333333333332</v>
          </cell>
          <cell r="BH26">
            <v>1551364</v>
          </cell>
          <cell r="BI26">
            <v>1552612</v>
          </cell>
          <cell r="BJ26">
            <v>1248</v>
          </cell>
          <cell r="BK26">
            <v>60</v>
          </cell>
          <cell r="BL26">
            <v>19.472222222222221</v>
          </cell>
          <cell r="BM26">
            <v>6186170</v>
          </cell>
          <cell r="BN26">
            <v>6190376</v>
          </cell>
          <cell r="BO26">
            <v>4206</v>
          </cell>
        </row>
        <row r="27">
          <cell r="B27">
            <v>46045</v>
          </cell>
          <cell r="C27">
            <v>38</v>
          </cell>
          <cell r="D27">
            <v>13.282163742690058</v>
          </cell>
          <cell r="E27">
            <v>3776849</v>
          </cell>
          <cell r="F27">
            <v>3778666</v>
          </cell>
          <cell r="G27">
            <v>1817</v>
          </cell>
          <cell r="H27">
            <v>25</v>
          </cell>
          <cell r="I27">
            <v>0</v>
          </cell>
          <cell r="J27">
            <v>1970853</v>
          </cell>
          <cell r="K27">
            <v>1970853</v>
          </cell>
          <cell r="L27">
            <v>0</v>
          </cell>
          <cell r="M27">
            <v>38</v>
          </cell>
          <cell r="N27">
            <v>0</v>
          </cell>
          <cell r="O27">
            <v>414656</v>
          </cell>
          <cell r="P27">
            <v>414656</v>
          </cell>
          <cell r="Q27">
            <v>0</v>
          </cell>
          <cell r="R27">
            <v>28.024691358024693</v>
          </cell>
          <cell r="S27">
            <v>18</v>
          </cell>
          <cell r="T27">
            <v>253154</v>
          </cell>
          <cell r="U27">
            <v>254970</v>
          </cell>
          <cell r="V27">
            <v>1816</v>
          </cell>
          <cell r="W27">
            <v>367.15863069814753</v>
          </cell>
          <cell r="X27">
            <v>24</v>
          </cell>
          <cell r="Y27">
            <v>1337352</v>
          </cell>
          <cell r="Z27">
            <v>1370890.5056923199</v>
          </cell>
          <cell r="AA27">
            <v>31722.505692319945</v>
          </cell>
          <cell r="AB27">
            <v>67</v>
          </cell>
          <cell r="AC27">
            <v>24</v>
          </cell>
          <cell r="AD27">
            <v>5177487</v>
          </cell>
          <cell r="AE27">
            <v>5183284</v>
          </cell>
          <cell r="AF27">
            <v>5797</v>
          </cell>
          <cell r="AG27">
            <v>20</v>
          </cell>
          <cell r="AH27">
            <v>24</v>
          </cell>
          <cell r="AI27"/>
          <cell r="AJ27"/>
          <cell r="AK27">
            <v>1728</v>
          </cell>
          <cell r="AL27">
            <v>38.00925925925926</v>
          </cell>
          <cell r="AM27">
            <v>18</v>
          </cell>
          <cell r="AN27">
            <v>3563838</v>
          </cell>
          <cell r="AO27">
            <v>3566301</v>
          </cell>
          <cell r="AP27">
            <v>2463</v>
          </cell>
          <cell r="AQ27"/>
          <cell r="AR27" t="str">
            <v xml:space="preserve"> </v>
          </cell>
          <cell r="AS27" t="str">
            <v xml:space="preserve"> </v>
          </cell>
          <cell r="AT27"/>
          <cell r="AU27" t="str">
            <v xml:space="preserve"> </v>
          </cell>
          <cell r="AV27">
            <v>11.574074074074074</v>
          </cell>
          <cell r="AW27">
            <v>15</v>
          </cell>
          <cell r="AX27">
            <v>577972</v>
          </cell>
          <cell r="AY27">
            <v>578597</v>
          </cell>
          <cell r="AZ27">
            <v>625</v>
          </cell>
          <cell r="BA27">
            <v>125</v>
          </cell>
          <cell r="BB27">
            <v>4.235555555555556</v>
          </cell>
          <cell r="BC27">
            <v>5909839</v>
          </cell>
          <cell r="BD27">
            <v>5911745</v>
          </cell>
          <cell r="BE27">
            <v>1906</v>
          </cell>
          <cell r="BF27">
            <v>20</v>
          </cell>
          <cell r="BG27">
            <v>4.3472222222222223</v>
          </cell>
          <cell r="BH27">
            <v>1552612</v>
          </cell>
          <cell r="BI27">
            <v>1552925</v>
          </cell>
          <cell r="BJ27">
            <v>313</v>
          </cell>
          <cell r="BK27">
            <v>60</v>
          </cell>
          <cell r="BL27">
            <v>18.689814814814813</v>
          </cell>
          <cell r="BM27">
            <v>6190376</v>
          </cell>
          <cell r="BN27">
            <v>6194413</v>
          </cell>
          <cell r="BO27">
            <v>4037</v>
          </cell>
        </row>
        <row r="28">
          <cell r="B28">
            <v>46046</v>
          </cell>
          <cell r="C28">
            <v>38</v>
          </cell>
          <cell r="D28">
            <v>13.428362573099415</v>
          </cell>
          <cell r="E28">
            <v>3778666</v>
          </cell>
          <cell r="F28">
            <v>3780503</v>
          </cell>
          <cell r="G28">
            <v>1837</v>
          </cell>
          <cell r="H28">
            <v>25</v>
          </cell>
          <cell r="I28">
            <v>0</v>
          </cell>
          <cell r="J28">
            <v>1970853</v>
          </cell>
          <cell r="K28">
            <v>1970853</v>
          </cell>
          <cell r="L28">
            <v>0</v>
          </cell>
          <cell r="M28">
            <v>38</v>
          </cell>
          <cell r="N28">
            <v>0</v>
          </cell>
          <cell r="O28">
            <v>414656</v>
          </cell>
          <cell r="P28">
            <v>414656</v>
          </cell>
          <cell r="Q28">
            <v>0</v>
          </cell>
          <cell r="R28">
            <v>29.548611111111111</v>
          </cell>
          <cell r="S28">
            <v>24</v>
          </cell>
          <cell r="T28">
            <v>254970</v>
          </cell>
          <cell r="U28">
            <v>257523</v>
          </cell>
          <cell r="V28">
            <v>2553</v>
          </cell>
          <cell r="W28">
            <v>370.32631258889052</v>
          </cell>
          <cell r="X28">
            <v>24</v>
          </cell>
          <cell r="Y28">
            <v>1370890.5056923199</v>
          </cell>
          <cell r="Z28">
            <v>1405439.6991000001</v>
          </cell>
          <cell r="AA28">
            <v>31996.193407680141</v>
          </cell>
          <cell r="AB28">
            <v>69</v>
          </cell>
          <cell r="AC28">
            <v>24</v>
          </cell>
          <cell r="AD28">
            <v>5183284</v>
          </cell>
          <cell r="AE28">
            <v>5189330</v>
          </cell>
          <cell r="AF28">
            <v>6046</v>
          </cell>
          <cell r="AG28">
            <v>20</v>
          </cell>
          <cell r="AH28">
            <v>24</v>
          </cell>
          <cell r="AI28"/>
          <cell r="AJ28"/>
          <cell r="AK28">
            <v>1728</v>
          </cell>
          <cell r="AL28">
            <v>39.058641975308639</v>
          </cell>
          <cell r="AM28">
            <v>18</v>
          </cell>
          <cell r="AN28">
            <v>3566301</v>
          </cell>
          <cell r="AO28">
            <v>3568832</v>
          </cell>
          <cell r="AP28">
            <v>2531</v>
          </cell>
          <cell r="AQ28"/>
          <cell r="AR28" t="str">
            <v xml:space="preserve"> </v>
          </cell>
          <cell r="AS28" t="str">
            <v xml:space="preserve"> </v>
          </cell>
          <cell r="AT28"/>
          <cell r="AU28" t="str">
            <v xml:space="preserve"> </v>
          </cell>
          <cell r="AV28">
            <v>11.351851851851851</v>
          </cell>
          <cell r="AW28">
            <v>15</v>
          </cell>
          <cell r="AX28">
            <v>578597</v>
          </cell>
          <cell r="AY28">
            <v>579210</v>
          </cell>
          <cell r="AZ28">
            <v>613</v>
          </cell>
          <cell r="BA28">
            <v>125</v>
          </cell>
          <cell r="BB28">
            <v>4.1822222222222223</v>
          </cell>
          <cell r="BC28">
            <v>5911745</v>
          </cell>
          <cell r="BD28">
            <v>5913627</v>
          </cell>
          <cell r="BE28">
            <v>1882</v>
          </cell>
          <cell r="BF28">
            <v>20</v>
          </cell>
          <cell r="BG28">
            <v>18.527777777777779</v>
          </cell>
          <cell r="BH28">
            <v>1552925</v>
          </cell>
          <cell r="BI28">
            <v>1554259</v>
          </cell>
          <cell r="BJ28">
            <v>1334</v>
          </cell>
          <cell r="BK28">
            <v>60</v>
          </cell>
          <cell r="BL28">
            <v>12.050925925925926</v>
          </cell>
          <cell r="BM28">
            <v>6194413</v>
          </cell>
          <cell r="BN28">
            <v>6197016</v>
          </cell>
          <cell r="BO28">
            <v>2603</v>
          </cell>
        </row>
        <row r="29">
          <cell r="B29">
            <v>46047</v>
          </cell>
          <cell r="C29">
            <v>38</v>
          </cell>
          <cell r="D29">
            <v>13.318713450292396</v>
          </cell>
          <cell r="E29">
            <v>3780503</v>
          </cell>
          <cell r="F29">
            <v>3782325</v>
          </cell>
          <cell r="G29">
            <v>1822</v>
          </cell>
          <cell r="H29">
            <v>25</v>
          </cell>
          <cell r="I29">
            <v>0</v>
          </cell>
          <cell r="J29">
            <v>1970853</v>
          </cell>
          <cell r="K29">
            <v>1970853</v>
          </cell>
          <cell r="L29">
            <v>0</v>
          </cell>
          <cell r="M29">
            <v>38</v>
          </cell>
          <cell r="N29">
            <v>0</v>
          </cell>
          <cell r="O29">
            <v>414656</v>
          </cell>
          <cell r="P29">
            <v>414656</v>
          </cell>
          <cell r="Q29">
            <v>0</v>
          </cell>
          <cell r="R29">
            <v>28.18287037037037</v>
          </cell>
          <cell r="S29">
            <v>24</v>
          </cell>
          <cell r="T29">
            <v>257523</v>
          </cell>
          <cell r="U29">
            <v>259958</v>
          </cell>
          <cell r="V29">
            <v>2435</v>
          </cell>
          <cell r="W29">
            <v>342.43403819444342</v>
          </cell>
          <cell r="X29">
            <v>24</v>
          </cell>
          <cell r="Y29">
            <v>1405439.6991000001</v>
          </cell>
          <cell r="Z29">
            <v>1437461</v>
          </cell>
          <cell r="AA29">
            <v>29586.300899999915</v>
          </cell>
          <cell r="AB29">
            <v>77</v>
          </cell>
          <cell r="AC29">
            <v>24</v>
          </cell>
          <cell r="AD29">
            <v>5189330</v>
          </cell>
          <cell r="AE29">
            <v>5195998</v>
          </cell>
          <cell r="AF29">
            <v>6668</v>
          </cell>
          <cell r="AG29">
            <v>20</v>
          </cell>
          <cell r="AH29">
            <v>24</v>
          </cell>
          <cell r="AI29"/>
          <cell r="AJ29"/>
          <cell r="AK29">
            <v>1728</v>
          </cell>
          <cell r="AL29">
            <v>37.947530864197532</v>
          </cell>
          <cell r="AM29">
            <v>18</v>
          </cell>
          <cell r="AN29">
            <v>3568832</v>
          </cell>
          <cell r="AO29">
            <v>3571291</v>
          </cell>
          <cell r="AP29">
            <v>2459</v>
          </cell>
          <cell r="AQ29"/>
          <cell r="AR29" t="str">
            <v xml:space="preserve"> </v>
          </cell>
          <cell r="AS29" t="str">
            <v xml:space="preserve"> </v>
          </cell>
          <cell r="AT29"/>
          <cell r="AU29" t="str">
            <v xml:space="preserve"> </v>
          </cell>
          <cell r="AV29">
            <v>11.166666666666666</v>
          </cell>
          <cell r="AW29">
            <v>15</v>
          </cell>
          <cell r="AX29">
            <v>579210</v>
          </cell>
          <cell r="AY29">
            <v>579813</v>
          </cell>
          <cell r="AZ29">
            <v>603</v>
          </cell>
          <cell r="BA29">
            <v>125</v>
          </cell>
          <cell r="BB29">
            <v>4.0244444444444447</v>
          </cell>
          <cell r="BC29">
            <v>5913627</v>
          </cell>
          <cell r="BD29">
            <v>5915438</v>
          </cell>
          <cell r="BE29">
            <v>1811</v>
          </cell>
          <cell r="BF29">
            <v>20</v>
          </cell>
          <cell r="BG29">
            <v>16.486111111111111</v>
          </cell>
          <cell r="BH29">
            <v>1554259</v>
          </cell>
          <cell r="BI29">
            <v>1555446</v>
          </cell>
          <cell r="BJ29">
            <v>1187</v>
          </cell>
          <cell r="BK29">
            <v>60</v>
          </cell>
          <cell r="BL29">
            <v>21.63425925925926</v>
          </cell>
          <cell r="BM29">
            <v>6197016</v>
          </cell>
          <cell r="BN29">
            <v>6201689</v>
          </cell>
          <cell r="BO29">
            <v>4673</v>
          </cell>
        </row>
        <row r="30">
          <cell r="B30">
            <v>46048</v>
          </cell>
          <cell r="C30">
            <v>38</v>
          </cell>
          <cell r="D30">
            <v>12.872807017543858</v>
          </cell>
          <cell r="E30">
            <v>3782325</v>
          </cell>
          <cell r="F30">
            <v>3784086</v>
          </cell>
          <cell r="G30">
            <v>1761</v>
          </cell>
          <cell r="H30">
            <v>25</v>
          </cell>
          <cell r="I30">
            <v>0</v>
          </cell>
          <cell r="J30">
            <v>1970853</v>
          </cell>
          <cell r="K30">
            <v>1970853</v>
          </cell>
          <cell r="L30">
            <v>0</v>
          </cell>
          <cell r="M30">
            <v>38</v>
          </cell>
          <cell r="N30">
            <v>0</v>
          </cell>
          <cell r="O30">
            <v>414656</v>
          </cell>
          <cell r="P30">
            <v>414656</v>
          </cell>
          <cell r="Q30">
            <v>0</v>
          </cell>
          <cell r="R30">
            <v>28.179012345679013</v>
          </cell>
          <cell r="S30">
            <v>18</v>
          </cell>
          <cell r="T30">
            <v>259958</v>
          </cell>
          <cell r="U30">
            <v>261784</v>
          </cell>
          <cell r="V30">
            <v>1826</v>
          </cell>
          <cell r="W30">
            <v>354.83057249212936</v>
          </cell>
          <cell r="X30">
            <v>24</v>
          </cell>
          <cell r="Y30">
            <v>1437461</v>
          </cell>
          <cell r="Z30">
            <v>1469944.36146332</v>
          </cell>
          <cell r="AA30">
            <v>30657.361463319976</v>
          </cell>
          <cell r="AB30">
            <v>69</v>
          </cell>
          <cell r="AC30">
            <v>24</v>
          </cell>
          <cell r="AD30">
            <v>5195998</v>
          </cell>
          <cell r="AE30">
            <v>5202017</v>
          </cell>
          <cell r="AF30">
            <v>6019</v>
          </cell>
          <cell r="AG30">
            <v>20</v>
          </cell>
          <cell r="AH30">
            <v>24</v>
          </cell>
          <cell r="AI30"/>
          <cell r="AJ30"/>
          <cell r="AK30">
            <v>1728</v>
          </cell>
          <cell r="AL30">
            <v>38.472222222222221</v>
          </cell>
          <cell r="AM30">
            <v>18</v>
          </cell>
          <cell r="AN30">
            <v>3571291</v>
          </cell>
          <cell r="AO30">
            <v>3573784</v>
          </cell>
          <cell r="AP30">
            <v>2493</v>
          </cell>
          <cell r="AQ30"/>
          <cell r="AR30" t="str">
            <v xml:space="preserve"> </v>
          </cell>
          <cell r="AS30" t="str">
            <v xml:space="preserve"> </v>
          </cell>
          <cell r="AT30"/>
          <cell r="AU30" t="str">
            <v xml:space="preserve"> </v>
          </cell>
          <cell r="AV30">
            <v>11.726190476190476</v>
          </cell>
          <cell r="AW30">
            <v>14</v>
          </cell>
          <cell r="AX30">
            <v>579813</v>
          </cell>
          <cell r="AY30">
            <v>580404</v>
          </cell>
          <cell r="AZ30">
            <v>591</v>
          </cell>
          <cell r="BA30">
            <v>125</v>
          </cell>
          <cell r="BB30">
            <v>4.1044444444444448</v>
          </cell>
          <cell r="BC30">
            <v>5915438</v>
          </cell>
          <cell r="BD30">
            <v>5917285</v>
          </cell>
          <cell r="BE30">
            <v>1847</v>
          </cell>
          <cell r="BF30">
            <v>20</v>
          </cell>
          <cell r="BG30">
            <v>8.4027777777777786</v>
          </cell>
          <cell r="BH30">
            <v>1555446</v>
          </cell>
          <cell r="BI30">
            <v>1556051</v>
          </cell>
          <cell r="BJ30">
            <v>605</v>
          </cell>
          <cell r="BK30">
            <v>60</v>
          </cell>
          <cell r="BL30">
            <v>17.194444444444443</v>
          </cell>
          <cell r="BM30">
            <v>6201689</v>
          </cell>
          <cell r="BN30">
            <v>6205403</v>
          </cell>
          <cell r="BO30">
            <v>3714</v>
          </cell>
        </row>
        <row r="31">
          <cell r="B31">
            <v>46049</v>
          </cell>
          <cell r="C31">
            <v>38</v>
          </cell>
          <cell r="D31">
            <v>13.589181286549707</v>
          </cell>
          <cell r="E31">
            <v>3784086</v>
          </cell>
          <cell r="F31">
            <v>3785945</v>
          </cell>
          <cell r="G31">
            <v>1859</v>
          </cell>
          <cell r="H31">
            <v>25</v>
          </cell>
          <cell r="I31">
            <v>0</v>
          </cell>
          <cell r="J31">
            <v>1970853</v>
          </cell>
          <cell r="K31">
            <v>1970853</v>
          </cell>
          <cell r="L31">
            <v>0</v>
          </cell>
          <cell r="M31">
            <v>38</v>
          </cell>
          <cell r="N31">
            <v>0</v>
          </cell>
          <cell r="O31">
            <v>414656</v>
          </cell>
          <cell r="P31">
            <v>414656</v>
          </cell>
          <cell r="Q31">
            <v>0</v>
          </cell>
          <cell r="R31">
            <v>29.152777777777779</v>
          </cell>
          <cell r="S31">
            <v>20</v>
          </cell>
          <cell r="T31">
            <v>261784</v>
          </cell>
          <cell r="U31">
            <v>263883</v>
          </cell>
          <cell r="V31">
            <v>2099</v>
          </cell>
          <cell r="W31">
            <v>342.56479073749989</v>
          </cell>
          <cell r="X31">
            <v>24</v>
          </cell>
          <cell r="Y31">
            <v>1469944.36146332</v>
          </cell>
          <cell r="Z31">
            <v>1501640.95938304</v>
          </cell>
          <cell r="AA31">
            <v>29597.597919719992</v>
          </cell>
          <cell r="AB31">
            <v>73</v>
          </cell>
          <cell r="AC31">
            <v>24</v>
          </cell>
          <cell r="AD31">
            <v>5202017</v>
          </cell>
          <cell r="AE31">
            <v>5208378</v>
          </cell>
          <cell r="AF31">
            <v>6361</v>
          </cell>
          <cell r="AG31">
            <v>20</v>
          </cell>
          <cell r="AH31">
            <v>24</v>
          </cell>
          <cell r="AI31"/>
          <cell r="AJ31"/>
          <cell r="AK31">
            <v>1728</v>
          </cell>
          <cell r="AL31">
            <v>38.132716049382715</v>
          </cell>
          <cell r="AM31">
            <v>18</v>
          </cell>
          <cell r="AN31">
            <v>3573784</v>
          </cell>
          <cell r="AO31">
            <v>3576255</v>
          </cell>
          <cell r="AP31">
            <v>2471</v>
          </cell>
          <cell r="AQ31"/>
          <cell r="AR31" t="str">
            <v xml:space="preserve"> </v>
          </cell>
          <cell r="AS31" t="str">
            <v xml:space="preserve"> </v>
          </cell>
          <cell r="AT31"/>
          <cell r="AU31" t="str">
            <v xml:space="preserve"> </v>
          </cell>
          <cell r="AV31">
            <v>11.351851851851851</v>
          </cell>
          <cell r="AW31">
            <v>15</v>
          </cell>
          <cell r="AX31">
            <v>580404</v>
          </cell>
          <cell r="AY31">
            <v>581017</v>
          </cell>
          <cell r="AZ31">
            <v>613</v>
          </cell>
          <cell r="BA31">
            <v>125</v>
          </cell>
          <cell r="BB31">
            <v>4.1399999999999997</v>
          </cell>
          <cell r="BC31">
            <v>5917285</v>
          </cell>
          <cell r="BD31">
            <v>5919148</v>
          </cell>
          <cell r="BE31">
            <v>1863</v>
          </cell>
          <cell r="BF31">
            <v>20</v>
          </cell>
          <cell r="BG31">
            <v>16.888888888888889</v>
          </cell>
          <cell r="BH31">
            <v>1556051</v>
          </cell>
          <cell r="BI31">
            <v>1557267</v>
          </cell>
          <cell r="BJ31">
            <v>1216</v>
          </cell>
          <cell r="BK31">
            <v>60</v>
          </cell>
          <cell r="BL31">
            <v>21.194444444444443</v>
          </cell>
          <cell r="BM31">
            <v>6205403</v>
          </cell>
          <cell r="BN31">
            <v>6209981</v>
          </cell>
          <cell r="BO31">
            <v>4578</v>
          </cell>
        </row>
        <row r="32">
          <cell r="B32">
            <v>46050</v>
          </cell>
          <cell r="C32">
            <v>38</v>
          </cell>
          <cell r="D32">
            <v>13.055555555555555</v>
          </cell>
          <cell r="E32">
            <v>3785945</v>
          </cell>
          <cell r="F32">
            <v>3787731</v>
          </cell>
          <cell r="G32">
            <v>1786</v>
          </cell>
          <cell r="H32">
            <v>25</v>
          </cell>
          <cell r="I32">
            <v>0</v>
          </cell>
          <cell r="J32">
            <v>1970853</v>
          </cell>
          <cell r="K32">
            <v>1970853</v>
          </cell>
          <cell r="L32">
            <v>0</v>
          </cell>
          <cell r="M32">
            <v>38</v>
          </cell>
          <cell r="N32">
            <v>0</v>
          </cell>
          <cell r="O32">
            <v>414656</v>
          </cell>
          <cell r="P32">
            <v>414656</v>
          </cell>
          <cell r="Q32">
            <v>0</v>
          </cell>
          <cell r="R32">
            <v>28.12169312169312</v>
          </cell>
          <cell r="S32">
            <v>21</v>
          </cell>
          <cell r="T32">
            <v>263883</v>
          </cell>
          <cell r="U32">
            <v>266009</v>
          </cell>
          <cell r="V32">
            <v>2126</v>
          </cell>
          <cell r="W32">
            <v>325.28793953194474</v>
          </cell>
          <cell r="X32">
            <v>24</v>
          </cell>
          <cell r="Y32">
            <v>1501640.95938304</v>
          </cell>
          <cell r="Z32">
            <v>1531871.8373586</v>
          </cell>
          <cell r="AA32">
            <v>28104.877975560026</v>
          </cell>
          <cell r="AB32">
            <v>71</v>
          </cell>
          <cell r="AC32">
            <v>24</v>
          </cell>
          <cell r="AD32">
            <v>5208378</v>
          </cell>
          <cell r="AE32">
            <v>5214545</v>
          </cell>
          <cell r="AF32">
            <v>6167</v>
          </cell>
          <cell r="AG32">
            <v>20</v>
          </cell>
          <cell r="AH32">
            <v>24</v>
          </cell>
          <cell r="AI32"/>
          <cell r="AJ32"/>
          <cell r="AK32">
            <v>1728</v>
          </cell>
          <cell r="AL32">
            <v>39.351851851851855</v>
          </cell>
          <cell r="AM32">
            <v>18</v>
          </cell>
          <cell r="AN32">
            <v>3576255</v>
          </cell>
          <cell r="AO32">
            <v>3578805</v>
          </cell>
          <cell r="AP32">
            <v>2550</v>
          </cell>
          <cell r="AQ32"/>
          <cell r="AR32" t="str">
            <v xml:space="preserve"> </v>
          </cell>
          <cell r="AS32" t="str">
            <v xml:space="preserve"> </v>
          </cell>
          <cell r="AT32"/>
          <cell r="AU32" t="str">
            <v xml:space="preserve"> </v>
          </cell>
          <cell r="AV32">
            <v>11.203703703703702</v>
          </cell>
          <cell r="AW32">
            <v>15</v>
          </cell>
          <cell r="AX32">
            <v>581017</v>
          </cell>
          <cell r="AY32">
            <v>581622</v>
          </cell>
          <cell r="AZ32">
            <v>605</v>
          </cell>
          <cell r="BA32">
            <v>125</v>
          </cell>
          <cell r="BB32">
            <v>4.1288888888888886</v>
          </cell>
          <cell r="BC32">
            <v>5919148</v>
          </cell>
          <cell r="BD32">
            <v>5921006</v>
          </cell>
          <cell r="BE32">
            <v>1858</v>
          </cell>
          <cell r="BF32">
            <v>20</v>
          </cell>
          <cell r="BG32">
            <v>17.541666666666668</v>
          </cell>
          <cell r="BH32">
            <v>1557267</v>
          </cell>
          <cell r="BI32">
            <v>1558530</v>
          </cell>
          <cell r="BJ32">
            <v>1263</v>
          </cell>
          <cell r="BK32">
            <v>60</v>
          </cell>
          <cell r="BL32">
            <v>16.638888888888889</v>
          </cell>
          <cell r="BM32">
            <v>6209981</v>
          </cell>
          <cell r="BN32">
            <v>6213575</v>
          </cell>
          <cell r="BO32">
            <v>3594</v>
          </cell>
        </row>
        <row r="33">
          <cell r="B33">
            <v>46051</v>
          </cell>
          <cell r="C33">
            <v>38</v>
          </cell>
          <cell r="D33">
            <v>13.50877192982456</v>
          </cell>
          <cell r="E33">
            <v>3787731</v>
          </cell>
          <cell r="F33">
            <v>3789579</v>
          </cell>
          <cell r="G33">
            <v>1848</v>
          </cell>
          <cell r="H33">
            <v>25</v>
          </cell>
          <cell r="I33">
            <v>0</v>
          </cell>
          <cell r="J33">
            <v>1970853</v>
          </cell>
          <cell r="K33">
            <v>1970853</v>
          </cell>
          <cell r="L33">
            <v>0</v>
          </cell>
          <cell r="M33">
            <v>38</v>
          </cell>
          <cell r="N33">
            <v>0</v>
          </cell>
          <cell r="O33">
            <v>414656</v>
          </cell>
          <cell r="P33">
            <v>414656</v>
          </cell>
          <cell r="Q33">
            <v>0</v>
          </cell>
          <cell r="R33">
            <v>28.913043478260871</v>
          </cell>
          <cell r="S33">
            <v>23</v>
          </cell>
          <cell r="T33">
            <v>266009</v>
          </cell>
          <cell r="U33">
            <v>268403</v>
          </cell>
          <cell r="V33">
            <v>2394</v>
          </cell>
          <cell r="W33">
            <v>333.46313938935327</v>
          </cell>
          <cell r="X33">
            <v>24</v>
          </cell>
          <cell r="Y33">
            <v>1531871.8373586</v>
          </cell>
          <cell r="Z33">
            <v>1563077.0526018401</v>
          </cell>
          <cell r="AA33">
            <v>28811.21524324012</v>
          </cell>
          <cell r="AB33">
            <v>76</v>
          </cell>
          <cell r="AC33">
            <v>24</v>
          </cell>
          <cell r="AD33">
            <v>5214545</v>
          </cell>
          <cell r="AE33">
            <v>5221151</v>
          </cell>
          <cell r="AF33">
            <v>6606</v>
          </cell>
          <cell r="AG33">
            <v>20</v>
          </cell>
          <cell r="AH33">
            <v>24</v>
          </cell>
          <cell r="AI33"/>
          <cell r="AJ33"/>
          <cell r="AK33">
            <v>1728</v>
          </cell>
          <cell r="AL33">
            <v>38.796296296296298</v>
          </cell>
          <cell r="AM33">
            <v>18</v>
          </cell>
          <cell r="AN33">
            <v>3578805</v>
          </cell>
          <cell r="AO33">
            <v>3581319</v>
          </cell>
          <cell r="AP33">
            <v>2514</v>
          </cell>
          <cell r="AQ33"/>
          <cell r="AR33" t="str">
            <v xml:space="preserve"> </v>
          </cell>
          <cell r="AS33" t="str">
            <v xml:space="preserve"> </v>
          </cell>
          <cell r="AT33"/>
          <cell r="AU33" t="str">
            <v xml:space="preserve"> </v>
          </cell>
          <cell r="AV33">
            <v>11.185185185185185</v>
          </cell>
          <cell r="AW33">
            <v>15</v>
          </cell>
          <cell r="AX33">
            <v>581622</v>
          </cell>
          <cell r="AY33">
            <v>582226</v>
          </cell>
          <cell r="AZ33">
            <v>604</v>
          </cell>
          <cell r="BA33">
            <v>125</v>
          </cell>
          <cell r="BB33">
            <v>4.1444444444444448</v>
          </cell>
          <cell r="BC33">
            <v>5921006</v>
          </cell>
          <cell r="BD33">
            <v>5922871</v>
          </cell>
          <cell r="BE33">
            <v>1865</v>
          </cell>
          <cell r="BF33">
            <v>20</v>
          </cell>
          <cell r="BG33">
            <v>17.444444444444443</v>
          </cell>
          <cell r="BH33">
            <v>1558530</v>
          </cell>
          <cell r="BI33">
            <v>1559786</v>
          </cell>
          <cell r="BJ33">
            <v>1256</v>
          </cell>
          <cell r="BK33">
            <v>60</v>
          </cell>
          <cell r="BL33">
            <v>20.12037037037037</v>
          </cell>
          <cell r="BM33">
            <v>6213575</v>
          </cell>
          <cell r="BN33">
            <v>6217921</v>
          </cell>
          <cell r="BO33">
            <v>4346</v>
          </cell>
        </row>
        <row r="34">
          <cell r="B34">
            <v>46052</v>
          </cell>
          <cell r="C34">
            <v>38</v>
          </cell>
          <cell r="D34">
            <v>13.406432748538011</v>
          </cell>
          <cell r="E34">
            <v>3789579</v>
          </cell>
          <cell r="F34">
            <v>3791413</v>
          </cell>
          <cell r="G34">
            <v>1834</v>
          </cell>
          <cell r="H34">
            <v>25</v>
          </cell>
          <cell r="I34">
            <v>0</v>
          </cell>
          <cell r="J34">
            <v>1970853</v>
          </cell>
          <cell r="K34">
            <v>1970853</v>
          </cell>
          <cell r="L34">
            <v>0</v>
          </cell>
          <cell r="M34">
            <v>38</v>
          </cell>
          <cell r="N34">
            <v>0</v>
          </cell>
          <cell r="O34">
            <v>414656</v>
          </cell>
          <cell r="P34">
            <v>414656</v>
          </cell>
          <cell r="Q34">
            <v>0</v>
          </cell>
          <cell r="R34">
            <v>22.592592592592592</v>
          </cell>
          <cell r="S34">
            <v>24</v>
          </cell>
          <cell r="T34">
            <v>268403</v>
          </cell>
          <cell r="U34">
            <v>270355</v>
          </cell>
          <cell r="V34">
            <v>1952</v>
          </cell>
          <cell r="W34">
            <v>347.4063263675904</v>
          </cell>
          <cell r="X34">
            <v>24</v>
          </cell>
          <cell r="Y34">
            <v>1563077.0526018401</v>
          </cell>
          <cell r="Z34">
            <v>1595044.9591999999</v>
          </cell>
          <cell r="AA34">
            <v>30015.906598159811</v>
          </cell>
          <cell r="AB34">
            <v>75</v>
          </cell>
          <cell r="AC34">
            <v>24</v>
          </cell>
          <cell r="AD34">
            <v>5221151</v>
          </cell>
          <cell r="AE34">
            <v>5227701</v>
          </cell>
          <cell r="AF34">
            <v>6550</v>
          </cell>
          <cell r="AG34">
            <v>20</v>
          </cell>
          <cell r="AH34">
            <v>24</v>
          </cell>
          <cell r="AI34"/>
          <cell r="AJ34"/>
          <cell r="AK34">
            <v>1728</v>
          </cell>
          <cell r="AL34">
            <v>38.441358024691361</v>
          </cell>
          <cell r="AM34">
            <v>18</v>
          </cell>
          <cell r="AN34">
            <v>3581319</v>
          </cell>
          <cell r="AO34">
            <v>3583810</v>
          </cell>
          <cell r="AP34">
            <v>2491</v>
          </cell>
          <cell r="AQ34"/>
          <cell r="AR34" t="str">
            <v xml:space="preserve"> </v>
          </cell>
          <cell r="AS34" t="str">
            <v xml:space="preserve"> </v>
          </cell>
          <cell r="AT34"/>
          <cell r="AU34" t="str">
            <v xml:space="preserve"> </v>
          </cell>
          <cell r="AV34">
            <v>11.626984126984127</v>
          </cell>
          <cell r="AW34">
            <v>14</v>
          </cell>
          <cell r="AX34">
            <v>582226</v>
          </cell>
          <cell r="AY34">
            <v>582812</v>
          </cell>
          <cell r="AZ34">
            <v>586</v>
          </cell>
          <cell r="BA34">
            <v>125</v>
          </cell>
          <cell r="BB34">
            <v>4.1444444444444448</v>
          </cell>
          <cell r="BC34">
            <v>5922871</v>
          </cell>
          <cell r="BD34">
            <v>5924736</v>
          </cell>
          <cell r="BE34">
            <v>1865</v>
          </cell>
          <cell r="BF34">
            <v>20</v>
          </cell>
          <cell r="BG34">
            <v>16.597222222222221</v>
          </cell>
          <cell r="BH34">
            <v>1559786</v>
          </cell>
          <cell r="BI34">
            <v>1560981</v>
          </cell>
          <cell r="BJ34">
            <v>1195</v>
          </cell>
          <cell r="BK34">
            <v>60</v>
          </cell>
          <cell r="BL34">
            <v>18.555555555555557</v>
          </cell>
          <cell r="BM34">
            <v>6217921</v>
          </cell>
          <cell r="BN34">
            <v>6221929</v>
          </cell>
          <cell r="BO34">
            <v>4008</v>
          </cell>
        </row>
        <row r="35">
          <cell r="B35">
            <v>46053</v>
          </cell>
          <cell r="C35">
            <v>38</v>
          </cell>
          <cell r="D35">
            <v>13.377192982456139</v>
          </cell>
          <cell r="E35">
            <v>3791413</v>
          </cell>
          <cell r="F35">
            <v>3793243</v>
          </cell>
          <cell r="G35">
            <v>1830</v>
          </cell>
          <cell r="H35">
            <v>25</v>
          </cell>
          <cell r="I35">
            <v>0</v>
          </cell>
          <cell r="J35">
            <v>1970853</v>
          </cell>
          <cell r="K35">
            <v>1970853</v>
          </cell>
          <cell r="L35">
            <v>0</v>
          </cell>
          <cell r="M35">
            <v>38</v>
          </cell>
          <cell r="N35">
            <v>0</v>
          </cell>
          <cell r="O35">
            <v>414656</v>
          </cell>
          <cell r="P35">
            <v>414656</v>
          </cell>
          <cell r="Q35">
            <v>0</v>
          </cell>
          <cell r="R35">
            <v>24.965277777777775</v>
          </cell>
          <cell r="S35">
            <v>24</v>
          </cell>
          <cell r="T35">
            <v>270355</v>
          </cell>
          <cell r="U35">
            <v>272512</v>
          </cell>
          <cell r="V35">
            <v>2157</v>
          </cell>
          <cell r="W35">
            <v>333.90206956898277</v>
          </cell>
          <cell r="X35">
            <v>24</v>
          </cell>
          <cell r="Y35">
            <v>1595044.9591999999</v>
          </cell>
          <cell r="Z35">
            <v>1626051.09801076</v>
          </cell>
          <cell r="AA35">
            <v>28849.138810760109</v>
          </cell>
          <cell r="AB35">
            <v>75</v>
          </cell>
          <cell r="AC35">
            <v>24</v>
          </cell>
          <cell r="AD35">
            <v>5227701</v>
          </cell>
          <cell r="AE35">
            <v>5234193</v>
          </cell>
          <cell r="AF35">
            <v>6492</v>
          </cell>
          <cell r="AG35">
            <v>20</v>
          </cell>
          <cell r="AH35">
            <v>24</v>
          </cell>
          <cell r="AI35"/>
          <cell r="AJ35"/>
          <cell r="AK35">
            <v>1728</v>
          </cell>
          <cell r="AL35">
            <v>38.101851851851855</v>
          </cell>
          <cell r="AM35">
            <v>18</v>
          </cell>
          <cell r="AN35">
            <v>3583810</v>
          </cell>
          <cell r="AO35">
            <v>3586279</v>
          </cell>
          <cell r="AP35">
            <v>2469</v>
          </cell>
          <cell r="AQ35"/>
          <cell r="AR35" t="str">
            <v xml:space="preserve"> </v>
          </cell>
          <cell r="AS35" t="str">
            <v xml:space="preserve"> </v>
          </cell>
          <cell r="AT35"/>
          <cell r="AU35" t="str">
            <v xml:space="preserve"> </v>
          </cell>
          <cell r="AV35">
            <v>11.924603174603174</v>
          </cell>
          <cell r="AW35">
            <v>14</v>
          </cell>
          <cell r="AX35">
            <v>582812</v>
          </cell>
          <cell r="AY35">
            <v>583413</v>
          </cell>
          <cell r="AZ35">
            <v>601</v>
          </cell>
          <cell r="BA35">
            <v>125</v>
          </cell>
          <cell r="BB35">
            <v>4.2888888888888888</v>
          </cell>
          <cell r="BC35">
            <v>5924736</v>
          </cell>
          <cell r="BD35">
            <v>5926666</v>
          </cell>
          <cell r="BE35">
            <v>1930</v>
          </cell>
          <cell r="BF35">
            <v>20</v>
          </cell>
          <cell r="BG35">
            <v>16.333333333333332</v>
          </cell>
          <cell r="BH35">
            <v>1560981</v>
          </cell>
          <cell r="BI35">
            <v>1562157</v>
          </cell>
          <cell r="BJ35">
            <v>1176</v>
          </cell>
          <cell r="BK35">
            <v>60</v>
          </cell>
          <cell r="BL35">
            <v>24.486111111111111</v>
          </cell>
          <cell r="BM35">
            <v>6221929</v>
          </cell>
          <cell r="BN35">
            <v>6227218</v>
          </cell>
          <cell r="BO35">
            <v>5289</v>
          </cell>
        </row>
        <row r="36">
          <cell r="B36">
            <v>46054</v>
          </cell>
          <cell r="C36">
            <v>38</v>
          </cell>
          <cell r="D36">
            <v>13.296783625730994</v>
          </cell>
          <cell r="E36">
            <v>3793243</v>
          </cell>
          <cell r="F36">
            <v>3795062</v>
          </cell>
          <cell r="G36">
            <v>1819</v>
          </cell>
          <cell r="H36">
            <v>25</v>
          </cell>
          <cell r="I36">
            <v>0</v>
          </cell>
          <cell r="J36">
            <v>1970853</v>
          </cell>
          <cell r="K36">
            <v>1970853</v>
          </cell>
          <cell r="L36">
            <v>0</v>
          </cell>
          <cell r="M36">
            <v>38</v>
          </cell>
          <cell r="N36">
            <v>0</v>
          </cell>
          <cell r="O36">
            <v>414656</v>
          </cell>
          <cell r="P36">
            <v>414656</v>
          </cell>
          <cell r="Q36">
            <v>0</v>
          </cell>
          <cell r="R36">
            <v>28.888888888888886</v>
          </cell>
          <cell r="S36">
            <v>5</v>
          </cell>
          <cell r="T36">
            <v>272512</v>
          </cell>
          <cell r="U36">
            <v>273032</v>
          </cell>
          <cell r="V36">
            <v>520</v>
          </cell>
          <cell r="W36">
            <v>342.46477071388784</v>
          </cell>
          <cell r="X36">
            <v>24</v>
          </cell>
          <cell r="Y36">
            <v>1626051.09801076</v>
          </cell>
          <cell r="Z36">
            <v>1656160.0542004399</v>
          </cell>
          <cell r="AA36">
            <v>29588.956189679913</v>
          </cell>
          <cell r="AB36">
            <v>76</v>
          </cell>
          <cell r="AC36">
            <v>11</v>
          </cell>
          <cell r="AD36">
            <v>5234193</v>
          </cell>
          <cell r="AE36">
            <v>5237236</v>
          </cell>
          <cell r="AF36">
            <v>3043</v>
          </cell>
          <cell r="AG36">
            <v>20</v>
          </cell>
          <cell r="AH36">
            <v>24</v>
          </cell>
          <cell r="AI36"/>
          <cell r="AJ36"/>
          <cell r="AK36">
            <v>1728</v>
          </cell>
          <cell r="AL36">
            <v>39.012345679012341</v>
          </cell>
          <cell r="AM36">
            <v>18</v>
          </cell>
          <cell r="AN36">
            <v>3586279</v>
          </cell>
          <cell r="AO36">
            <v>3588807</v>
          </cell>
          <cell r="AP36">
            <v>2528</v>
          </cell>
          <cell r="AQ36"/>
          <cell r="AR36" t="str">
            <v xml:space="preserve"> </v>
          </cell>
          <cell r="AS36" t="str">
            <v xml:space="preserve"> </v>
          </cell>
          <cell r="AT36"/>
          <cell r="AU36" t="str">
            <v xml:space="preserve"> </v>
          </cell>
          <cell r="AV36">
            <v>10.03968253968254</v>
          </cell>
          <cell r="AW36">
            <v>14</v>
          </cell>
          <cell r="AX36">
            <v>583413</v>
          </cell>
          <cell r="AY36">
            <v>583919</v>
          </cell>
          <cell r="AZ36">
            <v>506</v>
          </cell>
          <cell r="BA36">
            <v>125</v>
          </cell>
          <cell r="BB36">
            <v>4.1844444444444449</v>
          </cell>
          <cell r="BC36">
            <v>5926666</v>
          </cell>
          <cell r="BD36">
            <v>5928549</v>
          </cell>
          <cell r="BE36">
            <v>1883</v>
          </cell>
          <cell r="BF36">
            <v>20</v>
          </cell>
          <cell r="BG36">
            <v>15.555555555555555</v>
          </cell>
          <cell r="BH36">
            <v>1562157</v>
          </cell>
          <cell r="BI36">
            <v>1563277</v>
          </cell>
          <cell r="BJ36">
            <v>1120</v>
          </cell>
          <cell r="BK36">
            <v>60</v>
          </cell>
          <cell r="BL36">
            <v>12.560185185185185</v>
          </cell>
          <cell r="BM36">
            <v>6227218</v>
          </cell>
          <cell r="BN36">
            <v>6229931</v>
          </cell>
          <cell r="BO36">
            <v>2713</v>
          </cell>
        </row>
        <row r="37">
          <cell r="B37">
            <v>46055</v>
          </cell>
          <cell r="C37">
            <v>38</v>
          </cell>
          <cell r="D37">
            <v>1.6666666666666665</v>
          </cell>
          <cell r="E37">
            <v>3795062</v>
          </cell>
          <cell r="F37">
            <v>3795290</v>
          </cell>
          <cell r="G37">
            <v>228</v>
          </cell>
          <cell r="H37">
            <v>25</v>
          </cell>
          <cell r="I37">
            <v>0</v>
          </cell>
          <cell r="J37">
            <v>1970853</v>
          </cell>
          <cell r="K37">
            <v>1970853</v>
          </cell>
          <cell r="L37">
            <v>0</v>
          </cell>
          <cell r="M37">
            <v>38</v>
          </cell>
          <cell r="N37">
            <v>0</v>
          </cell>
          <cell r="O37">
            <v>414656</v>
          </cell>
          <cell r="P37">
            <v>414656</v>
          </cell>
          <cell r="Q37">
            <v>0</v>
          </cell>
          <cell r="R37">
            <v>3.0555555555555554</v>
          </cell>
          <cell r="S37">
            <v>1</v>
          </cell>
          <cell r="T37">
            <v>273032</v>
          </cell>
          <cell r="U37">
            <v>273043</v>
          </cell>
          <cell r="V37">
            <v>11</v>
          </cell>
          <cell r="W37">
            <v>416.75745863809772</v>
          </cell>
          <cell r="X37">
            <v>14</v>
          </cell>
          <cell r="Y37">
            <v>1656160.0542004399</v>
          </cell>
          <cell r="Z37">
            <v>1677175.6301158001</v>
          </cell>
          <cell r="AA37">
            <v>21004.575915360125</v>
          </cell>
          <cell r="AB37">
            <v>60</v>
          </cell>
          <cell r="AC37">
            <v>7</v>
          </cell>
          <cell r="AD37">
            <v>5237236</v>
          </cell>
          <cell r="AE37">
            <v>5238751</v>
          </cell>
          <cell r="AF37">
            <v>1515</v>
          </cell>
          <cell r="AG37">
            <v>20</v>
          </cell>
          <cell r="AH37">
            <v>24</v>
          </cell>
          <cell r="AI37"/>
          <cell r="AJ37"/>
          <cell r="AK37">
            <v>1728</v>
          </cell>
          <cell r="AL37">
            <v>40.123456790123456</v>
          </cell>
          <cell r="AM37">
            <v>18</v>
          </cell>
          <cell r="AN37">
            <v>3588807</v>
          </cell>
          <cell r="AO37">
            <v>3591407</v>
          </cell>
          <cell r="AP37">
            <v>2600</v>
          </cell>
          <cell r="AQ37"/>
          <cell r="AR37" t="str">
            <v xml:space="preserve"> </v>
          </cell>
          <cell r="AS37" t="str">
            <v xml:space="preserve"> </v>
          </cell>
          <cell r="AT37"/>
          <cell r="AU37" t="str">
            <v xml:space="preserve"> </v>
          </cell>
          <cell r="AV37">
            <v>11.765873015873016</v>
          </cell>
          <cell r="AW37">
            <v>14</v>
          </cell>
          <cell r="AX37">
            <v>583919</v>
          </cell>
          <cell r="AY37">
            <v>584512</v>
          </cell>
          <cell r="AZ37">
            <v>593</v>
          </cell>
          <cell r="BA37">
            <v>125</v>
          </cell>
          <cell r="BB37">
            <v>0.2</v>
          </cell>
          <cell r="BC37">
            <v>5928549</v>
          </cell>
          <cell r="BD37">
            <v>5928639</v>
          </cell>
          <cell r="BE37">
            <v>90</v>
          </cell>
          <cell r="BF37">
            <v>20</v>
          </cell>
          <cell r="BG37">
            <v>10.125</v>
          </cell>
          <cell r="BH37">
            <v>1563277</v>
          </cell>
          <cell r="BI37">
            <v>1564006</v>
          </cell>
          <cell r="BJ37">
            <v>729</v>
          </cell>
          <cell r="BK37">
            <v>60</v>
          </cell>
          <cell r="BL37">
            <v>11.337962962962964</v>
          </cell>
          <cell r="BM37">
            <v>6229931</v>
          </cell>
          <cell r="BN37">
            <v>6232380</v>
          </cell>
          <cell r="BO37">
            <v>2449</v>
          </cell>
        </row>
        <row r="38">
          <cell r="B38">
            <v>46056</v>
          </cell>
          <cell r="C38"/>
          <cell r="D38" t="str">
            <v xml:space="preserve"> </v>
          </cell>
          <cell r="E38" t="str">
            <v xml:space="preserve"> </v>
          </cell>
          <cell r="F38"/>
          <cell r="G38" t="str">
            <v xml:space="preserve"> </v>
          </cell>
          <cell r="H38"/>
          <cell r="I38" t="str">
            <v xml:space="preserve"> </v>
          </cell>
          <cell r="J38" t="str">
            <v xml:space="preserve"> </v>
          </cell>
          <cell r="K38"/>
          <cell r="L38" t="str">
            <v xml:space="preserve"> </v>
          </cell>
          <cell r="M38"/>
          <cell r="N38" t="str">
            <v xml:space="preserve"> </v>
          </cell>
          <cell r="O38" t="str">
            <v xml:space="preserve"> </v>
          </cell>
          <cell r="P38"/>
          <cell r="Q38" t="str">
            <v xml:space="preserve"> </v>
          </cell>
          <cell r="R38"/>
          <cell r="S38" t="str">
            <v xml:space="preserve"> </v>
          </cell>
          <cell r="T38" t="str">
            <v xml:space="preserve"> </v>
          </cell>
          <cell r="U38"/>
          <cell r="V38" t="str">
            <v xml:space="preserve"> </v>
          </cell>
          <cell r="W38" t="str">
            <v xml:space="preserve"> </v>
          </cell>
          <cell r="X38"/>
          <cell r="Y38" t="str">
            <v xml:space="preserve"> </v>
          </cell>
          <cell r="Z38"/>
          <cell r="AA38"/>
          <cell r="AB38"/>
          <cell r="AC38"/>
          <cell r="AD38" t="str">
            <v xml:space="preserve"> </v>
          </cell>
          <cell r="AE38"/>
          <cell r="AF38" t="str">
            <v xml:space="preserve"> </v>
          </cell>
          <cell r="AG38"/>
          <cell r="AH38"/>
          <cell r="AI38"/>
          <cell r="AJ38"/>
          <cell r="AK38" t="str">
            <v/>
          </cell>
          <cell r="AL38"/>
          <cell r="AM38" t="str">
            <v xml:space="preserve"> </v>
          </cell>
          <cell r="AN38" t="str">
            <v xml:space="preserve"> </v>
          </cell>
          <cell r="AO38"/>
          <cell r="AP38" t="str">
            <v xml:space="preserve"> </v>
          </cell>
          <cell r="AQ38"/>
          <cell r="AR38" t="str">
            <v xml:space="preserve"> </v>
          </cell>
          <cell r="AS38" t="str">
            <v xml:space="preserve"> </v>
          </cell>
          <cell r="AT38"/>
          <cell r="AU38" t="str">
            <v xml:space="preserve"> </v>
          </cell>
          <cell r="AV38"/>
          <cell r="AW38"/>
          <cell r="AX38" t="str">
            <v xml:space="preserve"> </v>
          </cell>
          <cell r="AY38"/>
          <cell r="AZ38" t="str">
            <v xml:space="preserve"> </v>
          </cell>
          <cell r="BA38"/>
          <cell r="BB38"/>
          <cell r="BC38" t="str">
            <v xml:space="preserve"> </v>
          </cell>
          <cell r="BD38"/>
          <cell r="BE38" t="str">
            <v xml:space="preserve"> </v>
          </cell>
          <cell r="BF38"/>
          <cell r="BG38"/>
          <cell r="BH38" t="str">
            <v xml:space="preserve"> </v>
          </cell>
          <cell r="BI38"/>
          <cell r="BJ38" t="str">
            <v xml:space="preserve"> </v>
          </cell>
          <cell r="BK38"/>
          <cell r="BL38" t="str">
            <v xml:space="preserve"> </v>
          </cell>
          <cell r="BM38" t="str">
            <v xml:space="preserve"> </v>
          </cell>
          <cell r="BN38"/>
          <cell r="BO38" t="str">
            <v xml:space="preserve"> </v>
          </cell>
        </row>
        <row r="39">
          <cell r="B39">
            <v>46057</v>
          </cell>
          <cell r="C39"/>
          <cell r="D39" t="str">
            <v xml:space="preserve"> </v>
          </cell>
          <cell r="E39" t="str">
            <v xml:space="preserve"> </v>
          </cell>
          <cell r="F39"/>
          <cell r="G39" t="str">
            <v xml:space="preserve"> </v>
          </cell>
          <cell r="H39"/>
          <cell r="I39" t="str">
            <v xml:space="preserve"> </v>
          </cell>
          <cell r="J39" t="str">
            <v xml:space="preserve"> </v>
          </cell>
          <cell r="K39"/>
          <cell r="L39" t="str">
            <v xml:space="preserve"> </v>
          </cell>
          <cell r="M39"/>
          <cell r="N39" t="str">
            <v xml:space="preserve"> </v>
          </cell>
          <cell r="O39" t="str">
            <v xml:space="preserve"> </v>
          </cell>
          <cell r="P39"/>
          <cell r="Q39" t="str">
            <v xml:space="preserve"> </v>
          </cell>
          <cell r="R39"/>
          <cell r="S39" t="str">
            <v xml:space="preserve"> </v>
          </cell>
          <cell r="T39" t="str">
            <v xml:space="preserve"> </v>
          </cell>
          <cell r="U39"/>
          <cell r="V39" t="str">
            <v xml:space="preserve"> </v>
          </cell>
          <cell r="W39" t="str">
            <v xml:space="preserve"> </v>
          </cell>
          <cell r="X39"/>
          <cell r="Y39" t="str">
            <v xml:space="preserve"> </v>
          </cell>
          <cell r="Z39"/>
          <cell r="AA39"/>
          <cell r="AB39"/>
          <cell r="AC39"/>
          <cell r="AD39" t="str">
            <v xml:space="preserve"> </v>
          </cell>
          <cell r="AE39"/>
          <cell r="AF39" t="str">
            <v xml:space="preserve"> </v>
          </cell>
          <cell r="AG39"/>
          <cell r="AH39"/>
          <cell r="AI39"/>
          <cell r="AJ39"/>
          <cell r="AK39" t="str">
            <v/>
          </cell>
          <cell r="AL39"/>
          <cell r="AM39" t="str">
            <v xml:space="preserve"> </v>
          </cell>
          <cell r="AN39" t="str">
            <v xml:space="preserve"> </v>
          </cell>
          <cell r="AO39"/>
          <cell r="AP39" t="str">
            <v xml:space="preserve"> </v>
          </cell>
          <cell r="AQ39"/>
          <cell r="AR39" t="str">
            <v xml:space="preserve"> </v>
          </cell>
          <cell r="AS39" t="str">
            <v xml:space="preserve"> </v>
          </cell>
          <cell r="AT39"/>
          <cell r="AU39" t="str">
            <v xml:space="preserve"> </v>
          </cell>
          <cell r="AV39"/>
          <cell r="AW39"/>
          <cell r="AX39" t="str">
            <v xml:space="preserve"> </v>
          </cell>
          <cell r="AY39"/>
          <cell r="AZ39" t="str">
            <v xml:space="preserve"> </v>
          </cell>
          <cell r="BA39"/>
          <cell r="BB39"/>
          <cell r="BC39" t="str">
            <v xml:space="preserve"> </v>
          </cell>
          <cell r="BD39"/>
          <cell r="BE39" t="str">
            <v xml:space="preserve"> </v>
          </cell>
          <cell r="BF39"/>
          <cell r="BG39"/>
          <cell r="BH39" t="str">
            <v xml:space="preserve"> </v>
          </cell>
          <cell r="BI39"/>
          <cell r="BJ39" t="str">
            <v xml:space="preserve"> </v>
          </cell>
          <cell r="BK39"/>
          <cell r="BL39" t="str">
            <v xml:space="preserve"> </v>
          </cell>
          <cell r="BM39" t="str">
            <v xml:space="preserve"> </v>
          </cell>
          <cell r="BN39"/>
          <cell r="BO39" t="str">
            <v xml:space="preserve"> </v>
          </cell>
        </row>
        <row r="40">
          <cell r="B40">
            <v>46058</v>
          </cell>
          <cell r="C40"/>
          <cell r="D40" t="str">
            <v xml:space="preserve"> </v>
          </cell>
          <cell r="E40" t="str">
            <v xml:space="preserve"> </v>
          </cell>
          <cell r="F40"/>
          <cell r="G40" t="str">
            <v xml:space="preserve"> </v>
          </cell>
          <cell r="H40"/>
          <cell r="I40" t="str">
            <v xml:space="preserve"> </v>
          </cell>
          <cell r="J40" t="str">
            <v xml:space="preserve"> </v>
          </cell>
          <cell r="K40"/>
          <cell r="L40" t="str">
            <v xml:space="preserve"> </v>
          </cell>
          <cell r="M40"/>
          <cell r="N40" t="str">
            <v xml:space="preserve"> </v>
          </cell>
          <cell r="O40" t="str">
            <v xml:space="preserve"> </v>
          </cell>
          <cell r="P40"/>
          <cell r="Q40" t="str">
            <v xml:space="preserve"> </v>
          </cell>
          <cell r="R40"/>
          <cell r="S40" t="str">
            <v xml:space="preserve"> </v>
          </cell>
          <cell r="T40" t="str">
            <v xml:space="preserve"> </v>
          </cell>
          <cell r="U40"/>
          <cell r="V40" t="str">
            <v xml:space="preserve"> </v>
          </cell>
          <cell r="W40" t="str">
            <v xml:space="preserve"> </v>
          </cell>
          <cell r="X40"/>
          <cell r="Y40" t="str">
            <v xml:space="preserve"> </v>
          </cell>
          <cell r="Z40"/>
          <cell r="AA40"/>
          <cell r="AB40"/>
          <cell r="AC40"/>
          <cell r="AD40" t="str">
            <v xml:space="preserve"> </v>
          </cell>
          <cell r="AE40"/>
          <cell r="AF40" t="str">
            <v xml:space="preserve"> </v>
          </cell>
          <cell r="AG40"/>
          <cell r="AH40"/>
          <cell r="AI40"/>
          <cell r="AJ40"/>
          <cell r="AK40" t="str">
            <v/>
          </cell>
          <cell r="AL40"/>
          <cell r="AM40" t="str">
            <v xml:space="preserve"> </v>
          </cell>
          <cell r="AN40" t="str">
            <v xml:space="preserve"> </v>
          </cell>
          <cell r="AO40"/>
          <cell r="AP40" t="str">
            <v xml:space="preserve"> </v>
          </cell>
          <cell r="AQ40"/>
          <cell r="AR40" t="str">
            <v xml:space="preserve"> </v>
          </cell>
          <cell r="AS40" t="str">
            <v xml:space="preserve"> </v>
          </cell>
          <cell r="AT40"/>
          <cell r="AU40" t="str">
            <v xml:space="preserve"> </v>
          </cell>
          <cell r="AV40"/>
          <cell r="AW40"/>
          <cell r="AX40" t="str">
            <v xml:space="preserve"> </v>
          </cell>
          <cell r="AY40"/>
          <cell r="AZ40" t="str">
            <v xml:space="preserve"> </v>
          </cell>
          <cell r="BA40"/>
          <cell r="BB40"/>
          <cell r="BC40" t="str">
            <v xml:space="preserve"> </v>
          </cell>
          <cell r="BD40"/>
          <cell r="BE40" t="str">
            <v xml:space="preserve"> </v>
          </cell>
          <cell r="BF40"/>
          <cell r="BG40"/>
          <cell r="BH40" t="str">
            <v xml:space="preserve"> </v>
          </cell>
          <cell r="BI40"/>
          <cell r="BJ40" t="str">
            <v xml:space="preserve"> </v>
          </cell>
          <cell r="BK40"/>
          <cell r="BL40" t="str">
            <v xml:space="preserve"> </v>
          </cell>
          <cell r="BM40" t="str">
            <v xml:space="preserve"> </v>
          </cell>
          <cell r="BN40"/>
          <cell r="BO40" t="str">
            <v xml:space="preserve"> </v>
          </cell>
        </row>
        <row r="41">
          <cell r="B41">
            <v>46059</v>
          </cell>
          <cell r="C41"/>
          <cell r="D41" t="str">
            <v xml:space="preserve"> </v>
          </cell>
          <cell r="E41" t="str">
            <v xml:space="preserve"> </v>
          </cell>
          <cell r="F41"/>
          <cell r="G41" t="str">
            <v xml:space="preserve"> </v>
          </cell>
          <cell r="H41"/>
          <cell r="I41" t="str">
            <v xml:space="preserve"> </v>
          </cell>
          <cell r="J41" t="str">
            <v xml:space="preserve"> </v>
          </cell>
          <cell r="K41"/>
          <cell r="L41" t="str">
            <v xml:space="preserve"> </v>
          </cell>
          <cell r="M41"/>
          <cell r="N41" t="str">
            <v xml:space="preserve"> </v>
          </cell>
          <cell r="O41" t="str">
            <v xml:space="preserve"> </v>
          </cell>
          <cell r="P41"/>
          <cell r="Q41" t="str">
            <v xml:space="preserve"> </v>
          </cell>
          <cell r="R41"/>
          <cell r="S41" t="str">
            <v xml:space="preserve"> </v>
          </cell>
          <cell r="T41" t="str">
            <v xml:space="preserve"> </v>
          </cell>
          <cell r="U41"/>
          <cell r="V41"/>
          <cell r="W41" t="str">
            <v xml:space="preserve"> </v>
          </cell>
          <cell r="X41"/>
          <cell r="Y41" t="str">
            <v xml:space="preserve"> </v>
          </cell>
          <cell r="Z41"/>
          <cell r="AA41"/>
          <cell r="AB41"/>
          <cell r="AC41"/>
          <cell r="AD41" t="str">
            <v xml:space="preserve"> </v>
          </cell>
          <cell r="AE41"/>
          <cell r="AF41" t="str">
            <v xml:space="preserve"> </v>
          </cell>
          <cell r="AG41"/>
          <cell r="AH41"/>
          <cell r="AI41"/>
          <cell r="AJ41"/>
          <cell r="AK41" t="str">
            <v/>
          </cell>
          <cell r="AL41"/>
          <cell r="AM41" t="str">
            <v xml:space="preserve"> </v>
          </cell>
          <cell r="AN41" t="str">
            <v xml:space="preserve"> </v>
          </cell>
          <cell r="AO41"/>
          <cell r="AP41" t="str">
            <v xml:space="preserve"> </v>
          </cell>
          <cell r="AQ41"/>
          <cell r="AR41" t="str">
            <v xml:space="preserve"> </v>
          </cell>
          <cell r="AS41" t="str">
            <v xml:space="preserve"> </v>
          </cell>
          <cell r="AT41"/>
          <cell r="AU41" t="str">
            <v xml:space="preserve"> </v>
          </cell>
          <cell r="AV41"/>
          <cell r="AW41"/>
          <cell r="AX41" t="str">
            <v xml:space="preserve"> </v>
          </cell>
          <cell r="AY41"/>
          <cell r="AZ41" t="str">
            <v xml:space="preserve"> </v>
          </cell>
          <cell r="BA41"/>
          <cell r="BB41"/>
          <cell r="BC41" t="str">
            <v xml:space="preserve"> </v>
          </cell>
          <cell r="BD41"/>
          <cell r="BE41" t="str">
            <v xml:space="preserve"> </v>
          </cell>
          <cell r="BF41"/>
          <cell r="BG41"/>
          <cell r="BH41" t="str">
            <v xml:space="preserve"> </v>
          </cell>
          <cell r="BI41"/>
          <cell r="BJ41" t="str">
            <v xml:space="preserve"> </v>
          </cell>
          <cell r="BK41"/>
          <cell r="BL41" t="str">
            <v xml:space="preserve"> </v>
          </cell>
          <cell r="BM41" t="str">
            <v xml:space="preserve"> </v>
          </cell>
          <cell r="BN41"/>
          <cell r="BO41" t="str">
            <v xml:space="preserve"> </v>
          </cell>
        </row>
        <row r="42">
          <cell r="B42">
            <v>46060</v>
          </cell>
          <cell r="C42"/>
          <cell r="D42" t="str">
            <v xml:space="preserve"> </v>
          </cell>
          <cell r="E42" t="str">
            <v xml:space="preserve"> </v>
          </cell>
          <cell r="F42"/>
          <cell r="G42" t="str">
            <v xml:space="preserve"> </v>
          </cell>
          <cell r="H42"/>
          <cell r="I42" t="str">
            <v xml:space="preserve"> </v>
          </cell>
          <cell r="J42" t="str">
            <v xml:space="preserve"> </v>
          </cell>
          <cell r="K42"/>
          <cell r="L42" t="str">
            <v xml:space="preserve"> </v>
          </cell>
          <cell r="M42"/>
          <cell r="N42" t="str">
            <v xml:space="preserve"> </v>
          </cell>
          <cell r="O42" t="str">
            <v xml:space="preserve"> </v>
          </cell>
          <cell r="P42"/>
          <cell r="Q42" t="str">
            <v xml:space="preserve"> </v>
          </cell>
          <cell r="R42"/>
          <cell r="S42" t="str">
            <v xml:space="preserve"> </v>
          </cell>
          <cell r="T42" t="str">
            <v xml:space="preserve"> </v>
          </cell>
          <cell r="U42"/>
          <cell r="V42" t="str">
            <v xml:space="preserve"> </v>
          </cell>
          <cell r="W42" t="str">
            <v xml:space="preserve"> </v>
          </cell>
          <cell r="X42"/>
          <cell r="Y42" t="str">
            <v xml:space="preserve"> </v>
          </cell>
          <cell r="Z42"/>
          <cell r="AA42" t="str">
            <v xml:space="preserve"> </v>
          </cell>
          <cell r="AB42" t="str">
            <v xml:space="preserve"> </v>
          </cell>
          <cell r="AC42"/>
          <cell r="AD42" t="str">
            <v xml:space="preserve"> </v>
          </cell>
          <cell r="AE42"/>
          <cell r="AF42" t="str">
            <v xml:space="preserve"> </v>
          </cell>
          <cell r="AG42"/>
          <cell r="AH42"/>
          <cell r="AI42"/>
          <cell r="AJ42"/>
          <cell r="AK42" t="str">
            <v/>
          </cell>
          <cell r="AL42"/>
          <cell r="AM42" t="str">
            <v xml:space="preserve"> </v>
          </cell>
          <cell r="AN42" t="str">
            <v xml:space="preserve"> </v>
          </cell>
          <cell r="AO42"/>
          <cell r="AP42" t="str">
            <v xml:space="preserve"> </v>
          </cell>
          <cell r="AQ42"/>
          <cell r="AR42" t="str">
            <v xml:space="preserve"> </v>
          </cell>
          <cell r="AS42" t="str">
            <v xml:space="preserve"> </v>
          </cell>
          <cell r="AT42"/>
          <cell r="AU42" t="str">
            <v xml:space="preserve"> </v>
          </cell>
          <cell r="AV42"/>
          <cell r="AW42"/>
          <cell r="AX42" t="str">
            <v xml:space="preserve"> </v>
          </cell>
          <cell r="AY42"/>
          <cell r="AZ42" t="str">
            <v xml:space="preserve"> </v>
          </cell>
          <cell r="BA42"/>
          <cell r="BB42"/>
          <cell r="BC42" t="str">
            <v xml:space="preserve"> </v>
          </cell>
          <cell r="BD42"/>
          <cell r="BE42" t="str">
            <v xml:space="preserve"> </v>
          </cell>
          <cell r="BF42"/>
          <cell r="BG42"/>
          <cell r="BH42" t="str">
            <v xml:space="preserve"> </v>
          </cell>
          <cell r="BI42"/>
          <cell r="BJ42" t="str">
            <v xml:space="preserve"> </v>
          </cell>
          <cell r="BK42"/>
          <cell r="BL42" t="str">
            <v xml:space="preserve"> </v>
          </cell>
          <cell r="BM42" t="str">
            <v xml:space="preserve"> </v>
          </cell>
          <cell r="BN42"/>
          <cell r="BO42" t="str">
            <v xml:space="preserve"> </v>
          </cell>
        </row>
        <row r="43">
          <cell r="B43">
            <v>46061</v>
          </cell>
          <cell r="C43"/>
          <cell r="D43" t="str">
            <v xml:space="preserve"> </v>
          </cell>
          <cell r="E43" t="str">
            <v xml:space="preserve"> </v>
          </cell>
          <cell r="F43"/>
          <cell r="G43" t="str">
            <v xml:space="preserve"> </v>
          </cell>
          <cell r="H43"/>
          <cell r="I43" t="str">
            <v xml:space="preserve"> </v>
          </cell>
          <cell r="J43" t="str">
            <v xml:space="preserve"> </v>
          </cell>
          <cell r="K43"/>
          <cell r="L43" t="str">
            <v xml:space="preserve"> </v>
          </cell>
          <cell r="M43"/>
          <cell r="N43" t="str">
            <v xml:space="preserve"> </v>
          </cell>
          <cell r="O43" t="str">
            <v xml:space="preserve"> </v>
          </cell>
          <cell r="P43"/>
          <cell r="Q43" t="str">
            <v xml:space="preserve"> </v>
          </cell>
          <cell r="R43"/>
          <cell r="S43" t="str">
            <v xml:space="preserve"> </v>
          </cell>
          <cell r="T43" t="str">
            <v xml:space="preserve"> </v>
          </cell>
          <cell r="U43"/>
          <cell r="V43" t="str">
            <v xml:space="preserve"> </v>
          </cell>
          <cell r="W43" t="str">
            <v xml:space="preserve"> </v>
          </cell>
          <cell r="X43"/>
          <cell r="Y43" t="str">
            <v xml:space="preserve"> </v>
          </cell>
          <cell r="Z43"/>
          <cell r="AA43" t="str">
            <v xml:space="preserve"> </v>
          </cell>
          <cell r="AB43" t="str">
            <v xml:space="preserve"> </v>
          </cell>
          <cell r="AC43"/>
          <cell r="AD43" t="str">
            <v xml:space="preserve"> </v>
          </cell>
          <cell r="AE43"/>
          <cell r="AF43" t="str">
            <v xml:space="preserve"> </v>
          </cell>
          <cell r="AG43"/>
          <cell r="AH43"/>
          <cell r="AI43"/>
          <cell r="AJ43"/>
          <cell r="AK43" t="str">
            <v/>
          </cell>
          <cell r="AL43"/>
          <cell r="AM43" t="str">
            <v xml:space="preserve"> </v>
          </cell>
          <cell r="AN43" t="str">
            <v xml:space="preserve"> </v>
          </cell>
          <cell r="AO43"/>
          <cell r="AP43" t="str">
            <v xml:space="preserve"> </v>
          </cell>
          <cell r="AQ43"/>
          <cell r="AR43" t="str">
            <v xml:space="preserve"> </v>
          </cell>
          <cell r="AS43" t="str">
            <v xml:space="preserve"> </v>
          </cell>
          <cell r="AT43"/>
          <cell r="AU43" t="str">
            <v xml:space="preserve"> </v>
          </cell>
          <cell r="AV43"/>
          <cell r="AW43"/>
          <cell r="AX43" t="str">
            <v xml:space="preserve"> </v>
          </cell>
          <cell r="AY43"/>
          <cell r="AZ43" t="str">
            <v xml:space="preserve"> </v>
          </cell>
          <cell r="BA43"/>
          <cell r="BB43"/>
          <cell r="BC43" t="str">
            <v xml:space="preserve"> </v>
          </cell>
          <cell r="BD43"/>
          <cell r="BE43" t="str">
            <v xml:space="preserve"> </v>
          </cell>
          <cell r="BF43"/>
          <cell r="BG43"/>
          <cell r="BH43" t="str">
            <v xml:space="preserve"> </v>
          </cell>
          <cell r="BI43"/>
          <cell r="BJ43" t="str">
            <v xml:space="preserve"> </v>
          </cell>
          <cell r="BK43"/>
          <cell r="BL43" t="str">
            <v xml:space="preserve"> </v>
          </cell>
          <cell r="BM43" t="str">
            <v xml:space="preserve"> </v>
          </cell>
          <cell r="BN43"/>
          <cell r="BO43" t="str">
            <v xml:space="preserve"> </v>
          </cell>
        </row>
        <row r="44">
          <cell r="B44">
            <v>46062</v>
          </cell>
          <cell r="C44"/>
          <cell r="D44" t="str">
            <v xml:space="preserve"> </v>
          </cell>
          <cell r="E44" t="str">
            <v xml:space="preserve"> </v>
          </cell>
          <cell r="F44"/>
          <cell r="G44" t="str">
            <v xml:space="preserve"> </v>
          </cell>
          <cell r="H44"/>
          <cell r="I44" t="str">
            <v xml:space="preserve"> </v>
          </cell>
          <cell r="J44" t="str">
            <v xml:space="preserve"> </v>
          </cell>
          <cell r="K44"/>
          <cell r="L44" t="str">
            <v xml:space="preserve"> </v>
          </cell>
          <cell r="M44"/>
          <cell r="N44" t="str">
            <v xml:space="preserve"> </v>
          </cell>
          <cell r="O44" t="str">
            <v xml:space="preserve"> </v>
          </cell>
          <cell r="P44"/>
          <cell r="Q44" t="str">
            <v xml:space="preserve"> </v>
          </cell>
          <cell r="R44"/>
          <cell r="S44" t="str">
            <v xml:space="preserve"> </v>
          </cell>
          <cell r="T44" t="str">
            <v xml:space="preserve"> </v>
          </cell>
          <cell r="U44"/>
          <cell r="V44" t="str">
            <v xml:space="preserve"> </v>
          </cell>
          <cell r="W44" t="str">
            <v xml:space="preserve"> </v>
          </cell>
          <cell r="X44"/>
          <cell r="Y44" t="str">
            <v xml:space="preserve"> </v>
          </cell>
          <cell r="Z44"/>
          <cell r="AA44" t="str">
            <v xml:space="preserve"> </v>
          </cell>
          <cell r="AB44" t="str">
            <v xml:space="preserve"> </v>
          </cell>
          <cell r="AC44"/>
          <cell r="AD44" t="str">
            <v xml:space="preserve"> </v>
          </cell>
          <cell r="AE44"/>
          <cell r="AF44" t="str">
            <v xml:space="preserve"> </v>
          </cell>
          <cell r="AG44"/>
          <cell r="AH44"/>
          <cell r="AI44"/>
          <cell r="AJ44"/>
          <cell r="AK44" t="str">
            <v/>
          </cell>
          <cell r="AL44"/>
          <cell r="AM44" t="str">
            <v xml:space="preserve"> </v>
          </cell>
          <cell r="AN44" t="str">
            <v xml:space="preserve"> </v>
          </cell>
          <cell r="AO44"/>
          <cell r="AP44" t="str">
            <v xml:space="preserve"> </v>
          </cell>
          <cell r="AQ44"/>
          <cell r="AR44" t="str">
            <v xml:space="preserve"> </v>
          </cell>
          <cell r="AS44" t="str">
            <v xml:space="preserve"> </v>
          </cell>
          <cell r="AT44"/>
          <cell r="AU44" t="str">
            <v xml:space="preserve"> </v>
          </cell>
          <cell r="AV44"/>
          <cell r="AW44"/>
          <cell r="AX44" t="str">
            <v xml:space="preserve"> </v>
          </cell>
          <cell r="AY44"/>
          <cell r="AZ44" t="str">
            <v xml:space="preserve"> </v>
          </cell>
          <cell r="BA44"/>
          <cell r="BB44"/>
          <cell r="BC44" t="str">
            <v xml:space="preserve"> </v>
          </cell>
          <cell r="BD44"/>
          <cell r="BE44" t="str">
            <v xml:space="preserve"> </v>
          </cell>
          <cell r="BF44"/>
          <cell r="BG44"/>
          <cell r="BH44" t="str">
            <v xml:space="preserve"> </v>
          </cell>
          <cell r="BI44"/>
          <cell r="BJ44" t="str">
            <v xml:space="preserve"> </v>
          </cell>
          <cell r="BK44"/>
          <cell r="BL44" t="str">
            <v xml:space="preserve"> </v>
          </cell>
          <cell r="BM44" t="str">
            <v xml:space="preserve"> </v>
          </cell>
          <cell r="BN44"/>
          <cell r="BO44" t="str">
            <v xml:space="preserve"> </v>
          </cell>
        </row>
        <row r="45">
          <cell r="B45">
            <v>46063</v>
          </cell>
          <cell r="C45"/>
          <cell r="D45" t="str">
            <v xml:space="preserve"> </v>
          </cell>
          <cell r="E45" t="str">
            <v xml:space="preserve"> </v>
          </cell>
          <cell r="F45"/>
          <cell r="G45" t="str">
            <v xml:space="preserve"> </v>
          </cell>
          <cell r="H45"/>
          <cell r="I45" t="str">
            <v xml:space="preserve"> </v>
          </cell>
          <cell r="J45" t="str">
            <v xml:space="preserve"> </v>
          </cell>
          <cell r="K45"/>
          <cell r="L45" t="str">
            <v xml:space="preserve"> </v>
          </cell>
          <cell r="M45"/>
          <cell r="N45" t="str">
            <v xml:space="preserve"> </v>
          </cell>
          <cell r="O45" t="str">
            <v xml:space="preserve"> </v>
          </cell>
          <cell r="P45"/>
          <cell r="Q45" t="str">
            <v xml:space="preserve"> </v>
          </cell>
          <cell r="R45"/>
          <cell r="S45" t="str">
            <v xml:space="preserve"> </v>
          </cell>
          <cell r="T45" t="str">
            <v xml:space="preserve"> </v>
          </cell>
          <cell r="U45"/>
          <cell r="V45" t="str">
            <v xml:space="preserve"> </v>
          </cell>
          <cell r="W45" t="str">
            <v xml:space="preserve"> </v>
          </cell>
          <cell r="X45"/>
          <cell r="Y45" t="str">
            <v xml:space="preserve"> </v>
          </cell>
          <cell r="Z45"/>
          <cell r="AA45" t="str">
            <v xml:space="preserve"> </v>
          </cell>
          <cell r="AB45" t="str">
            <v xml:space="preserve"> </v>
          </cell>
          <cell r="AC45"/>
          <cell r="AD45" t="str">
            <v xml:space="preserve"> </v>
          </cell>
          <cell r="AE45"/>
          <cell r="AF45" t="str">
            <v xml:space="preserve"> </v>
          </cell>
          <cell r="AG45"/>
          <cell r="AH45"/>
          <cell r="AI45"/>
          <cell r="AJ45"/>
          <cell r="AK45" t="str">
            <v/>
          </cell>
          <cell r="AL45"/>
          <cell r="AM45" t="str">
            <v xml:space="preserve"> </v>
          </cell>
          <cell r="AN45" t="str">
            <v xml:space="preserve"> </v>
          </cell>
          <cell r="AO45"/>
          <cell r="AP45" t="str">
            <v xml:space="preserve"> </v>
          </cell>
          <cell r="AQ45"/>
          <cell r="AR45" t="str">
            <v xml:space="preserve"> </v>
          </cell>
          <cell r="AS45" t="str">
            <v xml:space="preserve"> </v>
          </cell>
          <cell r="AT45"/>
          <cell r="AU45" t="str">
            <v xml:space="preserve"> </v>
          </cell>
          <cell r="AV45"/>
          <cell r="AW45"/>
          <cell r="AX45" t="str">
            <v xml:space="preserve"> </v>
          </cell>
          <cell r="AY45"/>
          <cell r="AZ45" t="str">
            <v xml:space="preserve"> </v>
          </cell>
          <cell r="BA45"/>
          <cell r="BB45"/>
          <cell r="BC45" t="str">
            <v xml:space="preserve"> </v>
          </cell>
          <cell r="BD45"/>
          <cell r="BE45" t="str">
            <v xml:space="preserve"> </v>
          </cell>
          <cell r="BF45"/>
          <cell r="BG45"/>
          <cell r="BH45" t="str">
            <v xml:space="preserve"> </v>
          </cell>
          <cell r="BI45"/>
          <cell r="BJ45" t="str">
            <v xml:space="preserve"> </v>
          </cell>
          <cell r="BK45"/>
          <cell r="BL45" t="str">
            <v xml:space="preserve"> </v>
          </cell>
          <cell r="BM45" t="str">
            <v xml:space="preserve"> </v>
          </cell>
          <cell r="BN45"/>
          <cell r="BO45" t="str">
            <v xml:space="preserve"> </v>
          </cell>
        </row>
        <row r="46">
          <cell r="B46">
            <v>46064</v>
          </cell>
          <cell r="C46"/>
          <cell r="D46" t="str">
            <v xml:space="preserve"> </v>
          </cell>
          <cell r="E46" t="str">
            <v xml:space="preserve"> </v>
          </cell>
          <cell r="F46"/>
          <cell r="G46" t="str">
            <v xml:space="preserve"> </v>
          </cell>
          <cell r="H46"/>
          <cell r="I46" t="str">
            <v xml:space="preserve"> </v>
          </cell>
          <cell r="J46" t="str">
            <v xml:space="preserve"> </v>
          </cell>
          <cell r="K46"/>
          <cell r="L46" t="str">
            <v xml:space="preserve"> </v>
          </cell>
          <cell r="M46"/>
          <cell r="N46" t="str">
            <v xml:space="preserve"> </v>
          </cell>
          <cell r="O46" t="str">
            <v xml:space="preserve"> </v>
          </cell>
          <cell r="P46"/>
          <cell r="Q46" t="str">
            <v xml:space="preserve"> </v>
          </cell>
          <cell r="R46"/>
          <cell r="S46" t="str">
            <v xml:space="preserve"> </v>
          </cell>
          <cell r="T46" t="str">
            <v xml:space="preserve"> </v>
          </cell>
          <cell r="U46"/>
          <cell r="V46" t="str">
            <v xml:space="preserve"> </v>
          </cell>
          <cell r="W46" t="str">
            <v xml:space="preserve"> </v>
          </cell>
          <cell r="X46"/>
          <cell r="Y46" t="str">
            <v xml:space="preserve"> </v>
          </cell>
          <cell r="Z46"/>
          <cell r="AA46" t="str">
            <v xml:space="preserve"> </v>
          </cell>
          <cell r="AB46" t="str">
            <v xml:space="preserve"> </v>
          </cell>
          <cell r="AC46"/>
          <cell r="AD46" t="str">
            <v xml:space="preserve"> </v>
          </cell>
          <cell r="AE46"/>
          <cell r="AF46" t="str">
            <v xml:space="preserve"> </v>
          </cell>
          <cell r="AG46"/>
          <cell r="AH46"/>
          <cell r="AI46"/>
          <cell r="AJ46"/>
          <cell r="AK46" t="str">
            <v/>
          </cell>
          <cell r="AL46"/>
          <cell r="AM46" t="str">
            <v xml:space="preserve"> </v>
          </cell>
          <cell r="AN46" t="str">
            <v xml:space="preserve"> </v>
          </cell>
          <cell r="AO46"/>
          <cell r="AP46" t="str">
            <v xml:space="preserve"> </v>
          </cell>
          <cell r="AQ46"/>
          <cell r="AR46" t="str">
            <v xml:space="preserve"> </v>
          </cell>
          <cell r="AS46" t="str">
            <v xml:space="preserve"> </v>
          </cell>
          <cell r="AT46"/>
          <cell r="AU46" t="str">
            <v xml:space="preserve"> </v>
          </cell>
          <cell r="AV46"/>
          <cell r="AW46"/>
          <cell r="AX46" t="str">
            <v xml:space="preserve"> </v>
          </cell>
          <cell r="AY46"/>
          <cell r="AZ46" t="str">
            <v xml:space="preserve"> </v>
          </cell>
          <cell r="BA46"/>
          <cell r="BB46"/>
          <cell r="BC46" t="str">
            <v xml:space="preserve"> </v>
          </cell>
          <cell r="BD46"/>
          <cell r="BE46" t="str">
            <v xml:space="preserve"> </v>
          </cell>
          <cell r="BF46"/>
          <cell r="BG46"/>
          <cell r="BH46" t="str">
            <v xml:space="preserve"> </v>
          </cell>
          <cell r="BI46"/>
          <cell r="BJ46" t="str">
            <v xml:space="preserve"> </v>
          </cell>
          <cell r="BK46"/>
          <cell r="BL46" t="str">
            <v xml:space="preserve"> </v>
          </cell>
          <cell r="BM46" t="str">
            <v xml:space="preserve"> </v>
          </cell>
          <cell r="BN46"/>
          <cell r="BO46" t="str">
            <v xml:space="preserve"> </v>
          </cell>
        </row>
        <row r="47">
          <cell r="B47">
            <v>46065</v>
          </cell>
          <cell r="C47"/>
          <cell r="D47" t="str">
            <v xml:space="preserve"> </v>
          </cell>
          <cell r="E47" t="str">
            <v xml:space="preserve"> </v>
          </cell>
          <cell r="F47"/>
          <cell r="G47" t="str">
            <v xml:space="preserve"> </v>
          </cell>
          <cell r="H47"/>
          <cell r="I47" t="str">
            <v xml:space="preserve"> </v>
          </cell>
          <cell r="J47" t="str">
            <v xml:space="preserve"> </v>
          </cell>
          <cell r="K47"/>
          <cell r="L47" t="str">
            <v xml:space="preserve"> </v>
          </cell>
          <cell r="M47"/>
          <cell r="N47" t="str">
            <v xml:space="preserve"> </v>
          </cell>
          <cell r="O47" t="str">
            <v xml:space="preserve"> </v>
          </cell>
          <cell r="P47"/>
          <cell r="Q47" t="str">
            <v xml:space="preserve"> </v>
          </cell>
          <cell r="R47"/>
          <cell r="S47" t="str">
            <v xml:space="preserve"> </v>
          </cell>
          <cell r="T47" t="str">
            <v xml:space="preserve"> </v>
          </cell>
          <cell r="U47"/>
          <cell r="V47" t="str">
            <v xml:space="preserve"> </v>
          </cell>
          <cell r="W47" t="str">
            <v xml:space="preserve"> </v>
          </cell>
          <cell r="X47"/>
          <cell r="Y47" t="str">
            <v xml:space="preserve"> </v>
          </cell>
          <cell r="Z47"/>
          <cell r="AA47" t="str">
            <v xml:space="preserve"> </v>
          </cell>
          <cell r="AB47" t="str">
            <v xml:space="preserve"> </v>
          </cell>
          <cell r="AC47"/>
          <cell r="AD47" t="str">
            <v xml:space="preserve"> </v>
          </cell>
          <cell r="AE47"/>
          <cell r="AF47" t="str">
            <v xml:space="preserve"> </v>
          </cell>
          <cell r="AG47"/>
          <cell r="AH47"/>
          <cell r="AI47"/>
          <cell r="AJ47"/>
          <cell r="AK47" t="str">
            <v/>
          </cell>
          <cell r="AL47"/>
          <cell r="AM47" t="str">
            <v xml:space="preserve"> </v>
          </cell>
          <cell r="AN47" t="str">
            <v xml:space="preserve"> </v>
          </cell>
          <cell r="AO47"/>
          <cell r="AP47" t="str">
            <v xml:space="preserve"> </v>
          </cell>
          <cell r="AQ47"/>
          <cell r="AR47" t="str">
            <v xml:space="preserve"> </v>
          </cell>
          <cell r="AS47" t="str">
            <v xml:space="preserve"> </v>
          </cell>
          <cell r="AT47"/>
          <cell r="AU47" t="str">
            <v xml:space="preserve"> </v>
          </cell>
          <cell r="AV47"/>
          <cell r="AW47"/>
          <cell r="AX47" t="str">
            <v xml:space="preserve"> </v>
          </cell>
          <cell r="AY47"/>
          <cell r="AZ47" t="str">
            <v xml:space="preserve"> </v>
          </cell>
          <cell r="BA47"/>
          <cell r="BB47"/>
          <cell r="BC47" t="str">
            <v xml:space="preserve"> </v>
          </cell>
          <cell r="BD47"/>
          <cell r="BE47" t="str">
            <v xml:space="preserve"> </v>
          </cell>
          <cell r="BF47"/>
          <cell r="BG47"/>
          <cell r="BH47" t="str">
            <v xml:space="preserve"> </v>
          </cell>
          <cell r="BI47"/>
          <cell r="BJ47" t="str">
            <v xml:space="preserve"> </v>
          </cell>
          <cell r="BK47"/>
          <cell r="BL47" t="str">
            <v xml:space="preserve"> </v>
          </cell>
          <cell r="BM47" t="str">
            <v xml:space="preserve"> </v>
          </cell>
          <cell r="BN47"/>
          <cell r="BO47" t="str">
            <v xml:space="preserve"> </v>
          </cell>
        </row>
        <row r="48">
          <cell r="B48">
            <v>46066</v>
          </cell>
          <cell r="C48"/>
          <cell r="D48" t="str">
            <v xml:space="preserve"> </v>
          </cell>
          <cell r="E48" t="str">
            <v xml:space="preserve"> </v>
          </cell>
          <cell r="F48"/>
          <cell r="G48" t="str">
            <v xml:space="preserve"> </v>
          </cell>
          <cell r="H48"/>
          <cell r="I48" t="str">
            <v xml:space="preserve"> </v>
          </cell>
          <cell r="J48" t="str">
            <v xml:space="preserve"> </v>
          </cell>
          <cell r="K48"/>
          <cell r="L48" t="str">
            <v xml:space="preserve"> </v>
          </cell>
          <cell r="M48"/>
          <cell r="N48" t="str">
            <v xml:space="preserve"> </v>
          </cell>
          <cell r="O48" t="str">
            <v xml:space="preserve"> </v>
          </cell>
          <cell r="P48"/>
          <cell r="Q48" t="str">
            <v xml:space="preserve"> </v>
          </cell>
          <cell r="R48"/>
          <cell r="S48" t="str">
            <v xml:space="preserve"> </v>
          </cell>
          <cell r="T48" t="str">
            <v xml:space="preserve"> </v>
          </cell>
          <cell r="U48"/>
          <cell r="V48" t="str">
            <v xml:space="preserve"> </v>
          </cell>
          <cell r="W48" t="str">
            <v xml:space="preserve"> </v>
          </cell>
          <cell r="X48"/>
          <cell r="Y48" t="str">
            <v xml:space="preserve"> </v>
          </cell>
          <cell r="Z48"/>
          <cell r="AA48" t="str">
            <v xml:space="preserve"> </v>
          </cell>
          <cell r="AB48" t="str">
            <v xml:space="preserve"> </v>
          </cell>
          <cell r="AC48"/>
          <cell r="AD48" t="str">
            <v xml:space="preserve"> </v>
          </cell>
          <cell r="AE48"/>
          <cell r="AF48" t="str">
            <v xml:space="preserve"> </v>
          </cell>
          <cell r="AG48"/>
          <cell r="AH48"/>
          <cell r="AI48"/>
          <cell r="AJ48"/>
          <cell r="AK48" t="str">
            <v/>
          </cell>
          <cell r="AL48"/>
          <cell r="AM48" t="str">
            <v xml:space="preserve"> </v>
          </cell>
          <cell r="AN48" t="str">
            <v xml:space="preserve"> </v>
          </cell>
          <cell r="AO48"/>
          <cell r="AP48" t="str">
            <v xml:space="preserve"> </v>
          </cell>
          <cell r="AQ48"/>
          <cell r="AR48" t="str">
            <v xml:space="preserve"> </v>
          </cell>
          <cell r="AS48" t="str">
            <v xml:space="preserve"> </v>
          </cell>
          <cell r="AT48"/>
          <cell r="AU48" t="str">
            <v xml:space="preserve"> </v>
          </cell>
          <cell r="AV48"/>
          <cell r="AW48"/>
          <cell r="AX48" t="str">
            <v xml:space="preserve"> </v>
          </cell>
          <cell r="AY48"/>
          <cell r="AZ48" t="str">
            <v xml:space="preserve"> </v>
          </cell>
          <cell r="BA48"/>
          <cell r="BB48"/>
          <cell r="BC48" t="str">
            <v xml:space="preserve"> </v>
          </cell>
          <cell r="BD48"/>
          <cell r="BE48" t="str">
            <v xml:space="preserve"> </v>
          </cell>
          <cell r="BF48"/>
          <cell r="BG48"/>
          <cell r="BH48" t="str">
            <v xml:space="preserve"> </v>
          </cell>
          <cell r="BI48"/>
          <cell r="BJ48" t="str">
            <v xml:space="preserve"> </v>
          </cell>
          <cell r="BK48"/>
          <cell r="BL48" t="str">
            <v xml:space="preserve"> </v>
          </cell>
          <cell r="BM48" t="str">
            <v xml:space="preserve"> </v>
          </cell>
          <cell r="BN48"/>
          <cell r="BO48" t="str">
            <v xml:space="preserve"> </v>
          </cell>
        </row>
        <row r="49">
          <cell r="B49">
            <v>46067</v>
          </cell>
          <cell r="C49"/>
          <cell r="D49" t="str">
            <v xml:space="preserve"> </v>
          </cell>
          <cell r="E49" t="str">
            <v xml:space="preserve"> </v>
          </cell>
          <cell r="F49"/>
          <cell r="G49" t="str">
            <v xml:space="preserve"> </v>
          </cell>
          <cell r="H49"/>
          <cell r="I49" t="str">
            <v xml:space="preserve"> </v>
          </cell>
          <cell r="J49" t="str">
            <v xml:space="preserve"> </v>
          </cell>
          <cell r="K49"/>
          <cell r="L49" t="str">
            <v xml:space="preserve"> </v>
          </cell>
          <cell r="M49"/>
          <cell r="N49" t="str">
            <v xml:space="preserve"> </v>
          </cell>
          <cell r="O49" t="str">
            <v xml:space="preserve"> </v>
          </cell>
          <cell r="P49"/>
          <cell r="Q49" t="str">
            <v xml:space="preserve"> </v>
          </cell>
          <cell r="R49"/>
          <cell r="S49" t="str">
            <v xml:space="preserve"> </v>
          </cell>
          <cell r="T49" t="str">
            <v xml:space="preserve"> </v>
          </cell>
          <cell r="U49"/>
          <cell r="V49" t="str">
            <v xml:space="preserve"> </v>
          </cell>
          <cell r="W49" t="str">
            <v xml:space="preserve"> </v>
          </cell>
          <cell r="X49"/>
          <cell r="Y49" t="str">
            <v xml:space="preserve"> </v>
          </cell>
          <cell r="Z49"/>
          <cell r="AA49" t="str">
            <v xml:space="preserve"> </v>
          </cell>
          <cell r="AB49" t="str">
            <v xml:space="preserve"> </v>
          </cell>
          <cell r="AC49"/>
          <cell r="AD49" t="str">
            <v xml:space="preserve"> </v>
          </cell>
          <cell r="AE49"/>
          <cell r="AF49" t="str">
            <v xml:space="preserve"> </v>
          </cell>
          <cell r="AG49"/>
          <cell r="AH49"/>
          <cell r="AI49"/>
          <cell r="AJ49"/>
          <cell r="AK49" t="str">
            <v/>
          </cell>
          <cell r="AL49"/>
          <cell r="AM49" t="str">
            <v xml:space="preserve"> </v>
          </cell>
          <cell r="AN49" t="str">
            <v xml:space="preserve"> </v>
          </cell>
          <cell r="AO49"/>
          <cell r="AP49" t="str">
            <v xml:space="preserve"> </v>
          </cell>
          <cell r="AQ49"/>
          <cell r="AR49" t="str">
            <v xml:space="preserve"> </v>
          </cell>
          <cell r="AS49" t="str">
            <v xml:space="preserve"> </v>
          </cell>
          <cell r="AT49"/>
          <cell r="AU49" t="str">
            <v xml:space="preserve"> </v>
          </cell>
          <cell r="AV49"/>
          <cell r="AW49"/>
          <cell r="AX49" t="str">
            <v xml:space="preserve"> </v>
          </cell>
          <cell r="AY49"/>
          <cell r="AZ49" t="str">
            <v xml:space="preserve"> </v>
          </cell>
          <cell r="BA49"/>
          <cell r="BB49"/>
          <cell r="BC49" t="str">
            <v xml:space="preserve"> </v>
          </cell>
          <cell r="BD49"/>
          <cell r="BE49" t="str">
            <v xml:space="preserve"> </v>
          </cell>
          <cell r="BF49"/>
          <cell r="BG49"/>
          <cell r="BH49" t="str">
            <v xml:space="preserve"> </v>
          </cell>
          <cell r="BI49"/>
          <cell r="BJ49" t="str">
            <v xml:space="preserve"> </v>
          </cell>
          <cell r="BK49"/>
          <cell r="BL49" t="str">
            <v xml:space="preserve"> </v>
          </cell>
          <cell r="BM49" t="str">
            <v xml:space="preserve"> </v>
          </cell>
          <cell r="BN49"/>
          <cell r="BO49" t="str">
            <v xml:space="preserve"> </v>
          </cell>
        </row>
        <row r="50">
          <cell r="B50">
            <v>46068</v>
          </cell>
          <cell r="C50"/>
          <cell r="D50" t="str">
            <v xml:space="preserve"> </v>
          </cell>
          <cell r="E50" t="str">
            <v xml:space="preserve"> </v>
          </cell>
          <cell r="F50"/>
          <cell r="G50" t="str">
            <v xml:space="preserve"> </v>
          </cell>
          <cell r="H50"/>
          <cell r="I50" t="str">
            <v xml:space="preserve"> </v>
          </cell>
          <cell r="J50" t="str">
            <v xml:space="preserve"> </v>
          </cell>
          <cell r="K50"/>
          <cell r="L50" t="str">
            <v xml:space="preserve"> </v>
          </cell>
          <cell r="M50"/>
          <cell r="N50" t="str">
            <v xml:space="preserve"> </v>
          </cell>
          <cell r="O50" t="str">
            <v xml:space="preserve"> </v>
          </cell>
          <cell r="P50"/>
          <cell r="Q50" t="str">
            <v xml:space="preserve"> </v>
          </cell>
          <cell r="R50"/>
          <cell r="S50" t="str">
            <v xml:space="preserve"> </v>
          </cell>
          <cell r="T50" t="str">
            <v xml:space="preserve"> </v>
          </cell>
          <cell r="U50"/>
          <cell r="V50" t="str">
            <v xml:space="preserve"> </v>
          </cell>
          <cell r="W50" t="str">
            <v xml:space="preserve"> </v>
          </cell>
          <cell r="X50"/>
          <cell r="Y50" t="str">
            <v xml:space="preserve"> </v>
          </cell>
          <cell r="Z50"/>
          <cell r="AA50" t="str">
            <v xml:space="preserve"> </v>
          </cell>
          <cell r="AB50" t="str">
            <v xml:space="preserve"> </v>
          </cell>
          <cell r="AC50"/>
          <cell r="AD50" t="str">
            <v xml:space="preserve"> </v>
          </cell>
          <cell r="AE50"/>
          <cell r="AF50" t="str">
            <v xml:space="preserve"> </v>
          </cell>
          <cell r="AG50"/>
          <cell r="AH50"/>
          <cell r="AI50"/>
          <cell r="AJ50"/>
          <cell r="AK50" t="str">
            <v/>
          </cell>
          <cell r="AL50"/>
          <cell r="AM50" t="str">
            <v xml:space="preserve"> </v>
          </cell>
          <cell r="AN50" t="str">
            <v xml:space="preserve"> </v>
          </cell>
          <cell r="AO50"/>
          <cell r="AP50" t="str">
            <v xml:space="preserve"> </v>
          </cell>
          <cell r="AQ50"/>
          <cell r="AR50" t="str">
            <v xml:space="preserve"> </v>
          </cell>
          <cell r="AS50" t="str">
            <v xml:space="preserve"> </v>
          </cell>
          <cell r="AT50"/>
          <cell r="AU50" t="str">
            <v xml:space="preserve"> </v>
          </cell>
          <cell r="AV50"/>
          <cell r="AW50"/>
          <cell r="AX50" t="str">
            <v xml:space="preserve"> </v>
          </cell>
          <cell r="AY50"/>
          <cell r="AZ50" t="str">
            <v xml:space="preserve"> </v>
          </cell>
          <cell r="BA50"/>
          <cell r="BB50"/>
          <cell r="BC50" t="str">
            <v xml:space="preserve"> </v>
          </cell>
          <cell r="BD50"/>
          <cell r="BE50" t="str">
            <v xml:space="preserve"> </v>
          </cell>
          <cell r="BF50"/>
          <cell r="BG50"/>
          <cell r="BH50" t="str">
            <v xml:space="preserve"> </v>
          </cell>
          <cell r="BI50"/>
          <cell r="BJ50" t="str">
            <v xml:space="preserve"> </v>
          </cell>
          <cell r="BK50"/>
          <cell r="BL50" t="str">
            <v xml:space="preserve"> </v>
          </cell>
          <cell r="BM50" t="str">
            <v xml:space="preserve"> </v>
          </cell>
          <cell r="BN50"/>
          <cell r="BO50" t="str">
            <v xml:space="preserve"> </v>
          </cell>
        </row>
        <row r="51">
          <cell r="B51">
            <v>46069</v>
          </cell>
          <cell r="C51"/>
          <cell r="D51" t="str">
            <v xml:space="preserve"> </v>
          </cell>
          <cell r="E51" t="str">
            <v xml:space="preserve"> </v>
          </cell>
          <cell r="F51"/>
          <cell r="G51" t="str">
            <v xml:space="preserve"> </v>
          </cell>
          <cell r="H51"/>
          <cell r="I51" t="str">
            <v xml:space="preserve"> </v>
          </cell>
          <cell r="J51" t="str">
            <v xml:space="preserve"> </v>
          </cell>
          <cell r="K51"/>
          <cell r="L51" t="str">
            <v xml:space="preserve"> </v>
          </cell>
          <cell r="M51"/>
          <cell r="N51" t="str">
            <v xml:space="preserve"> </v>
          </cell>
          <cell r="O51" t="str">
            <v xml:space="preserve"> </v>
          </cell>
          <cell r="P51"/>
          <cell r="Q51" t="str">
            <v xml:space="preserve"> </v>
          </cell>
          <cell r="R51"/>
          <cell r="S51" t="str">
            <v xml:space="preserve"> </v>
          </cell>
          <cell r="T51" t="str">
            <v xml:space="preserve"> </v>
          </cell>
          <cell r="U51"/>
          <cell r="V51" t="str">
            <v xml:space="preserve"> </v>
          </cell>
          <cell r="W51" t="str">
            <v xml:space="preserve"> </v>
          </cell>
          <cell r="X51"/>
          <cell r="Y51" t="str">
            <v xml:space="preserve"> </v>
          </cell>
          <cell r="Z51"/>
          <cell r="AA51" t="str">
            <v xml:space="preserve"> </v>
          </cell>
          <cell r="AB51" t="str">
            <v xml:space="preserve"> </v>
          </cell>
          <cell r="AC51"/>
          <cell r="AD51" t="str">
            <v xml:space="preserve"> </v>
          </cell>
          <cell r="AE51"/>
          <cell r="AF51" t="str">
            <v xml:space="preserve"> </v>
          </cell>
          <cell r="AG51"/>
          <cell r="AH51"/>
          <cell r="AI51"/>
          <cell r="AJ51"/>
          <cell r="AK51" t="str">
            <v/>
          </cell>
          <cell r="AL51"/>
          <cell r="AM51" t="str">
            <v xml:space="preserve"> </v>
          </cell>
          <cell r="AN51" t="str">
            <v xml:space="preserve"> </v>
          </cell>
          <cell r="AO51"/>
          <cell r="AP51" t="str">
            <v xml:space="preserve"> </v>
          </cell>
          <cell r="AQ51"/>
          <cell r="AR51" t="str">
            <v xml:space="preserve"> </v>
          </cell>
          <cell r="AS51" t="str">
            <v xml:space="preserve"> </v>
          </cell>
          <cell r="AT51"/>
          <cell r="AU51" t="str">
            <v xml:space="preserve"> </v>
          </cell>
          <cell r="AV51"/>
          <cell r="AW51"/>
          <cell r="AX51" t="str">
            <v xml:space="preserve"> </v>
          </cell>
          <cell r="AY51"/>
          <cell r="AZ51" t="str">
            <v xml:space="preserve"> </v>
          </cell>
          <cell r="BA51"/>
          <cell r="BB51"/>
          <cell r="BC51" t="str">
            <v xml:space="preserve"> </v>
          </cell>
          <cell r="BD51"/>
          <cell r="BE51" t="str">
            <v xml:space="preserve"> </v>
          </cell>
          <cell r="BF51"/>
          <cell r="BG51"/>
          <cell r="BH51" t="str">
            <v xml:space="preserve"> </v>
          </cell>
          <cell r="BI51"/>
          <cell r="BJ51" t="str">
            <v xml:space="preserve"> </v>
          </cell>
          <cell r="BK51"/>
          <cell r="BL51" t="str">
            <v xml:space="preserve"> </v>
          </cell>
          <cell r="BM51" t="str">
            <v xml:space="preserve"> </v>
          </cell>
          <cell r="BN51"/>
          <cell r="BO51" t="str">
            <v xml:space="preserve"> </v>
          </cell>
        </row>
        <row r="52">
          <cell r="B52">
            <v>46070</v>
          </cell>
          <cell r="C52"/>
          <cell r="D52" t="str">
            <v xml:space="preserve"> </v>
          </cell>
          <cell r="E52" t="str">
            <v xml:space="preserve"> </v>
          </cell>
          <cell r="F52"/>
          <cell r="G52" t="str">
            <v xml:space="preserve"> </v>
          </cell>
          <cell r="H52"/>
          <cell r="I52" t="str">
            <v xml:space="preserve"> </v>
          </cell>
          <cell r="J52" t="str">
            <v xml:space="preserve"> </v>
          </cell>
          <cell r="K52"/>
          <cell r="L52" t="str">
            <v xml:space="preserve"> </v>
          </cell>
          <cell r="M52"/>
          <cell r="N52" t="str">
            <v xml:space="preserve"> </v>
          </cell>
          <cell r="O52" t="str">
            <v xml:space="preserve"> </v>
          </cell>
          <cell r="P52"/>
          <cell r="Q52" t="str">
            <v xml:space="preserve"> </v>
          </cell>
          <cell r="R52"/>
          <cell r="S52" t="str">
            <v xml:space="preserve"> </v>
          </cell>
          <cell r="T52" t="str">
            <v xml:space="preserve"> </v>
          </cell>
          <cell r="U52"/>
          <cell r="V52" t="str">
            <v xml:space="preserve"> </v>
          </cell>
          <cell r="W52" t="str">
            <v xml:space="preserve"> </v>
          </cell>
          <cell r="X52"/>
          <cell r="Y52" t="str">
            <v xml:space="preserve"> </v>
          </cell>
          <cell r="Z52"/>
          <cell r="AA52" t="str">
            <v xml:space="preserve"> </v>
          </cell>
          <cell r="AB52" t="str">
            <v xml:space="preserve"> </v>
          </cell>
          <cell r="AC52"/>
          <cell r="AD52" t="str">
            <v xml:space="preserve"> </v>
          </cell>
          <cell r="AE52"/>
          <cell r="AF52" t="str">
            <v xml:space="preserve"> </v>
          </cell>
          <cell r="AG52"/>
          <cell r="AH52"/>
          <cell r="AI52"/>
          <cell r="AJ52"/>
          <cell r="AK52" t="str">
            <v/>
          </cell>
          <cell r="AL52"/>
          <cell r="AM52" t="str">
            <v xml:space="preserve"> </v>
          </cell>
          <cell r="AN52" t="str">
            <v xml:space="preserve"> </v>
          </cell>
          <cell r="AO52"/>
          <cell r="AP52" t="str">
            <v xml:space="preserve"> </v>
          </cell>
          <cell r="AQ52"/>
          <cell r="AR52" t="str">
            <v xml:space="preserve"> </v>
          </cell>
          <cell r="AS52" t="str">
            <v xml:space="preserve"> </v>
          </cell>
          <cell r="AT52"/>
          <cell r="AU52" t="str">
            <v xml:space="preserve"> </v>
          </cell>
          <cell r="AV52"/>
          <cell r="AW52"/>
          <cell r="AX52" t="str">
            <v xml:space="preserve"> </v>
          </cell>
          <cell r="AY52"/>
          <cell r="AZ52" t="str">
            <v xml:space="preserve"> </v>
          </cell>
          <cell r="BA52"/>
          <cell r="BB52"/>
          <cell r="BC52" t="str">
            <v xml:space="preserve"> </v>
          </cell>
          <cell r="BD52"/>
          <cell r="BE52" t="str">
            <v xml:space="preserve"> </v>
          </cell>
          <cell r="BF52"/>
          <cell r="BG52"/>
          <cell r="BH52" t="str">
            <v xml:space="preserve"> </v>
          </cell>
          <cell r="BI52"/>
          <cell r="BJ52" t="str">
            <v xml:space="preserve"> </v>
          </cell>
          <cell r="BK52"/>
          <cell r="BL52" t="str">
            <v xml:space="preserve"> </v>
          </cell>
          <cell r="BM52" t="str">
            <v xml:space="preserve"> </v>
          </cell>
          <cell r="BN52"/>
          <cell r="BO52" t="str">
            <v xml:space="preserve"> </v>
          </cell>
        </row>
        <row r="53">
          <cell r="B53">
            <v>46071</v>
          </cell>
          <cell r="C53"/>
          <cell r="D53" t="str">
            <v xml:space="preserve"> </v>
          </cell>
          <cell r="E53" t="str">
            <v xml:space="preserve"> </v>
          </cell>
          <cell r="F53"/>
          <cell r="G53" t="str">
            <v xml:space="preserve"> </v>
          </cell>
          <cell r="H53"/>
          <cell r="I53" t="str">
            <v xml:space="preserve"> </v>
          </cell>
          <cell r="J53" t="str">
            <v xml:space="preserve"> </v>
          </cell>
          <cell r="K53"/>
          <cell r="L53" t="str">
            <v xml:space="preserve"> </v>
          </cell>
          <cell r="M53"/>
          <cell r="N53" t="str">
            <v xml:space="preserve"> </v>
          </cell>
          <cell r="O53" t="str">
            <v xml:space="preserve"> </v>
          </cell>
          <cell r="P53"/>
          <cell r="Q53" t="str">
            <v xml:space="preserve"> </v>
          </cell>
          <cell r="R53"/>
          <cell r="S53" t="str">
            <v xml:space="preserve"> </v>
          </cell>
          <cell r="T53" t="str">
            <v xml:space="preserve"> </v>
          </cell>
          <cell r="U53"/>
          <cell r="V53" t="str">
            <v xml:space="preserve"> </v>
          </cell>
          <cell r="W53" t="str">
            <v xml:space="preserve"> </v>
          </cell>
          <cell r="X53"/>
          <cell r="Y53" t="str">
            <v xml:space="preserve"> </v>
          </cell>
          <cell r="Z53"/>
          <cell r="AA53" t="str">
            <v xml:space="preserve"> </v>
          </cell>
          <cell r="AB53" t="str">
            <v xml:space="preserve"> </v>
          </cell>
          <cell r="AC53"/>
          <cell r="AD53" t="str">
            <v xml:space="preserve"> </v>
          </cell>
          <cell r="AE53"/>
          <cell r="AF53" t="str">
            <v xml:space="preserve"> </v>
          </cell>
          <cell r="AG53"/>
          <cell r="AH53"/>
          <cell r="AI53"/>
          <cell r="AJ53"/>
          <cell r="AK53" t="str">
            <v/>
          </cell>
          <cell r="AL53"/>
          <cell r="AM53" t="str">
            <v xml:space="preserve"> </v>
          </cell>
          <cell r="AN53" t="str">
            <v xml:space="preserve"> </v>
          </cell>
          <cell r="AO53"/>
          <cell r="AP53" t="str">
            <v xml:space="preserve"> </v>
          </cell>
          <cell r="AQ53"/>
          <cell r="AR53" t="str">
            <v xml:space="preserve"> </v>
          </cell>
          <cell r="AS53" t="str">
            <v xml:space="preserve"> </v>
          </cell>
          <cell r="AT53"/>
          <cell r="AU53" t="str">
            <v xml:space="preserve"> </v>
          </cell>
          <cell r="AV53"/>
          <cell r="AW53"/>
          <cell r="AX53" t="str">
            <v xml:space="preserve"> </v>
          </cell>
          <cell r="AY53"/>
          <cell r="AZ53" t="str">
            <v xml:space="preserve"> </v>
          </cell>
          <cell r="BA53"/>
          <cell r="BB53"/>
          <cell r="BC53" t="str">
            <v xml:space="preserve"> </v>
          </cell>
          <cell r="BD53"/>
          <cell r="BE53" t="str">
            <v xml:space="preserve"> </v>
          </cell>
          <cell r="BF53"/>
          <cell r="BG53"/>
          <cell r="BH53" t="str">
            <v xml:space="preserve"> </v>
          </cell>
          <cell r="BI53"/>
          <cell r="BJ53" t="str">
            <v xml:space="preserve"> </v>
          </cell>
          <cell r="BK53"/>
          <cell r="BL53" t="str">
            <v xml:space="preserve"> </v>
          </cell>
          <cell r="BM53" t="str">
            <v xml:space="preserve"> </v>
          </cell>
          <cell r="BN53"/>
          <cell r="BO53" t="str">
            <v xml:space="preserve"> </v>
          </cell>
        </row>
        <row r="54">
          <cell r="B54">
            <v>46072</v>
          </cell>
          <cell r="C54"/>
          <cell r="D54" t="str">
            <v xml:space="preserve"> </v>
          </cell>
          <cell r="E54" t="str">
            <v xml:space="preserve"> </v>
          </cell>
          <cell r="F54"/>
          <cell r="G54" t="str">
            <v xml:space="preserve"> </v>
          </cell>
          <cell r="H54"/>
          <cell r="I54" t="str">
            <v xml:space="preserve"> </v>
          </cell>
          <cell r="J54" t="str">
            <v xml:space="preserve"> </v>
          </cell>
          <cell r="K54"/>
          <cell r="L54" t="str">
            <v xml:space="preserve"> </v>
          </cell>
          <cell r="M54"/>
          <cell r="N54" t="str">
            <v xml:space="preserve"> </v>
          </cell>
          <cell r="O54" t="str">
            <v xml:space="preserve"> </v>
          </cell>
          <cell r="P54"/>
          <cell r="Q54" t="str">
            <v xml:space="preserve"> </v>
          </cell>
          <cell r="R54"/>
          <cell r="S54" t="str">
            <v xml:space="preserve"> </v>
          </cell>
          <cell r="T54" t="str">
            <v xml:space="preserve"> </v>
          </cell>
          <cell r="U54"/>
          <cell r="V54" t="str">
            <v xml:space="preserve"> </v>
          </cell>
          <cell r="W54" t="str">
            <v xml:space="preserve"> </v>
          </cell>
          <cell r="X54"/>
          <cell r="Y54" t="str">
            <v xml:space="preserve"> </v>
          </cell>
          <cell r="Z54"/>
          <cell r="AA54" t="str">
            <v xml:space="preserve"> </v>
          </cell>
          <cell r="AB54" t="str">
            <v xml:space="preserve"> </v>
          </cell>
          <cell r="AC54"/>
          <cell r="AD54" t="str">
            <v xml:space="preserve"> </v>
          </cell>
          <cell r="AE54"/>
          <cell r="AF54" t="str">
            <v xml:space="preserve"> </v>
          </cell>
          <cell r="AG54"/>
          <cell r="AH54"/>
          <cell r="AI54"/>
          <cell r="AJ54"/>
          <cell r="AK54" t="str">
            <v/>
          </cell>
          <cell r="AL54"/>
          <cell r="AM54" t="str">
            <v xml:space="preserve"> </v>
          </cell>
          <cell r="AN54" t="str">
            <v xml:space="preserve"> </v>
          </cell>
          <cell r="AO54"/>
          <cell r="AP54" t="str">
            <v xml:space="preserve"> </v>
          </cell>
          <cell r="AQ54"/>
          <cell r="AR54" t="str">
            <v xml:space="preserve"> </v>
          </cell>
          <cell r="AS54" t="str">
            <v xml:space="preserve"> </v>
          </cell>
          <cell r="AT54"/>
          <cell r="AU54" t="str">
            <v xml:space="preserve"> </v>
          </cell>
          <cell r="AV54"/>
          <cell r="AW54"/>
          <cell r="AX54" t="str">
            <v xml:space="preserve"> </v>
          </cell>
          <cell r="AY54"/>
          <cell r="AZ54" t="str">
            <v xml:space="preserve"> </v>
          </cell>
          <cell r="BA54"/>
          <cell r="BB54"/>
          <cell r="BC54" t="str">
            <v xml:space="preserve"> </v>
          </cell>
          <cell r="BD54"/>
          <cell r="BE54" t="str">
            <v xml:space="preserve"> </v>
          </cell>
          <cell r="BF54"/>
          <cell r="BG54"/>
          <cell r="BH54" t="str">
            <v xml:space="preserve"> </v>
          </cell>
          <cell r="BI54"/>
          <cell r="BJ54" t="str">
            <v xml:space="preserve"> </v>
          </cell>
          <cell r="BK54"/>
          <cell r="BL54" t="str">
            <v xml:space="preserve"> </v>
          </cell>
          <cell r="BM54" t="str">
            <v xml:space="preserve"> </v>
          </cell>
          <cell r="BN54"/>
          <cell r="BO54" t="str">
            <v xml:space="preserve"> </v>
          </cell>
        </row>
        <row r="55">
          <cell r="B55">
            <v>46073</v>
          </cell>
          <cell r="C55"/>
          <cell r="D55" t="str">
            <v xml:space="preserve"> </v>
          </cell>
          <cell r="E55" t="str">
            <v xml:space="preserve"> </v>
          </cell>
          <cell r="F55"/>
          <cell r="G55" t="str">
            <v xml:space="preserve"> </v>
          </cell>
          <cell r="H55"/>
          <cell r="I55" t="str">
            <v xml:space="preserve"> </v>
          </cell>
          <cell r="J55" t="str">
            <v xml:space="preserve"> </v>
          </cell>
          <cell r="K55"/>
          <cell r="L55" t="str">
            <v xml:space="preserve"> </v>
          </cell>
          <cell r="M55"/>
          <cell r="N55" t="str">
            <v xml:space="preserve"> </v>
          </cell>
          <cell r="O55" t="str">
            <v xml:space="preserve"> </v>
          </cell>
          <cell r="P55"/>
          <cell r="Q55" t="str">
            <v xml:space="preserve"> </v>
          </cell>
          <cell r="R55"/>
          <cell r="S55" t="str">
            <v xml:space="preserve"> </v>
          </cell>
          <cell r="T55" t="str">
            <v xml:space="preserve"> </v>
          </cell>
          <cell r="U55"/>
          <cell r="V55" t="str">
            <v xml:space="preserve"> </v>
          </cell>
          <cell r="W55" t="str">
            <v xml:space="preserve"> </v>
          </cell>
          <cell r="X55"/>
          <cell r="Y55" t="str">
            <v xml:space="preserve"> </v>
          </cell>
          <cell r="Z55"/>
          <cell r="AA55" t="str">
            <v xml:space="preserve"> </v>
          </cell>
          <cell r="AB55" t="str">
            <v xml:space="preserve"> </v>
          </cell>
          <cell r="AC55"/>
          <cell r="AD55" t="str">
            <v xml:space="preserve"> </v>
          </cell>
          <cell r="AE55"/>
          <cell r="AF55" t="str">
            <v xml:space="preserve"> </v>
          </cell>
          <cell r="AG55"/>
          <cell r="AH55"/>
          <cell r="AI55"/>
          <cell r="AJ55"/>
          <cell r="AK55" t="str">
            <v/>
          </cell>
          <cell r="AL55"/>
          <cell r="AM55" t="str">
            <v xml:space="preserve"> </v>
          </cell>
          <cell r="AN55" t="str">
            <v xml:space="preserve"> </v>
          </cell>
          <cell r="AO55"/>
          <cell r="AP55" t="str">
            <v xml:space="preserve"> </v>
          </cell>
          <cell r="AQ55"/>
          <cell r="AR55" t="str">
            <v xml:space="preserve"> </v>
          </cell>
          <cell r="AS55" t="str">
            <v xml:space="preserve"> </v>
          </cell>
          <cell r="AT55"/>
          <cell r="AU55" t="str">
            <v xml:space="preserve"> </v>
          </cell>
          <cell r="AV55"/>
          <cell r="AW55"/>
          <cell r="AX55" t="str">
            <v xml:space="preserve"> </v>
          </cell>
          <cell r="AY55"/>
          <cell r="AZ55" t="str">
            <v xml:space="preserve"> </v>
          </cell>
          <cell r="BA55"/>
          <cell r="BB55"/>
          <cell r="BC55" t="str">
            <v xml:space="preserve"> </v>
          </cell>
          <cell r="BD55"/>
          <cell r="BE55" t="str">
            <v xml:space="preserve"> </v>
          </cell>
          <cell r="BF55"/>
          <cell r="BG55"/>
          <cell r="BH55" t="str">
            <v xml:space="preserve"> </v>
          </cell>
          <cell r="BI55"/>
          <cell r="BJ55" t="str">
            <v xml:space="preserve"> </v>
          </cell>
          <cell r="BK55"/>
          <cell r="BL55" t="str">
            <v xml:space="preserve"> </v>
          </cell>
          <cell r="BM55" t="str">
            <v xml:space="preserve"> </v>
          </cell>
          <cell r="BN55"/>
          <cell r="BO55" t="str">
            <v xml:space="preserve"> </v>
          </cell>
        </row>
        <row r="56">
          <cell r="B56">
            <v>46074</v>
          </cell>
          <cell r="C56"/>
          <cell r="D56" t="str">
            <v xml:space="preserve"> </v>
          </cell>
          <cell r="E56" t="str">
            <v xml:space="preserve"> </v>
          </cell>
          <cell r="F56"/>
          <cell r="G56" t="str">
            <v xml:space="preserve"> </v>
          </cell>
          <cell r="H56"/>
          <cell r="I56" t="str">
            <v xml:space="preserve"> </v>
          </cell>
          <cell r="J56" t="str">
            <v xml:space="preserve"> </v>
          </cell>
          <cell r="K56"/>
          <cell r="L56" t="str">
            <v xml:space="preserve"> </v>
          </cell>
          <cell r="M56"/>
          <cell r="N56" t="str">
            <v xml:space="preserve"> </v>
          </cell>
          <cell r="O56" t="str">
            <v xml:space="preserve"> </v>
          </cell>
          <cell r="P56"/>
          <cell r="Q56" t="str">
            <v xml:space="preserve"> </v>
          </cell>
          <cell r="R56"/>
          <cell r="S56" t="str">
            <v xml:space="preserve"> </v>
          </cell>
          <cell r="T56" t="str">
            <v xml:space="preserve"> </v>
          </cell>
          <cell r="U56"/>
          <cell r="V56" t="str">
            <v xml:space="preserve"> </v>
          </cell>
          <cell r="W56" t="str">
            <v xml:space="preserve"> </v>
          </cell>
          <cell r="X56"/>
          <cell r="Y56" t="str">
            <v xml:space="preserve"> </v>
          </cell>
          <cell r="Z56"/>
          <cell r="AA56" t="str">
            <v xml:space="preserve"> </v>
          </cell>
          <cell r="AB56" t="str">
            <v xml:space="preserve"> </v>
          </cell>
          <cell r="AC56"/>
          <cell r="AD56" t="str">
            <v xml:space="preserve"> </v>
          </cell>
          <cell r="AE56"/>
          <cell r="AF56" t="str">
            <v xml:space="preserve"> </v>
          </cell>
          <cell r="AG56"/>
          <cell r="AH56"/>
          <cell r="AI56"/>
          <cell r="AJ56"/>
          <cell r="AK56" t="str">
            <v/>
          </cell>
          <cell r="AL56"/>
          <cell r="AM56" t="str">
            <v xml:space="preserve"> </v>
          </cell>
          <cell r="AN56" t="str">
            <v xml:space="preserve"> </v>
          </cell>
          <cell r="AO56"/>
          <cell r="AP56" t="str">
            <v xml:space="preserve"> </v>
          </cell>
          <cell r="AQ56"/>
          <cell r="AR56" t="str">
            <v xml:space="preserve"> </v>
          </cell>
          <cell r="AS56" t="str">
            <v xml:space="preserve"> </v>
          </cell>
          <cell r="AT56"/>
          <cell r="AU56" t="str">
            <v xml:space="preserve"> </v>
          </cell>
          <cell r="AV56"/>
          <cell r="AW56"/>
          <cell r="AX56" t="str">
            <v xml:space="preserve"> </v>
          </cell>
          <cell r="AY56"/>
          <cell r="AZ56" t="str">
            <v xml:space="preserve"> </v>
          </cell>
          <cell r="BA56"/>
          <cell r="BB56"/>
          <cell r="BC56" t="str">
            <v xml:space="preserve"> </v>
          </cell>
          <cell r="BD56"/>
          <cell r="BE56" t="str">
            <v xml:space="preserve"> </v>
          </cell>
          <cell r="BF56"/>
          <cell r="BG56"/>
          <cell r="BH56" t="str">
            <v xml:space="preserve"> </v>
          </cell>
          <cell r="BI56"/>
          <cell r="BJ56" t="str">
            <v xml:space="preserve"> </v>
          </cell>
          <cell r="BK56"/>
          <cell r="BL56" t="str">
            <v xml:space="preserve"> </v>
          </cell>
          <cell r="BM56" t="str">
            <v xml:space="preserve"> </v>
          </cell>
          <cell r="BN56"/>
          <cell r="BO56" t="str">
            <v xml:space="preserve"> </v>
          </cell>
        </row>
        <row r="57">
          <cell r="B57">
            <v>46075</v>
          </cell>
          <cell r="C57"/>
          <cell r="D57" t="str">
            <v xml:space="preserve"> </v>
          </cell>
          <cell r="E57" t="str">
            <v xml:space="preserve"> </v>
          </cell>
          <cell r="F57"/>
          <cell r="G57" t="str">
            <v xml:space="preserve"> </v>
          </cell>
          <cell r="H57"/>
          <cell r="I57" t="str">
            <v xml:space="preserve"> </v>
          </cell>
          <cell r="J57" t="str">
            <v xml:space="preserve"> </v>
          </cell>
          <cell r="K57"/>
          <cell r="L57" t="str">
            <v xml:space="preserve"> </v>
          </cell>
          <cell r="M57"/>
          <cell r="N57" t="str">
            <v xml:space="preserve"> </v>
          </cell>
          <cell r="O57" t="str">
            <v xml:space="preserve"> </v>
          </cell>
          <cell r="P57"/>
          <cell r="Q57" t="str">
            <v xml:space="preserve"> </v>
          </cell>
          <cell r="R57"/>
          <cell r="S57" t="str">
            <v xml:space="preserve"> </v>
          </cell>
          <cell r="T57" t="str">
            <v xml:space="preserve"> </v>
          </cell>
          <cell r="U57"/>
          <cell r="V57" t="str">
            <v xml:space="preserve"> </v>
          </cell>
          <cell r="W57" t="str">
            <v xml:space="preserve"> </v>
          </cell>
          <cell r="X57"/>
          <cell r="Y57" t="str">
            <v xml:space="preserve"> </v>
          </cell>
          <cell r="Z57"/>
          <cell r="AA57" t="str">
            <v xml:space="preserve"> </v>
          </cell>
          <cell r="AB57" t="str">
            <v xml:space="preserve"> </v>
          </cell>
          <cell r="AC57"/>
          <cell r="AD57" t="str">
            <v xml:space="preserve"> </v>
          </cell>
          <cell r="AE57"/>
          <cell r="AF57" t="str">
            <v xml:space="preserve"> </v>
          </cell>
          <cell r="AG57"/>
          <cell r="AH57"/>
          <cell r="AI57"/>
          <cell r="AJ57"/>
          <cell r="AK57" t="str">
            <v/>
          </cell>
          <cell r="AL57"/>
          <cell r="AM57" t="str">
            <v xml:space="preserve"> </v>
          </cell>
          <cell r="AN57" t="str">
            <v xml:space="preserve"> </v>
          </cell>
          <cell r="AO57"/>
          <cell r="AP57" t="str">
            <v xml:space="preserve"> </v>
          </cell>
          <cell r="AQ57"/>
          <cell r="AR57" t="str">
            <v xml:space="preserve"> </v>
          </cell>
          <cell r="AS57" t="str">
            <v xml:space="preserve"> </v>
          </cell>
          <cell r="AT57"/>
          <cell r="AU57" t="str">
            <v xml:space="preserve"> </v>
          </cell>
          <cell r="AV57"/>
          <cell r="AW57"/>
          <cell r="AX57" t="str">
            <v xml:space="preserve"> </v>
          </cell>
          <cell r="AY57"/>
          <cell r="AZ57" t="str">
            <v xml:space="preserve"> </v>
          </cell>
          <cell r="BA57"/>
          <cell r="BB57"/>
          <cell r="BC57" t="str">
            <v xml:space="preserve"> </v>
          </cell>
          <cell r="BD57"/>
          <cell r="BE57" t="str">
            <v xml:space="preserve"> </v>
          </cell>
          <cell r="BF57"/>
          <cell r="BG57"/>
          <cell r="BH57" t="str">
            <v xml:space="preserve"> </v>
          </cell>
          <cell r="BI57"/>
          <cell r="BJ57" t="str">
            <v xml:space="preserve"> </v>
          </cell>
          <cell r="BK57"/>
          <cell r="BL57" t="str">
            <v xml:space="preserve"> </v>
          </cell>
          <cell r="BM57" t="str">
            <v xml:space="preserve"> </v>
          </cell>
          <cell r="BN57"/>
          <cell r="BO57" t="str">
            <v xml:space="preserve"> </v>
          </cell>
        </row>
        <row r="58">
          <cell r="B58">
            <v>46076</v>
          </cell>
          <cell r="C58"/>
          <cell r="D58" t="str">
            <v xml:space="preserve"> </v>
          </cell>
          <cell r="E58" t="str">
            <v xml:space="preserve"> </v>
          </cell>
          <cell r="F58"/>
          <cell r="G58" t="str">
            <v xml:space="preserve"> </v>
          </cell>
          <cell r="H58"/>
          <cell r="I58" t="str">
            <v xml:space="preserve"> </v>
          </cell>
          <cell r="J58" t="str">
            <v xml:space="preserve"> </v>
          </cell>
          <cell r="K58"/>
          <cell r="L58" t="str">
            <v xml:space="preserve"> </v>
          </cell>
          <cell r="M58"/>
          <cell r="N58" t="str">
            <v xml:space="preserve"> </v>
          </cell>
          <cell r="O58" t="str">
            <v xml:space="preserve"> </v>
          </cell>
          <cell r="P58"/>
          <cell r="Q58" t="str">
            <v xml:space="preserve"> </v>
          </cell>
          <cell r="R58"/>
          <cell r="S58" t="str">
            <v xml:space="preserve"> </v>
          </cell>
          <cell r="T58" t="str">
            <v xml:space="preserve"> </v>
          </cell>
          <cell r="U58"/>
          <cell r="V58" t="str">
            <v xml:space="preserve"> </v>
          </cell>
          <cell r="W58" t="str">
            <v xml:space="preserve"> </v>
          </cell>
          <cell r="X58"/>
          <cell r="Y58" t="str">
            <v xml:space="preserve"> </v>
          </cell>
          <cell r="Z58"/>
          <cell r="AA58" t="str">
            <v xml:space="preserve"> </v>
          </cell>
          <cell r="AB58" t="str">
            <v xml:space="preserve"> </v>
          </cell>
          <cell r="AC58"/>
          <cell r="AD58" t="str">
            <v xml:space="preserve"> </v>
          </cell>
          <cell r="AE58"/>
          <cell r="AF58" t="str">
            <v xml:space="preserve"> </v>
          </cell>
          <cell r="AG58"/>
          <cell r="AH58"/>
          <cell r="AI58"/>
          <cell r="AJ58"/>
          <cell r="AK58" t="str">
            <v/>
          </cell>
          <cell r="AL58"/>
          <cell r="AM58" t="str">
            <v xml:space="preserve"> </v>
          </cell>
          <cell r="AN58" t="str">
            <v xml:space="preserve"> </v>
          </cell>
          <cell r="AO58"/>
          <cell r="AP58" t="str">
            <v xml:space="preserve"> </v>
          </cell>
          <cell r="AQ58"/>
          <cell r="AR58" t="str">
            <v xml:space="preserve"> </v>
          </cell>
          <cell r="AS58" t="str">
            <v xml:space="preserve"> </v>
          </cell>
          <cell r="AT58"/>
          <cell r="AU58" t="str">
            <v xml:space="preserve"> </v>
          </cell>
          <cell r="AV58"/>
          <cell r="AW58"/>
          <cell r="AX58" t="str">
            <v xml:space="preserve"> </v>
          </cell>
          <cell r="AY58"/>
          <cell r="AZ58" t="str">
            <v xml:space="preserve"> </v>
          </cell>
          <cell r="BA58"/>
          <cell r="BB58"/>
          <cell r="BC58" t="str">
            <v xml:space="preserve"> </v>
          </cell>
          <cell r="BD58"/>
          <cell r="BE58" t="str">
            <v xml:space="preserve"> </v>
          </cell>
          <cell r="BF58"/>
          <cell r="BG58"/>
          <cell r="BH58" t="str">
            <v xml:space="preserve"> </v>
          </cell>
          <cell r="BI58"/>
          <cell r="BJ58" t="str">
            <v xml:space="preserve"> </v>
          </cell>
          <cell r="BK58"/>
          <cell r="BL58" t="str">
            <v xml:space="preserve"> </v>
          </cell>
          <cell r="BM58" t="str">
            <v xml:space="preserve"> </v>
          </cell>
          <cell r="BN58"/>
          <cell r="BO58" t="str">
            <v xml:space="preserve"> </v>
          </cell>
        </row>
        <row r="59">
          <cell r="B59">
            <v>46077</v>
          </cell>
          <cell r="C59"/>
          <cell r="D59" t="str">
            <v xml:space="preserve"> </v>
          </cell>
          <cell r="E59" t="str">
            <v xml:space="preserve"> </v>
          </cell>
          <cell r="F59"/>
          <cell r="G59" t="str">
            <v xml:space="preserve"> </v>
          </cell>
          <cell r="H59"/>
          <cell r="I59" t="str">
            <v xml:space="preserve"> </v>
          </cell>
          <cell r="J59" t="str">
            <v xml:space="preserve"> </v>
          </cell>
          <cell r="K59"/>
          <cell r="L59" t="str">
            <v xml:space="preserve"> </v>
          </cell>
          <cell r="M59"/>
          <cell r="N59" t="str">
            <v xml:space="preserve"> </v>
          </cell>
          <cell r="O59" t="str">
            <v xml:space="preserve"> </v>
          </cell>
          <cell r="P59"/>
          <cell r="Q59" t="str">
            <v xml:space="preserve"> </v>
          </cell>
          <cell r="R59"/>
          <cell r="S59" t="str">
            <v xml:space="preserve"> </v>
          </cell>
          <cell r="T59" t="str">
            <v xml:space="preserve"> </v>
          </cell>
          <cell r="U59"/>
          <cell r="V59" t="str">
            <v xml:space="preserve"> </v>
          </cell>
          <cell r="W59" t="str">
            <v xml:space="preserve"> </v>
          </cell>
          <cell r="X59"/>
          <cell r="Y59" t="str">
            <v xml:space="preserve"> </v>
          </cell>
          <cell r="Z59"/>
          <cell r="AA59" t="str">
            <v xml:space="preserve"> </v>
          </cell>
          <cell r="AB59" t="str">
            <v xml:space="preserve"> </v>
          </cell>
          <cell r="AC59"/>
          <cell r="AD59" t="str">
            <v xml:space="preserve"> </v>
          </cell>
          <cell r="AE59"/>
          <cell r="AF59" t="str">
            <v xml:space="preserve"> </v>
          </cell>
          <cell r="AG59"/>
          <cell r="AH59"/>
          <cell r="AI59"/>
          <cell r="AJ59"/>
          <cell r="AK59" t="str">
            <v/>
          </cell>
          <cell r="AL59"/>
          <cell r="AM59" t="str">
            <v xml:space="preserve"> </v>
          </cell>
          <cell r="AN59" t="str">
            <v xml:space="preserve"> </v>
          </cell>
          <cell r="AO59"/>
          <cell r="AP59" t="str">
            <v xml:space="preserve"> </v>
          </cell>
          <cell r="AQ59"/>
          <cell r="AR59" t="str">
            <v xml:space="preserve"> </v>
          </cell>
          <cell r="AS59" t="str">
            <v xml:space="preserve"> </v>
          </cell>
          <cell r="AT59"/>
          <cell r="AU59" t="str">
            <v xml:space="preserve"> </v>
          </cell>
          <cell r="AV59"/>
          <cell r="AW59"/>
          <cell r="AX59" t="str">
            <v xml:space="preserve"> </v>
          </cell>
          <cell r="AY59"/>
          <cell r="AZ59" t="str">
            <v xml:space="preserve"> </v>
          </cell>
          <cell r="BA59"/>
          <cell r="BB59"/>
          <cell r="BC59" t="str">
            <v xml:space="preserve"> </v>
          </cell>
          <cell r="BD59"/>
          <cell r="BE59" t="str">
            <v xml:space="preserve"> </v>
          </cell>
          <cell r="BF59"/>
          <cell r="BG59"/>
          <cell r="BH59" t="str">
            <v xml:space="preserve"> </v>
          </cell>
          <cell r="BI59"/>
          <cell r="BJ59" t="str">
            <v xml:space="preserve"> </v>
          </cell>
          <cell r="BK59"/>
          <cell r="BL59" t="str">
            <v xml:space="preserve"> </v>
          </cell>
          <cell r="BM59" t="str">
            <v xml:space="preserve"> </v>
          </cell>
          <cell r="BN59"/>
          <cell r="BO59" t="str">
            <v xml:space="preserve"> </v>
          </cell>
        </row>
        <row r="60">
          <cell r="B60">
            <v>46078</v>
          </cell>
          <cell r="C60"/>
          <cell r="D60" t="str">
            <v xml:space="preserve"> </v>
          </cell>
          <cell r="E60" t="str">
            <v xml:space="preserve"> </v>
          </cell>
          <cell r="F60"/>
          <cell r="G60" t="str">
            <v xml:space="preserve"> </v>
          </cell>
          <cell r="H60"/>
          <cell r="I60" t="str">
            <v xml:space="preserve"> </v>
          </cell>
          <cell r="J60" t="str">
            <v xml:space="preserve"> </v>
          </cell>
          <cell r="K60"/>
          <cell r="L60" t="str">
            <v xml:space="preserve"> </v>
          </cell>
          <cell r="M60"/>
          <cell r="N60" t="str">
            <v xml:space="preserve"> </v>
          </cell>
          <cell r="O60" t="str">
            <v xml:space="preserve"> </v>
          </cell>
          <cell r="P60"/>
          <cell r="Q60" t="str">
            <v xml:space="preserve"> </v>
          </cell>
          <cell r="R60"/>
          <cell r="S60" t="str">
            <v xml:space="preserve"> </v>
          </cell>
          <cell r="T60" t="str">
            <v xml:space="preserve"> </v>
          </cell>
          <cell r="U60"/>
          <cell r="V60" t="str">
            <v xml:space="preserve"> </v>
          </cell>
          <cell r="W60" t="str">
            <v xml:space="preserve"> </v>
          </cell>
          <cell r="X60"/>
          <cell r="Y60" t="str">
            <v xml:space="preserve"> </v>
          </cell>
          <cell r="Z60"/>
          <cell r="AA60" t="str">
            <v xml:space="preserve"> </v>
          </cell>
          <cell r="AB60" t="str">
            <v xml:space="preserve"> </v>
          </cell>
          <cell r="AC60"/>
          <cell r="AD60" t="str">
            <v xml:space="preserve"> </v>
          </cell>
          <cell r="AE60"/>
          <cell r="AF60" t="str">
            <v xml:space="preserve"> </v>
          </cell>
          <cell r="AG60"/>
          <cell r="AH60"/>
          <cell r="AI60"/>
          <cell r="AJ60"/>
          <cell r="AK60" t="str">
            <v/>
          </cell>
          <cell r="AL60"/>
          <cell r="AM60" t="str">
            <v xml:space="preserve"> </v>
          </cell>
          <cell r="AN60" t="str">
            <v xml:space="preserve"> </v>
          </cell>
          <cell r="AO60"/>
          <cell r="AP60" t="str">
            <v xml:space="preserve"> </v>
          </cell>
          <cell r="AQ60"/>
          <cell r="AR60" t="str">
            <v xml:space="preserve"> </v>
          </cell>
          <cell r="AS60" t="str">
            <v xml:space="preserve"> </v>
          </cell>
          <cell r="AT60"/>
          <cell r="AU60" t="str">
            <v xml:space="preserve"> </v>
          </cell>
          <cell r="AV60"/>
          <cell r="AW60"/>
          <cell r="AX60" t="str">
            <v xml:space="preserve"> </v>
          </cell>
          <cell r="AY60"/>
          <cell r="AZ60" t="str">
            <v xml:space="preserve"> </v>
          </cell>
          <cell r="BA60"/>
          <cell r="BB60"/>
          <cell r="BC60" t="str">
            <v xml:space="preserve"> </v>
          </cell>
          <cell r="BD60"/>
          <cell r="BE60" t="str">
            <v xml:space="preserve"> </v>
          </cell>
          <cell r="BF60"/>
          <cell r="BG60"/>
          <cell r="BH60" t="str">
            <v xml:space="preserve"> </v>
          </cell>
          <cell r="BI60"/>
          <cell r="BJ60" t="str">
            <v xml:space="preserve"> </v>
          </cell>
          <cell r="BK60"/>
          <cell r="BL60" t="str">
            <v xml:space="preserve"> </v>
          </cell>
          <cell r="BM60" t="str">
            <v xml:space="preserve"> </v>
          </cell>
          <cell r="BN60"/>
          <cell r="BO60" t="str">
            <v xml:space="preserve"> </v>
          </cell>
        </row>
        <row r="61">
          <cell r="B61">
            <v>46079</v>
          </cell>
          <cell r="C61"/>
          <cell r="D61" t="str">
            <v xml:space="preserve"> </v>
          </cell>
          <cell r="E61" t="str">
            <v xml:space="preserve"> </v>
          </cell>
          <cell r="F61"/>
          <cell r="G61" t="str">
            <v xml:space="preserve"> </v>
          </cell>
          <cell r="H61"/>
          <cell r="I61" t="str">
            <v xml:space="preserve"> </v>
          </cell>
          <cell r="J61" t="str">
            <v xml:space="preserve"> </v>
          </cell>
          <cell r="K61"/>
          <cell r="L61" t="str">
            <v xml:space="preserve"> </v>
          </cell>
          <cell r="M61"/>
          <cell r="N61" t="str">
            <v xml:space="preserve"> </v>
          </cell>
          <cell r="O61" t="str">
            <v xml:space="preserve"> </v>
          </cell>
          <cell r="P61"/>
          <cell r="Q61" t="str">
            <v xml:space="preserve"> </v>
          </cell>
          <cell r="R61"/>
          <cell r="S61" t="str">
            <v xml:space="preserve"> </v>
          </cell>
          <cell r="T61" t="str">
            <v xml:space="preserve"> </v>
          </cell>
          <cell r="U61"/>
          <cell r="V61" t="str">
            <v xml:space="preserve"> </v>
          </cell>
          <cell r="W61" t="str">
            <v xml:space="preserve"> </v>
          </cell>
          <cell r="X61"/>
          <cell r="Y61" t="str">
            <v xml:space="preserve"> </v>
          </cell>
          <cell r="Z61"/>
          <cell r="AA61" t="str">
            <v xml:space="preserve"> </v>
          </cell>
          <cell r="AB61" t="str">
            <v xml:space="preserve"> </v>
          </cell>
          <cell r="AC61"/>
          <cell r="AD61" t="str">
            <v xml:space="preserve"> </v>
          </cell>
          <cell r="AE61"/>
          <cell r="AF61" t="str">
            <v xml:space="preserve"> </v>
          </cell>
          <cell r="AG61"/>
          <cell r="AH61"/>
          <cell r="AI61"/>
          <cell r="AJ61"/>
          <cell r="AK61" t="str">
            <v/>
          </cell>
          <cell r="AL61"/>
          <cell r="AM61" t="str">
            <v xml:space="preserve"> </v>
          </cell>
          <cell r="AN61" t="str">
            <v xml:space="preserve"> </v>
          </cell>
          <cell r="AO61"/>
          <cell r="AP61" t="str">
            <v xml:space="preserve"> </v>
          </cell>
          <cell r="AQ61"/>
          <cell r="AR61" t="str">
            <v xml:space="preserve"> </v>
          </cell>
          <cell r="AS61" t="str">
            <v xml:space="preserve"> </v>
          </cell>
          <cell r="AT61"/>
          <cell r="AU61" t="str">
            <v xml:space="preserve"> </v>
          </cell>
          <cell r="AV61"/>
          <cell r="AW61"/>
          <cell r="AX61" t="str">
            <v xml:space="preserve"> </v>
          </cell>
          <cell r="AY61"/>
          <cell r="AZ61" t="str">
            <v xml:space="preserve"> </v>
          </cell>
          <cell r="BA61"/>
          <cell r="BB61"/>
          <cell r="BC61" t="str">
            <v xml:space="preserve"> </v>
          </cell>
          <cell r="BD61"/>
          <cell r="BE61" t="str">
            <v xml:space="preserve"> </v>
          </cell>
          <cell r="BF61"/>
          <cell r="BG61"/>
          <cell r="BH61" t="str">
            <v xml:space="preserve"> </v>
          </cell>
          <cell r="BI61"/>
          <cell r="BJ61" t="str">
            <v xml:space="preserve"> </v>
          </cell>
          <cell r="BK61"/>
          <cell r="BL61" t="str">
            <v xml:space="preserve"> </v>
          </cell>
          <cell r="BM61" t="str">
            <v xml:space="preserve"> </v>
          </cell>
          <cell r="BN61"/>
          <cell r="BO61" t="str">
            <v xml:space="preserve"> </v>
          </cell>
        </row>
        <row r="62">
          <cell r="B62">
            <v>46080</v>
          </cell>
          <cell r="C62"/>
          <cell r="D62" t="str">
            <v xml:space="preserve"> </v>
          </cell>
          <cell r="E62" t="str">
            <v xml:space="preserve"> </v>
          </cell>
          <cell r="F62"/>
          <cell r="G62" t="str">
            <v xml:space="preserve"> </v>
          </cell>
          <cell r="H62"/>
          <cell r="I62" t="str">
            <v xml:space="preserve"> </v>
          </cell>
          <cell r="J62" t="str">
            <v xml:space="preserve"> </v>
          </cell>
          <cell r="K62"/>
          <cell r="L62" t="str">
            <v xml:space="preserve"> </v>
          </cell>
          <cell r="M62"/>
          <cell r="N62" t="str">
            <v xml:space="preserve"> </v>
          </cell>
          <cell r="O62" t="str">
            <v xml:space="preserve"> </v>
          </cell>
          <cell r="P62"/>
          <cell r="Q62" t="str">
            <v xml:space="preserve"> </v>
          </cell>
          <cell r="R62"/>
          <cell r="S62" t="str">
            <v xml:space="preserve"> </v>
          </cell>
          <cell r="T62" t="str">
            <v xml:space="preserve"> </v>
          </cell>
          <cell r="U62"/>
          <cell r="V62" t="str">
            <v xml:space="preserve"> </v>
          </cell>
          <cell r="W62" t="str">
            <v xml:space="preserve"> </v>
          </cell>
          <cell r="X62"/>
          <cell r="Y62" t="str">
            <v xml:space="preserve"> </v>
          </cell>
          <cell r="Z62"/>
          <cell r="AA62" t="str">
            <v xml:space="preserve"> </v>
          </cell>
          <cell r="AB62" t="str">
            <v xml:space="preserve"> </v>
          </cell>
          <cell r="AC62"/>
          <cell r="AD62" t="str">
            <v xml:space="preserve"> </v>
          </cell>
          <cell r="AE62"/>
          <cell r="AF62" t="str">
            <v xml:space="preserve"> </v>
          </cell>
          <cell r="AG62"/>
          <cell r="AH62"/>
          <cell r="AI62"/>
          <cell r="AJ62"/>
          <cell r="AK62" t="str">
            <v/>
          </cell>
          <cell r="AL62"/>
          <cell r="AM62" t="str">
            <v xml:space="preserve"> </v>
          </cell>
          <cell r="AN62" t="str">
            <v xml:space="preserve"> </v>
          </cell>
          <cell r="AO62"/>
          <cell r="AP62" t="str">
            <v xml:space="preserve"> </v>
          </cell>
          <cell r="AQ62"/>
          <cell r="AR62" t="str">
            <v xml:space="preserve"> </v>
          </cell>
          <cell r="AS62" t="str">
            <v xml:space="preserve"> </v>
          </cell>
          <cell r="AT62"/>
          <cell r="AU62" t="str">
            <v xml:space="preserve"> </v>
          </cell>
          <cell r="AV62"/>
          <cell r="AW62"/>
          <cell r="AX62" t="str">
            <v xml:space="preserve"> </v>
          </cell>
          <cell r="AY62"/>
          <cell r="AZ62" t="str">
            <v xml:space="preserve"> </v>
          </cell>
          <cell r="BA62"/>
          <cell r="BB62"/>
          <cell r="BC62" t="str">
            <v xml:space="preserve"> </v>
          </cell>
          <cell r="BD62"/>
          <cell r="BE62" t="str">
            <v xml:space="preserve"> </v>
          </cell>
          <cell r="BF62"/>
          <cell r="BG62"/>
          <cell r="BH62" t="str">
            <v xml:space="preserve"> </v>
          </cell>
          <cell r="BI62"/>
          <cell r="BJ62" t="str">
            <v xml:space="preserve"> </v>
          </cell>
          <cell r="BK62"/>
          <cell r="BL62" t="str">
            <v xml:space="preserve"> </v>
          </cell>
          <cell r="BM62" t="str">
            <v xml:space="preserve"> </v>
          </cell>
          <cell r="BN62"/>
          <cell r="BO62" t="str">
            <v xml:space="preserve"> </v>
          </cell>
        </row>
        <row r="63">
          <cell r="B63">
            <v>46081</v>
          </cell>
          <cell r="C63"/>
          <cell r="D63" t="str">
            <v xml:space="preserve"> </v>
          </cell>
          <cell r="E63" t="str">
            <v xml:space="preserve"> </v>
          </cell>
          <cell r="F63"/>
          <cell r="G63" t="str">
            <v xml:space="preserve"> </v>
          </cell>
          <cell r="H63"/>
          <cell r="I63" t="str">
            <v xml:space="preserve"> </v>
          </cell>
          <cell r="J63" t="str">
            <v xml:space="preserve"> </v>
          </cell>
          <cell r="K63"/>
          <cell r="L63" t="str">
            <v xml:space="preserve"> </v>
          </cell>
          <cell r="M63"/>
          <cell r="N63" t="str">
            <v xml:space="preserve"> </v>
          </cell>
          <cell r="O63" t="str">
            <v xml:space="preserve"> </v>
          </cell>
          <cell r="P63"/>
          <cell r="Q63" t="str">
            <v xml:space="preserve"> </v>
          </cell>
          <cell r="R63"/>
          <cell r="S63" t="str">
            <v xml:space="preserve"> </v>
          </cell>
          <cell r="T63" t="str">
            <v xml:space="preserve"> </v>
          </cell>
          <cell r="U63"/>
          <cell r="V63" t="str">
            <v xml:space="preserve"> </v>
          </cell>
          <cell r="W63" t="str">
            <v xml:space="preserve"> </v>
          </cell>
          <cell r="X63"/>
          <cell r="Y63" t="str">
            <v xml:space="preserve"> </v>
          </cell>
          <cell r="Z63"/>
          <cell r="AA63" t="str">
            <v xml:space="preserve"> </v>
          </cell>
          <cell r="AB63" t="str">
            <v xml:space="preserve"> </v>
          </cell>
          <cell r="AC63"/>
          <cell r="AD63" t="str">
            <v xml:space="preserve"> </v>
          </cell>
          <cell r="AE63"/>
          <cell r="AF63" t="str">
            <v xml:space="preserve"> </v>
          </cell>
          <cell r="AG63"/>
          <cell r="AH63"/>
          <cell r="AI63"/>
          <cell r="AJ63"/>
          <cell r="AK63" t="str">
            <v/>
          </cell>
          <cell r="AL63"/>
          <cell r="AM63" t="str">
            <v xml:space="preserve"> </v>
          </cell>
          <cell r="AN63" t="str">
            <v xml:space="preserve"> </v>
          </cell>
          <cell r="AO63"/>
          <cell r="AP63" t="str">
            <v xml:space="preserve"> </v>
          </cell>
          <cell r="AQ63"/>
          <cell r="AR63" t="str">
            <v xml:space="preserve"> </v>
          </cell>
          <cell r="AS63" t="str">
            <v xml:space="preserve"> </v>
          </cell>
          <cell r="AT63"/>
          <cell r="AU63" t="str">
            <v xml:space="preserve"> </v>
          </cell>
          <cell r="AV63"/>
          <cell r="AW63"/>
          <cell r="AX63" t="str">
            <v xml:space="preserve"> </v>
          </cell>
          <cell r="AY63"/>
          <cell r="AZ63" t="str">
            <v xml:space="preserve"> </v>
          </cell>
          <cell r="BA63"/>
          <cell r="BB63"/>
          <cell r="BC63" t="str">
            <v xml:space="preserve"> </v>
          </cell>
          <cell r="BD63"/>
          <cell r="BE63" t="str">
            <v xml:space="preserve"> </v>
          </cell>
          <cell r="BF63"/>
          <cell r="BG63"/>
          <cell r="BH63" t="str">
            <v xml:space="preserve"> </v>
          </cell>
          <cell r="BI63"/>
          <cell r="BJ63" t="str">
            <v xml:space="preserve"> </v>
          </cell>
          <cell r="BK63"/>
          <cell r="BL63" t="str">
            <v xml:space="preserve"> </v>
          </cell>
          <cell r="BM63" t="str">
            <v xml:space="preserve"> </v>
          </cell>
          <cell r="BN63"/>
          <cell r="BO63" t="str">
            <v xml:space="preserve"> </v>
          </cell>
        </row>
        <row r="64">
          <cell r="B64">
            <v>46082</v>
          </cell>
          <cell r="C64"/>
          <cell r="D64" t="str">
            <v xml:space="preserve"> </v>
          </cell>
          <cell r="E64" t="str">
            <v xml:space="preserve"> </v>
          </cell>
          <cell r="F64"/>
          <cell r="G64" t="str">
            <v xml:space="preserve"> </v>
          </cell>
          <cell r="H64"/>
          <cell r="I64" t="str">
            <v xml:space="preserve"> </v>
          </cell>
          <cell r="J64" t="str">
            <v xml:space="preserve"> </v>
          </cell>
          <cell r="K64"/>
          <cell r="L64" t="str">
            <v xml:space="preserve"> </v>
          </cell>
          <cell r="M64"/>
          <cell r="N64" t="str">
            <v xml:space="preserve"> </v>
          </cell>
          <cell r="O64" t="str">
            <v xml:space="preserve"> </v>
          </cell>
          <cell r="P64"/>
          <cell r="Q64" t="str">
            <v xml:space="preserve"> </v>
          </cell>
          <cell r="R64"/>
          <cell r="S64" t="str">
            <v xml:space="preserve"> </v>
          </cell>
          <cell r="T64" t="str">
            <v xml:space="preserve"> </v>
          </cell>
          <cell r="U64"/>
          <cell r="V64" t="str">
            <v xml:space="preserve"> </v>
          </cell>
          <cell r="W64" t="str">
            <v xml:space="preserve"> </v>
          </cell>
          <cell r="X64"/>
          <cell r="Y64" t="str">
            <v xml:space="preserve"> </v>
          </cell>
          <cell r="Z64"/>
          <cell r="AA64" t="str">
            <v xml:space="preserve"> </v>
          </cell>
          <cell r="AB64" t="str">
            <v xml:space="preserve"> </v>
          </cell>
          <cell r="AC64"/>
          <cell r="AD64" t="str">
            <v xml:space="preserve"> </v>
          </cell>
          <cell r="AE64"/>
          <cell r="AF64" t="str">
            <v xml:space="preserve"> </v>
          </cell>
          <cell r="AG64"/>
          <cell r="AH64"/>
          <cell r="AI64"/>
          <cell r="AJ64"/>
          <cell r="AK64" t="str">
            <v/>
          </cell>
          <cell r="AL64"/>
          <cell r="AM64" t="str">
            <v xml:space="preserve"> </v>
          </cell>
          <cell r="AN64" t="str">
            <v xml:space="preserve"> </v>
          </cell>
          <cell r="AO64"/>
          <cell r="AP64" t="str">
            <v xml:space="preserve"> </v>
          </cell>
          <cell r="AQ64"/>
          <cell r="AR64" t="str">
            <v xml:space="preserve"> </v>
          </cell>
          <cell r="AS64" t="str">
            <v xml:space="preserve"> </v>
          </cell>
          <cell r="AT64"/>
          <cell r="AU64" t="str">
            <v xml:space="preserve"> </v>
          </cell>
          <cell r="AV64"/>
          <cell r="AW64"/>
          <cell r="AX64" t="str">
            <v xml:space="preserve"> </v>
          </cell>
          <cell r="AY64"/>
          <cell r="AZ64" t="str">
            <v xml:space="preserve"> </v>
          </cell>
          <cell r="BA64"/>
          <cell r="BB64"/>
          <cell r="BC64" t="str">
            <v xml:space="preserve"> </v>
          </cell>
          <cell r="BD64"/>
          <cell r="BE64" t="str">
            <v xml:space="preserve"> </v>
          </cell>
          <cell r="BF64"/>
          <cell r="BG64"/>
          <cell r="BH64" t="str">
            <v xml:space="preserve"> </v>
          </cell>
          <cell r="BI64"/>
          <cell r="BJ64" t="str">
            <v xml:space="preserve"> </v>
          </cell>
          <cell r="BK64"/>
          <cell r="BL64" t="str">
            <v xml:space="preserve"> </v>
          </cell>
          <cell r="BM64" t="str">
            <v xml:space="preserve"> </v>
          </cell>
          <cell r="BN64"/>
          <cell r="BO64" t="str">
            <v xml:space="preserve"> </v>
          </cell>
        </row>
        <row r="65">
          <cell r="B65">
            <v>46083</v>
          </cell>
          <cell r="C65"/>
          <cell r="D65" t="str">
            <v xml:space="preserve"> </v>
          </cell>
          <cell r="E65" t="str">
            <v xml:space="preserve"> </v>
          </cell>
          <cell r="F65"/>
          <cell r="G65" t="str">
            <v xml:space="preserve"> </v>
          </cell>
          <cell r="H65"/>
          <cell r="I65" t="str">
            <v xml:space="preserve"> </v>
          </cell>
          <cell r="J65" t="str">
            <v xml:space="preserve"> </v>
          </cell>
          <cell r="K65"/>
          <cell r="L65" t="str">
            <v xml:space="preserve"> </v>
          </cell>
          <cell r="M65"/>
          <cell r="N65" t="str">
            <v xml:space="preserve"> </v>
          </cell>
          <cell r="O65" t="str">
            <v xml:space="preserve"> </v>
          </cell>
          <cell r="P65"/>
          <cell r="Q65" t="str">
            <v xml:space="preserve"> </v>
          </cell>
          <cell r="R65"/>
          <cell r="S65" t="str">
            <v xml:space="preserve"> </v>
          </cell>
          <cell r="T65" t="str">
            <v xml:space="preserve"> </v>
          </cell>
          <cell r="U65"/>
          <cell r="V65" t="str">
            <v xml:space="preserve"> </v>
          </cell>
          <cell r="W65" t="str">
            <v xml:space="preserve"> </v>
          </cell>
          <cell r="X65"/>
          <cell r="Y65" t="str">
            <v xml:space="preserve"> </v>
          </cell>
          <cell r="Z65"/>
          <cell r="AA65" t="str">
            <v xml:space="preserve"> </v>
          </cell>
          <cell r="AB65" t="str">
            <v xml:space="preserve"> </v>
          </cell>
          <cell r="AC65"/>
          <cell r="AD65" t="str">
            <v xml:space="preserve"> </v>
          </cell>
          <cell r="AE65"/>
          <cell r="AF65" t="str">
            <v xml:space="preserve"> </v>
          </cell>
          <cell r="AG65"/>
          <cell r="AH65"/>
          <cell r="AI65"/>
          <cell r="AJ65"/>
          <cell r="AK65" t="str">
            <v/>
          </cell>
          <cell r="AL65"/>
          <cell r="AM65" t="str">
            <v xml:space="preserve"> </v>
          </cell>
          <cell r="AN65" t="str">
            <v xml:space="preserve"> </v>
          </cell>
          <cell r="AO65"/>
          <cell r="AP65" t="str">
            <v xml:space="preserve"> </v>
          </cell>
          <cell r="AQ65"/>
          <cell r="AR65" t="str">
            <v xml:space="preserve"> </v>
          </cell>
          <cell r="AS65" t="str">
            <v xml:space="preserve"> </v>
          </cell>
          <cell r="AT65"/>
          <cell r="AU65" t="str">
            <v xml:space="preserve"> </v>
          </cell>
          <cell r="AV65"/>
          <cell r="AW65"/>
          <cell r="AX65" t="str">
            <v xml:space="preserve"> </v>
          </cell>
          <cell r="AY65"/>
          <cell r="AZ65" t="str">
            <v xml:space="preserve"> </v>
          </cell>
          <cell r="BA65"/>
          <cell r="BB65"/>
          <cell r="BC65" t="str">
            <v xml:space="preserve"> </v>
          </cell>
          <cell r="BD65"/>
          <cell r="BE65" t="str">
            <v xml:space="preserve"> </v>
          </cell>
          <cell r="BF65"/>
          <cell r="BG65"/>
          <cell r="BH65" t="str">
            <v xml:space="preserve"> </v>
          </cell>
          <cell r="BI65"/>
          <cell r="BJ65" t="str">
            <v xml:space="preserve"> </v>
          </cell>
          <cell r="BK65"/>
          <cell r="BL65" t="str">
            <v xml:space="preserve"> </v>
          </cell>
          <cell r="BM65" t="str">
            <v xml:space="preserve"> </v>
          </cell>
          <cell r="BN65"/>
          <cell r="BO65" t="str">
            <v xml:space="preserve"> </v>
          </cell>
        </row>
        <row r="66">
          <cell r="B66">
            <v>46084</v>
          </cell>
          <cell r="C66"/>
          <cell r="D66" t="str">
            <v xml:space="preserve"> </v>
          </cell>
          <cell r="E66" t="str">
            <v xml:space="preserve"> </v>
          </cell>
          <cell r="F66"/>
          <cell r="G66" t="str">
            <v xml:space="preserve"> </v>
          </cell>
          <cell r="H66"/>
          <cell r="I66" t="str">
            <v xml:space="preserve"> </v>
          </cell>
          <cell r="J66" t="str">
            <v xml:space="preserve"> </v>
          </cell>
          <cell r="K66"/>
          <cell r="L66" t="str">
            <v xml:space="preserve"> </v>
          </cell>
          <cell r="M66"/>
          <cell r="N66" t="str">
            <v xml:space="preserve"> </v>
          </cell>
          <cell r="O66" t="str">
            <v xml:space="preserve"> </v>
          </cell>
          <cell r="P66"/>
          <cell r="Q66" t="str">
            <v xml:space="preserve"> </v>
          </cell>
          <cell r="R66"/>
          <cell r="S66" t="str">
            <v xml:space="preserve"> </v>
          </cell>
          <cell r="T66" t="str">
            <v xml:space="preserve"> </v>
          </cell>
          <cell r="U66"/>
          <cell r="V66" t="str">
            <v xml:space="preserve"> </v>
          </cell>
          <cell r="W66" t="str">
            <v xml:space="preserve"> </v>
          </cell>
          <cell r="X66"/>
          <cell r="Y66" t="str">
            <v xml:space="preserve"> </v>
          </cell>
          <cell r="Z66"/>
          <cell r="AA66" t="str">
            <v xml:space="preserve"> </v>
          </cell>
          <cell r="AB66" t="str">
            <v xml:space="preserve"> </v>
          </cell>
          <cell r="AC66"/>
          <cell r="AD66" t="str">
            <v xml:space="preserve"> </v>
          </cell>
          <cell r="AE66"/>
          <cell r="AF66" t="str">
            <v xml:space="preserve"> </v>
          </cell>
          <cell r="AG66"/>
          <cell r="AH66"/>
          <cell r="AI66"/>
          <cell r="AJ66"/>
          <cell r="AK66" t="str">
            <v/>
          </cell>
          <cell r="AL66"/>
          <cell r="AM66" t="str">
            <v xml:space="preserve"> </v>
          </cell>
          <cell r="AN66" t="str">
            <v xml:space="preserve"> </v>
          </cell>
          <cell r="AO66"/>
          <cell r="AP66" t="str">
            <v xml:space="preserve"> </v>
          </cell>
          <cell r="AQ66"/>
          <cell r="AR66" t="str">
            <v xml:space="preserve"> </v>
          </cell>
          <cell r="AS66" t="str">
            <v xml:space="preserve"> </v>
          </cell>
          <cell r="AT66"/>
          <cell r="AU66" t="str">
            <v xml:space="preserve"> </v>
          </cell>
          <cell r="AV66"/>
          <cell r="AW66"/>
          <cell r="AX66" t="str">
            <v xml:space="preserve"> </v>
          </cell>
          <cell r="AY66"/>
          <cell r="AZ66" t="str">
            <v xml:space="preserve"> </v>
          </cell>
          <cell r="BA66"/>
          <cell r="BB66"/>
          <cell r="BC66" t="str">
            <v xml:space="preserve"> </v>
          </cell>
          <cell r="BD66"/>
          <cell r="BE66" t="str">
            <v xml:space="preserve"> </v>
          </cell>
          <cell r="BF66"/>
          <cell r="BG66"/>
          <cell r="BH66" t="str">
            <v xml:space="preserve"> </v>
          </cell>
          <cell r="BI66"/>
          <cell r="BJ66" t="str">
            <v xml:space="preserve"> </v>
          </cell>
          <cell r="BK66"/>
          <cell r="BL66" t="str">
            <v xml:space="preserve"> </v>
          </cell>
          <cell r="BM66" t="str">
            <v xml:space="preserve"> </v>
          </cell>
          <cell r="BN66"/>
          <cell r="BO66" t="str">
            <v xml:space="preserve"> </v>
          </cell>
        </row>
        <row r="67">
          <cell r="B67">
            <v>46085</v>
          </cell>
          <cell r="C67"/>
          <cell r="D67" t="str">
            <v xml:space="preserve"> </v>
          </cell>
          <cell r="E67" t="str">
            <v xml:space="preserve"> </v>
          </cell>
          <cell r="F67"/>
          <cell r="G67" t="str">
            <v xml:space="preserve"> </v>
          </cell>
          <cell r="H67"/>
          <cell r="I67" t="str">
            <v xml:space="preserve"> </v>
          </cell>
          <cell r="J67" t="str">
            <v xml:space="preserve"> </v>
          </cell>
          <cell r="K67"/>
          <cell r="L67" t="str">
            <v xml:space="preserve"> </v>
          </cell>
          <cell r="M67"/>
          <cell r="N67" t="str">
            <v xml:space="preserve"> </v>
          </cell>
          <cell r="O67" t="str">
            <v xml:space="preserve"> </v>
          </cell>
          <cell r="P67"/>
          <cell r="Q67" t="str">
            <v xml:space="preserve"> </v>
          </cell>
          <cell r="R67"/>
          <cell r="S67" t="str">
            <v xml:space="preserve"> </v>
          </cell>
          <cell r="T67" t="str">
            <v xml:space="preserve"> </v>
          </cell>
          <cell r="U67"/>
          <cell r="V67" t="str">
            <v xml:space="preserve"> </v>
          </cell>
          <cell r="W67" t="str">
            <v xml:space="preserve"> </v>
          </cell>
          <cell r="X67"/>
          <cell r="Y67" t="str">
            <v xml:space="preserve"> </v>
          </cell>
          <cell r="Z67"/>
          <cell r="AA67" t="str">
            <v xml:space="preserve"> </v>
          </cell>
          <cell r="AB67" t="str">
            <v xml:space="preserve"> </v>
          </cell>
          <cell r="AC67"/>
          <cell r="AD67" t="str">
            <v xml:space="preserve"> </v>
          </cell>
          <cell r="AE67"/>
          <cell r="AF67" t="str">
            <v xml:space="preserve"> </v>
          </cell>
          <cell r="AG67"/>
          <cell r="AH67"/>
          <cell r="AI67"/>
          <cell r="AJ67"/>
          <cell r="AK67" t="str">
            <v/>
          </cell>
          <cell r="AL67"/>
          <cell r="AM67" t="str">
            <v xml:space="preserve"> </v>
          </cell>
          <cell r="AN67" t="str">
            <v xml:space="preserve"> </v>
          </cell>
          <cell r="AO67"/>
          <cell r="AP67" t="str">
            <v xml:space="preserve"> </v>
          </cell>
          <cell r="AQ67"/>
          <cell r="AR67" t="str">
            <v xml:space="preserve"> </v>
          </cell>
          <cell r="AS67" t="str">
            <v xml:space="preserve"> </v>
          </cell>
          <cell r="AT67"/>
          <cell r="AU67" t="str">
            <v xml:space="preserve"> </v>
          </cell>
          <cell r="AV67"/>
          <cell r="AW67"/>
          <cell r="AX67" t="str">
            <v xml:space="preserve"> </v>
          </cell>
          <cell r="AY67"/>
          <cell r="AZ67" t="str">
            <v xml:space="preserve"> </v>
          </cell>
          <cell r="BA67"/>
          <cell r="BB67"/>
          <cell r="BC67" t="str">
            <v xml:space="preserve"> </v>
          </cell>
          <cell r="BD67"/>
          <cell r="BE67" t="str">
            <v xml:space="preserve"> </v>
          </cell>
          <cell r="BF67"/>
          <cell r="BG67"/>
          <cell r="BH67" t="str">
            <v xml:space="preserve"> </v>
          </cell>
          <cell r="BI67"/>
          <cell r="BJ67" t="str">
            <v xml:space="preserve"> </v>
          </cell>
          <cell r="BK67"/>
          <cell r="BL67" t="str">
            <v xml:space="preserve"> </v>
          </cell>
          <cell r="BM67" t="str">
            <v xml:space="preserve"> </v>
          </cell>
          <cell r="BN67"/>
          <cell r="BO67" t="str">
            <v xml:space="preserve"> </v>
          </cell>
        </row>
        <row r="68">
          <cell r="B68">
            <v>46086</v>
          </cell>
          <cell r="C68"/>
          <cell r="D68" t="str">
            <v xml:space="preserve"> </v>
          </cell>
          <cell r="E68" t="str">
            <v xml:space="preserve"> </v>
          </cell>
          <cell r="F68"/>
          <cell r="G68" t="str">
            <v xml:space="preserve"> </v>
          </cell>
          <cell r="H68"/>
          <cell r="I68" t="str">
            <v xml:space="preserve"> </v>
          </cell>
          <cell r="J68" t="str">
            <v xml:space="preserve"> </v>
          </cell>
          <cell r="K68"/>
          <cell r="L68" t="str">
            <v xml:space="preserve"> </v>
          </cell>
          <cell r="M68"/>
          <cell r="N68" t="str">
            <v xml:space="preserve"> </v>
          </cell>
          <cell r="O68" t="str">
            <v xml:space="preserve"> </v>
          </cell>
          <cell r="P68"/>
          <cell r="Q68" t="str">
            <v xml:space="preserve"> </v>
          </cell>
          <cell r="R68"/>
          <cell r="S68" t="str">
            <v xml:space="preserve"> </v>
          </cell>
          <cell r="T68" t="str">
            <v xml:space="preserve"> </v>
          </cell>
          <cell r="U68"/>
          <cell r="V68" t="str">
            <v xml:space="preserve"> </v>
          </cell>
          <cell r="W68" t="str">
            <v xml:space="preserve"> </v>
          </cell>
          <cell r="X68"/>
          <cell r="Y68" t="str">
            <v xml:space="preserve"> </v>
          </cell>
          <cell r="Z68"/>
          <cell r="AA68" t="str">
            <v xml:space="preserve"> </v>
          </cell>
          <cell r="AB68" t="str">
            <v xml:space="preserve"> </v>
          </cell>
          <cell r="AC68"/>
          <cell r="AD68" t="str">
            <v xml:space="preserve"> </v>
          </cell>
          <cell r="AE68"/>
          <cell r="AF68" t="str">
            <v xml:space="preserve"> </v>
          </cell>
          <cell r="AG68"/>
          <cell r="AH68"/>
          <cell r="AI68"/>
          <cell r="AJ68"/>
          <cell r="AK68" t="str">
            <v/>
          </cell>
          <cell r="AL68"/>
          <cell r="AM68" t="str">
            <v xml:space="preserve"> </v>
          </cell>
          <cell r="AN68" t="str">
            <v xml:space="preserve"> </v>
          </cell>
          <cell r="AO68"/>
          <cell r="AP68" t="str">
            <v xml:space="preserve"> </v>
          </cell>
          <cell r="AQ68"/>
          <cell r="AR68" t="str">
            <v xml:space="preserve"> </v>
          </cell>
          <cell r="AS68" t="str">
            <v xml:space="preserve"> </v>
          </cell>
          <cell r="AT68"/>
          <cell r="AU68" t="str">
            <v xml:space="preserve"> </v>
          </cell>
          <cell r="AV68"/>
          <cell r="AW68"/>
          <cell r="AX68" t="str">
            <v xml:space="preserve"> </v>
          </cell>
          <cell r="AY68"/>
          <cell r="AZ68" t="str">
            <v xml:space="preserve"> </v>
          </cell>
          <cell r="BA68"/>
          <cell r="BB68"/>
          <cell r="BC68" t="str">
            <v xml:space="preserve"> </v>
          </cell>
          <cell r="BD68"/>
          <cell r="BE68" t="str">
            <v xml:space="preserve"> </v>
          </cell>
          <cell r="BF68"/>
          <cell r="BG68"/>
          <cell r="BH68" t="str">
            <v xml:space="preserve"> </v>
          </cell>
          <cell r="BI68"/>
          <cell r="BJ68" t="str">
            <v xml:space="preserve"> </v>
          </cell>
          <cell r="BK68"/>
          <cell r="BL68" t="str">
            <v xml:space="preserve"> </v>
          </cell>
          <cell r="BM68" t="str">
            <v xml:space="preserve"> </v>
          </cell>
          <cell r="BN68"/>
          <cell r="BO68" t="str">
            <v xml:space="preserve"> </v>
          </cell>
        </row>
        <row r="69">
          <cell r="B69">
            <v>46087</v>
          </cell>
          <cell r="C69"/>
          <cell r="D69" t="str">
            <v xml:space="preserve"> </v>
          </cell>
          <cell r="E69" t="str">
            <v xml:space="preserve"> </v>
          </cell>
          <cell r="F69"/>
          <cell r="G69" t="str">
            <v xml:space="preserve"> </v>
          </cell>
          <cell r="H69"/>
          <cell r="I69" t="str">
            <v xml:space="preserve"> </v>
          </cell>
          <cell r="J69" t="str">
            <v xml:space="preserve"> </v>
          </cell>
          <cell r="K69"/>
          <cell r="L69" t="str">
            <v xml:space="preserve"> </v>
          </cell>
          <cell r="M69"/>
          <cell r="N69" t="str">
            <v xml:space="preserve"> </v>
          </cell>
          <cell r="O69" t="str">
            <v xml:space="preserve"> </v>
          </cell>
          <cell r="P69"/>
          <cell r="Q69" t="str">
            <v xml:space="preserve"> </v>
          </cell>
          <cell r="R69"/>
          <cell r="S69" t="str">
            <v xml:space="preserve"> </v>
          </cell>
          <cell r="T69" t="str">
            <v xml:space="preserve"> </v>
          </cell>
          <cell r="U69"/>
          <cell r="V69" t="str">
            <v xml:space="preserve"> </v>
          </cell>
          <cell r="W69" t="str">
            <v xml:space="preserve"> </v>
          </cell>
          <cell r="X69"/>
          <cell r="Y69" t="str">
            <v xml:space="preserve"> </v>
          </cell>
          <cell r="Z69"/>
          <cell r="AA69" t="str">
            <v xml:space="preserve"> </v>
          </cell>
          <cell r="AB69" t="str">
            <v xml:space="preserve"> </v>
          </cell>
          <cell r="AC69"/>
          <cell r="AD69" t="str">
            <v xml:space="preserve"> </v>
          </cell>
          <cell r="AE69"/>
          <cell r="AF69" t="str">
            <v xml:space="preserve"> </v>
          </cell>
          <cell r="AG69"/>
          <cell r="AH69"/>
          <cell r="AI69"/>
          <cell r="AJ69"/>
          <cell r="AK69" t="str">
            <v/>
          </cell>
          <cell r="AL69"/>
          <cell r="AM69" t="str">
            <v xml:space="preserve"> </v>
          </cell>
          <cell r="AN69" t="str">
            <v xml:space="preserve"> </v>
          </cell>
          <cell r="AO69"/>
          <cell r="AP69" t="str">
            <v xml:space="preserve"> </v>
          </cell>
          <cell r="AQ69"/>
          <cell r="AR69" t="str">
            <v xml:space="preserve"> </v>
          </cell>
          <cell r="AS69" t="str">
            <v xml:space="preserve"> </v>
          </cell>
          <cell r="AT69"/>
          <cell r="AU69" t="str">
            <v xml:space="preserve"> </v>
          </cell>
          <cell r="AV69"/>
          <cell r="AW69"/>
          <cell r="AX69" t="str">
            <v xml:space="preserve"> </v>
          </cell>
          <cell r="AY69"/>
          <cell r="AZ69" t="str">
            <v xml:space="preserve"> </v>
          </cell>
          <cell r="BA69"/>
          <cell r="BB69"/>
          <cell r="BC69" t="str">
            <v xml:space="preserve"> </v>
          </cell>
          <cell r="BD69"/>
          <cell r="BE69" t="str">
            <v xml:space="preserve"> </v>
          </cell>
          <cell r="BF69"/>
          <cell r="BG69"/>
          <cell r="BH69" t="str">
            <v xml:space="preserve"> </v>
          </cell>
          <cell r="BI69"/>
          <cell r="BJ69" t="str">
            <v xml:space="preserve"> </v>
          </cell>
          <cell r="BK69"/>
          <cell r="BL69" t="str">
            <v xml:space="preserve"> </v>
          </cell>
          <cell r="BM69" t="str">
            <v xml:space="preserve"> </v>
          </cell>
          <cell r="BN69"/>
          <cell r="BO69" t="str">
            <v xml:space="preserve"> </v>
          </cell>
        </row>
        <row r="70">
          <cell r="B70">
            <v>46088</v>
          </cell>
          <cell r="C70"/>
          <cell r="D70" t="str">
            <v xml:space="preserve"> </v>
          </cell>
          <cell r="E70" t="str">
            <v xml:space="preserve"> </v>
          </cell>
          <cell r="F70"/>
          <cell r="G70" t="str">
            <v xml:space="preserve"> </v>
          </cell>
          <cell r="H70"/>
          <cell r="I70" t="str">
            <v xml:space="preserve"> </v>
          </cell>
          <cell r="J70" t="str">
            <v xml:space="preserve"> </v>
          </cell>
          <cell r="K70"/>
          <cell r="L70" t="str">
            <v xml:space="preserve"> </v>
          </cell>
          <cell r="M70"/>
          <cell r="N70" t="str">
            <v xml:space="preserve"> </v>
          </cell>
          <cell r="O70" t="str">
            <v xml:space="preserve"> </v>
          </cell>
          <cell r="P70"/>
          <cell r="Q70" t="str">
            <v xml:space="preserve"> </v>
          </cell>
          <cell r="R70"/>
          <cell r="S70" t="str">
            <v xml:space="preserve"> </v>
          </cell>
          <cell r="T70" t="str">
            <v xml:space="preserve"> </v>
          </cell>
          <cell r="U70"/>
          <cell r="V70" t="str">
            <v xml:space="preserve"> </v>
          </cell>
          <cell r="W70" t="str">
            <v xml:space="preserve"> </v>
          </cell>
          <cell r="X70"/>
          <cell r="Y70" t="str">
            <v xml:space="preserve"> </v>
          </cell>
          <cell r="Z70"/>
          <cell r="AA70" t="str">
            <v xml:space="preserve"> </v>
          </cell>
          <cell r="AB70" t="str">
            <v xml:space="preserve"> </v>
          </cell>
          <cell r="AC70"/>
          <cell r="AD70" t="str">
            <v xml:space="preserve"> </v>
          </cell>
          <cell r="AE70"/>
          <cell r="AF70" t="str">
            <v xml:space="preserve"> </v>
          </cell>
          <cell r="AG70"/>
          <cell r="AH70"/>
          <cell r="AI70"/>
          <cell r="AJ70"/>
          <cell r="AK70" t="str">
            <v/>
          </cell>
          <cell r="AL70"/>
          <cell r="AM70" t="str">
            <v xml:space="preserve"> </v>
          </cell>
          <cell r="AN70" t="str">
            <v xml:space="preserve"> </v>
          </cell>
          <cell r="AO70"/>
          <cell r="AP70" t="str">
            <v xml:space="preserve"> </v>
          </cell>
          <cell r="AQ70"/>
          <cell r="AR70" t="str">
            <v xml:space="preserve"> </v>
          </cell>
          <cell r="AS70" t="str">
            <v xml:space="preserve"> </v>
          </cell>
          <cell r="AT70"/>
          <cell r="AU70" t="str">
            <v xml:space="preserve"> </v>
          </cell>
          <cell r="AV70"/>
          <cell r="AW70"/>
          <cell r="AX70" t="str">
            <v xml:space="preserve"> </v>
          </cell>
          <cell r="AY70"/>
          <cell r="AZ70" t="str">
            <v xml:space="preserve"> </v>
          </cell>
          <cell r="BA70"/>
          <cell r="BB70"/>
          <cell r="BC70" t="str">
            <v xml:space="preserve"> </v>
          </cell>
          <cell r="BD70"/>
          <cell r="BE70" t="str">
            <v xml:space="preserve"> </v>
          </cell>
          <cell r="BF70"/>
          <cell r="BG70"/>
          <cell r="BH70" t="str">
            <v xml:space="preserve"> </v>
          </cell>
          <cell r="BI70"/>
          <cell r="BJ70" t="str">
            <v xml:space="preserve"> </v>
          </cell>
          <cell r="BK70"/>
          <cell r="BL70" t="str">
            <v xml:space="preserve"> </v>
          </cell>
          <cell r="BM70" t="str">
            <v xml:space="preserve"> </v>
          </cell>
          <cell r="BN70"/>
          <cell r="BO70" t="str">
            <v xml:space="preserve"> </v>
          </cell>
        </row>
        <row r="71">
          <cell r="B71">
            <v>46089</v>
          </cell>
          <cell r="C71"/>
          <cell r="D71" t="str">
            <v xml:space="preserve"> </v>
          </cell>
          <cell r="E71" t="str">
            <v xml:space="preserve"> </v>
          </cell>
          <cell r="F71"/>
          <cell r="G71" t="str">
            <v xml:space="preserve"> </v>
          </cell>
          <cell r="H71"/>
          <cell r="I71" t="str">
            <v xml:space="preserve"> </v>
          </cell>
          <cell r="J71" t="str">
            <v xml:space="preserve"> </v>
          </cell>
          <cell r="K71"/>
          <cell r="L71" t="str">
            <v xml:space="preserve"> </v>
          </cell>
          <cell r="M71"/>
          <cell r="N71" t="str">
            <v xml:space="preserve"> </v>
          </cell>
          <cell r="O71" t="str">
            <v xml:space="preserve"> </v>
          </cell>
          <cell r="P71"/>
          <cell r="Q71" t="str">
            <v xml:space="preserve"> </v>
          </cell>
          <cell r="R71"/>
          <cell r="S71" t="str">
            <v xml:space="preserve"> </v>
          </cell>
          <cell r="T71" t="str">
            <v xml:space="preserve"> </v>
          </cell>
          <cell r="U71"/>
          <cell r="V71" t="str">
            <v xml:space="preserve"> </v>
          </cell>
          <cell r="W71" t="str">
            <v xml:space="preserve"> </v>
          </cell>
          <cell r="X71"/>
          <cell r="Y71" t="str">
            <v xml:space="preserve"> </v>
          </cell>
          <cell r="Z71"/>
          <cell r="AA71" t="str">
            <v xml:space="preserve"> </v>
          </cell>
          <cell r="AB71" t="str">
            <v xml:space="preserve"> </v>
          </cell>
          <cell r="AC71"/>
          <cell r="AD71" t="str">
            <v xml:space="preserve"> </v>
          </cell>
          <cell r="AE71"/>
          <cell r="AF71" t="str">
            <v xml:space="preserve"> </v>
          </cell>
          <cell r="AG71"/>
          <cell r="AH71"/>
          <cell r="AI71"/>
          <cell r="AJ71"/>
          <cell r="AK71" t="str">
            <v/>
          </cell>
          <cell r="AL71"/>
          <cell r="AM71" t="str">
            <v xml:space="preserve"> </v>
          </cell>
          <cell r="AN71" t="str">
            <v xml:space="preserve"> </v>
          </cell>
          <cell r="AO71"/>
          <cell r="AP71" t="str">
            <v xml:space="preserve"> </v>
          </cell>
          <cell r="AQ71"/>
          <cell r="AR71" t="str">
            <v xml:space="preserve"> </v>
          </cell>
          <cell r="AS71" t="str">
            <v xml:space="preserve"> </v>
          </cell>
          <cell r="AT71"/>
          <cell r="AU71" t="str">
            <v xml:space="preserve"> </v>
          </cell>
          <cell r="AV71"/>
          <cell r="AW71"/>
          <cell r="AX71" t="str">
            <v xml:space="preserve"> </v>
          </cell>
          <cell r="AY71"/>
          <cell r="AZ71" t="str">
            <v xml:space="preserve"> </v>
          </cell>
          <cell r="BA71"/>
          <cell r="BB71"/>
          <cell r="BC71" t="str">
            <v xml:space="preserve"> </v>
          </cell>
          <cell r="BD71"/>
          <cell r="BE71" t="str">
            <v xml:space="preserve"> </v>
          </cell>
          <cell r="BF71"/>
          <cell r="BG71"/>
          <cell r="BH71" t="str">
            <v xml:space="preserve"> </v>
          </cell>
          <cell r="BI71"/>
          <cell r="BJ71" t="str">
            <v xml:space="preserve"> </v>
          </cell>
          <cell r="BK71"/>
          <cell r="BL71" t="str">
            <v xml:space="preserve"> </v>
          </cell>
          <cell r="BM71" t="str">
            <v xml:space="preserve"> </v>
          </cell>
          <cell r="BN71"/>
          <cell r="BO71" t="str">
            <v xml:space="preserve"> </v>
          </cell>
        </row>
        <row r="72">
          <cell r="B72">
            <v>46090</v>
          </cell>
          <cell r="C72"/>
          <cell r="D72" t="str">
            <v xml:space="preserve"> </v>
          </cell>
          <cell r="E72" t="str">
            <v xml:space="preserve"> </v>
          </cell>
          <cell r="F72"/>
          <cell r="G72" t="str">
            <v xml:space="preserve"> </v>
          </cell>
          <cell r="H72"/>
          <cell r="I72" t="str">
            <v xml:space="preserve"> </v>
          </cell>
          <cell r="J72" t="str">
            <v xml:space="preserve"> </v>
          </cell>
          <cell r="K72"/>
          <cell r="L72" t="str">
            <v xml:space="preserve"> </v>
          </cell>
          <cell r="M72"/>
          <cell r="N72" t="str">
            <v xml:space="preserve"> </v>
          </cell>
          <cell r="O72" t="str">
            <v xml:space="preserve"> </v>
          </cell>
          <cell r="P72"/>
          <cell r="Q72" t="str">
            <v xml:space="preserve"> </v>
          </cell>
          <cell r="R72"/>
          <cell r="S72" t="str">
            <v xml:space="preserve"> </v>
          </cell>
          <cell r="T72" t="str">
            <v xml:space="preserve"> </v>
          </cell>
          <cell r="U72"/>
          <cell r="V72" t="str">
            <v xml:space="preserve"> </v>
          </cell>
          <cell r="W72" t="str">
            <v xml:space="preserve"> </v>
          </cell>
          <cell r="X72"/>
          <cell r="Y72" t="str">
            <v xml:space="preserve"> </v>
          </cell>
          <cell r="Z72"/>
          <cell r="AA72" t="str">
            <v xml:space="preserve"> </v>
          </cell>
          <cell r="AB72" t="str">
            <v xml:space="preserve"> </v>
          </cell>
          <cell r="AC72"/>
          <cell r="AD72" t="str">
            <v xml:space="preserve"> </v>
          </cell>
          <cell r="AE72"/>
          <cell r="AF72" t="str">
            <v xml:space="preserve"> </v>
          </cell>
          <cell r="AG72"/>
          <cell r="AH72"/>
          <cell r="AI72"/>
          <cell r="AJ72"/>
          <cell r="AK72" t="str">
            <v/>
          </cell>
          <cell r="AL72"/>
          <cell r="AM72" t="str">
            <v xml:space="preserve"> </v>
          </cell>
          <cell r="AN72" t="str">
            <v xml:space="preserve"> </v>
          </cell>
          <cell r="AO72"/>
          <cell r="AP72" t="str">
            <v xml:space="preserve"> </v>
          </cell>
          <cell r="AQ72"/>
          <cell r="AR72" t="str">
            <v xml:space="preserve"> </v>
          </cell>
          <cell r="AS72" t="str">
            <v xml:space="preserve"> </v>
          </cell>
          <cell r="AT72"/>
          <cell r="AU72" t="str">
            <v xml:space="preserve"> </v>
          </cell>
          <cell r="AV72"/>
          <cell r="AW72"/>
          <cell r="AX72" t="str">
            <v xml:space="preserve"> </v>
          </cell>
          <cell r="AY72"/>
          <cell r="AZ72" t="str">
            <v xml:space="preserve"> </v>
          </cell>
          <cell r="BA72"/>
          <cell r="BB72"/>
          <cell r="BC72" t="str">
            <v xml:space="preserve"> </v>
          </cell>
          <cell r="BD72"/>
          <cell r="BE72" t="str">
            <v xml:space="preserve"> </v>
          </cell>
          <cell r="BF72"/>
          <cell r="BG72"/>
          <cell r="BH72" t="str">
            <v xml:space="preserve"> </v>
          </cell>
          <cell r="BI72"/>
          <cell r="BJ72" t="str">
            <v xml:space="preserve"> </v>
          </cell>
          <cell r="BK72"/>
          <cell r="BL72" t="str">
            <v xml:space="preserve"> </v>
          </cell>
          <cell r="BM72" t="str">
            <v xml:space="preserve"> </v>
          </cell>
          <cell r="BN72"/>
          <cell r="BO72" t="str">
            <v xml:space="preserve"> </v>
          </cell>
        </row>
        <row r="73">
          <cell r="B73">
            <v>46091</v>
          </cell>
          <cell r="C73"/>
          <cell r="D73" t="str">
            <v xml:space="preserve"> </v>
          </cell>
          <cell r="E73" t="str">
            <v xml:space="preserve"> </v>
          </cell>
          <cell r="F73"/>
          <cell r="G73" t="str">
            <v xml:space="preserve"> </v>
          </cell>
          <cell r="H73"/>
          <cell r="I73" t="str">
            <v xml:space="preserve"> </v>
          </cell>
          <cell r="J73" t="str">
            <v xml:space="preserve"> </v>
          </cell>
          <cell r="K73"/>
          <cell r="L73" t="str">
            <v xml:space="preserve"> </v>
          </cell>
          <cell r="M73"/>
          <cell r="N73" t="str">
            <v xml:space="preserve"> </v>
          </cell>
          <cell r="O73" t="str">
            <v xml:space="preserve"> </v>
          </cell>
          <cell r="P73"/>
          <cell r="Q73" t="str">
            <v xml:space="preserve"> </v>
          </cell>
          <cell r="R73"/>
          <cell r="S73" t="str">
            <v xml:space="preserve"> </v>
          </cell>
          <cell r="T73" t="str">
            <v xml:space="preserve"> </v>
          </cell>
          <cell r="U73"/>
          <cell r="V73" t="str">
            <v xml:space="preserve"> </v>
          </cell>
          <cell r="W73" t="str">
            <v xml:space="preserve"> </v>
          </cell>
          <cell r="X73"/>
          <cell r="Y73" t="str">
            <v xml:space="preserve"> </v>
          </cell>
          <cell r="Z73"/>
          <cell r="AA73" t="str">
            <v xml:space="preserve"> </v>
          </cell>
          <cell r="AB73" t="str">
            <v xml:space="preserve"> </v>
          </cell>
          <cell r="AC73"/>
          <cell r="AD73" t="str">
            <v xml:space="preserve"> </v>
          </cell>
          <cell r="AE73"/>
          <cell r="AF73" t="str">
            <v xml:space="preserve"> </v>
          </cell>
          <cell r="AG73"/>
          <cell r="AH73"/>
          <cell r="AI73"/>
          <cell r="AJ73"/>
          <cell r="AK73" t="str">
            <v/>
          </cell>
          <cell r="AL73"/>
          <cell r="AM73" t="str">
            <v xml:space="preserve"> </v>
          </cell>
          <cell r="AN73" t="str">
            <v xml:space="preserve"> </v>
          </cell>
          <cell r="AO73"/>
          <cell r="AP73" t="str">
            <v xml:space="preserve"> </v>
          </cell>
          <cell r="AQ73"/>
          <cell r="AR73" t="str">
            <v xml:space="preserve"> </v>
          </cell>
          <cell r="AS73" t="str">
            <v xml:space="preserve"> </v>
          </cell>
          <cell r="AT73"/>
          <cell r="AU73" t="str">
            <v xml:space="preserve"> </v>
          </cell>
          <cell r="AV73"/>
          <cell r="AW73"/>
          <cell r="AX73" t="str">
            <v xml:space="preserve"> </v>
          </cell>
          <cell r="AY73"/>
          <cell r="AZ73" t="str">
            <v xml:space="preserve"> </v>
          </cell>
          <cell r="BA73"/>
          <cell r="BB73"/>
          <cell r="BC73" t="str">
            <v xml:space="preserve"> </v>
          </cell>
          <cell r="BD73"/>
          <cell r="BE73" t="str">
            <v xml:space="preserve"> </v>
          </cell>
          <cell r="BF73"/>
          <cell r="BG73"/>
          <cell r="BH73" t="str">
            <v xml:space="preserve"> </v>
          </cell>
          <cell r="BI73"/>
          <cell r="BJ73" t="str">
            <v xml:space="preserve"> </v>
          </cell>
          <cell r="BK73"/>
          <cell r="BL73" t="str">
            <v xml:space="preserve"> </v>
          </cell>
          <cell r="BM73" t="str">
            <v xml:space="preserve"> </v>
          </cell>
          <cell r="BN73"/>
          <cell r="BO73" t="str">
            <v xml:space="preserve"> </v>
          </cell>
        </row>
        <row r="74">
          <cell r="B74">
            <v>46092</v>
          </cell>
          <cell r="C74"/>
          <cell r="D74" t="str">
            <v xml:space="preserve"> </v>
          </cell>
          <cell r="E74" t="str">
            <v xml:space="preserve"> </v>
          </cell>
          <cell r="F74"/>
          <cell r="G74" t="str">
            <v xml:space="preserve"> </v>
          </cell>
          <cell r="H74"/>
          <cell r="I74" t="str">
            <v xml:space="preserve"> </v>
          </cell>
          <cell r="J74" t="str">
            <v xml:space="preserve"> </v>
          </cell>
          <cell r="K74"/>
          <cell r="L74" t="str">
            <v xml:space="preserve"> </v>
          </cell>
          <cell r="M74"/>
          <cell r="N74" t="str">
            <v xml:space="preserve"> </v>
          </cell>
          <cell r="O74" t="str">
            <v xml:space="preserve"> </v>
          </cell>
          <cell r="P74"/>
          <cell r="Q74" t="str">
            <v xml:space="preserve"> </v>
          </cell>
          <cell r="R74"/>
          <cell r="S74" t="str">
            <v xml:space="preserve"> </v>
          </cell>
          <cell r="T74" t="str">
            <v xml:space="preserve"> </v>
          </cell>
          <cell r="U74"/>
          <cell r="V74" t="str">
            <v xml:space="preserve"> </v>
          </cell>
          <cell r="W74" t="str">
            <v xml:space="preserve"> </v>
          </cell>
          <cell r="X74"/>
          <cell r="Y74" t="str">
            <v xml:space="preserve"> </v>
          </cell>
          <cell r="Z74"/>
          <cell r="AA74" t="str">
            <v xml:space="preserve"> </v>
          </cell>
          <cell r="AB74" t="str">
            <v xml:space="preserve"> </v>
          </cell>
          <cell r="AC74"/>
          <cell r="AD74" t="str">
            <v xml:space="preserve"> </v>
          </cell>
          <cell r="AE74"/>
          <cell r="AF74" t="str">
            <v xml:space="preserve"> </v>
          </cell>
          <cell r="AG74"/>
          <cell r="AH74"/>
          <cell r="AI74"/>
          <cell r="AJ74"/>
          <cell r="AK74" t="str">
            <v/>
          </cell>
          <cell r="AL74"/>
          <cell r="AM74" t="str">
            <v xml:space="preserve"> </v>
          </cell>
          <cell r="AN74" t="str">
            <v xml:space="preserve"> </v>
          </cell>
          <cell r="AO74"/>
          <cell r="AP74" t="str">
            <v xml:space="preserve"> </v>
          </cell>
          <cell r="AQ74"/>
          <cell r="AR74" t="str">
            <v xml:space="preserve"> </v>
          </cell>
          <cell r="AS74" t="str">
            <v xml:space="preserve"> </v>
          </cell>
          <cell r="AT74"/>
          <cell r="AU74" t="str">
            <v xml:space="preserve"> </v>
          </cell>
          <cell r="AV74"/>
          <cell r="AW74"/>
          <cell r="AX74" t="str">
            <v xml:space="preserve"> </v>
          </cell>
          <cell r="AY74"/>
          <cell r="AZ74" t="str">
            <v xml:space="preserve"> </v>
          </cell>
          <cell r="BA74"/>
          <cell r="BB74"/>
          <cell r="BC74" t="str">
            <v xml:space="preserve"> </v>
          </cell>
          <cell r="BD74"/>
          <cell r="BE74" t="str">
            <v xml:space="preserve"> </v>
          </cell>
          <cell r="BF74"/>
          <cell r="BG74"/>
          <cell r="BH74" t="str">
            <v xml:space="preserve"> </v>
          </cell>
          <cell r="BI74"/>
          <cell r="BJ74" t="str">
            <v xml:space="preserve"> </v>
          </cell>
          <cell r="BK74"/>
          <cell r="BL74" t="str">
            <v xml:space="preserve"> </v>
          </cell>
          <cell r="BM74" t="str">
            <v xml:space="preserve"> </v>
          </cell>
          <cell r="BN74"/>
          <cell r="BO74" t="str">
            <v xml:space="preserve"> </v>
          </cell>
        </row>
        <row r="75">
          <cell r="B75">
            <v>46093</v>
          </cell>
          <cell r="C75"/>
          <cell r="D75" t="str">
            <v xml:space="preserve"> </v>
          </cell>
          <cell r="E75" t="str">
            <v xml:space="preserve"> </v>
          </cell>
          <cell r="F75"/>
          <cell r="G75" t="str">
            <v xml:space="preserve"> </v>
          </cell>
          <cell r="H75"/>
          <cell r="I75" t="str">
            <v xml:space="preserve"> </v>
          </cell>
          <cell r="J75" t="str">
            <v xml:space="preserve"> </v>
          </cell>
          <cell r="K75"/>
          <cell r="L75" t="str">
            <v xml:space="preserve"> </v>
          </cell>
          <cell r="M75"/>
          <cell r="N75" t="str">
            <v xml:space="preserve"> </v>
          </cell>
          <cell r="O75" t="str">
            <v xml:space="preserve"> </v>
          </cell>
          <cell r="P75"/>
          <cell r="Q75" t="str">
            <v xml:space="preserve"> </v>
          </cell>
          <cell r="R75"/>
          <cell r="S75" t="str">
            <v xml:space="preserve"> </v>
          </cell>
          <cell r="T75" t="str">
            <v xml:space="preserve"> </v>
          </cell>
          <cell r="U75"/>
          <cell r="V75" t="str">
            <v xml:space="preserve"> </v>
          </cell>
          <cell r="W75" t="str">
            <v xml:space="preserve"> </v>
          </cell>
          <cell r="X75"/>
          <cell r="Y75" t="str">
            <v xml:space="preserve"> </v>
          </cell>
          <cell r="Z75"/>
          <cell r="AA75" t="str">
            <v xml:space="preserve"> </v>
          </cell>
          <cell r="AB75" t="str">
            <v xml:space="preserve"> </v>
          </cell>
          <cell r="AC75"/>
          <cell r="AD75" t="str">
            <v xml:space="preserve"> </v>
          </cell>
          <cell r="AE75"/>
          <cell r="AF75" t="str">
            <v xml:space="preserve"> </v>
          </cell>
          <cell r="AG75"/>
          <cell r="AH75"/>
          <cell r="AI75"/>
          <cell r="AJ75"/>
          <cell r="AK75" t="str">
            <v/>
          </cell>
          <cell r="AL75"/>
          <cell r="AM75" t="str">
            <v xml:space="preserve"> </v>
          </cell>
          <cell r="AN75" t="str">
            <v xml:space="preserve"> </v>
          </cell>
          <cell r="AO75"/>
          <cell r="AP75" t="str">
            <v xml:space="preserve"> </v>
          </cell>
          <cell r="AQ75"/>
          <cell r="AR75" t="str">
            <v xml:space="preserve"> </v>
          </cell>
          <cell r="AS75" t="str">
            <v xml:space="preserve"> </v>
          </cell>
          <cell r="AT75"/>
          <cell r="AU75" t="str">
            <v xml:space="preserve"> </v>
          </cell>
          <cell r="AV75"/>
          <cell r="AW75"/>
          <cell r="AX75" t="str">
            <v xml:space="preserve"> </v>
          </cell>
          <cell r="AY75"/>
          <cell r="AZ75" t="str">
            <v xml:space="preserve"> </v>
          </cell>
          <cell r="BA75"/>
          <cell r="BB75"/>
          <cell r="BC75" t="str">
            <v xml:space="preserve"> </v>
          </cell>
          <cell r="BD75"/>
          <cell r="BE75" t="str">
            <v xml:space="preserve"> </v>
          </cell>
          <cell r="BF75"/>
          <cell r="BG75"/>
          <cell r="BH75" t="str">
            <v xml:space="preserve"> </v>
          </cell>
          <cell r="BI75"/>
          <cell r="BJ75" t="str">
            <v xml:space="preserve"> </v>
          </cell>
          <cell r="BK75"/>
          <cell r="BL75" t="str">
            <v xml:space="preserve"> </v>
          </cell>
          <cell r="BM75" t="str">
            <v xml:space="preserve"> </v>
          </cell>
          <cell r="BN75"/>
          <cell r="BO75" t="str">
            <v xml:space="preserve"> </v>
          </cell>
        </row>
        <row r="76">
          <cell r="B76">
            <v>46094</v>
          </cell>
          <cell r="C76"/>
          <cell r="D76" t="str">
            <v xml:space="preserve"> </v>
          </cell>
          <cell r="E76" t="str">
            <v xml:space="preserve"> </v>
          </cell>
          <cell r="F76"/>
          <cell r="G76" t="str">
            <v xml:space="preserve"> </v>
          </cell>
          <cell r="H76"/>
          <cell r="I76" t="str">
            <v xml:space="preserve"> </v>
          </cell>
          <cell r="J76" t="str">
            <v xml:space="preserve"> </v>
          </cell>
          <cell r="K76"/>
          <cell r="L76" t="str">
            <v xml:space="preserve"> </v>
          </cell>
          <cell r="M76"/>
          <cell r="N76" t="str">
            <v xml:space="preserve"> </v>
          </cell>
          <cell r="O76" t="str">
            <v xml:space="preserve"> </v>
          </cell>
          <cell r="P76"/>
          <cell r="Q76" t="str">
            <v xml:space="preserve"> </v>
          </cell>
          <cell r="R76"/>
          <cell r="S76" t="str">
            <v xml:space="preserve"> </v>
          </cell>
          <cell r="T76" t="str">
            <v xml:space="preserve"> </v>
          </cell>
          <cell r="U76"/>
          <cell r="V76" t="str">
            <v xml:space="preserve"> </v>
          </cell>
          <cell r="W76" t="str">
            <v xml:space="preserve"> </v>
          </cell>
          <cell r="X76"/>
          <cell r="Y76" t="str">
            <v xml:space="preserve"> </v>
          </cell>
          <cell r="Z76"/>
          <cell r="AA76" t="str">
            <v xml:space="preserve"> </v>
          </cell>
          <cell r="AB76" t="str">
            <v xml:space="preserve"> </v>
          </cell>
          <cell r="AC76"/>
          <cell r="AD76" t="str">
            <v xml:space="preserve"> </v>
          </cell>
          <cell r="AE76"/>
          <cell r="AF76" t="str">
            <v xml:space="preserve"> </v>
          </cell>
          <cell r="AG76"/>
          <cell r="AH76"/>
          <cell r="AI76"/>
          <cell r="AJ76"/>
          <cell r="AK76" t="str">
            <v/>
          </cell>
          <cell r="AL76"/>
          <cell r="AM76" t="str">
            <v xml:space="preserve"> </v>
          </cell>
          <cell r="AN76" t="str">
            <v xml:space="preserve"> </v>
          </cell>
          <cell r="AO76"/>
          <cell r="AP76" t="str">
            <v xml:space="preserve"> </v>
          </cell>
          <cell r="AQ76"/>
          <cell r="AR76" t="str">
            <v xml:space="preserve"> </v>
          </cell>
          <cell r="AS76" t="str">
            <v xml:space="preserve"> </v>
          </cell>
          <cell r="AT76"/>
          <cell r="AU76" t="str">
            <v xml:space="preserve"> </v>
          </cell>
          <cell r="AV76"/>
          <cell r="AW76"/>
          <cell r="AX76" t="str">
            <v xml:space="preserve"> </v>
          </cell>
          <cell r="AY76"/>
          <cell r="AZ76" t="str">
            <v xml:space="preserve"> </v>
          </cell>
          <cell r="BA76"/>
          <cell r="BB76"/>
          <cell r="BC76" t="str">
            <v xml:space="preserve"> </v>
          </cell>
          <cell r="BD76"/>
          <cell r="BE76" t="str">
            <v xml:space="preserve"> </v>
          </cell>
          <cell r="BF76"/>
          <cell r="BG76"/>
          <cell r="BH76" t="str">
            <v xml:space="preserve"> </v>
          </cell>
          <cell r="BI76"/>
          <cell r="BJ76" t="str">
            <v xml:space="preserve"> </v>
          </cell>
          <cell r="BK76"/>
          <cell r="BL76" t="str">
            <v xml:space="preserve"> </v>
          </cell>
          <cell r="BM76" t="str">
            <v xml:space="preserve"> </v>
          </cell>
          <cell r="BN76"/>
          <cell r="BO76" t="str">
            <v xml:space="preserve"> </v>
          </cell>
        </row>
        <row r="77">
          <cell r="B77">
            <v>46095</v>
          </cell>
          <cell r="C77"/>
          <cell r="D77" t="str">
            <v xml:space="preserve"> </v>
          </cell>
          <cell r="E77" t="str">
            <v xml:space="preserve"> </v>
          </cell>
          <cell r="F77"/>
          <cell r="G77" t="str">
            <v xml:space="preserve"> </v>
          </cell>
          <cell r="H77"/>
          <cell r="I77" t="str">
            <v xml:space="preserve"> </v>
          </cell>
          <cell r="J77" t="str">
            <v xml:space="preserve"> </v>
          </cell>
          <cell r="K77"/>
          <cell r="L77" t="str">
            <v xml:space="preserve"> </v>
          </cell>
          <cell r="M77"/>
          <cell r="N77" t="str">
            <v xml:space="preserve"> </v>
          </cell>
          <cell r="O77" t="str">
            <v xml:space="preserve"> </v>
          </cell>
          <cell r="P77"/>
          <cell r="Q77" t="str">
            <v xml:space="preserve"> </v>
          </cell>
          <cell r="R77"/>
          <cell r="S77" t="str">
            <v xml:space="preserve"> </v>
          </cell>
          <cell r="T77" t="str">
            <v xml:space="preserve"> </v>
          </cell>
          <cell r="U77"/>
          <cell r="V77" t="str">
            <v xml:space="preserve"> </v>
          </cell>
          <cell r="W77" t="str">
            <v xml:space="preserve"> </v>
          </cell>
          <cell r="X77"/>
          <cell r="Y77" t="str">
            <v xml:space="preserve"> </v>
          </cell>
          <cell r="Z77"/>
          <cell r="AA77" t="str">
            <v xml:space="preserve"> </v>
          </cell>
          <cell r="AB77" t="str">
            <v xml:space="preserve"> </v>
          </cell>
          <cell r="AC77"/>
          <cell r="AD77" t="str">
            <v xml:space="preserve"> </v>
          </cell>
          <cell r="AE77"/>
          <cell r="AF77" t="str">
            <v xml:space="preserve"> </v>
          </cell>
          <cell r="AG77"/>
          <cell r="AH77"/>
          <cell r="AI77"/>
          <cell r="AJ77"/>
          <cell r="AK77" t="str">
            <v/>
          </cell>
          <cell r="AL77"/>
          <cell r="AM77" t="str">
            <v xml:space="preserve"> </v>
          </cell>
          <cell r="AN77" t="str">
            <v xml:space="preserve"> </v>
          </cell>
          <cell r="AO77"/>
          <cell r="AP77" t="str">
            <v xml:space="preserve"> </v>
          </cell>
          <cell r="AQ77"/>
          <cell r="AR77" t="str">
            <v xml:space="preserve"> </v>
          </cell>
          <cell r="AS77" t="str">
            <v xml:space="preserve"> </v>
          </cell>
          <cell r="AT77"/>
          <cell r="AU77" t="str">
            <v xml:space="preserve"> </v>
          </cell>
          <cell r="AV77"/>
          <cell r="AW77"/>
          <cell r="AX77" t="str">
            <v xml:space="preserve"> </v>
          </cell>
          <cell r="AY77"/>
          <cell r="AZ77" t="str">
            <v xml:space="preserve"> </v>
          </cell>
          <cell r="BA77"/>
          <cell r="BB77"/>
          <cell r="BC77" t="str">
            <v xml:space="preserve"> </v>
          </cell>
          <cell r="BD77"/>
          <cell r="BE77" t="str">
            <v xml:space="preserve"> </v>
          </cell>
          <cell r="BF77"/>
          <cell r="BG77"/>
          <cell r="BH77" t="str">
            <v xml:space="preserve"> </v>
          </cell>
          <cell r="BI77"/>
          <cell r="BJ77" t="str">
            <v xml:space="preserve"> </v>
          </cell>
          <cell r="BK77"/>
          <cell r="BL77" t="str">
            <v xml:space="preserve"> </v>
          </cell>
          <cell r="BM77" t="str">
            <v xml:space="preserve"> </v>
          </cell>
          <cell r="BN77"/>
          <cell r="BO77" t="str">
            <v xml:space="preserve"> </v>
          </cell>
        </row>
        <row r="78">
          <cell r="B78">
            <v>46096</v>
          </cell>
          <cell r="C78"/>
          <cell r="D78" t="str">
            <v xml:space="preserve"> </v>
          </cell>
          <cell r="E78" t="str">
            <v xml:space="preserve"> </v>
          </cell>
          <cell r="F78"/>
          <cell r="G78" t="str">
            <v xml:space="preserve"> </v>
          </cell>
          <cell r="H78"/>
          <cell r="I78" t="str">
            <v xml:space="preserve"> </v>
          </cell>
          <cell r="J78" t="str">
            <v xml:space="preserve"> </v>
          </cell>
          <cell r="K78"/>
          <cell r="L78" t="str">
            <v xml:space="preserve"> </v>
          </cell>
          <cell r="M78"/>
          <cell r="N78" t="str">
            <v xml:space="preserve"> </v>
          </cell>
          <cell r="O78" t="str">
            <v xml:space="preserve"> </v>
          </cell>
          <cell r="P78"/>
          <cell r="Q78" t="str">
            <v xml:space="preserve"> </v>
          </cell>
          <cell r="R78"/>
          <cell r="S78" t="str">
            <v xml:space="preserve"> </v>
          </cell>
          <cell r="T78" t="str">
            <v xml:space="preserve"> </v>
          </cell>
          <cell r="U78"/>
          <cell r="V78" t="str">
            <v xml:space="preserve"> </v>
          </cell>
          <cell r="W78" t="str">
            <v xml:space="preserve"> </v>
          </cell>
          <cell r="X78"/>
          <cell r="Y78" t="str">
            <v xml:space="preserve"> </v>
          </cell>
          <cell r="Z78"/>
          <cell r="AA78" t="str">
            <v xml:space="preserve"> </v>
          </cell>
          <cell r="AB78" t="str">
            <v xml:space="preserve"> </v>
          </cell>
          <cell r="AC78"/>
          <cell r="AD78" t="str">
            <v xml:space="preserve"> </v>
          </cell>
          <cell r="AE78"/>
          <cell r="AF78" t="str">
            <v xml:space="preserve"> </v>
          </cell>
          <cell r="AG78"/>
          <cell r="AH78"/>
          <cell r="AI78"/>
          <cell r="AJ78"/>
          <cell r="AK78" t="str">
            <v/>
          </cell>
          <cell r="AL78"/>
          <cell r="AM78" t="str">
            <v xml:space="preserve"> </v>
          </cell>
          <cell r="AN78" t="str">
            <v xml:space="preserve"> </v>
          </cell>
          <cell r="AO78"/>
          <cell r="AP78" t="str">
            <v xml:space="preserve"> </v>
          </cell>
          <cell r="AQ78"/>
          <cell r="AR78" t="str">
            <v xml:space="preserve"> </v>
          </cell>
          <cell r="AS78" t="str">
            <v xml:space="preserve"> </v>
          </cell>
          <cell r="AT78"/>
          <cell r="AU78" t="str">
            <v xml:space="preserve"> </v>
          </cell>
          <cell r="AV78"/>
          <cell r="AW78"/>
          <cell r="AX78" t="str">
            <v xml:space="preserve"> </v>
          </cell>
          <cell r="AY78"/>
          <cell r="AZ78" t="str">
            <v xml:space="preserve"> </v>
          </cell>
          <cell r="BA78"/>
          <cell r="BB78"/>
          <cell r="BC78" t="str">
            <v xml:space="preserve"> </v>
          </cell>
          <cell r="BD78"/>
          <cell r="BE78" t="str">
            <v xml:space="preserve"> </v>
          </cell>
          <cell r="BF78"/>
          <cell r="BG78"/>
          <cell r="BH78" t="str">
            <v xml:space="preserve"> </v>
          </cell>
          <cell r="BI78"/>
          <cell r="BJ78" t="str">
            <v xml:space="preserve"> </v>
          </cell>
          <cell r="BK78"/>
          <cell r="BL78" t="str">
            <v xml:space="preserve"> </v>
          </cell>
          <cell r="BM78" t="str">
            <v xml:space="preserve"> </v>
          </cell>
          <cell r="BN78"/>
          <cell r="BO78" t="str">
            <v xml:space="preserve"> </v>
          </cell>
        </row>
        <row r="79">
          <cell r="B79">
            <v>46097</v>
          </cell>
          <cell r="C79"/>
          <cell r="D79" t="str">
            <v xml:space="preserve"> </v>
          </cell>
          <cell r="E79" t="str">
            <v xml:space="preserve"> </v>
          </cell>
          <cell r="F79"/>
          <cell r="G79" t="str">
            <v xml:space="preserve"> </v>
          </cell>
          <cell r="H79"/>
          <cell r="I79" t="str">
            <v xml:space="preserve"> </v>
          </cell>
          <cell r="J79" t="str">
            <v xml:space="preserve"> </v>
          </cell>
          <cell r="K79"/>
          <cell r="L79" t="str">
            <v xml:space="preserve"> </v>
          </cell>
          <cell r="M79"/>
          <cell r="N79" t="str">
            <v xml:space="preserve"> </v>
          </cell>
          <cell r="O79" t="str">
            <v xml:space="preserve"> </v>
          </cell>
          <cell r="P79"/>
          <cell r="Q79" t="str">
            <v xml:space="preserve"> </v>
          </cell>
          <cell r="R79"/>
          <cell r="S79" t="str">
            <v xml:space="preserve"> </v>
          </cell>
          <cell r="T79" t="str">
            <v xml:space="preserve"> </v>
          </cell>
          <cell r="U79"/>
          <cell r="V79" t="str">
            <v xml:space="preserve"> </v>
          </cell>
          <cell r="W79" t="str">
            <v xml:space="preserve"> </v>
          </cell>
          <cell r="X79"/>
          <cell r="Y79" t="str">
            <v xml:space="preserve"> </v>
          </cell>
          <cell r="Z79"/>
          <cell r="AA79" t="str">
            <v xml:space="preserve"> </v>
          </cell>
          <cell r="AB79" t="str">
            <v xml:space="preserve"> </v>
          </cell>
          <cell r="AC79"/>
          <cell r="AD79" t="str">
            <v xml:space="preserve"> </v>
          </cell>
          <cell r="AE79"/>
          <cell r="AF79" t="str">
            <v xml:space="preserve"> </v>
          </cell>
          <cell r="AG79"/>
          <cell r="AH79"/>
          <cell r="AI79"/>
          <cell r="AJ79"/>
          <cell r="AK79" t="str">
            <v/>
          </cell>
          <cell r="AL79"/>
          <cell r="AM79" t="str">
            <v xml:space="preserve"> </v>
          </cell>
          <cell r="AN79" t="str">
            <v xml:space="preserve"> </v>
          </cell>
          <cell r="AO79"/>
          <cell r="AP79" t="str">
            <v xml:space="preserve"> </v>
          </cell>
          <cell r="AQ79"/>
          <cell r="AR79" t="str">
            <v xml:space="preserve"> </v>
          </cell>
          <cell r="AS79" t="str">
            <v xml:space="preserve"> </v>
          </cell>
          <cell r="AT79"/>
          <cell r="AU79" t="str">
            <v xml:space="preserve"> </v>
          </cell>
          <cell r="AV79"/>
          <cell r="AW79"/>
          <cell r="AX79" t="str">
            <v xml:space="preserve"> </v>
          </cell>
          <cell r="AY79"/>
          <cell r="AZ79" t="str">
            <v xml:space="preserve"> </v>
          </cell>
          <cell r="BA79"/>
          <cell r="BB79"/>
          <cell r="BC79" t="str">
            <v xml:space="preserve"> </v>
          </cell>
          <cell r="BD79"/>
          <cell r="BE79" t="str">
            <v xml:space="preserve"> </v>
          </cell>
          <cell r="BF79"/>
          <cell r="BG79"/>
          <cell r="BH79" t="str">
            <v xml:space="preserve"> </v>
          </cell>
          <cell r="BI79"/>
          <cell r="BJ79" t="str">
            <v xml:space="preserve"> </v>
          </cell>
          <cell r="BK79"/>
          <cell r="BL79" t="str">
            <v xml:space="preserve"> </v>
          </cell>
          <cell r="BM79" t="str">
            <v xml:space="preserve"> </v>
          </cell>
          <cell r="BN79"/>
          <cell r="BO79" t="str">
            <v xml:space="preserve"> </v>
          </cell>
        </row>
        <row r="80">
          <cell r="B80">
            <v>46098</v>
          </cell>
          <cell r="C80"/>
          <cell r="D80" t="str">
            <v xml:space="preserve"> </v>
          </cell>
          <cell r="E80" t="str">
            <v xml:space="preserve"> </v>
          </cell>
          <cell r="F80"/>
          <cell r="G80" t="str">
            <v xml:space="preserve"> </v>
          </cell>
          <cell r="H80"/>
          <cell r="I80" t="str">
            <v xml:space="preserve"> </v>
          </cell>
          <cell r="J80" t="str">
            <v xml:space="preserve"> </v>
          </cell>
          <cell r="K80"/>
          <cell r="L80" t="str">
            <v xml:space="preserve"> </v>
          </cell>
          <cell r="M80"/>
          <cell r="N80" t="str">
            <v xml:space="preserve"> </v>
          </cell>
          <cell r="O80" t="str">
            <v xml:space="preserve"> </v>
          </cell>
          <cell r="P80"/>
          <cell r="Q80" t="str">
            <v xml:space="preserve"> </v>
          </cell>
          <cell r="R80"/>
          <cell r="S80" t="str">
            <v xml:space="preserve"> </v>
          </cell>
          <cell r="T80" t="str">
            <v xml:space="preserve"> </v>
          </cell>
          <cell r="U80"/>
          <cell r="V80" t="str">
            <v xml:space="preserve"> </v>
          </cell>
          <cell r="W80" t="str">
            <v xml:space="preserve"> </v>
          </cell>
          <cell r="X80"/>
          <cell r="Y80" t="str">
            <v xml:space="preserve"> </v>
          </cell>
          <cell r="Z80"/>
          <cell r="AA80" t="str">
            <v xml:space="preserve"> </v>
          </cell>
          <cell r="AB80" t="str">
            <v xml:space="preserve"> </v>
          </cell>
          <cell r="AC80"/>
          <cell r="AD80" t="str">
            <v xml:space="preserve"> </v>
          </cell>
          <cell r="AE80"/>
          <cell r="AF80" t="str">
            <v xml:space="preserve"> </v>
          </cell>
          <cell r="AG80"/>
          <cell r="AH80"/>
          <cell r="AI80"/>
          <cell r="AJ80"/>
          <cell r="AK80" t="str">
            <v/>
          </cell>
          <cell r="AL80"/>
          <cell r="AM80" t="str">
            <v xml:space="preserve"> </v>
          </cell>
          <cell r="AN80" t="str">
            <v xml:space="preserve"> </v>
          </cell>
          <cell r="AO80"/>
          <cell r="AP80" t="str">
            <v xml:space="preserve"> </v>
          </cell>
          <cell r="AQ80"/>
          <cell r="AR80" t="str">
            <v xml:space="preserve"> </v>
          </cell>
          <cell r="AS80" t="str">
            <v xml:space="preserve"> </v>
          </cell>
          <cell r="AT80"/>
          <cell r="AU80" t="str">
            <v xml:space="preserve"> </v>
          </cell>
          <cell r="AV80"/>
          <cell r="AW80"/>
          <cell r="AX80" t="str">
            <v xml:space="preserve"> </v>
          </cell>
          <cell r="AY80"/>
          <cell r="AZ80" t="str">
            <v xml:space="preserve"> </v>
          </cell>
          <cell r="BA80"/>
          <cell r="BB80"/>
          <cell r="BC80" t="str">
            <v xml:space="preserve"> </v>
          </cell>
          <cell r="BD80"/>
          <cell r="BE80" t="str">
            <v xml:space="preserve"> </v>
          </cell>
          <cell r="BF80"/>
          <cell r="BG80"/>
          <cell r="BH80" t="str">
            <v xml:space="preserve"> </v>
          </cell>
          <cell r="BI80"/>
          <cell r="BJ80" t="str">
            <v xml:space="preserve"> </v>
          </cell>
          <cell r="BK80"/>
          <cell r="BL80" t="str">
            <v xml:space="preserve"> </v>
          </cell>
          <cell r="BM80" t="str">
            <v xml:space="preserve"> </v>
          </cell>
          <cell r="BN80"/>
          <cell r="BO80" t="str">
            <v xml:space="preserve"> </v>
          </cell>
        </row>
        <row r="81">
          <cell r="B81">
            <v>46099</v>
          </cell>
          <cell r="C81"/>
          <cell r="D81" t="str">
            <v xml:space="preserve"> </v>
          </cell>
          <cell r="E81" t="str">
            <v xml:space="preserve"> </v>
          </cell>
          <cell r="F81"/>
          <cell r="G81" t="str">
            <v xml:space="preserve"> </v>
          </cell>
          <cell r="H81"/>
          <cell r="I81" t="str">
            <v xml:space="preserve"> </v>
          </cell>
          <cell r="J81" t="str">
            <v xml:space="preserve"> </v>
          </cell>
          <cell r="K81"/>
          <cell r="L81" t="str">
            <v xml:space="preserve"> </v>
          </cell>
          <cell r="M81"/>
          <cell r="N81" t="str">
            <v xml:space="preserve"> </v>
          </cell>
          <cell r="O81" t="str">
            <v xml:space="preserve"> </v>
          </cell>
          <cell r="P81"/>
          <cell r="Q81" t="str">
            <v xml:space="preserve"> </v>
          </cell>
          <cell r="R81"/>
          <cell r="S81" t="str">
            <v xml:space="preserve"> </v>
          </cell>
          <cell r="T81" t="str">
            <v xml:space="preserve"> </v>
          </cell>
          <cell r="U81"/>
          <cell r="V81" t="str">
            <v xml:space="preserve"> </v>
          </cell>
          <cell r="W81" t="str">
            <v xml:space="preserve"> </v>
          </cell>
          <cell r="X81"/>
          <cell r="Y81" t="str">
            <v xml:space="preserve"> </v>
          </cell>
          <cell r="Z81"/>
          <cell r="AA81" t="str">
            <v xml:space="preserve"> </v>
          </cell>
          <cell r="AB81" t="str">
            <v xml:space="preserve"> </v>
          </cell>
          <cell r="AC81"/>
          <cell r="AD81" t="str">
            <v xml:space="preserve"> </v>
          </cell>
          <cell r="AE81"/>
          <cell r="AF81" t="str">
            <v xml:space="preserve"> </v>
          </cell>
          <cell r="AG81"/>
          <cell r="AH81"/>
          <cell r="AI81"/>
          <cell r="AJ81"/>
          <cell r="AK81" t="str">
            <v/>
          </cell>
          <cell r="AL81"/>
          <cell r="AM81" t="str">
            <v xml:space="preserve"> </v>
          </cell>
          <cell r="AN81" t="str">
            <v xml:space="preserve"> </v>
          </cell>
          <cell r="AO81"/>
          <cell r="AP81" t="str">
            <v xml:space="preserve"> </v>
          </cell>
          <cell r="AQ81"/>
          <cell r="AR81" t="str">
            <v xml:space="preserve"> </v>
          </cell>
          <cell r="AS81" t="str">
            <v xml:space="preserve"> </v>
          </cell>
          <cell r="AT81"/>
          <cell r="AU81" t="str">
            <v xml:space="preserve"> </v>
          </cell>
          <cell r="AV81"/>
          <cell r="AW81"/>
          <cell r="AX81" t="str">
            <v xml:space="preserve"> </v>
          </cell>
          <cell r="AY81"/>
          <cell r="AZ81" t="str">
            <v xml:space="preserve"> </v>
          </cell>
          <cell r="BA81"/>
          <cell r="BB81"/>
          <cell r="BC81" t="str">
            <v xml:space="preserve"> </v>
          </cell>
          <cell r="BD81"/>
          <cell r="BE81" t="str">
            <v xml:space="preserve"> </v>
          </cell>
          <cell r="BF81"/>
          <cell r="BG81"/>
          <cell r="BH81" t="str">
            <v xml:space="preserve"> </v>
          </cell>
          <cell r="BI81"/>
          <cell r="BJ81" t="str">
            <v xml:space="preserve"> </v>
          </cell>
          <cell r="BK81"/>
          <cell r="BL81" t="str">
            <v xml:space="preserve"> </v>
          </cell>
          <cell r="BM81" t="str">
            <v xml:space="preserve"> </v>
          </cell>
          <cell r="BN81"/>
          <cell r="BO81" t="str">
            <v xml:space="preserve"> </v>
          </cell>
        </row>
        <row r="82">
          <cell r="B82">
            <v>46100</v>
          </cell>
          <cell r="C82"/>
          <cell r="D82" t="str">
            <v xml:space="preserve"> </v>
          </cell>
          <cell r="E82" t="str">
            <v xml:space="preserve"> </v>
          </cell>
          <cell r="F82"/>
          <cell r="G82" t="str">
            <v xml:space="preserve"> </v>
          </cell>
          <cell r="H82"/>
          <cell r="I82" t="str">
            <v xml:space="preserve"> </v>
          </cell>
          <cell r="J82" t="str">
            <v xml:space="preserve"> </v>
          </cell>
          <cell r="K82"/>
          <cell r="L82" t="str">
            <v xml:space="preserve"> </v>
          </cell>
          <cell r="M82"/>
          <cell r="N82" t="str">
            <v xml:space="preserve"> </v>
          </cell>
          <cell r="O82" t="str">
            <v xml:space="preserve"> </v>
          </cell>
          <cell r="P82"/>
          <cell r="Q82" t="str">
            <v xml:space="preserve"> </v>
          </cell>
          <cell r="R82"/>
          <cell r="S82" t="str">
            <v xml:space="preserve"> </v>
          </cell>
          <cell r="T82" t="str">
            <v xml:space="preserve"> </v>
          </cell>
          <cell r="U82"/>
          <cell r="V82" t="str">
            <v xml:space="preserve"> </v>
          </cell>
          <cell r="W82" t="str">
            <v xml:space="preserve"> </v>
          </cell>
          <cell r="X82"/>
          <cell r="Y82" t="str">
            <v xml:space="preserve"> </v>
          </cell>
          <cell r="Z82"/>
          <cell r="AA82" t="str">
            <v xml:space="preserve"> </v>
          </cell>
          <cell r="AB82" t="str">
            <v xml:space="preserve"> </v>
          </cell>
          <cell r="AC82"/>
          <cell r="AD82" t="str">
            <v xml:space="preserve"> </v>
          </cell>
          <cell r="AE82"/>
          <cell r="AF82" t="str">
            <v xml:space="preserve"> </v>
          </cell>
          <cell r="AG82"/>
          <cell r="AH82"/>
          <cell r="AI82"/>
          <cell r="AJ82"/>
          <cell r="AK82" t="str">
            <v/>
          </cell>
          <cell r="AL82"/>
          <cell r="AM82" t="str">
            <v xml:space="preserve"> </v>
          </cell>
          <cell r="AN82" t="str">
            <v xml:space="preserve"> </v>
          </cell>
          <cell r="AO82"/>
          <cell r="AP82" t="str">
            <v xml:space="preserve"> </v>
          </cell>
          <cell r="AQ82"/>
          <cell r="AR82" t="str">
            <v xml:space="preserve"> </v>
          </cell>
          <cell r="AS82" t="str">
            <v xml:space="preserve"> </v>
          </cell>
          <cell r="AT82"/>
          <cell r="AU82" t="str">
            <v xml:space="preserve"> </v>
          </cell>
          <cell r="AV82"/>
          <cell r="AW82"/>
          <cell r="AX82" t="str">
            <v xml:space="preserve"> </v>
          </cell>
          <cell r="AY82"/>
          <cell r="AZ82" t="str">
            <v xml:space="preserve"> </v>
          </cell>
          <cell r="BA82"/>
          <cell r="BB82"/>
          <cell r="BC82" t="str">
            <v xml:space="preserve"> </v>
          </cell>
          <cell r="BD82"/>
          <cell r="BE82" t="str">
            <v xml:space="preserve"> </v>
          </cell>
          <cell r="BF82"/>
          <cell r="BG82"/>
          <cell r="BH82" t="str">
            <v xml:space="preserve"> </v>
          </cell>
          <cell r="BI82"/>
          <cell r="BJ82" t="str">
            <v xml:space="preserve"> </v>
          </cell>
          <cell r="BK82"/>
          <cell r="BL82" t="str">
            <v xml:space="preserve"> </v>
          </cell>
          <cell r="BM82" t="str">
            <v xml:space="preserve"> </v>
          </cell>
          <cell r="BN82"/>
          <cell r="BO82" t="str">
            <v xml:space="preserve"> </v>
          </cell>
        </row>
        <row r="83">
          <cell r="B83">
            <v>46101</v>
          </cell>
          <cell r="C83"/>
          <cell r="D83" t="str">
            <v xml:space="preserve"> </v>
          </cell>
          <cell r="E83" t="str">
            <v xml:space="preserve"> </v>
          </cell>
          <cell r="F83"/>
          <cell r="G83" t="str">
            <v xml:space="preserve"> </v>
          </cell>
          <cell r="H83"/>
          <cell r="I83" t="str">
            <v xml:space="preserve"> </v>
          </cell>
          <cell r="J83" t="str">
            <v xml:space="preserve"> </v>
          </cell>
          <cell r="K83"/>
          <cell r="L83" t="str">
            <v xml:space="preserve"> </v>
          </cell>
          <cell r="M83"/>
          <cell r="N83" t="str">
            <v xml:space="preserve"> </v>
          </cell>
          <cell r="O83" t="str">
            <v xml:space="preserve"> </v>
          </cell>
          <cell r="P83"/>
          <cell r="Q83" t="str">
            <v xml:space="preserve"> </v>
          </cell>
          <cell r="R83"/>
          <cell r="S83" t="str">
            <v xml:space="preserve"> </v>
          </cell>
          <cell r="T83" t="str">
            <v xml:space="preserve"> </v>
          </cell>
          <cell r="U83"/>
          <cell r="V83" t="str">
            <v xml:space="preserve"> </v>
          </cell>
          <cell r="W83" t="str">
            <v xml:space="preserve"> </v>
          </cell>
          <cell r="X83"/>
          <cell r="Y83" t="str">
            <v xml:space="preserve"> </v>
          </cell>
          <cell r="Z83"/>
          <cell r="AA83" t="str">
            <v xml:space="preserve"> </v>
          </cell>
          <cell r="AB83" t="str">
            <v xml:space="preserve"> </v>
          </cell>
          <cell r="AC83"/>
          <cell r="AD83" t="str">
            <v xml:space="preserve"> </v>
          </cell>
          <cell r="AE83"/>
          <cell r="AF83" t="str">
            <v xml:space="preserve"> </v>
          </cell>
          <cell r="AG83"/>
          <cell r="AH83"/>
          <cell r="AI83"/>
          <cell r="AJ83"/>
          <cell r="AK83" t="str">
            <v/>
          </cell>
          <cell r="AL83"/>
          <cell r="AM83" t="str">
            <v xml:space="preserve"> </v>
          </cell>
          <cell r="AN83" t="str">
            <v xml:space="preserve"> </v>
          </cell>
          <cell r="AO83"/>
          <cell r="AP83" t="str">
            <v xml:space="preserve"> </v>
          </cell>
          <cell r="AQ83"/>
          <cell r="AR83" t="str">
            <v xml:space="preserve"> </v>
          </cell>
          <cell r="AS83" t="str">
            <v xml:space="preserve"> </v>
          </cell>
          <cell r="AT83"/>
          <cell r="AU83" t="str">
            <v xml:space="preserve"> </v>
          </cell>
          <cell r="AV83"/>
          <cell r="AW83"/>
          <cell r="AX83" t="str">
            <v xml:space="preserve"> </v>
          </cell>
          <cell r="AY83"/>
          <cell r="AZ83" t="str">
            <v xml:space="preserve"> </v>
          </cell>
          <cell r="BA83"/>
          <cell r="BB83"/>
          <cell r="BC83" t="str">
            <v xml:space="preserve"> </v>
          </cell>
          <cell r="BD83"/>
          <cell r="BE83" t="str">
            <v xml:space="preserve"> </v>
          </cell>
          <cell r="BF83"/>
          <cell r="BG83"/>
          <cell r="BH83" t="str">
            <v xml:space="preserve"> </v>
          </cell>
          <cell r="BI83"/>
          <cell r="BJ83" t="str">
            <v xml:space="preserve"> </v>
          </cell>
          <cell r="BK83"/>
          <cell r="BL83" t="str">
            <v xml:space="preserve"> </v>
          </cell>
          <cell r="BM83" t="str">
            <v xml:space="preserve"> </v>
          </cell>
          <cell r="BN83"/>
          <cell r="BO83" t="str">
            <v xml:space="preserve"> </v>
          </cell>
        </row>
        <row r="84">
          <cell r="B84">
            <v>46102</v>
          </cell>
          <cell r="C84"/>
          <cell r="D84" t="str">
            <v xml:space="preserve"> </v>
          </cell>
          <cell r="E84" t="str">
            <v xml:space="preserve"> </v>
          </cell>
          <cell r="F84"/>
          <cell r="G84" t="str">
            <v xml:space="preserve"> </v>
          </cell>
          <cell r="H84"/>
          <cell r="I84" t="str">
            <v xml:space="preserve"> </v>
          </cell>
          <cell r="J84" t="str">
            <v xml:space="preserve"> </v>
          </cell>
          <cell r="K84"/>
          <cell r="L84" t="str">
            <v xml:space="preserve"> </v>
          </cell>
          <cell r="M84"/>
          <cell r="N84" t="str">
            <v xml:space="preserve"> </v>
          </cell>
          <cell r="O84" t="str">
            <v xml:space="preserve"> </v>
          </cell>
          <cell r="P84"/>
          <cell r="Q84" t="str">
            <v xml:space="preserve"> </v>
          </cell>
          <cell r="R84"/>
          <cell r="S84" t="str">
            <v xml:space="preserve"> </v>
          </cell>
          <cell r="T84" t="str">
            <v xml:space="preserve"> </v>
          </cell>
          <cell r="U84"/>
          <cell r="V84" t="str">
            <v xml:space="preserve"> </v>
          </cell>
          <cell r="W84" t="str">
            <v xml:space="preserve"> </v>
          </cell>
          <cell r="X84"/>
          <cell r="Y84" t="str">
            <v xml:space="preserve"> </v>
          </cell>
          <cell r="Z84"/>
          <cell r="AA84" t="str">
            <v xml:space="preserve"> </v>
          </cell>
          <cell r="AB84" t="str">
            <v xml:space="preserve"> </v>
          </cell>
          <cell r="AC84"/>
          <cell r="AD84" t="str">
            <v xml:space="preserve"> </v>
          </cell>
          <cell r="AE84"/>
          <cell r="AF84" t="str">
            <v xml:space="preserve"> </v>
          </cell>
          <cell r="AG84"/>
          <cell r="AH84"/>
          <cell r="AI84"/>
          <cell r="AJ84"/>
          <cell r="AK84" t="str">
            <v/>
          </cell>
          <cell r="AL84"/>
          <cell r="AM84" t="str">
            <v xml:space="preserve"> </v>
          </cell>
          <cell r="AN84" t="str">
            <v xml:space="preserve"> </v>
          </cell>
          <cell r="AO84"/>
          <cell r="AP84" t="str">
            <v xml:space="preserve"> </v>
          </cell>
          <cell r="AQ84"/>
          <cell r="AR84" t="str">
            <v xml:space="preserve"> </v>
          </cell>
          <cell r="AS84" t="str">
            <v xml:space="preserve"> </v>
          </cell>
          <cell r="AT84"/>
          <cell r="AU84" t="str">
            <v xml:space="preserve"> </v>
          </cell>
          <cell r="AV84"/>
          <cell r="AW84"/>
          <cell r="AX84" t="str">
            <v xml:space="preserve"> </v>
          </cell>
          <cell r="AY84"/>
          <cell r="AZ84" t="str">
            <v xml:space="preserve"> </v>
          </cell>
          <cell r="BA84"/>
          <cell r="BB84"/>
          <cell r="BC84" t="str">
            <v xml:space="preserve"> </v>
          </cell>
          <cell r="BD84"/>
          <cell r="BE84" t="str">
            <v xml:space="preserve"> </v>
          </cell>
          <cell r="BF84"/>
          <cell r="BG84"/>
          <cell r="BH84" t="str">
            <v xml:space="preserve"> </v>
          </cell>
          <cell r="BI84"/>
          <cell r="BJ84" t="str">
            <v xml:space="preserve"> </v>
          </cell>
          <cell r="BK84"/>
          <cell r="BL84" t="str">
            <v xml:space="preserve"> </v>
          </cell>
          <cell r="BM84" t="str">
            <v xml:space="preserve"> </v>
          </cell>
          <cell r="BN84"/>
          <cell r="BO84" t="str">
            <v xml:space="preserve"> </v>
          </cell>
        </row>
        <row r="85">
          <cell r="B85">
            <v>46103</v>
          </cell>
          <cell r="C85"/>
          <cell r="D85" t="str">
            <v xml:space="preserve"> </v>
          </cell>
          <cell r="E85" t="str">
            <v xml:space="preserve"> </v>
          </cell>
          <cell r="F85"/>
          <cell r="G85" t="str">
            <v xml:space="preserve"> </v>
          </cell>
          <cell r="H85"/>
          <cell r="I85" t="str">
            <v xml:space="preserve"> </v>
          </cell>
          <cell r="J85" t="str">
            <v xml:space="preserve"> </v>
          </cell>
          <cell r="K85"/>
          <cell r="L85" t="str">
            <v xml:space="preserve"> </v>
          </cell>
          <cell r="M85"/>
          <cell r="N85" t="str">
            <v xml:space="preserve"> </v>
          </cell>
          <cell r="O85" t="str">
            <v xml:space="preserve"> </v>
          </cell>
          <cell r="P85"/>
          <cell r="Q85" t="str">
            <v xml:space="preserve"> </v>
          </cell>
          <cell r="R85"/>
          <cell r="S85" t="str">
            <v xml:space="preserve"> </v>
          </cell>
          <cell r="T85" t="str">
            <v xml:space="preserve"> </v>
          </cell>
          <cell r="U85"/>
          <cell r="V85" t="str">
            <v xml:space="preserve"> </v>
          </cell>
          <cell r="W85" t="str">
            <v xml:space="preserve"> </v>
          </cell>
          <cell r="X85"/>
          <cell r="Y85" t="str">
            <v xml:space="preserve"> </v>
          </cell>
          <cell r="Z85"/>
          <cell r="AA85" t="str">
            <v xml:space="preserve"> </v>
          </cell>
          <cell r="AB85" t="str">
            <v xml:space="preserve"> </v>
          </cell>
          <cell r="AC85"/>
          <cell r="AD85" t="str">
            <v xml:space="preserve"> </v>
          </cell>
          <cell r="AE85"/>
          <cell r="AF85" t="str">
            <v xml:space="preserve"> </v>
          </cell>
          <cell r="AG85"/>
          <cell r="AH85"/>
          <cell r="AI85"/>
          <cell r="AJ85"/>
          <cell r="AK85" t="str">
            <v/>
          </cell>
          <cell r="AL85"/>
          <cell r="AM85" t="str">
            <v xml:space="preserve"> </v>
          </cell>
          <cell r="AN85" t="str">
            <v xml:space="preserve"> </v>
          </cell>
          <cell r="AO85"/>
          <cell r="AP85" t="str">
            <v xml:space="preserve"> </v>
          </cell>
          <cell r="AQ85"/>
          <cell r="AR85" t="str">
            <v xml:space="preserve"> </v>
          </cell>
          <cell r="AS85" t="str">
            <v xml:space="preserve"> </v>
          </cell>
          <cell r="AT85"/>
          <cell r="AU85" t="str">
            <v xml:space="preserve"> </v>
          </cell>
          <cell r="AV85"/>
          <cell r="AW85"/>
          <cell r="AX85" t="str">
            <v xml:space="preserve"> </v>
          </cell>
          <cell r="AY85"/>
          <cell r="AZ85" t="str">
            <v xml:space="preserve"> </v>
          </cell>
          <cell r="BA85"/>
          <cell r="BB85"/>
          <cell r="BC85" t="str">
            <v xml:space="preserve"> </v>
          </cell>
          <cell r="BD85"/>
          <cell r="BE85" t="str">
            <v xml:space="preserve"> </v>
          </cell>
          <cell r="BF85"/>
          <cell r="BG85"/>
          <cell r="BH85" t="str">
            <v xml:space="preserve"> </v>
          </cell>
          <cell r="BI85"/>
          <cell r="BJ85" t="str">
            <v xml:space="preserve"> </v>
          </cell>
          <cell r="BK85"/>
          <cell r="BL85" t="str">
            <v xml:space="preserve"> </v>
          </cell>
          <cell r="BM85" t="str">
            <v xml:space="preserve"> </v>
          </cell>
          <cell r="BN85"/>
          <cell r="BO85" t="str">
            <v xml:space="preserve"> </v>
          </cell>
        </row>
        <row r="86">
          <cell r="B86">
            <v>46104</v>
          </cell>
          <cell r="C86"/>
          <cell r="D86" t="str">
            <v xml:space="preserve"> </v>
          </cell>
          <cell r="E86" t="str">
            <v xml:space="preserve"> </v>
          </cell>
          <cell r="F86"/>
          <cell r="G86" t="str">
            <v xml:space="preserve"> </v>
          </cell>
          <cell r="H86"/>
          <cell r="I86" t="str">
            <v xml:space="preserve"> </v>
          </cell>
          <cell r="J86" t="str">
            <v xml:space="preserve"> </v>
          </cell>
          <cell r="K86"/>
          <cell r="L86" t="str">
            <v xml:space="preserve"> </v>
          </cell>
          <cell r="M86"/>
          <cell r="N86" t="str">
            <v xml:space="preserve"> </v>
          </cell>
          <cell r="O86" t="str">
            <v xml:space="preserve"> </v>
          </cell>
          <cell r="P86"/>
          <cell r="Q86" t="str">
            <v xml:space="preserve"> </v>
          </cell>
          <cell r="R86"/>
          <cell r="S86" t="str">
            <v xml:space="preserve"> </v>
          </cell>
          <cell r="T86" t="str">
            <v xml:space="preserve"> </v>
          </cell>
          <cell r="U86"/>
          <cell r="V86" t="str">
            <v xml:space="preserve"> </v>
          </cell>
          <cell r="W86" t="str">
            <v xml:space="preserve"> </v>
          </cell>
          <cell r="X86"/>
          <cell r="Y86" t="str">
            <v xml:space="preserve"> </v>
          </cell>
          <cell r="Z86"/>
          <cell r="AA86" t="str">
            <v xml:space="preserve"> </v>
          </cell>
          <cell r="AB86" t="str">
            <v xml:space="preserve"> </v>
          </cell>
          <cell r="AC86"/>
          <cell r="AD86" t="str">
            <v xml:space="preserve"> </v>
          </cell>
          <cell r="AE86"/>
          <cell r="AF86" t="str">
            <v xml:space="preserve"> </v>
          </cell>
          <cell r="AG86"/>
          <cell r="AH86"/>
          <cell r="AI86"/>
          <cell r="AJ86"/>
          <cell r="AK86" t="str">
            <v/>
          </cell>
          <cell r="AL86"/>
          <cell r="AM86" t="str">
            <v xml:space="preserve"> </v>
          </cell>
          <cell r="AN86" t="str">
            <v xml:space="preserve"> </v>
          </cell>
          <cell r="AO86"/>
          <cell r="AP86" t="str">
            <v xml:space="preserve"> </v>
          </cell>
          <cell r="AQ86"/>
          <cell r="AR86" t="str">
            <v xml:space="preserve"> </v>
          </cell>
          <cell r="AS86" t="str">
            <v xml:space="preserve"> </v>
          </cell>
          <cell r="AT86"/>
          <cell r="AU86" t="str">
            <v xml:space="preserve"> </v>
          </cell>
          <cell r="AV86"/>
          <cell r="AW86"/>
          <cell r="AX86" t="str">
            <v xml:space="preserve"> </v>
          </cell>
          <cell r="AY86"/>
          <cell r="AZ86" t="str">
            <v xml:space="preserve"> </v>
          </cell>
          <cell r="BA86"/>
          <cell r="BB86"/>
          <cell r="BC86" t="str">
            <v xml:space="preserve"> </v>
          </cell>
          <cell r="BD86"/>
          <cell r="BE86" t="str">
            <v xml:space="preserve"> </v>
          </cell>
          <cell r="BF86"/>
          <cell r="BG86"/>
          <cell r="BH86" t="str">
            <v xml:space="preserve"> </v>
          </cell>
          <cell r="BI86"/>
          <cell r="BJ86" t="str">
            <v xml:space="preserve"> </v>
          </cell>
          <cell r="BK86"/>
          <cell r="BL86" t="str">
            <v xml:space="preserve"> </v>
          </cell>
          <cell r="BM86" t="str">
            <v xml:space="preserve"> </v>
          </cell>
          <cell r="BN86"/>
          <cell r="BO86" t="str">
            <v xml:space="preserve"> </v>
          </cell>
        </row>
        <row r="87">
          <cell r="B87">
            <v>46105</v>
          </cell>
          <cell r="C87"/>
          <cell r="D87" t="str">
            <v xml:space="preserve"> </v>
          </cell>
          <cell r="E87" t="str">
            <v xml:space="preserve"> </v>
          </cell>
          <cell r="F87"/>
          <cell r="G87" t="str">
            <v xml:space="preserve"> </v>
          </cell>
          <cell r="H87"/>
          <cell r="I87" t="str">
            <v xml:space="preserve"> </v>
          </cell>
          <cell r="J87" t="str">
            <v xml:space="preserve"> </v>
          </cell>
          <cell r="K87"/>
          <cell r="L87" t="str">
            <v xml:space="preserve"> </v>
          </cell>
          <cell r="M87"/>
          <cell r="N87" t="str">
            <v xml:space="preserve"> </v>
          </cell>
          <cell r="O87" t="str">
            <v xml:space="preserve"> </v>
          </cell>
          <cell r="P87"/>
          <cell r="Q87" t="str">
            <v xml:space="preserve"> </v>
          </cell>
          <cell r="R87"/>
          <cell r="S87" t="str">
            <v xml:space="preserve"> </v>
          </cell>
          <cell r="T87" t="str">
            <v xml:space="preserve"> </v>
          </cell>
          <cell r="U87"/>
          <cell r="V87" t="str">
            <v xml:space="preserve"> </v>
          </cell>
          <cell r="W87" t="str">
            <v xml:space="preserve"> </v>
          </cell>
          <cell r="X87"/>
          <cell r="Y87" t="str">
            <v xml:space="preserve"> </v>
          </cell>
          <cell r="Z87"/>
          <cell r="AA87" t="str">
            <v xml:space="preserve"> </v>
          </cell>
          <cell r="AB87" t="str">
            <v xml:space="preserve"> </v>
          </cell>
          <cell r="AC87"/>
          <cell r="AD87" t="str">
            <v xml:space="preserve"> </v>
          </cell>
          <cell r="AE87"/>
          <cell r="AF87" t="str">
            <v xml:space="preserve"> </v>
          </cell>
          <cell r="AG87"/>
          <cell r="AH87"/>
          <cell r="AI87"/>
          <cell r="AJ87"/>
          <cell r="AK87" t="str">
            <v/>
          </cell>
          <cell r="AL87"/>
          <cell r="AM87" t="str">
            <v xml:space="preserve"> </v>
          </cell>
          <cell r="AN87" t="str">
            <v xml:space="preserve"> </v>
          </cell>
          <cell r="AO87"/>
          <cell r="AP87" t="str">
            <v xml:space="preserve"> </v>
          </cell>
          <cell r="AQ87"/>
          <cell r="AR87" t="str">
            <v xml:space="preserve"> </v>
          </cell>
          <cell r="AS87" t="str">
            <v xml:space="preserve"> </v>
          </cell>
          <cell r="AT87"/>
          <cell r="AU87" t="str">
            <v xml:space="preserve"> </v>
          </cell>
          <cell r="AV87"/>
          <cell r="AW87"/>
          <cell r="AX87" t="str">
            <v xml:space="preserve"> </v>
          </cell>
          <cell r="AY87"/>
          <cell r="AZ87" t="str">
            <v xml:space="preserve"> </v>
          </cell>
          <cell r="BA87"/>
          <cell r="BB87"/>
          <cell r="BC87" t="str">
            <v xml:space="preserve"> </v>
          </cell>
          <cell r="BD87"/>
          <cell r="BE87" t="str">
            <v xml:space="preserve"> </v>
          </cell>
          <cell r="BF87"/>
          <cell r="BG87"/>
          <cell r="BH87" t="str">
            <v xml:space="preserve"> </v>
          </cell>
          <cell r="BI87"/>
          <cell r="BJ87" t="str">
            <v xml:space="preserve"> </v>
          </cell>
          <cell r="BK87"/>
          <cell r="BL87" t="str">
            <v xml:space="preserve"> </v>
          </cell>
          <cell r="BM87" t="str">
            <v xml:space="preserve"> </v>
          </cell>
          <cell r="BN87"/>
          <cell r="BO87" t="str">
            <v xml:space="preserve"> </v>
          </cell>
        </row>
        <row r="88">
          <cell r="B88">
            <v>46106</v>
          </cell>
          <cell r="C88"/>
          <cell r="D88" t="str">
            <v xml:space="preserve"> </v>
          </cell>
          <cell r="E88" t="str">
            <v xml:space="preserve"> </v>
          </cell>
          <cell r="F88"/>
          <cell r="G88" t="str">
            <v xml:space="preserve"> </v>
          </cell>
          <cell r="H88"/>
          <cell r="I88" t="str">
            <v xml:space="preserve"> </v>
          </cell>
          <cell r="J88" t="str">
            <v xml:space="preserve"> </v>
          </cell>
          <cell r="K88"/>
          <cell r="L88" t="str">
            <v xml:space="preserve"> </v>
          </cell>
          <cell r="M88"/>
          <cell r="N88" t="str">
            <v xml:space="preserve"> </v>
          </cell>
          <cell r="O88" t="str">
            <v xml:space="preserve"> </v>
          </cell>
          <cell r="P88"/>
          <cell r="Q88" t="str">
            <v xml:space="preserve"> </v>
          </cell>
          <cell r="R88"/>
          <cell r="S88" t="str">
            <v xml:space="preserve"> </v>
          </cell>
          <cell r="T88" t="str">
            <v xml:space="preserve"> </v>
          </cell>
          <cell r="U88"/>
          <cell r="V88" t="str">
            <v xml:space="preserve"> </v>
          </cell>
          <cell r="W88" t="str">
            <v xml:space="preserve"> </v>
          </cell>
          <cell r="X88"/>
          <cell r="Y88" t="str">
            <v xml:space="preserve"> </v>
          </cell>
          <cell r="Z88"/>
          <cell r="AA88" t="str">
            <v xml:space="preserve"> </v>
          </cell>
          <cell r="AB88" t="str">
            <v xml:space="preserve"> </v>
          </cell>
          <cell r="AC88"/>
          <cell r="AD88" t="str">
            <v xml:space="preserve"> </v>
          </cell>
          <cell r="AE88"/>
          <cell r="AF88" t="str">
            <v xml:space="preserve"> </v>
          </cell>
          <cell r="AG88"/>
          <cell r="AH88"/>
          <cell r="AI88"/>
          <cell r="AJ88"/>
          <cell r="AK88" t="str">
            <v/>
          </cell>
          <cell r="AL88"/>
          <cell r="AM88" t="str">
            <v xml:space="preserve"> </v>
          </cell>
          <cell r="AN88" t="str">
            <v xml:space="preserve"> </v>
          </cell>
          <cell r="AO88"/>
          <cell r="AP88" t="str">
            <v xml:space="preserve"> </v>
          </cell>
          <cell r="AQ88"/>
          <cell r="AR88" t="str">
            <v xml:space="preserve"> </v>
          </cell>
          <cell r="AS88" t="str">
            <v xml:space="preserve"> </v>
          </cell>
          <cell r="AT88"/>
          <cell r="AU88" t="str">
            <v xml:space="preserve"> </v>
          </cell>
          <cell r="AV88"/>
          <cell r="AW88"/>
          <cell r="AX88" t="str">
            <v xml:space="preserve"> </v>
          </cell>
          <cell r="AY88"/>
          <cell r="AZ88" t="str">
            <v xml:space="preserve"> </v>
          </cell>
          <cell r="BA88"/>
          <cell r="BB88"/>
          <cell r="BC88" t="str">
            <v xml:space="preserve"> </v>
          </cell>
          <cell r="BD88"/>
          <cell r="BE88" t="str">
            <v xml:space="preserve"> </v>
          </cell>
          <cell r="BF88"/>
          <cell r="BG88"/>
          <cell r="BH88" t="str">
            <v xml:space="preserve"> </v>
          </cell>
          <cell r="BI88"/>
          <cell r="BJ88" t="str">
            <v xml:space="preserve"> </v>
          </cell>
          <cell r="BK88"/>
          <cell r="BL88" t="str">
            <v xml:space="preserve"> </v>
          </cell>
          <cell r="BM88" t="str">
            <v xml:space="preserve"> </v>
          </cell>
          <cell r="BN88"/>
          <cell r="BO88" t="str">
            <v xml:space="preserve"> </v>
          </cell>
        </row>
        <row r="89">
          <cell r="B89">
            <v>46107</v>
          </cell>
          <cell r="C89"/>
          <cell r="D89" t="str">
            <v xml:space="preserve"> </v>
          </cell>
          <cell r="E89" t="str">
            <v xml:space="preserve"> </v>
          </cell>
          <cell r="F89"/>
          <cell r="G89" t="str">
            <v xml:space="preserve"> </v>
          </cell>
          <cell r="H89"/>
          <cell r="I89" t="str">
            <v xml:space="preserve"> </v>
          </cell>
          <cell r="J89" t="str">
            <v xml:space="preserve"> </v>
          </cell>
          <cell r="K89"/>
          <cell r="L89" t="str">
            <v xml:space="preserve"> </v>
          </cell>
          <cell r="M89"/>
          <cell r="N89" t="str">
            <v xml:space="preserve"> </v>
          </cell>
          <cell r="O89" t="str">
            <v xml:space="preserve"> </v>
          </cell>
          <cell r="P89"/>
          <cell r="Q89" t="str">
            <v xml:space="preserve"> </v>
          </cell>
          <cell r="R89"/>
          <cell r="S89" t="str">
            <v xml:space="preserve"> </v>
          </cell>
          <cell r="T89" t="str">
            <v xml:space="preserve"> </v>
          </cell>
          <cell r="U89"/>
          <cell r="V89" t="str">
            <v xml:space="preserve"> </v>
          </cell>
          <cell r="W89" t="str">
            <v xml:space="preserve"> </v>
          </cell>
          <cell r="X89"/>
          <cell r="Y89" t="str">
            <v xml:space="preserve"> </v>
          </cell>
          <cell r="Z89"/>
          <cell r="AA89" t="str">
            <v xml:space="preserve"> </v>
          </cell>
          <cell r="AB89" t="str">
            <v xml:space="preserve"> </v>
          </cell>
          <cell r="AC89"/>
          <cell r="AD89" t="str">
            <v xml:space="preserve"> </v>
          </cell>
          <cell r="AE89"/>
          <cell r="AF89" t="str">
            <v xml:space="preserve"> </v>
          </cell>
          <cell r="AG89"/>
          <cell r="AH89"/>
          <cell r="AI89"/>
          <cell r="AJ89"/>
          <cell r="AK89" t="str">
            <v/>
          </cell>
          <cell r="AL89"/>
          <cell r="AM89" t="str">
            <v xml:space="preserve"> </v>
          </cell>
          <cell r="AN89" t="str">
            <v xml:space="preserve"> </v>
          </cell>
          <cell r="AO89"/>
          <cell r="AP89" t="str">
            <v xml:space="preserve"> </v>
          </cell>
          <cell r="AQ89"/>
          <cell r="AR89" t="str">
            <v xml:space="preserve"> </v>
          </cell>
          <cell r="AS89" t="str">
            <v xml:space="preserve"> </v>
          </cell>
          <cell r="AT89"/>
          <cell r="AU89" t="str">
            <v xml:space="preserve"> </v>
          </cell>
          <cell r="AV89"/>
          <cell r="AW89"/>
          <cell r="AX89" t="str">
            <v xml:space="preserve"> </v>
          </cell>
          <cell r="AY89"/>
          <cell r="AZ89" t="str">
            <v xml:space="preserve"> </v>
          </cell>
          <cell r="BA89"/>
          <cell r="BB89"/>
          <cell r="BC89" t="str">
            <v xml:space="preserve"> </v>
          </cell>
          <cell r="BD89"/>
          <cell r="BE89" t="str">
            <v xml:space="preserve"> </v>
          </cell>
          <cell r="BF89"/>
          <cell r="BG89"/>
          <cell r="BH89" t="str">
            <v xml:space="preserve"> </v>
          </cell>
          <cell r="BI89"/>
          <cell r="BJ89" t="str">
            <v xml:space="preserve"> </v>
          </cell>
          <cell r="BK89"/>
          <cell r="BL89" t="str">
            <v xml:space="preserve"> </v>
          </cell>
          <cell r="BM89" t="str">
            <v xml:space="preserve"> </v>
          </cell>
          <cell r="BN89"/>
          <cell r="BO89" t="str">
            <v xml:space="preserve"> </v>
          </cell>
        </row>
        <row r="90">
          <cell r="B90">
            <v>46108</v>
          </cell>
          <cell r="C90"/>
          <cell r="D90" t="str">
            <v xml:space="preserve"> </v>
          </cell>
          <cell r="E90" t="str">
            <v xml:space="preserve"> </v>
          </cell>
          <cell r="F90"/>
          <cell r="G90" t="str">
            <v xml:space="preserve"> </v>
          </cell>
          <cell r="H90"/>
          <cell r="I90" t="str">
            <v xml:space="preserve"> </v>
          </cell>
          <cell r="J90" t="str">
            <v xml:space="preserve"> </v>
          </cell>
          <cell r="K90"/>
          <cell r="L90" t="str">
            <v xml:space="preserve"> </v>
          </cell>
          <cell r="M90"/>
          <cell r="N90" t="str">
            <v xml:space="preserve"> </v>
          </cell>
          <cell r="O90" t="str">
            <v xml:space="preserve"> </v>
          </cell>
          <cell r="P90"/>
          <cell r="Q90" t="str">
            <v xml:space="preserve"> </v>
          </cell>
          <cell r="R90"/>
          <cell r="S90" t="str">
            <v xml:space="preserve"> </v>
          </cell>
          <cell r="T90" t="str">
            <v xml:space="preserve"> </v>
          </cell>
          <cell r="U90"/>
          <cell r="V90" t="str">
            <v xml:space="preserve"> </v>
          </cell>
          <cell r="W90" t="str">
            <v xml:space="preserve"> </v>
          </cell>
          <cell r="X90"/>
          <cell r="Y90" t="str">
            <v xml:space="preserve"> </v>
          </cell>
          <cell r="Z90"/>
          <cell r="AA90" t="str">
            <v xml:space="preserve"> </v>
          </cell>
          <cell r="AB90" t="str">
            <v xml:space="preserve"> </v>
          </cell>
          <cell r="AC90"/>
          <cell r="AD90" t="str">
            <v xml:space="preserve"> </v>
          </cell>
          <cell r="AE90"/>
          <cell r="AF90" t="str">
            <v xml:space="preserve"> </v>
          </cell>
          <cell r="AG90"/>
          <cell r="AH90"/>
          <cell r="AI90"/>
          <cell r="AJ90"/>
          <cell r="AK90" t="str">
            <v/>
          </cell>
          <cell r="AL90"/>
          <cell r="AM90" t="str">
            <v xml:space="preserve"> </v>
          </cell>
          <cell r="AN90" t="str">
            <v xml:space="preserve"> </v>
          </cell>
          <cell r="AO90"/>
          <cell r="AP90" t="str">
            <v xml:space="preserve"> </v>
          </cell>
          <cell r="AQ90"/>
          <cell r="AR90" t="str">
            <v xml:space="preserve"> </v>
          </cell>
          <cell r="AS90" t="str">
            <v xml:space="preserve"> </v>
          </cell>
          <cell r="AT90"/>
          <cell r="AU90" t="str">
            <v xml:space="preserve"> </v>
          </cell>
          <cell r="AV90"/>
          <cell r="AW90"/>
          <cell r="AX90" t="str">
            <v xml:space="preserve"> </v>
          </cell>
          <cell r="AY90"/>
          <cell r="AZ90" t="str">
            <v xml:space="preserve"> </v>
          </cell>
          <cell r="BA90"/>
          <cell r="BB90"/>
          <cell r="BC90" t="str">
            <v xml:space="preserve"> </v>
          </cell>
          <cell r="BD90"/>
          <cell r="BE90" t="str">
            <v xml:space="preserve"> </v>
          </cell>
          <cell r="BF90"/>
          <cell r="BG90"/>
          <cell r="BH90" t="str">
            <v xml:space="preserve"> </v>
          </cell>
          <cell r="BI90"/>
          <cell r="BJ90" t="str">
            <v xml:space="preserve"> </v>
          </cell>
          <cell r="BK90"/>
          <cell r="BL90" t="str">
            <v xml:space="preserve"> </v>
          </cell>
          <cell r="BM90" t="str">
            <v xml:space="preserve"> </v>
          </cell>
          <cell r="BN90"/>
          <cell r="BO90" t="str">
            <v xml:space="preserve"> </v>
          </cell>
        </row>
        <row r="91">
          <cell r="B91">
            <v>46109</v>
          </cell>
          <cell r="C91"/>
          <cell r="D91" t="str">
            <v xml:space="preserve"> </v>
          </cell>
          <cell r="E91" t="str">
            <v xml:space="preserve"> </v>
          </cell>
          <cell r="F91"/>
          <cell r="G91" t="str">
            <v xml:space="preserve"> </v>
          </cell>
          <cell r="H91"/>
          <cell r="I91" t="str">
            <v xml:space="preserve"> </v>
          </cell>
          <cell r="J91" t="str">
            <v xml:space="preserve"> </v>
          </cell>
          <cell r="K91"/>
          <cell r="L91" t="str">
            <v xml:space="preserve"> </v>
          </cell>
          <cell r="M91"/>
          <cell r="N91" t="str">
            <v xml:space="preserve"> </v>
          </cell>
          <cell r="O91" t="str">
            <v xml:space="preserve"> </v>
          </cell>
          <cell r="P91"/>
          <cell r="Q91" t="str">
            <v xml:space="preserve"> </v>
          </cell>
          <cell r="R91"/>
          <cell r="S91" t="str">
            <v xml:space="preserve"> </v>
          </cell>
          <cell r="T91" t="str">
            <v xml:space="preserve"> </v>
          </cell>
          <cell r="U91"/>
          <cell r="V91" t="str">
            <v xml:space="preserve"> </v>
          </cell>
          <cell r="W91" t="str">
            <v xml:space="preserve"> </v>
          </cell>
          <cell r="X91"/>
          <cell r="Y91" t="str">
            <v xml:space="preserve"> </v>
          </cell>
          <cell r="Z91"/>
          <cell r="AA91" t="str">
            <v xml:space="preserve"> </v>
          </cell>
          <cell r="AB91" t="str">
            <v xml:space="preserve"> </v>
          </cell>
          <cell r="AC91"/>
          <cell r="AD91" t="str">
            <v xml:space="preserve"> </v>
          </cell>
          <cell r="AE91"/>
          <cell r="AF91" t="str">
            <v xml:space="preserve"> </v>
          </cell>
          <cell r="AG91"/>
          <cell r="AH91"/>
          <cell r="AI91"/>
          <cell r="AJ91"/>
          <cell r="AK91" t="str">
            <v/>
          </cell>
          <cell r="AL91"/>
          <cell r="AM91" t="str">
            <v xml:space="preserve"> </v>
          </cell>
          <cell r="AN91" t="str">
            <v xml:space="preserve"> </v>
          </cell>
          <cell r="AO91"/>
          <cell r="AP91" t="str">
            <v xml:space="preserve"> </v>
          </cell>
          <cell r="AQ91"/>
          <cell r="AR91" t="str">
            <v xml:space="preserve"> </v>
          </cell>
          <cell r="AS91" t="str">
            <v xml:space="preserve"> </v>
          </cell>
          <cell r="AT91"/>
          <cell r="AU91" t="str">
            <v xml:space="preserve"> </v>
          </cell>
          <cell r="AV91"/>
          <cell r="AW91"/>
          <cell r="AX91" t="str">
            <v xml:space="preserve"> </v>
          </cell>
          <cell r="AY91"/>
          <cell r="AZ91" t="str">
            <v xml:space="preserve"> </v>
          </cell>
          <cell r="BA91"/>
          <cell r="BB91"/>
          <cell r="BC91" t="str">
            <v xml:space="preserve"> </v>
          </cell>
          <cell r="BD91"/>
          <cell r="BE91" t="str">
            <v xml:space="preserve"> </v>
          </cell>
          <cell r="BF91"/>
          <cell r="BG91"/>
          <cell r="BH91" t="str">
            <v xml:space="preserve"> </v>
          </cell>
          <cell r="BI91"/>
          <cell r="BJ91" t="str">
            <v xml:space="preserve"> </v>
          </cell>
          <cell r="BK91"/>
          <cell r="BL91" t="str">
            <v xml:space="preserve"> </v>
          </cell>
          <cell r="BM91" t="str">
            <v xml:space="preserve"> </v>
          </cell>
          <cell r="BN91"/>
          <cell r="BO91" t="str">
            <v xml:space="preserve"> </v>
          </cell>
        </row>
        <row r="92">
          <cell r="B92">
            <v>46110</v>
          </cell>
          <cell r="C92"/>
          <cell r="D92" t="str">
            <v xml:space="preserve"> </v>
          </cell>
          <cell r="E92" t="str">
            <v xml:space="preserve"> </v>
          </cell>
          <cell r="F92"/>
          <cell r="G92" t="str">
            <v xml:space="preserve"> </v>
          </cell>
          <cell r="H92"/>
          <cell r="I92" t="str">
            <v xml:space="preserve"> </v>
          </cell>
          <cell r="J92" t="str">
            <v xml:space="preserve"> </v>
          </cell>
          <cell r="K92"/>
          <cell r="L92" t="str">
            <v xml:space="preserve"> </v>
          </cell>
          <cell r="M92"/>
          <cell r="N92" t="str">
            <v xml:space="preserve"> </v>
          </cell>
          <cell r="O92" t="str">
            <v xml:space="preserve"> </v>
          </cell>
          <cell r="P92"/>
          <cell r="Q92" t="str">
            <v xml:space="preserve"> </v>
          </cell>
          <cell r="R92"/>
          <cell r="S92" t="str">
            <v xml:space="preserve"> </v>
          </cell>
          <cell r="T92" t="str">
            <v xml:space="preserve"> </v>
          </cell>
          <cell r="U92"/>
          <cell r="V92" t="str">
            <v xml:space="preserve"> </v>
          </cell>
          <cell r="W92" t="str">
            <v xml:space="preserve"> </v>
          </cell>
          <cell r="X92"/>
          <cell r="Y92" t="str">
            <v xml:space="preserve"> </v>
          </cell>
          <cell r="Z92"/>
          <cell r="AA92" t="str">
            <v xml:space="preserve"> </v>
          </cell>
          <cell r="AB92" t="str">
            <v xml:space="preserve"> </v>
          </cell>
          <cell r="AC92"/>
          <cell r="AD92" t="str">
            <v xml:space="preserve"> </v>
          </cell>
          <cell r="AE92"/>
          <cell r="AF92" t="str">
            <v xml:space="preserve"> </v>
          </cell>
          <cell r="AG92"/>
          <cell r="AH92"/>
          <cell r="AI92"/>
          <cell r="AJ92"/>
          <cell r="AK92" t="str">
            <v/>
          </cell>
          <cell r="AL92"/>
          <cell r="AM92" t="str">
            <v xml:space="preserve"> </v>
          </cell>
          <cell r="AN92" t="str">
            <v xml:space="preserve"> </v>
          </cell>
          <cell r="AO92"/>
          <cell r="AP92" t="str">
            <v xml:space="preserve"> </v>
          </cell>
          <cell r="AQ92"/>
          <cell r="AR92" t="str">
            <v xml:space="preserve"> </v>
          </cell>
          <cell r="AS92" t="str">
            <v xml:space="preserve"> </v>
          </cell>
          <cell r="AT92"/>
          <cell r="AU92" t="str">
            <v xml:space="preserve"> </v>
          </cell>
          <cell r="AV92"/>
          <cell r="AW92"/>
          <cell r="AX92" t="str">
            <v xml:space="preserve"> </v>
          </cell>
          <cell r="AY92"/>
          <cell r="AZ92" t="str">
            <v xml:space="preserve"> </v>
          </cell>
          <cell r="BA92"/>
          <cell r="BB92"/>
          <cell r="BC92" t="str">
            <v xml:space="preserve"> </v>
          </cell>
          <cell r="BD92"/>
          <cell r="BE92" t="str">
            <v xml:space="preserve"> </v>
          </cell>
          <cell r="BF92"/>
          <cell r="BG92"/>
          <cell r="BH92" t="str">
            <v xml:space="preserve"> </v>
          </cell>
          <cell r="BI92"/>
          <cell r="BJ92" t="str">
            <v xml:space="preserve"> </v>
          </cell>
          <cell r="BK92"/>
          <cell r="BL92" t="str">
            <v xml:space="preserve"> </v>
          </cell>
          <cell r="BM92" t="str">
            <v xml:space="preserve"> </v>
          </cell>
          <cell r="BN92"/>
          <cell r="BO92" t="str">
            <v xml:space="preserve"> </v>
          </cell>
        </row>
        <row r="93">
          <cell r="B93">
            <v>46111</v>
          </cell>
          <cell r="C93"/>
          <cell r="D93" t="str">
            <v xml:space="preserve"> </v>
          </cell>
          <cell r="E93" t="str">
            <v xml:space="preserve"> </v>
          </cell>
          <cell r="F93"/>
          <cell r="G93" t="str">
            <v xml:space="preserve"> </v>
          </cell>
          <cell r="H93"/>
          <cell r="I93" t="str">
            <v xml:space="preserve"> </v>
          </cell>
          <cell r="J93" t="str">
            <v xml:space="preserve"> </v>
          </cell>
          <cell r="K93"/>
          <cell r="L93" t="str">
            <v xml:space="preserve"> </v>
          </cell>
          <cell r="M93"/>
          <cell r="N93" t="str">
            <v xml:space="preserve"> </v>
          </cell>
          <cell r="O93" t="str">
            <v xml:space="preserve"> </v>
          </cell>
          <cell r="P93"/>
          <cell r="Q93" t="str">
            <v xml:space="preserve"> </v>
          </cell>
          <cell r="R93"/>
          <cell r="S93" t="str">
            <v xml:space="preserve"> </v>
          </cell>
          <cell r="T93" t="str">
            <v xml:space="preserve"> </v>
          </cell>
          <cell r="U93"/>
          <cell r="V93" t="str">
            <v xml:space="preserve"> </v>
          </cell>
          <cell r="W93" t="str">
            <v xml:space="preserve"> </v>
          </cell>
          <cell r="X93"/>
          <cell r="Y93" t="str">
            <v xml:space="preserve"> </v>
          </cell>
          <cell r="Z93"/>
          <cell r="AA93" t="str">
            <v xml:space="preserve"> </v>
          </cell>
          <cell r="AB93" t="str">
            <v xml:space="preserve"> </v>
          </cell>
          <cell r="AC93"/>
          <cell r="AD93" t="str">
            <v xml:space="preserve"> </v>
          </cell>
          <cell r="AE93"/>
          <cell r="AF93" t="str">
            <v xml:space="preserve"> </v>
          </cell>
          <cell r="AG93"/>
          <cell r="AH93"/>
          <cell r="AI93"/>
          <cell r="AJ93"/>
          <cell r="AK93" t="str">
            <v/>
          </cell>
          <cell r="AL93"/>
          <cell r="AM93" t="str">
            <v xml:space="preserve"> </v>
          </cell>
          <cell r="AN93" t="str">
            <v xml:space="preserve"> </v>
          </cell>
          <cell r="AO93"/>
          <cell r="AP93" t="str">
            <v xml:space="preserve"> </v>
          </cell>
          <cell r="AQ93"/>
          <cell r="AR93" t="str">
            <v xml:space="preserve"> </v>
          </cell>
          <cell r="AS93" t="str">
            <v xml:space="preserve"> </v>
          </cell>
          <cell r="AT93"/>
          <cell r="AU93" t="str">
            <v xml:space="preserve"> </v>
          </cell>
          <cell r="AV93"/>
          <cell r="AW93"/>
          <cell r="AX93" t="str">
            <v xml:space="preserve"> </v>
          </cell>
          <cell r="AY93"/>
          <cell r="AZ93" t="str">
            <v xml:space="preserve"> </v>
          </cell>
          <cell r="BA93"/>
          <cell r="BB93"/>
          <cell r="BC93" t="str">
            <v xml:space="preserve"> </v>
          </cell>
          <cell r="BD93"/>
          <cell r="BE93" t="str">
            <v xml:space="preserve"> </v>
          </cell>
          <cell r="BF93"/>
          <cell r="BG93"/>
          <cell r="BH93" t="str">
            <v xml:space="preserve"> </v>
          </cell>
          <cell r="BI93"/>
          <cell r="BJ93" t="str">
            <v xml:space="preserve"> </v>
          </cell>
          <cell r="BK93"/>
          <cell r="BL93" t="str">
            <v xml:space="preserve"> </v>
          </cell>
          <cell r="BM93" t="str">
            <v xml:space="preserve"> </v>
          </cell>
          <cell r="BN93"/>
          <cell r="BO93" t="str">
            <v xml:space="preserve"> </v>
          </cell>
        </row>
        <row r="94">
          <cell r="B94">
            <v>46112</v>
          </cell>
          <cell r="C94"/>
          <cell r="D94" t="str">
            <v xml:space="preserve"> </v>
          </cell>
          <cell r="E94" t="str">
            <v xml:space="preserve"> </v>
          </cell>
          <cell r="F94"/>
          <cell r="G94" t="str">
            <v xml:space="preserve"> </v>
          </cell>
          <cell r="H94"/>
          <cell r="I94" t="str">
            <v xml:space="preserve"> </v>
          </cell>
          <cell r="J94" t="str">
            <v xml:space="preserve"> </v>
          </cell>
          <cell r="K94"/>
          <cell r="L94" t="str">
            <v xml:space="preserve"> </v>
          </cell>
          <cell r="M94"/>
          <cell r="N94" t="str">
            <v xml:space="preserve"> </v>
          </cell>
          <cell r="O94" t="str">
            <v xml:space="preserve"> </v>
          </cell>
          <cell r="P94"/>
          <cell r="Q94" t="str">
            <v xml:space="preserve"> </v>
          </cell>
          <cell r="R94"/>
          <cell r="S94" t="str">
            <v xml:space="preserve"> </v>
          </cell>
          <cell r="T94" t="str">
            <v xml:space="preserve"> </v>
          </cell>
          <cell r="U94"/>
          <cell r="V94" t="str">
            <v xml:space="preserve"> </v>
          </cell>
          <cell r="W94" t="str">
            <v xml:space="preserve"> </v>
          </cell>
          <cell r="X94"/>
          <cell r="Y94" t="str">
            <v xml:space="preserve"> </v>
          </cell>
          <cell r="Z94"/>
          <cell r="AA94" t="str">
            <v xml:space="preserve"> </v>
          </cell>
          <cell r="AB94" t="str">
            <v xml:space="preserve"> </v>
          </cell>
          <cell r="AC94"/>
          <cell r="AD94" t="str">
            <v xml:space="preserve"> </v>
          </cell>
          <cell r="AE94"/>
          <cell r="AF94" t="str">
            <v xml:space="preserve"> </v>
          </cell>
          <cell r="AG94"/>
          <cell r="AH94"/>
          <cell r="AI94"/>
          <cell r="AJ94"/>
          <cell r="AK94" t="str">
            <v/>
          </cell>
          <cell r="AL94"/>
          <cell r="AM94" t="str">
            <v xml:space="preserve"> </v>
          </cell>
          <cell r="AN94" t="str">
            <v xml:space="preserve"> </v>
          </cell>
          <cell r="AO94"/>
          <cell r="AP94" t="str">
            <v xml:space="preserve"> </v>
          </cell>
          <cell r="AQ94"/>
          <cell r="AR94" t="str">
            <v xml:space="preserve"> </v>
          </cell>
          <cell r="AS94" t="str">
            <v xml:space="preserve"> </v>
          </cell>
          <cell r="AT94"/>
          <cell r="AU94" t="str">
            <v xml:space="preserve"> </v>
          </cell>
          <cell r="AV94"/>
          <cell r="AW94"/>
          <cell r="AX94" t="str">
            <v xml:space="preserve"> </v>
          </cell>
          <cell r="AY94"/>
          <cell r="AZ94" t="str">
            <v xml:space="preserve"> </v>
          </cell>
          <cell r="BA94"/>
          <cell r="BB94"/>
          <cell r="BC94" t="str">
            <v xml:space="preserve"> </v>
          </cell>
          <cell r="BD94"/>
          <cell r="BE94" t="str">
            <v xml:space="preserve"> </v>
          </cell>
          <cell r="BF94"/>
          <cell r="BG94"/>
          <cell r="BH94" t="str">
            <v xml:space="preserve"> </v>
          </cell>
          <cell r="BI94"/>
          <cell r="BJ94" t="str">
            <v xml:space="preserve"> </v>
          </cell>
          <cell r="BK94"/>
          <cell r="BL94" t="str">
            <v xml:space="preserve"> </v>
          </cell>
          <cell r="BM94" t="str">
            <v xml:space="preserve"> </v>
          </cell>
          <cell r="BN94"/>
          <cell r="BO94" t="str">
            <v xml:space="preserve"> </v>
          </cell>
        </row>
        <row r="95">
          <cell r="B95">
            <v>46113</v>
          </cell>
          <cell r="C95"/>
          <cell r="D95" t="str">
            <v xml:space="preserve"> </v>
          </cell>
          <cell r="E95" t="str">
            <v xml:space="preserve"> </v>
          </cell>
          <cell r="F95"/>
          <cell r="G95" t="str">
            <v xml:space="preserve"> </v>
          </cell>
          <cell r="H95"/>
          <cell r="I95" t="str">
            <v xml:space="preserve"> </v>
          </cell>
          <cell r="J95" t="str">
            <v xml:space="preserve"> </v>
          </cell>
          <cell r="K95"/>
          <cell r="L95" t="str">
            <v xml:space="preserve"> </v>
          </cell>
          <cell r="M95"/>
          <cell r="N95" t="str">
            <v xml:space="preserve"> </v>
          </cell>
          <cell r="O95" t="str">
            <v xml:space="preserve"> </v>
          </cell>
          <cell r="P95"/>
          <cell r="Q95" t="str">
            <v xml:space="preserve"> </v>
          </cell>
          <cell r="R95"/>
          <cell r="S95" t="str">
            <v xml:space="preserve"> </v>
          </cell>
          <cell r="T95" t="str">
            <v xml:space="preserve"> </v>
          </cell>
          <cell r="U95"/>
          <cell r="V95" t="str">
            <v xml:space="preserve"> </v>
          </cell>
          <cell r="W95" t="str">
            <v xml:space="preserve"> </v>
          </cell>
          <cell r="X95"/>
          <cell r="Y95" t="str">
            <v xml:space="preserve"> </v>
          </cell>
          <cell r="Z95"/>
          <cell r="AA95" t="str">
            <v xml:space="preserve"> </v>
          </cell>
          <cell r="AB95" t="str">
            <v xml:space="preserve"> </v>
          </cell>
          <cell r="AC95"/>
          <cell r="AD95" t="str">
            <v xml:space="preserve"> </v>
          </cell>
          <cell r="AE95"/>
          <cell r="AF95" t="str">
            <v xml:space="preserve"> </v>
          </cell>
          <cell r="AG95"/>
          <cell r="AH95"/>
          <cell r="AI95"/>
          <cell r="AJ95"/>
          <cell r="AK95" t="str">
            <v/>
          </cell>
          <cell r="AL95"/>
          <cell r="AM95" t="str">
            <v xml:space="preserve"> </v>
          </cell>
          <cell r="AN95" t="str">
            <v xml:space="preserve"> </v>
          </cell>
          <cell r="AO95"/>
          <cell r="AP95" t="str">
            <v xml:space="preserve"> </v>
          </cell>
          <cell r="AQ95"/>
          <cell r="AR95" t="str">
            <v xml:space="preserve"> </v>
          </cell>
          <cell r="AS95" t="str">
            <v xml:space="preserve"> </v>
          </cell>
          <cell r="AT95"/>
          <cell r="AU95" t="str">
            <v xml:space="preserve"> </v>
          </cell>
          <cell r="AV95"/>
          <cell r="AW95"/>
          <cell r="AX95" t="str">
            <v xml:space="preserve"> </v>
          </cell>
          <cell r="AY95"/>
          <cell r="AZ95" t="str">
            <v xml:space="preserve"> </v>
          </cell>
          <cell r="BA95"/>
          <cell r="BB95"/>
          <cell r="BC95" t="str">
            <v xml:space="preserve"> </v>
          </cell>
          <cell r="BD95"/>
          <cell r="BE95" t="str">
            <v xml:space="preserve"> </v>
          </cell>
          <cell r="BF95"/>
          <cell r="BG95"/>
          <cell r="BH95" t="str">
            <v xml:space="preserve"> </v>
          </cell>
          <cell r="BI95"/>
          <cell r="BJ95" t="str">
            <v xml:space="preserve"> </v>
          </cell>
          <cell r="BK95"/>
          <cell r="BL95" t="str">
            <v xml:space="preserve"> </v>
          </cell>
          <cell r="BM95" t="str">
            <v xml:space="preserve"> </v>
          </cell>
          <cell r="BN95"/>
          <cell r="BO95" t="str">
            <v xml:space="preserve"> </v>
          </cell>
        </row>
        <row r="96">
          <cell r="B96">
            <v>46114</v>
          </cell>
          <cell r="C96"/>
          <cell r="D96" t="str">
            <v xml:space="preserve"> </v>
          </cell>
          <cell r="E96" t="str">
            <v xml:space="preserve"> </v>
          </cell>
          <cell r="F96"/>
          <cell r="G96" t="str">
            <v xml:space="preserve"> </v>
          </cell>
          <cell r="H96"/>
          <cell r="I96" t="str">
            <v xml:space="preserve"> </v>
          </cell>
          <cell r="J96" t="str">
            <v xml:space="preserve"> </v>
          </cell>
          <cell r="K96"/>
          <cell r="L96" t="str">
            <v xml:space="preserve"> </v>
          </cell>
          <cell r="M96"/>
          <cell r="N96" t="str">
            <v xml:space="preserve"> </v>
          </cell>
          <cell r="O96" t="str">
            <v xml:space="preserve"> </v>
          </cell>
          <cell r="P96"/>
          <cell r="Q96" t="str">
            <v xml:space="preserve"> </v>
          </cell>
          <cell r="R96"/>
          <cell r="S96" t="str">
            <v xml:space="preserve"> </v>
          </cell>
          <cell r="T96" t="str">
            <v xml:space="preserve"> </v>
          </cell>
          <cell r="U96"/>
          <cell r="V96" t="str">
            <v xml:space="preserve"> </v>
          </cell>
          <cell r="W96" t="str">
            <v xml:space="preserve"> </v>
          </cell>
          <cell r="X96"/>
          <cell r="Y96" t="str">
            <v xml:space="preserve"> </v>
          </cell>
          <cell r="Z96"/>
          <cell r="AA96" t="str">
            <v xml:space="preserve"> </v>
          </cell>
          <cell r="AB96" t="str">
            <v xml:space="preserve"> </v>
          </cell>
          <cell r="AC96"/>
          <cell r="AD96" t="str">
            <v xml:space="preserve"> </v>
          </cell>
          <cell r="AE96"/>
          <cell r="AF96" t="str">
            <v xml:space="preserve"> </v>
          </cell>
          <cell r="AG96"/>
          <cell r="AH96"/>
          <cell r="AI96"/>
          <cell r="AJ96"/>
          <cell r="AK96" t="str">
            <v/>
          </cell>
          <cell r="AL96"/>
          <cell r="AM96" t="str">
            <v xml:space="preserve"> </v>
          </cell>
          <cell r="AN96" t="str">
            <v xml:space="preserve"> </v>
          </cell>
          <cell r="AO96"/>
          <cell r="AP96" t="str">
            <v xml:space="preserve"> </v>
          </cell>
          <cell r="AQ96"/>
          <cell r="AR96" t="str">
            <v xml:space="preserve"> </v>
          </cell>
          <cell r="AS96" t="str">
            <v xml:space="preserve"> </v>
          </cell>
          <cell r="AT96"/>
          <cell r="AU96" t="str">
            <v xml:space="preserve"> </v>
          </cell>
          <cell r="AV96"/>
          <cell r="AW96"/>
          <cell r="AX96" t="str">
            <v xml:space="preserve"> </v>
          </cell>
          <cell r="AY96"/>
          <cell r="AZ96" t="str">
            <v xml:space="preserve"> </v>
          </cell>
          <cell r="BA96"/>
          <cell r="BB96"/>
          <cell r="BC96" t="str">
            <v xml:space="preserve"> </v>
          </cell>
          <cell r="BD96"/>
          <cell r="BE96" t="str">
            <v xml:space="preserve"> </v>
          </cell>
          <cell r="BF96"/>
          <cell r="BG96"/>
          <cell r="BH96" t="str">
            <v xml:space="preserve"> </v>
          </cell>
          <cell r="BI96"/>
          <cell r="BJ96" t="str">
            <v xml:space="preserve"> </v>
          </cell>
          <cell r="BK96"/>
          <cell r="BL96" t="str">
            <v xml:space="preserve"> </v>
          </cell>
          <cell r="BM96" t="str">
            <v xml:space="preserve"> </v>
          </cell>
          <cell r="BN96"/>
          <cell r="BO96" t="str">
            <v xml:space="preserve"> </v>
          </cell>
        </row>
        <row r="97">
          <cell r="B97">
            <v>46115</v>
          </cell>
          <cell r="C97"/>
          <cell r="D97" t="str">
            <v xml:space="preserve"> </v>
          </cell>
          <cell r="E97" t="str">
            <v xml:space="preserve"> </v>
          </cell>
          <cell r="F97"/>
          <cell r="G97" t="str">
            <v xml:space="preserve"> </v>
          </cell>
          <cell r="H97"/>
          <cell r="I97" t="str">
            <v xml:space="preserve"> </v>
          </cell>
          <cell r="J97" t="str">
            <v xml:space="preserve"> </v>
          </cell>
          <cell r="K97"/>
          <cell r="L97" t="str">
            <v xml:space="preserve"> </v>
          </cell>
          <cell r="M97"/>
          <cell r="N97" t="str">
            <v xml:space="preserve"> </v>
          </cell>
          <cell r="O97" t="str">
            <v xml:space="preserve"> </v>
          </cell>
          <cell r="P97"/>
          <cell r="Q97" t="str">
            <v xml:space="preserve"> </v>
          </cell>
          <cell r="R97"/>
          <cell r="S97" t="str">
            <v xml:space="preserve"> </v>
          </cell>
          <cell r="T97" t="str">
            <v xml:space="preserve"> </v>
          </cell>
          <cell r="U97"/>
          <cell r="V97" t="str">
            <v xml:space="preserve"> </v>
          </cell>
          <cell r="W97" t="str">
            <v xml:space="preserve"> </v>
          </cell>
          <cell r="X97"/>
          <cell r="Y97" t="str">
            <v xml:space="preserve"> </v>
          </cell>
          <cell r="Z97"/>
          <cell r="AA97" t="str">
            <v xml:space="preserve"> </v>
          </cell>
          <cell r="AB97" t="str">
            <v xml:space="preserve"> </v>
          </cell>
          <cell r="AC97"/>
          <cell r="AD97" t="str">
            <v xml:space="preserve"> </v>
          </cell>
          <cell r="AE97"/>
          <cell r="AF97" t="str">
            <v xml:space="preserve"> </v>
          </cell>
          <cell r="AG97"/>
          <cell r="AH97"/>
          <cell r="AI97"/>
          <cell r="AJ97"/>
          <cell r="AK97" t="str">
            <v/>
          </cell>
          <cell r="AL97"/>
          <cell r="AM97" t="str">
            <v xml:space="preserve"> </v>
          </cell>
          <cell r="AN97" t="str">
            <v xml:space="preserve"> </v>
          </cell>
          <cell r="AO97"/>
          <cell r="AP97" t="str">
            <v xml:space="preserve"> </v>
          </cell>
          <cell r="AQ97"/>
          <cell r="AR97" t="str">
            <v xml:space="preserve"> </v>
          </cell>
          <cell r="AS97" t="str">
            <v xml:space="preserve"> </v>
          </cell>
          <cell r="AT97"/>
          <cell r="AU97" t="str">
            <v xml:space="preserve"> </v>
          </cell>
          <cell r="AV97"/>
          <cell r="AW97"/>
          <cell r="AX97" t="str">
            <v xml:space="preserve"> </v>
          </cell>
          <cell r="AY97"/>
          <cell r="AZ97" t="str">
            <v xml:space="preserve"> </v>
          </cell>
          <cell r="BA97"/>
          <cell r="BB97"/>
          <cell r="BC97" t="str">
            <v xml:space="preserve"> </v>
          </cell>
          <cell r="BD97"/>
          <cell r="BE97" t="str">
            <v xml:space="preserve"> </v>
          </cell>
          <cell r="BF97"/>
          <cell r="BG97"/>
          <cell r="BH97" t="str">
            <v xml:space="preserve"> </v>
          </cell>
          <cell r="BI97"/>
          <cell r="BJ97" t="str">
            <v xml:space="preserve"> </v>
          </cell>
          <cell r="BK97"/>
          <cell r="BL97" t="str">
            <v xml:space="preserve"> </v>
          </cell>
          <cell r="BM97" t="str">
            <v xml:space="preserve"> </v>
          </cell>
          <cell r="BN97"/>
          <cell r="BO97" t="str">
            <v xml:space="preserve"> </v>
          </cell>
        </row>
        <row r="98">
          <cell r="B98">
            <v>46116</v>
          </cell>
          <cell r="C98"/>
          <cell r="D98" t="str">
            <v xml:space="preserve"> </v>
          </cell>
          <cell r="E98" t="str">
            <v xml:space="preserve"> </v>
          </cell>
          <cell r="F98"/>
          <cell r="G98" t="str">
            <v xml:space="preserve"> </v>
          </cell>
          <cell r="H98"/>
          <cell r="I98" t="str">
            <v xml:space="preserve"> </v>
          </cell>
          <cell r="J98" t="str">
            <v xml:space="preserve"> </v>
          </cell>
          <cell r="K98"/>
          <cell r="L98" t="str">
            <v xml:space="preserve"> </v>
          </cell>
          <cell r="M98"/>
          <cell r="N98" t="str">
            <v xml:space="preserve"> </v>
          </cell>
          <cell r="O98" t="str">
            <v xml:space="preserve"> </v>
          </cell>
          <cell r="P98"/>
          <cell r="Q98" t="str">
            <v xml:space="preserve"> </v>
          </cell>
          <cell r="R98"/>
          <cell r="S98" t="str">
            <v xml:space="preserve"> </v>
          </cell>
          <cell r="T98" t="str">
            <v xml:space="preserve"> </v>
          </cell>
          <cell r="U98"/>
          <cell r="V98" t="str">
            <v xml:space="preserve"> </v>
          </cell>
          <cell r="W98" t="str">
            <v xml:space="preserve"> </v>
          </cell>
          <cell r="X98"/>
          <cell r="Y98" t="str">
            <v xml:space="preserve"> </v>
          </cell>
          <cell r="Z98"/>
          <cell r="AA98" t="str">
            <v xml:space="preserve"> </v>
          </cell>
          <cell r="AB98" t="str">
            <v xml:space="preserve"> </v>
          </cell>
          <cell r="AC98"/>
          <cell r="AD98" t="str">
            <v xml:space="preserve"> </v>
          </cell>
          <cell r="AE98"/>
          <cell r="AF98" t="str">
            <v xml:space="preserve"> </v>
          </cell>
          <cell r="AG98"/>
          <cell r="AH98"/>
          <cell r="AI98"/>
          <cell r="AJ98"/>
          <cell r="AK98" t="str">
            <v/>
          </cell>
          <cell r="AL98"/>
          <cell r="AM98" t="str">
            <v xml:space="preserve"> </v>
          </cell>
          <cell r="AN98" t="str">
            <v xml:space="preserve"> </v>
          </cell>
          <cell r="AO98"/>
          <cell r="AP98" t="str">
            <v xml:space="preserve"> </v>
          </cell>
          <cell r="AQ98"/>
          <cell r="AR98" t="str">
            <v xml:space="preserve"> </v>
          </cell>
          <cell r="AS98" t="str">
            <v xml:space="preserve"> </v>
          </cell>
          <cell r="AT98"/>
          <cell r="AU98" t="str">
            <v xml:space="preserve"> </v>
          </cell>
          <cell r="AV98"/>
          <cell r="AW98"/>
          <cell r="AX98" t="str">
            <v xml:space="preserve"> </v>
          </cell>
          <cell r="AY98"/>
          <cell r="AZ98" t="str">
            <v xml:space="preserve"> </v>
          </cell>
          <cell r="BA98"/>
          <cell r="BB98"/>
          <cell r="BC98" t="str">
            <v xml:space="preserve"> </v>
          </cell>
          <cell r="BD98"/>
          <cell r="BE98" t="str">
            <v xml:space="preserve"> </v>
          </cell>
          <cell r="BF98"/>
          <cell r="BG98"/>
          <cell r="BH98" t="str">
            <v xml:space="preserve"> </v>
          </cell>
          <cell r="BI98"/>
          <cell r="BJ98" t="str">
            <v xml:space="preserve"> </v>
          </cell>
          <cell r="BK98"/>
          <cell r="BL98" t="str">
            <v xml:space="preserve"> </v>
          </cell>
          <cell r="BM98" t="str">
            <v xml:space="preserve"> </v>
          </cell>
          <cell r="BN98"/>
          <cell r="BO98" t="str">
            <v xml:space="preserve"> </v>
          </cell>
        </row>
        <row r="99">
          <cell r="B99">
            <v>46117</v>
          </cell>
          <cell r="C99"/>
          <cell r="D99" t="str">
            <v xml:space="preserve"> </v>
          </cell>
          <cell r="E99" t="str">
            <v xml:space="preserve"> </v>
          </cell>
          <cell r="F99"/>
          <cell r="G99" t="str">
            <v xml:space="preserve"> </v>
          </cell>
          <cell r="H99"/>
          <cell r="I99" t="str">
            <v xml:space="preserve"> </v>
          </cell>
          <cell r="J99" t="str">
            <v xml:space="preserve"> </v>
          </cell>
          <cell r="K99"/>
          <cell r="L99" t="str">
            <v xml:space="preserve"> </v>
          </cell>
          <cell r="M99"/>
          <cell r="N99" t="str">
            <v xml:space="preserve"> </v>
          </cell>
          <cell r="O99" t="str">
            <v xml:space="preserve"> </v>
          </cell>
          <cell r="P99"/>
          <cell r="Q99" t="str">
            <v xml:space="preserve"> </v>
          </cell>
          <cell r="R99"/>
          <cell r="S99" t="str">
            <v xml:space="preserve"> </v>
          </cell>
          <cell r="T99" t="str">
            <v xml:space="preserve"> </v>
          </cell>
          <cell r="U99"/>
          <cell r="V99" t="str">
            <v xml:space="preserve"> </v>
          </cell>
          <cell r="W99" t="str">
            <v xml:space="preserve"> </v>
          </cell>
          <cell r="X99"/>
          <cell r="Y99" t="str">
            <v xml:space="preserve"> </v>
          </cell>
          <cell r="Z99"/>
          <cell r="AA99" t="str">
            <v xml:space="preserve"> </v>
          </cell>
          <cell r="AB99" t="str">
            <v xml:space="preserve"> </v>
          </cell>
          <cell r="AC99"/>
          <cell r="AD99" t="str">
            <v xml:space="preserve"> </v>
          </cell>
          <cell r="AE99"/>
          <cell r="AF99" t="str">
            <v xml:space="preserve"> </v>
          </cell>
          <cell r="AG99"/>
          <cell r="AH99"/>
          <cell r="AI99"/>
          <cell r="AJ99"/>
          <cell r="AK99" t="str">
            <v/>
          </cell>
          <cell r="AL99"/>
          <cell r="AM99" t="str">
            <v xml:space="preserve"> </v>
          </cell>
          <cell r="AN99" t="str">
            <v xml:space="preserve"> </v>
          </cell>
          <cell r="AO99"/>
          <cell r="AP99" t="str">
            <v xml:space="preserve"> </v>
          </cell>
          <cell r="AQ99"/>
          <cell r="AR99" t="str">
            <v xml:space="preserve"> </v>
          </cell>
          <cell r="AS99" t="str">
            <v xml:space="preserve"> </v>
          </cell>
          <cell r="AT99"/>
          <cell r="AU99" t="str">
            <v xml:space="preserve"> </v>
          </cell>
          <cell r="AV99"/>
          <cell r="AW99"/>
          <cell r="AX99" t="str">
            <v xml:space="preserve"> </v>
          </cell>
          <cell r="AY99"/>
          <cell r="AZ99" t="str">
            <v xml:space="preserve"> </v>
          </cell>
          <cell r="BA99"/>
          <cell r="BB99"/>
          <cell r="BC99" t="str">
            <v xml:space="preserve"> </v>
          </cell>
          <cell r="BD99"/>
          <cell r="BE99" t="str">
            <v xml:space="preserve"> </v>
          </cell>
          <cell r="BF99"/>
          <cell r="BG99"/>
          <cell r="BH99" t="str">
            <v xml:space="preserve"> </v>
          </cell>
          <cell r="BI99"/>
          <cell r="BJ99" t="str">
            <v xml:space="preserve"> </v>
          </cell>
          <cell r="BK99"/>
          <cell r="BL99" t="str">
            <v xml:space="preserve"> </v>
          </cell>
          <cell r="BM99" t="str">
            <v xml:space="preserve"> </v>
          </cell>
          <cell r="BN99"/>
          <cell r="BO99" t="str">
            <v xml:space="preserve"> </v>
          </cell>
        </row>
        <row r="100">
          <cell r="B100">
            <v>46118</v>
          </cell>
          <cell r="C100"/>
          <cell r="D100" t="str">
            <v xml:space="preserve"> </v>
          </cell>
          <cell r="E100" t="str">
            <v xml:space="preserve"> </v>
          </cell>
          <cell r="F100"/>
          <cell r="G100" t="str">
            <v xml:space="preserve"> </v>
          </cell>
          <cell r="H100"/>
          <cell r="I100" t="str">
            <v xml:space="preserve"> </v>
          </cell>
          <cell r="J100" t="str">
            <v xml:space="preserve"> </v>
          </cell>
          <cell r="K100"/>
          <cell r="L100" t="str">
            <v xml:space="preserve"> </v>
          </cell>
          <cell r="M100"/>
          <cell r="N100" t="str">
            <v xml:space="preserve"> </v>
          </cell>
          <cell r="O100" t="str">
            <v xml:space="preserve"> </v>
          </cell>
          <cell r="P100"/>
          <cell r="Q100" t="str">
            <v xml:space="preserve"> </v>
          </cell>
          <cell r="R100"/>
          <cell r="S100" t="str">
            <v xml:space="preserve"> </v>
          </cell>
          <cell r="T100" t="str">
            <v xml:space="preserve"> </v>
          </cell>
          <cell r="U100"/>
          <cell r="V100" t="str">
            <v xml:space="preserve"> </v>
          </cell>
          <cell r="W100" t="str">
            <v xml:space="preserve"> </v>
          </cell>
          <cell r="X100"/>
          <cell r="Y100" t="str">
            <v xml:space="preserve"> </v>
          </cell>
          <cell r="Z100"/>
          <cell r="AA100" t="str">
            <v xml:space="preserve"> </v>
          </cell>
          <cell r="AB100" t="str">
            <v xml:space="preserve"> </v>
          </cell>
          <cell r="AC100"/>
          <cell r="AD100" t="str">
            <v xml:space="preserve"> </v>
          </cell>
          <cell r="AE100"/>
          <cell r="AF100" t="str">
            <v xml:space="preserve"> </v>
          </cell>
          <cell r="AG100"/>
          <cell r="AH100"/>
          <cell r="AI100"/>
          <cell r="AJ100"/>
          <cell r="AK100" t="str">
            <v/>
          </cell>
          <cell r="AL100"/>
          <cell r="AM100" t="str">
            <v xml:space="preserve"> </v>
          </cell>
          <cell r="AN100" t="str">
            <v xml:space="preserve"> </v>
          </cell>
          <cell r="AO100"/>
          <cell r="AP100" t="str">
            <v xml:space="preserve"> </v>
          </cell>
          <cell r="AQ100"/>
          <cell r="AR100" t="str">
            <v xml:space="preserve"> </v>
          </cell>
          <cell r="AS100" t="str">
            <v xml:space="preserve"> </v>
          </cell>
          <cell r="AT100"/>
          <cell r="AU100" t="str">
            <v xml:space="preserve"> </v>
          </cell>
          <cell r="AV100"/>
          <cell r="AW100"/>
          <cell r="AX100" t="str">
            <v xml:space="preserve"> </v>
          </cell>
          <cell r="AY100"/>
          <cell r="AZ100" t="str">
            <v xml:space="preserve"> </v>
          </cell>
          <cell r="BA100"/>
          <cell r="BB100"/>
          <cell r="BC100" t="str">
            <v xml:space="preserve"> </v>
          </cell>
          <cell r="BD100"/>
          <cell r="BE100" t="str">
            <v xml:space="preserve"> </v>
          </cell>
          <cell r="BF100"/>
          <cell r="BG100"/>
          <cell r="BH100" t="str">
            <v xml:space="preserve"> </v>
          </cell>
          <cell r="BI100"/>
          <cell r="BJ100" t="str">
            <v xml:space="preserve"> </v>
          </cell>
          <cell r="BK100"/>
          <cell r="BL100" t="str">
            <v xml:space="preserve"> </v>
          </cell>
          <cell r="BM100" t="str">
            <v xml:space="preserve"> </v>
          </cell>
          <cell r="BN100"/>
          <cell r="BO100" t="str">
            <v xml:space="preserve"> </v>
          </cell>
        </row>
        <row r="101">
          <cell r="B101">
            <v>46119</v>
          </cell>
          <cell r="C101"/>
          <cell r="D101" t="str">
            <v xml:space="preserve"> </v>
          </cell>
          <cell r="E101" t="str">
            <v xml:space="preserve"> </v>
          </cell>
          <cell r="F101"/>
          <cell r="G101" t="str">
            <v xml:space="preserve"> </v>
          </cell>
          <cell r="H101"/>
          <cell r="I101" t="str">
            <v xml:space="preserve"> </v>
          </cell>
          <cell r="J101" t="str">
            <v xml:space="preserve"> </v>
          </cell>
          <cell r="K101"/>
          <cell r="L101" t="str">
            <v xml:space="preserve"> </v>
          </cell>
          <cell r="M101"/>
          <cell r="N101" t="str">
            <v xml:space="preserve"> </v>
          </cell>
          <cell r="O101" t="str">
            <v xml:space="preserve"> </v>
          </cell>
          <cell r="P101"/>
          <cell r="Q101" t="str">
            <v xml:space="preserve"> </v>
          </cell>
          <cell r="R101"/>
          <cell r="S101" t="str">
            <v xml:space="preserve"> </v>
          </cell>
          <cell r="T101" t="str">
            <v xml:space="preserve"> </v>
          </cell>
          <cell r="U101"/>
          <cell r="V101" t="str">
            <v xml:space="preserve"> </v>
          </cell>
          <cell r="W101" t="str">
            <v xml:space="preserve"> </v>
          </cell>
          <cell r="X101"/>
          <cell r="Y101" t="str">
            <v xml:space="preserve"> </v>
          </cell>
          <cell r="Z101"/>
          <cell r="AA101" t="str">
            <v xml:space="preserve"> </v>
          </cell>
          <cell r="AB101" t="str">
            <v xml:space="preserve"> </v>
          </cell>
          <cell r="AC101"/>
          <cell r="AD101" t="str">
            <v xml:space="preserve"> </v>
          </cell>
          <cell r="AE101"/>
          <cell r="AF101" t="str">
            <v xml:space="preserve"> </v>
          </cell>
          <cell r="AG101"/>
          <cell r="AH101"/>
          <cell r="AI101"/>
          <cell r="AJ101"/>
          <cell r="AK101" t="str">
            <v/>
          </cell>
          <cell r="AL101"/>
          <cell r="AM101" t="str">
            <v xml:space="preserve"> </v>
          </cell>
          <cell r="AN101" t="str">
            <v xml:space="preserve"> </v>
          </cell>
          <cell r="AO101"/>
          <cell r="AP101" t="str">
            <v xml:space="preserve"> </v>
          </cell>
          <cell r="AQ101"/>
          <cell r="AR101" t="str">
            <v xml:space="preserve"> </v>
          </cell>
          <cell r="AS101" t="str">
            <v xml:space="preserve"> </v>
          </cell>
          <cell r="AT101"/>
          <cell r="AU101" t="str">
            <v xml:space="preserve"> </v>
          </cell>
          <cell r="AV101"/>
          <cell r="AW101"/>
          <cell r="AX101" t="str">
            <v xml:space="preserve"> </v>
          </cell>
          <cell r="AY101"/>
          <cell r="AZ101" t="str">
            <v xml:space="preserve"> </v>
          </cell>
          <cell r="BA101"/>
          <cell r="BB101"/>
          <cell r="BC101" t="str">
            <v xml:space="preserve"> </v>
          </cell>
          <cell r="BD101"/>
          <cell r="BE101" t="str">
            <v xml:space="preserve"> </v>
          </cell>
          <cell r="BF101"/>
          <cell r="BG101"/>
          <cell r="BH101" t="str">
            <v xml:space="preserve"> </v>
          </cell>
          <cell r="BI101"/>
          <cell r="BJ101" t="str">
            <v xml:space="preserve"> </v>
          </cell>
          <cell r="BK101"/>
          <cell r="BL101" t="str">
            <v xml:space="preserve"> </v>
          </cell>
          <cell r="BM101" t="str">
            <v xml:space="preserve"> </v>
          </cell>
          <cell r="BN101"/>
          <cell r="BO101" t="str">
            <v xml:space="preserve"> </v>
          </cell>
        </row>
        <row r="102">
          <cell r="B102">
            <v>46120</v>
          </cell>
          <cell r="C102"/>
          <cell r="D102" t="str">
            <v xml:space="preserve"> </v>
          </cell>
          <cell r="E102" t="str">
            <v xml:space="preserve"> </v>
          </cell>
          <cell r="F102"/>
          <cell r="G102" t="str">
            <v xml:space="preserve"> </v>
          </cell>
          <cell r="H102"/>
          <cell r="I102" t="str">
            <v xml:space="preserve"> </v>
          </cell>
          <cell r="J102" t="str">
            <v xml:space="preserve"> </v>
          </cell>
          <cell r="K102"/>
          <cell r="L102" t="str">
            <v xml:space="preserve"> </v>
          </cell>
          <cell r="M102"/>
          <cell r="N102" t="str">
            <v xml:space="preserve"> </v>
          </cell>
          <cell r="O102" t="str">
            <v xml:space="preserve"> </v>
          </cell>
          <cell r="P102"/>
          <cell r="Q102" t="str">
            <v xml:space="preserve"> </v>
          </cell>
          <cell r="R102"/>
          <cell r="S102" t="str">
            <v xml:space="preserve"> </v>
          </cell>
          <cell r="T102" t="str">
            <v xml:space="preserve"> </v>
          </cell>
          <cell r="U102"/>
          <cell r="V102" t="str">
            <v xml:space="preserve"> </v>
          </cell>
          <cell r="W102" t="str">
            <v xml:space="preserve"> </v>
          </cell>
          <cell r="X102"/>
          <cell r="Y102" t="str">
            <v xml:space="preserve"> </v>
          </cell>
          <cell r="Z102"/>
          <cell r="AA102" t="str">
            <v xml:space="preserve"> </v>
          </cell>
          <cell r="AB102" t="str">
            <v xml:space="preserve"> </v>
          </cell>
          <cell r="AC102"/>
          <cell r="AD102" t="str">
            <v xml:space="preserve"> </v>
          </cell>
          <cell r="AE102"/>
          <cell r="AF102" t="str">
            <v xml:space="preserve"> </v>
          </cell>
          <cell r="AG102"/>
          <cell r="AH102"/>
          <cell r="AI102"/>
          <cell r="AJ102"/>
          <cell r="AK102" t="str">
            <v/>
          </cell>
          <cell r="AL102"/>
          <cell r="AM102" t="str">
            <v xml:space="preserve"> </v>
          </cell>
          <cell r="AN102" t="str">
            <v xml:space="preserve"> </v>
          </cell>
          <cell r="AO102"/>
          <cell r="AP102" t="str">
            <v xml:space="preserve"> </v>
          </cell>
          <cell r="AQ102"/>
          <cell r="AR102" t="str">
            <v xml:space="preserve"> </v>
          </cell>
          <cell r="AS102" t="str">
            <v xml:space="preserve"> </v>
          </cell>
          <cell r="AT102"/>
          <cell r="AU102" t="str">
            <v xml:space="preserve"> </v>
          </cell>
          <cell r="AV102"/>
          <cell r="AW102"/>
          <cell r="AX102" t="str">
            <v xml:space="preserve"> </v>
          </cell>
          <cell r="AY102"/>
          <cell r="AZ102" t="str">
            <v xml:space="preserve"> </v>
          </cell>
          <cell r="BA102"/>
          <cell r="BB102"/>
          <cell r="BC102" t="str">
            <v xml:space="preserve"> </v>
          </cell>
          <cell r="BD102"/>
          <cell r="BE102" t="str">
            <v xml:space="preserve"> </v>
          </cell>
          <cell r="BF102"/>
          <cell r="BG102"/>
          <cell r="BH102" t="str">
            <v xml:space="preserve"> </v>
          </cell>
          <cell r="BI102"/>
          <cell r="BJ102" t="str">
            <v xml:space="preserve"> </v>
          </cell>
          <cell r="BK102"/>
          <cell r="BL102" t="str">
            <v xml:space="preserve"> </v>
          </cell>
          <cell r="BM102" t="str">
            <v xml:space="preserve"> </v>
          </cell>
          <cell r="BN102"/>
          <cell r="BO102" t="str">
            <v xml:space="preserve"> </v>
          </cell>
        </row>
        <row r="103">
          <cell r="B103">
            <v>46121</v>
          </cell>
          <cell r="C103"/>
          <cell r="D103" t="str">
            <v xml:space="preserve"> </v>
          </cell>
          <cell r="E103" t="str">
            <v xml:space="preserve"> </v>
          </cell>
          <cell r="F103"/>
          <cell r="G103" t="str">
            <v xml:space="preserve"> </v>
          </cell>
          <cell r="H103"/>
          <cell r="I103" t="str">
            <v xml:space="preserve"> </v>
          </cell>
          <cell r="J103" t="str">
            <v xml:space="preserve"> </v>
          </cell>
          <cell r="K103"/>
          <cell r="L103" t="str">
            <v xml:space="preserve"> </v>
          </cell>
          <cell r="M103"/>
          <cell r="N103" t="str">
            <v xml:space="preserve"> </v>
          </cell>
          <cell r="O103" t="str">
            <v xml:space="preserve"> </v>
          </cell>
          <cell r="P103"/>
          <cell r="Q103" t="str">
            <v xml:space="preserve"> </v>
          </cell>
          <cell r="R103"/>
          <cell r="S103" t="str">
            <v xml:space="preserve"> </v>
          </cell>
          <cell r="T103" t="str">
            <v xml:space="preserve"> </v>
          </cell>
          <cell r="U103"/>
          <cell r="V103" t="str">
            <v xml:space="preserve"> </v>
          </cell>
          <cell r="W103" t="str">
            <v xml:space="preserve"> </v>
          </cell>
          <cell r="X103"/>
          <cell r="Y103" t="str">
            <v xml:space="preserve"> </v>
          </cell>
          <cell r="Z103"/>
          <cell r="AA103" t="str">
            <v xml:space="preserve"> </v>
          </cell>
          <cell r="AB103" t="str">
            <v xml:space="preserve"> </v>
          </cell>
          <cell r="AC103"/>
          <cell r="AD103" t="str">
            <v xml:space="preserve"> </v>
          </cell>
          <cell r="AE103"/>
          <cell r="AF103" t="str">
            <v xml:space="preserve"> </v>
          </cell>
          <cell r="AG103"/>
          <cell r="AH103"/>
          <cell r="AI103"/>
          <cell r="AJ103"/>
          <cell r="AK103" t="str">
            <v/>
          </cell>
          <cell r="AL103"/>
          <cell r="AM103" t="str">
            <v xml:space="preserve"> </v>
          </cell>
          <cell r="AN103" t="str">
            <v xml:space="preserve"> </v>
          </cell>
          <cell r="AO103"/>
          <cell r="AP103" t="str">
            <v xml:space="preserve"> </v>
          </cell>
          <cell r="AQ103"/>
          <cell r="AR103" t="str">
            <v xml:space="preserve"> </v>
          </cell>
          <cell r="AS103" t="str">
            <v xml:space="preserve"> </v>
          </cell>
          <cell r="AT103"/>
          <cell r="AU103" t="str">
            <v xml:space="preserve"> </v>
          </cell>
          <cell r="AV103"/>
          <cell r="AW103"/>
          <cell r="AX103" t="str">
            <v xml:space="preserve"> </v>
          </cell>
          <cell r="AY103"/>
          <cell r="AZ103" t="str">
            <v xml:space="preserve"> </v>
          </cell>
          <cell r="BA103"/>
          <cell r="BB103"/>
          <cell r="BC103" t="str">
            <v xml:space="preserve"> </v>
          </cell>
          <cell r="BD103"/>
          <cell r="BE103" t="str">
            <v xml:space="preserve"> </v>
          </cell>
          <cell r="BF103"/>
          <cell r="BG103"/>
          <cell r="BH103" t="str">
            <v xml:space="preserve"> </v>
          </cell>
          <cell r="BI103"/>
          <cell r="BJ103" t="str">
            <v xml:space="preserve"> </v>
          </cell>
          <cell r="BK103"/>
          <cell r="BL103" t="str">
            <v xml:space="preserve"> </v>
          </cell>
          <cell r="BM103" t="str">
            <v xml:space="preserve"> </v>
          </cell>
          <cell r="BN103"/>
          <cell r="BO103" t="str">
            <v xml:space="preserve"> </v>
          </cell>
        </row>
        <row r="104">
          <cell r="B104">
            <v>46122</v>
          </cell>
          <cell r="C104"/>
          <cell r="D104" t="str">
            <v xml:space="preserve"> </v>
          </cell>
          <cell r="E104" t="str">
            <v xml:space="preserve"> </v>
          </cell>
          <cell r="F104"/>
          <cell r="G104" t="str">
            <v xml:space="preserve"> </v>
          </cell>
          <cell r="H104"/>
          <cell r="I104" t="str">
            <v xml:space="preserve"> </v>
          </cell>
          <cell r="J104" t="str">
            <v xml:space="preserve"> </v>
          </cell>
          <cell r="K104"/>
          <cell r="L104" t="str">
            <v xml:space="preserve"> </v>
          </cell>
          <cell r="M104"/>
          <cell r="N104" t="str">
            <v xml:space="preserve"> </v>
          </cell>
          <cell r="O104" t="str">
            <v xml:space="preserve"> </v>
          </cell>
          <cell r="P104"/>
          <cell r="Q104" t="str">
            <v xml:space="preserve"> </v>
          </cell>
          <cell r="R104"/>
          <cell r="S104" t="str">
            <v xml:space="preserve"> </v>
          </cell>
          <cell r="T104" t="str">
            <v xml:space="preserve"> </v>
          </cell>
          <cell r="U104"/>
          <cell r="V104" t="str">
            <v xml:space="preserve"> </v>
          </cell>
          <cell r="W104" t="str">
            <v xml:space="preserve"> </v>
          </cell>
          <cell r="X104"/>
          <cell r="Y104" t="str">
            <v xml:space="preserve"> </v>
          </cell>
          <cell r="Z104"/>
          <cell r="AA104" t="str">
            <v xml:space="preserve"> </v>
          </cell>
          <cell r="AB104" t="str">
            <v xml:space="preserve"> </v>
          </cell>
          <cell r="AC104"/>
          <cell r="AD104" t="str">
            <v xml:space="preserve"> </v>
          </cell>
          <cell r="AE104"/>
          <cell r="AF104" t="str">
            <v xml:space="preserve"> </v>
          </cell>
          <cell r="AG104"/>
          <cell r="AH104"/>
          <cell r="AI104"/>
          <cell r="AJ104"/>
          <cell r="AK104" t="str">
            <v/>
          </cell>
          <cell r="AL104"/>
          <cell r="AM104" t="str">
            <v xml:space="preserve"> </v>
          </cell>
          <cell r="AN104" t="str">
            <v xml:space="preserve"> </v>
          </cell>
          <cell r="AO104"/>
          <cell r="AP104" t="str">
            <v xml:space="preserve"> </v>
          </cell>
          <cell r="AQ104"/>
          <cell r="AR104" t="str">
            <v xml:space="preserve"> </v>
          </cell>
          <cell r="AS104" t="str">
            <v xml:space="preserve"> </v>
          </cell>
          <cell r="AT104"/>
          <cell r="AU104" t="str">
            <v xml:space="preserve"> </v>
          </cell>
          <cell r="AV104"/>
          <cell r="AW104"/>
          <cell r="AX104" t="str">
            <v xml:space="preserve"> </v>
          </cell>
          <cell r="AY104"/>
          <cell r="AZ104" t="str">
            <v xml:space="preserve"> </v>
          </cell>
          <cell r="BA104"/>
          <cell r="BB104"/>
          <cell r="BC104" t="str">
            <v xml:space="preserve"> </v>
          </cell>
          <cell r="BD104"/>
          <cell r="BE104" t="str">
            <v xml:space="preserve"> </v>
          </cell>
          <cell r="BF104"/>
          <cell r="BG104"/>
          <cell r="BH104" t="str">
            <v xml:space="preserve"> </v>
          </cell>
          <cell r="BI104"/>
          <cell r="BJ104" t="str">
            <v xml:space="preserve"> </v>
          </cell>
          <cell r="BK104"/>
          <cell r="BL104" t="str">
            <v xml:space="preserve"> </v>
          </cell>
          <cell r="BM104" t="str">
            <v xml:space="preserve"> </v>
          </cell>
          <cell r="BN104"/>
          <cell r="BO104" t="str">
            <v xml:space="preserve"> </v>
          </cell>
        </row>
        <row r="105">
          <cell r="B105">
            <v>46123</v>
          </cell>
          <cell r="C105"/>
          <cell r="D105" t="str">
            <v xml:space="preserve"> </v>
          </cell>
          <cell r="E105" t="str">
            <v xml:space="preserve"> </v>
          </cell>
          <cell r="F105"/>
          <cell r="G105" t="str">
            <v xml:space="preserve"> </v>
          </cell>
          <cell r="H105"/>
          <cell r="I105" t="str">
            <v xml:space="preserve"> </v>
          </cell>
          <cell r="J105" t="str">
            <v xml:space="preserve"> </v>
          </cell>
          <cell r="K105"/>
          <cell r="L105" t="str">
            <v xml:space="preserve"> </v>
          </cell>
          <cell r="M105"/>
          <cell r="N105" t="str">
            <v xml:space="preserve"> </v>
          </cell>
          <cell r="O105" t="str">
            <v xml:space="preserve"> </v>
          </cell>
          <cell r="P105"/>
          <cell r="Q105" t="str">
            <v xml:space="preserve"> </v>
          </cell>
          <cell r="R105"/>
          <cell r="S105" t="str">
            <v xml:space="preserve"> </v>
          </cell>
          <cell r="T105" t="str">
            <v xml:space="preserve"> </v>
          </cell>
          <cell r="U105"/>
          <cell r="V105" t="str">
            <v xml:space="preserve"> </v>
          </cell>
          <cell r="W105" t="str">
            <v xml:space="preserve"> </v>
          </cell>
          <cell r="X105"/>
          <cell r="Y105" t="str">
            <v xml:space="preserve"> </v>
          </cell>
          <cell r="Z105"/>
          <cell r="AA105" t="str">
            <v xml:space="preserve"> </v>
          </cell>
          <cell r="AB105" t="str">
            <v xml:space="preserve"> </v>
          </cell>
          <cell r="AC105"/>
          <cell r="AD105" t="str">
            <v xml:space="preserve"> </v>
          </cell>
          <cell r="AE105"/>
          <cell r="AF105" t="str">
            <v xml:space="preserve"> </v>
          </cell>
          <cell r="AG105"/>
          <cell r="AH105"/>
          <cell r="AI105"/>
          <cell r="AJ105"/>
          <cell r="AK105" t="str">
            <v/>
          </cell>
          <cell r="AL105"/>
          <cell r="AM105" t="str">
            <v xml:space="preserve"> </v>
          </cell>
          <cell r="AN105" t="str">
            <v xml:space="preserve"> </v>
          </cell>
          <cell r="AO105"/>
          <cell r="AP105" t="str">
            <v xml:space="preserve"> </v>
          </cell>
          <cell r="AQ105"/>
          <cell r="AR105" t="str">
            <v xml:space="preserve"> </v>
          </cell>
          <cell r="AS105" t="str">
            <v xml:space="preserve"> </v>
          </cell>
          <cell r="AT105"/>
          <cell r="AU105" t="str">
            <v xml:space="preserve"> </v>
          </cell>
          <cell r="AV105"/>
          <cell r="AW105"/>
          <cell r="AX105" t="str">
            <v xml:space="preserve"> </v>
          </cell>
          <cell r="AY105"/>
          <cell r="AZ105" t="str">
            <v xml:space="preserve"> </v>
          </cell>
          <cell r="BA105"/>
          <cell r="BB105"/>
          <cell r="BC105" t="str">
            <v xml:space="preserve"> </v>
          </cell>
          <cell r="BD105"/>
          <cell r="BE105" t="str">
            <v xml:space="preserve"> </v>
          </cell>
          <cell r="BF105"/>
          <cell r="BG105"/>
          <cell r="BH105" t="str">
            <v xml:space="preserve"> </v>
          </cell>
          <cell r="BI105"/>
          <cell r="BJ105" t="str">
            <v xml:space="preserve"> </v>
          </cell>
          <cell r="BK105"/>
          <cell r="BL105" t="str">
            <v xml:space="preserve"> </v>
          </cell>
          <cell r="BM105" t="str">
            <v xml:space="preserve"> </v>
          </cell>
          <cell r="BN105"/>
          <cell r="BO105" t="str">
            <v xml:space="preserve"> </v>
          </cell>
        </row>
        <row r="106">
          <cell r="B106">
            <v>46124</v>
          </cell>
          <cell r="C106"/>
          <cell r="D106" t="str">
            <v xml:space="preserve"> </v>
          </cell>
          <cell r="E106" t="str">
            <v xml:space="preserve"> </v>
          </cell>
          <cell r="F106"/>
          <cell r="G106" t="str">
            <v xml:space="preserve"> </v>
          </cell>
          <cell r="H106"/>
          <cell r="I106" t="str">
            <v xml:space="preserve"> </v>
          </cell>
          <cell r="J106" t="str">
            <v xml:space="preserve"> </v>
          </cell>
          <cell r="K106"/>
          <cell r="L106" t="str">
            <v xml:space="preserve"> </v>
          </cell>
          <cell r="M106"/>
          <cell r="N106" t="str">
            <v xml:space="preserve"> </v>
          </cell>
          <cell r="O106" t="str">
            <v xml:space="preserve"> </v>
          </cell>
          <cell r="P106"/>
          <cell r="Q106" t="str">
            <v xml:space="preserve"> </v>
          </cell>
          <cell r="R106"/>
          <cell r="S106" t="str">
            <v xml:space="preserve"> </v>
          </cell>
          <cell r="T106" t="str">
            <v xml:space="preserve"> </v>
          </cell>
          <cell r="U106"/>
          <cell r="V106" t="str">
            <v xml:space="preserve"> </v>
          </cell>
          <cell r="W106" t="str">
            <v xml:space="preserve"> </v>
          </cell>
          <cell r="X106"/>
          <cell r="Y106" t="str">
            <v xml:space="preserve"> </v>
          </cell>
          <cell r="Z106"/>
          <cell r="AA106" t="str">
            <v xml:space="preserve"> </v>
          </cell>
          <cell r="AB106" t="str">
            <v xml:space="preserve"> </v>
          </cell>
          <cell r="AC106"/>
          <cell r="AD106" t="str">
            <v xml:space="preserve"> </v>
          </cell>
          <cell r="AE106"/>
          <cell r="AF106" t="str">
            <v xml:space="preserve"> </v>
          </cell>
          <cell r="AG106"/>
          <cell r="AH106"/>
          <cell r="AI106"/>
          <cell r="AJ106"/>
          <cell r="AK106" t="str">
            <v/>
          </cell>
          <cell r="AL106"/>
          <cell r="AM106" t="str">
            <v xml:space="preserve"> </v>
          </cell>
          <cell r="AN106" t="str">
            <v xml:space="preserve"> </v>
          </cell>
          <cell r="AO106"/>
          <cell r="AP106" t="str">
            <v xml:space="preserve"> </v>
          </cell>
          <cell r="AQ106"/>
          <cell r="AR106" t="str">
            <v xml:space="preserve"> </v>
          </cell>
          <cell r="AS106" t="str">
            <v xml:space="preserve"> </v>
          </cell>
          <cell r="AT106"/>
          <cell r="AU106" t="str">
            <v xml:space="preserve"> </v>
          </cell>
          <cell r="AV106"/>
          <cell r="AW106"/>
          <cell r="AX106" t="str">
            <v xml:space="preserve"> </v>
          </cell>
          <cell r="AY106"/>
          <cell r="AZ106" t="str">
            <v xml:space="preserve"> </v>
          </cell>
          <cell r="BA106"/>
          <cell r="BB106"/>
          <cell r="BC106" t="str">
            <v xml:space="preserve"> </v>
          </cell>
          <cell r="BD106"/>
          <cell r="BE106" t="str">
            <v xml:space="preserve"> </v>
          </cell>
          <cell r="BF106"/>
          <cell r="BG106"/>
          <cell r="BH106" t="str">
            <v xml:space="preserve"> </v>
          </cell>
          <cell r="BI106"/>
          <cell r="BJ106" t="str">
            <v xml:space="preserve"> </v>
          </cell>
          <cell r="BK106"/>
          <cell r="BL106" t="str">
            <v xml:space="preserve"> </v>
          </cell>
          <cell r="BM106" t="str">
            <v xml:space="preserve"> </v>
          </cell>
          <cell r="BN106"/>
          <cell r="BO106" t="str">
            <v xml:space="preserve"> </v>
          </cell>
        </row>
        <row r="107">
          <cell r="B107">
            <v>46125</v>
          </cell>
          <cell r="C107"/>
          <cell r="D107" t="str">
            <v xml:space="preserve"> </v>
          </cell>
          <cell r="E107" t="str">
            <v xml:space="preserve"> </v>
          </cell>
          <cell r="F107"/>
          <cell r="G107" t="str">
            <v xml:space="preserve"> </v>
          </cell>
          <cell r="H107"/>
          <cell r="I107" t="str">
            <v xml:space="preserve"> </v>
          </cell>
          <cell r="J107" t="str">
            <v xml:space="preserve"> </v>
          </cell>
          <cell r="K107"/>
          <cell r="L107" t="str">
            <v xml:space="preserve"> </v>
          </cell>
          <cell r="M107"/>
          <cell r="N107" t="str">
            <v xml:space="preserve"> </v>
          </cell>
          <cell r="O107" t="str">
            <v xml:space="preserve"> </v>
          </cell>
          <cell r="P107"/>
          <cell r="Q107" t="str">
            <v xml:space="preserve"> </v>
          </cell>
          <cell r="R107"/>
          <cell r="S107" t="str">
            <v xml:space="preserve"> </v>
          </cell>
          <cell r="T107" t="str">
            <v xml:space="preserve"> </v>
          </cell>
          <cell r="U107"/>
          <cell r="V107" t="str">
            <v xml:space="preserve"> </v>
          </cell>
          <cell r="W107" t="str">
            <v xml:space="preserve"> </v>
          </cell>
          <cell r="X107"/>
          <cell r="Y107" t="str">
            <v xml:space="preserve"> </v>
          </cell>
          <cell r="Z107"/>
          <cell r="AA107" t="str">
            <v xml:space="preserve"> </v>
          </cell>
          <cell r="AB107" t="str">
            <v xml:space="preserve"> </v>
          </cell>
          <cell r="AC107"/>
          <cell r="AD107" t="str">
            <v xml:space="preserve"> </v>
          </cell>
          <cell r="AE107"/>
          <cell r="AF107" t="str">
            <v xml:space="preserve"> </v>
          </cell>
          <cell r="AG107"/>
          <cell r="AH107"/>
          <cell r="AI107"/>
          <cell r="AJ107"/>
          <cell r="AK107" t="str">
            <v/>
          </cell>
          <cell r="AL107"/>
          <cell r="AM107" t="str">
            <v xml:space="preserve"> </v>
          </cell>
          <cell r="AN107" t="str">
            <v xml:space="preserve"> </v>
          </cell>
          <cell r="AO107"/>
          <cell r="AP107" t="str">
            <v xml:space="preserve"> </v>
          </cell>
          <cell r="AQ107"/>
          <cell r="AR107" t="str">
            <v xml:space="preserve"> </v>
          </cell>
          <cell r="AS107" t="str">
            <v xml:space="preserve"> </v>
          </cell>
          <cell r="AT107"/>
          <cell r="AU107" t="str">
            <v xml:space="preserve"> </v>
          </cell>
          <cell r="AV107"/>
          <cell r="AW107"/>
          <cell r="AX107" t="str">
            <v xml:space="preserve"> </v>
          </cell>
          <cell r="AY107"/>
          <cell r="AZ107" t="str">
            <v xml:space="preserve"> </v>
          </cell>
          <cell r="BA107"/>
          <cell r="BB107"/>
          <cell r="BC107" t="str">
            <v xml:space="preserve"> </v>
          </cell>
          <cell r="BD107"/>
          <cell r="BE107" t="str">
            <v xml:space="preserve"> </v>
          </cell>
          <cell r="BF107"/>
          <cell r="BG107"/>
          <cell r="BH107" t="str">
            <v xml:space="preserve"> </v>
          </cell>
          <cell r="BI107"/>
          <cell r="BJ107" t="str">
            <v xml:space="preserve"> </v>
          </cell>
          <cell r="BK107"/>
          <cell r="BL107" t="str">
            <v xml:space="preserve"> </v>
          </cell>
          <cell r="BM107" t="str">
            <v xml:space="preserve"> </v>
          </cell>
          <cell r="BN107"/>
          <cell r="BO107" t="str">
            <v xml:space="preserve"> </v>
          </cell>
        </row>
        <row r="108">
          <cell r="B108">
            <v>46126</v>
          </cell>
          <cell r="C108"/>
          <cell r="D108" t="str">
            <v xml:space="preserve"> </v>
          </cell>
          <cell r="E108" t="str">
            <v xml:space="preserve"> </v>
          </cell>
          <cell r="F108"/>
          <cell r="G108" t="str">
            <v xml:space="preserve"> </v>
          </cell>
          <cell r="H108"/>
          <cell r="I108" t="str">
            <v xml:space="preserve"> </v>
          </cell>
          <cell r="J108" t="str">
            <v xml:space="preserve"> </v>
          </cell>
          <cell r="K108"/>
          <cell r="L108" t="str">
            <v xml:space="preserve"> </v>
          </cell>
          <cell r="M108"/>
          <cell r="N108" t="str">
            <v xml:space="preserve"> </v>
          </cell>
          <cell r="O108" t="str">
            <v xml:space="preserve"> </v>
          </cell>
          <cell r="P108"/>
          <cell r="Q108" t="str">
            <v xml:space="preserve"> </v>
          </cell>
          <cell r="R108"/>
          <cell r="S108" t="str">
            <v xml:space="preserve"> </v>
          </cell>
          <cell r="T108" t="str">
            <v xml:space="preserve"> </v>
          </cell>
          <cell r="U108"/>
          <cell r="V108" t="str">
            <v xml:space="preserve"> </v>
          </cell>
          <cell r="W108" t="str">
            <v xml:space="preserve"> </v>
          </cell>
          <cell r="X108"/>
          <cell r="Y108" t="str">
            <v xml:space="preserve"> </v>
          </cell>
          <cell r="Z108"/>
          <cell r="AA108" t="str">
            <v xml:space="preserve"> </v>
          </cell>
          <cell r="AB108" t="str">
            <v xml:space="preserve"> </v>
          </cell>
          <cell r="AC108"/>
          <cell r="AD108" t="str">
            <v xml:space="preserve"> </v>
          </cell>
          <cell r="AE108"/>
          <cell r="AF108" t="str">
            <v xml:space="preserve"> </v>
          </cell>
          <cell r="AG108"/>
          <cell r="AH108"/>
          <cell r="AI108"/>
          <cell r="AJ108"/>
          <cell r="AK108" t="str">
            <v/>
          </cell>
          <cell r="AL108"/>
          <cell r="AM108" t="str">
            <v xml:space="preserve"> </v>
          </cell>
          <cell r="AN108" t="str">
            <v xml:space="preserve"> </v>
          </cell>
          <cell r="AO108"/>
          <cell r="AP108" t="str">
            <v xml:space="preserve"> </v>
          </cell>
          <cell r="AQ108"/>
          <cell r="AR108" t="str">
            <v xml:space="preserve"> </v>
          </cell>
          <cell r="AS108" t="str">
            <v xml:space="preserve"> </v>
          </cell>
          <cell r="AT108"/>
          <cell r="AU108" t="str">
            <v xml:space="preserve"> </v>
          </cell>
          <cell r="AV108"/>
          <cell r="AW108"/>
          <cell r="AX108" t="str">
            <v xml:space="preserve"> </v>
          </cell>
          <cell r="AY108"/>
          <cell r="AZ108" t="str">
            <v xml:space="preserve"> </v>
          </cell>
          <cell r="BA108"/>
          <cell r="BB108"/>
          <cell r="BC108" t="str">
            <v xml:space="preserve"> </v>
          </cell>
          <cell r="BD108"/>
          <cell r="BE108" t="str">
            <v xml:space="preserve"> </v>
          </cell>
          <cell r="BF108"/>
          <cell r="BG108"/>
          <cell r="BH108" t="str">
            <v xml:space="preserve"> </v>
          </cell>
          <cell r="BI108"/>
          <cell r="BJ108" t="str">
            <v xml:space="preserve"> </v>
          </cell>
          <cell r="BK108"/>
          <cell r="BL108" t="str">
            <v xml:space="preserve"> </v>
          </cell>
          <cell r="BM108" t="str">
            <v xml:space="preserve"> </v>
          </cell>
          <cell r="BN108"/>
          <cell r="BO108" t="str">
            <v xml:space="preserve"> </v>
          </cell>
        </row>
        <row r="109">
          <cell r="B109">
            <v>46127</v>
          </cell>
          <cell r="C109"/>
          <cell r="D109" t="str">
            <v xml:space="preserve"> </v>
          </cell>
          <cell r="E109" t="str">
            <v xml:space="preserve"> </v>
          </cell>
          <cell r="F109"/>
          <cell r="G109" t="str">
            <v xml:space="preserve"> </v>
          </cell>
          <cell r="H109"/>
          <cell r="I109" t="str">
            <v xml:space="preserve"> </v>
          </cell>
          <cell r="J109" t="str">
            <v xml:space="preserve"> </v>
          </cell>
          <cell r="K109"/>
          <cell r="L109" t="str">
            <v xml:space="preserve"> </v>
          </cell>
          <cell r="M109"/>
          <cell r="N109" t="str">
            <v xml:space="preserve"> </v>
          </cell>
          <cell r="O109" t="str">
            <v xml:space="preserve"> </v>
          </cell>
          <cell r="P109"/>
          <cell r="Q109" t="str">
            <v xml:space="preserve"> </v>
          </cell>
          <cell r="R109"/>
          <cell r="S109" t="str">
            <v xml:space="preserve"> </v>
          </cell>
          <cell r="T109" t="str">
            <v xml:space="preserve"> </v>
          </cell>
          <cell r="U109"/>
          <cell r="V109" t="str">
            <v xml:space="preserve"> </v>
          </cell>
          <cell r="W109" t="str">
            <v xml:space="preserve"> </v>
          </cell>
          <cell r="X109"/>
          <cell r="Y109" t="str">
            <v xml:space="preserve"> </v>
          </cell>
          <cell r="Z109"/>
          <cell r="AA109" t="str">
            <v xml:space="preserve"> </v>
          </cell>
          <cell r="AB109" t="str">
            <v xml:space="preserve"> </v>
          </cell>
          <cell r="AC109"/>
          <cell r="AD109" t="str">
            <v xml:space="preserve"> </v>
          </cell>
          <cell r="AE109"/>
          <cell r="AF109" t="str">
            <v xml:space="preserve"> </v>
          </cell>
          <cell r="AG109"/>
          <cell r="AH109"/>
          <cell r="AI109"/>
          <cell r="AJ109"/>
          <cell r="AK109" t="str">
            <v/>
          </cell>
          <cell r="AL109"/>
          <cell r="AM109" t="str">
            <v xml:space="preserve"> </v>
          </cell>
          <cell r="AN109" t="str">
            <v xml:space="preserve"> </v>
          </cell>
          <cell r="AO109"/>
          <cell r="AP109" t="str">
            <v xml:space="preserve"> </v>
          </cell>
          <cell r="AQ109"/>
          <cell r="AR109" t="str">
            <v xml:space="preserve"> </v>
          </cell>
          <cell r="AS109" t="str">
            <v xml:space="preserve"> </v>
          </cell>
          <cell r="AT109"/>
          <cell r="AU109" t="str">
            <v xml:space="preserve"> </v>
          </cell>
          <cell r="AV109"/>
          <cell r="AW109"/>
          <cell r="AX109" t="str">
            <v xml:space="preserve"> </v>
          </cell>
          <cell r="AY109"/>
          <cell r="AZ109" t="str">
            <v xml:space="preserve"> </v>
          </cell>
          <cell r="BA109"/>
          <cell r="BB109"/>
          <cell r="BC109" t="str">
            <v xml:space="preserve"> </v>
          </cell>
          <cell r="BD109"/>
          <cell r="BE109" t="str">
            <v xml:space="preserve"> </v>
          </cell>
          <cell r="BF109"/>
          <cell r="BG109"/>
          <cell r="BH109" t="str">
            <v xml:space="preserve"> </v>
          </cell>
          <cell r="BI109"/>
          <cell r="BJ109" t="str">
            <v xml:space="preserve"> </v>
          </cell>
          <cell r="BK109"/>
          <cell r="BL109" t="str">
            <v xml:space="preserve"> </v>
          </cell>
          <cell r="BM109" t="str">
            <v xml:space="preserve"> </v>
          </cell>
          <cell r="BN109"/>
          <cell r="BO109" t="str">
            <v xml:space="preserve"> </v>
          </cell>
        </row>
        <row r="110">
          <cell r="B110">
            <v>46128</v>
          </cell>
          <cell r="C110"/>
          <cell r="D110" t="str">
            <v xml:space="preserve"> </v>
          </cell>
          <cell r="E110" t="str">
            <v xml:space="preserve"> </v>
          </cell>
          <cell r="F110"/>
          <cell r="G110" t="str">
            <v xml:space="preserve"> </v>
          </cell>
          <cell r="H110"/>
          <cell r="I110" t="str">
            <v xml:space="preserve"> </v>
          </cell>
          <cell r="J110" t="str">
            <v xml:space="preserve"> </v>
          </cell>
          <cell r="K110"/>
          <cell r="L110" t="str">
            <v xml:space="preserve"> </v>
          </cell>
          <cell r="M110"/>
          <cell r="N110" t="str">
            <v xml:space="preserve"> </v>
          </cell>
          <cell r="O110" t="str">
            <v xml:space="preserve"> </v>
          </cell>
          <cell r="P110"/>
          <cell r="Q110" t="str">
            <v xml:space="preserve"> </v>
          </cell>
          <cell r="R110"/>
          <cell r="S110" t="str">
            <v xml:space="preserve"> </v>
          </cell>
          <cell r="T110" t="str">
            <v xml:space="preserve"> </v>
          </cell>
          <cell r="U110"/>
          <cell r="V110" t="str">
            <v xml:space="preserve"> </v>
          </cell>
          <cell r="W110" t="str">
            <v xml:space="preserve"> </v>
          </cell>
          <cell r="X110"/>
          <cell r="Y110" t="str">
            <v xml:space="preserve"> </v>
          </cell>
          <cell r="Z110"/>
          <cell r="AA110" t="str">
            <v xml:space="preserve"> </v>
          </cell>
          <cell r="AB110" t="str">
            <v xml:space="preserve"> </v>
          </cell>
          <cell r="AC110"/>
          <cell r="AD110" t="str">
            <v xml:space="preserve"> </v>
          </cell>
          <cell r="AE110"/>
          <cell r="AF110" t="str">
            <v xml:space="preserve"> </v>
          </cell>
          <cell r="AG110"/>
          <cell r="AH110"/>
          <cell r="AI110"/>
          <cell r="AJ110"/>
          <cell r="AK110" t="str">
            <v/>
          </cell>
          <cell r="AL110"/>
          <cell r="AM110" t="str">
            <v xml:space="preserve"> </v>
          </cell>
          <cell r="AN110" t="str">
            <v xml:space="preserve"> </v>
          </cell>
          <cell r="AO110"/>
          <cell r="AP110" t="str">
            <v xml:space="preserve"> </v>
          </cell>
          <cell r="AQ110"/>
          <cell r="AR110" t="str">
            <v xml:space="preserve"> </v>
          </cell>
          <cell r="AS110" t="str">
            <v xml:space="preserve"> </v>
          </cell>
          <cell r="AT110"/>
          <cell r="AU110" t="str">
            <v xml:space="preserve"> </v>
          </cell>
          <cell r="AV110"/>
          <cell r="AW110"/>
          <cell r="AX110" t="str">
            <v xml:space="preserve"> </v>
          </cell>
          <cell r="AY110"/>
          <cell r="AZ110" t="str">
            <v xml:space="preserve"> </v>
          </cell>
          <cell r="BA110"/>
          <cell r="BB110"/>
          <cell r="BC110" t="str">
            <v xml:space="preserve"> </v>
          </cell>
          <cell r="BD110"/>
          <cell r="BE110" t="str">
            <v xml:space="preserve"> </v>
          </cell>
          <cell r="BF110"/>
          <cell r="BG110"/>
          <cell r="BH110" t="str">
            <v xml:space="preserve"> </v>
          </cell>
          <cell r="BI110"/>
          <cell r="BJ110" t="str">
            <v xml:space="preserve"> </v>
          </cell>
          <cell r="BK110"/>
          <cell r="BL110" t="str">
            <v xml:space="preserve"> </v>
          </cell>
          <cell r="BM110" t="str">
            <v xml:space="preserve"> </v>
          </cell>
          <cell r="BN110"/>
          <cell r="BO110" t="str">
            <v xml:space="preserve"> </v>
          </cell>
        </row>
        <row r="111">
          <cell r="B111">
            <v>46129</v>
          </cell>
          <cell r="C111"/>
          <cell r="D111" t="str">
            <v xml:space="preserve"> </v>
          </cell>
          <cell r="E111" t="str">
            <v xml:space="preserve"> </v>
          </cell>
          <cell r="F111"/>
          <cell r="G111" t="str">
            <v xml:space="preserve"> </v>
          </cell>
          <cell r="H111"/>
          <cell r="I111" t="str">
            <v xml:space="preserve"> </v>
          </cell>
          <cell r="J111" t="str">
            <v xml:space="preserve"> </v>
          </cell>
          <cell r="K111"/>
          <cell r="L111" t="str">
            <v xml:space="preserve"> </v>
          </cell>
          <cell r="M111"/>
          <cell r="N111" t="str">
            <v xml:space="preserve"> </v>
          </cell>
          <cell r="O111" t="str">
            <v xml:space="preserve"> </v>
          </cell>
          <cell r="P111"/>
          <cell r="Q111" t="str">
            <v xml:space="preserve"> </v>
          </cell>
          <cell r="R111"/>
          <cell r="S111" t="str">
            <v xml:space="preserve"> </v>
          </cell>
          <cell r="T111" t="str">
            <v xml:space="preserve"> </v>
          </cell>
          <cell r="U111"/>
          <cell r="V111" t="str">
            <v xml:space="preserve"> </v>
          </cell>
          <cell r="W111" t="str">
            <v xml:space="preserve"> </v>
          </cell>
          <cell r="X111"/>
          <cell r="Y111" t="str">
            <v xml:space="preserve"> </v>
          </cell>
          <cell r="Z111"/>
          <cell r="AA111" t="str">
            <v xml:space="preserve"> </v>
          </cell>
          <cell r="AB111" t="str">
            <v xml:space="preserve"> </v>
          </cell>
          <cell r="AC111"/>
          <cell r="AD111" t="str">
            <v xml:space="preserve"> </v>
          </cell>
          <cell r="AE111"/>
          <cell r="AF111" t="str">
            <v xml:space="preserve"> </v>
          </cell>
          <cell r="AG111"/>
          <cell r="AH111"/>
          <cell r="AI111"/>
          <cell r="AJ111"/>
          <cell r="AK111" t="str">
            <v/>
          </cell>
          <cell r="AL111"/>
          <cell r="AM111" t="str">
            <v xml:space="preserve"> </v>
          </cell>
          <cell r="AN111" t="str">
            <v xml:space="preserve"> </v>
          </cell>
          <cell r="AO111"/>
          <cell r="AP111" t="str">
            <v xml:space="preserve"> </v>
          </cell>
          <cell r="AQ111"/>
          <cell r="AR111" t="str">
            <v xml:space="preserve"> </v>
          </cell>
          <cell r="AS111" t="str">
            <v xml:space="preserve"> </v>
          </cell>
          <cell r="AT111"/>
          <cell r="AU111" t="str">
            <v xml:space="preserve"> </v>
          </cell>
          <cell r="AV111"/>
          <cell r="AW111"/>
          <cell r="AX111" t="str">
            <v xml:space="preserve"> </v>
          </cell>
          <cell r="AY111"/>
          <cell r="AZ111" t="str">
            <v xml:space="preserve"> </v>
          </cell>
          <cell r="BA111"/>
          <cell r="BB111"/>
          <cell r="BC111" t="str">
            <v xml:space="preserve"> </v>
          </cell>
          <cell r="BD111"/>
          <cell r="BE111" t="str">
            <v xml:space="preserve"> </v>
          </cell>
          <cell r="BF111"/>
          <cell r="BG111"/>
          <cell r="BH111" t="str">
            <v xml:space="preserve"> </v>
          </cell>
          <cell r="BI111"/>
          <cell r="BJ111" t="str">
            <v xml:space="preserve"> </v>
          </cell>
          <cell r="BK111"/>
          <cell r="BL111" t="str">
            <v xml:space="preserve"> </v>
          </cell>
          <cell r="BM111" t="str">
            <v xml:space="preserve"> </v>
          </cell>
          <cell r="BN111"/>
          <cell r="BO111" t="str">
            <v xml:space="preserve"> </v>
          </cell>
        </row>
        <row r="112">
          <cell r="B112">
            <v>46130</v>
          </cell>
          <cell r="C112"/>
          <cell r="D112" t="str">
            <v xml:space="preserve"> </v>
          </cell>
          <cell r="E112" t="str">
            <v xml:space="preserve"> </v>
          </cell>
          <cell r="F112"/>
          <cell r="G112" t="str">
            <v xml:space="preserve"> </v>
          </cell>
          <cell r="H112"/>
          <cell r="I112" t="str">
            <v xml:space="preserve"> </v>
          </cell>
          <cell r="J112" t="str">
            <v xml:space="preserve"> </v>
          </cell>
          <cell r="K112"/>
          <cell r="L112" t="str">
            <v xml:space="preserve"> </v>
          </cell>
          <cell r="M112"/>
          <cell r="N112" t="str">
            <v xml:space="preserve"> </v>
          </cell>
          <cell r="O112" t="str">
            <v xml:space="preserve"> </v>
          </cell>
          <cell r="P112"/>
          <cell r="Q112" t="str">
            <v xml:space="preserve"> </v>
          </cell>
          <cell r="R112"/>
          <cell r="S112" t="str">
            <v xml:space="preserve"> </v>
          </cell>
          <cell r="T112" t="str">
            <v xml:space="preserve"> </v>
          </cell>
          <cell r="U112"/>
          <cell r="V112" t="str">
            <v xml:space="preserve"> </v>
          </cell>
          <cell r="W112" t="str">
            <v xml:space="preserve"> </v>
          </cell>
          <cell r="X112"/>
          <cell r="Y112" t="str">
            <v xml:space="preserve"> </v>
          </cell>
          <cell r="Z112"/>
          <cell r="AA112" t="str">
            <v xml:space="preserve"> </v>
          </cell>
          <cell r="AB112" t="str">
            <v xml:space="preserve"> </v>
          </cell>
          <cell r="AC112"/>
          <cell r="AD112" t="str">
            <v xml:space="preserve"> </v>
          </cell>
          <cell r="AE112"/>
          <cell r="AF112" t="str">
            <v xml:space="preserve"> </v>
          </cell>
          <cell r="AG112"/>
          <cell r="AH112"/>
          <cell r="AI112"/>
          <cell r="AJ112"/>
          <cell r="AK112" t="str">
            <v/>
          </cell>
          <cell r="AL112"/>
          <cell r="AM112" t="str">
            <v xml:space="preserve"> </v>
          </cell>
          <cell r="AN112" t="str">
            <v xml:space="preserve"> </v>
          </cell>
          <cell r="AO112"/>
          <cell r="AP112" t="str">
            <v xml:space="preserve"> </v>
          </cell>
          <cell r="AQ112"/>
          <cell r="AR112" t="str">
            <v xml:space="preserve"> </v>
          </cell>
          <cell r="AS112" t="str">
            <v xml:space="preserve"> </v>
          </cell>
          <cell r="AT112"/>
          <cell r="AU112" t="str">
            <v xml:space="preserve"> </v>
          </cell>
          <cell r="AV112"/>
          <cell r="AW112"/>
          <cell r="AX112" t="str">
            <v xml:space="preserve"> </v>
          </cell>
          <cell r="AY112"/>
          <cell r="AZ112" t="str">
            <v xml:space="preserve"> </v>
          </cell>
          <cell r="BA112"/>
          <cell r="BB112"/>
          <cell r="BC112" t="str">
            <v xml:space="preserve"> </v>
          </cell>
          <cell r="BD112"/>
          <cell r="BE112" t="str">
            <v xml:space="preserve"> </v>
          </cell>
          <cell r="BF112"/>
          <cell r="BG112"/>
          <cell r="BH112" t="str">
            <v xml:space="preserve"> </v>
          </cell>
          <cell r="BI112"/>
          <cell r="BJ112" t="str">
            <v xml:space="preserve"> </v>
          </cell>
          <cell r="BK112"/>
          <cell r="BL112" t="str">
            <v xml:space="preserve"> </v>
          </cell>
          <cell r="BM112" t="str">
            <v xml:space="preserve"> </v>
          </cell>
          <cell r="BN112"/>
          <cell r="BO112" t="str">
            <v xml:space="preserve"> </v>
          </cell>
        </row>
        <row r="113">
          <cell r="B113">
            <v>46131</v>
          </cell>
          <cell r="C113"/>
          <cell r="D113" t="str">
            <v xml:space="preserve"> </v>
          </cell>
          <cell r="E113" t="str">
            <v xml:space="preserve"> </v>
          </cell>
          <cell r="F113"/>
          <cell r="G113" t="str">
            <v xml:space="preserve"> </v>
          </cell>
          <cell r="H113"/>
          <cell r="I113" t="str">
            <v xml:space="preserve"> </v>
          </cell>
          <cell r="J113" t="str">
            <v xml:space="preserve"> </v>
          </cell>
          <cell r="K113"/>
          <cell r="L113" t="str">
            <v xml:space="preserve"> </v>
          </cell>
          <cell r="M113"/>
          <cell r="N113" t="str">
            <v xml:space="preserve"> </v>
          </cell>
          <cell r="O113" t="str">
            <v xml:space="preserve"> </v>
          </cell>
          <cell r="P113"/>
          <cell r="Q113" t="str">
            <v xml:space="preserve"> </v>
          </cell>
          <cell r="R113"/>
          <cell r="S113" t="str">
            <v xml:space="preserve"> </v>
          </cell>
          <cell r="T113" t="str">
            <v xml:space="preserve"> </v>
          </cell>
          <cell r="U113"/>
          <cell r="V113" t="str">
            <v xml:space="preserve"> </v>
          </cell>
          <cell r="W113" t="str">
            <v xml:space="preserve"> </v>
          </cell>
          <cell r="X113"/>
          <cell r="Y113" t="str">
            <v xml:space="preserve"> </v>
          </cell>
          <cell r="Z113"/>
          <cell r="AA113" t="str">
            <v xml:space="preserve"> </v>
          </cell>
          <cell r="AB113" t="str">
            <v xml:space="preserve"> </v>
          </cell>
          <cell r="AC113"/>
          <cell r="AD113" t="str">
            <v xml:space="preserve"> </v>
          </cell>
          <cell r="AE113"/>
          <cell r="AF113" t="str">
            <v xml:space="preserve"> </v>
          </cell>
          <cell r="AG113"/>
          <cell r="AH113"/>
          <cell r="AI113"/>
          <cell r="AJ113"/>
          <cell r="AK113" t="str">
            <v/>
          </cell>
          <cell r="AL113"/>
          <cell r="AM113" t="str">
            <v xml:space="preserve"> </v>
          </cell>
          <cell r="AN113" t="str">
            <v xml:space="preserve"> </v>
          </cell>
          <cell r="AO113"/>
          <cell r="AP113" t="str">
            <v xml:space="preserve"> </v>
          </cell>
          <cell r="AQ113"/>
          <cell r="AR113" t="str">
            <v xml:space="preserve"> </v>
          </cell>
          <cell r="AS113" t="str">
            <v xml:space="preserve"> </v>
          </cell>
          <cell r="AT113"/>
          <cell r="AU113" t="str">
            <v xml:space="preserve"> </v>
          </cell>
          <cell r="AV113"/>
          <cell r="AW113"/>
          <cell r="AX113" t="str">
            <v xml:space="preserve"> </v>
          </cell>
          <cell r="AY113"/>
          <cell r="AZ113" t="str">
            <v xml:space="preserve"> </v>
          </cell>
          <cell r="BA113"/>
          <cell r="BB113"/>
          <cell r="BC113" t="str">
            <v xml:space="preserve"> </v>
          </cell>
          <cell r="BD113"/>
          <cell r="BE113" t="str">
            <v xml:space="preserve"> </v>
          </cell>
          <cell r="BF113"/>
          <cell r="BG113"/>
          <cell r="BH113" t="str">
            <v xml:space="preserve"> </v>
          </cell>
          <cell r="BI113"/>
          <cell r="BJ113" t="str">
            <v xml:space="preserve"> </v>
          </cell>
          <cell r="BK113"/>
          <cell r="BL113" t="str">
            <v xml:space="preserve"> </v>
          </cell>
          <cell r="BM113" t="str">
            <v xml:space="preserve"> </v>
          </cell>
          <cell r="BN113"/>
          <cell r="BO113" t="str">
            <v xml:space="preserve"> </v>
          </cell>
        </row>
        <row r="114">
          <cell r="B114">
            <v>46132</v>
          </cell>
          <cell r="C114"/>
          <cell r="D114" t="str">
            <v xml:space="preserve"> </v>
          </cell>
          <cell r="E114" t="str">
            <v xml:space="preserve"> </v>
          </cell>
          <cell r="F114"/>
          <cell r="G114" t="str">
            <v xml:space="preserve"> </v>
          </cell>
          <cell r="H114"/>
          <cell r="I114" t="str">
            <v xml:space="preserve"> </v>
          </cell>
          <cell r="J114" t="str">
            <v xml:space="preserve"> </v>
          </cell>
          <cell r="K114"/>
          <cell r="L114" t="str">
            <v xml:space="preserve"> </v>
          </cell>
          <cell r="M114"/>
          <cell r="N114" t="str">
            <v xml:space="preserve"> </v>
          </cell>
          <cell r="O114" t="str">
            <v xml:space="preserve"> </v>
          </cell>
          <cell r="P114"/>
          <cell r="Q114" t="str">
            <v xml:space="preserve"> </v>
          </cell>
          <cell r="R114"/>
          <cell r="S114" t="str">
            <v xml:space="preserve"> </v>
          </cell>
          <cell r="T114" t="str">
            <v xml:space="preserve"> </v>
          </cell>
          <cell r="U114"/>
          <cell r="V114" t="str">
            <v xml:space="preserve"> </v>
          </cell>
          <cell r="W114" t="str">
            <v xml:space="preserve"> </v>
          </cell>
          <cell r="X114"/>
          <cell r="Y114" t="str">
            <v xml:space="preserve"> </v>
          </cell>
          <cell r="Z114"/>
          <cell r="AA114" t="str">
            <v xml:space="preserve"> </v>
          </cell>
          <cell r="AB114" t="str">
            <v xml:space="preserve"> </v>
          </cell>
          <cell r="AC114"/>
          <cell r="AD114" t="str">
            <v xml:space="preserve"> </v>
          </cell>
          <cell r="AE114"/>
          <cell r="AF114" t="str">
            <v xml:space="preserve"> </v>
          </cell>
          <cell r="AG114"/>
          <cell r="AH114"/>
          <cell r="AI114"/>
          <cell r="AJ114"/>
          <cell r="AK114" t="str">
            <v/>
          </cell>
          <cell r="AL114"/>
          <cell r="AM114" t="str">
            <v xml:space="preserve"> </v>
          </cell>
          <cell r="AN114" t="str">
            <v xml:space="preserve"> </v>
          </cell>
          <cell r="AO114"/>
          <cell r="AP114" t="str">
            <v xml:space="preserve"> </v>
          </cell>
          <cell r="AQ114"/>
          <cell r="AR114" t="str">
            <v xml:space="preserve"> </v>
          </cell>
          <cell r="AS114" t="str">
            <v xml:space="preserve"> </v>
          </cell>
          <cell r="AT114"/>
          <cell r="AU114" t="str">
            <v xml:space="preserve"> </v>
          </cell>
          <cell r="AV114"/>
          <cell r="AW114"/>
          <cell r="AX114" t="str">
            <v xml:space="preserve"> </v>
          </cell>
          <cell r="AY114"/>
          <cell r="AZ114" t="str">
            <v xml:space="preserve"> </v>
          </cell>
          <cell r="BA114"/>
          <cell r="BB114"/>
          <cell r="BC114" t="str">
            <v xml:space="preserve"> </v>
          </cell>
          <cell r="BD114"/>
          <cell r="BE114" t="str">
            <v xml:space="preserve"> </v>
          </cell>
          <cell r="BF114"/>
          <cell r="BG114"/>
          <cell r="BH114" t="str">
            <v xml:space="preserve"> </v>
          </cell>
          <cell r="BI114"/>
          <cell r="BJ114" t="str">
            <v xml:space="preserve"> </v>
          </cell>
          <cell r="BK114"/>
          <cell r="BL114" t="str">
            <v xml:space="preserve"> </v>
          </cell>
          <cell r="BM114" t="str">
            <v xml:space="preserve"> </v>
          </cell>
          <cell r="BN114"/>
          <cell r="BO114" t="str">
            <v xml:space="preserve"> </v>
          </cell>
        </row>
        <row r="115">
          <cell r="B115">
            <v>46133</v>
          </cell>
          <cell r="C115"/>
          <cell r="D115" t="str">
            <v xml:space="preserve"> </v>
          </cell>
          <cell r="E115" t="str">
            <v xml:space="preserve"> </v>
          </cell>
          <cell r="F115"/>
          <cell r="G115" t="str">
            <v xml:space="preserve"> </v>
          </cell>
          <cell r="H115"/>
          <cell r="I115" t="str">
            <v xml:space="preserve"> </v>
          </cell>
          <cell r="J115" t="str">
            <v xml:space="preserve"> </v>
          </cell>
          <cell r="K115"/>
          <cell r="L115" t="str">
            <v xml:space="preserve"> </v>
          </cell>
          <cell r="M115"/>
          <cell r="N115" t="str">
            <v xml:space="preserve"> </v>
          </cell>
          <cell r="O115" t="str">
            <v xml:space="preserve"> </v>
          </cell>
          <cell r="P115"/>
          <cell r="Q115" t="str">
            <v xml:space="preserve"> </v>
          </cell>
          <cell r="R115"/>
          <cell r="S115" t="str">
            <v xml:space="preserve"> </v>
          </cell>
          <cell r="T115" t="str">
            <v xml:space="preserve"> </v>
          </cell>
          <cell r="U115"/>
          <cell r="V115" t="str">
            <v xml:space="preserve"> </v>
          </cell>
          <cell r="W115" t="str">
            <v xml:space="preserve"> </v>
          </cell>
          <cell r="X115"/>
          <cell r="Y115" t="str">
            <v xml:space="preserve"> </v>
          </cell>
          <cell r="Z115"/>
          <cell r="AA115" t="str">
            <v xml:space="preserve"> </v>
          </cell>
          <cell r="AB115" t="str">
            <v xml:space="preserve"> </v>
          </cell>
          <cell r="AC115"/>
          <cell r="AD115" t="str">
            <v xml:space="preserve"> </v>
          </cell>
          <cell r="AE115"/>
          <cell r="AF115" t="str">
            <v xml:space="preserve"> </v>
          </cell>
          <cell r="AG115"/>
          <cell r="AH115"/>
          <cell r="AI115"/>
          <cell r="AJ115"/>
          <cell r="AK115" t="str">
            <v/>
          </cell>
          <cell r="AL115"/>
          <cell r="AM115" t="str">
            <v xml:space="preserve"> </v>
          </cell>
          <cell r="AN115" t="str">
            <v xml:space="preserve"> </v>
          </cell>
          <cell r="AO115"/>
          <cell r="AP115" t="str">
            <v xml:space="preserve"> </v>
          </cell>
          <cell r="AQ115"/>
          <cell r="AR115" t="str">
            <v xml:space="preserve"> </v>
          </cell>
          <cell r="AS115" t="str">
            <v xml:space="preserve"> </v>
          </cell>
          <cell r="AT115"/>
          <cell r="AU115" t="str">
            <v xml:space="preserve"> </v>
          </cell>
          <cell r="AV115"/>
          <cell r="AW115"/>
          <cell r="AX115" t="str">
            <v xml:space="preserve"> </v>
          </cell>
          <cell r="AY115"/>
          <cell r="AZ115" t="str">
            <v xml:space="preserve"> </v>
          </cell>
          <cell r="BA115"/>
          <cell r="BB115"/>
          <cell r="BC115" t="str">
            <v xml:space="preserve"> </v>
          </cell>
          <cell r="BD115"/>
          <cell r="BE115" t="str">
            <v xml:space="preserve"> </v>
          </cell>
          <cell r="BF115"/>
          <cell r="BG115"/>
          <cell r="BH115" t="str">
            <v xml:space="preserve"> </v>
          </cell>
          <cell r="BI115"/>
          <cell r="BJ115" t="str">
            <v xml:space="preserve"> </v>
          </cell>
          <cell r="BK115"/>
          <cell r="BL115" t="str">
            <v xml:space="preserve"> </v>
          </cell>
          <cell r="BM115" t="str">
            <v xml:space="preserve"> </v>
          </cell>
          <cell r="BN115"/>
          <cell r="BO115" t="str">
            <v xml:space="preserve"> </v>
          </cell>
        </row>
        <row r="116">
          <cell r="B116">
            <v>46134</v>
          </cell>
          <cell r="C116"/>
          <cell r="D116" t="str">
            <v xml:space="preserve"> </v>
          </cell>
          <cell r="E116" t="str">
            <v xml:space="preserve"> </v>
          </cell>
          <cell r="F116"/>
          <cell r="G116" t="str">
            <v xml:space="preserve"> </v>
          </cell>
          <cell r="H116"/>
          <cell r="I116" t="str">
            <v xml:space="preserve"> </v>
          </cell>
          <cell r="J116" t="str">
            <v xml:space="preserve"> </v>
          </cell>
          <cell r="K116"/>
          <cell r="L116" t="str">
            <v xml:space="preserve"> </v>
          </cell>
          <cell r="M116"/>
          <cell r="N116" t="str">
            <v xml:space="preserve"> </v>
          </cell>
          <cell r="O116" t="str">
            <v xml:space="preserve"> </v>
          </cell>
          <cell r="P116"/>
          <cell r="Q116" t="str">
            <v xml:space="preserve"> </v>
          </cell>
          <cell r="R116"/>
          <cell r="S116" t="str">
            <v xml:space="preserve"> </v>
          </cell>
          <cell r="T116" t="str">
            <v xml:space="preserve"> </v>
          </cell>
          <cell r="U116"/>
          <cell r="V116" t="str">
            <v xml:space="preserve"> </v>
          </cell>
          <cell r="W116" t="str">
            <v xml:space="preserve"> </v>
          </cell>
          <cell r="X116"/>
          <cell r="Y116" t="str">
            <v xml:space="preserve"> </v>
          </cell>
          <cell r="Z116"/>
          <cell r="AA116" t="str">
            <v xml:space="preserve"> </v>
          </cell>
          <cell r="AB116" t="str">
            <v xml:space="preserve"> </v>
          </cell>
          <cell r="AC116"/>
          <cell r="AD116" t="str">
            <v xml:space="preserve"> </v>
          </cell>
          <cell r="AE116"/>
          <cell r="AF116" t="str">
            <v xml:space="preserve"> </v>
          </cell>
          <cell r="AG116"/>
          <cell r="AH116"/>
          <cell r="AI116"/>
          <cell r="AJ116"/>
          <cell r="AK116" t="str">
            <v/>
          </cell>
          <cell r="AL116"/>
          <cell r="AM116" t="str">
            <v xml:space="preserve"> </v>
          </cell>
          <cell r="AN116" t="str">
            <v xml:space="preserve"> </v>
          </cell>
          <cell r="AO116"/>
          <cell r="AP116" t="str">
            <v xml:space="preserve"> </v>
          </cell>
          <cell r="AQ116"/>
          <cell r="AR116" t="str">
            <v xml:space="preserve"> </v>
          </cell>
          <cell r="AS116" t="str">
            <v xml:space="preserve"> </v>
          </cell>
          <cell r="AT116"/>
          <cell r="AU116" t="str">
            <v xml:space="preserve"> </v>
          </cell>
          <cell r="AV116"/>
          <cell r="AW116"/>
          <cell r="AX116" t="str">
            <v xml:space="preserve"> </v>
          </cell>
          <cell r="AY116"/>
          <cell r="AZ116" t="str">
            <v xml:space="preserve"> </v>
          </cell>
          <cell r="BA116"/>
          <cell r="BB116"/>
          <cell r="BC116" t="str">
            <v xml:space="preserve"> </v>
          </cell>
          <cell r="BD116"/>
          <cell r="BE116" t="str">
            <v xml:space="preserve"> </v>
          </cell>
          <cell r="BF116"/>
          <cell r="BG116"/>
          <cell r="BH116" t="str">
            <v xml:space="preserve"> </v>
          </cell>
          <cell r="BI116"/>
          <cell r="BJ116" t="str">
            <v xml:space="preserve"> </v>
          </cell>
          <cell r="BK116"/>
          <cell r="BL116" t="str">
            <v xml:space="preserve"> </v>
          </cell>
          <cell r="BM116" t="str">
            <v xml:space="preserve"> </v>
          </cell>
          <cell r="BN116"/>
          <cell r="BO116" t="str">
            <v xml:space="preserve"> </v>
          </cell>
        </row>
        <row r="117">
          <cell r="B117">
            <v>46135</v>
          </cell>
          <cell r="C117"/>
          <cell r="D117" t="str">
            <v xml:space="preserve"> </v>
          </cell>
          <cell r="E117" t="str">
            <v xml:space="preserve"> </v>
          </cell>
          <cell r="F117"/>
          <cell r="G117" t="str">
            <v xml:space="preserve"> </v>
          </cell>
          <cell r="H117"/>
          <cell r="I117" t="str">
            <v xml:space="preserve"> </v>
          </cell>
          <cell r="J117" t="str">
            <v xml:space="preserve"> </v>
          </cell>
          <cell r="K117"/>
          <cell r="L117" t="str">
            <v xml:space="preserve"> </v>
          </cell>
          <cell r="M117"/>
          <cell r="N117" t="str">
            <v xml:space="preserve"> </v>
          </cell>
          <cell r="O117" t="str">
            <v xml:space="preserve"> </v>
          </cell>
          <cell r="P117"/>
          <cell r="Q117" t="str">
            <v xml:space="preserve"> </v>
          </cell>
          <cell r="R117"/>
          <cell r="S117" t="str">
            <v xml:space="preserve"> </v>
          </cell>
          <cell r="T117" t="str">
            <v xml:space="preserve"> </v>
          </cell>
          <cell r="U117"/>
          <cell r="V117" t="str">
            <v xml:space="preserve"> </v>
          </cell>
          <cell r="W117" t="str">
            <v xml:space="preserve"> </v>
          </cell>
          <cell r="X117"/>
          <cell r="Y117" t="str">
            <v xml:space="preserve"> </v>
          </cell>
          <cell r="Z117"/>
          <cell r="AA117" t="str">
            <v xml:space="preserve"> </v>
          </cell>
          <cell r="AB117" t="str">
            <v xml:space="preserve"> </v>
          </cell>
          <cell r="AC117"/>
          <cell r="AD117" t="str">
            <v xml:space="preserve"> </v>
          </cell>
          <cell r="AE117"/>
          <cell r="AF117" t="str">
            <v xml:space="preserve"> </v>
          </cell>
          <cell r="AG117"/>
          <cell r="AH117"/>
          <cell r="AI117"/>
          <cell r="AJ117"/>
          <cell r="AK117" t="str">
            <v/>
          </cell>
          <cell r="AL117"/>
          <cell r="AM117" t="str">
            <v xml:space="preserve"> </v>
          </cell>
          <cell r="AN117" t="str">
            <v xml:space="preserve"> </v>
          </cell>
          <cell r="AO117"/>
          <cell r="AP117" t="str">
            <v xml:space="preserve"> </v>
          </cell>
          <cell r="AQ117"/>
          <cell r="AR117" t="str">
            <v xml:space="preserve"> </v>
          </cell>
          <cell r="AS117" t="str">
            <v xml:space="preserve"> </v>
          </cell>
          <cell r="AT117"/>
          <cell r="AU117" t="str">
            <v xml:space="preserve"> </v>
          </cell>
          <cell r="AV117"/>
          <cell r="AW117"/>
          <cell r="AX117" t="str">
            <v xml:space="preserve"> </v>
          </cell>
          <cell r="AY117"/>
          <cell r="AZ117" t="str">
            <v xml:space="preserve"> </v>
          </cell>
          <cell r="BA117"/>
          <cell r="BB117"/>
          <cell r="BC117" t="str">
            <v xml:space="preserve"> </v>
          </cell>
          <cell r="BD117"/>
          <cell r="BE117" t="str">
            <v xml:space="preserve"> </v>
          </cell>
          <cell r="BF117"/>
          <cell r="BG117"/>
          <cell r="BH117" t="str">
            <v xml:space="preserve"> </v>
          </cell>
          <cell r="BI117"/>
          <cell r="BJ117" t="str">
            <v xml:space="preserve"> </v>
          </cell>
          <cell r="BK117"/>
          <cell r="BL117" t="str">
            <v xml:space="preserve"> </v>
          </cell>
          <cell r="BM117" t="str">
            <v xml:space="preserve"> </v>
          </cell>
          <cell r="BN117"/>
          <cell r="BO117" t="str">
            <v xml:space="preserve"> </v>
          </cell>
        </row>
        <row r="118">
          <cell r="B118">
            <v>46136</v>
          </cell>
          <cell r="C118"/>
          <cell r="D118" t="str">
            <v xml:space="preserve"> </v>
          </cell>
          <cell r="E118" t="str">
            <v xml:space="preserve"> </v>
          </cell>
          <cell r="F118"/>
          <cell r="G118" t="str">
            <v xml:space="preserve"> </v>
          </cell>
          <cell r="H118"/>
          <cell r="I118" t="str">
            <v xml:space="preserve"> </v>
          </cell>
          <cell r="J118" t="str">
            <v xml:space="preserve"> </v>
          </cell>
          <cell r="K118"/>
          <cell r="L118" t="str">
            <v xml:space="preserve"> </v>
          </cell>
          <cell r="M118"/>
          <cell r="N118" t="str">
            <v xml:space="preserve"> </v>
          </cell>
          <cell r="O118" t="str">
            <v xml:space="preserve"> </v>
          </cell>
          <cell r="P118"/>
          <cell r="Q118" t="str">
            <v xml:space="preserve"> </v>
          </cell>
          <cell r="R118"/>
          <cell r="S118" t="str">
            <v xml:space="preserve"> </v>
          </cell>
          <cell r="T118" t="str">
            <v xml:space="preserve"> </v>
          </cell>
          <cell r="U118"/>
          <cell r="V118" t="str">
            <v xml:space="preserve"> </v>
          </cell>
          <cell r="W118" t="str">
            <v xml:space="preserve"> </v>
          </cell>
          <cell r="X118"/>
          <cell r="Y118" t="str">
            <v xml:space="preserve"> </v>
          </cell>
          <cell r="Z118"/>
          <cell r="AA118" t="str">
            <v xml:space="preserve"> </v>
          </cell>
          <cell r="AB118" t="str">
            <v xml:space="preserve"> </v>
          </cell>
          <cell r="AC118"/>
          <cell r="AD118" t="str">
            <v xml:space="preserve"> </v>
          </cell>
          <cell r="AE118"/>
          <cell r="AF118" t="str">
            <v xml:space="preserve"> </v>
          </cell>
          <cell r="AG118"/>
          <cell r="AH118"/>
          <cell r="AI118"/>
          <cell r="AJ118"/>
          <cell r="AK118" t="str">
            <v/>
          </cell>
          <cell r="AL118"/>
          <cell r="AM118" t="str">
            <v xml:space="preserve"> </v>
          </cell>
          <cell r="AN118" t="str">
            <v xml:space="preserve"> </v>
          </cell>
          <cell r="AO118"/>
          <cell r="AP118" t="str">
            <v xml:space="preserve"> </v>
          </cell>
          <cell r="AQ118"/>
          <cell r="AR118" t="str">
            <v xml:space="preserve"> </v>
          </cell>
          <cell r="AS118" t="str">
            <v xml:space="preserve"> </v>
          </cell>
          <cell r="AT118"/>
          <cell r="AU118" t="str">
            <v xml:space="preserve"> </v>
          </cell>
          <cell r="AV118"/>
          <cell r="AW118"/>
          <cell r="AX118" t="str">
            <v xml:space="preserve"> </v>
          </cell>
          <cell r="AY118"/>
          <cell r="AZ118" t="str">
            <v xml:space="preserve"> </v>
          </cell>
          <cell r="BA118"/>
          <cell r="BB118"/>
          <cell r="BC118" t="str">
            <v xml:space="preserve"> </v>
          </cell>
          <cell r="BD118"/>
          <cell r="BE118" t="str">
            <v xml:space="preserve"> </v>
          </cell>
          <cell r="BF118"/>
          <cell r="BG118"/>
          <cell r="BH118" t="str">
            <v xml:space="preserve"> </v>
          </cell>
          <cell r="BI118"/>
          <cell r="BJ118" t="str">
            <v xml:space="preserve"> </v>
          </cell>
          <cell r="BK118"/>
          <cell r="BL118" t="str">
            <v xml:space="preserve"> </v>
          </cell>
          <cell r="BM118" t="str">
            <v xml:space="preserve"> </v>
          </cell>
          <cell r="BN118"/>
          <cell r="BO118" t="str">
            <v xml:space="preserve"> </v>
          </cell>
        </row>
        <row r="119">
          <cell r="B119">
            <v>46137</v>
          </cell>
          <cell r="C119"/>
          <cell r="D119" t="str">
            <v xml:space="preserve"> </v>
          </cell>
          <cell r="E119" t="str">
            <v xml:space="preserve"> </v>
          </cell>
          <cell r="F119"/>
          <cell r="G119" t="str">
            <v xml:space="preserve"> </v>
          </cell>
          <cell r="H119"/>
          <cell r="I119" t="str">
            <v xml:space="preserve"> </v>
          </cell>
          <cell r="J119" t="str">
            <v xml:space="preserve"> </v>
          </cell>
          <cell r="K119"/>
          <cell r="L119" t="str">
            <v xml:space="preserve"> </v>
          </cell>
          <cell r="M119"/>
          <cell r="N119" t="str">
            <v xml:space="preserve"> </v>
          </cell>
          <cell r="O119" t="str">
            <v xml:space="preserve"> </v>
          </cell>
          <cell r="P119"/>
          <cell r="Q119" t="str">
            <v xml:space="preserve"> </v>
          </cell>
          <cell r="R119"/>
          <cell r="S119" t="str">
            <v xml:space="preserve"> </v>
          </cell>
          <cell r="T119" t="str">
            <v xml:space="preserve"> </v>
          </cell>
          <cell r="U119"/>
          <cell r="V119" t="str">
            <v xml:space="preserve"> </v>
          </cell>
          <cell r="W119" t="str">
            <v xml:space="preserve"> </v>
          </cell>
          <cell r="X119"/>
          <cell r="Y119" t="str">
            <v xml:space="preserve"> </v>
          </cell>
          <cell r="Z119"/>
          <cell r="AA119" t="str">
            <v xml:space="preserve"> </v>
          </cell>
          <cell r="AB119" t="str">
            <v xml:space="preserve"> </v>
          </cell>
          <cell r="AC119"/>
          <cell r="AD119" t="str">
            <v xml:space="preserve"> </v>
          </cell>
          <cell r="AE119"/>
          <cell r="AF119" t="str">
            <v xml:space="preserve"> </v>
          </cell>
          <cell r="AG119"/>
          <cell r="AH119"/>
          <cell r="AI119"/>
          <cell r="AJ119"/>
          <cell r="AK119" t="str">
            <v/>
          </cell>
          <cell r="AL119"/>
          <cell r="AM119" t="str">
            <v xml:space="preserve"> </v>
          </cell>
          <cell r="AN119" t="str">
            <v xml:space="preserve"> </v>
          </cell>
          <cell r="AO119"/>
          <cell r="AP119" t="str">
            <v xml:space="preserve"> </v>
          </cell>
          <cell r="AQ119"/>
          <cell r="AR119" t="str">
            <v xml:space="preserve"> </v>
          </cell>
          <cell r="AS119" t="str">
            <v xml:space="preserve"> </v>
          </cell>
          <cell r="AT119"/>
          <cell r="AU119" t="str">
            <v xml:space="preserve"> </v>
          </cell>
          <cell r="AV119"/>
          <cell r="AW119"/>
          <cell r="AX119" t="str">
            <v xml:space="preserve"> </v>
          </cell>
          <cell r="AY119"/>
          <cell r="AZ119" t="str">
            <v xml:space="preserve"> </v>
          </cell>
          <cell r="BA119"/>
          <cell r="BB119"/>
          <cell r="BC119" t="str">
            <v xml:space="preserve"> </v>
          </cell>
          <cell r="BD119"/>
          <cell r="BE119" t="str">
            <v xml:space="preserve"> </v>
          </cell>
          <cell r="BF119"/>
          <cell r="BG119"/>
          <cell r="BH119" t="str">
            <v xml:space="preserve"> </v>
          </cell>
          <cell r="BI119"/>
          <cell r="BJ119" t="str">
            <v xml:space="preserve"> </v>
          </cell>
          <cell r="BK119"/>
          <cell r="BL119" t="str">
            <v xml:space="preserve"> </v>
          </cell>
          <cell r="BM119" t="str">
            <v xml:space="preserve"> </v>
          </cell>
          <cell r="BN119"/>
          <cell r="BO119" t="str">
            <v xml:space="preserve"> </v>
          </cell>
        </row>
        <row r="120">
          <cell r="B120">
            <v>46138</v>
          </cell>
          <cell r="C120"/>
          <cell r="D120" t="str">
            <v xml:space="preserve"> </v>
          </cell>
          <cell r="E120" t="str">
            <v xml:space="preserve"> </v>
          </cell>
          <cell r="F120"/>
          <cell r="G120" t="str">
            <v xml:space="preserve"> </v>
          </cell>
          <cell r="H120"/>
          <cell r="I120" t="str">
            <v xml:space="preserve"> </v>
          </cell>
          <cell r="J120" t="str">
            <v xml:space="preserve"> </v>
          </cell>
          <cell r="K120"/>
          <cell r="L120" t="str">
            <v xml:space="preserve"> </v>
          </cell>
          <cell r="M120"/>
          <cell r="N120" t="str">
            <v xml:space="preserve"> </v>
          </cell>
          <cell r="O120" t="str">
            <v xml:space="preserve"> </v>
          </cell>
          <cell r="P120"/>
          <cell r="Q120" t="str">
            <v xml:space="preserve"> </v>
          </cell>
          <cell r="R120"/>
          <cell r="S120" t="str">
            <v xml:space="preserve"> </v>
          </cell>
          <cell r="T120" t="str">
            <v xml:space="preserve"> </v>
          </cell>
          <cell r="U120"/>
          <cell r="V120" t="str">
            <v xml:space="preserve"> </v>
          </cell>
          <cell r="W120" t="str">
            <v xml:space="preserve"> </v>
          </cell>
          <cell r="X120"/>
          <cell r="Y120" t="str">
            <v xml:space="preserve"> </v>
          </cell>
          <cell r="Z120"/>
          <cell r="AA120" t="str">
            <v xml:space="preserve"> </v>
          </cell>
          <cell r="AB120" t="str">
            <v xml:space="preserve"> </v>
          </cell>
          <cell r="AC120"/>
          <cell r="AD120" t="str">
            <v xml:space="preserve"> </v>
          </cell>
          <cell r="AE120"/>
          <cell r="AF120" t="str">
            <v xml:space="preserve"> </v>
          </cell>
          <cell r="AG120"/>
          <cell r="AH120"/>
          <cell r="AI120"/>
          <cell r="AJ120"/>
          <cell r="AK120" t="str">
            <v/>
          </cell>
          <cell r="AL120"/>
          <cell r="AM120" t="str">
            <v xml:space="preserve"> </v>
          </cell>
          <cell r="AN120" t="str">
            <v xml:space="preserve"> </v>
          </cell>
          <cell r="AO120"/>
          <cell r="AP120" t="str">
            <v xml:space="preserve"> </v>
          </cell>
          <cell r="AQ120"/>
          <cell r="AR120" t="str">
            <v xml:space="preserve"> </v>
          </cell>
          <cell r="AS120" t="str">
            <v xml:space="preserve"> </v>
          </cell>
          <cell r="AT120"/>
          <cell r="AU120" t="str">
            <v xml:space="preserve"> </v>
          </cell>
          <cell r="AV120"/>
          <cell r="AW120"/>
          <cell r="AX120" t="str">
            <v xml:space="preserve"> </v>
          </cell>
          <cell r="AY120"/>
          <cell r="AZ120" t="str">
            <v xml:space="preserve"> </v>
          </cell>
          <cell r="BA120"/>
          <cell r="BB120"/>
          <cell r="BC120" t="str">
            <v xml:space="preserve"> </v>
          </cell>
          <cell r="BD120"/>
          <cell r="BE120" t="str">
            <v xml:space="preserve"> </v>
          </cell>
          <cell r="BF120"/>
          <cell r="BG120"/>
          <cell r="BH120" t="str">
            <v xml:space="preserve"> </v>
          </cell>
          <cell r="BI120"/>
          <cell r="BJ120" t="str">
            <v xml:space="preserve"> </v>
          </cell>
          <cell r="BK120"/>
          <cell r="BL120" t="str">
            <v xml:space="preserve"> </v>
          </cell>
          <cell r="BM120" t="str">
            <v xml:space="preserve"> </v>
          </cell>
          <cell r="BN120"/>
          <cell r="BO120" t="str">
            <v xml:space="preserve"> </v>
          </cell>
        </row>
        <row r="121">
          <cell r="B121">
            <v>46139</v>
          </cell>
          <cell r="C121"/>
          <cell r="D121" t="str">
            <v xml:space="preserve"> </v>
          </cell>
          <cell r="E121" t="str">
            <v xml:space="preserve"> </v>
          </cell>
          <cell r="F121"/>
          <cell r="G121" t="str">
            <v xml:space="preserve"> </v>
          </cell>
          <cell r="H121"/>
          <cell r="I121" t="str">
            <v xml:space="preserve"> </v>
          </cell>
          <cell r="J121" t="str">
            <v xml:space="preserve"> </v>
          </cell>
          <cell r="K121"/>
          <cell r="L121" t="str">
            <v xml:space="preserve"> </v>
          </cell>
          <cell r="M121"/>
          <cell r="N121" t="str">
            <v xml:space="preserve"> </v>
          </cell>
          <cell r="O121" t="str">
            <v xml:space="preserve"> </v>
          </cell>
          <cell r="P121"/>
          <cell r="Q121" t="str">
            <v xml:space="preserve"> </v>
          </cell>
          <cell r="R121"/>
          <cell r="S121" t="str">
            <v xml:space="preserve"> </v>
          </cell>
          <cell r="T121" t="str">
            <v xml:space="preserve"> </v>
          </cell>
          <cell r="U121"/>
          <cell r="V121" t="str">
            <v xml:space="preserve"> </v>
          </cell>
          <cell r="W121" t="str">
            <v xml:space="preserve"> </v>
          </cell>
          <cell r="X121"/>
          <cell r="Y121" t="str">
            <v xml:space="preserve"> </v>
          </cell>
          <cell r="Z121"/>
          <cell r="AA121" t="str">
            <v xml:space="preserve"> </v>
          </cell>
          <cell r="AB121" t="str">
            <v xml:space="preserve"> </v>
          </cell>
          <cell r="AC121"/>
          <cell r="AD121" t="str">
            <v xml:space="preserve"> </v>
          </cell>
          <cell r="AE121"/>
          <cell r="AF121" t="str">
            <v xml:space="preserve"> </v>
          </cell>
          <cell r="AG121"/>
          <cell r="AH121"/>
          <cell r="AI121"/>
          <cell r="AJ121"/>
          <cell r="AK121" t="str">
            <v/>
          </cell>
          <cell r="AL121"/>
          <cell r="AM121" t="str">
            <v xml:space="preserve"> </v>
          </cell>
          <cell r="AN121" t="str">
            <v xml:space="preserve"> </v>
          </cell>
          <cell r="AO121"/>
          <cell r="AP121" t="str">
            <v xml:space="preserve"> </v>
          </cell>
          <cell r="AQ121"/>
          <cell r="AR121" t="str">
            <v xml:space="preserve"> </v>
          </cell>
          <cell r="AS121" t="str">
            <v xml:space="preserve"> </v>
          </cell>
          <cell r="AT121"/>
          <cell r="AU121" t="str">
            <v xml:space="preserve"> </v>
          </cell>
          <cell r="AV121"/>
          <cell r="AW121"/>
          <cell r="AX121" t="str">
            <v xml:space="preserve"> </v>
          </cell>
          <cell r="AY121"/>
          <cell r="AZ121" t="str">
            <v xml:space="preserve"> </v>
          </cell>
          <cell r="BA121"/>
          <cell r="BB121"/>
          <cell r="BC121" t="str">
            <v xml:space="preserve"> </v>
          </cell>
          <cell r="BD121"/>
          <cell r="BE121" t="str">
            <v xml:space="preserve"> </v>
          </cell>
          <cell r="BF121"/>
          <cell r="BG121"/>
          <cell r="BH121" t="str">
            <v xml:space="preserve"> </v>
          </cell>
          <cell r="BI121"/>
          <cell r="BJ121" t="str">
            <v xml:space="preserve"> </v>
          </cell>
          <cell r="BK121"/>
          <cell r="BL121" t="str">
            <v xml:space="preserve"> </v>
          </cell>
          <cell r="BM121" t="str">
            <v xml:space="preserve"> </v>
          </cell>
          <cell r="BN121"/>
          <cell r="BO121" t="str">
            <v xml:space="preserve"> </v>
          </cell>
        </row>
        <row r="122">
          <cell r="B122">
            <v>46140</v>
          </cell>
          <cell r="C122"/>
          <cell r="D122" t="str">
            <v xml:space="preserve"> </v>
          </cell>
          <cell r="E122" t="str">
            <v xml:space="preserve"> </v>
          </cell>
          <cell r="F122"/>
          <cell r="G122" t="str">
            <v xml:space="preserve"> </v>
          </cell>
          <cell r="H122"/>
          <cell r="I122" t="str">
            <v xml:space="preserve"> </v>
          </cell>
          <cell r="J122" t="str">
            <v xml:space="preserve"> </v>
          </cell>
          <cell r="K122"/>
          <cell r="L122" t="str">
            <v xml:space="preserve"> </v>
          </cell>
          <cell r="M122"/>
          <cell r="N122" t="str">
            <v xml:space="preserve"> </v>
          </cell>
          <cell r="O122" t="str">
            <v xml:space="preserve"> </v>
          </cell>
          <cell r="P122"/>
          <cell r="Q122" t="str">
            <v xml:space="preserve"> </v>
          </cell>
          <cell r="R122"/>
          <cell r="S122" t="str">
            <v xml:space="preserve"> </v>
          </cell>
          <cell r="T122" t="str">
            <v xml:space="preserve"> </v>
          </cell>
          <cell r="U122"/>
          <cell r="V122" t="str">
            <v xml:space="preserve"> </v>
          </cell>
          <cell r="W122" t="str">
            <v xml:space="preserve"> </v>
          </cell>
          <cell r="X122"/>
          <cell r="Y122" t="str">
            <v xml:space="preserve"> </v>
          </cell>
          <cell r="Z122"/>
          <cell r="AA122" t="str">
            <v xml:space="preserve"> </v>
          </cell>
          <cell r="AB122" t="str">
            <v xml:space="preserve"> </v>
          </cell>
          <cell r="AC122"/>
          <cell r="AD122" t="str">
            <v xml:space="preserve"> </v>
          </cell>
          <cell r="AE122"/>
          <cell r="AF122" t="str">
            <v xml:space="preserve"> </v>
          </cell>
          <cell r="AG122"/>
          <cell r="AH122"/>
          <cell r="AI122"/>
          <cell r="AJ122"/>
          <cell r="AK122" t="str">
            <v/>
          </cell>
          <cell r="AL122"/>
          <cell r="AM122" t="str">
            <v xml:space="preserve"> </v>
          </cell>
          <cell r="AN122" t="str">
            <v xml:space="preserve"> </v>
          </cell>
          <cell r="AO122"/>
          <cell r="AP122" t="str">
            <v xml:space="preserve"> </v>
          </cell>
          <cell r="AQ122"/>
          <cell r="AR122" t="str">
            <v xml:space="preserve"> </v>
          </cell>
          <cell r="AS122" t="str">
            <v xml:space="preserve"> </v>
          </cell>
          <cell r="AT122"/>
          <cell r="AU122" t="str">
            <v xml:space="preserve"> </v>
          </cell>
          <cell r="AV122"/>
          <cell r="AW122"/>
          <cell r="AX122" t="str">
            <v xml:space="preserve"> </v>
          </cell>
          <cell r="AY122"/>
          <cell r="AZ122" t="str">
            <v xml:space="preserve"> </v>
          </cell>
          <cell r="BA122"/>
          <cell r="BB122"/>
          <cell r="BC122" t="str">
            <v xml:space="preserve"> </v>
          </cell>
          <cell r="BD122"/>
          <cell r="BE122" t="str">
            <v xml:space="preserve"> </v>
          </cell>
          <cell r="BF122"/>
          <cell r="BG122"/>
          <cell r="BH122" t="str">
            <v xml:space="preserve"> </v>
          </cell>
          <cell r="BI122"/>
          <cell r="BJ122" t="str">
            <v xml:space="preserve"> </v>
          </cell>
          <cell r="BK122"/>
          <cell r="BL122" t="str">
            <v xml:space="preserve"> </v>
          </cell>
          <cell r="BM122" t="str">
            <v xml:space="preserve"> </v>
          </cell>
          <cell r="BN122"/>
          <cell r="BO122" t="str">
            <v xml:space="preserve"> </v>
          </cell>
        </row>
        <row r="123">
          <cell r="B123">
            <v>46141</v>
          </cell>
          <cell r="C123"/>
          <cell r="D123" t="str">
            <v xml:space="preserve"> </v>
          </cell>
          <cell r="E123" t="str">
            <v xml:space="preserve"> </v>
          </cell>
          <cell r="F123"/>
          <cell r="G123" t="str">
            <v xml:space="preserve"> </v>
          </cell>
          <cell r="H123"/>
          <cell r="I123" t="str">
            <v xml:space="preserve"> </v>
          </cell>
          <cell r="J123" t="str">
            <v xml:space="preserve"> </v>
          </cell>
          <cell r="K123"/>
          <cell r="L123" t="str">
            <v xml:space="preserve"> </v>
          </cell>
          <cell r="M123"/>
          <cell r="N123" t="str">
            <v xml:space="preserve"> </v>
          </cell>
          <cell r="O123" t="str">
            <v xml:space="preserve"> </v>
          </cell>
          <cell r="P123"/>
          <cell r="Q123" t="str">
            <v xml:space="preserve"> </v>
          </cell>
          <cell r="R123"/>
          <cell r="S123" t="str">
            <v xml:space="preserve"> </v>
          </cell>
          <cell r="T123" t="str">
            <v xml:space="preserve"> </v>
          </cell>
          <cell r="U123"/>
          <cell r="V123" t="str">
            <v xml:space="preserve"> </v>
          </cell>
          <cell r="W123" t="str">
            <v xml:space="preserve"> </v>
          </cell>
          <cell r="X123"/>
          <cell r="Y123" t="str">
            <v xml:space="preserve"> </v>
          </cell>
          <cell r="Z123"/>
          <cell r="AA123" t="str">
            <v xml:space="preserve"> </v>
          </cell>
          <cell r="AB123" t="str">
            <v xml:space="preserve"> </v>
          </cell>
          <cell r="AC123"/>
          <cell r="AD123" t="str">
            <v xml:space="preserve"> </v>
          </cell>
          <cell r="AE123"/>
          <cell r="AF123" t="str">
            <v xml:space="preserve"> </v>
          </cell>
          <cell r="AG123"/>
          <cell r="AH123"/>
          <cell r="AI123"/>
          <cell r="AJ123"/>
          <cell r="AK123" t="str">
            <v/>
          </cell>
          <cell r="AL123"/>
          <cell r="AM123" t="str">
            <v xml:space="preserve"> </v>
          </cell>
          <cell r="AN123" t="str">
            <v xml:space="preserve"> </v>
          </cell>
          <cell r="AO123"/>
          <cell r="AP123" t="str">
            <v xml:space="preserve"> </v>
          </cell>
          <cell r="AQ123"/>
          <cell r="AR123" t="str">
            <v xml:space="preserve"> </v>
          </cell>
          <cell r="AS123" t="str">
            <v xml:space="preserve"> </v>
          </cell>
          <cell r="AT123"/>
          <cell r="AU123" t="str">
            <v xml:space="preserve"> </v>
          </cell>
          <cell r="AV123"/>
          <cell r="AW123"/>
          <cell r="AX123" t="str">
            <v xml:space="preserve"> </v>
          </cell>
          <cell r="AY123"/>
          <cell r="AZ123" t="str">
            <v xml:space="preserve"> </v>
          </cell>
          <cell r="BA123"/>
          <cell r="BB123"/>
          <cell r="BC123" t="str">
            <v xml:space="preserve"> </v>
          </cell>
          <cell r="BD123"/>
          <cell r="BE123" t="str">
            <v xml:space="preserve"> </v>
          </cell>
          <cell r="BF123"/>
          <cell r="BG123"/>
          <cell r="BH123" t="str">
            <v xml:space="preserve"> </v>
          </cell>
          <cell r="BI123"/>
          <cell r="BJ123" t="str">
            <v xml:space="preserve"> </v>
          </cell>
          <cell r="BK123"/>
          <cell r="BL123" t="str">
            <v xml:space="preserve"> </v>
          </cell>
          <cell r="BM123" t="str">
            <v xml:space="preserve"> </v>
          </cell>
          <cell r="BN123"/>
          <cell r="BO123" t="str">
            <v xml:space="preserve"> </v>
          </cell>
        </row>
        <row r="124">
          <cell r="B124">
            <v>46142</v>
          </cell>
          <cell r="C124"/>
          <cell r="D124" t="str">
            <v xml:space="preserve"> </v>
          </cell>
          <cell r="E124" t="str">
            <v xml:space="preserve"> </v>
          </cell>
          <cell r="F124"/>
          <cell r="G124" t="str">
            <v xml:space="preserve"> </v>
          </cell>
          <cell r="H124"/>
          <cell r="I124" t="str">
            <v xml:space="preserve"> </v>
          </cell>
          <cell r="J124" t="str">
            <v xml:space="preserve"> </v>
          </cell>
          <cell r="K124"/>
          <cell r="L124" t="str">
            <v xml:space="preserve"> </v>
          </cell>
          <cell r="M124"/>
          <cell r="N124" t="str">
            <v xml:space="preserve"> </v>
          </cell>
          <cell r="O124" t="str">
            <v xml:space="preserve"> </v>
          </cell>
          <cell r="P124"/>
          <cell r="Q124" t="str">
            <v xml:space="preserve"> </v>
          </cell>
          <cell r="R124"/>
          <cell r="S124" t="str">
            <v xml:space="preserve"> </v>
          </cell>
          <cell r="T124" t="str">
            <v xml:space="preserve"> </v>
          </cell>
          <cell r="U124"/>
          <cell r="V124" t="str">
            <v xml:space="preserve"> </v>
          </cell>
          <cell r="W124" t="str">
            <v xml:space="preserve"> </v>
          </cell>
          <cell r="X124"/>
          <cell r="Y124" t="str">
            <v xml:space="preserve"> </v>
          </cell>
          <cell r="Z124"/>
          <cell r="AA124" t="str">
            <v xml:space="preserve"> </v>
          </cell>
          <cell r="AB124" t="str">
            <v xml:space="preserve"> </v>
          </cell>
          <cell r="AC124"/>
          <cell r="AD124" t="str">
            <v xml:space="preserve"> </v>
          </cell>
          <cell r="AE124"/>
          <cell r="AF124" t="str">
            <v xml:space="preserve"> </v>
          </cell>
          <cell r="AG124"/>
          <cell r="AH124"/>
          <cell r="AI124"/>
          <cell r="AJ124"/>
          <cell r="AK124" t="str">
            <v/>
          </cell>
          <cell r="AL124"/>
          <cell r="AM124" t="str">
            <v xml:space="preserve"> </v>
          </cell>
          <cell r="AN124" t="str">
            <v xml:space="preserve"> </v>
          </cell>
          <cell r="AO124"/>
          <cell r="AP124" t="str">
            <v xml:space="preserve"> </v>
          </cell>
          <cell r="AQ124"/>
          <cell r="AR124" t="str">
            <v xml:space="preserve"> </v>
          </cell>
          <cell r="AS124" t="str">
            <v xml:space="preserve"> </v>
          </cell>
          <cell r="AT124"/>
          <cell r="AU124" t="str">
            <v xml:space="preserve"> </v>
          </cell>
          <cell r="AV124"/>
          <cell r="AW124"/>
          <cell r="AX124" t="str">
            <v xml:space="preserve"> </v>
          </cell>
          <cell r="AY124"/>
          <cell r="AZ124" t="str">
            <v xml:space="preserve"> </v>
          </cell>
          <cell r="BA124"/>
          <cell r="BB124"/>
          <cell r="BC124" t="str">
            <v xml:space="preserve"> </v>
          </cell>
          <cell r="BD124"/>
          <cell r="BE124" t="str">
            <v xml:space="preserve"> </v>
          </cell>
          <cell r="BF124"/>
          <cell r="BG124"/>
          <cell r="BH124" t="str">
            <v xml:space="preserve"> </v>
          </cell>
          <cell r="BI124"/>
          <cell r="BJ124" t="str">
            <v xml:space="preserve"> </v>
          </cell>
          <cell r="BK124"/>
          <cell r="BL124" t="str">
            <v xml:space="preserve"> </v>
          </cell>
          <cell r="BM124" t="str">
            <v xml:space="preserve"> </v>
          </cell>
          <cell r="BN124"/>
          <cell r="BO124" t="str">
            <v xml:space="preserve"> </v>
          </cell>
        </row>
        <row r="125">
          <cell r="B125">
            <v>46143</v>
          </cell>
          <cell r="C125"/>
          <cell r="D125" t="str">
            <v xml:space="preserve"> </v>
          </cell>
          <cell r="E125" t="str">
            <v xml:space="preserve"> </v>
          </cell>
          <cell r="F125"/>
          <cell r="G125" t="str">
            <v xml:space="preserve"> </v>
          </cell>
          <cell r="H125"/>
          <cell r="I125" t="str">
            <v xml:space="preserve"> </v>
          </cell>
          <cell r="J125" t="str">
            <v xml:space="preserve"> </v>
          </cell>
          <cell r="K125"/>
          <cell r="L125" t="str">
            <v xml:space="preserve"> </v>
          </cell>
          <cell r="M125"/>
          <cell r="N125" t="str">
            <v xml:space="preserve"> </v>
          </cell>
          <cell r="O125" t="str">
            <v xml:space="preserve"> </v>
          </cell>
          <cell r="P125"/>
          <cell r="Q125" t="str">
            <v xml:space="preserve"> </v>
          </cell>
          <cell r="R125"/>
          <cell r="S125" t="str">
            <v xml:space="preserve"> </v>
          </cell>
          <cell r="T125" t="str">
            <v xml:space="preserve"> </v>
          </cell>
          <cell r="U125"/>
          <cell r="V125" t="str">
            <v xml:space="preserve"> </v>
          </cell>
          <cell r="W125" t="str">
            <v xml:space="preserve"> </v>
          </cell>
          <cell r="X125"/>
          <cell r="Y125" t="str">
            <v xml:space="preserve"> </v>
          </cell>
          <cell r="Z125"/>
          <cell r="AA125" t="str">
            <v xml:space="preserve"> </v>
          </cell>
          <cell r="AB125" t="str">
            <v xml:space="preserve"> </v>
          </cell>
          <cell r="AC125"/>
          <cell r="AD125" t="str">
            <v xml:space="preserve"> </v>
          </cell>
          <cell r="AE125"/>
          <cell r="AF125" t="str">
            <v xml:space="preserve"> </v>
          </cell>
          <cell r="AG125"/>
          <cell r="AH125"/>
          <cell r="AI125"/>
          <cell r="AJ125"/>
          <cell r="AK125" t="str">
            <v/>
          </cell>
          <cell r="AL125"/>
          <cell r="AM125" t="str">
            <v xml:space="preserve"> </v>
          </cell>
          <cell r="AN125" t="str">
            <v xml:space="preserve"> </v>
          </cell>
          <cell r="AO125"/>
          <cell r="AP125" t="str">
            <v xml:space="preserve"> </v>
          </cell>
          <cell r="AQ125"/>
          <cell r="AR125" t="str">
            <v xml:space="preserve"> </v>
          </cell>
          <cell r="AS125" t="str">
            <v xml:space="preserve"> </v>
          </cell>
          <cell r="AT125"/>
          <cell r="AU125" t="str">
            <v xml:space="preserve"> </v>
          </cell>
          <cell r="AV125"/>
          <cell r="AW125"/>
          <cell r="AX125" t="str">
            <v xml:space="preserve"> </v>
          </cell>
          <cell r="AY125"/>
          <cell r="AZ125" t="str">
            <v xml:space="preserve"> </v>
          </cell>
          <cell r="BA125"/>
          <cell r="BB125"/>
          <cell r="BC125" t="str">
            <v xml:space="preserve"> </v>
          </cell>
          <cell r="BD125"/>
          <cell r="BE125" t="str">
            <v xml:space="preserve"> </v>
          </cell>
          <cell r="BF125"/>
          <cell r="BG125"/>
          <cell r="BH125" t="str">
            <v xml:space="preserve"> </v>
          </cell>
          <cell r="BI125"/>
          <cell r="BJ125" t="str">
            <v xml:space="preserve"> </v>
          </cell>
          <cell r="BK125"/>
          <cell r="BL125" t="str">
            <v xml:space="preserve"> </v>
          </cell>
          <cell r="BM125" t="str">
            <v xml:space="preserve"> </v>
          </cell>
          <cell r="BN125"/>
          <cell r="BO125" t="str">
            <v xml:space="preserve"> </v>
          </cell>
        </row>
        <row r="126">
          <cell r="B126">
            <v>46144</v>
          </cell>
          <cell r="C126"/>
          <cell r="D126" t="str">
            <v xml:space="preserve"> </v>
          </cell>
          <cell r="E126" t="str">
            <v xml:space="preserve"> </v>
          </cell>
          <cell r="F126"/>
          <cell r="G126" t="str">
            <v xml:space="preserve"> </v>
          </cell>
          <cell r="H126"/>
          <cell r="I126" t="str">
            <v xml:space="preserve"> </v>
          </cell>
          <cell r="J126" t="str">
            <v xml:space="preserve"> </v>
          </cell>
          <cell r="K126"/>
          <cell r="L126" t="str">
            <v xml:space="preserve"> </v>
          </cell>
          <cell r="M126"/>
          <cell r="N126" t="str">
            <v xml:space="preserve"> </v>
          </cell>
          <cell r="O126" t="str">
            <v xml:space="preserve"> </v>
          </cell>
          <cell r="P126"/>
          <cell r="Q126" t="str">
            <v xml:space="preserve"> </v>
          </cell>
          <cell r="R126"/>
          <cell r="S126" t="str">
            <v xml:space="preserve"> </v>
          </cell>
          <cell r="T126" t="str">
            <v xml:space="preserve"> </v>
          </cell>
          <cell r="U126"/>
          <cell r="V126" t="str">
            <v xml:space="preserve"> </v>
          </cell>
          <cell r="W126" t="str">
            <v xml:space="preserve"> </v>
          </cell>
          <cell r="X126"/>
          <cell r="Y126" t="str">
            <v xml:space="preserve"> </v>
          </cell>
          <cell r="Z126"/>
          <cell r="AA126" t="str">
            <v xml:space="preserve"> </v>
          </cell>
          <cell r="AB126" t="str">
            <v xml:space="preserve"> </v>
          </cell>
          <cell r="AC126"/>
          <cell r="AD126" t="str">
            <v xml:space="preserve"> </v>
          </cell>
          <cell r="AE126"/>
          <cell r="AF126" t="str">
            <v xml:space="preserve"> </v>
          </cell>
          <cell r="AG126"/>
          <cell r="AH126"/>
          <cell r="AI126"/>
          <cell r="AJ126"/>
          <cell r="AK126" t="str">
            <v/>
          </cell>
          <cell r="AL126"/>
          <cell r="AM126" t="str">
            <v xml:space="preserve"> </v>
          </cell>
          <cell r="AN126" t="str">
            <v xml:space="preserve"> </v>
          </cell>
          <cell r="AO126"/>
          <cell r="AP126" t="str">
            <v xml:space="preserve"> </v>
          </cell>
          <cell r="AQ126"/>
          <cell r="AR126" t="str">
            <v xml:space="preserve"> </v>
          </cell>
          <cell r="AS126" t="str">
            <v xml:space="preserve"> </v>
          </cell>
          <cell r="AT126"/>
          <cell r="AU126" t="str">
            <v xml:space="preserve"> </v>
          </cell>
          <cell r="AV126"/>
          <cell r="AW126"/>
          <cell r="AX126" t="str">
            <v xml:space="preserve"> </v>
          </cell>
          <cell r="AY126"/>
          <cell r="AZ126" t="str">
            <v xml:space="preserve"> </v>
          </cell>
          <cell r="BA126"/>
          <cell r="BB126"/>
          <cell r="BC126" t="str">
            <v xml:space="preserve"> </v>
          </cell>
          <cell r="BD126"/>
          <cell r="BE126" t="str">
            <v xml:space="preserve"> </v>
          </cell>
          <cell r="BF126"/>
          <cell r="BG126"/>
          <cell r="BH126" t="str">
            <v xml:space="preserve"> </v>
          </cell>
          <cell r="BI126"/>
          <cell r="BJ126" t="str">
            <v xml:space="preserve"> </v>
          </cell>
          <cell r="BK126"/>
          <cell r="BL126" t="str">
            <v xml:space="preserve"> </v>
          </cell>
          <cell r="BM126" t="str">
            <v xml:space="preserve"> </v>
          </cell>
          <cell r="BN126"/>
          <cell r="BO126" t="str">
            <v xml:space="preserve"> </v>
          </cell>
        </row>
        <row r="127">
          <cell r="B127">
            <v>46145</v>
          </cell>
          <cell r="C127"/>
          <cell r="D127" t="str">
            <v xml:space="preserve"> </v>
          </cell>
          <cell r="E127" t="str">
            <v xml:space="preserve"> </v>
          </cell>
          <cell r="F127"/>
          <cell r="G127" t="str">
            <v xml:space="preserve"> </v>
          </cell>
          <cell r="H127"/>
          <cell r="I127" t="str">
            <v xml:space="preserve"> </v>
          </cell>
          <cell r="J127" t="str">
            <v xml:space="preserve"> </v>
          </cell>
          <cell r="K127"/>
          <cell r="L127" t="str">
            <v xml:space="preserve"> </v>
          </cell>
          <cell r="M127"/>
          <cell r="N127" t="str">
            <v xml:space="preserve"> </v>
          </cell>
          <cell r="O127" t="str">
            <v xml:space="preserve"> </v>
          </cell>
          <cell r="P127"/>
          <cell r="Q127" t="str">
            <v xml:space="preserve"> </v>
          </cell>
          <cell r="R127"/>
          <cell r="S127" t="str">
            <v xml:space="preserve"> </v>
          </cell>
          <cell r="T127" t="str">
            <v xml:space="preserve"> </v>
          </cell>
          <cell r="U127"/>
          <cell r="V127" t="str">
            <v xml:space="preserve"> </v>
          </cell>
          <cell r="W127" t="str">
            <v xml:space="preserve"> </v>
          </cell>
          <cell r="X127"/>
          <cell r="Y127" t="str">
            <v xml:space="preserve"> </v>
          </cell>
          <cell r="Z127"/>
          <cell r="AA127" t="str">
            <v xml:space="preserve"> </v>
          </cell>
          <cell r="AB127" t="str">
            <v xml:space="preserve"> </v>
          </cell>
          <cell r="AC127"/>
          <cell r="AD127" t="str">
            <v xml:space="preserve"> </v>
          </cell>
          <cell r="AE127"/>
          <cell r="AF127" t="str">
            <v xml:space="preserve"> </v>
          </cell>
          <cell r="AG127"/>
          <cell r="AH127"/>
          <cell r="AI127"/>
          <cell r="AJ127"/>
          <cell r="AK127" t="str">
            <v/>
          </cell>
          <cell r="AL127"/>
          <cell r="AM127" t="str">
            <v xml:space="preserve"> </v>
          </cell>
          <cell r="AN127" t="str">
            <v xml:space="preserve"> </v>
          </cell>
          <cell r="AO127"/>
          <cell r="AP127" t="str">
            <v xml:space="preserve"> </v>
          </cell>
          <cell r="AQ127"/>
          <cell r="AR127" t="str">
            <v xml:space="preserve"> </v>
          </cell>
          <cell r="AS127" t="str">
            <v xml:space="preserve"> </v>
          </cell>
          <cell r="AT127"/>
          <cell r="AU127" t="str">
            <v xml:space="preserve"> </v>
          </cell>
          <cell r="AV127"/>
          <cell r="AW127"/>
          <cell r="AX127" t="str">
            <v xml:space="preserve"> </v>
          </cell>
          <cell r="AY127"/>
          <cell r="AZ127" t="str">
            <v xml:space="preserve"> </v>
          </cell>
          <cell r="BA127"/>
          <cell r="BB127"/>
          <cell r="BC127" t="str">
            <v xml:space="preserve"> </v>
          </cell>
          <cell r="BD127"/>
          <cell r="BE127" t="str">
            <v xml:space="preserve"> </v>
          </cell>
          <cell r="BF127"/>
          <cell r="BG127"/>
          <cell r="BH127" t="str">
            <v xml:space="preserve"> </v>
          </cell>
          <cell r="BI127"/>
          <cell r="BJ127" t="str">
            <v xml:space="preserve"> </v>
          </cell>
          <cell r="BK127"/>
          <cell r="BL127" t="str">
            <v xml:space="preserve"> </v>
          </cell>
          <cell r="BM127" t="str">
            <v xml:space="preserve"> </v>
          </cell>
          <cell r="BN127"/>
          <cell r="BO127" t="str">
            <v xml:space="preserve"> </v>
          </cell>
        </row>
        <row r="128">
          <cell r="B128">
            <v>46146</v>
          </cell>
          <cell r="C128"/>
          <cell r="D128" t="str">
            <v xml:space="preserve"> </v>
          </cell>
          <cell r="E128" t="str">
            <v xml:space="preserve"> </v>
          </cell>
          <cell r="F128"/>
          <cell r="G128" t="str">
            <v xml:space="preserve"> </v>
          </cell>
          <cell r="H128"/>
          <cell r="I128" t="str">
            <v xml:space="preserve"> </v>
          </cell>
          <cell r="J128" t="str">
            <v xml:space="preserve"> </v>
          </cell>
          <cell r="K128"/>
          <cell r="L128" t="str">
            <v xml:space="preserve"> </v>
          </cell>
          <cell r="M128"/>
          <cell r="N128" t="str">
            <v xml:space="preserve"> </v>
          </cell>
          <cell r="O128" t="str">
            <v xml:space="preserve"> </v>
          </cell>
          <cell r="P128"/>
          <cell r="Q128" t="str">
            <v xml:space="preserve"> </v>
          </cell>
          <cell r="R128"/>
          <cell r="S128" t="str">
            <v xml:space="preserve"> </v>
          </cell>
          <cell r="T128" t="str">
            <v xml:space="preserve"> </v>
          </cell>
          <cell r="U128"/>
          <cell r="V128" t="str">
            <v xml:space="preserve"> </v>
          </cell>
          <cell r="W128" t="str">
            <v xml:space="preserve"> </v>
          </cell>
          <cell r="X128"/>
          <cell r="Y128" t="str">
            <v xml:space="preserve"> </v>
          </cell>
          <cell r="Z128"/>
          <cell r="AA128" t="str">
            <v xml:space="preserve"> </v>
          </cell>
          <cell r="AB128" t="str">
            <v xml:space="preserve"> </v>
          </cell>
          <cell r="AC128"/>
          <cell r="AD128" t="str">
            <v xml:space="preserve"> </v>
          </cell>
          <cell r="AE128"/>
          <cell r="AF128" t="str">
            <v xml:space="preserve"> </v>
          </cell>
          <cell r="AG128"/>
          <cell r="AH128"/>
          <cell r="AI128"/>
          <cell r="AJ128"/>
          <cell r="AK128" t="str">
            <v/>
          </cell>
          <cell r="AL128"/>
          <cell r="AM128" t="str">
            <v xml:space="preserve"> </v>
          </cell>
          <cell r="AN128" t="str">
            <v xml:space="preserve"> </v>
          </cell>
          <cell r="AO128"/>
          <cell r="AP128" t="str">
            <v xml:space="preserve"> </v>
          </cell>
          <cell r="AQ128"/>
          <cell r="AR128" t="str">
            <v xml:space="preserve"> </v>
          </cell>
          <cell r="AS128" t="str">
            <v xml:space="preserve"> </v>
          </cell>
          <cell r="AT128"/>
          <cell r="AU128" t="str">
            <v xml:space="preserve"> </v>
          </cell>
          <cell r="AV128"/>
          <cell r="AW128"/>
          <cell r="AX128" t="str">
            <v xml:space="preserve"> </v>
          </cell>
          <cell r="AY128"/>
          <cell r="AZ128" t="str">
            <v xml:space="preserve"> </v>
          </cell>
          <cell r="BA128"/>
          <cell r="BB128"/>
          <cell r="BC128" t="str">
            <v xml:space="preserve"> </v>
          </cell>
          <cell r="BD128"/>
          <cell r="BE128" t="str">
            <v xml:space="preserve"> </v>
          </cell>
          <cell r="BF128"/>
          <cell r="BG128"/>
          <cell r="BH128" t="str">
            <v xml:space="preserve"> </v>
          </cell>
          <cell r="BI128"/>
          <cell r="BJ128" t="str">
            <v xml:space="preserve"> </v>
          </cell>
          <cell r="BK128"/>
          <cell r="BL128" t="str">
            <v xml:space="preserve"> </v>
          </cell>
          <cell r="BM128" t="str">
            <v xml:space="preserve"> </v>
          </cell>
          <cell r="BN128"/>
          <cell r="BO128" t="str">
            <v xml:space="preserve"> </v>
          </cell>
        </row>
        <row r="129">
          <cell r="B129">
            <v>46147</v>
          </cell>
          <cell r="C129"/>
          <cell r="D129" t="str">
            <v xml:space="preserve"> </v>
          </cell>
          <cell r="E129" t="str">
            <v xml:space="preserve"> </v>
          </cell>
          <cell r="F129"/>
          <cell r="G129" t="str">
            <v xml:space="preserve"> </v>
          </cell>
          <cell r="H129"/>
          <cell r="I129" t="str">
            <v xml:space="preserve"> </v>
          </cell>
          <cell r="J129" t="str">
            <v xml:space="preserve"> </v>
          </cell>
          <cell r="K129"/>
          <cell r="L129" t="str">
            <v xml:space="preserve"> </v>
          </cell>
          <cell r="M129"/>
          <cell r="N129" t="str">
            <v xml:space="preserve"> </v>
          </cell>
          <cell r="O129" t="str">
            <v xml:space="preserve"> </v>
          </cell>
          <cell r="P129"/>
          <cell r="Q129" t="str">
            <v xml:space="preserve"> </v>
          </cell>
          <cell r="R129"/>
          <cell r="S129" t="str">
            <v xml:space="preserve"> </v>
          </cell>
          <cell r="T129" t="str">
            <v xml:space="preserve"> </v>
          </cell>
          <cell r="U129"/>
          <cell r="V129" t="str">
            <v xml:space="preserve"> </v>
          </cell>
          <cell r="W129" t="str">
            <v xml:space="preserve"> </v>
          </cell>
          <cell r="X129"/>
          <cell r="Y129" t="str">
            <v xml:space="preserve"> </v>
          </cell>
          <cell r="Z129"/>
          <cell r="AA129" t="str">
            <v xml:space="preserve"> </v>
          </cell>
          <cell r="AB129" t="str">
            <v xml:space="preserve"> </v>
          </cell>
          <cell r="AC129"/>
          <cell r="AD129" t="str">
            <v xml:space="preserve"> </v>
          </cell>
          <cell r="AE129"/>
          <cell r="AF129" t="str">
            <v xml:space="preserve"> </v>
          </cell>
          <cell r="AG129"/>
          <cell r="AH129"/>
          <cell r="AI129"/>
          <cell r="AJ129"/>
          <cell r="AK129" t="str">
            <v/>
          </cell>
          <cell r="AL129"/>
          <cell r="AM129" t="str">
            <v xml:space="preserve"> </v>
          </cell>
          <cell r="AN129" t="str">
            <v xml:space="preserve"> </v>
          </cell>
          <cell r="AO129"/>
          <cell r="AP129" t="str">
            <v xml:space="preserve"> </v>
          </cell>
          <cell r="AQ129"/>
          <cell r="AR129" t="str">
            <v xml:space="preserve"> </v>
          </cell>
          <cell r="AS129" t="str">
            <v xml:space="preserve"> </v>
          </cell>
          <cell r="AT129"/>
          <cell r="AU129" t="str">
            <v xml:space="preserve"> </v>
          </cell>
          <cell r="AV129"/>
          <cell r="AW129"/>
          <cell r="AX129" t="str">
            <v xml:space="preserve"> </v>
          </cell>
          <cell r="AY129"/>
          <cell r="AZ129" t="str">
            <v xml:space="preserve"> </v>
          </cell>
          <cell r="BA129"/>
          <cell r="BB129"/>
          <cell r="BC129" t="str">
            <v xml:space="preserve"> </v>
          </cell>
          <cell r="BD129"/>
          <cell r="BE129" t="str">
            <v xml:space="preserve"> </v>
          </cell>
          <cell r="BF129"/>
          <cell r="BG129"/>
          <cell r="BH129" t="str">
            <v xml:space="preserve"> </v>
          </cell>
          <cell r="BI129"/>
          <cell r="BJ129" t="str">
            <v xml:space="preserve"> </v>
          </cell>
          <cell r="BK129"/>
          <cell r="BL129" t="str">
            <v xml:space="preserve"> </v>
          </cell>
          <cell r="BM129" t="str">
            <v xml:space="preserve"> </v>
          </cell>
          <cell r="BN129"/>
          <cell r="BO129" t="str">
            <v xml:space="preserve"> </v>
          </cell>
        </row>
        <row r="130">
          <cell r="B130">
            <v>46148</v>
          </cell>
          <cell r="C130"/>
          <cell r="D130" t="str">
            <v xml:space="preserve"> </v>
          </cell>
          <cell r="E130" t="str">
            <v xml:space="preserve"> </v>
          </cell>
          <cell r="F130"/>
          <cell r="G130" t="str">
            <v xml:space="preserve"> </v>
          </cell>
          <cell r="H130"/>
          <cell r="I130" t="str">
            <v xml:space="preserve"> </v>
          </cell>
          <cell r="J130" t="str">
            <v xml:space="preserve"> </v>
          </cell>
          <cell r="K130"/>
          <cell r="L130" t="str">
            <v xml:space="preserve"> </v>
          </cell>
          <cell r="M130"/>
          <cell r="N130" t="str">
            <v xml:space="preserve"> </v>
          </cell>
          <cell r="O130" t="str">
            <v xml:space="preserve"> </v>
          </cell>
          <cell r="P130"/>
          <cell r="Q130" t="str">
            <v xml:space="preserve"> </v>
          </cell>
          <cell r="R130"/>
          <cell r="S130" t="str">
            <v xml:space="preserve"> </v>
          </cell>
          <cell r="T130" t="str">
            <v xml:space="preserve"> </v>
          </cell>
          <cell r="U130"/>
          <cell r="V130" t="str">
            <v xml:space="preserve"> </v>
          </cell>
          <cell r="W130" t="str">
            <v xml:space="preserve"> </v>
          </cell>
          <cell r="X130"/>
          <cell r="Y130" t="str">
            <v xml:space="preserve"> </v>
          </cell>
          <cell r="Z130"/>
          <cell r="AA130" t="str">
            <v xml:space="preserve"> </v>
          </cell>
          <cell r="AB130" t="str">
            <v xml:space="preserve"> </v>
          </cell>
          <cell r="AC130"/>
          <cell r="AD130" t="str">
            <v xml:space="preserve"> </v>
          </cell>
          <cell r="AE130"/>
          <cell r="AF130" t="str">
            <v xml:space="preserve"> </v>
          </cell>
          <cell r="AG130"/>
          <cell r="AH130"/>
          <cell r="AI130"/>
          <cell r="AJ130"/>
          <cell r="AK130" t="str">
            <v/>
          </cell>
          <cell r="AL130"/>
          <cell r="AM130" t="str">
            <v xml:space="preserve"> </v>
          </cell>
          <cell r="AN130" t="str">
            <v xml:space="preserve"> </v>
          </cell>
          <cell r="AO130"/>
          <cell r="AP130" t="str">
            <v xml:space="preserve"> </v>
          </cell>
          <cell r="AQ130"/>
          <cell r="AR130" t="str">
            <v xml:space="preserve"> </v>
          </cell>
          <cell r="AS130" t="str">
            <v xml:space="preserve"> </v>
          </cell>
          <cell r="AT130"/>
          <cell r="AU130" t="str">
            <v xml:space="preserve"> </v>
          </cell>
          <cell r="AV130"/>
          <cell r="AW130"/>
          <cell r="AX130" t="str">
            <v xml:space="preserve"> </v>
          </cell>
          <cell r="AY130"/>
          <cell r="AZ130" t="str">
            <v xml:space="preserve"> </v>
          </cell>
          <cell r="BA130"/>
          <cell r="BB130"/>
          <cell r="BC130" t="str">
            <v xml:space="preserve"> </v>
          </cell>
          <cell r="BD130"/>
          <cell r="BE130" t="str">
            <v xml:space="preserve"> </v>
          </cell>
          <cell r="BF130"/>
          <cell r="BG130"/>
          <cell r="BH130" t="str">
            <v xml:space="preserve"> </v>
          </cell>
          <cell r="BI130"/>
          <cell r="BJ130" t="str">
            <v xml:space="preserve"> </v>
          </cell>
          <cell r="BK130"/>
          <cell r="BL130" t="str">
            <v xml:space="preserve"> </v>
          </cell>
          <cell r="BM130" t="str">
            <v xml:space="preserve"> </v>
          </cell>
          <cell r="BN130"/>
          <cell r="BO130" t="str">
            <v xml:space="preserve"> </v>
          </cell>
        </row>
        <row r="131">
          <cell r="B131">
            <v>46149</v>
          </cell>
          <cell r="C131"/>
          <cell r="D131" t="str">
            <v xml:space="preserve"> </v>
          </cell>
          <cell r="E131" t="str">
            <v xml:space="preserve"> </v>
          </cell>
          <cell r="F131"/>
          <cell r="G131" t="str">
            <v xml:space="preserve"> </v>
          </cell>
          <cell r="H131"/>
          <cell r="I131" t="str">
            <v xml:space="preserve"> </v>
          </cell>
          <cell r="J131" t="str">
            <v xml:space="preserve"> </v>
          </cell>
          <cell r="K131"/>
          <cell r="L131" t="str">
            <v xml:space="preserve"> </v>
          </cell>
          <cell r="M131"/>
          <cell r="N131" t="str">
            <v xml:space="preserve"> </v>
          </cell>
          <cell r="O131" t="str">
            <v xml:space="preserve"> </v>
          </cell>
          <cell r="P131"/>
          <cell r="Q131" t="str">
            <v xml:space="preserve"> </v>
          </cell>
          <cell r="R131"/>
          <cell r="S131" t="str">
            <v xml:space="preserve"> </v>
          </cell>
          <cell r="T131" t="str">
            <v xml:space="preserve"> </v>
          </cell>
          <cell r="U131"/>
          <cell r="V131" t="str">
            <v xml:space="preserve"> </v>
          </cell>
          <cell r="W131" t="str">
            <v xml:space="preserve"> </v>
          </cell>
          <cell r="X131"/>
          <cell r="Y131" t="str">
            <v xml:space="preserve"> </v>
          </cell>
          <cell r="Z131"/>
          <cell r="AA131" t="str">
            <v xml:space="preserve"> </v>
          </cell>
          <cell r="AB131" t="str">
            <v xml:space="preserve"> </v>
          </cell>
          <cell r="AC131"/>
          <cell r="AD131" t="str">
            <v xml:space="preserve"> </v>
          </cell>
          <cell r="AE131"/>
          <cell r="AF131" t="str">
            <v xml:space="preserve"> </v>
          </cell>
          <cell r="AG131"/>
          <cell r="AH131"/>
          <cell r="AI131"/>
          <cell r="AJ131"/>
          <cell r="AK131" t="str">
            <v/>
          </cell>
          <cell r="AL131"/>
          <cell r="AM131" t="str">
            <v xml:space="preserve"> </v>
          </cell>
          <cell r="AN131" t="str">
            <v xml:space="preserve"> </v>
          </cell>
          <cell r="AO131"/>
          <cell r="AP131" t="str">
            <v xml:space="preserve"> </v>
          </cell>
          <cell r="AQ131"/>
          <cell r="AR131" t="str">
            <v xml:space="preserve"> </v>
          </cell>
          <cell r="AS131" t="str">
            <v xml:space="preserve"> </v>
          </cell>
          <cell r="AT131"/>
          <cell r="AU131" t="str">
            <v xml:space="preserve"> </v>
          </cell>
          <cell r="AV131"/>
          <cell r="AW131"/>
          <cell r="AX131" t="str">
            <v xml:space="preserve"> </v>
          </cell>
          <cell r="AY131"/>
          <cell r="AZ131" t="str">
            <v xml:space="preserve"> </v>
          </cell>
          <cell r="BA131"/>
          <cell r="BB131"/>
          <cell r="BC131" t="str">
            <v xml:space="preserve"> </v>
          </cell>
          <cell r="BD131"/>
          <cell r="BE131" t="str">
            <v xml:space="preserve"> </v>
          </cell>
          <cell r="BF131"/>
          <cell r="BG131"/>
          <cell r="BH131" t="str">
            <v xml:space="preserve"> </v>
          </cell>
          <cell r="BI131"/>
          <cell r="BJ131" t="str">
            <v xml:space="preserve"> </v>
          </cell>
          <cell r="BK131"/>
          <cell r="BL131" t="str">
            <v xml:space="preserve"> </v>
          </cell>
          <cell r="BM131" t="str">
            <v xml:space="preserve"> </v>
          </cell>
          <cell r="BN131"/>
          <cell r="BO131" t="str">
            <v xml:space="preserve"> </v>
          </cell>
        </row>
        <row r="132">
          <cell r="B132">
            <v>46150</v>
          </cell>
          <cell r="C132"/>
          <cell r="D132" t="str">
            <v xml:space="preserve"> </v>
          </cell>
          <cell r="E132" t="str">
            <v xml:space="preserve"> </v>
          </cell>
          <cell r="F132"/>
          <cell r="G132" t="str">
            <v xml:space="preserve"> </v>
          </cell>
          <cell r="H132"/>
          <cell r="I132" t="str">
            <v xml:space="preserve"> </v>
          </cell>
          <cell r="J132" t="str">
            <v xml:space="preserve"> </v>
          </cell>
          <cell r="K132"/>
          <cell r="L132" t="str">
            <v xml:space="preserve"> </v>
          </cell>
          <cell r="M132"/>
          <cell r="N132" t="str">
            <v xml:space="preserve"> </v>
          </cell>
          <cell r="O132" t="str">
            <v xml:space="preserve"> </v>
          </cell>
          <cell r="P132"/>
          <cell r="Q132" t="str">
            <v xml:space="preserve"> </v>
          </cell>
          <cell r="R132"/>
          <cell r="S132" t="str">
            <v xml:space="preserve"> </v>
          </cell>
          <cell r="T132" t="str">
            <v xml:space="preserve"> </v>
          </cell>
          <cell r="U132"/>
          <cell r="V132" t="str">
            <v xml:space="preserve"> </v>
          </cell>
          <cell r="W132" t="str">
            <v xml:space="preserve"> </v>
          </cell>
          <cell r="X132"/>
          <cell r="Y132" t="str">
            <v xml:space="preserve"> </v>
          </cell>
          <cell r="Z132"/>
          <cell r="AA132" t="str">
            <v xml:space="preserve"> </v>
          </cell>
          <cell r="AB132" t="str">
            <v xml:space="preserve"> </v>
          </cell>
          <cell r="AC132"/>
          <cell r="AD132" t="str">
            <v xml:space="preserve"> </v>
          </cell>
          <cell r="AE132"/>
          <cell r="AF132" t="str">
            <v xml:space="preserve"> </v>
          </cell>
          <cell r="AG132"/>
          <cell r="AH132"/>
          <cell r="AI132"/>
          <cell r="AJ132"/>
          <cell r="AK132" t="str">
            <v/>
          </cell>
          <cell r="AL132"/>
          <cell r="AM132" t="str">
            <v xml:space="preserve"> </v>
          </cell>
          <cell r="AN132" t="str">
            <v xml:space="preserve"> </v>
          </cell>
          <cell r="AO132"/>
          <cell r="AP132" t="str">
            <v xml:space="preserve"> </v>
          </cell>
          <cell r="AQ132"/>
          <cell r="AR132" t="str">
            <v xml:space="preserve"> </v>
          </cell>
          <cell r="AS132" t="str">
            <v xml:space="preserve"> </v>
          </cell>
          <cell r="AT132"/>
          <cell r="AU132" t="str">
            <v xml:space="preserve"> </v>
          </cell>
          <cell r="AV132"/>
          <cell r="AW132"/>
          <cell r="AX132" t="str">
            <v xml:space="preserve"> </v>
          </cell>
          <cell r="AY132"/>
          <cell r="AZ132" t="str">
            <v xml:space="preserve"> </v>
          </cell>
          <cell r="BA132"/>
          <cell r="BB132"/>
          <cell r="BC132" t="str">
            <v xml:space="preserve"> </v>
          </cell>
          <cell r="BD132"/>
          <cell r="BE132" t="str">
            <v xml:space="preserve"> </v>
          </cell>
          <cell r="BF132"/>
          <cell r="BG132"/>
          <cell r="BH132" t="str">
            <v xml:space="preserve"> </v>
          </cell>
          <cell r="BI132"/>
          <cell r="BJ132" t="str">
            <v xml:space="preserve"> </v>
          </cell>
          <cell r="BK132"/>
          <cell r="BL132" t="str">
            <v xml:space="preserve"> </v>
          </cell>
          <cell r="BM132" t="str">
            <v xml:space="preserve"> </v>
          </cell>
          <cell r="BN132"/>
          <cell r="BO132" t="str">
            <v xml:space="preserve"> </v>
          </cell>
        </row>
        <row r="133">
          <cell r="B133">
            <v>46151</v>
          </cell>
          <cell r="C133"/>
          <cell r="D133" t="str">
            <v xml:space="preserve"> </v>
          </cell>
          <cell r="E133" t="str">
            <v xml:space="preserve"> </v>
          </cell>
          <cell r="F133"/>
          <cell r="G133" t="str">
            <v xml:space="preserve"> </v>
          </cell>
          <cell r="H133"/>
          <cell r="I133" t="str">
            <v xml:space="preserve"> </v>
          </cell>
          <cell r="J133" t="str">
            <v xml:space="preserve"> </v>
          </cell>
          <cell r="K133"/>
          <cell r="L133" t="str">
            <v xml:space="preserve"> </v>
          </cell>
          <cell r="M133"/>
          <cell r="N133" t="str">
            <v xml:space="preserve"> </v>
          </cell>
          <cell r="O133" t="str">
            <v xml:space="preserve"> </v>
          </cell>
          <cell r="P133"/>
          <cell r="Q133" t="str">
            <v xml:space="preserve"> </v>
          </cell>
          <cell r="R133"/>
          <cell r="S133" t="str">
            <v xml:space="preserve"> </v>
          </cell>
          <cell r="T133" t="str">
            <v xml:space="preserve"> </v>
          </cell>
          <cell r="U133"/>
          <cell r="V133" t="str">
            <v xml:space="preserve"> </v>
          </cell>
          <cell r="W133" t="str">
            <v xml:space="preserve"> </v>
          </cell>
          <cell r="X133"/>
          <cell r="Y133" t="str">
            <v xml:space="preserve"> </v>
          </cell>
          <cell r="Z133"/>
          <cell r="AA133" t="str">
            <v xml:space="preserve"> </v>
          </cell>
          <cell r="AB133" t="str">
            <v xml:space="preserve"> </v>
          </cell>
          <cell r="AC133"/>
          <cell r="AD133" t="str">
            <v xml:space="preserve"> </v>
          </cell>
          <cell r="AE133"/>
          <cell r="AF133" t="str">
            <v xml:space="preserve"> </v>
          </cell>
          <cell r="AG133"/>
          <cell r="AH133"/>
          <cell r="AI133"/>
          <cell r="AJ133"/>
          <cell r="AK133" t="str">
            <v/>
          </cell>
          <cell r="AL133"/>
          <cell r="AM133" t="str">
            <v xml:space="preserve"> </v>
          </cell>
          <cell r="AN133" t="str">
            <v xml:space="preserve"> </v>
          </cell>
          <cell r="AO133"/>
          <cell r="AP133" t="str">
            <v xml:space="preserve"> </v>
          </cell>
          <cell r="AQ133"/>
          <cell r="AR133" t="str">
            <v xml:space="preserve"> </v>
          </cell>
          <cell r="AS133" t="str">
            <v xml:space="preserve"> </v>
          </cell>
          <cell r="AT133"/>
          <cell r="AU133" t="str">
            <v xml:space="preserve"> </v>
          </cell>
          <cell r="AV133"/>
          <cell r="AW133"/>
          <cell r="AX133" t="str">
            <v xml:space="preserve"> </v>
          </cell>
          <cell r="AY133"/>
          <cell r="AZ133" t="str">
            <v xml:space="preserve"> </v>
          </cell>
          <cell r="BA133"/>
          <cell r="BB133"/>
          <cell r="BC133" t="str">
            <v xml:space="preserve"> </v>
          </cell>
          <cell r="BD133"/>
          <cell r="BE133" t="str">
            <v xml:space="preserve"> </v>
          </cell>
          <cell r="BF133"/>
          <cell r="BG133"/>
          <cell r="BH133" t="str">
            <v xml:space="preserve"> </v>
          </cell>
          <cell r="BI133"/>
          <cell r="BJ133" t="str">
            <v xml:space="preserve"> </v>
          </cell>
          <cell r="BK133"/>
          <cell r="BL133" t="str">
            <v xml:space="preserve"> </v>
          </cell>
          <cell r="BM133" t="str">
            <v xml:space="preserve"> </v>
          </cell>
          <cell r="BN133"/>
          <cell r="BO133" t="str">
            <v xml:space="preserve"> </v>
          </cell>
        </row>
        <row r="134">
          <cell r="B134">
            <v>46152</v>
          </cell>
          <cell r="C134"/>
          <cell r="D134" t="str">
            <v xml:space="preserve"> </v>
          </cell>
          <cell r="E134" t="str">
            <v xml:space="preserve"> </v>
          </cell>
          <cell r="F134"/>
          <cell r="G134" t="str">
            <v xml:space="preserve"> </v>
          </cell>
          <cell r="H134"/>
          <cell r="I134" t="str">
            <v xml:space="preserve"> </v>
          </cell>
          <cell r="J134" t="str">
            <v xml:space="preserve"> </v>
          </cell>
          <cell r="K134"/>
          <cell r="L134" t="str">
            <v xml:space="preserve"> </v>
          </cell>
          <cell r="M134"/>
          <cell r="N134" t="str">
            <v xml:space="preserve"> </v>
          </cell>
          <cell r="O134" t="str">
            <v xml:space="preserve"> </v>
          </cell>
          <cell r="P134"/>
          <cell r="Q134" t="str">
            <v xml:space="preserve"> </v>
          </cell>
          <cell r="R134"/>
          <cell r="S134" t="str">
            <v xml:space="preserve"> </v>
          </cell>
          <cell r="T134" t="str">
            <v xml:space="preserve"> </v>
          </cell>
          <cell r="U134"/>
          <cell r="V134" t="str">
            <v xml:space="preserve"> </v>
          </cell>
          <cell r="W134" t="str">
            <v xml:space="preserve"> </v>
          </cell>
          <cell r="X134"/>
          <cell r="Y134" t="str">
            <v xml:space="preserve"> </v>
          </cell>
          <cell r="Z134"/>
          <cell r="AA134" t="str">
            <v xml:space="preserve"> </v>
          </cell>
          <cell r="AB134" t="str">
            <v xml:space="preserve"> </v>
          </cell>
          <cell r="AC134"/>
          <cell r="AD134" t="str">
            <v xml:space="preserve"> </v>
          </cell>
          <cell r="AE134"/>
          <cell r="AF134" t="str">
            <v xml:space="preserve"> </v>
          </cell>
          <cell r="AG134"/>
          <cell r="AH134"/>
          <cell r="AI134"/>
          <cell r="AJ134"/>
          <cell r="AK134" t="str">
            <v/>
          </cell>
          <cell r="AL134"/>
          <cell r="AM134" t="str">
            <v xml:space="preserve"> </v>
          </cell>
          <cell r="AN134" t="str">
            <v xml:space="preserve"> </v>
          </cell>
          <cell r="AO134"/>
          <cell r="AP134" t="str">
            <v xml:space="preserve"> </v>
          </cell>
          <cell r="AQ134"/>
          <cell r="AR134" t="str">
            <v xml:space="preserve"> </v>
          </cell>
          <cell r="AS134" t="str">
            <v xml:space="preserve"> </v>
          </cell>
          <cell r="AT134"/>
          <cell r="AU134" t="str">
            <v xml:space="preserve"> </v>
          </cell>
          <cell r="AV134"/>
          <cell r="AW134"/>
          <cell r="AX134" t="str">
            <v xml:space="preserve"> </v>
          </cell>
          <cell r="AY134"/>
          <cell r="AZ134" t="str">
            <v xml:space="preserve"> </v>
          </cell>
          <cell r="BA134"/>
          <cell r="BB134"/>
          <cell r="BC134" t="str">
            <v xml:space="preserve"> </v>
          </cell>
          <cell r="BD134"/>
          <cell r="BE134" t="str">
            <v xml:space="preserve"> </v>
          </cell>
          <cell r="BF134"/>
          <cell r="BG134"/>
          <cell r="BH134" t="str">
            <v xml:space="preserve"> </v>
          </cell>
          <cell r="BI134"/>
          <cell r="BJ134" t="str">
            <v xml:space="preserve"> </v>
          </cell>
          <cell r="BK134"/>
          <cell r="BL134" t="str">
            <v xml:space="preserve"> </v>
          </cell>
          <cell r="BM134" t="str">
            <v xml:space="preserve"> </v>
          </cell>
          <cell r="BN134"/>
          <cell r="BO134" t="str">
            <v xml:space="preserve"> </v>
          </cell>
        </row>
        <row r="135">
          <cell r="B135">
            <v>46153</v>
          </cell>
          <cell r="C135"/>
          <cell r="D135" t="str">
            <v xml:space="preserve"> </v>
          </cell>
          <cell r="E135" t="str">
            <v xml:space="preserve"> </v>
          </cell>
          <cell r="F135"/>
          <cell r="G135" t="str">
            <v xml:space="preserve"> </v>
          </cell>
          <cell r="H135"/>
          <cell r="I135" t="str">
            <v xml:space="preserve"> </v>
          </cell>
          <cell r="J135" t="str">
            <v xml:space="preserve"> </v>
          </cell>
          <cell r="K135"/>
          <cell r="L135" t="str">
            <v xml:space="preserve"> </v>
          </cell>
          <cell r="M135"/>
          <cell r="N135" t="str">
            <v xml:space="preserve"> </v>
          </cell>
          <cell r="O135" t="str">
            <v xml:space="preserve"> </v>
          </cell>
          <cell r="P135"/>
          <cell r="Q135" t="str">
            <v xml:space="preserve"> </v>
          </cell>
          <cell r="R135"/>
          <cell r="S135" t="str">
            <v xml:space="preserve"> </v>
          </cell>
          <cell r="T135" t="str">
            <v xml:space="preserve"> </v>
          </cell>
          <cell r="U135"/>
          <cell r="V135" t="str">
            <v xml:space="preserve"> </v>
          </cell>
          <cell r="W135" t="str">
            <v xml:space="preserve"> </v>
          </cell>
          <cell r="X135"/>
          <cell r="Y135" t="str">
            <v xml:space="preserve"> </v>
          </cell>
          <cell r="Z135"/>
          <cell r="AA135" t="str">
            <v xml:space="preserve"> </v>
          </cell>
          <cell r="AB135" t="str">
            <v xml:space="preserve"> </v>
          </cell>
          <cell r="AC135"/>
          <cell r="AD135" t="str">
            <v xml:space="preserve"> </v>
          </cell>
          <cell r="AE135"/>
          <cell r="AF135" t="str">
            <v xml:space="preserve"> </v>
          </cell>
          <cell r="AG135"/>
          <cell r="AH135"/>
          <cell r="AI135"/>
          <cell r="AJ135"/>
          <cell r="AK135" t="str">
            <v/>
          </cell>
          <cell r="AL135"/>
          <cell r="AM135" t="str">
            <v xml:space="preserve"> </v>
          </cell>
          <cell r="AN135" t="str">
            <v xml:space="preserve"> </v>
          </cell>
          <cell r="AO135"/>
          <cell r="AP135" t="str">
            <v xml:space="preserve"> </v>
          </cell>
          <cell r="AQ135"/>
          <cell r="AR135" t="str">
            <v xml:space="preserve"> </v>
          </cell>
          <cell r="AS135" t="str">
            <v xml:space="preserve"> </v>
          </cell>
          <cell r="AT135"/>
          <cell r="AU135" t="str">
            <v xml:space="preserve"> </v>
          </cell>
          <cell r="AV135"/>
          <cell r="AW135"/>
          <cell r="AX135" t="str">
            <v xml:space="preserve"> </v>
          </cell>
          <cell r="AY135"/>
          <cell r="AZ135" t="str">
            <v xml:space="preserve"> </v>
          </cell>
          <cell r="BA135"/>
          <cell r="BB135"/>
          <cell r="BC135" t="str">
            <v xml:space="preserve"> </v>
          </cell>
          <cell r="BD135"/>
          <cell r="BE135" t="str">
            <v xml:space="preserve"> </v>
          </cell>
          <cell r="BF135"/>
          <cell r="BG135"/>
          <cell r="BH135" t="str">
            <v xml:space="preserve"> </v>
          </cell>
          <cell r="BI135"/>
          <cell r="BJ135" t="str">
            <v xml:space="preserve"> </v>
          </cell>
          <cell r="BK135"/>
          <cell r="BL135" t="str">
            <v xml:space="preserve"> </v>
          </cell>
          <cell r="BM135" t="str">
            <v xml:space="preserve"> </v>
          </cell>
          <cell r="BN135"/>
          <cell r="BO135" t="str">
            <v xml:space="preserve"> </v>
          </cell>
        </row>
        <row r="136">
          <cell r="B136">
            <v>46154</v>
          </cell>
          <cell r="C136"/>
          <cell r="D136" t="str">
            <v xml:space="preserve"> </v>
          </cell>
          <cell r="E136" t="str">
            <v xml:space="preserve"> </v>
          </cell>
          <cell r="F136"/>
          <cell r="G136" t="str">
            <v xml:space="preserve"> </v>
          </cell>
          <cell r="H136"/>
          <cell r="I136" t="str">
            <v xml:space="preserve"> </v>
          </cell>
          <cell r="J136" t="str">
            <v xml:space="preserve"> </v>
          </cell>
          <cell r="K136"/>
          <cell r="L136" t="str">
            <v xml:space="preserve"> </v>
          </cell>
          <cell r="M136"/>
          <cell r="N136" t="str">
            <v xml:space="preserve"> </v>
          </cell>
          <cell r="O136" t="str">
            <v xml:space="preserve"> </v>
          </cell>
          <cell r="P136"/>
          <cell r="Q136" t="str">
            <v xml:space="preserve"> </v>
          </cell>
          <cell r="R136"/>
          <cell r="S136" t="str">
            <v xml:space="preserve"> </v>
          </cell>
          <cell r="T136" t="str">
            <v xml:space="preserve"> </v>
          </cell>
          <cell r="U136"/>
          <cell r="V136" t="str">
            <v xml:space="preserve"> </v>
          </cell>
          <cell r="W136" t="str">
            <v xml:space="preserve"> </v>
          </cell>
          <cell r="X136"/>
          <cell r="Y136" t="str">
            <v xml:space="preserve"> </v>
          </cell>
          <cell r="Z136"/>
          <cell r="AA136" t="str">
            <v xml:space="preserve"> </v>
          </cell>
          <cell r="AB136" t="str">
            <v xml:space="preserve"> </v>
          </cell>
          <cell r="AC136"/>
          <cell r="AD136" t="str">
            <v xml:space="preserve"> </v>
          </cell>
          <cell r="AE136"/>
          <cell r="AF136" t="str">
            <v xml:space="preserve"> </v>
          </cell>
          <cell r="AG136"/>
          <cell r="AH136"/>
          <cell r="AI136"/>
          <cell r="AJ136"/>
          <cell r="AK136" t="str">
            <v/>
          </cell>
          <cell r="AL136"/>
          <cell r="AM136" t="str">
            <v xml:space="preserve"> </v>
          </cell>
          <cell r="AN136" t="str">
            <v xml:space="preserve"> </v>
          </cell>
          <cell r="AO136"/>
          <cell r="AP136" t="str">
            <v xml:space="preserve"> </v>
          </cell>
          <cell r="AQ136"/>
          <cell r="AR136" t="str">
            <v xml:space="preserve"> </v>
          </cell>
          <cell r="AS136" t="str">
            <v xml:space="preserve"> </v>
          </cell>
          <cell r="AT136"/>
          <cell r="AU136" t="str">
            <v xml:space="preserve"> </v>
          </cell>
          <cell r="AV136"/>
          <cell r="AW136"/>
          <cell r="AX136" t="str">
            <v xml:space="preserve"> </v>
          </cell>
          <cell r="AY136"/>
          <cell r="AZ136" t="str">
            <v xml:space="preserve"> </v>
          </cell>
          <cell r="BA136"/>
          <cell r="BB136"/>
          <cell r="BC136" t="str">
            <v xml:space="preserve"> </v>
          </cell>
          <cell r="BD136"/>
          <cell r="BE136" t="str">
            <v xml:space="preserve"> </v>
          </cell>
          <cell r="BF136"/>
          <cell r="BG136"/>
          <cell r="BH136" t="str">
            <v xml:space="preserve"> </v>
          </cell>
          <cell r="BI136"/>
          <cell r="BJ136" t="str">
            <v xml:space="preserve"> </v>
          </cell>
          <cell r="BK136"/>
          <cell r="BL136" t="str">
            <v xml:space="preserve"> </v>
          </cell>
          <cell r="BM136" t="str">
            <v xml:space="preserve"> </v>
          </cell>
          <cell r="BN136"/>
          <cell r="BO136" t="str">
            <v xml:space="preserve"> </v>
          </cell>
        </row>
        <row r="137">
          <cell r="B137">
            <v>46155</v>
          </cell>
          <cell r="C137"/>
          <cell r="D137" t="str">
            <v xml:space="preserve"> </v>
          </cell>
          <cell r="E137" t="str">
            <v xml:space="preserve"> </v>
          </cell>
          <cell r="F137"/>
          <cell r="G137" t="str">
            <v xml:space="preserve"> </v>
          </cell>
          <cell r="H137"/>
          <cell r="I137" t="str">
            <v xml:space="preserve"> </v>
          </cell>
          <cell r="J137" t="str">
            <v xml:space="preserve"> </v>
          </cell>
          <cell r="K137"/>
          <cell r="L137" t="str">
            <v xml:space="preserve"> </v>
          </cell>
          <cell r="M137"/>
          <cell r="N137" t="str">
            <v xml:space="preserve"> </v>
          </cell>
          <cell r="O137" t="str">
            <v xml:space="preserve"> </v>
          </cell>
          <cell r="P137"/>
          <cell r="Q137" t="str">
            <v xml:space="preserve"> </v>
          </cell>
          <cell r="R137"/>
          <cell r="S137" t="str">
            <v xml:space="preserve"> </v>
          </cell>
          <cell r="T137" t="str">
            <v xml:space="preserve"> </v>
          </cell>
          <cell r="U137"/>
          <cell r="V137" t="str">
            <v xml:space="preserve"> </v>
          </cell>
          <cell r="W137" t="str">
            <v xml:space="preserve"> </v>
          </cell>
          <cell r="X137"/>
          <cell r="Y137" t="str">
            <v xml:space="preserve"> </v>
          </cell>
          <cell r="Z137"/>
          <cell r="AA137" t="str">
            <v xml:space="preserve"> </v>
          </cell>
          <cell r="AB137" t="str">
            <v xml:space="preserve"> </v>
          </cell>
          <cell r="AC137"/>
          <cell r="AD137" t="str">
            <v xml:space="preserve"> </v>
          </cell>
          <cell r="AE137"/>
          <cell r="AF137" t="str">
            <v xml:space="preserve"> </v>
          </cell>
          <cell r="AG137"/>
          <cell r="AH137"/>
          <cell r="AI137"/>
          <cell r="AJ137"/>
          <cell r="AK137" t="str">
            <v/>
          </cell>
          <cell r="AL137"/>
          <cell r="AM137" t="str">
            <v xml:space="preserve"> </v>
          </cell>
          <cell r="AN137" t="str">
            <v xml:space="preserve"> </v>
          </cell>
          <cell r="AO137"/>
          <cell r="AP137" t="str">
            <v xml:space="preserve"> </v>
          </cell>
          <cell r="AQ137"/>
          <cell r="AR137" t="str">
            <v xml:space="preserve"> </v>
          </cell>
          <cell r="AS137" t="str">
            <v xml:space="preserve"> </v>
          </cell>
          <cell r="AT137"/>
          <cell r="AU137" t="str">
            <v xml:space="preserve"> </v>
          </cell>
          <cell r="AV137"/>
          <cell r="AW137"/>
          <cell r="AX137" t="str">
            <v xml:space="preserve"> </v>
          </cell>
          <cell r="AY137"/>
          <cell r="AZ137" t="str">
            <v xml:space="preserve"> </v>
          </cell>
          <cell r="BA137"/>
          <cell r="BB137"/>
          <cell r="BC137" t="str">
            <v xml:space="preserve"> </v>
          </cell>
          <cell r="BD137"/>
          <cell r="BE137" t="str">
            <v xml:space="preserve"> </v>
          </cell>
          <cell r="BF137"/>
          <cell r="BG137"/>
          <cell r="BH137" t="str">
            <v xml:space="preserve"> </v>
          </cell>
          <cell r="BI137"/>
          <cell r="BJ137" t="str">
            <v xml:space="preserve"> </v>
          </cell>
          <cell r="BK137"/>
          <cell r="BL137" t="str">
            <v xml:space="preserve"> </v>
          </cell>
          <cell r="BM137" t="str">
            <v xml:space="preserve"> </v>
          </cell>
          <cell r="BN137"/>
          <cell r="BO137" t="str">
            <v xml:space="preserve"> </v>
          </cell>
        </row>
        <row r="138">
          <cell r="B138">
            <v>46156</v>
          </cell>
          <cell r="C138"/>
          <cell r="D138" t="str">
            <v xml:space="preserve"> </v>
          </cell>
          <cell r="E138" t="str">
            <v xml:space="preserve"> </v>
          </cell>
          <cell r="F138"/>
          <cell r="G138" t="str">
            <v xml:space="preserve"> </v>
          </cell>
          <cell r="H138"/>
          <cell r="I138" t="str">
            <v xml:space="preserve"> </v>
          </cell>
          <cell r="J138" t="str">
            <v xml:space="preserve"> </v>
          </cell>
          <cell r="K138"/>
          <cell r="L138" t="str">
            <v xml:space="preserve"> </v>
          </cell>
          <cell r="M138"/>
          <cell r="N138" t="str">
            <v xml:space="preserve"> </v>
          </cell>
          <cell r="O138" t="str">
            <v xml:space="preserve"> </v>
          </cell>
          <cell r="P138"/>
          <cell r="Q138" t="str">
            <v xml:space="preserve"> </v>
          </cell>
          <cell r="R138"/>
          <cell r="S138" t="str">
            <v xml:space="preserve"> </v>
          </cell>
          <cell r="T138" t="str">
            <v xml:space="preserve"> </v>
          </cell>
          <cell r="U138"/>
          <cell r="V138" t="str">
            <v xml:space="preserve"> </v>
          </cell>
          <cell r="W138" t="str">
            <v xml:space="preserve"> </v>
          </cell>
          <cell r="X138"/>
          <cell r="Y138" t="str">
            <v xml:space="preserve"> </v>
          </cell>
          <cell r="Z138"/>
          <cell r="AA138" t="str">
            <v xml:space="preserve"> </v>
          </cell>
          <cell r="AB138" t="str">
            <v xml:space="preserve"> </v>
          </cell>
          <cell r="AC138"/>
          <cell r="AD138" t="str">
            <v xml:space="preserve"> </v>
          </cell>
          <cell r="AE138"/>
          <cell r="AF138" t="str">
            <v xml:space="preserve"> </v>
          </cell>
          <cell r="AG138"/>
          <cell r="AH138"/>
          <cell r="AI138"/>
          <cell r="AJ138"/>
          <cell r="AK138" t="str">
            <v/>
          </cell>
          <cell r="AL138"/>
          <cell r="AM138" t="str">
            <v xml:space="preserve"> </v>
          </cell>
          <cell r="AN138" t="str">
            <v xml:space="preserve"> </v>
          </cell>
          <cell r="AO138"/>
          <cell r="AP138" t="str">
            <v xml:space="preserve"> </v>
          </cell>
          <cell r="AQ138"/>
          <cell r="AR138" t="str">
            <v xml:space="preserve"> </v>
          </cell>
          <cell r="AS138" t="str">
            <v xml:space="preserve"> </v>
          </cell>
          <cell r="AT138"/>
          <cell r="AU138" t="str">
            <v xml:space="preserve"> </v>
          </cell>
          <cell r="AV138"/>
          <cell r="AW138"/>
          <cell r="AX138" t="str">
            <v xml:space="preserve"> </v>
          </cell>
          <cell r="AY138"/>
          <cell r="AZ138" t="str">
            <v xml:space="preserve"> </v>
          </cell>
          <cell r="BA138"/>
          <cell r="BB138"/>
          <cell r="BC138" t="str">
            <v xml:space="preserve"> </v>
          </cell>
          <cell r="BD138"/>
          <cell r="BE138" t="str">
            <v xml:space="preserve"> </v>
          </cell>
          <cell r="BF138"/>
          <cell r="BG138"/>
          <cell r="BH138" t="str">
            <v xml:space="preserve"> </v>
          </cell>
          <cell r="BI138"/>
          <cell r="BJ138" t="str">
            <v xml:space="preserve"> </v>
          </cell>
          <cell r="BK138"/>
          <cell r="BL138" t="str">
            <v xml:space="preserve"> </v>
          </cell>
          <cell r="BM138" t="str">
            <v xml:space="preserve"> </v>
          </cell>
          <cell r="BN138"/>
          <cell r="BO138" t="str">
            <v xml:space="preserve"> </v>
          </cell>
        </row>
        <row r="139">
          <cell r="B139">
            <v>46157</v>
          </cell>
          <cell r="C139"/>
          <cell r="D139" t="str">
            <v xml:space="preserve"> </v>
          </cell>
          <cell r="E139" t="str">
            <v xml:space="preserve"> </v>
          </cell>
          <cell r="F139"/>
          <cell r="G139" t="str">
            <v xml:space="preserve"> </v>
          </cell>
          <cell r="H139"/>
          <cell r="I139" t="str">
            <v xml:space="preserve"> </v>
          </cell>
          <cell r="J139" t="str">
            <v xml:space="preserve"> </v>
          </cell>
          <cell r="K139"/>
          <cell r="L139" t="str">
            <v xml:space="preserve"> </v>
          </cell>
          <cell r="M139"/>
          <cell r="N139" t="str">
            <v xml:space="preserve"> </v>
          </cell>
          <cell r="O139" t="str">
            <v xml:space="preserve"> </v>
          </cell>
          <cell r="P139"/>
          <cell r="Q139" t="str">
            <v xml:space="preserve"> </v>
          </cell>
          <cell r="R139"/>
          <cell r="S139" t="str">
            <v xml:space="preserve"> </v>
          </cell>
          <cell r="T139" t="str">
            <v xml:space="preserve"> </v>
          </cell>
          <cell r="U139"/>
          <cell r="V139" t="str">
            <v xml:space="preserve"> </v>
          </cell>
          <cell r="W139" t="str">
            <v xml:space="preserve"> </v>
          </cell>
          <cell r="X139"/>
          <cell r="Y139" t="str">
            <v xml:space="preserve"> </v>
          </cell>
          <cell r="Z139"/>
          <cell r="AA139" t="str">
            <v xml:space="preserve"> </v>
          </cell>
          <cell r="AB139" t="str">
            <v xml:space="preserve"> </v>
          </cell>
          <cell r="AC139"/>
          <cell r="AD139" t="str">
            <v xml:space="preserve"> </v>
          </cell>
          <cell r="AE139"/>
          <cell r="AF139" t="str">
            <v xml:space="preserve"> </v>
          </cell>
          <cell r="AG139"/>
          <cell r="AH139"/>
          <cell r="AI139"/>
          <cell r="AJ139"/>
          <cell r="AK139" t="str">
            <v/>
          </cell>
          <cell r="AL139"/>
          <cell r="AM139" t="str">
            <v xml:space="preserve"> </v>
          </cell>
          <cell r="AN139" t="str">
            <v xml:space="preserve"> </v>
          </cell>
          <cell r="AO139"/>
          <cell r="AP139" t="str">
            <v xml:space="preserve"> </v>
          </cell>
          <cell r="AQ139"/>
          <cell r="AR139" t="str">
            <v xml:space="preserve"> </v>
          </cell>
          <cell r="AS139" t="str">
            <v xml:space="preserve"> </v>
          </cell>
          <cell r="AT139"/>
          <cell r="AU139" t="str">
            <v xml:space="preserve"> </v>
          </cell>
          <cell r="AV139"/>
          <cell r="AW139"/>
          <cell r="AX139" t="str">
            <v xml:space="preserve"> </v>
          </cell>
          <cell r="AY139"/>
          <cell r="AZ139" t="str">
            <v xml:space="preserve"> </v>
          </cell>
          <cell r="BA139"/>
          <cell r="BB139"/>
          <cell r="BC139" t="str">
            <v xml:space="preserve"> </v>
          </cell>
          <cell r="BD139"/>
          <cell r="BE139" t="str">
            <v xml:space="preserve"> </v>
          </cell>
          <cell r="BF139"/>
          <cell r="BG139"/>
          <cell r="BH139" t="str">
            <v xml:space="preserve"> </v>
          </cell>
          <cell r="BI139"/>
          <cell r="BJ139" t="str">
            <v xml:space="preserve"> </v>
          </cell>
          <cell r="BK139"/>
          <cell r="BL139" t="str">
            <v xml:space="preserve"> </v>
          </cell>
          <cell r="BM139" t="str">
            <v xml:space="preserve"> </v>
          </cell>
          <cell r="BN139"/>
          <cell r="BO139" t="str">
            <v xml:space="preserve"> </v>
          </cell>
        </row>
        <row r="140">
          <cell r="B140">
            <v>46158</v>
          </cell>
          <cell r="C140"/>
          <cell r="D140" t="str">
            <v xml:space="preserve"> </v>
          </cell>
          <cell r="E140" t="str">
            <v xml:space="preserve"> </v>
          </cell>
          <cell r="F140"/>
          <cell r="G140" t="str">
            <v xml:space="preserve"> </v>
          </cell>
          <cell r="H140"/>
          <cell r="I140" t="str">
            <v xml:space="preserve"> </v>
          </cell>
          <cell r="J140" t="str">
            <v xml:space="preserve"> </v>
          </cell>
          <cell r="K140"/>
          <cell r="L140" t="str">
            <v xml:space="preserve"> </v>
          </cell>
          <cell r="M140"/>
          <cell r="N140" t="str">
            <v xml:space="preserve"> </v>
          </cell>
          <cell r="O140" t="str">
            <v xml:space="preserve"> </v>
          </cell>
          <cell r="P140"/>
          <cell r="Q140" t="str">
            <v xml:space="preserve"> </v>
          </cell>
          <cell r="R140"/>
          <cell r="S140" t="str">
            <v xml:space="preserve"> </v>
          </cell>
          <cell r="T140" t="str">
            <v xml:space="preserve"> </v>
          </cell>
          <cell r="U140"/>
          <cell r="V140" t="str">
            <v xml:space="preserve"> </v>
          </cell>
          <cell r="W140" t="str">
            <v xml:space="preserve"> </v>
          </cell>
          <cell r="X140"/>
          <cell r="Y140" t="str">
            <v xml:space="preserve"> </v>
          </cell>
          <cell r="Z140"/>
          <cell r="AA140" t="str">
            <v xml:space="preserve"> </v>
          </cell>
          <cell r="AB140" t="str">
            <v xml:space="preserve"> </v>
          </cell>
          <cell r="AC140"/>
          <cell r="AD140" t="str">
            <v xml:space="preserve"> </v>
          </cell>
          <cell r="AE140"/>
          <cell r="AF140" t="str">
            <v xml:space="preserve"> </v>
          </cell>
          <cell r="AG140"/>
          <cell r="AH140"/>
          <cell r="AI140"/>
          <cell r="AJ140"/>
          <cell r="AK140" t="str">
            <v/>
          </cell>
          <cell r="AL140"/>
          <cell r="AM140" t="str">
            <v xml:space="preserve"> </v>
          </cell>
          <cell r="AN140" t="str">
            <v xml:space="preserve"> </v>
          </cell>
          <cell r="AO140"/>
          <cell r="AP140" t="str">
            <v xml:space="preserve"> </v>
          </cell>
          <cell r="AQ140"/>
          <cell r="AR140" t="str">
            <v xml:space="preserve"> </v>
          </cell>
          <cell r="AS140" t="str">
            <v xml:space="preserve"> </v>
          </cell>
          <cell r="AT140"/>
          <cell r="AU140" t="str">
            <v xml:space="preserve"> </v>
          </cell>
          <cell r="AV140"/>
          <cell r="AW140"/>
          <cell r="AX140" t="str">
            <v xml:space="preserve"> </v>
          </cell>
          <cell r="AY140"/>
          <cell r="AZ140" t="str">
            <v xml:space="preserve"> </v>
          </cell>
          <cell r="BA140"/>
          <cell r="BB140"/>
          <cell r="BC140" t="str">
            <v xml:space="preserve"> </v>
          </cell>
          <cell r="BD140"/>
          <cell r="BE140" t="str">
            <v xml:space="preserve"> </v>
          </cell>
          <cell r="BF140"/>
          <cell r="BG140"/>
          <cell r="BH140" t="str">
            <v xml:space="preserve"> </v>
          </cell>
          <cell r="BI140"/>
          <cell r="BJ140" t="str">
            <v xml:space="preserve"> </v>
          </cell>
          <cell r="BK140"/>
          <cell r="BL140" t="str">
            <v xml:space="preserve"> </v>
          </cell>
          <cell r="BM140" t="str">
            <v xml:space="preserve"> </v>
          </cell>
          <cell r="BN140"/>
          <cell r="BO140" t="str">
            <v xml:space="preserve"> </v>
          </cell>
        </row>
        <row r="141">
          <cell r="B141">
            <v>46159</v>
          </cell>
          <cell r="C141"/>
          <cell r="D141" t="str">
            <v xml:space="preserve"> </v>
          </cell>
          <cell r="E141" t="str">
            <v xml:space="preserve"> </v>
          </cell>
          <cell r="F141"/>
          <cell r="G141" t="str">
            <v xml:space="preserve"> </v>
          </cell>
          <cell r="H141"/>
          <cell r="I141" t="str">
            <v xml:space="preserve"> </v>
          </cell>
          <cell r="J141" t="str">
            <v xml:space="preserve"> </v>
          </cell>
          <cell r="K141"/>
          <cell r="L141" t="str">
            <v xml:space="preserve"> </v>
          </cell>
          <cell r="M141"/>
          <cell r="N141" t="str">
            <v xml:space="preserve"> </v>
          </cell>
          <cell r="O141" t="str">
            <v xml:space="preserve"> </v>
          </cell>
          <cell r="P141"/>
          <cell r="Q141" t="str">
            <v xml:space="preserve"> </v>
          </cell>
          <cell r="R141"/>
          <cell r="S141" t="str">
            <v xml:space="preserve"> </v>
          </cell>
          <cell r="T141" t="str">
            <v xml:space="preserve"> </v>
          </cell>
          <cell r="U141"/>
          <cell r="V141" t="str">
            <v xml:space="preserve"> </v>
          </cell>
          <cell r="W141" t="str">
            <v xml:space="preserve"> </v>
          </cell>
          <cell r="X141"/>
          <cell r="Y141" t="str">
            <v xml:space="preserve"> </v>
          </cell>
          <cell r="Z141"/>
          <cell r="AA141" t="str">
            <v xml:space="preserve"> </v>
          </cell>
          <cell r="AB141" t="str">
            <v xml:space="preserve"> </v>
          </cell>
          <cell r="AC141"/>
          <cell r="AD141" t="str">
            <v xml:space="preserve"> </v>
          </cell>
          <cell r="AE141"/>
          <cell r="AF141" t="str">
            <v xml:space="preserve"> </v>
          </cell>
          <cell r="AG141"/>
          <cell r="AH141"/>
          <cell r="AI141"/>
          <cell r="AJ141"/>
          <cell r="AK141" t="str">
            <v/>
          </cell>
          <cell r="AL141"/>
          <cell r="AM141" t="str">
            <v xml:space="preserve"> </v>
          </cell>
          <cell r="AN141" t="str">
            <v xml:space="preserve"> </v>
          </cell>
          <cell r="AO141"/>
          <cell r="AP141" t="str">
            <v xml:space="preserve"> </v>
          </cell>
          <cell r="AQ141"/>
          <cell r="AR141" t="str">
            <v xml:space="preserve"> </v>
          </cell>
          <cell r="AS141" t="str">
            <v xml:space="preserve"> </v>
          </cell>
          <cell r="AT141"/>
          <cell r="AU141" t="str">
            <v xml:space="preserve"> </v>
          </cell>
          <cell r="AV141"/>
          <cell r="AW141"/>
          <cell r="AX141" t="str">
            <v xml:space="preserve"> </v>
          </cell>
          <cell r="AY141"/>
          <cell r="AZ141" t="str">
            <v xml:space="preserve"> </v>
          </cell>
          <cell r="BA141"/>
          <cell r="BB141"/>
          <cell r="BC141" t="str">
            <v xml:space="preserve"> </v>
          </cell>
          <cell r="BD141"/>
          <cell r="BE141" t="str">
            <v xml:space="preserve"> </v>
          </cell>
          <cell r="BF141"/>
          <cell r="BG141"/>
          <cell r="BH141" t="str">
            <v xml:space="preserve"> </v>
          </cell>
          <cell r="BI141"/>
          <cell r="BJ141" t="str">
            <v xml:space="preserve"> </v>
          </cell>
          <cell r="BK141"/>
          <cell r="BL141" t="str">
            <v xml:space="preserve"> </v>
          </cell>
          <cell r="BM141" t="str">
            <v xml:space="preserve"> </v>
          </cell>
          <cell r="BN141"/>
          <cell r="BO141" t="str">
            <v xml:space="preserve"> </v>
          </cell>
        </row>
        <row r="142">
          <cell r="B142">
            <v>46160</v>
          </cell>
          <cell r="C142"/>
          <cell r="D142" t="str">
            <v xml:space="preserve"> </v>
          </cell>
          <cell r="E142" t="str">
            <v xml:space="preserve"> </v>
          </cell>
          <cell r="F142"/>
          <cell r="G142" t="str">
            <v xml:space="preserve"> </v>
          </cell>
          <cell r="H142"/>
          <cell r="I142" t="str">
            <v xml:space="preserve"> </v>
          </cell>
          <cell r="J142" t="str">
            <v xml:space="preserve"> </v>
          </cell>
          <cell r="K142"/>
          <cell r="L142" t="str">
            <v xml:space="preserve"> </v>
          </cell>
          <cell r="M142"/>
          <cell r="N142" t="str">
            <v xml:space="preserve"> </v>
          </cell>
          <cell r="O142" t="str">
            <v xml:space="preserve"> </v>
          </cell>
          <cell r="P142"/>
          <cell r="Q142" t="str">
            <v xml:space="preserve"> </v>
          </cell>
          <cell r="R142"/>
          <cell r="S142" t="str">
            <v xml:space="preserve"> </v>
          </cell>
          <cell r="T142" t="str">
            <v xml:space="preserve"> </v>
          </cell>
          <cell r="U142"/>
          <cell r="V142" t="str">
            <v xml:space="preserve"> </v>
          </cell>
          <cell r="W142" t="str">
            <v xml:space="preserve"> </v>
          </cell>
          <cell r="X142"/>
          <cell r="Y142" t="str">
            <v xml:space="preserve"> </v>
          </cell>
          <cell r="Z142"/>
          <cell r="AA142" t="str">
            <v xml:space="preserve"> </v>
          </cell>
          <cell r="AB142" t="str">
            <v xml:space="preserve"> </v>
          </cell>
          <cell r="AC142"/>
          <cell r="AD142" t="str">
            <v xml:space="preserve"> </v>
          </cell>
          <cell r="AE142"/>
          <cell r="AF142" t="str">
            <v xml:space="preserve"> </v>
          </cell>
          <cell r="AG142"/>
          <cell r="AH142"/>
          <cell r="AI142"/>
          <cell r="AJ142"/>
          <cell r="AK142" t="str">
            <v/>
          </cell>
          <cell r="AL142"/>
          <cell r="AM142" t="str">
            <v xml:space="preserve"> </v>
          </cell>
          <cell r="AN142" t="str">
            <v xml:space="preserve"> </v>
          </cell>
          <cell r="AO142"/>
          <cell r="AP142" t="str">
            <v xml:space="preserve"> </v>
          </cell>
          <cell r="AQ142"/>
          <cell r="AR142" t="str">
            <v xml:space="preserve"> </v>
          </cell>
          <cell r="AS142" t="str">
            <v xml:space="preserve"> </v>
          </cell>
          <cell r="AT142"/>
          <cell r="AU142" t="str">
            <v xml:space="preserve"> </v>
          </cell>
          <cell r="AV142"/>
          <cell r="AW142"/>
          <cell r="AX142" t="str">
            <v xml:space="preserve"> </v>
          </cell>
          <cell r="AY142"/>
          <cell r="AZ142" t="str">
            <v xml:space="preserve"> </v>
          </cell>
          <cell r="BA142"/>
          <cell r="BB142"/>
          <cell r="BC142" t="str">
            <v xml:space="preserve"> </v>
          </cell>
          <cell r="BD142"/>
          <cell r="BE142" t="str">
            <v xml:space="preserve"> </v>
          </cell>
          <cell r="BF142"/>
          <cell r="BG142"/>
          <cell r="BH142" t="str">
            <v xml:space="preserve"> </v>
          </cell>
          <cell r="BI142"/>
          <cell r="BJ142" t="str">
            <v xml:space="preserve"> </v>
          </cell>
          <cell r="BK142"/>
          <cell r="BL142" t="str">
            <v xml:space="preserve"> </v>
          </cell>
          <cell r="BM142" t="str">
            <v xml:space="preserve"> </v>
          </cell>
          <cell r="BN142"/>
          <cell r="BO142" t="str">
            <v xml:space="preserve"> </v>
          </cell>
        </row>
        <row r="143">
          <cell r="B143">
            <v>46161</v>
          </cell>
          <cell r="C143"/>
          <cell r="D143" t="str">
            <v xml:space="preserve"> </v>
          </cell>
          <cell r="E143" t="str">
            <v xml:space="preserve"> </v>
          </cell>
          <cell r="F143"/>
          <cell r="G143" t="str">
            <v xml:space="preserve"> </v>
          </cell>
          <cell r="H143"/>
          <cell r="I143" t="str">
            <v xml:space="preserve"> </v>
          </cell>
          <cell r="J143" t="str">
            <v xml:space="preserve"> </v>
          </cell>
          <cell r="K143"/>
          <cell r="L143" t="str">
            <v xml:space="preserve"> </v>
          </cell>
          <cell r="M143"/>
          <cell r="N143" t="str">
            <v xml:space="preserve"> </v>
          </cell>
          <cell r="O143" t="str">
            <v xml:space="preserve"> </v>
          </cell>
          <cell r="P143"/>
          <cell r="Q143" t="str">
            <v xml:space="preserve"> </v>
          </cell>
          <cell r="R143"/>
          <cell r="S143" t="str">
            <v xml:space="preserve"> </v>
          </cell>
          <cell r="T143" t="str">
            <v xml:space="preserve"> </v>
          </cell>
          <cell r="U143"/>
          <cell r="V143" t="str">
            <v xml:space="preserve"> </v>
          </cell>
          <cell r="W143" t="str">
            <v xml:space="preserve"> </v>
          </cell>
          <cell r="X143"/>
          <cell r="Y143" t="str">
            <v xml:space="preserve"> </v>
          </cell>
          <cell r="Z143"/>
          <cell r="AA143" t="str">
            <v xml:space="preserve"> </v>
          </cell>
          <cell r="AB143" t="str">
            <v xml:space="preserve"> </v>
          </cell>
          <cell r="AC143"/>
          <cell r="AD143" t="str">
            <v xml:space="preserve"> </v>
          </cell>
          <cell r="AE143"/>
          <cell r="AF143" t="str">
            <v xml:space="preserve"> </v>
          </cell>
          <cell r="AG143"/>
          <cell r="AH143"/>
          <cell r="AI143"/>
          <cell r="AJ143"/>
          <cell r="AK143" t="str">
            <v/>
          </cell>
          <cell r="AL143"/>
          <cell r="AM143" t="str">
            <v xml:space="preserve"> </v>
          </cell>
          <cell r="AN143" t="str">
            <v xml:space="preserve"> </v>
          </cell>
          <cell r="AO143"/>
          <cell r="AP143" t="str">
            <v xml:space="preserve"> </v>
          </cell>
          <cell r="AQ143"/>
          <cell r="AR143" t="str">
            <v xml:space="preserve"> </v>
          </cell>
          <cell r="AS143" t="str">
            <v xml:space="preserve"> </v>
          </cell>
          <cell r="AT143"/>
          <cell r="AU143" t="str">
            <v xml:space="preserve"> </v>
          </cell>
          <cell r="AV143"/>
          <cell r="AW143"/>
          <cell r="AX143" t="str">
            <v xml:space="preserve"> </v>
          </cell>
          <cell r="AY143"/>
          <cell r="AZ143" t="str">
            <v xml:space="preserve"> </v>
          </cell>
          <cell r="BA143"/>
          <cell r="BB143"/>
          <cell r="BC143" t="str">
            <v xml:space="preserve"> </v>
          </cell>
          <cell r="BD143"/>
          <cell r="BE143" t="str">
            <v xml:space="preserve"> </v>
          </cell>
          <cell r="BF143"/>
          <cell r="BG143"/>
          <cell r="BH143" t="str">
            <v xml:space="preserve"> </v>
          </cell>
          <cell r="BI143"/>
          <cell r="BJ143" t="str">
            <v xml:space="preserve"> </v>
          </cell>
          <cell r="BK143"/>
          <cell r="BL143" t="str">
            <v xml:space="preserve"> </v>
          </cell>
          <cell r="BM143" t="str">
            <v xml:space="preserve"> </v>
          </cell>
          <cell r="BN143"/>
          <cell r="BO143" t="str">
            <v xml:space="preserve"> </v>
          </cell>
        </row>
        <row r="144">
          <cell r="B144">
            <v>46162</v>
          </cell>
          <cell r="C144"/>
          <cell r="D144" t="str">
            <v xml:space="preserve"> </v>
          </cell>
          <cell r="E144" t="str">
            <v xml:space="preserve"> </v>
          </cell>
          <cell r="F144"/>
          <cell r="G144" t="str">
            <v xml:space="preserve"> </v>
          </cell>
          <cell r="H144"/>
          <cell r="I144" t="str">
            <v xml:space="preserve"> </v>
          </cell>
          <cell r="J144" t="str">
            <v xml:space="preserve"> </v>
          </cell>
          <cell r="K144"/>
          <cell r="L144" t="str">
            <v xml:space="preserve"> </v>
          </cell>
          <cell r="M144"/>
          <cell r="N144" t="str">
            <v xml:space="preserve"> </v>
          </cell>
          <cell r="O144" t="str">
            <v xml:space="preserve"> </v>
          </cell>
          <cell r="P144"/>
          <cell r="Q144" t="str">
            <v xml:space="preserve"> </v>
          </cell>
          <cell r="R144"/>
          <cell r="S144" t="str">
            <v xml:space="preserve"> </v>
          </cell>
          <cell r="T144" t="str">
            <v xml:space="preserve"> </v>
          </cell>
          <cell r="U144"/>
          <cell r="V144" t="str">
            <v xml:space="preserve"> </v>
          </cell>
          <cell r="W144" t="str">
            <v xml:space="preserve"> </v>
          </cell>
          <cell r="X144"/>
          <cell r="Y144" t="str">
            <v xml:space="preserve"> </v>
          </cell>
          <cell r="Z144"/>
          <cell r="AA144" t="str">
            <v xml:space="preserve"> </v>
          </cell>
          <cell r="AB144" t="str">
            <v xml:space="preserve"> </v>
          </cell>
          <cell r="AC144"/>
          <cell r="AD144" t="str">
            <v xml:space="preserve"> </v>
          </cell>
          <cell r="AE144"/>
          <cell r="AF144" t="str">
            <v xml:space="preserve"> </v>
          </cell>
          <cell r="AG144"/>
          <cell r="AH144"/>
          <cell r="AI144"/>
          <cell r="AJ144"/>
          <cell r="AK144" t="str">
            <v/>
          </cell>
          <cell r="AL144"/>
          <cell r="AM144" t="str">
            <v xml:space="preserve"> </v>
          </cell>
          <cell r="AN144" t="str">
            <v xml:space="preserve"> </v>
          </cell>
          <cell r="AO144"/>
          <cell r="AP144" t="str">
            <v xml:space="preserve"> </v>
          </cell>
          <cell r="AQ144"/>
          <cell r="AR144" t="str">
            <v xml:space="preserve"> </v>
          </cell>
          <cell r="AS144" t="str">
            <v xml:space="preserve"> </v>
          </cell>
          <cell r="AT144"/>
          <cell r="AU144" t="str">
            <v xml:space="preserve"> </v>
          </cell>
          <cell r="AV144"/>
          <cell r="AW144"/>
          <cell r="AX144" t="str">
            <v xml:space="preserve"> </v>
          </cell>
          <cell r="AY144"/>
          <cell r="AZ144" t="str">
            <v xml:space="preserve"> </v>
          </cell>
          <cell r="BA144"/>
          <cell r="BB144"/>
          <cell r="BC144" t="str">
            <v xml:space="preserve"> </v>
          </cell>
          <cell r="BD144"/>
          <cell r="BE144" t="str">
            <v xml:space="preserve"> </v>
          </cell>
          <cell r="BF144"/>
          <cell r="BG144"/>
          <cell r="BH144" t="str">
            <v xml:space="preserve"> </v>
          </cell>
          <cell r="BI144"/>
          <cell r="BJ144" t="str">
            <v xml:space="preserve"> </v>
          </cell>
          <cell r="BK144"/>
          <cell r="BL144" t="str">
            <v xml:space="preserve"> </v>
          </cell>
          <cell r="BM144" t="str">
            <v xml:space="preserve"> </v>
          </cell>
          <cell r="BN144"/>
          <cell r="BO144" t="str">
            <v xml:space="preserve"> </v>
          </cell>
        </row>
        <row r="145">
          <cell r="B145">
            <v>46163</v>
          </cell>
          <cell r="C145"/>
          <cell r="D145" t="str">
            <v xml:space="preserve"> </v>
          </cell>
          <cell r="E145" t="str">
            <v xml:space="preserve"> </v>
          </cell>
          <cell r="F145"/>
          <cell r="G145" t="str">
            <v xml:space="preserve"> </v>
          </cell>
          <cell r="H145"/>
          <cell r="I145" t="str">
            <v xml:space="preserve"> </v>
          </cell>
          <cell r="J145" t="str">
            <v xml:space="preserve"> </v>
          </cell>
          <cell r="K145"/>
          <cell r="L145" t="str">
            <v xml:space="preserve"> </v>
          </cell>
          <cell r="M145"/>
          <cell r="N145" t="str">
            <v xml:space="preserve"> </v>
          </cell>
          <cell r="O145" t="str">
            <v xml:space="preserve"> </v>
          </cell>
          <cell r="P145"/>
          <cell r="Q145" t="str">
            <v xml:space="preserve"> </v>
          </cell>
          <cell r="R145"/>
          <cell r="S145" t="str">
            <v xml:space="preserve"> </v>
          </cell>
          <cell r="T145" t="str">
            <v xml:space="preserve"> </v>
          </cell>
          <cell r="U145"/>
          <cell r="V145" t="str">
            <v xml:space="preserve"> </v>
          </cell>
          <cell r="W145" t="str">
            <v xml:space="preserve"> </v>
          </cell>
          <cell r="X145"/>
          <cell r="Y145" t="str">
            <v xml:space="preserve"> </v>
          </cell>
          <cell r="Z145"/>
          <cell r="AA145" t="str">
            <v xml:space="preserve"> </v>
          </cell>
          <cell r="AB145" t="str">
            <v xml:space="preserve"> </v>
          </cell>
          <cell r="AC145"/>
          <cell r="AD145" t="str">
            <v xml:space="preserve"> </v>
          </cell>
          <cell r="AE145"/>
          <cell r="AF145" t="str">
            <v xml:space="preserve"> </v>
          </cell>
          <cell r="AG145"/>
          <cell r="AH145"/>
          <cell r="AI145"/>
          <cell r="AJ145"/>
          <cell r="AK145" t="str">
            <v/>
          </cell>
          <cell r="AL145"/>
          <cell r="AM145" t="str">
            <v xml:space="preserve"> </v>
          </cell>
          <cell r="AN145" t="str">
            <v xml:space="preserve"> </v>
          </cell>
          <cell r="AO145"/>
          <cell r="AP145" t="str">
            <v xml:space="preserve"> </v>
          </cell>
          <cell r="AQ145"/>
          <cell r="AR145" t="str">
            <v xml:space="preserve"> </v>
          </cell>
          <cell r="AS145" t="str">
            <v xml:space="preserve"> </v>
          </cell>
          <cell r="AT145"/>
          <cell r="AU145" t="str">
            <v xml:space="preserve"> </v>
          </cell>
          <cell r="AV145"/>
          <cell r="AW145"/>
          <cell r="AX145" t="str">
            <v xml:space="preserve"> </v>
          </cell>
          <cell r="AY145"/>
          <cell r="AZ145" t="str">
            <v xml:space="preserve"> </v>
          </cell>
          <cell r="BA145"/>
          <cell r="BB145"/>
          <cell r="BC145" t="str">
            <v xml:space="preserve"> </v>
          </cell>
          <cell r="BD145"/>
          <cell r="BE145" t="str">
            <v xml:space="preserve"> </v>
          </cell>
          <cell r="BF145"/>
          <cell r="BG145"/>
          <cell r="BH145" t="str">
            <v xml:space="preserve"> </v>
          </cell>
          <cell r="BI145"/>
          <cell r="BJ145" t="str">
            <v xml:space="preserve"> </v>
          </cell>
          <cell r="BK145"/>
          <cell r="BL145" t="str">
            <v xml:space="preserve"> </v>
          </cell>
          <cell r="BM145" t="str">
            <v xml:space="preserve"> </v>
          </cell>
          <cell r="BN145"/>
          <cell r="BO145" t="str">
            <v xml:space="preserve"> </v>
          </cell>
        </row>
        <row r="146">
          <cell r="B146">
            <v>46164</v>
          </cell>
          <cell r="C146"/>
          <cell r="D146" t="str">
            <v xml:space="preserve"> </v>
          </cell>
          <cell r="E146" t="str">
            <v xml:space="preserve"> </v>
          </cell>
          <cell r="F146"/>
          <cell r="G146" t="str">
            <v xml:space="preserve"> </v>
          </cell>
          <cell r="H146"/>
          <cell r="I146" t="str">
            <v xml:space="preserve"> </v>
          </cell>
          <cell r="J146" t="str">
            <v xml:space="preserve"> </v>
          </cell>
          <cell r="K146"/>
          <cell r="L146" t="str">
            <v xml:space="preserve"> </v>
          </cell>
          <cell r="M146"/>
          <cell r="N146" t="str">
            <v xml:space="preserve"> </v>
          </cell>
          <cell r="O146" t="str">
            <v xml:space="preserve"> </v>
          </cell>
          <cell r="P146"/>
          <cell r="Q146" t="str">
            <v xml:space="preserve"> </v>
          </cell>
          <cell r="R146"/>
          <cell r="S146" t="str">
            <v xml:space="preserve"> </v>
          </cell>
          <cell r="T146" t="str">
            <v xml:space="preserve"> </v>
          </cell>
          <cell r="U146"/>
          <cell r="V146" t="str">
            <v xml:space="preserve"> </v>
          </cell>
          <cell r="W146" t="str">
            <v xml:space="preserve"> </v>
          </cell>
          <cell r="X146"/>
          <cell r="Y146" t="str">
            <v xml:space="preserve"> </v>
          </cell>
          <cell r="Z146"/>
          <cell r="AA146" t="str">
            <v xml:space="preserve"> </v>
          </cell>
          <cell r="AB146" t="str">
            <v xml:space="preserve"> </v>
          </cell>
          <cell r="AC146"/>
          <cell r="AD146" t="str">
            <v xml:space="preserve"> </v>
          </cell>
          <cell r="AE146"/>
          <cell r="AF146" t="str">
            <v xml:space="preserve"> </v>
          </cell>
          <cell r="AG146"/>
          <cell r="AH146"/>
          <cell r="AI146"/>
          <cell r="AJ146"/>
          <cell r="AK146" t="str">
            <v/>
          </cell>
          <cell r="AL146"/>
          <cell r="AM146" t="str">
            <v xml:space="preserve"> </v>
          </cell>
          <cell r="AN146" t="str">
            <v xml:space="preserve"> </v>
          </cell>
          <cell r="AO146"/>
          <cell r="AP146" t="str">
            <v xml:space="preserve"> </v>
          </cell>
          <cell r="AQ146"/>
          <cell r="AR146" t="str">
            <v xml:space="preserve"> </v>
          </cell>
          <cell r="AS146" t="str">
            <v xml:space="preserve"> </v>
          </cell>
          <cell r="AT146"/>
          <cell r="AU146" t="str">
            <v xml:space="preserve"> </v>
          </cell>
          <cell r="AV146"/>
          <cell r="AW146"/>
          <cell r="AX146" t="str">
            <v xml:space="preserve"> </v>
          </cell>
          <cell r="AY146"/>
          <cell r="AZ146" t="str">
            <v xml:space="preserve"> </v>
          </cell>
          <cell r="BA146"/>
          <cell r="BB146"/>
          <cell r="BC146" t="str">
            <v xml:space="preserve"> </v>
          </cell>
          <cell r="BD146"/>
          <cell r="BE146" t="str">
            <v xml:space="preserve"> </v>
          </cell>
          <cell r="BF146"/>
          <cell r="BG146"/>
          <cell r="BH146" t="str">
            <v xml:space="preserve"> </v>
          </cell>
          <cell r="BI146"/>
          <cell r="BJ146" t="str">
            <v xml:space="preserve"> </v>
          </cell>
          <cell r="BK146"/>
          <cell r="BL146" t="str">
            <v xml:space="preserve"> </v>
          </cell>
          <cell r="BM146" t="str">
            <v xml:space="preserve"> </v>
          </cell>
          <cell r="BN146"/>
          <cell r="BO146" t="str">
            <v xml:space="preserve"> </v>
          </cell>
        </row>
        <row r="147">
          <cell r="B147">
            <v>46165</v>
          </cell>
          <cell r="C147"/>
          <cell r="D147" t="str">
            <v xml:space="preserve"> </v>
          </cell>
          <cell r="E147" t="str">
            <v xml:space="preserve"> </v>
          </cell>
          <cell r="F147"/>
          <cell r="G147" t="str">
            <v xml:space="preserve"> </v>
          </cell>
          <cell r="H147"/>
          <cell r="I147" t="str">
            <v xml:space="preserve"> </v>
          </cell>
          <cell r="J147" t="str">
            <v xml:space="preserve"> </v>
          </cell>
          <cell r="K147"/>
          <cell r="L147" t="str">
            <v xml:space="preserve"> </v>
          </cell>
          <cell r="M147"/>
          <cell r="N147" t="str">
            <v xml:space="preserve"> </v>
          </cell>
          <cell r="O147" t="str">
            <v xml:space="preserve"> </v>
          </cell>
          <cell r="P147"/>
          <cell r="Q147" t="str">
            <v xml:space="preserve"> </v>
          </cell>
          <cell r="R147"/>
          <cell r="S147" t="str">
            <v xml:space="preserve"> </v>
          </cell>
          <cell r="T147" t="str">
            <v xml:space="preserve"> </v>
          </cell>
          <cell r="U147"/>
          <cell r="V147" t="str">
            <v xml:space="preserve"> </v>
          </cell>
          <cell r="W147" t="str">
            <v xml:space="preserve"> </v>
          </cell>
          <cell r="X147"/>
          <cell r="Y147" t="str">
            <v xml:space="preserve"> </v>
          </cell>
          <cell r="Z147"/>
          <cell r="AA147" t="str">
            <v xml:space="preserve"> </v>
          </cell>
          <cell r="AB147" t="str">
            <v xml:space="preserve"> </v>
          </cell>
          <cell r="AC147"/>
          <cell r="AD147" t="str">
            <v xml:space="preserve"> </v>
          </cell>
          <cell r="AE147"/>
          <cell r="AF147" t="str">
            <v xml:space="preserve"> </v>
          </cell>
          <cell r="AG147"/>
          <cell r="AH147"/>
          <cell r="AI147"/>
          <cell r="AJ147"/>
          <cell r="AK147" t="str">
            <v/>
          </cell>
          <cell r="AL147"/>
          <cell r="AM147" t="str">
            <v xml:space="preserve"> </v>
          </cell>
          <cell r="AN147" t="str">
            <v xml:space="preserve"> </v>
          </cell>
          <cell r="AO147"/>
          <cell r="AP147" t="str">
            <v xml:space="preserve"> </v>
          </cell>
          <cell r="AQ147"/>
          <cell r="AR147" t="str">
            <v xml:space="preserve"> </v>
          </cell>
          <cell r="AS147" t="str">
            <v xml:space="preserve"> </v>
          </cell>
          <cell r="AT147"/>
          <cell r="AU147" t="str">
            <v xml:space="preserve"> </v>
          </cell>
          <cell r="AV147"/>
          <cell r="AW147"/>
          <cell r="AX147" t="str">
            <v xml:space="preserve"> </v>
          </cell>
          <cell r="AY147"/>
          <cell r="AZ147" t="str">
            <v xml:space="preserve"> </v>
          </cell>
          <cell r="BA147"/>
          <cell r="BB147"/>
          <cell r="BC147" t="str">
            <v xml:space="preserve"> </v>
          </cell>
          <cell r="BD147"/>
          <cell r="BE147" t="str">
            <v xml:space="preserve"> </v>
          </cell>
          <cell r="BF147"/>
          <cell r="BG147"/>
          <cell r="BH147" t="str">
            <v xml:space="preserve"> </v>
          </cell>
          <cell r="BI147"/>
          <cell r="BJ147" t="str">
            <v xml:space="preserve"> </v>
          </cell>
          <cell r="BK147"/>
          <cell r="BL147" t="str">
            <v xml:space="preserve"> </v>
          </cell>
          <cell r="BM147" t="str">
            <v xml:space="preserve"> </v>
          </cell>
          <cell r="BN147"/>
          <cell r="BO147" t="str">
            <v xml:space="preserve"> </v>
          </cell>
        </row>
        <row r="148">
          <cell r="B148">
            <v>46166</v>
          </cell>
          <cell r="C148"/>
          <cell r="D148" t="str">
            <v xml:space="preserve"> </v>
          </cell>
          <cell r="E148" t="str">
            <v xml:space="preserve"> </v>
          </cell>
          <cell r="F148"/>
          <cell r="G148" t="str">
            <v xml:space="preserve"> </v>
          </cell>
          <cell r="H148"/>
          <cell r="I148" t="str">
            <v xml:space="preserve"> </v>
          </cell>
          <cell r="J148" t="str">
            <v xml:space="preserve"> </v>
          </cell>
          <cell r="K148"/>
          <cell r="L148" t="str">
            <v xml:space="preserve"> </v>
          </cell>
          <cell r="M148"/>
          <cell r="N148" t="str">
            <v xml:space="preserve"> </v>
          </cell>
          <cell r="O148" t="str">
            <v xml:space="preserve"> </v>
          </cell>
          <cell r="P148"/>
          <cell r="Q148" t="str">
            <v xml:space="preserve"> </v>
          </cell>
          <cell r="R148"/>
          <cell r="S148" t="str">
            <v xml:space="preserve"> </v>
          </cell>
          <cell r="T148" t="str">
            <v xml:space="preserve"> </v>
          </cell>
          <cell r="U148"/>
          <cell r="V148" t="str">
            <v xml:space="preserve"> </v>
          </cell>
          <cell r="W148" t="str">
            <v xml:space="preserve"> </v>
          </cell>
          <cell r="X148"/>
          <cell r="Y148" t="str">
            <v xml:space="preserve"> </v>
          </cell>
          <cell r="Z148"/>
          <cell r="AA148" t="str">
            <v xml:space="preserve"> </v>
          </cell>
          <cell r="AB148" t="str">
            <v xml:space="preserve"> </v>
          </cell>
          <cell r="AC148"/>
          <cell r="AD148" t="str">
            <v xml:space="preserve"> </v>
          </cell>
          <cell r="AE148"/>
          <cell r="AF148" t="str">
            <v xml:space="preserve"> </v>
          </cell>
          <cell r="AG148"/>
          <cell r="AH148"/>
          <cell r="AI148"/>
          <cell r="AJ148"/>
          <cell r="AK148" t="str">
            <v/>
          </cell>
          <cell r="AL148"/>
          <cell r="AM148" t="str">
            <v xml:space="preserve"> </v>
          </cell>
          <cell r="AN148" t="str">
            <v xml:space="preserve"> </v>
          </cell>
          <cell r="AO148"/>
          <cell r="AP148" t="str">
            <v xml:space="preserve"> </v>
          </cell>
          <cell r="AQ148"/>
          <cell r="AR148" t="str">
            <v xml:space="preserve"> </v>
          </cell>
          <cell r="AS148" t="str">
            <v xml:space="preserve"> </v>
          </cell>
          <cell r="AT148"/>
          <cell r="AU148" t="str">
            <v xml:space="preserve"> </v>
          </cell>
          <cell r="AV148"/>
          <cell r="AW148"/>
          <cell r="AX148" t="str">
            <v xml:space="preserve"> </v>
          </cell>
          <cell r="AY148"/>
          <cell r="AZ148" t="str">
            <v xml:space="preserve"> </v>
          </cell>
          <cell r="BA148"/>
          <cell r="BB148"/>
          <cell r="BC148" t="str">
            <v xml:space="preserve"> </v>
          </cell>
          <cell r="BD148"/>
          <cell r="BE148" t="str">
            <v xml:space="preserve"> </v>
          </cell>
          <cell r="BF148"/>
          <cell r="BG148"/>
          <cell r="BH148" t="str">
            <v xml:space="preserve"> </v>
          </cell>
          <cell r="BI148"/>
          <cell r="BJ148" t="str">
            <v xml:space="preserve"> </v>
          </cell>
          <cell r="BK148"/>
          <cell r="BL148" t="str">
            <v xml:space="preserve"> </v>
          </cell>
          <cell r="BM148" t="str">
            <v xml:space="preserve"> </v>
          </cell>
          <cell r="BN148"/>
          <cell r="BO148" t="str">
            <v xml:space="preserve"> </v>
          </cell>
        </row>
        <row r="149">
          <cell r="B149">
            <v>46167</v>
          </cell>
          <cell r="C149"/>
          <cell r="D149" t="str">
            <v xml:space="preserve"> </v>
          </cell>
          <cell r="E149" t="str">
            <v xml:space="preserve"> </v>
          </cell>
          <cell r="F149"/>
          <cell r="G149" t="str">
            <v xml:space="preserve"> </v>
          </cell>
          <cell r="H149"/>
          <cell r="I149" t="str">
            <v xml:space="preserve"> </v>
          </cell>
          <cell r="J149" t="str">
            <v xml:space="preserve"> </v>
          </cell>
          <cell r="K149"/>
          <cell r="L149" t="str">
            <v xml:space="preserve"> </v>
          </cell>
          <cell r="M149"/>
          <cell r="N149" t="str">
            <v xml:space="preserve"> </v>
          </cell>
          <cell r="O149" t="str">
            <v xml:space="preserve"> </v>
          </cell>
          <cell r="P149"/>
          <cell r="Q149" t="str">
            <v xml:space="preserve"> </v>
          </cell>
          <cell r="R149"/>
          <cell r="S149" t="str">
            <v xml:space="preserve"> </v>
          </cell>
          <cell r="T149" t="str">
            <v xml:space="preserve"> </v>
          </cell>
          <cell r="U149"/>
          <cell r="V149" t="str">
            <v xml:space="preserve"> </v>
          </cell>
          <cell r="W149" t="str">
            <v xml:space="preserve"> </v>
          </cell>
          <cell r="X149"/>
          <cell r="Y149" t="str">
            <v xml:space="preserve"> </v>
          </cell>
          <cell r="Z149"/>
          <cell r="AA149" t="str">
            <v xml:space="preserve"> </v>
          </cell>
          <cell r="AB149" t="str">
            <v xml:space="preserve"> </v>
          </cell>
          <cell r="AC149"/>
          <cell r="AD149" t="str">
            <v xml:space="preserve"> </v>
          </cell>
          <cell r="AE149"/>
          <cell r="AF149" t="str">
            <v xml:space="preserve"> </v>
          </cell>
          <cell r="AG149"/>
          <cell r="AH149"/>
          <cell r="AI149"/>
          <cell r="AJ149"/>
          <cell r="AK149" t="str">
            <v/>
          </cell>
          <cell r="AL149"/>
          <cell r="AM149" t="str">
            <v xml:space="preserve"> </v>
          </cell>
          <cell r="AN149" t="str">
            <v xml:space="preserve"> </v>
          </cell>
          <cell r="AO149"/>
          <cell r="AP149" t="str">
            <v xml:space="preserve"> </v>
          </cell>
          <cell r="AQ149"/>
          <cell r="AR149" t="str">
            <v xml:space="preserve"> </v>
          </cell>
          <cell r="AS149" t="str">
            <v xml:space="preserve"> </v>
          </cell>
          <cell r="AT149"/>
          <cell r="AU149" t="str">
            <v xml:space="preserve"> </v>
          </cell>
          <cell r="AV149"/>
          <cell r="AW149"/>
          <cell r="AX149" t="str">
            <v xml:space="preserve"> </v>
          </cell>
          <cell r="AY149"/>
          <cell r="AZ149" t="str">
            <v xml:space="preserve"> </v>
          </cell>
          <cell r="BA149"/>
          <cell r="BB149"/>
          <cell r="BC149" t="str">
            <v xml:space="preserve"> </v>
          </cell>
          <cell r="BD149"/>
          <cell r="BE149" t="str">
            <v xml:space="preserve"> </v>
          </cell>
          <cell r="BF149"/>
          <cell r="BG149"/>
          <cell r="BH149" t="str">
            <v xml:space="preserve"> </v>
          </cell>
          <cell r="BI149"/>
          <cell r="BJ149" t="str">
            <v xml:space="preserve"> </v>
          </cell>
          <cell r="BK149"/>
          <cell r="BL149" t="str">
            <v xml:space="preserve"> </v>
          </cell>
          <cell r="BM149" t="str">
            <v xml:space="preserve"> </v>
          </cell>
          <cell r="BN149"/>
          <cell r="BO149" t="str">
            <v xml:space="preserve"> </v>
          </cell>
        </row>
        <row r="150">
          <cell r="B150">
            <v>46168</v>
          </cell>
          <cell r="C150"/>
          <cell r="D150" t="str">
            <v xml:space="preserve"> </v>
          </cell>
          <cell r="E150" t="str">
            <v xml:space="preserve"> </v>
          </cell>
          <cell r="F150"/>
          <cell r="G150" t="str">
            <v xml:space="preserve"> </v>
          </cell>
          <cell r="H150"/>
          <cell r="I150" t="str">
            <v xml:space="preserve"> </v>
          </cell>
          <cell r="J150" t="str">
            <v xml:space="preserve"> </v>
          </cell>
          <cell r="K150"/>
          <cell r="L150" t="str">
            <v xml:space="preserve"> </v>
          </cell>
          <cell r="M150"/>
          <cell r="N150" t="str">
            <v xml:space="preserve"> </v>
          </cell>
          <cell r="O150" t="str">
            <v xml:space="preserve"> </v>
          </cell>
          <cell r="P150"/>
          <cell r="Q150" t="str">
            <v xml:space="preserve"> </v>
          </cell>
          <cell r="R150"/>
          <cell r="S150" t="str">
            <v xml:space="preserve"> </v>
          </cell>
          <cell r="T150" t="str">
            <v xml:space="preserve"> </v>
          </cell>
          <cell r="U150"/>
          <cell r="V150" t="str">
            <v xml:space="preserve"> </v>
          </cell>
          <cell r="W150" t="str">
            <v xml:space="preserve"> </v>
          </cell>
          <cell r="X150"/>
          <cell r="Y150" t="str">
            <v xml:space="preserve"> </v>
          </cell>
          <cell r="Z150"/>
          <cell r="AA150" t="str">
            <v xml:space="preserve"> </v>
          </cell>
          <cell r="AB150" t="str">
            <v xml:space="preserve"> </v>
          </cell>
          <cell r="AC150"/>
          <cell r="AD150" t="str">
            <v xml:space="preserve"> </v>
          </cell>
          <cell r="AE150"/>
          <cell r="AF150" t="str">
            <v xml:space="preserve"> </v>
          </cell>
          <cell r="AG150"/>
          <cell r="AH150"/>
          <cell r="AI150"/>
          <cell r="AJ150"/>
          <cell r="AK150" t="str">
            <v/>
          </cell>
          <cell r="AL150"/>
          <cell r="AM150" t="str">
            <v xml:space="preserve"> </v>
          </cell>
          <cell r="AN150" t="str">
            <v xml:space="preserve"> </v>
          </cell>
          <cell r="AO150"/>
          <cell r="AP150" t="str">
            <v xml:space="preserve"> </v>
          </cell>
          <cell r="AQ150"/>
          <cell r="AR150" t="str">
            <v xml:space="preserve"> </v>
          </cell>
          <cell r="AS150" t="str">
            <v xml:space="preserve"> </v>
          </cell>
          <cell r="AT150"/>
          <cell r="AU150" t="str">
            <v xml:space="preserve"> </v>
          </cell>
          <cell r="AV150"/>
          <cell r="AW150"/>
          <cell r="AX150" t="str">
            <v xml:space="preserve"> </v>
          </cell>
          <cell r="AY150"/>
          <cell r="AZ150" t="str">
            <v xml:space="preserve"> </v>
          </cell>
          <cell r="BA150"/>
          <cell r="BB150"/>
          <cell r="BC150" t="str">
            <v xml:space="preserve"> </v>
          </cell>
          <cell r="BD150"/>
          <cell r="BE150" t="str">
            <v xml:space="preserve"> </v>
          </cell>
          <cell r="BF150"/>
          <cell r="BG150"/>
          <cell r="BH150" t="str">
            <v xml:space="preserve"> </v>
          </cell>
          <cell r="BI150"/>
          <cell r="BJ150" t="str">
            <v xml:space="preserve"> </v>
          </cell>
          <cell r="BK150"/>
          <cell r="BL150" t="str">
            <v xml:space="preserve"> </v>
          </cell>
          <cell r="BM150" t="str">
            <v xml:space="preserve"> </v>
          </cell>
          <cell r="BN150"/>
          <cell r="BO150" t="str">
            <v xml:space="preserve"> </v>
          </cell>
        </row>
        <row r="151">
          <cell r="B151">
            <v>46169</v>
          </cell>
          <cell r="C151"/>
          <cell r="D151" t="str">
            <v xml:space="preserve"> </v>
          </cell>
          <cell r="E151" t="str">
            <v xml:space="preserve"> </v>
          </cell>
          <cell r="F151"/>
          <cell r="G151" t="str">
            <v xml:space="preserve"> </v>
          </cell>
          <cell r="H151"/>
          <cell r="I151" t="str">
            <v xml:space="preserve"> </v>
          </cell>
          <cell r="J151" t="str">
            <v xml:space="preserve"> </v>
          </cell>
          <cell r="K151"/>
          <cell r="L151" t="str">
            <v xml:space="preserve"> </v>
          </cell>
          <cell r="M151"/>
          <cell r="N151" t="str">
            <v xml:space="preserve"> </v>
          </cell>
          <cell r="O151" t="str">
            <v xml:space="preserve"> </v>
          </cell>
          <cell r="P151"/>
          <cell r="Q151" t="str">
            <v xml:space="preserve"> </v>
          </cell>
          <cell r="R151"/>
          <cell r="S151" t="str">
            <v xml:space="preserve"> </v>
          </cell>
          <cell r="T151" t="str">
            <v xml:space="preserve"> </v>
          </cell>
          <cell r="U151"/>
          <cell r="V151" t="str">
            <v xml:space="preserve"> </v>
          </cell>
          <cell r="W151" t="str">
            <v xml:space="preserve"> </v>
          </cell>
          <cell r="X151"/>
          <cell r="Y151" t="str">
            <v xml:space="preserve"> </v>
          </cell>
          <cell r="Z151"/>
          <cell r="AA151" t="str">
            <v xml:space="preserve"> </v>
          </cell>
          <cell r="AB151" t="str">
            <v xml:space="preserve"> </v>
          </cell>
          <cell r="AC151"/>
          <cell r="AD151" t="str">
            <v xml:space="preserve"> </v>
          </cell>
          <cell r="AE151"/>
          <cell r="AF151" t="str">
            <v xml:space="preserve"> </v>
          </cell>
          <cell r="AG151"/>
          <cell r="AH151"/>
          <cell r="AI151"/>
          <cell r="AJ151"/>
          <cell r="AK151" t="str">
            <v/>
          </cell>
          <cell r="AL151"/>
          <cell r="AM151" t="str">
            <v xml:space="preserve"> </v>
          </cell>
          <cell r="AN151" t="str">
            <v xml:space="preserve"> </v>
          </cell>
          <cell r="AO151"/>
          <cell r="AP151" t="str">
            <v xml:space="preserve"> </v>
          </cell>
          <cell r="AQ151"/>
          <cell r="AR151" t="str">
            <v xml:space="preserve"> </v>
          </cell>
          <cell r="AS151" t="str">
            <v xml:space="preserve"> </v>
          </cell>
          <cell r="AT151"/>
          <cell r="AU151" t="str">
            <v xml:space="preserve"> </v>
          </cell>
          <cell r="AV151"/>
          <cell r="AW151"/>
          <cell r="AX151" t="str">
            <v xml:space="preserve"> </v>
          </cell>
          <cell r="AY151"/>
          <cell r="AZ151" t="str">
            <v xml:space="preserve"> </v>
          </cell>
          <cell r="BA151"/>
          <cell r="BB151"/>
          <cell r="BC151" t="str">
            <v xml:space="preserve"> </v>
          </cell>
          <cell r="BD151"/>
          <cell r="BE151" t="str">
            <v xml:space="preserve"> </v>
          </cell>
          <cell r="BF151"/>
          <cell r="BG151"/>
          <cell r="BH151" t="str">
            <v xml:space="preserve"> </v>
          </cell>
          <cell r="BI151"/>
          <cell r="BJ151" t="str">
            <v xml:space="preserve"> </v>
          </cell>
          <cell r="BK151"/>
          <cell r="BL151" t="str">
            <v xml:space="preserve"> </v>
          </cell>
          <cell r="BM151" t="str">
            <v xml:space="preserve"> </v>
          </cell>
          <cell r="BN151"/>
          <cell r="BO151" t="str">
            <v xml:space="preserve"> </v>
          </cell>
        </row>
        <row r="152">
          <cell r="B152">
            <v>46170</v>
          </cell>
          <cell r="C152"/>
          <cell r="D152" t="str">
            <v xml:space="preserve"> </v>
          </cell>
          <cell r="E152" t="str">
            <v xml:space="preserve"> </v>
          </cell>
          <cell r="F152"/>
          <cell r="G152" t="str">
            <v xml:space="preserve"> </v>
          </cell>
          <cell r="H152"/>
          <cell r="I152" t="str">
            <v xml:space="preserve"> </v>
          </cell>
          <cell r="J152" t="str">
            <v xml:space="preserve"> </v>
          </cell>
          <cell r="K152"/>
          <cell r="L152" t="str">
            <v xml:space="preserve"> </v>
          </cell>
          <cell r="M152"/>
          <cell r="N152" t="str">
            <v xml:space="preserve"> </v>
          </cell>
          <cell r="O152" t="str">
            <v xml:space="preserve"> </v>
          </cell>
          <cell r="P152"/>
          <cell r="Q152" t="str">
            <v xml:space="preserve"> </v>
          </cell>
          <cell r="R152"/>
          <cell r="S152" t="str">
            <v xml:space="preserve"> </v>
          </cell>
          <cell r="T152" t="str">
            <v xml:space="preserve"> </v>
          </cell>
          <cell r="U152"/>
          <cell r="V152" t="str">
            <v xml:space="preserve"> </v>
          </cell>
          <cell r="W152" t="str">
            <v xml:space="preserve"> </v>
          </cell>
          <cell r="X152"/>
          <cell r="Y152" t="str">
            <v xml:space="preserve"> </v>
          </cell>
          <cell r="Z152"/>
          <cell r="AA152" t="str">
            <v xml:space="preserve"> </v>
          </cell>
          <cell r="AB152" t="str">
            <v xml:space="preserve"> </v>
          </cell>
          <cell r="AC152"/>
          <cell r="AD152" t="str">
            <v xml:space="preserve"> </v>
          </cell>
          <cell r="AE152"/>
          <cell r="AF152" t="str">
            <v xml:space="preserve"> </v>
          </cell>
          <cell r="AG152"/>
          <cell r="AH152"/>
          <cell r="AI152"/>
          <cell r="AJ152"/>
          <cell r="AK152" t="str">
            <v/>
          </cell>
          <cell r="AL152"/>
          <cell r="AM152" t="str">
            <v xml:space="preserve"> </v>
          </cell>
          <cell r="AN152" t="str">
            <v xml:space="preserve"> </v>
          </cell>
          <cell r="AO152"/>
          <cell r="AP152" t="str">
            <v xml:space="preserve"> </v>
          </cell>
          <cell r="AQ152"/>
          <cell r="AR152" t="str">
            <v xml:space="preserve"> </v>
          </cell>
          <cell r="AS152" t="str">
            <v xml:space="preserve"> </v>
          </cell>
          <cell r="AT152"/>
          <cell r="AU152" t="str">
            <v xml:space="preserve"> </v>
          </cell>
          <cell r="AV152"/>
          <cell r="AW152"/>
          <cell r="AX152" t="str">
            <v xml:space="preserve"> </v>
          </cell>
          <cell r="AY152"/>
          <cell r="AZ152" t="str">
            <v xml:space="preserve"> </v>
          </cell>
          <cell r="BA152"/>
          <cell r="BB152"/>
          <cell r="BC152" t="str">
            <v xml:space="preserve"> </v>
          </cell>
          <cell r="BD152"/>
          <cell r="BE152" t="str">
            <v xml:space="preserve"> </v>
          </cell>
          <cell r="BF152"/>
          <cell r="BG152"/>
          <cell r="BH152" t="str">
            <v xml:space="preserve"> </v>
          </cell>
          <cell r="BI152"/>
          <cell r="BJ152" t="str">
            <v xml:space="preserve"> </v>
          </cell>
          <cell r="BK152"/>
          <cell r="BL152" t="str">
            <v xml:space="preserve"> </v>
          </cell>
          <cell r="BM152" t="str">
            <v xml:space="preserve"> </v>
          </cell>
          <cell r="BN152"/>
          <cell r="BO152" t="str">
            <v xml:space="preserve"> </v>
          </cell>
        </row>
        <row r="153">
          <cell r="B153">
            <v>46171</v>
          </cell>
          <cell r="C153"/>
          <cell r="D153" t="str">
            <v xml:space="preserve"> </v>
          </cell>
          <cell r="E153" t="str">
            <v xml:space="preserve"> </v>
          </cell>
          <cell r="F153"/>
          <cell r="G153" t="str">
            <v xml:space="preserve"> </v>
          </cell>
          <cell r="H153"/>
          <cell r="I153" t="str">
            <v xml:space="preserve"> </v>
          </cell>
          <cell r="J153" t="str">
            <v xml:space="preserve"> </v>
          </cell>
          <cell r="K153"/>
          <cell r="L153" t="str">
            <v xml:space="preserve"> </v>
          </cell>
          <cell r="M153"/>
          <cell r="N153" t="str">
            <v xml:space="preserve"> </v>
          </cell>
          <cell r="O153" t="str">
            <v xml:space="preserve"> </v>
          </cell>
          <cell r="P153"/>
          <cell r="Q153" t="str">
            <v xml:space="preserve"> </v>
          </cell>
          <cell r="R153"/>
          <cell r="S153" t="str">
            <v xml:space="preserve"> </v>
          </cell>
          <cell r="T153" t="str">
            <v xml:space="preserve"> </v>
          </cell>
          <cell r="U153"/>
          <cell r="V153" t="str">
            <v xml:space="preserve"> </v>
          </cell>
          <cell r="W153" t="str">
            <v xml:space="preserve"> </v>
          </cell>
          <cell r="X153"/>
          <cell r="Y153" t="str">
            <v xml:space="preserve"> </v>
          </cell>
          <cell r="Z153"/>
          <cell r="AA153" t="str">
            <v xml:space="preserve"> </v>
          </cell>
          <cell r="AB153" t="str">
            <v xml:space="preserve"> </v>
          </cell>
          <cell r="AC153"/>
          <cell r="AD153" t="str">
            <v xml:space="preserve"> </v>
          </cell>
          <cell r="AE153"/>
          <cell r="AF153" t="str">
            <v xml:space="preserve"> </v>
          </cell>
          <cell r="AG153"/>
          <cell r="AH153"/>
          <cell r="AI153"/>
          <cell r="AJ153"/>
          <cell r="AK153" t="str">
            <v/>
          </cell>
          <cell r="AL153"/>
          <cell r="AM153" t="str">
            <v xml:space="preserve"> </v>
          </cell>
          <cell r="AN153" t="str">
            <v xml:space="preserve"> </v>
          </cell>
          <cell r="AO153"/>
          <cell r="AP153" t="str">
            <v xml:space="preserve"> </v>
          </cell>
          <cell r="AQ153"/>
          <cell r="AR153" t="str">
            <v xml:space="preserve"> </v>
          </cell>
          <cell r="AS153" t="str">
            <v xml:space="preserve"> </v>
          </cell>
          <cell r="AT153"/>
          <cell r="AU153" t="str">
            <v xml:space="preserve"> </v>
          </cell>
          <cell r="AV153"/>
          <cell r="AW153"/>
          <cell r="AX153" t="str">
            <v xml:space="preserve"> </v>
          </cell>
          <cell r="AY153"/>
          <cell r="AZ153" t="str">
            <v xml:space="preserve"> </v>
          </cell>
          <cell r="BA153"/>
          <cell r="BB153"/>
          <cell r="BC153" t="str">
            <v xml:space="preserve"> </v>
          </cell>
          <cell r="BD153"/>
          <cell r="BE153" t="str">
            <v xml:space="preserve"> </v>
          </cell>
          <cell r="BF153"/>
          <cell r="BG153"/>
          <cell r="BH153" t="str">
            <v xml:space="preserve"> </v>
          </cell>
          <cell r="BI153"/>
          <cell r="BJ153" t="str">
            <v xml:space="preserve"> </v>
          </cell>
          <cell r="BK153"/>
          <cell r="BL153" t="str">
            <v xml:space="preserve"> </v>
          </cell>
          <cell r="BM153" t="str">
            <v xml:space="preserve"> </v>
          </cell>
          <cell r="BN153"/>
          <cell r="BO153" t="str">
            <v xml:space="preserve"> </v>
          </cell>
        </row>
        <row r="154">
          <cell r="B154">
            <v>46172</v>
          </cell>
          <cell r="C154"/>
          <cell r="D154" t="str">
            <v xml:space="preserve"> </v>
          </cell>
          <cell r="E154" t="str">
            <v xml:space="preserve"> </v>
          </cell>
          <cell r="F154"/>
          <cell r="G154" t="str">
            <v xml:space="preserve"> </v>
          </cell>
          <cell r="H154"/>
          <cell r="I154" t="str">
            <v xml:space="preserve"> </v>
          </cell>
          <cell r="J154" t="str">
            <v xml:space="preserve"> </v>
          </cell>
          <cell r="K154"/>
          <cell r="L154" t="str">
            <v xml:space="preserve"> </v>
          </cell>
          <cell r="M154"/>
          <cell r="N154" t="str">
            <v xml:space="preserve"> </v>
          </cell>
          <cell r="O154" t="str">
            <v xml:space="preserve"> </v>
          </cell>
          <cell r="P154"/>
          <cell r="Q154" t="str">
            <v xml:space="preserve"> </v>
          </cell>
          <cell r="R154"/>
          <cell r="S154" t="str">
            <v xml:space="preserve"> </v>
          </cell>
          <cell r="T154" t="str">
            <v xml:space="preserve"> </v>
          </cell>
          <cell r="U154"/>
          <cell r="V154" t="str">
            <v xml:space="preserve"> </v>
          </cell>
          <cell r="W154" t="str">
            <v xml:space="preserve"> </v>
          </cell>
          <cell r="X154"/>
          <cell r="Y154" t="str">
            <v xml:space="preserve"> </v>
          </cell>
          <cell r="Z154"/>
          <cell r="AA154" t="str">
            <v xml:space="preserve"> </v>
          </cell>
          <cell r="AB154" t="str">
            <v xml:space="preserve"> </v>
          </cell>
          <cell r="AC154"/>
          <cell r="AD154" t="str">
            <v xml:space="preserve"> </v>
          </cell>
          <cell r="AE154"/>
          <cell r="AF154" t="str">
            <v xml:space="preserve"> </v>
          </cell>
          <cell r="AG154"/>
          <cell r="AH154"/>
          <cell r="AI154"/>
          <cell r="AJ154"/>
          <cell r="AK154" t="str">
            <v/>
          </cell>
          <cell r="AL154"/>
          <cell r="AM154" t="str">
            <v xml:space="preserve"> </v>
          </cell>
          <cell r="AN154" t="str">
            <v xml:space="preserve"> </v>
          </cell>
          <cell r="AO154"/>
          <cell r="AP154" t="str">
            <v xml:space="preserve"> </v>
          </cell>
          <cell r="AQ154"/>
          <cell r="AR154" t="str">
            <v xml:space="preserve"> </v>
          </cell>
          <cell r="AS154" t="str">
            <v xml:space="preserve"> </v>
          </cell>
          <cell r="AT154"/>
          <cell r="AU154" t="str">
            <v xml:space="preserve"> </v>
          </cell>
          <cell r="AV154"/>
          <cell r="AW154"/>
          <cell r="AX154" t="str">
            <v xml:space="preserve"> </v>
          </cell>
          <cell r="AY154"/>
          <cell r="AZ154" t="str">
            <v xml:space="preserve"> </v>
          </cell>
          <cell r="BA154"/>
          <cell r="BB154"/>
          <cell r="BC154" t="str">
            <v xml:space="preserve"> </v>
          </cell>
          <cell r="BD154"/>
          <cell r="BE154" t="str">
            <v xml:space="preserve"> </v>
          </cell>
          <cell r="BF154"/>
          <cell r="BG154"/>
          <cell r="BH154" t="str">
            <v xml:space="preserve"> </v>
          </cell>
          <cell r="BI154"/>
          <cell r="BJ154" t="str">
            <v xml:space="preserve"> </v>
          </cell>
          <cell r="BK154"/>
          <cell r="BL154" t="str">
            <v xml:space="preserve"> </v>
          </cell>
          <cell r="BM154" t="str">
            <v xml:space="preserve"> </v>
          </cell>
          <cell r="BN154"/>
          <cell r="BO154" t="str">
            <v xml:space="preserve"> </v>
          </cell>
        </row>
        <row r="155">
          <cell r="B155">
            <v>46173</v>
          </cell>
          <cell r="C155"/>
          <cell r="D155" t="str">
            <v xml:space="preserve"> </v>
          </cell>
          <cell r="E155" t="str">
            <v xml:space="preserve"> </v>
          </cell>
          <cell r="F155"/>
          <cell r="G155" t="str">
            <v xml:space="preserve"> </v>
          </cell>
          <cell r="H155"/>
          <cell r="I155" t="str">
            <v xml:space="preserve"> </v>
          </cell>
          <cell r="J155" t="str">
            <v xml:space="preserve"> </v>
          </cell>
          <cell r="K155"/>
          <cell r="L155" t="str">
            <v xml:space="preserve"> </v>
          </cell>
          <cell r="M155"/>
          <cell r="N155" t="str">
            <v xml:space="preserve"> </v>
          </cell>
          <cell r="O155" t="str">
            <v xml:space="preserve"> </v>
          </cell>
          <cell r="P155"/>
          <cell r="Q155" t="str">
            <v xml:space="preserve"> </v>
          </cell>
          <cell r="R155"/>
          <cell r="S155" t="str">
            <v xml:space="preserve"> </v>
          </cell>
          <cell r="T155" t="str">
            <v xml:space="preserve"> </v>
          </cell>
          <cell r="U155"/>
          <cell r="V155" t="str">
            <v xml:space="preserve"> </v>
          </cell>
          <cell r="W155" t="str">
            <v xml:space="preserve"> </v>
          </cell>
          <cell r="X155"/>
          <cell r="Y155" t="str">
            <v xml:space="preserve"> </v>
          </cell>
          <cell r="Z155"/>
          <cell r="AA155" t="str">
            <v xml:space="preserve"> </v>
          </cell>
          <cell r="AB155" t="str">
            <v xml:space="preserve"> </v>
          </cell>
          <cell r="AC155"/>
          <cell r="AD155" t="str">
            <v xml:space="preserve"> </v>
          </cell>
          <cell r="AE155"/>
          <cell r="AF155" t="str">
            <v xml:space="preserve"> </v>
          </cell>
          <cell r="AG155"/>
          <cell r="AH155"/>
          <cell r="AI155"/>
          <cell r="AJ155"/>
          <cell r="AK155" t="str">
            <v/>
          </cell>
          <cell r="AL155"/>
          <cell r="AM155" t="str">
            <v xml:space="preserve"> </v>
          </cell>
          <cell r="AN155" t="str">
            <v xml:space="preserve"> </v>
          </cell>
          <cell r="AO155"/>
          <cell r="AP155" t="str">
            <v xml:space="preserve"> </v>
          </cell>
          <cell r="AQ155"/>
          <cell r="AR155" t="str">
            <v xml:space="preserve"> </v>
          </cell>
          <cell r="AS155" t="str">
            <v xml:space="preserve"> </v>
          </cell>
          <cell r="AT155"/>
          <cell r="AU155" t="str">
            <v xml:space="preserve"> </v>
          </cell>
          <cell r="AV155"/>
          <cell r="AW155"/>
          <cell r="AX155" t="str">
            <v xml:space="preserve"> </v>
          </cell>
          <cell r="AY155"/>
          <cell r="AZ155" t="str">
            <v xml:space="preserve"> </v>
          </cell>
          <cell r="BA155"/>
          <cell r="BB155"/>
          <cell r="BC155" t="str">
            <v xml:space="preserve"> </v>
          </cell>
          <cell r="BD155"/>
          <cell r="BE155" t="str">
            <v xml:space="preserve"> </v>
          </cell>
          <cell r="BF155"/>
          <cell r="BG155"/>
          <cell r="BH155" t="str">
            <v xml:space="preserve"> </v>
          </cell>
          <cell r="BI155"/>
          <cell r="BJ155" t="str">
            <v xml:space="preserve"> </v>
          </cell>
          <cell r="BK155"/>
          <cell r="BL155" t="str">
            <v xml:space="preserve"> </v>
          </cell>
          <cell r="BM155" t="str">
            <v xml:space="preserve"> </v>
          </cell>
          <cell r="BN155"/>
          <cell r="BO155" t="str">
            <v xml:space="preserve"> </v>
          </cell>
        </row>
        <row r="156">
          <cell r="B156">
            <v>46174</v>
          </cell>
          <cell r="C156"/>
          <cell r="D156" t="str">
            <v xml:space="preserve"> </v>
          </cell>
          <cell r="E156" t="str">
            <v xml:space="preserve"> </v>
          </cell>
          <cell r="F156"/>
          <cell r="G156" t="str">
            <v xml:space="preserve"> </v>
          </cell>
          <cell r="H156"/>
          <cell r="I156" t="str">
            <v xml:space="preserve"> </v>
          </cell>
          <cell r="J156" t="str">
            <v xml:space="preserve"> </v>
          </cell>
          <cell r="K156"/>
          <cell r="L156" t="str">
            <v xml:space="preserve"> </v>
          </cell>
          <cell r="M156"/>
          <cell r="N156" t="str">
            <v xml:space="preserve"> </v>
          </cell>
          <cell r="O156" t="str">
            <v xml:space="preserve"> </v>
          </cell>
          <cell r="P156"/>
          <cell r="Q156" t="str">
            <v xml:space="preserve"> </v>
          </cell>
          <cell r="R156"/>
          <cell r="S156" t="str">
            <v xml:space="preserve"> </v>
          </cell>
          <cell r="T156" t="str">
            <v xml:space="preserve"> </v>
          </cell>
          <cell r="U156"/>
          <cell r="V156" t="str">
            <v xml:space="preserve"> </v>
          </cell>
          <cell r="W156" t="str">
            <v xml:space="preserve"> </v>
          </cell>
          <cell r="X156"/>
          <cell r="Y156" t="str">
            <v xml:space="preserve"> </v>
          </cell>
          <cell r="Z156"/>
          <cell r="AA156" t="str">
            <v xml:space="preserve"> </v>
          </cell>
          <cell r="AB156" t="str">
            <v xml:space="preserve"> </v>
          </cell>
          <cell r="AC156"/>
          <cell r="AD156" t="str">
            <v xml:space="preserve"> </v>
          </cell>
          <cell r="AE156"/>
          <cell r="AF156" t="str">
            <v xml:space="preserve"> </v>
          </cell>
          <cell r="AG156"/>
          <cell r="AH156"/>
          <cell r="AI156"/>
          <cell r="AJ156"/>
          <cell r="AK156" t="str">
            <v/>
          </cell>
          <cell r="AL156"/>
          <cell r="AM156" t="str">
            <v xml:space="preserve"> </v>
          </cell>
          <cell r="AN156" t="str">
            <v xml:space="preserve"> </v>
          </cell>
          <cell r="AO156"/>
          <cell r="AP156" t="str">
            <v xml:space="preserve"> </v>
          </cell>
          <cell r="AQ156"/>
          <cell r="AR156" t="str">
            <v xml:space="preserve"> </v>
          </cell>
          <cell r="AS156" t="str">
            <v xml:space="preserve"> </v>
          </cell>
          <cell r="AT156"/>
          <cell r="AU156" t="str">
            <v xml:space="preserve"> </v>
          </cell>
          <cell r="AV156"/>
          <cell r="AW156"/>
          <cell r="AX156" t="str">
            <v xml:space="preserve"> </v>
          </cell>
          <cell r="AY156"/>
          <cell r="AZ156" t="str">
            <v xml:space="preserve"> </v>
          </cell>
          <cell r="BA156"/>
          <cell r="BB156"/>
          <cell r="BC156" t="str">
            <v xml:space="preserve"> </v>
          </cell>
          <cell r="BD156"/>
          <cell r="BE156" t="str">
            <v xml:space="preserve"> </v>
          </cell>
          <cell r="BF156"/>
          <cell r="BG156"/>
          <cell r="BH156" t="str">
            <v xml:space="preserve"> </v>
          </cell>
          <cell r="BI156"/>
          <cell r="BJ156" t="str">
            <v xml:space="preserve"> </v>
          </cell>
          <cell r="BK156"/>
          <cell r="BL156" t="str">
            <v xml:space="preserve"> </v>
          </cell>
          <cell r="BM156" t="str">
            <v xml:space="preserve"> </v>
          </cell>
          <cell r="BN156"/>
          <cell r="BO156" t="str">
            <v xml:space="preserve"> </v>
          </cell>
        </row>
        <row r="157">
          <cell r="B157">
            <v>46175</v>
          </cell>
          <cell r="C157"/>
          <cell r="D157" t="str">
            <v xml:space="preserve"> </v>
          </cell>
          <cell r="E157" t="str">
            <v xml:space="preserve"> </v>
          </cell>
          <cell r="F157"/>
          <cell r="G157" t="str">
            <v xml:space="preserve"> </v>
          </cell>
          <cell r="H157"/>
          <cell r="I157" t="str">
            <v xml:space="preserve"> </v>
          </cell>
          <cell r="J157" t="str">
            <v xml:space="preserve"> </v>
          </cell>
          <cell r="K157"/>
          <cell r="L157" t="str">
            <v xml:space="preserve"> </v>
          </cell>
          <cell r="M157"/>
          <cell r="N157" t="str">
            <v xml:space="preserve"> </v>
          </cell>
          <cell r="O157" t="str">
            <v xml:space="preserve"> </v>
          </cell>
          <cell r="P157"/>
          <cell r="Q157" t="str">
            <v xml:space="preserve"> </v>
          </cell>
          <cell r="R157"/>
          <cell r="S157" t="str">
            <v xml:space="preserve"> </v>
          </cell>
          <cell r="T157" t="str">
            <v xml:space="preserve"> </v>
          </cell>
          <cell r="U157"/>
          <cell r="V157" t="str">
            <v xml:space="preserve"> </v>
          </cell>
          <cell r="W157" t="str">
            <v xml:space="preserve"> </v>
          </cell>
          <cell r="X157"/>
          <cell r="Y157" t="str">
            <v xml:space="preserve"> </v>
          </cell>
          <cell r="Z157"/>
          <cell r="AA157" t="str">
            <v xml:space="preserve"> </v>
          </cell>
          <cell r="AB157" t="str">
            <v xml:space="preserve"> </v>
          </cell>
          <cell r="AC157"/>
          <cell r="AD157" t="str">
            <v xml:space="preserve"> </v>
          </cell>
          <cell r="AE157"/>
          <cell r="AF157" t="str">
            <v xml:space="preserve"> </v>
          </cell>
          <cell r="AG157"/>
          <cell r="AH157"/>
          <cell r="AI157"/>
          <cell r="AJ157"/>
          <cell r="AK157" t="str">
            <v/>
          </cell>
          <cell r="AL157"/>
          <cell r="AM157" t="str">
            <v xml:space="preserve"> </v>
          </cell>
          <cell r="AN157" t="str">
            <v xml:space="preserve"> </v>
          </cell>
          <cell r="AO157"/>
          <cell r="AP157" t="str">
            <v xml:space="preserve"> </v>
          </cell>
          <cell r="AQ157"/>
          <cell r="AR157" t="str">
            <v xml:space="preserve"> </v>
          </cell>
          <cell r="AS157" t="str">
            <v xml:space="preserve"> </v>
          </cell>
          <cell r="AT157"/>
          <cell r="AU157" t="str">
            <v xml:space="preserve"> </v>
          </cell>
          <cell r="AV157"/>
          <cell r="AW157"/>
          <cell r="AX157" t="str">
            <v xml:space="preserve"> </v>
          </cell>
          <cell r="AY157"/>
          <cell r="AZ157" t="str">
            <v xml:space="preserve"> </v>
          </cell>
          <cell r="BA157"/>
          <cell r="BB157"/>
          <cell r="BC157" t="str">
            <v xml:space="preserve"> </v>
          </cell>
          <cell r="BD157"/>
          <cell r="BE157" t="str">
            <v xml:space="preserve"> </v>
          </cell>
          <cell r="BF157"/>
          <cell r="BG157"/>
          <cell r="BH157" t="str">
            <v xml:space="preserve"> </v>
          </cell>
          <cell r="BI157"/>
          <cell r="BJ157" t="str">
            <v xml:space="preserve"> </v>
          </cell>
          <cell r="BK157"/>
          <cell r="BL157" t="str">
            <v xml:space="preserve"> </v>
          </cell>
          <cell r="BM157" t="str">
            <v xml:space="preserve"> </v>
          </cell>
          <cell r="BN157"/>
          <cell r="BO157" t="str">
            <v xml:space="preserve"> </v>
          </cell>
        </row>
        <row r="158">
          <cell r="B158">
            <v>46176</v>
          </cell>
          <cell r="C158"/>
          <cell r="D158" t="str">
            <v xml:space="preserve"> </v>
          </cell>
          <cell r="E158" t="str">
            <v xml:space="preserve"> </v>
          </cell>
          <cell r="F158"/>
          <cell r="G158" t="str">
            <v xml:space="preserve"> </v>
          </cell>
          <cell r="H158"/>
          <cell r="I158" t="str">
            <v xml:space="preserve"> </v>
          </cell>
          <cell r="J158" t="str">
            <v xml:space="preserve"> </v>
          </cell>
          <cell r="K158"/>
          <cell r="L158" t="str">
            <v xml:space="preserve"> </v>
          </cell>
          <cell r="M158"/>
          <cell r="N158" t="str">
            <v xml:space="preserve"> </v>
          </cell>
          <cell r="O158" t="str">
            <v xml:space="preserve"> </v>
          </cell>
          <cell r="P158"/>
          <cell r="Q158" t="str">
            <v xml:space="preserve"> </v>
          </cell>
          <cell r="R158"/>
          <cell r="S158" t="str">
            <v xml:space="preserve"> </v>
          </cell>
          <cell r="T158" t="str">
            <v xml:space="preserve"> </v>
          </cell>
          <cell r="U158"/>
          <cell r="V158" t="str">
            <v xml:space="preserve"> </v>
          </cell>
          <cell r="W158" t="str">
            <v xml:space="preserve"> </v>
          </cell>
          <cell r="X158"/>
          <cell r="Y158" t="str">
            <v xml:space="preserve"> </v>
          </cell>
          <cell r="Z158"/>
          <cell r="AA158" t="str">
            <v xml:space="preserve"> </v>
          </cell>
          <cell r="AB158" t="str">
            <v xml:space="preserve"> </v>
          </cell>
          <cell r="AC158"/>
          <cell r="AD158" t="str">
            <v xml:space="preserve"> </v>
          </cell>
          <cell r="AE158"/>
          <cell r="AF158" t="str">
            <v xml:space="preserve"> </v>
          </cell>
          <cell r="AG158"/>
          <cell r="AH158"/>
          <cell r="AI158"/>
          <cell r="AJ158"/>
          <cell r="AK158" t="str">
            <v/>
          </cell>
          <cell r="AL158"/>
          <cell r="AM158" t="str">
            <v xml:space="preserve"> </v>
          </cell>
          <cell r="AN158" t="str">
            <v xml:space="preserve"> </v>
          </cell>
          <cell r="AO158"/>
          <cell r="AP158" t="str">
            <v xml:space="preserve"> </v>
          </cell>
          <cell r="AQ158"/>
          <cell r="AR158" t="str">
            <v xml:space="preserve"> </v>
          </cell>
          <cell r="AS158" t="str">
            <v xml:space="preserve"> </v>
          </cell>
          <cell r="AT158"/>
          <cell r="AU158" t="str">
            <v xml:space="preserve"> </v>
          </cell>
          <cell r="AV158"/>
          <cell r="AW158"/>
          <cell r="AX158" t="str">
            <v xml:space="preserve"> </v>
          </cell>
          <cell r="AY158"/>
          <cell r="AZ158" t="str">
            <v xml:space="preserve"> </v>
          </cell>
          <cell r="BA158"/>
          <cell r="BB158"/>
          <cell r="BC158" t="str">
            <v xml:space="preserve"> </v>
          </cell>
          <cell r="BD158"/>
          <cell r="BE158" t="str">
            <v xml:space="preserve"> </v>
          </cell>
          <cell r="BF158"/>
          <cell r="BG158"/>
          <cell r="BH158" t="str">
            <v xml:space="preserve"> </v>
          </cell>
          <cell r="BI158"/>
          <cell r="BJ158" t="str">
            <v xml:space="preserve"> </v>
          </cell>
          <cell r="BK158"/>
          <cell r="BL158" t="str">
            <v xml:space="preserve"> </v>
          </cell>
          <cell r="BM158" t="str">
            <v xml:space="preserve"> </v>
          </cell>
          <cell r="BN158"/>
          <cell r="BO158" t="str">
            <v xml:space="preserve"> </v>
          </cell>
        </row>
        <row r="159">
          <cell r="B159">
            <v>46177</v>
          </cell>
          <cell r="C159"/>
          <cell r="D159" t="str">
            <v xml:space="preserve"> </v>
          </cell>
          <cell r="E159" t="str">
            <v xml:space="preserve"> </v>
          </cell>
          <cell r="F159"/>
          <cell r="G159" t="str">
            <v xml:space="preserve"> </v>
          </cell>
          <cell r="H159"/>
          <cell r="I159" t="str">
            <v xml:space="preserve"> </v>
          </cell>
          <cell r="J159" t="str">
            <v xml:space="preserve"> </v>
          </cell>
          <cell r="K159"/>
          <cell r="L159" t="str">
            <v xml:space="preserve"> </v>
          </cell>
          <cell r="M159"/>
          <cell r="N159" t="str">
            <v xml:space="preserve"> </v>
          </cell>
          <cell r="O159" t="str">
            <v xml:space="preserve"> </v>
          </cell>
          <cell r="P159"/>
          <cell r="Q159" t="str">
            <v xml:space="preserve"> </v>
          </cell>
          <cell r="R159"/>
          <cell r="S159" t="str">
            <v xml:space="preserve"> </v>
          </cell>
          <cell r="T159" t="str">
            <v xml:space="preserve"> </v>
          </cell>
          <cell r="U159"/>
          <cell r="V159" t="str">
            <v xml:space="preserve"> </v>
          </cell>
          <cell r="W159" t="str">
            <v xml:space="preserve"> </v>
          </cell>
          <cell r="X159"/>
          <cell r="Y159" t="str">
            <v xml:space="preserve"> </v>
          </cell>
          <cell r="Z159"/>
          <cell r="AA159" t="str">
            <v xml:space="preserve"> </v>
          </cell>
          <cell r="AB159" t="str">
            <v xml:space="preserve"> </v>
          </cell>
          <cell r="AC159"/>
          <cell r="AD159" t="str">
            <v xml:space="preserve"> </v>
          </cell>
          <cell r="AE159"/>
          <cell r="AF159" t="str">
            <v xml:space="preserve"> </v>
          </cell>
          <cell r="AG159"/>
          <cell r="AH159"/>
          <cell r="AI159"/>
          <cell r="AJ159"/>
          <cell r="AK159" t="str">
            <v/>
          </cell>
          <cell r="AL159"/>
          <cell r="AM159" t="str">
            <v xml:space="preserve"> </v>
          </cell>
          <cell r="AN159" t="str">
            <v xml:space="preserve"> </v>
          </cell>
          <cell r="AO159"/>
          <cell r="AP159" t="str">
            <v xml:space="preserve"> </v>
          </cell>
          <cell r="AQ159"/>
          <cell r="AR159" t="str">
            <v xml:space="preserve"> </v>
          </cell>
          <cell r="AS159" t="str">
            <v xml:space="preserve"> </v>
          </cell>
          <cell r="AT159"/>
          <cell r="AU159" t="str">
            <v xml:space="preserve"> </v>
          </cell>
          <cell r="AV159"/>
          <cell r="AW159"/>
          <cell r="AX159" t="str">
            <v xml:space="preserve"> </v>
          </cell>
          <cell r="AY159"/>
          <cell r="AZ159" t="str">
            <v xml:space="preserve"> </v>
          </cell>
          <cell r="BA159"/>
          <cell r="BB159"/>
          <cell r="BC159" t="str">
            <v xml:space="preserve"> </v>
          </cell>
          <cell r="BD159"/>
          <cell r="BE159" t="str">
            <v xml:space="preserve"> </v>
          </cell>
          <cell r="BF159"/>
          <cell r="BG159"/>
          <cell r="BH159" t="str">
            <v xml:space="preserve"> </v>
          </cell>
          <cell r="BI159"/>
          <cell r="BJ159" t="str">
            <v xml:space="preserve"> </v>
          </cell>
          <cell r="BK159"/>
          <cell r="BL159" t="str">
            <v xml:space="preserve"> </v>
          </cell>
          <cell r="BM159" t="str">
            <v xml:space="preserve"> </v>
          </cell>
          <cell r="BN159"/>
          <cell r="BO159" t="str">
            <v xml:space="preserve"> </v>
          </cell>
        </row>
        <row r="160">
          <cell r="B160">
            <v>46178</v>
          </cell>
          <cell r="C160"/>
          <cell r="D160" t="str">
            <v xml:space="preserve"> </v>
          </cell>
          <cell r="E160" t="str">
            <v xml:space="preserve"> </v>
          </cell>
          <cell r="F160"/>
          <cell r="G160" t="str">
            <v xml:space="preserve"> </v>
          </cell>
          <cell r="H160"/>
          <cell r="I160" t="str">
            <v xml:space="preserve"> </v>
          </cell>
          <cell r="J160" t="str">
            <v xml:space="preserve"> </v>
          </cell>
          <cell r="K160"/>
          <cell r="L160" t="str">
            <v xml:space="preserve"> </v>
          </cell>
          <cell r="M160"/>
          <cell r="N160" t="str">
            <v xml:space="preserve"> </v>
          </cell>
          <cell r="O160" t="str">
            <v xml:space="preserve"> </v>
          </cell>
          <cell r="P160"/>
          <cell r="Q160" t="str">
            <v xml:space="preserve"> </v>
          </cell>
          <cell r="R160"/>
          <cell r="S160" t="str">
            <v xml:space="preserve"> </v>
          </cell>
          <cell r="T160" t="str">
            <v xml:space="preserve"> </v>
          </cell>
          <cell r="U160"/>
          <cell r="V160" t="str">
            <v xml:space="preserve"> </v>
          </cell>
          <cell r="W160" t="str">
            <v xml:space="preserve"> </v>
          </cell>
          <cell r="X160"/>
          <cell r="Y160" t="str">
            <v xml:space="preserve"> </v>
          </cell>
          <cell r="Z160"/>
          <cell r="AA160" t="str">
            <v xml:space="preserve"> </v>
          </cell>
          <cell r="AB160" t="str">
            <v xml:space="preserve"> </v>
          </cell>
          <cell r="AC160"/>
          <cell r="AD160" t="str">
            <v xml:space="preserve"> </v>
          </cell>
          <cell r="AE160"/>
          <cell r="AF160" t="str">
            <v xml:space="preserve"> </v>
          </cell>
          <cell r="AG160"/>
          <cell r="AH160"/>
          <cell r="AI160"/>
          <cell r="AJ160"/>
          <cell r="AK160" t="str">
            <v/>
          </cell>
          <cell r="AL160"/>
          <cell r="AM160" t="str">
            <v xml:space="preserve"> </v>
          </cell>
          <cell r="AN160" t="str">
            <v xml:space="preserve"> </v>
          </cell>
          <cell r="AO160"/>
          <cell r="AP160" t="str">
            <v xml:space="preserve"> </v>
          </cell>
          <cell r="AQ160"/>
          <cell r="AR160" t="str">
            <v xml:space="preserve"> </v>
          </cell>
          <cell r="AS160" t="str">
            <v xml:space="preserve"> </v>
          </cell>
          <cell r="AT160"/>
          <cell r="AU160" t="str">
            <v xml:space="preserve"> </v>
          </cell>
          <cell r="AV160"/>
          <cell r="AW160"/>
          <cell r="AX160" t="str">
            <v xml:space="preserve"> </v>
          </cell>
          <cell r="AY160"/>
          <cell r="AZ160" t="str">
            <v xml:space="preserve"> </v>
          </cell>
          <cell r="BA160"/>
          <cell r="BB160"/>
          <cell r="BC160" t="str">
            <v xml:space="preserve"> </v>
          </cell>
          <cell r="BD160"/>
          <cell r="BE160" t="str">
            <v xml:space="preserve"> </v>
          </cell>
          <cell r="BF160"/>
          <cell r="BG160"/>
          <cell r="BH160" t="str">
            <v xml:space="preserve"> </v>
          </cell>
          <cell r="BI160"/>
          <cell r="BJ160" t="str">
            <v xml:space="preserve"> </v>
          </cell>
          <cell r="BK160"/>
          <cell r="BL160" t="str">
            <v xml:space="preserve"> </v>
          </cell>
          <cell r="BM160" t="str">
            <v xml:space="preserve"> </v>
          </cell>
          <cell r="BN160"/>
          <cell r="BO160" t="str">
            <v xml:space="preserve"> </v>
          </cell>
        </row>
        <row r="161">
          <cell r="B161">
            <v>46179</v>
          </cell>
          <cell r="C161"/>
          <cell r="D161" t="str">
            <v xml:space="preserve"> </v>
          </cell>
          <cell r="E161" t="str">
            <v xml:space="preserve"> </v>
          </cell>
          <cell r="F161"/>
          <cell r="G161" t="str">
            <v xml:space="preserve"> </v>
          </cell>
          <cell r="H161"/>
          <cell r="I161" t="str">
            <v xml:space="preserve"> </v>
          </cell>
          <cell r="J161" t="str">
            <v xml:space="preserve"> </v>
          </cell>
          <cell r="K161"/>
          <cell r="L161" t="str">
            <v xml:space="preserve"> </v>
          </cell>
          <cell r="M161"/>
          <cell r="N161" t="str">
            <v xml:space="preserve"> </v>
          </cell>
          <cell r="O161" t="str">
            <v xml:space="preserve"> </v>
          </cell>
          <cell r="P161"/>
          <cell r="Q161" t="str">
            <v xml:space="preserve"> </v>
          </cell>
          <cell r="R161"/>
          <cell r="S161" t="str">
            <v xml:space="preserve"> </v>
          </cell>
          <cell r="T161" t="str">
            <v xml:space="preserve"> </v>
          </cell>
          <cell r="U161"/>
          <cell r="V161" t="str">
            <v xml:space="preserve"> </v>
          </cell>
          <cell r="W161" t="str">
            <v xml:space="preserve"> </v>
          </cell>
          <cell r="X161"/>
          <cell r="Y161" t="str">
            <v xml:space="preserve"> </v>
          </cell>
          <cell r="Z161"/>
          <cell r="AA161" t="str">
            <v xml:space="preserve"> </v>
          </cell>
          <cell r="AB161" t="str">
            <v xml:space="preserve"> </v>
          </cell>
          <cell r="AC161"/>
          <cell r="AD161" t="str">
            <v xml:space="preserve"> </v>
          </cell>
          <cell r="AE161"/>
          <cell r="AF161" t="str">
            <v xml:space="preserve"> </v>
          </cell>
          <cell r="AG161"/>
          <cell r="AH161"/>
          <cell r="AI161"/>
          <cell r="AJ161"/>
          <cell r="AK161" t="str">
            <v/>
          </cell>
          <cell r="AL161"/>
          <cell r="AM161" t="str">
            <v xml:space="preserve"> </v>
          </cell>
          <cell r="AN161" t="str">
            <v xml:space="preserve"> </v>
          </cell>
          <cell r="AO161"/>
          <cell r="AP161" t="str">
            <v xml:space="preserve"> </v>
          </cell>
          <cell r="AQ161"/>
          <cell r="AR161" t="str">
            <v xml:space="preserve"> </v>
          </cell>
          <cell r="AS161" t="str">
            <v xml:space="preserve"> </v>
          </cell>
          <cell r="AT161"/>
          <cell r="AU161" t="str">
            <v xml:space="preserve"> </v>
          </cell>
          <cell r="AV161"/>
          <cell r="AW161"/>
          <cell r="AX161" t="str">
            <v xml:space="preserve"> </v>
          </cell>
          <cell r="AY161"/>
          <cell r="AZ161" t="str">
            <v xml:space="preserve"> </v>
          </cell>
          <cell r="BA161"/>
          <cell r="BB161"/>
          <cell r="BC161" t="str">
            <v xml:space="preserve"> </v>
          </cell>
          <cell r="BD161"/>
          <cell r="BE161" t="str">
            <v xml:space="preserve"> </v>
          </cell>
          <cell r="BF161"/>
          <cell r="BG161"/>
          <cell r="BH161" t="str">
            <v xml:space="preserve"> </v>
          </cell>
          <cell r="BI161"/>
          <cell r="BJ161" t="str">
            <v xml:space="preserve"> </v>
          </cell>
          <cell r="BK161"/>
          <cell r="BL161" t="str">
            <v xml:space="preserve"> </v>
          </cell>
          <cell r="BM161" t="str">
            <v xml:space="preserve"> </v>
          </cell>
          <cell r="BN161"/>
          <cell r="BO161" t="str">
            <v xml:space="preserve"> </v>
          </cell>
        </row>
        <row r="162">
          <cell r="B162">
            <v>46180</v>
          </cell>
          <cell r="C162"/>
          <cell r="D162" t="str">
            <v xml:space="preserve"> </v>
          </cell>
          <cell r="E162" t="str">
            <v xml:space="preserve"> </v>
          </cell>
          <cell r="F162"/>
          <cell r="G162" t="str">
            <v xml:space="preserve"> </v>
          </cell>
          <cell r="H162"/>
          <cell r="I162" t="str">
            <v xml:space="preserve"> </v>
          </cell>
          <cell r="J162" t="str">
            <v xml:space="preserve"> </v>
          </cell>
          <cell r="K162"/>
          <cell r="L162" t="str">
            <v xml:space="preserve"> </v>
          </cell>
          <cell r="M162"/>
          <cell r="N162" t="str">
            <v xml:space="preserve"> </v>
          </cell>
          <cell r="O162" t="str">
            <v xml:space="preserve"> </v>
          </cell>
          <cell r="P162"/>
          <cell r="Q162" t="str">
            <v xml:space="preserve"> </v>
          </cell>
          <cell r="R162"/>
          <cell r="S162" t="str">
            <v xml:space="preserve"> </v>
          </cell>
          <cell r="T162" t="str">
            <v xml:space="preserve"> </v>
          </cell>
          <cell r="U162"/>
          <cell r="V162" t="str">
            <v xml:space="preserve"> </v>
          </cell>
          <cell r="W162" t="str">
            <v xml:space="preserve"> </v>
          </cell>
          <cell r="X162"/>
          <cell r="Y162" t="str">
            <v xml:space="preserve"> </v>
          </cell>
          <cell r="Z162"/>
          <cell r="AA162" t="str">
            <v xml:space="preserve"> </v>
          </cell>
          <cell r="AB162" t="str">
            <v xml:space="preserve"> </v>
          </cell>
          <cell r="AC162"/>
          <cell r="AD162" t="str">
            <v xml:space="preserve"> </v>
          </cell>
          <cell r="AE162"/>
          <cell r="AF162" t="str">
            <v xml:space="preserve"> </v>
          </cell>
          <cell r="AG162"/>
          <cell r="AH162"/>
          <cell r="AI162"/>
          <cell r="AJ162"/>
          <cell r="AK162" t="str">
            <v/>
          </cell>
          <cell r="AL162"/>
          <cell r="AM162" t="str">
            <v xml:space="preserve"> </v>
          </cell>
          <cell r="AN162" t="str">
            <v xml:space="preserve"> </v>
          </cell>
          <cell r="AO162"/>
          <cell r="AP162" t="str">
            <v xml:space="preserve"> </v>
          </cell>
          <cell r="AQ162"/>
          <cell r="AR162" t="str">
            <v xml:space="preserve"> </v>
          </cell>
          <cell r="AS162" t="str">
            <v xml:space="preserve"> </v>
          </cell>
          <cell r="AT162"/>
          <cell r="AU162" t="str">
            <v xml:space="preserve"> </v>
          </cell>
          <cell r="AV162"/>
          <cell r="AW162"/>
          <cell r="AX162" t="str">
            <v xml:space="preserve"> </v>
          </cell>
          <cell r="AY162"/>
          <cell r="AZ162" t="str">
            <v xml:space="preserve"> </v>
          </cell>
          <cell r="BA162"/>
          <cell r="BB162"/>
          <cell r="BC162" t="str">
            <v xml:space="preserve"> </v>
          </cell>
          <cell r="BD162"/>
          <cell r="BE162" t="str">
            <v xml:space="preserve"> </v>
          </cell>
          <cell r="BF162"/>
          <cell r="BG162"/>
          <cell r="BH162" t="str">
            <v xml:space="preserve"> </v>
          </cell>
          <cell r="BI162"/>
          <cell r="BJ162" t="str">
            <v xml:space="preserve"> </v>
          </cell>
          <cell r="BK162"/>
          <cell r="BL162" t="str">
            <v xml:space="preserve"> </v>
          </cell>
          <cell r="BM162" t="str">
            <v xml:space="preserve"> </v>
          </cell>
          <cell r="BN162"/>
          <cell r="BO162" t="str">
            <v xml:space="preserve"> </v>
          </cell>
        </row>
        <row r="163">
          <cell r="B163">
            <v>46181</v>
          </cell>
          <cell r="C163"/>
          <cell r="D163" t="str">
            <v xml:space="preserve"> </v>
          </cell>
          <cell r="E163" t="str">
            <v xml:space="preserve"> </v>
          </cell>
          <cell r="F163"/>
          <cell r="G163" t="str">
            <v xml:space="preserve"> </v>
          </cell>
          <cell r="H163"/>
          <cell r="I163" t="str">
            <v xml:space="preserve"> </v>
          </cell>
          <cell r="J163" t="str">
            <v xml:space="preserve"> </v>
          </cell>
          <cell r="K163"/>
          <cell r="L163" t="str">
            <v xml:space="preserve"> </v>
          </cell>
          <cell r="M163"/>
          <cell r="N163" t="str">
            <v xml:space="preserve"> </v>
          </cell>
          <cell r="O163" t="str">
            <v xml:space="preserve"> </v>
          </cell>
          <cell r="P163"/>
          <cell r="Q163" t="str">
            <v xml:space="preserve"> </v>
          </cell>
          <cell r="R163"/>
          <cell r="S163" t="str">
            <v xml:space="preserve"> </v>
          </cell>
          <cell r="T163" t="str">
            <v xml:space="preserve"> </v>
          </cell>
          <cell r="U163"/>
          <cell r="V163" t="str">
            <v xml:space="preserve"> </v>
          </cell>
          <cell r="W163" t="str">
            <v xml:space="preserve"> </v>
          </cell>
          <cell r="X163"/>
          <cell r="Y163" t="str">
            <v xml:space="preserve"> </v>
          </cell>
          <cell r="Z163"/>
          <cell r="AA163" t="str">
            <v xml:space="preserve"> </v>
          </cell>
          <cell r="AB163" t="str">
            <v xml:space="preserve"> </v>
          </cell>
          <cell r="AC163"/>
          <cell r="AD163" t="str">
            <v xml:space="preserve"> </v>
          </cell>
          <cell r="AE163"/>
          <cell r="AF163" t="str">
            <v xml:space="preserve"> </v>
          </cell>
          <cell r="AG163"/>
          <cell r="AH163"/>
          <cell r="AI163"/>
          <cell r="AJ163"/>
          <cell r="AK163" t="str">
            <v/>
          </cell>
          <cell r="AL163"/>
          <cell r="AM163" t="str">
            <v xml:space="preserve"> </v>
          </cell>
          <cell r="AN163" t="str">
            <v xml:space="preserve"> </v>
          </cell>
          <cell r="AO163"/>
          <cell r="AP163" t="str">
            <v xml:space="preserve"> </v>
          </cell>
          <cell r="AQ163"/>
          <cell r="AR163" t="str">
            <v xml:space="preserve"> </v>
          </cell>
          <cell r="AS163" t="str">
            <v xml:space="preserve"> </v>
          </cell>
          <cell r="AT163"/>
          <cell r="AU163" t="str">
            <v xml:space="preserve"> </v>
          </cell>
          <cell r="AV163"/>
          <cell r="AW163"/>
          <cell r="AX163" t="str">
            <v xml:space="preserve"> </v>
          </cell>
          <cell r="AY163"/>
          <cell r="AZ163" t="str">
            <v xml:space="preserve"> </v>
          </cell>
          <cell r="BA163"/>
          <cell r="BB163"/>
          <cell r="BC163" t="str">
            <v xml:space="preserve"> </v>
          </cell>
          <cell r="BD163"/>
          <cell r="BE163" t="str">
            <v xml:space="preserve"> </v>
          </cell>
          <cell r="BF163"/>
          <cell r="BG163"/>
          <cell r="BH163" t="str">
            <v xml:space="preserve"> </v>
          </cell>
          <cell r="BI163"/>
          <cell r="BJ163" t="str">
            <v xml:space="preserve"> </v>
          </cell>
          <cell r="BK163"/>
          <cell r="BL163" t="str">
            <v xml:space="preserve"> </v>
          </cell>
          <cell r="BM163" t="str">
            <v xml:space="preserve"> </v>
          </cell>
          <cell r="BN163"/>
          <cell r="BO163" t="str">
            <v xml:space="preserve"> </v>
          </cell>
        </row>
        <row r="164">
          <cell r="B164">
            <v>46182</v>
          </cell>
          <cell r="C164"/>
          <cell r="D164" t="str">
            <v xml:space="preserve"> </v>
          </cell>
          <cell r="E164" t="str">
            <v xml:space="preserve"> </v>
          </cell>
          <cell r="F164"/>
          <cell r="G164" t="str">
            <v xml:space="preserve"> </v>
          </cell>
          <cell r="H164"/>
          <cell r="I164" t="str">
            <v xml:space="preserve"> </v>
          </cell>
          <cell r="J164" t="str">
            <v xml:space="preserve"> </v>
          </cell>
          <cell r="K164"/>
          <cell r="L164" t="str">
            <v xml:space="preserve"> </v>
          </cell>
          <cell r="M164"/>
          <cell r="N164" t="str">
            <v xml:space="preserve"> </v>
          </cell>
          <cell r="O164" t="str">
            <v xml:space="preserve"> </v>
          </cell>
          <cell r="P164"/>
          <cell r="Q164" t="str">
            <v xml:space="preserve"> </v>
          </cell>
          <cell r="R164"/>
          <cell r="S164" t="str">
            <v xml:space="preserve"> </v>
          </cell>
          <cell r="T164" t="str">
            <v xml:space="preserve"> </v>
          </cell>
          <cell r="U164"/>
          <cell r="V164" t="str">
            <v xml:space="preserve"> </v>
          </cell>
          <cell r="W164" t="str">
            <v xml:space="preserve"> </v>
          </cell>
          <cell r="X164"/>
          <cell r="Y164" t="str">
            <v xml:space="preserve"> </v>
          </cell>
          <cell r="Z164"/>
          <cell r="AA164" t="str">
            <v xml:space="preserve"> </v>
          </cell>
          <cell r="AB164" t="str">
            <v xml:space="preserve"> </v>
          </cell>
          <cell r="AC164"/>
          <cell r="AD164" t="str">
            <v xml:space="preserve"> </v>
          </cell>
          <cell r="AE164"/>
          <cell r="AF164" t="str">
            <v xml:space="preserve"> </v>
          </cell>
          <cell r="AG164"/>
          <cell r="AH164"/>
          <cell r="AI164"/>
          <cell r="AJ164"/>
          <cell r="AK164" t="str">
            <v/>
          </cell>
          <cell r="AL164"/>
          <cell r="AM164" t="str">
            <v xml:space="preserve"> </v>
          </cell>
          <cell r="AN164" t="str">
            <v xml:space="preserve"> </v>
          </cell>
          <cell r="AO164"/>
          <cell r="AP164" t="str">
            <v xml:space="preserve"> </v>
          </cell>
          <cell r="AQ164"/>
          <cell r="AR164" t="str">
            <v xml:space="preserve"> </v>
          </cell>
          <cell r="AS164" t="str">
            <v xml:space="preserve"> </v>
          </cell>
          <cell r="AT164"/>
          <cell r="AU164" t="str">
            <v xml:space="preserve"> </v>
          </cell>
          <cell r="AV164"/>
          <cell r="AW164"/>
          <cell r="AX164" t="str">
            <v xml:space="preserve"> </v>
          </cell>
          <cell r="AY164"/>
          <cell r="AZ164" t="str">
            <v xml:space="preserve"> </v>
          </cell>
          <cell r="BA164"/>
          <cell r="BB164"/>
          <cell r="BC164" t="str">
            <v xml:space="preserve"> </v>
          </cell>
          <cell r="BD164"/>
          <cell r="BE164" t="str">
            <v xml:space="preserve"> </v>
          </cell>
          <cell r="BF164"/>
          <cell r="BG164"/>
          <cell r="BH164" t="str">
            <v xml:space="preserve"> </v>
          </cell>
          <cell r="BI164"/>
          <cell r="BJ164" t="str">
            <v xml:space="preserve"> </v>
          </cell>
          <cell r="BK164"/>
          <cell r="BL164" t="str">
            <v xml:space="preserve"> </v>
          </cell>
          <cell r="BM164" t="str">
            <v xml:space="preserve"> </v>
          </cell>
          <cell r="BN164"/>
          <cell r="BO164" t="str">
            <v xml:space="preserve"> </v>
          </cell>
        </row>
        <row r="165">
          <cell r="B165">
            <v>46183</v>
          </cell>
          <cell r="C165"/>
          <cell r="D165" t="str">
            <v xml:space="preserve"> </v>
          </cell>
          <cell r="E165" t="str">
            <v xml:space="preserve"> </v>
          </cell>
          <cell r="F165"/>
          <cell r="G165" t="str">
            <v xml:space="preserve"> </v>
          </cell>
          <cell r="H165"/>
          <cell r="I165" t="str">
            <v xml:space="preserve"> </v>
          </cell>
          <cell r="J165" t="str">
            <v xml:space="preserve"> </v>
          </cell>
          <cell r="K165"/>
          <cell r="L165" t="str">
            <v xml:space="preserve"> </v>
          </cell>
          <cell r="M165"/>
          <cell r="N165" t="str">
            <v xml:space="preserve"> </v>
          </cell>
          <cell r="O165" t="str">
            <v xml:space="preserve"> </v>
          </cell>
          <cell r="P165"/>
          <cell r="Q165" t="str">
            <v xml:space="preserve"> </v>
          </cell>
          <cell r="R165"/>
          <cell r="S165" t="str">
            <v xml:space="preserve"> </v>
          </cell>
          <cell r="T165" t="str">
            <v xml:space="preserve"> </v>
          </cell>
          <cell r="U165"/>
          <cell r="V165" t="str">
            <v xml:space="preserve"> </v>
          </cell>
          <cell r="W165" t="str">
            <v xml:space="preserve"> </v>
          </cell>
          <cell r="X165"/>
          <cell r="Y165" t="str">
            <v xml:space="preserve"> </v>
          </cell>
          <cell r="Z165"/>
          <cell r="AA165" t="str">
            <v xml:space="preserve"> </v>
          </cell>
          <cell r="AB165" t="str">
            <v xml:space="preserve"> </v>
          </cell>
          <cell r="AC165"/>
          <cell r="AD165" t="str">
            <v xml:space="preserve"> </v>
          </cell>
          <cell r="AE165"/>
          <cell r="AF165" t="str">
            <v xml:space="preserve"> </v>
          </cell>
          <cell r="AG165"/>
          <cell r="AH165"/>
          <cell r="AI165"/>
          <cell r="AJ165"/>
          <cell r="AK165" t="str">
            <v/>
          </cell>
          <cell r="AL165"/>
          <cell r="AM165" t="str">
            <v xml:space="preserve"> </v>
          </cell>
          <cell r="AN165" t="str">
            <v xml:space="preserve"> </v>
          </cell>
          <cell r="AO165"/>
          <cell r="AP165" t="str">
            <v xml:space="preserve"> </v>
          </cell>
          <cell r="AQ165"/>
          <cell r="AR165" t="str">
            <v xml:space="preserve"> </v>
          </cell>
          <cell r="AS165" t="str">
            <v xml:space="preserve"> </v>
          </cell>
          <cell r="AT165"/>
          <cell r="AU165" t="str">
            <v xml:space="preserve"> </v>
          </cell>
          <cell r="AV165"/>
          <cell r="AW165"/>
          <cell r="AX165" t="str">
            <v xml:space="preserve"> </v>
          </cell>
          <cell r="AY165"/>
          <cell r="AZ165" t="str">
            <v xml:space="preserve"> </v>
          </cell>
          <cell r="BA165"/>
          <cell r="BB165"/>
          <cell r="BC165" t="str">
            <v xml:space="preserve"> </v>
          </cell>
          <cell r="BD165"/>
          <cell r="BE165" t="str">
            <v xml:space="preserve"> </v>
          </cell>
          <cell r="BF165"/>
          <cell r="BG165"/>
          <cell r="BH165" t="str">
            <v xml:space="preserve"> </v>
          </cell>
          <cell r="BI165"/>
          <cell r="BJ165" t="str">
            <v xml:space="preserve"> </v>
          </cell>
          <cell r="BK165"/>
          <cell r="BL165" t="str">
            <v xml:space="preserve"> </v>
          </cell>
          <cell r="BM165" t="str">
            <v xml:space="preserve"> </v>
          </cell>
          <cell r="BN165"/>
          <cell r="BO165" t="str">
            <v xml:space="preserve"> </v>
          </cell>
        </row>
        <row r="166">
          <cell r="B166">
            <v>46184</v>
          </cell>
          <cell r="C166"/>
          <cell r="D166" t="str">
            <v xml:space="preserve"> </v>
          </cell>
          <cell r="E166" t="str">
            <v xml:space="preserve"> </v>
          </cell>
          <cell r="F166"/>
          <cell r="G166" t="str">
            <v xml:space="preserve"> </v>
          </cell>
          <cell r="H166"/>
          <cell r="I166" t="str">
            <v xml:space="preserve"> </v>
          </cell>
          <cell r="J166" t="str">
            <v xml:space="preserve"> </v>
          </cell>
          <cell r="K166"/>
          <cell r="L166" t="str">
            <v xml:space="preserve"> </v>
          </cell>
          <cell r="M166"/>
          <cell r="N166" t="str">
            <v xml:space="preserve"> </v>
          </cell>
          <cell r="O166" t="str">
            <v xml:space="preserve"> </v>
          </cell>
          <cell r="P166"/>
          <cell r="Q166" t="str">
            <v xml:space="preserve"> </v>
          </cell>
          <cell r="R166"/>
          <cell r="S166" t="str">
            <v xml:space="preserve"> </v>
          </cell>
          <cell r="T166" t="str">
            <v xml:space="preserve"> </v>
          </cell>
          <cell r="U166"/>
          <cell r="V166" t="str">
            <v xml:space="preserve"> </v>
          </cell>
          <cell r="W166" t="str">
            <v xml:space="preserve"> </v>
          </cell>
          <cell r="X166"/>
          <cell r="Y166" t="str">
            <v xml:space="preserve"> </v>
          </cell>
          <cell r="Z166"/>
          <cell r="AA166" t="str">
            <v xml:space="preserve"> </v>
          </cell>
          <cell r="AB166" t="str">
            <v xml:space="preserve"> </v>
          </cell>
          <cell r="AC166"/>
          <cell r="AD166" t="str">
            <v xml:space="preserve"> </v>
          </cell>
          <cell r="AE166"/>
          <cell r="AF166" t="str">
            <v xml:space="preserve"> </v>
          </cell>
          <cell r="AG166"/>
          <cell r="AH166"/>
          <cell r="AI166"/>
          <cell r="AJ166"/>
          <cell r="AK166" t="str">
            <v/>
          </cell>
          <cell r="AL166"/>
          <cell r="AM166" t="str">
            <v xml:space="preserve"> </v>
          </cell>
          <cell r="AN166" t="str">
            <v xml:space="preserve"> </v>
          </cell>
          <cell r="AO166"/>
          <cell r="AP166" t="str">
            <v xml:space="preserve"> </v>
          </cell>
          <cell r="AQ166"/>
          <cell r="AR166" t="str">
            <v xml:space="preserve"> </v>
          </cell>
          <cell r="AS166" t="str">
            <v xml:space="preserve"> </v>
          </cell>
          <cell r="AT166"/>
          <cell r="AU166" t="str">
            <v xml:space="preserve"> </v>
          </cell>
          <cell r="AV166"/>
          <cell r="AW166"/>
          <cell r="AX166" t="str">
            <v xml:space="preserve"> </v>
          </cell>
          <cell r="AY166"/>
          <cell r="AZ166" t="str">
            <v xml:space="preserve"> </v>
          </cell>
          <cell r="BA166"/>
          <cell r="BB166"/>
          <cell r="BC166" t="str">
            <v xml:space="preserve"> </v>
          </cell>
          <cell r="BD166"/>
          <cell r="BE166" t="str">
            <v xml:space="preserve"> </v>
          </cell>
          <cell r="BF166"/>
          <cell r="BG166"/>
          <cell r="BH166" t="str">
            <v xml:space="preserve"> </v>
          </cell>
          <cell r="BI166"/>
          <cell r="BJ166" t="str">
            <v xml:space="preserve"> </v>
          </cell>
          <cell r="BK166"/>
          <cell r="BL166" t="str">
            <v xml:space="preserve"> </v>
          </cell>
          <cell r="BM166" t="str">
            <v xml:space="preserve"> </v>
          </cell>
          <cell r="BN166"/>
          <cell r="BO166" t="str">
            <v xml:space="preserve"> </v>
          </cell>
        </row>
        <row r="167">
          <cell r="B167">
            <v>46185</v>
          </cell>
          <cell r="C167"/>
          <cell r="D167" t="str">
            <v xml:space="preserve"> </v>
          </cell>
          <cell r="E167" t="str">
            <v xml:space="preserve"> </v>
          </cell>
          <cell r="F167"/>
          <cell r="G167" t="str">
            <v xml:space="preserve"> </v>
          </cell>
          <cell r="H167"/>
          <cell r="I167" t="str">
            <v xml:space="preserve"> </v>
          </cell>
          <cell r="J167" t="str">
            <v xml:space="preserve"> </v>
          </cell>
          <cell r="K167"/>
          <cell r="L167" t="str">
            <v xml:space="preserve"> </v>
          </cell>
          <cell r="M167"/>
          <cell r="N167" t="str">
            <v xml:space="preserve"> </v>
          </cell>
          <cell r="O167" t="str">
            <v xml:space="preserve"> </v>
          </cell>
          <cell r="P167"/>
          <cell r="Q167" t="str">
            <v xml:space="preserve"> </v>
          </cell>
          <cell r="R167"/>
          <cell r="S167" t="str">
            <v xml:space="preserve"> </v>
          </cell>
          <cell r="T167" t="str">
            <v xml:space="preserve"> </v>
          </cell>
          <cell r="U167"/>
          <cell r="V167" t="str">
            <v xml:space="preserve"> </v>
          </cell>
          <cell r="W167" t="str">
            <v xml:space="preserve"> </v>
          </cell>
          <cell r="X167"/>
          <cell r="Y167" t="str">
            <v xml:space="preserve"> </v>
          </cell>
          <cell r="Z167"/>
          <cell r="AA167" t="str">
            <v xml:space="preserve"> </v>
          </cell>
          <cell r="AB167" t="str">
            <v xml:space="preserve"> </v>
          </cell>
          <cell r="AC167"/>
          <cell r="AD167" t="str">
            <v xml:space="preserve"> </v>
          </cell>
          <cell r="AE167"/>
          <cell r="AF167" t="str">
            <v xml:space="preserve"> </v>
          </cell>
          <cell r="AG167"/>
          <cell r="AH167"/>
          <cell r="AI167"/>
          <cell r="AJ167"/>
          <cell r="AK167" t="str">
            <v/>
          </cell>
          <cell r="AL167"/>
          <cell r="AM167" t="str">
            <v xml:space="preserve"> </v>
          </cell>
          <cell r="AN167" t="str">
            <v xml:space="preserve"> </v>
          </cell>
          <cell r="AO167"/>
          <cell r="AP167" t="str">
            <v xml:space="preserve"> </v>
          </cell>
          <cell r="AQ167"/>
          <cell r="AR167" t="str">
            <v xml:space="preserve"> </v>
          </cell>
          <cell r="AS167" t="str">
            <v xml:space="preserve"> </v>
          </cell>
          <cell r="AT167"/>
          <cell r="AU167" t="str">
            <v xml:space="preserve"> </v>
          </cell>
          <cell r="AV167"/>
          <cell r="AW167"/>
          <cell r="AX167" t="str">
            <v xml:space="preserve"> </v>
          </cell>
          <cell r="AY167"/>
          <cell r="AZ167" t="str">
            <v xml:space="preserve"> </v>
          </cell>
          <cell r="BA167"/>
          <cell r="BB167"/>
          <cell r="BC167" t="str">
            <v xml:space="preserve"> </v>
          </cell>
          <cell r="BD167"/>
          <cell r="BE167" t="str">
            <v xml:space="preserve"> </v>
          </cell>
          <cell r="BF167"/>
          <cell r="BG167"/>
          <cell r="BH167" t="str">
            <v xml:space="preserve"> </v>
          </cell>
          <cell r="BI167"/>
          <cell r="BJ167" t="str">
            <v xml:space="preserve"> </v>
          </cell>
          <cell r="BK167"/>
          <cell r="BL167" t="str">
            <v xml:space="preserve"> </v>
          </cell>
          <cell r="BM167" t="str">
            <v xml:space="preserve"> </v>
          </cell>
          <cell r="BN167"/>
          <cell r="BO167" t="str">
            <v xml:space="preserve"> </v>
          </cell>
        </row>
        <row r="168">
          <cell r="B168">
            <v>46186</v>
          </cell>
          <cell r="C168"/>
          <cell r="D168" t="str">
            <v xml:space="preserve"> </v>
          </cell>
          <cell r="E168" t="str">
            <v xml:space="preserve"> </v>
          </cell>
          <cell r="F168"/>
          <cell r="G168" t="str">
            <v xml:space="preserve"> </v>
          </cell>
          <cell r="H168"/>
          <cell r="I168" t="str">
            <v xml:space="preserve"> </v>
          </cell>
          <cell r="J168" t="str">
            <v xml:space="preserve"> </v>
          </cell>
          <cell r="K168"/>
          <cell r="L168" t="str">
            <v xml:space="preserve"> </v>
          </cell>
          <cell r="M168"/>
          <cell r="N168" t="str">
            <v xml:space="preserve"> </v>
          </cell>
          <cell r="O168" t="str">
            <v xml:space="preserve"> </v>
          </cell>
          <cell r="P168"/>
          <cell r="Q168" t="str">
            <v xml:space="preserve"> </v>
          </cell>
          <cell r="R168"/>
          <cell r="S168" t="str">
            <v xml:space="preserve"> </v>
          </cell>
          <cell r="T168" t="str">
            <v xml:space="preserve"> </v>
          </cell>
          <cell r="U168"/>
          <cell r="V168" t="str">
            <v xml:space="preserve"> </v>
          </cell>
          <cell r="W168" t="str">
            <v xml:space="preserve"> </v>
          </cell>
          <cell r="X168"/>
          <cell r="Y168" t="str">
            <v xml:space="preserve"> </v>
          </cell>
          <cell r="Z168"/>
          <cell r="AA168" t="str">
            <v xml:space="preserve"> </v>
          </cell>
          <cell r="AB168" t="str">
            <v xml:space="preserve"> </v>
          </cell>
          <cell r="AC168"/>
          <cell r="AD168" t="str">
            <v xml:space="preserve"> </v>
          </cell>
          <cell r="AE168"/>
          <cell r="AF168" t="str">
            <v xml:space="preserve"> </v>
          </cell>
          <cell r="AG168"/>
          <cell r="AH168"/>
          <cell r="AI168"/>
          <cell r="AJ168"/>
          <cell r="AK168" t="str">
            <v/>
          </cell>
          <cell r="AL168"/>
          <cell r="AM168" t="str">
            <v xml:space="preserve"> </v>
          </cell>
          <cell r="AN168" t="str">
            <v xml:space="preserve"> </v>
          </cell>
          <cell r="AO168"/>
          <cell r="AP168" t="str">
            <v xml:space="preserve"> </v>
          </cell>
          <cell r="AQ168"/>
          <cell r="AR168" t="str">
            <v xml:space="preserve"> </v>
          </cell>
          <cell r="AS168" t="str">
            <v xml:space="preserve"> </v>
          </cell>
          <cell r="AT168"/>
          <cell r="AU168" t="str">
            <v xml:space="preserve"> </v>
          </cell>
          <cell r="AV168"/>
          <cell r="AW168"/>
          <cell r="AX168" t="str">
            <v xml:space="preserve"> </v>
          </cell>
          <cell r="AY168"/>
          <cell r="AZ168" t="str">
            <v xml:space="preserve"> </v>
          </cell>
          <cell r="BA168"/>
          <cell r="BB168"/>
          <cell r="BC168" t="str">
            <v xml:space="preserve"> </v>
          </cell>
          <cell r="BD168"/>
          <cell r="BE168" t="str">
            <v xml:space="preserve"> </v>
          </cell>
          <cell r="BF168"/>
          <cell r="BG168"/>
          <cell r="BH168" t="str">
            <v xml:space="preserve"> </v>
          </cell>
          <cell r="BI168"/>
          <cell r="BJ168" t="str">
            <v xml:space="preserve"> </v>
          </cell>
          <cell r="BK168"/>
          <cell r="BL168" t="str">
            <v xml:space="preserve"> </v>
          </cell>
          <cell r="BM168" t="str">
            <v xml:space="preserve"> </v>
          </cell>
          <cell r="BN168"/>
          <cell r="BO168" t="str">
            <v xml:space="preserve"> </v>
          </cell>
        </row>
        <row r="169">
          <cell r="B169">
            <v>46187</v>
          </cell>
          <cell r="C169"/>
          <cell r="D169" t="str">
            <v xml:space="preserve"> </v>
          </cell>
          <cell r="E169" t="str">
            <v xml:space="preserve"> </v>
          </cell>
          <cell r="F169"/>
          <cell r="G169" t="str">
            <v xml:space="preserve"> </v>
          </cell>
          <cell r="H169"/>
          <cell r="I169" t="str">
            <v xml:space="preserve"> </v>
          </cell>
          <cell r="J169" t="str">
            <v xml:space="preserve"> </v>
          </cell>
          <cell r="K169"/>
          <cell r="L169" t="str">
            <v xml:space="preserve"> </v>
          </cell>
          <cell r="M169"/>
          <cell r="N169" t="str">
            <v xml:space="preserve"> </v>
          </cell>
          <cell r="O169" t="str">
            <v xml:space="preserve"> </v>
          </cell>
          <cell r="P169"/>
          <cell r="Q169" t="str">
            <v xml:space="preserve"> </v>
          </cell>
          <cell r="R169"/>
          <cell r="S169" t="str">
            <v xml:space="preserve"> </v>
          </cell>
          <cell r="T169" t="str">
            <v xml:space="preserve"> </v>
          </cell>
          <cell r="U169"/>
          <cell r="V169" t="str">
            <v xml:space="preserve"> </v>
          </cell>
          <cell r="W169" t="str">
            <v xml:space="preserve"> </v>
          </cell>
          <cell r="X169"/>
          <cell r="Y169" t="str">
            <v xml:space="preserve"> </v>
          </cell>
          <cell r="Z169"/>
          <cell r="AA169" t="str">
            <v xml:space="preserve"> </v>
          </cell>
          <cell r="AB169" t="str">
            <v xml:space="preserve"> </v>
          </cell>
          <cell r="AC169"/>
          <cell r="AD169" t="str">
            <v xml:space="preserve"> </v>
          </cell>
          <cell r="AE169"/>
          <cell r="AF169" t="str">
            <v xml:space="preserve"> </v>
          </cell>
          <cell r="AG169"/>
          <cell r="AH169"/>
          <cell r="AI169"/>
          <cell r="AJ169"/>
          <cell r="AK169" t="str">
            <v/>
          </cell>
          <cell r="AL169"/>
          <cell r="AM169" t="str">
            <v xml:space="preserve"> </v>
          </cell>
          <cell r="AN169" t="str">
            <v xml:space="preserve"> </v>
          </cell>
          <cell r="AO169"/>
          <cell r="AP169" t="str">
            <v xml:space="preserve"> </v>
          </cell>
          <cell r="AQ169"/>
          <cell r="AR169" t="str">
            <v xml:space="preserve"> </v>
          </cell>
          <cell r="AS169" t="str">
            <v xml:space="preserve"> </v>
          </cell>
          <cell r="AT169"/>
          <cell r="AU169" t="str">
            <v xml:space="preserve"> </v>
          </cell>
          <cell r="AV169"/>
          <cell r="AW169"/>
          <cell r="AX169" t="str">
            <v xml:space="preserve"> </v>
          </cell>
          <cell r="AY169"/>
          <cell r="AZ169" t="str">
            <v xml:space="preserve"> </v>
          </cell>
          <cell r="BA169"/>
          <cell r="BB169"/>
          <cell r="BC169" t="str">
            <v xml:space="preserve"> </v>
          </cell>
          <cell r="BD169"/>
          <cell r="BE169" t="str">
            <v xml:space="preserve"> </v>
          </cell>
          <cell r="BF169"/>
          <cell r="BG169"/>
          <cell r="BH169" t="str">
            <v xml:space="preserve"> </v>
          </cell>
          <cell r="BI169"/>
          <cell r="BJ169" t="str">
            <v xml:space="preserve"> </v>
          </cell>
          <cell r="BK169"/>
          <cell r="BL169" t="str">
            <v xml:space="preserve"> </v>
          </cell>
          <cell r="BM169" t="str">
            <v xml:space="preserve"> </v>
          </cell>
          <cell r="BN169"/>
          <cell r="BO169" t="str">
            <v xml:space="preserve"> </v>
          </cell>
        </row>
        <row r="170">
          <cell r="B170">
            <v>46188</v>
          </cell>
          <cell r="C170"/>
          <cell r="D170" t="str">
            <v xml:space="preserve"> </v>
          </cell>
          <cell r="E170" t="str">
            <v xml:space="preserve"> </v>
          </cell>
          <cell r="F170"/>
          <cell r="G170" t="str">
            <v xml:space="preserve"> </v>
          </cell>
          <cell r="H170"/>
          <cell r="I170" t="str">
            <v xml:space="preserve"> </v>
          </cell>
          <cell r="J170" t="str">
            <v xml:space="preserve"> </v>
          </cell>
          <cell r="K170"/>
          <cell r="L170" t="str">
            <v xml:space="preserve"> </v>
          </cell>
          <cell r="M170"/>
          <cell r="N170" t="str">
            <v xml:space="preserve"> </v>
          </cell>
          <cell r="O170" t="str">
            <v xml:space="preserve"> </v>
          </cell>
          <cell r="P170"/>
          <cell r="Q170" t="str">
            <v xml:space="preserve"> </v>
          </cell>
          <cell r="R170"/>
          <cell r="S170" t="str">
            <v xml:space="preserve"> </v>
          </cell>
          <cell r="T170" t="str">
            <v xml:space="preserve"> </v>
          </cell>
          <cell r="U170"/>
          <cell r="V170" t="str">
            <v xml:space="preserve"> </v>
          </cell>
          <cell r="W170" t="str">
            <v xml:space="preserve"> </v>
          </cell>
          <cell r="X170"/>
          <cell r="Y170" t="str">
            <v xml:space="preserve"> </v>
          </cell>
          <cell r="Z170"/>
          <cell r="AA170" t="str">
            <v xml:space="preserve"> </v>
          </cell>
          <cell r="AB170" t="str">
            <v xml:space="preserve"> </v>
          </cell>
          <cell r="AC170"/>
          <cell r="AD170" t="str">
            <v xml:space="preserve"> </v>
          </cell>
          <cell r="AE170"/>
          <cell r="AF170" t="str">
            <v xml:space="preserve"> </v>
          </cell>
          <cell r="AG170"/>
          <cell r="AH170"/>
          <cell r="AI170"/>
          <cell r="AJ170"/>
          <cell r="AK170" t="str">
            <v/>
          </cell>
          <cell r="AL170"/>
          <cell r="AM170" t="str">
            <v xml:space="preserve"> </v>
          </cell>
          <cell r="AN170" t="str">
            <v xml:space="preserve"> </v>
          </cell>
          <cell r="AO170"/>
          <cell r="AP170" t="str">
            <v xml:space="preserve"> </v>
          </cell>
          <cell r="AQ170"/>
          <cell r="AR170" t="str">
            <v xml:space="preserve"> </v>
          </cell>
          <cell r="AS170" t="str">
            <v xml:space="preserve"> </v>
          </cell>
          <cell r="AT170"/>
          <cell r="AU170" t="str">
            <v xml:space="preserve"> </v>
          </cell>
          <cell r="AV170"/>
          <cell r="AW170"/>
          <cell r="AX170" t="str">
            <v xml:space="preserve"> </v>
          </cell>
          <cell r="AY170"/>
          <cell r="AZ170" t="str">
            <v xml:space="preserve"> </v>
          </cell>
          <cell r="BA170"/>
          <cell r="BB170"/>
          <cell r="BC170" t="str">
            <v xml:space="preserve"> </v>
          </cell>
          <cell r="BD170"/>
          <cell r="BE170" t="str">
            <v xml:space="preserve"> </v>
          </cell>
          <cell r="BF170"/>
          <cell r="BG170"/>
          <cell r="BH170" t="str">
            <v xml:space="preserve"> </v>
          </cell>
          <cell r="BI170"/>
          <cell r="BJ170" t="str">
            <v xml:space="preserve"> </v>
          </cell>
          <cell r="BK170"/>
          <cell r="BL170" t="str">
            <v xml:space="preserve"> </v>
          </cell>
          <cell r="BM170" t="str">
            <v xml:space="preserve"> </v>
          </cell>
          <cell r="BN170"/>
          <cell r="BO170" t="str">
            <v xml:space="preserve"> </v>
          </cell>
        </row>
        <row r="171">
          <cell r="B171">
            <v>46189</v>
          </cell>
          <cell r="C171"/>
          <cell r="D171" t="str">
            <v xml:space="preserve"> </v>
          </cell>
          <cell r="E171" t="str">
            <v xml:space="preserve"> </v>
          </cell>
          <cell r="F171"/>
          <cell r="G171" t="str">
            <v xml:space="preserve"> </v>
          </cell>
          <cell r="H171"/>
          <cell r="I171" t="str">
            <v xml:space="preserve"> </v>
          </cell>
          <cell r="J171" t="str">
            <v xml:space="preserve"> </v>
          </cell>
          <cell r="K171"/>
          <cell r="L171" t="str">
            <v xml:space="preserve"> </v>
          </cell>
          <cell r="M171"/>
          <cell r="N171" t="str">
            <v xml:space="preserve"> </v>
          </cell>
          <cell r="O171" t="str">
            <v xml:space="preserve"> </v>
          </cell>
          <cell r="P171"/>
          <cell r="Q171" t="str">
            <v xml:space="preserve"> </v>
          </cell>
          <cell r="R171"/>
          <cell r="S171" t="str">
            <v xml:space="preserve"> </v>
          </cell>
          <cell r="T171" t="str">
            <v xml:space="preserve"> </v>
          </cell>
          <cell r="U171"/>
          <cell r="V171" t="str">
            <v xml:space="preserve"> </v>
          </cell>
          <cell r="W171" t="str">
            <v xml:space="preserve"> </v>
          </cell>
          <cell r="X171"/>
          <cell r="Y171" t="str">
            <v xml:space="preserve"> </v>
          </cell>
          <cell r="Z171"/>
          <cell r="AA171" t="str">
            <v xml:space="preserve"> </v>
          </cell>
          <cell r="AB171" t="str">
            <v xml:space="preserve"> </v>
          </cell>
          <cell r="AC171"/>
          <cell r="AD171" t="str">
            <v xml:space="preserve"> </v>
          </cell>
          <cell r="AE171"/>
          <cell r="AF171" t="str">
            <v xml:space="preserve"> </v>
          </cell>
          <cell r="AG171"/>
          <cell r="AH171"/>
          <cell r="AI171"/>
          <cell r="AJ171"/>
          <cell r="AK171" t="str">
            <v/>
          </cell>
          <cell r="AL171"/>
          <cell r="AM171" t="str">
            <v xml:space="preserve"> </v>
          </cell>
          <cell r="AN171" t="str">
            <v xml:space="preserve"> </v>
          </cell>
          <cell r="AO171"/>
          <cell r="AP171" t="str">
            <v xml:space="preserve"> </v>
          </cell>
          <cell r="AQ171"/>
          <cell r="AR171" t="str">
            <v xml:space="preserve"> </v>
          </cell>
          <cell r="AS171" t="str">
            <v xml:space="preserve"> </v>
          </cell>
          <cell r="AT171"/>
          <cell r="AU171" t="str">
            <v xml:space="preserve"> </v>
          </cell>
          <cell r="AV171"/>
          <cell r="AW171"/>
          <cell r="AX171" t="str">
            <v xml:space="preserve"> </v>
          </cell>
          <cell r="AY171"/>
          <cell r="AZ171" t="str">
            <v xml:space="preserve"> </v>
          </cell>
          <cell r="BA171"/>
          <cell r="BB171"/>
          <cell r="BC171" t="str">
            <v xml:space="preserve"> </v>
          </cell>
          <cell r="BD171"/>
          <cell r="BE171" t="str">
            <v xml:space="preserve"> </v>
          </cell>
          <cell r="BF171"/>
          <cell r="BG171"/>
          <cell r="BH171" t="str">
            <v xml:space="preserve"> </v>
          </cell>
          <cell r="BI171"/>
          <cell r="BJ171" t="str">
            <v xml:space="preserve"> </v>
          </cell>
          <cell r="BK171"/>
          <cell r="BL171" t="str">
            <v xml:space="preserve"> </v>
          </cell>
          <cell r="BM171" t="str">
            <v xml:space="preserve"> </v>
          </cell>
          <cell r="BN171"/>
          <cell r="BO171" t="str">
            <v xml:space="preserve"> </v>
          </cell>
        </row>
        <row r="172">
          <cell r="B172">
            <v>46190</v>
          </cell>
          <cell r="C172"/>
          <cell r="D172" t="str">
            <v xml:space="preserve"> </v>
          </cell>
          <cell r="E172" t="str">
            <v xml:space="preserve"> </v>
          </cell>
          <cell r="F172"/>
          <cell r="G172" t="str">
            <v xml:space="preserve"> </v>
          </cell>
          <cell r="H172"/>
          <cell r="I172" t="str">
            <v xml:space="preserve"> </v>
          </cell>
          <cell r="J172" t="str">
            <v xml:space="preserve"> </v>
          </cell>
          <cell r="K172"/>
          <cell r="L172" t="str">
            <v xml:space="preserve"> </v>
          </cell>
          <cell r="M172"/>
          <cell r="N172" t="str">
            <v xml:space="preserve"> </v>
          </cell>
          <cell r="O172" t="str">
            <v xml:space="preserve"> </v>
          </cell>
          <cell r="P172"/>
          <cell r="Q172" t="str">
            <v xml:space="preserve"> </v>
          </cell>
          <cell r="R172"/>
          <cell r="S172" t="str">
            <v xml:space="preserve"> </v>
          </cell>
          <cell r="T172" t="str">
            <v xml:space="preserve"> </v>
          </cell>
          <cell r="U172"/>
          <cell r="V172" t="str">
            <v xml:space="preserve"> </v>
          </cell>
          <cell r="W172" t="str">
            <v xml:space="preserve"> </v>
          </cell>
          <cell r="X172"/>
          <cell r="Y172" t="str">
            <v xml:space="preserve"> </v>
          </cell>
          <cell r="Z172"/>
          <cell r="AA172" t="str">
            <v xml:space="preserve"> </v>
          </cell>
          <cell r="AB172" t="str">
            <v xml:space="preserve"> </v>
          </cell>
          <cell r="AC172"/>
          <cell r="AD172" t="str">
            <v xml:space="preserve"> </v>
          </cell>
          <cell r="AE172"/>
          <cell r="AF172" t="str">
            <v xml:space="preserve"> </v>
          </cell>
          <cell r="AG172"/>
          <cell r="AH172"/>
          <cell r="AI172"/>
          <cell r="AJ172"/>
          <cell r="AK172" t="str">
            <v/>
          </cell>
          <cell r="AL172"/>
          <cell r="AM172" t="str">
            <v xml:space="preserve"> </v>
          </cell>
          <cell r="AN172" t="str">
            <v xml:space="preserve"> </v>
          </cell>
          <cell r="AO172"/>
          <cell r="AP172" t="str">
            <v xml:space="preserve"> </v>
          </cell>
          <cell r="AQ172"/>
          <cell r="AR172" t="str">
            <v xml:space="preserve"> </v>
          </cell>
          <cell r="AS172" t="str">
            <v xml:space="preserve"> </v>
          </cell>
          <cell r="AT172"/>
          <cell r="AU172" t="str">
            <v xml:space="preserve"> </v>
          </cell>
          <cell r="AV172"/>
          <cell r="AW172"/>
          <cell r="AX172" t="str">
            <v xml:space="preserve"> </v>
          </cell>
          <cell r="AY172"/>
          <cell r="AZ172" t="str">
            <v xml:space="preserve"> </v>
          </cell>
          <cell r="BA172"/>
          <cell r="BB172"/>
          <cell r="BC172" t="str">
            <v xml:space="preserve"> </v>
          </cell>
          <cell r="BD172"/>
          <cell r="BE172" t="str">
            <v xml:space="preserve"> </v>
          </cell>
          <cell r="BF172"/>
          <cell r="BG172"/>
          <cell r="BH172" t="str">
            <v xml:space="preserve"> </v>
          </cell>
          <cell r="BI172"/>
          <cell r="BJ172" t="str">
            <v xml:space="preserve"> </v>
          </cell>
          <cell r="BK172"/>
          <cell r="BL172" t="str">
            <v xml:space="preserve"> </v>
          </cell>
          <cell r="BM172" t="str">
            <v xml:space="preserve"> </v>
          </cell>
          <cell r="BN172"/>
          <cell r="BO172" t="str">
            <v xml:space="preserve"> </v>
          </cell>
        </row>
        <row r="173">
          <cell r="B173">
            <v>46191</v>
          </cell>
          <cell r="C173"/>
          <cell r="D173" t="str">
            <v xml:space="preserve"> </v>
          </cell>
          <cell r="E173" t="str">
            <v xml:space="preserve"> </v>
          </cell>
          <cell r="F173"/>
          <cell r="G173" t="str">
            <v xml:space="preserve"> </v>
          </cell>
          <cell r="H173"/>
          <cell r="I173" t="str">
            <v xml:space="preserve"> </v>
          </cell>
          <cell r="J173" t="str">
            <v xml:space="preserve"> </v>
          </cell>
          <cell r="K173"/>
          <cell r="L173" t="str">
            <v xml:space="preserve"> </v>
          </cell>
          <cell r="M173"/>
          <cell r="N173" t="str">
            <v xml:space="preserve"> </v>
          </cell>
          <cell r="O173" t="str">
            <v xml:space="preserve"> </v>
          </cell>
          <cell r="P173"/>
          <cell r="Q173" t="str">
            <v xml:space="preserve"> </v>
          </cell>
          <cell r="R173"/>
          <cell r="S173" t="str">
            <v xml:space="preserve"> </v>
          </cell>
          <cell r="T173" t="str">
            <v xml:space="preserve"> </v>
          </cell>
          <cell r="U173"/>
          <cell r="V173" t="str">
            <v xml:space="preserve"> </v>
          </cell>
          <cell r="W173" t="str">
            <v xml:space="preserve"> </v>
          </cell>
          <cell r="X173"/>
          <cell r="Y173" t="str">
            <v xml:space="preserve"> </v>
          </cell>
          <cell r="Z173"/>
          <cell r="AA173" t="str">
            <v xml:space="preserve"> </v>
          </cell>
          <cell r="AB173" t="str">
            <v xml:space="preserve"> </v>
          </cell>
          <cell r="AC173"/>
          <cell r="AD173" t="str">
            <v xml:space="preserve"> </v>
          </cell>
          <cell r="AE173"/>
          <cell r="AF173" t="str">
            <v xml:space="preserve"> </v>
          </cell>
          <cell r="AG173"/>
          <cell r="AH173"/>
          <cell r="AI173"/>
          <cell r="AJ173"/>
          <cell r="AK173" t="str">
            <v/>
          </cell>
          <cell r="AL173"/>
          <cell r="AM173" t="str">
            <v xml:space="preserve"> </v>
          </cell>
          <cell r="AN173" t="str">
            <v xml:space="preserve"> </v>
          </cell>
          <cell r="AO173"/>
          <cell r="AP173" t="str">
            <v xml:space="preserve"> </v>
          </cell>
          <cell r="AQ173"/>
          <cell r="AR173" t="str">
            <v xml:space="preserve"> </v>
          </cell>
          <cell r="AS173" t="str">
            <v xml:space="preserve"> </v>
          </cell>
          <cell r="AT173"/>
          <cell r="AU173" t="str">
            <v xml:space="preserve"> </v>
          </cell>
          <cell r="AV173"/>
          <cell r="AW173"/>
          <cell r="AX173" t="str">
            <v xml:space="preserve"> </v>
          </cell>
          <cell r="AY173"/>
          <cell r="AZ173" t="str">
            <v xml:space="preserve"> </v>
          </cell>
          <cell r="BA173"/>
          <cell r="BB173"/>
          <cell r="BC173" t="str">
            <v xml:space="preserve"> </v>
          </cell>
          <cell r="BD173"/>
          <cell r="BE173" t="str">
            <v xml:space="preserve"> </v>
          </cell>
          <cell r="BF173"/>
          <cell r="BG173"/>
          <cell r="BH173" t="str">
            <v xml:space="preserve"> </v>
          </cell>
          <cell r="BI173"/>
          <cell r="BJ173" t="str">
            <v xml:space="preserve"> </v>
          </cell>
          <cell r="BK173"/>
          <cell r="BL173" t="str">
            <v xml:space="preserve"> </v>
          </cell>
          <cell r="BM173" t="str">
            <v xml:space="preserve"> </v>
          </cell>
          <cell r="BN173"/>
          <cell r="BO173" t="str">
            <v xml:space="preserve"> </v>
          </cell>
        </row>
        <row r="174">
          <cell r="B174">
            <v>46192</v>
          </cell>
          <cell r="C174"/>
          <cell r="D174" t="str">
            <v xml:space="preserve"> </v>
          </cell>
          <cell r="E174" t="str">
            <v xml:space="preserve"> </v>
          </cell>
          <cell r="F174"/>
          <cell r="G174" t="str">
            <v xml:space="preserve"> </v>
          </cell>
          <cell r="H174"/>
          <cell r="I174" t="str">
            <v xml:space="preserve"> </v>
          </cell>
          <cell r="J174" t="str">
            <v xml:space="preserve"> </v>
          </cell>
          <cell r="K174"/>
          <cell r="L174" t="str">
            <v xml:space="preserve"> </v>
          </cell>
          <cell r="M174"/>
          <cell r="N174" t="str">
            <v xml:space="preserve"> </v>
          </cell>
          <cell r="O174" t="str">
            <v xml:space="preserve"> </v>
          </cell>
          <cell r="P174"/>
          <cell r="Q174" t="str">
            <v xml:space="preserve"> </v>
          </cell>
          <cell r="R174"/>
          <cell r="S174" t="str">
            <v xml:space="preserve"> </v>
          </cell>
          <cell r="T174" t="str">
            <v xml:space="preserve"> </v>
          </cell>
          <cell r="U174"/>
          <cell r="V174" t="str">
            <v xml:space="preserve"> </v>
          </cell>
          <cell r="W174" t="str">
            <v xml:space="preserve"> </v>
          </cell>
          <cell r="X174"/>
          <cell r="Y174" t="str">
            <v xml:space="preserve"> </v>
          </cell>
          <cell r="Z174"/>
          <cell r="AA174" t="str">
            <v xml:space="preserve"> </v>
          </cell>
          <cell r="AB174" t="str">
            <v xml:space="preserve"> </v>
          </cell>
          <cell r="AC174"/>
          <cell r="AD174" t="str">
            <v xml:space="preserve"> </v>
          </cell>
          <cell r="AE174"/>
          <cell r="AF174" t="str">
            <v xml:space="preserve"> </v>
          </cell>
          <cell r="AG174"/>
          <cell r="AH174"/>
          <cell r="AI174"/>
          <cell r="AJ174"/>
          <cell r="AK174" t="str">
            <v/>
          </cell>
          <cell r="AL174"/>
          <cell r="AM174" t="str">
            <v xml:space="preserve"> </v>
          </cell>
          <cell r="AN174" t="str">
            <v xml:space="preserve"> </v>
          </cell>
          <cell r="AO174"/>
          <cell r="AP174" t="str">
            <v xml:space="preserve"> </v>
          </cell>
          <cell r="AQ174"/>
          <cell r="AR174" t="str">
            <v xml:space="preserve"> </v>
          </cell>
          <cell r="AS174" t="str">
            <v xml:space="preserve"> </v>
          </cell>
          <cell r="AT174"/>
          <cell r="AU174" t="str">
            <v xml:space="preserve"> </v>
          </cell>
          <cell r="AV174"/>
          <cell r="AW174"/>
          <cell r="AX174" t="str">
            <v xml:space="preserve"> </v>
          </cell>
          <cell r="AY174"/>
          <cell r="AZ174" t="str">
            <v xml:space="preserve"> </v>
          </cell>
          <cell r="BA174"/>
          <cell r="BB174"/>
          <cell r="BC174" t="str">
            <v xml:space="preserve"> </v>
          </cell>
          <cell r="BD174"/>
          <cell r="BE174" t="str">
            <v xml:space="preserve"> </v>
          </cell>
          <cell r="BF174"/>
          <cell r="BG174"/>
          <cell r="BH174" t="str">
            <v xml:space="preserve"> </v>
          </cell>
          <cell r="BI174"/>
          <cell r="BJ174" t="str">
            <v xml:space="preserve"> </v>
          </cell>
          <cell r="BK174"/>
          <cell r="BL174" t="str">
            <v xml:space="preserve"> </v>
          </cell>
          <cell r="BM174" t="str">
            <v xml:space="preserve"> </v>
          </cell>
          <cell r="BN174"/>
          <cell r="BO174" t="str">
            <v xml:space="preserve"> </v>
          </cell>
        </row>
        <row r="175">
          <cell r="B175">
            <v>46193</v>
          </cell>
          <cell r="C175"/>
          <cell r="D175" t="str">
            <v xml:space="preserve"> </v>
          </cell>
          <cell r="E175" t="str">
            <v xml:space="preserve"> </v>
          </cell>
          <cell r="F175"/>
          <cell r="G175" t="str">
            <v xml:space="preserve"> </v>
          </cell>
          <cell r="H175"/>
          <cell r="I175" t="str">
            <v xml:space="preserve"> </v>
          </cell>
          <cell r="J175" t="str">
            <v xml:space="preserve"> </v>
          </cell>
          <cell r="K175"/>
          <cell r="L175" t="str">
            <v xml:space="preserve"> </v>
          </cell>
          <cell r="M175"/>
          <cell r="N175" t="str">
            <v xml:space="preserve"> </v>
          </cell>
          <cell r="O175" t="str">
            <v xml:space="preserve"> </v>
          </cell>
          <cell r="P175"/>
          <cell r="Q175" t="str">
            <v xml:space="preserve"> </v>
          </cell>
          <cell r="R175"/>
          <cell r="S175" t="str">
            <v xml:space="preserve"> </v>
          </cell>
          <cell r="T175" t="str">
            <v xml:space="preserve"> </v>
          </cell>
          <cell r="U175"/>
          <cell r="V175" t="str">
            <v xml:space="preserve"> </v>
          </cell>
          <cell r="W175" t="str">
            <v xml:space="preserve"> </v>
          </cell>
          <cell r="X175"/>
          <cell r="Y175" t="str">
            <v xml:space="preserve"> </v>
          </cell>
          <cell r="Z175"/>
          <cell r="AA175" t="str">
            <v xml:space="preserve"> </v>
          </cell>
          <cell r="AB175" t="str">
            <v xml:space="preserve"> </v>
          </cell>
          <cell r="AC175"/>
          <cell r="AD175" t="str">
            <v xml:space="preserve"> </v>
          </cell>
          <cell r="AE175"/>
          <cell r="AF175" t="str">
            <v xml:space="preserve"> </v>
          </cell>
          <cell r="AG175"/>
          <cell r="AH175"/>
          <cell r="AI175"/>
          <cell r="AJ175"/>
          <cell r="AK175" t="str">
            <v/>
          </cell>
          <cell r="AL175"/>
          <cell r="AM175" t="str">
            <v xml:space="preserve"> </v>
          </cell>
          <cell r="AN175" t="str">
            <v xml:space="preserve"> </v>
          </cell>
          <cell r="AO175"/>
          <cell r="AP175" t="str">
            <v xml:space="preserve"> </v>
          </cell>
          <cell r="AQ175"/>
          <cell r="AR175" t="str">
            <v xml:space="preserve"> </v>
          </cell>
          <cell r="AS175" t="str">
            <v xml:space="preserve"> </v>
          </cell>
          <cell r="AT175"/>
          <cell r="AU175" t="str">
            <v xml:space="preserve"> </v>
          </cell>
          <cell r="AV175"/>
          <cell r="AW175"/>
          <cell r="AX175" t="str">
            <v xml:space="preserve"> </v>
          </cell>
          <cell r="AY175"/>
          <cell r="AZ175" t="str">
            <v xml:space="preserve"> </v>
          </cell>
          <cell r="BA175"/>
          <cell r="BB175"/>
          <cell r="BC175" t="str">
            <v xml:space="preserve"> </v>
          </cell>
          <cell r="BD175"/>
          <cell r="BE175" t="str">
            <v xml:space="preserve"> </v>
          </cell>
          <cell r="BF175"/>
          <cell r="BG175"/>
          <cell r="BH175" t="str">
            <v xml:space="preserve"> </v>
          </cell>
          <cell r="BI175"/>
          <cell r="BJ175" t="str">
            <v xml:space="preserve"> </v>
          </cell>
          <cell r="BK175"/>
          <cell r="BL175" t="str">
            <v xml:space="preserve"> </v>
          </cell>
          <cell r="BM175" t="str">
            <v xml:space="preserve"> </v>
          </cell>
          <cell r="BN175"/>
          <cell r="BO175" t="str">
            <v xml:space="preserve"> </v>
          </cell>
        </row>
        <row r="176">
          <cell r="B176">
            <v>46194</v>
          </cell>
          <cell r="C176"/>
          <cell r="D176" t="str">
            <v xml:space="preserve"> </v>
          </cell>
          <cell r="E176" t="str">
            <v xml:space="preserve"> </v>
          </cell>
          <cell r="F176"/>
          <cell r="G176" t="str">
            <v xml:space="preserve"> </v>
          </cell>
          <cell r="H176"/>
          <cell r="I176" t="str">
            <v xml:space="preserve"> </v>
          </cell>
          <cell r="J176" t="str">
            <v xml:space="preserve"> </v>
          </cell>
          <cell r="K176"/>
          <cell r="L176" t="str">
            <v xml:space="preserve"> </v>
          </cell>
          <cell r="M176"/>
          <cell r="N176" t="str">
            <v xml:space="preserve"> </v>
          </cell>
          <cell r="O176" t="str">
            <v xml:space="preserve"> </v>
          </cell>
          <cell r="P176"/>
          <cell r="Q176" t="str">
            <v xml:space="preserve"> </v>
          </cell>
          <cell r="R176"/>
          <cell r="S176" t="str">
            <v xml:space="preserve"> </v>
          </cell>
          <cell r="T176" t="str">
            <v xml:space="preserve"> </v>
          </cell>
          <cell r="U176"/>
          <cell r="V176" t="str">
            <v xml:space="preserve"> </v>
          </cell>
          <cell r="W176" t="str">
            <v xml:space="preserve"> </v>
          </cell>
          <cell r="X176"/>
          <cell r="Y176" t="str">
            <v xml:space="preserve"> </v>
          </cell>
          <cell r="Z176"/>
          <cell r="AA176" t="str">
            <v xml:space="preserve"> </v>
          </cell>
          <cell r="AB176" t="str">
            <v xml:space="preserve"> </v>
          </cell>
          <cell r="AC176"/>
          <cell r="AD176" t="str">
            <v xml:space="preserve"> </v>
          </cell>
          <cell r="AE176"/>
          <cell r="AF176" t="str">
            <v xml:space="preserve"> </v>
          </cell>
          <cell r="AG176"/>
          <cell r="AH176"/>
          <cell r="AI176"/>
          <cell r="AJ176"/>
          <cell r="AK176" t="str">
            <v/>
          </cell>
          <cell r="AL176"/>
          <cell r="AM176" t="str">
            <v xml:space="preserve"> </v>
          </cell>
          <cell r="AN176" t="str">
            <v xml:space="preserve"> </v>
          </cell>
          <cell r="AO176"/>
          <cell r="AP176" t="str">
            <v xml:space="preserve"> </v>
          </cell>
          <cell r="AQ176"/>
          <cell r="AR176" t="str">
            <v xml:space="preserve"> </v>
          </cell>
          <cell r="AS176" t="str">
            <v xml:space="preserve"> </v>
          </cell>
          <cell r="AT176"/>
          <cell r="AU176" t="str">
            <v xml:space="preserve"> </v>
          </cell>
          <cell r="AV176"/>
          <cell r="AW176"/>
          <cell r="AX176" t="str">
            <v xml:space="preserve"> </v>
          </cell>
          <cell r="AY176"/>
          <cell r="AZ176" t="str">
            <v xml:space="preserve"> </v>
          </cell>
          <cell r="BA176"/>
          <cell r="BB176"/>
          <cell r="BC176" t="str">
            <v xml:space="preserve"> </v>
          </cell>
          <cell r="BD176"/>
          <cell r="BE176" t="str">
            <v xml:space="preserve"> </v>
          </cell>
          <cell r="BF176"/>
          <cell r="BG176"/>
          <cell r="BH176" t="str">
            <v xml:space="preserve"> </v>
          </cell>
          <cell r="BI176"/>
          <cell r="BJ176" t="str">
            <v xml:space="preserve"> </v>
          </cell>
          <cell r="BK176"/>
          <cell r="BL176" t="str">
            <v xml:space="preserve"> </v>
          </cell>
          <cell r="BM176" t="str">
            <v xml:space="preserve"> </v>
          </cell>
          <cell r="BN176"/>
          <cell r="BO176" t="str">
            <v xml:space="preserve"> </v>
          </cell>
        </row>
        <row r="177">
          <cell r="B177">
            <v>46195</v>
          </cell>
          <cell r="C177"/>
          <cell r="D177" t="str">
            <v xml:space="preserve"> </v>
          </cell>
          <cell r="E177" t="str">
            <v xml:space="preserve"> </v>
          </cell>
          <cell r="F177"/>
          <cell r="G177" t="str">
            <v xml:space="preserve"> </v>
          </cell>
          <cell r="H177"/>
          <cell r="I177" t="str">
            <v xml:space="preserve"> </v>
          </cell>
          <cell r="J177" t="str">
            <v xml:space="preserve"> </v>
          </cell>
          <cell r="K177"/>
          <cell r="L177" t="str">
            <v xml:space="preserve"> </v>
          </cell>
          <cell r="M177"/>
          <cell r="N177" t="str">
            <v xml:space="preserve"> </v>
          </cell>
          <cell r="O177" t="str">
            <v xml:space="preserve"> </v>
          </cell>
          <cell r="P177"/>
          <cell r="Q177" t="str">
            <v xml:space="preserve"> </v>
          </cell>
          <cell r="R177"/>
          <cell r="S177" t="str">
            <v xml:space="preserve"> </v>
          </cell>
          <cell r="T177" t="str">
            <v xml:space="preserve"> </v>
          </cell>
          <cell r="U177"/>
          <cell r="V177" t="str">
            <v xml:space="preserve"> </v>
          </cell>
          <cell r="W177" t="str">
            <v xml:space="preserve"> </v>
          </cell>
          <cell r="X177"/>
          <cell r="Y177" t="str">
            <v xml:space="preserve"> </v>
          </cell>
          <cell r="Z177"/>
          <cell r="AA177" t="str">
            <v xml:space="preserve"> </v>
          </cell>
          <cell r="AB177" t="str">
            <v xml:space="preserve"> </v>
          </cell>
          <cell r="AC177"/>
          <cell r="AD177" t="str">
            <v xml:space="preserve"> </v>
          </cell>
          <cell r="AE177"/>
          <cell r="AF177" t="str">
            <v xml:space="preserve"> </v>
          </cell>
          <cell r="AG177"/>
          <cell r="AH177"/>
          <cell r="AI177"/>
          <cell r="AJ177"/>
          <cell r="AK177" t="str">
            <v/>
          </cell>
          <cell r="AL177"/>
          <cell r="AM177" t="str">
            <v xml:space="preserve"> </v>
          </cell>
          <cell r="AN177" t="str">
            <v xml:space="preserve"> </v>
          </cell>
          <cell r="AO177"/>
          <cell r="AP177" t="str">
            <v xml:space="preserve"> </v>
          </cell>
          <cell r="AQ177"/>
          <cell r="AR177" t="str">
            <v xml:space="preserve"> </v>
          </cell>
          <cell r="AS177" t="str">
            <v xml:space="preserve"> </v>
          </cell>
          <cell r="AT177"/>
          <cell r="AU177" t="str">
            <v xml:space="preserve"> </v>
          </cell>
          <cell r="AV177"/>
          <cell r="AW177"/>
          <cell r="AX177" t="str">
            <v xml:space="preserve"> </v>
          </cell>
          <cell r="AY177"/>
          <cell r="AZ177" t="str">
            <v xml:space="preserve"> </v>
          </cell>
          <cell r="BA177"/>
          <cell r="BB177"/>
          <cell r="BC177" t="str">
            <v xml:space="preserve"> </v>
          </cell>
          <cell r="BD177"/>
          <cell r="BE177" t="str">
            <v xml:space="preserve"> </v>
          </cell>
          <cell r="BF177"/>
          <cell r="BG177"/>
          <cell r="BH177" t="str">
            <v xml:space="preserve"> </v>
          </cell>
          <cell r="BI177"/>
          <cell r="BJ177" t="str">
            <v xml:space="preserve"> </v>
          </cell>
          <cell r="BK177"/>
          <cell r="BL177" t="str">
            <v xml:space="preserve"> </v>
          </cell>
          <cell r="BM177" t="str">
            <v xml:space="preserve"> </v>
          </cell>
          <cell r="BN177"/>
          <cell r="BO177" t="str">
            <v xml:space="preserve"> </v>
          </cell>
        </row>
        <row r="178">
          <cell r="B178">
            <v>46196</v>
          </cell>
          <cell r="C178"/>
          <cell r="D178" t="str">
            <v xml:space="preserve"> </v>
          </cell>
          <cell r="E178" t="str">
            <v xml:space="preserve"> </v>
          </cell>
          <cell r="F178"/>
          <cell r="G178" t="str">
            <v xml:space="preserve"> </v>
          </cell>
          <cell r="H178"/>
          <cell r="I178" t="str">
            <v xml:space="preserve"> </v>
          </cell>
          <cell r="J178" t="str">
            <v xml:space="preserve"> </v>
          </cell>
          <cell r="K178"/>
          <cell r="L178" t="str">
            <v xml:space="preserve"> </v>
          </cell>
          <cell r="M178"/>
          <cell r="N178" t="str">
            <v xml:space="preserve"> </v>
          </cell>
          <cell r="O178" t="str">
            <v xml:space="preserve"> </v>
          </cell>
          <cell r="P178"/>
          <cell r="Q178" t="str">
            <v xml:space="preserve"> </v>
          </cell>
          <cell r="R178"/>
          <cell r="S178" t="str">
            <v xml:space="preserve"> </v>
          </cell>
          <cell r="T178" t="str">
            <v xml:space="preserve"> </v>
          </cell>
          <cell r="U178"/>
          <cell r="V178" t="str">
            <v xml:space="preserve"> </v>
          </cell>
          <cell r="W178" t="str">
            <v xml:space="preserve"> </v>
          </cell>
          <cell r="X178"/>
          <cell r="Y178" t="str">
            <v xml:space="preserve"> </v>
          </cell>
          <cell r="Z178"/>
          <cell r="AA178" t="str">
            <v xml:space="preserve"> </v>
          </cell>
          <cell r="AB178" t="str">
            <v xml:space="preserve"> </v>
          </cell>
          <cell r="AC178"/>
          <cell r="AD178" t="str">
            <v xml:space="preserve"> </v>
          </cell>
          <cell r="AE178"/>
          <cell r="AF178" t="str">
            <v xml:space="preserve"> </v>
          </cell>
          <cell r="AG178"/>
          <cell r="AH178"/>
          <cell r="AI178"/>
          <cell r="AJ178"/>
          <cell r="AK178" t="str">
            <v/>
          </cell>
          <cell r="AL178"/>
          <cell r="AM178" t="str">
            <v xml:space="preserve"> </v>
          </cell>
          <cell r="AN178" t="str">
            <v xml:space="preserve"> </v>
          </cell>
          <cell r="AO178"/>
          <cell r="AP178" t="str">
            <v xml:space="preserve"> </v>
          </cell>
          <cell r="AQ178"/>
          <cell r="AR178" t="str">
            <v xml:space="preserve"> </v>
          </cell>
          <cell r="AS178" t="str">
            <v xml:space="preserve"> </v>
          </cell>
          <cell r="AT178"/>
          <cell r="AU178" t="str">
            <v xml:space="preserve"> </v>
          </cell>
          <cell r="AV178"/>
          <cell r="AW178"/>
          <cell r="AX178" t="str">
            <v xml:space="preserve"> </v>
          </cell>
          <cell r="AY178"/>
          <cell r="AZ178" t="str">
            <v xml:space="preserve"> </v>
          </cell>
          <cell r="BA178"/>
          <cell r="BB178"/>
          <cell r="BC178" t="str">
            <v xml:space="preserve"> </v>
          </cell>
          <cell r="BD178"/>
          <cell r="BE178" t="str">
            <v xml:space="preserve"> </v>
          </cell>
          <cell r="BF178"/>
          <cell r="BG178"/>
          <cell r="BH178" t="str">
            <v xml:space="preserve"> </v>
          </cell>
          <cell r="BI178"/>
          <cell r="BJ178" t="str">
            <v xml:space="preserve"> </v>
          </cell>
          <cell r="BK178"/>
          <cell r="BL178" t="str">
            <v xml:space="preserve"> </v>
          </cell>
          <cell r="BM178" t="str">
            <v xml:space="preserve"> </v>
          </cell>
          <cell r="BN178"/>
          <cell r="BO178" t="str">
            <v xml:space="preserve"> </v>
          </cell>
        </row>
        <row r="179">
          <cell r="B179">
            <v>46197</v>
          </cell>
          <cell r="C179"/>
          <cell r="D179" t="str">
            <v xml:space="preserve"> </v>
          </cell>
          <cell r="E179" t="str">
            <v xml:space="preserve"> </v>
          </cell>
          <cell r="F179"/>
          <cell r="G179" t="str">
            <v xml:space="preserve"> </v>
          </cell>
          <cell r="H179"/>
          <cell r="I179" t="str">
            <v xml:space="preserve"> </v>
          </cell>
          <cell r="J179" t="str">
            <v xml:space="preserve"> </v>
          </cell>
          <cell r="K179"/>
          <cell r="L179" t="str">
            <v xml:space="preserve"> </v>
          </cell>
          <cell r="M179"/>
          <cell r="N179" t="str">
            <v xml:space="preserve"> </v>
          </cell>
          <cell r="O179" t="str">
            <v xml:space="preserve"> </v>
          </cell>
          <cell r="P179"/>
          <cell r="Q179" t="str">
            <v xml:space="preserve"> </v>
          </cell>
          <cell r="R179"/>
          <cell r="S179" t="str">
            <v xml:space="preserve"> </v>
          </cell>
          <cell r="T179" t="str">
            <v xml:space="preserve"> </v>
          </cell>
          <cell r="U179"/>
          <cell r="V179" t="str">
            <v xml:space="preserve"> </v>
          </cell>
          <cell r="W179" t="str">
            <v xml:space="preserve"> </v>
          </cell>
          <cell r="X179"/>
          <cell r="Y179" t="str">
            <v xml:space="preserve"> </v>
          </cell>
          <cell r="Z179"/>
          <cell r="AA179" t="str">
            <v xml:space="preserve"> </v>
          </cell>
          <cell r="AB179" t="str">
            <v xml:space="preserve"> </v>
          </cell>
          <cell r="AC179"/>
          <cell r="AD179" t="str">
            <v xml:space="preserve"> </v>
          </cell>
          <cell r="AE179"/>
          <cell r="AF179" t="str">
            <v xml:space="preserve"> </v>
          </cell>
          <cell r="AG179"/>
          <cell r="AH179"/>
          <cell r="AI179"/>
          <cell r="AJ179"/>
          <cell r="AK179" t="str">
            <v/>
          </cell>
          <cell r="AL179"/>
          <cell r="AM179" t="str">
            <v xml:space="preserve"> </v>
          </cell>
          <cell r="AN179" t="str">
            <v xml:space="preserve"> </v>
          </cell>
          <cell r="AO179"/>
          <cell r="AP179" t="str">
            <v xml:space="preserve"> </v>
          </cell>
          <cell r="AQ179"/>
          <cell r="AR179" t="str">
            <v xml:space="preserve"> </v>
          </cell>
          <cell r="AS179" t="str">
            <v xml:space="preserve"> </v>
          </cell>
          <cell r="AT179"/>
          <cell r="AU179" t="str">
            <v xml:space="preserve"> </v>
          </cell>
          <cell r="AV179"/>
          <cell r="AW179"/>
          <cell r="AX179" t="str">
            <v xml:space="preserve"> </v>
          </cell>
          <cell r="AY179"/>
          <cell r="AZ179" t="str">
            <v xml:space="preserve"> </v>
          </cell>
          <cell r="BA179"/>
          <cell r="BB179"/>
          <cell r="BC179" t="str">
            <v xml:space="preserve"> </v>
          </cell>
          <cell r="BD179"/>
          <cell r="BE179" t="str">
            <v xml:space="preserve"> </v>
          </cell>
          <cell r="BF179"/>
          <cell r="BG179"/>
          <cell r="BH179" t="str">
            <v xml:space="preserve"> </v>
          </cell>
          <cell r="BI179"/>
          <cell r="BJ179" t="str">
            <v xml:space="preserve"> </v>
          </cell>
          <cell r="BK179"/>
          <cell r="BL179" t="str">
            <v xml:space="preserve"> </v>
          </cell>
          <cell r="BM179" t="str">
            <v xml:space="preserve"> </v>
          </cell>
          <cell r="BN179"/>
          <cell r="BO179" t="str">
            <v xml:space="preserve"> </v>
          </cell>
        </row>
        <row r="180">
          <cell r="B180">
            <v>46198</v>
          </cell>
          <cell r="C180"/>
          <cell r="D180" t="str">
            <v xml:space="preserve"> </v>
          </cell>
          <cell r="E180" t="str">
            <v xml:space="preserve"> </v>
          </cell>
          <cell r="F180"/>
          <cell r="G180" t="str">
            <v xml:space="preserve"> </v>
          </cell>
          <cell r="H180"/>
          <cell r="I180" t="str">
            <v xml:space="preserve"> </v>
          </cell>
          <cell r="J180" t="str">
            <v xml:space="preserve"> </v>
          </cell>
          <cell r="K180"/>
          <cell r="L180" t="str">
            <v xml:space="preserve"> </v>
          </cell>
          <cell r="M180"/>
          <cell r="N180" t="str">
            <v xml:space="preserve"> </v>
          </cell>
          <cell r="O180" t="str">
            <v xml:space="preserve"> </v>
          </cell>
          <cell r="P180"/>
          <cell r="Q180" t="str">
            <v xml:space="preserve"> </v>
          </cell>
          <cell r="R180"/>
          <cell r="S180" t="str">
            <v xml:space="preserve"> </v>
          </cell>
          <cell r="T180" t="str">
            <v xml:space="preserve"> </v>
          </cell>
          <cell r="U180"/>
          <cell r="V180" t="str">
            <v xml:space="preserve"> </v>
          </cell>
          <cell r="W180" t="str">
            <v xml:space="preserve"> </v>
          </cell>
          <cell r="X180"/>
          <cell r="Y180" t="str">
            <v xml:space="preserve"> </v>
          </cell>
          <cell r="Z180"/>
          <cell r="AA180" t="str">
            <v xml:space="preserve"> </v>
          </cell>
          <cell r="AB180" t="str">
            <v xml:space="preserve"> </v>
          </cell>
          <cell r="AC180"/>
          <cell r="AD180" t="str">
            <v xml:space="preserve"> </v>
          </cell>
          <cell r="AE180"/>
          <cell r="AF180" t="str">
            <v xml:space="preserve"> </v>
          </cell>
          <cell r="AG180"/>
          <cell r="AH180"/>
          <cell r="AI180"/>
          <cell r="AJ180"/>
          <cell r="AK180" t="str">
            <v/>
          </cell>
          <cell r="AL180"/>
          <cell r="AM180" t="str">
            <v xml:space="preserve"> </v>
          </cell>
          <cell r="AN180" t="str">
            <v xml:space="preserve"> </v>
          </cell>
          <cell r="AO180"/>
          <cell r="AP180" t="str">
            <v xml:space="preserve"> </v>
          </cell>
          <cell r="AQ180"/>
          <cell r="AR180" t="str">
            <v xml:space="preserve"> </v>
          </cell>
          <cell r="AS180" t="str">
            <v xml:space="preserve"> </v>
          </cell>
          <cell r="AT180"/>
          <cell r="AU180" t="str">
            <v xml:space="preserve"> </v>
          </cell>
          <cell r="AV180"/>
          <cell r="AW180"/>
          <cell r="AX180" t="str">
            <v xml:space="preserve"> </v>
          </cell>
          <cell r="AY180"/>
          <cell r="AZ180" t="str">
            <v xml:space="preserve"> </v>
          </cell>
          <cell r="BA180"/>
          <cell r="BB180"/>
          <cell r="BC180" t="str">
            <v xml:space="preserve"> </v>
          </cell>
          <cell r="BD180"/>
          <cell r="BE180" t="str">
            <v xml:space="preserve"> </v>
          </cell>
          <cell r="BF180"/>
          <cell r="BG180"/>
          <cell r="BH180" t="str">
            <v xml:space="preserve"> </v>
          </cell>
          <cell r="BI180"/>
          <cell r="BJ180" t="str">
            <v xml:space="preserve"> </v>
          </cell>
          <cell r="BK180"/>
          <cell r="BL180" t="str">
            <v xml:space="preserve"> </v>
          </cell>
          <cell r="BM180" t="str">
            <v xml:space="preserve"> </v>
          </cell>
          <cell r="BN180"/>
          <cell r="BO180" t="str">
            <v xml:space="preserve"> </v>
          </cell>
        </row>
        <row r="181">
          <cell r="B181">
            <v>46199</v>
          </cell>
          <cell r="C181"/>
          <cell r="D181" t="str">
            <v xml:space="preserve"> </v>
          </cell>
          <cell r="E181" t="str">
            <v xml:space="preserve"> </v>
          </cell>
          <cell r="F181"/>
          <cell r="G181" t="str">
            <v xml:space="preserve"> </v>
          </cell>
          <cell r="H181"/>
          <cell r="I181" t="str">
            <v xml:space="preserve"> </v>
          </cell>
          <cell r="J181" t="str">
            <v xml:space="preserve"> </v>
          </cell>
          <cell r="K181"/>
          <cell r="L181" t="str">
            <v xml:space="preserve"> </v>
          </cell>
          <cell r="M181"/>
          <cell r="N181" t="str">
            <v xml:space="preserve"> </v>
          </cell>
          <cell r="O181" t="str">
            <v xml:space="preserve"> </v>
          </cell>
          <cell r="P181"/>
          <cell r="Q181" t="str">
            <v xml:space="preserve"> </v>
          </cell>
          <cell r="R181"/>
          <cell r="S181" t="str">
            <v xml:space="preserve"> </v>
          </cell>
          <cell r="T181" t="str">
            <v xml:space="preserve"> </v>
          </cell>
          <cell r="U181"/>
          <cell r="V181" t="str">
            <v xml:space="preserve"> </v>
          </cell>
          <cell r="W181" t="str">
            <v xml:space="preserve"> </v>
          </cell>
          <cell r="X181"/>
          <cell r="Y181" t="str">
            <v xml:space="preserve"> </v>
          </cell>
          <cell r="Z181"/>
          <cell r="AA181" t="str">
            <v xml:space="preserve"> </v>
          </cell>
          <cell r="AB181" t="str">
            <v xml:space="preserve"> </v>
          </cell>
          <cell r="AC181"/>
          <cell r="AD181" t="str">
            <v xml:space="preserve"> </v>
          </cell>
          <cell r="AE181"/>
          <cell r="AF181" t="str">
            <v xml:space="preserve"> </v>
          </cell>
          <cell r="AG181"/>
          <cell r="AH181"/>
          <cell r="AI181"/>
          <cell r="AJ181"/>
          <cell r="AK181" t="str">
            <v/>
          </cell>
          <cell r="AL181"/>
          <cell r="AM181" t="str">
            <v xml:space="preserve"> </v>
          </cell>
          <cell r="AN181" t="str">
            <v xml:space="preserve"> </v>
          </cell>
          <cell r="AO181"/>
          <cell r="AP181" t="str">
            <v xml:space="preserve"> </v>
          </cell>
          <cell r="AQ181"/>
          <cell r="AR181" t="str">
            <v xml:space="preserve"> </v>
          </cell>
          <cell r="AS181" t="str">
            <v xml:space="preserve"> </v>
          </cell>
          <cell r="AT181"/>
          <cell r="AU181" t="str">
            <v xml:space="preserve"> </v>
          </cell>
          <cell r="AV181"/>
          <cell r="AW181"/>
          <cell r="AX181" t="str">
            <v xml:space="preserve"> </v>
          </cell>
          <cell r="AY181"/>
          <cell r="AZ181" t="str">
            <v xml:space="preserve"> </v>
          </cell>
          <cell r="BA181"/>
          <cell r="BB181"/>
          <cell r="BC181" t="str">
            <v xml:space="preserve"> </v>
          </cell>
          <cell r="BD181"/>
          <cell r="BE181" t="str">
            <v xml:space="preserve"> </v>
          </cell>
          <cell r="BF181"/>
          <cell r="BG181"/>
          <cell r="BH181" t="str">
            <v xml:space="preserve"> </v>
          </cell>
          <cell r="BI181"/>
          <cell r="BJ181" t="str">
            <v xml:space="preserve"> </v>
          </cell>
          <cell r="BK181"/>
          <cell r="BL181" t="str">
            <v xml:space="preserve"> </v>
          </cell>
          <cell r="BM181" t="str">
            <v xml:space="preserve"> </v>
          </cell>
          <cell r="BN181"/>
          <cell r="BO181" t="str">
            <v xml:space="preserve"> </v>
          </cell>
        </row>
        <row r="182">
          <cell r="B182">
            <v>46200</v>
          </cell>
          <cell r="C182"/>
          <cell r="D182" t="str">
            <v xml:space="preserve"> </v>
          </cell>
          <cell r="E182" t="str">
            <v xml:space="preserve"> </v>
          </cell>
          <cell r="F182"/>
          <cell r="G182" t="str">
            <v xml:space="preserve"> </v>
          </cell>
          <cell r="H182"/>
          <cell r="I182" t="str">
            <v xml:space="preserve"> </v>
          </cell>
          <cell r="J182" t="str">
            <v xml:space="preserve"> </v>
          </cell>
          <cell r="K182"/>
          <cell r="L182" t="str">
            <v xml:space="preserve"> </v>
          </cell>
          <cell r="M182"/>
          <cell r="N182" t="str">
            <v xml:space="preserve"> </v>
          </cell>
          <cell r="O182" t="str">
            <v xml:space="preserve"> </v>
          </cell>
          <cell r="P182"/>
          <cell r="Q182" t="str">
            <v xml:space="preserve"> </v>
          </cell>
          <cell r="R182"/>
          <cell r="S182" t="str">
            <v xml:space="preserve"> </v>
          </cell>
          <cell r="T182" t="str">
            <v xml:space="preserve"> </v>
          </cell>
          <cell r="U182"/>
          <cell r="V182" t="str">
            <v xml:space="preserve"> </v>
          </cell>
          <cell r="W182" t="str">
            <v xml:space="preserve"> </v>
          </cell>
          <cell r="X182"/>
          <cell r="Y182" t="str">
            <v xml:space="preserve"> </v>
          </cell>
          <cell r="Z182"/>
          <cell r="AA182" t="str">
            <v xml:space="preserve"> </v>
          </cell>
          <cell r="AB182" t="str">
            <v xml:space="preserve"> </v>
          </cell>
          <cell r="AC182"/>
          <cell r="AD182" t="str">
            <v xml:space="preserve"> </v>
          </cell>
          <cell r="AE182"/>
          <cell r="AF182" t="str">
            <v xml:space="preserve"> </v>
          </cell>
          <cell r="AG182"/>
          <cell r="AH182"/>
          <cell r="AI182"/>
          <cell r="AJ182"/>
          <cell r="AK182" t="str">
            <v/>
          </cell>
          <cell r="AL182"/>
          <cell r="AM182" t="str">
            <v xml:space="preserve"> </v>
          </cell>
          <cell r="AN182" t="str">
            <v xml:space="preserve"> </v>
          </cell>
          <cell r="AO182"/>
          <cell r="AP182" t="str">
            <v xml:space="preserve"> </v>
          </cell>
          <cell r="AQ182"/>
          <cell r="AR182" t="str">
            <v xml:space="preserve"> </v>
          </cell>
          <cell r="AS182" t="str">
            <v xml:space="preserve"> </v>
          </cell>
          <cell r="AT182"/>
          <cell r="AU182" t="str">
            <v xml:space="preserve"> </v>
          </cell>
          <cell r="AV182"/>
          <cell r="AW182"/>
          <cell r="AX182" t="str">
            <v xml:space="preserve"> </v>
          </cell>
          <cell r="AY182"/>
          <cell r="AZ182" t="str">
            <v xml:space="preserve"> </v>
          </cell>
          <cell r="BA182"/>
          <cell r="BB182"/>
          <cell r="BC182" t="str">
            <v xml:space="preserve"> </v>
          </cell>
          <cell r="BD182"/>
          <cell r="BE182" t="str">
            <v xml:space="preserve"> </v>
          </cell>
          <cell r="BF182"/>
          <cell r="BG182"/>
          <cell r="BH182" t="str">
            <v xml:space="preserve"> </v>
          </cell>
          <cell r="BI182"/>
          <cell r="BJ182" t="str">
            <v xml:space="preserve"> </v>
          </cell>
          <cell r="BK182"/>
          <cell r="BL182" t="str">
            <v xml:space="preserve"> </v>
          </cell>
          <cell r="BM182" t="str">
            <v xml:space="preserve"> </v>
          </cell>
          <cell r="BN182"/>
          <cell r="BO182" t="str">
            <v xml:space="preserve"> </v>
          </cell>
        </row>
        <row r="183">
          <cell r="B183">
            <v>46201</v>
          </cell>
          <cell r="C183"/>
          <cell r="D183" t="str">
            <v xml:space="preserve"> </v>
          </cell>
          <cell r="E183" t="str">
            <v xml:space="preserve"> </v>
          </cell>
          <cell r="F183"/>
          <cell r="G183" t="str">
            <v xml:space="preserve"> </v>
          </cell>
          <cell r="H183"/>
          <cell r="I183" t="str">
            <v xml:space="preserve"> </v>
          </cell>
          <cell r="J183" t="str">
            <v xml:space="preserve"> </v>
          </cell>
          <cell r="K183"/>
          <cell r="L183" t="str">
            <v xml:space="preserve"> </v>
          </cell>
          <cell r="M183"/>
          <cell r="N183" t="str">
            <v xml:space="preserve"> </v>
          </cell>
          <cell r="O183" t="str">
            <v xml:space="preserve"> </v>
          </cell>
          <cell r="P183"/>
          <cell r="Q183" t="str">
            <v xml:space="preserve"> </v>
          </cell>
          <cell r="R183"/>
          <cell r="S183" t="str">
            <v xml:space="preserve"> </v>
          </cell>
          <cell r="T183" t="str">
            <v xml:space="preserve"> </v>
          </cell>
          <cell r="U183"/>
          <cell r="V183" t="str">
            <v xml:space="preserve"> </v>
          </cell>
          <cell r="W183" t="str">
            <v xml:space="preserve"> </v>
          </cell>
          <cell r="X183"/>
          <cell r="Y183" t="str">
            <v xml:space="preserve"> </v>
          </cell>
          <cell r="Z183"/>
          <cell r="AA183" t="str">
            <v xml:space="preserve"> </v>
          </cell>
          <cell r="AB183" t="str">
            <v xml:space="preserve"> </v>
          </cell>
          <cell r="AC183"/>
          <cell r="AD183" t="str">
            <v xml:space="preserve"> </v>
          </cell>
          <cell r="AE183"/>
          <cell r="AF183" t="str">
            <v xml:space="preserve"> </v>
          </cell>
          <cell r="AG183"/>
          <cell r="AH183"/>
          <cell r="AI183"/>
          <cell r="AJ183"/>
          <cell r="AK183" t="str">
            <v/>
          </cell>
          <cell r="AL183"/>
          <cell r="AM183" t="str">
            <v xml:space="preserve"> </v>
          </cell>
          <cell r="AN183" t="str">
            <v xml:space="preserve"> </v>
          </cell>
          <cell r="AO183"/>
          <cell r="AP183" t="str">
            <v xml:space="preserve"> </v>
          </cell>
          <cell r="AQ183"/>
          <cell r="AR183" t="str">
            <v xml:space="preserve"> </v>
          </cell>
          <cell r="AS183" t="str">
            <v xml:space="preserve"> </v>
          </cell>
          <cell r="AT183"/>
          <cell r="AU183" t="str">
            <v xml:space="preserve"> </v>
          </cell>
          <cell r="AV183"/>
          <cell r="AW183"/>
          <cell r="AX183" t="str">
            <v xml:space="preserve"> </v>
          </cell>
          <cell r="AY183"/>
          <cell r="AZ183" t="str">
            <v xml:space="preserve"> </v>
          </cell>
          <cell r="BA183"/>
          <cell r="BB183"/>
          <cell r="BC183" t="str">
            <v xml:space="preserve"> </v>
          </cell>
          <cell r="BD183"/>
          <cell r="BE183" t="str">
            <v xml:space="preserve"> </v>
          </cell>
          <cell r="BF183"/>
          <cell r="BG183"/>
          <cell r="BH183" t="str">
            <v xml:space="preserve"> </v>
          </cell>
          <cell r="BI183"/>
          <cell r="BJ183" t="str">
            <v xml:space="preserve"> </v>
          </cell>
          <cell r="BK183"/>
          <cell r="BL183" t="str">
            <v xml:space="preserve"> </v>
          </cell>
          <cell r="BM183" t="str">
            <v xml:space="preserve"> </v>
          </cell>
          <cell r="BN183"/>
          <cell r="BO183" t="str">
            <v xml:space="preserve"> </v>
          </cell>
        </row>
        <row r="184">
          <cell r="B184">
            <v>46202</v>
          </cell>
          <cell r="C184"/>
          <cell r="D184" t="str">
            <v xml:space="preserve"> </v>
          </cell>
          <cell r="E184" t="str">
            <v xml:space="preserve"> </v>
          </cell>
          <cell r="F184"/>
          <cell r="G184" t="str">
            <v xml:space="preserve"> </v>
          </cell>
          <cell r="H184"/>
          <cell r="I184" t="str">
            <v xml:space="preserve"> </v>
          </cell>
          <cell r="J184" t="str">
            <v xml:space="preserve"> </v>
          </cell>
          <cell r="K184"/>
          <cell r="L184" t="str">
            <v xml:space="preserve"> </v>
          </cell>
          <cell r="M184"/>
          <cell r="N184" t="str">
            <v xml:space="preserve"> </v>
          </cell>
          <cell r="O184" t="str">
            <v xml:space="preserve"> </v>
          </cell>
          <cell r="P184"/>
          <cell r="Q184" t="str">
            <v xml:space="preserve"> </v>
          </cell>
          <cell r="R184"/>
          <cell r="S184" t="str">
            <v xml:space="preserve"> </v>
          </cell>
          <cell r="T184" t="str">
            <v xml:space="preserve"> </v>
          </cell>
          <cell r="U184"/>
          <cell r="V184" t="str">
            <v xml:space="preserve"> </v>
          </cell>
          <cell r="W184" t="str">
            <v xml:space="preserve"> </v>
          </cell>
          <cell r="X184"/>
          <cell r="Y184" t="str">
            <v xml:space="preserve"> </v>
          </cell>
          <cell r="Z184"/>
          <cell r="AA184" t="str">
            <v xml:space="preserve"> </v>
          </cell>
          <cell r="AB184" t="str">
            <v xml:space="preserve"> </v>
          </cell>
          <cell r="AC184"/>
          <cell r="AD184" t="str">
            <v xml:space="preserve"> </v>
          </cell>
          <cell r="AE184"/>
          <cell r="AF184" t="str">
            <v xml:space="preserve"> </v>
          </cell>
          <cell r="AG184"/>
          <cell r="AH184"/>
          <cell r="AI184"/>
          <cell r="AJ184"/>
          <cell r="AK184" t="str">
            <v/>
          </cell>
          <cell r="AL184"/>
          <cell r="AM184" t="str">
            <v xml:space="preserve"> </v>
          </cell>
          <cell r="AN184" t="str">
            <v xml:space="preserve"> </v>
          </cell>
          <cell r="AO184"/>
          <cell r="AP184" t="str">
            <v xml:space="preserve"> </v>
          </cell>
          <cell r="AQ184"/>
          <cell r="AR184" t="str">
            <v xml:space="preserve"> </v>
          </cell>
          <cell r="AS184" t="str">
            <v xml:space="preserve"> </v>
          </cell>
          <cell r="AT184"/>
          <cell r="AU184" t="str">
            <v xml:space="preserve"> </v>
          </cell>
          <cell r="AV184"/>
          <cell r="AW184"/>
          <cell r="AX184" t="str">
            <v xml:space="preserve"> </v>
          </cell>
          <cell r="AY184"/>
          <cell r="AZ184" t="str">
            <v xml:space="preserve"> </v>
          </cell>
          <cell r="BA184"/>
          <cell r="BB184"/>
          <cell r="BC184" t="str">
            <v xml:space="preserve"> </v>
          </cell>
          <cell r="BD184"/>
          <cell r="BE184" t="str">
            <v xml:space="preserve"> </v>
          </cell>
          <cell r="BF184"/>
          <cell r="BG184"/>
          <cell r="BH184" t="str">
            <v xml:space="preserve"> </v>
          </cell>
          <cell r="BI184"/>
          <cell r="BJ184" t="str">
            <v xml:space="preserve"> </v>
          </cell>
          <cell r="BK184"/>
          <cell r="BL184" t="str">
            <v xml:space="preserve"> </v>
          </cell>
          <cell r="BM184" t="str">
            <v xml:space="preserve"> </v>
          </cell>
          <cell r="BN184"/>
          <cell r="BO184" t="str">
            <v xml:space="preserve"> </v>
          </cell>
        </row>
        <row r="185">
          <cell r="B185">
            <v>46203</v>
          </cell>
          <cell r="C185"/>
          <cell r="D185" t="str">
            <v xml:space="preserve"> </v>
          </cell>
          <cell r="E185" t="str">
            <v xml:space="preserve"> </v>
          </cell>
          <cell r="F185"/>
          <cell r="G185" t="str">
            <v xml:space="preserve"> </v>
          </cell>
          <cell r="H185"/>
          <cell r="I185" t="str">
            <v xml:space="preserve"> </v>
          </cell>
          <cell r="J185" t="str">
            <v xml:space="preserve"> </v>
          </cell>
          <cell r="K185"/>
          <cell r="L185" t="str">
            <v xml:space="preserve"> </v>
          </cell>
          <cell r="M185"/>
          <cell r="N185" t="str">
            <v xml:space="preserve"> </v>
          </cell>
          <cell r="O185" t="str">
            <v xml:space="preserve"> </v>
          </cell>
          <cell r="P185"/>
          <cell r="Q185" t="str">
            <v xml:space="preserve"> </v>
          </cell>
          <cell r="R185"/>
          <cell r="S185" t="str">
            <v xml:space="preserve"> </v>
          </cell>
          <cell r="T185" t="str">
            <v xml:space="preserve"> </v>
          </cell>
          <cell r="U185"/>
          <cell r="V185" t="str">
            <v xml:space="preserve"> </v>
          </cell>
          <cell r="W185" t="str">
            <v xml:space="preserve"> </v>
          </cell>
          <cell r="X185"/>
          <cell r="Y185" t="str">
            <v xml:space="preserve"> </v>
          </cell>
          <cell r="Z185"/>
          <cell r="AA185" t="str">
            <v xml:space="preserve"> </v>
          </cell>
          <cell r="AB185" t="str">
            <v xml:space="preserve"> </v>
          </cell>
          <cell r="AC185"/>
          <cell r="AD185" t="str">
            <v xml:space="preserve"> </v>
          </cell>
          <cell r="AE185"/>
          <cell r="AF185" t="str">
            <v xml:space="preserve"> </v>
          </cell>
          <cell r="AG185"/>
          <cell r="AH185"/>
          <cell r="AI185"/>
          <cell r="AJ185"/>
          <cell r="AK185" t="str">
            <v/>
          </cell>
          <cell r="AL185"/>
          <cell r="AM185" t="str">
            <v xml:space="preserve"> </v>
          </cell>
          <cell r="AN185" t="str">
            <v xml:space="preserve"> </v>
          </cell>
          <cell r="AO185"/>
          <cell r="AP185" t="str">
            <v xml:space="preserve"> </v>
          </cell>
          <cell r="AQ185"/>
          <cell r="AR185" t="str">
            <v xml:space="preserve"> </v>
          </cell>
          <cell r="AS185" t="str">
            <v xml:space="preserve"> </v>
          </cell>
          <cell r="AT185"/>
          <cell r="AU185" t="str">
            <v xml:space="preserve"> </v>
          </cell>
          <cell r="AV185"/>
          <cell r="AW185"/>
          <cell r="AX185" t="str">
            <v xml:space="preserve"> </v>
          </cell>
          <cell r="AY185"/>
          <cell r="AZ185" t="str">
            <v xml:space="preserve"> </v>
          </cell>
          <cell r="BA185"/>
          <cell r="BB185"/>
          <cell r="BC185" t="str">
            <v xml:space="preserve"> </v>
          </cell>
          <cell r="BD185"/>
          <cell r="BE185" t="str">
            <v xml:space="preserve"> </v>
          </cell>
          <cell r="BF185"/>
          <cell r="BG185"/>
          <cell r="BH185" t="str">
            <v xml:space="preserve"> </v>
          </cell>
          <cell r="BI185"/>
          <cell r="BJ185" t="str">
            <v xml:space="preserve"> </v>
          </cell>
          <cell r="BK185"/>
          <cell r="BL185" t="str">
            <v xml:space="preserve"> </v>
          </cell>
          <cell r="BM185" t="str">
            <v xml:space="preserve"> </v>
          </cell>
          <cell r="BN185"/>
          <cell r="BO185" t="str">
            <v xml:space="preserve"> </v>
          </cell>
        </row>
        <row r="186">
          <cell r="B186">
            <v>46204</v>
          </cell>
          <cell r="C186"/>
          <cell r="D186" t="str">
            <v xml:space="preserve"> </v>
          </cell>
          <cell r="E186" t="str">
            <v xml:space="preserve"> </v>
          </cell>
          <cell r="F186"/>
          <cell r="G186" t="str">
            <v xml:space="preserve"> </v>
          </cell>
          <cell r="H186"/>
          <cell r="I186" t="str">
            <v xml:space="preserve"> </v>
          </cell>
          <cell r="J186" t="str">
            <v xml:space="preserve"> </v>
          </cell>
          <cell r="K186"/>
          <cell r="L186" t="str">
            <v xml:space="preserve"> </v>
          </cell>
          <cell r="M186"/>
          <cell r="N186" t="str">
            <v xml:space="preserve"> </v>
          </cell>
          <cell r="O186" t="str">
            <v xml:space="preserve"> </v>
          </cell>
          <cell r="P186"/>
          <cell r="Q186" t="str">
            <v xml:space="preserve"> </v>
          </cell>
          <cell r="R186"/>
          <cell r="S186" t="str">
            <v xml:space="preserve"> </v>
          </cell>
          <cell r="T186" t="str">
            <v xml:space="preserve"> </v>
          </cell>
          <cell r="U186"/>
          <cell r="V186" t="str">
            <v xml:space="preserve"> </v>
          </cell>
          <cell r="W186" t="str">
            <v xml:space="preserve"> </v>
          </cell>
          <cell r="X186"/>
          <cell r="Y186" t="str">
            <v xml:space="preserve"> </v>
          </cell>
          <cell r="Z186"/>
          <cell r="AA186" t="str">
            <v xml:space="preserve"> </v>
          </cell>
          <cell r="AB186" t="str">
            <v xml:space="preserve"> </v>
          </cell>
          <cell r="AC186"/>
          <cell r="AD186" t="str">
            <v xml:space="preserve"> </v>
          </cell>
          <cell r="AE186"/>
          <cell r="AF186" t="str">
            <v xml:space="preserve"> </v>
          </cell>
          <cell r="AG186"/>
          <cell r="AH186"/>
          <cell r="AI186"/>
          <cell r="AJ186"/>
          <cell r="AK186" t="str">
            <v/>
          </cell>
          <cell r="AL186"/>
          <cell r="AM186" t="str">
            <v xml:space="preserve"> </v>
          </cell>
          <cell r="AN186" t="str">
            <v xml:space="preserve"> </v>
          </cell>
          <cell r="AO186"/>
          <cell r="AP186" t="str">
            <v xml:space="preserve"> </v>
          </cell>
          <cell r="AQ186"/>
          <cell r="AR186" t="str">
            <v xml:space="preserve"> </v>
          </cell>
          <cell r="AS186" t="str">
            <v xml:space="preserve"> </v>
          </cell>
          <cell r="AT186"/>
          <cell r="AU186" t="str">
            <v xml:space="preserve"> </v>
          </cell>
          <cell r="AV186"/>
          <cell r="AW186"/>
          <cell r="AX186" t="str">
            <v xml:space="preserve"> </v>
          </cell>
          <cell r="AY186"/>
          <cell r="AZ186" t="str">
            <v xml:space="preserve"> </v>
          </cell>
          <cell r="BA186"/>
          <cell r="BB186"/>
          <cell r="BC186" t="str">
            <v xml:space="preserve"> </v>
          </cell>
          <cell r="BD186"/>
          <cell r="BE186" t="str">
            <v xml:space="preserve"> </v>
          </cell>
          <cell r="BF186"/>
          <cell r="BG186"/>
          <cell r="BH186" t="str">
            <v xml:space="preserve"> </v>
          </cell>
          <cell r="BI186"/>
          <cell r="BJ186" t="str">
            <v xml:space="preserve"> </v>
          </cell>
          <cell r="BK186"/>
          <cell r="BL186" t="str">
            <v xml:space="preserve"> </v>
          </cell>
          <cell r="BM186" t="str">
            <v xml:space="preserve"> </v>
          </cell>
          <cell r="BN186"/>
          <cell r="BO186" t="str">
            <v xml:space="preserve"> </v>
          </cell>
        </row>
        <row r="187">
          <cell r="B187">
            <v>46205</v>
          </cell>
          <cell r="C187"/>
          <cell r="D187" t="str">
            <v xml:space="preserve"> </v>
          </cell>
          <cell r="E187" t="str">
            <v xml:space="preserve"> </v>
          </cell>
          <cell r="F187"/>
          <cell r="G187" t="str">
            <v xml:space="preserve"> </v>
          </cell>
          <cell r="H187"/>
          <cell r="I187" t="str">
            <v xml:space="preserve"> </v>
          </cell>
          <cell r="J187" t="str">
            <v xml:space="preserve"> </v>
          </cell>
          <cell r="K187"/>
          <cell r="L187" t="str">
            <v xml:space="preserve"> </v>
          </cell>
          <cell r="M187"/>
          <cell r="N187" t="str">
            <v xml:space="preserve"> </v>
          </cell>
          <cell r="O187" t="str">
            <v xml:space="preserve"> </v>
          </cell>
          <cell r="P187"/>
          <cell r="Q187" t="str">
            <v xml:space="preserve"> </v>
          </cell>
          <cell r="R187"/>
          <cell r="S187" t="str">
            <v xml:space="preserve"> </v>
          </cell>
          <cell r="T187" t="str">
            <v xml:space="preserve"> </v>
          </cell>
          <cell r="U187"/>
          <cell r="V187" t="str">
            <v xml:space="preserve"> </v>
          </cell>
          <cell r="W187" t="str">
            <v xml:space="preserve"> </v>
          </cell>
          <cell r="X187"/>
          <cell r="Y187" t="str">
            <v xml:space="preserve"> </v>
          </cell>
          <cell r="Z187"/>
          <cell r="AA187" t="str">
            <v xml:space="preserve"> </v>
          </cell>
          <cell r="AB187" t="str">
            <v xml:space="preserve"> </v>
          </cell>
          <cell r="AC187"/>
          <cell r="AD187" t="str">
            <v xml:space="preserve"> </v>
          </cell>
          <cell r="AE187"/>
          <cell r="AF187" t="str">
            <v xml:space="preserve"> </v>
          </cell>
          <cell r="AG187"/>
          <cell r="AH187"/>
          <cell r="AI187"/>
          <cell r="AJ187"/>
          <cell r="AK187" t="str">
            <v/>
          </cell>
          <cell r="AL187"/>
          <cell r="AM187" t="str">
            <v xml:space="preserve"> </v>
          </cell>
          <cell r="AN187" t="str">
            <v xml:space="preserve"> </v>
          </cell>
          <cell r="AO187"/>
          <cell r="AP187" t="str">
            <v xml:space="preserve"> </v>
          </cell>
          <cell r="AQ187"/>
          <cell r="AR187" t="str">
            <v xml:space="preserve"> </v>
          </cell>
          <cell r="AS187" t="str">
            <v xml:space="preserve"> </v>
          </cell>
          <cell r="AT187"/>
          <cell r="AU187" t="str">
            <v xml:space="preserve"> </v>
          </cell>
          <cell r="AV187"/>
          <cell r="AW187"/>
          <cell r="AX187" t="str">
            <v xml:space="preserve"> </v>
          </cell>
          <cell r="AY187"/>
          <cell r="AZ187" t="str">
            <v xml:space="preserve"> </v>
          </cell>
          <cell r="BA187"/>
          <cell r="BB187"/>
          <cell r="BC187" t="str">
            <v xml:space="preserve"> </v>
          </cell>
          <cell r="BD187"/>
          <cell r="BE187" t="str">
            <v xml:space="preserve"> </v>
          </cell>
          <cell r="BF187"/>
          <cell r="BG187"/>
          <cell r="BH187" t="str">
            <v xml:space="preserve"> </v>
          </cell>
          <cell r="BI187"/>
          <cell r="BJ187" t="str">
            <v xml:space="preserve"> </v>
          </cell>
          <cell r="BK187"/>
          <cell r="BL187" t="str">
            <v xml:space="preserve"> </v>
          </cell>
          <cell r="BM187" t="str">
            <v xml:space="preserve"> </v>
          </cell>
          <cell r="BN187"/>
          <cell r="BO187" t="str">
            <v xml:space="preserve"> </v>
          </cell>
        </row>
        <row r="188">
          <cell r="B188">
            <v>46206</v>
          </cell>
          <cell r="C188"/>
          <cell r="D188" t="str">
            <v xml:space="preserve"> </v>
          </cell>
          <cell r="E188" t="str">
            <v xml:space="preserve"> </v>
          </cell>
          <cell r="F188"/>
          <cell r="G188" t="str">
            <v xml:space="preserve"> </v>
          </cell>
          <cell r="H188"/>
          <cell r="I188" t="str">
            <v xml:space="preserve"> </v>
          </cell>
          <cell r="J188" t="str">
            <v xml:space="preserve"> </v>
          </cell>
          <cell r="K188"/>
          <cell r="L188" t="str">
            <v xml:space="preserve"> </v>
          </cell>
          <cell r="M188"/>
          <cell r="N188" t="str">
            <v xml:space="preserve"> </v>
          </cell>
          <cell r="O188" t="str">
            <v xml:space="preserve"> </v>
          </cell>
          <cell r="P188"/>
          <cell r="Q188" t="str">
            <v xml:space="preserve"> </v>
          </cell>
          <cell r="R188"/>
          <cell r="S188" t="str">
            <v xml:space="preserve"> </v>
          </cell>
          <cell r="T188" t="str">
            <v xml:space="preserve"> </v>
          </cell>
          <cell r="U188"/>
          <cell r="V188" t="str">
            <v xml:space="preserve"> </v>
          </cell>
          <cell r="W188" t="str">
            <v xml:space="preserve"> </v>
          </cell>
          <cell r="X188"/>
          <cell r="Y188" t="str">
            <v xml:space="preserve"> </v>
          </cell>
          <cell r="Z188"/>
          <cell r="AA188" t="str">
            <v xml:space="preserve"> </v>
          </cell>
          <cell r="AB188" t="str">
            <v xml:space="preserve"> </v>
          </cell>
          <cell r="AC188"/>
          <cell r="AD188" t="str">
            <v xml:space="preserve"> </v>
          </cell>
          <cell r="AE188"/>
          <cell r="AF188" t="str">
            <v xml:space="preserve"> </v>
          </cell>
          <cell r="AG188"/>
          <cell r="AH188"/>
          <cell r="AI188"/>
          <cell r="AJ188"/>
          <cell r="AK188" t="str">
            <v/>
          </cell>
          <cell r="AL188"/>
          <cell r="AM188" t="str">
            <v xml:space="preserve"> </v>
          </cell>
          <cell r="AN188" t="str">
            <v xml:space="preserve"> </v>
          </cell>
          <cell r="AO188"/>
          <cell r="AP188" t="str">
            <v xml:space="preserve"> </v>
          </cell>
          <cell r="AQ188"/>
          <cell r="AR188" t="str">
            <v xml:space="preserve"> </v>
          </cell>
          <cell r="AS188" t="str">
            <v xml:space="preserve"> </v>
          </cell>
          <cell r="AT188"/>
          <cell r="AU188" t="str">
            <v xml:space="preserve"> </v>
          </cell>
          <cell r="AV188"/>
          <cell r="AW188"/>
          <cell r="AX188" t="str">
            <v xml:space="preserve"> </v>
          </cell>
          <cell r="AY188"/>
          <cell r="AZ188" t="str">
            <v xml:space="preserve"> </v>
          </cell>
          <cell r="BA188"/>
          <cell r="BB188"/>
          <cell r="BC188" t="str">
            <v xml:space="preserve"> </v>
          </cell>
          <cell r="BD188"/>
          <cell r="BE188" t="str">
            <v xml:space="preserve"> </v>
          </cell>
          <cell r="BF188"/>
          <cell r="BG188"/>
          <cell r="BH188" t="str">
            <v xml:space="preserve"> </v>
          </cell>
          <cell r="BI188"/>
          <cell r="BJ188" t="str">
            <v xml:space="preserve"> </v>
          </cell>
          <cell r="BK188"/>
          <cell r="BL188" t="str">
            <v xml:space="preserve"> </v>
          </cell>
          <cell r="BM188" t="str">
            <v xml:space="preserve"> </v>
          </cell>
          <cell r="BN188"/>
          <cell r="BO188" t="str">
            <v xml:space="preserve"> </v>
          </cell>
        </row>
        <row r="189">
          <cell r="B189">
            <v>46207</v>
          </cell>
          <cell r="C189"/>
          <cell r="D189" t="str">
            <v xml:space="preserve"> </v>
          </cell>
          <cell r="E189" t="str">
            <v xml:space="preserve"> </v>
          </cell>
          <cell r="F189"/>
          <cell r="G189" t="str">
            <v xml:space="preserve"> </v>
          </cell>
          <cell r="H189"/>
          <cell r="I189" t="str">
            <v xml:space="preserve"> </v>
          </cell>
          <cell r="J189" t="str">
            <v xml:space="preserve"> </v>
          </cell>
          <cell r="K189"/>
          <cell r="L189" t="str">
            <v xml:space="preserve"> </v>
          </cell>
          <cell r="M189"/>
          <cell r="N189" t="str">
            <v xml:space="preserve"> </v>
          </cell>
          <cell r="O189" t="str">
            <v xml:space="preserve"> </v>
          </cell>
          <cell r="P189"/>
          <cell r="Q189" t="str">
            <v xml:space="preserve"> </v>
          </cell>
          <cell r="R189"/>
          <cell r="S189" t="str">
            <v xml:space="preserve"> </v>
          </cell>
          <cell r="T189" t="str">
            <v xml:space="preserve"> </v>
          </cell>
          <cell r="U189"/>
          <cell r="V189" t="str">
            <v xml:space="preserve"> </v>
          </cell>
          <cell r="W189" t="str">
            <v xml:space="preserve"> </v>
          </cell>
          <cell r="X189"/>
          <cell r="Y189" t="str">
            <v xml:space="preserve"> </v>
          </cell>
          <cell r="Z189"/>
          <cell r="AA189" t="str">
            <v xml:space="preserve"> </v>
          </cell>
          <cell r="AB189" t="str">
            <v xml:space="preserve"> </v>
          </cell>
          <cell r="AC189"/>
          <cell r="AD189" t="str">
            <v xml:space="preserve"> </v>
          </cell>
          <cell r="AE189"/>
          <cell r="AF189" t="str">
            <v xml:space="preserve"> </v>
          </cell>
          <cell r="AG189"/>
          <cell r="AH189"/>
          <cell r="AI189"/>
          <cell r="AJ189"/>
          <cell r="AK189" t="str">
            <v/>
          </cell>
          <cell r="AL189"/>
          <cell r="AM189" t="str">
            <v xml:space="preserve"> </v>
          </cell>
          <cell r="AN189" t="str">
            <v xml:space="preserve"> </v>
          </cell>
          <cell r="AO189"/>
          <cell r="AP189" t="str">
            <v xml:space="preserve"> </v>
          </cell>
          <cell r="AQ189"/>
          <cell r="AR189" t="str">
            <v xml:space="preserve"> </v>
          </cell>
          <cell r="AS189" t="str">
            <v xml:space="preserve"> </v>
          </cell>
          <cell r="AT189"/>
          <cell r="AU189" t="str">
            <v xml:space="preserve"> </v>
          </cell>
          <cell r="AV189"/>
          <cell r="AW189"/>
          <cell r="AX189" t="str">
            <v xml:space="preserve"> </v>
          </cell>
          <cell r="AY189"/>
          <cell r="AZ189" t="str">
            <v xml:space="preserve"> </v>
          </cell>
          <cell r="BA189"/>
          <cell r="BB189"/>
          <cell r="BC189" t="str">
            <v xml:space="preserve"> </v>
          </cell>
          <cell r="BD189"/>
          <cell r="BE189" t="str">
            <v xml:space="preserve"> </v>
          </cell>
          <cell r="BF189"/>
          <cell r="BG189"/>
          <cell r="BH189" t="str">
            <v xml:space="preserve"> </v>
          </cell>
          <cell r="BI189"/>
          <cell r="BJ189" t="str">
            <v xml:space="preserve"> </v>
          </cell>
          <cell r="BK189"/>
          <cell r="BL189" t="str">
            <v xml:space="preserve"> </v>
          </cell>
          <cell r="BM189" t="str">
            <v xml:space="preserve"> </v>
          </cell>
          <cell r="BN189"/>
          <cell r="BO189" t="str">
            <v xml:space="preserve"> </v>
          </cell>
        </row>
        <row r="190">
          <cell r="B190">
            <v>46208</v>
          </cell>
          <cell r="C190"/>
          <cell r="D190" t="str">
            <v xml:space="preserve"> </v>
          </cell>
          <cell r="E190" t="str">
            <v xml:space="preserve"> </v>
          </cell>
          <cell r="F190"/>
          <cell r="G190" t="str">
            <v xml:space="preserve"> </v>
          </cell>
          <cell r="H190"/>
          <cell r="I190" t="str">
            <v xml:space="preserve"> </v>
          </cell>
          <cell r="J190" t="str">
            <v xml:space="preserve"> </v>
          </cell>
          <cell r="K190"/>
          <cell r="L190" t="str">
            <v xml:space="preserve"> </v>
          </cell>
          <cell r="M190"/>
          <cell r="N190" t="str">
            <v xml:space="preserve"> </v>
          </cell>
          <cell r="O190" t="str">
            <v xml:space="preserve"> </v>
          </cell>
          <cell r="P190"/>
          <cell r="Q190" t="str">
            <v xml:space="preserve"> </v>
          </cell>
          <cell r="R190"/>
          <cell r="S190" t="str">
            <v xml:space="preserve"> </v>
          </cell>
          <cell r="T190" t="str">
            <v xml:space="preserve"> </v>
          </cell>
          <cell r="U190"/>
          <cell r="V190" t="str">
            <v xml:space="preserve"> </v>
          </cell>
          <cell r="W190" t="str">
            <v xml:space="preserve"> </v>
          </cell>
          <cell r="X190"/>
          <cell r="Y190" t="str">
            <v xml:space="preserve"> </v>
          </cell>
          <cell r="Z190"/>
          <cell r="AA190" t="str">
            <v xml:space="preserve"> </v>
          </cell>
          <cell r="AB190" t="str">
            <v xml:space="preserve"> </v>
          </cell>
          <cell r="AC190"/>
          <cell r="AD190" t="str">
            <v xml:space="preserve"> </v>
          </cell>
          <cell r="AE190"/>
          <cell r="AF190" t="str">
            <v xml:space="preserve"> </v>
          </cell>
          <cell r="AG190"/>
          <cell r="AH190"/>
          <cell r="AI190"/>
          <cell r="AJ190"/>
          <cell r="AK190" t="str">
            <v/>
          </cell>
          <cell r="AL190"/>
          <cell r="AM190" t="str">
            <v xml:space="preserve"> </v>
          </cell>
          <cell r="AN190" t="str">
            <v xml:space="preserve"> </v>
          </cell>
          <cell r="AO190"/>
          <cell r="AP190" t="str">
            <v xml:space="preserve"> </v>
          </cell>
          <cell r="AQ190"/>
          <cell r="AR190" t="str">
            <v xml:space="preserve"> </v>
          </cell>
          <cell r="AS190" t="str">
            <v xml:space="preserve"> </v>
          </cell>
          <cell r="AT190"/>
          <cell r="AU190" t="str">
            <v xml:space="preserve"> </v>
          </cell>
          <cell r="AV190"/>
          <cell r="AW190"/>
          <cell r="AX190" t="str">
            <v xml:space="preserve"> </v>
          </cell>
          <cell r="AY190"/>
          <cell r="AZ190" t="str">
            <v xml:space="preserve"> </v>
          </cell>
          <cell r="BA190"/>
          <cell r="BB190"/>
          <cell r="BC190" t="str">
            <v xml:space="preserve"> </v>
          </cell>
          <cell r="BD190"/>
          <cell r="BE190" t="str">
            <v xml:space="preserve"> </v>
          </cell>
          <cell r="BF190"/>
          <cell r="BG190"/>
          <cell r="BH190" t="str">
            <v xml:space="preserve"> </v>
          </cell>
          <cell r="BI190"/>
          <cell r="BJ190" t="str">
            <v xml:space="preserve"> </v>
          </cell>
          <cell r="BK190"/>
          <cell r="BL190" t="str">
            <v xml:space="preserve"> </v>
          </cell>
          <cell r="BM190" t="str">
            <v xml:space="preserve"> </v>
          </cell>
          <cell r="BN190"/>
          <cell r="BO190" t="str">
            <v xml:space="preserve"> </v>
          </cell>
        </row>
        <row r="191">
          <cell r="B191">
            <v>46209</v>
          </cell>
          <cell r="C191"/>
          <cell r="D191" t="str">
            <v xml:space="preserve"> </v>
          </cell>
          <cell r="E191" t="str">
            <v xml:space="preserve"> </v>
          </cell>
          <cell r="F191"/>
          <cell r="G191" t="str">
            <v xml:space="preserve"> </v>
          </cell>
          <cell r="H191"/>
          <cell r="I191" t="str">
            <v xml:space="preserve"> </v>
          </cell>
          <cell r="J191" t="str">
            <v xml:space="preserve"> </v>
          </cell>
          <cell r="K191"/>
          <cell r="L191" t="str">
            <v xml:space="preserve"> </v>
          </cell>
          <cell r="M191"/>
          <cell r="N191" t="str">
            <v xml:space="preserve"> </v>
          </cell>
          <cell r="O191" t="str">
            <v xml:space="preserve"> </v>
          </cell>
          <cell r="P191"/>
          <cell r="Q191" t="str">
            <v xml:space="preserve"> </v>
          </cell>
          <cell r="R191"/>
          <cell r="S191" t="str">
            <v xml:space="preserve"> </v>
          </cell>
          <cell r="T191" t="str">
            <v xml:space="preserve"> </v>
          </cell>
          <cell r="U191"/>
          <cell r="V191" t="str">
            <v xml:space="preserve"> </v>
          </cell>
          <cell r="W191" t="str">
            <v xml:space="preserve"> </v>
          </cell>
          <cell r="X191"/>
          <cell r="Y191" t="str">
            <v xml:space="preserve"> </v>
          </cell>
          <cell r="Z191"/>
          <cell r="AA191" t="str">
            <v xml:space="preserve"> </v>
          </cell>
          <cell r="AB191" t="str">
            <v xml:space="preserve"> </v>
          </cell>
          <cell r="AC191"/>
          <cell r="AD191" t="str">
            <v xml:space="preserve"> </v>
          </cell>
          <cell r="AE191"/>
          <cell r="AF191" t="str">
            <v xml:space="preserve"> </v>
          </cell>
          <cell r="AG191"/>
          <cell r="AH191"/>
          <cell r="AI191"/>
          <cell r="AJ191"/>
          <cell r="AK191" t="str">
            <v/>
          </cell>
          <cell r="AL191"/>
          <cell r="AM191" t="str">
            <v xml:space="preserve"> </v>
          </cell>
          <cell r="AN191" t="str">
            <v xml:space="preserve"> </v>
          </cell>
          <cell r="AO191"/>
          <cell r="AP191" t="str">
            <v xml:space="preserve"> </v>
          </cell>
          <cell r="AQ191"/>
          <cell r="AR191" t="str">
            <v xml:space="preserve"> </v>
          </cell>
          <cell r="AS191" t="str">
            <v xml:space="preserve"> </v>
          </cell>
          <cell r="AT191"/>
          <cell r="AU191" t="str">
            <v xml:space="preserve"> </v>
          </cell>
          <cell r="AV191"/>
          <cell r="AW191"/>
          <cell r="AX191" t="str">
            <v xml:space="preserve"> </v>
          </cell>
          <cell r="AY191"/>
          <cell r="AZ191" t="str">
            <v xml:space="preserve"> </v>
          </cell>
          <cell r="BA191"/>
          <cell r="BB191"/>
          <cell r="BC191" t="str">
            <v xml:space="preserve"> </v>
          </cell>
          <cell r="BD191"/>
          <cell r="BE191" t="str">
            <v xml:space="preserve"> </v>
          </cell>
          <cell r="BF191"/>
          <cell r="BG191"/>
          <cell r="BH191" t="str">
            <v xml:space="preserve"> </v>
          </cell>
          <cell r="BI191"/>
          <cell r="BJ191" t="str">
            <v xml:space="preserve"> </v>
          </cell>
          <cell r="BK191"/>
          <cell r="BL191" t="str">
            <v xml:space="preserve"> </v>
          </cell>
          <cell r="BM191" t="str">
            <v xml:space="preserve"> </v>
          </cell>
          <cell r="BN191"/>
          <cell r="BO191" t="str">
            <v xml:space="preserve"> </v>
          </cell>
        </row>
        <row r="192">
          <cell r="B192">
            <v>46210</v>
          </cell>
          <cell r="C192"/>
          <cell r="D192" t="str">
            <v xml:space="preserve"> </v>
          </cell>
          <cell r="E192" t="str">
            <v xml:space="preserve"> </v>
          </cell>
          <cell r="F192"/>
          <cell r="G192" t="str">
            <v xml:space="preserve"> </v>
          </cell>
          <cell r="H192"/>
          <cell r="I192" t="str">
            <v xml:space="preserve"> </v>
          </cell>
          <cell r="J192" t="str">
            <v xml:space="preserve"> </v>
          </cell>
          <cell r="K192"/>
          <cell r="L192" t="str">
            <v xml:space="preserve"> </v>
          </cell>
          <cell r="M192"/>
          <cell r="N192" t="str">
            <v xml:space="preserve"> </v>
          </cell>
          <cell r="O192" t="str">
            <v xml:space="preserve"> </v>
          </cell>
          <cell r="P192"/>
          <cell r="Q192" t="str">
            <v xml:space="preserve"> </v>
          </cell>
          <cell r="R192"/>
          <cell r="S192" t="str">
            <v xml:space="preserve"> </v>
          </cell>
          <cell r="T192" t="str">
            <v xml:space="preserve"> </v>
          </cell>
          <cell r="U192"/>
          <cell r="V192" t="str">
            <v xml:space="preserve"> </v>
          </cell>
          <cell r="W192" t="str">
            <v xml:space="preserve"> </v>
          </cell>
          <cell r="X192"/>
          <cell r="Y192" t="str">
            <v xml:space="preserve"> </v>
          </cell>
          <cell r="Z192"/>
          <cell r="AA192" t="str">
            <v xml:space="preserve"> </v>
          </cell>
          <cell r="AB192" t="str">
            <v xml:space="preserve"> </v>
          </cell>
          <cell r="AC192"/>
          <cell r="AD192" t="str">
            <v xml:space="preserve"> </v>
          </cell>
          <cell r="AE192"/>
          <cell r="AF192" t="str">
            <v xml:space="preserve"> </v>
          </cell>
          <cell r="AG192"/>
          <cell r="AH192"/>
          <cell r="AI192"/>
          <cell r="AJ192"/>
          <cell r="AK192" t="str">
            <v/>
          </cell>
          <cell r="AL192"/>
          <cell r="AM192" t="str">
            <v xml:space="preserve"> </v>
          </cell>
          <cell r="AN192" t="str">
            <v xml:space="preserve"> </v>
          </cell>
          <cell r="AO192"/>
          <cell r="AP192" t="str">
            <v xml:space="preserve"> </v>
          </cell>
          <cell r="AQ192"/>
          <cell r="AR192" t="str">
            <v xml:space="preserve"> </v>
          </cell>
          <cell r="AS192" t="str">
            <v xml:space="preserve"> </v>
          </cell>
          <cell r="AT192"/>
          <cell r="AU192" t="str">
            <v xml:space="preserve"> </v>
          </cell>
          <cell r="AV192"/>
          <cell r="AW192"/>
          <cell r="AX192" t="str">
            <v xml:space="preserve"> </v>
          </cell>
          <cell r="AY192"/>
          <cell r="AZ192" t="str">
            <v xml:space="preserve"> </v>
          </cell>
          <cell r="BA192"/>
          <cell r="BB192"/>
          <cell r="BC192" t="str">
            <v xml:space="preserve"> </v>
          </cell>
          <cell r="BD192"/>
          <cell r="BE192" t="str">
            <v xml:space="preserve"> </v>
          </cell>
          <cell r="BF192"/>
          <cell r="BG192"/>
          <cell r="BH192" t="str">
            <v xml:space="preserve"> </v>
          </cell>
          <cell r="BI192"/>
          <cell r="BJ192" t="str">
            <v xml:space="preserve"> </v>
          </cell>
          <cell r="BK192"/>
          <cell r="BL192" t="str">
            <v xml:space="preserve"> </v>
          </cell>
          <cell r="BM192" t="str">
            <v xml:space="preserve"> </v>
          </cell>
          <cell r="BN192"/>
          <cell r="BO192" t="str">
            <v xml:space="preserve"> </v>
          </cell>
        </row>
        <row r="193">
          <cell r="B193">
            <v>46211</v>
          </cell>
          <cell r="C193"/>
          <cell r="D193" t="str">
            <v xml:space="preserve"> </v>
          </cell>
          <cell r="E193" t="str">
            <v xml:space="preserve"> </v>
          </cell>
          <cell r="F193"/>
          <cell r="G193" t="str">
            <v xml:space="preserve"> </v>
          </cell>
          <cell r="H193"/>
          <cell r="I193" t="str">
            <v xml:space="preserve"> </v>
          </cell>
          <cell r="J193" t="str">
            <v xml:space="preserve"> </v>
          </cell>
          <cell r="K193"/>
          <cell r="L193" t="str">
            <v xml:space="preserve"> </v>
          </cell>
          <cell r="M193"/>
          <cell r="N193" t="str">
            <v xml:space="preserve"> </v>
          </cell>
          <cell r="O193" t="str">
            <v xml:space="preserve"> </v>
          </cell>
          <cell r="P193"/>
          <cell r="Q193" t="str">
            <v xml:space="preserve"> </v>
          </cell>
          <cell r="R193"/>
          <cell r="S193" t="str">
            <v xml:space="preserve"> </v>
          </cell>
          <cell r="T193" t="str">
            <v xml:space="preserve"> </v>
          </cell>
          <cell r="U193"/>
          <cell r="V193" t="str">
            <v xml:space="preserve"> </v>
          </cell>
          <cell r="W193" t="str">
            <v xml:space="preserve"> </v>
          </cell>
          <cell r="X193"/>
          <cell r="Y193" t="str">
            <v xml:space="preserve"> </v>
          </cell>
          <cell r="Z193"/>
          <cell r="AA193" t="str">
            <v xml:space="preserve"> </v>
          </cell>
          <cell r="AB193" t="str">
            <v xml:space="preserve"> </v>
          </cell>
          <cell r="AC193"/>
          <cell r="AD193" t="str">
            <v xml:space="preserve"> </v>
          </cell>
          <cell r="AE193"/>
          <cell r="AF193" t="str">
            <v xml:space="preserve"> </v>
          </cell>
          <cell r="AG193"/>
          <cell r="AH193"/>
          <cell r="AI193"/>
          <cell r="AJ193"/>
          <cell r="AK193" t="str">
            <v/>
          </cell>
          <cell r="AL193"/>
          <cell r="AM193" t="str">
            <v xml:space="preserve"> </v>
          </cell>
          <cell r="AN193" t="str">
            <v xml:space="preserve"> </v>
          </cell>
          <cell r="AO193"/>
          <cell r="AP193" t="str">
            <v xml:space="preserve"> </v>
          </cell>
          <cell r="AQ193"/>
          <cell r="AR193" t="str">
            <v xml:space="preserve"> </v>
          </cell>
          <cell r="AS193" t="str">
            <v xml:space="preserve"> </v>
          </cell>
          <cell r="AT193"/>
          <cell r="AU193" t="str">
            <v xml:space="preserve"> </v>
          </cell>
          <cell r="AV193"/>
          <cell r="AW193"/>
          <cell r="AX193" t="str">
            <v xml:space="preserve"> </v>
          </cell>
          <cell r="AY193"/>
          <cell r="AZ193" t="str">
            <v xml:space="preserve"> </v>
          </cell>
          <cell r="BA193"/>
          <cell r="BB193"/>
          <cell r="BC193" t="str">
            <v xml:space="preserve"> </v>
          </cell>
          <cell r="BD193"/>
          <cell r="BE193" t="str">
            <v xml:space="preserve"> </v>
          </cell>
          <cell r="BF193"/>
          <cell r="BG193"/>
          <cell r="BH193" t="str">
            <v xml:space="preserve"> </v>
          </cell>
          <cell r="BI193"/>
          <cell r="BJ193" t="str">
            <v xml:space="preserve"> </v>
          </cell>
          <cell r="BK193"/>
          <cell r="BL193" t="str">
            <v xml:space="preserve"> </v>
          </cell>
          <cell r="BM193" t="str">
            <v xml:space="preserve"> </v>
          </cell>
          <cell r="BN193"/>
          <cell r="BO193" t="str">
            <v xml:space="preserve"> </v>
          </cell>
        </row>
        <row r="194">
          <cell r="B194">
            <v>46212</v>
          </cell>
          <cell r="C194"/>
          <cell r="D194" t="str">
            <v xml:space="preserve"> </v>
          </cell>
          <cell r="E194" t="str">
            <v xml:space="preserve"> </v>
          </cell>
          <cell r="F194"/>
          <cell r="G194" t="str">
            <v xml:space="preserve"> </v>
          </cell>
          <cell r="H194"/>
          <cell r="I194" t="str">
            <v xml:space="preserve"> </v>
          </cell>
          <cell r="J194" t="str">
            <v xml:space="preserve"> </v>
          </cell>
          <cell r="K194"/>
          <cell r="L194" t="str">
            <v xml:space="preserve"> </v>
          </cell>
          <cell r="M194"/>
          <cell r="N194" t="str">
            <v xml:space="preserve"> </v>
          </cell>
          <cell r="O194" t="str">
            <v xml:space="preserve"> </v>
          </cell>
          <cell r="P194"/>
          <cell r="Q194" t="str">
            <v xml:space="preserve"> </v>
          </cell>
          <cell r="R194"/>
          <cell r="S194" t="str">
            <v xml:space="preserve"> </v>
          </cell>
          <cell r="T194" t="str">
            <v xml:space="preserve"> </v>
          </cell>
          <cell r="U194"/>
          <cell r="V194" t="str">
            <v xml:space="preserve"> </v>
          </cell>
          <cell r="W194" t="str">
            <v xml:space="preserve"> </v>
          </cell>
          <cell r="X194"/>
          <cell r="Y194" t="str">
            <v xml:space="preserve"> </v>
          </cell>
          <cell r="Z194"/>
          <cell r="AA194" t="str">
            <v xml:space="preserve"> </v>
          </cell>
          <cell r="AB194" t="str">
            <v xml:space="preserve"> </v>
          </cell>
          <cell r="AC194"/>
          <cell r="AD194" t="str">
            <v xml:space="preserve"> </v>
          </cell>
          <cell r="AE194"/>
          <cell r="AF194" t="str">
            <v xml:space="preserve"> </v>
          </cell>
          <cell r="AG194"/>
          <cell r="AH194"/>
          <cell r="AI194"/>
          <cell r="AJ194"/>
          <cell r="AK194" t="str">
            <v/>
          </cell>
          <cell r="AL194"/>
          <cell r="AM194" t="str">
            <v xml:space="preserve"> </v>
          </cell>
          <cell r="AN194" t="str">
            <v xml:space="preserve"> </v>
          </cell>
          <cell r="AO194"/>
          <cell r="AP194" t="str">
            <v xml:space="preserve"> </v>
          </cell>
          <cell r="AQ194"/>
          <cell r="AR194" t="str">
            <v xml:space="preserve"> </v>
          </cell>
          <cell r="AS194" t="str">
            <v xml:space="preserve"> </v>
          </cell>
          <cell r="AT194"/>
          <cell r="AU194" t="str">
            <v xml:space="preserve"> </v>
          </cell>
          <cell r="AV194"/>
          <cell r="AW194"/>
          <cell r="AX194" t="str">
            <v xml:space="preserve"> </v>
          </cell>
          <cell r="AY194"/>
          <cell r="AZ194" t="str">
            <v xml:space="preserve"> </v>
          </cell>
          <cell r="BA194"/>
          <cell r="BB194"/>
          <cell r="BC194" t="str">
            <v xml:space="preserve"> </v>
          </cell>
          <cell r="BD194"/>
          <cell r="BE194" t="str">
            <v xml:space="preserve"> </v>
          </cell>
          <cell r="BF194"/>
          <cell r="BG194"/>
          <cell r="BH194" t="str">
            <v xml:space="preserve"> </v>
          </cell>
          <cell r="BI194"/>
          <cell r="BJ194" t="str">
            <v xml:space="preserve"> </v>
          </cell>
          <cell r="BK194"/>
          <cell r="BL194" t="str">
            <v xml:space="preserve"> </v>
          </cell>
          <cell r="BM194" t="str">
            <v xml:space="preserve"> </v>
          </cell>
          <cell r="BN194"/>
          <cell r="BO194" t="str">
            <v xml:space="preserve"> </v>
          </cell>
        </row>
        <row r="195">
          <cell r="B195">
            <v>46213</v>
          </cell>
          <cell r="C195"/>
          <cell r="D195" t="str">
            <v xml:space="preserve"> </v>
          </cell>
          <cell r="E195" t="str">
            <v xml:space="preserve"> </v>
          </cell>
          <cell r="F195"/>
          <cell r="G195" t="str">
            <v xml:space="preserve"> </v>
          </cell>
          <cell r="H195"/>
          <cell r="I195" t="str">
            <v xml:space="preserve"> </v>
          </cell>
          <cell r="J195" t="str">
            <v xml:space="preserve"> </v>
          </cell>
          <cell r="K195"/>
          <cell r="L195" t="str">
            <v xml:space="preserve"> </v>
          </cell>
          <cell r="M195"/>
          <cell r="N195" t="str">
            <v xml:space="preserve"> </v>
          </cell>
          <cell r="O195" t="str">
            <v xml:space="preserve"> </v>
          </cell>
          <cell r="P195"/>
          <cell r="Q195" t="str">
            <v xml:space="preserve"> </v>
          </cell>
          <cell r="R195"/>
          <cell r="S195" t="str">
            <v xml:space="preserve"> </v>
          </cell>
          <cell r="T195" t="str">
            <v xml:space="preserve"> </v>
          </cell>
          <cell r="U195"/>
          <cell r="V195" t="str">
            <v xml:space="preserve"> </v>
          </cell>
          <cell r="W195" t="str">
            <v xml:space="preserve"> </v>
          </cell>
          <cell r="X195"/>
          <cell r="Y195" t="str">
            <v xml:space="preserve"> </v>
          </cell>
          <cell r="Z195"/>
          <cell r="AA195" t="str">
            <v xml:space="preserve"> </v>
          </cell>
          <cell r="AB195" t="str">
            <v xml:space="preserve"> </v>
          </cell>
          <cell r="AC195"/>
          <cell r="AD195" t="str">
            <v xml:space="preserve"> </v>
          </cell>
          <cell r="AE195"/>
          <cell r="AF195" t="str">
            <v xml:space="preserve"> </v>
          </cell>
          <cell r="AG195"/>
          <cell r="AH195"/>
          <cell r="AI195"/>
          <cell r="AJ195"/>
          <cell r="AK195" t="str">
            <v/>
          </cell>
          <cell r="AL195"/>
          <cell r="AM195" t="str">
            <v xml:space="preserve"> </v>
          </cell>
          <cell r="AN195" t="str">
            <v xml:space="preserve"> </v>
          </cell>
          <cell r="AO195"/>
          <cell r="AP195" t="str">
            <v xml:space="preserve"> </v>
          </cell>
          <cell r="AQ195"/>
          <cell r="AR195" t="str">
            <v xml:space="preserve"> </v>
          </cell>
          <cell r="AS195" t="str">
            <v xml:space="preserve"> </v>
          </cell>
          <cell r="AT195"/>
          <cell r="AU195" t="str">
            <v xml:space="preserve"> </v>
          </cell>
          <cell r="AV195"/>
          <cell r="AW195"/>
          <cell r="AX195" t="str">
            <v xml:space="preserve"> </v>
          </cell>
          <cell r="AY195"/>
          <cell r="AZ195" t="str">
            <v xml:space="preserve"> </v>
          </cell>
          <cell r="BA195"/>
          <cell r="BB195"/>
          <cell r="BC195" t="str">
            <v xml:space="preserve"> </v>
          </cell>
          <cell r="BD195"/>
          <cell r="BE195" t="str">
            <v xml:space="preserve"> </v>
          </cell>
          <cell r="BF195"/>
          <cell r="BG195"/>
          <cell r="BH195" t="str">
            <v xml:space="preserve"> </v>
          </cell>
          <cell r="BI195"/>
          <cell r="BJ195" t="str">
            <v xml:space="preserve"> </v>
          </cell>
          <cell r="BK195"/>
          <cell r="BL195" t="str">
            <v xml:space="preserve"> </v>
          </cell>
          <cell r="BM195" t="str">
            <v xml:space="preserve"> </v>
          </cell>
          <cell r="BN195"/>
          <cell r="BO195" t="str">
            <v xml:space="preserve"> </v>
          </cell>
        </row>
        <row r="196">
          <cell r="B196">
            <v>46214</v>
          </cell>
          <cell r="C196"/>
          <cell r="D196" t="str">
            <v xml:space="preserve"> </v>
          </cell>
          <cell r="E196" t="str">
            <v xml:space="preserve"> </v>
          </cell>
          <cell r="F196"/>
          <cell r="G196" t="str">
            <v xml:space="preserve"> </v>
          </cell>
          <cell r="H196"/>
          <cell r="I196" t="str">
            <v xml:space="preserve"> </v>
          </cell>
          <cell r="J196" t="str">
            <v xml:space="preserve"> </v>
          </cell>
          <cell r="K196"/>
          <cell r="L196" t="str">
            <v xml:space="preserve"> </v>
          </cell>
          <cell r="M196"/>
          <cell r="N196" t="str">
            <v xml:space="preserve"> </v>
          </cell>
          <cell r="O196" t="str">
            <v xml:space="preserve"> </v>
          </cell>
          <cell r="P196"/>
          <cell r="Q196" t="str">
            <v xml:space="preserve"> </v>
          </cell>
          <cell r="R196"/>
          <cell r="S196" t="str">
            <v xml:space="preserve"> </v>
          </cell>
          <cell r="T196" t="str">
            <v xml:space="preserve"> </v>
          </cell>
          <cell r="U196"/>
          <cell r="V196" t="str">
            <v xml:space="preserve"> </v>
          </cell>
          <cell r="W196" t="str">
            <v xml:space="preserve"> </v>
          </cell>
          <cell r="X196"/>
          <cell r="Y196" t="str">
            <v xml:space="preserve"> </v>
          </cell>
          <cell r="Z196"/>
          <cell r="AA196" t="str">
            <v xml:space="preserve"> </v>
          </cell>
          <cell r="AB196" t="str">
            <v xml:space="preserve"> </v>
          </cell>
          <cell r="AC196"/>
          <cell r="AD196" t="str">
            <v xml:space="preserve"> </v>
          </cell>
          <cell r="AE196"/>
          <cell r="AF196" t="str">
            <v xml:space="preserve"> </v>
          </cell>
          <cell r="AG196"/>
          <cell r="AH196"/>
          <cell r="AI196"/>
          <cell r="AJ196"/>
          <cell r="AK196" t="str">
            <v/>
          </cell>
          <cell r="AL196"/>
          <cell r="AM196" t="str">
            <v xml:space="preserve"> </v>
          </cell>
          <cell r="AN196" t="str">
            <v xml:space="preserve"> </v>
          </cell>
          <cell r="AO196"/>
          <cell r="AP196" t="str">
            <v xml:space="preserve"> </v>
          </cell>
          <cell r="AQ196"/>
          <cell r="AR196" t="str">
            <v xml:space="preserve"> </v>
          </cell>
          <cell r="AS196" t="str">
            <v xml:space="preserve"> </v>
          </cell>
          <cell r="AT196"/>
          <cell r="AU196" t="str">
            <v xml:space="preserve"> </v>
          </cell>
          <cell r="AV196"/>
          <cell r="AW196"/>
          <cell r="AX196" t="str">
            <v xml:space="preserve"> </v>
          </cell>
          <cell r="AY196"/>
          <cell r="AZ196" t="str">
            <v xml:space="preserve"> </v>
          </cell>
          <cell r="BA196"/>
          <cell r="BB196"/>
          <cell r="BC196" t="str">
            <v xml:space="preserve"> </v>
          </cell>
          <cell r="BD196"/>
          <cell r="BE196" t="str">
            <v xml:space="preserve"> </v>
          </cell>
          <cell r="BF196"/>
          <cell r="BG196"/>
          <cell r="BH196" t="str">
            <v xml:space="preserve"> </v>
          </cell>
          <cell r="BI196"/>
          <cell r="BJ196" t="str">
            <v xml:space="preserve"> </v>
          </cell>
          <cell r="BK196"/>
          <cell r="BL196" t="str">
            <v xml:space="preserve"> </v>
          </cell>
          <cell r="BM196" t="str">
            <v xml:space="preserve"> </v>
          </cell>
          <cell r="BN196"/>
          <cell r="BO196" t="str">
            <v xml:space="preserve"> </v>
          </cell>
        </row>
        <row r="197">
          <cell r="B197">
            <v>46215</v>
          </cell>
          <cell r="C197"/>
          <cell r="D197" t="str">
            <v xml:space="preserve"> </v>
          </cell>
          <cell r="E197" t="str">
            <v xml:space="preserve"> </v>
          </cell>
          <cell r="F197"/>
          <cell r="G197" t="str">
            <v xml:space="preserve"> </v>
          </cell>
          <cell r="H197"/>
          <cell r="I197" t="str">
            <v xml:space="preserve"> </v>
          </cell>
          <cell r="J197" t="str">
            <v xml:space="preserve"> </v>
          </cell>
          <cell r="K197"/>
          <cell r="L197" t="str">
            <v xml:space="preserve"> </v>
          </cell>
          <cell r="M197"/>
          <cell r="N197" t="str">
            <v xml:space="preserve"> </v>
          </cell>
          <cell r="O197" t="str">
            <v xml:space="preserve"> </v>
          </cell>
          <cell r="P197"/>
          <cell r="Q197" t="str">
            <v xml:space="preserve"> </v>
          </cell>
          <cell r="R197"/>
          <cell r="S197" t="str">
            <v xml:space="preserve"> </v>
          </cell>
          <cell r="T197" t="str">
            <v xml:space="preserve"> </v>
          </cell>
          <cell r="U197"/>
          <cell r="V197" t="str">
            <v xml:space="preserve"> </v>
          </cell>
          <cell r="W197" t="str">
            <v xml:space="preserve"> </v>
          </cell>
          <cell r="X197"/>
          <cell r="Y197" t="str">
            <v xml:space="preserve"> </v>
          </cell>
          <cell r="Z197"/>
          <cell r="AA197" t="str">
            <v xml:space="preserve"> </v>
          </cell>
          <cell r="AB197" t="str">
            <v xml:space="preserve"> </v>
          </cell>
          <cell r="AC197"/>
          <cell r="AD197" t="str">
            <v xml:space="preserve"> </v>
          </cell>
          <cell r="AE197"/>
          <cell r="AF197" t="str">
            <v xml:space="preserve"> </v>
          </cell>
          <cell r="AG197"/>
          <cell r="AH197"/>
          <cell r="AI197"/>
          <cell r="AJ197"/>
          <cell r="AK197" t="str">
            <v/>
          </cell>
          <cell r="AL197"/>
          <cell r="AM197" t="str">
            <v xml:space="preserve"> </v>
          </cell>
          <cell r="AN197" t="str">
            <v xml:space="preserve"> </v>
          </cell>
          <cell r="AO197"/>
          <cell r="AP197" t="str">
            <v xml:space="preserve"> </v>
          </cell>
          <cell r="AQ197"/>
          <cell r="AR197" t="str">
            <v xml:space="preserve"> </v>
          </cell>
          <cell r="AS197" t="str">
            <v xml:space="preserve"> </v>
          </cell>
          <cell r="AT197"/>
          <cell r="AU197" t="str">
            <v xml:space="preserve"> </v>
          </cell>
          <cell r="AV197"/>
          <cell r="AW197"/>
          <cell r="AX197" t="str">
            <v xml:space="preserve"> </v>
          </cell>
          <cell r="AY197"/>
          <cell r="AZ197" t="str">
            <v xml:space="preserve"> </v>
          </cell>
          <cell r="BA197"/>
          <cell r="BB197"/>
          <cell r="BC197" t="str">
            <v xml:space="preserve"> </v>
          </cell>
          <cell r="BD197"/>
          <cell r="BE197" t="str">
            <v xml:space="preserve"> </v>
          </cell>
          <cell r="BF197"/>
          <cell r="BG197"/>
          <cell r="BH197" t="str">
            <v xml:space="preserve"> </v>
          </cell>
          <cell r="BI197"/>
          <cell r="BJ197" t="str">
            <v xml:space="preserve"> </v>
          </cell>
          <cell r="BK197"/>
          <cell r="BL197" t="str">
            <v xml:space="preserve"> </v>
          </cell>
          <cell r="BM197" t="str">
            <v xml:space="preserve"> </v>
          </cell>
          <cell r="BN197"/>
          <cell r="BO197" t="str">
            <v xml:space="preserve"> </v>
          </cell>
        </row>
        <row r="198">
          <cell r="B198">
            <v>46216</v>
          </cell>
          <cell r="C198"/>
          <cell r="D198" t="str">
            <v xml:space="preserve"> </v>
          </cell>
          <cell r="E198" t="str">
            <v xml:space="preserve"> </v>
          </cell>
          <cell r="F198"/>
          <cell r="G198" t="str">
            <v xml:space="preserve"> </v>
          </cell>
          <cell r="H198"/>
          <cell r="I198" t="str">
            <v xml:space="preserve"> </v>
          </cell>
          <cell r="J198" t="str">
            <v xml:space="preserve"> </v>
          </cell>
          <cell r="K198"/>
          <cell r="L198" t="str">
            <v xml:space="preserve"> </v>
          </cell>
          <cell r="M198"/>
          <cell r="N198" t="str">
            <v xml:space="preserve"> </v>
          </cell>
          <cell r="O198" t="str">
            <v xml:space="preserve"> </v>
          </cell>
          <cell r="P198"/>
          <cell r="Q198" t="str">
            <v xml:space="preserve"> </v>
          </cell>
          <cell r="R198"/>
          <cell r="S198" t="str">
            <v xml:space="preserve"> </v>
          </cell>
          <cell r="T198" t="str">
            <v xml:space="preserve"> </v>
          </cell>
          <cell r="U198"/>
          <cell r="V198" t="str">
            <v xml:space="preserve"> </v>
          </cell>
          <cell r="W198" t="str">
            <v xml:space="preserve"> </v>
          </cell>
          <cell r="X198"/>
          <cell r="Y198" t="str">
            <v xml:space="preserve"> </v>
          </cell>
          <cell r="Z198"/>
          <cell r="AA198" t="str">
            <v xml:space="preserve"> </v>
          </cell>
          <cell r="AB198" t="str">
            <v xml:space="preserve"> </v>
          </cell>
          <cell r="AC198"/>
          <cell r="AD198" t="str">
            <v xml:space="preserve"> </v>
          </cell>
          <cell r="AE198"/>
          <cell r="AF198" t="str">
            <v xml:space="preserve"> </v>
          </cell>
          <cell r="AG198"/>
          <cell r="AH198"/>
          <cell r="AI198"/>
          <cell r="AJ198"/>
          <cell r="AK198" t="str">
            <v/>
          </cell>
          <cell r="AL198"/>
          <cell r="AM198" t="str">
            <v xml:space="preserve"> </v>
          </cell>
          <cell r="AN198" t="str">
            <v xml:space="preserve"> </v>
          </cell>
          <cell r="AO198"/>
          <cell r="AP198" t="str">
            <v xml:space="preserve"> </v>
          </cell>
          <cell r="AQ198"/>
          <cell r="AR198" t="str">
            <v xml:space="preserve"> </v>
          </cell>
          <cell r="AS198" t="str">
            <v xml:space="preserve"> </v>
          </cell>
          <cell r="AT198"/>
          <cell r="AU198" t="str">
            <v xml:space="preserve"> </v>
          </cell>
          <cell r="AV198"/>
          <cell r="AW198"/>
          <cell r="AX198" t="str">
            <v xml:space="preserve"> </v>
          </cell>
          <cell r="AY198"/>
          <cell r="AZ198" t="str">
            <v xml:space="preserve"> </v>
          </cell>
          <cell r="BA198"/>
          <cell r="BB198"/>
          <cell r="BC198" t="str">
            <v xml:space="preserve"> </v>
          </cell>
          <cell r="BD198"/>
          <cell r="BE198" t="str">
            <v xml:space="preserve"> </v>
          </cell>
          <cell r="BF198"/>
          <cell r="BG198"/>
          <cell r="BH198" t="str">
            <v xml:space="preserve"> </v>
          </cell>
          <cell r="BI198"/>
          <cell r="BJ198" t="str">
            <v xml:space="preserve"> </v>
          </cell>
          <cell r="BK198"/>
          <cell r="BL198" t="str">
            <v xml:space="preserve"> </v>
          </cell>
          <cell r="BM198" t="str">
            <v xml:space="preserve"> </v>
          </cell>
          <cell r="BN198"/>
          <cell r="BO198" t="str">
            <v xml:space="preserve"> </v>
          </cell>
        </row>
        <row r="199">
          <cell r="B199">
            <v>46217</v>
          </cell>
          <cell r="C199"/>
          <cell r="D199" t="str">
            <v xml:space="preserve"> </v>
          </cell>
          <cell r="E199" t="str">
            <v xml:space="preserve"> </v>
          </cell>
          <cell r="F199"/>
          <cell r="G199" t="str">
            <v xml:space="preserve"> </v>
          </cell>
          <cell r="H199"/>
          <cell r="I199" t="str">
            <v xml:space="preserve"> </v>
          </cell>
          <cell r="J199" t="str">
            <v xml:space="preserve"> </v>
          </cell>
          <cell r="K199"/>
          <cell r="L199" t="str">
            <v xml:space="preserve"> </v>
          </cell>
          <cell r="M199"/>
          <cell r="N199" t="str">
            <v xml:space="preserve"> </v>
          </cell>
          <cell r="O199" t="str">
            <v xml:space="preserve"> </v>
          </cell>
          <cell r="P199"/>
          <cell r="Q199" t="str">
            <v xml:space="preserve"> </v>
          </cell>
          <cell r="R199"/>
          <cell r="S199" t="str">
            <v xml:space="preserve"> </v>
          </cell>
          <cell r="T199" t="str">
            <v xml:space="preserve"> </v>
          </cell>
          <cell r="U199"/>
          <cell r="V199" t="str">
            <v xml:space="preserve"> </v>
          </cell>
          <cell r="W199" t="str">
            <v xml:space="preserve"> </v>
          </cell>
          <cell r="X199"/>
          <cell r="Y199" t="str">
            <v xml:space="preserve"> </v>
          </cell>
          <cell r="Z199"/>
          <cell r="AA199" t="str">
            <v xml:space="preserve"> </v>
          </cell>
          <cell r="AB199" t="str">
            <v xml:space="preserve"> </v>
          </cell>
          <cell r="AC199"/>
          <cell r="AD199" t="str">
            <v xml:space="preserve"> </v>
          </cell>
          <cell r="AE199"/>
          <cell r="AF199" t="str">
            <v xml:space="preserve"> </v>
          </cell>
          <cell r="AG199"/>
          <cell r="AH199"/>
          <cell r="AI199"/>
          <cell r="AJ199"/>
          <cell r="AK199" t="str">
            <v/>
          </cell>
          <cell r="AL199"/>
          <cell r="AM199" t="str">
            <v xml:space="preserve"> </v>
          </cell>
          <cell r="AN199" t="str">
            <v xml:space="preserve"> </v>
          </cell>
          <cell r="AO199"/>
          <cell r="AP199" t="str">
            <v xml:space="preserve"> </v>
          </cell>
          <cell r="AQ199"/>
          <cell r="AR199" t="str">
            <v xml:space="preserve"> </v>
          </cell>
          <cell r="AS199" t="str">
            <v xml:space="preserve"> </v>
          </cell>
          <cell r="AT199"/>
          <cell r="AU199" t="str">
            <v xml:space="preserve"> </v>
          </cell>
          <cell r="AV199"/>
          <cell r="AW199"/>
          <cell r="AX199" t="str">
            <v xml:space="preserve"> </v>
          </cell>
          <cell r="AY199"/>
          <cell r="AZ199" t="str">
            <v xml:space="preserve"> </v>
          </cell>
          <cell r="BA199"/>
          <cell r="BB199"/>
          <cell r="BC199" t="str">
            <v xml:space="preserve"> </v>
          </cell>
          <cell r="BD199"/>
          <cell r="BE199" t="str">
            <v xml:space="preserve"> </v>
          </cell>
          <cell r="BF199"/>
          <cell r="BG199"/>
          <cell r="BH199" t="str">
            <v xml:space="preserve"> </v>
          </cell>
          <cell r="BI199"/>
          <cell r="BJ199" t="str">
            <v xml:space="preserve"> </v>
          </cell>
          <cell r="BK199"/>
          <cell r="BL199" t="str">
            <v xml:space="preserve"> </v>
          </cell>
          <cell r="BM199" t="str">
            <v xml:space="preserve"> </v>
          </cell>
          <cell r="BN199"/>
          <cell r="BO199" t="str">
            <v xml:space="preserve"> </v>
          </cell>
        </row>
        <row r="200">
          <cell r="B200">
            <v>46218</v>
          </cell>
          <cell r="C200"/>
          <cell r="D200" t="str">
            <v xml:space="preserve"> </v>
          </cell>
          <cell r="E200" t="str">
            <v xml:space="preserve"> </v>
          </cell>
          <cell r="F200"/>
          <cell r="G200" t="str">
            <v xml:space="preserve"> </v>
          </cell>
          <cell r="H200"/>
          <cell r="I200" t="str">
            <v xml:space="preserve"> </v>
          </cell>
          <cell r="J200" t="str">
            <v xml:space="preserve"> </v>
          </cell>
          <cell r="K200"/>
          <cell r="L200" t="str">
            <v xml:space="preserve"> </v>
          </cell>
          <cell r="M200"/>
          <cell r="N200" t="str">
            <v xml:space="preserve"> </v>
          </cell>
          <cell r="O200" t="str">
            <v xml:space="preserve"> </v>
          </cell>
          <cell r="P200"/>
          <cell r="Q200" t="str">
            <v xml:space="preserve"> </v>
          </cell>
          <cell r="R200"/>
          <cell r="S200" t="str">
            <v xml:space="preserve"> </v>
          </cell>
          <cell r="T200" t="str">
            <v xml:space="preserve"> </v>
          </cell>
          <cell r="U200"/>
          <cell r="V200" t="str">
            <v xml:space="preserve"> </v>
          </cell>
          <cell r="W200" t="str">
            <v xml:space="preserve"> </v>
          </cell>
          <cell r="X200"/>
          <cell r="Y200" t="str">
            <v xml:space="preserve"> </v>
          </cell>
          <cell r="Z200"/>
          <cell r="AA200" t="str">
            <v xml:space="preserve"> </v>
          </cell>
          <cell r="AB200" t="str">
            <v xml:space="preserve"> </v>
          </cell>
          <cell r="AC200"/>
          <cell r="AD200" t="str">
            <v xml:space="preserve"> </v>
          </cell>
          <cell r="AE200"/>
          <cell r="AF200" t="str">
            <v xml:space="preserve"> </v>
          </cell>
          <cell r="AG200"/>
          <cell r="AH200"/>
          <cell r="AI200"/>
          <cell r="AJ200"/>
          <cell r="AK200" t="str">
            <v/>
          </cell>
          <cell r="AL200"/>
          <cell r="AM200" t="str">
            <v xml:space="preserve"> </v>
          </cell>
          <cell r="AN200" t="str">
            <v xml:space="preserve"> </v>
          </cell>
          <cell r="AO200"/>
          <cell r="AP200" t="str">
            <v xml:space="preserve"> </v>
          </cell>
          <cell r="AQ200"/>
          <cell r="AR200" t="str">
            <v xml:space="preserve"> </v>
          </cell>
          <cell r="AS200" t="str">
            <v xml:space="preserve"> </v>
          </cell>
          <cell r="AT200"/>
          <cell r="AU200" t="str">
            <v xml:space="preserve"> </v>
          </cell>
          <cell r="AV200"/>
          <cell r="AW200"/>
          <cell r="AX200" t="str">
            <v xml:space="preserve"> </v>
          </cell>
          <cell r="AY200"/>
          <cell r="AZ200" t="str">
            <v xml:space="preserve"> </v>
          </cell>
          <cell r="BA200"/>
          <cell r="BB200"/>
          <cell r="BC200" t="str">
            <v xml:space="preserve"> </v>
          </cell>
          <cell r="BD200"/>
          <cell r="BE200" t="str">
            <v xml:space="preserve"> </v>
          </cell>
          <cell r="BF200"/>
          <cell r="BG200"/>
          <cell r="BH200" t="str">
            <v xml:space="preserve"> </v>
          </cell>
          <cell r="BI200"/>
          <cell r="BJ200" t="str">
            <v xml:space="preserve"> </v>
          </cell>
          <cell r="BK200"/>
          <cell r="BL200" t="str">
            <v xml:space="preserve"> </v>
          </cell>
          <cell r="BM200" t="str">
            <v xml:space="preserve"> </v>
          </cell>
          <cell r="BN200"/>
          <cell r="BO200" t="str">
            <v xml:space="preserve"> </v>
          </cell>
        </row>
        <row r="201">
          <cell r="B201">
            <v>46219</v>
          </cell>
          <cell r="C201"/>
          <cell r="D201" t="str">
            <v xml:space="preserve"> </v>
          </cell>
          <cell r="E201" t="str">
            <v xml:space="preserve"> </v>
          </cell>
          <cell r="F201"/>
          <cell r="G201" t="str">
            <v xml:space="preserve"> </v>
          </cell>
          <cell r="H201"/>
          <cell r="I201" t="str">
            <v xml:space="preserve"> </v>
          </cell>
          <cell r="J201" t="str">
            <v xml:space="preserve"> </v>
          </cell>
          <cell r="K201"/>
          <cell r="L201" t="str">
            <v xml:space="preserve"> </v>
          </cell>
          <cell r="M201"/>
          <cell r="N201" t="str">
            <v xml:space="preserve"> </v>
          </cell>
          <cell r="O201" t="str">
            <v xml:space="preserve"> </v>
          </cell>
          <cell r="P201"/>
          <cell r="Q201" t="str">
            <v xml:space="preserve"> </v>
          </cell>
          <cell r="R201"/>
          <cell r="S201" t="str">
            <v xml:space="preserve"> </v>
          </cell>
          <cell r="T201" t="str">
            <v xml:space="preserve"> </v>
          </cell>
          <cell r="U201"/>
          <cell r="V201" t="str">
            <v xml:space="preserve"> </v>
          </cell>
          <cell r="W201" t="str">
            <v xml:space="preserve"> </v>
          </cell>
          <cell r="X201"/>
          <cell r="Y201" t="str">
            <v xml:space="preserve"> </v>
          </cell>
          <cell r="Z201"/>
          <cell r="AA201" t="str">
            <v xml:space="preserve"> </v>
          </cell>
          <cell r="AB201" t="str">
            <v xml:space="preserve"> </v>
          </cell>
          <cell r="AC201"/>
          <cell r="AD201" t="str">
            <v xml:space="preserve"> </v>
          </cell>
          <cell r="AE201"/>
          <cell r="AF201" t="str">
            <v xml:space="preserve"> </v>
          </cell>
          <cell r="AG201"/>
          <cell r="AH201"/>
          <cell r="AI201"/>
          <cell r="AJ201"/>
          <cell r="AK201" t="str">
            <v/>
          </cell>
          <cell r="AL201"/>
          <cell r="AM201" t="str">
            <v xml:space="preserve"> </v>
          </cell>
          <cell r="AN201" t="str">
            <v xml:space="preserve"> </v>
          </cell>
          <cell r="AO201"/>
          <cell r="AP201" t="str">
            <v xml:space="preserve"> </v>
          </cell>
          <cell r="AQ201"/>
          <cell r="AR201" t="str">
            <v xml:space="preserve"> </v>
          </cell>
          <cell r="AS201" t="str">
            <v xml:space="preserve"> </v>
          </cell>
          <cell r="AT201"/>
          <cell r="AU201" t="str">
            <v xml:space="preserve"> </v>
          </cell>
          <cell r="AV201"/>
          <cell r="AW201"/>
          <cell r="AX201" t="str">
            <v xml:space="preserve"> </v>
          </cell>
          <cell r="AY201"/>
          <cell r="AZ201" t="str">
            <v xml:space="preserve"> </v>
          </cell>
          <cell r="BA201"/>
          <cell r="BB201"/>
          <cell r="BC201" t="str">
            <v xml:space="preserve"> </v>
          </cell>
          <cell r="BD201"/>
          <cell r="BE201" t="str">
            <v xml:space="preserve"> </v>
          </cell>
          <cell r="BF201"/>
          <cell r="BG201"/>
          <cell r="BH201" t="str">
            <v xml:space="preserve"> </v>
          </cell>
          <cell r="BI201"/>
          <cell r="BJ201" t="str">
            <v xml:space="preserve"> </v>
          </cell>
          <cell r="BK201"/>
          <cell r="BL201" t="str">
            <v xml:space="preserve"> </v>
          </cell>
          <cell r="BM201" t="str">
            <v xml:space="preserve"> </v>
          </cell>
          <cell r="BN201"/>
          <cell r="BO201" t="str">
            <v xml:space="preserve"> </v>
          </cell>
        </row>
        <row r="202">
          <cell r="B202">
            <v>46220</v>
          </cell>
          <cell r="C202"/>
          <cell r="D202" t="str">
            <v xml:space="preserve"> </v>
          </cell>
          <cell r="E202" t="str">
            <v xml:space="preserve"> </v>
          </cell>
          <cell r="F202"/>
          <cell r="G202" t="str">
            <v xml:space="preserve"> </v>
          </cell>
          <cell r="H202"/>
          <cell r="I202" t="str">
            <v xml:space="preserve"> </v>
          </cell>
          <cell r="J202" t="str">
            <v xml:space="preserve"> </v>
          </cell>
          <cell r="K202"/>
          <cell r="L202" t="str">
            <v xml:space="preserve"> </v>
          </cell>
          <cell r="M202"/>
          <cell r="N202" t="str">
            <v xml:space="preserve"> </v>
          </cell>
          <cell r="O202" t="str">
            <v xml:space="preserve"> </v>
          </cell>
          <cell r="P202"/>
          <cell r="Q202" t="str">
            <v xml:space="preserve"> </v>
          </cell>
          <cell r="R202"/>
          <cell r="S202" t="str">
            <v xml:space="preserve"> </v>
          </cell>
          <cell r="T202" t="str">
            <v xml:space="preserve"> </v>
          </cell>
          <cell r="U202"/>
          <cell r="V202" t="str">
            <v xml:space="preserve"> </v>
          </cell>
          <cell r="W202" t="str">
            <v xml:space="preserve"> </v>
          </cell>
          <cell r="X202"/>
          <cell r="Y202" t="str">
            <v xml:space="preserve"> </v>
          </cell>
          <cell r="Z202"/>
          <cell r="AA202" t="str">
            <v xml:space="preserve"> </v>
          </cell>
          <cell r="AB202" t="str">
            <v xml:space="preserve"> </v>
          </cell>
          <cell r="AC202"/>
          <cell r="AD202" t="str">
            <v xml:space="preserve"> </v>
          </cell>
          <cell r="AE202"/>
          <cell r="AF202" t="str">
            <v xml:space="preserve"> </v>
          </cell>
          <cell r="AG202"/>
          <cell r="AH202"/>
          <cell r="AI202"/>
          <cell r="AJ202"/>
          <cell r="AK202" t="str">
            <v/>
          </cell>
          <cell r="AL202"/>
          <cell r="AM202" t="str">
            <v xml:space="preserve"> </v>
          </cell>
          <cell r="AN202" t="str">
            <v xml:space="preserve"> </v>
          </cell>
          <cell r="AO202"/>
          <cell r="AP202" t="str">
            <v xml:space="preserve"> </v>
          </cell>
          <cell r="AQ202"/>
          <cell r="AR202" t="str">
            <v xml:space="preserve"> </v>
          </cell>
          <cell r="AS202" t="str">
            <v xml:space="preserve"> </v>
          </cell>
          <cell r="AT202"/>
          <cell r="AU202" t="str">
            <v xml:space="preserve"> </v>
          </cell>
          <cell r="AV202"/>
          <cell r="AW202"/>
          <cell r="AX202" t="str">
            <v xml:space="preserve"> </v>
          </cell>
          <cell r="AY202"/>
          <cell r="AZ202" t="str">
            <v xml:space="preserve"> </v>
          </cell>
          <cell r="BA202"/>
          <cell r="BB202"/>
          <cell r="BC202" t="str">
            <v xml:space="preserve"> </v>
          </cell>
          <cell r="BD202"/>
          <cell r="BE202" t="str">
            <v xml:space="preserve"> </v>
          </cell>
          <cell r="BF202"/>
          <cell r="BG202"/>
          <cell r="BH202" t="str">
            <v xml:space="preserve"> </v>
          </cell>
          <cell r="BI202"/>
          <cell r="BJ202" t="str">
            <v xml:space="preserve"> </v>
          </cell>
          <cell r="BK202"/>
          <cell r="BL202" t="str">
            <v xml:space="preserve"> </v>
          </cell>
          <cell r="BM202" t="str">
            <v xml:space="preserve"> </v>
          </cell>
          <cell r="BN202"/>
          <cell r="BO202" t="str">
            <v xml:space="preserve"> </v>
          </cell>
        </row>
        <row r="203">
          <cell r="B203">
            <v>46221</v>
          </cell>
          <cell r="C203"/>
          <cell r="D203" t="str">
            <v xml:space="preserve"> </v>
          </cell>
          <cell r="E203" t="str">
            <v xml:space="preserve"> </v>
          </cell>
          <cell r="F203"/>
          <cell r="G203" t="str">
            <v xml:space="preserve"> </v>
          </cell>
          <cell r="H203"/>
          <cell r="I203" t="str">
            <v xml:space="preserve"> </v>
          </cell>
          <cell r="J203" t="str">
            <v xml:space="preserve"> </v>
          </cell>
          <cell r="K203"/>
          <cell r="L203" t="str">
            <v xml:space="preserve"> </v>
          </cell>
          <cell r="M203"/>
          <cell r="N203" t="str">
            <v xml:space="preserve"> </v>
          </cell>
          <cell r="O203" t="str">
            <v xml:space="preserve"> </v>
          </cell>
          <cell r="P203"/>
          <cell r="Q203" t="str">
            <v xml:space="preserve"> </v>
          </cell>
          <cell r="R203"/>
          <cell r="S203" t="str">
            <v xml:space="preserve"> </v>
          </cell>
          <cell r="T203" t="str">
            <v xml:space="preserve"> </v>
          </cell>
          <cell r="U203"/>
          <cell r="V203" t="str">
            <v xml:space="preserve"> </v>
          </cell>
          <cell r="W203" t="str">
            <v xml:space="preserve"> </v>
          </cell>
          <cell r="X203"/>
          <cell r="Y203" t="str">
            <v xml:space="preserve"> </v>
          </cell>
          <cell r="Z203"/>
          <cell r="AA203" t="str">
            <v xml:space="preserve"> </v>
          </cell>
          <cell r="AB203" t="str">
            <v xml:space="preserve"> </v>
          </cell>
          <cell r="AC203"/>
          <cell r="AD203" t="str">
            <v xml:space="preserve"> </v>
          </cell>
          <cell r="AE203"/>
          <cell r="AF203" t="str">
            <v xml:space="preserve"> </v>
          </cell>
          <cell r="AG203"/>
          <cell r="AH203"/>
          <cell r="AI203"/>
          <cell r="AJ203"/>
          <cell r="AK203" t="str">
            <v/>
          </cell>
          <cell r="AL203"/>
          <cell r="AM203" t="str">
            <v xml:space="preserve"> </v>
          </cell>
          <cell r="AN203" t="str">
            <v xml:space="preserve"> </v>
          </cell>
          <cell r="AO203"/>
          <cell r="AP203" t="str">
            <v xml:space="preserve"> </v>
          </cell>
          <cell r="AQ203"/>
          <cell r="AR203" t="str">
            <v xml:space="preserve"> </v>
          </cell>
          <cell r="AS203" t="str">
            <v xml:space="preserve"> </v>
          </cell>
          <cell r="AT203"/>
          <cell r="AU203" t="str">
            <v xml:space="preserve"> </v>
          </cell>
          <cell r="AV203"/>
          <cell r="AW203"/>
          <cell r="AX203" t="str">
            <v xml:space="preserve"> </v>
          </cell>
          <cell r="AY203"/>
          <cell r="AZ203" t="str">
            <v xml:space="preserve"> </v>
          </cell>
          <cell r="BA203"/>
          <cell r="BB203"/>
          <cell r="BC203" t="str">
            <v xml:space="preserve"> </v>
          </cell>
          <cell r="BD203"/>
          <cell r="BE203" t="str">
            <v xml:space="preserve"> </v>
          </cell>
          <cell r="BF203"/>
          <cell r="BG203"/>
          <cell r="BH203" t="str">
            <v xml:space="preserve"> </v>
          </cell>
          <cell r="BI203"/>
          <cell r="BJ203" t="str">
            <v xml:space="preserve"> </v>
          </cell>
          <cell r="BK203"/>
          <cell r="BL203" t="str">
            <v xml:space="preserve"> </v>
          </cell>
          <cell r="BM203" t="str">
            <v xml:space="preserve"> </v>
          </cell>
          <cell r="BN203"/>
          <cell r="BO203" t="str">
            <v xml:space="preserve"> </v>
          </cell>
        </row>
        <row r="204">
          <cell r="B204">
            <v>46222</v>
          </cell>
          <cell r="C204"/>
          <cell r="D204" t="str">
            <v xml:space="preserve"> </v>
          </cell>
          <cell r="E204" t="str">
            <v xml:space="preserve"> </v>
          </cell>
          <cell r="F204"/>
          <cell r="G204" t="str">
            <v xml:space="preserve"> </v>
          </cell>
          <cell r="H204"/>
          <cell r="I204" t="str">
            <v xml:space="preserve"> </v>
          </cell>
          <cell r="J204" t="str">
            <v xml:space="preserve"> </v>
          </cell>
          <cell r="K204"/>
          <cell r="L204" t="str">
            <v xml:space="preserve"> </v>
          </cell>
          <cell r="M204"/>
          <cell r="N204" t="str">
            <v xml:space="preserve"> </v>
          </cell>
          <cell r="O204" t="str">
            <v xml:space="preserve"> </v>
          </cell>
          <cell r="P204"/>
          <cell r="Q204" t="str">
            <v xml:space="preserve"> </v>
          </cell>
          <cell r="R204"/>
          <cell r="S204" t="str">
            <v xml:space="preserve"> </v>
          </cell>
          <cell r="T204" t="str">
            <v xml:space="preserve"> </v>
          </cell>
          <cell r="U204"/>
          <cell r="V204" t="str">
            <v xml:space="preserve"> </v>
          </cell>
          <cell r="W204" t="str">
            <v xml:space="preserve"> </v>
          </cell>
          <cell r="X204"/>
          <cell r="Y204" t="str">
            <v xml:space="preserve"> </v>
          </cell>
          <cell r="Z204"/>
          <cell r="AA204" t="str">
            <v xml:space="preserve"> </v>
          </cell>
          <cell r="AB204" t="str">
            <v xml:space="preserve"> </v>
          </cell>
          <cell r="AC204"/>
          <cell r="AD204" t="str">
            <v xml:space="preserve"> </v>
          </cell>
          <cell r="AE204"/>
          <cell r="AF204" t="str">
            <v xml:space="preserve"> </v>
          </cell>
          <cell r="AG204"/>
          <cell r="AH204"/>
          <cell r="AI204"/>
          <cell r="AJ204"/>
          <cell r="AK204" t="str">
            <v/>
          </cell>
          <cell r="AL204"/>
          <cell r="AM204" t="str">
            <v xml:space="preserve"> </v>
          </cell>
          <cell r="AN204" t="str">
            <v xml:space="preserve"> </v>
          </cell>
          <cell r="AO204"/>
          <cell r="AP204" t="str">
            <v xml:space="preserve"> </v>
          </cell>
          <cell r="AQ204"/>
          <cell r="AR204" t="str">
            <v xml:space="preserve"> </v>
          </cell>
          <cell r="AS204" t="str">
            <v xml:space="preserve"> </v>
          </cell>
          <cell r="AT204"/>
          <cell r="AU204" t="str">
            <v xml:space="preserve"> </v>
          </cell>
          <cell r="AV204"/>
          <cell r="AW204"/>
          <cell r="AX204" t="str">
            <v xml:space="preserve"> </v>
          </cell>
          <cell r="AY204"/>
          <cell r="AZ204" t="str">
            <v xml:space="preserve"> </v>
          </cell>
          <cell r="BA204"/>
          <cell r="BB204"/>
          <cell r="BC204" t="str">
            <v xml:space="preserve"> </v>
          </cell>
          <cell r="BD204"/>
          <cell r="BE204" t="str">
            <v xml:space="preserve"> </v>
          </cell>
          <cell r="BF204"/>
          <cell r="BG204"/>
          <cell r="BH204" t="str">
            <v xml:space="preserve"> </v>
          </cell>
          <cell r="BI204"/>
          <cell r="BJ204" t="str">
            <v xml:space="preserve"> </v>
          </cell>
          <cell r="BK204"/>
          <cell r="BL204" t="str">
            <v xml:space="preserve"> </v>
          </cell>
          <cell r="BM204" t="str">
            <v xml:space="preserve"> </v>
          </cell>
          <cell r="BN204"/>
          <cell r="BO204" t="str">
            <v xml:space="preserve"> </v>
          </cell>
        </row>
        <row r="205">
          <cell r="B205">
            <v>46223</v>
          </cell>
          <cell r="C205"/>
          <cell r="D205" t="str">
            <v xml:space="preserve"> </v>
          </cell>
          <cell r="E205" t="str">
            <v xml:space="preserve"> </v>
          </cell>
          <cell r="F205"/>
          <cell r="G205" t="str">
            <v xml:space="preserve"> </v>
          </cell>
          <cell r="H205"/>
          <cell r="I205" t="str">
            <v xml:space="preserve"> </v>
          </cell>
          <cell r="J205" t="str">
            <v xml:space="preserve"> </v>
          </cell>
          <cell r="K205"/>
          <cell r="L205" t="str">
            <v xml:space="preserve"> </v>
          </cell>
          <cell r="M205"/>
          <cell r="N205" t="str">
            <v xml:space="preserve"> </v>
          </cell>
          <cell r="O205" t="str">
            <v xml:space="preserve"> </v>
          </cell>
          <cell r="P205"/>
          <cell r="Q205" t="str">
            <v xml:space="preserve"> </v>
          </cell>
          <cell r="R205"/>
          <cell r="S205" t="str">
            <v xml:space="preserve"> </v>
          </cell>
          <cell r="T205" t="str">
            <v xml:space="preserve"> </v>
          </cell>
          <cell r="U205"/>
          <cell r="V205" t="str">
            <v xml:space="preserve"> </v>
          </cell>
          <cell r="W205" t="str">
            <v xml:space="preserve"> </v>
          </cell>
          <cell r="X205"/>
          <cell r="Y205" t="str">
            <v xml:space="preserve"> </v>
          </cell>
          <cell r="Z205"/>
          <cell r="AA205" t="str">
            <v xml:space="preserve"> </v>
          </cell>
          <cell r="AB205" t="str">
            <v xml:space="preserve"> </v>
          </cell>
          <cell r="AC205"/>
          <cell r="AD205" t="str">
            <v xml:space="preserve"> </v>
          </cell>
          <cell r="AE205"/>
          <cell r="AF205" t="str">
            <v xml:space="preserve"> </v>
          </cell>
          <cell r="AG205"/>
          <cell r="AH205"/>
          <cell r="AI205"/>
          <cell r="AJ205"/>
          <cell r="AK205" t="str">
            <v/>
          </cell>
          <cell r="AL205"/>
          <cell r="AM205" t="str">
            <v xml:space="preserve"> </v>
          </cell>
          <cell r="AN205" t="str">
            <v xml:space="preserve"> </v>
          </cell>
          <cell r="AO205"/>
          <cell r="AP205" t="str">
            <v xml:space="preserve"> </v>
          </cell>
          <cell r="AQ205"/>
          <cell r="AR205" t="str">
            <v xml:space="preserve"> </v>
          </cell>
          <cell r="AS205" t="str">
            <v xml:space="preserve"> </v>
          </cell>
          <cell r="AT205"/>
          <cell r="AU205" t="str">
            <v xml:space="preserve"> </v>
          </cell>
          <cell r="AV205"/>
          <cell r="AW205"/>
          <cell r="AX205" t="str">
            <v xml:space="preserve"> </v>
          </cell>
          <cell r="AY205"/>
          <cell r="AZ205" t="str">
            <v xml:space="preserve"> </v>
          </cell>
          <cell r="BA205"/>
          <cell r="BB205"/>
          <cell r="BC205" t="str">
            <v xml:space="preserve"> </v>
          </cell>
          <cell r="BD205"/>
          <cell r="BE205" t="str">
            <v xml:space="preserve"> </v>
          </cell>
          <cell r="BF205"/>
          <cell r="BG205"/>
          <cell r="BH205" t="str">
            <v xml:space="preserve"> </v>
          </cell>
          <cell r="BI205"/>
          <cell r="BJ205" t="str">
            <v xml:space="preserve"> </v>
          </cell>
          <cell r="BK205"/>
          <cell r="BL205" t="str">
            <v xml:space="preserve"> </v>
          </cell>
          <cell r="BM205" t="str">
            <v xml:space="preserve"> </v>
          </cell>
          <cell r="BN205"/>
          <cell r="BO205" t="str">
            <v xml:space="preserve"> </v>
          </cell>
        </row>
        <row r="206">
          <cell r="B206">
            <v>46224</v>
          </cell>
          <cell r="C206"/>
          <cell r="D206" t="str">
            <v xml:space="preserve"> </v>
          </cell>
          <cell r="E206" t="str">
            <v xml:space="preserve"> </v>
          </cell>
          <cell r="F206"/>
          <cell r="G206" t="str">
            <v xml:space="preserve"> </v>
          </cell>
          <cell r="H206"/>
          <cell r="I206" t="str">
            <v xml:space="preserve"> </v>
          </cell>
          <cell r="J206" t="str">
            <v xml:space="preserve"> </v>
          </cell>
          <cell r="K206"/>
          <cell r="L206" t="str">
            <v xml:space="preserve"> </v>
          </cell>
          <cell r="M206"/>
          <cell r="N206" t="str">
            <v xml:space="preserve"> </v>
          </cell>
          <cell r="O206" t="str">
            <v xml:space="preserve"> </v>
          </cell>
          <cell r="P206"/>
          <cell r="Q206" t="str">
            <v xml:space="preserve"> </v>
          </cell>
          <cell r="R206"/>
          <cell r="S206" t="str">
            <v xml:space="preserve"> </v>
          </cell>
          <cell r="T206" t="str">
            <v xml:space="preserve"> </v>
          </cell>
          <cell r="U206"/>
          <cell r="V206" t="str">
            <v xml:space="preserve"> </v>
          </cell>
          <cell r="W206" t="str">
            <v xml:space="preserve"> </v>
          </cell>
          <cell r="X206"/>
          <cell r="Y206" t="str">
            <v xml:space="preserve"> </v>
          </cell>
          <cell r="Z206"/>
          <cell r="AA206" t="str">
            <v xml:space="preserve"> </v>
          </cell>
          <cell r="AB206" t="str">
            <v xml:space="preserve"> </v>
          </cell>
          <cell r="AC206"/>
          <cell r="AD206" t="str">
            <v xml:space="preserve"> </v>
          </cell>
          <cell r="AE206"/>
          <cell r="AF206" t="str">
            <v xml:space="preserve"> </v>
          </cell>
          <cell r="AG206"/>
          <cell r="AH206"/>
          <cell r="AI206"/>
          <cell r="AJ206"/>
          <cell r="AK206" t="str">
            <v/>
          </cell>
          <cell r="AL206"/>
          <cell r="AM206" t="str">
            <v xml:space="preserve"> </v>
          </cell>
          <cell r="AN206" t="str">
            <v xml:space="preserve"> </v>
          </cell>
          <cell r="AO206"/>
          <cell r="AP206" t="str">
            <v xml:space="preserve"> </v>
          </cell>
          <cell r="AQ206"/>
          <cell r="AR206" t="str">
            <v xml:space="preserve"> </v>
          </cell>
          <cell r="AS206" t="str">
            <v xml:space="preserve"> </v>
          </cell>
          <cell r="AT206"/>
          <cell r="AU206" t="str">
            <v xml:space="preserve"> </v>
          </cell>
          <cell r="AV206"/>
          <cell r="AW206"/>
          <cell r="AX206" t="str">
            <v xml:space="preserve"> </v>
          </cell>
          <cell r="AY206"/>
          <cell r="AZ206" t="str">
            <v xml:space="preserve"> </v>
          </cell>
          <cell r="BA206"/>
          <cell r="BB206"/>
          <cell r="BC206" t="str">
            <v xml:space="preserve"> </v>
          </cell>
          <cell r="BD206"/>
          <cell r="BE206" t="str">
            <v xml:space="preserve"> </v>
          </cell>
          <cell r="BF206"/>
          <cell r="BG206"/>
          <cell r="BH206" t="str">
            <v xml:space="preserve"> </v>
          </cell>
          <cell r="BI206"/>
          <cell r="BJ206" t="str">
            <v xml:space="preserve"> </v>
          </cell>
          <cell r="BK206"/>
          <cell r="BL206" t="str">
            <v xml:space="preserve"> </v>
          </cell>
          <cell r="BM206" t="str">
            <v xml:space="preserve"> </v>
          </cell>
          <cell r="BN206"/>
          <cell r="BO206" t="str">
            <v xml:space="preserve"> </v>
          </cell>
        </row>
        <row r="207">
          <cell r="B207">
            <v>46225</v>
          </cell>
          <cell r="C207"/>
          <cell r="D207" t="str">
            <v xml:space="preserve"> </v>
          </cell>
          <cell r="E207" t="str">
            <v xml:space="preserve"> </v>
          </cell>
          <cell r="F207"/>
          <cell r="G207" t="str">
            <v xml:space="preserve"> </v>
          </cell>
          <cell r="H207"/>
          <cell r="I207" t="str">
            <v xml:space="preserve"> </v>
          </cell>
          <cell r="J207" t="str">
            <v xml:space="preserve"> </v>
          </cell>
          <cell r="K207"/>
          <cell r="L207" t="str">
            <v xml:space="preserve"> </v>
          </cell>
          <cell r="M207"/>
          <cell r="N207" t="str">
            <v xml:space="preserve"> </v>
          </cell>
          <cell r="O207" t="str">
            <v xml:space="preserve"> </v>
          </cell>
          <cell r="P207"/>
          <cell r="Q207" t="str">
            <v xml:space="preserve"> </v>
          </cell>
          <cell r="R207"/>
          <cell r="S207" t="str">
            <v xml:space="preserve"> </v>
          </cell>
          <cell r="T207" t="str">
            <v xml:space="preserve"> </v>
          </cell>
          <cell r="U207"/>
          <cell r="V207" t="str">
            <v xml:space="preserve"> </v>
          </cell>
          <cell r="W207" t="str">
            <v xml:space="preserve"> </v>
          </cell>
          <cell r="X207"/>
          <cell r="Y207" t="str">
            <v xml:space="preserve"> </v>
          </cell>
          <cell r="Z207"/>
          <cell r="AA207" t="str">
            <v xml:space="preserve"> </v>
          </cell>
          <cell r="AB207" t="str">
            <v xml:space="preserve"> </v>
          </cell>
          <cell r="AC207"/>
          <cell r="AD207" t="str">
            <v xml:space="preserve"> </v>
          </cell>
          <cell r="AE207"/>
          <cell r="AF207" t="str">
            <v xml:space="preserve"> </v>
          </cell>
          <cell r="AG207"/>
          <cell r="AH207"/>
          <cell r="AI207"/>
          <cell r="AJ207"/>
          <cell r="AK207" t="str">
            <v/>
          </cell>
          <cell r="AL207"/>
          <cell r="AM207" t="str">
            <v xml:space="preserve"> </v>
          </cell>
          <cell r="AN207" t="str">
            <v xml:space="preserve"> </v>
          </cell>
          <cell r="AO207"/>
          <cell r="AP207" t="str">
            <v xml:space="preserve"> </v>
          </cell>
          <cell r="AQ207"/>
          <cell r="AR207" t="str">
            <v xml:space="preserve"> </v>
          </cell>
          <cell r="AS207" t="str">
            <v xml:space="preserve"> </v>
          </cell>
          <cell r="AT207"/>
          <cell r="AU207" t="str">
            <v xml:space="preserve"> </v>
          </cell>
          <cell r="AV207"/>
          <cell r="AW207"/>
          <cell r="AX207" t="str">
            <v xml:space="preserve"> </v>
          </cell>
          <cell r="AY207"/>
          <cell r="AZ207" t="str">
            <v xml:space="preserve"> </v>
          </cell>
          <cell r="BA207"/>
          <cell r="BB207"/>
          <cell r="BC207" t="str">
            <v xml:space="preserve"> </v>
          </cell>
          <cell r="BD207"/>
          <cell r="BE207" t="str">
            <v xml:space="preserve"> </v>
          </cell>
          <cell r="BF207"/>
          <cell r="BG207"/>
          <cell r="BH207" t="str">
            <v xml:space="preserve"> </v>
          </cell>
          <cell r="BI207"/>
          <cell r="BJ207" t="str">
            <v xml:space="preserve"> </v>
          </cell>
          <cell r="BK207"/>
          <cell r="BL207" t="str">
            <v xml:space="preserve"> </v>
          </cell>
          <cell r="BM207" t="str">
            <v xml:space="preserve"> </v>
          </cell>
          <cell r="BN207"/>
          <cell r="BO207" t="str">
            <v xml:space="preserve"> </v>
          </cell>
        </row>
        <row r="208">
          <cell r="B208">
            <v>46226</v>
          </cell>
          <cell r="C208"/>
          <cell r="D208" t="str">
            <v xml:space="preserve"> </v>
          </cell>
          <cell r="E208" t="str">
            <v xml:space="preserve"> </v>
          </cell>
          <cell r="F208"/>
          <cell r="G208" t="str">
            <v xml:space="preserve"> </v>
          </cell>
          <cell r="H208"/>
          <cell r="I208" t="str">
            <v xml:space="preserve"> </v>
          </cell>
          <cell r="J208" t="str">
            <v xml:space="preserve"> </v>
          </cell>
          <cell r="K208"/>
          <cell r="L208" t="str">
            <v xml:space="preserve"> </v>
          </cell>
          <cell r="M208"/>
          <cell r="N208" t="str">
            <v xml:space="preserve"> </v>
          </cell>
          <cell r="O208" t="str">
            <v xml:space="preserve"> </v>
          </cell>
          <cell r="P208"/>
          <cell r="Q208" t="str">
            <v xml:space="preserve"> </v>
          </cell>
          <cell r="R208"/>
          <cell r="S208" t="str">
            <v xml:space="preserve"> </v>
          </cell>
          <cell r="T208" t="str">
            <v xml:space="preserve"> </v>
          </cell>
          <cell r="U208"/>
          <cell r="V208" t="str">
            <v xml:space="preserve"> </v>
          </cell>
          <cell r="W208" t="str">
            <v xml:space="preserve"> </v>
          </cell>
          <cell r="X208"/>
          <cell r="Y208" t="str">
            <v xml:space="preserve"> </v>
          </cell>
          <cell r="Z208"/>
          <cell r="AA208" t="str">
            <v xml:space="preserve"> </v>
          </cell>
          <cell r="AB208" t="str">
            <v xml:space="preserve"> </v>
          </cell>
          <cell r="AC208"/>
          <cell r="AD208" t="str">
            <v xml:space="preserve"> </v>
          </cell>
          <cell r="AE208"/>
          <cell r="AF208" t="str">
            <v xml:space="preserve"> </v>
          </cell>
          <cell r="AG208"/>
          <cell r="AH208"/>
          <cell r="AI208"/>
          <cell r="AJ208"/>
          <cell r="AK208" t="str">
            <v/>
          </cell>
          <cell r="AL208"/>
          <cell r="AM208" t="str">
            <v xml:space="preserve"> </v>
          </cell>
          <cell r="AN208" t="str">
            <v xml:space="preserve"> </v>
          </cell>
          <cell r="AO208"/>
          <cell r="AP208" t="str">
            <v xml:space="preserve"> </v>
          </cell>
          <cell r="AQ208"/>
          <cell r="AR208" t="str">
            <v xml:space="preserve"> </v>
          </cell>
          <cell r="AS208" t="str">
            <v xml:space="preserve"> </v>
          </cell>
          <cell r="AT208"/>
          <cell r="AU208" t="str">
            <v xml:space="preserve"> </v>
          </cell>
          <cell r="AV208"/>
          <cell r="AW208"/>
          <cell r="AX208" t="str">
            <v xml:space="preserve"> </v>
          </cell>
          <cell r="AY208"/>
          <cell r="AZ208" t="str">
            <v xml:space="preserve"> </v>
          </cell>
          <cell r="BA208"/>
          <cell r="BB208"/>
          <cell r="BC208" t="str">
            <v xml:space="preserve"> </v>
          </cell>
          <cell r="BD208"/>
          <cell r="BE208" t="str">
            <v xml:space="preserve"> </v>
          </cell>
          <cell r="BF208"/>
          <cell r="BG208"/>
          <cell r="BH208" t="str">
            <v xml:space="preserve"> </v>
          </cell>
          <cell r="BI208"/>
          <cell r="BJ208" t="str">
            <v xml:space="preserve"> </v>
          </cell>
          <cell r="BK208"/>
          <cell r="BL208" t="str">
            <v xml:space="preserve"> </v>
          </cell>
          <cell r="BM208" t="str">
            <v xml:space="preserve"> </v>
          </cell>
          <cell r="BN208"/>
          <cell r="BO208" t="str">
            <v xml:space="preserve"> </v>
          </cell>
        </row>
        <row r="209">
          <cell r="B209">
            <v>46227</v>
          </cell>
          <cell r="C209"/>
          <cell r="D209" t="str">
            <v xml:space="preserve"> </v>
          </cell>
          <cell r="E209" t="str">
            <v xml:space="preserve"> </v>
          </cell>
          <cell r="F209"/>
          <cell r="G209" t="str">
            <v xml:space="preserve"> </v>
          </cell>
          <cell r="H209"/>
          <cell r="I209" t="str">
            <v xml:space="preserve"> </v>
          </cell>
          <cell r="J209" t="str">
            <v xml:space="preserve"> </v>
          </cell>
          <cell r="K209"/>
          <cell r="L209" t="str">
            <v xml:space="preserve"> </v>
          </cell>
          <cell r="M209"/>
          <cell r="N209" t="str">
            <v xml:space="preserve"> </v>
          </cell>
          <cell r="O209" t="str">
            <v xml:space="preserve"> </v>
          </cell>
          <cell r="P209"/>
          <cell r="Q209" t="str">
            <v xml:space="preserve"> </v>
          </cell>
          <cell r="R209"/>
          <cell r="S209" t="str">
            <v xml:space="preserve"> </v>
          </cell>
          <cell r="T209" t="str">
            <v xml:space="preserve"> </v>
          </cell>
          <cell r="U209"/>
          <cell r="V209" t="str">
            <v xml:space="preserve"> </v>
          </cell>
          <cell r="W209" t="str">
            <v xml:space="preserve"> </v>
          </cell>
          <cell r="X209"/>
          <cell r="Y209" t="str">
            <v xml:space="preserve"> </v>
          </cell>
          <cell r="Z209"/>
          <cell r="AA209" t="str">
            <v xml:space="preserve"> </v>
          </cell>
          <cell r="AB209" t="str">
            <v xml:space="preserve"> </v>
          </cell>
          <cell r="AC209"/>
          <cell r="AD209" t="str">
            <v xml:space="preserve"> </v>
          </cell>
          <cell r="AE209"/>
          <cell r="AF209" t="str">
            <v xml:space="preserve"> </v>
          </cell>
          <cell r="AG209"/>
          <cell r="AH209"/>
          <cell r="AI209"/>
          <cell r="AJ209"/>
          <cell r="AK209" t="str">
            <v/>
          </cell>
          <cell r="AL209"/>
          <cell r="AM209" t="str">
            <v xml:space="preserve"> </v>
          </cell>
          <cell r="AN209" t="str">
            <v xml:space="preserve"> </v>
          </cell>
          <cell r="AO209"/>
          <cell r="AP209" t="str">
            <v xml:space="preserve"> </v>
          </cell>
          <cell r="AQ209"/>
          <cell r="AR209" t="str">
            <v xml:space="preserve"> </v>
          </cell>
          <cell r="AS209" t="str">
            <v xml:space="preserve"> </v>
          </cell>
          <cell r="AT209"/>
          <cell r="AU209" t="str">
            <v xml:space="preserve"> </v>
          </cell>
          <cell r="AV209"/>
          <cell r="AW209"/>
          <cell r="AX209" t="str">
            <v xml:space="preserve"> </v>
          </cell>
          <cell r="AY209"/>
          <cell r="AZ209" t="str">
            <v xml:space="preserve"> </v>
          </cell>
          <cell r="BA209"/>
          <cell r="BB209"/>
          <cell r="BC209" t="str">
            <v xml:space="preserve"> </v>
          </cell>
          <cell r="BD209"/>
          <cell r="BE209" t="str">
            <v xml:space="preserve"> </v>
          </cell>
          <cell r="BF209"/>
          <cell r="BG209"/>
          <cell r="BH209" t="str">
            <v xml:space="preserve"> </v>
          </cell>
          <cell r="BI209"/>
          <cell r="BJ209" t="str">
            <v xml:space="preserve"> </v>
          </cell>
          <cell r="BK209"/>
          <cell r="BL209" t="str">
            <v xml:space="preserve"> </v>
          </cell>
          <cell r="BM209" t="str">
            <v xml:space="preserve"> </v>
          </cell>
          <cell r="BN209"/>
          <cell r="BO209" t="str">
            <v xml:space="preserve"> </v>
          </cell>
        </row>
        <row r="210">
          <cell r="B210">
            <v>46228</v>
          </cell>
          <cell r="C210"/>
          <cell r="D210" t="str">
            <v xml:space="preserve"> </v>
          </cell>
          <cell r="E210" t="str">
            <v xml:space="preserve"> </v>
          </cell>
          <cell r="F210"/>
          <cell r="G210" t="str">
            <v xml:space="preserve"> </v>
          </cell>
          <cell r="H210"/>
          <cell r="I210" t="str">
            <v xml:space="preserve"> </v>
          </cell>
          <cell r="J210" t="str">
            <v xml:space="preserve"> </v>
          </cell>
          <cell r="K210"/>
          <cell r="L210" t="str">
            <v xml:space="preserve"> </v>
          </cell>
          <cell r="M210"/>
          <cell r="N210" t="str">
            <v xml:space="preserve"> </v>
          </cell>
          <cell r="O210" t="str">
            <v xml:space="preserve"> </v>
          </cell>
          <cell r="P210"/>
          <cell r="Q210" t="str">
            <v xml:space="preserve"> </v>
          </cell>
          <cell r="R210"/>
          <cell r="S210" t="str">
            <v xml:space="preserve"> </v>
          </cell>
          <cell r="T210" t="str">
            <v xml:space="preserve"> </v>
          </cell>
          <cell r="U210"/>
          <cell r="V210" t="str">
            <v xml:space="preserve"> </v>
          </cell>
          <cell r="W210" t="str">
            <v xml:space="preserve"> </v>
          </cell>
          <cell r="X210"/>
          <cell r="Y210" t="str">
            <v xml:space="preserve"> </v>
          </cell>
          <cell r="Z210"/>
          <cell r="AA210" t="str">
            <v xml:space="preserve"> </v>
          </cell>
          <cell r="AB210" t="str">
            <v xml:space="preserve"> </v>
          </cell>
          <cell r="AC210"/>
          <cell r="AD210" t="str">
            <v xml:space="preserve"> </v>
          </cell>
          <cell r="AE210"/>
          <cell r="AF210" t="str">
            <v xml:space="preserve"> </v>
          </cell>
          <cell r="AG210"/>
          <cell r="AH210"/>
          <cell r="AI210"/>
          <cell r="AJ210"/>
          <cell r="AK210" t="str">
            <v/>
          </cell>
          <cell r="AL210"/>
          <cell r="AM210" t="str">
            <v xml:space="preserve"> </v>
          </cell>
          <cell r="AN210" t="str">
            <v xml:space="preserve"> </v>
          </cell>
          <cell r="AO210"/>
          <cell r="AP210" t="str">
            <v xml:space="preserve"> </v>
          </cell>
          <cell r="AQ210"/>
          <cell r="AR210" t="str">
            <v xml:space="preserve"> </v>
          </cell>
          <cell r="AS210" t="str">
            <v xml:space="preserve"> </v>
          </cell>
          <cell r="AT210"/>
          <cell r="AU210" t="str">
            <v xml:space="preserve"> </v>
          </cell>
          <cell r="AV210"/>
          <cell r="AW210"/>
          <cell r="AX210" t="str">
            <v xml:space="preserve"> </v>
          </cell>
          <cell r="AY210"/>
          <cell r="AZ210" t="str">
            <v xml:space="preserve"> </v>
          </cell>
          <cell r="BA210"/>
          <cell r="BB210"/>
          <cell r="BC210" t="str">
            <v xml:space="preserve"> </v>
          </cell>
          <cell r="BD210"/>
          <cell r="BE210" t="str">
            <v xml:space="preserve"> </v>
          </cell>
          <cell r="BF210"/>
          <cell r="BG210"/>
          <cell r="BH210" t="str">
            <v xml:space="preserve"> </v>
          </cell>
          <cell r="BI210"/>
          <cell r="BJ210" t="str">
            <v xml:space="preserve"> </v>
          </cell>
          <cell r="BK210"/>
          <cell r="BL210" t="str">
            <v xml:space="preserve"> </v>
          </cell>
          <cell r="BM210" t="str">
            <v xml:space="preserve"> </v>
          </cell>
          <cell r="BN210"/>
          <cell r="BO210" t="str">
            <v xml:space="preserve"> </v>
          </cell>
        </row>
        <row r="211">
          <cell r="B211">
            <v>46229</v>
          </cell>
          <cell r="C211"/>
          <cell r="D211" t="str">
            <v xml:space="preserve"> </v>
          </cell>
          <cell r="E211" t="str">
            <v xml:space="preserve"> </v>
          </cell>
          <cell r="F211"/>
          <cell r="G211" t="str">
            <v xml:space="preserve"> </v>
          </cell>
          <cell r="H211"/>
          <cell r="I211" t="str">
            <v xml:space="preserve"> </v>
          </cell>
          <cell r="J211" t="str">
            <v xml:space="preserve"> </v>
          </cell>
          <cell r="K211"/>
          <cell r="L211" t="str">
            <v xml:space="preserve"> </v>
          </cell>
          <cell r="M211"/>
          <cell r="N211" t="str">
            <v xml:space="preserve"> </v>
          </cell>
          <cell r="O211" t="str">
            <v xml:space="preserve"> </v>
          </cell>
          <cell r="P211"/>
          <cell r="Q211" t="str">
            <v xml:space="preserve"> </v>
          </cell>
          <cell r="R211"/>
          <cell r="S211" t="str">
            <v xml:space="preserve"> </v>
          </cell>
          <cell r="T211" t="str">
            <v xml:space="preserve"> </v>
          </cell>
          <cell r="U211"/>
          <cell r="V211" t="str">
            <v xml:space="preserve"> </v>
          </cell>
          <cell r="W211" t="str">
            <v xml:space="preserve"> </v>
          </cell>
          <cell r="X211"/>
          <cell r="Y211" t="str">
            <v xml:space="preserve"> </v>
          </cell>
          <cell r="Z211"/>
          <cell r="AA211" t="str">
            <v xml:space="preserve"> </v>
          </cell>
          <cell r="AB211" t="str">
            <v xml:space="preserve"> </v>
          </cell>
          <cell r="AC211"/>
          <cell r="AD211" t="str">
            <v xml:space="preserve"> </v>
          </cell>
          <cell r="AE211"/>
          <cell r="AF211" t="str">
            <v xml:space="preserve"> </v>
          </cell>
          <cell r="AG211"/>
          <cell r="AH211"/>
          <cell r="AI211"/>
          <cell r="AJ211"/>
          <cell r="AK211" t="str">
            <v/>
          </cell>
          <cell r="AL211"/>
          <cell r="AM211" t="str">
            <v xml:space="preserve"> </v>
          </cell>
          <cell r="AN211" t="str">
            <v xml:space="preserve"> </v>
          </cell>
          <cell r="AO211"/>
          <cell r="AP211" t="str">
            <v xml:space="preserve"> </v>
          </cell>
          <cell r="AQ211"/>
          <cell r="AR211" t="str">
            <v xml:space="preserve"> </v>
          </cell>
          <cell r="AS211" t="str">
            <v xml:space="preserve"> </v>
          </cell>
          <cell r="AT211"/>
          <cell r="AU211" t="str">
            <v xml:space="preserve"> </v>
          </cell>
          <cell r="AV211"/>
          <cell r="AW211"/>
          <cell r="AX211" t="str">
            <v xml:space="preserve"> </v>
          </cell>
          <cell r="AY211"/>
          <cell r="AZ211" t="str">
            <v xml:space="preserve"> </v>
          </cell>
          <cell r="BA211"/>
          <cell r="BB211"/>
          <cell r="BC211" t="str">
            <v xml:space="preserve"> </v>
          </cell>
          <cell r="BD211"/>
          <cell r="BE211" t="str">
            <v xml:space="preserve"> </v>
          </cell>
          <cell r="BF211"/>
          <cell r="BG211"/>
          <cell r="BH211" t="str">
            <v xml:space="preserve"> </v>
          </cell>
          <cell r="BI211"/>
          <cell r="BJ211" t="str">
            <v xml:space="preserve"> </v>
          </cell>
          <cell r="BK211"/>
          <cell r="BL211" t="str">
            <v xml:space="preserve"> </v>
          </cell>
          <cell r="BM211" t="str">
            <v xml:space="preserve"> </v>
          </cell>
          <cell r="BN211"/>
          <cell r="BO211" t="str">
            <v xml:space="preserve"> </v>
          </cell>
        </row>
        <row r="212">
          <cell r="B212">
            <v>46230</v>
          </cell>
          <cell r="C212"/>
          <cell r="D212" t="str">
            <v xml:space="preserve"> </v>
          </cell>
          <cell r="E212" t="str">
            <v xml:space="preserve"> </v>
          </cell>
          <cell r="F212"/>
          <cell r="G212" t="str">
            <v xml:space="preserve"> </v>
          </cell>
          <cell r="H212"/>
          <cell r="I212" t="str">
            <v xml:space="preserve"> </v>
          </cell>
          <cell r="J212" t="str">
            <v xml:space="preserve"> </v>
          </cell>
          <cell r="K212"/>
          <cell r="L212" t="str">
            <v xml:space="preserve"> </v>
          </cell>
          <cell r="M212"/>
          <cell r="N212" t="str">
            <v xml:space="preserve"> </v>
          </cell>
          <cell r="O212" t="str">
            <v xml:space="preserve"> </v>
          </cell>
          <cell r="P212"/>
          <cell r="Q212" t="str">
            <v xml:space="preserve"> </v>
          </cell>
          <cell r="R212"/>
          <cell r="S212" t="str">
            <v xml:space="preserve"> </v>
          </cell>
          <cell r="T212" t="str">
            <v xml:space="preserve"> </v>
          </cell>
          <cell r="U212"/>
          <cell r="V212" t="str">
            <v xml:space="preserve"> </v>
          </cell>
          <cell r="W212" t="str">
            <v xml:space="preserve"> </v>
          </cell>
          <cell r="X212"/>
          <cell r="Y212" t="str">
            <v xml:space="preserve"> </v>
          </cell>
          <cell r="Z212"/>
          <cell r="AA212" t="str">
            <v xml:space="preserve"> </v>
          </cell>
          <cell r="AB212" t="str">
            <v xml:space="preserve"> </v>
          </cell>
          <cell r="AC212"/>
          <cell r="AD212" t="str">
            <v xml:space="preserve"> </v>
          </cell>
          <cell r="AE212"/>
          <cell r="AF212" t="str">
            <v xml:space="preserve"> </v>
          </cell>
          <cell r="AG212"/>
          <cell r="AH212"/>
          <cell r="AI212"/>
          <cell r="AJ212"/>
          <cell r="AK212" t="str">
            <v/>
          </cell>
          <cell r="AL212"/>
          <cell r="AM212" t="str">
            <v xml:space="preserve"> </v>
          </cell>
          <cell r="AN212" t="str">
            <v xml:space="preserve"> </v>
          </cell>
          <cell r="AO212"/>
          <cell r="AP212" t="str">
            <v xml:space="preserve"> </v>
          </cell>
          <cell r="AQ212"/>
          <cell r="AR212" t="str">
            <v xml:space="preserve"> </v>
          </cell>
          <cell r="AS212" t="str">
            <v xml:space="preserve"> </v>
          </cell>
          <cell r="AT212"/>
          <cell r="AU212" t="str">
            <v xml:space="preserve"> </v>
          </cell>
          <cell r="AV212"/>
          <cell r="AW212"/>
          <cell r="AX212" t="str">
            <v xml:space="preserve"> </v>
          </cell>
          <cell r="AY212"/>
          <cell r="AZ212" t="str">
            <v xml:space="preserve"> </v>
          </cell>
          <cell r="BA212"/>
          <cell r="BB212"/>
          <cell r="BC212" t="str">
            <v xml:space="preserve"> </v>
          </cell>
          <cell r="BD212"/>
          <cell r="BE212" t="str">
            <v xml:space="preserve"> </v>
          </cell>
          <cell r="BF212"/>
          <cell r="BG212"/>
          <cell r="BH212" t="str">
            <v xml:space="preserve"> </v>
          </cell>
          <cell r="BI212"/>
          <cell r="BJ212" t="str">
            <v xml:space="preserve"> </v>
          </cell>
          <cell r="BK212"/>
          <cell r="BL212" t="str">
            <v xml:space="preserve"> </v>
          </cell>
          <cell r="BM212" t="str">
            <v xml:space="preserve"> </v>
          </cell>
          <cell r="BN212"/>
          <cell r="BO212" t="str">
            <v xml:space="preserve"> </v>
          </cell>
        </row>
        <row r="213">
          <cell r="B213">
            <v>46231</v>
          </cell>
          <cell r="C213"/>
          <cell r="D213" t="str">
            <v xml:space="preserve"> </v>
          </cell>
          <cell r="E213" t="str">
            <v xml:space="preserve"> </v>
          </cell>
          <cell r="F213"/>
          <cell r="G213" t="str">
            <v xml:space="preserve"> </v>
          </cell>
          <cell r="H213"/>
          <cell r="I213" t="str">
            <v xml:space="preserve"> </v>
          </cell>
          <cell r="J213" t="str">
            <v xml:space="preserve"> </v>
          </cell>
          <cell r="K213"/>
          <cell r="L213" t="str">
            <v xml:space="preserve"> </v>
          </cell>
          <cell r="M213"/>
          <cell r="N213" t="str">
            <v xml:space="preserve"> </v>
          </cell>
          <cell r="O213" t="str">
            <v xml:space="preserve"> </v>
          </cell>
          <cell r="P213"/>
          <cell r="Q213" t="str">
            <v xml:space="preserve"> </v>
          </cell>
          <cell r="R213"/>
          <cell r="S213" t="str">
            <v xml:space="preserve"> </v>
          </cell>
          <cell r="T213" t="str">
            <v xml:space="preserve"> </v>
          </cell>
          <cell r="U213"/>
          <cell r="V213" t="str">
            <v xml:space="preserve"> </v>
          </cell>
          <cell r="W213" t="str">
            <v xml:space="preserve"> </v>
          </cell>
          <cell r="X213"/>
          <cell r="Y213" t="str">
            <v xml:space="preserve"> </v>
          </cell>
          <cell r="Z213"/>
          <cell r="AA213" t="str">
            <v xml:space="preserve"> </v>
          </cell>
          <cell r="AB213" t="str">
            <v xml:space="preserve"> </v>
          </cell>
          <cell r="AC213"/>
          <cell r="AD213" t="str">
            <v xml:space="preserve"> </v>
          </cell>
          <cell r="AE213"/>
          <cell r="AF213" t="str">
            <v xml:space="preserve"> </v>
          </cell>
          <cell r="AG213"/>
          <cell r="AH213"/>
          <cell r="AI213"/>
          <cell r="AJ213"/>
          <cell r="AK213" t="str">
            <v/>
          </cell>
          <cell r="AL213"/>
          <cell r="AM213" t="str">
            <v xml:space="preserve"> </v>
          </cell>
          <cell r="AN213" t="str">
            <v xml:space="preserve"> </v>
          </cell>
          <cell r="AO213"/>
          <cell r="AP213" t="str">
            <v xml:space="preserve"> </v>
          </cell>
          <cell r="AQ213"/>
          <cell r="AR213" t="str">
            <v xml:space="preserve"> </v>
          </cell>
          <cell r="AS213" t="str">
            <v xml:space="preserve"> </v>
          </cell>
          <cell r="AT213"/>
          <cell r="AU213" t="str">
            <v xml:space="preserve"> </v>
          </cell>
          <cell r="AV213"/>
          <cell r="AW213"/>
          <cell r="AX213" t="str">
            <v xml:space="preserve"> </v>
          </cell>
          <cell r="AY213"/>
          <cell r="AZ213" t="str">
            <v xml:space="preserve"> </v>
          </cell>
          <cell r="BA213"/>
          <cell r="BB213"/>
          <cell r="BC213" t="str">
            <v xml:space="preserve"> </v>
          </cell>
          <cell r="BD213"/>
          <cell r="BE213" t="str">
            <v xml:space="preserve"> </v>
          </cell>
          <cell r="BF213"/>
          <cell r="BG213"/>
          <cell r="BH213" t="str">
            <v xml:space="preserve"> </v>
          </cell>
          <cell r="BI213"/>
          <cell r="BJ213" t="str">
            <v xml:space="preserve"> </v>
          </cell>
          <cell r="BK213"/>
          <cell r="BL213" t="str">
            <v xml:space="preserve"> </v>
          </cell>
          <cell r="BM213" t="str">
            <v xml:space="preserve"> </v>
          </cell>
          <cell r="BN213"/>
          <cell r="BO213" t="str">
            <v xml:space="preserve"> </v>
          </cell>
        </row>
        <row r="214">
          <cell r="B214">
            <v>46232</v>
          </cell>
          <cell r="C214"/>
          <cell r="D214" t="str">
            <v xml:space="preserve"> </v>
          </cell>
          <cell r="E214" t="str">
            <v xml:space="preserve"> </v>
          </cell>
          <cell r="F214"/>
          <cell r="G214" t="str">
            <v xml:space="preserve"> </v>
          </cell>
          <cell r="H214"/>
          <cell r="I214" t="str">
            <v xml:space="preserve"> </v>
          </cell>
          <cell r="J214" t="str">
            <v xml:space="preserve"> </v>
          </cell>
          <cell r="K214"/>
          <cell r="L214" t="str">
            <v xml:space="preserve"> </v>
          </cell>
          <cell r="M214"/>
          <cell r="N214" t="str">
            <v xml:space="preserve"> </v>
          </cell>
          <cell r="O214" t="str">
            <v xml:space="preserve"> </v>
          </cell>
          <cell r="P214"/>
          <cell r="Q214" t="str">
            <v xml:space="preserve"> </v>
          </cell>
          <cell r="R214"/>
          <cell r="S214" t="str">
            <v xml:space="preserve"> </v>
          </cell>
          <cell r="T214" t="str">
            <v xml:space="preserve"> </v>
          </cell>
          <cell r="U214"/>
          <cell r="V214" t="str">
            <v xml:space="preserve"> </v>
          </cell>
          <cell r="W214" t="str">
            <v xml:space="preserve"> </v>
          </cell>
          <cell r="X214"/>
          <cell r="Y214" t="str">
            <v xml:space="preserve"> </v>
          </cell>
          <cell r="Z214"/>
          <cell r="AA214" t="str">
            <v xml:space="preserve"> </v>
          </cell>
          <cell r="AB214" t="str">
            <v xml:space="preserve"> </v>
          </cell>
          <cell r="AC214"/>
          <cell r="AD214" t="str">
            <v xml:space="preserve"> </v>
          </cell>
          <cell r="AE214"/>
          <cell r="AF214" t="str">
            <v xml:space="preserve"> </v>
          </cell>
          <cell r="AG214"/>
          <cell r="AH214"/>
          <cell r="AI214"/>
          <cell r="AJ214"/>
          <cell r="AK214" t="str">
            <v/>
          </cell>
          <cell r="AL214"/>
          <cell r="AM214" t="str">
            <v xml:space="preserve"> </v>
          </cell>
          <cell r="AN214" t="str">
            <v xml:space="preserve"> </v>
          </cell>
          <cell r="AO214"/>
          <cell r="AP214" t="str">
            <v xml:space="preserve"> </v>
          </cell>
          <cell r="AQ214"/>
          <cell r="AR214" t="str">
            <v xml:space="preserve"> </v>
          </cell>
          <cell r="AS214" t="str">
            <v xml:space="preserve"> </v>
          </cell>
          <cell r="AT214"/>
          <cell r="AU214" t="str">
            <v xml:space="preserve"> </v>
          </cell>
          <cell r="AV214"/>
          <cell r="AW214"/>
          <cell r="AX214" t="str">
            <v xml:space="preserve"> </v>
          </cell>
          <cell r="AY214"/>
          <cell r="AZ214" t="str">
            <v xml:space="preserve"> </v>
          </cell>
          <cell r="BA214"/>
          <cell r="BB214"/>
          <cell r="BC214" t="str">
            <v xml:space="preserve"> </v>
          </cell>
          <cell r="BD214"/>
          <cell r="BE214" t="str">
            <v xml:space="preserve"> </v>
          </cell>
          <cell r="BF214"/>
          <cell r="BG214"/>
          <cell r="BH214" t="str">
            <v xml:space="preserve"> </v>
          </cell>
          <cell r="BI214"/>
          <cell r="BJ214" t="str">
            <v xml:space="preserve"> </v>
          </cell>
          <cell r="BK214"/>
          <cell r="BL214" t="str">
            <v xml:space="preserve"> </v>
          </cell>
          <cell r="BM214" t="str">
            <v xml:space="preserve"> </v>
          </cell>
          <cell r="BN214"/>
          <cell r="BO214" t="str">
            <v xml:space="preserve"> </v>
          </cell>
        </row>
        <row r="215">
          <cell r="B215">
            <v>46233</v>
          </cell>
          <cell r="C215"/>
          <cell r="D215" t="str">
            <v xml:space="preserve"> </v>
          </cell>
          <cell r="E215" t="str">
            <v xml:space="preserve"> </v>
          </cell>
          <cell r="F215"/>
          <cell r="G215" t="str">
            <v xml:space="preserve"> </v>
          </cell>
          <cell r="H215"/>
          <cell r="I215" t="str">
            <v xml:space="preserve"> </v>
          </cell>
          <cell r="J215" t="str">
            <v xml:space="preserve"> </v>
          </cell>
          <cell r="K215"/>
          <cell r="L215" t="str">
            <v xml:space="preserve"> </v>
          </cell>
          <cell r="M215"/>
          <cell r="N215" t="str">
            <v xml:space="preserve"> </v>
          </cell>
          <cell r="O215" t="str">
            <v xml:space="preserve"> </v>
          </cell>
          <cell r="P215"/>
          <cell r="Q215" t="str">
            <v xml:space="preserve"> </v>
          </cell>
          <cell r="R215"/>
          <cell r="S215" t="str">
            <v xml:space="preserve"> </v>
          </cell>
          <cell r="T215" t="str">
            <v xml:space="preserve"> </v>
          </cell>
          <cell r="U215"/>
          <cell r="V215" t="str">
            <v xml:space="preserve"> </v>
          </cell>
          <cell r="W215" t="str">
            <v xml:space="preserve"> </v>
          </cell>
          <cell r="X215"/>
          <cell r="Y215" t="str">
            <v xml:space="preserve"> </v>
          </cell>
          <cell r="Z215"/>
          <cell r="AA215" t="str">
            <v xml:space="preserve"> </v>
          </cell>
          <cell r="AB215" t="str">
            <v xml:space="preserve"> </v>
          </cell>
          <cell r="AC215"/>
          <cell r="AD215" t="str">
            <v xml:space="preserve"> </v>
          </cell>
          <cell r="AE215"/>
          <cell r="AF215" t="str">
            <v xml:space="preserve"> </v>
          </cell>
          <cell r="AG215"/>
          <cell r="AH215"/>
          <cell r="AI215"/>
          <cell r="AJ215"/>
          <cell r="AK215" t="str">
            <v/>
          </cell>
          <cell r="AL215"/>
          <cell r="AM215" t="str">
            <v xml:space="preserve"> </v>
          </cell>
          <cell r="AN215" t="str">
            <v xml:space="preserve"> </v>
          </cell>
          <cell r="AO215"/>
          <cell r="AP215" t="str">
            <v xml:space="preserve"> </v>
          </cell>
          <cell r="AQ215"/>
          <cell r="AR215" t="str">
            <v xml:space="preserve"> </v>
          </cell>
          <cell r="AS215" t="str">
            <v xml:space="preserve"> </v>
          </cell>
          <cell r="AT215"/>
          <cell r="AU215" t="str">
            <v xml:space="preserve"> </v>
          </cell>
          <cell r="AV215"/>
          <cell r="AW215"/>
          <cell r="AX215" t="str">
            <v xml:space="preserve"> </v>
          </cell>
          <cell r="AY215"/>
          <cell r="AZ215" t="str">
            <v xml:space="preserve"> </v>
          </cell>
          <cell r="BA215"/>
          <cell r="BB215"/>
          <cell r="BC215" t="str">
            <v xml:space="preserve"> </v>
          </cell>
          <cell r="BD215"/>
          <cell r="BE215" t="str">
            <v xml:space="preserve"> </v>
          </cell>
          <cell r="BF215"/>
          <cell r="BG215"/>
          <cell r="BH215" t="str">
            <v xml:space="preserve"> </v>
          </cell>
          <cell r="BI215"/>
          <cell r="BJ215" t="str">
            <v xml:space="preserve"> </v>
          </cell>
          <cell r="BK215"/>
          <cell r="BL215" t="str">
            <v xml:space="preserve"> </v>
          </cell>
          <cell r="BM215" t="str">
            <v xml:space="preserve"> </v>
          </cell>
          <cell r="BN215"/>
          <cell r="BO215" t="str">
            <v xml:space="preserve"> </v>
          </cell>
        </row>
        <row r="216">
          <cell r="B216">
            <v>46234</v>
          </cell>
          <cell r="C216"/>
          <cell r="D216" t="str">
            <v xml:space="preserve"> </v>
          </cell>
          <cell r="E216" t="str">
            <v xml:space="preserve"> </v>
          </cell>
          <cell r="F216"/>
          <cell r="G216" t="str">
            <v xml:space="preserve"> </v>
          </cell>
          <cell r="H216"/>
          <cell r="I216" t="str">
            <v xml:space="preserve"> </v>
          </cell>
          <cell r="J216" t="str">
            <v xml:space="preserve"> </v>
          </cell>
          <cell r="K216"/>
          <cell r="L216" t="str">
            <v xml:space="preserve"> </v>
          </cell>
          <cell r="M216"/>
          <cell r="N216" t="str">
            <v xml:space="preserve"> </v>
          </cell>
          <cell r="O216" t="str">
            <v xml:space="preserve"> </v>
          </cell>
          <cell r="P216"/>
          <cell r="Q216" t="str">
            <v xml:space="preserve"> </v>
          </cell>
          <cell r="R216"/>
          <cell r="S216" t="str">
            <v xml:space="preserve"> </v>
          </cell>
          <cell r="T216" t="str">
            <v xml:space="preserve"> </v>
          </cell>
          <cell r="U216"/>
          <cell r="V216" t="str">
            <v xml:space="preserve"> </v>
          </cell>
          <cell r="W216" t="str">
            <v xml:space="preserve"> </v>
          </cell>
          <cell r="X216"/>
          <cell r="Y216" t="str">
            <v xml:space="preserve"> </v>
          </cell>
          <cell r="Z216"/>
          <cell r="AA216" t="str">
            <v xml:space="preserve"> </v>
          </cell>
          <cell r="AB216" t="str">
            <v xml:space="preserve"> </v>
          </cell>
          <cell r="AC216"/>
          <cell r="AD216" t="str">
            <v xml:space="preserve"> </v>
          </cell>
          <cell r="AE216"/>
          <cell r="AF216" t="str">
            <v xml:space="preserve"> </v>
          </cell>
          <cell r="AG216"/>
          <cell r="AH216"/>
          <cell r="AI216"/>
          <cell r="AJ216"/>
          <cell r="AK216" t="str">
            <v/>
          </cell>
          <cell r="AL216"/>
          <cell r="AM216" t="str">
            <v xml:space="preserve"> </v>
          </cell>
          <cell r="AN216" t="str">
            <v xml:space="preserve"> </v>
          </cell>
          <cell r="AO216"/>
          <cell r="AP216" t="str">
            <v xml:space="preserve"> </v>
          </cell>
          <cell r="AQ216"/>
          <cell r="AR216" t="str">
            <v xml:space="preserve"> </v>
          </cell>
          <cell r="AS216" t="str">
            <v xml:space="preserve"> </v>
          </cell>
          <cell r="AT216"/>
          <cell r="AU216" t="str">
            <v xml:space="preserve"> </v>
          </cell>
          <cell r="AV216"/>
          <cell r="AW216"/>
          <cell r="AX216" t="str">
            <v xml:space="preserve"> </v>
          </cell>
          <cell r="AY216"/>
          <cell r="AZ216" t="str">
            <v xml:space="preserve"> </v>
          </cell>
          <cell r="BA216"/>
          <cell r="BB216"/>
          <cell r="BC216" t="str">
            <v xml:space="preserve"> </v>
          </cell>
          <cell r="BD216"/>
          <cell r="BE216" t="str">
            <v xml:space="preserve"> </v>
          </cell>
          <cell r="BF216"/>
          <cell r="BG216"/>
          <cell r="BH216" t="str">
            <v xml:space="preserve"> </v>
          </cell>
          <cell r="BI216"/>
          <cell r="BJ216" t="str">
            <v xml:space="preserve"> </v>
          </cell>
          <cell r="BK216"/>
          <cell r="BL216" t="str">
            <v xml:space="preserve"> </v>
          </cell>
          <cell r="BM216" t="str">
            <v xml:space="preserve"> </v>
          </cell>
          <cell r="BN216"/>
          <cell r="BO216" t="str">
            <v xml:space="preserve"> </v>
          </cell>
        </row>
        <row r="217">
          <cell r="B217">
            <v>46235</v>
          </cell>
          <cell r="C217"/>
          <cell r="D217" t="str">
            <v xml:space="preserve"> </v>
          </cell>
          <cell r="E217" t="str">
            <v xml:space="preserve"> </v>
          </cell>
          <cell r="F217"/>
          <cell r="G217" t="str">
            <v xml:space="preserve"> </v>
          </cell>
          <cell r="H217"/>
          <cell r="I217" t="str">
            <v xml:space="preserve"> </v>
          </cell>
          <cell r="J217" t="str">
            <v xml:space="preserve"> </v>
          </cell>
          <cell r="K217"/>
          <cell r="L217" t="str">
            <v xml:space="preserve"> </v>
          </cell>
          <cell r="M217"/>
          <cell r="N217" t="str">
            <v xml:space="preserve"> </v>
          </cell>
          <cell r="O217" t="str">
            <v xml:space="preserve"> </v>
          </cell>
          <cell r="P217"/>
          <cell r="Q217" t="str">
            <v xml:space="preserve"> </v>
          </cell>
          <cell r="R217"/>
          <cell r="S217" t="str">
            <v xml:space="preserve"> </v>
          </cell>
          <cell r="T217" t="str">
            <v xml:space="preserve"> </v>
          </cell>
          <cell r="U217"/>
          <cell r="V217" t="str">
            <v xml:space="preserve"> </v>
          </cell>
          <cell r="W217" t="str">
            <v xml:space="preserve"> </v>
          </cell>
          <cell r="X217"/>
          <cell r="Y217" t="str">
            <v xml:space="preserve"> </v>
          </cell>
          <cell r="Z217"/>
          <cell r="AA217" t="str">
            <v xml:space="preserve"> </v>
          </cell>
          <cell r="AB217" t="str">
            <v xml:space="preserve"> </v>
          </cell>
          <cell r="AC217"/>
          <cell r="AD217" t="str">
            <v xml:space="preserve"> </v>
          </cell>
          <cell r="AE217"/>
          <cell r="AF217" t="str">
            <v xml:space="preserve"> </v>
          </cell>
          <cell r="AG217"/>
          <cell r="AH217"/>
          <cell r="AI217"/>
          <cell r="AJ217"/>
          <cell r="AK217" t="str">
            <v/>
          </cell>
          <cell r="AL217"/>
          <cell r="AM217" t="str">
            <v xml:space="preserve"> </v>
          </cell>
          <cell r="AN217" t="str">
            <v xml:space="preserve"> </v>
          </cell>
          <cell r="AO217"/>
          <cell r="AP217" t="str">
            <v xml:space="preserve"> </v>
          </cell>
          <cell r="AQ217"/>
          <cell r="AR217" t="str">
            <v xml:space="preserve"> </v>
          </cell>
          <cell r="AS217" t="str">
            <v xml:space="preserve"> </v>
          </cell>
          <cell r="AT217"/>
          <cell r="AU217" t="str">
            <v xml:space="preserve"> </v>
          </cell>
          <cell r="AV217"/>
          <cell r="AW217"/>
          <cell r="AX217" t="str">
            <v xml:space="preserve"> </v>
          </cell>
          <cell r="AY217"/>
          <cell r="AZ217" t="str">
            <v xml:space="preserve"> </v>
          </cell>
          <cell r="BA217"/>
          <cell r="BB217"/>
          <cell r="BC217" t="str">
            <v xml:space="preserve"> </v>
          </cell>
          <cell r="BD217"/>
          <cell r="BE217" t="str">
            <v xml:space="preserve"> </v>
          </cell>
          <cell r="BF217"/>
          <cell r="BG217"/>
          <cell r="BH217" t="str">
            <v xml:space="preserve"> </v>
          </cell>
          <cell r="BI217"/>
          <cell r="BJ217" t="str">
            <v xml:space="preserve"> </v>
          </cell>
          <cell r="BK217"/>
          <cell r="BL217" t="str">
            <v xml:space="preserve"> </v>
          </cell>
          <cell r="BM217" t="str">
            <v xml:space="preserve"> </v>
          </cell>
          <cell r="BN217"/>
          <cell r="BO217" t="str">
            <v xml:space="preserve"> </v>
          </cell>
        </row>
        <row r="218">
          <cell r="B218">
            <v>46236</v>
          </cell>
          <cell r="C218"/>
          <cell r="D218" t="str">
            <v xml:space="preserve"> </v>
          </cell>
          <cell r="E218" t="str">
            <v xml:space="preserve"> </v>
          </cell>
          <cell r="F218"/>
          <cell r="G218" t="str">
            <v xml:space="preserve"> </v>
          </cell>
          <cell r="H218"/>
          <cell r="I218" t="str">
            <v xml:space="preserve"> </v>
          </cell>
          <cell r="J218" t="str">
            <v xml:space="preserve"> </v>
          </cell>
          <cell r="K218"/>
          <cell r="L218" t="str">
            <v xml:space="preserve"> </v>
          </cell>
          <cell r="M218"/>
          <cell r="N218" t="str">
            <v xml:space="preserve"> </v>
          </cell>
          <cell r="O218" t="str">
            <v xml:space="preserve"> </v>
          </cell>
          <cell r="P218"/>
          <cell r="Q218" t="str">
            <v xml:space="preserve"> </v>
          </cell>
          <cell r="R218"/>
          <cell r="S218" t="str">
            <v xml:space="preserve"> </v>
          </cell>
          <cell r="T218" t="str">
            <v xml:space="preserve"> </v>
          </cell>
          <cell r="U218"/>
          <cell r="V218" t="str">
            <v xml:space="preserve"> </v>
          </cell>
          <cell r="W218" t="str">
            <v xml:space="preserve"> </v>
          </cell>
          <cell r="X218"/>
          <cell r="Y218" t="str">
            <v xml:space="preserve"> </v>
          </cell>
          <cell r="Z218"/>
          <cell r="AA218" t="str">
            <v xml:space="preserve"> </v>
          </cell>
          <cell r="AB218" t="str">
            <v xml:space="preserve"> </v>
          </cell>
          <cell r="AC218"/>
          <cell r="AD218" t="str">
            <v xml:space="preserve"> </v>
          </cell>
          <cell r="AE218"/>
          <cell r="AF218" t="str">
            <v xml:space="preserve"> </v>
          </cell>
          <cell r="AG218"/>
          <cell r="AH218"/>
          <cell r="AI218"/>
          <cell r="AJ218"/>
          <cell r="AK218" t="str">
            <v/>
          </cell>
          <cell r="AL218"/>
          <cell r="AM218" t="str">
            <v xml:space="preserve"> </v>
          </cell>
          <cell r="AN218" t="str">
            <v xml:space="preserve"> </v>
          </cell>
          <cell r="AO218"/>
          <cell r="AP218" t="str">
            <v xml:space="preserve"> </v>
          </cell>
          <cell r="AQ218"/>
          <cell r="AR218" t="str">
            <v xml:space="preserve"> </v>
          </cell>
          <cell r="AS218" t="str">
            <v xml:space="preserve"> </v>
          </cell>
          <cell r="AT218"/>
          <cell r="AU218" t="str">
            <v xml:space="preserve"> </v>
          </cell>
          <cell r="AV218"/>
          <cell r="AW218"/>
          <cell r="AX218" t="str">
            <v xml:space="preserve"> </v>
          </cell>
          <cell r="AY218"/>
          <cell r="AZ218" t="str">
            <v xml:space="preserve"> </v>
          </cell>
          <cell r="BA218"/>
          <cell r="BB218"/>
          <cell r="BC218" t="str">
            <v xml:space="preserve"> </v>
          </cell>
          <cell r="BD218"/>
          <cell r="BE218" t="str">
            <v xml:space="preserve"> </v>
          </cell>
          <cell r="BF218"/>
          <cell r="BG218"/>
          <cell r="BH218" t="str">
            <v xml:space="preserve"> </v>
          </cell>
          <cell r="BI218"/>
          <cell r="BJ218" t="str">
            <v xml:space="preserve"> </v>
          </cell>
          <cell r="BK218"/>
          <cell r="BL218" t="str">
            <v xml:space="preserve"> </v>
          </cell>
          <cell r="BM218" t="str">
            <v xml:space="preserve"> </v>
          </cell>
          <cell r="BN218"/>
          <cell r="BO218" t="str">
            <v xml:space="preserve"> </v>
          </cell>
        </row>
        <row r="219">
          <cell r="B219">
            <v>46237</v>
          </cell>
          <cell r="C219"/>
          <cell r="D219" t="str">
            <v xml:space="preserve"> </v>
          </cell>
          <cell r="E219" t="str">
            <v xml:space="preserve"> </v>
          </cell>
          <cell r="F219"/>
          <cell r="G219" t="str">
            <v xml:space="preserve"> </v>
          </cell>
          <cell r="H219"/>
          <cell r="I219" t="str">
            <v xml:space="preserve"> </v>
          </cell>
          <cell r="J219" t="str">
            <v xml:space="preserve"> </v>
          </cell>
          <cell r="K219"/>
          <cell r="L219" t="str">
            <v xml:space="preserve"> </v>
          </cell>
          <cell r="M219"/>
          <cell r="N219" t="str">
            <v xml:space="preserve"> </v>
          </cell>
          <cell r="O219" t="str">
            <v xml:space="preserve"> </v>
          </cell>
          <cell r="P219"/>
          <cell r="Q219" t="str">
            <v xml:space="preserve"> </v>
          </cell>
          <cell r="R219"/>
          <cell r="S219" t="str">
            <v xml:space="preserve"> </v>
          </cell>
          <cell r="T219" t="str">
            <v xml:space="preserve"> </v>
          </cell>
          <cell r="U219"/>
          <cell r="V219" t="str">
            <v xml:space="preserve"> </v>
          </cell>
          <cell r="W219" t="str">
            <v xml:space="preserve"> </v>
          </cell>
          <cell r="X219"/>
          <cell r="Y219" t="str">
            <v xml:space="preserve"> </v>
          </cell>
          <cell r="Z219"/>
          <cell r="AA219" t="str">
            <v xml:space="preserve"> </v>
          </cell>
          <cell r="AB219" t="str">
            <v xml:space="preserve"> </v>
          </cell>
          <cell r="AC219"/>
          <cell r="AD219" t="str">
            <v xml:space="preserve"> </v>
          </cell>
          <cell r="AE219"/>
          <cell r="AF219" t="str">
            <v xml:space="preserve"> </v>
          </cell>
          <cell r="AG219"/>
          <cell r="AH219"/>
          <cell r="AI219"/>
          <cell r="AJ219"/>
          <cell r="AK219" t="str">
            <v/>
          </cell>
          <cell r="AL219"/>
          <cell r="AM219" t="str">
            <v xml:space="preserve"> </v>
          </cell>
          <cell r="AN219" t="str">
            <v xml:space="preserve"> </v>
          </cell>
          <cell r="AO219"/>
          <cell r="AP219" t="str">
            <v xml:space="preserve"> </v>
          </cell>
          <cell r="AQ219"/>
          <cell r="AR219" t="str">
            <v xml:space="preserve"> </v>
          </cell>
          <cell r="AS219" t="str">
            <v xml:space="preserve"> </v>
          </cell>
          <cell r="AT219"/>
          <cell r="AU219" t="str">
            <v xml:space="preserve"> </v>
          </cell>
          <cell r="AV219"/>
          <cell r="AW219"/>
          <cell r="AX219" t="str">
            <v xml:space="preserve"> </v>
          </cell>
          <cell r="AY219"/>
          <cell r="AZ219" t="str">
            <v xml:space="preserve"> </v>
          </cell>
          <cell r="BA219"/>
          <cell r="BB219"/>
          <cell r="BC219" t="str">
            <v xml:space="preserve"> </v>
          </cell>
          <cell r="BD219"/>
          <cell r="BE219" t="str">
            <v xml:space="preserve"> </v>
          </cell>
          <cell r="BF219"/>
          <cell r="BG219"/>
          <cell r="BH219" t="str">
            <v xml:space="preserve"> </v>
          </cell>
          <cell r="BI219"/>
          <cell r="BJ219" t="str">
            <v xml:space="preserve"> </v>
          </cell>
          <cell r="BK219"/>
          <cell r="BL219" t="str">
            <v xml:space="preserve"> </v>
          </cell>
          <cell r="BM219" t="str">
            <v xml:space="preserve"> </v>
          </cell>
          <cell r="BN219"/>
          <cell r="BO219" t="str">
            <v xml:space="preserve"> </v>
          </cell>
        </row>
        <row r="220">
          <cell r="B220">
            <v>46238</v>
          </cell>
          <cell r="C220"/>
          <cell r="D220" t="str">
            <v xml:space="preserve"> </v>
          </cell>
          <cell r="E220" t="str">
            <v xml:space="preserve"> </v>
          </cell>
          <cell r="F220"/>
          <cell r="G220" t="str">
            <v xml:space="preserve"> </v>
          </cell>
          <cell r="H220"/>
          <cell r="I220" t="str">
            <v xml:space="preserve"> </v>
          </cell>
          <cell r="J220" t="str">
            <v xml:space="preserve"> </v>
          </cell>
          <cell r="K220"/>
          <cell r="L220" t="str">
            <v xml:space="preserve"> </v>
          </cell>
          <cell r="M220"/>
          <cell r="N220" t="str">
            <v xml:space="preserve"> </v>
          </cell>
          <cell r="O220" t="str">
            <v xml:space="preserve"> </v>
          </cell>
          <cell r="P220"/>
          <cell r="Q220" t="str">
            <v xml:space="preserve"> </v>
          </cell>
          <cell r="R220"/>
          <cell r="S220" t="str">
            <v xml:space="preserve"> </v>
          </cell>
          <cell r="T220" t="str">
            <v xml:space="preserve"> </v>
          </cell>
          <cell r="U220"/>
          <cell r="V220" t="str">
            <v xml:space="preserve"> </v>
          </cell>
          <cell r="W220" t="str">
            <v xml:space="preserve"> </v>
          </cell>
          <cell r="X220"/>
          <cell r="Y220" t="str">
            <v xml:space="preserve"> </v>
          </cell>
          <cell r="Z220"/>
          <cell r="AA220" t="str">
            <v xml:space="preserve"> </v>
          </cell>
          <cell r="AB220" t="str">
            <v xml:space="preserve"> </v>
          </cell>
          <cell r="AC220"/>
          <cell r="AD220" t="str">
            <v xml:space="preserve"> </v>
          </cell>
          <cell r="AE220"/>
          <cell r="AF220" t="str">
            <v xml:space="preserve"> </v>
          </cell>
          <cell r="AG220"/>
          <cell r="AH220"/>
          <cell r="AI220"/>
          <cell r="AJ220"/>
          <cell r="AK220" t="str">
            <v/>
          </cell>
          <cell r="AL220"/>
          <cell r="AM220" t="str">
            <v xml:space="preserve"> </v>
          </cell>
          <cell r="AN220" t="str">
            <v xml:space="preserve"> </v>
          </cell>
          <cell r="AO220"/>
          <cell r="AP220" t="str">
            <v xml:space="preserve"> </v>
          </cell>
          <cell r="AQ220"/>
          <cell r="AR220" t="str">
            <v xml:space="preserve"> </v>
          </cell>
          <cell r="AS220" t="str">
            <v xml:space="preserve"> </v>
          </cell>
          <cell r="AT220"/>
          <cell r="AU220" t="str">
            <v xml:space="preserve"> </v>
          </cell>
          <cell r="AV220"/>
          <cell r="AW220"/>
          <cell r="AX220" t="str">
            <v xml:space="preserve"> </v>
          </cell>
          <cell r="AY220"/>
          <cell r="AZ220" t="str">
            <v xml:space="preserve"> </v>
          </cell>
          <cell r="BA220"/>
          <cell r="BB220"/>
          <cell r="BC220" t="str">
            <v xml:space="preserve"> </v>
          </cell>
          <cell r="BD220"/>
          <cell r="BE220" t="str">
            <v xml:space="preserve"> </v>
          </cell>
          <cell r="BF220"/>
          <cell r="BG220"/>
          <cell r="BH220" t="str">
            <v xml:space="preserve"> </v>
          </cell>
          <cell r="BI220"/>
          <cell r="BJ220" t="str">
            <v xml:space="preserve"> </v>
          </cell>
          <cell r="BK220"/>
          <cell r="BL220" t="str">
            <v xml:space="preserve"> </v>
          </cell>
          <cell r="BM220" t="str">
            <v xml:space="preserve"> </v>
          </cell>
          <cell r="BN220"/>
          <cell r="BO220" t="str">
            <v xml:space="preserve"> </v>
          </cell>
        </row>
        <row r="221">
          <cell r="B221">
            <v>46239</v>
          </cell>
          <cell r="C221"/>
          <cell r="D221" t="str">
            <v xml:space="preserve"> </v>
          </cell>
          <cell r="E221" t="str">
            <v xml:space="preserve"> </v>
          </cell>
          <cell r="F221"/>
          <cell r="G221" t="str">
            <v xml:space="preserve"> </v>
          </cell>
          <cell r="H221"/>
          <cell r="I221" t="str">
            <v xml:space="preserve"> </v>
          </cell>
          <cell r="J221" t="str">
            <v xml:space="preserve"> </v>
          </cell>
          <cell r="K221"/>
          <cell r="L221" t="str">
            <v xml:space="preserve"> </v>
          </cell>
          <cell r="M221"/>
          <cell r="N221" t="str">
            <v xml:space="preserve"> </v>
          </cell>
          <cell r="O221" t="str">
            <v xml:space="preserve"> </v>
          </cell>
          <cell r="P221"/>
          <cell r="Q221" t="str">
            <v xml:space="preserve"> </v>
          </cell>
          <cell r="R221"/>
          <cell r="S221" t="str">
            <v xml:space="preserve"> </v>
          </cell>
          <cell r="T221" t="str">
            <v xml:space="preserve"> </v>
          </cell>
          <cell r="U221"/>
          <cell r="V221" t="str">
            <v xml:space="preserve"> </v>
          </cell>
          <cell r="W221" t="str">
            <v xml:space="preserve"> </v>
          </cell>
          <cell r="X221"/>
          <cell r="Y221" t="str">
            <v xml:space="preserve"> </v>
          </cell>
          <cell r="Z221"/>
          <cell r="AA221" t="str">
            <v xml:space="preserve"> </v>
          </cell>
          <cell r="AB221" t="str">
            <v xml:space="preserve"> </v>
          </cell>
          <cell r="AC221"/>
          <cell r="AD221" t="str">
            <v xml:space="preserve"> </v>
          </cell>
          <cell r="AE221"/>
          <cell r="AF221" t="str">
            <v xml:space="preserve"> </v>
          </cell>
          <cell r="AG221"/>
          <cell r="AH221"/>
          <cell r="AI221"/>
          <cell r="AJ221"/>
          <cell r="AK221" t="str">
            <v/>
          </cell>
          <cell r="AL221"/>
          <cell r="AM221" t="str">
            <v xml:space="preserve"> </v>
          </cell>
          <cell r="AN221" t="str">
            <v xml:space="preserve"> </v>
          </cell>
          <cell r="AO221"/>
          <cell r="AP221" t="str">
            <v xml:space="preserve"> </v>
          </cell>
          <cell r="AQ221"/>
          <cell r="AR221" t="str">
            <v xml:space="preserve"> </v>
          </cell>
          <cell r="AS221" t="str">
            <v xml:space="preserve"> </v>
          </cell>
          <cell r="AT221"/>
          <cell r="AU221" t="str">
            <v xml:space="preserve"> </v>
          </cell>
          <cell r="AV221"/>
          <cell r="AW221"/>
          <cell r="AX221" t="str">
            <v xml:space="preserve"> </v>
          </cell>
          <cell r="AY221"/>
          <cell r="AZ221" t="str">
            <v xml:space="preserve"> </v>
          </cell>
          <cell r="BA221"/>
          <cell r="BB221"/>
          <cell r="BC221" t="str">
            <v xml:space="preserve"> </v>
          </cell>
          <cell r="BD221"/>
          <cell r="BE221" t="str">
            <v xml:space="preserve"> </v>
          </cell>
          <cell r="BF221"/>
          <cell r="BG221"/>
          <cell r="BH221" t="str">
            <v xml:space="preserve"> </v>
          </cell>
          <cell r="BI221"/>
          <cell r="BJ221" t="str">
            <v xml:space="preserve"> </v>
          </cell>
          <cell r="BK221"/>
          <cell r="BL221" t="str">
            <v xml:space="preserve"> </v>
          </cell>
          <cell r="BM221" t="str">
            <v xml:space="preserve"> </v>
          </cell>
          <cell r="BN221"/>
          <cell r="BO221" t="str">
            <v xml:space="preserve"> </v>
          </cell>
        </row>
        <row r="222">
          <cell r="B222">
            <v>46240</v>
          </cell>
          <cell r="C222"/>
          <cell r="D222" t="str">
            <v xml:space="preserve"> </v>
          </cell>
          <cell r="E222" t="str">
            <v xml:space="preserve"> </v>
          </cell>
          <cell r="F222"/>
          <cell r="G222" t="str">
            <v xml:space="preserve"> </v>
          </cell>
          <cell r="H222"/>
          <cell r="I222" t="str">
            <v xml:space="preserve"> </v>
          </cell>
          <cell r="J222" t="str">
            <v xml:space="preserve"> </v>
          </cell>
          <cell r="K222"/>
          <cell r="L222" t="str">
            <v xml:space="preserve"> </v>
          </cell>
          <cell r="M222"/>
          <cell r="N222" t="str">
            <v xml:space="preserve"> </v>
          </cell>
          <cell r="O222" t="str">
            <v xml:space="preserve"> </v>
          </cell>
          <cell r="P222"/>
          <cell r="Q222" t="str">
            <v xml:space="preserve"> </v>
          </cell>
          <cell r="R222"/>
          <cell r="S222" t="str">
            <v xml:space="preserve"> </v>
          </cell>
          <cell r="T222" t="str">
            <v xml:space="preserve"> </v>
          </cell>
          <cell r="U222"/>
          <cell r="V222" t="str">
            <v xml:space="preserve"> </v>
          </cell>
          <cell r="W222" t="str">
            <v xml:space="preserve"> </v>
          </cell>
          <cell r="X222"/>
          <cell r="Y222" t="str">
            <v xml:space="preserve"> </v>
          </cell>
          <cell r="Z222"/>
          <cell r="AA222" t="str">
            <v xml:space="preserve"> </v>
          </cell>
          <cell r="AB222" t="str">
            <v xml:space="preserve"> </v>
          </cell>
          <cell r="AC222"/>
          <cell r="AD222" t="str">
            <v xml:space="preserve"> </v>
          </cell>
          <cell r="AE222"/>
          <cell r="AF222" t="str">
            <v xml:space="preserve"> </v>
          </cell>
          <cell r="AG222"/>
          <cell r="AH222"/>
          <cell r="AI222"/>
          <cell r="AJ222"/>
          <cell r="AK222" t="str">
            <v/>
          </cell>
          <cell r="AL222"/>
          <cell r="AM222" t="str">
            <v xml:space="preserve"> </v>
          </cell>
          <cell r="AN222" t="str">
            <v xml:space="preserve"> </v>
          </cell>
          <cell r="AO222"/>
          <cell r="AP222" t="str">
            <v xml:space="preserve"> </v>
          </cell>
          <cell r="AQ222"/>
          <cell r="AR222" t="str">
            <v xml:space="preserve"> </v>
          </cell>
          <cell r="AS222" t="str">
            <v xml:space="preserve"> </v>
          </cell>
          <cell r="AT222"/>
          <cell r="AU222" t="str">
            <v xml:space="preserve"> </v>
          </cell>
          <cell r="AV222"/>
          <cell r="AW222"/>
          <cell r="AX222" t="str">
            <v xml:space="preserve"> </v>
          </cell>
          <cell r="AY222"/>
          <cell r="AZ222" t="str">
            <v xml:space="preserve"> </v>
          </cell>
          <cell r="BA222"/>
          <cell r="BB222"/>
          <cell r="BC222" t="str">
            <v xml:space="preserve"> </v>
          </cell>
          <cell r="BD222"/>
          <cell r="BE222" t="str">
            <v xml:space="preserve"> </v>
          </cell>
          <cell r="BF222"/>
          <cell r="BG222"/>
          <cell r="BH222" t="str">
            <v xml:space="preserve"> </v>
          </cell>
          <cell r="BI222"/>
          <cell r="BJ222" t="str">
            <v xml:space="preserve"> </v>
          </cell>
          <cell r="BK222"/>
          <cell r="BL222" t="str">
            <v xml:space="preserve"> </v>
          </cell>
          <cell r="BM222" t="str">
            <v xml:space="preserve"> </v>
          </cell>
          <cell r="BN222"/>
          <cell r="BO222" t="str">
            <v xml:space="preserve"> </v>
          </cell>
        </row>
        <row r="223">
          <cell r="B223">
            <v>46241</v>
          </cell>
          <cell r="C223"/>
          <cell r="D223" t="str">
            <v xml:space="preserve"> </v>
          </cell>
          <cell r="E223" t="str">
            <v xml:space="preserve"> </v>
          </cell>
          <cell r="F223"/>
          <cell r="G223" t="str">
            <v xml:space="preserve"> </v>
          </cell>
          <cell r="H223"/>
          <cell r="I223" t="str">
            <v xml:space="preserve"> </v>
          </cell>
          <cell r="J223" t="str">
            <v xml:space="preserve"> </v>
          </cell>
          <cell r="K223"/>
          <cell r="L223" t="str">
            <v xml:space="preserve"> </v>
          </cell>
          <cell r="M223"/>
          <cell r="N223" t="str">
            <v xml:space="preserve"> </v>
          </cell>
          <cell r="O223" t="str">
            <v xml:space="preserve"> </v>
          </cell>
          <cell r="P223"/>
          <cell r="Q223" t="str">
            <v xml:space="preserve"> </v>
          </cell>
          <cell r="R223"/>
          <cell r="S223" t="str">
            <v xml:space="preserve"> </v>
          </cell>
          <cell r="T223" t="str">
            <v xml:space="preserve"> </v>
          </cell>
          <cell r="U223"/>
          <cell r="V223" t="str">
            <v xml:space="preserve"> </v>
          </cell>
          <cell r="W223" t="str">
            <v xml:space="preserve"> </v>
          </cell>
          <cell r="X223"/>
          <cell r="Y223" t="str">
            <v xml:space="preserve"> </v>
          </cell>
          <cell r="Z223"/>
          <cell r="AA223" t="str">
            <v xml:space="preserve"> </v>
          </cell>
          <cell r="AB223" t="str">
            <v xml:space="preserve"> </v>
          </cell>
          <cell r="AC223"/>
          <cell r="AD223" t="str">
            <v xml:space="preserve"> </v>
          </cell>
          <cell r="AE223"/>
          <cell r="AF223" t="str">
            <v xml:space="preserve"> </v>
          </cell>
          <cell r="AG223"/>
          <cell r="AH223"/>
          <cell r="AI223"/>
          <cell r="AJ223"/>
          <cell r="AK223" t="str">
            <v/>
          </cell>
          <cell r="AL223"/>
          <cell r="AM223" t="str">
            <v xml:space="preserve"> </v>
          </cell>
          <cell r="AN223" t="str">
            <v xml:space="preserve"> </v>
          </cell>
          <cell r="AO223"/>
          <cell r="AP223" t="str">
            <v xml:space="preserve"> </v>
          </cell>
          <cell r="AQ223"/>
          <cell r="AR223" t="str">
            <v xml:space="preserve"> </v>
          </cell>
          <cell r="AS223" t="str">
            <v xml:space="preserve"> </v>
          </cell>
          <cell r="AT223"/>
          <cell r="AU223" t="str">
            <v xml:space="preserve"> </v>
          </cell>
          <cell r="AV223"/>
          <cell r="AW223"/>
          <cell r="AX223" t="str">
            <v xml:space="preserve"> </v>
          </cell>
          <cell r="AY223"/>
          <cell r="AZ223" t="str">
            <v xml:space="preserve"> </v>
          </cell>
          <cell r="BA223"/>
          <cell r="BB223"/>
          <cell r="BC223" t="str">
            <v xml:space="preserve"> </v>
          </cell>
          <cell r="BD223"/>
          <cell r="BE223" t="str">
            <v xml:space="preserve"> </v>
          </cell>
          <cell r="BF223"/>
          <cell r="BG223"/>
          <cell r="BH223" t="str">
            <v xml:space="preserve"> </v>
          </cell>
          <cell r="BI223"/>
          <cell r="BJ223" t="str">
            <v xml:space="preserve"> </v>
          </cell>
          <cell r="BK223"/>
          <cell r="BL223" t="str">
            <v xml:space="preserve"> </v>
          </cell>
          <cell r="BM223" t="str">
            <v xml:space="preserve"> </v>
          </cell>
          <cell r="BN223"/>
          <cell r="BO223" t="str">
            <v xml:space="preserve"> </v>
          </cell>
        </row>
        <row r="224">
          <cell r="B224">
            <v>46242</v>
          </cell>
          <cell r="C224"/>
          <cell r="D224" t="str">
            <v xml:space="preserve"> </v>
          </cell>
          <cell r="E224" t="str">
            <v xml:space="preserve"> </v>
          </cell>
          <cell r="F224"/>
          <cell r="G224" t="str">
            <v xml:space="preserve"> </v>
          </cell>
          <cell r="H224"/>
          <cell r="I224" t="str">
            <v xml:space="preserve"> </v>
          </cell>
          <cell r="J224" t="str">
            <v xml:space="preserve"> </v>
          </cell>
          <cell r="K224"/>
          <cell r="L224" t="str">
            <v xml:space="preserve"> </v>
          </cell>
          <cell r="M224"/>
          <cell r="N224" t="str">
            <v xml:space="preserve"> </v>
          </cell>
          <cell r="O224" t="str">
            <v xml:space="preserve"> </v>
          </cell>
          <cell r="P224"/>
          <cell r="Q224" t="str">
            <v xml:space="preserve"> </v>
          </cell>
          <cell r="R224"/>
          <cell r="S224" t="str">
            <v xml:space="preserve"> </v>
          </cell>
          <cell r="T224" t="str">
            <v xml:space="preserve"> </v>
          </cell>
          <cell r="U224"/>
          <cell r="V224" t="str">
            <v xml:space="preserve"> </v>
          </cell>
          <cell r="W224" t="str">
            <v xml:space="preserve"> </v>
          </cell>
          <cell r="X224"/>
          <cell r="Y224" t="str">
            <v xml:space="preserve"> </v>
          </cell>
          <cell r="Z224"/>
          <cell r="AA224" t="str">
            <v xml:space="preserve"> </v>
          </cell>
          <cell r="AB224" t="str">
            <v xml:space="preserve"> </v>
          </cell>
          <cell r="AC224"/>
          <cell r="AD224" t="str">
            <v xml:space="preserve"> </v>
          </cell>
          <cell r="AE224"/>
          <cell r="AF224" t="str">
            <v xml:space="preserve"> </v>
          </cell>
          <cell r="AG224"/>
          <cell r="AH224"/>
          <cell r="AI224"/>
          <cell r="AJ224"/>
          <cell r="AK224" t="str">
            <v/>
          </cell>
          <cell r="AL224"/>
          <cell r="AM224" t="str">
            <v xml:space="preserve"> </v>
          </cell>
          <cell r="AN224" t="str">
            <v xml:space="preserve"> </v>
          </cell>
          <cell r="AO224"/>
          <cell r="AP224" t="str">
            <v xml:space="preserve"> </v>
          </cell>
          <cell r="AQ224"/>
          <cell r="AR224" t="str">
            <v xml:space="preserve"> </v>
          </cell>
          <cell r="AS224" t="str">
            <v xml:space="preserve"> </v>
          </cell>
          <cell r="AT224"/>
          <cell r="AU224" t="str">
            <v xml:space="preserve"> </v>
          </cell>
          <cell r="AV224"/>
          <cell r="AW224"/>
          <cell r="AX224" t="str">
            <v xml:space="preserve"> </v>
          </cell>
          <cell r="AY224"/>
          <cell r="AZ224" t="str">
            <v xml:space="preserve"> </v>
          </cell>
          <cell r="BA224"/>
          <cell r="BB224"/>
          <cell r="BC224" t="str">
            <v xml:space="preserve"> </v>
          </cell>
          <cell r="BD224"/>
          <cell r="BE224" t="str">
            <v xml:space="preserve"> </v>
          </cell>
          <cell r="BF224"/>
          <cell r="BG224"/>
          <cell r="BH224" t="str">
            <v xml:space="preserve"> </v>
          </cell>
          <cell r="BI224"/>
          <cell r="BJ224" t="str">
            <v xml:space="preserve"> </v>
          </cell>
          <cell r="BK224"/>
          <cell r="BL224" t="str">
            <v xml:space="preserve"> </v>
          </cell>
          <cell r="BM224" t="str">
            <v xml:space="preserve"> </v>
          </cell>
          <cell r="BN224"/>
          <cell r="BO224" t="str">
            <v xml:space="preserve"> </v>
          </cell>
        </row>
        <row r="225">
          <cell r="B225">
            <v>46243</v>
          </cell>
          <cell r="C225"/>
          <cell r="D225" t="str">
            <v xml:space="preserve"> </v>
          </cell>
          <cell r="E225" t="str">
            <v xml:space="preserve"> </v>
          </cell>
          <cell r="F225"/>
          <cell r="G225" t="str">
            <v xml:space="preserve"> </v>
          </cell>
          <cell r="H225"/>
          <cell r="I225" t="str">
            <v xml:space="preserve"> </v>
          </cell>
          <cell r="J225" t="str">
            <v xml:space="preserve"> </v>
          </cell>
          <cell r="K225"/>
          <cell r="L225" t="str">
            <v xml:space="preserve"> </v>
          </cell>
          <cell r="M225"/>
          <cell r="N225" t="str">
            <v xml:space="preserve"> </v>
          </cell>
          <cell r="O225" t="str">
            <v xml:space="preserve"> </v>
          </cell>
          <cell r="P225"/>
          <cell r="Q225" t="str">
            <v xml:space="preserve"> </v>
          </cell>
          <cell r="R225"/>
          <cell r="S225" t="str">
            <v xml:space="preserve"> </v>
          </cell>
          <cell r="T225" t="str">
            <v xml:space="preserve"> </v>
          </cell>
          <cell r="U225"/>
          <cell r="V225" t="str">
            <v xml:space="preserve"> </v>
          </cell>
          <cell r="W225" t="str">
            <v xml:space="preserve"> </v>
          </cell>
          <cell r="X225"/>
          <cell r="Y225" t="str">
            <v xml:space="preserve"> </v>
          </cell>
          <cell r="Z225"/>
          <cell r="AA225" t="str">
            <v xml:space="preserve"> </v>
          </cell>
          <cell r="AB225" t="str">
            <v xml:space="preserve"> </v>
          </cell>
          <cell r="AC225"/>
          <cell r="AD225" t="str">
            <v xml:space="preserve"> </v>
          </cell>
          <cell r="AE225"/>
          <cell r="AF225" t="str">
            <v xml:space="preserve"> </v>
          </cell>
          <cell r="AG225"/>
          <cell r="AH225"/>
          <cell r="AI225"/>
          <cell r="AJ225"/>
          <cell r="AK225" t="str">
            <v/>
          </cell>
          <cell r="AL225"/>
          <cell r="AM225" t="str">
            <v xml:space="preserve"> </v>
          </cell>
          <cell r="AN225" t="str">
            <v xml:space="preserve"> </v>
          </cell>
          <cell r="AO225"/>
          <cell r="AP225" t="str">
            <v xml:space="preserve"> </v>
          </cell>
          <cell r="AQ225"/>
          <cell r="AR225" t="str">
            <v xml:space="preserve"> </v>
          </cell>
          <cell r="AS225" t="str">
            <v xml:space="preserve"> </v>
          </cell>
          <cell r="AT225"/>
          <cell r="AU225" t="str">
            <v xml:space="preserve"> </v>
          </cell>
          <cell r="AV225"/>
          <cell r="AW225"/>
          <cell r="AX225" t="str">
            <v xml:space="preserve"> </v>
          </cell>
          <cell r="AY225"/>
          <cell r="AZ225" t="str">
            <v xml:space="preserve"> </v>
          </cell>
          <cell r="BA225"/>
          <cell r="BB225"/>
          <cell r="BC225" t="str">
            <v xml:space="preserve"> </v>
          </cell>
          <cell r="BD225"/>
          <cell r="BE225" t="str">
            <v xml:space="preserve"> </v>
          </cell>
          <cell r="BF225"/>
          <cell r="BG225"/>
          <cell r="BH225" t="str">
            <v xml:space="preserve"> </v>
          </cell>
          <cell r="BI225"/>
          <cell r="BJ225" t="str">
            <v xml:space="preserve"> </v>
          </cell>
          <cell r="BK225"/>
          <cell r="BL225" t="str">
            <v xml:space="preserve"> </v>
          </cell>
          <cell r="BM225" t="str">
            <v xml:space="preserve"> </v>
          </cell>
          <cell r="BN225"/>
          <cell r="BO225" t="str">
            <v xml:space="preserve"> </v>
          </cell>
        </row>
        <row r="226">
          <cell r="B226">
            <v>46244</v>
          </cell>
          <cell r="C226"/>
          <cell r="D226" t="str">
            <v xml:space="preserve"> </v>
          </cell>
          <cell r="E226" t="str">
            <v xml:space="preserve"> </v>
          </cell>
          <cell r="F226"/>
          <cell r="G226" t="str">
            <v xml:space="preserve"> </v>
          </cell>
          <cell r="H226"/>
          <cell r="I226" t="str">
            <v xml:space="preserve"> </v>
          </cell>
          <cell r="J226" t="str">
            <v xml:space="preserve"> </v>
          </cell>
          <cell r="K226"/>
          <cell r="L226" t="str">
            <v xml:space="preserve"> </v>
          </cell>
          <cell r="M226"/>
          <cell r="N226" t="str">
            <v xml:space="preserve"> </v>
          </cell>
          <cell r="O226" t="str">
            <v xml:space="preserve"> </v>
          </cell>
          <cell r="P226"/>
          <cell r="Q226" t="str">
            <v xml:space="preserve"> </v>
          </cell>
          <cell r="R226"/>
          <cell r="S226" t="str">
            <v xml:space="preserve"> </v>
          </cell>
          <cell r="T226" t="str">
            <v xml:space="preserve"> </v>
          </cell>
          <cell r="U226"/>
          <cell r="V226" t="str">
            <v xml:space="preserve"> </v>
          </cell>
          <cell r="W226" t="str">
            <v xml:space="preserve"> </v>
          </cell>
          <cell r="X226"/>
          <cell r="Y226" t="str">
            <v xml:space="preserve"> </v>
          </cell>
          <cell r="Z226"/>
          <cell r="AA226" t="str">
            <v xml:space="preserve"> </v>
          </cell>
          <cell r="AB226" t="str">
            <v xml:space="preserve"> </v>
          </cell>
          <cell r="AC226"/>
          <cell r="AD226" t="str">
            <v xml:space="preserve"> </v>
          </cell>
          <cell r="AE226"/>
          <cell r="AF226" t="str">
            <v xml:space="preserve"> </v>
          </cell>
          <cell r="AG226"/>
          <cell r="AH226"/>
          <cell r="AI226"/>
          <cell r="AJ226"/>
          <cell r="AK226" t="str">
            <v/>
          </cell>
          <cell r="AL226"/>
          <cell r="AM226" t="str">
            <v xml:space="preserve"> </v>
          </cell>
          <cell r="AN226" t="str">
            <v xml:space="preserve"> </v>
          </cell>
          <cell r="AO226"/>
          <cell r="AP226" t="str">
            <v xml:space="preserve"> </v>
          </cell>
          <cell r="AQ226"/>
          <cell r="AR226" t="str">
            <v xml:space="preserve"> </v>
          </cell>
          <cell r="AS226" t="str">
            <v xml:space="preserve"> </v>
          </cell>
          <cell r="AT226"/>
          <cell r="AU226" t="str">
            <v xml:space="preserve"> </v>
          </cell>
          <cell r="AV226"/>
          <cell r="AW226"/>
          <cell r="AX226" t="str">
            <v xml:space="preserve"> </v>
          </cell>
          <cell r="AY226"/>
          <cell r="AZ226" t="str">
            <v xml:space="preserve"> </v>
          </cell>
          <cell r="BA226"/>
          <cell r="BB226"/>
          <cell r="BC226" t="str">
            <v xml:space="preserve"> </v>
          </cell>
          <cell r="BD226"/>
          <cell r="BE226" t="str">
            <v xml:space="preserve"> </v>
          </cell>
          <cell r="BF226"/>
          <cell r="BG226"/>
          <cell r="BH226" t="str">
            <v xml:space="preserve"> </v>
          </cell>
          <cell r="BI226"/>
          <cell r="BJ226" t="str">
            <v xml:space="preserve"> </v>
          </cell>
          <cell r="BK226"/>
          <cell r="BL226" t="str">
            <v xml:space="preserve"> </v>
          </cell>
          <cell r="BM226" t="str">
            <v xml:space="preserve"> </v>
          </cell>
          <cell r="BN226"/>
          <cell r="BO226" t="str">
            <v xml:space="preserve"> </v>
          </cell>
        </row>
        <row r="227">
          <cell r="B227">
            <v>46245</v>
          </cell>
          <cell r="C227"/>
          <cell r="D227" t="str">
            <v xml:space="preserve"> </v>
          </cell>
          <cell r="E227" t="str">
            <v xml:space="preserve"> </v>
          </cell>
          <cell r="F227"/>
          <cell r="G227" t="str">
            <v xml:space="preserve"> </v>
          </cell>
          <cell r="H227"/>
          <cell r="I227" t="str">
            <v xml:space="preserve"> </v>
          </cell>
          <cell r="J227" t="str">
            <v xml:space="preserve"> </v>
          </cell>
          <cell r="K227"/>
          <cell r="L227" t="str">
            <v xml:space="preserve"> </v>
          </cell>
          <cell r="M227"/>
          <cell r="N227" t="str">
            <v xml:space="preserve"> </v>
          </cell>
          <cell r="O227" t="str">
            <v xml:space="preserve"> </v>
          </cell>
          <cell r="P227"/>
          <cell r="Q227" t="str">
            <v xml:space="preserve"> </v>
          </cell>
          <cell r="R227"/>
          <cell r="S227" t="str">
            <v xml:space="preserve"> </v>
          </cell>
          <cell r="T227" t="str">
            <v xml:space="preserve"> </v>
          </cell>
          <cell r="U227"/>
          <cell r="V227" t="str">
            <v xml:space="preserve"> </v>
          </cell>
          <cell r="W227" t="str">
            <v xml:space="preserve"> </v>
          </cell>
          <cell r="X227"/>
          <cell r="Y227" t="str">
            <v xml:space="preserve"> </v>
          </cell>
          <cell r="Z227"/>
          <cell r="AA227" t="str">
            <v xml:space="preserve"> </v>
          </cell>
          <cell r="AB227" t="str">
            <v xml:space="preserve"> </v>
          </cell>
          <cell r="AC227"/>
          <cell r="AD227" t="str">
            <v xml:space="preserve"> </v>
          </cell>
          <cell r="AE227"/>
          <cell r="AF227" t="str">
            <v xml:space="preserve"> </v>
          </cell>
          <cell r="AG227"/>
          <cell r="AH227"/>
          <cell r="AI227"/>
          <cell r="AJ227"/>
          <cell r="AK227" t="str">
            <v/>
          </cell>
          <cell r="AL227"/>
          <cell r="AM227" t="str">
            <v xml:space="preserve"> </v>
          </cell>
          <cell r="AN227" t="str">
            <v xml:space="preserve"> </v>
          </cell>
          <cell r="AO227"/>
          <cell r="AP227" t="str">
            <v xml:space="preserve"> </v>
          </cell>
          <cell r="AQ227"/>
          <cell r="AR227" t="str">
            <v xml:space="preserve"> </v>
          </cell>
          <cell r="AS227" t="str">
            <v xml:space="preserve"> </v>
          </cell>
          <cell r="AT227"/>
          <cell r="AU227" t="str">
            <v xml:space="preserve"> </v>
          </cell>
          <cell r="AV227"/>
          <cell r="AW227"/>
          <cell r="AX227" t="str">
            <v xml:space="preserve"> </v>
          </cell>
          <cell r="AY227"/>
          <cell r="AZ227" t="str">
            <v xml:space="preserve"> </v>
          </cell>
          <cell r="BA227"/>
          <cell r="BB227"/>
          <cell r="BC227" t="str">
            <v xml:space="preserve"> </v>
          </cell>
          <cell r="BD227"/>
          <cell r="BE227" t="str">
            <v xml:space="preserve"> </v>
          </cell>
          <cell r="BF227"/>
          <cell r="BG227"/>
          <cell r="BH227" t="str">
            <v xml:space="preserve"> </v>
          </cell>
          <cell r="BI227"/>
          <cell r="BJ227" t="str">
            <v xml:space="preserve"> </v>
          </cell>
          <cell r="BK227"/>
          <cell r="BL227" t="str">
            <v xml:space="preserve"> </v>
          </cell>
          <cell r="BM227" t="str">
            <v xml:space="preserve"> </v>
          </cell>
          <cell r="BN227"/>
          <cell r="BO227" t="str">
            <v xml:space="preserve"> </v>
          </cell>
        </row>
        <row r="228">
          <cell r="B228">
            <v>46246</v>
          </cell>
          <cell r="C228"/>
          <cell r="D228" t="str">
            <v xml:space="preserve"> </v>
          </cell>
          <cell r="E228" t="str">
            <v xml:space="preserve"> </v>
          </cell>
          <cell r="F228"/>
          <cell r="G228" t="str">
            <v xml:space="preserve"> </v>
          </cell>
          <cell r="H228"/>
          <cell r="I228" t="str">
            <v xml:space="preserve"> </v>
          </cell>
          <cell r="J228" t="str">
            <v xml:space="preserve"> </v>
          </cell>
          <cell r="K228"/>
          <cell r="L228" t="str">
            <v xml:space="preserve"> </v>
          </cell>
          <cell r="M228"/>
          <cell r="N228" t="str">
            <v xml:space="preserve"> </v>
          </cell>
          <cell r="O228" t="str">
            <v xml:space="preserve"> </v>
          </cell>
          <cell r="P228"/>
          <cell r="Q228" t="str">
            <v xml:space="preserve"> </v>
          </cell>
          <cell r="R228"/>
          <cell r="S228" t="str">
            <v xml:space="preserve"> </v>
          </cell>
          <cell r="T228" t="str">
            <v xml:space="preserve"> </v>
          </cell>
          <cell r="U228"/>
          <cell r="V228" t="str">
            <v xml:space="preserve"> </v>
          </cell>
          <cell r="W228" t="str">
            <v xml:space="preserve"> </v>
          </cell>
          <cell r="X228"/>
          <cell r="Y228" t="str">
            <v xml:space="preserve"> </v>
          </cell>
          <cell r="Z228"/>
          <cell r="AA228" t="str">
            <v xml:space="preserve"> </v>
          </cell>
          <cell r="AB228" t="str">
            <v xml:space="preserve"> </v>
          </cell>
          <cell r="AC228"/>
          <cell r="AD228" t="str">
            <v xml:space="preserve"> </v>
          </cell>
          <cell r="AE228"/>
          <cell r="AF228" t="str">
            <v xml:space="preserve"> </v>
          </cell>
          <cell r="AG228"/>
          <cell r="AH228"/>
          <cell r="AI228"/>
          <cell r="AJ228"/>
          <cell r="AK228" t="str">
            <v/>
          </cell>
          <cell r="AL228"/>
          <cell r="AM228" t="str">
            <v xml:space="preserve"> </v>
          </cell>
          <cell r="AN228" t="str">
            <v xml:space="preserve"> </v>
          </cell>
          <cell r="AO228"/>
          <cell r="AP228" t="str">
            <v xml:space="preserve"> </v>
          </cell>
          <cell r="AQ228"/>
          <cell r="AR228" t="str">
            <v xml:space="preserve"> </v>
          </cell>
          <cell r="AS228" t="str">
            <v xml:space="preserve"> </v>
          </cell>
          <cell r="AT228"/>
          <cell r="AU228" t="str">
            <v xml:space="preserve"> </v>
          </cell>
          <cell r="AV228"/>
          <cell r="AW228"/>
          <cell r="AX228" t="str">
            <v xml:space="preserve"> </v>
          </cell>
          <cell r="AY228"/>
          <cell r="AZ228" t="str">
            <v xml:space="preserve"> </v>
          </cell>
          <cell r="BA228"/>
          <cell r="BB228"/>
          <cell r="BC228" t="str">
            <v xml:space="preserve"> </v>
          </cell>
          <cell r="BD228"/>
          <cell r="BE228" t="str">
            <v xml:space="preserve"> </v>
          </cell>
          <cell r="BF228"/>
          <cell r="BG228"/>
          <cell r="BH228" t="str">
            <v xml:space="preserve"> </v>
          </cell>
          <cell r="BI228"/>
          <cell r="BJ228" t="str">
            <v xml:space="preserve"> </v>
          </cell>
          <cell r="BK228"/>
          <cell r="BL228" t="str">
            <v xml:space="preserve"> </v>
          </cell>
          <cell r="BM228" t="str">
            <v xml:space="preserve"> </v>
          </cell>
          <cell r="BN228"/>
          <cell r="BO228" t="str">
            <v xml:space="preserve"> </v>
          </cell>
        </row>
        <row r="229">
          <cell r="B229">
            <v>46247</v>
          </cell>
          <cell r="C229"/>
          <cell r="D229" t="str">
            <v xml:space="preserve"> </v>
          </cell>
          <cell r="E229" t="str">
            <v xml:space="preserve"> </v>
          </cell>
          <cell r="F229"/>
          <cell r="G229" t="str">
            <v xml:space="preserve"> </v>
          </cell>
          <cell r="H229"/>
          <cell r="I229" t="str">
            <v xml:space="preserve"> </v>
          </cell>
          <cell r="J229" t="str">
            <v xml:space="preserve"> </v>
          </cell>
          <cell r="K229"/>
          <cell r="L229" t="str">
            <v xml:space="preserve"> </v>
          </cell>
          <cell r="M229"/>
          <cell r="N229" t="str">
            <v xml:space="preserve"> </v>
          </cell>
          <cell r="O229" t="str">
            <v xml:space="preserve"> </v>
          </cell>
          <cell r="P229"/>
          <cell r="Q229" t="str">
            <v xml:space="preserve"> </v>
          </cell>
          <cell r="R229"/>
          <cell r="S229" t="str">
            <v xml:space="preserve"> </v>
          </cell>
          <cell r="T229" t="str">
            <v xml:space="preserve"> </v>
          </cell>
          <cell r="U229"/>
          <cell r="V229" t="str">
            <v xml:space="preserve"> </v>
          </cell>
          <cell r="W229" t="str">
            <v xml:space="preserve"> </v>
          </cell>
          <cell r="X229"/>
          <cell r="Y229" t="str">
            <v xml:space="preserve"> </v>
          </cell>
          <cell r="Z229"/>
          <cell r="AA229" t="str">
            <v xml:space="preserve"> </v>
          </cell>
          <cell r="AB229" t="str">
            <v xml:space="preserve"> </v>
          </cell>
          <cell r="AC229"/>
          <cell r="AD229" t="str">
            <v xml:space="preserve"> </v>
          </cell>
          <cell r="AE229"/>
          <cell r="AF229" t="str">
            <v xml:space="preserve"> </v>
          </cell>
          <cell r="AG229"/>
          <cell r="AH229"/>
          <cell r="AI229"/>
          <cell r="AJ229"/>
          <cell r="AK229" t="str">
            <v/>
          </cell>
          <cell r="AL229"/>
          <cell r="AM229" t="str">
            <v xml:space="preserve"> </v>
          </cell>
          <cell r="AN229" t="str">
            <v xml:space="preserve"> </v>
          </cell>
          <cell r="AO229"/>
          <cell r="AP229" t="str">
            <v xml:space="preserve"> </v>
          </cell>
          <cell r="AQ229"/>
          <cell r="AR229" t="str">
            <v xml:space="preserve"> </v>
          </cell>
          <cell r="AS229" t="str">
            <v xml:space="preserve"> </v>
          </cell>
          <cell r="AT229"/>
          <cell r="AU229" t="str">
            <v xml:space="preserve"> </v>
          </cell>
          <cell r="AV229"/>
          <cell r="AW229"/>
          <cell r="AX229" t="str">
            <v xml:space="preserve"> </v>
          </cell>
          <cell r="AY229"/>
          <cell r="AZ229" t="str">
            <v xml:space="preserve"> </v>
          </cell>
          <cell r="BA229"/>
          <cell r="BB229"/>
          <cell r="BC229" t="str">
            <v xml:space="preserve"> </v>
          </cell>
          <cell r="BD229"/>
          <cell r="BE229" t="str">
            <v xml:space="preserve"> </v>
          </cell>
          <cell r="BF229"/>
          <cell r="BG229"/>
          <cell r="BH229" t="str">
            <v xml:space="preserve"> </v>
          </cell>
          <cell r="BI229"/>
          <cell r="BJ229" t="str">
            <v xml:space="preserve"> </v>
          </cell>
          <cell r="BK229"/>
          <cell r="BL229" t="str">
            <v xml:space="preserve"> </v>
          </cell>
          <cell r="BM229" t="str">
            <v xml:space="preserve"> </v>
          </cell>
          <cell r="BN229"/>
          <cell r="BO229" t="str">
            <v xml:space="preserve"> </v>
          </cell>
        </row>
        <row r="230">
          <cell r="B230">
            <v>46248</v>
          </cell>
          <cell r="C230"/>
          <cell r="D230" t="str">
            <v xml:space="preserve"> </v>
          </cell>
          <cell r="E230" t="str">
            <v xml:space="preserve"> </v>
          </cell>
          <cell r="F230"/>
          <cell r="G230" t="str">
            <v xml:space="preserve"> </v>
          </cell>
          <cell r="H230"/>
          <cell r="I230" t="str">
            <v xml:space="preserve"> </v>
          </cell>
          <cell r="J230" t="str">
            <v xml:space="preserve"> </v>
          </cell>
          <cell r="K230"/>
          <cell r="L230" t="str">
            <v xml:space="preserve"> </v>
          </cell>
          <cell r="M230"/>
          <cell r="N230" t="str">
            <v xml:space="preserve"> </v>
          </cell>
          <cell r="O230" t="str">
            <v xml:space="preserve"> </v>
          </cell>
          <cell r="P230"/>
          <cell r="Q230" t="str">
            <v xml:space="preserve"> </v>
          </cell>
          <cell r="R230"/>
          <cell r="S230" t="str">
            <v xml:space="preserve"> </v>
          </cell>
          <cell r="T230" t="str">
            <v xml:space="preserve"> </v>
          </cell>
          <cell r="U230"/>
          <cell r="V230" t="str">
            <v xml:space="preserve"> </v>
          </cell>
          <cell r="W230" t="str">
            <v xml:space="preserve"> </v>
          </cell>
          <cell r="X230"/>
          <cell r="Y230" t="str">
            <v xml:space="preserve"> </v>
          </cell>
          <cell r="Z230"/>
          <cell r="AA230" t="str">
            <v xml:space="preserve"> </v>
          </cell>
          <cell r="AB230" t="str">
            <v xml:space="preserve"> </v>
          </cell>
          <cell r="AC230"/>
          <cell r="AD230" t="str">
            <v xml:space="preserve"> </v>
          </cell>
          <cell r="AE230"/>
          <cell r="AF230" t="str">
            <v xml:space="preserve"> </v>
          </cell>
          <cell r="AG230"/>
          <cell r="AH230"/>
          <cell r="AI230"/>
          <cell r="AJ230"/>
          <cell r="AK230" t="str">
            <v/>
          </cell>
          <cell r="AL230"/>
          <cell r="AM230" t="str">
            <v xml:space="preserve"> </v>
          </cell>
          <cell r="AN230" t="str">
            <v xml:space="preserve"> </v>
          </cell>
          <cell r="AO230"/>
          <cell r="AP230" t="str">
            <v xml:space="preserve"> </v>
          </cell>
          <cell r="AQ230"/>
          <cell r="AR230" t="str">
            <v xml:space="preserve"> </v>
          </cell>
          <cell r="AS230" t="str">
            <v xml:space="preserve"> </v>
          </cell>
          <cell r="AT230"/>
          <cell r="AU230" t="str">
            <v xml:space="preserve"> </v>
          </cell>
          <cell r="AV230"/>
          <cell r="AW230"/>
          <cell r="AX230" t="str">
            <v xml:space="preserve"> </v>
          </cell>
          <cell r="AY230"/>
          <cell r="AZ230" t="str">
            <v xml:space="preserve"> </v>
          </cell>
          <cell r="BA230"/>
          <cell r="BB230"/>
          <cell r="BC230" t="str">
            <v xml:space="preserve"> </v>
          </cell>
          <cell r="BD230"/>
          <cell r="BE230" t="str">
            <v xml:space="preserve"> </v>
          </cell>
          <cell r="BF230"/>
          <cell r="BG230"/>
          <cell r="BH230" t="str">
            <v xml:space="preserve"> </v>
          </cell>
          <cell r="BI230"/>
          <cell r="BJ230" t="str">
            <v xml:space="preserve"> </v>
          </cell>
          <cell r="BK230"/>
          <cell r="BL230" t="str">
            <v xml:space="preserve"> </v>
          </cell>
          <cell r="BM230" t="str">
            <v xml:space="preserve"> </v>
          </cell>
          <cell r="BN230"/>
          <cell r="BO230" t="str">
            <v xml:space="preserve"> </v>
          </cell>
        </row>
        <row r="231">
          <cell r="B231">
            <v>46249</v>
          </cell>
          <cell r="C231"/>
          <cell r="D231" t="str">
            <v xml:space="preserve"> </v>
          </cell>
          <cell r="E231" t="str">
            <v xml:space="preserve"> </v>
          </cell>
          <cell r="F231"/>
          <cell r="G231" t="str">
            <v xml:space="preserve"> </v>
          </cell>
          <cell r="H231"/>
          <cell r="I231" t="str">
            <v xml:space="preserve"> </v>
          </cell>
          <cell r="J231" t="str">
            <v xml:space="preserve"> </v>
          </cell>
          <cell r="K231"/>
          <cell r="L231" t="str">
            <v xml:space="preserve"> </v>
          </cell>
          <cell r="M231"/>
          <cell r="N231" t="str">
            <v xml:space="preserve"> </v>
          </cell>
          <cell r="O231" t="str">
            <v xml:space="preserve"> </v>
          </cell>
          <cell r="P231"/>
          <cell r="Q231" t="str">
            <v xml:space="preserve"> </v>
          </cell>
          <cell r="R231"/>
          <cell r="S231" t="str">
            <v xml:space="preserve"> </v>
          </cell>
          <cell r="T231" t="str">
            <v xml:space="preserve"> </v>
          </cell>
          <cell r="U231"/>
          <cell r="V231" t="str">
            <v xml:space="preserve"> </v>
          </cell>
          <cell r="W231" t="str">
            <v xml:space="preserve"> </v>
          </cell>
          <cell r="X231"/>
          <cell r="Y231" t="str">
            <v xml:space="preserve"> </v>
          </cell>
          <cell r="Z231"/>
          <cell r="AA231" t="str">
            <v xml:space="preserve"> </v>
          </cell>
          <cell r="AB231" t="str">
            <v xml:space="preserve"> </v>
          </cell>
          <cell r="AC231"/>
          <cell r="AD231" t="str">
            <v xml:space="preserve"> </v>
          </cell>
          <cell r="AE231"/>
          <cell r="AF231" t="str">
            <v xml:space="preserve"> </v>
          </cell>
          <cell r="AG231"/>
          <cell r="AH231"/>
          <cell r="AI231"/>
          <cell r="AJ231"/>
          <cell r="AK231" t="str">
            <v/>
          </cell>
          <cell r="AL231"/>
          <cell r="AM231" t="str">
            <v xml:space="preserve"> </v>
          </cell>
          <cell r="AN231" t="str">
            <v xml:space="preserve"> </v>
          </cell>
          <cell r="AO231"/>
          <cell r="AP231" t="str">
            <v xml:space="preserve"> </v>
          </cell>
          <cell r="AQ231"/>
          <cell r="AR231" t="str">
            <v xml:space="preserve"> </v>
          </cell>
          <cell r="AS231" t="str">
            <v xml:space="preserve"> </v>
          </cell>
          <cell r="AT231"/>
          <cell r="AU231" t="str">
            <v xml:space="preserve"> </v>
          </cell>
          <cell r="AV231"/>
          <cell r="AW231"/>
          <cell r="AX231" t="str">
            <v xml:space="preserve"> </v>
          </cell>
          <cell r="AY231"/>
          <cell r="AZ231" t="str">
            <v xml:space="preserve"> </v>
          </cell>
          <cell r="BA231"/>
          <cell r="BB231"/>
          <cell r="BC231" t="str">
            <v xml:space="preserve"> </v>
          </cell>
          <cell r="BD231"/>
          <cell r="BE231" t="str">
            <v xml:space="preserve"> </v>
          </cell>
          <cell r="BF231"/>
          <cell r="BG231"/>
          <cell r="BH231" t="str">
            <v xml:space="preserve"> </v>
          </cell>
          <cell r="BI231"/>
          <cell r="BJ231" t="str">
            <v xml:space="preserve"> </v>
          </cell>
          <cell r="BK231"/>
          <cell r="BL231" t="str">
            <v xml:space="preserve"> </v>
          </cell>
          <cell r="BM231" t="str">
            <v xml:space="preserve"> </v>
          </cell>
          <cell r="BN231"/>
          <cell r="BO231" t="str">
            <v xml:space="preserve"> </v>
          </cell>
        </row>
        <row r="232">
          <cell r="B232">
            <v>46250</v>
          </cell>
          <cell r="C232"/>
          <cell r="D232" t="str">
            <v xml:space="preserve"> </v>
          </cell>
          <cell r="E232" t="str">
            <v xml:space="preserve"> </v>
          </cell>
          <cell r="F232"/>
          <cell r="G232" t="str">
            <v xml:space="preserve"> </v>
          </cell>
          <cell r="H232"/>
          <cell r="I232" t="str">
            <v xml:space="preserve"> </v>
          </cell>
          <cell r="J232" t="str">
            <v xml:space="preserve"> </v>
          </cell>
          <cell r="K232"/>
          <cell r="L232" t="str">
            <v xml:space="preserve"> </v>
          </cell>
          <cell r="M232"/>
          <cell r="N232" t="str">
            <v xml:space="preserve"> </v>
          </cell>
          <cell r="O232" t="str">
            <v xml:space="preserve"> </v>
          </cell>
          <cell r="P232"/>
          <cell r="Q232" t="str">
            <v xml:space="preserve"> </v>
          </cell>
          <cell r="R232"/>
          <cell r="S232" t="str">
            <v xml:space="preserve"> </v>
          </cell>
          <cell r="T232" t="str">
            <v xml:space="preserve"> </v>
          </cell>
          <cell r="U232"/>
          <cell r="V232" t="str">
            <v xml:space="preserve"> </v>
          </cell>
          <cell r="W232" t="str">
            <v xml:space="preserve"> </v>
          </cell>
          <cell r="X232"/>
          <cell r="Y232" t="str">
            <v xml:space="preserve"> </v>
          </cell>
          <cell r="Z232"/>
          <cell r="AA232" t="str">
            <v xml:space="preserve"> </v>
          </cell>
          <cell r="AB232" t="str">
            <v xml:space="preserve"> </v>
          </cell>
          <cell r="AC232"/>
          <cell r="AD232" t="str">
            <v xml:space="preserve"> </v>
          </cell>
          <cell r="AE232"/>
          <cell r="AF232" t="str">
            <v xml:space="preserve"> </v>
          </cell>
          <cell r="AG232"/>
          <cell r="AH232"/>
          <cell r="AI232"/>
          <cell r="AJ232"/>
          <cell r="AK232" t="str">
            <v/>
          </cell>
          <cell r="AL232"/>
          <cell r="AM232" t="str">
            <v xml:space="preserve"> </v>
          </cell>
          <cell r="AN232" t="str">
            <v xml:space="preserve"> </v>
          </cell>
          <cell r="AO232"/>
          <cell r="AP232" t="str">
            <v xml:space="preserve"> </v>
          </cell>
          <cell r="AQ232"/>
          <cell r="AR232" t="str">
            <v xml:space="preserve"> </v>
          </cell>
          <cell r="AS232" t="str">
            <v xml:space="preserve"> </v>
          </cell>
          <cell r="AT232"/>
          <cell r="AU232" t="str">
            <v xml:space="preserve"> </v>
          </cell>
          <cell r="AV232"/>
          <cell r="AW232"/>
          <cell r="AX232" t="str">
            <v xml:space="preserve"> </v>
          </cell>
          <cell r="AY232"/>
          <cell r="AZ232" t="str">
            <v xml:space="preserve"> </v>
          </cell>
          <cell r="BA232"/>
          <cell r="BB232"/>
          <cell r="BC232" t="str">
            <v xml:space="preserve"> </v>
          </cell>
          <cell r="BD232"/>
          <cell r="BE232" t="str">
            <v xml:space="preserve"> </v>
          </cell>
          <cell r="BF232"/>
          <cell r="BG232"/>
          <cell r="BH232" t="str">
            <v xml:space="preserve"> </v>
          </cell>
          <cell r="BI232"/>
          <cell r="BJ232" t="str">
            <v xml:space="preserve"> </v>
          </cell>
          <cell r="BK232"/>
          <cell r="BL232" t="str">
            <v xml:space="preserve"> </v>
          </cell>
          <cell r="BM232" t="str">
            <v xml:space="preserve"> </v>
          </cell>
          <cell r="BN232"/>
          <cell r="BO232" t="str">
            <v xml:space="preserve"> </v>
          </cell>
        </row>
        <row r="233">
          <cell r="B233">
            <v>46251</v>
          </cell>
          <cell r="C233"/>
          <cell r="D233" t="str">
            <v xml:space="preserve"> </v>
          </cell>
          <cell r="E233" t="str">
            <v xml:space="preserve"> </v>
          </cell>
          <cell r="F233"/>
          <cell r="G233" t="str">
            <v xml:space="preserve"> </v>
          </cell>
          <cell r="H233"/>
          <cell r="I233" t="str">
            <v xml:space="preserve"> </v>
          </cell>
          <cell r="J233" t="str">
            <v xml:space="preserve"> </v>
          </cell>
          <cell r="K233"/>
          <cell r="L233" t="str">
            <v xml:space="preserve"> </v>
          </cell>
          <cell r="M233"/>
          <cell r="N233" t="str">
            <v xml:space="preserve"> </v>
          </cell>
          <cell r="O233" t="str">
            <v xml:space="preserve"> </v>
          </cell>
          <cell r="P233"/>
          <cell r="Q233" t="str">
            <v xml:space="preserve"> </v>
          </cell>
          <cell r="R233"/>
          <cell r="S233" t="str">
            <v xml:space="preserve"> </v>
          </cell>
          <cell r="T233" t="str">
            <v xml:space="preserve"> </v>
          </cell>
          <cell r="U233"/>
          <cell r="V233" t="str">
            <v xml:space="preserve"> </v>
          </cell>
          <cell r="W233" t="str">
            <v xml:space="preserve"> </v>
          </cell>
          <cell r="X233"/>
          <cell r="Y233" t="str">
            <v xml:space="preserve"> </v>
          </cell>
          <cell r="Z233"/>
          <cell r="AA233" t="str">
            <v xml:space="preserve"> </v>
          </cell>
          <cell r="AB233" t="str">
            <v xml:space="preserve"> </v>
          </cell>
          <cell r="AC233"/>
          <cell r="AD233" t="str">
            <v xml:space="preserve"> </v>
          </cell>
          <cell r="AE233"/>
          <cell r="AF233" t="str">
            <v xml:space="preserve"> </v>
          </cell>
          <cell r="AG233"/>
          <cell r="AH233"/>
          <cell r="AI233"/>
          <cell r="AJ233"/>
          <cell r="AK233" t="str">
            <v/>
          </cell>
          <cell r="AL233"/>
          <cell r="AM233" t="str">
            <v xml:space="preserve"> </v>
          </cell>
          <cell r="AN233" t="str">
            <v xml:space="preserve"> </v>
          </cell>
          <cell r="AO233"/>
          <cell r="AP233" t="str">
            <v xml:space="preserve"> </v>
          </cell>
          <cell r="AQ233"/>
          <cell r="AR233" t="str">
            <v xml:space="preserve"> </v>
          </cell>
          <cell r="AS233" t="str">
            <v xml:space="preserve"> </v>
          </cell>
          <cell r="AT233"/>
          <cell r="AU233" t="str">
            <v xml:space="preserve"> </v>
          </cell>
          <cell r="AV233"/>
          <cell r="AW233"/>
          <cell r="AX233" t="str">
            <v xml:space="preserve"> </v>
          </cell>
          <cell r="AY233"/>
          <cell r="AZ233" t="str">
            <v xml:space="preserve"> </v>
          </cell>
          <cell r="BA233"/>
          <cell r="BB233"/>
          <cell r="BC233" t="str">
            <v xml:space="preserve"> </v>
          </cell>
          <cell r="BD233"/>
          <cell r="BE233" t="str">
            <v xml:space="preserve"> </v>
          </cell>
          <cell r="BF233"/>
          <cell r="BG233"/>
          <cell r="BH233" t="str">
            <v xml:space="preserve"> </v>
          </cell>
          <cell r="BI233"/>
          <cell r="BJ233" t="str">
            <v xml:space="preserve"> </v>
          </cell>
          <cell r="BK233"/>
          <cell r="BL233" t="str">
            <v xml:space="preserve"> </v>
          </cell>
          <cell r="BM233" t="str">
            <v xml:space="preserve"> </v>
          </cell>
          <cell r="BN233"/>
          <cell r="BO233" t="str">
            <v xml:space="preserve"> </v>
          </cell>
        </row>
        <row r="234">
          <cell r="B234">
            <v>46252</v>
          </cell>
          <cell r="C234"/>
          <cell r="D234" t="str">
            <v xml:space="preserve"> </v>
          </cell>
          <cell r="E234" t="str">
            <v xml:space="preserve"> </v>
          </cell>
          <cell r="F234"/>
          <cell r="G234" t="str">
            <v xml:space="preserve"> </v>
          </cell>
          <cell r="H234"/>
          <cell r="I234" t="str">
            <v xml:space="preserve"> </v>
          </cell>
          <cell r="J234" t="str">
            <v xml:space="preserve"> </v>
          </cell>
          <cell r="K234"/>
          <cell r="L234" t="str">
            <v xml:space="preserve"> </v>
          </cell>
          <cell r="M234"/>
          <cell r="N234" t="str">
            <v xml:space="preserve"> </v>
          </cell>
          <cell r="O234" t="str">
            <v xml:space="preserve"> </v>
          </cell>
          <cell r="P234"/>
          <cell r="Q234" t="str">
            <v xml:space="preserve"> </v>
          </cell>
          <cell r="R234"/>
          <cell r="S234" t="str">
            <v xml:space="preserve"> </v>
          </cell>
          <cell r="T234" t="str">
            <v xml:space="preserve"> </v>
          </cell>
          <cell r="U234"/>
          <cell r="V234" t="str">
            <v xml:space="preserve"> </v>
          </cell>
          <cell r="W234" t="str">
            <v xml:space="preserve"> </v>
          </cell>
          <cell r="X234"/>
          <cell r="Y234" t="str">
            <v xml:space="preserve"> </v>
          </cell>
          <cell r="Z234"/>
          <cell r="AA234" t="str">
            <v xml:space="preserve"> </v>
          </cell>
          <cell r="AB234" t="str">
            <v xml:space="preserve"> </v>
          </cell>
          <cell r="AC234"/>
          <cell r="AD234" t="str">
            <v xml:space="preserve"> </v>
          </cell>
          <cell r="AE234"/>
          <cell r="AF234" t="str">
            <v xml:space="preserve"> </v>
          </cell>
          <cell r="AG234"/>
          <cell r="AH234"/>
          <cell r="AI234"/>
          <cell r="AJ234"/>
          <cell r="AK234" t="str">
            <v/>
          </cell>
          <cell r="AL234"/>
          <cell r="AM234" t="str">
            <v xml:space="preserve"> </v>
          </cell>
          <cell r="AN234" t="str">
            <v xml:space="preserve"> </v>
          </cell>
          <cell r="AO234"/>
          <cell r="AP234" t="str">
            <v xml:space="preserve"> </v>
          </cell>
          <cell r="AQ234"/>
          <cell r="AR234" t="str">
            <v xml:space="preserve"> </v>
          </cell>
          <cell r="AS234" t="str">
            <v xml:space="preserve"> </v>
          </cell>
          <cell r="AT234"/>
          <cell r="AU234" t="str">
            <v xml:space="preserve"> </v>
          </cell>
          <cell r="AV234"/>
          <cell r="AW234"/>
          <cell r="AX234" t="str">
            <v xml:space="preserve"> </v>
          </cell>
          <cell r="AY234"/>
          <cell r="AZ234" t="str">
            <v xml:space="preserve"> </v>
          </cell>
          <cell r="BA234"/>
          <cell r="BB234"/>
          <cell r="BC234" t="str">
            <v xml:space="preserve"> </v>
          </cell>
          <cell r="BD234"/>
          <cell r="BE234" t="str">
            <v xml:space="preserve"> </v>
          </cell>
          <cell r="BF234"/>
          <cell r="BG234"/>
          <cell r="BH234" t="str">
            <v xml:space="preserve"> </v>
          </cell>
          <cell r="BI234"/>
          <cell r="BJ234" t="str">
            <v xml:space="preserve"> </v>
          </cell>
          <cell r="BK234"/>
          <cell r="BL234" t="str">
            <v xml:space="preserve"> </v>
          </cell>
          <cell r="BM234" t="str">
            <v xml:space="preserve"> </v>
          </cell>
          <cell r="BN234"/>
          <cell r="BO234" t="str">
            <v xml:space="preserve"> </v>
          </cell>
        </row>
        <row r="235">
          <cell r="B235">
            <v>46253</v>
          </cell>
          <cell r="C235"/>
          <cell r="D235" t="str">
            <v xml:space="preserve"> </v>
          </cell>
          <cell r="E235" t="str">
            <v xml:space="preserve"> </v>
          </cell>
          <cell r="F235"/>
          <cell r="G235" t="str">
            <v xml:space="preserve"> </v>
          </cell>
          <cell r="H235"/>
          <cell r="I235" t="str">
            <v xml:space="preserve"> </v>
          </cell>
          <cell r="J235" t="str">
            <v xml:space="preserve"> </v>
          </cell>
          <cell r="K235"/>
          <cell r="L235" t="str">
            <v xml:space="preserve"> </v>
          </cell>
          <cell r="M235"/>
          <cell r="N235" t="str">
            <v xml:space="preserve"> </v>
          </cell>
          <cell r="O235" t="str">
            <v xml:space="preserve"> </v>
          </cell>
          <cell r="P235"/>
          <cell r="Q235" t="str">
            <v xml:space="preserve"> </v>
          </cell>
          <cell r="R235"/>
          <cell r="S235" t="str">
            <v xml:space="preserve"> </v>
          </cell>
          <cell r="T235" t="str">
            <v xml:space="preserve"> </v>
          </cell>
          <cell r="U235"/>
          <cell r="V235" t="str">
            <v xml:space="preserve"> </v>
          </cell>
          <cell r="W235" t="str">
            <v xml:space="preserve"> </v>
          </cell>
          <cell r="X235"/>
          <cell r="Y235" t="str">
            <v xml:space="preserve"> </v>
          </cell>
          <cell r="Z235"/>
          <cell r="AA235" t="str">
            <v xml:space="preserve"> </v>
          </cell>
          <cell r="AB235" t="str">
            <v xml:space="preserve"> </v>
          </cell>
          <cell r="AC235"/>
          <cell r="AD235" t="str">
            <v xml:space="preserve"> </v>
          </cell>
          <cell r="AE235"/>
          <cell r="AF235" t="str">
            <v xml:space="preserve"> </v>
          </cell>
          <cell r="AG235"/>
          <cell r="AH235"/>
          <cell r="AI235"/>
          <cell r="AJ235"/>
          <cell r="AK235" t="str">
            <v/>
          </cell>
          <cell r="AL235"/>
          <cell r="AM235" t="str">
            <v xml:space="preserve"> </v>
          </cell>
          <cell r="AN235" t="str">
            <v xml:space="preserve"> </v>
          </cell>
          <cell r="AO235"/>
          <cell r="AP235" t="str">
            <v xml:space="preserve"> </v>
          </cell>
          <cell r="AQ235"/>
          <cell r="AR235" t="str">
            <v xml:space="preserve"> </v>
          </cell>
          <cell r="AS235" t="str">
            <v xml:space="preserve"> </v>
          </cell>
          <cell r="AT235"/>
          <cell r="AU235" t="str">
            <v xml:space="preserve"> </v>
          </cell>
          <cell r="AV235"/>
          <cell r="AW235"/>
          <cell r="AX235" t="str">
            <v xml:space="preserve"> </v>
          </cell>
          <cell r="AY235"/>
          <cell r="AZ235" t="str">
            <v xml:space="preserve"> </v>
          </cell>
          <cell r="BA235"/>
          <cell r="BB235"/>
          <cell r="BC235" t="str">
            <v xml:space="preserve"> </v>
          </cell>
          <cell r="BD235"/>
          <cell r="BE235" t="str">
            <v xml:space="preserve"> </v>
          </cell>
          <cell r="BF235"/>
          <cell r="BG235"/>
          <cell r="BH235" t="str">
            <v xml:space="preserve"> </v>
          </cell>
          <cell r="BI235"/>
          <cell r="BJ235" t="str">
            <v xml:space="preserve"> </v>
          </cell>
          <cell r="BK235"/>
          <cell r="BL235" t="str">
            <v xml:space="preserve"> </v>
          </cell>
          <cell r="BM235" t="str">
            <v xml:space="preserve"> </v>
          </cell>
          <cell r="BN235"/>
          <cell r="BO235" t="str">
            <v xml:space="preserve"> </v>
          </cell>
        </row>
        <row r="236">
          <cell r="B236">
            <v>46254</v>
          </cell>
          <cell r="C236"/>
          <cell r="D236" t="str">
            <v xml:space="preserve"> </v>
          </cell>
          <cell r="E236" t="str">
            <v xml:space="preserve"> </v>
          </cell>
          <cell r="F236"/>
          <cell r="G236" t="str">
            <v xml:space="preserve"> </v>
          </cell>
          <cell r="H236"/>
          <cell r="I236" t="str">
            <v xml:space="preserve"> </v>
          </cell>
          <cell r="J236" t="str">
            <v xml:space="preserve"> </v>
          </cell>
          <cell r="K236"/>
          <cell r="L236" t="str">
            <v xml:space="preserve"> </v>
          </cell>
          <cell r="M236"/>
          <cell r="N236" t="str">
            <v xml:space="preserve"> </v>
          </cell>
          <cell r="O236" t="str">
            <v xml:space="preserve"> </v>
          </cell>
          <cell r="P236"/>
          <cell r="Q236" t="str">
            <v xml:space="preserve"> </v>
          </cell>
          <cell r="R236"/>
          <cell r="S236" t="str">
            <v xml:space="preserve"> </v>
          </cell>
          <cell r="T236" t="str">
            <v xml:space="preserve"> </v>
          </cell>
          <cell r="U236"/>
          <cell r="V236" t="str">
            <v xml:space="preserve"> </v>
          </cell>
          <cell r="W236" t="str">
            <v xml:space="preserve"> </v>
          </cell>
          <cell r="X236"/>
          <cell r="Y236" t="str">
            <v xml:space="preserve"> </v>
          </cell>
          <cell r="Z236"/>
          <cell r="AA236" t="str">
            <v xml:space="preserve"> </v>
          </cell>
          <cell r="AB236" t="str">
            <v xml:space="preserve"> </v>
          </cell>
          <cell r="AC236"/>
          <cell r="AD236" t="str">
            <v xml:space="preserve"> </v>
          </cell>
          <cell r="AE236"/>
          <cell r="AF236" t="str">
            <v xml:space="preserve"> </v>
          </cell>
          <cell r="AG236"/>
          <cell r="AH236"/>
          <cell r="AI236"/>
          <cell r="AJ236"/>
          <cell r="AK236" t="str">
            <v/>
          </cell>
          <cell r="AL236"/>
          <cell r="AM236" t="str">
            <v xml:space="preserve"> </v>
          </cell>
          <cell r="AN236" t="str">
            <v xml:space="preserve"> </v>
          </cell>
          <cell r="AO236"/>
          <cell r="AP236" t="str">
            <v xml:space="preserve"> </v>
          </cell>
          <cell r="AQ236"/>
          <cell r="AR236" t="str">
            <v xml:space="preserve"> </v>
          </cell>
          <cell r="AS236" t="str">
            <v xml:space="preserve"> </v>
          </cell>
          <cell r="AT236"/>
          <cell r="AU236" t="str">
            <v xml:space="preserve"> </v>
          </cell>
          <cell r="AV236"/>
          <cell r="AW236"/>
          <cell r="AX236" t="str">
            <v xml:space="preserve"> </v>
          </cell>
          <cell r="AY236"/>
          <cell r="AZ236" t="str">
            <v xml:space="preserve"> </v>
          </cell>
          <cell r="BA236"/>
          <cell r="BB236"/>
          <cell r="BC236" t="str">
            <v xml:space="preserve"> </v>
          </cell>
          <cell r="BD236"/>
          <cell r="BE236" t="str">
            <v xml:space="preserve"> </v>
          </cell>
          <cell r="BF236"/>
          <cell r="BG236"/>
          <cell r="BH236" t="str">
            <v xml:space="preserve"> </v>
          </cell>
          <cell r="BI236"/>
          <cell r="BJ236" t="str">
            <v xml:space="preserve"> </v>
          </cell>
          <cell r="BK236"/>
          <cell r="BL236" t="str">
            <v xml:space="preserve"> </v>
          </cell>
          <cell r="BM236" t="str">
            <v xml:space="preserve"> </v>
          </cell>
          <cell r="BN236"/>
          <cell r="BO236" t="str">
            <v xml:space="preserve"> </v>
          </cell>
        </row>
        <row r="237">
          <cell r="B237">
            <v>46255</v>
          </cell>
          <cell r="C237"/>
          <cell r="D237" t="str">
            <v xml:space="preserve"> </v>
          </cell>
          <cell r="E237" t="str">
            <v xml:space="preserve"> </v>
          </cell>
          <cell r="F237"/>
          <cell r="G237" t="str">
            <v xml:space="preserve"> </v>
          </cell>
          <cell r="H237"/>
          <cell r="I237" t="str">
            <v xml:space="preserve"> </v>
          </cell>
          <cell r="J237" t="str">
            <v xml:space="preserve"> </v>
          </cell>
          <cell r="K237"/>
          <cell r="L237" t="str">
            <v xml:space="preserve"> </v>
          </cell>
          <cell r="M237"/>
          <cell r="N237" t="str">
            <v xml:space="preserve"> </v>
          </cell>
          <cell r="O237" t="str">
            <v xml:space="preserve"> </v>
          </cell>
          <cell r="P237"/>
          <cell r="Q237" t="str">
            <v xml:space="preserve"> </v>
          </cell>
          <cell r="R237"/>
          <cell r="S237" t="str">
            <v xml:space="preserve"> </v>
          </cell>
          <cell r="T237" t="str">
            <v xml:space="preserve"> </v>
          </cell>
          <cell r="U237"/>
          <cell r="V237" t="str">
            <v xml:space="preserve"> </v>
          </cell>
          <cell r="W237" t="str">
            <v xml:space="preserve"> </v>
          </cell>
          <cell r="X237"/>
          <cell r="Y237" t="str">
            <v xml:space="preserve"> </v>
          </cell>
          <cell r="Z237"/>
          <cell r="AA237" t="str">
            <v xml:space="preserve"> </v>
          </cell>
          <cell r="AB237" t="str">
            <v xml:space="preserve"> </v>
          </cell>
          <cell r="AC237"/>
          <cell r="AD237" t="str">
            <v xml:space="preserve"> </v>
          </cell>
          <cell r="AE237"/>
          <cell r="AF237" t="str">
            <v xml:space="preserve"> </v>
          </cell>
          <cell r="AG237"/>
          <cell r="AH237"/>
          <cell r="AI237"/>
          <cell r="AJ237"/>
          <cell r="AK237" t="str">
            <v/>
          </cell>
          <cell r="AL237"/>
          <cell r="AM237" t="str">
            <v xml:space="preserve"> </v>
          </cell>
          <cell r="AN237" t="str">
            <v xml:space="preserve"> </v>
          </cell>
          <cell r="AO237"/>
          <cell r="AP237" t="str">
            <v xml:space="preserve"> </v>
          </cell>
          <cell r="AQ237"/>
          <cell r="AR237" t="str">
            <v xml:space="preserve"> </v>
          </cell>
          <cell r="AS237" t="str">
            <v xml:space="preserve"> </v>
          </cell>
          <cell r="AT237"/>
          <cell r="AU237" t="str">
            <v xml:space="preserve"> </v>
          </cell>
          <cell r="AV237"/>
          <cell r="AW237"/>
          <cell r="AX237" t="str">
            <v xml:space="preserve"> </v>
          </cell>
          <cell r="AY237"/>
          <cell r="AZ237" t="str">
            <v xml:space="preserve"> </v>
          </cell>
          <cell r="BA237"/>
          <cell r="BB237"/>
          <cell r="BC237" t="str">
            <v xml:space="preserve"> </v>
          </cell>
          <cell r="BD237"/>
          <cell r="BE237" t="str">
            <v xml:space="preserve"> </v>
          </cell>
          <cell r="BF237"/>
          <cell r="BG237"/>
          <cell r="BH237" t="str">
            <v xml:space="preserve"> </v>
          </cell>
          <cell r="BI237"/>
          <cell r="BJ237" t="str">
            <v xml:space="preserve"> </v>
          </cell>
          <cell r="BK237"/>
          <cell r="BL237" t="str">
            <v xml:space="preserve"> </v>
          </cell>
          <cell r="BM237" t="str">
            <v xml:space="preserve"> </v>
          </cell>
          <cell r="BN237"/>
          <cell r="BO237" t="str">
            <v xml:space="preserve"> </v>
          </cell>
        </row>
        <row r="238">
          <cell r="B238">
            <v>46256</v>
          </cell>
          <cell r="C238"/>
          <cell r="D238" t="str">
            <v xml:space="preserve"> </v>
          </cell>
          <cell r="E238" t="str">
            <v xml:space="preserve"> </v>
          </cell>
          <cell r="F238"/>
          <cell r="G238" t="str">
            <v xml:space="preserve"> </v>
          </cell>
          <cell r="H238"/>
          <cell r="I238" t="str">
            <v xml:space="preserve"> </v>
          </cell>
          <cell r="J238" t="str">
            <v xml:space="preserve"> </v>
          </cell>
          <cell r="K238"/>
          <cell r="L238" t="str">
            <v xml:space="preserve"> </v>
          </cell>
          <cell r="M238"/>
          <cell r="N238" t="str">
            <v xml:space="preserve"> </v>
          </cell>
          <cell r="O238" t="str">
            <v xml:space="preserve"> </v>
          </cell>
          <cell r="P238"/>
          <cell r="Q238" t="str">
            <v xml:space="preserve"> </v>
          </cell>
          <cell r="R238"/>
          <cell r="S238" t="str">
            <v xml:space="preserve"> </v>
          </cell>
          <cell r="T238" t="str">
            <v xml:space="preserve"> </v>
          </cell>
          <cell r="U238"/>
          <cell r="V238" t="str">
            <v xml:space="preserve"> </v>
          </cell>
          <cell r="W238" t="str">
            <v xml:space="preserve"> </v>
          </cell>
          <cell r="X238"/>
          <cell r="Y238" t="str">
            <v xml:space="preserve"> </v>
          </cell>
          <cell r="Z238"/>
          <cell r="AA238" t="str">
            <v xml:space="preserve"> </v>
          </cell>
          <cell r="AB238" t="str">
            <v xml:space="preserve"> </v>
          </cell>
          <cell r="AC238"/>
          <cell r="AD238" t="str">
            <v xml:space="preserve"> </v>
          </cell>
          <cell r="AE238"/>
          <cell r="AF238" t="str">
            <v xml:space="preserve"> </v>
          </cell>
          <cell r="AG238"/>
          <cell r="AH238"/>
          <cell r="AI238"/>
          <cell r="AJ238"/>
          <cell r="AK238" t="str">
            <v/>
          </cell>
          <cell r="AL238"/>
          <cell r="AM238" t="str">
            <v xml:space="preserve"> </v>
          </cell>
          <cell r="AN238" t="str">
            <v xml:space="preserve"> </v>
          </cell>
          <cell r="AO238"/>
          <cell r="AP238" t="str">
            <v xml:space="preserve"> </v>
          </cell>
          <cell r="AQ238"/>
          <cell r="AR238" t="str">
            <v xml:space="preserve"> </v>
          </cell>
          <cell r="AS238" t="str">
            <v xml:space="preserve"> </v>
          </cell>
          <cell r="AT238"/>
          <cell r="AU238" t="str">
            <v xml:space="preserve"> </v>
          </cell>
          <cell r="AV238"/>
          <cell r="AW238"/>
          <cell r="AX238" t="str">
            <v xml:space="preserve"> </v>
          </cell>
          <cell r="AY238"/>
          <cell r="AZ238" t="str">
            <v xml:space="preserve"> </v>
          </cell>
          <cell r="BA238"/>
          <cell r="BB238"/>
          <cell r="BC238" t="str">
            <v xml:space="preserve"> </v>
          </cell>
          <cell r="BD238"/>
          <cell r="BE238" t="str">
            <v xml:space="preserve"> </v>
          </cell>
          <cell r="BF238"/>
          <cell r="BG238"/>
          <cell r="BH238" t="str">
            <v xml:space="preserve"> </v>
          </cell>
          <cell r="BI238"/>
          <cell r="BJ238" t="str">
            <v xml:space="preserve"> </v>
          </cell>
          <cell r="BK238"/>
          <cell r="BL238" t="str">
            <v xml:space="preserve"> </v>
          </cell>
          <cell r="BM238" t="str">
            <v xml:space="preserve"> </v>
          </cell>
          <cell r="BN238"/>
          <cell r="BO238" t="str">
            <v xml:space="preserve"> </v>
          </cell>
        </row>
        <row r="239">
          <cell r="B239">
            <v>46257</v>
          </cell>
          <cell r="C239"/>
          <cell r="D239" t="str">
            <v xml:space="preserve"> </v>
          </cell>
          <cell r="E239" t="str">
            <v xml:space="preserve"> </v>
          </cell>
          <cell r="F239"/>
          <cell r="G239" t="str">
            <v xml:space="preserve"> </v>
          </cell>
          <cell r="H239"/>
          <cell r="I239" t="str">
            <v xml:space="preserve"> </v>
          </cell>
          <cell r="J239" t="str">
            <v xml:space="preserve"> </v>
          </cell>
          <cell r="K239"/>
          <cell r="L239" t="str">
            <v xml:space="preserve"> </v>
          </cell>
          <cell r="M239"/>
          <cell r="N239" t="str">
            <v xml:space="preserve"> </v>
          </cell>
          <cell r="O239" t="str">
            <v xml:space="preserve"> </v>
          </cell>
          <cell r="P239"/>
          <cell r="Q239" t="str">
            <v xml:space="preserve"> </v>
          </cell>
          <cell r="R239"/>
          <cell r="S239" t="str">
            <v xml:space="preserve"> </v>
          </cell>
          <cell r="T239" t="str">
            <v xml:space="preserve"> </v>
          </cell>
          <cell r="U239"/>
          <cell r="V239" t="str">
            <v xml:space="preserve"> </v>
          </cell>
          <cell r="W239" t="str">
            <v xml:space="preserve"> </v>
          </cell>
          <cell r="X239"/>
          <cell r="Y239" t="str">
            <v xml:space="preserve"> </v>
          </cell>
          <cell r="Z239"/>
          <cell r="AA239" t="str">
            <v xml:space="preserve"> </v>
          </cell>
          <cell r="AB239" t="str">
            <v xml:space="preserve"> </v>
          </cell>
          <cell r="AC239"/>
          <cell r="AD239" t="str">
            <v xml:space="preserve"> </v>
          </cell>
          <cell r="AE239"/>
          <cell r="AF239" t="str">
            <v xml:space="preserve"> </v>
          </cell>
          <cell r="AG239"/>
          <cell r="AH239"/>
          <cell r="AI239"/>
          <cell r="AJ239"/>
          <cell r="AK239" t="str">
            <v/>
          </cell>
          <cell r="AL239"/>
          <cell r="AM239" t="str">
            <v xml:space="preserve"> </v>
          </cell>
          <cell r="AN239" t="str">
            <v xml:space="preserve"> </v>
          </cell>
          <cell r="AO239"/>
          <cell r="AP239" t="str">
            <v xml:space="preserve"> </v>
          </cell>
          <cell r="AQ239"/>
          <cell r="AR239" t="str">
            <v xml:space="preserve"> </v>
          </cell>
          <cell r="AS239" t="str">
            <v xml:space="preserve"> </v>
          </cell>
          <cell r="AT239"/>
          <cell r="AU239" t="str">
            <v xml:space="preserve"> </v>
          </cell>
          <cell r="AV239"/>
          <cell r="AW239"/>
          <cell r="AX239" t="str">
            <v xml:space="preserve"> </v>
          </cell>
          <cell r="AY239"/>
          <cell r="AZ239" t="str">
            <v xml:space="preserve"> </v>
          </cell>
          <cell r="BA239"/>
          <cell r="BB239"/>
          <cell r="BC239" t="str">
            <v xml:space="preserve"> </v>
          </cell>
          <cell r="BD239"/>
          <cell r="BE239" t="str">
            <v xml:space="preserve"> </v>
          </cell>
          <cell r="BF239"/>
          <cell r="BG239"/>
          <cell r="BH239" t="str">
            <v xml:space="preserve"> </v>
          </cell>
          <cell r="BI239"/>
          <cell r="BJ239" t="str">
            <v xml:space="preserve"> </v>
          </cell>
          <cell r="BK239"/>
          <cell r="BL239" t="str">
            <v xml:space="preserve"> </v>
          </cell>
          <cell r="BM239" t="str">
            <v xml:space="preserve"> </v>
          </cell>
          <cell r="BN239"/>
          <cell r="BO239" t="str">
            <v xml:space="preserve"> </v>
          </cell>
        </row>
        <row r="240">
          <cell r="B240">
            <v>46258</v>
          </cell>
          <cell r="C240"/>
          <cell r="D240" t="str">
            <v xml:space="preserve"> </v>
          </cell>
          <cell r="E240" t="str">
            <v xml:space="preserve"> </v>
          </cell>
          <cell r="F240"/>
          <cell r="G240" t="str">
            <v xml:space="preserve"> </v>
          </cell>
          <cell r="H240"/>
          <cell r="I240" t="str">
            <v xml:space="preserve"> </v>
          </cell>
          <cell r="J240" t="str">
            <v xml:space="preserve"> </v>
          </cell>
          <cell r="K240"/>
          <cell r="L240" t="str">
            <v xml:space="preserve"> </v>
          </cell>
          <cell r="M240"/>
          <cell r="N240" t="str">
            <v xml:space="preserve"> </v>
          </cell>
          <cell r="O240" t="str">
            <v xml:space="preserve"> </v>
          </cell>
          <cell r="P240"/>
          <cell r="Q240" t="str">
            <v xml:space="preserve"> </v>
          </cell>
          <cell r="R240"/>
          <cell r="S240" t="str">
            <v xml:space="preserve"> </v>
          </cell>
          <cell r="T240" t="str">
            <v xml:space="preserve"> </v>
          </cell>
          <cell r="U240"/>
          <cell r="V240" t="str">
            <v xml:space="preserve"> </v>
          </cell>
          <cell r="W240" t="str">
            <v xml:space="preserve"> </v>
          </cell>
          <cell r="X240"/>
          <cell r="Y240" t="str">
            <v xml:space="preserve"> </v>
          </cell>
          <cell r="Z240"/>
          <cell r="AA240" t="str">
            <v xml:space="preserve"> </v>
          </cell>
          <cell r="AB240" t="str">
            <v xml:space="preserve"> </v>
          </cell>
          <cell r="AC240"/>
          <cell r="AD240" t="str">
            <v xml:space="preserve"> </v>
          </cell>
          <cell r="AE240"/>
          <cell r="AF240" t="str">
            <v xml:space="preserve"> </v>
          </cell>
          <cell r="AG240"/>
          <cell r="AH240"/>
          <cell r="AI240"/>
          <cell r="AJ240"/>
          <cell r="AK240" t="str">
            <v/>
          </cell>
          <cell r="AL240"/>
          <cell r="AM240" t="str">
            <v xml:space="preserve"> </v>
          </cell>
          <cell r="AN240" t="str">
            <v xml:space="preserve"> </v>
          </cell>
          <cell r="AO240"/>
          <cell r="AP240" t="str">
            <v xml:space="preserve"> </v>
          </cell>
          <cell r="AQ240"/>
          <cell r="AR240" t="str">
            <v xml:space="preserve"> </v>
          </cell>
          <cell r="AS240" t="str">
            <v xml:space="preserve"> </v>
          </cell>
          <cell r="AT240"/>
          <cell r="AU240" t="str">
            <v xml:space="preserve"> </v>
          </cell>
          <cell r="AV240"/>
          <cell r="AW240"/>
          <cell r="AX240" t="str">
            <v xml:space="preserve"> </v>
          </cell>
          <cell r="AY240"/>
          <cell r="AZ240" t="str">
            <v xml:space="preserve"> </v>
          </cell>
          <cell r="BA240"/>
          <cell r="BB240"/>
          <cell r="BC240" t="str">
            <v xml:space="preserve"> </v>
          </cell>
          <cell r="BD240"/>
          <cell r="BE240" t="str">
            <v xml:space="preserve"> </v>
          </cell>
          <cell r="BF240"/>
          <cell r="BG240"/>
          <cell r="BH240" t="str">
            <v xml:space="preserve"> </v>
          </cell>
          <cell r="BI240"/>
          <cell r="BJ240" t="str">
            <v xml:space="preserve"> </v>
          </cell>
          <cell r="BK240"/>
          <cell r="BL240" t="str">
            <v xml:space="preserve"> </v>
          </cell>
          <cell r="BM240" t="str">
            <v xml:space="preserve"> </v>
          </cell>
          <cell r="BN240"/>
          <cell r="BO240" t="str">
            <v xml:space="preserve"> </v>
          </cell>
        </row>
        <row r="241">
          <cell r="B241">
            <v>46259</v>
          </cell>
          <cell r="C241"/>
          <cell r="D241" t="str">
            <v xml:space="preserve"> </v>
          </cell>
          <cell r="E241" t="str">
            <v xml:space="preserve"> </v>
          </cell>
          <cell r="F241"/>
          <cell r="G241" t="str">
            <v xml:space="preserve"> </v>
          </cell>
          <cell r="H241"/>
          <cell r="I241" t="str">
            <v xml:space="preserve"> </v>
          </cell>
          <cell r="J241" t="str">
            <v xml:space="preserve"> </v>
          </cell>
          <cell r="K241"/>
          <cell r="L241" t="str">
            <v xml:space="preserve"> </v>
          </cell>
          <cell r="M241"/>
          <cell r="N241" t="str">
            <v xml:space="preserve"> </v>
          </cell>
          <cell r="O241" t="str">
            <v xml:space="preserve"> </v>
          </cell>
          <cell r="P241"/>
          <cell r="Q241" t="str">
            <v xml:space="preserve"> </v>
          </cell>
          <cell r="R241"/>
          <cell r="S241" t="str">
            <v xml:space="preserve"> </v>
          </cell>
          <cell r="T241" t="str">
            <v xml:space="preserve"> </v>
          </cell>
          <cell r="U241"/>
          <cell r="V241" t="str">
            <v xml:space="preserve"> </v>
          </cell>
          <cell r="W241" t="str">
            <v xml:space="preserve"> </v>
          </cell>
          <cell r="X241"/>
          <cell r="Y241" t="str">
            <v xml:space="preserve"> </v>
          </cell>
          <cell r="Z241"/>
          <cell r="AA241" t="str">
            <v xml:space="preserve"> </v>
          </cell>
          <cell r="AB241" t="str">
            <v xml:space="preserve"> </v>
          </cell>
          <cell r="AC241"/>
          <cell r="AD241" t="str">
            <v xml:space="preserve"> </v>
          </cell>
          <cell r="AE241"/>
          <cell r="AF241" t="str">
            <v xml:space="preserve"> </v>
          </cell>
          <cell r="AG241"/>
          <cell r="AH241"/>
          <cell r="AI241"/>
          <cell r="AJ241"/>
          <cell r="AK241" t="str">
            <v/>
          </cell>
          <cell r="AL241"/>
          <cell r="AM241" t="str">
            <v xml:space="preserve"> </v>
          </cell>
          <cell r="AN241" t="str">
            <v xml:space="preserve"> </v>
          </cell>
          <cell r="AO241"/>
          <cell r="AP241" t="str">
            <v xml:space="preserve"> </v>
          </cell>
          <cell r="AQ241"/>
          <cell r="AR241" t="str">
            <v xml:space="preserve"> </v>
          </cell>
          <cell r="AS241" t="str">
            <v xml:space="preserve"> </v>
          </cell>
          <cell r="AT241"/>
          <cell r="AU241" t="str">
            <v xml:space="preserve"> </v>
          </cell>
          <cell r="AV241"/>
          <cell r="AW241"/>
          <cell r="AX241" t="str">
            <v xml:space="preserve"> </v>
          </cell>
          <cell r="AY241"/>
          <cell r="AZ241" t="str">
            <v xml:space="preserve"> </v>
          </cell>
          <cell r="BA241"/>
          <cell r="BB241"/>
          <cell r="BC241" t="str">
            <v xml:space="preserve"> </v>
          </cell>
          <cell r="BD241"/>
          <cell r="BE241" t="str">
            <v xml:space="preserve"> </v>
          </cell>
          <cell r="BF241"/>
          <cell r="BG241"/>
          <cell r="BH241" t="str">
            <v xml:space="preserve"> </v>
          </cell>
          <cell r="BI241"/>
          <cell r="BJ241" t="str">
            <v xml:space="preserve"> </v>
          </cell>
          <cell r="BK241"/>
          <cell r="BL241" t="str">
            <v xml:space="preserve"> </v>
          </cell>
          <cell r="BM241" t="str">
            <v xml:space="preserve"> </v>
          </cell>
          <cell r="BN241"/>
          <cell r="BO241" t="str">
            <v xml:space="preserve"> </v>
          </cell>
        </row>
        <row r="242">
          <cell r="B242">
            <v>46260</v>
          </cell>
          <cell r="C242"/>
          <cell r="D242" t="str">
            <v xml:space="preserve"> </v>
          </cell>
          <cell r="E242" t="str">
            <v xml:space="preserve"> </v>
          </cell>
          <cell r="F242"/>
          <cell r="G242" t="str">
            <v xml:space="preserve"> </v>
          </cell>
          <cell r="H242"/>
          <cell r="I242" t="str">
            <v xml:space="preserve"> </v>
          </cell>
          <cell r="J242" t="str">
            <v xml:space="preserve"> </v>
          </cell>
          <cell r="K242"/>
          <cell r="L242" t="str">
            <v xml:space="preserve"> </v>
          </cell>
          <cell r="M242"/>
          <cell r="N242" t="str">
            <v xml:space="preserve"> </v>
          </cell>
          <cell r="O242" t="str">
            <v xml:space="preserve"> </v>
          </cell>
          <cell r="P242"/>
          <cell r="Q242" t="str">
            <v xml:space="preserve"> </v>
          </cell>
          <cell r="R242"/>
          <cell r="S242" t="str">
            <v xml:space="preserve"> </v>
          </cell>
          <cell r="T242" t="str">
            <v xml:space="preserve"> </v>
          </cell>
          <cell r="U242"/>
          <cell r="V242" t="str">
            <v xml:space="preserve"> </v>
          </cell>
          <cell r="W242" t="str">
            <v xml:space="preserve"> </v>
          </cell>
          <cell r="X242"/>
          <cell r="Y242" t="str">
            <v xml:space="preserve"> </v>
          </cell>
          <cell r="Z242"/>
          <cell r="AA242" t="str">
            <v xml:space="preserve"> </v>
          </cell>
          <cell r="AB242" t="str">
            <v xml:space="preserve"> </v>
          </cell>
          <cell r="AC242"/>
          <cell r="AD242" t="str">
            <v xml:space="preserve"> </v>
          </cell>
          <cell r="AE242"/>
          <cell r="AF242" t="str">
            <v xml:space="preserve"> </v>
          </cell>
          <cell r="AG242"/>
          <cell r="AH242"/>
          <cell r="AI242"/>
          <cell r="AJ242"/>
          <cell r="AK242" t="str">
            <v/>
          </cell>
          <cell r="AL242"/>
          <cell r="AM242" t="str">
            <v xml:space="preserve"> </v>
          </cell>
          <cell r="AN242" t="str">
            <v xml:space="preserve"> </v>
          </cell>
          <cell r="AO242"/>
          <cell r="AP242" t="str">
            <v xml:space="preserve"> </v>
          </cell>
          <cell r="AQ242"/>
          <cell r="AR242" t="str">
            <v xml:space="preserve"> </v>
          </cell>
          <cell r="AS242" t="str">
            <v xml:space="preserve"> </v>
          </cell>
          <cell r="AT242"/>
          <cell r="AU242" t="str">
            <v xml:space="preserve"> </v>
          </cell>
          <cell r="AV242"/>
          <cell r="AW242"/>
          <cell r="AX242" t="str">
            <v xml:space="preserve"> </v>
          </cell>
          <cell r="AY242"/>
          <cell r="AZ242" t="str">
            <v xml:space="preserve"> </v>
          </cell>
          <cell r="BA242"/>
          <cell r="BB242"/>
          <cell r="BC242" t="str">
            <v xml:space="preserve"> </v>
          </cell>
          <cell r="BD242"/>
          <cell r="BE242" t="str">
            <v xml:space="preserve"> </v>
          </cell>
          <cell r="BF242"/>
          <cell r="BG242"/>
          <cell r="BH242" t="str">
            <v xml:space="preserve"> </v>
          </cell>
          <cell r="BI242"/>
          <cell r="BJ242" t="str">
            <v xml:space="preserve"> </v>
          </cell>
          <cell r="BK242"/>
          <cell r="BL242" t="str">
            <v xml:space="preserve"> </v>
          </cell>
          <cell r="BM242" t="str">
            <v xml:space="preserve"> </v>
          </cell>
          <cell r="BN242"/>
          <cell r="BO242" t="str">
            <v xml:space="preserve"> </v>
          </cell>
        </row>
        <row r="243">
          <cell r="B243">
            <v>46261</v>
          </cell>
          <cell r="C243"/>
          <cell r="D243" t="str">
            <v xml:space="preserve"> </v>
          </cell>
          <cell r="E243" t="str">
            <v xml:space="preserve"> </v>
          </cell>
          <cell r="F243"/>
          <cell r="G243" t="str">
            <v xml:space="preserve"> </v>
          </cell>
          <cell r="H243"/>
          <cell r="I243" t="str">
            <v xml:space="preserve"> </v>
          </cell>
          <cell r="J243" t="str">
            <v xml:space="preserve"> </v>
          </cell>
          <cell r="K243"/>
          <cell r="L243" t="str">
            <v xml:space="preserve"> </v>
          </cell>
          <cell r="M243"/>
          <cell r="N243" t="str">
            <v xml:space="preserve"> </v>
          </cell>
          <cell r="O243" t="str">
            <v xml:space="preserve"> </v>
          </cell>
          <cell r="P243"/>
          <cell r="Q243" t="str">
            <v xml:space="preserve"> </v>
          </cell>
          <cell r="R243"/>
          <cell r="S243" t="str">
            <v xml:space="preserve"> </v>
          </cell>
          <cell r="T243" t="str">
            <v xml:space="preserve"> </v>
          </cell>
          <cell r="U243"/>
          <cell r="V243" t="str">
            <v xml:space="preserve"> </v>
          </cell>
          <cell r="W243" t="str">
            <v xml:space="preserve"> </v>
          </cell>
          <cell r="X243"/>
          <cell r="Y243" t="str">
            <v xml:space="preserve"> </v>
          </cell>
          <cell r="Z243"/>
          <cell r="AA243" t="str">
            <v xml:space="preserve"> </v>
          </cell>
          <cell r="AB243" t="str">
            <v xml:space="preserve"> </v>
          </cell>
          <cell r="AC243"/>
          <cell r="AD243" t="str">
            <v xml:space="preserve"> </v>
          </cell>
          <cell r="AE243"/>
          <cell r="AF243" t="str">
            <v xml:space="preserve"> </v>
          </cell>
          <cell r="AG243"/>
          <cell r="AH243"/>
          <cell r="AI243"/>
          <cell r="AJ243"/>
          <cell r="AK243" t="str">
            <v/>
          </cell>
          <cell r="AL243"/>
          <cell r="AM243" t="str">
            <v xml:space="preserve"> </v>
          </cell>
          <cell r="AN243" t="str">
            <v xml:space="preserve"> </v>
          </cell>
          <cell r="AO243"/>
          <cell r="AP243" t="str">
            <v xml:space="preserve"> </v>
          </cell>
          <cell r="AQ243"/>
          <cell r="AR243" t="str">
            <v xml:space="preserve"> </v>
          </cell>
          <cell r="AS243" t="str">
            <v xml:space="preserve"> </v>
          </cell>
          <cell r="AT243"/>
          <cell r="AU243" t="str">
            <v xml:space="preserve"> </v>
          </cell>
          <cell r="AV243"/>
          <cell r="AW243"/>
          <cell r="AX243" t="str">
            <v xml:space="preserve"> </v>
          </cell>
          <cell r="AY243"/>
          <cell r="AZ243" t="str">
            <v xml:space="preserve"> </v>
          </cell>
          <cell r="BA243"/>
          <cell r="BB243"/>
          <cell r="BC243" t="str">
            <v xml:space="preserve"> </v>
          </cell>
          <cell r="BD243"/>
          <cell r="BE243" t="str">
            <v xml:space="preserve"> </v>
          </cell>
          <cell r="BF243"/>
          <cell r="BG243"/>
          <cell r="BH243" t="str">
            <v xml:space="preserve"> </v>
          </cell>
          <cell r="BI243"/>
          <cell r="BJ243" t="str">
            <v xml:space="preserve"> </v>
          </cell>
          <cell r="BK243"/>
          <cell r="BL243" t="str">
            <v xml:space="preserve"> </v>
          </cell>
          <cell r="BM243" t="str">
            <v xml:space="preserve"> </v>
          </cell>
          <cell r="BN243"/>
          <cell r="BO243" t="str">
            <v xml:space="preserve"> </v>
          </cell>
        </row>
        <row r="244">
          <cell r="B244">
            <v>46262</v>
          </cell>
          <cell r="C244"/>
          <cell r="D244" t="str">
            <v xml:space="preserve"> </v>
          </cell>
          <cell r="E244" t="str">
            <v xml:space="preserve"> </v>
          </cell>
          <cell r="F244"/>
          <cell r="G244" t="str">
            <v xml:space="preserve"> </v>
          </cell>
          <cell r="H244"/>
          <cell r="I244" t="str">
            <v xml:space="preserve"> </v>
          </cell>
          <cell r="J244" t="str">
            <v xml:space="preserve"> </v>
          </cell>
          <cell r="K244"/>
          <cell r="L244" t="str">
            <v xml:space="preserve"> </v>
          </cell>
          <cell r="M244"/>
          <cell r="N244" t="str">
            <v xml:space="preserve"> </v>
          </cell>
          <cell r="O244" t="str">
            <v xml:space="preserve"> </v>
          </cell>
          <cell r="P244"/>
          <cell r="Q244" t="str">
            <v xml:space="preserve"> </v>
          </cell>
          <cell r="R244"/>
          <cell r="S244" t="str">
            <v xml:space="preserve"> </v>
          </cell>
          <cell r="T244" t="str">
            <v xml:space="preserve"> </v>
          </cell>
          <cell r="U244"/>
          <cell r="V244" t="str">
            <v xml:space="preserve"> </v>
          </cell>
          <cell r="W244" t="str">
            <v xml:space="preserve"> </v>
          </cell>
          <cell r="X244"/>
          <cell r="Y244" t="str">
            <v xml:space="preserve"> </v>
          </cell>
          <cell r="Z244"/>
          <cell r="AA244" t="str">
            <v xml:space="preserve"> </v>
          </cell>
          <cell r="AB244" t="str">
            <v xml:space="preserve"> </v>
          </cell>
          <cell r="AC244"/>
          <cell r="AD244" t="str">
            <v xml:space="preserve"> </v>
          </cell>
          <cell r="AE244"/>
          <cell r="AF244" t="str">
            <v xml:space="preserve"> </v>
          </cell>
          <cell r="AG244"/>
          <cell r="AH244"/>
          <cell r="AI244"/>
          <cell r="AJ244"/>
          <cell r="AK244" t="str">
            <v/>
          </cell>
          <cell r="AL244"/>
          <cell r="AM244" t="str">
            <v xml:space="preserve"> </v>
          </cell>
          <cell r="AN244" t="str">
            <v xml:space="preserve"> </v>
          </cell>
          <cell r="AO244"/>
          <cell r="AP244" t="str">
            <v xml:space="preserve"> </v>
          </cell>
          <cell r="AQ244"/>
          <cell r="AR244" t="str">
            <v xml:space="preserve"> </v>
          </cell>
          <cell r="AS244" t="str">
            <v xml:space="preserve"> </v>
          </cell>
          <cell r="AT244"/>
          <cell r="AU244" t="str">
            <v xml:space="preserve"> </v>
          </cell>
          <cell r="AV244"/>
          <cell r="AW244"/>
          <cell r="AX244" t="str">
            <v xml:space="preserve"> </v>
          </cell>
          <cell r="AY244"/>
          <cell r="AZ244" t="str">
            <v xml:space="preserve"> </v>
          </cell>
          <cell r="BA244"/>
          <cell r="BB244"/>
          <cell r="BC244" t="str">
            <v xml:space="preserve"> </v>
          </cell>
          <cell r="BD244"/>
          <cell r="BE244" t="str">
            <v xml:space="preserve"> </v>
          </cell>
          <cell r="BF244"/>
          <cell r="BG244"/>
          <cell r="BH244" t="str">
            <v xml:space="preserve"> </v>
          </cell>
          <cell r="BI244"/>
          <cell r="BJ244" t="str">
            <v xml:space="preserve"> </v>
          </cell>
          <cell r="BK244"/>
          <cell r="BL244" t="str">
            <v xml:space="preserve"> </v>
          </cell>
          <cell r="BM244" t="str">
            <v xml:space="preserve"> </v>
          </cell>
          <cell r="BN244"/>
          <cell r="BO244" t="str">
            <v xml:space="preserve"> </v>
          </cell>
        </row>
        <row r="245">
          <cell r="B245">
            <v>46263</v>
          </cell>
          <cell r="C245"/>
          <cell r="D245" t="str">
            <v xml:space="preserve"> </v>
          </cell>
          <cell r="E245" t="str">
            <v xml:space="preserve"> </v>
          </cell>
          <cell r="F245"/>
          <cell r="G245" t="str">
            <v xml:space="preserve"> </v>
          </cell>
          <cell r="H245"/>
          <cell r="I245" t="str">
            <v xml:space="preserve"> </v>
          </cell>
          <cell r="J245" t="str">
            <v xml:space="preserve"> </v>
          </cell>
          <cell r="K245"/>
          <cell r="L245" t="str">
            <v xml:space="preserve"> </v>
          </cell>
          <cell r="M245"/>
          <cell r="N245" t="str">
            <v xml:space="preserve"> </v>
          </cell>
          <cell r="O245" t="str">
            <v xml:space="preserve"> </v>
          </cell>
          <cell r="P245"/>
          <cell r="Q245" t="str">
            <v xml:space="preserve"> </v>
          </cell>
          <cell r="R245"/>
          <cell r="S245" t="str">
            <v xml:space="preserve"> </v>
          </cell>
          <cell r="T245" t="str">
            <v xml:space="preserve"> </v>
          </cell>
          <cell r="U245"/>
          <cell r="V245" t="str">
            <v xml:space="preserve"> </v>
          </cell>
          <cell r="W245" t="str">
            <v xml:space="preserve"> </v>
          </cell>
          <cell r="X245"/>
          <cell r="Y245" t="str">
            <v xml:space="preserve"> </v>
          </cell>
          <cell r="Z245"/>
          <cell r="AA245" t="str">
            <v xml:space="preserve"> </v>
          </cell>
          <cell r="AB245" t="str">
            <v xml:space="preserve"> </v>
          </cell>
          <cell r="AC245"/>
          <cell r="AD245" t="str">
            <v xml:space="preserve"> </v>
          </cell>
          <cell r="AE245"/>
          <cell r="AF245" t="str">
            <v xml:space="preserve"> </v>
          </cell>
          <cell r="AG245"/>
          <cell r="AH245"/>
          <cell r="AI245"/>
          <cell r="AJ245"/>
          <cell r="AK245" t="str">
            <v/>
          </cell>
          <cell r="AL245"/>
          <cell r="AM245" t="str">
            <v xml:space="preserve"> </v>
          </cell>
          <cell r="AN245" t="str">
            <v xml:space="preserve"> </v>
          </cell>
          <cell r="AO245"/>
          <cell r="AP245" t="str">
            <v xml:space="preserve"> </v>
          </cell>
          <cell r="AQ245"/>
          <cell r="AR245" t="str">
            <v xml:space="preserve"> </v>
          </cell>
          <cell r="AS245" t="str">
            <v xml:space="preserve"> </v>
          </cell>
          <cell r="AT245"/>
          <cell r="AU245" t="str">
            <v xml:space="preserve"> </v>
          </cell>
          <cell r="AV245"/>
          <cell r="AW245"/>
          <cell r="AX245" t="str">
            <v xml:space="preserve"> </v>
          </cell>
          <cell r="AY245"/>
          <cell r="AZ245" t="str">
            <v xml:space="preserve"> </v>
          </cell>
          <cell r="BA245"/>
          <cell r="BB245"/>
          <cell r="BC245" t="str">
            <v xml:space="preserve"> </v>
          </cell>
          <cell r="BD245"/>
          <cell r="BE245" t="str">
            <v xml:space="preserve"> </v>
          </cell>
          <cell r="BF245"/>
          <cell r="BG245"/>
          <cell r="BH245" t="str">
            <v xml:space="preserve"> </v>
          </cell>
          <cell r="BI245"/>
          <cell r="BJ245" t="str">
            <v xml:space="preserve"> </v>
          </cell>
          <cell r="BK245"/>
          <cell r="BL245" t="str">
            <v xml:space="preserve"> </v>
          </cell>
          <cell r="BM245" t="str">
            <v xml:space="preserve"> </v>
          </cell>
          <cell r="BN245"/>
          <cell r="BO245" t="str">
            <v xml:space="preserve"> </v>
          </cell>
        </row>
        <row r="246">
          <cell r="B246">
            <v>46264</v>
          </cell>
          <cell r="C246"/>
          <cell r="D246" t="str">
            <v xml:space="preserve"> </v>
          </cell>
          <cell r="E246" t="str">
            <v xml:space="preserve"> </v>
          </cell>
          <cell r="F246"/>
          <cell r="G246" t="str">
            <v xml:space="preserve"> </v>
          </cell>
          <cell r="H246"/>
          <cell r="I246" t="str">
            <v xml:space="preserve"> </v>
          </cell>
          <cell r="J246" t="str">
            <v xml:space="preserve"> </v>
          </cell>
          <cell r="K246"/>
          <cell r="L246" t="str">
            <v xml:space="preserve"> </v>
          </cell>
          <cell r="M246"/>
          <cell r="N246" t="str">
            <v xml:space="preserve"> </v>
          </cell>
          <cell r="O246" t="str">
            <v xml:space="preserve"> </v>
          </cell>
          <cell r="P246"/>
          <cell r="Q246" t="str">
            <v xml:space="preserve"> </v>
          </cell>
          <cell r="R246"/>
          <cell r="S246" t="str">
            <v xml:space="preserve"> </v>
          </cell>
          <cell r="T246" t="str">
            <v xml:space="preserve"> </v>
          </cell>
          <cell r="U246"/>
          <cell r="V246" t="str">
            <v xml:space="preserve"> </v>
          </cell>
          <cell r="W246" t="str">
            <v xml:space="preserve"> </v>
          </cell>
          <cell r="X246"/>
          <cell r="Y246" t="str">
            <v xml:space="preserve"> </v>
          </cell>
          <cell r="Z246"/>
          <cell r="AA246" t="str">
            <v xml:space="preserve"> </v>
          </cell>
          <cell r="AB246" t="str">
            <v xml:space="preserve"> </v>
          </cell>
          <cell r="AC246"/>
          <cell r="AD246" t="str">
            <v xml:space="preserve"> </v>
          </cell>
          <cell r="AE246"/>
          <cell r="AF246" t="str">
            <v xml:space="preserve"> </v>
          </cell>
          <cell r="AG246"/>
          <cell r="AH246"/>
          <cell r="AI246"/>
          <cell r="AJ246"/>
          <cell r="AK246" t="str">
            <v/>
          </cell>
          <cell r="AL246"/>
          <cell r="AM246" t="str">
            <v xml:space="preserve"> </v>
          </cell>
          <cell r="AN246" t="str">
            <v xml:space="preserve"> </v>
          </cell>
          <cell r="AO246"/>
          <cell r="AP246" t="str">
            <v xml:space="preserve"> </v>
          </cell>
          <cell r="AQ246"/>
          <cell r="AR246" t="str">
            <v xml:space="preserve"> </v>
          </cell>
          <cell r="AS246" t="str">
            <v xml:space="preserve"> </v>
          </cell>
          <cell r="AT246"/>
          <cell r="AU246" t="str">
            <v xml:space="preserve"> </v>
          </cell>
          <cell r="AV246"/>
          <cell r="AW246"/>
          <cell r="AX246" t="str">
            <v xml:space="preserve"> </v>
          </cell>
          <cell r="AY246"/>
          <cell r="AZ246" t="str">
            <v xml:space="preserve"> </v>
          </cell>
          <cell r="BA246"/>
          <cell r="BB246"/>
          <cell r="BC246" t="str">
            <v xml:space="preserve"> </v>
          </cell>
          <cell r="BD246"/>
          <cell r="BE246" t="str">
            <v xml:space="preserve"> </v>
          </cell>
          <cell r="BF246"/>
          <cell r="BG246"/>
          <cell r="BH246" t="str">
            <v xml:space="preserve"> </v>
          </cell>
          <cell r="BI246"/>
          <cell r="BJ246" t="str">
            <v xml:space="preserve"> </v>
          </cell>
          <cell r="BK246"/>
          <cell r="BL246" t="str">
            <v xml:space="preserve"> </v>
          </cell>
          <cell r="BM246" t="str">
            <v xml:space="preserve"> </v>
          </cell>
          <cell r="BN246"/>
          <cell r="BO246" t="str">
            <v xml:space="preserve"> </v>
          </cell>
        </row>
        <row r="247">
          <cell r="B247">
            <v>46265</v>
          </cell>
          <cell r="C247"/>
          <cell r="D247" t="str">
            <v xml:space="preserve"> </v>
          </cell>
          <cell r="E247" t="str">
            <v xml:space="preserve"> </v>
          </cell>
          <cell r="F247"/>
          <cell r="G247" t="str">
            <v xml:space="preserve"> </v>
          </cell>
          <cell r="H247"/>
          <cell r="I247" t="str">
            <v xml:space="preserve"> </v>
          </cell>
          <cell r="J247" t="str">
            <v xml:space="preserve"> </v>
          </cell>
          <cell r="K247"/>
          <cell r="L247" t="str">
            <v xml:space="preserve"> </v>
          </cell>
          <cell r="M247"/>
          <cell r="N247" t="str">
            <v xml:space="preserve"> </v>
          </cell>
          <cell r="O247" t="str">
            <v xml:space="preserve"> </v>
          </cell>
          <cell r="P247"/>
          <cell r="Q247" t="str">
            <v xml:space="preserve"> </v>
          </cell>
          <cell r="R247"/>
          <cell r="S247" t="str">
            <v xml:space="preserve"> </v>
          </cell>
          <cell r="T247" t="str">
            <v xml:space="preserve"> </v>
          </cell>
          <cell r="U247"/>
          <cell r="V247" t="str">
            <v xml:space="preserve"> </v>
          </cell>
          <cell r="W247" t="str">
            <v xml:space="preserve"> </v>
          </cell>
          <cell r="X247"/>
          <cell r="Y247" t="str">
            <v xml:space="preserve"> </v>
          </cell>
          <cell r="Z247"/>
          <cell r="AA247" t="str">
            <v xml:space="preserve"> </v>
          </cell>
          <cell r="AB247" t="str">
            <v xml:space="preserve"> </v>
          </cell>
          <cell r="AC247"/>
          <cell r="AD247" t="str">
            <v xml:space="preserve"> </v>
          </cell>
          <cell r="AE247"/>
          <cell r="AF247" t="str">
            <v xml:space="preserve"> </v>
          </cell>
          <cell r="AG247"/>
          <cell r="AH247"/>
          <cell r="AI247"/>
          <cell r="AJ247"/>
          <cell r="AK247" t="str">
            <v/>
          </cell>
          <cell r="AL247"/>
          <cell r="AM247" t="str">
            <v xml:space="preserve"> </v>
          </cell>
          <cell r="AN247" t="str">
            <v xml:space="preserve"> </v>
          </cell>
          <cell r="AO247"/>
          <cell r="AP247" t="str">
            <v xml:space="preserve"> </v>
          </cell>
          <cell r="AQ247"/>
          <cell r="AR247" t="str">
            <v xml:space="preserve"> </v>
          </cell>
          <cell r="AS247" t="str">
            <v xml:space="preserve"> </v>
          </cell>
          <cell r="AT247"/>
          <cell r="AU247" t="str">
            <v xml:space="preserve"> </v>
          </cell>
          <cell r="AV247"/>
          <cell r="AW247"/>
          <cell r="AX247" t="str">
            <v xml:space="preserve"> </v>
          </cell>
          <cell r="AY247"/>
          <cell r="AZ247" t="str">
            <v xml:space="preserve"> </v>
          </cell>
          <cell r="BA247"/>
          <cell r="BB247"/>
          <cell r="BC247" t="str">
            <v xml:space="preserve"> </v>
          </cell>
          <cell r="BD247"/>
          <cell r="BE247" t="str">
            <v xml:space="preserve"> </v>
          </cell>
          <cell r="BF247"/>
          <cell r="BG247"/>
          <cell r="BH247" t="str">
            <v xml:space="preserve"> </v>
          </cell>
          <cell r="BI247"/>
          <cell r="BJ247" t="str">
            <v xml:space="preserve"> </v>
          </cell>
          <cell r="BK247"/>
          <cell r="BL247" t="str">
            <v xml:space="preserve"> </v>
          </cell>
          <cell r="BM247" t="str">
            <v xml:space="preserve"> </v>
          </cell>
          <cell r="BN247"/>
          <cell r="BO247" t="str">
            <v xml:space="preserve"> </v>
          </cell>
        </row>
        <row r="248">
          <cell r="B248">
            <v>46266</v>
          </cell>
          <cell r="C248"/>
          <cell r="D248" t="str">
            <v xml:space="preserve"> </v>
          </cell>
          <cell r="E248" t="str">
            <v xml:space="preserve"> </v>
          </cell>
          <cell r="F248"/>
          <cell r="G248" t="str">
            <v xml:space="preserve"> </v>
          </cell>
          <cell r="H248"/>
          <cell r="I248" t="str">
            <v xml:space="preserve"> </v>
          </cell>
          <cell r="J248" t="str">
            <v xml:space="preserve"> </v>
          </cell>
          <cell r="K248"/>
          <cell r="L248" t="str">
            <v xml:space="preserve"> </v>
          </cell>
          <cell r="M248"/>
          <cell r="N248" t="str">
            <v xml:space="preserve"> </v>
          </cell>
          <cell r="O248" t="str">
            <v xml:space="preserve"> </v>
          </cell>
          <cell r="P248"/>
          <cell r="Q248" t="str">
            <v xml:space="preserve"> </v>
          </cell>
          <cell r="R248"/>
          <cell r="S248" t="str">
            <v xml:space="preserve"> </v>
          </cell>
          <cell r="T248" t="str">
            <v xml:space="preserve"> </v>
          </cell>
          <cell r="U248"/>
          <cell r="V248" t="str">
            <v xml:space="preserve"> </v>
          </cell>
          <cell r="W248" t="str">
            <v xml:space="preserve"> </v>
          </cell>
          <cell r="X248"/>
          <cell r="Y248" t="str">
            <v xml:space="preserve"> </v>
          </cell>
          <cell r="Z248"/>
          <cell r="AA248" t="str">
            <v xml:space="preserve"> </v>
          </cell>
          <cell r="AB248" t="str">
            <v xml:space="preserve"> </v>
          </cell>
          <cell r="AC248"/>
          <cell r="AD248" t="str">
            <v xml:space="preserve"> </v>
          </cell>
          <cell r="AE248"/>
          <cell r="AF248" t="str">
            <v xml:space="preserve"> </v>
          </cell>
          <cell r="AG248"/>
          <cell r="AH248"/>
          <cell r="AI248"/>
          <cell r="AJ248"/>
          <cell r="AK248" t="str">
            <v/>
          </cell>
          <cell r="AL248"/>
          <cell r="AM248" t="str">
            <v xml:space="preserve"> </v>
          </cell>
          <cell r="AN248" t="str">
            <v xml:space="preserve"> </v>
          </cell>
          <cell r="AO248"/>
          <cell r="AP248" t="str">
            <v xml:space="preserve"> </v>
          </cell>
          <cell r="AQ248"/>
          <cell r="AR248" t="str">
            <v xml:space="preserve"> </v>
          </cell>
          <cell r="AS248" t="str">
            <v xml:space="preserve"> </v>
          </cell>
          <cell r="AT248"/>
          <cell r="AU248" t="str">
            <v xml:space="preserve"> </v>
          </cell>
          <cell r="AV248"/>
          <cell r="AW248"/>
          <cell r="AX248" t="str">
            <v xml:space="preserve"> </v>
          </cell>
          <cell r="AY248"/>
          <cell r="AZ248" t="str">
            <v xml:space="preserve"> </v>
          </cell>
          <cell r="BA248"/>
          <cell r="BB248"/>
          <cell r="BC248" t="str">
            <v xml:space="preserve"> </v>
          </cell>
          <cell r="BD248"/>
          <cell r="BE248" t="str">
            <v xml:space="preserve"> </v>
          </cell>
          <cell r="BF248"/>
          <cell r="BG248"/>
          <cell r="BH248" t="str">
            <v xml:space="preserve"> </v>
          </cell>
          <cell r="BI248"/>
          <cell r="BJ248" t="str">
            <v xml:space="preserve"> </v>
          </cell>
          <cell r="BK248"/>
          <cell r="BL248" t="str">
            <v xml:space="preserve"> </v>
          </cell>
          <cell r="BM248" t="str">
            <v xml:space="preserve"> </v>
          </cell>
          <cell r="BN248"/>
          <cell r="BO248" t="str">
            <v xml:space="preserve"> </v>
          </cell>
        </row>
        <row r="249">
          <cell r="B249">
            <v>46267</v>
          </cell>
          <cell r="C249"/>
          <cell r="D249" t="str">
            <v xml:space="preserve"> </v>
          </cell>
          <cell r="E249" t="str">
            <v xml:space="preserve"> </v>
          </cell>
          <cell r="F249"/>
          <cell r="G249" t="str">
            <v xml:space="preserve"> </v>
          </cell>
          <cell r="H249"/>
          <cell r="I249" t="str">
            <v xml:space="preserve"> </v>
          </cell>
          <cell r="J249" t="str">
            <v xml:space="preserve"> </v>
          </cell>
          <cell r="K249"/>
          <cell r="L249" t="str">
            <v xml:space="preserve"> </v>
          </cell>
          <cell r="M249"/>
          <cell r="N249" t="str">
            <v xml:space="preserve"> </v>
          </cell>
          <cell r="O249" t="str">
            <v xml:space="preserve"> </v>
          </cell>
          <cell r="P249"/>
          <cell r="Q249" t="str">
            <v xml:space="preserve"> </v>
          </cell>
          <cell r="R249"/>
          <cell r="S249" t="str">
            <v xml:space="preserve"> </v>
          </cell>
          <cell r="T249" t="str">
            <v xml:space="preserve"> </v>
          </cell>
          <cell r="U249"/>
          <cell r="V249" t="str">
            <v xml:space="preserve"> </v>
          </cell>
          <cell r="W249" t="str">
            <v xml:space="preserve"> </v>
          </cell>
          <cell r="X249"/>
          <cell r="Y249" t="str">
            <v xml:space="preserve"> </v>
          </cell>
          <cell r="Z249"/>
          <cell r="AA249" t="str">
            <v xml:space="preserve"> </v>
          </cell>
          <cell r="AB249" t="str">
            <v xml:space="preserve"> </v>
          </cell>
          <cell r="AC249"/>
          <cell r="AD249" t="str">
            <v xml:space="preserve"> </v>
          </cell>
          <cell r="AE249"/>
          <cell r="AF249" t="str">
            <v xml:space="preserve"> </v>
          </cell>
          <cell r="AG249"/>
          <cell r="AH249"/>
          <cell r="AI249"/>
          <cell r="AJ249"/>
          <cell r="AK249" t="str">
            <v/>
          </cell>
          <cell r="AL249"/>
          <cell r="AM249" t="str">
            <v xml:space="preserve"> </v>
          </cell>
          <cell r="AN249" t="str">
            <v xml:space="preserve"> </v>
          </cell>
          <cell r="AO249"/>
          <cell r="AP249" t="str">
            <v xml:space="preserve"> </v>
          </cell>
          <cell r="AQ249"/>
          <cell r="AR249" t="str">
            <v xml:space="preserve"> </v>
          </cell>
          <cell r="AS249" t="str">
            <v xml:space="preserve"> </v>
          </cell>
          <cell r="AT249"/>
          <cell r="AU249" t="str">
            <v xml:space="preserve"> </v>
          </cell>
          <cell r="AV249"/>
          <cell r="AW249"/>
          <cell r="AX249" t="str">
            <v xml:space="preserve"> </v>
          </cell>
          <cell r="AY249"/>
          <cell r="AZ249" t="str">
            <v xml:space="preserve"> </v>
          </cell>
          <cell r="BA249"/>
          <cell r="BB249"/>
          <cell r="BC249" t="str">
            <v xml:space="preserve"> </v>
          </cell>
          <cell r="BD249"/>
          <cell r="BE249" t="str">
            <v xml:space="preserve"> </v>
          </cell>
          <cell r="BF249"/>
          <cell r="BG249"/>
          <cell r="BH249" t="str">
            <v xml:space="preserve"> </v>
          </cell>
          <cell r="BI249"/>
          <cell r="BJ249" t="str">
            <v xml:space="preserve"> </v>
          </cell>
          <cell r="BK249"/>
          <cell r="BL249" t="str">
            <v xml:space="preserve"> </v>
          </cell>
          <cell r="BM249" t="str">
            <v xml:space="preserve"> </v>
          </cell>
          <cell r="BN249"/>
          <cell r="BO249" t="str">
            <v xml:space="preserve"> </v>
          </cell>
        </row>
        <row r="250">
          <cell r="B250">
            <v>46268</v>
          </cell>
          <cell r="C250"/>
          <cell r="D250" t="str">
            <v xml:space="preserve"> </v>
          </cell>
          <cell r="E250" t="str">
            <v xml:space="preserve"> </v>
          </cell>
          <cell r="F250"/>
          <cell r="G250" t="str">
            <v xml:space="preserve"> </v>
          </cell>
          <cell r="H250"/>
          <cell r="I250" t="str">
            <v xml:space="preserve"> </v>
          </cell>
          <cell r="J250" t="str">
            <v xml:space="preserve"> </v>
          </cell>
          <cell r="K250"/>
          <cell r="L250" t="str">
            <v xml:space="preserve"> </v>
          </cell>
          <cell r="M250"/>
          <cell r="N250" t="str">
            <v xml:space="preserve"> </v>
          </cell>
          <cell r="O250" t="str">
            <v xml:space="preserve"> </v>
          </cell>
          <cell r="P250"/>
          <cell r="Q250" t="str">
            <v xml:space="preserve"> </v>
          </cell>
          <cell r="R250"/>
          <cell r="S250" t="str">
            <v xml:space="preserve"> </v>
          </cell>
          <cell r="T250" t="str">
            <v xml:space="preserve"> </v>
          </cell>
          <cell r="U250"/>
          <cell r="V250" t="str">
            <v xml:space="preserve"> </v>
          </cell>
          <cell r="W250" t="str">
            <v xml:space="preserve"> </v>
          </cell>
          <cell r="X250"/>
          <cell r="Y250" t="str">
            <v xml:space="preserve"> </v>
          </cell>
          <cell r="Z250"/>
          <cell r="AA250" t="str">
            <v xml:space="preserve"> </v>
          </cell>
          <cell r="AB250" t="str">
            <v xml:space="preserve"> </v>
          </cell>
          <cell r="AC250"/>
          <cell r="AD250" t="str">
            <v xml:space="preserve"> </v>
          </cell>
          <cell r="AE250"/>
          <cell r="AF250" t="str">
            <v xml:space="preserve"> </v>
          </cell>
          <cell r="AG250"/>
          <cell r="AH250"/>
          <cell r="AI250"/>
          <cell r="AJ250"/>
          <cell r="AK250" t="str">
            <v/>
          </cell>
          <cell r="AL250"/>
          <cell r="AM250" t="str">
            <v xml:space="preserve"> </v>
          </cell>
          <cell r="AN250" t="str">
            <v xml:space="preserve"> </v>
          </cell>
          <cell r="AO250"/>
          <cell r="AP250" t="str">
            <v xml:space="preserve"> </v>
          </cell>
          <cell r="AQ250"/>
          <cell r="AR250" t="str">
            <v xml:space="preserve"> </v>
          </cell>
          <cell r="AS250" t="str">
            <v xml:space="preserve"> </v>
          </cell>
          <cell r="AT250"/>
          <cell r="AU250" t="str">
            <v xml:space="preserve"> </v>
          </cell>
          <cell r="AV250"/>
          <cell r="AW250"/>
          <cell r="AX250" t="str">
            <v xml:space="preserve"> </v>
          </cell>
          <cell r="AY250"/>
          <cell r="AZ250" t="str">
            <v xml:space="preserve"> </v>
          </cell>
          <cell r="BA250"/>
          <cell r="BB250"/>
          <cell r="BC250" t="str">
            <v xml:space="preserve"> </v>
          </cell>
          <cell r="BD250"/>
          <cell r="BE250" t="str">
            <v xml:space="preserve"> </v>
          </cell>
          <cell r="BF250"/>
          <cell r="BG250"/>
          <cell r="BH250" t="str">
            <v xml:space="preserve"> </v>
          </cell>
          <cell r="BI250"/>
          <cell r="BJ250" t="str">
            <v xml:space="preserve"> </v>
          </cell>
          <cell r="BK250"/>
          <cell r="BL250" t="str">
            <v xml:space="preserve"> </v>
          </cell>
          <cell r="BM250" t="str">
            <v xml:space="preserve"> </v>
          </cell>
          <cell r="BN250"/>
          <cell r="BO250" t="str">
            <v xml:space="preserve"> </v>
          </cell>
        </row>
        <row r="251">
          <cell r="B251">
            <v>46269</v>
          </cell>
          <cell r="C251"/>
          <cell r="D251" t="str">
            <v xml:space="preserve"> </v>
          </cell>
          <cell r="E251" t="str">
            <v xml:space="preserve"> </v>
          </cell>
          <cell r="F251"/>
          <cell r="G251" t="str">
            <v xml:space="preserve"> </v>
          </cell>
          <cell r="H251"/>
          <cell r="I251" t="str">
            <v xml:space="preserve"> </v>
          </cell>
          <cell r="J251" t="str">
            <v xml:space="preserve"> </v>
          </cell>
          <cell r="K251"/>
          <cell r="L251" t="str">
            <v xml:space="preserve"> </v>
          </cell>
          <cell r="M251"/>
          <cell r="N251" t="str">
            <v xml:space="preserve"> </v>
          </cell>
          <cell r="O251" t="str">
            <v xml:space="preserve"> </v>
          </cell>
          <cell r="P251"/>
          <cell r="Q251" t="str">
            <v xml:space="preserve"> </v>
          </cell>
          <cell r="R251"/>
          <cell r="S251" t="str">
            <v xml:space="preserve"> </v>
          </cell>
          <cell r="T251" t="str">
            <v xml:space="preserve"> </v>
          </cell>
          <cell r="U251"/>
          <cell r="V251" t="str">
            <v xml:space="preserve"> </v>
          </cell>
          <cell r="W251" t="str">
            <v xml:space="preserve"> </v>
          </cell>
          <cell r="X251"/>
          <cell r="Y251" t="str">
            <v xml:space="preserve"> </v>
          </cell>
          <cell r="Z251"/>
          <cell r="AA251" t="str">
            <v xml:space="preserve"> </v>
          </cell>
          <cell r="AB251" t="str">
            <v xml:space="preserve"> </v>
          </cell>
          <cell r="AC251"/>
          <cell r="AD251" t="str">
            <v xml:space="preserve"> </v>
          </cell>
          <cell r="AE251"/>
          <cell r="AF251" t="str">
            <v xml:space="preserve"> </v>
          </cell>
          <cell r="AG251"/>
          <cell r="AH251"/>
          <cell r="AI251"/>
          <cell r="AJ251"/>
          <cell r="AK251" t="str">
            <v/>
          </cell>
          <cell r="AL251"/>
          <cell r="AM251" t="str">
            <v xml:space="preserve"> </v>
          </cell>
          <cell r="AN251" t="str">
            <v xml:space="preserve"> </v>
          </cell>
          <cell r="AO251"/>
          <cell r="AP251" t="str">
            <v xml:space="preserve"> </v>
          </cell>
          <cell r="AQ251"/>
          <cell r="AR251" t="str">
            <v xml:space="preserve"> </v>
          </cell>
          <cell r="AS251" t="str">
            <v xml:space="preserve"> </v>
          </cell>
          <cell r="AT251"/>
          <cell r="AU251" t="str">
            <v xml:space="preserve"> </v>
          </cell>
          <cell r="AV251"/>
          <cell r="AW251"/>
          <cell r="AX251" t="str">
            <v xml:space="preserve"> </v>
          </cell>
          <cell r="AY251"/>
          <cell r="AZ251" t="str">
            <v xml:space="preserve"> </v>
          </cell>
          <cell r="BA251"/>
          <cell r="BB251"/>
          <cell r="BC251" t="str">
            <v xml:space="preserve"> </v>
          </cell>
          <cell r="BD251"/>
          <cell r="BE251" t="str">
            <v xml:space="preserve"> </v>
          </cell>
          <cell r="BF251"/>
          <cell r="BG251"/>
          <cell r="BH251" t="str">
            <v xml:space="preserve"> </v>
          </cell>
          <cell r="BI251"/>
          <cell r="BJ251" t="str">
            <v xml:space="preserve"> </v>
          </cell>
          <cell r="BK251"/>
          <cell r="BL251" t="str">
            <v xml:space="preserve"> </v>
          </cell>
          <cell r="BM251" t="str">
            <v xml:space="preserve"> </v>
          </cell>
          <cell r="BN251"/>
          <cell r="BO251" t="str">
            <v xml:space="preserve"> </v>
          </cell>
        </row>
        <row r="252">
          <cell r="B252">
            <v>46270</v>
          </cell>
          <cell r="C252"/>
          <cell r="D252" t="str">
            <v xml:space="preserve"> </v>
          </cell>
          <cell r="E252" t="str">
            <v xml:space="preserve"> </v>
          </cell>
          <cell r="F252"/>
          <cell r="G252" t="str">
            <v xml:space="preserve"> </v>
          </cell>
          <cell r="H252"/>
          <cell r="I252" t="str">
            <v xml:space="preserve"> </v>
          </cell>
          <cell r="J252" t="str">
            <v xml:space="preserve"> </v>
          </cell>
          <cell r="K252"/>
          <cell r="L252" t="str">
            <v xml:space="preserve"> </v>
          </cell>
          <cell r="M252"/>
          <cell r="N252" t="str">
            <v xml:space="preserve"> </v>
          </cell>
          <cell r="O252" t="str">
            <v xml:space="preserve"> </v>
          </cell>
          <cell r="P252"/>
          <cell r="Q252" t="str">
            <v xml:space="preserve"> </v>
          </cell>
          <cell r="R252"/>
          <cell r="S252" t="str">
            <v xml:space="preserve"> </v>
          </cell>
          <cell r="T252" t="str">
            <v xml:space="preserve"> </v>
          </cell>
          <cell r="U252"/>
          <cell r="V252" t="str">
            <v xml:space="preserve"> </v>
          </cell>
          <cell r="W252" t="str">
            <v xml:space="preserve"> </v>
          </cell>
          <cell r="X252"/>
          <cell r="Y252" t="str">
            <v xml:space="preserve"> </v>
          </cell>
          <cell r="Z252"/>
          <cell r="AA252" t="str">
            <v xml:space="preserve"> </v>
          </cell>
          <cell r="AB252" t="str">
            <v xml:space="preserve"> </v>
          </cell>
          <cell r="AC252"/>
          <cell r="AD252" t="str">
            <v xml:space="preserve"> </v>
          </cell>
          <cell r="AE252"/>
          <cell r="AF252" t="str">
            <v xml:space="preserve"> </v>
          </cell>
          <cell r="AG252"/>
          <cell r="AH252"/>
          <cell r="AI252"/>
          <cell r="AJ252"/>
          <cell r="AK252" t="str">
            <v/>
          </cell>
          <cell r="AL252"/>
          <cell r="AM252" t="str">
            <v xml:space="preserve"> </v>
          </cell>
          <cell r="AN252" t="str">
            <v xml:space="preserve"> </v>
          </cell>
          <cell r="AO252"/>
          <cell r="AP252" t="str">
            <v xml:space="preserve"> </v>
          </cell>
          <cell r="AQ252"/>
          <cell r="AR252" t="str">
            <v xml:space="preserve"> </v>
          </cell>
          <cell r="AS252" t="str">
            <v xml:space="preserve"> </v>
          </cell>
          <cell r="AT252"/>
          <cell r="AU252" t="str">
            <v xml:space="preserve"> </v>
          </cell>
          <cell r="AV252"/>
          <cell r="AW252"/>
          <cell r="AX252" t="str">
            <v xml:space="preserve"> </v>
          </cell>
          <cell r="AY252"/>
          <cell r="AZ252" t="str">
            <v xml:space="preserve"> </v>
          </cell>
          <cell r="BA252"/>
          <cell r="BB252"/>
          <cell r="BC252" t="str">
            <v xml:space="preserve"> </v>
          </cell>
          <cell r="BD252"/>
          <cell r="BE252" t="str">
            <v xml:space="preserve"> </v>
          </cell>
          <cell r="BF252"/>
          <cell r="BG252"/>
          <cell r="BH252" t="str">
            <v xml:space="preserve"> </v>
          </cell>
          <cell r="BI252"/>
          <cell r="BJ252" t="str">
            <v xml:space="preserve"> </v>
          </cell>
          <cell r="BK252"/>
          <cell r="BL252" t="str">
            <v xml:space="preserve"> </v>
          </cell>
          <cell r="BM252" t="str">
            <v xml:space="preserve"> </v>
          </cell>
          <cell r="BN252"/>
          <cell r="BO252" t="str">
            <v xml:space="preserve"> </v>
          </cell>
        </row>
        <row r="253">
          <cell r="B253">
            <v>46271</v>
          </cell>
          <cell r="C253"/>
          <cell r="D253" t="str">
            <v xml:space="preserve"> </v>
          </cell>
          <cell r="E253" t="str">
            <v xml:space="preserve"> </v>
          </cell>
          <cell r="F253"/>
          <cell r="G253" t="str">
            <v xml:space="preserve"> </v>
          </cell>
          <cell r="H253"/>
          <cell r="I253" t="str">
            <v xml:space="preserve"> </v>
          </cell>
          <cell r="J253" t="str">
            <v xml:space="preserve"> </v>
          </cell>
          <cell r="K253"/>
          <cell r="L253" t="str">
            <v xml:space="preserve"> </v>
          </cell>
          <cell r="M253"/>
          <cell r="N253" t="str">
            <v xml:space="preserve"> </v>
          </cell>
          <cell r="O253" t="str">
            <v xml:space="preserve"> </v>
          </cell>
          <cell r="P253"/>
          <cell r="Q253" t="str">
            <v xml:space="preserve"> </v>
          </cell>
          <cell r="R253"/>
          <cell r="S253" t="str">
            <v xml:space="preserve"> </v>
          </cell>
          <cell r="T253" t="str">
            <v xml:space="preserve"> </v>
          </cell>
          <cell r="U253"/>
          <cell r="V253" t="str">
            <v xml:space="preserve"> </v>
          </cell>
          <cell r="W253" t="str">
            <v xml:space="preserve"> </v>
          </cell>
          <cell r="X253"/>
          <cell r="Y253" t="str">
            <v xml:space="preserve"> </v>
          </cell>
          <cell r="Z253"/>
          <cell r="AA253" t="str">
            <v xml:space="preserve"> </v>
          </cell>
          <cell r="AB253" t="str">
            <v xml:space="preserve"> </v>
          </cell>
          <cell r="AC253"/>
          <cell r="AD253" t="str">
            <v xml:space="preserve"> </v>
          </cell>
          <cell r="AE253"/>
          <cell r="AF253" t="str">
            <v xml:space="preserve"> </v>
          </cell>
          <cell r="AG253"/>
          <cell r="AH253"/>
          <cell r="AI253"/>
          <cell r="AJ253"/>
          <cell r="AK253" t="str">
            <v/>
          </cell>
          <cell r="AL253"/>
          <cell r="AM253" t="str">
            <v xml:space="preserve"> </v>
          </cell>
          <cell r="AN253" t="str">
            <v xml:space="preserve"> </v>
          </cell>
          <cell r="AO253"/>
          <cell r="AP253" t="str">
            <v xml:space="preserve"> </v>
          </cell>
          <cell r="AQ253"/>
          <cell r="AR253" t="str">
            <v xml:space="preserve"> </v>
          </cell>
          <cell r="AS253" t="str">
            <v xml:space="preserve"> </v>
          </cell>
          <cell r="AT253"/>
          <cell r="AU253" t="str">
            <v xml:space="preserve"> </v>
          </cell>
          <cell r="AV253"/>
          <cell r="AW253"/>
          <cell r="AX253" t="str">
            <v xml:space="preserve"> </v>
          </cell>
          <cell r="AY253"/>
          <cell r="AZ253" t="str">
            <v xml:space="preserve"> </v>
          </cell>
          <cell r="BA253"/>
          <cell r="BB253"/>
          <cell r="BC253" t="str">
            <v xml:space="preserve"> </v>
          </cell>
          <cell r="BD253"/>
          <cell r="BE253" t="str">
            <v xml:space="preserve"> </v>
          </cell>
          <cell r="BF253"/>
          <cell r="BG253"/>
          <cell r="BH253" t="str">
            <v xml:space="preserve"> </v>
          </cell>
          <cell r="BI253"/>
          <cell r="BJ253" t="str">
            <v xml:space="preserve"> </v>
          </cell>
          <cell r="BK253"/>
          <cell r="BL253" t="str">
            <v xml:space="preserve"> </v>
          </cell>
          <cell r="BM253" t="str">
            <v xml:space="preserve"> </v>
          </cell>
          <cell r="BN253"/>
          <cell r="BO253" t="str">
            <v xml:space="preserve"> </v>
          </cell>
        </row>
        <row r="254">
          <cell r="B254">
            <v>46272</v>
          </cell>
          <cell r="C254"/>
          <cell r="D254" t="str">
            <v xml:space="preserve"> </v>
          </cell>
          <cell r="E254" t="str">
            <v xml:space="preserve"> </v>
          </cell>
          <cell r="F254"/>
          <cell r="G254" t="str">
            <v xml:space="preserve"> </v>
          </cell>
          <cell r="H254"/>
          <cell r="I254" t="str">
            <v xml:space="preserve"> </v>
          </cell>
          <cell r="J254" t="str">
            <v xml:space="preserve"> </v>
          </cell>
          <cell r="K254"/>
          <cell r="L254" t="str">
            <v xml:space="preserve"> </v>
          </cell>
          <cell r="M254"/>
          <cell r="N254" t="str">
            <v xml:space="preserve"> </v>
          </cell>
          <cell r="O254" t="str">
            <v xml:space="preserve"> </v>
          </cell>
          <cell r="P254"/>
          <cell r="Q254" t="str">
            <v xml:space="preserve"> </v>
          </cell>
          <cell r="R254"/>
          <cell r="S254" t="str">
            <v xml:space="preserve"> </v>
          </cell>
          <cell r="T254" t="str">
            <v xml:space="preserve"> </v>
          </cell>
          <cell r="U254"/>
          <cell r="V254" t="str">
            <v xml:space="preserve"> </v>
          </cell>
          <cell r="W254" t="str">
            <v xml:space="preserve"> </v>
          </cell>
          <cell r="X254"/>
          <cell r="Y254" t="str">
            <v xml:space="preserve"> </v>
          </cell>
          <cell r="Z254"/>
          <cell r="AA254" t="str">
            <v xml:space="preserve"> </v>
          </cell>
          <cell r="AB254" t="str">
            <v xml:space="preserve"> </v>
          </cell>
          <cell r="AC254"/>
          <cell r="AD254" t="str">
            <v xml:space="preserve"> </v>
          </cell>
          <cell r="AE254"/>
          <cell r="AF254" t="str">
            <v xml:space="preserve"> </v>
          </cell>
          <cell r="AG254"/>
          <cell r="AH254"/>
          <cell r="AI254"/>
          <cell r="AJ254"/>
          <cell r="AK254" t="str">
            <v/>
          </cell>
          <cell r="AL254"/>
          <cell r="AM254" t="str">
            <v xml:space="preserve"> </v>
          </cell>
          <cell r="AN254" t="str">
            <v xml:space="preserve"> </v>
          </cell>
          <cell r="AO254"/>
          <cell r="AP254" t="str">
            <v xml:space="preserve"> </v>
          </cell>
          <cell r="AQ254"/>
          <cell r="AR254" t="str">
            <v xml:space="preserve"> </v>
          </cell>
          <cell r="AS254" t="str">
            <v xml:space="preserve"> </v>
          </cell>
          <cell r="AT254"/>
          <cell r="AU254" t="str">
            <v xml:space="preserve"> </v>
          </cell>
          <cell r="AV254"/>
          <cell r="AW254"/>
          <cell r="AX254" t="str">
            <v xml:space="preserve"> </v>
          </cell>
          <cell r="AY254"/>
          <cell r="AZ254" t="str">
            <v xml:space="preserve"> </v>
          </cell>
          <cell r="BA254"/>
          <cell r="BB254"/>
          <cell r="BC254" t="str">
            <v xml:space="preserve"> </v>
          </cell>
          <cell r="BD254"/>
          <cell r="BE254" t="str">
            <v xml:space="preserve"> </v>
          </cell>
          <cell r="BF254"/>
          <cell r="BG254"/>
          <cell r="BH254" t="str">
            <v xml:space="preserve"> </v>
          </cell>
          <cell r="BI254"/>
          <cell r="BJ254" t="str">
            <v xml:space="preserve"> </v>
          </cell>
          <cell r="BK254"/>
          <cell r="BL254" t="str">
            <v xml:space="preserve"> </v>
          </cell>
          <cell r="BM254" t="str">
            <v xml:space="preserve"> </v>
          </cell>
          <cell r="BN254"/>
          <cell r="BO254" t="str">
            <v xml:space="preserve"> </v>
          </cell>
        </row>
        <row r="255">
          <cell r="B255">
            <v>46273</v>
          </cell>
          <cell r="C255"/>
          <cell r="D255" t="str">
            <v xml:space="preserve"> </v>
          </cell>
          <cell r="E255" t="str">
            <v xml:space="preserve"> </v>
          </cell>
          <cell r="F255"/>
          <cell r="G255" t="str">
            <v xml:space="preserve"> </v>
          </cell>
          <cell r="H255"/>
          <cell r="I255" t="str">
            <v xml:space="preserve"> </v>
          </cell>
          <cell r="J255" t="str">
            <v xml:space="preserve"> </v>
          </cell>
          <cell r="K255"/>
          <cell r="L255" t="str">
            <v xml:space="preserve"> </v>
          </cell>
          <cell r="M255"/>
          <cell r="N255" t="str">
            <v xml:space="preserve"> </v>
          </cell>
          <cell r="O255" t="str">
            <v xml:space="preserve"> </v>
          </cell>
          <cell r="P255"/>
          <cell r="Q255" t="str">
            <v xml:space="preserve"> </v>
          </cell>
          <cell r="R255"/>
          <cell r="S255" t="str">
            <v xml:space="preserve"> </v>
          </cell>
          <cell r="T255" t="str">
            <v xml:space="preserve"> </v>
          </cell>
          <cell r="U255"/>
          <cell r="V255" t="str">
            <v xml:space="preserve"> </v>
          </cell>
          <cell r="W255" t="str">
            <v xml:space="preserve"> </v>
          </cell>
          <cell r="X255"/>
          <cell r="Y255" t="str">
            <v xml:space="preserve"> </v>
          </cell>
          <cell r="Z255"/>
          <cell r="AA255" t="str">
            <v xml:space="preserve"> </v>
          </cell>
          <cell r="AB255" t="str">
            <v xml:space="preserve"> </v>
          </cell>
          <cell r="AC255"/>
          <cell r="AD255" t="str">
            <v xml:space="preserve"> </v>
          </cell>
          <cell r="AE255"/>
          <cell r="AF255" t="str">
            <v xml:space="preserve"> </v>
          </cell>
          <cell r="AG255"/>
          <cell r="AH255"/>
          <cell r="AI255"/>
          <cell r="AJ255"/>
          <cell r="AK255" t="str">
            <v/>
          </cell>
          <cell r="AL255"/>
          <cell r="AM255" t="str">
            <v xml:space="preserve"> </v>
          </cell>
          <cell r="AN255" t="str">
            <v xml:space="preserve"> </v>
          </cell>
          <cell r="AO255"/>
          <cell r="AP255" t="str">
            <v xml:space="preserve"> </v>
          </cell>
          <cell r="AQ255"/>
          <cell r="AR255" t="str">
            <v xml:space="preserve"> </v>
          </cell>
          <cell r="AS255" t="str">
            <v xml:space="preserve"> </v>
          </cell>
          <cell r="AT255"/>
          <cell r="AU255" t="str">
            <v xml:space="preserve"> </v>
          </cell>
          <cell r="AV255"/>
          <cell r="AW255"/>
          <cell r="AX255" t="str">
            <v xml:space="preserve"> </v>
          </cell>
          <cell r="AY255"/>
          <cell r="AZ255" t="str">
            <v xml:space="preserve"> </v>
          </cell>
          <cell r="BA255"/>
          <cell r="BB255"/>
          <cell r="BC255" t="str">
            <v xml:space="preserve"> </v>
          </cell>
          <cell r="BD255"/>
          <cell r="BE255" t="str">
            <v xml:space="preserve"> </v>
          </cell>
          <cell r="BF255"/>
          <cell r="BG255"/>
          <cell r="BH255" t="str">
            <v xml:space="preserve"> </v>
          </cell>
          <cell r="BI255"/>
          <cell r="BJ255" t="str">
            <v xml:space="preserve"> </v>
          </cell>
          <cell r="BK255"/>
          <cell r="BL255" t="str">
            <v xml:space="preserve"> </v>
          </cell>
          <cell r="BM255" t="str">
            <v xml:space="preserve"> </v>
          </cell>
          <cell r="BN255"/>
          <cell r="BO255" t="str">
            <v xml:space="preserve"> </v>
          </cell>
        </row>
        <row r="256">
          <cell r="B256">
            <v>46274</v>
          </cell>
          <cell r="C256"/>
          <cell r="D256" t="str">
            <v xml:space="preserve"> </v>
          </cell>
          <cell r="E256" t="str">
            <v xml:space="preserve"> </v>
          </cell>
          <cell r="F256"/>
          <cell r="G256" t="str">
            <v xml:space="preserve"> </v>
          </cell>
          <cell r="H256"/>
          <cell r="I256" t="str">
            <v xml:space="preserve"> </v>
          </cell>
          <cell r="J256" t="str">
            <v xml:space="preserve"> </v>
          </cell>
          <cell r="K256"/>
          <cell r="L256" t="str">
            <v xml:space="preserve"> </v>
          </cell>
          <cell r="M256"/>
          <cell r="N256" t="str">
            <v xml:space="preserve"> </v>
          </cell>
          <cell r="O256" t="str">
            <v xml:space="preserve"> </v>
          </cell>
          <cell r="P256"/>
          <cell r="Q256" t="str">
            <v xml:space="preserve"> </v>
          </cell>
          <cell r="R256"/>
          <cell r="S256" t="str">
            <v xml:space="preserve"> </v>
          </cell>
          <cell r="T256" t="str">
            <v xml:space="preserve"> </v>
          </cell>
          <cell r="U256"/>
          <cell r="V256" t="str">
            <v xml:space="preserve"> </v>
          </cell>
          <cell r="W256" t="str">
            <v xml:space="preserve"> </v>
          </cell>
          <cell r="X256"/>
          <cell r="Y256" t="str">
            <v xml:space="preserve"> </v>
          </cell>
          <cell r="Z256"/>
          <cell r="AA256" t="str">
            <v xml:space="preserve"> </v>
          </cell>
          <cell r="AB256" t="str">
            <v xml:space="preserve"> </v>
          </cell>
          <cell r="AC256"/>
          <cell r="AD256" t="str">
            <v xml:space="preserve"> </v>
          </cell>
          <cell r="AE256"/>
          <cell r="AF256" t="str">
            <v xml:space="preserve"> </v>
          </cell>
          <cell r="AG256"/>
          <cell r="AH256"/>
          <cell r="AI256"/>
          <cell r="AJ256"/>
          <cell r="AK256" t="str">
            <v/>
          </cell>
          <cell r="AL256"/>
          <cell r="AM256" t="str">
            <v xml:space="preserve"> </v>
          </cell>
          <cell r="AN256" t="str">
            <v xml:space="preserve"> </v>
          </cell>
          <cell r="AO256"/>
          <cell r="AP256" t="str">
            <v xml:space="preserve"> </v>
          </cell>
          <cell r="AQ256"/>
          <cell r="AR256" t="str">
            <v xml:space="preserve"> </v>
          </cell>
          <cell r="AS256" t="str">
            <v xml:space="preserve"> </v>
          </cell>
          <cell r="AT256"/>
          <cell r="AU256" t="str">
            <v xml:space="preserve"> </v>
          </cell>
          <cell r="AV256"/>
          <cell r="AW256"/>
          <cell r="AX256" t="str">
            <v xml:space="preserve"> </v>
          </cell>
          <cell r="AY256"/>
          <cell r="AZ256" t="str">
            <v xml:space="preserve"> </v>
          </cell>
          <cell r="BA256"/>
          <cell r="BB256"/>
          <cell r="BC256" t="str">
            <v xml:space="preserve"> </v>
          </cell>
          <cell r="BD256"/>
          <cell r="BE256" t="str">
            <v xml:space="preserve"> </v>
          </cell>
          <cell r="BF256"/>
          <cell r="BG256"/>
          <cell r="BH256" t="str">
            <v xml:space="preserve"> </v>
          </cell>
          <cell r="BI256"/>
          <cell r="BJ256" t="str">
            <v xml:space="preserve"> </v>
          </cell>
          <cell r="BK256"/>
          <cell r="BL256" t="str">
            <v xml:space="preserve"> </v>
          </cell>
          <cell r="BM256" t="str">
            <v xml:space="preserve"> </v>
          </cell>
          <cell r="BN256"/>
          <cell r="BO256" t="str">
            <v xml:space="preserve"> </v>
          </cell>
        </row>
        <row r="257">
          <cell r="B257">
            <v>46275</v>
          </cell>
          <cell r="C257"/>
          <cell r="D257" t="str">
            <v xml:space="preserve"> </v>
          </cell>
          <cell r="E257" t="str">
            <v xml:space="preserve"> </v>
          </cell>
          <cell r="F257"/>
          <cell r="G257" t="str">
            <v xml:space="preserve"> </v>
          </cell>
          <cell r="H257"/>
          <cell r="I257" t="str">
            <v xml:space="preserve"> </v>
          </cell>
          <cell r="J257" t="str">
            <v xml:space="preserve"> </v>
          </cell>
          <cell r="K257"/>
          <cell r="L257" t="str">
            <v xml:space="preserve"> </v>
          </cell>
          <cell r="M257"/>
          <cell r="N257" t="str">
            <v xml:space="preserve"> </v>
          </cell>
          <cell r="O257" t="str">
            <v xml:space="preserve"> </v>
          </cell>
          <cell r="P257"/>
          <cell r="Q257" t="str">
            <v xml:space="preserve"> </v>
          </cell>
          <cell r="R257"/>
          <cell r="S257" t="str">
            <v xml:space="preserve"> </v>
          </cell>
          <cell r="T257" t="str">
            <v xml:space="preserve"> </v>
          </cell>
          <cell r="U257"/>
          <cell r="V257" t="str">
            <v xml:space="preserve"> </v>
          </cell>
          <cell r="W257" t="str">
            <v xml:space="preserve"> </v>
          </cell>
          <cell r="X257"/>
          <cell r="Y257" t="str">
            <v xml:space="preserve"> </v>
          </cell>
          <cell r="Z257"/>
          <cell r="AA257" t="str">
            <v xml:space="preserve"> </v>
          </cell>
          <cell r="AB257" t="str">
            <v xml:space="preserve"> </v>
          </cell>
          <cell r="AC257"/>
          <cell r="AD257" t="str">
            <v xml:space="preserve"> </v>
          </cell>
          <cell r="AE257"/>
          <cell r="AF257" t="str">
            <v xml:space="preserve"> </v>
          </cell>
          <cell r="AG257"/>
          <cell r="AH257"/>
          <cell r="AI257"/>
          <cell r="AJ257"/>
          <cell r="AK257" t="str">
            <v/>
          </cell>
          <cell r="AL257"/>
          <cell r="AM257" t="str">
            <v xml:space="preserve"> </v>
          </cell>
          <cell r="AN257" t="str">
            <v xml:space="preserve"> </v>
          </cell>
          <cell r="AO257"/>
          <cell r="AP257" t="str">
            <v xml:space="preserve"> </v>
          </cell>
          <cell r="AQ257"/>
          <cell r="AR257" t="str">
            <v xml:space="preserve"> </v>
          </cell>
          <cell r="AS257" t="str">
            <v xml:space="preserve"> </v>
          </cell>
          <cell r="AT257"/>
          <cell r="AU257" t="str">
            <v xml:space="preserve"> </v>
          </cell>
          <cell r="AV257"/>
          <cell r="AW257"/>
          <cell r="AX257" t="str">
            <v xml:space="preserve"> </v>
          </cell>
          <cell r="AY257"/>
          <cell r="AZ257" t="str">
            <v xml:space="preserve"> </v>
          </cell>
          <cell r="BA257"/>
          <cell r="BB257"/>
          <cell r="BC257" t="str">
            <v xml:space="preserve"> </v>
          </cell>
          <cell r="BD257"/>
          <cell r="BE257" t="str">
            <v xml:space="preserve"> </v>
          </cell>
          <cell r="BF257"/>
          <cell r="BG257"/>
          <cell r="BH257" t="str">
            <v xml:space="preserve"> </v>
          </cell>
          <cell r="BI257"/>
          <cell r="BJ257" t="str">
            <v xml:space="preserve"> </v>
          </cell>
          <cell r="BK257"/>
          <cell r="BL257" t="str">
            <v xml:space="preserve"> </v>
          </cell>
          <cell r="BM257" t="str">
            <v xml:space="preserve"> </v>
          </cell>
          <cell r="BN257"/>
          <cell r="BO257" t="str">
            <v xml:space="preserve"> </v>
          </cell>
        </row>
        <row r="258">
          <cell r="B258">
            <v>46276</v>
          </cell>
          <cell r="C258"/>
          <cell r="D258" t="str">
            <v xml:space="preserve"> </v>
          </cell>
          <cell r="E258" t="str">
            <v xml:space="preserve"> </v>
          </cell>
          <cell r="F258"/>
          <cell r="G258" t="str">
            <v xml:space="preserve"> </v>
          </cell>
          <cell r="H258"/>
          <cell r="I258" t="str">
            <v xml:space="preserve"> </v>
          </cell>
          <cell r="J258" t="str">
            <v xml:space="preserve"> </v>
          </cell>
          <cell r="K258"/>
          <cell r="L258" t="str">
            <v xml:space="preserve"> </v>
          </cell>
          <cell r="M258"/>
          <cell r="N258" t="str">
            <v xml:space="preserve"> </v>
          </cell>
          <cell r="O258" t="str">
            <v xml:space="preserve"> </v>
          </cell>
          <cell r="P258"/>
          <cell r="Q258" t="str">
            <v xml:space="preserve"> </v>
          </cell>
          <cell r="R258"/>
          <cell r="S258" t="str">
            <v xml:space="preserve"> </v>
          </cell>
          <cell r="T258" t="str">
            <v xml:space="preserve"> </v>
          </cell>
          <cell r="U258"/>
          <cell r="V258" t="str">
            <v xml:space="preserve"> </v>
          </cell>
          <cell r="W258" t="str">
            <v xml:space="preserve"> </v>
          </cell>
          <cell r="X258"/>
          <cell r="Y258" t="str">
            <v xml:space="preserve"> </v>
          </cell>
          <cell r="Z258"/>
          <cell r="AA258" t="str">
            <v xml:space="preserve"> </v>
          </cell>
          <cell r="AB258" t="str">
            <v xml:space="preserve"> </v>
          </cell>
          <cell r="AC258"/>
          <cell r="AD258" t="str">
            <v xml:space="preserve"> </v>
          </cell>
          <cell r="AE258"/>
          <cell r="AF258" t="str">
            <v xml:space="preserve"> </v>
          </cell>
          <cell r="AG258"/>
          <cell r="AH258"/>
          <cell r="AI258"/>
          <cell r="AJ258"/>
          <cell r="AK258" t="str">
            <v/>
          </cell>
          <cell r="AL258"/>
          <cell r="AM258" t="str">
            <v xml:space="preserve"> </v>
          </cell>
          <cell r="AN258" t="str">
            <v xml:space="preserve"> </v>
          </cell>
          <cell r="AO258"/>
          <cell r="AP258" t="str">
            <v xml:space="preserve"> </v>
          </cell>
          <cell r="AQ258"/>
          <cell r="AR258" t="str">
            <v xml:space="preserve"> </v>
          </cell>
          <cell r="AS258" t="str">
            <v xml:space="preserve"> </v>
          </cell>
          <cell r="AT258"/>
          <cell r="AU258" t="str">
            <v xml:space="preserve"> </v>
          </cell>
          <cell r="AV258"/>
          <cell r="AW258"/>
          <cell r="AX258" t="str">
            <v xml:space="preserve"> </v>
          </cell>
          <cell r="AY258"/>
          <cell r="AZ258" t="str">
            <v xml:space="preserve"> </v>
          </cell>
          <cell r="BA258"/>
          <cell r="BB258"/>
          <cell r="BC258" t="str">
            <v xml:space="preserve"> </v>
          </cell>
          <cell r="BD258"/>
          <cell r="BE258" t="str">
            <v xml:space="preserve"> </v>
          </cell>
          <cell r="BF258"/>
          <cell r="BG258"/>
          <cell r="BH258" t="str">
            <v xml:space="preserve"> </v>
          </cell>
          <cell r="BI258"/>
          <cell r="BJ258" t="str">
            <v xml:space="preserve"> </v>
          </cell>
          <cell r="BK258"/>
          <cell r="BL258" t="str">
            <v xml:space="preserve"> </v>
          </cell>
          <cell r="BM258" t="str">
            <v xml:space="preserve"> </v>
          </cell>
          <cell r="BN258"/>
          <cell r="BO258" t="str">
            <v xml:space="preserve"> </v>
          </cell>
        </row>
        <row r="259">
          <cell r="B259">
            <v>46277</v>
          </cell>
          <cell r="C259"/>
          <cell r="D259" t="str">
            <v xml:space="preserve"> </v>
          </cell>
          <cell r="E259" t="str">
            <v xml:space="preserve"> </v>
          </cell>
          <cell r="F259"/>
          <cell r="G259" t="str">
            <v xml:space="preserve"> </v>
          </cell>
          <cell r="H259"/>
          <cell r="I259" t="str">
            <v xml:space="preserve"> </v>
          </cell>
          <cell r="J259" t="str">
            <v xml:space="preserve"> </v>
          </cell>
          <cell r="K259"/>
          <cell r="L259" t="str">
            <v xml:space="preserve"> </v>
          </cell>
          <cell r="M259"/>
          <cell r="N259" t="str">
            <v xml:space="preserve"> </v>
          </cell>
          <cell r="O259" t="str">
            <v xml:space="preserve"> </v>
          </cell>
          <cell r="P259"/>
          <cell r="Q259" t="str">
            <v xml:space="preserve"> </v>
          </cell>
          <cell r="R259"/>
          <cell r="S259" t="str">
            <v xml:space="preserve"> </v>
          </cell>
          <cell r="T259" t="str">
            <v xml:space="preserve"> </v>
          </cell>
          <cell r="U259"/>
          <cell r="V259" t="str">
            <v xml:space="preserve"> </v>
          </cell>
          <cell r="W259" t="str">
            <v xml:space="preserve"> </v>
          </cell>
          <cell r="X259"/>
          <cell r="Y259" t="str">
            <v xml:space="preserve"> </v>
          </cell>
          <cell r="Z259"/>
          <cell r="AA259" t="str">
            <v xml:space="preserve"> </v>
          </cell>
          <cell r="AB259" t="str">
            <v xml:space="preserve"> </v>
          </cell>
          <cell r="AC259"/>
          <cell r="AD259" t="str">
            <v xml:space="preserve"> </v>
          </cell>
          <cell r="AE259"/>
          <cell r="AF259" t="str">
            <v xml:space="preserve"> </v>
          </cell>
          <cell r="AG259"/>
          <cell r="AH259"/>
          <cell r="AI259"/>
          <cell r="AJ259"/>
          <cell r="AK259" t="str">
            <v/>
          </cell>
          <cell r="AL259"/>
          <cell r="AM259" t="str">
            <v xml:space="preserve"> </v>
          </cell>
          <cell r="AN259" t="str">
            <v xml:space="preserve"> </v>
          </cell>
          <cell r="AO259"/>
          <cell r="AP259" t="str">
            <v xml:space="preserve"> </v>
          </cell>
          <cell r="AQ259"/>
          <cell r="AR259" t="str">
            <v xml:space="preserve"> </v>
          </cell>
          <cell r="AS259" t="str">
            <v xml:space="preserve"> </v>
          </cell>
          <cell r="AT259"/>
          <cell r="AU259" t="str">
            <v xml:space="preserve"> </v>
          </cell>
          <cell r="AV259"/>
          <cell r="AW259"/>
          <cell r="AX259" t="str">
            <v xml:space="preserve"> </v>
          </cell>
          <cell r="AY259"/>
          <cell r="AZ259" t="str">
            <v xml:space="preserve"> </v>
          </cell>
          <cell r="BA259"/>
          <cell r="BB259"/>
          <cell r="BC259" t="str">
            <v xml:space="preserve"> </v>
          </cell>
          <cell r="BD259"/>
          <cell r="BE259" t="str">
            <v xml:space="preserve"> </v>
          </cell>
          <cell r="BF259"/>
          <cell r="BG259"/>
          <cell r="BH259" t="str">
            <v xml:space="preserve"> </v>
          </cell>
          <cell r="BI259"/>
          <cell r="BJ259" t="str">
            <v xml:space="preserve"> </v>
          </cell>
          <cell r="BK259"/>
          <cell r="BL259" t="str">
            <v xml:space="preserve"> </v>
          </cell>
          <cell r="BM259" t="str">
            <v xml:space="preserve"> </v>
          </cell>
          <cell r="BN259"/>
          <cell r="BO259" t="str">
            <v xml:space="preserve"> </v>
          </cell>
        </row>
        <row r="260">
          <cell r="B260">
            <v>46278</v>
          </cell>
          <cell r="C260"/>
          <cell r="D260" t="str">
            <v xml:space="preserve"> </v>
          </cell>
          <cell r="E260" t="str">
            <v xml:space="preserve"> </v>
          </cell>
          <cell r="F260"/>
          <cell r="G260" t="str">
            <v xml:space="preserve"> </v>
          </cell>
          <cell r="H260"/>
          <cell r="I260" t="str">
            <v xml:space="preserve"> </v>
          </cell>
          <cell r="J260" t="str">
            <v xml:space="preserve"> </v>
          </cell>
          <cell r="K260"/>
          <cell r="L260" t="str">
            <v xml:space="preserve"> </v>
          </cell>
          <cell r="M260"/>
          <cell r="N260" t="str">
            <v xml:space="preserve"> </v>
          </cell>
          <cell r="O260" t="str">
            <v xml:space="preserve"> </v>
          </cell>
          <cell r="P260"/>
          <cell r="Q260" t="str">
            <v xml:space="preserve"> </v>
          </cell>
          <cell r="R260"/>
          <cell r="S260" t="str">
            <v xml:space="preserve"> </v>
          </cell>
          <cell r="T260" t="str">
            <v xml:space="preserve"> </v>
          </cell>
          <cell r="U260"/>
          <cell r="V260" t="str">
            <v xml:space="preserve"> </v>
          </cell>
          <cell r="W260" t="str">
            <v xml:space="preserve"> </v>
          </cell>
          <cell r="X260"/>
          <cell r="Y260" t="str">
            <v xml:space="preserve"> </v>
          </cell>
          <cell r="Z260"/>
          <cell r="AA260" t="str">
            <v xml:space="preserve"> </v>
          </cell>
          <cell r="AB260" t="str">
            <v xml:space="preserve"> </v>
          </cell>
          <cell r="AC260"/>
          <cell r="AD260" t="str">
            <v xml:space="preserve"> </v>
          </cell>
          <cell r="AE260"/>
          <cell r="AF260" t="str">
            <v xml:space="preserve"> </v>
          </cell>
          <cell r="AG260"/>
          <cell r="AH260"/>
          <cell r="AI260"/>
          <cell r="AJ260"/>
          <cell r="AK260" t="str">
            <v/>
          </cell>
          <cell r="AL260"/>
          <cell r="AM260" t="str">
            <v xml:space="preserve"> </v>
          </cell>
          <cell r="AN260" t="str">
            <v xml:space="preserve"> </v>
          </cell>
          <cell r="AO260"/>
          <cell r="AP260" t="str">
            <v xml:space="preserve"> </v>
          </cell>
          <cell r="AQ260"/>
          <cell r="AR260" t="str">
            <v xml:space="preserve"> </v>
          </cell>
          <cell r="AS260" t="str">
            <v xml:space="preserve"> </v>
          </cell>
          <cell r="AT260"/>
          <cell r="AU260" t="str">
            <v xml:space="preserve"> </v>
          </cell>
          <cell r="AV260"/>
          <cell r="AW260"/>
          <cell r="AX260" t="str">
            <v xml:space="preserve"> </v>
          </cell>
          <cell r="AY260"/>
          <cell r="AZ260" t="str">
            <v xml:space="preserve"> </v>
          </cell>
          <cell r="BA260"/>
          <cell r="BB260"/>
          <cell r="BC260" t="str">
            <v xml:space="preserve"> </v>
          </cell>
          <cell r="BD260"/>
          <cell r="BE260" t="str">
            <v xml:space="preserve"> </v>
          </cell>
          <cell r="BF260"/>
          <cell r="BG260"/>
          <cell r="BH260" t="str">
            <v xml:space="preserve"> </v>
          </cell>
          <cell r="BI260"/>
          <cell r="BJ260" t="str">
            <v xml:space="preserve"> </v>
          </cell>
          <cell r="BK260"/>
          <cell r="BL260" t="str">
            <v xml:space="preserve"> </v>
          </cell>
          <cell r="BM260" t="str">
            <v xml:space="preserve"> </v>
          </cell>
          <cell r="BN260"/>
          <cell r="BO260" t="str">
            <v xml:space="preserve"> </v>
          </cell>
        </row>
        <row r="261">
          <cell r="B261">
            <v>46279</v>
          </cell>
          <cell r="C261"/>
          <cell r="D261" t="str">
            <v xml:space="preserve"> </v>
          </cell>
          <cell r="E261" t="str">
            <v xml:space="preserve"> </v>
          </cell>
          <cell r="F261"/>
          <cell r="G261" t="str">
            <v xml:space="preserve"> </v>
          </cell>
          <cell r="H261"/>
          <cell r="I261" t="str">
            <v xml:space="preserve"> </v>
          </cell>
          <cell r="J261" t="str">
            <v xml:space="preserve"> </v>
          </cell>
          <cell r="K261"/>
          <cell r="L261" t="str">
            <v xml:space="preserve"> </v>
          </cell>
          <cell r="M261"/>
          <cell r="N261" t="str">
            <v xml:space="preserve"> </v>
          </cell>
          <cell r="O261" t="str">
            <v xml:space="preserve"> </v>
          </cell>
          <cell r="P261"/>
          <cell r="Q261" t="str">
            <v xml:space="preserve"> </v>
          </cell>
          <cell r="R261"/>
          <cell r="S261" t="str">
            <v xml:space="preserve"> </v>
          </cell>
          <cell r="T261" t="str">
            <v xml:space="preserve"> </v>
          </cell>
          <cell r="U261"/>
          <cell r="V261" t="str">
            <v xml:space="preserve"> </v>
          </cell>
          <cell r="W261" t="str">
            <v xml:space="preserve"> </v>
          </cell>
          <cell r="X261"/>
          <cell r="Y261" t="str">
            <v xml:space="preserve"> </v>
          </cell>
          <cell r="Z261"/>
          <cell r="AA261" t="str">
            <v xml:space="preserve"> </v>
          </cell>
          <cell r="AB261" t="str">
            <v xml:space="preserve"> </v>
          </cell>
          <cell r="AC261"/>
          <cell r="AD261" t="str">
            <v xml:space="preserve"> </v>
          </cell>
          <cell r="AE261"/>
          <cell r="AF261" t="str">
            <v xml:space="preserve"> </v>
          </cell>
          <cell r="AG261"/>
          <cell r="AH261"/>
          <cell r="AI261"/>
          <cell r="AJ261"/>
          <cell r="AK261" t="str">
            <v/>
          </cell>
          <cell r="AL261"/>
          <cell r="AM261" t="str">
            <v xml:space="preserve"> </v>
          </cell>
          <cell r="AN261" t="str">
            <v xml:space="preserve"> </v>
          </cell>
          <cell r="AO261"/>
          <cell r="AP261" t="str">
            <v xml:space="preserve"> </v>
          </cell>
          <cell r="AQ261"/>
          <cell r="AR261" t="str">
            <v xml:space="preserve"> </v>
          </cell>
          <cell r="AS261" t="str">
            <v xml:space="preserve"> </v>
          </cell>
          <cell r="AT261"/>
          <cell r="AU261" t="str">
            <v xml:space="preserve"> </v>
          </cell>
          <cell r="AV261"/>
          <cell r="AW261"/>
          <cell r="AX261" t="str">
            <v xml:space="preserve"> </v>
          </cell>
          <cell r="AY261"/>
          <cell r="AZ261" t="str">
            <v xml:space="preserve"> </v>
          </cell>
          <cell r="BA261"/>
          <cell r="BB261"/>
          <cell r="BC261" t="str">
            <v xml:space="preserve"> </v>
          </cell>
          <cell r="BD261"/>
          <cell r="BE261" t="str">
            <v xml:space="preserve"> </v>
          </cell>
          <cell r="BF261"/>
          <cell r="BG261"/>
          <cell r="BH261" t="str">
            <v xml:space="preserve"> </v>
          </cell>
          <cell r="BI261"/>
          <cell r="BJ261" t="str">
            <v xml:space="preserve"> </v>
          </cell>
          <cell r="BK261"/>
          <cell r="BL261" t="str">
            <v xml:space="preserve"> </v>
          </cell>
          <cell r="BM261" t="str">
            <v xml:space="preserve"> </v>
          </cell>
          <cell r="BN261"/>
          <cell r="BO261" t="str">
            <v xml:space="preserve"> </v>
          </cell>
        </row>
        <row r="262">
          <cell r="B262">
            <v>46280</v>
          </cell>
          <cell r="C262"/>
          <cell r="D262" t="str">
            <v xml:space="preserve"> </v>
          </cell>
          <cell r="E262" t="str">
            <v xml:space="preserve"> </v>
          </cell>
          <cell r="F262"/>
          <cell r="G262" t="str">
            <v xml:space="preserve"> </v>
          </cell>
          <cell r="H262"/>
          <cell r="I262" t="str">
            <v xml:space="preserve"> </v>
          </cell>
          <cell r="J262" t="str">
            <v xml:space="preserve"> </v>
          </cell>
          <cell r="K262"/>
          <cell r="L262" t="str">
            <v xml:space="preserve"> </v>
          </cell>
          <cell r="M262"/>
          <cell r="N262" t="str">
            <v xml:space="preserve"> </v>
          </cell>
          <cell r="O262" t="str">
            <v xml:space="preserve"> </v>
          </cell>
          <cell r="P262"/>
          <cell r="Q262" t="str">
            <v xml:space="preserve"> </v>
          </cell>
          <cell r="R262"/>
          <cell r="S262" t="str">
            <v xml:space="preserve"> </v>
          </cell>
          <cell r="T262" t="str">
            <v xml:space="preserve"> </v>
          </cell>
          <cell r="U262"/>
          <cell r="V262" t="str">
            <v xml:space="preserve"> </v>
          </cell>
          <cell r="W262" t="str">
            <v xml:space="preserve"> </v>
          </cell>
          <cell r="X262"/>
          <cell r="Y262" t="str">
            <v xml:space="preserve"> </v>
          </cell>
          <cell r="Z262"/>
          <cell r="AA262" t="str">
            <v xml:space="preserve"> </v>
          </cell>
          <cell r="AB262" t="str">
            <v xml:space="preserve"> </v>
          </cell>
          <cell r="AC262"/>
          <cell r="AD262" t="str">
            <v xml:space="preserve"> </v>
          </cell>
          <cell r="AE262"/>
          <cell r="AF262" t="str">
            <v xml:space="preserve"> </v>
          </cell>
          <cell r="AG262"/>
          <cell r="AH262"/>
          <cell r="AI262"/>
          <cell r="AJ262"/>
          <cell r="AK262" t="str">
            <v/>
          </cell>
          <cell r="AL262"/>
          <cell r="AM262" t="str">
            <v xml:space="preserve"> </v>
          </cell>
          <cell r="AN262" t="str">
            <v xml:space="preserve"> </v>
          </cell>
          <cell r="AO262"/>
          <cell r="AP262" t="str">
            <v xml:space="preserve"> </v>
          </cell>
          <cell r="AQ262"/>
          <cell r="AR262" t="str">
            <v xml:space="preserve"> </v>
          </cell>
          <cell r="AS262" t="str">
            <v xml:space="preserve"> </v>
          </cell>
          <cell r="AT262"/>
          <cell r="AU262" t="str">
            <v xml:space="preserve"> </v>
          </cell>
          <cell r="AV262"/>
          <cell r="AW262"/>
          <cell r="AX262" t="str">
            <v xml:space="preserve"> </v>
          </cell>
          <cell r="AY262"/>
          <cell r="AZ262" t="str">
            <v xml:space="preserve"> </v>
          </cell>
          <cell r="BA262"/>
          <cell r="BB262"/>
          <cell r="BC262" t="str">
            <v xml:space="preserve"> </v>
          </cell>
          <cell r="BD262"/>
          <cell r="BE262" t="str">
            <v xml:space="preserve"> </v>
          </cell>
          <cell r="BF262"/>
          <cell r="BG262"/>
          <cell r="BH262" t="str">
            <v xml:space="preserve"> </v>
          </cell>
          <cell r="BI262"/>
          <cell r="BJ262" t="str">
            <v xml:space="preserve"> </v>
          </cell>
          <cell r="BK262"/>
          <cell r="BL262" t="str">
            <v xml:space="preserve"> </v>
          </cell>
          <cell r="BM262" t="str">
            <v xml:space="preserve"> </v>
          </cell>
          <cell r="BN262"/>
          <cell r="BO262" t="str">
            <v xml:space="preserve"> </v>
          </cell>
        </row>
        <row r="263">
          <cell r="B263">
            <v>46281</v>
          </cell>
          <cell r="C263"/>
          <cell r="D263" t="str">
            <v xml:space="preserve"> </v>
          </cell>
          <cell r="E263" t="str">
            <v xml:space="preserve"> </v>
          </cell>
          <cell r="F263"/>
          <cell r="G263" t="str">
            <v xml:space="preserve"> </v>
          </cell>
          <cell r="H263"/>
          <cell r="I263" t="str">
            <v xml:space="preserve"> </v>
          </cell>
          <cell r="J263" t="str">
            <v xml:space="preserve"> </v>
          </cell>
          <cell r="K263"/>
          <cell r="L263" t="str">
            <v xml:space="preserve"> </v>
          </cell>
          <cell r="M263"/>
          <cell r="N263" t="str">
            <v xml:space="preserve"> </v>
          </cell>
          <cell r="O263" t="str">
            <v xml:space="preserve"> </v>
          </cell>
          <cell r="P263"/>
          <cell r="Q263" t="str">
            <v xml:space="preserve"> </v>
          </cell>
          <cell r="R263"/>
          <cell r="S263" t="str">
            <v xml:space="preserve"> </v>
          </cell>
          <cell r="T263" t="str">
            <v xml:space="preserve"> </v>
          </cell>
          <cell r="U263"/>
          <cell r="V263" t="str">
            <v xml:space="preserve"> </v>
          </cell>
          <cell r="W263" t="str">
            <v xml:space="preserve"> </v>
          </cell>
          <cell r="X263"/>
          <cell r="Y263" t="str">
            <v xml:space="preserve"> </v>
          </cell>
          <cell r="Z263"/>
          <cell r="AA263" t="str">
            <v xml:space="preserve"> </v>
          </cell>
          <cell r="AB263" t="str">
            <v xml:space="preserve"> </v>
          </cell>
          <cell r="AC263"/>
          <cell r="AD263" t="str">
            <v xml:space="preserve"> </v>
          </cell>
          <cell r="AE263"/>
          <cell r="AF263" t="str">
            <v xml:space="preserve"> </v>
          </cell>
          <cell r="AG263"/>
          <cell r="AH263"/>
          <cell r="AI263"/>
          <cell r="AJ263"/>
          <cell r="AK263" t="str">
            <v/>
          </cell>
          <cell r="AL263"/>
          <cell r="AM263" t="str">
            <v xml:space="preserve"> </v>
          </cell>
          <cell r="AN263" t="str">
            <v xml:space="preserve"> </v>
          </cell>
          <cell r="AO263"/>
          <cell r="AP263" t="str">
            <v xml:space="preserve"> </v>
          </cell>
          <cell r="AQ263"/>
          <cell r="AR263" t="str">
            <v xml:space="preserve"> </v>
          </cell>
          <cell r="AS263" t="str">
            <v xml:space="preserve"> </v>
          </cell>
          <cell r="AT263"/>
          <cell r="AU263" t="str">
            <v xml:space="preserve"> </v>
          </cell>
          <cell r="AV263"/>
          <cell r="AW263"/>
          <cell r="AX263" t="str">
            <v xml:space="preserve"> </v>
          </cell>
          <cell r="AY263"/>
          <cell r="AZ263" t="str">
            <v xml:space="preserve"> </v>
          </cell>
          <cell r="BA263"/>
          <cell r="BB263"/>
          <cell r="BC263" t="str">
            <v xml:space="preserve"> </v>
          </cell>
          <cell r="BD263"/>
          <cell r="BE263" t="str">
            <v xml:space="preserve"> </v>
          </cell>
          <cell r="BF263"/>
          <cell r="BG263"/>
          <cell r="BH263" t="str">
            <v xml:space="preserve"> </v>
          </cell>
          <cell r="BI263"/>
          <cell r="BJ263" t="str">
            <v xml:space="preserve"> </v>
          </cell>
          <cell r="BK263"/>
          <cell r="BL263" t="str">
            <v xml:space="preserve"> </v>
          </cell>
          <cell r="BM263" t="str">
            <v xml:space="preserve"> </v>
          </cell>
          <cell r="BN263"/>
          <cell r="BO263" t="str">
            <v xml:space="preserve"> </v>
          </cell>
        </row>
        <row r="264">
          <cell r="B264">
            <v>46282</v>
          </cell>
          <cell r="C264"/>
          <cell r="D264" t="str">
            <v xml:space="preserve"> </v>
          </cell>
          <cell r="E264" t="str">
            <v xml:space="preserve"> </v>
          </cell>
          <cell r="F264"/>
          <cell r="G264" t="str">
            <v xml:space="preserve"> </v>
          </cell>
          <cell r="H264"/>
          <cell r="I264" t="str">
            <v xml:space="preserve"> </v>
          </cell>
          <cell r="J264" t="str">
            <v xml:space="preserve"> </v>
          </cell>
          <cell r="K264"/>
          <cell r="L264" t="str">
            <v xml:space="preserve"> </v>
          </cell>
          <cell r="M264"/>
          <cell r="N264" t="str">
            <v xml:space="preserve"> </v>
          </cell>
          <cell r="O264" t="str">
            <v xml:space="preserve"> </v>
          </cell>
          <cell r="P264"/>
          <cell r="Q264" t="str">
            <v xml:space="preserve"> </v>
          </cell>
          <cell r="R264"/>
          <cell r="S264" t="str">
            <v xml:space="preserve"> </v>
          </cell>
          <cell r="T264" t="str">
            <v xml:space="preserve"> </v>
          </cell>
          <cell r="U264"/>
          <cell r="V264" t="str">
            <v xml:space="preserve"> </v>
          </cell>
          <cell r="W264" t="str">
            <v xml:space="preserve"> </v>
          </cell>
          <cell r="X264"/>
          <cell r="Y264" t="str">
            <v xml:space="preserve"> </v>
          </cell>
          <cell r="Z264"/>
          <cell r="AA264" t="str">
            <v xml:space="preserve"> </v>
          </cell>
          <cell r="AB264" t="str">
            <v xml:space="preserve"> </v>
          </cell>
          <cell r="AC264"/>
          <cell r="AD264" t="str">
            <v xml:space="preserve"> </v>
          </cell>
          <cell r="AE264"/>
          <cell r="AF264" t="str">
            <v xml:space="preserve"> </v>
          </cell>
          <cell r="AG264"/>
          <cell r="AH264"/>
          <cell r="AI264"/>
          <cell r="AJ264"/>
          <cell r="AK264" t="str">
            <v/>
          </cell>
          <cell r="AL264"/>
          <cell r="AM264" t="str">
            <v xml:space="preserve"> </v>
          </cell>
          <cell r="AN264" t="str">
            <v xml:space="preserve"> </v>
          </cell>
          <cell r="AO264"/>
          <cell r="AP264" t="str">
            <v xml:space="preserve"> </v>
          </cell>
          <cell r="AQ264"/>
          <cell r="AR264" t="str">
            <v xml:space="preserve"> </v>
          </cell>
          <cell r="AS264" t="str">
            <v xml:space="preserve"> </v>
          </cell>
          <cell r="AT264"/>
          <cell r="AU264" t="str">
            <v xml:space="preserve"> </v>
          </cell>
          <cell r="AV264"/>
          <cell r="AW264"/>
          <cell r="AX264" t="str">
            <v xml:space="preserve"> </v>
          </cell>
          <cell r="AY264"/>
          <cell r="AZ264" t="str">
            <v xml:space="preserve"> </v>
          </cell>
          <cell r="BA264"/>
          <cell r="BB264"/>
          <cell r="BC264" t="str">
            <v xml:space="preserve"> </v>
          </cell>
          <cell r="BD264"/>
          <cell r="BE264" t="str">
            <v xml:space="preserve"> </v>
          </cell>
          <cell r="BF264"/>
          <cell r="BG264"/>
          <cell r="BH264" t="str">
            <v xml:space="preserve"> </v>
          </cell>
          <cell r="BI264"/>
          <cell r="BJ264" t="str">
            <v xml:space="preserve"> </v>
          </cell>
          <cell r="BK264"/>
          <cell r="BL264" t="str">
            <v xml:space="preserve"> </v>
          </cell>
          <cell r="BM264" t="str">
            <v xml:space="preserve"> </v>
          </cell>
          <cell r="BN264"/>
          <cell r="BO264" t="str">
            <v xml:space="preserve"> </v>
          </cell>
        </row>
        <row r="265">
          <cell r="B265">
            <v>46283</v>
          </cell>
          <cell r="C265"/>
          <cell r="D265" t="str">
            <v xml:space="preserve"> </v>
          </cell>
          <cell r="E265" t="str">
            <v xml:space="preserve"> </v>
          </cell>
          <cell r="F265"/>
          <cell r="G265" t="str">
            <v xml:space="preserve"> </v>
          </cell>
          <cell r="H265"/>
          <cell r="I265" t="str">
            <v xml:space="preserve"> </v>
          </cell>
          <cell r="J265" t="str">
            <v xml:space="preserve"> </v>
          </cell>
          <cell r="K265"/>
          <cell r="L265" t="str">
            <v xml:space="preserve"> </v>
          </cell>
          <cell r="M265"/>
          <cell r="N265" t="str">
            <v xml:space="preserve"> </v>
          </cell>
          <cell r="O265" t="str">
            <v xml:space="preserve"> </v>
          </cell>
          <cell r="P265"/>
          <cell r="Q265" t="str">
            <v xml:space="preserve"> </v>
          </cell>
          <cell r="R265"/>
          <cell r="S265" t="str">
            <v xml:space="preserve"> </v>
          </cell>
          <cell r="T265" t="str">
            <v xml:space="preserve"> </v>
          </cell>
          <cell r="U265"/>
          <cell r="V265" t="str">
            <v xml:space="preserve"> </v>
          </cell>
          <cell r="W265" t="str">
            <v xml:space="preserve"> </v>
          </cell>
          <cell r="X265"/>
          <cell r="Y265" t="str">
            <v xml:space="preserve"> </v>
          </cell>
          <cell r="Z265"/>
          <cell r="AA265" t="str">
            <v xml:space="preserve"> </v>
          </cell>
          <cell r="AB265" t="str">
            <v xml:space="preserve"> </v>
          </cell>
          <cell r="AC265"/>
          <cell r="AD265" t="str">
            <v xml:space="preserve"> </v>
          </cell>
          <cell r="AE265"/>
          <cell r="AF265" t="str">
            <v xml:space="preserve"> </v>
          </cell>
          <cell r="AG265"/>
          <cell r="AH265"/>
          <cell r="AI265"/>
          <cell r="AJ265"/>
          <cell r="AK265" t="str">
            <v/>
          </cell>
          <cell r="AL265"/>
          <cell r="AM265" t="str">
            <v xml:space="preserve"> </v>
          </cell>
          <cell r="AN265" t="str">
            <v xml:space="preserve"> </v>
          </cell>
          <cell r="AO265"/>
          <cell r="AP265" t="str">
            <v xml:space="preserve"> </v>
          </cell>
          <cell r="AQ265"/>
          <cell r="AR265" t="str">
            <v xml:space="preserve"> </v>
          </cell>
          <cell r="AS265" t="str">
            <v xml:space="preserve"> </v>
          </cell>
          <cell r="AT265"/>
          <cell r="AU265" t="str">
            <v xml:space="preserve"> </v>
          </cell>
          <cell r="AV265"/>
          <cell r="AW265"/>
          <cell r="AX265" t="str">
            <v xml:space="preserve"> </v>
          </cell>
          <cell r="AY265"/>
          <cell r="AZ265" t="str">
            <v xml:space="preserve"> </v>
          </cell>
          <cell r="BA265"/>
          <cell r="BB265"/>
          <cell r="BC265" t="str">
            <v xml:space="preserve"> </v>
          </cell>
          <cell r="BD265"/>
          <cell r="BE265" t="str">
            <v xml:space="preserve"> </v>
          </cell>
          <cell r="BF265"/>
          <cell r="BG265"/>
          <cell r="BH265" t="str">
            <v xml:space="preserve"> </v>
          </cell>
          <cell r="BI265"/>
          <cell r="BJ265" t="str">
            <v xml:space="preserve"> </v>
          </cell>
          <cell r="BK265"/>
          <cell r="BL265" t="str">
            <v xml:space="preserve"> </v>
          </cell>
          <cell r="BM265" t="str">
            <v xml:space="preserve"> </v>
          </cell>
          <cell r="BN265"/>
          <cell r="BO265" t="str">
            <v xml:space="preserve"> </v>
          </cell>
        </row>
        <row r="266">
          <cell r="B266">
            <v>46284</v>
          </cell>
          <cell r="C266"/>
          <cell r="D266" t="str">
            <v xml:space="preserve"> </v>
          </cell>
          <cell r="E266" t="str">
            <v xml:space="preserve"> </v>
          </cell>
          <cell r="F266"/>
          <cell r="G266" t="str">
            <v xml:space="preserve"> </v>
          </cell>
          <cell r="H266"/>
          <cell r="I266" t="str">
            <v xml:space="preserve"> </v>
          </cell>
          <cell r="J266" t="str">
            <v xml:space="preserve"> </v>
          </cell>
          <cell r="K266"/>
          <cell r="L266" t="str">
            <v xml:space="preserve"> </v>
          </cell>
          <cell r="M266"/>
          <cell r="N266" t="str">
            <v xml:space="preserve"> </v>
          </cell>
          <cell r="O266" t="str">
            <v xml:space="preserve"> </v>
          </cell>
          <cell r="P266"/>
          <cell r="Q266" t="str">
            <v xml:space="preserve"> </v>
          </cell>
          <cell r="R266"/>
          <cell r="S266" t="str">
            <v xml:space="preserve"> </v>
          </cell>
          <cell r="T266" t="str">
            <v xml:space="preserve"> </v>
          </cell>
          <cell r="U266"/>
          <cell r="V266" t="str">
            <v xml:space="preserve"> </v>
          </cell>
          <cell r="W266" t="str">
            <v xml:space="preserve"> </v>
          </cell>
          <cell r="X266"/>
          <cell r="Y266" t="str">
            <v xml:space="preserve"> </v>
          </cell>
          <cell r="Z266"/>
          <cell r="AA266" t="str">
            <v xml:space="preserve"> </v>
          </cell>
          <cell r="AB266" t="str">
            <v xml:space="preserve"> </v>
          </cell>
          <cell r="AC266"/>
          <cell r="AD266" t="str">
            <v xml:space="preserve"> </v>
          </cell>
          <cell r="AE266"/>
          <cell r="AF266" t="str">
            <v xml:space="preserve"> </v>
          </cell>
          <cell r="AG266"/>
          <cell r="AH266"/>
          <cell r="AI266"/>
          <cell r="AJ266"/>
          <cell r="AK266" t="str">
            <v/>
          </cell>
          <cell r="AL266"/>
          <cell r="AM266" t="str">
            <v xml:space="preserve"> </v>
          </cell>
          <cell r="AN266" t="str">
            <v xml:space="preserve"> </v>
          </cell>
          <cell r="AO266"/>
          <cell r="AP266" t="str">
            <v xml:space="preserve"> </v>
          </cell>
          <cell r="AQ266"/>
          <cell r="AR266" t="str">
            <v xml:space="preserve"> </v>
          </cell>
          <cell r="AS266" t="str">
            <v xml:space="preserve"> </v>
          </cell>
          <cell r="AT266"/>
          <cell r="AU266" t="str">
            <v xml:space="preserve"> </v>
          </cell>
          <cell r="AV266"/>
          <cell r="AW266"/>
          <cell r="AX266" t="str">
            <v xml:space="preserve"> </v>
          </cell>
          <cell r="AY266"/>
          <cell r="AZ266" t="str">
            <v xml:space="preserve"> </v>
          </cell>
          <cell r="BA266"/>
          <cell r="BB266"/>
          <cell r="BC266" t="str">
            <v xml:space="preserve"> </v>
          </cell>
          <cell r="BD266"/>
          <cell r="BE266" t="str">
            <v xml:space="preserve"> </v>
          </cell>
          <cell r="BF266"/>
          <cell r="BG266"/>
          <cell r="BH266" t="str">
            <v xml:space="preserve"> </v>
          </cell>
          <cell r="BI266"/>
          <cell r="BJ266" t="str">
            <v xml:space="preserve"> </v>
          </cell>
          <cell r="BK266"/>
          <cell r="BL266" t="str">
            <v xml:space="preserve"> </v>
          </cell>
          <cell r="BM266" t="str">
            <v xml:space="preserve"> </v>
          </cell>
          <cell r="BN266"/>
          <cell r="BO266" t="str">
            <v xml:space="preserve"> </v>
          </cell>
        </row>
        <row r="267">
          <cell r="B267">
            <v>46285</v>
          </cell>
          <cell r="C267"/>
          <cell r="D267" t="str">
            <v xml:space="preserve"> </v>
          </cell>
          <cell r="E267" t="str">
            <v xml:space="preserve"> </v>
          </cell>
          <cell r="F267"/>
          <cell r="G267" t="str">
            <v xml:space="preserve"> </v>
          </cell>
          <cell r="H267"/>
          <cell r="I267" t="str">
            <v xml:space="preserve"> </v>
          </cell>
          <cell r="J267" t="str">
            <v xml:space="preserve"> </v>
          </cell>
          <cell r="K267"/>
          <cell r="L267" t="str">
            <v xml:space="preserve"> </v>
          </cell>
          <cell r="M267"/>
          <cell r="N267" t="str">
            <v xml:space="preserve"> </v>
          </cell>
          <cell r="O267" t="str">
            <v xml:space="preserve"> </v>
          </cell>
          <cell r="P267"/>
          <cell r="Q267" t="str">
            <v xml:space="preserve"> </v>
          </cell>
          <cell r="R267"/>
          <cell r="S267" t="str">
            <v xml:space="preserve"> </v>
          </cell>
          <cell r="T267" t="str">
            <v xml:space="preserve"> </v>
          </cell>
          <cell r="U267"/>
          <cell r="V267" t="str">
            <v xml:space="preserve"> </v>
          </cell>
          <cell r="W267" t="str">
            <v xml:space="preserve"> </v>
          </cell>
          <cell r="X267"/>
          <cell r="Y267" t="str">
            <v xml:space="preserve"> </v>
          </cell>
          <cell r="Z267"/>
          <cell r="AA267" t="str">
            <v xml:space="preserve"> </v>
          </cell>
          <cell r="AB267" t="str">
            <v xml:space="preserve"> </v>
          </cell>
          <cell r="AC267"/>
          <cell r="AD267" t="str">
            <v xml:space="preserve"> </v>
          </cell>
          <cell r="AE267"/>
          <cell r="AF267" t="str">
            <v xml:space="preserve"> </v>
          </cell>
          <cell r="AG267"/>
          <cell r="AH267"/>
          <cell r="AI267"/>
          <cell r="AJ267"/>
          <cell r="AK267" t="str">
            <v/>
          </cell>
          <cell r="AL267"/>
          <cell r="AM267" t="str">
            <v xml:space="preserve"> </v>
          </cell>
          <cell r="AN267" t="str">
            <v xml:space="preserve"> </v>
          </cell>
          <cell r="AO267"/>
          <cell r="AP267" t="str">
            <v xml:space="preserve"> </v>
          </cell>
          <cell r="AQ267"/>
          <cell r="AR267" t="str">
            <v xml:space="preserve"> </v>
          </cell>
          <cell r="AS267" t="str">
            <v xml:space="preserve"> </v>
          </cell>
          <cell r="AT267"/>
          <cell r="AU267" t="str">
            <v xml:space="preserve"> </v>
          </cell>
          <cell r="AV267"/>
          <cell r="AW267"/>
          <cell r="AX267" t="str">
            <v xml:space="preserve"> </v>
          </cell>
          <cell r="AY267"/>
          <cell r="AZ267" t="str">
            <v xml:space="preserve"> </v>
          </cell>
          <cell r="BA267"/>
          <cell r="BB267"/>
          <cell r="BC267" t="str">
            <v xml:space="preserve"> </v>
          </cell>
          <cell r="BD267"/>
          <cell r="BE267" t="str">
            <v xml:space="preserve"> </v>
          </cell>
          <cell r="BF267"/>
          <cell r="BG267"/>
          <cell r="BH267" t="str">
            <v xml:space="preserve"> </v>
          </cell>
          <cell r="BI267"/>
          <cell r="BJ267" t="str">
            <v xml:space="preserve"> </v>
          </cell>
          <cell r="BK267"/>
          <cell r="BL267" t="str">
            <v xml:space="preserve"> </v>
          </cell>
          <cell r="BM267" t="str">
            <v xml:space="preserve"> </v>
          </cell>
          <cell r="BN267"/>
          <cell r="BO267" t="str">
            <v xml:space="preserve"> </v>
          </cell>
        </row>
        <row r="268">
          <cell r="B268">
            <v>46286</v>
          </cell>
          <cell r="C268"/>
          <cell r="D268" t="str">
            <v xml:space="preserve"> </v>
          </cell>
          <cell r="E268" t="str">
            <v xml:space="preserve"> </v>
          </cell>
          <cell r="F268"/>
          <cell r="G268" t="str">
            <v xml:space="preserve"> </v>
          </cell>
          <cell r="H268"/>
          <cell r="I268" t="str">
            <v xml:space="preserve"> </v>
          </cell>
          <cell r="J268" t="str">
            <v xml:space="preserve"> </v>
          </cell>
          <cell r="K268"/>
          <cell r="L268" t="str">
            <v xml:space="preserve"> </v>
          </cell>
          <cell r="M268"/>
          <cell r="N268" t="str">
            <v xml:space="preserve"> </v>
          </cell>
          <cell r="O268" t="str">
            <v xml:space="preserve"> </v>
          </cell>
          <cell r="P268"/>
          <cell r="Q268" t="str">
            <v xml:space="preserve"> </v>
          </cell>
          <cell r="R268"/>
          <cell r="S268" t="str">
            <v xml:space="preserve"> </v>
          </cell>
          <cell r="T268" t="str">
            <v xml:space="preserve"> </v>
          </cell>
          <cell r="U268"/>
          <cell r="V268" t="str">
            <v xml:space="preserve"> </v>
          </cell>
          <cell r="W268" t="str">
            <v xml:space="preserve"> </v>
          </cell>
          <cell r="X268"/>
          <cell r="Y268" t="str">
            <v xml:space="preserve"> </v>
          </cell>
          <cell r="Z268"/>
          <cell r="AA268" t="str">
            <v xml:space="preserve"> </v>
          </cell>
          <cell r="AB268" t="str">
            <v xml:space="preserve"> </v>
          </cell>
          <cell r="AC268"/>
          <cell r="AD268" t="str">
            <v xml:space="preserve"> </v>
          </cell>
          <cell r="AE268"/>
          <cell r="AF268" t="str">
            <v xml:space="preserve"> </v>
          </cell>
          <cell r="AG268"/>
          <cell r="AH268"/>
          <cell r="AI268"/>
          <cell r="AJ268"/>
          <cell r="AK268" t="str">
            <v/>
          </cell>
          <cell r="AL268"/>
          <cell r="AM268" t="str">
            <v xml:space="preserve"> </v>
          </cell>
          <cell r="AN268" t="str">
            <v xml:space="preserve"> </v>
          </cell>
          <cell r="AO268"/>
          <cell r="AP268" t="str">
            <v xml:space="preserve"> </v>
          </cell>
          <cell r="AQ268"/>
          <cell r="AR268" t="str">
            <v xml:space="preserve"> </v>
          </cell>
          <cell r="AS268" t="str">
            <v xml:space="preserve"> </v>
          </cell>
          <cell r="AT268"/>
          <cell r="AU268" t="str">
            <v xml:space="preserve"> </v>
          </cell>
          <cell r="AV268"/>
          <cell r="AW268"/>
          <cell r="AX268" t="str">
            <v xml:space="preserve"> </v>
          </cell>
          <cell r="AY268"/>
          <cell r="AZ268" t="str">
            <v xml:space="preserve"> </v>
          </cell>
          <cell r="BA268"/>
          <cell r="BB268"/>
          <cell r="BC268" t="str">
            <v xml:space="preserve"> </v>
          </cell>
          <cell r="BD268"/>
          <cell r="BE268" t="str">
            <v xml:space="preserve"> </v>
          </cell>
          <cell r="BF268"/>
          <cell r="BG268"/>
          <cell r="BH268" t="str">
            <v xml:space="preserve"> </v>
          </cell>
          <cell r="BI268"/>
          <cell r="BJ268" t="str">
            <v xml:space="preserve"> </v>
          </cell>
          <cell r="BK268"/>
          <cell r="BL268" t="str">
            <v xml:space="preserve"> </v>
          </cell>
          <cell r="BM268" t="str">
            <v xml:space="preserve"> </v>
          </cell>
          <cell r="BN268"/>
          <cell r="BO268" t="str">
            <v xml:space="preserve"> </v>
          </cell>
        </row>
        <row r="269">
          <cell r="B269">
            <v>46287</v>
          </cell>
          <cell r="C269"/>
          <cell r="D269" t="str">
            <v xml:space="preserve"> </v>
          </cell>
          <cell r="E269" t="str">
            <v xml:space="preserve"> </v>
          </cell>
          <cell r="F269"/>
          <cell r="G269" t="str">
            <v xml:space="preserve"> </v>
          </cell>
          <cell r="H269"/>
          <cell r="I269" t="str">
            <v xml:space="preserve"> </v>
          </cell>
          <cell r="J269" t="str">
            <v xml:space="preserve"> </v>
          </cell>
          <cell r="K269"/>
          <cell r="L269" t="str">
            <v xml:space="preserve"> </v>
          </cell>
          <cell r="M269"/>
          <cell r="N269" t="str">
            <v xml:space="preserve"> </v>
          </cell>
          <cell r="O269" t="str">
            <v xml:space="preserve"> </v>
          </cell>
          <cell r="P269"/>
          <cell r="Q269" t="str">
            <v xml:space="preserve"> </v>
          </cell>
          <cell r="R269"/>
          <cell r="S269" t="str">
            <v xml:space="preserve"> </v>
          </cell>
          <cell r="T269" t="str">
            <v xml:space="preserve"> </v>
          </cell>
          <cell r="U269"/>
          <cell r="V269" t="str">
            <v xml:space="preserve"> </v>
          </cell>
          <cell r="W269" t="str">
            <v xml:space="preserve"> </v>
          </cell>
          <cell r="X269"/>
          <cell r="Y269" t="str">
            <v xml:space="preserve"> </v>
          </cell>
          <cell r="Z269"/>
          <cell r="AA269" t="str">
            <v xml:space="preserve"> </v>
          </cell>
          <cell r="AB269" t="str">
            <v xml:space="preserve"> </v>
          </cell>
          <cell r="AC269"/>
          <cell r="AD269" t="str">
            <v xml:space="preserve"> </v>
          </cell>
          <cell r="AE269"/>
          <cell r="AF269" t="str">
            <v xml:space="preserve"> </v>
          </cell>
          <cell r="AG269"/>
          <cell r="AH269"/>
          <cell r="AI269"/>
          <cell r="AJ269"/>
          <cell r="AK269" t="str">
            <v/>
          </cell>
          <cell r="AL269"/>
          <cell r="AM269" t="str">
            <v xml:space="preserve"> </v>
          </cell>
          <cell r="AN269" t="str">
            <v xml:space="preserve"> </v>
          </cell>
          <cell r="AO269"/>
          <cell r="AP269" t="str">
            <v xml:space="preserve"> </v>
          </cell>
          <cell r="AQ269"/>
          <cell r="AR269" t="str">
            <v xml:space="preserve"> </v>
          </cell>
          <cell r="AS269" t="str">
            <v xml:space="preserve"> </v>
          </cell>
          <cell r="AT269"/>
          <cell r="AU269" t="str">
            <v xml:space="preserve"> </v>
          </cell>
          <cell r="AV269"/>
          <cell r="AW269"/>
          <cell r="AX269" t="str">
            <v xml:space="preserve"> </v>
          </cell>
          <cell r="AY269"/>
          <cell r="AZ269" t="str">
            <v xml:space="preserve"> </v>
          </cell>
          <cell r="BA269"/>
          <cell r="BB269"/>
          <cell r="BC269" t="str">
            <v xml:space="preserve"> </v>
          </cell>
          <cell r="BD269"/>
          <cell r="BE269" t="str">
            <v xml:space="preserve"> </v>
          </cell>
          <cell r="BF269"/>
          <cell r="BG269"/>
          <cell r="BH269" t="str">
            <v xml:space="preserve"> </v>
          </cell>
          <cell r="BI269"/>
          <cell r="BJ269" t="str">
            <v xml:space="preserve"> </v>
          </cell>
          <cell r="BK269"/>
          <cell r="BL269" t="str">
            <v xml:space="preserve"> </v>
          </cell>
          <cell r="BM269" t="str">
            <v xml:space="preserve"> </v>
          </cell>
          <cell r="BN269"/>
          <cell r="BO269" t="str">
            <v xml:space="preserve"> </v>
          </cell>
        </row>
        <row r="270">
          <cell r="B270">
            <v>46288</v>
          </cell>
          <cell r="C270"/>
          <cell r="D270" t="str">
            <v xml:space="preserve"> </v>
          </cell>
          <cell r="E270" t="str">
            <v xml:space="preserve"> </v>
          </cell>
          <cell r="F270"/>
          <cell r="G270" t="str">
            <v xml:space="preserve"> </v>
          </cell>
          <cell r="H270"/>
          <cell r="I270" t="str">
            <v xml:space="preserve"> </v>
          </cell>
          <cell r="J270" t="str">
            <v xml:space="preserve"> </v>
          </cell>
          <cell r="K270"/>
          <cell r="L270" t="str">
            <v xml:space="preserve"> </v>
          </cell>
          <cell r="M270"/>
          <cell r="N270" t="str">
            <v xml:space="preserve"> </v>
          </cell>
          <cell r="O270" t="str">
            <v xml:space="preserve"> </v>
          </cell>
          <cell r="P270"/>
          <cell r="Q270" t="str">
            <v xml:space="preserve"> </v>
          </cell>
          <cell r="R270"/>
          <cell r="S270" t="str">
            <v xml:space="preserve"> </v>
          </cell>
          <cell r="T270" t="str">
            <v xml:space="preserve"> </v>
          </cell>
          <cell r="U270"/>
          <cell r="V270" t="str">
            <v xml:space="preserve"> </v>
          </cell>
          <cell r="W270" t="str">
            <v xml:space="preserve"> </v>
          </cell>
          <cell r="X270"/>
          <cell r="Y270" t="str">
            <v xml:space="preserve"> </v>
          </cell>
          <cell r="Z270"/>
          <cell r="AA270" t="str">
            <v xml:space="preserve"> </v>
          </cell>
          <cell r="AB270" t="str">
            <v xml:space="preserve"> </v>
          </cell>
          <cell r="AC270"/>
          <cell r="AD270" t="str">
            <v xml:space="preserve"> </v>
          </cell>
          <cell r="AE270"/>
          <cell r="AF270" t="str">
            <v xml:space="preserve"> </v>
          </cell>
          <cell r="AG270"/>
          <cell r="AH270"/>
          <cell r="AI270"/>
          <cell r="AJ270"/>
          <cell r="AK270" t="str">
            <v/>
          </cell>
          <cell r="AL270"/>
          <cell r="AM270" t="str">
            <v xml:space="preserve"> </v>
          </cell>
          <cell r="AN270" t="str">
            <v xml:space="preserve"> </v>
          </cell>
          <cell r="AO270"/>
          <cell r="AP270" t="str">
            <v xml:space="preserve"> </v>
          </cell>
          <cell r="AQ270"/>
          <cell r="AR270" t="str">
            <v xml:space="preserve"> </v>
          </cell>
          <cell r="AS270" t="str">
            <v xml:space="preserve"> </v>
          </cell>
          <cell r="AT270"/>
          <cell r="AU270" t="str">
            <v xml:space="preserve"> </v>
          </cell>
          <cell r="AV270"/>
          <cell r="AW270"/>
          <cell r="AX270" t="str">
            <v xml:space="preserve"> </v>
          </cell>
          <cell r="AY270"/>
          <cell r="AZ270" t="str">
            <v xml:space="preserve"> </v>
          </cell>
          <cell r="BA270"/>
          <cell r="BB270"/>
          <cell r="BC270" t="str">
            <v xml:space="preserve"> </v>
          </cell>
          <cell r="BD270"/>
          <cell r="BE270" t="str">
            <v xml:space="preserve"> </v>
          </cell>
          <cell r="BF270"/>
          <cell r="BG270"/>
          <cell r="BH270" t="str">
            <v xml:space="preserve"> </v>
          </cell>
          <cell r="BI270"/>
          <cell r="BJ270" t="str">
            <v xml:space="preserve"> </v>
          </cell>
          <cell r="BK270"/>
          <cell r="BL270" t="str">
            <v xml:space="preserve"> </v>
          </cell>
          <cell r="BM270" t="str">
            <v xml:space="preserve"> </v>
          </cell>
          <cell r="BN270"/>
          <cell r="BO270" t="str">
            <v xml:space="preserve"> </v>
          </cell>
        </row>
        <row r="271">
          <cell r="B271">
            <v>46289</v>
          </cell>
          <cell r="C271"/>
          <cell r="D271" t="str">
            <v xml:space="preserve"> </v>
          </cell>
          <cell r="E271" t="str">
            <v xml:space="preserve"> </v>
          </cell>
          <cell r="F271"/>
          <cell r="G271" t="str">
            <v xml:space="preserve"> </v>
          </cell>
          <cell r="H271"/>
          <cell r="I271" t="str">
            <v xml:space="preserve"> </v>
          </cell>
          <cell r="J271" t="str">
            <v xml:space="preserve"> </v>
          </cell>
          <cell r="K271"/>
          <cell r="L271" t="str">
            <v xml:space="preserve"> </v>
          </cell>
          <cell r="M271"/>
          <cell r="N271" t="str">
            <v xml:space="preserve"> </v>
          </cell>
          <cell r="O271" t="str">
            <v xml:space="preserve"> </v>
          </cell>
          <cell r="P271"/>
          <cell r="Q271" t="str">
            <v xml:space="preserve"> </v>
          </cell>
          <cell r="R271"/>
          <cell r="S271" t="str">
            <v xml:space="preserve"> </v>
          </cell>
          <cell r="T271" t="str">
            <v xml:space="preserve"> </v>
          </cell>
          <cell r="U271"/>
          <cell r="V271" t="str">
            <v xml:space="preserve"> </v>
          </cell>
          <cell r="W271" t="str">
            <v xml:space="preserve"> </v>
          </cell>
          <cell r="X271"/>
          <cell r="Y271" t="str">
            <v xml:space="preserve"> </v>
          </cell>
          <cell r="Z271"/>
          <cell r="AA271" t="str">
            <v xml:space="preserve"> </v>
          </cell>
          <cell r="AB271" t="str">
            <v xml:space="preserve"> </v>
          </cell>
          <cell r="AC271"/>
          <cell r="AD271" t="str">
            <v xml:space="preserve"> </v>
          </cell>
          <cell r="AE271"/>
          <cell r="AF271" t="str">
            <v xml:space="preserve"> </v>
          </cell>
          <cell r="AG271"/>
          <cell r="AH271"/>
          <cell r="AI271"/>
          <cell r="AJ271"/>
          <cell r="AK271" t="str">
            <v/>
          </cell>
          <cell r="AL271"/>
          <cell r="AM271" t="str">
            <v xml:space="preserve"> </v>
          </cell>
          <cell r="AN271" t="str">
            <v xml:space="preserve"> </v>
          </cell>
          <cell r="AO271"/>
          <cell r="AP271" t="str">
            <v xml:space="preserve"> </v>
          </cell>
          <cell r="AQ271"/>
          <cell r="AR271" t="str">
            <v xml:space="preserve"> </v>
          </cell>
          <cell r="AS271" t="str">
            <v xml:space="preserve"> </v>
          </cell>
          <cell r="AT271"/>
          <cell r="AU271" t="str">
            <v xml:space="preserve"> </v>
          </cell>
          <cell r="AV271"/>
          <cell r="AW271"/>
          <cell r="AX271" t="str">
            <v xml:space="preserve"> </v>
          </cell>
          <cell r="AY271"/>
          <cell r="AZ271" t="str">
            <v xml:space="preserve"> </v>
          </cell>
          <cell r="BA271"/>
          <cell r="BB271"/>
          <cell r="BC271" t="str">
            <v xml:space="preserve"> </v>
          </cell>
          <cell r="BD271"/>
          <cell r="BE271" t="str">
            <v xml:space="preserve"> </v>
          </cell>
          <cell r="BF271"/>
          <cell r="BG271"/>
          <cell r="BH271" t="str">
            <v xml:space="preserve"> </v>
          </cell>
          <cell r="BI271"/>
          <cell r="BJ271" t="str">
            <v xml:space="preserve"> </v>
          </cell>
          <cell r="BK271"/>
          <cell r="BL271" t="str">
            <v xml:space="preserve"> </v>
          </cell>
          <cell r="BM271" t="str">
            <v xml:space="preserve"> </v>
          </cell>
          <cell r="BN271"/>
          <cell r="BO271" t="str">
            <v xml:space="preserve"> </v>
          </cell>
        </row>
        <row r="272">
          <cell r="B272">
            <v>46290</v>
          </cell>
          <cell r="C272"/>
          <cell r="D272" t="str">
            <v xml:space="preserve"> </v>
          </cell>
          <cell r="E272" t="str">
            <v xml:space="preserve"> </v>
          </cell>
          <cell r="F272"/>
          <cell r="G272" t="str">
            <v xml:space="preserve"> </v>
          </cell>
          <cell r="H272"/>
          <cell r="I272" t="str">
            <v xml:space="preserve"> </v>
          </cell>
          <cell r="J272" t="str">
            <v xml:space="preserve"> </v>
          </cell>
          <cell r="K272"/>
          <cell r="L272" t="str">
            <v xml:space="preserve"> </v>
          </cell>
          <cell r="M272"/>
          <cell r="N272" t="str">
            <v xml:space="preserve"> </v>
          </cell>
          <cell r="O272" t="str">
            <v xml:space="preserve"> </v>
          </cell>
          <cell r="P272"/>
          <cell r="Q272" t="str">
            <v xml:space="preserve"> </v>
          </cell>
          <cell r="R272"/>
          <cell r="S272" t="str">
            <v xml:space="preserve"> </v>
          </cell>
          <cell r="T272" t="str">
            <v xml:space="preserve"> </v>
          </cell>
          <cell r="U272"/>
          <cell r="V272" t="str">
            <v xml:space="preserve"> </v>
          </cell>
          <cell r="W272" t="str">
            <v xml:space="preserve"> </v>
          </cell>
          <cell r="X272"/>
          <cell r="Y272" t="str">
            <v xml:space="preserve"> </v>
          </cell>
          <cell r="Z272"/>
          <cell r="AA272" t="str">
            <v xml:space="preserve"> </v>
          </cell>
          <cell r="AB272" t="str">
            <v xml:space="preserve"> </v>
          </cell>
          <cell r="AC272"/>
          <cell r="AD272" t="str">
            <v xml:space="preserve"> </v>
          </cell>
          <cell r="AE272"/>
          <cell r="AF272" t="str">
            <v xml:space="preserve"> </v>
          </cell>
          <cell r="AG272"/>
          <cell r="AH272"/>
          <cell r="AI272"/>
          <cell r="AJ272"/>
          <cell r="AK272" t="str">
            <v/>
          </cell>
          <cell r="AL272"/>
          <cell r="AM272" t="str">
            <v xml:space="preserve"> </v>
          </cell>
          <cell r="AN272" t="str">
            <v xml:space="preserve"> </v>
          </cell>
          <cell r="AO272"/>
          <cell r="AP272" t="str">
            <v xml:space="preserve"> </v>
          </cell>
          <cell r="AQ272"/>
          <cell r="AR272" t="str">
            <v xml:space="preserve"> </v>
          </cell>
          <cell r="AS272" t="str">
            <v xml:space="preserve"> </v>
          </cell>
          <cell r="AT272"/>
          <cell r="AU272" t="str">
            <v xml:space="preserve"> </v>
          </cell>
          <cell r="AV272"/>
          <cell r="AW272"/>
          <cell r="AX272" t="str">
            <v xml:space="preserve"> </v>
          </cell>
          <cell r="AY272"/>
          <cell r="AZ272" t="str">
            <v xml:space="preserve"> </v>
          </cell>
          <cell r="BA272"/>
          <cell r="BB272"/>
          <cell r="BC272" t="str">
            <v xml:space="preserve"> </v>
          </cell>
          <cell r="BD272"/>
          <cell r="BE272" t="str">
            <v xml:space="preserve"> </v>
          </cell>
          <cell r="BF272"/>
          <cell r="BG272"/>
          <cell r="BH272" t="str">
            <v xml:space="preserve"> </v>
          </cell>
          <cell r="BI272"/>
          <cell r="BJ272" t="str">
            <v xml:space="preserve"> </v>
          </cell>
          <cell r="BK272"/>
          <cell r="BL272" t="str">
            <v xml:space="preserve"> </v>
          </cell>
          <cell r="BM272" t="str">
            <v xml:space="preserve"> </v>
          </cell>
          <cell r="BN272"/>
          <cell r="BO272" t="str">
            <v xml:space="preserve"> </v>
          </cell>
        </row>
        <row r="273">
          <cell r="B273">
            <v>46291</v>
          </cell>
          <cell r="C273"/>
          <cell r="D273" t="str">
            <v xml:space="preserve"> </v>
          </cell>
          <cell r="E273" t="str">
            <v xml:space="preserve"> </v>
          </cell>
          <cell r="F273"/>
          <cell r="G273" t="str">
            <v xml:space="preserve"> </v>
          </cell>
          <cell r="H273"/>
          <cell r="I273" t="str">
            <v xml:space="preserve"> </v>
          </cell>
          <cell r="J273" t="str">
            <v xml:space="preserve"> </v>
          </cell>
          <cell r="K273"/>
          <cell r="L273" t="str">
            <v xml:space="preserve"> </v>
          </cell>
          <cell r="M273"/>
          <cell r="N273" t="str">
            <v xml:space="preserve"> </v>
          </cell>
          <cell r="O273" t="str">
            <v xml:space="preserve"> </v>
          </cell>
          <cell r="P273"/>
          <cell r="Q273" t="str">
            <v xml:space="preserve"> </v>
          </cell>
          <cell r="R273"/>
          <cell r="S273" t="str">
            <v xml:space="preserve"> </v>
          </cell>
          <cell r="T273" t="str">
            <v xml:space="preserve"> </v>
          </cell>
          <cell r="U273"/>
          <cell r="V273" t="str">
            <v xml:space="preserve"> </v>
          </cell>
          <cell r="W273" t="str">
            <v xml:space="preserve"> </v>
          </cell>
          <cell r="X273"/>
          <cell r="Y273" t="str">
            <v xml:space="preserve"> </v>
          </cell>
          <cell r="Z273"/>
          <cell r="AA273" t="str">
            <v xml:space="preserve"> </v>
          </cell>
          <cell r="AB273" t="str">
            <v xml:space="preserve"> </v>
          </cell>
          <cell r="AC273"/>
          <cell r="AD273" t="str">
            <v xml:space="preserve"> </v>
          </cell>
          <cell r="AE273"/>
          <cell r="AF273" t="str">
            <v xml:space="preserve"> </v>
          </cell>
          <cell r="AG273"/>
          <cell r="AH273"/>
          <cell r="AI273"/>
          <cell r="AJ273"/>
          <cell r="AK273" t="str">
            <v/>
          </cell>
          <cell r="AL273"/>
          <cell r="AM273" t="str">
            <v xml:space="preserve"> </v>
          </cell>
          <cell r="AN273" t="str">
            <v xml:space="preserve"> </v>
          </cell>
          <cell r="AO273"/>
          <cell r="AP273" t="str">
            <v xml:space="preserve"> </v>
          </cell>
          <cell r="AQ273"/>
          <cell r="AR273" t="str">
            <v xml:space="preserve"> </v>
          </cell>
          <cell r="AS273" t="str">
            <v xml:space="preserve"> </v>
          </cell>
          <cell r="AT273"/>
          <cell r="AU273" t="str">
            <v xml:space="preserve"> </v>
          </cell>
          <cell r="AV273"/>
          <cell r="AW273"/>
          <cell r="AX273" t="str">
            <v xml:space="preserve"> </v>
          </cell>
          <cell r="AY273"/>
          <cell r="AZ273" t="str">
            <v xml:space="preserve"> </v>
          </cell>
          <cell r="BA273"/>
          <cell r="BB273"/>
          <cell r="BC273" t="str">
            <v xml:space="preserve"> </v>
          </cell>
          <cell r="BD273"/>
          <cell r="BE273" t="str">
            <v xml:space="preserve"> </v>
          </cell>
          <cell r="BF273"/>
          <cell r="BG273"/>
          <cell r="BH273" t="str">
            <v xml:space="preserve"> </v>
          </cell>
          <cell r="BI273"/>
          <cell r="BJ273" t="str">
            <v xml:space="preserve"> </v>
          </cell>
          <cell r="BK273"/>
          <cell r="BL273" t="str">
            <v xml:space="preserve"> </v>
          </cell>
          <cell r="BM273" t="str">
            <v xml:space="preserve"> </v>
          </cell>
          <cell r="BN273"/>
          <cell r="BO273" t="str">
            <v xml:space="preserve"> </v>
          </cell>
        </row>
        <row r="274">
          <cell r="B274">
            <v>46292</v>
          </cell>
          <cell r="C274"/>
          <cell r="D274" t="str">
            <v xml:space="preserve"> </v>
          </cell>
          <cell r="E274" t="str">
            <v xml:space="preserve"> </v>
          </cell>
          <cell r="F274"/>
          <cell r="G274" t="str">
            <v xml:space="preserve"> </v>
          </cell>
          <cell r="H274"/>
          <cell r="I274" t="str">
            <v xml:space="preserve"> </v>
          </cell>
          <cell r="J274" t="str">
            <v xml:space="preserve"> </v>
          </cell>
          <cell r="K274"/>
          <cell r="L274" t="str">
            <v xml:space="preserve"> </v>
          </cell>
          <cell r="M274"/>
          <cell r="N274" t="str">
            <v xml:space="preserve"> </v>
          </cell>
          <cell r="O274" t="str">
            <v xml:space="preserve"> </v>
          </cell>
          <cell r="P274"/>
          <cell r="Q274" t="str">
            <v xml:space="preserve"> </v>
          </cell>
          <cell r="R274"/>
          <cell r="S274" t="str">
            <v xml:space="preserve"> </v>
          </cell>
          <cell r="T274" t="str">
            <v xml:space="preserve"> </v>
          </cell>
          <cell r="U274"/>
          <cell r="V274" t="str">
            <v xml:space="preserve"> </v>
          </cell>
          <cell r="W274" t="str">
            <v xml:space="preserve"> </v>
          </cell>
          <cell r="X274"/>
          <cell r="Y274" t="str">
            <v xml:space="preserve"> </v>
          </cell>
          <cell r="Z274"/>
          <cell r="AA274" t="str">
            <v xml:space="preserve"> </v>
          </cell>
          <cell r="AB274" t="str">
            <v xml:space="preserve"> </v>
          </cell>
          <cell r="AC274"/>
          <cell r="AD274" t="str">
            <v xml:space="preserve"> </v>
          </cell>
          <cell r="AE274"/>
          <cell r="AF274" t="str">
            <v xml:space="preserve"> </v>
          </cell>
          <cell r="AG274"/>
          <cell r="AH274"/>
          <cell r="AI274"/>
          <cell r="AJ274"/>
          <cell r="AK274" t="str">
            <v/>
          </cell>
          <cell r="AL274"/>
          <cell r="AM274" t="str">
            <v xml:space="preserve"> </v>
          </cell>
          <cell r="AN274" t="str">
            <v xml:space="preserve"> </v>
          </cell>
          <cell r="AO274"/>
          <cell r="AP274" t="str">
            <v xml:space="preserve"> </v>
          </cell>
          <cell r="AQ274"/>
          <cell r="AR274" t="str">
            <v xml:space="preserve"> </v>
          </cell>
          <cell r="AS274" t="str">
            <v xml:space="preserve"> </v>
          </cell>
          <cell r="AT274"/>
          <cell r="AU274" t="str">
            <v xml:space="preserve"> </v>
          </cell>
          <cell r="AV274"/>
          <cell r="AW274"/>
          <cell r="AX274" t="str">
            <v xml:space="preserve"> </v>
          </cell>
          <cell r="AY274"/>
          <cell r="AZ274" t="str">
            <v xml:space="preserve"> </v>
          </cell>
          <cell r="BA274"/>
          <cell r="BB274"/>
          <cell r="BC274" t="str">
            <v xml:space="preserve"> </v>
          </cell>
          <cell r="BD274"/>
          <cell r="BE274" t="str">
            <v xml:space="preserve"> </v>
          </cell>
          <cell r="BF274"/>
          <cell r="BG274"/>
          <cell r="BH274" t="str">
            <v xml:space="preserve"> </v>
          </cell>
          <cell r="BI274"/>
          <cell r="BJ274" t="str">
            <v xml:space="preserve"> </v>
          </cell>
          <cell r="BK274"/>
          <cell r="BL274" t="str">
            <v xml:space="preserve"> </v>
          </cell>
          <cell r="BM274" t="str">
            <v xml:space="preserve"> </v>
          </cell>
          <cell r="BN274"/>
          <cell r="BO274" t="str">
            <v xml:space="preserve"> </v>
          </cell>
        </row>
        <row r="275">
          <cell r="B275">
            <v>46293</v>
          </cell>
          <cell r="C275"/>
          <cell r="D275" t="str">
            <v xml:space="preserve"> </v>
          </cell>
          <cell r="E275" t="str">
            <v xml:space="preserve"> </v>
          </cell>
          <cell r="F275"/>
          <cell r="G275" t="str">
            <v xml:space="preserve"> </v>
          </cell>
          <cell r="H275"/>
          <cell r="I275" t="str">
            <v xml:space="preserve"> </v>
          </cell>
          <cell r="J275" t="str">
            <v xml:space="preserve"> </v>
          </cell>
          <cell r="K275"/>
          <cell r="L275" t="str">
            <v xml:space="preserve"> </v>
          </cell>
          <cell r="M275"/>
          <cell r="N275" t="str">
            <v xml:space="preserve"> </v>
          </cell>
          <cell r="O275" t="str">
            <v xml:space="preserve"> </v>
          </cell>
          <cell r="P275"/>
          <cell r="Q275" t="str">
            <v xml:space="preserve"> </v>
          </cell>
          <cell r="R275"/>
          <cell r="S275" t="str">
            <v xml:space="preserve"> </v>
          </cell>
          <cell r="T275" t="str">
            <v xml:space="preserve"> </v>
          </cell>
          <cell r="U275"/>
          <cell r="V275" t="str">
            <v xml:space="preserve"> </v>
          </cell>
          <cell r="W275" t="str">
            <v xml:space="preserve"> </v>
          </cell>
          <cell r="X275"/>
          <cell r="Y275" t="str">
            <v xml:space="preserve"> </v>
          </cell>
          <cell r="Z275"/>
          <cell r="AA275" t="str">
            <v xml:space="preserve"> </v>
          </cell>
          <cell r="AB275" t="str">
            <v xml:space="preserve"> </v>
          </cell>
          <cell r="AC275"/>
          <cell r="AD275" t="str">
            <v xml:space="preserve"> </v>
          </cell>
          <cell r="AE275"/>
          <cell r="AF275" t="str">
            <v xml:space="preserve"> </v>
          </cell>
          <cell r="AG275"/>
          <cell r="AH275"/>
          <cell r="AI275"/>
          <cell r="AJ275"/>
          <cell r="AK275" t="str">
            <v/>
          </cell>
          <cell r="AL275"/>
          <cell r="AM275" t="str">
            <v xml:space="preserve"> </v>
          </cell>
          <cell r="AN275" t="str">
            <v xml:space="preserve"> </v>
          </cell>
          <cell r="AO275"/>
          <cell r="AP275" t="str">
            <v xml:space="preserve"> </v>
          </cell>
          <cell r="AQ275"/>
          <cell r="AR275" t="str">
            <v xml:space="preserve"> </v>
          </cell>
          <cell r="AS275" t="str">
            <v xml:space="preserve"> </v>
          </cell>
          <cell r="AT275"/>
          <cell r="AU275" t="str">
            <v xml:space="preserve"> </v>
          </cell>
          <cell r="AV275"/>
          <cell r="AW275"/>
          <cell r="AX275" t="str">
            <v xml:space="preserve"> </v>
          </cell>
          <cell r="AY275"/>
          <cell r="AZ275" t="str">
            <v xml:space="preserve"> </v>
          </cell>
          <cell r="BA275"/>
          <cell r="BB275"/>
          <cell r="BC275" t="str">
            <v xml:space="preserve"> </v>
          </cell>
          <cell r="BD275"/>
          <cell r="BE275" t="str">
            <v xml:space="preserve"> </v>
          </cell>
          <cell r="BF275"/>
          <cell r="BG275"/>
          <cell r="BH275" t="str">
            <v xml:space="preserve"> </v>
          </cell>
          <cell r="BI275"/>
          <cell r="BJ275" t="str">
            <v xml:space="preserve"> </v>
          </cell>
          <cell r="BK275"/>
          <cell r="BL275" t="str">
            <v xml:space="preserve"> </v>
          </cell>
          <cell r="BM275" t="str">
            <v xml:space="preserve"> </v>
          </cell>
          <cell r="BN275"/>
          <cell r="BO275" t="str">
            <v xml:space="preserve"> </v>
          </cell>
        </row>
        <row r="276">
          <cell r="B276">
            <v>46294</v>
          </cell>
          <cell r="C276"/>
          <cell r="D276" t="str">
            <v xml:space="preserve"> </v>
          </cell>
          <cell r="E276" t="str">
            <v xml:space="preserve"> </v>
          </cell>
          <cell r="F276"/>
          <cell r="G276" t="str">
            <v xml:space="preserve"> </v>
          </cell>
          <cell r="H276"/>
          <cell r="I276" t="str">
            <v xml:space="preserve"> </v>
          </cell>
          <cell r="J276" t="str">
            <v xml:space="preserve"> </v>
          </cell>
          <cell r="K276"/>
          <cell r="L276" t="str">
            <v xml:space="preserve"> </v>
          </cell>
          <cell r="M276"/>
          <cell r="N276" t="str">
            <v xml:space="preserve"> </v>
          </cell>
          <cell r="O276" t="str">
            <v xml:space="preserve"> </v>
          </cell>
          <cell r="P276"/>
          <cell r="Q276" t="str">
            <v xml:space="preserve"> </v>
          </cell>
          <cell r="R276"/>
          <cell r="S276" t="str">
            <v xml:space="preserve"> </v>
          </cell>
          <cell r="T276" t="str">
            <v xml:space="preserve"> </v>
          </cell>
          <cell r="U276"/>
          <cell r="V276" t="str">
            <v xml:space="preserve"> </v>
          </cell>
          <cell r="W276" t="str">
            <v xml:space="preserve"> </v>
          </cell>
          <cell r="X276"/>
          <cell r="Y276" t="str">
            <v xml:space="preserve"> </v>
          </cell>
          <cell r="Z276"/>
          <cell r="AA276" t="str">
            <v xml:space="preserve"> </v>
          </cell>
          <cell r="AB276" t="str">
            <v xml:space="preserve"> </v>
          </cell>
          <cell r="AC276"/>
          <cell r="AD276" t="str">
            <v xml:space="preserve"> </v>
          </cell>
          <cell r="AE276"/>
          <cell r="AF276" t="str">
            <v xml:space="preserve"> </v>
          </cell>
          <cell r="AG276"/>
          <cell r="AH276"/>
          <cell r="AI276"/>
          <cell r="AJ276"/>
          <cell r="AK276" t="str">
            <v/>
          </cell>
          <cell r="AL276"/>
          <cell r="AM276" t="str">
            <v xml:space="preserve"> </v>
          </cell>
          <cell r="AN276" t="str">
            <v xml:space="preserve"> </v>
          </cell>
          <cell r="AO276"/>
          <cell r="AP276" t="str">
            <v xml:space="preserve"> </v>
          </cell>
          <cell r="AQ276"/>
          <cell r="AR276" t="str">
            <v xml:space="preserve"> </v>
          </cell>
          <cell r="AS276" t="str">
            <v xml:space="preserve"> </v>
          </cell>
          <cell r="AT276"/>
          <cell r="AU276" t="str">
            <v xml:space="preserve"> </v>
          </cell>
          <cell r="AV276"/>
          <cell r="AW276"/>
          <cell r="AX276" t="str">
            <v xml:space="preserve"> </v>
          </cell>
          <cell r="AY276"/>
          <cell r="AZ276" t="str">
            <v xml:space="preserve"> </v>
          </cell>
          <cell r="BA276"/>
          <cell r="BB276"/>
          <cell r="BC276" t="str">
            <v xml:space="preserve"> </v>
          </cell>
          <cell r="BD276"/>
          <cell r="BE276" t="str">
            <v xml:space="preserve"> </v>
          </cell>
          <cell r="BF276"/>
          <cell r="BG276"/>
          <cell r="BH276" t="str">
            <v xml:space="preserve"> </v>
          </cell>
          <cell r="BI276"/>
          <cell r="BJ276" t="str">
            <v xml:space="preserve"> </v>
          </cell>
          <cell r="BK276"/>
          <cell r="BL276" t="str">
            <v xml:space="preserve"> </v>
          </cell>
          <cell r="BM276" t="str">
            <v xml:space="preserve"> </v>
          </cell>
          <cell r="BN276"/>
          <cell r="BO276" t="str">
            <v xml:space="preserve"> </v>
          </cell>
        </row>
        <row r="277">
          <cell r="B277">
            <v>46295</v>
          </cell>
          <cell r="C277"/>
          <cell r="D277" t="str">
            <v xml:space="preserve"> </v>
          </cell>
          <cell r="E277" t="str">
            <v xml:space="preserve"> </v>
          </cell>
          <cell r="F277"/>
          <cell r="G277" t="str">
            <v xml:space="preserve"> </v>
          </cell>
          <cell r="H277"/>
          <cell r="I277" t="str">
            <v xml:space="preserve"> </v>
          </cell>
          <cell r="J277" t="str">
            <v xml:space="preserve"> </v>
          </cell>
          <cell r="K277"/>
          <cell r="L277" t="str">
            <v xml:space="preserve"> </v>
          </cell>
          <cell r="M277"/>
          <cell r="N277" t="str">
            <v xml:space="preserve"> </v>
          </cell>
          <cell r="O277" t="str">
            <v xml:space="preserve"> </v>
          </cell>
          <cell r="P277"/>
          <cell r="Q277" t="str">
            <v xml:space="preserve"> </v>
          </cell>
          <cell r="R277"/>
          <cell r="S277" t="str">
            <v xml:space="preserve"> </v>
          </cell>
          <cell r="T277" t="str">
            <v xml:space="preserve"> </v>
          </cell>
          <cell r="U277"/>
          <cell r="V277" t="str">
            <v xml:space="preserve"> </v>
          </cell>
          <cell r="W277" t="str">
            <v xml:space="preserve"> </v>
          </cell>
          <cell r="X277"/>
          <cell r="Y277" t="str">
            <v xml:space="preserve"> </v>
          </cell>
          <cell r="Z277"/>
          <cell r="AA277" t="str">
            <v xml:space="preserve"> </v>
          </cell>
          <cell r="AB277" t="str">
            <v xml:space="preserve"> </v>
          </cell>
          <cell r="AC277"/>
          <cell r="AD277" t="str">
            <v xml:space="preserve"> </v>
          </cell>
          <cell r="AE277"/>
          <cell r="AF277" t="str">
            <v xml:space="preserve"> </v>
          </cell>
          <cell r="AG277"/>
          <cell r="AH277"/>
          <cell r="AI277"/>
          <cell r="AJ277"/>
          <cell r="AK277" t="str">
            <v/>
          </cell>
          <cell r="AL277"/>
          <cell r="AM277" t="str">
            <v xml:space="preserve"> </v>
          </cell>
          <cell r="AN277" t="str">
            <v xml:space="preserve"> </v>
          </cell>
          <cell r="AO277"/>
          <cell r="AP277" t="str">
            <v xml:space="preserve"> </v>
          </cell>
          <cell r="AQ277"/>
          <cell r="AR277" t="str">
            <v xml:space="preserve"> </v>
          </cell>
          <cell r="AS277" t="str">
            <v xml:space="preserve"> </v>
          </cell>
          <cell r="AT277"/>
          <cell r="AU277" t="str">
            <v xml:space="preserve"> </v>
          </cell>
          <cell r="AV277"/>
          <cell r="AW277"/>
          <cell r="AX277" t="str">
            <v xml:space="preserve"> </v>
          </cell>
          <cell r="AY277"/>
          <cell r="AZ277" t="str">
            <v xml:space="preserve"> </v>
          </cell>
          <cell r="BA277"/>
          <cell r="BB277"/>
          <cell r="BC277" t="str">
            <v xml:space="preserve"> </v>
          </cell>
          <cell r="BD277"/>
          <cell r="BE277" t="str">
            <v xml:space="preserve"> </v>
          </cell>
          <cell r="BF277"/>
          <cell r="BG277"/>
          <cell r="BH277" t="str">
            <v xml:space="preserve"> </v>
          </cell>
          <cell r="BI277"/>
          <cell r="BJ277" t="str">
            <v xml:space="preserve"> </v>
          </cell>
          <cell r="BK277"/>
          <cell r="BL277" t="str">
            <v xml:space="preserve"> </v>
          </cell>
          <cell r="BM277" t="str">
            <v xml:space="preserve"> </v>
          </cell>
          <cell r="BN277"/>
          <cell r="BO277" t="str">
            <v xml:space="preserve"> </v>
          </cell>
        </row>
        <row r="278">
          <cell r="B278">
            <v>46296</v>
          </cell>
          <cell r="C278"/>
          <cell r="D278" t="str">
            <v xml:space="preserve"> </v>
          </cell>
          <cell r="E278" t="str">
            <v xml:space="preserve"> </v>
          </cell>
          <cell r="F278"/>
          <cell r="G278" t="str">
            <v xml:space="preserve"> </v>
          </cell>
          <cell r="H278"/>
          <cell r="I278" t="str">
            <v xml:space="preserve"> </v>
          </cell>
          <cell r="J278" t="str">
            <v xml:space="preserve"> </v>
          </cell>
          <cell r="K278"/>
          <cell r="L278" t="str">
            <v xml:space="preserve"> </v>
          </cell>
          <cell r="M278"/>
          <cell r="N278" t="str">
            <v xml:space="preserve"> </v>
          </cell>
          <cell r="O278" t="str">
            <v xml:space="preserve"> </v>
          </cell>
          <cell r="P278"/>
          <cell r="Q278" t="str">
            <v xml:space="preserve"> </v>
          </cell>
          <cell r="R278"/>
          <cell r="S278" t="str">
            <v xml:space="preserve"> </v>
          </cell>
          <cell r="T278" t="str">
            <v xml:space="preserve"> </v>
          </cell>
          <cell r="U278"/>
          <cell r="V278" t="str">
            <v xml:space="preserve"> </v>
          </cell>
          <cell r="W278" t="str">
            <v xml:space="preserve"> </v>
          </cell>
          <cell r="X278"/>
          <cell r="Y278" t="str">
            <v xml:space="preserve"> </v>
          </cell>
          <cell r="Z278"/>
          <cell r="AA278" t="str">
            <v xml:space="preserve"> </v>
          </cell>
          <cell r="AB278" t="str">
            <v xml:space="preserve"> </v>
          </cell>
          <cell r="AC278"/>
          <cell r="AD278" t="str">
            <v xml:space="preserve"> </v>
          </cell>
          <cell r="AE278"/>
          <cell r="AF278" t="str">
            <v xml:space="preserve"> </v>
          </cell>
          <cell r="AG278"/>
          <cell r="AH278"/>
          <cell r="AI278"/>
          <cell r="AJ278"/>
          <cell r="AK278" t="str">
            <v/>
          </cell>
          <cell r="AL278"/>
          <cell r="AM278" t="str">
            <v xml:space="preserve"> </v>
          </cell>
          <cell r="AN278" t="str">
            <v xml:space="preserve"> </v>
          </cell>
          <cell r="AO278"/>
          <cell r="AP278" t="str">
            <v xml:space="preserve"> </v>
          </cell>
          <cell r="AQ278"/>
          <cell r="AR278" t="str">
            <v xml:space="preserve"> </v>
          </cell>
          <cell r="AS278" t="str">
            <v xml:space="preserve"> </v>
          </cell>
          <cell r="AT278"/>
          <cell r="AU278" t="str">
            <v xml:space="preserve"> </v>
          </cell>
          <cell r="AV278"/>
          <cell r="AW278"/>
          <cell r="AX278" t="str">
            <v xml:space="preserve"> </v>
          </cell>
          <cell r="AY278"/>
          <cell r="AZ278" t="str">
            <v xml:space="preserve"> </v>
          </cell>
          <cell r="BA278"/>
          <cell r="BB278"/>
          <cell r="BC278" t="str">
            <v xml:space="preserve"> </v>
          </cell>
          <cell r="BD278"/>
          <cell r="BE278" t="str">
            <v xml:space="preserve"> </v>
          </cell>
          <cell r="BF278"/>
          <cell r="BG278"/>
          <cell r="BH278" t="str">
            <v xml:space="preserve"> </v>
          </cell>
          <cell r="BI278"/>
          <cell r="BJ278" t="str">
            <v xml:space="preserve"> </v>
          </cell>
          <cell r="BK278"/>
          <cell r="BL278" t="str">
            <v xml:space="preserve"> </v>
          </cell>
          <cell r="BM278" t="str">
            <v xml:space="preserve"> </v>
          </cell>
          <cell r="BN278"/>
          <cell r="BO278" t="str">
            <v xml:space="preserve"> </v>
          </cell>
        </row>
        <row r="279">
          <cell r="B279">
            <v>46297</v>
          </cell>
          <cell r="C279"/>
          <cell r="D279" t="str">
            <v xml:space="preserve"> </v>
          </cell>
          <cell r="E279" t="str">
            <v xml:space="preserve"> </v>
          </cell>
          <cell r="F279"/>
          <cell r="G279" t="str">
            <v xml:space="preserve"> </v>
          </cell>
          <cell r="H279"/>
          <cell r="I279" t="str">
            <v xml:space="preserve"> </v>
          </cell>
          <cell r="J279" t="str">
            <v xml:space="preserve"> </v>
          </cell>
          <cell r="K279"/>
          <cell r="L279" t="str">
            <v xml:space="preserve"> </v>
          </cell>
          <cell r="M279"/>
          <cell r="N279" t="str">
            <v xml:space="preserve"> </v>
          </cell>
          <cell r="O279" t="str">
            <v xml:space="preserve"> </v>
          </cell>
          <cell r="P279"/>
          <cell r="Q279" t="str">
            <v xml:space="preserve"> </v>
          </cell>
          <cell r="R279"/>
          <cell r="S279" t="str">
            <v xml:space="preserve"> </v>
          </cell>
          <cell r="T279" t="str">
            <v xml:space="preserve"> </v>
          </cell>
          <cell r="U279"/>
          <cell r="V279" t="str">
            <v xml:space="preserve"> </v>
          </cell>
          <cell r="W279" t="str">
            <v xml:space="preserve"> </v>
          </cell>
          <cell r="X279"/>
          <cell r="Y279" t="str">
            <v xml:space="preserve"> </v>
          </cell>
          <cell r="Z279"/>
          <cell r="AA279" t="str">
            <v xml:space="preserve"> </v>
          </cell>
          <cell r="AB279" t="str">
            <v xml:space="preserve"> </v>
          </cell>
          <cell r="AC279"/>
          <cell r="AD279" t="str">
            <v xml:space="preserve"> </v>
          </cell>
          <cell r="AE279"/>
          <cell r="AF279" t="str">
            <v xml:space="preserve"> </v>
          </cell>
          <cell r="AG279"/>
          <cell r="AH279"/>
          <cell r="AI279"/>
          <cell r="AJ279"/>
          <cell r="AK279" t="str">
            <v/>
          </cell>
          <cell r="AL279"/>
          <cell r="AM279" t="str">
            <v xml:space="preserve"> </v>
          </cell>
          <cell r="AN279" t="str">
            <v xml:space="preserve"> </v>
          </cell>
          <cell r="AO279"/>
          <cell r="AP279" t="str">
            <v xml:space="preserve"> </v>
          </cell>
          <cell r="AQ279"/>
          <cell r="AR279" t="str">
            <v xml:space="preserve"> </v>
          </cell>
          <cell r="AS279" t="str">
            <v xml:space="preserve"> </v>
          </cell>
          <cell r="AT279"/>
          <cell r="AU279" t="str">
            <v xml:space="preserve"> </v>
          </cell>
          <cell r="AV279"/>
          <cell r="AW279"/>
          <cell r="AX279" t="str">
            <v xml:space="preserve"> </v>
          </cell>
          <cell r="AY279"/>
          <cell r="AZ279" t="str">
            <v xml:space="preserve"> </v>
          </cell>
          <cell r="BA279"/>
          <cell r="BB279"/>
          <cell r="BC279" t="str">
            <v xml:space="preserve"> </v>
          </cell>
          <cell r="BD279"/>
          <cell r="BE279" t="str">
            <v xml:space="preserve"> </v>
          </cell>
          <cell r="BF279"/>
          <cell r="BG279"/>
          <cell r="BH279" t="str">
            <v xml:space="preserve"> </v>
          </cell>
          <cell r="BI279"/>
          <cell r="BJ279" t="str">
            <v xml:space="preserve"> </v>
          </cell>
          <cell r="BK279"/>
          <cell r="BL279" t="str">
            <v xml:space="preserve"> </v>
          </cell>
          <cell r="BM279" t="str">
            <v xml:space="preserve"> </v>
          </cell>
          <cell r="BN279"/>
          <cell r="BO279" t="str">
            <v xml:space="preserve"> </v>
          </cell>
        </row>
        <row r="280">
          <cell r="B280">
            <v>46298</v>
          </cell>
          <cell r="C280"/>
          <cell r="D280" t="str">
            <v xml:space="preserve"> </v>
          </cell>
          <cell r="E280" t="str">
            <v xml:space="preserve"> </v>
          </cell>
          <cell r="F280"/>
          <cell r="G280" t="str">
            <v xml:space="preserve"> </v>
          </cell>
          <cell r="H280"/>
          <cell r="I280" t="str">
            <v xml:space="preserve"> </v>
          </cell>
          <cell r="J280" t="str">
            <v xml:space="preserve"> </v>
          </cell>
          <cell r="K280"/>
          <cell r="L280" t="str">
            <v xml:space="preserve"> </v>
          </cell>
          <cell r="M280"/>
          <cell r="N280" t="str">
            <v xml:space="preserve"> </v>
          </cell>
          <cell r="O280" t="str">
            <v xml:space="preserve"> </v>
          </cell>
          <cell r="P280"/>
          <cell r="Q280" t="str">
            <v xml:space="preserve"> </v>
          </cell>
          <cell r="R280"/>
          <cell r="S280" t="str">
            <v xml:space="preserve"> </v>
          </cell>
          <cell r="T280" t="str">
            <v xml:space="preserve"> </v>
          </cell>
          <cell r="U280"/>
          <cell r="V280" t="str">
            <v xml:space="preserve"> </v>
          </cell>
          <cell r="W280" t="str">
            <v xml:space="preserve"> </v>
          </cell>
          <cell r="X280"/>
          <cell r="Y280" t="str">
            <v xml:space="preserve"> </v>
          </cell>
          <cell r="Z280"/>
          <cell r="AA280" t="str">
            <v xml:space="preserve"> </v>
          </cell>
          <cell r="AB280" t="str">
            <v xml:space="preserve"> </v>
          </cell>
          <cell r="AC280"/>
          <cell r="AD280" t="str">
            <v xml:space="preserve"> </v>
          </cell>
          <cell r="AE280"/>
          <cell r="AF280" t="str">
            <v xml:space="preserve"> </v>
          </cell>
          <cell r="AG280"/>
          <cell r="AH280"/>
          <cell r="AI280"/>
          <cell r="AJ280"/>
          <cell r="AK280" t="str">
            <v/>
          </cell>
          <cell r="AL280"/>
          <cell r="AM280" t="str">
            <v xml:space="preserve"> </v>
          </cell>
          <cell r="AN280" t="str">
            <v xml:space="preserve"> </v>
          </cell>
          <cell r="AO280"/>
          <cell r="AP280" t="str">
            <v xml:space="preserve"> </v>
          </cell>
          <cell r="AQ280"/>
          <cell r="AR280" t="str">
            <v xml:space="preserve"> </v>
          </cell>
          <cell r="AS280" t="str">
            <v xml:space="preserve"> </v>
          </cell>
          <cell r="AT280"/>
          <cell r="AU280" t="str">
            <v xml:space="preserve"> </v>
          </cell>
          <cell r="AV280"/>
          <cell r="AW280"/>
          <cell r="AX280" t="str">
            <v xml:space="preserve"> </v>
          </cell>
          <cell r="AY280"/>
          <cell r="AZ280" t="str">
            <v xml:space="preserve"> </v>
          </cell>
          <cell r="BA280"/>
          <cell r="BB280"/>
          <cell r="BC280" t="str">
            <v xml:space="preserve"> </v>
          </cell>
          <cell r="BD280"/>
          <cell r="BE280" t="str">
            <v xml:space="preserve"> </v>
          </cell>
          <cell r="BF280"/>
          <cell r="BG280"/>
          <cell r="BH280" t="str">
            <v xml:space="preserve"> </v>
          </cell>
          <cell r="BI280"/>
          <cell r="BJ280" t="str">
            <v xml:space="preserve"> </v>
          </cell>
          <cell r="BK280"/>
          <cell r="BL280" t="str">
            <v xml:space="preserve"> </v>
          </cell>
          <cell r="BM280" t="str">
            <v xml:space="preserve"> </v>
          </cell>
          <cell r="BN280"/>
          <cell r="BO280" t="str">
            <v xml:space="preserve"> </v>
          </cell>
        </row>
        <row r="281">
          <cell r="B281">
            <v>46299</v>
          </cell>
          <cell r="C281"/>
          <cell r="D281" t="str">
            <v xml:space="preserve"> </v>
          </cell>
          <cell r="E281" t="str">
            <v xml:space="preserve"> </v>
          </cell>
          <cell r="F281"/>
          <cell r="G281" t="str">
            <v xml:space="preserve"> </v>
          </cell>
          <cell r="H281"/>
          <cell r="I281" t="str">
            <v xml:space="preserve"> </v>
          </cell>
          <cell r="J281" t="str">
            <v xml:space="preserve"> </v>
          </cell>
          <cell r="K281"/>
          <cell r="L281" t="str">
            <v xml:space="preserve"> </v>
          </cell>
          <cell r="M281"/>
          <cell r="N281" t="str">
            <v xml:space="preserve"> </v>
          </cell>
          <cell r="O281" t="str">
            <v xml:space="preserve"> </v>
          </cell>
          <cell r="P281"/>
          <cell r="Q281" t="str">
            <v xml:space="preserve"> </v>
          </cell>
          <cell r="R281"/>
          <cell r="S281" t="str">
            <v xml:space="preserve"> </v>
          </cell>
          <cell r="T281" t="str">
            <v xml:space="preserve"> </v>
          </cell>
          <cell r="U281"/>
          <cell r="V281" t="str">
            <v xml:space="preserve"> </v>
          </cell>
          <cell r="W281" t="str">
            <v xml:space="preserve"> </v>
          </cell>
          <cell r="X281"/>
          <cell r="Y281" t="str">
            <v xml:space="preserve"> </v>
          </cell>
          <cell r="Z281"/>
          <cell r="AA281" t="str">
            <v xml:space="preserve"> </v>
          </cell>
          <cell r="AB281" t="str">
            <v xml:space="preserve"> </v>
          </cell>
          <cell r="AC281"/>
          <cell r="AD281" t="str">
            <v xml:space="preserve"> </v>
          </cell>
          <cell r="AE281"/>
          <cell r="AF281" t="str">
            <v xml:space="preserve"> </v>
          </cell>
          <cell r="AG281"/>
          <cell r="AH281"/>
          <cell r="AI281"/>
          <cell r="AJ281"/>
          <cell r="AK281" t="str">
            <v/>
          </cell>
          <cell r="AL281"/>
          <cell r="AM281" t="str">
            <v xml:space="preserve"> </v>
          </cell>
          <cell r="AN281" t="str">
            <v xml:space="preserve"> </v>
          </cell>
          <cell r="AO281"/>
          <cell r="AP281" t="str">
            <v xml:space="preserve"> </v>
          </cell>
          <cell r="AQ281"/>
          <cell r="AR281" t="str">
            <v xml:space="preserve"> </v>
          </cell>
          <cell r="AS281" t="str">
            <v xml:space="preserve"> </v>
          </cell>
          <cell r="AT281"/>
          <cell r="AU281" t="str">
            <v xml:space="preserve"> </v>
          </cell>
          <cell r="AV281"/>
          <cell r="AW281"/>
          <cell r="AX281" t="str">
            <v xml:space="preserve"> </v>
          </cell>
          <cell r="AY281"/>
          <cell r="AZ281" t="str">
            <v xml:space="preserve"> </v>
          </cell>
          <cell r="BA281"/>
          <cell r="BB281"/>
          <cell r="BC281" t="str">
            <v xml:space="preserve"> </v>
          </cell>
          <cell r="BD281"/>
          <cell r="BE281" t="str">
            <v xml:space="preserve"> </v>
          </cell>
          <cell r="BF281"/>
          <cell r="BG281"/>
          <cell r="BH281" t="str">
            <v xml:space="preserve"> </v>
          </cell>
          <cell r="BI281"/>
          <cell r="BJ281" t="str">
            <v xml:space="preserve"> </v>
          </cell>
          <cell r="BK281"/>
          <cell r="BL281" t="str">
            <v xml:space="preserve"> </v>
          </cell>
          <cell r="BM281" t="str">
            <v xml:space="preserve"> </v>
          </cell>
          <cell r="BN281"/>
          <cell r="BO281" t="str">
            <v xml:space="preserve"> </v>
          </cell>
        </row>
        <row r="282">
          <cell r="B282">
            <v>46300</v>
          </cell>
          <cell r="C282"/>
          <cell r="D282" t="str">
            <v xml:space="preserve"> </v>
          </cell>
          <cell r="E282" t="str">
            <v xml:space="preserve"> </v>
          </cell>
          <cell r="F282"/>
          <cell r="G282" t="str">
            <v xml:space="preserve"> </v>
          </cell>
          <cell r="H282"/>
          <cell r="I282" t="str">
            <v xml:space="preserve"> </v>
          </cell>
          <cell r="J282" t="str">
            <v xml:space="preserve"> </v>
          </cell>
          <cell r="K282"/>
          <cell r="L282" t="str">
            <v xml:space="preserve"> </v>
          </cell>
          <cell r="M282"/>
          <cell r="N282" t="str">
            <v xml:space="preserve"> </v>
          </cell>
          <cell r="O282" t="str">
            <v xml:space="preserve"> </v>
          </cell>
          <cell r="P282"/>
          <cell r="Q282" t="str">
            <v xml:space="preserve"> </v>
          </cell>
          <cell r="R282"/>
          <cell r="S282" t="str">
            <v xml:space="preserve"> </v>
          </cell>
          <cell r="T282" t="str">
            <v xml:space="preserve"> </v>
          </cell>
          <cell r="U282"/>
          <cell r="V282" t="str">
            <v xml:space="preserve"> </v>
          </cell>
          <cell r="W282" t="str">
            <v xml:space="preserve"> </v>
          </cell>
          <cell r="X282"/>
          <cell r="Y282" t="str">
            <v xml:space="preserve"> </v>
          </cell>
          <cell r="Z282"/>
          <cell r="AA282" t="str">
            <v xml:space="preserve"> </v>
          </cell>
          <cell r="AB282" t="str">
            <v xml:space="preserve"> </v>
          </cell>
          <cell r="AC282"/>
          <cell r="AD282" t="str">
            <v xml:space="preserve"> </v>
          </cell>
          <cell r="AE282"/>
          <cell r="AF282" t="str">
            <v xml:space="preserve"> </v>
          </cell>
          <cell r="AG282"/>
          <cell r="AH282"/>
          <cell r="AI282"/>
          <cell r="AJ282"/>
          <cell r="AK282" t="str">
            <v/>
          </cell>
          <cell r="AL282"/>
          <cell r="AM282" t="str">
            <v xml:space="preserve"> </v>
          </cell>
          <cell r="AN282" t="str">
            <v xml:space="preserve"> </v>
          </cell>
          <cell r="AO282"/>
          <cell r="AP282" t="str">
            <v xml:space="preserve"> </v>
          </cell>
          <cell r="AQ282"/>
          <cell r="AR282" t="str">
            <v xml:space="preserve"> </v>
          </cell>
          <cell r="AS282" t="str">
            <v xml:space="preserve"> </v>
          </cell>
          <cell r="AT282"/>
          <cell r="AU282" t="str">
            <v xml:space="preserve"> </v>
          </cell>
          <cell r="AV282"/>
          <cell r="AW282"/>
          <cell r="AX282" t="str">
            <v xml:space="preserve"> </v>
          </cell>
          <cell r="AY282"/>
          <cell r="AZ282" t="str">
            <v xml:space="preserve"> </v>
          </cell>
          <cell r="BA282"/>
          <cell r="BB282"/>
          <cell r="BC282" t="str">
            <v xml:space="preserve"> </v>
          </cell>
          <cell r="BD282"/>
          <cell r="BE282" t="str">
            <v xml:space="preserve"> </v>
          </cell>
          <cell r="BF282"/>
          <cell r="BG282"/>
          <cell r="BH282" t="str">
            <v xml:space="preserve"> </v>
          </cell>
          <cell r="BI282"/>
          <cell r="BJ282" t="str">
            <v xml:space="preserve"> </v>
          </cell>
          <cell r="BK282"/>
          <cell r="BL282" t="str">
            <v xml:space="preserve"> </v>
          </cell>
          <cell r="BM282" t="str">
            <v xml:space="preserve"> </v>
          </cell>
          <cell r="BN282"/>
          <cell r="BO282" t="str">
            <v xml:space="preserve"> </v>
          </cell>
        </row>
        <row r="283">
          <cell r="B283">
            <v>46301</v>
          </cell>
          <cell r="C283"/>
          <cell r="D283" t="str">
            <v xml:space="preserve"> </v>
          </cell>
          <cell r="E283" t="str">
            <v xml:space="preserve"> </v>
          </cell>
          <cell r="F283"/>
          <cell r="G283" t="str">
            <v xml:space="preserve"> </v>
          </cell>
          <cell r="H283"/>
          <cell r="I283" t="str">
            <v xml:space="preserve"> </v>
          </cell>
          <cell r="J283" t="str">
            <v xml:space="preserve"> </v>
          </cell>
          <cell r="K283"/>
          <cell r="L283" t="str">
            <v xml:space="preserve"> </v>
          </cell>
          <cell r="M283"/>
          <cell r="N283" t="str">
            <v xml:space="preserve"> </v>
          </cell>
          <cell r="O283" t="str">
            <v xml:space="preserve"> </v>
          </cell>
          <cell r="P283"/>
          <cell r="Q283" t="str">
            <v xml:space="preserve"> </v>
          </cell>
          <cell r="R283"/>
          <cell r="S283" t="str">
            <v xml:space="preserve"> </v>
          </cell>
          <cell r="T283" t="str">
            <v xml:space="preserve"> </v>
          </cell>
          <cell r="U283"/>
          <cell r="V283" t="str">
            <v xml:space="preserve"> </v>
          </cell>
          <cell r="W283" t="str">
            <v xml:space="preserve"> </v>
          </cell>
          <cell r="X283"/>
          <cell r="Y283" t="str">
            <v xml:space="preserve"> </v>
          </cell>
          <cell r="Z283"/>
          <cell r="AA283" t="str">
            <v xml:space="preserve"> </v>
          </cell>
          <cell r="AB283" t="str">
            <v xml:space="preserve"> </v>
          </cell>
          <cell r="AC283"/>
          <cell r="AD283" t="str">
            <v xml:space="preserve"> </v>
          </cell>
          <cell r="AE283"/>
          <cell r="AF283" t="str">
            <v xml:space="preserve"> </v>
          </cell>
          <cell r="AG283"/>
          <cell r="AH283"/>
          <cell r="AI283"/>
          <cell r="AJ283"/>
          <cell r="AK283" t="str">
            <v/>
          </cell>
          <cell r="AL283"/>
          <cell r="AM283" t="str">
            <v xml:space="preserve"> </v>
          </cell>
          <cell r="AN283" t="str">
            <v xml:space="preserve"> </v>
          </cell>
          <cell r="AO283"/>
          <cell r="AP283" t="str">
            <v xml:space="preserve"> </v>
          </cell>
          <cell r="AQ283"/>
          <cell r="AR283" t="str">
            <v xml:space="preserve"> </v>
          </cell>
          <cell r="AS283" t="str">
            <v xml:space="preserve"> </v>
          </cell>
          <cell r="AT283"/>
          <cell r="AU283" t="str">
            <v xml:space="preserve"> </v>
          </cell>
          <cell r="AV283"/>
          <cell r="AW283"/>
          <cell r="AX283" t="str">
            <v xml:space="preserve"> </v>
          </cell>
          <cell r="AY283"/>
          <cell r="AZ283" t="str">
            <v xml:space="preserve"> </v>
          </cell>
          <cell r="BA283"/>
          <cell r="BB283"/>
          <cell r="BC283" t="str">
            <v xml:space="preserve"> </v>
          </cell>
          <cell r="BD283"/>
          <cell r="BE283" t="str">
            <v xml:space="preserve"> </v>
          </cell>
          <cell r="BF283"/>
          <cell r="BG283"/>
          <cell r="BH283" t="str">
            <v xml:space="preserve"> </v>
          </cell>
          <cell r="BI283"/>
          <cell r="BJ283" t="str">
            <v xml:space="preserve"> </v>
          </cell>
          <cell r="BK283"/>
          <cell r="BL283" t="str">
            <v xml:space="preserve"> </v>
          </cell>
          <cell r="BM283" t="str">
            <v xml:space="preserve"> </v>
          </cell>
          <cell r="BN283"/>
          <cell r="BO283" t="str">
            <v xml:space="preserve"> </v>
          </cell>
        </row>
        <row r="284">
          <cell r="B284">
            <v>46302</v>
          </cell>
          <cell r="C284"/>
          <cell r="D284" t="str">
            <v xml:space="preserve"> </v>
          </cell>
          <cell r="E284" t="str">
            <v xml:space="preserve"> </v>
          </cell>
          <cell r="F284"/>
          <cell r="G284" t="str">
            <v xml:space="preserve"> </v>
          </cell>
          <cell r="H284"/>
          <cell r="I284" t="str">
            <v xml:space="preserve"> </v>
          </cell>
          <cell r="J284" t="str">
            <v xml:space="preserve"> </v>
          </cell>
          <cell r="K284"/>
          <cell r="L284" t="str">
            <v xml:space="preserve"> </v>
          </cell>
          <cell r="M284"/>
          <cell r="N284" t="str">
            <v xml:space="preserve"> </v>
          </cell>
          <cell r="O284" t="str">
            <v xml:space="preserve"> </v>
          </cell>
          <cell r="P284"/>
          <cell r="Q284" t="str">
            <v xml:space="preserve"> </v>
          </cell>
          <cell r="R284"/>
          <cell r="S284" t="str">
            <v xml:space="preserve"> </v>
          </cell>
          <cell r="T284" t="str">
            <v xml:space="preserve"> </v>
          </cell>
          <cell r="U284"/>
          <cell r="V284" t="str">
            <v xml:space="preserve"> </v>
          </cell>
          <cell r="W284" t="str">
            <v xml:space="preserve"> </v>
          </cell>
          <cell r="X284"/>
          <cell r="Y284" t="str">
            <v xml:space="preserve"> </v>
          </cell>
          <cell r="Z284"/>
          <cell r="AA284" t="str">
            <v xml:space="preserve"> </v>
          </cell>
          <cell r="AB284" t="str">
            <v xml:space="preserve"> </v>
          </cell>
          <cell r="AC284"/>
          <cell r="AD284" t="str">
            <v xml:space="preserve"> </v>
          </cell>
          <cell r="AE284"/>
          <cell r="AF284" t="str">
            <v xml:space="preserve"> </v>
          </cell>
          <cell r="AG284"/>
          <cell r="AH284"/>
          <cell r="AI284"/>
          <cell r="AJ284"/>
          <cell r="AK284" t="str">
            <v/>
          </cell>
          <cell r="AL284"/>
          <cell r="AM284" t="str">
            <v xml:space="preserve"> </v>
          </cell>
          <cell r="AN284" t="str">
            <v xml:space="preserve"> </v>
          </cell>
          <cell r="AO284"/>
          <cell r="AP284" t="str">
            <v xml:space="preserve"> </v>
          </cell>
          <cell r="AQ284"/>
          <cell r="AR284" t="str">
            <v xml:space="preserve"> </v>
          </cell>
          <cell r="AS284" t="str">
            <v xml:space="preserve"> </v>
          </cell>
          <cell r="AT284"/>
          <cell r="AU284" t="str">
            <v xml:space="preserve"> </v>
          </cell>
          <cell r="AV284"/>
          <cell r="AW284"/>
          <cell r="AX284" t="str">
            <v xml:space="preserve"> </v>
          </cell>
          <cell r="AY284"/>
          <cell r="AZ284" t="str">
            <v xml:space="preserve"> </v>
          </cell>
          <cell r="BA284"/>
          <cell r="BB284"/>
          <cell r="BC284" t="str">
            <v xml:space="preserve"> </v>
          </cell>
          <cell r="BD284"/>
          <cell r="BE284" t="str">
            <v xml:space="preserve"> </v>
          </cell>
          <cell r="BF284"/>
          <cell r="BG284"/>
          <cell r="BH284" t="str">
            <v xml:space="preserve"> </v>
          </cell>
          <cell r="BI284"/>
          <cell r="BJ284" t="str">
            <v xml:space="preserve"> </v>
          </cell>
          <cell r="BK284"/>
          <cell r="BL284" t="str">
            <v xml:space="preserve"> </v>
          </cell>
          <cell r="BM284" t="str">
            <v xml:space="preserve"> </v>
          </cell>
          <cell r="BN284"/>
          <cell r="BO284" t="str">
            <v xml:space="preserve"> </v>
          </cell>
        </row>
        <row r="285">
          <cell r="B285">
            <v>46303</v>
          </cell>
          <cell r="C285"/>
          <cell r="D285" t="str">
            <v xml:space="preserve"> </v>
          </cell>
          <cell r="E285" t="str">
            <v xml:space="preserve"> </v>
          </cell>
          <cell r="F285"/>
          <cell r="G285" t="str">
            <v xml:space="preserve"> </v>
          </cell>
          <cell r="H285"/>
          <cell r="I285" t="str">
            <v xml:space="preserve"> </v>
          </cell>
          <cell r="J285" t="str">
            <v xml:space="preserve"> </v>
          </cell>
          <cell r="K285"/>
          <cell r="L285" t="str">
            <v xml:space="preserve"> </v>
          </cell>
          <cell r="M285"/>
          <cell r="N285" t="str">
            <v xml:space="preserve"> </v>
          </cell>
          <cell r="O285" t="str">
            <v xml:space="preserve"> </v>
          </cell>
          <cell r="P285"/>
          <cell r="Q285" t="str">
            <v xml:space="preserve"> </v>
          </cell>
          <cell r="R285"/>
          <cell r="S285" t="str">
            <v xml:space="preserve"> </v>
          </cell>
          <cell r="T285" t="str">
            <v xml:space="preserve"> </v>
          </cell>
          <cell r="U285"/>
          <cell r="V285" t="str">
            <v xml:space="preserve"> </v>
          </cell>
          <cell r="W285" t="str">
            <v xml:space="preserve"> </v>
          </cell>
          <cell r="X285"/>
          <cell r="Y285" t="str">
            <v xml:space="preserve"> </v>
          </cell>
          <cell r="Z285"/>
          <cell r="AA285" t="str">
            <v xml:space="preserve"> </v>
          </cell>
          <cell r="AB285" t="str">
            <v xml:space="preserve"> </v>
          </cell>
          <cell r="AC285"/>
          <cell r="AD285" t="str">
            <v xml:space="preserve"> </v>
          </cell>
          <cell r="AE285"/>
          <cell r="AF285" t="str">
            <v xml:space="preserve"> </v>
          </cell>
          <cell r="AG285"/>
          <cell r="AH285"/>
          <cell r="AI285"/>
          <cell r="AJ285"/>
          <cell r="AK285" t="str">
            <v/>
          </cell>
          <cell r="AL285"/>
          <cell r="AM285" t="str">
            <v xml:space="preserve"> </v>
          </cell>
          <cell r="AN285" t="str">
            <v xml:space="preserve"> </v>
          </cell>
          <cell r="AO285"/>
          <cell r="AP285" t="str">
            <v xml:space="preserve"> </v>
          </cell>
          <cell r="AQ285"/>
          <cell r="AR285" t="str">
            <v xml:space="preserve"> </v>
          </cell>
          <cell r="AS285" t="str">
            <v xml:space="preserve"> </v>
          </cell>
          <cell r="AT285"/>
          <cell r="AU285" t="str">
            <v xml:space="preserve"> </v>
          </cell>
          <cell r="AV285"/>
          <cell r="AW285"/>
          <cell r="AX285" t="str">
            <v xml:space="preserve"> </v>
          </cell>
          <cell r="AY285"/>
          <cell r="AZ285" t="str">
            <v xml:space="preserve"> </v>
          </cell>
          <cell r="BA285"/>
          <cell r="BB285"/>
          <cell r="BC285" t="str">
            <v xml:space="preserve"> </v>
          </cell>
          <cell r="BD285"/>
          <cell r="BE285" t="str">
            <v xml:space="preserve"> </v>
          </cell>
          <cell r="BF285"/>
          <cell r="BG285"/>
          <cell r="BH285" t="str">
            <v xml:space="preserve"> </v>
          </cell>
          <cell r="BI285"/>
          <cell r="BJ285" t="str">
            <v xml:space="preserve"> </v>
          </cell>
          <cell r="BK285"/>
          <cell r="BL285" t="str">
            <v xml:space="preserve"> </v>
          </cell>
          <cell r="BM285" t="str">
            <v xml:space="preserve"> </v>
          </cell>
          <cell r="BN285"/>
          <cell r="BO285" t="str">
            <v xml:space="preserve"> </v>
          </cell>
        </row>
        <row r="286">
          <cell r="B286">
            <v>46304</v>
          </cell>
          <cell r="C286"/>
          <cell r="D286" t="str">
            <v xml:space="preserve"> </v>
          </cell>
          <cell r="E286" t="str">
            <v xml:space="preserve"> </v>
          </cell>
          <cell r="F286"/>
          <cell r="G286" t="str">
            <v xml:space="preserve"> </v>
          </cell>
          <cell r="H286"/>
          <cell r="I286" t="str">
            <v xml:space="preserve"> </v>
          </cell>
          <cell r="J286" t="str">
            <v xml:space="preserve"> </v>
          </cell>
          <cell r="K286"/>
          <cell r="L286" t="str">
            <v xml:space="preserve"> </v>
          </cell>
          <cell r="M286"/>
          <cell r="N286" t="str">
            <v xml:space="preserve"> </v>
          </cell>
          <cell r="O286" t="str">
            <v xml:space="preserve"> </v>
          </cell>
          <cell r="P286"/>
          <cell r="Q286" t="str">
            <v xml:space="preserve"> </v>
          </cell>
          <cell r="R286"/>
          <cell r="S286" t="str">
            <v xml:space="preserve"> </v>
          </cell>
          <cell r="T286" t="str">
            <v xml:space="preserve"> </v>
          </cell>
          <cell r="U286"/>
          <cell r="V286" t="str">
            <v xml:space="preserve"> </v>
          </cell>
          <cell r="W286" t="str">
            <v xml:space="preserve"> </v>
          </cell>
          <cell r="X286"/>
          <cell r="Y286" t="str">
            <v xml:space="preserve"> </v>
          </cell>
          <cell r="Z286"/>
          <cell r="AA286" t="str">
            <v xml:space="preserve"> </v>
          </cell>
          <cell r="AB286" t="str">
            <v xml:space="preserve"> </v>
          </cell>
          <cell r="AC286"/>
          <cell r="AD286" t="str">
            <v xml:space="preserve"> </v>
          </cell>
          <cell r="AE286"/>
          <cell r="AF286" t="str">
            <v xml:space="preserve"> </v>
          </cell>
          <cell r="AG286"/>
          <cell r="AH286"/>
          <cell r="AI286"/>
          <cell r="AJ286"/>
          <cell r="AK286" t="str">
            <v/>
          </cell>
          <cell r="AL286"/>
          <cell r="AM286" t="str">
            <v xml:space="preserve"> </v>
          </cell>
          <cell r="AN286" t="str">
            <v xml:space="preserve"> </v>
          </cell>
          <cell r="AO286"/>
          <cell r="AP286" t="str">
            <v xml:space="preserve"> </v>
          </cell>
          <cell r="AQ286"/>
          <cell r="AR286" t="str">
            <v xml:space="preserve"> </v>
          </cell>
          <cell r="AS286" t="str">
            <v xml:space="preserve"> </v>
          </cell>
          <cell r="AT286"/>
          <cell r="AU286" t="str">
            <v xml:space="preserve"> </v>
          </cell>
          <cell r="AV286"/>
          <cell r="AW286"/>
          <cell r="AX286" t="str">
            <v xml:space="preserve"> </v>
          </cell>
          <cell r="AY286"/>
          <cell r="AZ286" t="str">
            <v xml:space="preserve"> </v>
          </cell>
          <cell r="BA286"/>
          <cell r="BB286"/>
          <cell r="BC286" t="str">
            <v xml:space="preserve"> </v>
          </cell>
          <cell r="BD286"/>
          <cell r="BE286" t="str">
            <v xml:space="preserve"> </v>
          </cell>
          <cell r="BF286"/>
          <cell r="BG286"/>
          <cell r="BH286" t="str">
            <v xml:space="preserve"> </v>
          </cell>
          <cell r="BI286"/>
          <cell r="BJ286" t="str">
            <v xml:space="preserve"> </v>
          </cell>
          <cell r="BK286"/>
          <cell r="BL286" t="str">
            <v xml:space="preserve"> </v>
          </cell>
          <cell r="BM286" t="str">
            <v xml:space="preserve"> </v>
          </cell>
          <cell r="BN286"/>
          <cell r="BO286" t="str">
            <v xml:space="preserve"> </v>
          </cell>
        </row>
        <row r="287">
          <cell r="B287">
            <v>46305</v>
          </cell>
          <cell r="C287"/>
          <cell r="D287" t="str">
            <v xml:space="preserve"> </v>
          </cell>
          <cell r="E287" t="str">
            <v xml:space="preserve"> </v>
          </cell>
          <cell r="F287"/>
          <cell r="G287" t="str">
            <v xml:space="preserve"> </v>
          </cell>
          <cell r="H287"/>
          <cell r="I287" t="str">
            <v xml:space="preserve"> </v>
          </cell>
          <cell r="J287" t="str">
            <v xml:space="preserve"> </v>
          </cell>
          <cell r="K287"/>
          <cell r="L287" t="str">
            <v xml:space="preserve"> </v>
          </cell>
          <cell r="M287"/>
          <cell r="N287" t="str">
            <v xml:space="preserve"> </v>
          </cell>
          <cell r="O287" t="str">
            <v xml:space="preserve"> </v>
          </cell>
          <cell r="P287"/>
          <cell r="Q287" t="str">
            <v xml:space="preserve"> </v>
          </cell>
          <cell r="R287"/>
          <cell r="S287" t="str">
            <v xml:space="preserve"> </v>
          </cell>
          <cell r="T287" t="str">
            <v xml:space="preserve"> </v>
          </cell>
          <cell r="U287"/>
          <cell r="V287" t="str">
            <v xml:space="preserve"> </v>
          </cell>
          <cell r="W287" t="str">
            <v xml:space="preserve"> </v>
          </cell>
          <cell r="X287"/>
          <cell r="Y287" t="str">
            <v xml:space="preserve"> </v>
          </cell>
          <cell r="Z287"/>
          <cell r="AA287" t="str">
            <v xml:space="preserve"> </v>
          </cell>
          <cell r="AB287" t="str">
            <v xml:space="preserve"> </v>
          </cell>
          <cell r="AC287"/>
          <cell r="AD287" t="str">
            <v xml:space="preserve"> </v>
          </cell>
          <cell r="AE287"/>
          <cell r="AF287" t="str">
            <v xml:space="preserve"> </v>
          </cell>
          <cell r="AG287"/>
          <cell r="AH287"/>
          <cell r="AI287"/>
          <cell r="AJ287"/>
          <cell r="AK287" t="str">
            <v/>
          </cell>
          <cell r="AL287"/>
          <cell r="AM287" t="str">
            <v xml:space="preserve"> </v>
          </cell>
          <cell r="AN287" t="str">
            <v xml:space="preserve"> </v>
          </cell>
          <cell r="AO287"/>
          <cell r="AP287" t="str">
            <v xml:space="preserve"> </v>
          </cell>
          <cell r="AQ287"/>
          <cell r="AR287" t="str">
            <v xml:space="preserve"> </v>
          </cell>
          <cell r="AS287" t="str">
            <v xml:space="preserve"> </v>
          </cell>
          <cell r="AT287"/>
          <cell r="AU287" t="str">
            <v xml:space="preserve"> </v>
          </cell>
          <cell r="AV287"/>
          <cell r="AW287"/>
          <cell r="AX287" t="str">
            <v xml:space="preserve"> </v>
          </cell>
          <cell r="AY287"/>
          <cell r="AZ287" t="str">
            <v xml:space="preserve"> </v>
          </cell>
          <cell r="BA287"/>
          <cell r="BB287"/>
          <cell r="BC287" t="str">
            <v xml:space="preserve"> </v>
          </cell>
          <cell r="BD287"/>
          <cell r="BE287" t="str">
            <v xml:space="preserve"> </v>
          </cell>
          <cell r="BF287"/>
          <cell r="BG287"/>
          <cell r="BH287" t="str">
            <v xml:space="preserve"> </v>
          </cell>
          <cell r="BI287"/>
          <cell r="BJ287" t="str">
            <v xml:space="preserve"> </v>
          </cell>
          <cell r="BK287"/>
          <cell r="BL287" t="str">
            <v xml:space="preserve"> </v>
          </cell>
          <cell r="BM287" t="str">
            <v xml:space="preserve"> </v>
          </cell>
          <cell r="BN287"/>
          <cell r="BO287" t="str">
            <v xml:space="preserve"> </v>
          </cell>
        </row>
        <row r="288">
          <cell r="B288">
            <v>46306</v>
          </cell>
          <cell r="C288"/>
          <cell r="D288" t="str">
            <v xml:space="preserve"> </v>
          </cell>
          <cell r="E288" t="str">
            <v xml:space="preserve"> </v>
          </cell>
          <cell r="F288"/>
          <cell r="G288" t="str">
            <v xml:space="preserve"> </v>
          </cell>
          <cell r="H288"/>
          <cell r="I288" t="str">
            <v xml:space="preserve"> </v>
          </cell>
          <cell r="J288" t="str">
            <v xml:space="preserve"> </v>
          </cell>
          <cell r="K288"/>
          <cell r="L288" t="str">
            <v xml:space="preserve"> </v>
          </cell>
          <cell r="M288"/>
          <cell r="N288" t="str">
            <v xml:space="preserve"> </v>
          </cell>
          <cell r="O288" t="str">
            <v xml:space="preserve"> </v>
          </cell>
          <cell r="P288"/>
          <cell r="Q288" t="str">
            <v xml:space="preserve"> </v>
          </cell>
          <cell r="R288"/>
          <cell r="S288" t="str">
            <v xml:space="preserve"> </v>
          </cell>
          <cell r="T288" t="str">
            <v xml:space="preserve"> </v>
          </cell>
          <cell r="U288"/>
          <cell r="V288" t="str">
            <v xml:space="preserve"> </v>
          </cell>
          <cell r="W288" t="str">
            <v xml:space="preserve"> </v>
          </cell>
          <cell r="X288"/>
          <cell r="Y288" t="str">
            <v xml:space="preserve"> </v>
          </cell>
          <cell r="Z288"/>
          <cell r="AA288" t="str">
            <v xml:space="preserve"> </v>
          </cell>
          <cell r="AB288" t="str">
            <v xml:space="preserve"> </v>
          </cell>
          <cell r="AC288"/>
          <cell r="AD288" t="str">
            <v xml:space="preserve"> </v>
          </cell>
          <cell r="AE288"/>
          <cell r="AF288" t="str">
            <v xml:space="preserve"> </v>
          </cell>
          <cell r="AG288"/>
          <cell r="AH288"/>
          <cell r="AI288"/>
          <cell r="AJ288"/>
          <cell r="AK288" t="str">
            <v/>
          </cell>
          <cell r="AL288"/>
          <cell r="AM288" t="str">
            <v xml:space="preserve"> </v>
          </cell>
          <cell r="AN288" t="str">
            <v xml:space="preserve"> </v>
          </cell>
          <cell r="AO288"/>
          <cell r="AP288" t="str">
            <v xml:space="preserve"> </v>
          </cell>
          <cell r="AQ288"/>
          <cell r="AR288" t="str">
            <v xml:space="preserve"> </v>
          </cell>
          <cell r="AS288" t="str">
            <v xml:space="preserve"> </v>
          </cell>
          <cell r="AT288"/>
          <cell r="AU288" t="str">
            <v xml:space="preserve"> </v>
          </cell>
          <cell r="AV288"/>
          <cell r="AW288"/>
          <cell r="AX288" t="str">
            <v xml:space="preserve"> </v>
          </cell>
          <cell r="AY288"/>
          <cell r="AZ288" t="str">
            <v xml:space="preserve"> </v>
          </cell>
          <cell r="BA288"/>
          <cell r="BB288"/>
          <cell r="BC288" t="str">
            <v xml:space="preserve"> </v>
          </cell>
          <cell r="BD288"/>
          <cell r="BE288" t="str">
            <v xml:space="preserve"> </v>
          </cell>
          <cell r="BF288"/>
          <cell r="BG288"/>
          <cell r="BH288" t="str">
            <v xml:space="preserve"> </v>
          </cell>
          <cell r="BI288"/>
          <cell r="BJ288" t="str">
            <v xml:space="preserve"> </v>
          </cell>
          <cell r="BK288"/>
          <cell r="BL288" t="str">
            <v xml:space="preserve"> </v>
          </cell>
          <cell r="BM288" t="str">
            <v xml:space="preserve"> </v>
          </cell>
          <cell r="BN288"/>
          <cell r="BO288" t="str">
            <v xml:space="preserve"> </v>
          </cell>
        </row>
        <row r="289">
          <cell r="B289">
            <v>46307</v>
          </cell>
          <cell r="C289"/>
          <cell r="D289" t="str">
            <v xml:space="preserve"> </v>
          </cell>
          <cell r="E289" t="str">
            <v xml:space="preserve"> </v>
          </cell>
          <cell r="F289"/>
          <cell r="G289" t="str">
            <v xml:space="preserve"> </v>
          </cell>
          <cell r="H289"/>
          <cell r="I289" t="str">
            <v xml:space="preserve"> </v>
          </cell>
          <cell r="J289" t="str">
            <v xml:space="preserve"> </v>
          </cell>
          <cell r="K289"/>
          <cell r="L289" t="str">
            <v xml:space="preserve"> </v>
          </cell>
          <cell r="M289"/>
          <cell r="N289" t="str">
            <v xml:space="preserve"> </v>
          </cell>
          <cell r="O289" t="str">
            <v xml:space="preserve"> </v>
          </cell>
          <cell r="P289"/>
          <cell r="Q289" t="str">
            <v xml:space="preserve"> </v>
          </cell>
          <cell r="R289"/>
          <cell r="S289" t="str">
            <v xml:space="preserve"> </v>
          </cell>
          <cell r="T289" t="str">
            <v xml:space="preserve"> </v>
          </cell>
          <cell r="U289"/>
          <cell r="V289" t="str">
            <v xml:space="preserve"> </v>
          </cell>
          <cell r="W289" t="str">
            <v xml:space="preserve"> </v>
          </cell>
          <cell r="X289"/>
          <cell r="Y289" t="str">
            <v xml:space="preserve"> </v>
          </cell>
          <cell r="Z289"/>
          <cell r="AA289" t="str">
            <v xml:space="preserve"> </v>
          </cell>
          <cell r="AB289" t="str">
            <v xml:space="preserve"> </v>
          </cell>
          <cell r="AC289"/>
          <cell r="AD289" t="str">
            <v xml:space="preserve"> </v>
          </cell>
          <cell r="AE289"/>
          <cell r="AF289" t="str">
            <v xml:space="preserve"> </v>
          </cell>
          <cell r="AG289"/>
          <cell r="AH289"/>
          <cell r="AI289"/>
          <cell r="AJ289"/>
          <cell r="AK289" t="str">
            <v/>
          </cell>
          <cell r="AL289"/>
          <cell r="AM289" t="str">
            <v xml:space="preserve"> </v>
          </cell>
          <cell r="AN289" t="str">
            <v xml:space="preserve"> </v>
          </cell>
          <cell r="AO289"/>
          <cell r="AP289" t="str">
            <v xml:space="preserve"> </v>
          </cell>
          <cell r="AQ289"/>
          <cell r="AR289" t="str">
            <v xml:space="preserve"> </v>
          </cell>
          <cell r="AS289" t="str">
            <v xml:space="preserve"> </v>
          </cell>
          <cell r="AT289"/>
          <cell r="AU289" t="str">
            <v xml:space="preserve"> </v>
          </cell>
          <cell r="AV289"/>
          <cell r="AW289"/>
          <cell r="AX289" t="str">
            <v xml:space="preserve"> </v>
          </cell>
          <cell r="AY289"/>
          <cell r="AZ289" t="str">
            <v xml:space="preserve"> </v>
          </cell>
          <cell r="BA289"/>
          <cell r="BB289"/>
          <cell r="BC289" t="str">
            <v xml:space="preserve"> </v>
          </cell>
          <cell r="BD289"/>
          <cell r="BE289" t="str">
            <v xml:space="preserve"> </v>
          </cell>
          <cell r="BF289"/>
          <cell r="BG289"/>
          <cell r="BH289" t="str">
            <v xml:space="preserve"> </v>
          </cell>
          <cell r="BI289"/>
          <cell r="BJ289" t="str">
            <v xml:space="preserve"> </v>
          </cell>
          <cell r="BK289"/>
          <cell r="BL289" t="str">
            <v xml:space="preserve"> </v>
          </cell>
          <cell r="BM289" t="str">
            <v xml:space="preserve"> </v>
          </cell>
          <cell r="BN289"/>
          <cell r="BO289" t="str">
            <v xml:space="preserve"> </v>
          </cell>
        </row>
        <row r="290">
          <cell r="B290">
            <v>46308</v>
          </cell>
          <cell r="C290"/>
          <cell r="D290" t="str">
            <v xml:space="preserve"> </v>
          </cell>
          <cell r="E290" t="str">
            <v xml:space="preserve"> </v>
          </cell>
          <cell r="F290"/>
          <cell r="G290" t="str">
            <v xml:space="preserve"> </v>
          </cell>
          <cell r="H290"/>
          <cell r="I290" t="str">
            <v xml:space="preserve"> </v>
          </cell>
          <cell r="J290" t="str">
            <v xml:space="preserve"> </v>
          </cell>
          <cell r="K290"/>
          <cell r="L290" t="str">
            <v xml:space="preserve"> </v>
          </cell>
          <cell r="M290"/>
          <cell r="N290" t="str">
            <v xml:space="preserve"> </v>
          </cell>
          <cell r="O290" t="str">
            <v xml:space="preserve"> </v>
          </cell>
          <cell r="P290"/>
          <cell r="Q290" t="str">
            <v xml:space="preserve"> </v>
          </cell>
          <cell r="R290"/>
          <cell r="S290" t="str">
            <v xml:space="preserve"> </v>
          </cell>
          <cell r="T290" t="str">
            <v xml:space="preserve"> </v>
          </cell>
          <cell r="U290"/>
          <cell r="V290" t="str">
            <v xml:space="preserve"> </v>
          </cell>
          <cell r="W290" t="str">
            <v xml:space="preserve"> </v>
          </cell>
          <cell r="X290"/>
          <cell r="Y290" t="str">
            <v xml:space="preserve"> </v>
          </cell>
          <cell r="Z290"/>
          <cell r="AA290" t="str">
            <v xml:space="preserve"> </v>
          </cell>
          <cell r="AB290" t="str">
            <v xml:space="preserve"> </v>
          </cell>
          <cell r="AC290"/>
          <cell r="AD290" t="str">
            <v xml:space="preserve"> </v>
          </cell>
          <cell r="AE290"/>
          <cell r="AF290" t="str">
            <v xml:space="preserve"> </v>
          </cell>
          <cell r="AG290"/>
          <cell r="AH290"/>
          <cell r="AI290"/>
          <cell r="AJ290"/>
          <cell r="AK290" t="str">
            <v/>
          </cell>
          <cell r="AL290"/>
          <cell r="AM290" t="str">
            <v xml:space="preserve"> </v>
          </cell>
          <cell r="AN290" t="str">
            <v xml:space="preserve"> </v>
          </cell>
          <cell r="AO290"/>
          <cell r="AP290" t="str">
            <v xml:space="preserve"> </v>
          </cell>
          <cell r="AQ290"/>
          <cell r="AR290" t="str">
            <v xml:space="preserve"> </v>
          </cell>
          <cell r="AS290" t="str">
            <v xml:space="preserve"> </v>
          </cell>
          <cell r="AT290"/>
          <cell r="AU290" t="str">
            <v xml:space="preserve"> </v>
          </cell>
          <cell r="AV290"/>
          <cell r="AW290"/>
          <cell r="AX290" t="str">
            <v xml:space="preserve"> </v>
          </cell>
          <cell r="AY290"/>
          <cell r="AZ290" t="str">
            <v xml:space="preserve"> </v>
          </cell>
          <cell r="BA290"/>
          <cell r="BB290"/>
          <cell r="BC290" t="str">
            <v xml:space="preserve"> </v>
          </cell>
          <cell r="BD290"/>
          <cell r="BE290" t="str">
            <v xml:space="preserve"> </v>
          </cell>
          <cell r="BF290"/>
          <cell r="BG290"/>
          <cell r="BH290" t="str">
            <v xml:space="preserve"> </v>
          </cell>
          <cell r="BI290"/>
          <cell r="BJ290" t="str">
            <v xml:space="preserve"> </v>
          </cell>
          <cell r="BK290"/>
          <cell r="BL290" t="str">
            <v xml:space="preserve"> </v>
          </cell>
          <cell r="BM290" t="str">
            <v xml:space="preserve"> </v>
          </cell>
          <cell r="BN290"/>
          <cell r="BO290" t="str">
            <v xml:space="preserve"> </v>
          </cell>
        </row>
        <row r="291">
          <cell r="B291">
            <v>46309</v>
          </cell>
          <cell r="C291"/>
          <cell r="D291" t="str">
            <v xml:space="preserve"> </v>
          </cell>
          <cell r="E291" t="str">
            <v xml:space="preserve"> </v>
          </cell>
          <cell r="F291"/>
          <cell r="G291" t="str">
            <v xml:space="preserve"> </v>
          </cell>
          <cell r="H291"/>
          <cell r="I291" t="str">
            <v xml:space="preserve"> </v>
          </cell>
          <cell r="J291" t="str">
            <v xml:space="preserve"> </v>
          </cell>
          <cell r="K291"/>
          <cell r="L291" t="str">
            <v xml:space="preserve"> </v>
          </cell>
          <cell r="M291"/>
          <cell r="N291" t="str">
            <v xml:space="preserve"> </v>
          </cell>
          <cell r="O291" t="str">
            <v xml:space="preserve"> </v>
          </cell>
          <cell r="P291"/>
          <cell r="Q291" t="str">
            <v xml:space="preserve"> </v>
          </cell>
          <cell r="R291"/>
          <cell r="S291" t="str">
            <v xml:space="preserve"> </v>
          </cell>
          <cell r="T291" t="str">
            <v xml:space="preserve"> </v>
          </cell>
          <cell r="U291"/>
          <cell r="V291" t="str">
            <v xml:space="preserve"> </v>
          </cell>
          <cell r="W291" t="str">
            <v xml:space="preserve"> </v>
          </cell>
          <cell r="X291"/>
          <cell r="Y291" t="str">
            <v xml:space="preserve"> </v>
          </cell>
          <cell r="Z291"/>
          <cell r="AA291" t="str">
            <v xml:space="preserve"> </v>
          </cell>
          <cell r="AB291" t="str">
            <v xml:space="preserve"> </v>
          </cell>
          <cell r="AC291"/>
          <cell r="AD291" t="str">
            <v xml:space="preserve"> </v>
          </cell>
          <cell r="AE291"/>
          <cell r="AF291" t="str">
            <v xml:space="preserve"> </v>
          </cell>
          <cell r="AG291"/>
          <cell r="AH291"/>
          <cell r="AI291"/>
          <cell r="AJ291"/>
          <cell r="AK291" t="str">
            <v/>
          </cell>
          <cell r="AL291"/>
          <cell r="AM291" t="str">
            <v xml:space="preserve"> </v>
          </cell>
          <cell r="AN291" t="str">
            <v xml:space="preserve"> </v>
          </cell>
          <cell r="AO291"/>
          <cell r="AP291" t="str">
            <v xml:space="preserve"> </v>
          </cell>
          <cell r="AQ291"/>
          <cell r="AR291" t="str">
            <v xml:space="preserve"> </v>
          </cell>
          <cell r="AS291" t="str">
            <v xml:space="preserve"> </v>
          </cell>
          <cell r="AT291"/>
          <cell r="AU291" t="str">
            <v xml:space="preserve"> </v>
          </cell>
          <cell r="AV291"/>
          <cell r="AW291"/>
          <cell r="AX291" t="str">
            <v xml:space="preserve"> </v>
          </cell>
          <cell r="AY291"/>
          <cell r="AZ291" t="str">
            <v xml:space="preserve"> </v>
          </cell>
          <cell r="BA291"/>
          <cell r="BB291"/>
          <cell r="BC291" t="str">
            <v xml:space="preserve"> </v>
          </cell>
          <cell r="BD291"/>
          <cell r="BE291" t="str">
            <v xml:space="preserve"> </v>
          </cell>
          <cell r="BF291"/>
          <cell r="BG291"/>
          <cell r="BH291" t="str">
            <v xml:space="preserve"> </v>
          </cell>
          <cell r="BI291"/>
          <cell r="BJ291" t="str">
            <v xml:space="preserve"> </v>
          </cell>
          <cell r="BK291"/>
          <cell r="BL291" t="str">
            <v xml:space="preserve"> </v>
          </cell>
          <cell r="BM291" t="str">
            <v xml:space="preserve"> </v>
          </cell>
          <cell r="BN291"/>
          <cell r="BO291" t="str">
            <v xml:space="preserve"> </v>
          </cell>
        </row>
        <row r="292">
          <cell r="B292">
            <v>46310</v>
          </cell>
          <cell r="C292"/>
          <cell r="D292" t="str">
            <v xml:space="preserve"> </v>
          </cell>
          <cell r="E292" t="str">
            <v xml:space="preserve"> </v>
          </cell>
          <cell r="F292"/>
          <cell r="G292" t="str">
            <v xml:space="preserve"> </v>
          </cell>
          <cell r="H292"/>
          <cell r="I292" t="str">
            <v xml:space="preserve"> </v>
          </cell>
          <cell r="J292" t="str">
            <v xml:space="preserve"> </v>
          </cell>
          <cell r="K292"/>
          <cell r="L292" t="str">
            <v xml:space="preserve"> </v>
          </cell>
          <cell r="M292"/>
          <cell r="N292" t="str">
            <v xml:space="preserve"> </v>
          </cell>
          <cell r="O292" t="str">
            <v xml:space="preserve"> </v>
          </cell>
          <cell r="P292"/>
          <cell r="Q292" t="str">
            <v xml:space="preserve"> </v>
          </cell>
          <cell r="R292"/>
          <cell r="S292" t="str">
            <v xml:space="preserve"> </v>
          </cell>
          <cell r="T292" t="str">
            <v xml:space="preserve"> </v>
          </cell>
          <cell r="U292"/>
          <cell r="V292" t="str">
            <v xml:space="preserve"> </v>
          </cell>
          <cell r="W292" t="str">
            <v xml:space="preserve"> </v>
          </cell>
          <cell r="X292"/>
          <cell r="Y292" t="str">
            <v xml:space="preserve"> </v>
          </cell>
          <cell r="Z292"/>
          <cell r="AA292" t="str">
            <v xml:space="preserve"> </v>
          </cell>
          <cell r="AB292" t="str">
            <v xml:space="preserve"> </v>
          </cell>
          <cell r="AC292"/>
          <cell r="AD292" t="str">
            <v xml:space="preserve"> </v>
          </cell>
          <cell r="AE292"/>
          <cell r="AF292" t="str">
            <v xml:space="preserve"> </v>
          </cell>
          <cell r="AG292"/>
          <cell r="AH292"/>
          <cell r="AI292"/>
          <cell r="AJ292"/>
          <cell r="AK292" t="str">
            <v/>
          </cell>
          <cell r="AL292"/>
          <cell r="AM292" t="str">
            <v xml:space="preserve"> </v>
          </cell>
          <cell r="AN292" t="str">
            <v xml:space="preserve"> </v>
          </cell>
          <cell r="AO292"/>
          <cell r="AP292" t="str">
            <v xml:space="preserve"> </v>
          </cell>
          <cell r="AQ292"/>
          <cell r="AR292" t="str">
            <v xml:space="preserve"> </v>
          </cell>
          <cell r="AS292" t="str">
            <v xml:space="preserve"> </v>
          </cell>
          <cell r="AT292"/>
          <cell r="AU292" t="str">
            <v xml:space="preserve"> </v>
          </cell>
          <cell r="AV292"/>
          <cell r="AW292"/>
          <cell r="AX292" t="str">
            <v xml:space="preserve"> </v>
          </cell>
          <cell r="AY292"/>
          <cell r="AZ292" t="str">
            <v xml:space="preserve"> </v>
          </cell>
          <cell r="BA292"/>
          <cell r="BB292"/>
          <cell r="BC292" t="str">
            <v xml:space="preserve"> </v>
          </cell>
          <cell r="BD292"/>
          <cell r="BE292" t="str">
            <v xml:space="preserve"> </v>
          </cell>
          <cell r="BF292"/>
          <cell r="BG292"/>
          <cell r="BH292" t="str">
            <v xml:space="preserve"> </v>
          </cell>
          <cell r="BI292"/>
          <cell r="BJ292" t="str">
            <v xml:space="preserve"> </v>
          </cell>
          <cell r="BK292"/>
          <cell r="BL292" t="str">
            <v xml:space="preserve"> </v>
          </cell>
          <cell r="BM292" t="str">
            <v xml:space="preserve"> </v>
          </cell>
          <cell r="BN292"/>
          <cell r="BO292" t="str">
            <v xml:space="preserve"> </v>
          </cell>
        </row>
        <row r="293">
          <cell r="B293">
            <v>46311</v>
          </cell>
          <cell r="C293"/>
          <cell r="D293" t="str">
            <v xml:space="preserve"> </v>
          </cell>
          <cell r="E293" t="str">
            <v xml:space="preserve"> </v>
          </cell>
          <cell r="F293"/>
          <cell r="G293" t="str">
            <v xml:space="preserve"> </v>
          </cell>
          <cell r="H293"/>
          <cell r="I293" t="str">
            <v xml:space="preserve"> </v>
          </cell>
          <cell r="J293" t="str">
            <v xml:space="preserve"> </v>
          </cell>
          <cell r="K293"/>
          <cell r="L293" t="str">
            <v xml:space="preserve"> </v>
          </cell>
          <cell r="M293"/>
          <cell r="N293" t="str">
            <v xml:space="preserve"> </v>
          </cell>
          <cell r="O293" t="str">
            <v xml:space="preserve"> </v>
          </cell>
          <cell r="P293"/>
          <cell r="Q293" t="str">
            <v xml:space="preserve"> </v>
          </cell>
          <cell r="R293"/>
          <cell r="S293" t="str">
            <v xml:space="preserve"> </v>
          </cell>
          <cell r="T293" t="str">
            <v xml:space="preserve"> </v>
          </cell>
          <cell r="U293"/>
          <cell r="V293" t="str">
            <v xml:space="preserve"> </v>
          </cell>
          <cell r="W293" t="str">
            <v xml:space="preserve"> </v>
          </cell>
          <cell r="X293"/>
          <cell r="Y293" t="str">
            <v xml:space="preserve"> </v>
          </cell>
          <cell r="Z293"/>
          <cell r="AA293" t="str">
            <v xml:space="preserve"> </v>
          </cell>
          <cell r="AB293" t="str">
            <v xml:space="preserve"> </v>
          </cell>
          <cell r="AC293"/>
          <cell r="AD293" t="str">
            <v xml:space="preserve"> </v>
          </cell>
          <cell r="AE293"/>
          <cell r="AF293" t="str">
            <v xml:space="preserve"> </v>
          </cell>
          <cell r="AG293"/>
          <cell r="AH293"/>
          <cell r="AI293"/>
          <cell r="AJ293"/>
          <cell r="AK293" t="str">
            <v/>
          </cell>
          <cell r="AL293"/>
          <cell r="AM293" t="str">
            <v xml:space="preserve"> </v>
          </cell>
          <cell r="AN293" t="str">
            <v xml:space="preserve"> </v>
          </cell>
          <cell r="AO293"/>
          <cell r="AP293" t="str">
            <v xml:space="preserve"> </v>
          </cell>
          <cell r="AQ293"/>
          <cell r="AR293" t="str">
            <v xml:space="preserve"> </v>
          </cell>
          <cell r="AS293" t="str">
            <v xml:space="preserve"> </v>
          </cell>
          <cell r="AT293"/>
          <cell r="AU293" t="str">
            <v xml:space="preserve"> </v>
          </cell>
          <cell r="AV293"/>
          <cell r="AW293"/>
          <cell r="AX293" t="str">
            <v xml:space="preserve"> </v>
          </cell>
          <cell r="AY293"/>
          <cell r="AZ293" t="str">
            <v xml:space="preserve"> </v>
          </cell>
          <cell r="BA293"/>
          <cell r="BB293"/>
          <cell r="BC293" t="str">
            <v xml:space="preserve"> </v>
          </cell>
          <cell r="BD293"/>
          <cell r="BE293" t="str">
            <v xml:space="preserve"> </v>
          </cell>
          <cell r="BF293"/>
          <cell r="BG293"/>
          <cell r="BH293" t="str">
            <v xml:space="preserve"> </v>
          </cell>
          <cell r="BI293"/>
          <cell r="BJ293" t="str">
            <v xml:space="preserve"> </v>
          </cell>
          <cell r="BK293"/>
          <cell r="BL293" t="str">
            <v xml:space="preserve"> </v>
          </cell>
          <cell r="BM293" t="str">
            <v xml:space="preserve"> </v>
          </cell>
          <cell r="BN293"/>
          <cell r="BO293" t="str">
            <v xml:space="preserve"> </v>
          </cell>
        </row>
        <row r="294">
          <cell r="B294">
            <v>46312</v>
          </cell>
          <cell r="C294"/>
          <cell r="D294" t="str">
            <v xml:space="preserve"> </v>
          </cell>
          <cell r="E294" t="str">
            <v xml:space="preserve"> </v>
          </cell>
          <cell r="F294"/>
          <cell r="G294" t="str">
            <v xml:space="preserve"> </v>
          </cell>
          <cell r="H294"/>
          <cell r="I294" t="str">
            <v xml:space="preserve"> </v>
          </cell>
          <cell r="J294" t="str">
            <v xml:space="preserve"> </v>
          </cell>
          <cell r="K294"/>
          <cell r="L294" t="str">
            <v xml:space="preserve"> </v>
          </cell>
          <cell r="M294"/>
          <cell r="N294" t="str">
            <v xml:space="preserve"> </v>
          </cell>
          <cell r="O294" t="str">
            <v xml:space="preserve"> </v>
          </cell>
          <cell r="P294"/>
          <cell r="Q294" t="str">
            <v xml:space="preserve"> </v>
          </cell>
          <cell r="R294"/>
          <cell r="S294" t="str">
            <v xml:space="preserve"> </v>
          </cell>
          <cell r="T294" t="str">
            <v xml:space="preserve"> </v>
          </cell>
          <cell r="U294"/>
          <cell r="V294" t="str">
            <v xml:space="preserve"> </v>
          </cell>
          <cell r="W294" t="str">
            <v xml:space="preserve"> </v>
          </cell>
          <cell r="X294"/>
          <cell r="Y294" t="str">
            <v xml:space="preserve"> </v>
          </cell>
          <cell r="Z294"/>
          <cell r="AA294" t="str">
            <v xml:space="preserve"> </v>
          </cell>
          <cell r="AB294" t="str">
            <v xml:space="preserve"> </v>
          </cell>
          <cell r="AC294"/>
          <cell r="AD294" t="str">
            <v xml:space="preserve"> </v>
          </cell>
          <cell r="AE294"/>
          <cell r="AF294" t="str">
            <v xml:space="preserve"> </v>
          </cell>
          <cell r="AG294"/>
          <cell r="AH294"/>
          <cell r="AI294"/>
          <cell r="AJ294"/>
          <cell r="AK294" t="str">
            <v/>
          </cell>
          <cell r="AL294"/>
          <cell r="AM294" t="str">
            <v xml:space="preserve"> </v>
          </cell>
          <cell r="AN294" t="str">
            <v xml:space="preserve"> </v>
          </cell>
          <cell r="AO294"/>
          <cell r="AP294" t="str">
            <v xml:space="preserve"> </v>
          </cell>
          <cell r="AQ294"/>
          <cell r="AR294" t="str">
            <v xml:space="preserve"> </v>
          </cell>
          <cell r="AS294" t="str">
            <v xml:space="preserve"> </v>
          </cell>
          <cell r="AT294"/>
          <cell r="AU294" t="str">
            <v xml:space="preserve"> </v>
          </cell>
          <cell r="AV294"/>
          <cell r="AW294"/>
          <cell r="AX294" t="str">
            <v xml:space="preserve"> </v>
          </cell>
          <cell r="AY294"/>
          <cell r="AZ294" t="str">
            <v xml:space="preserve"> </v>
          </cell>
          <cell r="BA294"/>
          <cell r="BB294"/>
          <cell r="BC294" t="str">
            <v xml:space="preserve"> </v>
          </cell>
          <cell r="BD294"/>
          <cell r="BE294" t="str">
            <v xml:space="preserve"> </v>
          </cell>
          <cell r="BF294"/>
          <cell r="BG294"/>
          <cell r="BH294" t="str">
            <v xml:space="preserve"> </v>
          </cell>
          <cell r="BI294"/>
          <cell r="BJ294" t="str">
            <v xml:space="preserve"> </v>
          </cell>
          <cell r="BK294"/>
          <cell r="BL294" t="str">
            <v xml:space="preserve"> </v>
          </cell>
          <cell r="BM294" t="str">
            <v xml:space="preserve"> </v>
          </cell>
          <cell r="BN294"/>
          <cell r="BO294" t="str">
            <v xml:space="preserve"> </v>
          </cell>
        </row>
        <row r="295">
          <cell r="B295">
            <v>46313</v>
          </cell>
          <cell r="C295"/>
          <cell r="D295" t="str">
            <v xml:space="preserve"> </v>
          </cell>
          <cell r="E295" t="str">
            <v xml:space="preserve"> </v>
          </cell>
          <cell r="F295"/>
          <cell r="G295" t="str">
            <v xml:space="preserve"> </v>
          </cell>
          <cell r="H295"/>
          <cell r="I295" t="str">
            <v xml:space="preserve"> </v>
          </cell>
          <cell r="J295" t="str">
            <v xml:space="preserve"> </v>
          </cell>
          <cell r="K295"/>
          <cell r="L295" t="str">
            <v xml:space="preserve"> </v>
          </cell>
          <cell r="M295"/>
          <cell r="N295" t="str">
            <v xml:space="preserve"> </v>
          </cell>
          <cell r="O295" t="str">
            <v xml:space="preserve"> </v>
          </cell>
          <cell r="P295"/>
          <cell r="Q295" t="str">
            <v xml:space="preserve"> </v>
          </cell>
          <cell r="R295"/>
          <cell r="S295" t="str">
            <v xml:space="preserve"> </v>
          </cell>
          <cell r="T295" t="str">
            <v xml:space="preserve"> </v>
          </cell>
          <cell r="U295"/>
          <cell r="V295" t="str">
            <v xml:space="preserve"> </v>
          </cell>
          <cell r="W295" t="str">
            <v xml:space="preserve"> </v>
          </cell>
          <cell r="X295"/>
          <cell r="Y295" t="str">
            <v xml:space="preserve"> </v>
          </cell>
          <cell r="Z295"/>
          <cell r="AA295" t="str">
            <v xml:space="preserve"> </v>
          </cell>
          <cell r="AB295" t="str">
            <v xml:space="preserve"> </v>
          </cell>
          <cell r="AC295"/>
          <cell r="AD295" t="str">
            <v xml:space="preserve"> </v>
          </cell>
          <cell r="AE295"/>
          <cell r="AF295" t="str">
            <v xml:space="preserve"> </v>
          </cell>
          <cell r="AG295"/>
          <cell r="AH295"/>
          <cell r="AI295"/>
          <cell r="AJ295"/>
          <cell r="AK295" t="str">
            <v/>
          </cell>
          <cell r="AL295"/>
          <cell r="AM295" t="str">
            <v xml:space="preserve"> </v>
          </cell>
          <cell r="AN295" t="str">
            <v xml:space="preserve"> </v>
          </cell>
          <cell r="AO295"/>
          <cell r="AP295" t="str">
            <v xml:space="preserve"> </v>
          </cell>
          <cell r="AQ295"/>
          <cell r="AR295" t="str">
            <v xml:space="preserve"> </v>
          </cell>
          <cell r="AS295" t="str">
            <v xml:space="preserve"> </v>
          </cell>
          <cell r="AT295"/>
          <cell r="AU295" t="str">
            <v xml:space="preserve"> </v>
          </cell>
          <cell r="AV295"/>
          <cell r="AW295"/>
          <cell r="AX295" t="str">
            <v xml:space="preserve"> </v>
          </cell>
          <cell r="AY295"/>
          <cell r="AZ295" t="str">
            <v xml:space="preserve"> </v>
          </cell>
          <cell r="BA295"/>
          <cell r="BB295"/>
          <cell r="BC295" t="str">
            <v xml:space="preserve"> </v>
          </cell>
          <cell r="BD295"/>
          <cell r="BE295" t="str">
            <v xml:space="preserve"> </v>
          </cell>
          <cell r="BF295"/>
          <cell r="BG295"/>
          <cell r="BH295" t="str">
            <v xml:space="preserve"> </v>
          </cell>
          <cell r="BI295"/>
          <cell r="BJ295" t="str">
            <v xml:space="preserve"> </v>
          </cell>
          <cell r="BK295"/>
          <cell r="BL295" t="str">
            <v xml:space="preserve"> </v>
          </cell>
          <cell r="BM295" t="str">
            <v xml:space="preserve"> </v>
          </cell>
          <cell r="BN295"/>
          <cell r="BO295" t="str">
            <v xml:space="preserve"> </v>
          </cell>
        </row>
        <row r="296">
          <cell r="B296">
            <v>46314</v>
          </cell>
          <cell r="C296"/>
          <cell r="D296" t="str">
            <v xml:space="preserve"> </v>
          </cell>
          <cell r="E296" t="str">
            <v xml:space="preserve"> </v>
          </cell>
          <cell r="F296"/>
          <cell r="G296" t="str">
            <v xml:space="preserve"> </v>
          </cell>
          <cell r="H296"/>
          <cell r="I296" t="str">
            <v xml:space="preserve"> </v>
          </cell>
          <cell r="J296" t="str">
            <v xml:space="preserve"> </v>
          </cell>
          <cell r="K296"/>
          <cell r="L296" t="str">
            <v xml:space="preserve"> </v>
          </cell>
          <cell r="M296"/>
          <cell r="N296" t="str">
            <v xml:space="preserve"> </v>
          </cell>
          <cell r="O296" t="str">
            <v xml:space="preserve"> </v>
          </cell>
          <cell r="P296"/>
          <cell r="Q296" t="str">
            <v xml:space="preserve"> </v>
          </cell>
          <cell r="R296"/>
          <cell r="S296" t="str">
            <v xml:space="preserve"> </v>
          </cell>
          <cell r="T296" t="str">
            <v xml:space="preserve"> </v>
          </cell>
          <cell r="U296"/>
          <cell r="V296" t="str">
            <v xml:space="preserve"> </v>
          </cell>
          <cell r="W296" t="str">
            <v xml:space="preserve"> </v>
          </cell>
          <cell r="X296"/>
          <cell r="Y296" t="str">
            <v xml:space="preserve"> </v>
          </cell>
          <cell r="Z296"/>
          <cell r="AA296" t="str">
            <v xml:space="preserve"> </v>
          </cell>
          <cell r="AB296" t="str">
            <v xml:space="preserve"> </v>
          </cell>
          <cell r="AC296"/>
          <cell r="AD296" t="str">
            <v xml:space="preserve"> </v>
          </cell>
          <cell r="AE296"/>
          <cell r="AF296" t="str">
            <v xml:space="preserve"> </v>
          </cell>
          <cell r="AG296"/>
          <cell r="AH296"/>
          <cell r="AI296"/>
          <cell r="AJ296"/>
          <cell r="AK296" t="str">
            <v/>
          </cell>
          <cell r="AL296"/>
          <cell r="AM296" t="str">
            <v xml:space="preserve"> </v>
          </cell>
          <cell r="AN296" t="str">
            <v xml:space="preserve"> </v>
          </cell>
          <cell r="AO296"/>
          <cell r="AP296" t="str">
            <v xml:space="preserve"> </v>
          </cell>
          <cell r="AQ296"/>
          <cell r="AR296" t="str">
            <v xml:space="preserve"> </v>
          </cell>
          <cell r="AS296" t="str">
            <v xml:space="preserve"> </v>
          </cell>
          <cell r="AT296"/>
          <cell r="AU296" t="str">
            <v xml:space="preserve"> </v>
          </cell>
          <cell r="AV296"/>
          <cell r="AW296"/>
          <cell r="AX296" t="str">
            <v xml:space="preserve"> </v>
          </cell>
          <cell r="AY296"/>
          <cell r="AZ296" t="str">
            <v xml:space="preserve"> </v>
          </cell>
          <cell r="BA296"/>
          <cell r="BB296"/>
          <cell r="BC296" t="str">
            <v xml:space="preserve"> </v>
          </cell>
          <cell r="BD296"/>
          <cell r="BE296" t="str">
            <v xml:space="preserve"> </v>
          </cell>
          <cell r="BF296"/>
          <cell r="BG296"/>
          <cell r="BH296" t="str">
            <v xml:space="preserve"> </v>
          </cell>
          <cell r="BI296"/>
          <cell r="BJ296" t="str">
            <v xml:space="preserve"> </v>
          </cell>
          <cell r="BK296"/>
          <cell r="BL296" t="str">
            <v xml:space="preserve"> </v>
          </cell>
          <cell r="BM296" t="str">
            <v xml:space="preserve"> </v>
          </cell>
          <cell r="BN296"/>
          <cell r="BO296" t="str">
            <v xml:space="preserve"> </v>
          </cell>
        </row>
        <row r="297">
          <cell r="B297">
            <v>46315</v>
          </cell>
          <cell r="C297"/>
          <cell r="D297" t="str">
            <v xml:space="preserve"> </v>
          </cell>
          <cell r="E297" t="str">
            <v xml:space="preserve"> </v>
          </cell>
          <cell r="F297"/>
          <cell r="G297" t="str">
            <v xml:space="preserve"> </v>
          </cell>
          <cell r="H297"/>
          <cell r="I297" t="str">
            <v xml:space="preserve"> </v>
          </cell>
          <cell r="J297" t="str">
            <v xml:space="preserve"> </v>
          </cell>
          <cell r="K297"/>
          <cell r="L297" t="str">
            <v xml:space="preserve"> </v>
          </cell>
          <cell r="M297"/>
          <cell r="N297" t="str">
            <v xml:space="preserve"> </v>
          </cell>
          <cell r="O297" t="str">
            <v xml:space="preserve"> </v>
          </cell>
          <cell r="P297"/>
          <cell r="Q297" t="str">
            <v xml:space="preserve"> </v>
          </cell>
          <cell r="R297"/>
          <cell r="S297" t="str">
            <v xml:space="preserve"> </v>
          </cell>
          <cell r="T297" t="str">
            <v xml:space="preserve"> </v>
          </cell>
          <cell r="U297"/>
          <cell r="V297" t="str">
            <v xml:space="preserve"> </v>
          </cell>
          <cell r="W297" t="str">
            <v xml:space="preserve"> </v>
          </cell>
          <cell r="X297"/>
          <cell r="Y297" t="str">
            <v xml:space="preserve"> </v>
          </cell>
          <cell r="Z297"/>
          <cell r="AA297" t="str">
            <v xml:space="preserve"> </v>
          </cell>
          <cell r="AB297" t="str">
            <v xml:space="preserve"> </v>
          </cell>
          <cell r="AC297"/>
          <cell r="AD297" t="str">
            <v xml:space="preserve"> </v>
          </cell>
          <cell r="AE297"/>
          <cell r="AF297" t="str">
            <v xml:space="preserve"> </v>
          </cell>
          <cell r="AG297"/>
          <cell r="AH297"/>
          <cell r="AI297"/>
          <cell r="AJ297"/>
          <cell r="AK297" t="str">
            <v/>
          </cell>
          <cell r="AL297"/>
          <cell r="AM297" t="str">
            <v xml:space="preserve"> </v>
          </cell>
          <cell r="AN297" t="str">
            <v xml:space="preserve"> </v>
          </cell>
          <cell r="AO297"/>
          <cell r="AP297" t="str">
            <v xml:space="preserve"> </v>
          </cell>
          <cell r="AQ297"/>
          <cell r="AR297" t="str">
            <v xml:space="preserve"> </v>
          </cell>
          <cell r="AS297" t="str">
            <v xml:space="preserve"> </v>
          </cell>
          <cell r="AT297"/>
          <cell r="AU297" t="str">
            <v xml:space="preserve"> </v>
          </cell>
          <cell r="AV297"/>
          <cell r="AW297"/>
          <cell r="AX297" t="str">
            <v xml:space="preserve"> </v>
          </cell>
          <cell r="AY297"/>
          <cell r="AZ297" t="str">
            <v xml:space="preserve"> </v>
          </cell>
          <cell r="BA297"/>
          <cell r="BB297"/>
          <cell r="BC297" t="str">
            <v xml:space="preserve"> </v>
          </cell>
          <cell r="BD297"/>
          <cell r="BE297" t="str">
            <v xml:space="preserve"> </v>
          </cell>
          <cell r="BF297"/>
          <cell r="BG297"/>
          <cell r="BH297" t="str">
            <v xml:space="preserve"> </v>
          </cell>
          <cell r="BI297"/>
          <cell r="BJ297" t="str">
            <v xml:space="preserve"> </v>
          </cell>
          <cell r="BK297"/>
          <cell r="BL297" t="str">
            <v xml:space="preserve"> </v>
          </cell>
          <cell r="BM297" t="str">
            <v xml:space="preserve"> </v>
          </cell>
          <cell r="BN297"/>
          <cell r="BO297" t="str">
            <v xml:space="preserve"> </v>
          </cell>
        </row>
        <row r="298">
          <cell r="B298">
            <v>46316</v>
          </cell>
          <cell r="C298"/>
          <cell r="D298" t="str">
            <v xml:space="preserve"> </v>
          </cell>
          <cell r="E298" t="str">
            <v xml:space="preserve"> </v>
          </cell>
          <cell r="F298"/>
          <cell r="G298" t="str">
            <v xml:space="preserve"> </v>
          </cell>
          <cell r="H298"/>
          <cell r="I298" t="str">
            <v xml:space="preserve"> </v>
          </cell>
          <cell r="J298" t="str">
            <v xml:space="preserve"> </v>
          </cell>
          <cell r="K298"/>
          <cell r="L298" t="str">
            <v xml:space="preserve"> </v>
          </cell>
          <cell r="M298"/>
          <cell r="N298" t="str">
            <v xml:space="preserve"> </v>
          </cell>
          <cell r="O298" t="str">
            <v xml:space="preserve"> </v>
          </cell>
          <cell r="P298"/>
          <cell r="Q298" t="str">
            <v xml:space="preserve"> </v>
          </cell>
          <cell r="R298"/>
          <cell r="S298" t="str">
            <v xml:space="preserve"> </v>
          </cell>
          <cell r="T298" t="str">
            <v xml:space="preserve"> </v>
          </cell>
          <cell r="U298"/>
          <cell r="V298" t="str">
            <v xml:space="preserve"> </v>
          </cell>
          <cell r="W298" t="str">
            <v xml:space="preserve"> </v>
          </cell>
          <cell r="X298"/>
          <cell r="Y298" t="str">
            <v xml:space="preserve"> </v>
          </cell>
          <cell r="Z298"/>
          <cell r="AA298" t="str">
            <v xml:space="preserve"> </v>
          </cell>
          <cell r="AB298" t="str">
            <v xml:space="preserve"> </v>
          </cell>
          <cell r="AC298"/>
          <cell r="AD298" t="str">
            <v xml:space="preserve"> </v>
          </cell>
          <cell r="AE298"/>
          <cell r="AF298" t="str">
            <v xml:space="preserve"> </v>
          </cell>
          <cell r="AG298"/>
          <cell r="AH298"/>
          <cell r="AI298"/>
          <cell r="AJ298"/>
          <cell r="AK298" t="str">
            <v/>
          </cell>
          <cell r="AL298"/>
          <cell r="AM298" t="str">
            <v xml:space="preserve"> </v>
          </cell>
          <cell r="AN298" t="str">
            <v xml:space="preserve"> </v>
          </cell>
          <cell r="AO298"/>
          <cell r="AP298" t="str">
            <v xml:space="preserve"> </v>
          </cell>
          <cell r="AQ298"/>
          <cell r="AR298" t="str">
            <v xml:space="preserve"> </v>
          </cell>
          <cell r="AS298" t="str">
            <v xml:space="preserve"> </v>
          </cell>
          <cell r="AT298"/>
          <cell r="AU298" t="str">
            <v xml:space="preserve"> </v>
          </cell>
          <cell r="AV298"/>
          <cell r="AW298"/>
          <cell r="AX298" t="str">
            <v xml:space="preserve"> </v>
          </cell>
          <cell r="AY298"/>
          <cell r="AZ298" t="str">
            <v xml:space="preserve"> </v>
          </cell>
          <cell r="BA298"/>
          <cell r="BB298"/>
          <cell r="BC298" t="str">
            <v xml:space="preserve"> </v>
          </cell>
          <cell r="BD298"/>
          <cell r="BE298" t="str">
            <v xml:space="preserve"> </v>
          </cell>
          <cell r="BF298"/>
          <cell r="BG298"/>
          <cell r="BH298" t="str">
            <v xml:space="preserve"> </v>
          </cell>
          <cell r="BI298"/>
          <cell r="BJ298" t="str">
            <v xml:space="preserve"> </v>
          </cell>
          <cell r="BK298"/>
          <cell r="BL298" t="str">
            <v xml:space="preserve"> </v>
          </cell>
          <cell r="BM298" t="str">
            <v xml:space="preserve"> </v>
          </cell>
          <cell r="BN298"/>
          <cell r="BO298" t="str">
            <v xml:space="preserve"> </v>
          </cell>
        </row>
        <row r="299">
          <cell r="B299">
            <v>46317</v>
          </cell>
          <cell r="C299"/>
          <cell r="D299" t="str">
            <v xml:space="preserve"> </v>
          </cell>
          <cell r="E299" t="str">
            <v xml:space="preserve"> </v>
          </cell>
          <cell r="F299"/>
          <cell r="G299" t="str">
            <v xml:space="preserve"> </v>
          </cell>
          <cell r="H299"/>
          <cell r="I299" t="str">
            <v xml:space="preserve"> </v>
          </cell>
          <cell r="J299" t="str">
            <v xml:space="preserve"> </v>
          </cell>
          <cell r="K299"/>
          <cell r="L299" t="str">
            <v xml:space="preserve"> </v>
          </cell>
          <cell r="M299"/>
          <cell r="N299" t="str">
            <v xml:space="preserve"> </v>
          </cell>
          <cell r="O299" t="str">
            <v xml:space="preserve"> </v>
          </cell>
          <cell r="P299"/>
          <cell r="Q299" t="str">
            <v xml:space="preserve"> </v>
          </cell>
          <cell r="R299"/>
          <cell r="S299" t="str">
            <v xml:space="preserve"> </v>
          </cell>
          <cell r="T299" t="str">
            <v xml:space="preserve"> </v>
          </cell>
          <cell r="U299"/>
          <cell r="V299" t="str">
            <v xml:space="preserve"> </v>
          </cell>
          <cell r="W299" t="str">
            <v xml:space="preserve"> </v>
          </cell>
          <cell r="X299"/>
          <cell r="Y299" t="str">
            <v xml:space="preserve"> </v>
          </cell>
          <cell r="Z299"/>
          <cell r="AA299" t="str">
            <v xml:space="preserve"> </v>
          </cell>
          <cell r="AB299" t="str">
            <v xml:space="preserve"> </v>
          </cell>
          <cell r="AC299"/>
          <cell r="AD299" t="str">
            <v xml:space="preserve"> </v>
          </cell>
          <cell r="AE299"/>
          <cell r="AF299" t="str">
            <v xml:space="preserve"> </v>
          </cell>
          <cell r="AG299"/>
          <cell r="AH299"/>
          <cell r="AI299"/>
          <cell r="AJ299"/>
          <cell r="AK299" t="str">
            <v/>
          </cell>
          <cell r="AL299"/>
          <cell r="AM299" t="str">
            <v xml:space="preserve"> </v>
          </cell>
          <cell r="AN299" t="str">
            <v xml:space="preserve"> </v>
          </cell>
          <cell r="AO299"/>
          <cell r="AP299" t="str">
            <v xml:space="preserve"> </v>
          </cell>
          <cell r="AQ299"/>
          <cell r="AR299" t="str">
            <v xml:space="preserve"> </v>
          </cell>
          <cell r="AS299" t="str">
            <v xml:space="preserve"> </v>
          </cell>
          <cell r="AT299"/>
          <cell r="AU299" t="str">
            <v xml:space="preserve"> </v>
          </cell>
          <cell r="AV299"/>
          <cell r="AW299"/>
          <cell r="AX299" t="str">
            <v xml:space="preserve"> </v>
          </cell>
          <cell r="AY299"/>
          <cell r="AZ299" t="str">
            <v xml:space="preserve"> </v>
          </cell>
          <cell r="BA299"/>
          <cell r="BB299"/>
          <cell r="BC299" t="str">
            <v xml:space="preserve"> </v>
          </cell>
          <cell r="BD299"/>
          <cell r="BE299" t="str">
            <v xml:space="preserve"> </v>
          </cell>
          <cell r="BF299"/>
          <cell r="BG299"/>
          <cell r="BH299" t="str">
            <v xml:space="preserve"> </v>
          </cell>
          <cell r="BI299"/>
          <cell r="BJ299" t="str">
            <v xml:space="preserve"> </v>
          </cell>
          <cell r="BK299"/>
          <cell r="BL299" t="str">
            <v xml:space="preserve"> </v>
          </cell>
          <cell r="BM299" t="str">
            <v xml:space="preserve"> </v>
          </cell>
          <cell r="BN299"/>
          <cell r="BO299" t="str">
            <v xml:space="preserve"> </v>
          </cell>
        </row>
        <row r="300">
          <cell r="B300">
            <v>46318</v>
          </cell>
          <cell r="C300"/>
          <cell r="D300" t="str">
            <v xml:space="preserve"> </v>
          </cell>
          <cell r="E300" t="str">
            <v xml:space="preserve"> </v>
          </cell>
          <cell r="F300"/>
          <cell r="G300" t="str">
            <v xml:space="preserve"> </v>
          </cell>
          <cell r="H300"/>
          <cell r="I300" t="str">
            <v xml:space="preserve"> </v>
          </cell>
          <cell r="J300" t="str">
            <v xml:space="preserve"> </v>
          </cell>
          <cell r="K300"/>
          <cell r="L300" t="str">
            <v xml:space="preserve"> </v>
          </cell>
          <cell r="M300"/>
          <cell r="N300" t="str">
            <v xml:space="preserve"> </v>
          </cell>
          <cell r="O300" t="str">
            <v xml:space="preserve"> </v>
          </cell>
          <cell r="P300"/>
          <cell r="Q300" t="str">
            <v xml:space="preserve"> </v>
          </cell>
          <cell r="R300"/>
          <cell r="S300" t="str">
            <v xml:space="preserve"> </v>
          </cell>
          <cell r="T300" t="str">
            <v xml:space="preserve"> </v>
          </cell>
          <cell r="U300"/>
          <cell r="V300" t="str">
            <v xml:space="preserve"> </v>
          </cell>
          <cell r="W300" t="str">
            <v xml:space="preserve"> </v>
          </cell>
          <cell r="X300"/>
          <cell r="Y300" t="str">
            <v xml:space="preserve"> </v>
          </cell>
          <cell r="Z300"/>
          <cell r="AA300" t="str">
            <v xml:space="preserve"> </v>
          </cell>
          <cell r="AB300" t="str">
            <v xml:space="preserve"> </v>
          </cell>
          <cell r="AC300"/>
          <cell r="AD300" t="str">
            <v xml:space="preserve"> </v>
          </cell>
          <cell r="AE300"/>
          <cell r="AF300" t="str">
            <v xml:space="preserve"> </v>
          </cell>
          <cell r="AG300"/>
          <cell r="AH300"/>
          <cell r="AI300"/>
          <cell r="AJ300"/>
          <cell r="AK300" t="str">
            <v/>
          </cell>
          <cell r="AL300"/>
          <cell r="AM300" t="str">
            <v xml:space="preserve"> </v>
          </cell>
          <cell r="AN300" t="str">
            <v xml:space="preserve"> </v>
          </cell>
          <cell r="AO300"/>
          <cell r="AP300" t="str">
            <v xml:space="preserve"> </v>
          </cell>
          <cell r="AQ300"/>
          <cell r="AR300" t="str">
            <v xml:space="preserve"> </v>
          </cell>
          <cell r="AS300" t="str">
            <v xml:space="preserve"> </v>
          </cell>
          <cell r="AT300"/>
          <cell r="AU300" t="str">
            <v xml:space="preserve"> </v>
          </cell>
          <cell r="AV300"/>
          <cell r="AW300"/>
          <cell r="AX300" t="str">
            <v xml:space="preserve"> </v>
          </cell>
          <cell r="AY300"/>
          <cell r="AZ300" t="str">
            <v xml:space="preserve"> </v>
          </cell>
          <cell r="BA300"/>
          <cell r="BB300"/>
          <cell r="BC300" t="str">
            <v xml:space="preserve"> </v>
          </cell>
          <cell r="BD300"/>
          <cell r="BE300" t="str">
            <v xml:space="preserve"> </v>
          </cell>
          <cell r="BF300"/>
          <cell r="BG300"/>
          <cell r="BH300" t="str">
            <v xml:space="preserve"> </v>
          </cell>
          <cell r="BI300"/>
          <cell r="BJ300" t="str">
            <v xml:space="preserve"> </v>
          </cell>
          <cell r="BK300"/>
          <cell r="BL300" t="str">
            <v xml:space="preserve"> </v>
          </cell>
          <cell r="BM300" t="str">
            <v xml:space="preserve"> </v>
          </cell>
          <cell r="BN300"/>
          <cell r="BO300" t="str">
            <v xml:space="preserve"> </v>
          </cell>
        </row>
        <row r="301">
          <cell r="B301">
            <v>46319</v>
          </cell>
          <cell r="C301"/>
          <cell r="D301" t="str">
            <v xml:space="preserve"> </v>
          </cell>
          <cell r="E301" t="str">
            <v xml:space="preserve"> </v>
          </cell>
          <cell r="F301"/>
          <cell r="G301" t="str">
            <v xml:space="preserve"> </v>
          </cell>
          <cell r="H301"/>
          <cell r="I301" t="str">
            <v xml:space="preserve"> </v>
          </cell>
          <cell r="J301" t="str">
            <v xml:space="preserve"> </v>
          </cell>
          <cell r="K301"/>
          <cell r="L301" t="str">
            <v xml:space="preserve"> </v>
          </cell>
          <cell r="M301"/>
          <cell r="N301" t="str">
            <v xml:space="preserve"> </v>
          </cell>
          <cell r="O301" t="str">
            <v xml:space="preserve"> </v>
          </cell>
          <cell r="P301"/>
          <cell r="Q301" t="str">
            <v xml:space="preserve"> </v>
          </cell>
          <cell r="R301"/>
          <cell r="S301" t="str">
            <v xml:space="preserve"> </v>
          </cell>
          <cell r="T301" t="str">
            <v xml:space="preserve"> </v>
          </cell>
          <cell r="U301"/>
          <cell r="V301" t="str">
            <v xml:space="preserve"> </v>
          </cell>
          <cell r="W301" t="str">
            <v xml:space="preserve"> </v>
          </cell>
          <cell r="X301"/>
          <cell r="Y301" t="str">
            <v xml:space="preserve"> </v>
          </cell>
          <cell r="Z301"/>
          <cell r="AA301" t="str">
            <v xml:space="preserve"> </v>
          </cell>
          <cell r="AB301" t="str">
            <v xml:space="preserve"> </v>
          </cell>
          <cell r="AC301"/>
          <cell r="AD301" t="str">
            <v xml:space="preserve"> </v>
          </cell>
          <cell r="AE301"/>
          <cell r="AF301" t="str">
            <v xml:space="preserve"> </v>
          </cell>
          <cell r="AG301"/>
          <cell r="AH301"/>
          <cell r="AI301"/>
          <cell r="AJ301"/>
          <cell r="AK301" t="str">
            <v/>
          </cell>
          <cell r="AL301"/>
          <cell r="AM301" t="str">
            <v xml:space="preserve"> </v>
          </cell>
          <cell r="AN301" t="str">
            <v xml:space="preserve"> </v>
          </cell>
          <cell r="AO301"/>
          <cell r="AP301" t="str">
            <v xml:space="preserve"> </v>
          </cell>
          <cell r="AQ301"/>
          <cell r="AR301" t="str">
            <v xml:space="preserve"> </v>
          </cell>
          <cell r="AS301" t="str">
            <v xml:space="preserve"> </v>
          </cell>
          <cell r="AT301"/>
          <cell r="AU301" t="str">
            <v xml:space="preserve"> </v>
          </cell>
          <cell r="AV301"/>
          <cell r="AW301"/>
          <cell r="AX301" t="str">
            <v xml:space="preserve"> </v>
          </cell>
          <cell r="AY301"/>
          <cell r="AZ301" t="str">
            <v xml:space="preserve"> </v>
          </cell>
          <cell r="BA301"/>
          <cell r="BB301"/>
          <cell r="BC301" t="str">
            <v xml:space="preserve"> </v>
          </cell>
          <cell r="BD301"/>
          <cell r="BE301" t="str">
            <v xml:space="preserve"> </v>
          </cell>
          <cell r="BF301"/>
          <cell r="BG301"/>
          <cell r="BH301" t="str">
            <v xml:space="preserve"> </v>
          </cell>
          <cell r="BI301"/>
          <cell r="BJ301" t="str">
            <v xml:space="preserve"> </v>
          </cell>
          <cell r="BK301"/>
          <cell r="BL301" t="str">
            <v xml:space="preserve"> </v>
          </cell>
          <cell r="BM301" t="str">
            <v xml:space="preserve"> </v>
          </cell>
          <cell r="BN301"/>
          <cell r="BO301" t="str">
            <v xml:space="preserve"> </v>
          </cell>
        </row>
        <row r="302">
          <cell r="B302">
            <v>46320</v>
          </cell>
          <cell r="C302"/>
          <cell r="D302" t="str">
            <v xml:space="preserve"> </v>
          </cell>
          <cell r="E302" t="str">
            <v xml:space="preserve"> </v>
          </cell>
          <cell r="F302"/>
          <cell r="G302" t="str">
            <v xml:space="preserve"> </v>
          </cell>
          <cell r="H302"/>
          <cell r="I302" t="str">
            <v xml:space="preserve"> </v>
          </cell>
          <cell r="J302" t="str">
            <v xml:space="preserve"> </v>
          </cell>
          <cell r="K302"/>
          <cell r="L302" t="str">
            <v xml:space="preserve"> </v>
          </cell>
          <cell r="M302"/>
          <cell r="N302" t="str">
            <v xml:space="preserve"> </v>
          </cell>
          <cell r="O302" t="str">
            <v xml:space="preserve"> </v>
          </cell>
          <cell r="P302"/>
          <cell r="Q302" t="str">
            <v xml:space="preserve"> </v>
          </cell>
          <cell r="R302"/>
          <cell r="S302" t="str">
            <v xml:space="preserve"> </v>
          </cell>
          <cell r="T302" t="str">
            <v xml:space="preserve"> </v>
          </cell>
          <cell r="U302"/>
          <cell r="V302" t="str">
            <v xml:space="preserve"> </v>
          </cell>
          <cell r="W302" t="str">
            <v xml:space="preserve"> </v>
          </cell>
          <cell r="X302"/>
          <cell r="Y302" t="str">
            <v xml:space="preserve"> </v>
          </cell>
          <cell r="Z302"/>
          <cell r="AA302" t="str">
            <v xml:space="preserve"> </v>
          </cell>
          <cell r="AB302" t="str">
            <v xml:space="preserve"> </v>
          </cell>
          <cell r="AC302"/>
          <cell r="AD302" t="str">
            <v xml:space="preserve"> </v>
          </cell>
          <cell r="AE302"/>
          <cell r="AF302" t="str">
            <v xml:space="preserve"> </v>
          </cell>
          <cell r="AG302"/>
          <cell r="AH302"/>
          <cell r="AI302"/>
          <cell r="AJ302"/>
          <cell r="AK302" t="str">
            <v/>
          </cell>
          <cell r="AL302"/>
          <cell r="AM302" t="str">
            <v xml:space="preserve"> </v>
          </cell>
          <cell r="AN302" t="str">
            <v xml:space="preserve"> </v>
          </cell>
          <cell r="AO302"/>
          <cell r="AP302" t="str">
            <v xml:space="preserve"> </v>
          </cell>
          <cell r="AQ302"/>
          <cell r="AR302" t="str">
            <v xml:space="preserve"> </v>
          </cell>
          <cell r="AS302" t="str">
            <v xml:space="preserve"> </v>
          </cell>
          <cell r="AT302"/>
          <cell r="AU302" t="str">
            <v xml:space="preserve"> </v>
          </cell>
          <cell r="AV302"/>
          <cell r="AW302"/>
          <cell r="AX302" t="str">
            <v xml:space="preserve"> </v>
          </cell>
          <cell r="AY302"/>
          <cell r="AZ302" t="str">
            <v xml:space="preserve"> </v>
          </cell>
          <cell r="BA302"/>
          <cell r="BB302"/>
          <cell r="BC302" t="str">
            <v xml:space="preserve"> </v>
          </cell>
          <cell r="BD302"/>
          <cell r="BE302" t="str">
            <v xml:space="preserve"> </v>
          </cell>
          <cell r="BF302"/>
          <cell r="BG302"/>
          <cell r="BH302" t="str">
            <v xml:space="preserve"> </v>
          </cell>
          <cell r="BI302"/>
          <cell r="BJ302" t="str">
            <v xml:space="preserve"> </v>
          </cell>
          <cell r="BK302"/>
          <cell r="BL302" t="str">
            <v xml:space="preserve"> </v>
          </cell>
          <cell r="BM302" t="str">
            <v xml:space="preserve"> </v>
          </cell>
          <cell r="BN302"/>
          <cell r="BO302" t="str">
            <v xml:space="preserve"> </v>
          </cell>
        </row>
        <row r="303">
          <cell r="B303">
            <v>46321</v>
          </cell>
          <cell r="C303"/>
          <cell r="D303" t="str">
            <v xml:space="preserve"> </v>
          </cell>
          <cell r="E303" t="str">
            <v xml:space="preserve"> </v>
          </cell>
          <cell r="F303"/>
          <cell r="G303" t="str">
            <v xml:space="preserve"> </v>
          </cell>
          <cell r="H303"/>
          <cell r="I303" t="str">
            <v xml:space="preserve"> </v>
          </cell>
          <cell r="J303" t="str">
            <v xml:space="preserve"> </v>
          </cell>
          <cell r="K303"/>
          <cell r="L303" t="str">
            <v xml:space="preserve"> </v>
          </cell>
          <cell r="M303"/>
          <cell r="N303" t="str">
            <v xml:space="preserve"> </v>
          </cell>
          <cell r="O303" t="str">
            <v xml:space="preserve"> </v>
          </cell>
          <cell r="P303"/>
          <cell r="Q303" t="str">
            <v xml:space="preserve"> </v>
          </cell>
          <cell r="R303"/>
          <cell r="S303" t="str">
            <v xml:space="preserve"> </v>
          </cell>
          <cell r="T303" t="str">
            <v xml:space="preserve"> </v>
          </cell>
          <cell r="U303"/>
          <cell r="V303" t="str">
            <v xml:space="preserve"> </v>
          </cell>
          <cell r="W303" t="str">
            <v xml:space="preserve"> </v>
          </cell>
          <cell r="X303"/>
          <cell r="Y303" t="str">
            <v xml:space="preserve"> </v>
          </cell>
          <cell r="Z303"/>
          <cell r="AA303" t="str">
            <v xml:space="preserve"> </v>
          </cell>
          <cell r="AB303" t="str">
            <v xml:space="preserve"> </v>
          </cell>
          <cell r="AC303"/>
          <cell r="AD303" t="str">
            <v xml:space="preserve"> </v>
          </cell>
          <cell r="AE303"/>
          <cell r="AF303" t="str">
            <v xml:space="preserve"> </v>
          </cell>
          <cell r="AG303"/>
          <cell r="AH303"/>
          <cell r="AI303"/>
          <cell r="AJ303"/>
          <cell r="AK303" t="str">
            <v/>
          </cell>
          <cell r="AL303"/>
          <cell r="AM303" t="str">
            <v xml:space="preserve"> </v>
          </cell>
          <cell r="AN303" t="str">
            <v xml:space="preserve"> </v>
          </cell>
          <cell r="AO303"/>
          <cell r="AP303" t="str">
            <v xml:space="preserve"> </v>
          </cell>
          <cell r="AQ303"/>
          <cell r="AR303" t="str">
            <v xml:space="preserve"> </v>
          </cell>
          <cell r="AS303" t="str">
            <v xml:space="preserve"> </v>
          </cell>
          <cell r="AT303"/>
          <cell r="AU303" t="str">
            <v xml:space="preserve"> </v>
          </cell>
          <cell r="AV303"/>
          <cell r="AW303"/>
          <cell r="AX303" t="str">
            <v xml:space="preserve"> </v>
          </cell>
          <cell r="AY303"/>
          <cell r="AZ303" t="str">
            <v xml:space="preserve"> </v>
          </cell>
          <cell r="BA303"/>
          <cell r="BB303"/>
          <cell r="BC303" t="str">
            <v xml:space="preserve"> </v>
          </cell>
          <cell r="BD303"/>
          <cell r="BE303" t="str">
            <v xml:space="preserve"> </v>
          </cell>
          <cell r="BF303"/>
          <cell r="BG303"/>
          <cell r="BH303" t="str">
            <v xml:space="preserve"> </v>
          </cell>
          <cell r="BI303"/>
          <cell r="BJ303" t="str">
            <v xml:space="preserve"> </v>
          </cell>
          <cell r="BK303"/>
          <cell r="BL303" t="str">
            <v xml:space="preserve"> </v>
          </cell>
          <cell r="BM303" t="str">
            <v xml:space="preserve"> </v>
          </cell>
          <cell r="BN303"/>
          <cell r="BO303" t="str">
            <v xml:space="preserve"> </v>
          </cell>
        </row>
        <row r="304">
          <cell r="B304">
            <v>46322</v>
          </cell>
          <cell r="C304"/>
          <cell r="D304" t="str">
            <v xml:space="preserve"> </v>
          </cell>
          <cell r="E304" t="str">
            <v xml:space="preserve"> </v>
          </cell>
          <cell r="F304"/>
          <cell r="G304" t="str">
            <v xml:space="preserve"> </v>
          </cell>
          <cell r="H304"/>
          <cell r="I304" t="str">
            <v xml:space="preserve"> </v>
          </cell>
          <cell r="J304" t="str">
            <v xml:space="preserve"> </v>
          </cell>
          <cell r="K304"/>
          <cell r="L304" t="str">
            <v xml:space="preserve"> </v>
          </cell>
          <cell r="M304"/>
          <cell r="N304" t="str">
            <v xml:space="preserve"> </v>
          </cell>
          <cell r="O304" t="str">
            <v xml:space="preserve"> </v>
          </cell>
          <cell r="P304"/>
          <cell r="Q304" t="str">
            <v xml:space="preserve"> </v>
          </cell>
          <cell r="R304"/>
          <cell r="S304" t="str">
            <v xml:space="preserve"> </v>
          </cell>
          <cell r="T304" t="str">
            <v xml:space="preserve"> </v>
          </cell>
          <cell r="U304"/>
          <cell r="V304" t="str">
            <v xml:space="preserve"> </v>
          </cell>
          <cell r="W304" t="str">
            <v xml:space="preserve"> </v>
          </cell>
          <cell r="X304"/>
          <cell r="Y304" t="str">
            <v xml:space="preserve"> </v>
          </cell>
          <cell r="Z304"/>
          <cell r="AA304" t="str">
            <v xml:space="preserve"> </v>
          </cell>
          <cell r="AB304" t="str">
            <v xml:space="preserve"> </v>
          </cell>
          <cell r="AC304"/>
          <cell r="AD304" t="str">
            <v xml:space="preserve"> </v>
          </cell>
          <cell r="AE304"/>
          <cell r="AF304" t="str">
            <v xml:space="preserve"> </v>
          </cell>
          <cell r="AG304"/>
          <cell r="AH304"/>
          <cell r="AI304"/>
          <cell r="AJ304"/>
          <cell r="AK304" t="str">
            <v/>
          </cell>
          <cell r="AL304"/>
          <cell r="AM304" t="str">
            <v xml:space="preserve"> </v>
          </cell>
          <cell r="AN304" t="str">
            <v xml:space="preserve"> </v>
          </cell>
          <cell r="AO304"/>
          <cell r="AP304" t="str">
            <v xml:space="preserve"> </v>
          </cell>
          <cell r="AQ304"/>
          <cell r="AR304" t="str">
            <v xml:space="preserve"> </v>
          </cell>
          <cell r="AS304" t="str">
            <v xml:space="preserve"> </v>
          </cell>
          <cell r="AT304"/>
          <cell r="AU304" t="str">
            <v xml:space="preserve"> </v>
          </cell>
          <cell r="AV304"/>
          <cell r="AW304"/>
          <cell r="AX304" t="str">
            <v xml:space="preserve"> </v>
          </cell>
          <cell r="AY304"/>
          <cell r="AZ304" t="str">
            <v xml:space="preserve"> </v>
          </cell>
          <cell r="BA304"/>
          <cell r="BB304"/>
          <cell r="BC304" t="str">
            <v xml:space="preserve"> </v>
          </cell>
          <cell r="BD304"/>
          <cell r="BE304" t="str">
            <v xml:space="preserve"> </v>
          </cell>
          <cell r="BF304"/>
          <cell r="BG304"/>
          <cell r="BH304" t="str">
            <v xml:space="preserve"> </v>
          </cell>
          <cell r="BI304"/>
          <cell r="BJ304" t="str">
            <v xml:space="preserve"> </v>
          </cell>
          <cell r="BK304"/>
          <cell r="BL304" t="str">
            <v xml:space="preserve"> </v>
          </cell>
          <cell r="BM304" t="str">
            <v xml:space="preserve"> </v>
          </cell>
          <cell r="BN304"/>
          <cell r="BO304" t="str">
            <v xml:space="preserve"> </v>
          </cell>
        </row>
        <row r="305">
          <cell r="B305">
            <v>46323</v>
          </cell>
          <cell r="C305"/>
          <cell r="D305" t="str">
            <v xml:space="preserve"> </v>
          </cell>
          <cell r="E305" t="str">
            <v xml:space="preserve"> </v>
          </cell>
          <cell r="F305"/>
          <cell r="G305" t="str">
            <v xml:space="preserve"> </v>
          </cell>
          <cell r="H305"/>
          <cell r="I305" t="str">
            <v xml:space="preserve"> </v>
          </cell>
          <cell r="J305" t="str">
            <v xml:space="preserve"> </v>
          </cell>
          <cell r="K305"/>
          <cell r="L305" t="str">
            <v xml:space="preserve"> </v>
          </cell>
          <cell r="M305"/>
          <cell r="N305" t="str">
            <v xml:space="preserve"> </v>
          </cell>
          <cell r="O305" t="str">
            <v xml:space="preserve"> </v>
          </cell>
          <cell r="P305"/>
          <cell r="Q305" t="str">
            <v xml:space="preserve"> </v>
          </cell>
          <cell r="R305"/>
          <cell r="S305" t="str">
            <v xml:space="preserve"> </v>
          </cell>
          <cell r="T305" t="str">
            <v xml:space="preserve"> </v>
          </cell>
          <cell r="U305"/>
          <cell r="V305" t="str">
            <v xml:space="preserve"> </v>
          </cell>
          <cell r="W305" t="str">
            <v xml:space="preserve"> </v>
          </cell>
          <cell r="X305"/>
          <cell r="Y305" t="str">
            <v xml:space="preserve"> </v>
          </cell>
          <cell r="Z305"/>
          <cell r="AA305" t="str">
            <v xml:space="preserve"> </v>
          </cell>
          <cell r="AB305" t="str">
            <v xml:space="preserve"> </v>
          </cell>
          <cell r="AC305"/>
          <cell r="AD305" t="str">
            <v xml:space="preserve"> </v>
          </cell>
          <cell r="AE305"/>
          <cell r="AF305" t="str">
            <v xml:space="preserve"> </v>
          </cell>
          <cell r="AG305"/>
          <cell r="AH305"/>
          <cell r="AI305"/>
          <cell r="AJ305"/>
          <cell r="AK305" t="str">
            <v/>
          </cell>
          <cell r="AL305"/>
          <cell r="AM305" t="str">
            <v xml:space="preserve"> </v>
          </cell>
          <cell r="AN305" t="str">
            <v xml:space="preserve"> </v>
          </cell>
          <cell r="AO305"/>
          <cell r="AP305" t="str">
            <v xml:space="preserve"> </v>
          </cell>
          <cell r="AQ305"/>
          <cell r="AR305" t="str">
            <v xml:space="preserve"> </v>
          </cell>
          <cell r="AS305" t="str">
            <v xml:space="preserve"> </v>
          </cell>
          <cell r="AT305"/>
          <cell r="AU305" t="str">
            <v xml:space="preserve"> </v>
          </cell>
          <cell r="AV305"/>
          <cell r="AW305"/>
          <cell r="AX305" t="str">
            <v xml:space="preserve"> </v>
          </cell>
          <cell r="AY305"/>
          <cell r="AZ305" t="str">
            <v xml:space="preserve"> </v>
          </cell>
          <cell r="BA305"/>
          <cell r="BB305"/>
          <cell r="BC305" t="str">
            <v xml:space="preserve"> </v>
          </cell>
          <cell r="BD305"/>
          <cell r="BE305" t="str">
            <v xml:space="preserve"> </v>
          </cell>
          <cell r="BF305"/>
          <cell r="BG305"/>
          <cell r="BH305" t="str">
            <v xml:space="preserve"> </v>
          </cell>
          <cell r="BI305"/>
          <cell r="BJ305" t="str">
            <v xml:space="preserve"> </v>
          </cell>
          <cell r="BK305"/>
          <cell r="BL305" t="str">
            <v xml:space="preserve"> </v>
          </cell>
          <cell r="BM305" t="str">
            <v xml:space="preserve"> </v>
          </cell>
          <cell r="BN305"/>
          <cell r="BO305" t="str">
            <v xml:space="preserve"> </v>
          </cell>
        </row>
        <row r="306">
          <cell r="B306">
            <v>46324</v>
          </cell>
          <cell r="C306"/>
          <cell r="D306" t="str">
            <v xml:space="preserve"> </v>
          </cell>
          <cell r="E306" t="str">
            <v xml:space="preserve"> </v>
          </cell>
          <cell r="F306"/>
          <cell r="G306" t="str">
            <v xml:space="preserve"> </v>
          </cell>
          <cell r="H306"/>
          <cell r="I306" t="str">
            <v xml:space="preserve"> </v>
          </cell>
          <cell r="J306" t="str">
            <v xml:space="preserve"> </v>
          </cell>
          <cell r="K306"/>
          <cell r="L306" t="str">
            <v xml:space="preserve"> </v>
          </cell>
          <cell r="M306"/>
          <cell r="N306" t="str">
            <v xml:space="preserve"> </v>
          </cell>
          <cell r="O306" t="str">
            <v xml:space="preserve"> </v>
          </cell>
          <cell r="P306"/>
          <cell r="Q306" t="str">
            <v xml:space="preserve"> </v>
          </cell>
          <cell r="R306"/>
          <cell r="S306" t="str">
            <v xml:space="preserve"> </v>
          </cell>
          <cell r="T306" t="str">
            <v xml:space="preserve"> </v>
          </cell>
          <cell r="U306"/>
          <cell r="V306" t="str">
            <v xml:space="preserve"> </v>
          </cell>
          <cell r="W306" t="str">
            <v xml:space="preserve"> </v>
          </cell>
          <cell r="X306"/>
          <cell r="Y306" t="str">
            <v xml:space="preserve"> </v>
          </cell>
          <cell r="Z306"/>
          <cell r="AA306" t="str">
            <v xml:space="preserve"> </v>
          </cell>
          <cell r="AB306" t="str">
            <v xml:space="preserve"> </v>
          </cell>
          <cell r="AC306"/>
          <cell r="AD306" t="str">
            <v xml:space="preserve"> </v>
          </cell>
          <cell r="AE306"/>
          <cell r="AF306" t="str">
            <v xml:space="preserve"> </v>
          </cell>
          <cell r="AG306"/>
          <cell r="AH306"/>
          <cell r="AI306"/>
          <cell r="AJ306"/>
          <cell r="AK306" t="str">
            <v/>
          </cell>
          <cell r="AL306"/>
          <cell r="AM306" t="str">
            <v xml:space="preserve"> </v>
          </cell>
          <cell r="AN306" t="str">
            <v xml:space="preserve"> </v>
          </cell>
          <cell r="AO306"/>
          <cell r="AP306" t="str">
            <v xml:space="preserve"> </v>
          </cell>
          <cell r="AQ306"/>
          <cell r="AR306" t="str">
            <v xml:space="preserve"> </v>
          </cell>
          <cell r="AS306" t="str">
            <v xml:space="preserve"> </v>
          </cell>
          <cell r="AT306"/>
          <cell r="AU306" t="str">
            <v xml:space="preserve"> </v>
          </cell>
          <cell r="AV306"/>
          <cell r="AW306"/>
          <cell r="AX306" t="str">
            <v xml:space="preserve"> </v>
          </cell>
          <cell r="AY306"/>
          <cell r="AZ306" t="str">
            <v xml:space="preserve"> </v>
          </cell>
          <cell r="BA306"/>
          <cell r="BB306"/>
          <cell r="BC306" t="str">
            <v xml:space="preserve"> </v>
          </cell>
          <cell r="BD306"/>
          <cell r="BE306" t="str">
            <v xml:space="preserve"> </v>
          </cell>
          <cell r="BF306"/>
          <cell r="BG306"/>
          <cell r="BH306" t="str">
            <v xml:space="preserve"> </v>
          </cell>
          <cell r="BI306"/>
          <cell r="BJ306" t="str">
            <v xml:space="preserve"> </v>
          </cell>
          <cell r="BK306"/>
          <cell r="BL306" t="str">
            <v xml:space="preserve"> </v>
          </cell>
          <cell r="BM306" t="str">
            <v xml:space="preserve"> </v>
          </cell>
          <cell r="BN306"/>
          <cell r="BO306" t="str">
            <v xml:space="preserve"> </v>
          </cell>
        </row>
        <row r="307">
          <cell r="B307">
            <v>46325</v>
          </cell>
          <cell r="C307"/>
          <cell r="D307" t="str">
            <v xml:space="preserve"> </v>
          </cell>
          <cell r="E307" t="str">
            <v xml:space="preserve"> </v>
          </cell>
          <cell r="F307"/>
          <cell r="G307" t="str">
            <v xml:space="preserve"> </v>
          </cell>
          <cell r="H307"/>
          <cell r="I307" t="str">
            <v xml:space="preserve"> </v>
          </cell>
          <cell r="J307" t="str">
            <v xml:space="preserve"> </v>
          </cell>
          <cell r="K307"/>
          <cell r="L307" t="str">
            <v xml:space="preserve"> </v>
          </cell>
          <cell r="M307"/>
          <cell r="N307" t="str">
            <v xml:space="preserve"> </v>
          </cell>
          <cell r="O307" t="str">
            <v xml:space="preserve"> </v>
          </cell>
          <cell r="P307"/>
          <cell r="Q307" t="str">
            <v xml:space="preserve"> </v>
          </cell>
          <cell r="R307"/>
          <cell r="S307" t="str">
            <v xml:space="preserve"> </v>
          </cell>
          <cell r="T307" t="str">
            <v xml:space="preserve"> </v>
          </cell>
          <cell r="U307"/>
          <cell r="V307" t="str">
            <v xml:space="preserve"> </v>
          </cell>
          <cell r="W307" t="str">
            <v xml:space="preserve"> </v>
          </cell>
          <cell r="X307"/>
          <cell r="Y307" t="str">
            <v xml:space="preserve"> </v>
          </cell>
          <cell r="Z307"/>
          <cell r="AA307" t="str">
            <v xml:space="preserve"> </v>
          </cell>
          <cell r="AB307" t="str">
            <v xml:space="preserve"> </v>
          </cell>
          <cell r="AC307"/>
          <cell r="AD307" t="str">
            <v xml:space="preserve"> </v>
          </cell>
          <cell r="AE307"/>
          <cell r="AF307" t="str">
            <v xml:space="preserve"> </v>
          </cell>
          <cell r="AG307"/>
          <cell r="AH307"/>
          <cell r="AI307"/>
          <cell r="AJ307"/>
          <cell r="AK307" t="str">
            <v/>
          </cell>
          <cell r="AL307"/>
          <cell r="AM307" t="str">
            <v xml:space="preserve"> </v>
          </cell>
          <cell r="AN307" t="str">
            <v xml:space="preserve"> </v>
          </cell>
          <cell r="AO307"/>
          <cell r="AP307" t="str">
            <v xml:space="preserve"> </v>
          </cell>
          <cell r="AQ307"/>
          <cell r="AR307" t="str">
            <v xml:space="preserve"> </v>
          </cell>
          <cell r="AS307" t="str">
            <v xml:space="preserve"> </v>
          </cell>
          <cell r="AT307"/>
          <cell r="AU307" t="str">
            <v xml:space="preserve"> </v>
          </cell>
          <cell r="AV307"/>
          <cell r="AW307"/>
          <cell r="AX307" t="str">
            <v xml:space="preserve"> </v>
          </cell>
          <cell r="AY307"/>
          <cell r="AZ307" t="str">
            <v xml:space="preserve"> </v>
          </cell>
          <cell r="BA307"/>
          <cell r="BB307"/>
          <cell r="BC307" t="str">
            <v xml:space="preserve"> </v>
          </cell>
          <cell r="BD307"/>
          <cell r="BE307" t="str">
            <v xml:space="preserve"> </v>
          </cell>
          <cell r="BF307"/>
          <cell r="BG307"/>
          <cell r="BH307" t="str">
            <v xml:space="preserve"> </v>
          </cell>
          <cell r="BI307"/>
          <cell r="BJ307" t="str">
            <v xml:space="preserve"> </v>
          </cell>
          <cell r="BK307"/>
          <cell r="BL307" t="str">
            <v xml:space="preserve"> </v>
          </cell>
          <cell r="BM307" t="str">
            <v xml:space="preserve"> </v>
          </cell>
          <cell r="BN307"/>
          <cell r="BO307" t="str">
            <v xml:space="preserve"> </v>
          </cell>
        </row>
        <row r="308">
          <cell r="B308">
            <v>46326</v>
          </cell>
          <cell r="C308"/>
          <cell r="D308" t="str">
            <v xml:space="preserve"> </v>
          </cell>
          <cell r="E308" t="str">
            <v xml:space="preserve"> </v>
          </cell>
          <cell r="F308"/>
          <cell r="G308" t="str">
            <v xml:space="preserve"> </v>
          </cell>
          <cell r="H308"/>
          <cell r="I308" t="str">
            <v xml:space="preserve"> </v>
          </cell>
          <cell r="J308" t="str">
            <v xml:space="preserve"> </v>
          </cell>
          <cell r="K308"/>
          <cell r="L308" t="str">
            <v xml:space="preserve"> </v>
          </cell>
          <cell r="M308"/>
          <cell r="N308" t="str">
            <v xml:space="preserve"> </v>
          </cell>
          <cell r="O308" t="str">
            <v xml:space="preserve"> </v>
          </cell>
          <cell r="P308"/>
          <cell r="Q308" t="str">
            <v xml:space="preserve"> </v>
          </cell>
          <cell r="R308"/>
          <cell r="S308" t="str">
            <v xml:space="preserve"> </v>
          </cell>
          <cell r="T308" t="str">
            <v xml:space="preserve"> </v>
          </cell>
          <cell r="U308"/>
          <cell r="V308" t="str">
            <v xml:space="preserve"> </v>
          </cell>
          <cell r="W308" t="str">
            <v xml:space="preserve"> </v>
          </cell>
          <cell r="X308"/>
          <cell r="Y308" t="str">
            <v xml:space="preserve"> </v>
          </cell>
          <cell r="Z308"/>
          <cell r="AA308" t="str">
            <v xml:space="preserve"> </v>
          </cell>
          <cell r="AB308" t="str">
            <v xml:space="preserve"> </v>
          </cell>
          <cell r="AC308"/>
          <cell r="AD308" t="str">
            <v xml:space="preserve"> </v>
          </cell>
          <cell r="AE308"/>
          <cell r="AF308" t="str">
            <v xml:space="preserve"> </v>
          </cell>
          <cell r="AG308"/>
          <cell r="AH308"/>
          <cell r="AI308"/>
          <cell r="AJ308"/>
          <cell r="AK308" t="str">
            <v/>
          </cell>
          <cell r="AL308"/>
          <cell r="AM308" t="str">
            <v xml:space="preserve"> </v>
          </cell>
          <cell r="AN308" t="str">
            <v xml:space="preserve"> </v>
          </cell>
          <cell r="AO308"/>
          <cell r="AP308" t="str">
            <v xml:space="preserve"> </v>
          </cell>
          <cell r="AQ308"/>
          <cell r="AR308" t="str">
            <v xml:space="preserve"> </v>
          </cell>
          <cell r="AS308" t="str">
            <v xml:space="preserve"> </v>
          </cell>
          <cell r="AT308"/>
          <cell r="AU308" t="str">
            <v xml:space="preserve"> </v>
          </cell>
          <cell r="AV308"/>
          <cell r="AW308"/>
          <cell r="AX308" t="str">
            <v xml:space="preserve"> </v>
          </cell>
          <cell r="AY308"/>
          <cell r="AZ308" t="str">
            <v xml:space="preserve"> </v>
          </cell>
          <cell r="BA308"/>
          <cell r="BB308"/>
          <cell r="BC308" t="str">
            <v xml:space="preserve"> </v>
          </cell>
          <cell r="BD308"/>
          <cell r="BE308" t="str">
            <v xml:space="preserve"> </v>
          </cell>
          <cell r="BF308"/>
          <cell r="BG308"/>
          <cell r="BH308" t="str">
            <v xml:space="preserve"> </v>
          </cell>
          <cell r="BI308"/>
          <cell r="BJ308" t="str">
            <v xml:space="preserve"> </v>
          </cell>
          <cell r="BK308"/>
          <cell r="BL308" t="str">
            <v xml:space="preserve"> </v>
          </cell>
          <cell r="BM308" t="str">
            <v xml:space="preserve"> </v>
          </cell>
          <cell r="BN308"/>
          <cell r="BO308" t="str">
            <v xml:space="preserve"> </v>
          </cell>
        </row>
        <row r="309">
          <cell r="B309">
            <v>46327</v>
          </cell>
          <cell r="C309"/>
          <cell r="D309" t="str">
            <v xml:space="preserve"> </v>
          </cell>
          <cell r="E309" t="str">
            <v xml:space="preserve"> </v>
          </cell>
          <cell r="F309"/>
          <cell r="G309" t="str">
            <v xml:space="preserve"> </v>
          </cell>
          <cell r="H309"/>
          <cell r="I309" t="str">
            <v xml:space="preserve"> </v>
          </cell>
          <cell r="J309" t="str">
            <v xml:space="preserve"> </v>
          </cell>
          <cell r="K309"/>
          <cell r="L309" t="str">
            <v xml:space="preserve"> </v>
          </cell>
          <cell r="M309"/>
          <cell r="N309" t="str">
            <v xml:space="preserve"> </v>
          </cell>
          <cell r="O309" t="str">
            <v xml:space="preserve"> </v>
          </cell>
          <cell r="P309"/>
          <cell r="Q309" t="str">
            <v xml:space="preserve"> </v>
          </cell>
          <cell r="R309"/>
          <cell r="S309" t="str">
            <v xml:space="preserve"> </v>
          </cell>
          <cell r="T309" t="str">
            <v xml:space="preserve"> </v>
          </cell>
          <cell r="U309"/>
          <cell r="V309" t="str">
            <v xml:space="preserve"> </v>
          </cell>
          <cell r="W309" t="str">
            <v xml:space="preserve"> </v>
          </cell>
          <cell r="X309"/>
          <cell r="Y309" t="str">
            <v xml:space="preserve"> </v>
          </cell>
          <cell r="Z309"/>
          <cell r="AA309" t="str">
            <v xml:space="preserve"> </v>
          </cell>
          <cell r="AB309" t="str">
            <v xml:space="preserve"> </v>
          </cell>
          <cell r="AC309"/>
          <cell r="AD309" t="str">
            <v xml:space="preserve"> </v>
          </cell>
          <cell r="AE309"/>
          <cell r="AF309" t="str">
            <v xml:space="preserve"> </v>
          </cell>
          <cell r="AG309"/>
          <cell r="AH309"/>
          <cell r="AI309"/>
          <cell r="AJ309"/>
          <cell r="AK309" t="str">
            <v/>
          </cell>
          <cell r="AL309"/>
          <cell r="AM309" t="str">
            <v xml:space="preserve"> </v>
          </cell>
          <cell r="AN309" t="str">
            <v xml:space="preserve"> </v>
          </cell>
          <cell r="AO309"/>
          <cell r="AP309" t="str">
            <v xml:space="preserve"> </v>
          </cell>
          <cell r="AQ309"/>
          <cell r="AR309" t="str">
            <v xml:space="preserve"> </v>
          </cell>
          <cell r="AS309" t="str">
            <v xml:space="preserve"> </v>
          </cell>
          <cell r="AT309"/>
          <cell r="AU309" t="str">
            <v xml:space="preserve"> </v>
          </cell>
          <cell r="AV309"/>
          <cell r="AW309"/>
          <cell r="AX309" t="str">
            <v xml:space="preserve"> </v>
          </cell>
          <cell r="AY309"/>
          <cell r="AZ309" t="str">
            <v xml:space="preserve"> </v>
          </cell>
          <cell r="BA309"/>
          <cell r="BB309"/>
          <cell r="BC309" t="str">
            <v xml:space="preserve"> </v>
          </cell>
          <cell r="BD309"/>
          <cell r="BE309" t="str">
            <v xml:space="preserve"> </v>
          </cell>
          <cell r="BF309"/>
          <cell r="BG309"/>
          <cell r="BH309" t="str">
            <v xml:space="preserve"> </v>
          </cell>
          <cell r="BI309"/>
          <cell r="BJ309" t="str">
            <v xml:space="preserve"> </v>
          </cell>
          <cell r="BK309"/>
          <cell r="BL309" t="str">
            <v xml:space="preserve"> </v>
          </cell>
          <cell r="BM309" t="str">
            <v xml:space="preserve"> </v>
          </cell>
          <cell r="BN309"/>
          <cell r="BO309" t="str">
            <v xml:space="preserve"> </v>
          </cell>
        </row>
        <row r="310">
          <cell r="B310">
            <v>46328</v>
          </cell>
          <cell r="C310"/>
          <cell r="D310" t="str">
            <v xml:space="preserve"> </v>
          </cell>
          <cell r="E310" t="str">
            <v xml:space="preserve"> </v>
          </cell>
          <cell r="F310"/>
          <cell r="G310" t="str">
            <v xml:space="preserve"> </v>
          </cell>
          <cell r="H310"/>
          <cell r="I310" t="str">
            <v xml:space="preserve"> </v>
          </cell>
          <cell r="J310" t="str">
            <v xml:space="preserve"> </v>
          </cell>
          <cell r="K310"/>
          <cell r="L310" t="str">
            <v xml:space="preserve"> </v>
          </cell>
          <cell r="M310"/>
          <cell r="N310" t="str">
            <v xml:space="preserve"> </v>
          </cell>
          <cell r="O310" t="str">
            <v xml:space="preserve"> </v>
          </cell>
          <cell r="P310"/>
          <cell r="Q310" t="str">
            <v xml:space="preserve"> </v>
          </cell>
          <cell r="R310"/>
          <cell r="S310" t="str">
            <v xml:space="preserve"> </v>
          </cell>
          <cell r="T310" t="str">
            <v xml:space="preserve"> </v>
          </cell>
          <cell r="U310"/>
          <cell r="V310" t="str">
            <v xml:space="preserve"> </v>
          </cell>
          <cell r="W310" t="str">
            <v xml:space="preserve"> </v>
          </cell>
          <cell r="X310"/>
          <cell r="Y310" t="str">
            <v xml:space="preserve"> </v>
          </cell>
          <cell r="Z310"/>
          <cell r="AA310" t="str">
            <v xml:space="preserve"> </v>
          </cell>
          <cell r="AB310" t="str">
            <v xml:space="preserve"> </v>
          </cell>
          <cell r="AC310"/>
          <cell r="AD310" t="str">
            <v xml:space="preserve"> </v>
          </cell>
          <cell r="AE310"/>
          <cell r="AF310" t="str">
            <v xml:space="preserve"> </v>
          </cell>
          <cell r="AG310"/>
          <cell r="AH310"/>
          <cell r="AI310"/>
          <cell r="AJ310"/>
          <cell r="AK310" t="str">
            <v/>
          </cell>
          <cell r="AL310"/>
          <cell r="AM310" t="str">
            <v xml:space="preserve"> </v>
          </cell>
          <cell r="AN310" t="str">
            <v xml:space="preserve"> </v>
          </cell>
          <cell r="AO310"/>
          <cell r="AP310" t="str">
            <v xml:space="preserve"> </v>
          </cell>
          <cell r="AQ310"/>
          <cell r="AR310" t="str">
            <v xml:space="preserve"> </v>
          </cell>
          <cell r="AS310" t="str">
            <v xml:space="preserve"> </v>
          </cell>
          <cell r="AT310"/>
          <cell r="AU310" t="str">
            <v xml:space="preserve"> </v>
          </cell>
          <cell r="AV310"/>
          <cell r="AW310"/>
          <cell r="AX310" t="str">
            <v xml:space="preserve"> </v>
          </cell>
          <cell r="AY310"/>
          <cell r="AZ310" t="str">
            <v xml:space="preserve"> </v>
          </cell>
          <cell r="BA310"/>
          <cell r="BB310"/>
          <cell r="BC310" t="str">
            <v xml:space="preserve"> </v>
          </cell>
          <cell r="BD310"/>
          <cell r="BE310" t="str">
            <v xml:space="preserve"> </v>
          </cell>
          <cell r="BF310"/>
          <cell r="BG310"/>
          <cell r="BH310" t="str">
            <v xml:space="preserve"> </v>
          </cell>
          <cell r="BI310"/>
          <cell r="BJ310" t="str">
            <v xml:space="preserve"> </v>
          </cell>
          <cell r="BK310"/>
          <cell r="BL310" t="str">
            <v xml:space="preserve"> </v>
          </cell>
          <cell r="BM310" t="str">
            <v xml:space="preserve"> </v>
          </cell>
          <cell r="BN310"/>
          <cell r="BO310" t="str">
            <v xml:space="preserve"> </v>
          </cell>
        </row>
        <row r="311">
          <cell r="B311">
            <v>46329</v>
          </cell>
          <cell r="C311"/>
          <cell r="D311" t="str">
            <v xml:space="preserve"> </v>
          </cell>
          <cell r="E311" t="str">
            <v xml:space="preserve"> </v>
          </cell>
          <cell r="F311"/>
          <cell r="G311" t="str">
            <v xml:space="preserve"> </v>
          </cell>
          <cell r="H311"/>
          <cell r="I311" t="str">
            <v xml:space="preserve"> </v>
          </cell>
          <cell r="J311" t="str">
            <v xml:space="preserve"> </v>
          </cell>
          <cell r="K311"/>
          <cell r="L311" t="str">
            <v xml:space="preserve"> </v>
          </cell>
          <cell r="M311"/>
          <cell r="N311" t="str">
            <v xml:space="preserve"> </v>
          </cell>
          <cell r="O311" t="str">
            <v xml:space="preserve"> </v>
          </cell>
          <cell r="P311"/>
          <cell r="Q311" t="str">
            <v xml:space="preserve"> </v>
          </cell>
          <cell r="R311"/>
          <cell r="S311" t="str">
            <v xml:space="preserve"> </v>
          </cell>
          <cell r="T311" t="str">
            <v xml:space="preserve"> </v>
          </cell>
          <cell r="U311"/>
          <cell r="V311" t="str">
            <v xml:space="preserve"> </v>
          </cell>
          <cell r="W311" t="str">
            <v xml:space="preserve"> </v>
          </cell>
          <cell r="X311"/>
          <cell r="Y311" t="str">
            <v xml:space="preserve"> </v>
          </cell>
          <cell r="Z311"/>
          <cell r="AA311" t="str">
            <v xml:space="preserve"> </v>
          </cell>
          <cell r="AB311" t="str">
            <v xml:space="preserve"> </v>
          </cell>
          <cell r="AC311"/>
          <cell r="AD311" t="str">
            <v xml:space="preserve"> </v>
          </cell>
          <cell r="AE311"/>
          <cell r="AF311" t="str">
            <v xml:space="preserve"> </v>
          </cell>
          <cell r="AG311"/>
          <cell r="AH311"/>
          <cell r="AI311"/>
          <cell r="AJ311"/>
          <cell r="AK311" t="str">
            <v/>
          </cell>
          <cell r="AL311"/>
          <cell r="AM311" t="str">
            <v xml:space="preserve"> </v>
          </cell>
          <cell r="AN311" t="str">
            <v xml:space="preserve"> </v>
          </cell>
          <cell r="AO311"/>
          <cell r="AP311" t="str">
            <v xml:space="preserve"> </v>
          </cell>
          <cell r="AQ311"/>
          <cell r="AR311" t="str">
            <v xml:space="preserve"> </v>
          </cell>
          <cell r="AS311" t="str">
            <v xml:space="preserve"> </v>
          </cell>
          <cell r="AT311"/>
          <cell r="AU311" t="str">
            <v xml:space="preserve"> </v>
          </cell>
          <cell r="AV311"/>
          <cell r="AW311"/>
          <cell r="AX311" t="str">
            <v xml:space="preserve"> </v>
          </cell>
          <cell r="AY311"/>
          <cell r="AZ311" t="str">
            <v xml:space="preserve"> </v>
          </cell>
          <cell r="BA311"/>
          <cell r="BB311"/>
          <cell r="BC311" t="str">
            <v xml:space="preserve"> </v>
          </cell>
          <cell r="BD311"/>
          <cell r="BE311" t="str">
            <v xml:space="preserve"> </v>
          </cell>
          <cell r="BF311"/>
          <cell r="BG311"/>
          <cell r="BH311" t="str">
            <v xml:space="preserve"> </v>
          </cell>
          <cell r="BI311"/>
          <cell r="BJ311" t="str">
            <v xml:space="preserve"> </v>
          </cell>
          <cell r="BK311"/>
          <cell r="BL311" t="str">
            <v xml:space="preserve"> </v>
          </cell>
          <cell r="BM311" t="str">
            <v xml:space="preserve"> </v>
          </cell>
          <cell r="BN311"/>
          <cell r="BO311" t="str">
            <v xml:space="preserve"> </v>
          </cell>
        </row>
        <row r="312">
          <cell r="B312">
            <v>46330</v>
          </cell>
          <cell r="C312"/>
          <cell r="D312" t="str">
            <v xml:space="preserve"> </v>
          </cell>
          <cell r="E312" t="str">
            <v xml:space="preserve"> </v>
          </cell>
          <cell r="F312"/>
          <cell r="G312" t="str">
            <v xml:space="preserve"> </v>
          </cell>
          <cell r="H312"/>
          <cell r="I312" t="str">
            <v xml:space="preserve"> </v>
          </cell>
          <cell r="J312" t="str">
            <v xml:space="preserve"> </v>
          </cell>
          <cell r="K312"/>
          <cell r="L312" t="str">
            <v xml:space="preserve"> </v>
          </cell>
          <cell r="M312"/>
          <cell r="N312" t="str">
            <v xml:space="preserve"> </v>
          </cell>
          <cell r="O312" t="str">
            <v xml:space="preserve"> </v>
          </cell>
          <cell r="P312"/>
          <cell r="Q312" t="str">
            <v xml:space="preserve"> </v>
          </cell>
          <cell r="R312"/>
          <cell r="S312" t="str">
            <v xml:space="preserve"> </v>
          </cell>
          <cell r="T312" t="str">
            <v xml:space="preserve"> </v>
          </cell>
          <cell r="U312"/>
          <cell r="V312" t="str">
            <v xml:space="preserve"> </v>
          </cell>
          <cell r="W312" t="str">
            <v xml:space="preserve"> </v>
          </cell>
          <cell r="X312"/>
          <cell r="Y312" t="str">
            <v xml:space="preserve"> </v>
          </cell>
          <cell r="Z312"/>
          <cell r="AA312" t="str">
            <v xml:space="preserve"> </v>
          </cell>
          <cell r="AB312" t="str">
            <v xml:space="preserve"> </v>
          </cell>
          <cell r="AC312"/>
          <cell r="AD312" t="str">
            <v xml:space="preserve"> </v>
          </cell>
          <cell r="AE312"/>
          <cell r="AF312" t="str">
            <v xml:space="preserve"> </v>
          </cell>
          <cell r="AG312"/>
          <cell r="AH312"/>
          <cell r="AI312"/>
          <cell r="AJ312"/>
          <cell r="AK312" t="str">
            <v/>
          </cell>
          <cell r="AL312"/>
          <cell r="AM312" t="str">
            <v xml:space="preserve"> </v>
          </cell>
          <cell r="AN312" t="str">
            <v xml:space="preserve"> </v>
          </cell>
          <cell r="AO312"/>
          <cell r="AP312" t="str">
            <v xml:space="preserve"> </v>
          </cell>
          <cell r="AQ312"/>
          <cell r="AR312" t="str">
            <v xml:space="preserve"> </v>
          </cell>
          <cell r="AS312" t="str">
            <v xml:space="preserve"> </v>
          </cell>
          <cell r="AT312"/>
          <cell r="AU312" t="str">
            <v xml:space="preserve"> </v>
          </cell>
          <cell r="AV312"/>
          <cell r="AW312"/>
          <cell r="AX312" t="str">
            <v xml:space="preserve"> </v>
          </cell>
          <cell r="AY312"/>
          <cell r="AZ312" t="str">
            <v xml:space="preserve"> </v>
          </cell>
          <cell r="BA312"/>
          <cell r="BB312"/>
          <cell r="BC312" t="str">
            <v xml:space="preserve"> </v>
          </cell>
          <cell r="BD312"/>
          <cell r="BE312" t="str">
            <v xml:space="preserve"> </v>
          </cell>
          <cell r="BF312"/>
          <cell r="BG312"/>
          <cell r="BH312" t="str">
            <v xml:space="preserve"> </v>
          </cell>
          <cell r="BI312"/>
          <cell r="BJ312" t="str">
            <v xml:space="preserve"> </v>
          </cell>
          <cell r="BK312"/>
          <cell r="BL312" t="str">
            <v xml:space="preserve"> </v>
          </cell>
          <cell r="BM312" t="str">
            <v xml:space="preserve"> </v>
          </cell>
          <cell r="BN312"/>
          <cell r="BO312" t="str">
            <v xml:space="preserve"> </v>
          </cell>
        </row>
        <row r="313">
          <cell r="B313">
            <v>46331</v>
          </cell>
          <cell r="C313"/>
          <cell r="D313" t="str">
            <v xml:space="preserve"> </v>
          </cell>
          <cell r="E313" t="str">
            <v xml:space="preserve"> </v>
          </cell>
          <cell r="F313"/>
          <cell r="G313" t="str">
            <v xml:space="preserve"> </v>
          </cell>
          <cell r="H313"/>
          <cell r="I313" t="str">
            <v xml:space="preserve"> </v>
          </cell>
          <cell r="J313" t="str">
            <v xml:space="preserve"> </v>
          </cell>
          <cell r="K313"/>
          <cell r="L313" t="str">
            <v xml:space="preserve"> </v>
          </cell>
          <cell r="M313"/>
          <cell r="N313" t="str">
            <v xml:space="preserve"> </v>
          </cell>
          <cell r="O313" t="str">
            <v xml:space="preserve"> </v>
          </cell>
          <cell r="P313"/>
          <cell r="Q313" t="str">
            <v xml:space="preserve"> </v>
          </cell>
          <cell r="R313"/>
          <cell r="S313" t="str">
            <v xml:space="preserve"> </v>
          </cell>
          <cell r="T313" t="str">
            <v xml:space="preserve"> </v>
          </cell>
          <cell r="U313"/>
          <cell r="V313" t="str">
            <v xml:space="preserve"> </v>
          </cell>
          <cell r="W313" t="str">
            <v xml:space="preserve"> </v>
          </cell>
          <cell r="X313"/>
          <cell r="Y313" t="str">
            <v xml:space="preserve"> </v>
          </cell>
          <cell r="Z313"/>
          <cell r="AA313" t="str">
            <v xml:space="preserve"> </v>
          </cell>
          <cell r="AB313" t="str">
            <v xml:space="preserve"> </v>
          </cell>
          <cell r="AC313"/>
          <cell r="AD313" t="str">
            <v xml:space="preserve"> </v>
          </cell>
          <cell r="AE313"/>
          <cell r="AF313" t="str">
            <v xml:space="preserve"> </v>
          </cell>
          <cell r="AG313"/>
          <cell r="AH313"/>
          <cell r="AI313"/>
          <cell r="AJ313"/>
          <cell r="AK313" t="str">
            <v/>
          </cell>
          <cell r="AL313"/>
          <cell r="AM313" t="str">
            <v xml:space="preserve"> </v>
          </cell>
          <cell r="AN313" t="str">
            <v xml:space="preserve"> </v>
          </cell>
          <cell r="AO313"/>
          <cell r="AP313" t="str">
            <v xml:space="preserve"> </v>
          </cell>
          <cell r="AQ313"/>
          <cell r="AR313" t="str">
            <v xml:space="preserve"> </v>
          </cell>
          <cell r="AS313" t="str">
            <v xml:space="preserve"> </v>
          </cell>
          <cell r="AT313"/>
          <cell r="AU313" t="str">
            <v xml:space="preserve"> </v>
          </cell>
          <cell r="AV313"/>
          <cell r="AW313"/>
          <cell r="AX313" t="str">
            <v xml:space="preserve"> </v>
          </cell>
          <cell r="AY313"/>
          <cell r="AZ313" t="str">
            <v xml:space="preserve"> </v>
          </cell>
          <cell r="BA313"/>
          <cell r="BB313"/>
          <cell r="BC313" t="str">
            <v xml:space="preserve"> </v>
          </cell>
          <cell r="BD313"/>
          <cell r="BE313" t="str">
            <v xml:space="preserve"> </v>
          </cell>
          <cell r="BF313"/>
          <cell r="BG313"/>
          <cell r="BH313" t="str">
            <v xml:space="preserve"> </v>
          </cell>
          <cell r="BI313"/>
          <cell r="BJ313" t="str">
            <v xml:space="preserve"> </v>
          </cell>
          <cell r="BK313"/>
          <cell r="BL313" t="str">
            <v xml:space="preserve"> </v>
          </cell>
          <cell r="BM313" t="str">
            <v xml:space="preserve"> </v>
          </cell>
          <cell r="BN313"/>
          <cell r="BO313" t="str">
            <v xml:space="preserve"> </v>
          </cell>
        </row>
        <row r="314">
          <cell r="B314">
            <v>46332</v>
          </cell>
          <cell r="C314"/>
          <cell r="D314" t="str">
            <v xml:space="preserve"> </v>
          </cell>
          <cell r="E314" t="str">
            <v xml:space="preserve"> </v>
          </cell>
          <cell r="F314"/>
          <cell r="G314" t="str">
            <v xml:space="preserve"> </v>
          </cell>
          <cell r="H314"/>
          <cell r="I314" t="str">
            <v xml:space="preserve"> </v>
          </cell>
          <cell r="J314" t="str">
            <v xml:space="preserve"> </v>
          </cell>
          <cell r="K314"/>
          <cell r="L314" t="str">
            <v xml:space="preserve"> </v>
          </cell>
          <cell r="M314"/>
          <cell r="N314" t="str">
            <v xml:space="preserve"> </v>
          </cell>
          <cell r="O314" t="str">
            <v xml:space="preserve"> </v>
          </cell>
          <cell r="P314"/>
          <cell r="Q314" t="str">
            <v xml:space="preserve"> </v>
          </cell>
          <cell r="R314"/>
          <cell r="S314" t="str">
            <v xml:space="preserve"> </v>
          </cell>
          <cell r="T314" t="str">
            <v xml:space="preserve"> </v>
          </cell>
          <cell r="U314"/>
          <cell r="V314" t="str">
            <v xml:space="preserve"> </v>
          </cell>
          <cell r="W314" t="str">
            <v xml:space="preserve"> </v>
          </cell>
          <cell r="X314"/>
          <cell r="Y314" t="str">
            <v xml:space="preserve"> </v>
          </cell>
          <cell r="Z314"/>
          <cell r="AA314" t="str">
            <v xml:space="preserve"> </v>
          </cell>
          <cell r="AB314" t="str">
            <v xml:space="preserve"> </v>
          </cell>
          <cell r="AC314"/>
          <cell r="AD314" t="str">
            <v xml:space="preserve"> </v>
          </cell>
          <cell r="AE314"/>
          <cell r="AF314" t="str">
            <v xml:space="preserve"> </v>
          </cell>
          <cell r="AG314"/>
          <cell r="AH314"/>
          <cell r="AI314"/>
          <cell r="AJ314"/>
          <cell r="AK314" t="str">
            <v/>
          </cell>
          <cell r="AL314"/>
          <cell r="AM314" t="str">
            <v xml:space="preserve"> </v>
          </cell>
          <cell r="AN314" t="str">
            <v xml:space="preserve"> </v>
          </cell>
          <cell r="AO314"/>
          <cell r="AP314" t="str">
            <v xml:space="preserve"> </v>
          </cell>
          <cell r="AQ314"/>
          <cell r="AR314" t="str">
            <v xml:space="preserve"> </v>
          </cell>
          <cell r="AS314" t="str">
            <v xml:space="preserve"> </v>
          </cell>
          <cell r="AT314"/>
          <cell r="AU314" t="str">
            <v xml:space="preserve"> </v>
          </cell>
          <cell r="AV314"/>
          <cell r="AW314"/>
          <cell r="AX314" t="str">
            <v xml:space="preserve"> </v>
          </cell>
          <cell r="AY314"/>
          <cell r="AZ314" t="str">
            <v xml:space="preserve"> </v>
          </cell>
          <cell r="BA314"/>
          <cell r="BB314"/>
          <cell r="BC314" t="str">
            <v xml:space="preserve"> </v>
          </cell>
          <cell r="BD314"/>
          <cell r="BE314" t="str">
            <v xml:space="preserve"> </v>
          </cell>
          <cell r="BF314"/>
          <cell r="BG314"/>
          <cell r="BH314" t="str">
            <v xml:space="preserve"> </v>
          </cell>
          <cell r="BI314"/>
          <cell r="BJ314" t="str">
            <v xml:space="preserve"> </v>
          </cell>
          <cell r="BK314"/>
          <cell r="BL314" t="str">
            <v xml:space="preserve"> </v>
          </cell>
          <cell r="BM314" t="str">
            <v xml:space="preserve"> </v>
          </cell>
          <cell r="BN314"/>
          <cell r="BO314" t="str">
            <v xml:space="preserve"> </v>
          </cell>
        </row>
        <row r="315">
          <cell r="B315">
            <v>46333</v>
          </cell>
          <cell r="C315"/>
          <cell r="D315" t="str">
            <v xml:space="preserve"> </v>
          </cell>
          <cell r="E315" t="str">
            <v xml:space="preserve"> </v>
          </cell>
          <cell r="F315"/>
          <cell r="G315" t="str">
            <v xml:space="preserve"> </v>
          </cell>
          <cell r="H315"/>
          <cell r="I315" t="str">
            <v xml:space="preserve"> </v>
          </cell>
          <cell r="J315" t="str">
            <v xml:space="preserve"> </v>
          </cell>
          <cell r="K315"/>
          <cell r="L315" t="str">
            <v xml:space="preserve"> </v>
          </cell>
          <cell r="M315"/>
          <cell r="N315" t="str">
            <v xml:space="preserve"> </v>
          </cell>
          <cell r="O315" t="str">
            <v xml:space="preserve"> </v>
          </cell>
          <cell r="P315"/>
          <cell r="Q315" t="str">
            <v xml:space="preserve"> </v>
          </cell>
          <cell r="R315"/>
          <cell r="S315" t="str">
            <v xml:space="preserve"> </v>
          </cell>
          <cell r="T315" t="str">
            <v xml:space="preserve"> </v>
          </cell>
          <cell r="U315"/>
          <cell r="V315" t="str">
            <v xml:space="preserve"> </v>
          </cell>
          <cell r="W315" t="str">
            <v xml:space="preserve"> </v>
          </cell>
          <cell r="X315"/>
          <cell r="Y315" t="str">
            <v xml:space="preserve"> </v>
          </cell>
          <cell r="Z315"/>
          <cell r="AA315" t="str">
            <v xml:space="preserve"> </v>
          </cell>
          <cell r="AB315" t="str">
            <v xml:space="preserve"> </v>
          </cell>
          <cell r="AC315"/>
          <cell r="AD315" t="str">
            <v xml:space="preserve"> </v>
          </cell>
          <cell r="AE315"/>
          <cell r="AF315" t="str">
            <v xml:space="preserve"> </v>
          </cell>
          <cell r="AG315"/>
          <cell r="AH315"/>
          <cell r="AI315"/>
          <cell r="AJ315"/>
          <cell r="AK315" t="str">
            <v/>
          </cell>
          <cell r="AL315"/>
          <cell r="AM315" t="str">
            <v xml:space="preserve"> </v>
          </cell>
          <cell r="AN315" t="str">
            <v xml:space="preserve"> </v>
          </cell>
          <cell r="AO315"/>
          <cell r="AP315" t="str">
            <v xml:space="preserve"> </v>
          </cell>
          <cell r="AQ315"/>
          <cell r="AR315" t="str">
            <v xml:space="preserve"> </v>
          </cell>
          <cell r="AS315" t="str">
            <v xml:space="preserve"> </v>
          </cell>
          <cell r="AT315"/>
          <cell r="AU315" t="str">
            <v xml:space="preserve"> </v>
          </cell>
          <cell r="AV315"/>
          <cell r="AW315"/>
          <cell r="AX315" t="str">
            <v xml:space="preserve"> </v>
          </cell>
          <cell r="AY315"/>
          <cell r="AZ315" t="str">
            <v xml:space="preserve"> </v>
          </cell>
          <cell r="BA315"/>
          <cell r="BB315"/>
          <cell r="BC315" t="str">
            <v xml:space="preserve"> </v>
          </cell>
          <cell r="BD315"/>
          <cell r="BE315" t="str">
            <v xml:space="preserve"> </v>
          </cell>
          <cell r="BF315"/>
          <cell r="BG315"/>
          <cell r="BH315" t="str">
            <v xml:space="preserve"> </v>
          </cell>
          <cell r="BI315"/>
          <cell r="BJ315" t="str">
            <v xml:space="preserve"> </v>
          </cell>
          <cell r="BK315"/>
          <cell r="BL315" t="str">
            <v xml:space="preserve"> </v>
          </cell>
          <cell r="BM315" t="str">
            <v xml:space="preserve"> </v>
          </cell>
          <cell r="BN315"/>
          <cell r="BO315" t="str">
            <v xml:space="preserve"> </v>
          </cell>
        </row>
        <row r="316">
          <cell r="B316">
            <v>46334</v>
          </cell>
          <cell r="C316"/>
          <cell r="D316" t="str">
            <v xml:space="preserve"> </v>
          </cell>
          <cell r="E316" t="str">
            <v xml:space="preserve"> </v>
          </cell>
          <cell r="F316"/>
          <cell r="G316" t="str">
            <v xml:space="preserve"> </v>
          </cell>
          <cell r="H316"/>
          <cell r="I316" t="str">
            <v xml:space="preserve"> </v>
          </cell>
          <cell r="J316" t="str">
            <v xml:space="preserve"> </v>
          </cell>
          <cell r="K316"/>
          <cell r="L316" t="str">
            <v xml:space="preserve"> </v>
          </cell>
          <cell r="M316"/>
          <cell r="N316" t="str">
            <v xml:space="preserve"> </v>
          </cell>
          <cell r="O316" t="str">
            <v xml:space="preserve"> </v>
          </cell>
          <cell r="P316"/>
          <cell r="Q316" t="str">
            <v xml:space="preserve"> </v>
          </cell>
          <cell r="R316"/>
          <cell r="S316" t="str">
            <v xml:space="preserve"> </v>
          </cell>
          <cell r="T316" t="str">
            <v xml:space="preserve"> </v>
          </cell>
          <cell r="U316"/>
          <cell r="V316" t="str">
            <v xml:space="preserve"> </v>
          </cell>
          <cell r="W316" t="str">
            <v xml:space="preserve"> </v>
          </cell>
          <cell r="X316"/>
          <cell r="Y316" t="str">
            <v xml:space="preserve"> </v>
          </cell>
          <cell r="Z316"/>
          <cell r="AA316" t="str">
            <v xml:space="preserve"> </v>
          </cell>
          <cell r="AB316" t="str">
            <v xml:space="preserve"> </v>
          </cell>
          <cell r="AC316"/>
          <cell r="AD316" t="str">
            <v xml:space="preserve"> </v>
          </cell>
          <cell r="AE316"/>
          <cell r="AF316" t="str">
            <v xml:space="preserve"> </v>
          </cell>
          <cell r="AG316"/>
          <cell r="AH316"/>
          <cell r="AI316"/>
          <cell r="AJ316"/>
          <cell r="AK316" t="str">
            <v/>
          </cell>
          <cell r="AL316"/>
          <cell r="AM316" t="str">
            <v xml:space="preserve"> </v>
          </cell>
          <cell r="AN316" t="str">
            <v xml:space="preserve"> </v>
          </cell>
          <cell r="AO316"/>
          <cell r="AP316" t="str">
            <v xml:space="preserve"> </v>
          </cell>
          <cell r="AQ316"/>
          <cell r="AR316" t="str">
            <v xml:space="preserve"> </v>
          </cell>
          <cell r="AS316" t="str">
            <v xml:space="preserve"> </v>
          </cell>
          <cell r="AT316"/>
          <cell r="AU316" t="str">
            <v xml:space="preserve"> </v>
          </cell>
          <cell r="AV316"/>
          <cell r="AW316"/>
          <cell r="AX316" t="str">
            <v xml:space="preserve"> </v>
          </cell>
          <cell r="AY316"/>
          <cell r="AZ316" t="str">
            <v xml:space="preserve"> </v>
          </cell>
          <cell r="BA316"/>
          <cell r="BB316"/>
          <cell r="BC316" t="str">
            <v xml:space="preserve"> </v>
          </cell>
          <cell r="BD316"/>
          <cell r="BE316" t="str">
            <v xml:space="preserve"> </v>
          </cell>
          <cell r="BF316"/>
          <cell r="BG316"/>
          <cell r="BH316" t="str">
            <v xml:space="preserve"> </v>
          </cell>
          <cell r="BI316"/>
          <cell r="BJ316" t="str">
            <v xml:space="preserve"> </v>
          </cell>
          <cell r="BK316"/>
          <cell r="BL316" t="str">
            <v xml:space="preserve"> </v>
          </cell>
          <cell r="BM316" t="str">
            <v xml:space="preserve"> </v>
          </cell>
          <cell r="BN316"/>
          <cell r="BO316" t="str">
            <v xml:space="preserve"> </v>
          </cell>
        </row>
        <row r="317">
          <cell r="B317">
            <v>46335</v>
          </cell>
          <cell r="C317"/>
          <cell r="D317" t="str">
            <v xml:space="preserve"> </v>
          </cell>
          <cell r="E317" t="str">
            <v xml:space="preserve"> </v>
          </cell>
          <cell r="F317"/>
          <cell r="G317" t="str">
            <v xml:space="preserve"> </v>
          </cell>
          <cell r="H317"/>
          <cell r="I317" t="str">
            <v xml:space="preserve"> </v>
          </cell>
          <cell r="J317" t="str">
            <v xml:space="preserve"> </v>
          </cell>
          <cell r="K317"/>
          <cell r="L317" t="str">
            <v xml:space="preserve"> </v>
          </cell>
          <cell r="M317"/>
          <cell r="N317" t="str">
            <v xml:space="preserve"> </v>
          </cell>
          <cell r="O317" t="str">
            <v xml:space="preserve"> </v>
          </cell>
          <cell r="P317"/>
          <cell r="Q317" t="str">
            <v xml:space="preserve"> </v>
          </cell>
          <cell r="R317"/>
          <cell r="S317" t="str">
            <v xml:space="preserve"> </v>
          </cell>
          <cell r="T317" t="str">
            <v xml:space="preserve"> </v>
          </cell>
          <cell r="U317"/>
          <cell r="V317" t="str">
            <v xml:space="preserve"> </v>
          </cell>
          <cell r="W317" t="str">
            <v xml:space="preserve"> </v>
          </cell>
          <cell r="X317"/>
          <cell r="Y317" t="str">
            <v xml:space="preserve"> </v>
          </cell>
          <cell r="Z317"/>
          <cell r="AA317" t="str">
            <v xml:space="preserve"> </v>
          </cell>
          <cell r="AB317" t="str">
            <v xml:space="preserve"> </v>
          </cell>
          <cell r="AC317"/>
          <cell r="AD317" t="str">
            <v xml:space="preserve"> </v>
          </cell>
          <cell r="AE317"/>
          <cell r="AF317" t="str">
            <v xml:space="preserve"> </v>
          </cell>
          <cell r="AG317"/>
          <cell r="AH317"/>
          <cell r="AI317"/>
          <cell r="AJ317"/>
          <cell r="AK317" t="str">
            <v/>
          </cell>
          <cell r="AL317"/>
          <cell r="AM317" t="str">
            <v xml:space="preserve"> </v>
          </cell>
          <cell r="AN317" t="str">
            <v xml:space="preserve"> </v>
          </cell>
          <cell r="AO317"/>
          <cell r="AP317" t="str">
            <v xml:space="preserve"> </v>
          </cell>
          <cell r="AQ317"/>
          <cell r="AR317" t="str">
            <v xml:space="preserve"> </v>
          </cell>
          <cell r="AS317" t="str">
            <v xml:space="preserve"> </v>
          </cell>
          <cell r="AT317"/>
          <cell r="AU317" t="str">
            <v xml:space="preserve"> </v>
          </cell>
          <cell r="AV317"/>
          <cell r="AW317"/>
          <cell r="AX317" t="str">
            <v xml:space="preserve"> </v>
          </cell>
          <cell r="AY317"/>
          <cell r="AZ317" t="str">
            <v xml:space="preserve"> </v>
          </cell>
          <cell r="BA317"/>
          <cell r="BB317"/>
          <cell r="BC317" t="str">
            <v xml:space="preserve"> </v>
          </cell>
          <cell r="BD317"/>
          <cell r="BE317" t="str">
            <v xml:space="preserve"> </v>
          </cell>
          <cell r="BF317"/>
          <cell r="BG317"/>
          <cell r="BH317" t="str">
            <v xml:space="preserve"> </v>
          </cell>
          <cell r="BI317"/>
          <cell r="BJ317" t="str">
            <v xml:space="preserve"> </v>
          </cell>
          <cell r="BK317"/>
          <cell r="BL317" t="str">
            <v xml:space="preserve"> </v>
          </cell>
          <cell r="BM317" t="str">
            <v xml:space="preserve"> </v>
          </cell>
          <cell r="BN317"/>
          <cell r="BO317" t="str">
            <v xml:space="preserve"> </v>
          </cell>
        </row>
        <row r="318">
          <cell r="B318">
            <v>46336</v>
          </cell>
          <cell r="C318"/>
          <cell r="D318" t="str">
            <v xml:space="preserve"> </v>
          </cell>
          <cell r="E318" t="str">
            <v xml:space="preserve"> </v>
          </cell>
          <cell r="F318"/>
          <cell r="G318" t="str">
            <v xml:space="preserve"> </v>
          </cell>
          <cell r="H318"/>
          <cell r="I318" t="str">
            <v xml:space="preserve"> </v>
          </cell>
          <cell r="J318" t="str">
            <v xml:space="preserve"> </v>
          </cell>
          <cell r="K318"/>
          <cell r="L318" t="str">
            <v xml:space="preserve"> </v>
          </cell>
          <cell r="M318"/>
          <cell r="N318" t="str">
            <v xml:space="preserve"> </v>
          </cell>
          <cell r="O318" t="str">
            <v xml:space="preserve"> </v>
          </cell>
          <cell r="P318"/>
          <cell r="Q318" t="str">
            <v xml:space="preserve"> </v>
          </cell>
          <cell r="R318"/>
          <cell r="S318" t="str">
            <v xml:space="preserve"> </v>
          </cell>
          <cell r="T318" t="str">
            <v xml:space="preserve"> </v>
          </cell>
          <cell r="U318"/>
          <cell r="V318" t="str">
            <v xml:space="preserve"> </v>
          </cell>
          <cell r="W318" t="str">
            <v xml:space="preserve"> </v>
          </cell>
          <cell r="X318"/>
          <cell r="Y318" t="str">
            <v xml:space="preserve"> </v>
          </cell>
          <cell r="Z318"/>
          <cell r="AA318" t="str">
            <v xml:space="preserve"> </v>
          </cell>
          <cell r="AB318" t="str">
            <v xml:space="preserve"> </v>
          </cell>
          <cell r="AC318"/>
          <cell r="AD318" t="str">
            <v xml:space="preserve"> </v>
          </cell>
          <cell r="AE318"/>
          <cell r="AF318" t="str">
            <v xml:space="preserve"> </v>
          </cell>
          <cell r="AG318"/>
          <cell r="AH318"/>
          <cell r="AI318"/>
          <cell r="AJ318"/>
          <cell r="AK318" t="str">
            <v/>
          </cell>
          <cell r="AL318"/>
          <cell r="AM318" t="str">
            <v xml:space="preserve"> </v>
          </cell>
          <cell r="AN318" t="str">
            <v xml:space="preserve"> </v>
          </cell>
          <cell r="AO318"/>
          <cell r="AP318" t="str">
            <v xml:space="preserve"> </v>
          </cell>
          <cell r="AQ318"/>
          <cell r="AR318" t="str">
            <v xml:space="preserve"> </v>
          </cell>
          <cell r="AS318" t="str">
            <v xml:space="preserve"> </v>
          </cell>
          <cell r="AT318"/>
          <cell r="AU318" t="str">
            <v xml:space="preserve"> </v>
          </cell>
          <cell r="AV318"/>
          <cell r="AW318"/>
          <cell r="AX318" t="str">
            <v xml:space="preserve"> </v>
          </cell>
          <cell r="AY318"/>
          <cell r="AZ318" t="str">
            <v xml:space="preserve"> </v>
          </cell>
          <cell r="BA318"/>
          <cell r="BB318"/>
          <cell r="BC318" t="str">
            <v xml:space="preserve"> </v>
          </cell>
          <cell r="BD318"/>
          <cell r="BE318" t="str">
            <v xml:space="preserve"> </v>
          </cell>
          <cell r="BF318"/>
          <cell r="BG318"/>
          <cell r="BH318" t="str">
            <v xml:space="preserve"> </v>
          </cell>
          <cell r="BI318"/>
          <cell r="BJ318" t="str">
            <v xml:space="preserve"> </v>
          </cell>
          <cell r="BK318"/>
          <cell r="BL318" t="str">
            <v xml:space="preserve"> </v>
          </cell>
          <cell r="BM318" t="str">
            <v xml:space="preserve"> </v>
          </cell>
          <cell r="BN318"/>
          <cell r="BO318" t="str">
            <v xml:space="preserve"> </v>
          </cell>
        </row>
        <row r="319">
          <cell r="B319">
            <v>46337</v>
          </cell>
          <cell r="C319"/>
          <cell r="D319" t="str">
            <v xml:space="preserve"> </v>
          </cell>
          <cell r="E319" t="str">
            <v xml:space="preserve"> </v>
          </cell>
          <cell r="F319"/>
          <cell r="G319" t="str">
            <v xml:space="preserve"> </v>
          </cell>
          <cell r="H319"/>
          <cell r="I319" t="str">
            <v xml:space="preserve"> </v>
          </cell>
          <cell r="J319" t="str">
            <v xml:space="preserve"> </v>
          </cell>
          <cell r="K319"/>
          <cell r="L319" t="str">
            <v xml:space="preserve"> </v>
          </cell>
          <cell r="M319"/>
          <cell r="N319" t="str">
            <v xml:space="preserve"> </v>
          </cell>
          <cell r="O319" t="str">
            <v xml:space="preserve"> </v>
          </cell>
          <cell r="P319"/>
          <cell r="Q319" t="str">
            <v xml:space="preserve"> </v>
          </cell>
          <cell r="R319"/>
          <cell r="S319" t="str">
            <v xml:space="preserve"> </v>
          </cell>
          <cell r="T319" t="str">
            <v xml:space="preserve"> </v>
          </cell>
          <cell r="U319"/>
          <cell r="V319" t="str">
            <v xml:space="preserve"> </v>
          </cell>
          <cell r="W319" t="str">
            <v xml:space="preserve"> </v>
          </cell>
          <cell r="X319"/>
          <cell r="Y319" t="str">
            <v xml:space="preserve"> </v>
          </cell>
          <cell r="Z319"/>
          <cell r="AA319" t="str">
            <v xml:space="preserve"> </v>
          </cell>
          <cell r="AB319" t="str">
            <v xml:space="preserve"> </v>
          </cell>
          <cell r="AC319"/>
          <cell r="AD319" t="str">
            <v xml:space="preserve"> </v>
          </cell>
          <cell r="AE319"/>
          <cell r="AF319" t="str">
            <v xml:space="preserve"> </v>
          </cell>
          <cell r="AG319"/>
          <cell r="AH319"/>
          <cell r="AI319"/>
          <cell r="AJ319"/>
          <cell r="AK319" t="str">
            <v/>
          </cell>
          <cell r="AL319"/>
          <cell r="AM319" t="str">
            <v xml:space="preserve"> </v>
          </cell>
          <cell r="AN319" t="str">
            <v xml:space="preserve"> </v>
          </cell>
          <cell r="AO319"/>
          <cell r="AP319" t="str">
            <v xml:space="preserve"> </v>
          </cell>
          <cell r="AQ319"/>
          <cell r="AR319" t="str">
            <v xml:space="preserve"> </v>
          </cell>
          <cell r="AS319" t="str">
            <v xml:space="preserve"> </v>
          </cell>
          <cell r="AT319"/>
          <cell r="AU319" t="str">
            <v xml:space="preserve"> </v>
          </cell>
          <cell r="AV319"/>
          <cell r="AW319"/>
          <cell r="AX319" t="str">
            <v xml:space="preserve"> </v>
          </cell>
          <cell r="AY319"/>
          <cell r="AZ319" t="str">
            <v xml:space="preserve"> </v>
          </cell>
          <cell r="BA319"/>
          <cell r="BB319"/>
          <cell r="BC319" t="str">
            <v xml:space="preserve"> </v>
          </cell>
          <cell r="BD319"/>
          <cell r="BE319" t="str">
            <v xml:space="preserve"> </v>
          </cell>
          <cell r="BF319"/>
          <cell r="BG319"/>
          <cell r="BH319" t="str">
            <v xml:space="preserve"> </v>
          </cell>
          <cell r="BI319"/>
          <cell r="BJ319" t="str">
            <v xml:space="preserve"> </v>
          </cell>
          <cell r="BK319"/>
          <cell r="BL319" t="str">
            <v xml:space="preserve"> </v>
          </cell>
          <cell r="BM319" t="str">
            <v xml:space="preserve"> </v>
          </cell>
          <cell r="BN319"/>
          <cell r="BO319" t="str">
            <v xml:space="preserve"> </v>
          </cell>
        </row>
        <row r="320">
          <cell r="B320">
            <v>46338</v>
          </cell>
          <cell r="C320"/>
          <cell r="D320" t="str">
            <v xml:space="preserve"> </v>
          </cell>
          <cell r="E320" t="str">
            <v xml:space="preserve"> </v>
          </cell>
          <cell r="F320"/>
          <cell r="G320" t="str">
            <v xml:space="preserve"> </v>
          </cell>
          <cell r="H320"/>
          <cell r="I320" t="str">
            <v xml:space="preserve"> </v>
          </cell>
          <cell r="J320" t="str">
            <v xml:space="preserve"> </v>
          </cell>
          <cell r="K320"/>
          <cell r="L320" t="str">
            <v xml:space="preserve"> </v>
          </cell>
          <cell r="M320"/>
          <cell r="N320" t="str">
            <v xml:space="preserve"> </v>
          </cell>
          <cell r="O320" t="str">
            <v xml:space="preserve"> </v>
          </cell>
          <cell r="P320"/>
          <cell r="Q320" t="str">
            <v xml:space="preserve"> </v>
          </cell>
          <cell r="R320"/>
          <cell r="S320" t="str">
            <v xml:space="preserve"> </v>
          </cell>
          <cell r="T320" t="str">
            <v xml:space="preserve"> </v>
          </cell>
          <cell r="U320"/>
          <cell r="V320" t="str">
            <v xml:space="preserve"> </v>
          </cell>
          <cell r="W320" t="str">
            <v xml:space="preserve"> </v>
          </cell>
          <cell r="X320"/>
          <cell r="Y320" t="str">
            <v xml:space="preserve"> </v>
          </cell>
          <cell r="Z320"/>
          <cell r="AA320" t="str">
            <v xml:space="preserve"> </v>
          </cell>
          <cell r="AB320" t="str">
            <v xml:space="preserve"> </v>
          </cell>
          <cell r="AC320"/>
          <cell r="AD320" t="str">
            <v xml:space="preserve"> </v>
          </cell>
          <cell r="AE320"/>
          <cell r="AF320" t="str">
            <v xml:space="preserve"> </v>
          </cell>
          <cell r="AG320"/>
          <cell r="AH320"/>
          <cell r="AI320"/>
          <cell r="AJ320"/>
          <cell r="AK320" t="str">
            <v/>
          </cell>
          <cell r="AL320"/>
          <cell r="AM320" t="str">
            <v xml:space="preserve"> </v>
          </cell>
          <cell r="AN320" t="str">
            <v xml:space="preserve"> </v>
          </cell>
          <cell r="AO320"/>
          <cell r="AP320" t="str">
            <v xml:space="preserve"> </v>
          </cell>
          <cell r="AQ320"/>
          <cell r="AR320" t="str">
            <v xml:space="preserve"> </v>
          </cell>
          <cell r="AS320" t="str">
            <v xml:space="preserve"> </v>
          </cell>
          <cell r="AT320"/>
          <cell r="AU320" t="str">
            <v xml:space="preserve"> </v>
          </cell>
          <cell r="AV320"/>
          <cell r="AW320"/>
          <cell r="AX320" t="str">
            <v xml:space="preserve"> </v>
          </cell>
          <cell r="AY320"/>
          <cell r="AZ320" t="str">
            <v xml:space="preserve"> </v>
          </cell>
          <cell r="BA320"/>
          <cell r="BB320"/>
          <cell r="BC320" t="str">
            <v xml:space="preserve"> </v>
          </cell>
          <cell r="BD320"/>
          <cell r="BE320" t="str">
            <v xml:space="preserve"> </v>
          </cell>
          <cell r="BF320"/>
          <cell r="BG320"/>
          <cell r="BH320" t="str">
            <v xml:space="preserve"> </v>
          </cell>
          <cell r="BI320"/>
          <cell r="BJ320" t="str">
            <v xml:space="preserve"> </v>
          </cell>
          <cell r="BK320"/>
          <cell r="BL320" t="str">
            <v xml:space="preserve"> </v>
          </cell>
          <cell r="BM320" t="str">
            <v xml:space="preserve"> </v>
          </cell>
          <cell r="BN320"/>
          <cell r="BO320" t="str">
            <v xml:space="preserve"> </v>
          </cell>
        </row>
        <row r="321">
          <cell r="B321">
            <v>46339</v>
          </cell>
          <cell r="C321"/>
          <cell r="D321" t="str">
            <v xml:space="preserve"> </v>
          </cell>
          <cell r="E321" t="str">
            <v xml:space="preserve"> </v>
          </cell>
          <cell r="F321"/>
          <cell r="G321" t="str">
            <v xml:space="preserve"> </v>
          </cell>
          <cell r="H321"/>
          <cell r="I321" t="str">
            <v xml:space="preserve"> </v>
          </cell>
          <cell r="J321" t="str">
            <v xml:space="preserve"> </v>
          </cell>
          <cell r="K321"/>
          <cell r="L321" t="str">
            <v xml:space="preserve"> </v>
          </cell>
          <cell r="M321"/>
          <cell r="N321" t="str">
            <v xml:space="preserve"> </v>
          </cell>
          <cell r="O321" t="str">
            <v xml:space="preserve"> </v>
          </cell>
          <cell r="P321"/>
          <cell r="Q321" t="str">
            <v xml:space="preserve"> </v>
          </cell>
          <cell r="R321"/>
          <cell r="S321" t="str">
            <v xml:space="preserve"> </v>
          </cell>
          <cell r="T321" t="str">
            <v xml:space="preserve"> </v>
          </cell>
          <cell r="U321"/>
          <cell r="V321" t="str">
            <v xml:space="preserve"> </v>
          </cell>
          <cell r="W321" t="str">
            <v xml:space="preserve"> </v>
          </cell>
          <cell r="X321"/>
          <cell r="Y321" t="str">
            <v xml:space="preserve"> </v>
          </cell>
          <cell r="Z321"/>
          <cell r="AA321" t="str">
            <v xml:space="preserve"> </v>
          </cell>
          <cell r="AB321" t="str">
            <v xml:space="preserve"> </v>
          </cell>
          <cell r="AC321"/>
          <cell r="AD321" t="str">
            <v xml:space="preserve"> </v>
          </cell>
          <cell r="AE321"/>
          <cell r="AF321" t="str">
            <v xml:space="preserve"> </v>
          </cell>
          <cell r="AG321"/>
          <cell r="AH321"/>
          <cell r="AI321"/>
          <cell r="AJ321"/>
          <cell r="AK321" t="str">
            <v/>
          </cell>
          <cell r="AL321"/>
          <cell r="AM321" t="str">
            <v xml:space="preserve"> </v>
          </cell>
          <cell r="AN321" t="str">
            <v xml:space="preserve"> </v>
          </cell>
          <cell r="AO321"/>
          <cell r="AP321" t="str">
            <v xml:space="preserve"> </v>
          </cell>
          <cell r="AQ321"/>
          <cell r="AR321" t="str">
            <v xml:space="preserve"> </v>
          </cell>
          <cell r="AS321" t="str">
            <v xml:space="preserve"> </v>
          </cell>
          <cell r="AT321"/>
          <cell r="AU321" t="str">
            <v xml:space="preserve"> </v>
          </cell>
          <cell r="AV321"/>
          <cell r="AW321"/>
          <cell r="AX321" t="str">
            <v xml:space="preserve"> </v>
          </cell>
          <cell r="AY321"/>
          <cell r="AZ321" t="str">
            <v xml:space="preserve"> </v>
          </cell>
          <cell r="BA321"/>
          <cell r="BB321"/>
          <cell r="BC321" t="str">
            <v xml:space="preserve"> </v>
          </cell>
          <cell r="BD321"/>
          <cell r="BE321" t="str">
            <v xml:space="preserve"> </v>
          </cell>
          <cell r="BF321"/>
          <cell r="BG321"/>
          <cell r="BH321" t="str">
            <v xml:space="preserve"> </v>
          </cell>
          <cell r="BI321"/>
          <cell r="BJ321" t="str">
            <v xml:space="preserve"> </v>
          </cell>
          <cell r="BK321"/>
          <cell r="BL321" t="str">
            <v xml:space="preserve"> </v>
          </cell>
          <cell r="BM321" t="str">
            <v xml:space="preserve"> </v>
          </cell>
          <cell r="BN321"/>
          <cell r="BO321" t="str">
            <v xml:space="preserve"> </v>
          </cell>
        </row>
        <row r="322">
          <cell r="B322">
            <v>46340</v>
          </cell>
          <cell r="C322"/>
          <cell r="D322" t="str">
            <v xml:space="preserve"> </v>
          </cell>
          <cell r="E322" t="str">
            <v xml:space="preserve"> </v>
          </cell>
          <cell r="F322"/>
          <cell r="G322" t="str">
            <v xml:space="preserve"> </v>
          </cell>
          <cell r="H322"/>
          <cell r="I322" t="str">
            <v xml:space="preserve"> </v>
          </cell>
          <cell r="J322" t="str">
            <v xml:space="preserve"> </v>
          </cell>
          <cell r="K322"/>
          <cell r="L322" t="str">
            <v xml:space="preserve"> </v>
          </cell>
          <cell r="M322"/>
          <cell r="N322" t="str">
            <v xml:space="preserve"> </v>
          </cell>
          <cell r="O322" t="str">
            <v xml:space="preserve"> </v>
          </cell>
          <cell r="P322"/>
          <cell r="Q322" t="str">
            <v xml:space="preserve"> </v>
          </cell>
          <cell r="R322"/>
          <cell r="S322" t="str">
            <v xml:space="preserve"> </v>
          </cell>
          <cell r="T322" t="str">
            <v xml:space="preserve"> </v>
          </cell>
          <cell r="U322"/>
          <cell r="V322" t="str">
            <v xml:space="preserve"> </v>
          </cell>
          <cell r="W322" t="str">
            <v xml:space="preserve"> </v>
          </cell>
          <cell r="X322"/>
          <cell r="Y322" t="str">
            <v xml:space="preserve"> </v>
          </cell>
          <cell r="Z322"/>
          <cell r="AA322" t="str">
            <v xml:space="preserve"> </v>
          </cell>
          <cell r="AB322" t="str">
            <v xml:space="preserve"> </v>
          </cell>
          <cell r="AC322"/>
          <cell r="AD322" t="str">
            <v xml:space="preserve"> </v>
          </cell>
          <cell r="AE322"/>
          <cell r="AF322" t="str">
            <v xml:space="preserve"> </v>
          </cell>
          <cell r="AG322"/>
          <cell r="AH322"/>
          <cell r="AI322"/>
          <cell r="AJ322"/>
          <cell r="AK322" t="str">
            <v/>
          </cell>
          <cell r="AL322"/>
          <cell r="AM322" t="str">
            <v xml:space="preserve"> </v>
          </cell>
          <cell r="AN322" t="str">
            <v xml:space="preserve"> </v>
          </cell>
          <cell r="AO322"/>
          <cell r="AP322" t="str">
            <v xml:space="preserve"> </v>
          </cell>
          <cell r="AQ322"/>
          <cell r="AR322" t="str">
            <v xml:space="preserve"> </v>
          </cell>
          <cell r="AS322" t="str">
            <v xml:space="preserve"> </v>
          </cell>
          <cell r="AT322"/>
          <cell r="AU322" t="str">
            <v xml:space="preserve"> </v>
          </cell>
          <cell r="AV322"/>
          <cell r="AW322"/>
          <cell r="AX322" t="str">
            <v xml:space="preserve"> </v>
          </cell>
          <cell r="AY322"/>
          <cell r="AZ322" t="str">
            <v xml:space="preserve"> </v>
          </cell>
          <cell r="BA322"/>
          <cell r="BB322"/>
          <cell r="BC322" t="str">
            <v xml:space="preserve"> </v>
          </cell>
          <cell r="BD322"/>
          <cell r="BE322" t="str">
            <v xml:space="preserve"> </v>
          </cell>
          <cell r="BF322"/>
          <cell r="BG322"/>
          <cell r="BH322" t="str">
            <v xml:space="preserve"> </v>
          </cell>
          <cell r="BI322"/>
          <cell r="BJ322" t="str">
            <v xml:space="preserve"> </v>
          </cell>
          <cell r="BK322"/>
          <cell r="BL322" t="str">
            <v xml:space="preserve"> </v>
          </cell>
          <cell r="BM322" t="str">
            <v xml:space="preserve"> </v>
          </cell>
          <cell r="BN322"/>
          <cell r="BO322" t="str">
            <v xml:space="preserve"> </v>
          </cell>
        </row>
        <row r="323">
          <cell r="B323">
            <v>46341</v>
          </cell>
          <cell r="C323"/>
          <cell r="D323" t="str">
            <v xml:space="preserve"> </v>
          </cell>
          <cell r="E323" t="str">
            <v xml:space="preserve"> </v>
          </cell>
          <cell r="F323"/>
          <cell r="G323" t="str">
            <v xml:space="preserve"> </v>
          </cell>
          <cell r="H323"/>
          <cell r="I323" t="str">
            <v xml:space="preserve"> </v>
          </cell>
          <cell r="J323" t="str">
            <v xml:space="preserve"> </v>
          </cell>
          <cell r="K323"/>
          <cell r="L323" t="str">
            <v xml:space="preserve"> </v>
          </cell>
          <cell r="M323"/>
          <cell r="N323" t="str">
            <v xml:space="preserve"> </v>
          </cell>
          <cell r="O323" t="str">
            <v xml:space="preserve"> </v>
          </cell>
          <cell r="P323"/>
          <cell r="Q323" t="str">
            <v xml:space="preserve"> </v>
          </cell>
          <cell r="R323"/>
          <cell r="S323" t="str">
            <v xml:space="preserve"> </v>
          </cell>
          <cell r="T323" t="str">
            <v xml:space="preserve"> </v>
          </cell>
          <cell r="U323"/>
          <cell r="V323" t="str">
            <v xml:space="preserve"> </v>
          </cell>
          <cell r="W323" t="str">
            <v xml:space="preserve"> </v>
          </cell>
          <cell r="X323"/>
          <cell r="Y323" t="str">
            <v xml:space="preserve"> </v>
          </cell>
          <cell r="Z323"/>
          <cell r="AA323" t="str">
            <v xml:space="preserve"> </v>
          </cell>
          <cell r="AB323" t="str">
            <v xml:space="preserve"> </v>
          </cell>
          <cell r="AC323"/>
          <cell r="AD323" t="str">
            <v xml:space="preserve"> </v>
          </cell>
          <cell r="AE323"/>
          <cell r="AF323" t="str">
            <v xml:space="preserve"> </v>
          </cell>
          <cell r="AG323"/>
          <cell r="AH323"/>
          <cell r="AI323"/>
          <cell r="AJ323"/>
          <cell r="AK323" t="str">
            <v/>
          </cell>
          <cell r="AL323"/>
          <cell r="AM323" t="str">
            <v xml:space="preserve"> </v>
          </cell>
          <cell r="AN323" t="str">
            <v xml:space="preserve"> </v>
          </cell>
          <cell r="AO323"/>
          <cell r="AP323" t="str">
            <v xml:space="preserve"> </v>
          </cell>
          <cell r="AQ323"/>
          <cell r="AR323" t="str">
            <v xml:space="preserve"> </v>
          </cell>
          <cell r="AS323" t="str">
            <v xml:space="preserve"> </v>
          </cell>
          <cell r="AT323"/>
          <cell r="AU323" t="str">
            <v xml:space="preserve"> </v>
          </cell>
          <cell r="AV323"/>
          <cell r="AW323"/>
          <cell r="AX323" t="str">
            <v xml:space="preserve"> </v>
          </cell>
          <cell r="AY323"/>
          <cell r="AZ323" t="str">
            <v xml:space="preserve"> </v>
          </cell>
          <cell r="BA323"/>
          <cell r="BB323"/>
          <cell r="BC323" t="str">
            <v xml:space="preserve"> </v>
          </cell>
          <cell r="BD323"/>
          <cell r="BE323" t="str">
            <v xml:space="preserve"> </v>
          </cell>
          <cell r="BF323"/>
          <cell r="BG323"/>
          <cell r="BH323" t="str">
            <v xml:space="preserve"> </v>
          </cell>
          <cell r="BI323"/>
          <cell r="BJ323" t="str">
            <v xml:space="preserve"> </v>
          </cell>
          <cell r="BK323"/>
          <cell r="BL323" t="str">
            <v xml:space="preserve"> </v>
          </cell>
          <cell r="BM323" t="str">
            <v xml:space="preserve"> </v>
          </cell>
          <cell r="BN323"/>
          <cell r="BO323" t="str">
            <v xml:space="preserve"> </v>
          </cell>
        </row>
        <row r="324">
          <cell r="B324">
            <v>46342</v>
          </cell>
          <cell r="C324"/>
          <cell r="D324" t="str">
            <v xml:space="preserve"> </v>
          </cell>
          <cell r="E324" t="str">
            <v xml:space="preserve"> </v>
          </cell>
          <cell r="F324"/>
          <cell r="G324" t="str">
            <v xml:space="preserve"> </v>
          </cell>
          <cell r="H324"/>
          <cell r="I324" t="str">
            <v xml:space="preserve"> </v>
          </cell>
          <cell r="J324" t="str">
            <v xml:space="preserve"> </v>
          </cell>
          <cell r="K324"/>
          <cell r="L324" t="str">
            <v xml:space="preserve"> </v>
          </cell>
          <cell r="M324"/>
          <cell r="N324" t="str">
            <v xml:space="preserve"> </v>
          </cell>
          <cell r="O324" t="str">
            <v xml:space="preserve"> </v>
          </cell>
          <cell r="P324"/>
          <cell r="Q324" t="str">
            <v xml:space="preserve"> </v>
          </cell>
          <cell r="R324"/>
          <cell r="S324" t="str">
            <v xml:space="preserve"> </v>
          </cell>
          <cell r="T324" t="str">
            <v xml:space="preserve"> </v>
          </cell>
          <cell r="U324"/>
          <cell r="V324" t="str">
            <v xml:space="preserve"> </v>
          </cell>
          <cell r="W324" t="str">
            <v xml:space="preserve"> </v>
          </cell>
          <cell r="X324"/>
          <cell r="Y324" t="str">
            <v xml:space="preserve"> </v>
          </cell>
          <cell r="Z324"/>
          <cell r="AA324" t="str">
            <v xml:space="preserve"> </v>
          </cell>
          <cell r="AB324" t="str">
            <v xml:space="preserve"> </v>
          </cell>
          <cell r="AC324"/>
          <cell r="AD324" t="str">
            <v xml:space="preserve"> </v>
          </cell>
          <cell r="AE324"/>
          <cell r="AF324" t="str">
            <v xml:space="preserve"> </v>
          </cell>
          <cell r="AG324"/>
          <cell r="AH324"/>
          <cell r="AI324"/>
          <cell r="AJ324"/>
          <cell r="AK324" t="str">
            <v/>
          </cell>
          <cell r="AL324"/>
          <cell r="AM324" t="str">
            <v xml:space="preserve"> </v>
          </cell>
          <cell r="AN324" t="str">
            <v xml:space="preserve"> </v>
          </cell>
          <cell r="AO324"/>
          <cell r="AP324" t="str">
            <v xml:space="preserve"> </v>
          </cell>
          <cell r="AQ324"/>
          <cell r="AR324" t="str">
            <v xml:space="preserve"> </v>
          </cell>
          <cell r="AS324" t="str">
            <v xml:space="preserve"> </v>
          </cell>
          <cell r="AT324"/>
          <cell r="AU324" t="str">
            <v xml:space="preserve"> </v>
          </cell>
          <cell r="AV324"/>
          <cell r="AW324"/>
          <cell r="AX324" t="str">
            <v xml:space="preserve"> </v>
          </cell>
          <cell r="AY324"/>
          <cell r="AZ324" t="str">
            <v xml:space="preserve"> </v>
          </cell>
          <cell r="BA324"/>
          <cell r="BB324"/>
          <cell r="BC324" t="str">
            <v xml:space="preserve"> </v>
          </cell>
          <cell r="BD324"/>
          <cell r="BE324" t="str">
            <v xml:space="preserve"> </v>
          </cell>
          <cell r="BF324"/>
          <cell r="BG324"/>
          <cell r="BH324" t="str">
            <v xml:space="preserve"> </v>
          </cell>
          <cell r="BI324"/>
          <cell r="BJ324" t="str">
            <v xml:space="preserve"> </v>
          </cell>
          <cell r="BK324"/>
          <cell r="BL324" t="str">
            <v xml:space="preserve"> </v>
          </cell>
          <cell r="BM324" t="str">
            <v xml:space="preserve"> </v>
          </cell>
          <cell r="BN324"/>
          <cell r="BO324" t="str">
            <v xml:space="preserve"> </v>
          </cell>
        </row>
        <row r="325">
          <cell r="B325">
            <v>46343</v>
          </cell>
          <cell r="C325"/>
          <cell r="D325" t="str">
            <v xml:space="preserve"> </v>
          </cell>
          <cell r="E325" t="str">
            <v xml:space="preserve"> </v>
          </cell>
          <cell r="F325"/>
          <cell r="G325" t="str">
            <v xml:space="preserve"> </v>
          </cell>
          <cell r="H325"/>
          <cell r="I325" t="str">
            <v xml:space="preserve"> </v>
          </cell>
          <cell r="J325" t="str">
            <v xml:space="preserve"> </v>
          </cell>
          <cell r="K325"/>
          <cell r="L325" t="str">
            <v xml:space="preserve"> </v>
          </cell>
          <cell r="M325"/>
          <cell r="N325" t="str">
            <v xml:space="preserve"> </v>
          </cell>
          <cell r="O325" t="str">
            <v xml:space="preserve"> </v>
          </cell>
          <cell r="P325"/>
          <cell r="Q325" t="str">
            <v xml:space="preserve"> </v>
          </cell>
          <cell r="R325"/>
          <cell r="S325" t="str">
            <v xml:space="preserve"> </v>
          </cell>
          <cell r="T325" t="str">
            <v xml:space="preserve"> </v>
          </cell>
          <cell r="U325"/>
          <cell r="V325" t="str">
            <v xml:space="preserve"> </v>
          </cell>
          <cell r="W325" t="str">
            <v xml:space="preserve"> </v>
          </cell>
          <cell r="X325"/>
          <cell r="Y325" t="str">
            <v xml:space="preserve"> </v>
          </cell>
          <cell r="Z325"/>
          <cell r="AA325" t="str">
            <v xml:space="preserve"> </v>
          </cell>
          <cell r="AB325" t="str">
            <v xml:space="preserve"> </v>
          </cell>
          <cell r="AC325"/>
          <cell r="AD325" t="str">
            <v xml:space="preserve"> </v>
          </cell>
          <cell r="AE325"/>
          <cell r="AF325" t="str">
            <v xml:space="preserve"> </v>
          </cell>
          <cell r="AG325"/>
          <cell r="AH325"/>
          <cell r="AI325"/>
          <cell r="AJ325"/>
          <cell r="AK325" t="str">
            <v/>
          </cell>
          <cell r="AL325"/>
          <cell r="AM325" t="str">
            <v xml:space="preserve"> </v>
          </cell>
          <cell r="AN325" t="str">
            <v xml:space="preserve"> </v>
          </cell>
          <cell r="AO325"/>
          <cell r="AP325" t="str">
            <v xml:space="preserve"> </v>
          </cell>
          <cell r="AQ325"/>
          <cell r="AR325" t="str">
            <v xml:space="preserve"> </v>
          </cell>
          <cell r="AS325" t="str">
            <v xml:space="preserve"> </v>
          </cell>
          <cell r="AT325"/>
          <cell r="AU325" t="str">
            <v xml:space="preserve"> </v>
          </cell>
          <cell r="AV325"/>
          <cell r="AW325"/>
          <cell r="AX325" t="str">
            <v xml:space="preserve"> </v>
          </cell>
          <cell r="AY325"/>
          <cell r="AZ325" t="str">
            <v xml:space="preserve"> </v>
          </cell>
          <cell r="BA325"/>
          <cell r="BB325"/>
          <cell r="BC325" t="str">
            <v xml:space="preserve"> </v>
          </cell>
          <cell r="BD325"/>
          <cell r="BE325" t="str">
            <v xml:space="preserve"> </v>
          </cell>
          <cell r="BF325"/>
          <cell r="BG325"/>
          <cell r="BH325" t="str">
            <v xml:space="preserve"> </v>
          </cell>
          <cell r="BI325"/>
          <cell r="BJ325" t="str">
            <v xml:space="preserve"> </v>
          </cell>
          <cell r="BK325"/>
          <cell r="BL325" t="str">
            <v xml:space="preserve"> </v>
          </cell>
          <cell r="BM325" t="str">
            <v xml:space="preserve"> </v>
          </cell>
          <cell r="BN325"/>
          <cell r="BO325" t="str">
            <v xml:space="preserve"> </v>
          </cell>
        </row>
        <row r="326">
          <cell r="B326">
            <v>46344</v>
          </cell>
          <cell r="C326"/>
          <cell r="D326" t="str">
            <v xml:space="preserve"> </v>
          </cell>
          <cell r="E326" t="str">
            <v xml:space="preserve"> </v>
          </cell>
          <cell r="F326"/>
          <cell r="G326" t="str">
            <v xml:space="preserve"> </v>
          </cell>
          <cell r="H326"/>
          <cell r="I326" t="str">
            <v xml:space="preserve"> </v>
          </cell>
          <cell r="J326" t="str">
            <v xml:space="preserve"> </v>
          </cell>
          <cell r="K326"/>
          <cell r="L326" t="str">
            <v xml:space="preserve"> </v>
          </cell>
          <cell r="M326"/>
          <cell r="N326" t="str">
            <v xml:space="preserve"> </v>
          </cell>
          <cell r="O326" t="str">
            <v xml:space="preserve"> </v>
          </cell>
          <cell r="P326"/>
          <cell r="Q326" t="str">
            <v xml:space="preserve"> </v>
          </cell>
          <cell r="R326"/>
          <cell r="S326" t="str">
            <v xml:space="preserve"> </v>
          </cell>
          <cell r="T326" t="str">
            <v xml:space="preserve"> </v>
          </cell>
          <cell r="U326"/>
          <cell r="V326" t="str">
            <v xml:space="preserve"> </v>
          </cell>
          <cell r="W326" t="str">
            <v xml:space="preserve"> </v>
          </cell>
          <cell r="X326"/>
          <cell r="Y326" t="str">
            <v xml:space="preserve"> </v>
          </cell>
          <cell r="Z326"/>
          <cell r="AA326" t="str">
            <v xml:space="preserve"> </v>
          </cell>
          <cell r="AB326" t="str">
            <v xml:space="preserve"> </v>
          </cell>
          <cell r="AC326"/>
          <cell r="AD326" t="str">
            <v xml:space="preserve"> </v>
          </cell>
          <cell r="AE326"/>
          <cell r="AF326" t="str">
            <v xml:space="preserve"> </v>
          </cell>
          <cell r="AG326"/>
          <cell r="AH326"/>
          <cell r="AI326"/>
          <cell r="AJ326"/>
          <cell r="AK326" t="str">
            <v/>
          </cell>
          <cell r="AL326"/>
          <cell r="AM326" t="str">
            <v xml:space="preserve"> </v>
          </cell>
          <cell r="AN326" t="str">
            <v xml:space="preserve"> </v>
          </cell>
          <cell r="AO326"/>
          <cell r="AP326" t="str">
            <v xml:space="preserve"> </v>
          </cell>
          <cell r="AQ326"/>
          <cell r="AR326" t="str">
            <v xml:space="preserve"> </v>
          </cell>
          <cell r="AS326" t="str">
            <v xml:space="preserve"> </v>
          </cell>
          <cell r="AT326"/>
          <cell r="AU326" t="str">
            <v xml:space="preserve"> </v>
          </cell>
          <cell r="AV326"/>
          <cell r="AW326"/>
          <cell r="AX326" t="str">
            <v xml:space="preserve"> </v>
          </cell>
          <cell r="AY326"/>
          <cell r="AZ326" t="str">
            <v xml:space="preserve"> </v>
          </cell>
          <cell r="BA326"/>
          <cell r="BB326"/>
          <cell r="BC326" t="str">
            <v xml:space="preserve"> </v>
          </cell>
          <cell r="BD326"/>
          <cell r="BE326" t="str">
            <v xml:space="preserve"> </v>
          </cell>
          <cell r="BF326"/>
          <cell r="BG326"/>
          <cell r="BH326" t="str">
            <v xml:space="preserve"> </v>
          </cell>
          <cell r="BI326"/>
          <cell r="BJ326" t="str">
            <v xml:space="preserve"> </v>
          </cell>
          <cell r="BK326"/>
          <cell r="BL326" t="str">
            <v xml:space="preserve"> </v>
          </cell>
          <cell r="BM326" t="str">
            <v xml:space="preserve"> </v>
          </cell>
          <cell r="BN326"/>
          <cell r="BO326" t="str">
            <v xml:space="preserve"> </v>
          </cell>
        </row>
        <row r="327">
          <cell r="B327">
            <v>46345</v>
          </cell>
          <cell r="C327"/>
          <cell r="D327" t="str">
            <v xml:space="preserve"> </v>
          </cell>
          <cell r="E327" t="str">
            <v xml:space="preserve"> </v>
          </cell>
          <cell r="F327"/>
          <cell r="G327" t="str">
            <v xml:space="preserve"> </v>
          </cell>
          <cell r="H327"/>
          <cell r="I327" t="str">
            <v xml:space="preserve"> </v>
          </cell>
          <cell r="J327" t="str">
            <v xml:space="preserve"> </v>
          </cell>
          <cell r="K327"/>
          <cell r="L327" t="str">
            <v xml:space="preserve"> </v>
          </cell>
          <cell r="M327"/>
          <cell r="N327" t="str">
            <v xml:space="preserve"> </v>
          </cell>
          <cell r="O327" t="str">
            <v xml:space="preserve"> </v>
          </cell>
          <cell r="P327"/>
          <cell r="Q327" t="str">
            <v xml:space="preserve"> </v>
          </cell>
          <cell r="R327"/>
          <cell r="S327" t="str">
            <v xml:space="preserve"> </v>
          </cell>
          <cell r="T327" t="str">
            <v xml:space="preserve"> </v>
          </cell>
          <cell r="U327"/>
          <cell r="V327" t="str">
            <v xml:space="preserve"> </v>
          </cell>
          <cell r="W327" t="str">
            <v xml:space="preserve"> </v>
          </cell>
          <cell r="X327"/>
          <cell r="Y327" t="str">
            <v xml:space="preserve"> </v>
          </cell>
          <cell r="Z327"/>
          <cell r="AA327" t="str">
            <v xml:space="preserve"> </v>
          </cell>
          <cell r="AB327" t="str">
            <v xml:space="preserve"> </v>
          </cell>
          <cell r="AC327"/>
          <cell r="AD327" t="str">
            <v xml:space="preserve"> </v>
          </cell>
          <cell r="AE327"/>
          <cell r="AF327" t="str">
            <v xml:space="preserve"> </v>
          </cell>
          <cell r="AG327"/>
          <cell r="AH327"/>
          <cell r="AI327"/>
          <cell r="AJ327"/>
          <cell r="AK327" t="str">
            <v/>
          </cell>
          <cell r="AL327"/>
          <cell r="AM327" t="str">
            <v xml:space="preserve"> </v>
          </cell>
          <cell r="AN327" t="str">
            <v xml:space="preserve"> </v>
          </cell>
          <cell r="AO327"/>
          <cell r="AP327" t="str">
            <v xml:space="preserve"> </v>
          </cell>
          <cell r="AQ327"/>
          <cell r="AR327" t="str">
            <v xml:space="preserve"> </v>
          </cell>
          <cell r="AS327" t="str">
            <v xml:space="preserve"> </v>
          </cell>
          <cell r="AT327"/>
          <cell r="AU327" t="str">
            <v xml:space="preserve"> </v>
          </cell>
          <cell r="AV327"/>
          <cell r="AW327"/>
          <cell r="AX327" t="str">
            <v xml:space="preserve"> </v>
          </cell>
          <cell r="AY327"/>
          <cell r="AZ327" t="str">
            <v xml:space="preserve"> </v>
          </cell>
          <cell r="BA327"/>
          <cell r="BB327"/>
          <cell r="BC327" t="str">
            <v xml:space="preserve"> </v>
          </cell>
          <cell r="BD327"/>
          <cell r="BE327" t="str">
            <v xml:space="preserve"> </v>
          </cell>
          <cell r="BF327"/>
          <cell r="BG327"/>
          <cell r="BH327" t="str">
            <v xml:space="preserve"> </v>
          </cell>
          <cell r="BI327"/>
          <cell r="BJ327" t="str">
            <v xml:space="preserve"> </v>
          </cell>
          <cell r="BK327"/>
          <cell r="BL327" t="str">
            <v xml:space="preserve"> </v>
          </cell>
          <cell r="BM327" t="str">
            <v xml:space="preserve"> </v>
          </cell>
          <cell r="BN327"/>
          <cell r="BO327" t="str">
            <v xml:space="preserve"> </v>
          </cell>
        </row>
        <row r="328">
          <cell r="B328">
            <v>46346</v>
          </cell>
          <cell r="C328"/>
          <cell r="D328" t="str">
            <v xml:space="preserve"> </v>
          </cell>
          <cell r="E328" t="str">
            <v xml:space="preserve"> </v>
          </cell>
          <cell r="F328"/>
          <cell r="G328" t="str">
            <v xml:space="preserve"> </v>
          </cell>
          <cell r="H328"/>
          <cell r="I328" t="str">
            <v xml:space="preserve"> </v>
          </cell>
          <cell r="J328" t="str">
            <v xml:space="preserve"> </v>
          </cell>
          <cell r="K328"/>
          <cell r="L328" t="str">
            <v xml:space="preserve"> </v>
          </cell>
          <cell r="M328"/>
          <cell r="N328" t="str">
            <v xml:space="preserve"> </v>
          </cell>
          <cell r="O328" t="str">
            <v xml:space="preserve"> </v>
          </cell>
          <cell r="P328"/>
          <cell r="Q328" t="str">
            <v xml:space="preserve"> </v>
          </cell>
          <cell r="R328"/>
          <cell r="S328" t="str">
            <v xml:space="preserve"> </v>
          </cell>
          <cell r="T328" t="str">
            <v xml:space="preserve"> </v>
          </cell>
          <cell r="U328"/>
          <cell r="V328" t="str">
            <v xml:space="preserve"> </v>
          </cell>
          <cell r="W328" t="str">
            <v xml:space="preserve"> </v>
          </cell>
          <cell r="X328"/>
          <cell r="Y328" t="str">
            <v xml:space="preserve"> </v>
          </cell>
          <cell r="Z328"/>
          <cell r="AA328" t="str">
            <v xml:space="preserve"> </v>
          </cell>
          <cell r="AB328" t="str">
            <v xml:space="preserve"> </v>
          </cell>
          <cell r="AC328"/>
          <cell r="AD328" t="str">
            <v xml:space="preserve"> </v>
          </cell>
          <cell r="AE328"/>
          <cell r="AF328" t="str">
            <v xml:space="preserve"> </v>
          </cell>
          <cell r="AG328"/>
          <cell r="AH328"/>
          <cell r="AI328"/>
          <cell r="AJ328"/>
          <cell r="AK328" t="str">
            <v/>
          </cell>
          <cell r="AL328"/>
          <cell r="AM328" t="str">
            <v xml:space="preserve"> </v>
          </cell>
          <cell r="AN328" t="str">
            <v xml:space="preserve"> </v>
          </cell>
          <cell r="AO328"/>
          <cell r="AP328" t="str">
            <v xml:space="preserve"> </v>
          </cell>
          <cell r="AQ328"/>
          <cell r="AR328" t="str">
            <v xml:space="preserve"> </v>
          </cell>
          <cell r="AS328" t="str">
            <v xml:space="preserve"> </v>
          </cell>
          <cell r="AT328"/>
          <cell r="AU328" t="str">
            <v xml:space="preserve"> </v>
          </cell>
          <cell r="AV328"/>
          <cell r="AW328"/>
          <cell r="AX328" t="str">
            <v xml:space="preserve"> </v>
          </cell>
          <cell r="AY328"/>
          <cell r="AZ328" t="str">
            <v xml:space="preserve"> </v>
          </cell>
          <cell r="BA328"/>
          <cell r="BB328"/>
          <cell r="BC328" t="str">
            <v xml:space="preserve"> </v>
          </cell>
          <cell r="BD328"/>
          <cell r="BE328" t="str">
            <v xml:space="preserve"> </v>
          </cell>
          <cell r="BF328"/>
          <cell r="BG328"/>
          <cell r="BH328" t="str">
            <v xml:space="preserve"> </v>
          </cell>
          <cell r="BI328"/>
          <cell r="BJ328" t="str">
            <v xml:space="preserve"> </v>
          </cell>
          <cell r="BK328"/>
          <cell r="BL328" t="str">
            <v xml:space="preserve"> </v>
          </cell>
          <cell r="BM328" t="str">
            <v xml:space="preserve"> </v>
          </cell>
          <cell r="BN328"/>
          <cell r="BO328" t="str">
            <v xml:space="preserve"> </v>
          </cell>
        </row>
        <row r="329">
          <cell r="B329">
            <v>46347</v>
          </cell>
          <cell r="C329"/>
          <cell r="D329" t="str">
            <v xml:space="preserve"> </v>
          </cell>
          <cell r="E329" t="str">
            <v xml:space="preserve"> </v>
          </cell>
          <cell r="F329"/>
          <cell r="G329" t="str">
            <v xml:space="preserve"> </v>
          </cell>
          <cell r="H329"/>
          <cell r="I329" t="str">
            <v xml:space="preserve"> </v>
          </cell>
          <cell r="J329" t="str">
            <v xml:space="preserve"> </v>
          </cell>
          <cell r="K329"/>
          <cell r="L329" t="str">
            <v xml:space="preserve"> </v>
          </cell>
          <cell r="M329"/>
          <cell r="N329" t="str">
            <v xml:space="preserve"> </v>
          </cell>
          <cell r="O329" t="str">
            <v xml:space="preserve"> </v>
          </cell>
          <cell r="P329"/>
          <cell r="Q329" t="str">
            <v xml:space="preserve"> </v>
          </cell>
          <cell r="R329"/>
          <cell r="S329" t="str">
            <v xml:space="preserve"> </v>
          </cell>
          <cell r="T329" t="str">
            <v xml:space="preserve"> </v>
          </cell>
          <cell r="U329"/>
          <cell r="V329" t="str">
            <v xml:space="preserve"> </v>
          </cell>
          <cell r="W329" t="str">
            <v xml:space="preserve"> </v>
          </cell>
          <cell r="X329"/>
          <cell r="Y329" t="str">
            <v xml:space="preserve"> </v>
          </cell>
          <cell r="Z329"/>
          <cell r="AA329" t="str">
            <v xml:space="preserve"> </v>
          </cell>
          <cell r="AB329" t="str">
            <v xml:space="preserve"> </v>
          </cell>
          <cell r="AC329"/>
          <cell r="AD329" t="str">
            <v xml:space="preserve"> </v>
          </cell>
          <cell r="AE329"/>
          <cell r="AF329" t="str">
            <v xml:space="preserve"> </v>
          </cell>
          <cell r="AG329"/>
          <cell r="AH329"/>
          <cell r="AI329"/>
          <cell r="AJ329"/>
          <cell r="AK329" t="str">
            <v/>
          </cell>
          <cell r="AL329"/>
          <cell r="AM329" t="str">
            <v xml:space="preserve"> </v>
          </cell>
          <cell r="AN329" t="str">
            <v xml:space="preserve"> </v>
          </cell>
          <cell r="AO329"/>
          <cell r="AP329" t="str">
            <v xml:space="preserve"> </v>
          </cell>
          <cell r="AQ329"/>
          <cell r="AR329" t="str">
            <v xml:space="preserve"> </v>
          </cell>
          <cell r="AS329" t="str">
            <v xml:space="preserve"> </v>
          </cell>
          <cell r="AT329"/>
          <cell r="AU329" t="str">
            <v xml:space="preserve"> </v>
          </cell>
          <cell r="AV329"/>
          <cell r="AW329"/>
          <cell r="AX329" t="str">
            <v xml:space="preserve"> </v>
          </cell>
          <cell r="AY329"/>
          <cell r="AZ329" t="str">
            <v xml:space="preserve"> </v>
          </cell>
          <cell r="BA329"/>
          <cell r="BB329"/>
          <cell r="BC329" t="str">
            <v xml:space="preserve"> </v>
          </cell>
          <cell r="BD329"/>
          <cell r="BE329" t="str">
            <v xml:space="preserve"> </v>
          </cell>
          <cell r="BF329"/>
          <cell r="BG329"/>
          <cell r="BH329" t="str">
            <v xml:space="preserve"> </v>
          </cell>
          <cell r="BI329"/>
          <cell r="BJ329" t="str">
            <v xml:space="preserve"> </v>
          </cell>
          <cell r="BK329"/>
          <cell r="BL329" t="str">
            <v xml:space="preserve"> </v>
          </cell>
          <cell r="BM329" t="str">
            <v xml:space="preserve"> </v>
          </cell>
          <cell r="BN329"/>
          <cell r="BO329" t="str">
            <v xml:space="preserve"> </v>
          </cell>
        </row>
        <row r="330">
          <cell r="B330">
            <v>46348</v>
          </cell>
          <cell r="C330"/>
          <cell r="D330" t="str">
            <v xml:space="preserve"> </v>
          </cell>
          <cell r="E330" t="str">
            <v xml:space="preserve"> </v>
          </cell>
          <cell r="F330"/>
          <cell r="G330" t="str">
            <v xml:space="preserve"> </v>
          </cell>
          <cell r="H330"/>
          <cell r="I330" t="str">
            <v xml:space="preserve"> </v>
          </cell>
          <cell r="J330" t="str">
            <v xml:space="preserve"> </v>
          </cell>
          <cell r="K330"/>
          <cell r="L330" t="str">
            <v xml:space="preserve"> </v>
          </cell>
          <cell r="M330"/>
          <cell r="N330" t="str">
            <v xml:space="preserve"> </v>
          </cell>
          <cell r="O330" t="str">
            <v xml:space="preserve"> </v>
          </cell>
          <cell r="P330"/>
          <cell r="Q330" t="str">
            <v xml:space="preserve"> </v>
          </cell>
          <cell r="R330"/>
          <cell r="S330" t="str">
            <v xml:space="preserve"> </v>
          </cell>
          <cell r="T330" t="str">
            <v xml:space="preserve"> </v>
          </cell>
          <cell r="U330"/>
          <cell r="V330" t="str">
            <v xml:space="preserve"> </v>
          </cell>
          <cell r="W330" t="str">
            <v xml:space="preserve"> </v>
          </cell>
          <cell r="X330"/>
          <cell r="Y330" t="str">
            <v xml:space="preserve"> </v>
          </cell>
          <cell r="Z330"/>
          <cell r="AA330" t="str">
            <v xml:space="preserve"> </v>
          </cell>
          <cell r="AB330" t="str">
            <v xml:space="preserve"> </v>
          </cell>
          <cell r="AC330"/>
          <cell r="AD330" t="str">
            <v xml:space="preserve"> </v>
          </cell>
          <cell r="AE330"/>
          <cell r="AF330" t="str">
            <v xml:space="preserve"> </v>
          </cell>
          <cell r="AG330"/>
          <cell r="AH330"/>
          <cell r="AI330"/>
          <cell r="AJ330"/>
          <cell r="AK330" t="str">
            <v/>
          </cell>
          <cell r="AL330"/>
          <cell r="AM330" t="str">
            <v xml:space="preserve"> </v>
          </cell>
          <cell r="AN330" t="str">
            <v xml:space="preserve"> </v>
          </cell>
          <cell r="AO330"/>
          <cell r="AP330" t="str">
            <v xml:space="preserve"> </v>
          </cell>
          <cell r="AQ330"/>
          <cell r="AR330" t="str">
            <v xml:space="preserve"> </v>
          </cell>
          <cell r="AS330" t="str">
            <v xml:space="preserve"> </v>
          </cell>
          <cell r="AT330"/>
          <cell r="AU330" t="str">
            <v xml:space="preserve"> </v>
          </cell>
          <cell r="AV330"/>
          <cell r="AW330"/>
          <cell r="AX330" t="str">
            <v xml:space="preserve"> </v>
          </cell>
          <cell r="AY330"/>
          <cell r="AZ330" t="str">
            <v xml:space="preserve"> </v>
          </cell>
          <cell r="BA330"/>
          <cell r="BB330"/>
          <cell r="BC330" t="str">
            <v xml:space="preserve"> </v>
          </cell>
          <cell r="BD330"/>
          <cell r="BE330" t="str">
            <v xml:space="preserve"> </v>
          </cell>
          <cell r="BF330"/>
          <cell r="BG330"/>
          <cell r="BH330" t="str">
            <v xml:space="preserve"> </v>
          </cell>
          <cell r="BI330"/>
          <cell r="BJ330" t="str">
            <v xml:space="preserve"> </v>
          </cell>
          <cell r="BK330"/>
          <cell r="BL330" t="str">
            <v xml:space="preserve"> </v>
          </cell>
          <cell r="BM330" t="str">
            <v xml:space="preserve"> </v>
          </cell>
          <cell r="BN330"/>
          <cell r="BO330" t="str">
            <v xml:space="preserve"> </v>
          </cell>
        </row>
        <row r="331">
          <cell r="B331">
            <v>46349</v>
          </cell>
          <cell r="C331"/>
          <cell r="D331" t="str">
            <v xml:space="preserve"> </v>
          </cell>
          <cell r="E331" t="str">
            <v xml:space="preserve"> </v>
          </cell>
          <cell r="F331"/>
          <cell r="G331" t="str">
            <v xml:space="preserve"> </v>
          </cell>
          <cell r="H331"/>
          <cell r="I331" t="str">
            <v xml:space="preserve"> </v>
          </cell>
          <cell r="J331" t="str">
            <v xml:space="preserve"> </v>
          </cell>
          <cell r="K331"/>
          <cell r="L331" t="str">
            <v xml:space="preserve"> </v>
          </cell>
          <cell r="M331"/>
          <cell r="N331" t="str">
            <v xml:space="preserve"> </v>
          </cell>
          <cell r="O331" t="str">
            <v xml:space="preserve"> </v>
          </cell>
          <cell r="P331"/>
          <cell r="Q331" t="str">
            <v xml:space="preserve"> </v>
          </cell>
          <cell r="R331"/>
          <cell r="S331" t="str">
            <v xml:space="preserve"> </v>
          </cell>
          <cell r="T331" t="str">
            <v xml:space="preserve"> </v>
          </cell>
          <cell r="U331"/>
          <cell r="V331" t="str">
            <v xml:space="preserve"> </v>
          </cell>
          <cell r="W331" t="str">
            <v xml:space="preserve"> </v>
          </cell>
          <cell r="X331"/>
          <cell r="Y331" t="str">
            <v xml:space="preserve"> </v>
          </cell>
          <cell r="Z331"/>
          <cell r="AA331" t="str">
            <v xml:space="preserve"> </v>
          </cell>
          <cell r="AB331" t="str">
            <v xml:space="preserve"> </v>
          </cell>
          <cell r="AC331"/>
          <cell r="AD331" t="str">
            <v xml:space="preserve"> </v>
          </cell>
          <cell r="AE331"/>
          <cell r="AF331" t="str">
            <v xml:space="preserve"> </v>
          </cell>
          <cell r="AG331"/>
          <cell r="AH331"/>
          <cell r="AI331"/>
          <cell r="AJ331"/>
          <cell r="AK331" t="str">
            <v/>
          </cell>
          <cell r="AL331"/>
          <cell r="AM331" t="str">
            <v xml:space="preserve"> </v>
          </cell>
          <cell r="AN331" t="str">
            <v xml:space="preserve"> </v>
          </cell>
          <cell r="AO331"/>
          <cell r="AP331" t="str">
            <v xml:space="preserve"> </v>
          </cell>
          <cell r="AQ331"/>
          <cell r="AR331" t="str">
            <v xml:space="preserve"> </v>
          </cell>
          <cell r="AS331" t="str">
            <v xml:space="preserve"> </v>
          </cell>
          <cell r="AT331"/>
          <cell r="AU331" t="str">
            <v xml:space="preserve"> </v>
          </cell>
          <cell r="AV331"/>
          <cell r="AW331"/>
          <cell r="AX331" t="str">
            <v xml:space="preserve"> </v>
          </cell>
          <cell r="AY331"/>
          <cell r="AZ331" t="str">
            <v xml:space="preserve"> </v>
          </cell>
          <cell r="BA331"/>
          <cell r="BB331"/>
          <cell r="BC331" t="str">
            <v xml:space="preserve"> </v>
          </cell>
          <cell r="BD331"/>
          <cell r="BE331" t="str">
            <v xml:space="preserve"> </v>
          </cell>
          <cell r="BF331"/>
          <cell r="BG331"/>
          <cell r="BH331" t="str">
            <v xml:space="preserve"> </v>
          </cell>
          <cell r="BI331"/>
          <cell r="BJ331" t="str">
            <v xml:space="preserve"> </v>
          </cell>
          <cell r="BK331"/>
          <cell r="BL331" t="str">
            <v xml:space="preserve"> </v>
          </cell>
          <cell r="BM331" t="str">
            <v xml:space="preserve"> </v>
          </cell>
          <cell r="BN331"/>
          <cell r="BO331" t="str">
            <v xml:space="preserve"> </v>
          </cell>
        </row>
        <row r="332">
          <cell r="B332">
            <v>46350</v>
          </cell>
          <cell r="C332"/>
          <cell r="D332" t="str">
            <v xml:space="preserve"> </v>
          </cell>
          <cell r="E332" t="str">
            <v xml:space="preserve"> </v>
          </cell>
          <cell r="F332"/>
          <cell r="G332" t="str">
            <v xml:space="preserve"> </v>
          </cell>
          <cell r="H332"/>
          <cell r="I332" t="str">
            <v xml:space="preserve"> </v>
          </cell>
          <cell r="J332" t="str">
            <v xml:space="preserve"> </v>
          </cell>
          <cell r="K332"/>
          <cell r="L332" t="str">
            <v xml:space="preserve"> </v>
          </cell>
          <cell r="M332"/>
          <cell r="N332" t="str">
            <v xml:space="preserve"> </v>
          </cell>
          <cell r="O332" t="str">
            <v xml:space="preserve"> </v>
          </cell>
          <cell r="P332"/>
          <cell r="Q332" t="str">
            <v xml:space="preserve"> </v>
          </cell>
          <cell r="R332"/>
          <cell r="S332" t="str">
            <v xml:space="preserve"> </v>
          </cell>
          <cell r="T332" t="str">
            <v xml:space="preserve"> </v>
          </cell>
          <cell r="U332"/>
          <cell r="V332" t="str">
            <v xml:space="preserve"> </v>
          </cell>
          <cell r="W332" t="str">
            <v xml:space="preserve"> </v>
          </cell>
          <cell r="X332"/>
          <cell r="Y332" t="str">
            <v xml:space="preserve"> </v>
          </cell>
          <cell r="Z332"/>
          <cell r="AA332" t="str">
            <v xml:space="preserve"> </v>
          </cell>
          <cell r="AB332" t="str">
            <v xml:space="preserve"> </v>
          </cell>
          <cell r="AC332"/>
          <cell r="AD332" t="str">
            <v xml:space="preserve"> </v>
          </cell>
          <cell r="AE332"/>
          <cell r="AF332" t="str">
            <v xml:space="preserve"> </v>
          </cell>
          <cell r="AG332"/>
          <cell r="AH332"/>
          <cell r="AI332"/>
          <cell r="AJ332"/>
          <cell r="AK332" t="str">
            <v/>
          </cell>
          <cell r="AL332"/>
          <cell r="AM332" t="str">
            <v xml:space="preserve"> </v>
          </cell>
          <cell r="AN332" t="str">
            <v xml:space="preserve"> </v>
          </cell>
          <cell r="AO332"/>
          <cell r="AP332" t="str">
            <v xml:space="preserve"> </v>
          </cell>
          <cell r="AQ332"/>
          <cell r="AR332" t="str">
            <v xml:space="preserve"> </v>
          </cell>
          <cell r="AS332" t="str">
            <v xml:space="preserve"> </v>
          </cell>
          <cell r="AT332"/>
          <cell r="AU332" t="str">
            <v xml:space="preserve"> </v>
          </cell>
          <cell r="AV332"/>
          <cell r="AW332"/>
          <cell r="AX332" t="str">
            <v xml:space="preserve"> </v>
          </cell>
          <cell r="AY332"/>
          <cell r="AZ332" t="str">
            <v xml:space="preserve"> </v>
          </cell>
          <cell r="BA332"/>
          <cell r="BB332"/>
          <cell r="BC332" t="str">
            <v xml:space="preserve"> </v>
          </cell>
          <cell r="BD332"/>
          <cell r="BE332" t="str">
            <v xml:space="preserve"> </v>
          </cell>
          <cell r="BF332"/>
          <cell r="BG332"/>
          <cell r="BH332" t="str">
            <v xml:space="preserve"> </v>
          </cell>
          <cell r="BI332"/>
          <cell r="BJ332" t="str">
            <v xml:space="preserve"> </v>
          </cell>
          <cell r="BK332"/>
          <cell r="BL332" t="str">
            <v xml:space="preserve"> </v>
          </cell>
          <cell r="BM332" t="str">
            <v xml:space="preserve"> </v>
          </cell>
          <cell r="BN332"/>
          <cell r="BO332" t="str">
            <v xml:space="preserve"> </v>
          </cell>
        </row>
        <row r="333">
          <cell r="B333">
            <v>46351</v>
          </cell>
          <cell r="C333"/>
          <cell r="D333" t="str">
            <v xml:space="preserve"> </v>
          </cell>
          <cell r="E333" t="str">
            <v xml:space="preserve"> </v>
          </cell>
          <cell r="F333"/>
          <cell r="G333" t="str">
            <v xml:space="preserve"> </v>
          </cell>
          <cell r="H333"/>
          <cell r="I333" t="str">
            <v xml:space="preserve"> </v>
          </cell>
          <cell r="J333" t="str">
            <v xml:space="preserve"> </v>
          </cell>
          <cell r="K333"/>
          <cell r="L333" t="str">
            <v xml:space="preserve"> </v>
          </cell>
          <cell r="M333"/>
          <cell r="N333" t="str">
            <v xml:space="preserve"> </v>
          </cell>
          <cell r="O333" t="str">
            <v xml:space="preserve"> </v>
          </cell>
          <cell r="P333"/>
          <cell r="Q333" t="str">
            <v xml:space="preserve"> </v>
          </cell>
          <cell r="R333"/>
          <cell r="S333" t="str">
            <v xml:space="preserve"> </v>
          </cell>
          <cell r="T333" t="str">
            <v xml:space="preserve"> </v>
          </cell>
          <cell r="U333"/>
          <cell r="V333" t="str">
            <v xml:space="preserve"> </v>
          </cell>
          <cell r="W333" t="str">
            <v xml:space="preserve"> </v>
          </cell>
          <cell r="X333"/>
          <cell r="Y333" t="str">
            <v xml:space="preserve"> </v>
          </cell>
          <cell r="Z333"/>
          <cell r="AA333" t="str">
            <v xml:space="preserve"> </v>
          </cell>
          <cell r="AB333" t="str">
            <v xml:space="preserve"> </v>
          </cell>
          <cell r="AC333"/>
          <cell r="AD333" t="str">
            <v xml:space="preserve"> </v>
          </cell>
          <cell r="AE333"/>
          <cell r="AF333" t="str">
            <v xml:space="preserve"> </v>
          </cell>
          <cell r="AG333"/>
          <cell r="AH333"/>
          <cell r="AI333"/>
          <cell r="AJ333"/>
          <cell r="AK333" t="str">
            <v/>
          </cell>
          <cell r="AL333"/>
          <cell r="AM333" t="str">
            <v xml:space="preserve"> </v>
          </cell>
          <cell r="AN333" t="str">
            <v xml:space="preserve"> </v>
          </cell>
          <cell r="AO333"/>
          <cell r="AP333" t="str">
            <v xml:space="preserve"> </v>
          </cell>
          <cell r="AQ333"/>
          <cell r="AR333" t="str">
            <v xml:space="preserve"> </v>
          </cell>
          <cell r="AS333" t="str">
            <v xml:space="preserve"> </v>
          </cell>
          <cell r="AT333"/>
          <cell r="AU333" t="str">
            <v xml:space="preserve"> </v>
          </cell>
          <cell r="AV333"/>
          <cell r="AW333"/>
          <cell r="AX333" t="str">
            <v xml:space="preserve"> </v>
          </cell>
          <cell r="AY333"/>
          <cell r="AZ333" t="str">
            <v xml:space="preserve"> </v>
          </cell>
          <cell r="BA333"/>
          <cell r="BB333"/>
          <cell r="BC333" t="str">
            <v xml:space="preserve"> </v>
          </cell>
          <cell r="BD333"/>
          <cell r="BE333" t="str">
            <v xml:space="preserve"> </v>
          </cell>
          <cell r="BF333"/>
          <cell r="BG333"/>
          <cell r="BH333" t="str">
            <v xml:space="preserve"> </v>
          </cell>
          <cell r="BI333"/>
          <cell r="BJ333" t="str">
            <v xml:space="preserve"> </v>
          </cell>
          <cell r="BK333"/>
          <cell r="BL333" t="str">
            <v xml:space="preserve"> </v>
          </cell>
          <cell r="BM333" t="str">
            <v xml:space="preserve"> </v>
          </cell>
          <cell r="BN333"/>
          <cell r="BO333" t="str">
            <v xml:space="preserve"> </v>
          </cell>
        </row>
        <row r="334">
          <cell r="B334">
            <v>46352</v>
          </cell>
          <cell r="C334"/>
          <cell r="D334" t="str">
            <v xml:space="preserve"> </v>
          </cell>
          <cell r="E334" t="str">
            <v xml:space="preserve"> </v>
          </cell>
          <cell r="F334"/>
          <cell r="G334" t="str">
            <v xml:space="preserve"> </v>
          </cell>
          <cell r="H334"/>
          <cell r="I334" t="str">
            <v xml:space="preserve"> </v>
          </cell>
          <cell r="J334" t="str">
            <v xml:space="preserve"> </v>
          </cell>
          <cell r="K334"/>
          <cell r="L334" t="str">
            <v xml:space="preserve"> </v>
          </cell>
          <cell r="M334"/>
          <cell r="N334" t="str">
            <v xml:space="preserve"> </v>
          </cell>
          <cell r="O334" t="str">
            <v xml:space="preserve"> </v>
          </cell>
          <cell r="P334"/>
          <cell r="Q334" t="str">
            <v xml:space="preserve"> </v>
          </cell>
          <cell r="R334"/>
          <cell r="S334" t="str">
            <v xml:space="preserve"> </v>
          </cell>
          <cell r="T334" t="str">
            <v xml:space="preserve"> </v>
          </cell>
          <cell r="U334"/>
          <cell r="V334" t="str">
            <v xml:space="preserve"> </v>
          </cell>
          <cell r="W334" t="str">
            <v xml:space="preserve"> </v>
          </cell>
          <cell r="X334"/>
          <cell r="Y334" t="str">
            <v xml:space="preserve"> </v>
          </cell>
          <cell r="Z334"/>
          <cell r="AA334" t="str">
            <v xml:space="preserve"> </v>
          </cell>
          <cell r="AB334" t="str">
            <v xml:space="preserve"> </v>
          </cell>
          <cell r="AC334"/>
          <cell r="AD334" t="str">
            <v xml:space="preserve"> </v>
          </cell>
          <cell r="AE334"/>
          <cell r="AF334" t="str">
            <v xml:space="preserve"> </v>
          </cell>
          <cell r="AG334"/>
          <cell r="AH334"/>
          <cell r="AI334"/>
          <cell r="AJ334"/>
          <cell r="AK334" t="str">
            <v/>
          </cell>
          <cell r="AL334"/>
          <cell r="AM334" t="str">
            <v xml:space="preserve"> </v>
          </cell>
          <cell r="AN334" t="str">
            <v xml:space="preserve"> </v>
          </cell>
          <cell r="AO334"/>
          <cell r="AP334" t="str">
            <v xml:space="preserve"> </v>
          </cell>
          <cell r="AQ334"/>
          <cell r="AR334" t="str">
            <v xml:space="preserve"> </v>
          </cell>
          <cell r="AS334" t="str">
            <v xml:space="preserve"> </v>
          </cell>
          <cell r="AT334"/>
          <cell r="AU334" t="str">
            <v xml:space="preserve"> </v>
          </cell>
          <cell r="AV334"/>
          <cell r="AW334"/>
          <cell r="AX334" t="str">
            <v xml:space="preserve"> </v>
          </cell>
          <cell r="AY334"/>
          <cell r="AZ334" t="str">
            <v xml:space="preserve"> </v>
          </cell>
          <cell r="BA334"/>
          <cell r="BB334"/>
          <cell r="BC334" t="str">
            <v xml:space="preserve"> </v>
          </cell>
          <cell r="BD334"/>
          <cell r="BE334" t="str">
            <v xml:space="preserve"> </v>
          </cell>
          <cell r="BF334"/>
          <cell r="BG334"/>
          <cell r="BH334" t="str">
            <v xml:space="preserve"> </v>
          </cell>
          <cell r="BI334"/>
          <cell r="BJ334" t="str">
            <v xml:space="preserve"> </v>
          </cell>
          <cell r="BK334"/>
          <cell r="BL334" t="str">
            <v xml:space="preserve"> </v>
          </cell>
          <cell r="BM334" t="str">
            <v xml:space="preserve"> </v>
          </cell>
          <cell r="BN334"/>
          <cell r="BO334" t="str">
            <v xml:space="preserve"> </v>
          </cell>
        </row>
        <row r="335">
          <cell r="B335">
            <v>46353</v>
          </cell>
          <cell r="C335"/>
          <cell r="D335" t="str">
            <v xml:space="preserve"> </v>
          </cell>
          <cell r="E335" t="str">
            <v xml:space="preserve"> </v>
          </cell>
          <cell r="F335"/>
          <cell r="G335" t="str">
            <v xml:space="preserve"> </v>
          </cell>
          <cell r="H335"/>
          <cell r="I335" t="str">
            <v xml:space="preserve"> </v>
          </cell>
          <cell r="J335" t="str">
            <v xml:space="preserve"> </v>
          </cell>
          <cell r="K335"/>
          <cell r="L335" t="str">
            <v xml:space="preserve"> </v>
          </cell>
          <cell r="M335"/>
          <cell r="N335" t="str">
            <v xml:space="preserve"> </v>
          </cell>
          <cell r="O335" t="str">
            <v xml:space="preserve"> </v>
          </cell>
          <cell r="P335"/>
          <cell r="Q335" t="str">
            <v xml:space="preserve"> </v>
          </cell>
          <cell r="R335"/>
          <cell r="S335" t="str">
            <v xml:space="preserve"> </v>
          </cell>
          <cell r="T335" t="str">
            <v xml:space="preserve"> </v>
          </cell>
          <cell r="U335"/>
          <cell r="V335" t="str">
            <v xml:space="preserve"> </v>
          </cell>
          <cell r="W335" t="str">
            <v xml:space="preserve"> </v>
          </cell>
          <cell r="X335"/>
          <cell r="Y335" t="str">
            <v xml:space="preserve"> </v>
          </cell>
          <cell r="Z335"/>
          <cell r="AA335" t="str">
            <v xml:space="preserve"> </v>
          </cell>
          <cell r="AB335" t="str">
            <v xml:space="preserve"> </v>
          </cell>
          <cell r="AC335"/>
          <cell r="AD335" t="str">
            <v xml:space="preserve"> </v>
          </cell>
          <cell r="AE335"/>
          <cell r="AF335" t="str">
            <v xml:space="preserve"> </v>
          </cell>
          <cell r="AG335"/>
          <cell r="AH335"/>
          <cell r="AI335"/>
          <cell r="AJ335"/>
          <cell r="AK335" t="str">
            <v/>
          </cell>
          <cell r="AL335"/>
          <cell r="AM335" t="str">
            <v xml:space="preserve"> </v>
          </cell>
          <cell r="AN335" t="str">
            <v xml:space="preserve"> </v>
          </cell>
          <cell r="AO335"/>
          <cell r="AP335" t="str">
            <v xml:space="preserve"> </v>
          </cell>
          <cell r="AQ335"/>
          <cell r="AR335" t="str">
            <v xml:space="preserve"> </v>
          </cell>
          <cell r="AS335" t="str">
            <v xml:space="preserve"> </v>
          </cell>
          <cell r="AT335"/>
          <cell r="AU335" t="str">
            <v xml:space="preserve"> </v>
          </cell>
          <cell r="AV335"/>
          <cell r="AW335"/>
          <cell r="AX335" t="str">
            <v xml:space="preserve"> </v>
          </cell>
          <cell r="AY335"/>
          <cell r="AZ335" t="str">
            <v xml:space="preserve"> </v>
          </cell>
          <cell r="BA335"/>
          <cell r="BB335"/>
          <cell r="BC335" t="str">
            <v xml:space="preserve"> </v>
          </cell>
          <cell r="BD335"/>
          <cell r="BE335" t="str">
            <v xml:space="preserve"> </v>
          </cell>
          <cell r="BF335"/>
          <cell r="BG335"/>
          <cell r="BH335" t="str">
            <v xml:space="preserve"> </v>
          </cell>
          <cell r="BI335"/>
          <cell r="BJ335" t="str">
            <v xml:space="preserve"> </v>
          </cell>
          <cell r="BK335"/>
          <cell r="BL335" t="str">
            <v xml:space="preserve"> </v>
          </cell>
          <cell r="BM335" t="str">
            <v xml:space="preserve"> </v>
          </cell>
          <cell r="BN335"/>
          <cell r="BO335" t="str">
            <v xml:space="preserve"> </v>
          </cell>
        </row>
        <row r="336">
          <cell r="B336">
            <v>46354</v>
          </cell>
          <cell r="C336"/>
          <cell r="D336" t="str">
            <v xml:space="preserve"> </v>
          </cell>
          <cell r="E336" t="str">
            <v xml:space="preserve"> </v>
          </cell>
          <cell r="F336"/>
          <cell r="G336" t="str">
            <v xml:space="preserve"> </v>
          </cell>
          <cell r="H336"/>
          <cell r="I336" t="str">
            <v xml:space="preserve"> </v>
          </cell>
          <cell r="J336" t="str">
            <v xml:space="preserve"> </v>
          </cell>
          <cell r="K336"/>
          <cell r="L336" t="str">
            <v xml:space="preserve"> </v>
          </cell>
          <cell r="M336"/>
          <cell r="N336" t="str">
            <v xml:space="preserve"> </v>
          </cell>
          <cell r="O336" t="str">
            <v xml:space="preserve"> </v>
          </cell>
          <cell r="P336"/>
          <cell r="Q336" t="str">
            <v xml:space="preserve"> </v>
          </cell>
          <cell r="R336"/>
          <cell r="S336" t="str">
            <v xml:space="preserve"> </v>
          </cell>
          <cell r="T336" t="str">
            <v xml:space="preserve"> </v>
          </cell>
          <cell r="U336"/>
          <cell r="V336" t="str">
            <v xml:space="preserve"> </v>
          </cell>
          <cell r="W336" t="str">
            <v xml:space="preserve"> </v>
          </cell>
          <cell r="X336"/>
          <cell r="Y336" t="str">
            <v xml:space="preserve"> </v>
          </cell>
          <cell r="Z336"/>
          <cell r="AA336" t="str">
            <v xml:space="preserve"> </v>
          </cell>
          <cell r="AB336" t="str">
            <v xml:space="preserve"> </v>
          </cell>
          <cell r="AC336"/>
          <cell r="AD336" t="str">
            <v xml:space="preserve"> </v>
          </cell>
          <cell r="AE336"/>
          <cell r="AF336" t="str">
            <v xml:space="preserve"> </v>
          </cell>
          <cell r="AG336"/>
          <cell r="AH336"/>
          <cell r="AI336"/>
          <cell r="AJ336"/>
          <cell r="AK336" t="str">
            <v/>
          </cell>
          <cell r="AL336"/>
          <cell r="AM336" t="str">
            <v xml:space="preserve"> </v>
          </cell>
          <cell r="AN336" t="str">
            <v xml:space="preserve"> </v>
          </cell>
          <cell r="AO336"/>
          <cell r="AP336" t="str">
            <v xml:space="preserve"> </v>
          </cell>
          <cell r="AQ336"/>
          <cell r="AR336" t="str">
            <v xml:space="preserve"> </v>
          </cell>
          <cell r="AS336" t="str">
            <v xml:space="preserve"> </v>
          </cell>
          <cell r="AT336"/>
          <cell r="AU336" t="str">
            <v xml:space="preserve"> </v>
          </cell>
          <cell r="AV336"/>
          <cell r="AW336"/>
          <cell r="AX336" t="str">
            <v xml:space="preserve"> </v>
          </cell>
          <cell r="AY336"/>
          <cell r="AZ336" t="str">
            <v xml:space="preserve"> </v>
          </cell>
          <cell r="BA336"/>
          <cell r="BB336"/>
          <cell r="BC336" t="str">
            <v xml:space="preserve"> </v>
          </cell>
          <cell r="BD336"/>
          <cell r="BE336" t="str">
            <v xml:space="preserve"> </v>
          </cell>
          <cell r="BF336"/>
          <cell r="BG336"/>
          <cell r="BH336" t="str">
            <v xml:space="preserve"> </v>
          </cell>
          <cell r="BI336"/>
          <cell r="BJ336" t="str">
            <v xml:space="preserve"> </v>
          </cell>
          <cell r="BK336"/>
          <cell r="BL336" t="str">
            <v xml:space="preserve"> </v>
          </cell>
          <cell r="BM336" t="str">
            <v xml:space="preserve"> </v>
          </cell>
          <cell r="BN336"/>
          <cell r="BO336" t="str">
            <v xml:space="preserve"> </v>
          </cell>
        </row>
        <row r="337">
          <cell r="B337">
            <v>46355</v>
          </cell>
          <cell r="C337"/>
          <cell r="D337" t="str">
            <v xml:space="preserve"> </v>
          </cell>
          <cell r="E337" t="str">
            <v xml:space="preserve"> </v>
          </cell>
          <cell r="F337"/>
          <cell r="G337" t="str">
            <v xml:space="preserve"> </v>
          </cell>
          <cell r="H337"/>
          <cell r="I337" t="str">
            <v xml:space="preserve"> </v>
          </cell>
          <cell r="J337" t="str">
            <v xml:space="preserve"> </v>
          </cell>
          <cell r="K337"/>
          <cell r="L337" t="str">
            <v xml:space="preserve"> </v>
          </cell>
          <cell r="M337"/>
          <cell r="N337" t="str">
            <v xml:space="preserve"> </v>
          </cell>
          <cell r="O337" t="str">
            <v xml:space="preserve"> </v>
          </cell>
          <cell r="P337"/>
          <cell r="Q337" t="str">
            <v xml:space="preserve"> </v>
          </cell>
          <cell r="R337"/>
          <cell r="S337" t="str">
            <v xml:space="preserve"> </v>
          </cell>
          <cell r="T337" t="str">
            <v xml:space="preserve"> </v>
          </cell>
          <cell r="U337"/>
          <cell r="V337" t="str">
            <v xml:space="preserve"> </v>
          </cell>
          <cell r="W337" t="str">
            <v xml:space="preserve"> </v>
          </cell>
          <cell r="X337"/>
          <cell r="Y337" t="str">
            <v xml:space="preserve"> </v>
          </cell>
          <cell r="Z337"/>
          <cell r="AA337" t="str">
            <v xml:space="preserve"> </v>
          </cell>
          <cell r="AB337" t="str">
            <v xml:space="preserve"> </v>
          </cell>
          <cell r="AC337"/>
          <cell r="AD337" t="str">
            <v xml:space="preserve"> </v>
          </cell>
          <cell r="AE337"/>
          <cell r="AF337" t="str">
            <v xml:space="preserve"> </v>
          </cell>
          <cell r="AG337"/>
          <cell r="AH337"/>
          <cell r="AI337"/>
          <cell r="AJ337"/>
          <cell r="AK337" t="str">
            <v/>
          </cell>
          <cell r="AL337"/>
          <cell r="AM337" t="str">
            <v xml:space="preserve"> </v>
          </cell>
          <cell r="AN337" t="str">
            <v xml:space="preserve"> </v>
          </cell>
          <cell r="AO337"/>
          <cell r="AP337" t="str">
            <v xml:space="preserve"> </v>
          </cell>
          <cell r="AQ337"/>
          <cell r="AR337" t="str">
            <v xml:space="preserve"> </v>
          </cell>
          <cell r="AS337" t="str">
            <v xml:space="preserve"> </v>
          </cell>
          <cell r="AT337"/>
          <cell r="AU337" t="str">
            <v xml:space="preserve"> </v>
          </cell>
          <cell r="AV337"/>
          <cell r="AW337"/>
          <cell r="AX337" t="str">
            <v xml:space="preserve"> </v>
          </cell>
          <cell r="AY337"/>
          <cell r="AZ337" t="str">
            <v xml:space="preserve"> </v>
          </cell>
          <cell r="BA337"/>
          <cell r="BB337"/>
          <cell r="BC337" t="str">
            <v xml:space="preserve"> </v>
          </cell>
          <cell r="BD337"/>
          <cell r="BE337" t="str">
            <v xml:space="preserve"> </v>
          </cell>
          <cell r="BF337"/>
          <cell r="BG337"/>
          <cell r="BH337" t="str">
            <v xml:space="preserve"> </v>
          </cell>
          <cell r="BI337"/>
          <cell r="BJ337" t="str">
            <v xml:space="preserve"> </v>
          </cell>
          <cell r="BK337"/>
          <cell r="BL337" t="str">
            <v xml:space="preserve"> </v>
          </cell>
          <cell r="BM337" t="str">
            <v xml:space="preserve"> </v>
          </cell>
          <cell r="BN337"/>
          <cell r="BO337" t="str">
            <v xml:space="preserve"> </v>
          </cell>
        </row>
        <row r="338">
          <cell r="B338">
            <v>46356</v>
          </cell>
          <cell r="C338"/>
          <cell r="D338" t="str">
            <v xml:space="preserve"> </v>
          </cell>
          <cell r="E338" t="str">
            <v xml:space="preserve"> </v>
          </cell>
          <cell r="F338"/>
          <cell r="G338" t="str">
            <v xml:space="preserve"> </v>
          </cell>
          <cell r="H338"/>
          <cell r="I338" t="str">
            <v xml:space="preserve"> </v>
          </cell>
          <cell r="J338" t="str">
            <v xml:space="preserve"> </v>
          </cell>
          <cell r="K338"/>
          <cell r="L338" t="str">
            <v xml:space="preserve"> </v>
          </cell>
          <cell r="M338"/>
          <cell r="N338" t="str">
            <v xml:space="preserve"> </v>
          </cell>
          <cell r="O338" t="str">
            <v xml:space="preserve"> </v>
          </cell>
          <cell r="P338"/>
          <cell r="Q338" t="str">
            <v xml:space="preserve"> </v>
          </cell>
          <cell r="R338"/>
          <cell r="S338" t="str">
            <v xml:space="preserve"> </v>
          </cell>
          <cell r="T338" t="str">
            <v xml:space="preserve"> </v>
          </cell>
          <cell r="U338"/>
          <cell r="V338" t="str">
            <v xml:space="preserve"> </v>
          </cell>
          <cell r="W338" t="str">
            <v xml:space="preserve"> </v>
          </cell>
          <cell r="X338"/>
          <cell r="Y338" t="str">
            <v xml:space="preserve"> </v>
          </cell>
          <cell r="Z338"/>
          <cell r="AA338" t="str">
            <v xml:space="preserve"> </v>
          </cell>
          <cell r="AB338" t="str">
            <v xml:space="preserve"> </v>
          </cell>
          <cell r="AC338"/>
          <cell r="AD338" t="str">
            <v xml:space="preserve"> </v>
          </cell>
          <cell r="AE338"/>
          <cell r="AF338" t="str">
            <v xml:space="preserve"> </v>
          </cell>
          <cell r="AG338"/>
          <cell r="AH338"/>
          <cell r="AI338"/>
          <cell r="AJ338"/>
          <cell r="AK338" t="str">
            <v/>
          </cell>
          <cell r="AL338"/>
          <cell r="AM338" t="str">
            <v xml:space="preserve"> </v>
          </cell>
          <cell r="AN338" t="str">
            <v xml:space="preserve"> </v>
          </cell>
          <cell r="AO338"/>
          <cell r="AP338" t="str">
            <v xml:space="preserve"> </v>
          </cell>
          <cell r="AQ338"/>
          <cell r="AR338" t="str">
            <v xml:space="preserve"> </v>
          </cell>
          <cell r="AS338" t="str">
            <v xml:space="preserve"> </v>
          </cell>
          <cell r="AT338"/>
          <cell r="AU338" t="str">
            <v xml:space="preserve"> </v>
          </cell>
          <cell r="AV338"/>
          <cell r="AW338"/>
          <cell r="AX338" t="str">
            <v xml:space="preserve"> </v>
          </cell>
          <cell r="AY338"/>
          <cell r="AZ338" t="str">
            <v xml:space="preserve"> </v>
          </cell>
          <cell r="BA338"/>
          <cell r="BB338"/>
          <cell r="BC338" t="str">
            <v xml:space="preserve"> </v>
          </cell>
          <cell r="BD338"/>
          <cell r="BE338" t="str">
            <v xml:space="preserve"> </v>
          </cell>
          <cell r="BF338"/>
          <cell r="BG338"/>
          <cell r="BH338" t="str">
            <v xml:space="preserve"> </v>
          </cell>
          <cell r="BI338"/>
          <cell r="BJ338" t="str">
            <v xml:space="preserve"> </v>
          </cell>
          <cell r="BK338"/>
          <cell r="BL338" t="str">
            <v xml:space="preserve"> </v>
          </cell>
          <cell r="BM338" t="str">
            <v xml:space="preserve"> </v>
          </cell>
          <cell r="BN338"/>
          <cell r="BO338" t="str">
            <v xml:space="preserve"> </v>
          </cell>
        </row>
        <row r="339">
          <cell r="B339">
            <v>46357</v>
          </cell>
          <cell r="C339"/>
          <cell r="D339" t="str">
            <v xml:space="preserve"> </v>
          </cell>
          <cell r="E339" t="str">
            <v xml:space="preserve"> </v>
          </cell>
          <cell r="F339"/>
          <cell r="G339" t="str">
            <v xml:space="preserve"> </v>
          </cell>
          <cell r="H339"/>
          <cell r="I339" t="str">
            <v xml:space="preserve"> </v>
          </cell>
          <cell r="J339" t="str">
            <v xml:space="preserve"> </v>
          </cell>
          <cell r="K339"/>
          <cell r="L339" t="str">
            <v xml:space="preserve"> </v>
          </cell>
          <cell r="M339"/>
          <cell r="N339" t="str">
            <v xml:space="preserve"> </v>
          </cell>
          <cell r="O339" t="str">
            <v xml:space="preserve"> </v>
          </cell>
          <cell r="P339"/>
          <cell r="Q339" t="str">
            <v xml:space="preserve"> </v>
          </cell>
          <cell r="R339"/>
          <cell r="S339" t="str">
            <v xml:space="preserve"> </v>
          </cell>
          <cell r="T339" t="str">
            <v xml:space="preserve"> </v>
          </cell>
          <cell r="U339"/>
          <cell r="V339" t="str">
            <v xml:space="preserve"> </v>
          </cell>
          <cell r="W339" t="str">
            <v xml:space="preserve"> </v>
          </cell>
          <cell r="X339"/>
          <cell r="Y339" t="str">
            <v xml:space="preserve"> </v>
          </cell>
          <cell r="Z339"/>
          <cell r="AA339" t="str">
            <v xml:space="preserve"> </v>
          </cell>
          <cell r="AB339" t="str">
            <v xml:space="preserve"> </v>
          </cell>
          <cell r="AC339"/>
          <cell r="AD339" t="str">
            <v xml:space="preserve"> </v>
          </cell>
          <cell r="AE339"/>
          <cell r="AF339" t="str">
            <v xml:space="preserve"> </v>
          </cell>
          <cell r="AG339"/>
          <cell r="AH339"/>
          <cell r="AI339"/>
          <cell r="AJ339"/>
          <cell r="AK339" t="str">
            <v/>
          </cell>
          <cell r="AL339"/>
          <cell r="AM339" t="str">
            <v xml:space="preserve"> </v>
          </cell>
          <cell r="AN339" t="str">
            <v xml:space="preserve"> </v>
          </cell>
          <cell r="AO339"/>
          <cell r="AP339" t="str">
            <v xml:space="preserve"> </v>
          </cell>
          <cell r="AQ339"/>
          <cell r="AR339" t="str">
            <v xml:space="preserve"> </v>
          </cell>
          <cell r="AS339" t="str">
            <v xml:space="preserve"> </v>
          </cell>
          <cell r="AT339"/>
          <cell r="AU339" t="str">
            <v xml:space="preserve"> </v>
          </cell>
          <cell r="AV339"/>
          <cell r="AW339"/>
          <cell r="AX339" t="str">
            <v xml:space="preserve"> </v>
          </cell>
          <cell r="AY339"/>
          <cell r="AZ339" t="str">
            <v xml:space="preserve"> </v>
          </cell>
          <cell r="BA339"/>
          <cell r="BB339"/>
          <cell r="BC339" t="str">
            <v xml:space="preserve"> </v>
          </cell>
          <cell r="BD339"/>
          <cell r="BE339" t="str">
            <v xml:space="preserve"> </v>
          </cell>
          <cell r="BF339"/>
          <cell r="BG339"/>
          <cell r="BH339" t="str">
            <v xml:space="preserve"> </v>
          </cell>
          <cell r="BI339"/>
          <cell r="BJ339" t="str">
            <v xml:space="preserve"> </v>
          </cell>
          <cell r="BK339"/>
          <cell r="BL339" t="str">
            <v xml:space="preserve"> </v>
          </cell>
          <cell r="BM339" t="str">
            <v xml:space="preserve"> </v>
          </cell>
          <cell r="BN339"/>
          <cell r="BO339" t="str">
            <v xml:space="preserve"> </v>
          </cell>
        </row>
        <row r="340">
          <cell r="B340">
            <v>46358</v>
          </cell>
          <cell r="C340"/>
          <cell r="D340" t="str">
            <v xml:space="preserve"> </v>
          </cell>
          <cell r="E340" t="str">
            <v xml:space="preserve"> </v>
          </cell>
          <cell r="F340"/>
          <cell r="G340" t="str">
            <v xml:space="preserve"> </v>
          </cell>
          <cell r="H340"/>
          <cell r="I340" t="str">
            <v xml:space="preserve"> </v>
          </cell>
          <cell r="J340" t="str">
            <v xml:space="preserve"> </v>
          </cell>
          <cell r="K340"/>
          <cell r="L340" t="str">
            <v xml:space="preserve"> </v>
          </cell>
          <cell r="M340"/>
          <cell r="N340" t="str">
            <v xml:space="preserve"> </v>
          </cell>
          <cell r="O340" t="str">
            <v xml:space="preserve"> </v>
          </cell>
          <cell r="P340"/>
          <cell r="Q340" t="str">
            <v xml:space="preserve"> </v>
          </cell>
          <cell r="R340"/>
          <cell r="S340" t="str">
            <v xml:space="preserve"> </v>
          </cell>
          <cell r="T340" t="str">
            <v xml:space="preserve"> </v>
          </cell>
          <cell r="U340"/>
          <cell r="V340" t="str">
            <v xml:space="preserve"> </v>
          </cell>
          <cell r="W340" t="str">
            <v xml:space="preserve"> </v>
          </cell>
          <cell r="X340"/>
          <cell r="Y340" t="str">
            <v xml:space="preserve"> </v>
          </cell>
          <cell r="Z340"/>
          <cell r="AA340" t="str">
            <v xml:space="preserve"> </v>
          </cell>
          <cell r="AB340" t="str">
            <v xml:space="preserve"> </v>
          </cell>
          <cell r="AC340"/>
          <cell r="AD340" t="str">
            <v xml:space="preserve"> </v>
          </cell>
          <cell r="AE340"/>
          <cell r="AF340" t="str">
            <v xml:space="preserve"> </v>
          </cell>
          <cell r="AG340"/>
          <cell r="AH340"/>
          <cell r="AI340"/>
          <cell r="AJ340"/>
          <cell r="AK340" t="str">
            <v/>
          </cell>
          <cell r="AL340"/>
          <cell r="AM340" t="str">
            <v xml:space="preserve"> </v>
          </cell>
          <cell r="AN340" t="str">
            <v xml:space="preserve"> </v>
          </cell>
          <cell r="AO340"/>
          <cell r="AP340" t="str">
            <v xml:space="preserve"> </v>
          </cell>
          <cell r="AQ340"/>
          <cell r="AR340" t="str">
            <v xml:space="preserve"> </v>
          </cell>
          <cell r="AS340" t="str">
            <v xml:space="preserve"> </v>
          </cell>
          <cell r="AT340"/>
          <cell r="AU340" t="str">
            <v xml:space="preserve"> </v>
          </cell>
          <cell r="AV340"/>
          <cell r="AW340"/>
          <cell r="AX340" t="str">
            <v xml:space="preserve"> </v>
          </cell>
          <cell r="AY340"/>
          <cell r="AZ340" t="str">
            <v xml:space="preserve"> </v>
          </cell>
          <cell r="BA340"/>
          <cell r="BB340"/>
          <cell r="BC340" t="str">
            <v xml:space="preserve"> </v>
          </cell>
          <cell r="BD340"/>
          <cell r="BE340" t="str">
            <v xml:space="preserve"> </v>
          </cell>
          <cell r="BF340"/>
          <cell r="BG340"/>
          <cell r="BH340" t="str">
            <v xml:space="preserve"> </v>
          </cell>
          <cell r="BI340"/>
          <cell r="BJ340" t="str">
            <v xml:space="preserve"> </v>
          </cell>
          <cell r="BK340"/>
          <cell r="BL340" t="str">
            <v xml:space="preserve"> </v>
          </cell>
          <cell r="BM340" t="str">
            <v xml:space="preserve"> </v>
          </cell>
          <cell r="BN340"/>
          <cell r="BO340" t="str">
            <v xml:space="preserve"> </v>
          </cell>
        </row>
        <row r="341">
          <cell r="B341">
            <v>46359</v>
          </cell>
          <cell r="C341"/>
          <cell r="D341" t="str">
            <v xml:space="preserve"> </v>
          </cell>
          <cell r="E341" t="str">
            <v xml:space="preserve"> </v>
          </cell>
          <cell r="F341"/>
          <cell r="G341" t="str">
            <v xml:space="preserve"> </v>
          </cell>
          <cell r="H341"/>
          <cell r="I341" t="str">
            <v xml:space="preserve"> </v>
          </cell>
          <cell r="J341" t="str">
            <v xml:space="preserve"> </v>
          </cell>
          <cell r="K341"/>
          <cell r="L341" t="str">
            <v xml:space="preserve"> </v>
          </cell>
          <cell r="M341"/>
          <cell r="N341" t="str">
            <v xml:space="preserve"> </v>
          </cell>
          <cell r="O341" t="str">
            <v xml:space="preserve"> </v>
          </cell>
          <cell r="P341"/>
          <cell r="Q341" t="str">
            <v xml:space="preserve"> </v>
          </cell>
          <cell r="R341"/>
          <cell r="S341" t="str">
            <v xml:space="preserve"> </v>
          </cell>
          <cell r="T341" t="str">
            <v xml:space="preserve"> </v>
          </cell>
          <cell r="U341"/>
          <cell r="V341" t="str">
            <v xml:space="preserve"> </v>
          </cell>
          <cell r="W341" t="str">
            <v xml:space="preserve"> </v>
          </cell>
          <cell r="X341"/>
          <cell r="Y341" t="str">
            <v xml:space="preserve"> </v>
          </cell>
          <cell r="Z341"/>
          <cell r="AA341" t="str">
            <v xml:space="preserve"> </v>
          </cell>
          <cell r="AB341" t="str">
            <v xml:space="preserve"> </v>
          </cell>
          <cell r="AC341"/>
          <cell r="AD341" t="str">
            <v xml:space="preserve"> </v>
          </cell>
          <cell r="AE341"/>
          <cell r="AF341" t="str">
            <v xml:space="preserve"> </v>
          </cell>
          <cell r="AG341"/>
          <cell r="AH341"/>
          <cell r="AI341"/>
          <cell r="AJ341"/>
          <cell r="AK341" t="str">
            <v/>
          </cell>
          <cell r="AL341"/>
          <cell r="AM341" t="str">
            <v xml:space="preserve"> </v>
          </cell>
          <cell r="AN341" t="str">
            <v xml:space="preserve"> </v>
          </cell>
          <cell r="AO341"/>
          <cell r="AP341" t="str">
            <v xml:space="preserve"> </v>
          </cell>
          <cell r="AQ341"/>
          <cell r="AR341" t="str">
            <v xml:space="preserve"> </v>
          </cell>
          <cell r="AS341" t="str">
            <v xml:space="preserve"> </v>
          </cell>
          <cell r="AT341"/>
          <cell r="AU341" t="str">
            <v xml:space="preserve"> </v>
          </cell>
          <cell r="AV341"/>
          <cell r="AW341"/>
          <cell r="AX341" t="str">
            <v xml:space="preserve"> </v>
          </cell>
          <cell r="AY341"/>
          <cell r="AZ341" t="str">
            <v xml:space="preserve"> </v>
          </cell>
          <cell r="BA341"/>
          <cell r="BB341"/>
          <cell r="BC341" t="str">
            <v xml:space="preserve"> </v>
          </cell>
          <cell r="BD341"/>
          <cell r="BE341" t="str">
            <v xml:space="preserve"> </v>
          </cell>
          <cell r="BF341"/>
          <cell r="BG341"/>
          <cell r="BH341" t="str">
            <v xml:space="preserve"> </v>
          </cell>
          <cell r="BI341"/>
          <cell r="BJ341" t="str">
            <v xml:space="preserve"> </v>
          </cell>
          <cell r="BK341"/>
          <cell r="BL341" t="str">
            <v xml:space="preserve"> </v>
          </cell>
          <cell r="BM341" t="str">
            <v xml:space="preserve"> </v>
          </cell>
          <cell r="BN341"/>
          <cell r="BO341" t="str">
            <v xml:space="preserve"> </v>
          </cell>
        </row>
        <row r="342">
          <cell r="B342">
            <v>46360</v>
          </cell>
          <cell r="C342"/>
          <cell r="D342" t="str">
            <v xml:space="preserve"> </v>
          </cell>
          <cell r="E342" t="str">
            <v xml:space="preserve"> </v>
          </cell>
          <cell r="F342"/>
          <cell r="G342" t="str">
            <v xml:space="preserve"> </v>
          </cell>
          <cell r="H342"/>
          <cell r="I342" t="str">
            <v xml:space="preserve"> </v>
          </cell>
          <cell r="J342" t="str">
            <v xml:space="preserve"> </v>
          </cell>
          <cell r="K342"/>
          <cell r="L342" t="str">
            <v xml:space="preserve"> </v>
          </cell>
          <cell r="M342"/>
          <cell r="N342" t="str">
            <v xml:space="preserve"> </v>
          </cell>
          <cell r="O342" t="str">
            <v xml:space="preserve"> </v>
          </cell>
          <cell r="P342"/>
          <cell r="Q342" t="str">
            <v xml:space="preserve"> </v>
          </cell>
          <cell r="R342"/>
          <cell r="S342" t="str">
            <v xml:space="preserve"> </v>
          </cell>
          <cell r="T342" t="str">
            <v xml:space="preserve"> </v>
          </cell>
          <cell r="U342"/>
          <cell r="V342" t="str">
            <v xml:space="preserve"> </v>
          </cell>
          <cell r="W342" t="str">
            <v xml:space="preserve"> </v>
          </cell>
          <cell r="X342"/>
          <cell r="Y342" t="str">
            <v xml:space="preserve"> </v>
          </cell>
          <cell r="Z342"/>
          <cell r="AA342" t="str">
            <v xml:space="preserve"> </v>
          </cell>
          <cell r="AB342" t="str">
            <v xml:space="preserve"> </v>
          </cell>
          <cell r="AC342"/>
          <cell r="AD342" t="str">
            <v xml:space="preserve"> </v>
          </cell>
          <cell r="AE342"/>
          <cell r="AF342" t="str">
            <v xml:space="preserve"> </v>
          </cell>
          <cell r="AG342"/>
          <cell r="AH342"/>
          <cell r="AI342"/>
          <cell r="AJ342"/>
          <cell r="AK342" t="str">
            <v/>
          </cell>
          <cell r="AL342"/>
          <cell r="AM342" t="str">
            <v xml:space="preserve"> </v>
          </cell>
          <cell r="AN342" t="str">
            <v xml:space="preserve"> </v>
          </cell>
          <cell r="AO342"/>
          <cell r="AP342" t="str">
            <v xml:space="preserve"> </v>
          </cell>
          <cell r="AQ342"/>
          <cell r="AR342" t="str">
            <v xml:space="preserve"> </v>
          </cell>
          <cell r="AS342" t="str">
            <v xml:space="preserve"> </v>
          </cell>
          <cell r="AT342"/>
          <cell r="AU342" t="str">
            <v xml:space="preserve"> </v>
          </cell>
          <cell r="AV342"/>
          <cell r="AW342"/>
          <cell r="AX342" t="str">
            <v xml:space="preserve"> </v>
          </cell>
          <cell r="AY342"/>
          <cell r="AZ342" t="str">
            <v xml:space="preserve"> </v>
          </cell>
          <cell r="BA342"/>
          <cell r="BB342"/>
          <cell r="BC342" t="str">
            <v xml:space="preserve"> </v>
          </cell>
          <cell r="BD342"/>
          <cell r="BE342" t="str">
            <v xml:space="preserve"> </v>
          </cell>
          <cell r="BF342"/>
          <cell r="BG342"/>
          <cell r="BH342" t="str">
            <v xml:space="preserve"> </v>
          </cell>
          <cell r="BI342"/>
          <cell r="BJ342" t="str">
            <v xml:space="preserve"> </v>
          </cell>
          <cell r="BK342"/>
          <cell r="BL342" t="str">
            <v xml:space="preserve"> </v>
          </cell>
          <cell r="BM342" t="str">
            <v xml:space="preserve"> </v>
          </cell>
          <cell r="BN342"/>
          <cell r="BO342" t="str">
            <v xml:space="preserve"> </v>
          </cell>
        </row>
        <row r="343">
          <cell r="B343">
            <v>46361</v>
          </cell>
          <cell r="C343"/>
          <cell r="D343" t="str">
            <v xml:space="preserve"> </v>
          </cell>
          <cell r="E343" t="str">
            <v xml:space="preserve"> </v>
          </cell>
          <cell r="F343"/>
          <cell r="G343" t="str">
            <v xml:space="preserve"> </v>
          </cell>
          <cell r="H343"/>
          <cell r="I343" t="str">
            <v xml:space="preserve"> </v>
          </cell>
          <cell r="J343" t="str">
            <v xml:space="preserve"> </v>
          </cell>
          <cell r="K343"/>
          <cell r="L343" t="str">
            <v xml:space="preserve"> </v>
          </cell>
          <cell r="M343"/>
          <cell r="N343" t="str">
            <v xml:space="preserve"> </v>
          </cell>
          <cell r="O343" t="str">
            <v xml:space="preserve"> </v>
          </cell>
          <cell r="P343"/>
          <cell r="Q343" t="str">
            <v xml:space="preserve"> </v>
          </cell>
          <cell r="R343"/>
          <cell r="S343" t="str">
            <v xml:space="preserve"> </v>
          </cell>
          <cell r="T343" t="str">
            <v xml:space="preserve"> </v>
          </cell>
          <cell r="U343"/>
          <cell r="V343" t="str">
            <v xml:space="preserve"> </v>
          </cell>
          <cell r="W343" t="str">
            <v xml:space="preserve"> </v>
          </cell>
          <cell r="X343"/>
          <cell r="Y343" t="str">
            <v xml:space="preserve"> </v>
          </cell>
          <cell r="Z343"/>
          <cell r="AA343" t="str">
            <v xml:space="preserve"> </v>
          </cell>
          <cell r="AB343" t="str">
            <v xml:space="preserve"> </v>
          </cell>
          <cell r="AC343"/>
          <cell r="AD343" t="str">
            <v xml:space="preserve"> </v>
          </cell>
          <cell r="AE343"/>
          <cell r="AF343" t="str">
            <v xml:space="preserve"> </v>
          </cell>
          <cell r="AG343"/>
          <cell r="AH343"/>
          <cell r="AI343"/>
          <cell r="AJ343"/>
          <cell r="AK343" t="str">
            <v/>
          </cell>
          <cell r="AL343"/>
          <cell r="AM343" t="str">
            <v xml:space="preserve"> </v>
          </cell>
          <cell r="AN343" t="str">
            <v xml:space="preserve"> </v>
          </cell>
          <cell r="AO343"/>
          <cell r="AP343" t="str">
            <v xml:space="preserve"> </v>
          </cell>
          <cell r="AQ343"/>
          <cell r="AR343" t="str">
            <v xml:space="preserve"> </v>
          </cell>
          <cell r="AS343" t="str">
            <v xml:space="preserve"> </v>
          </cell>
          <cell r="AT343"/>
          <cell r="AU343" t="str">
            <v xml:space="preserve"> </v>
          </cell>
          <cell r="AV343"/>
          <cell r="AW343"/>
          <cell r="AX343" t="str">
            <v xml:space="preserve"> </v>
          </cell>
          <cell r="AY343"/>
          <cell r="AZ343" t="str">
            <v xml:space="preserve"> </v>
          </cell>
          <cell r="BA343"/>
          <cell r="BB343"/>
          <cell r="BC343" t="str">
            <v xml:space="preserve"> </v>
          </cell>
          <cell r="BD343"/>
          <cell r="BE343" t="str">
            <v xml:space="preserve"> </v>
          </cell>
          <cell r="BF343"/>
          <cell r="BG343"/>
          <cell r="BH343" t="str">
            <v xml:space="preserve"> </v>
          </cell>
          <cell r="BI343"/>
          <cell r="BJ343" t="str">
            <v xml:space="preserve"> </v>
          </cell>
          <cell r="BK343"/>
          <cell r="BL343" t="str">
            <v xml:space="preserve"> </v>
          </cell>
          <cell r="BM343" t="str">
            <v xml:space="preserve"> </v>
          </cell>
          <cell r="BN343"/>
          <cell r="BO343" t="str">
            <v xml:space="preserve"> </v>
          </cell>
        </row>
        <row r="344">
          <cell r="B344">
            <v>46362</v>
          </cell>
          <cell r="C344"/>
          <cell r="D344" t="str">
            <v xml:space="preserve"> </v>
          </cell>
          <cell r="E344" t="str">
            <v xml:space="preserve"> </v>
          </cell>
          <cell r="F344"/>
          <cell r="G344" t="str">
            <v xml:space="preserve"> </v>
          </cell>
          <cell r="H344"/>
          <cell r="I344" t="str">
            <v xml:space="preserve"> </v>
          </cell>
          <cell r="J344" t="str">
            <v xml:space="preserve"> </v>
          </cell>
          <cell r="K344"/>
          <cell r="L344" t="str">
            <v xml:space="preserve"> </v>
          </cell>
          <cell r="M344"/>
          <cell r="N344" t="str">
            <v xml:space="preserve"> </v>
          </cell>
          <cell r="O344" t="str">
            <v xml:space="preserve"> </v>
          </cell>
          <cell r="P344"/>
          <cell r="Q344" t="str">
            <v xml:space="preserve"> </v>
          </cell>
          <cell r="R344"/>
          <cell r="S344" t="str">
            <v xml:space="preserve"> </v>
          </cell>
          <cell r="T344" t="str">
            <v xml:space="preserve"> </v>
          </cell>
          <cell r="U344"/>
          <cell r="V344" t="str">
            <v xml:space="preserve"> </v>
          </cell>
          <cell r="W344" t="str">
            <v xml:space="preserve"> </v>
          </cell>
          <cell r="X344"/>
          <cell r="Y344" t="str">
            <v xml:space="preserve"> </v>
          </cell>
          <cell r="Z344"/>
          <cell r="AA344" t="str">
            <v xml:space="preserve"> </v>
          </cell>
          <cell r="AB344" t="str">
            <v xml:space="preserve"> </v>
          </cell>
          <cell r="AC344"/>
          <cell r="AD344" t="str">
            <v xml:space="preserve"> </v>
          </cell>
          <cell r="AE344"/>
          <cell r="AF344" t="str">
            <v xml:space="preserve"> </v>
          </cell>
          <cell r="AG344"/>
          <cell r="AH344"/>
          <cell r="AI344"/>
          <cell r="AJ344"/>
          <cell r="AK344" t="str">
            <v/>
          </cell>
          <cell r="AL344"/>
          <cell r="AM344" t="str">
            <v xml:space="preserve"> </v>
          </cell>
          <cell r="AN344" t="str">
            <v xml:space="preserve"> </v>
          </cell>
          <cell r="AO344"/>
          <cell r="AP344" t="str">
            <v xml:space="preserve"> </v>
          </cell>
          <cell r="AQ344"/>
          <cell r="AR344" t="str">
            <v xml:space="preserve"> </v>
          </cell>
          <cell r="AS344" t="str">
            <v xml:space="preserve"> </v>
          </cell>
          <cell r="AT344"/>
          <cell r="AU344" t="str">
            <v xml:space="preserve"> </v>
          </cell>
          <cell r="AV344"/>
          <cell r="AW344"/>
          <cell r="AX344" t="str">
            <v xml:space="preserve"> </v>
          </cell>
          <cell r="AY344"/>
          <cell r="AZ344" t="str">
            <v xml:space="preserve"> </v>
          </cell>
          <cell r="BA344"/>
          <cell r="BB344"/>
          <cell r="BC344" t="str">
            <v xml:space="preserve"> </v>
          </cell>
          <cell r="BD344"/>
          <cell r="BE344" t="str">
            <v xml:space="preserve"> </v>
          </cell>
          <cell r="BF344"/>
          <cell r="BG344"/>
          <cell r="BH344" t="str">
            <v xml:space="preserve"> </v>
          </cell>
          <cell r="BI344"/>
          <cell r="BJ344" t="str">
            <v xml:space="preserve"> </v>
          </cell>
          <cell r="BK344"/>
          <cell r="BL344" t="str">
            <v xml:space="preserve"> </v>
          </cell>
          <cell r="BM344" t="str">
            <v xml:space="preserve"> </v>
          </cell>
          <cell r="BN344"/>
          <cell r="BO344" t="str">
            <v xml:space="preserve"> </v>
          </cell>
        </row>
        <row r="345">
          <cell r="B345">
            <v>46363</v>
          </cell>
          <cell r="C345"/>
          <cell r="D345" t="str">
            <v xml:space="preserve"> </v>
          </cell>
          <cell r="E345" t="str">
            <v xml:space="preserve"> </v>
          </cell>
          <cell r="F345"/>
          <cell r="G345" t="str">
            <v xml:space="preserve"> </v>
          </cell>
          <cell r="H345"/>
          <cell r="I345" t="str">
            <v xml:space="preserve"> </v>
          </cell>
          <cell r="J345" t="str">
            <v xml:space="preserve"> </v>
          </cell>
          <cell r="K345"/>
          <cell r="L345" t="str">
            <v xml:space="preserve"> </v>
          </cell>
          <cell r="M345"/>
          <cell r="N345" t="str">
            <v xml:space="preserve"> </v>
          </cell>
          <cell r="O345" t="str">
            <v xml:space="preserve"> </v>
          </cell>
          <cell r="P345"/>
          <cell r="Q345" t="str">
            <v xml:space="preserve"> </v>
          </cell>
          <cell r="R345"/>
          <cell r="S345" t="str">
            <v xml:space="preserve"> </v>
          </cell>
          <cell r="T345" t="str">
            <v xml:space="preserve"> </v>
          </cell>
          <cell r="U345"/>
          <cell r="V345" t="str">
            <v xml:space="preserve"> </v>
          </cell>
          <cell r="W345" t="str">
            <v xml:space="preserve"> </v>
          </cell>
          <cell r="X345"/>
          <cell r="Y345" t="str">
            <v xml:space="preserve"> </v>
          </cell>
          <cell r="Z345"/>
          <cell r="AA345" t="str">
            <v xml:space="preserve"> </v>
          </cell>
          <cell r="AB345" t="str">
            <v xml:space="preserve"> </v>
          </cell>
          <cell r="AC345"/>
          <cell r="AD345" t="str">
            <v xml:space="preserve"> </v>
          </cell>
          <cell r="AE345"/>
          <cell r="AF345" t="str">
            <v xml:space="preserve"> </v>
          </cell>
          <cell r="AG345"/>
          <cell r="AH345"/>
          <cell r="AI345"/>
          <cell r="AJ345"/>
          <cell r="AK345" t="str">
            <v/>
          </cell>
          <cell r="AL345"/>
          <cell r="AM345" t="str">
            <v xml:space="preserve"> </v>
          </cell>
          <cell r="AN345" t="str">
            <v xml:space="preserve"> </v>
          </cell>
          <cell r="AO345"/>
          <cell r="AP345" t="str">
            <v xml:space="preserve"> </v>
          </cell>
          <cell r="AQ345"/>
          <cell r="AR345" t="str">
            <v xml:space="preserve"> </v>
          </cell>
          <cell r="AS345" t="str">
            <v xml:space="preserve"> </v>
          </cell>
          <cell r="AT345"/>
          <cell r="AU345" t="str">
            <v xml:space="preserve"> </v>
          </cell>
          <cell r="AV345"/>
          <cell r="AW345"/>
          <cell r="AX345" t="str">
            <v xml:space="preserve"> </v>
          </cell>
          <cell r="AY345"/>
          <cell r="AZ345" t="str">
            <v xml:space="preserve"> </v>
          </cell>
          <cell r="BA345"/>
          <cell r="BB345"/>
          <cell r="BC345" t="str">
            <v xml:space="preserve"> </v>
          </cell>
          <cell r="BD345"/>
          <cell r="BE345" t="str">
            <v xml:space="preserve"> </v>
          </cell>
          <cell r="BF345"/>
          <cell r="BG345"/>
          <cell r="BH345" t="str">
            <v xml:space="preserve"> </v>
          </cell>
          <cell r="BI345"/>
          <cell r="BJ345" t="str">
            <v xml:space="preserve"> </v>
          </cell>
          <cell r="BK345"/>
          <cell r="BL345" t="str">
            <v xml:space="preserve"> </v>
          </cell>
          <cell r="BM345" t="str">
            <v xml:space="preserve"> </v>
          </cell>
          <cell r="BN345"/>
          <cell r="BO345" t="str">
            <v xml:space="preserve"> </v>
          </cell>
        </row>
        <row r="346">
          <cell r="B346">
            <v>46364</v>
          </cell>
          <cell r="C346"/>
          <cell r="D346" t="str">
            <v xml:space="preserve"> </v>
          </cell>
          <cell r="E346" t="str">
            <v xml:space="preserve"> </v>
          </cell>
          <cell r="F346"/>
          <cell r="G346" t="str">
            <v xml:space="preserve"> </v>
          </cell>
          <cell r="H346"/>
          <cell r="I346" t="str">
            <v xml:space="preserve"> </v>
          </cell>
          <cell r="J346" t="str">
            <v xml:space="preserve"> </v>
          </cell>
          <cell r="K346"/>
          <cell r="L346" t="str">
            <v xml:space="preserve"> </v>
          </cell>
          <cell r="M346"/>
          <cell r="N346" t="str">
            <v xml:space="preserve"> </v>
          </cell>
          <cell r="O346" t="str">
            <v xml:space="preserve"> </v>
          </cell>
          <cell r="P346"/>
          <cell r="Q346" t="str">
            <v xml:space="preserve"> </v>
          </cell>
          <cell r="R346"/>
          <cell r="S346" t="str">
            <v xml:space="preserve"> </v>
          </cell>
          <cell r="T346" t="str">
            <v xml:space="preserve"> </v>
          </cell>
          <cell r="U346"/>
          <cell r="V346" t="str">
            <v xml:space="preserve"> </v>
          </cell>
          <cell r="W346" t="str">
            <v xml:space="preserve"> </v>
          </cell>
          <cell r="X346"/>
          <cell r="Y346" t="str">
            <v xml:space="preserve"> </v>
          </cell>
          <cell r="Z346"/>
          <cell r="AA346" t="str">
            <v xml:space="preserve"> </v>
          </cell>
          <cell r="AB346" t="str">
            <v xml:space="preserve"> </v>
          </cell>
          <cell r="AC346"/>
          <cell r="AD346" t="str">
            <v xml:space="preserve"> </v>
          </cell>
          <cell r="AE346"/>
          <cell r="AF346" t="str">
            <v xml:space="preserve"> </v>
          </cell>
          <cell r="AG346"/>
          <cell r="AH346"/>
          <cell r="AI346"/>
          <cell r="AJ346"/>
          <cell r="AK346" t="str">
            <v/>
          </cell>
          <cell r="AL346"/>
          <cell r="AM346" t="str">
            <v xml:space="preserve"> </v>
          </cell>
          <cell r="AN346" t="str">
            <v xml:space="preserve"> </v>
          </cell>
          <cell r="AO346"/>
          <cell r="AP346" t="str">
            <v xml:space="preserve"> </v>
          </cell>
          <cell r="AQ346"/>
          <cell r="AR346" t="str">
            <v xml:space="preserve"> </v>
          </cell>
          <cell r="AS346" t="str">
            <v xml:space="preserve"> </v>
          </cell>
          <cell r="AT346"/>
          <cell r="AU346" t="str">
            <v xml:space="preserve"> </v>
          </cell>
          <cell r="AV346"/>
          <cell r="AW346"/>
          <cell r="AX346" t="str">
            <v xml:space="preserve"> </v>
          </cell>
          <cell r="AY346"/>
          <cell r="AZ346" t="str">
            <v xml:space="preserve"> </v>
          </cell>
          <cell r="BA346"/>
          <cell r="BB346"/>
          <cell r="BC346" t="str">
            <v xml:space="preserve"> </v>
          </cell>
          <cell r="BD346"/>
          <cell r="BE346" t="str">
            <v xml:space="preserve"> </v>
          </cell>
          <cell r="BF346"/>
          <cell r="BG346"/>
          <cell r="BH346" t="str">
            <v xml:space="preserve"> </v>
          </cell>
          <cell r="BI346"/>
          <cell r="BJ346" t="str">
            <v xml:space="preserve"> </v>
          </cell>
          <cell r="BK346"/>
          <cell r="BL346" t="str">
            <v xml:space="preserve"> </v>
          </cell>
          <cell r="BM346" t="str">
            <v xml:space="preserve"> </v>
          </cell>
          <cell r="BN346"/>
          <cell r="BO346" t="str">
            <v xml:space="preserve"> </v>
          </cell>
        </row>
        <row r="347">
          <cell r="B347">
            <v>46365</v>
          </cell>
          <cell r="C347"/>
          <cell r="D347" t="str">
            <v xml:space="preserve"> </v>
          </cell>
          <cell r="E347" t="str">
            <v xml:space="preserve"> </v>
          </cell>
          <cell r="F347"/>
          <cell r="G347" t="str">
            <v xml:space="preserve"> </v>
          </cell>
          <cell r="H347"/>
          <cell r="I347" t="str">
            <v xml:space="preserve"> </v>
          </cell>
          <cell r="J347" t="str">
            <v xml:space="preserve"> </v>
          </cell>
          <cell r="K347"/>
          <cell r="L347" t="str">
            <v xml:space="preserve"> </v>
          </cell>
          <cell r="M347"/>
          <cell r="N347" t="str">
            <v xml:space="preserve"> </v>
          </cell>
          <cell r="O347" t="str">
            <v xml:space="preserve"> </v>
          </cell>
          <cell r="P347"/>
          <cell r="Q347" t="str">
            <v xml:space="preserve"> </v>
          </cell>
          <cell r="R347"/>
          <cell r="S347" t="str">
            <v xml:space="preserve"> </v>
          </cell>
          <cell r="T347" t="str">
            <v xml:space="preserve"> </v>
          </cell>
          <cell r="U347"/>
          <cell r="V347" t="str">
            <v xml:space="preserve"> </v>
          </cell>
          <cell r="W347" t="str">
            <v xml:space="preserve"> </v>
          </cell>
          <cell r="X347"/>
          <cell r="Y347" t="str">
            <v xml:space="preserve"> </v>
          </cell>
          <cell r="Z347"/>
          <cell r="AA347" t="str">
            <v xml:space="preserve"> </v>
          </cell>
          <cell r="AB347" t="str">
            <v xml:space="preserve"> </v>
          </cell>
          <cell r="AC347"/>
          <cell r="AD347" t="str">
            <v xml:space="preserve"> </v>
          </cell>
          <cell r="AE347"/>
          <cell r="AF347" t="str">
            <v xml:space="preserve"> </v>
          </cell>
          <cell r="AG347"/>
          <cell r="AH347"/>
          <cell r="AI347"/>
          <cell r="AJ347"/>
          <cell r="AK347" t="str">
            <v/>
          </cell>
          <cell r="AL347"/>
          <cell r="AM347" t="str">
            <v xml:space="preserve"> </v>
          </cell>
          <cell r="AN347" t="str">
            <v xml:space="preserve"> </v>
          </cell>
          <cell r="AO347"/>
          <cell r="AP347" t="str">
            <v xml:space="preserve"> </v>
          </cell>
          <cell r="AQ347"/>
          <cell r="AR347" t="str">
            <v xml:space="preserve"> </v>
          </cell>
          <cell r="AS347" t="str">
            <v xml:space="preserve"> </v>
          </cell>
          <cell r="AT347"/>
          <cell r="AU347" t="str">
            <v xml:space="preserve"> </v>
          </cell>
          <cell r="AV347"/>
          <cell r="AW347"/>
          <cell r="AX347" t="str">
            <v xml:space="preserve"> </v>
          </cell>
          <cell r="AY347"/>
          <cell r="AZ347" t="str">
            <v xml:space="preserve"> </v>
          </cell>
          <cell r="BA347"/>
          <cell r="BB347"/>
          <cell r="BC347" t="str">
            <v xml:space="preserve"> </v>
          </cell>
          <cell r="BD347"/>
          <cell r="BE347" t="str">
            <v xml:space="preserve"> </v>
          </cell>
          <cell r="BF347"/>
          <cell r="BG347"/>
          <cell r="BH347" t="str">
            <v xml:space="preserve"> </v>
          </cell>
          <cell r="BI347"/>
          <cell r="BJ347" t="str">
            <v xml:space="preserve"> </v>
          </cell>
          <cell r="BK347"/>
          <cell r="BL347" t="str">
            <v xml:space="preserve"> </v>
          </cell>
          <cell r="BM347" t="str">
            <v xml:space="preserve"> </v>
          </cell>
          <cell r="BN347"/>
          <cell r="BO347" t="str">
            <v xml:space="preserve"> </v>
          </cell>
        </row>
        <row r="348">
          <cell r="B348">
            <v>46366</v>
          </cell>
          <cell r="C348"/>
          <cell r="D348" t="str">
            <v xml:space="preserve"> </v>
          </cell>
          <cell r="E348" t="str">
            <v xml:space="preserve"> </v>
          </cell>
          <cell r="F348"/>
          <cell r="G348" t="str">
            <v xml:space="preserve"> </v>
          </cell>
          <cell r="H348"/>
          <cell r="I348" t="str">
            <v xml:space="preserve"> </v>
          </cell>
          <cell r="J348" t="str">
            <v xml:space="preserve"> </v>
          </cell>
          <cell r="K348"/>
          <cell r="L348" t="str">
            <v xml:space="preserve"> </v>
          </cell>
          <cell r="M348"/>
          <cell r="N348" t="str">
            <v xml:space="preserve"> </v>
          </cell>
          <cell r="O348" t="str">
            <v xml:space="preserve"> </v>
          </cell>
          <cell r="P348"/>
          <cell r="Q348" t="str">
            <v xml:space="preserve"> </v>
          </cell>
          <cell r="R348"/>
          <cell r="S348" t="str">
            <v xml:space="preserve"> </v>
          </cell>
          <cell r="T348" t="str">
            <v xml:space="preserve"> </v>
          </cell>
          <cell r="U348"/>
          <cell r="V348" t="str">
            <v xml:space="preserve"> </v>
          </cell>
          <cell r="W348" t="str">
            <v xml:space="preserve"> </v>
          </cell>
          <cell r="X348"/>
          <cell r="Y348" t="str">
            <v xml:space="preserve"> </v>
          </cell>
          <cell r="Z348"/>
          <cell r="AA348" t="str">
            <v xml:space="preserve"> </v>
          </cell>
          <cell r="AB348" t="str">
            <v xml:space="preserve"> </v>
          </cell>
          <cell r="AC348"/>
          <cell r="AD348" t="str">
            <v xml:space="preserve"> </v>
          </cell>
          <cell r="AE348"/>
          <cell r="AF348" t="str">
            <v xml:space="preserve"> </v>
          </cell>
          <cell r="AG348"/>
          <cell r="AH348"/>
          <cell r="AI348"/>
          <cell r="AJ348"/>
          <cell r="AK348" t="str">
            <v/>
          </cell>
          <cell r="AL348"/>
          <cell r="AM348" t="str">
            <v xml:space="preserve"> </v>
          </cell>
          <cell r="AN348" t="str">
            <v xml:space="preserve"> </v>
          </cell>
          <cell r="AO348"/>
          <cell r="AP348" t="str">
            <v xml:space="preserve"> </v>
          </cell>
          <cell r="AQ348"/>
          <cell r="AR348" t="str">
            <v xml:space="preserve"> </v>
          </cell>
          <cell r="AS348" t="str">
            <v xml:space="preserve"> </v>
          </cell>
          <cell r="AT348"/>
          <cell r="AU348" t="str">
            <v xml:space="preserve"> </v>
          </cell>
          <cell r="AV348"/>
          <cell r="AW348"/>
          <cell r="AX348" t="str">
            <v xml:space="preserve"> </v>
          </cell>
          <cell r="AY348"/>
          <cell r="AZ348" t="str">
            <v xml:space="preserve"> </v>
          </cell>
          <cell r="BA348"/>
          <cell r="BB348"/>
          <cell r="BC348" t="str">
            <v xml:space="preserve"> </v>
          </cell>
          <cell r="BD348"/>
          <cell r="BE348" t="str">
            <v xml:space="preserve"> </v>
          </cell>
          <cell r="BF348"/>
          <cell r="BG348"/>
          <cell r="BH348" t="str">
            <v xml:space="preserve"> </v>
          </cell>
          <cell r="BI348"/>
          <cell r="BJ348" t="str">
            <v xml:space="preserve"> </v>
          </cell>
          <cell r="BK348"/>
          <cell r="BL348" t="str">
            <v xml:space="preserve"> </v>
          </cell>
          <cell r="BM348" t="str">
            <v xml:space="preserve"> </v>
          </cell>
          <cell r="BN348"/>
          <cell r="BO348" t="str">
            <v xml:space="preserve"> </v>
          </cell>
        </row>
        <row r="349">
          <cell r="B349">
            <v>46367</v>
          </cell>
          <cell r="C349"/>
          <cell r="D349" t="str">
            <v xml:space="preserve"> </v>
          </cell>
          <cell r="E349" t="str">
            <v xml:space="preserve"> </v>
          </cell>
          <cell r="F349"/>
          <cell r="G349" t="str">
            <v xml:space="preserve"> </v>
          </cell>
          <cell r="H349"/>
          <cell r="I349" t="str">
            <v xml:space="preserve"> </v>
          </cell>
          <cell r="J349" t="str">
            <v xml:space="preserve"> </v>
          </cell>
          <cell r="K349"/>
          <cell r="L349" t="str">
            <v xml:space="preserve"> </v>
          </cell>
          <cell r="M349"/>
          <cell r="N349" t="str">
            <v xml:space="preserve"> </v>
          </cell>
          <cell r="O349" t="str">
            <v xml:space="preserve"> </v>
          </cell>
          <cell r="P349"/>
          <cell r="Q349" t="str">
            <v xml:space="preserve"> </v>
          </cell>
          <cell r="R349"/>
          <cell r="S349" t="str">
            <v xml:space="preserve"> </v>
          </cell>
          <cell r="T349" t="str">
            <v xml:space="preserve"> </v>
          </cell>
          <cell r="U349"/>
          <cell r="V349" t="str">
            <v xml:space="preserve"> </v>
          </cell>
          <cell r="W349" t="str">
            <v xml:space="preserve"> </v>
          </cell>
          <cell r="X349"/>
          <cell r="Y349" t="str">
            <v xml:space="preserve"> </v>
          </cell>
          <cell r="Z349"/>
          <cell r="AA349" t="str">
            <v xml:space="preserve"> </v>
          </cell>
          <cell r="AB349" t="str">
            <v xml:space="preserve"> </v>
          </cell>
          <cell r="AC349"/>
          <cell r="AD349" t="str">
            <v xml:space="preserve"> </v>
          </cell>
          <cell r="AE349"/>
          <cell r="AF349" t="str">
            <v xml:space="preserve"> </v>
          </cell>
          <cell r="AG349"/>
          <cell r="AH349"/>
          <cell r="AI349"/>
          <cell r="AJ349"/>
          <cell r="AK349" t="str">
            <v/>
          </cell>
          <cell r="AL349"/>
          <cell r="AM349" t="str">
            <v xml:space="preserve"> </v>
          </cell>
          <cell r="AN349" t="str">
            <v xml:space="preserve"> </v>
          </cell>
          <cell r="AO349"/>
          <cell r="AP349" t="str">
            <v xml:space="preserve"> </v>
          </cell>
          <cell r="AQ349"/>
          <cell r="AR349" t="str">
            <v xml:space="preserve"> </v>
          </cell>
          <cell r="AS349" t="str">
            <v xml:space="preserve"> </v>
          </cell>
          <cell r="AT349"/>
          <cell r="AU349" t="str">
            <v xml:space="preserve"> </v>
          </cell>
          <cell r="AV349"/>
          <cell r="AW349"/>
          <cell r="AX349" t="str">
            <v xml:space="preserve"> </v>
          </cell>
          <cell r="AY349"/>
          <cell r="AZ349" t="str">
            <v xml:space="preserve"> </v>
          </cell>
          <cell r="BA349"/>
          <cell r="BB349"/>
          <cell r="BC349" t="str">
            <v xml:space="preserve"> </v>
          </cell>
          <cell r="BD349"/>
          <cell r="BE349" t="str">
            <v xml:space="preserve"> </v>
          </cell>
          <cell r="BF349"/>
          <cell r="BG349"/>
          <cell r="BH349" t="str">
            <v xml:space="preserve"> </v>
          </cell>
          <cell r="BI349"/>
          <cell r="BJ349" t="str">
            <v xml:space="preserve"> </v>
          </cell>
          <cell r="BK349"/>
          <cell r="BL349" t="str">
            <v xml:space="preserve"> </v>
          </cell>
          <cell r="BM349" t="str">
            <v xml:space="preserve"> </v>
          </cell>
          <cell r="BN349"/>
          <cell r="BO349" t="str">
            <v xml:space="preserve"> </v>
          </cell>
        </row>
        <row r="350">
          <cell r="B350">
            <v>46368</v>
          </cell>
          <cell r="C350"/>
          <cell r="D350" t="str">
            <v xml:space="preserve"> </v>
          </cell>
          <cell r="E350" t="str">
            <v xml:space="preserve"> </v>
          </cell>
          <cell r="F350"/>
          <cell r="G350" t="str">
            <v xml:space="preserve"> </v>
          </cell>
          <cell r="H350"/>
          <cell r="I350" t="str">
            <v xml:space="preserve"> </v>
          </cell>
          <cell r="J350" t="str">
            <v xml:space="preserve"> </v>
          </cell>
          <cell r="K350"/>
          <cell r="L350" t="str">
            <v xml:space="preserve"> </v>
          </cell>
          <cell r="M350"/>
          <cell r="N350" t="str">
            <v xml:space="preserve"> </v>
          </cell>
          <cell r="O350" t="str">
            <v xml:space="preserve"> </v>
          </cell>
          <cell r="P350"/>
          <cell r="Q350" t="str">
            <v xml:space="preserve"> </v>
          </cell>
          <cell r="R350"/>
          <cell r="S350" t="str">
            <v xml:space="preserve"> </v>
          </cell>
          <cell r="T350" t="str">
            <v xml:space="preserve"> </v>
          </cell>
          <cell r="U350"/>
          <cell r="V350" t="str">
            <v xml:space="preserve"> </v>
          </cell>
          <cell r="W350" t="str">
            <v xml:space="preserve"> </v>
          </cell>
          <cell r="X350"/>
          <cell r="Y350" t="str">
            <v xml:space="preserve"> </v>
          </cell>
          <cell r="Z350"/>
          <cell r="AA350" t="str">
            <v xml:space="preserve"> </v>
          </cell>
          <cell r="AB350" t="str">
            <v xml:space="preserve"> </v>
          </cell>
          <cell r="AC350"/>
          <cell r="AD350" t="str">
            <v xml:space="preserve"> </v>
          </cell>
          <cell r="AE350"/>
          <cell r="AF350" t="str">
            <v xml:space="preserve"> </v>
          </cell>
          <cell r="AG350"/>
          <cell r="AH350"/>
          <cell r="AI350"/>
          <cell r="AJ350"/>
          <cell r="AK350" t="str">
            <v/>
          </cell>
          <cell r="AL350"/>
          <cell r="AM350" t="str">
            <v xml:space="preserve"> </v>
          </cell>
          <cell r="AN350" t="str">
            <v xml:space="preserve"> </v>
          </cell>
          <cell r="AO350"/>
          <cell r="AP350" t="str">
            <v xml:space="preserve"> </v>
          </cell>
          <cell r="AQ350"/>
          <cell r="AR350" t="str">
            <v xml:space="preserve"> </v>
          </cell>
          <cell r="AS350" t="str">
            <v xml:space="preserve"> </v>
          </cell>
          <cell r="AT350"/>
          <cell r="AU350" t="str">
            <v xml:space="preserve"> </v>
          </cell>
          <cell r="AV350"/>
          <cell r="AW350"/>
          <cell r="AX350" t="str">
            <v xml:space="preserve"> </v>
          </cell>
          <cell r="AY350"/>
          <cell r="AZ350" t="str">
            <v xml:space="preserve"> </v>
          </cell>
          <cell r="BA350"/>
          <cell r="BB350"/>
          <cell r="BC350" t="str">
            <v xml:space="preserve"> </v>
          </cell>
          <cell r="BD350"/>
          <cell r="BE350" t="str">
            <v xml:space="preserve"> </v>
          </cell>
          <cell r="BF350"/>
          <cell r="BG350"/>
          <cell r="BH350" t="str">
            <v xml:space="preserve"> </v>
          </cell>
          <cell r="BI350"/>
          <cell r="BJ350" t="str">
            <v xml:space="preserve"> </v>
          </cell>
          <cell r="BK350"/>
          <cell r="BL350" t="str">
            <v xml:space="preserve"> </v>
          </cell>
          <cell r="BM350" t="str">
            <v xml:space="preserve"> </v>
          </cell>
          <cell r="BN350"/>
          <cell r="BO350" t="str">
            <v xml:space="preserve"> </v>
          </cell>
        </row>
        <row r="351">
          <cell r="B351">
            <v>46369</v>
          </cell>
          <cell r="C351"/>
          <cell r="D351" t="str">
            <v xml:space="preserve"> </v>
          </cell>
          <cell r="E351" t="str">
            <v xml:space="preserve"> </v>
          </cell>
          <cell r="F351"/>
          <cell r="G351" t="str">
            <v xml:space="preserve"> </v>
          </cell>
          <cell r="H351"/>
          <cell r="I351" t="str">
            <v xml:space="preserve"> </v>
          </cell>
          <cell r="J351" t="str">
            <v xml:space="preserve"> </v>
          </cell>
          <cell r="K351"/>
          <cell r="L351" t="str">
            <v xml:space="preserve"> </v>
          </cell>
          <cell r="M351"/>
          <cell r="N351" t="str">
            <v xml:space="preserve"> </v>
          </cell>
          <cell r="O351" t="str">
            <v xml:space="preserve"> </v>
          </cell>
          <cell r="P351"/>
          <cell r="Q351" t="str">
            <v xml:space="preserve"> </v>
          </cell>
          <cell r="R351"/>
          <cell r="S351" t="str">
            <v xml:space="preserve"> </v>
          </cell>
          <cell r="T351" t="str">
            <v xml:space="preserve"> </v>
          </cell>
          <cell r="U351"/>
          <cell r="V351" t="str">
            <v xml:space="preserve"> </v>
          </cell>
          <cell r="W351" t="str">
            <v xml:space="preserve"> </v>
          </cell>
          <cell r="X351"/>
          <cell r="Y351" t="str">
            <v xml:space="preserve"> </v>
          </cell>
          <cell r="Z351"/>
          <cell r="AA351" t="str">
            <v xml:space="preserve"> </v>
          </cell>
          <cell r="AB351" t="str">
            <v xml:space="preserve"> </v>
          </cell>
          <cell r="AC351"/>
          <cell r="AD351" t="str">
            <v xml:space="preserve"> </v>
          </cell>
          <cell r="AE351"/>
          <cell r="AF351" t="str">
            <v xml:space="preserve"> </v>
          </cell>
          <cell r="AG351"/>
          <cell r="AH351"/>
          <cell r="AI351"/>
          <cell r="AJ351"/>
          <cell r="AK351" t="str">
            <v/>
          </cell>
          <cell r="AL351"/>
          <cell r="AM351" t="str">
            <v xml:space="preserve"> </v>
          </cell>
          <cell r="AN351" t="str">
            <v xml:space="preserve"> </v>
          </cell>
          <cell r="AO351"/>
          <cell r="AP351" t="str">
            <v xml:space="preserve"> </v>
          </cell>
          <cell r="AQ351"/>
          <cell r="AR351" t="str">
            <v xml:space="preserve"> </v>
          </cell>
          <cell r="AS351" t="str">
            <v xml:space="preserve"> </v>
          </cell>
          <cell r="AT351"/>
          <cell r="AU351" t="str">
            <v xml:space="preserve"> </v>
          </cell>
          <cell r="AV351"/>
          <cell r="AW351"/>
          <cell r="AX351" t="str">
            <v xml:space="preserve"> </v>
          </cell>
          <cell r="AY351"/>
          <cell r="AZ351" t="str">
            <v xml:space="preserve"> </v>
          </cell>
          <cell r="BA351"/>
          <cell r="BB351"/>
          <cell r="BC351" t="str">
            <v xml:space="preserve"> </v>
          </cell>
          <cell r="BD351"/>
          <cell r="BE351" t="str">
            <v xml:space="preserve"> </v>
          </cell>
          <cell r="BF351"/>
          <cell r="BG351"/>
          <cell r="BH351" t="str">
            <v xml:space="preserve"> </v>
          </cell>
          <cell r="BI351"/>
          <cell r="BJ351" t="str">
            <v xml:space="preserve"> </v>
          </cell>
          <cell r="BK351"/>
          <cell r="BL351" t="str">
            <v xml:space="preserve"> </v>
          </cell>
          <cell r="BM351" t="str">
            <v xml:space="preserve"> </v>
          </cell>
          <cell r="BN351"/>
          <cell r="BO351" t="str">
            <v xml:space="preserve"> </v>
          </cell>
        </row>
        <row r="352">
          <cell r="B352">
            <v>46370</v>
          </cell>
          <cell r="C352"/>
          <cell r="D352" t="str">
            <v xml:space="preserve"> </v>
          </cell>
          <cell r="E352" t="str">
            <v xml:space="preserve"> </v>
          </cell>
          <cell r="F352"/>
          <cell r="G352" t="str">
            <v xml:space="preserve"> </v>
          </cell>
          <cell r="H352"/>
          <cell r="I352" t="str">
            <v xml:space="preserve"> </v>
          </cell>
          <cell r="J352" t="str">
            <v xml:space="preserve"> </v>
          </cell>
          <cell r="K352"/>
          <cell r="L352" t="str">
            <v xml:space="preserve"> </v>
          </cell>
          <cell r="M352"/>
          <cell r="N352" t="str">
            <v xml:space="preserve"> </v>
          </cell>
          <cell r="O352" t="str">
            <v xml:space="preserve"> </v>
          </cell>
          <cell r="P352"/>
          <cell r="Q352" t="str">
            <v xml:space="preserve"> </v>
          </cell>
          <cell r="R352"/>
          <cell r="S352" t="str">
            <v xml:space="preserve"> </v>
          </cell>
          <cell r="T352" t="str">
            <v xml:space="preserve"> </v>
          </cell>
          <cell r="U352"/>
          <cell r="V352" t="str">
            <v xml:space="preserve"> </v>
          </cell>
          <cell r="W352" t="str">
            <v xml:space="preserve"> </v>
          </cell>
          <cell r="X352"/>
          <cell r="Y352" t="str">
            <v xml:space="preserve"> </v>
          </cell>
          <cell r="Z352"/>
          <cell r="AA352" t="str">
            <v xml:space="preserve"> </v>
          </cell>
          <cell r="AB352" t="str">
            <v xml:space="preserve"> </v>
          </cell>
          <cell r="AC352"/>
          <cell r="AD352" t="str">
            <v xml:space="preserve"> </v>
          </cell>
          <cell r="AE352"/>
          <cell r="AF352" t="str">
            <v xml:space="preserve"> </v>
          </cell>
          <cell r="AG352"/>
          <cell r="AH352"/>
          <cell r="AI352"/>
          <cell r="AJ352"/>
          <cell r="AK352" t="str">
            <v/>
          </cell>
          <cell r="AL352"/>
          <cell r="AM352" t="str">
            <v xml:space="preserve"> </v>
          </cell>
          <cell r="AN352" t="str">
            <v xml:space="preserve"> </v>
          </cell>
          <cell r="AO352"/>
          <cell r="AP352" t="str">
            <v xml:space="preserve"> </v>
          </cell>
          <cell r="AQ352"/>
          <cell r="AR352" t="str">
            <v xml:space="preserve"> </v>
          </cell>
          <cell r="AS352" t="str">
            <v xml:space="preserve"> </v>
          </cell>
          <cell r="AT352"/>
          <cell r="AU352" t="str">
            <v xml:space="preserve"> </v>
          </cell>
          <cell r="AV352"/>
          <cell r="AW352"/>
          <cell r="AX352" t="str">
            <v xml:space="preserve"> </v>
          </cell>
          <cell r="AY352"/>
          <cell r="AZ352" t="str">
            <v xml:space="preserve"> </v>
          </cell>
          <cell r="BA352"/>
          <cell r="BB352"/>
          <cell r="BC352" t="str">
            <v xml:space="preserve"> </v>
          </cell>
          <cell r="BD352"/>
          <cell r="BE352" t="str">
            <v xml:space="preserve"> </v>
          </cell>
          <cell r="BF352"/>
          <cell r="BG352"/>
          <cell r="BH352" t="str">
            <v xml:space="preserve"> </v>
          </cell>
          <cell r="BI352"/>
          <cell r="BJ352" t="str">
            <v xml:space="preserve"> </v>
          </cell>
          <cell r="BK352"/>
          <cell r="BL352" t="str">
            <v xml:space="preserve"> </v>
          </cell>
          <cell r="BM352" t="str">
            <v xml:space="preserve"> </v>
          </cell>
          <cell r="BN352"/>
          <cell r="BO352" t="str">
            <v xml:space="preserve"> </v>
          </cell>
        </row>
        <row r="353">
          <cell r="B353">
            <v>46371</v>
          </cell>
          <cell r="C353"/>
          <cell r="D353" t="str">
            <v xml:space="preserve"> </v>
          </cell>
          <cell r="E353" t="str">
            <v xml:space="preserve"> </v>
          </cell>
          <cell r="F353"/>
          <cell r="G353" t="str">
            <v xml:space="preserve"> </v>
          </cell>
          <cell r="H353"/>
          <cell r="I353" t="str">
            <v xml:space="preserve"> </v>
          </cell>
          <cell r="J353" t="str">
            <v xml:space="preserve"> </v>
          </cell>
          <cell r="K353"/>
          <cell r="L353" t="str">
            <v xml:space="preserve"> </v>
          </cell>
          <cell r="M353"/>
          <cell r="N353" t="str">
            <v xml:space="preserve"> </v>
          </cell>
          <cell r="O353" t="str">
            <v xml:space="preserve"> </v>
          </cell>
          <cell r="P353"/>
          <cell r="Q353" t="str">
            <v xml:space="preserve"> </v>
          </cell>
          <cell r="R353"/>
          <cell r="S353" t="str">
            <v xml:space="preserve"> </v>
          </cell>
          <cell r="T353" t="str">
            <v xml:space="preserve"> </v>
          </cell>
          <cell r="U353"/>
          <cell r="V353" t="str">
            <v xml:space="preserve"> </v>
          </cell>
          <cell r="W353" t="str">
            <v xml:space="preserve"> </v>
          </cell>
          <cell r="X353"/>
          <cell r="Y353" t="str">
            <v xml:space="preserve"> </v>
          </cell>
          <cell r="Z353"/>
          <cell r="AA353" t="str">
            <v xml:space="preserve"> </v>
          </cell>
          <cell r="AB353" t="str">
            <v xml:space="preserve"> </v>
          </cell>
          <cell r="AC353"/>
          <cell r="AD353" t="str">
            <v xml:space="preserve"> </v>
          </cell>
          <cell r="AE353"/>
          <cell r="AF353" t="str">
            <v xml:space="preserve"> </v>
          </cell>
          <cell r="AG353"/>
          <cell r="AH353"/>
          <cell r="AI353"/>
          <cell r="AJ353"/>
          <cell r="AK353" t="str">
            <v/>
          </cell>
          <cell r="AL353"/>
          <cell r="AM353" t="str">
            <v xml:space="preserve"> </v>
          </cell>
          <cell r="AN353" t="str">
            <v xml:space="preserve"> </v>
          </cell>
          <cell r="AO353"/>
          <cell r="AP353" t="str">
            <v xml:space="preserve"> </v>
          </cell>
          <cell r="AQ353"/>
          <cell r="AR353" t="str">
            <v xml:space="preserve"> </v>
          </cell>
          <cell r="AS353" t="str">
            <v xml:space="preserve"> </v>
          </cell>
          <cell r="AT353"/>
          <cell r="AU353" t="str">
            <v xml:space="preserve"> </v>
          </cell>
          <cell r="AV353"/>
          <cell r="AW353"/>
          <cell r="AX353" t="str">
            <v xml:space="preserve"> </v>
          </cell>
          <cell r="AY353"/>
          <cell r="AZ353" t="str">
            <v xml:space="preserve"> </v>
          </cell>
          <cell r="BA353"/>
          <cell r="BB353"/>
          <cell r="BC353" t="str">
            <v xml:space="preserve"> </v>
          </cell>
          <cell r="BD353"/>
          <cell r="BE353" t="str">
            <v xml:space="preserve"> </v>
          </cell>
          <cell r="BF353"/>
          <cell r="BG353"/>
          <cell r="BH353" t="str">
            <v xml:space="preserve"> </v>
          </cell>
          <cell r="BI353"/>
          <cell r="BJ353" t="str">
            <v xml:space="preserve"> </v>
          </cell>
          <cell r="BK353"/>
          <cell r="BL353" t="str">
            <v xml:space="preserve"> </v>
          </cell>
          <cell r="BM353" t="str">
            <v xml:space="preserve"> </v>
          </cell>
          <cell r="BN353"/>
          <cell r="BO353" t="str">
            <v xml:space="preserve"> </v>
          </cell>
        </row>
        <row r="354">
          <cell r="B354">
            <v>46372</v>
          </cell>
          <cell r="C354"/>
          <cell r="D354" t="str">
            <v xml:space="preserve"> </v>
          </cell>
          <cell r="E354" t="str">
            <v xml:space="preserve"> </v>
          </cell>
          <cell r="F354"/>
          <cell r="G354" t="str">
            <v xml:space="preserve"> </v>
          </cell>
          <cell r="H354"/>
          <cell r="I354" t="str">
            <v xml:space="preserve"> </v>
          </cell>
          <cell r="J354" t="str">
            <v xml:space="preserve"> </v>
          </cell>
          <cell r="K354"/>
          <cell r="L354" t="str">
            <v xml:space="preserve"> </v>
          </cell>
          <cell r="M354"/>
          <cell r="N354" t="str">
            <v xml:space="preserve"> </v>
          </cell>
          <cell r="O354" t="str">
            <v xml:space="preserve"> </v>
          </cell>
          <cell r="P354"/>
          <cell r="Q354" t="str">
            <v xml:space="preserve"> </v>
          </cell>
          <cell r="R354"/>
          <cell r="S354" t="str">
            <v xml:space="preserve"> </v>
          </cell>
          <cell r="T354" t="str">
            <v xml:space="preserve"> </v>
          </cell>
          <cell r="U354"/>
          <cell r="V354" t="str">
            <v xml:space="preserve"> </v>
          </cell>
          <cell r="W354" t="str">
            <v xml:space="preserve"> </v>
          </cell>
          <cell r="X354"/>
          <cell r="Y354" t="str">
            <v xml:space="preserve"> </v>
          </cell>
          <cell r="Z354"/>
          <cell r="AA354" t="str">
            <v xml:space="preserve"> </v>
          </cell>
          <cell r="AB354" t="str">
            <v xml:space="preserve"> </v>
          </cell>
          <cell r="AC354"/>
          <cell r="AD354" t="str">
            <v xml:space="preserve"> </v>
          </cell>
          <cell r="AE354"/>
          <cell r="AF354" t="str">
            <v xml:space="preserve"> </v>
          </cell>
          <cell r="AG354"/>
          <cell r="AH354"/>
          <cell r="AI354"/>
          <cell r="AJ354"/>
          <cell r="AK354" t="str">
            <v/>
          </cell>
          <cell r="AL354"/>
          <cell r="AM354" t="str">
            <v xml:space="preserve"> </v>
          </cell>
          <cell r="AN354" t="str">
            <v xml:space="preserve"> </v>
          </cell>
          <cell r="AO354"/>
          <cell r="AP354" t="str">
            <v xml:space="preserve"> </v>
          </cell>
          <cell r="AQ354"/>
          <cell r="AR354" t="str">
            <v xml:space="preserve"> </v>
          </cell>
          <cell r="AS354" t="str">
            <v xml:space="preserve"> </v>
          </cell>
          <cell r="AT354"/>
          <cell r="AU354" t="str">
            <v xml:space="preserve"> </v>
          </cell>
          <cell r="AV354"/>
          <cell r="AW354"/>
          <cell r="AX354" t="str">
            <v xml:space="preserve"> </v>
          </cell>
          <cell r="AY354"/>
          <cell r="AZ354" t="str">
            <v xml:space="preserve"> </v>
          </cell>
          <cell r="BA354"/>
          <cell r="BB354"/>
          <cell r="BC354" t="str">
            <v xml:space="preserve"> </v>
          </cell>
          <cell r="BD354"/>
          <cell r="BE354" t="str">
            <v xml:space="preserve"> </v>
          </cell>
          <cell r="BF354"/>
          <cell r="BG354"/>
          <cell r="BH354" t="str">
            <v xml:space="preserve"> </v>
          </cell>
          <cell r="BI354"/>
          <cell r="BJ354" t="str">
            <v xml:space="preserve"> </v>
          </cell>
          <cell r="BK354"/>
          <cell r="BL354" t="str">
            <v xml:space="preserve"> </v>
          </cell>
          <cell r="BM354" t="str">
            <v xml:space="preserve"> </v>
          </cell>
          <cell r="BN354"/>
          <cell r="BO354" t="str">
            <v xml:space="preserve"> </v>
          </cell>
        </row>
        <row r="355">
          <cell r="B355">
            <v>46373</v>
          </cell>
          <cell r="C355"/>
          <cell r="D355" t="str">
            <v xml:space="preserve"> </v>
          </cell>
          <cell r="E355" t="str">
            <v xml:space="preserve"> </v>
          </cell>
          <cell r="F355"/>
          <cell r="G355" t="str">
            <v xml:space="preserve"> </v>
          </cell>
          <cell r="H355"/>
          <cell r="I355" t="str">
            <v xml:space="preserve"> </v>
          </cell>
          <cell r="J355" t="str">
            <v xml:space="preserve"> </v>
          </cell>
          <cell r="K355"/>
          <cell r="L355" t="str">
            <v xml:space="preserve"> </v>
          </cell>
          <cell r="M355"/>
          <cell r="N355" t="str">
            <v xml:space="preserve"> </v>
          </cell>
          <cell r="O355" t="str">
            <v xml:space="preserve"> </v>
          </cell>
          <cell r="P355"/>
          <cell r="Q355" t="str">
            <v xml:space="preserve"> </v>
          </cell>
          <cell r="R355"/>
          <cell r="S355" t="str">
            <v xml:space="preserve"> </v>
          </cell>
          <cell r="T355" t="str">
            <v xml:space="preserve"> </v>
          </cell>
          <cell r="U355"/>
          <cell r="V355" t="str">
            <v xml:space="preserve"> </v>
          </cell>
          <cell r="W355" t="str">
            <v xml:space="preserve"> </v>
          </cell>
          <cell r="X355"/>
          <cell r="Y355" t="str">
            <v xml:space="preserve"> </v>
          </cell>
          <cell r="Z355"/>
          <cell r="AA355" t="str">
            <v xml:space="preserve"> </v>
          </cell>
          <cell r="AB355" t="str">
            <v xml:space="preserve"> </v>
          </cell>
          <cell r="AC355"/>
          <cell r="AD355" t="str">
            <v xml:space="preserve"> </v>
          </cell>
          <cell r="AE355"/>
          <cell r="AF355" t="str">
            <v xml:space="preserve"> </v>
          </cell>
          <cell r="AG355"/>
          <cell r="AH355"/>
          <cell r="AI355"/>
          <cell r="AJ355"/>
          <cell r="AK355" t="str">
            <v/>
          </cell>
          <cell r="AL355"/>
          <cell r="AM355" t="str">
            <v xml:space="preserve"> </v>
          </cell>
          <cell r="AN355" t="str">
            <v xml:space="preserve"> </v>
          </cell>
          <cell r="AO355"/>
          <cell r="AP355" t="str">
            <v xml:space="preserve"> </v>
          </cell>
          <cell r="AQ355"/>
          <cell r="AR355" t="str">
            <v xml:space="preserve"> </v>
          </cell>
          <cell r="AS355" t="str">
            <v xml:space="preserve"> </v>
          </cell>
          <cell r="AT355"/>
          <cell r="AU355" t="str">
            <v xml:space="preserve"> </v>
          </cell>
          <cell r="AV355"/>
          <cell r="AW355"/>
          <cell r="AX355" t="str">
            <v xml:space="preserve"> </v>
          </cell>
          <cell r="AY355"/>
          <cell r="AZ355" t="str">
            <v xml:space="preserve"> </v>
          </cell>
          <cell r="BA355"/>
          <cell r="BB355"/>
          <cell r="BC355" t="str">
            <v xml:space="preserve"> </v>
          </cell>
          <cell r="BD355"/>
          <cell r="BE355" t="str">
            <v xml:space="preserve"> </v>
          </cell>
          <cell r="BF355"/>
          <cell r="BG355"/>
          <cell r="BH355" t="str">
            <v xml:space="preserve"> </v>
          </cell>
          <cell r="BI355"/>
          <cell r="BJ355" t="str">
            <v xml:space="preserve"> </v>
          </cell>
          <cell r="BK355"/>
          <cell r="BL355" t="str">
            <v xml:space="preserve"> </v>
          </cell>
          <cell r="BM355" t="str">
            <v xml:space="preserve"> </v>
          </cell>
          <cell r="BN355"/>
          <cell r="BO355" t="str">
            <v xml:space="preserve"> </v>
          </cell>
        </row>
        <row r="356">
          <cell r="B356">
            <v>46374</v>
          </cell>
          <cell r="C356"/>
          <cell r="D356" t="str">
            <v xml:space="preserve"> </v>
          </cell>
          <cell r="E356" t="str">
            <v xml:space="preserve"> </v>
          </cell>
          <cell r="F356"/>
          <cell r="G356" t="str">
            <v xml:space="preserve"> </v>
          </cell>
          <cell r="H356"/>
          <cell r="I356" t="str">
            <v xml:space="preserve"> </v>
          </cell>
          <cell r="J356" t="str">
            <v xml:space="preserve"> </v>
          </cell>
          <cell r="K356"/>
          <cell r="L356" t="str">
            <v xml:space="preserve"> </v>
          </cell>
          <cell r="M356"/>
          <cell r="N356" t="str">
            <v xml:space="preserve"> </v>
          </cell>
          <cell r="O356" t="str">
            <v xml:space="preserve"> </v>
          </cell>
          <cell r="P356"/>
          <cell r="Q356" t="str">
            <v xml:space="preserve"> </v>
          </cell>
          <cell r="R356"/>
          <cell r="S356" t="str">
            <v xml:space="preserve"> </v>
          </cell>
          <cell r="T356" t="str">
            <v xml:space="preserve"> </v>
          </cell>
          <cell r="U356"/>
          <cell r="V356" t="str">
            <v xml:space="preserve"> </v>
          </cell>
          <cell r="W356" t="str">
            <v xml:space="preserve"> </v>
          </cell>
          <cell r="X356"/>
          <cell r="Y356" t="str">
            <v xml:space="preserve"> </v>
          </cell>
          <cell r="Z356"/>
          <cell r="AA356" t="str">
            <v xml:space="preserve"> </v>
          </cell>
          <cell r="AB356" t="str">
            <v xml:space="preserve"> </v>
          </cell>
          <cell r="AC356"/>
          <cell r="AD356" t="str">
            <v xml:space="preserve"> </v>
          </cell>
          <cell r="AE356"/>
          <cell r="AF356" t="str">
            <v xml:space="preserve"> </v>
          </cell>
          <cell r="AG356"/>
          <cell r="AH356"/>
          <cell r="AI356"/>
          <cell r="AJ356"/>
          <cell r="AK356" t="str">
            <v/>
          </cell>
          <cell r="AL356"/>
          <cell r="AM356" t="str">
            <v xml:space="preserve"> </v>
          </cell>
          <cell r="AN356" t="str">
            <v xml:space="preserve"> </v>
          </cell>
          <cell r="AO356"/>
          <cell r="AP356" t="str">
            <v xml:space="preserve"> </v>
          </cell>
          <cell r="AQ356"/>
          <cell r="AR356" t="str">
            <v xml:space="preserve"> </v>
          </cell>
          <cell r="AS356" t="str">
            <v xml:space="preserve"> </v>
          </cell>
          <cell r="AT356"/>
          <cell r="AU356" t="str">
            <v xml:space="preserve"> </v>
          </cell>
          <cell r="AV356"/>
          <cell r="AW356"/>
          <cell r="AX356" t="str">
            <v xml:space="preserve"> </v>
          </cell>
          <cell r="AY356"/>
          <cell r="AZ356" t="str">
            <v xml:space="preserve"> </v>
          </cell>
          <cell r="BA356"/>
          <cell r="BB356"/>
          <cell r="BC356" t="str">
            <v xml:space="preserve"> </v>
          </cell>
          <cell r="BD356"/>
          <cell r="BE356" t="str">
            <v xml:space="preserve"> </v>
          </cell>
          <cell r="BF356"/>
          <cell r="BG356"/>
          <cell r="BH356" t="str">
            <v xml:space="preserve"> </v>
          </cell>
          <cell r="BI356"/>
          <cell r="BJ356" t="str">
            <v xml:space="preserve"> </v>
          </cell>
          <cell r="BK356"/>
          <cell r="BL356" t="str">
            <v xml:space="preserve"> </v>
          </cell>
          <cell r="BM356" t="str">
            <v xml:space="preserve"> </v>
          </cell>
          <cell r="BN356"/>
          <cell r="BO356" t="str">
            <v xml:space="preserve"> </v>
          </cell>
        </row>
        <row r="357">
          <cell r="B357">
            <v>46375</v>
          </cell>
          <cell r="C357"/>
          <cell r="D357" t="str">
            <v xml:space="preserve"> </v>
          </cell>
          <cell r="E357" t="str">
            <v xml:space="preserve"> </v>
          </cell>
          <cell r="F357"/>
          <cell r="G357" t="str">
            <v xml:space="preserve"> </v>
          </cell>
          <cell r="H357"/>
          <cell r="I357" t="str">
            <v xml:space="preserve"> </v>
          </cell>
          <cell r="J357" t="str">
            <v xml:space="preserve"> </v>
          </cell>
          <cell r="K357"/>
          <cell r="L357" t="str">
            <v xml:space="preserve"> </v>
          </cell>
          <cell r="M357"/>
          <cell r="N357" t="str">
            <v xml:space="preserve"> </v>
          </cell>
          <cell r="O357" t="str">
            <v xml:space="preserve"> </v>
          </cell>
          <cell r="P357"/>
          <cell r="Q357" t="str">
            <v xml:space="preserve"> </v>
          </cell>
          <cell r="R357"/>
          <cell r="S357" t="str">
            <v xml:space="preserve"> </v>
          </cell>
          <cell r="T357" t="str">
            <v xml:space="preserve"> </v>
          </cell>
          <cell r="U357"/>
          <cell r="V357" t="str">
            <v xml:space="preserve"> </v>
          </cell>
          <cell r="W357" t="str">
            <v xml:space="preserve"> </v>
          </cell>
          <cell r="X357"/>
          <cell r="Y357" t="str">
            <v xml:space="preserve"> </v>
          </cell>
          <cell r="Z357"/>
          <cell r="AA357" t="str">
            <v xml:space="preserve"> </v>
          </cell>
          <cell r="AB357" t="str">
            <v xml:space="preserve"> </v>
          </cell>
          <cell r="AC357"/>
          <cell r="AD357" t="str">
            <v xml:space="preserve"> </v>
          </cell>
          <cell r="AE357"/>
          <cell r="AF357" t="str">
            <v xml:space="preserve"> </v>
          </cell>
          <cell r="AG357"/>
          <cell r="AH357"/>
          <cell r="AI357"/>
          <cell r="AJ357"/>
          <cell r="AK357" t="str">
            <v/>
          </cell>
          <cell r="AL357"/>
          <cell r="AM357" t="str">
            <v xml:space="preserve"> </v>
          </cell>
          <cell r="AN357" t="str">
            <v xml:space="preserve"> </v>
          </cell>
          <cell r="AO357"/>
          <cell r="AP357" t="str">
            <v xml:space="preserve"> </v>
          </cell>
          <cell r="AQ357"/>
          <cell r="AR357" t="str">
            <v xml:space="preserve"> </v>
          </cell>
          <cell r="AS357" t="str">
            <v xml:space="preserve"> </v>
          </cell>
          <cell r="AT357"/>
          <cell r="AU357" t="str">
            <v xml:space="preserve"> </v>
          </cell>
          <cell r="AV357"/>
          <cell r="AW357"/>
          <cell r="AX357" t="str">
            <v xml:space="preserve"> </v>
          </cell>
          <cell r="AY357"/>
          <cell r="AZ357" t="str">
            <v xml:space="preserve"> </v>
          </cell>
          <cell r="BA357"/>
          <cell r="BB357"/>
          <cell r="BC357" t="str">
            <v xml:space="preserve"> </v>
          </cell>
          <cell r="BD357"/>
          <cell r="BE357" t="str">
            <v xml:space="preserve"> </v>
          </cell>
          <cell r="BF357"/>
          <cell r="BG357"/>
          <cell r="BH357" t="str">
            <v xml:space="preserve"> </v>
          </cell>
          <cell r="BI357"/>
          <cell r="BJ357" t="str">
            <v xml:space="preserve"> </v>
          </cell>
          <cell r="BK357"/>
          <cell r="BL357" t="str">
            <v xml:space="preserve"> </v>
          </cell>
          <cell r="BM357" t="str">
            <v xml:space="preserve"> </v>
          </cell>
          <cell r="BN357"/>
          <cell r="BO357" t="str">
            <v xml:space="preserve"> </v>
          </cell>
        </row>
        <row r="358">
          <cell r="B358">
            <v>46376</v>
          </cell>
          <cell r="C358"/>
          <cell r="D358" t="str">
            <v xml:space="preserve"> </v>
          </cell>
          <cell r="E358" t="str">
            <v xml:space="preserve"> </v>
          </cell>
          <cell r="F358"/>
          <cell r="G358" t="str">
            <v xml:space="preserve"> </v>
          </cell>
          <cell r="H358"/>
          <cell r="I358" t="str">
            <v xml:space="preserve"> </v>
          </cell>
          <cell r="J358" t="str">
            <v xml:space="preserve"> </v>
          </cell>
          <cell r="K358"/>
          <cell r="L358" t="str">
            <v xml:space="preserve"> </v>
          </cell>
          <cell r="M358"/>
          <cell r="N358" t="str">
            <v xml:space="preserve"> </v>
          </cell>
          <cell r="O358" t="str">
            <v xml:space="preserve"> </v>
          </cell>
          <cell r="P358"/>
          <cell r="Q358" t="str">
            <v xml:space="preserve"> </v>
          </cell>
          <cell r="R358"/>
          <cell r="S358" t="str">
            <v xml:space="preserve"> </v>
          </cell>
          <cell r="T358" t="str">
            <v xml:space="preserve"> </v>
          </cell>
          <cell r="U358"/>
          <cell r="V358" t="str">
            <v xml:space="preserve"> </v>
          </cell>
          <cell r="W358" t="str">
            <v xml:space="preserve"> </v>
          </cell>
          <cell r="X358"/>
          <cell r="Y358" t="str">
            <v xml:space="preserve"> </v>
          </cell>
          <cell r="Z358"/>
          <cell r="AA358" t="str">
            <v xml:space="preserve"> </v>
          </cell>
          <cell r="AB358" t="str">
            <v xml:space="preserve"> </v>
          </cell>
          <cell r="AC358"/>
          <cell r="AD358" t="str">
            <v xml:space="preserve"> </v>
          </cell>
          <cell r="AE358"/>
          <cell r="AF358" t="str">
            <v xml:space="preserve"> </v>
          </cell>
          <cell r="AG358"/>
          <cell r="AH358"/>
          <cell r="AI358"/>
          <cell r="AJ358"/>
          <cell r="AK358" t="str">
            <v/>
          </cell>
          <cell r="AL358"/>
          <cell r="AM358" t="str">
            <v xml:space="preserve"> </v>
          </cell>
          <cell r="AN358" t="str">
            <v xml:space="preserve"> </v>
          </cell>
          <cell r="AO358"/>
          <cell r="AP358" t="str">
            <v xml:space="preserve"> </v>
          </cell>
          <cell r="AQ358"/>
          <cell r="AR358" t="str">
            <v xml:space="preserve"> </v>
          </cell>
          <cell r="AS358" t="str">
            <v xml:space="preserve"> </v>
          </cell>
          <cell r="AT358"/>
          <cell r="AU358" t="str">
            <v xml:space="preserve"> </v>
          </cell>
          <cell r="AV358"/>
          <cell r="AW358"/>
          <cell r="AX358" t="str">
            <v xml:space="preserve"> </v>
          </cell>
          <cell r="AY358"/>
          <cell r="AZ358" t="str">
            <v xml:space="preserve"> </v>
          </cell>
          <cell r="BA358"/>
          <cell r="BB358"/>
          <cell r="BC358" t="str">
            <v xml:space="preserve"> </v>
          </cell>
          <cell r="BD358"/>
          <cell r="BE358" t="str">
            <v xml:space="preserve"> </v>
          </cell>
          <cell r="BF358"/>
          <cell r="BG358"/>
          <cell r="BH358" t="str">
            <v xml:space="preserve"> </v>
          </cell>
          <cell r="BI358"/>
          <cell r="BJ358" t="str">
            <v xml:space="preserve"> </v>
          </cell>
          <cell r="BK358"/>
          <cell r="BL358" t="str">
            <v xml:space="preserve"> </v>
          </cell>
          <cell r="BM358" t="str">
            <v xml:space="preserve"> </v>
          </cell>
          <cell r="BN358"/>
          <cell r="BO358" t="str">
            <v xml:space="preserve"> </v>
          </cell>
        </row>
        <row r="359">
          <cell r="B359">
            <v>46377</v>
          </cell>
          <cell r="C359"/>
          <cell r="D359" t="str">
            <v xml:space="preserve"> </v>
          </cell>
          <cell r="E359" t="str">
            <v xml:space="preserve"> </v>
          </cell>
          <cell r="F359"/>
          <cell r="G359" t="str">
            <v xml:space="preserve"> </v>
          </cell>
          <cell r="H359"/>
          <cell r="I359" t="str">
            <v xml:space="preserve"> </v>
          </cell>
          <cell r="J359" t="str">
            <v xml:space="preserve"> </v>
          </cell>
          <cell r="K359"/>
          <cell r="L359" t="str">
            <v xml:space="preserve"> </v>
          </cell>
          <cell r="M359"/>
          <cell r="N359" t="str">
            <v xml:space="preserve"> </v>
          </cell>
          <cell r="O359" t="str">
            <v xml:space="preserve"> </v>
          </cell>
          <cell r="P359"/>
          <cell r="Q359" t="str">
            <v xml:space="preserve"> </v>
          </cell>
          <cell r="R359"/>
          <cell r="S359" t="str">
            <v xml:space="preserve"> </v>
          </cell>
          <cell r="T359" t="str">
            <v xml:space="preserve"> </v>
          </cell>
          <cell r="U359"/>
          <cell r="V359" t="str">
            <v xml:space="preserve"> </v>
          </cell>
          <cell r="W359" t="str">
            <v xml:space="preserve"> </v>
          </cell>
          <cell r="X359"/>
          <cell r="Y359" t="str">
            <v xml:space="preserve"> </v>
          </cell>
          <cell r="Z359"/>
          <cell r="AA359" t="str">
            <v xml:space="preserve"> </v>
          </cell>
          <cell r="AB359" t="str">
            <v xml:space="preserve"> </v>
          </cell>
          <cell r="AC359"/>
          <cell r="AD359" t="str">
            <v xml:space="preserve"> </v>
          </cell>
          <cell r="AE359"/>
          <cell r="AF359" t="str">
            <v xml:space="preserve"> </v>
          </cell>
          <cell r="AG359"/>
          <cell r="AH359"/>
          <cell r="AI359"/>
          <cell r="AJ359"/>
          <cell r="AK359" t="str">
            <v/>
          </cell>
          <cell r="AL359"/>
          <cell r="AM359" t="str">
            <v xml:space="preserve"> </v>
          </cell>
          <cell r="AN359" t="str">
            <v xml:space="preserve"> </v>
          </cell>
          <cell r="AO359"/>
          <cell r="AP359" t="str">
            <v xml:space="preserve"> </v>
          </cell>
          <cell r="AQ359"/>
          <cell r="AR359" t="str">
            <v xml:space="preserve"> </v>
          </cell>
          <cell r="AS359" t="str">
            <v xml:space="preserve"> </v>
          </cell>
          <cell r="AT359"/>
          <cell r="AU359" t="str">
            <v xml:space="preserve"> </v>
          </cell>
          <cell r="AV359"/>
          <cell r="AW359"/>
          <cell r="AX359" t="str">
            <v xml:space="preserve"> </v>
          </cell>
          <cell r="AY359"/>
          <cell r="AZ359" t="str">
            <v xml:space="preserve"> </v>
          </cell>
          <cell r="BA359"/>
          <cell r="BB359"/>
          <cell r="BC359" t="str">
            <v xml:space="preserve"> </v>
          </cell>
          <cell r="BD359"/>
          <cell r="BE359" t="str">
            <v xml:space="preserve"> </v>
          </cell>
          <cell r="BF359"/>
          <cell r="BG359"/>
          <cell r="BH359" t="str">
            <v xml:space="preserve"> </v>
          </cell>
          <cell r="BI359"/>
          <cell r="BJ359" t="str">
            <v xml:space="preserve"> </v>
          </cell>
          <cell r="BK359"/>
          <cell r="BL359" t="str">
            <v xml:space="preserve"> </v>
          </cell>
          <cell r="BM359" t="str">
            <v xml:space="preserve"> </v>
          </cell>
          <cell r="BN359"/>
          <cell r="BO359" t="str">
            <v xml:space="preserve"> </v>
          </cell>
        </row>
        <row r="360">
          <cell r="B360">
            <v>46378</v>
          </cell>
          <cell r="C360"/>
          <cell r="D360" t="str">
            <v xml:space="preserve"> </v>
          </cell>
          <cell r="E360" t="str">
            <v xml:space="preserve"> </v>
          </cell>
          <cell r="F360"/>
          <cell r="G360" t="str">
            <v xml:space="preserve"> </v>
          </cell>
          <cell r="H360"/>
          <cell r="I360" t="str">
            <v xml:space="preserve"> </v>
          </cell>
          <cell r="J360" t="str">
            <v xml:space="preserve"> </v>
          </cell>
          <cell r="K360"/>
          <cell r="L360" t="str">
            <v xml:space="preserve"> </v>
          </cell>
          <cell r="M360"/>
          <cell r="N360" t="str">
            <v xml:space="preserve"> </v>
          </cell>
          <cell r="O360" t="str">
            <v xml:space="preserve"> </v>
          </cell>
          <cell r="P360"/>
          <cell r="Q360" t="str">
            <v xml:space="preserve"> </v>
          </cell>
          <cell r="R360"/>
          <cell r="S360" t="str">
            <v xml:space="preserve"> </v>
          </cell>
          <cell r="T360" t="str">
            <v xml:space="preserve"> </v>
          </cell>
          <cell r="U360"/>
          <cell r="V360" t="str">
            <v xml:space="preserve"> </v>
          </cell>
          <cell r="W360" t="str">
            <v xml:space="preserve"> </v>
          </cell>
          <cell r="X360"/>
          <cell r="Y360" t="str">
            <v xml:space="preserve"> </v>
          </cell>
          <cell r="Z360"/>
          <cell r="AA360" t="str">
            <v xml:space="preserve"> </v>
          </cell>
          <cell r="AB360" t="str">
            <v xml:space="preserve"> </v>
          </cell>
          <cell r="AC360"/>
          <cell r="AD360" t="str">
            <v xml:space="preserve"> </v>
          </cell>
          <cell r="AE360"/>
          <cell r="AF360" t="str">
            <v xml:space="preserve"> </v>
          </cell>
          <cell r="AG360"/>
          <cell r="AH360"/>
          <cell r="AI360"/>
          <cell r="AJ360"/>
          <cell r="AK360" t="str">
            <v/>
          </cell>
          <cell r="AL360"/>
          <cell r="AM360" t="str">
            <v xml:space="preserve"> </v>
          </cell>
          <cell r="AN360" t="str">
            <v xml:space="preserve"> </v>
          </cell>
          <cell r="AO360"/>
          <cell r="AP360" t="str">
            <v xml:space="preserve"> </v>
          </cell>
          <cell r="AQ360"/>
          <cell r="AR360" t="str">
            <v xml:space="preserve"> </v>
          </cell>
          <cell r="AS360" t="str">
            <v xml:space="preserve"> </v>
          </cell>
          <cell r="AT360"/>
          <cell r="AU360" t="str">
            <v xml:space="preserve"> </v>
          </cell>
          <cell r="AV360"/>
          <cell r="AW360"/>
          <cell r="AX360" t="str">
            <v xml:space="preserve"> </v>
          </cell>
          <cell r="AY360"/>
          <cell r="AZ360" t="str">
            <v xml:space="preserve"> </v>
          </cell>
          <cell r="BA360"/>
          <cell r="BB360"/>
          <cell r="BC360" t="str">
            <v xml:space="preserve"> </v>
          </cell>
          <cell r="BD360"/>
          <cell r="BE360" t="str">
            <v xml:space="preserve"> </v>
          </cell>
          <cell r="BF360"/>
          <cell r="BG360"/>
          <cell r="BH360" t="str">
            <v xml:space="preserve"> </v>
          </cell>
          <cell r="BI360"/>
          <cell r="BJ360" t="str">
            <v xml:space="preserve"> </v>
          </cell>
          <cell r="BK360"/>
          <cell r="BL360" t="str">
            <v xml:space="preserve"> </v>
          </cell>
          <cell r="BM360" t="str">
            <v xml:space="preserve"> </v>
          </cell>
          <cell r="BN360"/>
          <cell r="BO360" t="str">
            <v xml:space="preserve"> </v>
          </cell>
        </row>
        <row r="361">
          <cell r="B361">
            <v>46379</v>
          </cell>
          <cell r="C361"/>
          <cell r="D361" t="str">
            <v xml:space="preserve"> </v>
          </cell>
          <cell r="E361" t="str">
            <v xml:space="preserve"> </v>
          </cell>
          <cell r="F361"/>
          <cell r="G361" t="str">
            <v xml:space="preserve"> </v>
          </cell>
          <cell r="H361"/>
          <cell r="I361" t="str">
            <v xml:space="preserve"> </v>
          </cell>
          <cell r="J361" t="str">
            <v xml:space="preserve"> </v>
          </cell>
          <cell r="K361"/>
          <cell r="L361" t="str">
            <v xml:space="preserve"> </v>
          </cell>
          <cell r="M361"/>
          <cell r="N361" t="str">
            <v xml:space="preserve"> </v>
          </cell>
          <cell r="O361" t="str">
            <v xml:space="preserve"> </v>
          </cell>
          <cell r="P361"/>
          <cell r="Q361" t="str">
            <v xml:space="preserve"> </v>
          </cell>
          <cell r="R361"/>
          <cell r="S361" t="str">
            <v xml:space="preserve"> </v>
          </cell>
          <cell r="T361" t="str">
            <v xml:space="preserve"> </v>
          </cell>
          <cell r="U361"/>
          <cell r="V361" t="str">
            <v xml:space="preserve"> </v>
          </cell>
          <cell r="W361" t="str">
            <v xml:space="preserve"> </v>
          </cell>
          <cell r="X361"/>
          <cell r="Y361" t="str">
            <v xml:space="preserve"> </v>
          </cell>
          <cell r="Z361"/>
          <cell r="AA361" t="str">
            <v xml:space="preserve"> </v>
          </cell>
          <cell r="AB361" t="str">
            <v xml:space="preserve"> </v>
          </cell>
          <cell r="AC361"/>
          <cell r="AD361" t="str">
            <v xml:space="preserve"> </v>
          </cell>
          <cell r="AE361"/>
          <cell r="AF361" t="str">
            <v xml:space="preserve"> </v>
          </cell>
          <cell r="AG361"/>
          <cell r="AH361"/>
          <cell r="AI361"/>
          <cell r="AJ361"/>
          <cell r="AK361" t="str">
            <v/>
          </cell>
          <cell r="AL361"/>
          <cell r="AM361" t="str">
            <v xml:space="preserve"> </v>
          </cell>
          <cell r="AN361" t="str">
            <v xml:space="preserve"> </v>
          </cell>
          <cell r="AO361"/>
          <cell r="AP361" t="str">
            <v xml:space="preserve"> </v>
          </cell>
          <cell r="AQ361"/>
          <cell r="AR361" t="str">
            <v xml:space="preserve"> </v>
          </cell>
          <cell r="AS361" t="str">
            <v xml:space="preserve"> </v>
          </cell>
          <cell r="AT361"/>
          <cell r="AU361" t="str">
            <v xml:space="preserve"> </v>
          </cell>
          <cell r="AV361"/>
          <cell r="AW361"/>
          <cell r="AX361" t="str">
            <v xml:space="preserve"> </v>
          </cell>
          <cell r="AY361"/>
          <cell r="AZ361" t="str">
            <v xml:space="preserve"> </v>
          </cell>
          <cell r="BA361"/>
          <cell r="BB361"/>
          <cell r="BC361" t="str">
            <v xml:space="preserve"> </v>
          </cell>
          <cell r="BD361"/>
          <cell r="BE361" t="str">
            <v xml:space="preserve"> </v>
          </cell>
          <cell r="BF361"/>
          <cell r="BG361"/>
          <cell r="BH361" t="str">
            <v xml:space="preserve"> </v>
          </cell>
          <cell r="BI361"/>
          <cell r="BJ361" t="str">
            <v xml:space="preserve"> </v>
          </cell>
          <cell r="BK361"/>
          <cell r="BL361" t="str">
            <v xml:space="preserve"> </v>
          </cell>
          <cell r="BM361" t="str">
            <v xml:space="preserve"> </v>
          </cell>
          <cell r="BN361"/>
          <cell r="BO361" t="str">
            <v xml:space="preserve"> </v>
          </cell>
        </row>
        <row r="362">
          <cell r="B362">
            <v>46380</v>
          </cell>
          <cell r="C362"/>
          <cell r="D362" t="str">
            <v xml:space="preserve"> </v>
          </cell>
          <cell r="E362" t="str">
            <v xml:space="preserve"> </v>
          </cell>
          <cell r="F362"/>
          <cell r="G362" t="str">
            <v xml:space="preserve"> </v>
          </cell>
          <cell r="H362"/>
          <cell r="I362" t="str">
            <v xml:space="preserve"> </v>
          </cell>
          <cell r="J362" t="str">
            <v xml:space="preserve"> </v>
          </cell>
          <cell r="K362"/>
          <cell r="L362" t="str">
            <v xml:space="preserve"> </v>
          </cell>
          <cell r="M362"/>
          <cell r="N362" t="str">
            <v xml:space="preserve"> </v>
          </cell>
          <cell r="O362" t="str">
            <v xml:space="preserve"> </v>
          </cell>
          <cell r="P362"/>
          <cell r="Q362" t="str">
            <v xml:space="preserve"> </v>
          </cell>
          <cell r="R362"/>
          <cell r="S362" t="str">
            <v xml:space="preserve"> </v>
          </cell>
          <cell r="T362" t="str">
            <v xml:space="preserve"> </v>
          </cell>
          <cell r="U362"/>
          <cell r="V362" t="str">
            <v xml:space="preserve"> </v>
          </cell>
          <cell r="W362" t="str">
            <v xml:space="preserve"> </v>
          </cell>
          <cell r="X362"/>
          <cell r="Y362" t="str">
            <v xml:space="preserve"> </v>
          </cell>
          <cell r="Z362"/>
          <cell r="AA362" t="str">
            <v xml:space="preserve"> </v>
          </cell>
          <cell r="AB362" t="str">
            <v xml:space="preserve"> </v>
          </cell>
          <cell r="AC362"/>
          <cell r="AD362" t="str">
            <v xml:space="preserve"> </v>
          </cell>
          <cell r="AE362"/>
          <cell r="AF362" t="str">
            <v xml:space="preserve"> </v>
          </cell>
          <cell r="AG362"/>
          <cell r="AH362"/>
          <cell r="AI362"/>
          <cell r="AJ362"/>
          <cell r="AK362" t="str">
            <v/>
          </cell>
          <cell r="AL362"/>
          <cell r="AM362" t="str">
            <v xml:space="preserve"> </v>
          </cell>
          <cell r="AN362" t="str">
            <v xml:space="preserve"> </v>
          </cell>
          <cell r="AO362"/>
          <cell r="AP362" t="str">
            <v xml:space="preserve"> </v>
          </cell>
          <cell r="AQ362"/>
          <cell r="AR362" t="str">
            <v xml:space="preserve"> </v>
          </cell>
          <cell r="AS362" t="str">
            <v xml:space="preserve"> </v>
          </cell>
          <cell r="AT362"/>
          <cell r="AU362" t="str">
            <v xml:space="preserve"> </v>
          </cell>
          <cell r="AV362"/>
          <cell r="AW362"/>
          <cell r="AX362" t="str">
            <v xml:space="preserve"> </v>
          </cell>
          <cell r="AY362"/>
          <cell r="AZ362" t="str">
            <v xml:space="preserve"> </v>
          </cell>
          <cell r="BA362"/>
          <cell r="BB362"/>
          <cell r="BC362" t="str">
            <v xml:space="preserve"> </v>
          </cell>
          <cell r="BD362"/>
          <cell r="BE362" t="str">
            <v xml:space="preserve"> </v>
          </cell>
          <cell r="BF362"/>
          <cell r="BG362"/>
          <cell r="BH362" t="str">
            <v xml:space="preserve"> </v>
          </cell>
          <cell r="BI362"/>
          <cell r="BJ362" t="str">
            <v xml:space="preserve"> </v>
          </cell>
          <cell r="BK362"/>
          <cell r="BL362" t="str">
            <v xml:space="preserve"> </v>
          </cell>
          <cell r="BM362" t="str">
            <v xml:space="preserve"> </v>
          </cell>
          <cell r="BN362"/>
          <cell r="BO362" t="str">
            <v xml:space="preserve"> </v>
          </cell>
        </row>
        <row r="363">
          <cell r="B363">
            <v>46381</v>
          </cell>
          <cell r="C363"/>
          <cell r="D363" t="str">
            <v xml:space="preserve"> </v>
          </cell>
          <cell r="E363" t="str">
            <v xml:space="preserve"> </v>
          </cell>
          <cell r="F363"/>
          <cell r="G363" t="str">
            <v xml:space="preserve"> </v>
          </cell>
          <cell r="H363"/>
          <cell r="I363" t="str">
            <v xml:space="preserve"> </v>
          </cell>
          <cell r="J363" t="str">
            <v xml:space="preserve"> </v>
          </cell>
          <cell r="K363"/>
          <cell r="L363" t="str">
            <v xml:space="preserve"> </v>
          </cell>
          <cell r="M363"/>
          <cell r="N363" t="str">
            <v xml:space="preserve"> </v>
          </cell>
          <cell r="O363" t="str">
            <v xml:space="preserve"> </v>
          </cell>
          <cell r="P363"/>
          <cell r="Q363" t="str">
            <v xml:space="preserve"> </v>
          </cell>
          <cell r="R363"/>
          <cell r="S363" t="str">
            <v xml:space="preserve"> </v>
          </cell>
          <cell r="T363" t="str">
            <v xml:space="preserve"> </v>
          </cell>
          <cell r="U363"/>
          <cell r="V363" t="str">
            <v xml:space="preserve"> </v>
          </cell>
          <cell r="W363" t="str">
            <v xml:space="preserve"> </v>
          </cell>
          <cell r="X363"/>
          <cell r="Y363" t="str">
            <v xml:space="preserve"> </v>
          </cell>
          <cell r="Z363"/>
          <cell r="AA363" t="str">
            <v xml:space="preserve"> </v>
          </cell>
          <cell r="AB363" t="str">
            <v xml:space="preserve"> </v>
          </cell>
          <cell r="AC363"/>
          <cell r="AD363" t="str">
            <v xml:space="preserve"> </v>
          </cell>
          <cell r="AE363"/>
          <cell r="AF363" t="str">
            <v xml:space="preserve"> </v>
          </cell>
          <cell r="AG363"/>
          <cell r="AH363"/>
          <cell r="AI363"/>
          <cell r="AJ363"/>
          <cell r="AK363" t="str">
            <v/>
          </cell>
          <cell r="AL363"/>
          <cell r="AM363" t="str">
            <v xml:space="preserve"> </v>
          </cell>
          <cell r="AN363" t="str">
            <v xml:space="preserve"> </v>
          </cell>
          <cell r="AO363"/>
          <cell r="AP363" t="str">
            <v xml:space="preserve"> </v>
          </cell>
          <cell r="AQ363"/>
          <cell r="AR363" t="str">
            <v xml:space="preserve"> </v>
          </cell>
          <cell r="AS363" t="str">
            <v xml:space="preserve"> </v>
          </cell>
          <cell r="AT363"/>
          <cell r="AU363" t="str">
            <v xml:space="preserve"> </v>
          </cell>
          <cell r="AV363"/>
          <cell r="AW363"/>
          <cell r="AX363" t="str">
            <v xml:space="preserve"> </v>
          </cell>
          <cell r="AY363"/>
          <cell r="AZ363" t="str">
            <v xml:space="preserve"> </v>
          </cell>
          <cell r="BA363"/>
          <cell r="BB363"/>
          <cell r="BC363" t="str">
            <v xml:space="preserve"> </v>
          </cell>
          <cell r="BD363"/>
          <cell r="BE363" t="str">
            <v xml:space="preserve"> </v>
          </cell>
          <cell r="BF363"/>
          <cell r="BG363"/>
          <cell r="BH363" t="str">
            <v xml:space="preserve"> </v>
          </cell>
          <cell r="BI363"/>
          <cell r="BJ363" t="str">
            <v xml:space="preserve"> </v>
          </cell>
          <cell r="BK363"/>
          <cell r="BL363" t="str">
            <v xml:space="preserve"> </v>
          </cell>
          <cell r="BM363" t="str">
            <v xml:space="preserve"> </v>
          </cell>
          <cell r="BN363"/>
          <cell r="BO363" t="str">
            <v xml:space="preserve"> </v>
          </cell>
        </row>
        <row r="364">
          <cell r="B364">
            <v>46382</v>
          </cell>
          <cell r="C364"/>
          <cell r="D364" t="str">
            <v xml:space="preserve"> </v>
          </cell>
          <cell r="E364" t="str">
            <v xml:space="preserve"> </v>
          </cell>
          <cell r="F364"/>
          <cell r="G364" t="str">
            <v xml:space="preserve"> </v>
          </cell>
          <cell r="H364"/>
          <cell r="I364" t="str">
            <v xml:space="preserve"> </v>
          </cell>
          <cell r="J364" t="str">
            <v xml:space="preserve"> </v>
          </cell>
          <cell r="K364"/>
          <cell r="L364" t="str">
            <v xml:space="preserve"> </v>
          </cell>
          <cell r="M364"/>
          <cell r="N364" t="str">
            <v xml:space="preserve"> </v>
          </cell>
          <cell r="O364" t="str">
            <v xml:space="preserve"> </v>
          </cell>
          <cell r="P364"/>
          <cell r="Q364" t="str">
            <v xml:space="preserve"> </v>
          </cell>
          <cell r="R364"/>
          <cell r="S364" t="str">
            <v xml:space="preserve"> </v>
          </cell>
          <cell r="T364" t="str">
            <v xml:space="preserve"> </v>
          </cell>
          <cell r="U364"/>
          <cell r="V364" t="str">
            <v xml:space="preserve"> </v>
          </cell>
          <cell r="W364" t="str">
            <v xml:space="preserve"> </v>
          </cell>
          <cell r="X364"/>
          <cell r="Y364" t="str">
            <v xml:space="preserve"> </v>
          </cell>
          <cell r="Z364"/>
          <cell r="AA364" t="str">
            <v xml:space="preserve"> </v>
          </cell>
          <cell r="AB364" t="str">
            <v xml:space="preserve"> </v>
          </cell>
          <cell r="AC364"/>
          <cell r="AD364" t="str">
            <v xml:space="preserve"> </v>
          </cell>
          <cell r="AE364"/>
          <cell r="AF364" t="str">
            <v xml:space="preserve"> </v>
          </cell>
          <cell r="AG364"/>
          <cell r="AH364"/>
          <cell r="AI364"/>
          <cell r="AJ364"/>
          <cell r="AK364" t="str">
            <v/>
          </cell>
          <cell r="AL364"/>
          <cell r="AM364" t="str">
            <v xml:space="preserve"> </v>
          </cell>
          <cell r="AN364" t="str">
            <v xml:space="preserve"> </v>
          </cell>
          <cell r="AO364"/>
          <cell r="AP364" t="str">
            <v xml:space="preserve"> </v>
          </cell>
          <cell r="AQ364"/>
          <cell r="AR364" t="str">
            <v xml:space="preserve"> </v>
          </cell>
          <cell r="AS364" t="str">
            <v xml:space="preserve"> </v>
          </cell>
          <cell r="AT364"/>
          <cell r="AU364" t="str">
            <v xml:space="preserve"> </v>
          </cell>
          <cell r="AV364"/>
          <cell r="AW364"/>
          <cell r="AX364" t="str">
            <v xml:space="preserve"> </v>
          </cell>
          <cell r="AY364"/>
          <cell r="AZ364" t="str">
            <v xml:space="preserve"> </v>
          </cell>
          <cell r="BA364"/>
          <cell r="BB364"/>
          <cell r="BC364" t="str">
            <v xml:space="preserve"> </v>
          </cell>
          <cell r="BD364"/>
          <cell r="BE364" t="str">
            <v xml:space="preserve"> </v>
          </cell>
          <cell r="BF364"/>
          <cell r="BG364"/>
          <cell r="BH364" t="str">
            <v xml:space="preserve"> </v>
          </cell>
          <cell r="BI364"/>
          <cell r="BJ364" t="str">
            <v xml:space="preserve"> </v>
          </cell>
          <cell r="BK364"/>
          <cell r="BL364" t="str">
            <v xml:space="preserve"> </v>
          </cell>
          <cell r="BM364" t="str">
            <v xml:space="preserve"> </v>
          </cell>
          <cell r="BN364"/>
          <cell r="BO364" t="str">
            <v xml:space="preserve"> </v>
          </cell>
        </row>
        <row r="365">
          <cell r="B365">
            <v>46383</v>
          </cell>
          <cell r="C365"/>
          <cell r="D365" t="str">
            <v xml:space="preserve"> </v>
          </cell>
          <cell r="E365" t="str">
            <v xml:space="preserve"> </v>
          </cell>
          <cell r="F365"/>
          <cell r="G365" t="str">
            <v xml:space="preserve"> </v>
          </cell>
          <cell r="H365"/>
          <cell r="I365" t="str">
            <v xml:space="preserve"> </v>
          </cell>
          <cell r="J365" t="str">
            <v xml:space="preserve"> </v>
          </cell>
          <cell r="K365"/>
          <cell r="L365" t="str">
            <v xml:space="preserve"> </v>
          </cell>
          <cell r="M365"/>
          <cell r="N365" t="str">
            <v xml:space="preserve"> </v>
          </cell>
          <cell r="O365" t="str">
            <v xml:space="preserve"> </v>
          </cell>
          <cell r="P365"/>
          <cell r="Q365" t="str">
            <v xml:space="preserve"> </v>
          </cell>
          <cell r="R365"/>
          <cell r="S365" t="str">
            <v xml:space="preserve"> </v>
          </cell>
          <cell r="T365" t="str">
            <v xml:space="preserve"> </v>
          </cell>
          <cell r="U365"/>
          <cell r="V365" t="str">
            <v xml:space="preserve"> </v>
          </cell>
          <cell r="W365" t="str">
            <v xml:space="preserve"> </v>
          </cell>
          <cell r="X365"/>
          <cell r="Y365" t="str">
            <v xml:space="preserve"> </v>
          </cell>
          <cell r="Z365"/>
          <cell r="AA365" t="str">
            <v xml:space="preserve"> </v>
          </cell>
          <cell r="AB365" t="str">
            <v xml:space="preserve"> </v>
          </cell>
          <cell r="AC365"/>
          <cell r="AD365" t="str">
            <v xml:space="preserve"> </v>
          </cell>
          <cell r="AE365"/>
          <cell r="AF365" t="str">
            <v xml:space="preserve"> </v>
          </cell>
          <cell r="AG365"/>
          <cell r="AH365"/>
          <cell r="AI365"/>
          <cell r="AJ365"/>
          <cell r="AK365" t="str">
            <v/>
          </cell>
          <cell r="AL365"/>
          <cell r="AM365" t="str">
            <v xml:space="preserve"> </v>
          </cell>
          <cell r="AN365" t="str">
            <v xml:space="preserve"> </v>
          </cell>
          <cell r="AO365"/>
          <cell r="AP365" t="str">
            <v xml:space="preserve"> </v>
          </cell>
          <cell r="AQ365"/>
          <cell r="AR365" t="str">
            <v xml:space="preserve"> </v>
          </cell>
          <cell r="AS365" t="str">
            <v xml:space="preserve"> </v>
          </cell>
          <cell r="AT365"/>
          <cell r="AU365" t="str">
            <v xml:space="preserve"> </v>
          </cell>
          <cell r="AV365"/>
          <cell r="AW365"/>
          <cell r="AX365" t="str">
            <v xml:space="preserve"> </v>
          </cell>
          <cell r="AY365"/>
          <cell r="AZ365" t="str">
            <v xml:space="preserve"> </v>
          </cell>
          <cell r="BA365"/>
          <cell r="BB365"/>
          <cell r="BC365" t="str">
            <v xml:space="preserve"> </v>
          </cell>
          <cell r="BD365"/>
          <cell r="BE365" t="str">
            <v xml:space="preserve"> </v>
          </cell>
          <cell r="BF365"/>
          <cell r="BG365"/>
          <cell r="BH365" t="str">
            <v xml:space="preserve"> </v>
          </cell>
          <cell r="BI365"/>
          <cell r="BJ365" t="str">
            <v xml:space="preserve"> </v>
          </cell>
          <cell r="BK365"/>
          <cell r="BL365" t="str">
            <v xml:space="preserve"> </v>
          </cell>
          <cell r="BM365" t="str">
            <v xml:space="preserve"> </v>
          </cell>
          <cell r="BN365"/>
          <cell r="BO365" t="str">
            <v xml:space="preserve"> </v>
          </cell>
        </row>
        <row r="366">
          <cell r="B366">
            <v>46384</v>
          </cell>
          <cell r="C366"/>
          <cell r="D366" t="str">
            <v xml:space="preserve"> </v>
          </cell>
          <cell r="E366" t="str">
            <v xml:space="preserve"> </v>
          </cell>
          <cell r="F366"/>
          <cell r="G366" t="str">
            <v xml:space="preserve"> </v>
          </cell>
          <cell r="H366"/>
          <cell r="I366" t="str">
            <v xml:space="preserve"> </v>
          </cell>
          <cell r="J366" t="str">
            <v xml:space="preserve"> </v>
          </cell>
          <cell r="K366"/>
          <cell r="L366" t="str">
            <v xml:space="preserve"> </v>
          </cell>
          <cell r="M366"/>
          <cell r="N366" t="str">
            <v xml:space="preserve"> </v>
          </cell>
          <cell r="O366" t="str">
            <v xml:space="preserve"> </v>
          </cell>
          <cell r="P366"/>
          <cell r="Q366" t="str">
            <v xml:space="preserve"> </v>
          </cell>
          <cell r="R366"/>
          <cell r="S366" t="str">
            <v xml:space="preserve"> </v>
          </cell>
          <cell r="T366" t="str">
            <v xml:space="preserve"> </v>
          </cell>
          <cell r="U366"/>
          <cell r="V366" t="str">
            <v xml:space="preserve"> </v>
          </cell>
          <cell r="W366" t="str">
            <v xml:space="preserve"> </v>
          </cell>
          <cell r="X366"/>
          <cell r="Y366" t="str">
            <v xml:space="preserve"> </v>
          </cell>
          <cell r="Z366"/>
          <cell r="AA366" t="str">
            <v xml:space="preserve"> </v>
          </cell>
          <cell r="AB366" t="str">
            <v xml:space="preserve"> </v>
          </cell>
          <cell r="AC366"/>
          <cell r="AD366" t="str">
            <v xml:space="preserve"> </v>
          </cell>
          <cell r="AE366"/>
          <cell r="AF366" t="str">
            <v xml:space="preserve"> </v>
          </cell>
          <cell r="AG366"/>
          <cell r="AH366"/>
          <cell r="AI366"/>
          <cell r="AJ366"/>
          <cell r="AK366" t="str">
            <v/>
          </cell>
          <cell r="AL366"/>
          <cell r="AM366" t="str">
            <v xml:space="preserve"> </v>
          </cell>
          <cell r="AN366" t="str">
            <v xml:space="preserve"> </v>
          </cell>
          <cell r="AO366"/>
          <cell r="AP366" t="str">
            <v xml:space="preserve"> </v>
          </cell>
          <cell r="AQ366"/>
          <cell r="AR366" t="str">
            <v xml:space="preserve"> </v>
          </cell>
          <cell r="AS366" t="str">
            <v xml:space="preserve"> </v>
          </cell>
          <cell r="AT366"/>
          <cell r="AU366" t="str">
            <v xml:space="preserve"> </v>
          </cell>
          <cell r="AV366"/>
          <cell r="AW366"/>
          <cell r="AX366" t="str">
            <v xml:space="preserve"> </v>
          </cell>
          <cell r="AY366"/>
          <cell r="AZ366" t="str">
            <v xml:space="preserve"> </v>
          </cell>
          <cell r="BA366"/>
          <cell r="BB366"/>
          <cell r="BC366" t="str">
            <v xml:space="preserve"> </v>
          </cell>
          <cell r="BD366"/>
          <cell r="BE366" t="str">
            <v xml:space="preserve"> </v>
          </cell>
          <cell r="BF366"/>
          <cell r="BG366"/>
          <cell r="BH366" t="str">
            <v xml:space="preserve"> </v>
          </cell>
          <cell r="BI366"/>
          <cell r="BJ366" t="str">
            <v xml:space="preserve"> </v>
          </cell>
          <cell r="BK366"/>
          <cell r="BL366" t="str">
            <v xml:space="preserve"> </v>
          </cell>
          <cell r="BM366" t="str">
            <v xml:space="preserve"> </v>
          </cell>
          <cell r="BN366"/>
          <cell r="BO366" t="str">
            <v xml:space="preserve"> </v>
          </cell>
        </row>
        <row r="367">
          <cell r="B367">
            <v>46385</v>
          </cell>
          <cell r="C367"/>
          <cell r="D367" t="str">
            <v xml:space="preserve"> </v>
          </cell>
          <cell r="E367" t="str">
            <v xml:space="preserve"> </v>
          </cell>
          <cell r="F367"/>
          <cell r="G367" t="str">
            <v xml:space="preserve"> </v>
          </cell>
          <cell r="H367"/>
          <cell r="I367" t="str">
            <v xml:space="preserve"> </v>
          </cell>
          <cell r="J367" t="str">
            <v xml:space="preserve"> </v>
          </cell>
          <cell r="K367"/>
          <cell r="L367" t="str">
            <v xml:space="preserve"> </v>
          </cell>
          <cell r="M367"/>
          <cell r="N367" t="str">
            <v xml:space="preserve"> </v>
          </cell>
          <cell r="O367" t="str">
            <v xml:space="preserve"> </v>
          </cell>
          <cell r="P367"/>
          <cell r="Q367" t="str">
            <v xml:space="preserve"> </v>
          </cell>
          <cell r="R367"/>
          <cell r="S367" t="str">
            <v xml:space="preserve"> </v>
          </cell>
          <cell r="T367" t="str">
            <v xml:space="preserve"> </v>
          </cell>
          <cell r="U367"/>
          <cell r="V367" t="str">
            <v xml:space="preserve"> </v>
          </cell>
          <cell r="W367" t="str">
            <v xml:space="preserve"> </v>
          </cell>
          <cell r="X367"/>
          <cell r="Y367" t="str">
            <v xml:space="preserve"> </v>
          </cell>
          <cell r="Z367"/>
          <cell r="AA367" t="str">
            <v xml:space="preserve"> </v>
          </cell>
          <cell r="AB367" t="str">
            <v xml:space="preserve"> </v>
          </cell>
          <cell r="AC367"/>
          <cell r="AD367" t="str">
            <v xml:space="preserve"> </v>
          </cell>
          <cell r="AE367"/>
          <cell r="AF367" t="str">
            <v xml:space="preserve"> </v>
          </cell>
          <cell r="AG367"/>
          <cell r="AH367"/>
          <cell r="AI367"/>
          <cell r="AJ367"/>
          <cell r="AK367" t="str">
            <v/>
          </cell>
          <cell r="AL367"/>
          <cell r="AM367" t="str">
            <v xml:space="preserve"> </v>
          </cell>
          <cell r="AN367" t="str">
            <v xml:space="preserve"> </v>
          </cell>
          <cell r="AO367"/>
          <cell r="AP367" t="str">
            <v xml:space="preserve"> </v>
          </cell>
          <cell r="AQ367"/>
          <cell r="AR367" t="str">
            <v xml:space="preserve"> </v>
          </cell>
          <cell r="AS367" t="str">
            <v xml:space="preserve"> </v>
          </cell>
          <cell r="AT367"/>
          <cell r="AU367" t="str">
            <v xml:space="preserve"> </v>
          </cell>
          <cell r="AV367"/>
          <cell r="AW367"/>
          <cell r="AX367" t="str">
            <v xml:space="preserve"> </v>
          </cell>
          <cell r="AY367"/>
          <cell r="AZ367" t="str">
            <v xml:space="preserve"> </v>
          </cell>
          <cell r="BA367"/>
          <cell r="BB367"/>
          <cell r="BC367" t="str">
            <v xml:space="preserve"> </v>
          </cell>
          <cell r="BD367"/>
          <cell r="BE367" t="str">
            <v xml:space="preserve"> </v>
          </cell>
          <cell r="BF367"/>
          <cell r="BG367"/>
          <cell r="BH367" t="str">
            <v xml:space="preserve"> </v>
          </cell>
          <cell r="BI367"/>
          <cell r="BJ367" t="str">
            <v xml:space="preserve"> </v>
          </cell>
          <cell r="BK367"/>
          <cell r="BL367" t="str">
            <v xml:space="preserve"> </v>
          </cell>
          <cell r="BM367" t="str">
            <v xml:space="preserve"> </v>
          </cell>
          <cell r="BN367"/>
          <cell r="BO367" t="str">
            <v xml:space="preserve"> </v>
          </cell>
        </row>
        <row r="368">
          <cell r="B368">
            <v>46386</v>
          </cell>
          <cell r="C368"/>
          <cell r="D368" t="str">
            <v xml:space="preserve"> </v>
          </cell>
          <cell r="E368" t="str">
            <v xml:space="preserve"> </v>
          </cell>
          <cell r="F368"/>
          <cell r="G368" t="str">
            <v xml:space="preserve"> </v>
          </cell>
          <cell r="H368"/>
          <cell r="I368" t="str">
            <v xml:space="preserve"> </v>
          </cell>
          <cell r="J368" t="str">
            <v xml:space="preserve"> </v>
          </cell>
          <cell r="K368"/>
          <cell r="L368" t="str">
            <v xml:space="preserve"> </v>
          </cell>
          <cell r="M368"/>
          <cell r="N368" t="str">
            <v xml:space="preserve"> </v>
          </cell>
          <cell r="O368" t="str">
            <v xml:space="preserve"> </v>
          </cell>
          <cell r="P368"/>
          <cell r="Q368" t="str">
            <v xml:space="preserve"> </v>
          </cell>
          <cell r="R368"/>
          <cell r="S368" t="str">
            <v xml:space="preserve"> </v>
          </cell>
          <cell r="T368" t="str">
            <v xml:space="preserve"> </v>
          </cell>
          <cell r="U368"/>
          <cell r="V368" t="str">
            <v xml:space="preserve"> </v>
          </cell>
          <cell r="W368" t="str">
            <v xml:space="preserve"> </v>
          </cell>
          <cell r="X368"/>
          <cell r="Y368" t="str">
            <v xml:space="preserve"> </v>
          </cell>
          <cell r="Z368"/>
          <cell r="AA368" t="str">
            <v xml:space="preserve"> </v>
          </cell>
          <cell r="AB368" t="str">
            <v xml:space="preserve"> </v>
          </cell>
          <cell r="AC368"/>
          <cell r="AD368" t="str">
            <v xml:space="preserve"> </v>
          </cell>
          <cell r="AE368"/>
          <cell r="AF368" t="str">
            <v xml:space="preserve"> </v>
          </cell>
          <cell r="AG368"/>
          <cell r="AH368"/>
          <cell r="AI368"/>
          <cell r="AJ368"/>
          <cell r="AK368" t="str">
            <v/>
          </cell>
          <cell r="AL368"/>
          <cell r="AM368" t="str">
            <v xml:space="preserve"> </v>
          </cell>
          <cell r="AN368" t="str">
            <v xml:space="preserve"> </v>
          </cell>
          <cell r="AO368"/>
          <cell r="AP368" t="str">
            <v xml:space="preserve"> </v>
          </cell>
          <cell r="AQ368"/>
          <cell r="AR368" t="str">
            <v xml:space="preserve"> </v>
          </cell>
          <cell r="AS368" t="str">
            <v xml:space="preserve"> </v>
          </cell>
          <cell r="AT368"/>
          <cell r="AU368" t="str">
            <v xml:space="preserve"> </v>
          </cell>
          <cell r="AV368"/>
          <cell r="AW368"/>
          <cell r="AX368" t="str">
            <v xml:space="preserve"> </v>
          </cell>
          <cell r="AY368"/>
          <cell r="AZ368" t="str">
            <v xml:space="preserve"> </v>
          </cell>
          <cell r="BA368"/>
          <cell r="BB368"/>
          <cell r="BC368" t="str">
            <v xml:space="preserve"> </v>
          </cell>
          <cell r="BD368"/>
          <cell r="BE368" t="str">
            <v xml:space="preserve"> </v>
          </cell>
          <cell r="BF368"/>
          <cell r="BG368"/>
          <cell r="BH368" t="str">
            <v xml:space="preserve"> </v>
          </cell>
          <cell r="BI368"/>
          <cell r="BJ368" t="str">
            <v xml:space="preserve"> </v>
          </cell>
          <cell r="BK368"/>
          <cell r="BL368" t="str">
            <v xml:space="preserve"> </v>
          </cell>
          <cell r="BM368" t="str">
            <v xml:space="preserve"> </v>
          </cell>
          <cell r="BN368"/>
          <cell r="BO368" t="str">
            <v xml:space="preserve"> </v>
          </cell>
        </row>
        <row r="369">
          <cell r="B369">
            <v>46387</v>
          </cell>
          <cell r="C369"/>
          <cell r="D369" t="str">
            <v xml:space="preserve"> </v>
          </cell>
          <cell r="E369" t="str">
            <v xml:space="preserve"> </v>
          </cell>
          <cell r="F369"/>
          <cell r="G369" t="str">
            <v xml:space="preserve"> </v>
          </cell>
          <cell r="H369"/>
          <cell r="I369" t="str">
            <v xml:space="preserve"> </v>
          </cell>
          <cell r="J369" t="str">
            <v xml:space="preserve"> </v>
          </cell>
          <cell r="K369"/>
          <cell r="L369" t="str">
            <v xml:space="preserve"> </v>
          </cell>
          <cell r="M369"/>
          <cell r="N369" t="str">
            <v xml:space="preserve"> </v>
          </cell>
          <cell r="O369" t="str">
            <v xml:space="preserve"> </v>
          </cell>
          <cell r="P369"/>
          <cell r="Q369" t="str">
            <v xml:space="preserve"> </v>
          </cell>
          <cell r="R369"/>
          <cell r="S369" t="str">
            <v xml:space="preserve"> </v>
          </cell>
          <cell r="T369" t="str">
            <v xml:space="preserve"> </v>
          </cell>
          <cell r="U369"/>
          <cell r="V369" t="str">
            <v xml:space="preserve"> </v>
          </cell>
          <cell r="W369" t="str">
            <v xml:space="preserve"> </v>
          </cell>
          <cell r="X369"/>
          <cell r="Y369" t="str">
            <v xml:space="preserve"> </v>
          </cell>
          <cell r="Z369"/>
          <cell r="AA369" t="str">
            <v xml:space="preserve"> </v>
          </cell>
          <cell r="AB369" t="str">
            <v xml:space="preserve"> </v>
          </cell>
          <cell r="AC369"/>
          <cell r="AD369" t="str">
            <v xml:space="preserve"> </v>
          </cell>
          <cell r="AE369"/>
          <cell r="AF369" t="str">
            <v xml:space="preserve"> </v>
          </cell>
          <cell r="AG369"/>
          <cell r="AH369"/>
          <cell r="AI369"/>
          <cell r="AJ369"/>
          <cell r="AK369" t="str">
            <v/>
          </cell>
          <cell r="AL369"/>
          <cell r="AM369" t="str">
            <v xml:space="preserve"> </v>
          </cell>
          <cell r="AN369" t="str">
            <v xml:space="preserve"> </v>
          </cell>
          <cell r="AO369"/>
          <cell r="AP369" t="str">
            <v xml:space="preserve"> </v>
          </cell>
          <cell r="AQ369"/>
          <cell r="AR369" t="str">
            <v xml:space="preserve"> </v>
          </cell>
          <cell r="AS369" t="str">
            <v xml:space="preserve"> </v>
          </cell>
          <cell r="AT369"/>
          <cell r="AU369" t="str">
            <v xml:space="preserve"> </v>
          </cell>
          <cell r="AV369"/>
          <cell r="AW369"/>
          <cell r="AX369" t="str">
            <v xml:space="preserve"> </v>
          </cell>
          <cell r="AY369"/>
          <cell r="AZ369" t="str">
            <v xml:space="preserve"> </v>
          </cell>
          <cell r="BA369"/>
          <cell r="BB369"/>
          <cell r="BC369" t="str">
            <v xml:space="preserve"> </v>
          </cell>
          <cell r="BD369"/>
          <cell r="BE369" t="str">
            <v xml:space="preserve"> </v>
          </cell>
          <cell r="BF369"/>
          <cell r="BG369"/>
          <cell r="BH369" t="str">
            <v xml:space="preserve"> </v>
          </cell>
          <cell r="BI369"/>
          <cell r="BJ369" t="str">
            <v xml:space="preserve"> </v>
          </cell>
          <cell r="BK369"/>
          <cell r="BL369" t="str">
            <v xml:space="preserve"> </v>
          </cell>
          <cell r="BM369" t="str">
            <v xml:space="preserve"> </v>
          </cell>
          <cell r="BN369"/>
          <cell r="BO369" t="str">
            <v xml:space="preserve"> </v>
          </cell>
        </row>
        <row r="370">
          <cell r="B370" t="str">
            <v>Total</v>
          </cell>
          <cell r="C370"/>
          <cell r="D370">
            <v>434.01315789473682</v>
          </cell>
          <cell r="E370"/>
          <cell r="F370"/>
          <cell r="G370"/>
          <cell r="H370"/>
          <cell r="I370">
            <v>0</v>
          </cell>
          <cell r="J370"/>
          <cell r="K370"/>
          <cell r="L370"/>
          <cell r="M370"/>
          <cell r="N370">
            <v>1.8494152046783625</v>
          </cell>
          <cell r="O370"/>
          <cell r="P370"/>
          <cell r="Q370"/>
          <cell r="R370"/>
          <cell r="S370">
            <v>449.81</v>
          </cell>
          <cell r="T370"/>
          <cell r="U370"/>
          <cell r="V370"/>
          <cell r="W370"/>
          <cell r="X370">
            <v>779</v>
          </cell>
          <cell r="Y370"/>
          <cell r="Z370"/>
          <cell r="AA370"/>
          <cell r="AB370"/>
          <cell r="AC370">
            <v>735.3</v>
          </cell>
          <cell r="AD370"/>
          <cell r="AE370"/>
          <cell r="AF370"/>
          <cell r="AG370"/>
          <cell r="AH370">
            <v>792</v>
          </cell>
          <cell r="AI370"/>
          <cell r="AJ370"/>
          <cell r="AK370"/>
          <cell r="AL370"/>
          <cell r="AM370">
            <v>587</v>
          </cell>
          <cell r="AN370"/>
          <cell r="AO370"/>
          <cell r="AP370"/>
          <cell r="AQ370"/>
          <cell r="AR370"/>
          <cell r="AS370"/>
          <cell r="AT370"/>
          <cell r="AU370"/>
          <cell r="AV370"/>
          <cell r="AW370">
            <v>489</v>
          </cell>
          <cell r="AX370"/>
          <cell r="AY370"/>
          <cell r="AZ370"/>
          <cell r="BA370"/>
          <cell r="BB370">
            <v>136.3111111111111</v>
          </cell>
          <cell r="BC370"/>
          <cell r="BD370"/>
          <cell r="BE370"/>
          <cell r="BF370"/>
          <cell r="BG370">
            <v>522.7361111111112</v>
          </cell>
          <cell r="BH370"/>
          <cell r="BI370"/>
          <cell r="BJ370"/>
          <cell r="BK370"/>
          <cell r="BL370">
            <v>589.21296296296293</v>
          </cell>
          <cell r="BM370"/>
          <cell r="BN370"/>
          <cell r="BO370">
            <v>365</v>
          </cell>
        </row>
        <row r="371">
          <cell r="B371"/>
          <cell r="C371"/>
          <cell r="D371"/>
          <cell r="E371"/>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cell r="AP371"/>
          <cell r="AQ371"/>
          <cell r="AR371"/>
          <cell r="AS371"/>
          <cell r="AT371"/>
          <cell r="AU371"/>
          <cell r="AV371"/>
          <cell r="AW371"/>
          <cell r="AX371"/>
          <cell r="AY371"/>
          <cell r="AZ371"/>
          <cell r="BA371"/>
          <cell r="BB371"/>
          <cell r="BC371"/>
          <cell r="BD371"/>
          <cell r="BE371"/>
          <cell r="BF371"/>
          <cell r="BG371"/>
          <cell r="BH371"/>
          <cell r="BI371"/>
          <cell r="BJ371"/>
          <cell r="BK371"/>
          <cell r="BL371"/>
          <cell r="BM371"/>
          <cell r="BN371"/>
          <cell r="BO371"/>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 Q" refreshedDate="46138.312621064812" createdVersion="8" refreshedVersion="8" minRefreshableVersion="3" recordCount="763" xr:uid="{AFC007C7-CC79-4113-855F-6FC69178084F}">
  <cacheSource type="worksheet">
    <worksheetSource name="BSURTIDOR"/>
  </cacheSource>
  <cacheFields count="17">
    <cacheField name="NUM SEM" numFmtId="0">
      <sharedItems containsSemiMixedTypes="0" containsString="0" containsNumber="1" containsInteger="1" minValue="0" maxValue="53" count="54">
        <n v="1"/>
        <n v="2"/>
        <n v="3"/>
        <n v="4"/>
        <n v="5"/>
        <n v="6"/>
        <n v="7"/>
        <n v="8"/>
        <n v="9"/>
        <n v="10"/>
        <n v="11"/>
        <n v="12"/>
        <n v="13"/>
        <n v="14"/>
        <n v="15"/>
        <n v="16"/>
        <n v="17"/>
        <n v="0" u="1"/>
        <n v="34" u="1"/>
        <n v="36" u="1"/>
        <n v="38" u="1"/>
        <n v="40" u="1"/>
        <n v="42" u="1"/>
        <n v="44" u="1"/>
        <n v="46" u="1"/>
        <n v="48" u="1"/>
        <n v="50" u="1"/>
        <n v="18" u="1"/>
        <n v="52" u="1"/>
        <n v="19" u="1"/>
        <n v="20" u="1"/>
        <n v="33" u="1"/>
        <n v="21" u="1"/>
        <n v="35" u="1"/>
        <n v="22" u="1"/>
        <n v="37" u="1"/>
        <n v="23" u="1"/>
        <n v="39" u="1"/>
        <n v="24" u="1"/>
        <n v="41" u="1"/>
        <n v="25" u="1"/>
        <n v="43" u="1"/>
        <n v="26" u="1"/>
        <n v="45" u="1"/>
        <n v="27" u="1"/>
        <n v="47" u="1"/>
        <n v="28" u="1"/>
        <n v="49" u="1"/>
        <n v="29" u="1"/>
        <n v="51" u="1"/>
        <n v="30" u="1"/>
        <n v="53" u="1"/>
        <n v="31" u="1"/>
        <n v="32" u="1"/>
      </sharedItems>
    </cacheField>
    <cacheField name="MES" numFmtId="0">
      <sharedItems containsSemiMixedTypes="0" containsString="0" containsNumber="1" containsInteger="1" minValue="1" maxValue="12" count="12">
        <n v="1"/>
        <n v="2"/>
        <n v="3"/>
        <n v="4"/>
        <n v="5" u="1"/>
        <n v="6" u="1"/>
        <n v="7" u="1"/>
        <n v="8" u="1"/>
        <n v="9" u="1"/>
        <n v="10" u="1"/>
        <n v="11" u="1"/>
        <n v="12" u="1"/>
      </sharedItems>
    </cacheField>
    <cacheField name="AÑO" numFmtId="0">
      <sharedItems containsSemiMixedTypes="0" containsString="0" containsNumber="1" containsInteger="1" minValue="1900" maxValue="3036" count="5">
        <n v="2026"/>
        <n v="2025" u="1"/>
        <n v="1900" u="1"/>
        <n v="3036" u="1"/>
        <n v="2024" u="1"/>
      </sharedItems>
    </cacheField>
    <cacheField name="FECHA" numFmtId="173">
      <sharedItems containsSemiMixedTypes="0" containsNonDate="0" containsDate="1" containsString="0" minDate="1899-12-31T00:00:00" maxDate="3036-03-04T00:00:00" count="433">
        <d v="2026-01-03T00:00:00"/>
        <d v="2026-01-05T00:00:00"/>
        <d v="2026-01-06T00:00:00"/>
        <d v="2026-01-07T00:00:00"/>
        <d v="2026-01-08T00:00:00"/>
        <d v="2026-01-09T00:00:00"/>
        <d v="2026-01-10T00:00:00"/>
        <d v="2026-01-12T00:00:00"/>
        <d v="2026-01-13T00:00:00"/>
        <d v="2026-01-14T00:00:00"/>
        <d v="2026-01-15T00:00:00"/>
        <d v="2026-01-16T00:00:00"/>
        <d v="2026-01-17T00:00:00"/>
        <d v="2026-01-18T00:00:00"/>
        <d v="2026-01-19T00:00:00"/>
        <d v="2026-01-20T00:00:00"/>
        <d v="2026-01-21T00:00:00"/>
        <d v="2026-01-22T00:00:00"/>
        <d v="2026-01-23T00:00:00"/>
        <d v="2026-01-24T00:00:00"/>
        <d v="2026-01-26T00:00:00"/>
        <d v="2026-01-27T00:00:00"/>
        <d v="2026-01-28T00:00:00"/>
        <d v="2026-01-29T00:00:00"/>
        <d v="2026-01-30T00:00:00"/>
        <d v="2026-01-31T00:00:00"/>
        <d v="2026-02-02T00:00:00"/>
        <d v="2026-02-03T00:00:00"/>
        <d v="2026-02-04T00:00:00"/>
        <d v="2026-02-05T00:00:00"/>
        <d v="2026-02-06T00:00:00"/>
        <d v="2026-02-07T00:00:00"/>
        <d v="2026-02-09T00:00:00"/>
        <d v="2026-02-10T00:00:00"/>
        <d v="2026-02-11T00:00:00"/>
        <d v="2026-02-12T00:00:00"/>
        <d v="2026-02-13T00:00:00"/>
        <d v="2026-02-14T00:00:00"/>
        <d v="2026-02-16T00:00:00"/>
        <d v="2026-02-17T00:00:00"/>
        <d v="2026-02-18T00:00:00"/>
        <d v="2026-02-19T00:00:00"/>
        <d v="2026-02-20T00:00:00"/>
        <d v="2026-02-21T00:00:00"/>
        <d v="2026-02-23T00:00:00"/>
        <d v="2026-02-24T00:00:00"/>
        <d v="2026-02-25T00:00:00"/>
        <d v="2026-02-26T00:00:00"/>
        <d v="2026-02-27T00:00:00"/>
        <d v="2026-02-28T00:00:00"/>
        <d v="2026-03-02T00:00:00"/>
        <d v="2026-03-03T00:00:00"/>
        <d v="2026-03-04T00:00:00"/>
        <d v="2026-03-05T00:00:00"/>
        <d v="2026-03-06T00:00:00"/>
        <d v="2026-03-07T00:00:00"/>
        <d v="2026-03-09T00:00:00"/>
        <d v="2026-03-10T00:00:00"/>
        <d v="2026-03-11T00:00:00"/>
        <d v="2026-03-12T00:00:00"/>
        <d v="2026-03-13T00:00:00"/>
        <d v="2026-03-14T00:00:00"/>
        <d v="2026-03-16T00:00:00"/>
        <d v="2026-03-17T00:00:00"/>
        <d v="2026-03-18T00:00:00"/>
        <d v="2026-03-19T00:00:00"/>
        <d v="2026-03-20T00:00:00"/>
        <d v="2026-03-21T00:00:00"/>
        <d v="2026-03-22T00:00:00"/>
        <d v="2026-03-23T00:00:00"/>
        <d v="2026-03-24T00:00:00"/>
        <d v="2026-03-25T00:00:00"/>
        <d v="2026-03-26T00:00:00"/>
        <d v="2026-03-27T00:00:00"/>
        <d v="2026-03-28T00:00:00"/>
        <d v="2026-03-30T00:00:00"/>
        <d v="2026-03-31T00:00:00"/>
        <d v="2026-04-01T00:00:00"/>
        <d v="2026-04-02T00:00:00"/>
        <d v="2026-04-04T00:00:00"/>
        <d v="2026-04-05T00:00:00"/>
        <d v="2026-04-06T00:00:00"/>
        <d v="2026-04-07T00:00:00"/>
        <d v="2026-04-08T00:00:00"/>
        <d v="2026-04-09T00:00:00"/>
        <d v="2026-04-10T00:00:00"/>
        <d v="2026-04-11T00:00:00"/>
        <d v="2026-04-13T00:00:00"/>
        <d v="2026-04-14T00:00:00"/>
        <d v="2026-04-15T00:00:00"/>
        <d v="2026-04-16T00:00:00"/>
        <d v="2026-04-17T00:00:00"/>
        <d v="2026-04-18T00:00:00"/>
        <d v="2026-04-19T00:00:00"/>
        <d v="2026-04-20T00:00:00"/>
        <d v="2026-04-21T00:00:00"/>
        <d v="2026-04-22T00:00:00"/>
        <d v="2026-04-23T00:00:00"/>
        <d v="2026-04-24T00:00:00"/>
        <d v="2026-04-25T00:00:00"/>
        <d v="2025-04-21T00:00:00" u="1"/>
        <d v="2025-06-12T00:00:00" u="1"/>
        <d v="2025-08-03T00:00:00" u="1"/>
        <d v="2025-11-25T00:00:00" u="1"/>
        <d v="2025-02-04T00:00:00" u="1"/>
        <d v="2025-05-26T00:00:00" u="1"/>
        <d v="2025-07-17T00:00:00" u="1"/>
        <d v="2025-09-08T00:00:00" u="1"/>
        <d v="2025-12-30T00:00:00" u="1"/>
        <d v="2025-01-18T00:00:00" u="1"/>
        <d v="2025-03-09T00:00:00" u="1"/>
        <d v="2025-08-22T00:00:00" u="1"/>
        <d v="2025-10-13T00:00:00" u="1"/>
        <d v="2025-12-04T00:00:00" u="1"/>
        <d v="2024-12-23T00:00:00" u="1"/>
        <d v="2025-02-23T00:00:00" u="1"/>
        <d v="2025-04-14T00:00:00" u="1"/>
        <d v="2025-06-05T00:00:00" u="1"/>
        <d v="2025-09-27T00:00:00" u="1"/>
        <d v="2025-11-18T00:00:00" u="1"/>
        <d v="2025-03-28T00:00:00" u="1"/>
        <d v="2025-05-19T00:00:00" u="1"/>
        <d v="2025-07-10T00:00:00" u="1"/>
        <d v="2025-09-01T00:00:00" u="1"/>
        <d v="2025-12-23T00:00:00" u="1"/>
        <d v="2025-01-11T00:00:00" u="1"/>
        <d v="2025-03-02T00:00:00" u="1"/>
        <d v="2025-06-24T00:00:00" u="1"/>
        <d v="2025-08-15T00:00:00" u="1"/>
        <d v="1899-12-31T00:00:00" u="1"/>
        <d v="2025-02-16T00:00:00" u="1"/>
        <d v="2025-04-07T00:00:00" u="1"/>
        <d v="2025-09-20T00:00:00" u="1"/>
        <d v="2025-11-11T00:00:00" u="1"/>
        <d v="2025-01-30T00:00:00" u="1"/>
        <d v="2025-03-21T00:00:00" u="1"/>
        <d v="2025-05-12T00:00:00" u="1"/>
        <d v="2025-07-03T00:00:00" u="1"/>
        <d v="2025-10-25T00:00:00" u="1"/>
        <d v="2025-12-16T00:00:00" u="1"/>
        <d v="2025-01-04T00:00:00" u="1"/>
        <d v="2025-04-26T00:00:00" u="1"/>
        <d v="2025-06-17T00:00:00" u="1"/>
        <d v="2025-08-08T00:00:00" u="1"/>
        <d v="2025-02-09T00:00:00" u="1"/>
        <d v="2025-05-31T00:00:00" u="1"/>
        <d v="2025-07-22T00:00:00" u="1"/>
        <d v="2025-09-13T00:00:00" u="1"/>
        <d v="2025-11-04T00:00:00" u="1"/>
        <d v="2025-01-23T00:00:00" u="1"/>
        <d v="2025-03-14T00:00:00" u="1"/>
        <d v="2025-05-05T00:00:00" u="1"/>
        <d v="2025-08-27T00:00:00" u="1"/>
        <d v="2025-10-18T00:00:00" u="1"/>
        <d v="2025-12-09T00:00:00" u="1"/>
        <d v="2025-02-28T00:00:00" u="1"/>
        <d v="2025-04-19T00:00:00" u="1"/>
        <d v="2025-06-10T00:00:00" u="1"/>
        <d v="2025-08-01T00:00:00" u="1"/>
        <d v="2025-02-02T00:00:00" u="1"/>
        <d v="2025-05-24T00:00:00" u="1"/>
        <d v="2025-07-15T00:00:00" u="1"/>
        <d v="2025-09-06T00:00:00" u="1"/>
        <d v="2025-01-16T00:00:00" u="1"/>
        <d v="2025-03-07T00:00:00" u="1"/>
        <d v="2025-08-20T00:00:00" u="1"/>
        <d v="2025-10-11T00:00:00" u="1"/>
        <d v="2025-12-02T00:00:00" u="1"/>
        <d v="2025-02-21T00:00:00" u="1"/>
        <d v="2025-04-12T00:00:00" u="1"/>
        <d v="2025-06-03T00:00:00" u="1"/>
        <d v="2025-09-25T00:00:00" u="1"/>
        <d v="2025-03-26T00:00:00" u="1"/>
        <d v="2025-05-17T00:00:00" u="1"/>
        <d v="2025-07-08T00:00:00" u="1"/>
        <d v="2025-10-30T00:00:00" u="1"/>
        <d v="2025-12-21T00:00:00" u="1"/>
        <d v="2025-01-09T00:00:00" u="1"/>
        <d v="2025-08-13T00:00:00" u="1"/>
        <d v="2025-10-04T00:00:00" u="1"/>
        <d v="2025-02-14T00:00:00" u="1"/>
        <d v="2025-04-05T00:00:00" u="1"/>
        <d v="2025-09-18T00:00:00" u="1"/>
        <d v="2025-01-28T00:00:00" u="1"/>
        <d v="2025-03-19T00:00:00" u="1"/>
        <d v="2025-05-10T00:00:00" u="1"/>
        <d v="2025-07-01T00:00:00" u="1"/>
        <d v="2025-10-23T00:00:00" u="1"/>
        <d v="2025-12-14T00:00:00" u="1"/>
        <d v="2025-01-02T00:00:00" u="1"/>
        <d v="2025-04-24T00:00:00" u="1"/>
        <d v="2025-08-06T00:00:00" u="1"/>
        <d v="2025-11-28T00:00:00" u="1"/>
        <d v="2025-02-07T00:00:00" u="1"/>
        <d v="2025-05-29T00:00:00" u="1"/>
        <d v="2025-09-11T00:00:00" u="1"/>
        <d v="2025-01-21T00:00:00" u="1"/>
        <d v="2025-03-12T00:00:00" u="1"/>
        <d v="2025-05-03T00:00:00" u="1"/>
        <d v="2025-08-25T00:00:00" u="1"/>
        <d v="2025-10-16T00:00:00" u="1"/>
        <d v="2025-02-26T00:00:00" u="1"/>
        <d v="2025-04-17T00:00:00" u="1"/>
        <d v="2025-09-30T00:00:00" u="1"/>
        <d v="2025-11-21T00:00:00" u="1"/>
        <d v="2025-03-31T00:00:00" u="1"/>
        <d v="2025-05-22T00:00:00" u="1"/>
        <d v="2025-09-04T00:00:00" u="1"/>
        <d v="2025-12-26T00:00:00" u="1"/>
        <d v="2025-01-14T00:00:00" u="1"/>
        <d v="2025-03-05T00:00:00" u="1"/>
        <d v="2025-06-27T00:00:00" u="1"/>
        <d v="2025-08-18T00:00:00" u="1"/>
        <d v="2025-10-09T00:00:00" u="1"/>
        <d v="2025-02-19T00:00:00" u="1"/>
        <d v="2025-04-10T00:00:00" u="1"/>
        <d v="2025-09-23T00:00:00" u="1"/>
        <d v="2025-11-14T00:00:00" u="1"/>
        <d v="2025-03-24T00:00:00" u="1"/>
        <d v="2025-05-15T00:00:00" u="1"/>
        <d v="2025-10-28T00:00:00" u="1"/>
        <d v="2025-12-19T00:00:00" u="1"/>
        <d v="2025-01-07T00:00:00" u="1"/>
        <d v="2025-04-29T00:00:00" u="1"/>
        <d v="2025-06-20T00:00:00" u="1"/>
        <d v="2025-08-11T00:00:00" u="1"/>
        <d v="2025-10-02T00:00:00" u="1"/>
        <d v="2025-02-12T00:00:00" u="1"/>
        <d v="2025-04-03T00:00:00" u="1"/>
        <d v="2025-07-25T00:00:00" u="1"/>
        <d v="2025-09-16T00:00:00" u="1"/>
        <d v="2025-11-07T00:00:00" u="1"/>
        <d v="2025-01-26T00:00:00" u="1"/>
        <d v="2025-03-17T00:00:00" u="1"/>
        <d v="2025-05-08T00:00:00" u="1"/>
        <d v="2025-08-30T00:00:00" u="1"/>
        <d v="2025-10-21T00:00:00" u="1"/>
        <d v="2025-12-12T00:00:00" u="1"/>
        <d v="2024-12-31T00:00:00" u="1"/>
        <d v="2025-04-22T00:00:00" u="1"/>
        <d v="2025-06-13T00:00:00" u="1"/>
        <d v="2025-08-04T00:00:00" u="1"/>
        <d v="2025-11-26T00:00:00" u="1"/>
        <d v="2025-02-05T00:00:00" u="1"/>
        <d v="2025-05-27T00:00:00" u="1"/>
        <d v="2025-07-18T00:00:00" u="1"/>
        <d v="2025-09-09T00:00:00" u="1"/>
        <d v="2025-12-31T00:00:00" u="1"/>
        <d v="2025-01-19T00:00:00" u="1"/>
        <d v="2025-03-10T00:00:00" u="1"/>
        <d v="2025-08-23T00:00:00" u="1"/>
        <d v="2025-10-14T00:00:00" u="1"/>
        <d v="2025-12-05T00:00:00" u="1"/>
        <d v="2026-12-31T00:00:00" u="1"/>
        <d v="2025-02-24T00:00:00" u="1"/>
        <d v="2025-04-15T00:00:00" u="1"/>
        <d v="2025-06-06T00:00:00" u="1"/>
        <d v="2025-11-19T00:00:00" u="1"/>
        <d v="2025-03-29T00:00:00" u="1"/>
        <d v="2025-05-20T00:00:00" u="1"/>
        <d v="2025-07-11T00:00:00" u="1"/>
        <d v="2025-09-02T00:00:00" u="1"/>
        <d v="2025-12-24T00:00:00" u="1"/>
        <d v="2025-03-03T00:00:00" u="1"/>
        <d v="2025-06-25T00:00:00" u="1"/>
        <d v="2025-08-16T00:00:00" u="1"/>
        <d v="2025-10-07T00:00:00" u="1"/>
        <d v="2025-02-17T00:00:00" u="1"/>
        <d v="2025-04-08T00:00:00" u="1"/>
        <d v="2025-07-30T00:00:00" u="1"/>
        <d v="2025-11-12T00:00:00" u="1"/>
        <d v="2025-01-31T00:00:00" u="1"/>
        <d v="2025-03-22T00:00:00" u="1"/>
        <d v="2025-05-13T00:00:00" u="1"/>
        <d v="2025-07-04T00:00:00" u="1"/>
        <d v="2025-12-17T00:00:00" u="1"/>
        <d v="2025-01-05T00:00:00" u="1"/>
        <d v="2025-06-18T00:00:00" u="1"/>
        <d v="2025-08-09T00:00:00" u="1"/>
        <d v="2025-02-10T00:00:00" u="1"/>
        <d v="2025-04-01T00:00:00" u="1"/>
        <d v="2025-09-14T00:00:00" u="1"/>
        <d v="2025-11-05T00:00:00" u="1"/>
        <d v="2025-01-24T00:00:00" u="1"/>
        <d v="2025-03-15T00:00:00" u="1"/>
        <d v="2025-05-06T00:00:00" u="1"/>
        <d v="2025-08-28T00:00:00" u="1"/>
        <d v="2025-12-10T00:00:00" u="1"/>
        <d v="2025-04-20T00:00:00" u="1"/>
        <d v="2025-06-11T00:00:00" u="1"/>
        <d v="2025-08-02T00:00:00" u="1"/>
        <d v="2025-11-24T00:00:00" u="1"/>
        <d v="2026-03-15T00:00:00" u="1"/>
        <d v="2025-02-03T00:00:00" u="1"/>
        <d v="2025-07-16T00:00:00" u="1"/>
        <d v="2025-01-17T00:00:00" u="1"/>
        <d v="2025-03-08T00:00:00" u="1"/>
        <d v="2025-06-30T00:00:00" u="1"/>
        <d v="2025-08-21T00:00:00" u="1"/>
        <d v="2025-12-03T00:00:00" u="1"/>
        <d v="2025-02-22T00:00:00" u="1"/>
        <d v="2025-06-04T00:00:00" u="1"/>
        <d v="2025-09-26T00:00:00" u="1"/>
        <d v="2025-11-17T00:00:00" u="1"/>
        <d v="2025-03-27T00:00:00" u="1"/>
        <d v="2025-07-09T00:00:00" u="1"/>
        <d v="2025-10-31T00:00:00" u="1"/>
        <d v="2025-12-22T00:00:00" u="1"/>
        <d v="2025-01-10T00:00:00" u="1"/>
        <d v="2025-03-01T00:00:00" u="1"/>
        <d v="2025-06-23T00:00:00" u="1"/>
        <d v="2025-08-14T00:00:00" u="1"/>
        <d v="2025-10-05T00:00:00" u="1"/>
        <d v="2025-02-15T00:00:00" u="1"/>
        <d v="2025-04-06T00:00:00" u="1"/>
        <d v="2025-07-28T00:00:00" u="1"/>
        <d v="2025-09-19T00:00:00" u="1"/>
        <d v="2025-11-10T00:00:00" u="1"/>
        <d v="2025-01-29T00:00:00" u="1"/>
        <d v="2025-03-20T00:00:00" u="1"/>
        <d v="2025-05-11T00:00:00" u="1"/>
        <d v="2025-07-02T00:00:00" u="1"/>
        <d v="2025-10-24T00:00:00" u="1"/>
        <d v="2025-12-15T00:00:00" u="1"/>
        <d v="2025-01-03T00:00:00" u="1"/>
        <d v="2025-04-25T00:00:00" u="1"/>
        <d v="2025-06-16T00:00:00" u="1"/>
        <d v="2025-08-07T00:00:00" u="1"/>
        <d v="2025-11-29T00:00:00" u="1"/>
        <d v="2025-02-08T00:00:00" u="1"/>
        <d v="2025-05-30T00:00:00" u="1"/>
        <d v="2025-07-21T00:00:00" u="1"/>
        <d v="2025-09-12T00:00:00" u="1"/>
        <d v="2025-11-03T00:00:00" u="1"/>
        <d v="2025-01-22T00:00:00" u="1"/>
        <d v="2025-03-13T00:00:00" u="1"/>
        <d v="2025-08-26T00:00:00" u="1"/>
        <d v="2025-10-17T00:00:00" u="1"/>
        <d v="2025-12-08T00:00:00" u="1"/>
        <d v="2026-02-08T00:00:00" u="1"/>
        <d v="2025-02-27T00:00:00" u="1"/>
        <d v="2025-04-18T00:00:00" u="1"/>
        <d v="2025-06-09T00:00:00" u="1"/>
        <d v="2025-11-22T00:00:00" u="1"/>
        <d v="3036-03-03T00:00:00" u="1"/>
        <d v="2025-02-01T00:00:00" u="1"/>
        <d v="2025-05-23T00:00:00" u="1"/>
        <d v="2025-07-14T00:00:00" u="1"/>
        <d v="2025-09-05T00:00:00" u="1"/>
        <d v="2025-12-27T00:00:00" u="1"/>
        <d v="2025-01-15T00:00:00" u="1"/>
        <d v="2025-03-06T00:00:00" u="1"/>
        <d v="2025-06-28T00:00:00" u="1"/>
        <d v="2025-08-19T00:00:00" u="1"/>
        <d v="2025-10-10T00:00:00" u="1"/>
        <d v="2025-12-01T00:00:00" u="1"/>
        <d v="2025-02-20T00:00:00" u="1"/>
        <d v="2025-04-11T00:00:00" u="1"/>
        <d v="2025-06-02T00:00:00" u="1"/>
        <d v="2025-09-24T00:00:00" u="1"/>
        <d v="2025-11-15T00:00:00" u="1"/>
        <d v="2025-03-25T00:00:00" u="1"/>
        <d v="2025-05-16T00:00:00" u="1"/>
        <d v="2025-07-07T00:00:00" u="1"/>
        <d v="2025-10-29T00:00:00" u="1"/>
        <d v="2025-12-20T00:00:00" u="1"/>
        <d v="2025-01-08T00:00:00" u="1"/>
        <d v="2025-04-30T00:00:00" u="1"/>
        <d v="2025-06-21T00:00:00" u="1"/>
        <d v="2025-08-12T00:00:00" u="1"/>
        <d v="2025-10-03T00:00:00" u="1"/>
        <d v="2025-02-13T00:00:00" u="1"/>
        <d v="2025-04-04T00:00:00" u="1"/>
        <d v="2025-07-26T00:00:00" u="1"/>
        <d v="2025-09-17T00:00:00" u="1"/>
        <d v="2025-11-08T00:00:00" u="1"/>
        <d v="2025-01-27T00:00:00" u="1"/>
        <d v="2025-03-18T00:00:00" u="1"/>
        <d v="2025-05-09T00:00:00" u="1"/>
        <d v="2025-10-22T00:00:00" u="1"/>
        <d v="2025-12-13T00:00:00" u="1"/>
        <d v="2025-04-23T00:00:00" u="1"/>
        <d v="2025-06-14T00:00:00" u="1"/>
        <d v="2025-08-05T00:00:00" u="1"/>
        <d v="2025-11-27T00:00:00" u="1"/>
        <d v="2025-02-06T00:00:00" u="1"/>
        <d v="2025-05-28T00:00:00" u="1"/>
        <d v="2025-07-19T00:00:00" u="1"/>
        <d v="2025-09-10T00:00:00" u="1"/>
        <d v="2025-11-01T00:00:00" u="1"/>
        <d v="2025-01-20T00:00:00" u="1"/>
        <d v="2025-03-11T00:00:00" u="1"/>
        <d v="2025-05-02T00:00:00" u="1"/>
        <d v="2025-08-24T00:00:00" u="1"/>
        <d v="2025-10-15T00:00:00" u="1"/>
        <d v="2025-12-06T00:00:00" u="1"/>
        <d v="2025-02-25T00:00:00" u="1"/>
        <d v="2025-04-16T00:00:00" u="1"/>
        <d v="2025-09-29T00:00:00" u="1"/>
        <d v="2025-11-20T00:00:00" u="1"/>
        <d v="2025-05-21T00:00:00" u="1"/>
        <d v="2025-07-12T00:00:00" u="1"/>
        <d v="2025-09-03T00:00:00" u="1"/>
        <d v="2025-12-25T00:00:00" u="1"/>
        <d v="2025-01-13T00:00:00" u="1"/>
        <d v="2025-03-04T00:00:00" u="1"/>
        <d v="2025-06-26T00:00:00" u="1"/>
        <d v="2025-10-08T00:00:00" u="1"/>
        <d v="2025-02-18T00:00:00" u="1"/>
        <d v="2025-04-09T00:00:00" u="1"/>
        <d v="2025-07-31T00:00:00" u="1"/>
        <d v="2025-09-22T00:00:00" u="1"/>
        <d v="2025-11-13T00:00:00" u="1"/>
        <d v="2025-03-23T00:00:00" u="1"/>
        <d v="2025-05-14T00:00:00" u="1"/>
        <d v="2025-07-05T00:00:00" u="1"/>
        <d v="2025-10-27T00:00:00" u="1"/>
        <d v="2025-12-18T00:00:00" u="1"/>
        <d v="2025-01-06T00:00:00" u="1"/>
        <d v="2025-04-28T00:00:00" u="1"/>
        <d v="2025-06-19T00:00:00" u="1"/>
        <d v="2025-10-01T00:00:00" u="1"/>
        <d v="2025-02-11T00:00:00" u="1"/>
        <d v="2025-04-02T00:00:00" u="1"/>
        <d v="2025-07-24T00:00:00" u="1"/>
        <d v="2025-09-15T00:00:00" u="1"/>
        <d v="2025-11-06T00:00:00" u="1"/>
        <d v="2025-01-25T00:00:00" u="1"/>
        <d v="2025-03-16T00:00:00" u="1"/>
        <d v="2025-05-07T00:00:00" u="1"/>
        <d v="2025-08-29T00:00:00" u="1"/>
        <d v="2025-10-20T00:00:00" u="1"/>
        <d v="2025-12-11T00:00:00" u="1"/>
      </sharedItems>
    </cacheField>
    <cacheField name="SURTIDOR" numFmtId="14">
      <sharedItems containsBlank="1" count="11">
        <s v="RE03"/>
        <s v="EBAP HIJAYA"/>
        <m u="1"/>
        <s v="HIJAYA" u="1"/>
        <s v="SURTIDOR ENCISO" u="1"/>
        <s v="RE09" u="1"/>
        <s v="RE08" u="1"/>
        <s v="RE07" u="1"/>
        <s v="RE06" u="1"/>
        <s v="RE05" u="1"/>
        <s v="RE04" u="1"/>
      </sharedItems>
    </cacheField>
    <cacheField name="ITM" numFmtId="0">
      <sharedItems containsSemiMixedTypes="0" containsString="0" containsNumber="1" containsInteger="1" minValue="1" maxValue="15"/>
    </cacheField>
    <cacheField name="PLACA" numFmtId="0">
      <sharedItems containsBlank="1" count="16">
        <s v="EAN576"/>
        <s v="EAL211"/>
        <s v="EAL478"/>
        <s v="EAJ561"/>
        <s v="EAK804"/>
        <s v="EAL187"/>
        <s v="EAK735"/>
        <s v="EAL223"/>
        <s v="EAL214"/>
        <s v="EAJ724"/>
        <m u="1"/>
        <s v="EAA065" u="1"/>
        <s v="EAH065" u="1"/>
        <s v="BAE937" u="1"/>
        <s v="EAK750" u="1"/>
        <s v="EAL221" u="1"/>
      </sharedItems>
    </cacheField>
    <cacheField name="TVEHICULO" numFmtId="0">
      <sharedItems containsBlank="1" count="6">
        <s v="HIDROJET"/>
        <s v="CISTERNA"/>
        <m u="1"/>
        <e v="#REF!" u="1"/>
        <s v="VIVIENDA" u="1"/>
        <e v="#N/A" u="1"/>
      </sharedItems>
    </cacheField>
    <cacheField name="VOLUMEN-gln" numFmtId="0">
      <sharedItems containsSemiMixedTypes="0" containsString="0" containsNumber="1" containsInteger="1" minValue="0" maxValue="9000" count="6">
        <n v="1000"/>
        <n v="5000"/>
        <n v="9000"/>
        <n v="2500"/>
        <n v="0" u="1"/>
        <n v="4500" u="1"/>
      </sharedItems>
    </cacheField>
    <cacheField name="VOLUMEN-m32" numFmtId="0">
      <sharedItems containsSemiMixedTypes="0" containsString="0" containsNumber="1" containsInteger="1" minValue="1" maxValue="34"/>
    </cacheField>
    <cacheField name="CONSUMO CA(CLO2)" numFmtId="0">
      <sharedItems containsSemiMixedTypes="0" containsString="0" containsNumber="1" minValue="0" maxValue="0.45"/>
    </cacheField>
    <cacheField name="PROGRAMA" numFmtId="0">
      <sharedItems/>
    </cacheField>
    <cacheField name="HIPOCLORITO" numFmtId="0">
      <sharedItems containsString="0" containsBlank="1" containsNumber="1" minValue="0" maxValue="1"/>
    </cacheField>
    <cacheField name="CLORO RESIDUAL" numFmtId="0">
      <sharedItems containsBlank="1" containsMixedTypes="1" containsNumber="1" minValue="0" maxValue="7.12"/>
    </cacheField>
    <cacheField name="HORA" numFmtId="20">
      <sharedItems containsSemiMixedTypes="0" containsNonDate="0" containsDate="1" containsString="0" minDate="1899-12-30T01:17:00" maxDate="1900-01-06T13:55:12"/>
    </cacheField>
    <cacheField name="OPERADOR" numFmtId="0">
      <sharedItems/>
    </cacheField>
    <cacheField name="Columna1" numFmtId="0">
      <sharedItems containsString="0" containsBlank="1" containsNumber="1" containsInteger="1" minValue="1" maxValue="11"/>
    </cacheField>
  </cacheFields>
  <extLst>
    <ext xmlns:x14="http://schemas.microsoft.com/office/spreadsheetml/2009/9/main" uri="{725AE2AE-9491-48be-B2B4-4EB974FC3084}">
      <x14:pivotCacheDefinition pivotCacheId="18629089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_PRODUCCION02" refreshedDate="46139.395048958337" createdVersion="8" refreshedVersion="7" minRefreshableVersion="3" recordCount="3560" xr:uid="{42C227F0-8DC9-4206-9D1A-D33E842675A6}">
  <cacheSource type="worksheet">
    <worksheetSource name="BDRIOSJ"/>
  </cacheSource>
  <cacheFields count="5">
    <cacheField name="AÑO" numFmtId="0">
      <sharedItems containsSemiMixedTypes="0" containsString="0" containsNumber="1" containsInteger="1" minValue="1900" maxValue="2026" count="5">
        <n v="2023"/>
        <n v="2024"/>
        <n v="2025"/>
        <n v="2026"/>
        <n v="1900" u="1"/>
      </sharedItems>
    </cacheField>
    <cacheField name="MES" numFmtId="0">
      <sharedItems containsSemiMixedTypes="0" containsString="0" containsNumber="1" containsInteger="1" minValue="1" maxValue="12" count="12">
        <n v="1"/>
        <n v="2"/>
        <n v="3"/>
        <n v="4"/>
        <n v="10"/>
        <n v="11"/>
        <n v="12"/>
        <n v="5"/>
        <n v="6"/>
        <n v="7"/>
        <n v="8"/>
        <n v="9"/>
      </sharedItems>
    </cacheField>
    <cacheField name="FECHA" numFmtId="0">
      <sharedItems containsDate="1" containsBlank="1" containsMixedTypes="1" minDate="2024-05-06T00:00:00" maxDate="2026-05-01T00:00:00" count="1030">
        <s v="01/01/2023"/>
        <s v="02/01/2023"/>
        <s v="03/01/2023"/>
        <s v="04/01/2023"/>
        <s v="05/01/2023"/>
        <s v="06/01/2023"/>
        <s v="07/01/2023"/>
        <s v="08/01/2023"/>
        <s v="09/01/2023"/>
        <s v="10/01/2023"/>
        <s v="11/01/2023"/>
        <s v="12/01/2023"/>
        <s v="13/01/2023"/>
        <s v="14/01/2023"/>
        <s v="15/01/2023"/>
        <s v="16/01/2023"/>
        <s v="17/01/2023"/>
        <s v="18/01/2023"/>
        <s v="19/01/2023"/>
        <s v="20/01/2023"/>
        <s v="21/01/2023"/>
        <s v="22/01/2023"/>
        <s v="23/01/2023"/>
        <s v="24/01/2023"/>
        <s v="25/01/2023"/>
        <s v="26/01/2023"/>
        <s v="27/01/2023"/>
        <s v="28/01/2023"/>
        <s v="29/01/2023"/>
        <s v="30/01/2023"/>
        <s v="31/01/2023"/>
        <s v="01/02/2023"/>
        <s v="02/02/2023"/>
        <s v="03/02/2023"/>
        <s v="04/02/2023"/>
        <s v="05/02/2023"/>
        <s v="06/02/2023"/>
        <s v="07/02/2023"/>
        <s v="08/02/2023"/>
        <s v="09/02/2023"/>
        <s v="10/02/2023"/>
        <s v="11/02/2023"/>
        <s v="12/02/2023"/>
        <s v="13/02/2023"/>
        <s v="14/02/2023"/>
        <s v="15/02/2023"/>
        <s v="16/02/2023"/>
        <s v="17/02/2023"/>
        <s v="18/02/2023"/>
        <s v="19/02/2023"/>
        <s v="20/02/2023"/>
        <s v="21/02/2023"/>
        <s v="22/02/2023"/>
        <s v="23/02/2023"/>
        <s v="24/02/2023"/>
        <s v="25/02/2023"/>
        <s v="26/02/2023"/>
        <s v="27/02/2023"/>
        <s v="28/02/2023"/>
        <s v="06/03/2023"/>
        <s v="07/03/2023"/>
        <s v="08/03/2023"/>
        <s v="09/03/2023"/>
        <s v="10/03/2023"/>
        <s v="11/03/2023"/>
        <s v="12/03/2023"/>
        <s v="13/03/2023"/>
        <s v="14/03/2023"/>
        <s v="15/03/2023"/>
        <s v="16/03/2023"/>
        <s v="17/03/2023"/>
        <s v="18/03/2023"/>
        <s v="19/03/2023"/>
        <s v="20/03/2023"/>
        <s v="21/03/2023"/>
        <s v="22/03/2023"/>
        <s v="23/03/2023"/>
        <s v="24/03/2023"/>
        <s v="25/03/2023"/>
        <s v="26/03/2023"/>
        <s v="27/03/2023"/>
        <s v="28/03/2023"/>
        <s v="29/03/2023"/>
        <s v="30/03/2023"/>
        <s v="31/03/2023"/>
        <s v="01/04/2023"/>
        <s v="02/04/2023"/>
        <s v="03/04/2023"/>
        <s v="04/04/2023"/>
        <s v="05/04/2023"/>
        <s v="06/04/2023"/>
        <s v="07/04/2023"/>
        <s v="08/04/2023"/>
        <s v="09/04/2023"/>
        <s v="10/04/2023"/>
        <s v="11/04/2023"/>
        <s v="12/04/2023"/>
        <s v="13/04/2023"/>
        <s v="14/04/2023"/>
        <s v="15/04/2023"/>
        <s v="16/04/2023"/>
        <s v="17/04/2023"/>
        <s v="18/04/2023"/>
        <s v="19/04/2023"/>
        <s v="19/10/2023"/>
        <s v="20/10/2023"/>
        <s v="21/10/2023"/>
        <s v="22/10/2023"/>
        <s v="23/10/2023"/>
        <s v="24/10/2023"/>
        <s v="25/10/2023"/>
        <s v="26/10/2023"/>
        <s v="27/10/2023"/>
        <s v="28/10/2023"/>
        <s v="29/10/2023"/>
        <s v="30/10/2023"/>
        <s v="31/10/2023"/>
        <s v="01/11/2023"/>
        <s v="02/11/2023"/>
        <s v="03/11/2023"/>
        <s v="04/11/2023"/>
        <s v="05/11/2023"/>
        <s v="06/11/2023"/>
        <s v="07/11/2023"/>
        <s v="08/11/2023"/>
        <s v="09/11/2023"/>
        <s v="10/11/2023"/>
        <s v="11/11/2023"/>
        <s v="12/11/2023"/>
        <s v="13/11/2023"/>
        <s v="14/11/2023"/>
        <s v="15/11/2023"/>
        <s v="16/11/2023"/>
        <s v="17/11/2023"/>
        <s v="18/11/2023"/>
        <s v="19/11/2023"/>
        <s v="20/11/2023"/>
        <s v="21/11/2023"/>
        <s v="22/11/2023"/>
        <s v="23/11/2023"/>
        <s v="24/11/2023"/>
        <s v="25/11/2023"/>
        <s v="26/11/2023"/>
        <s v="27/11/2023"/>
        <s v="28/11/2023"/>
        <s v="29/11/2023"/>
        <s v="30/11/2023"/>
        <s v="01/12/2023"/>
        <s v="02/12/2023"/>
        <s v="03/12/2023"/>
        <s v="04/12/2023"/>
        <s v="05/12/2023"/>
        <s v="06/12/2023"/>
        <s v="07/12/2023"/>
        <s v="08/12/2023"/>
        <s v="09/12/2023"/>
        <s v="10/12/2023"/>
        <s v="11/12/2023"/>
        <s v="12/12/2023"/>
        <s v="13/12/2023"/>
        <s v="14/12/2023"/>
        <s v="15/12/2023"/>
        <s v="16/12/2023"/>
        <s v="17/12/2023"/>
        <s v="18/12/2023"/>
        <s v="19/12/2023"/>
        <s v="20/12/2023"/>
        <s v="21/12/2023"/>
        <s v="22/12/2023"/>
        <s v="23/12/2023"/>
        <s v="24/12/2023"/>
        <s v="25/12/2023"/>
        <s v="26/12/2023"/>
        <s v="27/12/2023"/>
        <s v="28/12/2023"/>
        <s v="29/12/2023"/>
        <s v="30/12/2023"/>
        <s v="31/12/2023"/>
        <s v="01/01/2024"/>
        <s v="02/01/2024"/>
        <s v="03/01/2024"/>
        <s v="04/01/2024"/>
        <s v="05/01/2024"/>
        <s v="06/01/2024"/>
        <s v="07/01/2024"/>
        <s v="08/01/2024"/>
        <s v="09/01/2024"/>
        <s v="10/01/2024"/>
        <s v="11/01/2024"/>
        <s v="12/01/2024"/>
        <s v="13/01/2024"/>
        <s v="14/01/2024"/>
        <s v="15/01/2024"/>
        <s v="16/01/2024"/>
        <s v="17/01/2024"/>
        <s v="18/01/2024"/>
        <s v="19/01/2024"/>
        <s v="20/01/2024"/>
        <s v="21/01/2024"/>
        <s v="22/01/2024"/>
        <s v="23/01/2024"/>
        <s v="24/01/2024"/>
        <s v="25/01/2024"/>
        <s v="26/01/2024"/>
        <s v="27/01/2024"/>
        <s v="28/01/2024"/>
        <s v="29/01/2024"/>
        <s v="30/01/2024"/>
        <s v="31/01/2024"/>
        <s v="01/02/2024"/>
        <s v="02/02/2024"/>
        <s v="03/02/2024"/>
        <s v="04/02/2024"/>
        <s v="05/02/2024"/>
        <s v="06/02/2024"/>
        <s v="07/02/2024"/>
        <s v="08/02/2024"/>
        <s v="09/02/2024"/>
        <s v="10/02/2024"/>
        <s v="11/02/2024"/>
        <s v="12/02/2024"/>
        <s v="13/02/2024"/>
        <s v="14/02/2024"/>
        <s v="15/02/2024"/>
        <s v="16/02/2024"/>
        <s v="17/02/2024"/>
        <s v="18/02/2024"/>
        <s v="19/02/2024"/>
        <s v="20/02/2024"/>
        <s v="21/02/2024"/>
        <s v="22/02/2024"/>
        <s v="23/02/2024"/>
        <s v="24/02/2024"/>
        <s v="25/02/2024"/>
        <s v="26/02/2024"/>
        <s v="27/02/2024"/>
        <s v="28/02/2024"/>
        <s v="29/02/2024"/>
        <s v="01/03/2024"/>
        <s v="02/03/2024"/>
        <s v="03/03/2024"/>
        <s v="04/03/2024"/>
        <s v="05/03/2024"/>
        <s v="06/03/2024"/>
        <s v="07/03/2024"/>
        <s v="08/03/2024"/>
        <s v="09/03/2024"/>
        <s v="10/03/2024"/>
        <s v="11/03/2024"/>
        <s v="12/03/2024"/>
        <s v="13/03/2024"/>
        <s v="14/03/2024"/>
        <s v="15/03/2024"/>
        <s v="16/03/2024"/>
        <s v="17/03/2024"/>
        <s v="18/03/2024"/>
        <s v="19/03/2024"/>
        <s v="20/03/2024"/>
        <s v="21/03/2024"/>
        <s v="22/03/2024"/>
        <s v="23/03/2024"/>
        <s v="24/03/2024"/>
        <s v="25/03/2024"/>
        <s v="26/03/2024"/>
        <s v="27/03/2024"/>
        <s v="28/03/2024"/>
        <s v="29/03/2024"/>
        <s v="30/03/2024"/>
        <s v="31/03/2024"/>
        <s v="01/04/2024"/>
        <s v="02/04/2024"/>
        <s v="03/04/2024"/>
        <s v="04/04/2024"/>
        <s v="05/04/2024"/>
        <s v="06/04/2024"/>
        <s v="07/04/2024"/>
        <s v="08/04/2024"/>
        <s v="09/04/2024"/>
        <s v="10/04/2024"/>
        <s v="11/04/2024"/>
        <s v="12/04/2024"/>
        <s v="13/04/2024"/>
        <s v="14/04/2024"/>
        <s v="15/04/2024"/>
        <s v="16/04/2024"/>
        <s v="17/04/2024"/>
        <s v="18/04/2024"/>
        <s v="19/04/2024"/>
        <s v="20/04/2024"/>
        <s v="21/04/2024"/>
        <s v="22/04/2024"/>
        <s v="23/04/2024"/>
        <s v="24/04/2024"/>
        <s v="25/04/2024"/>
        <s v="26/04/2024"/>
        <s v="27/04/2024"/>
        <s v="28/04/2024"/>
        <s v="29/04/2024"/>
        <s v="30/04/2024"/>
        <s v="01/05/2024"/>
        <s v="02/05/2024"/>
        <s v="03/05/2024"/>
        <s v="04/05/2024"/>
        <s v="05/05/2024"/>
        <d v="2024-05-06T00:00:00"/>
        <s v="06/05/2024"/>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m u="1"/>
      </sharedItems>
    </cacheField>
    <cacheField name="HORA" numFmtId="0">
      <sharedItems containsBlank="1"/>
    </cacheField>
    <cacheField name="Caudal (m³/s)" numFmtId="0">
      <sharedItems containsString="0" containsBlank="1" containsNumber="1" minValue="0.12" maxValue="375.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3">
  <r>
    <x v="0"/>
    <x v="0"/>
    <x v="0"/>
    <x v="0"/>
    <x v="0"/>
    <n v="1"/>
    <x v="0"/>
    <x v="0"/>
    <x v="0"/>
    <n v="1"/>
    <n v="0"/>
    <s v="EPS"/>
    <m/>
    <n v="0"/>
    <d v="1899-12-30T07:28:00"/>
    <s v="JUAN HERNANDEZ"/>
    <m/>
  </r>
  <r>
    <x v="0"/>
    <x v="0"/>
    <x v="0"/>
    <x v="0"/>
    <x v="0"/>
    <n v="2"/>
    <x v="1"/>
    <x v="1"/>
    <x v="1"/>
    <n v="17"/>
    <n v="0.4"/>
    <s v="EPS"/>
    <m/>
    <n v="1.31"/>
    <d v="1899-12-30T07:52:00"/>
    <s v="JUAN HERNANDEZ"/>
    <m/>
  </r>
  <r>
    <x v="0"/>
    <x v="0"/>
    <x v="0"/>
    <x v="0"/>
    <x v="0"/>
    <n v="3"/>
    <x v="1"/>
    <x v="1"/>
    <x v="1"/>
    <n v="17"/>
    <n v="0.4"/>
    <s v="EPS"/>
    <m/>
    <n v="1.66"/>
    <d v="1899-12-30T09:58:00"/>
    <s v="JUAN HERNANDEZ"/>
    <n v="1"/>
  </r>
  <r>
    <x v="0"/>
    <x v="0"/>
    <x v="0"/>
    <x v="0"/>
    <x v="0"/>
    <n v="4"/>
    <x v="0"/>
    <x v="0"/>
    <x v="0"/>
    <n v="1"/>
    <n v="0"/>
    <s v="EPS"/>
    <m/>
    <n v="0"/>
    <d v="1899-12-30T10:20:00"/>
    <s v="JUAN HERNANDEZ"/>
    <n v="2"/>
  </r>
  <r>
    <x v="0"/>
    <x v="0"/>
    <x v="0"/>
    <x v="0"/>
    <x v="0"/>
    <n v="5"/>
    <x v="1"/>
    <x v="1"/>
    <x v="1"/>
    <n v="17"/>
    <n v="0.4"/>
    <s v="EPS"/>
    <m/>
    <n v="1.53"/>
    <d v="1899-12-30T12:03:00"/>
    <s v="JUAN HERNANDEZ"/>
    <n v="3"/>
  </r>
  <r>
    <x v="1"/>
    <x v="0"/>
    <x v="0"/>
    <x v="1"/>
    <x v="0"/>
    <n v="1"/>
    <x v="1"/>
    <x v="1"/>
    <x v="1"/>
    <n v="17"/>
    <n v="0.4"/>
    <s v="EPS"/>
    <m/>
    <n v="1.52"/>
    <d v="1899-12-30T07:34:00"/>
    <s v="JUAN HERNANDEZ"/>
    <n v="4"/>
  </r>
  <r>
    <x v="1"/>
    <x v="0"/>
    <x v="0"/>
    <x v="1"/>
    <x v="0"/>
    <n v="2"/>
    <x v="0"/>
    <x v="0"/>
    <x v="0"/>
    <n v="1"/>
    <n v="0"/>
    <s v="EPS"/>
    <m/>
    <n v="0"/>
    <d v="1899-12-30T07:57:00"/>
    <s v="JUAN HERNANDEZ"/>
    <n v="5"/>
  </r>
  <r>
    <x v="1"/>
    <x v="0"/>
    <x v="0"/>
    <x v="1"/>
    <x v="0"/>
    <n v="3"/>
    <x v="2"/>
    <x v="0"/>
    <x v="0"/>
    <n v="1"/>
    <n v="0"/>
    <s v="EPS"/>
    <m/>
    <n v="0"/>
    <d v="1899-12-30T09:05:00"/>
    <s v="JUAN HERNANDEZ"/>
    <n v="6"/>
  </r>
  <r>
    <x v="1"/>
    <x v="0"/>
    <x v="0"/>
    <x v="1"/>
    <x v="0"/>
    <n v="4"/>
    <x v="1"/>
    <x v="1"/>
    <x v="1"/>
    <n v="17"/>
    <n v="0.4"/>
    <s v="EPS"/>
    <m/>
    <n v="1.28"/>
    <d v="1899-12-30T09:32:00"/>
    <s v="JUAN HERNANDEZ"/>
    <n v="7"/>
  </r>
  <r>
    <x v="1"/>
    <x v="0"/>
    <x v="0"/>
    <x v="1"/>
    <x v="0"/>
    <n v="5"/>
    <x v="0"/>
    <x v="0"/>
    <x v="0"/>
    <n v="1"/>
    <n v="0"/>
    <s v="EPS"/>
    <m/>
    <n v="0"/>
    <d v="1899-12-30T10:57:00"/>
    <s v="JUAN HERNANDEZ"/>
    <n v="8"/>
  </r>
  <r>
    <x v="1"/>
    <x v="0"/>
    <x v="0"/>
    <x v="1"/>
    <x v="0"/>
    <n v="6"/>
    <x v="1"/>
    <x v="1"/>
    <x v="1"/>
    <n v="17"/>
    <n v="0.4"/>
    <s v="EPS"/>
    <m/>
    <n v="1.42"/>
    <d v="1899-12-30T11:31:00"/>
    <s v="JUAN HERNANDEZ"/>
    <n v="9"/>
  </r>
  <r>
    <x v="1"/>
    <x v="0"/>
    <x v="0"/>
    <x v="2"/>
    <x v="0"/>
    <n v="1"/>
    <x v="1"/>
    <x v="1"/>
    <x v="1"/>
    <n v="17"/>
    <n v="0.4"/>
    <s v="EPS"/>
    <m/>
    <n v="1.54"/>
    <d v="1899-12-30T07:48:00"/>
    <s v="JUAN HERNANDEZ"/>
    <n v="10"/>
  </r>
  <r>
    <x v="1"/>
    <x v="0"/>
    <x v="0"/>
    <x v="2"/>
    <x v="0"/>
    <n v="2"/>
    <x v="0"/>
    <x v="0"/>
    <x v="0"/>
    <n v="1"/>
    <n v="0"/>
    <s v="EPS"/>
    <m/>
    <n v="0"/>
    <d v="1899-12-30T07:58:00"/>
    <s v="JUAN HERNANDEZ"/>
    <n v="11"/>
  </r>
  <r>
    <x v="1"/>
    <x v="0"/>
    <x v="0"/>
    <x v="2"/>
    <x v="0"/>
    <n v="3"/>
    <x v="2"/>
    <x v="0"/>
    <x v="0"/>
    <n v="1"/>
    <n v="0"/>
    <s v="EPS"/>
    <m/>
    <n v="0"/>
    <d v="1899-12-30T08:04:00"/>
    <s v="JUAN HERNANDEZ"/>
    <n v="1"/>
  </r>
  <r>
    <x v="1"/>
    <x v="0"/>
    <x v="0"/>
    <x v="2"/>
    <x v="0"/>
    <n v="4"/>
    <x v="1"/>
    <x v="1"/>
    <x v="1"/>
    <n v="17"/>
    <n v="0.4"/>
    <s v="EPS"/>
    <m/>
    <n v="1.51"/>
    <d v="1899-12-30T10:13:00"/>
    <s v="JUAN HERNANDEZ"/>
    <n v="2"/>
  </r>
  <r>
    <x v="1"/>
    <x v="0"/>
    <x v="0"/>
    <x v="2"/>
    <x v="0"/>
    <n v="5"/>
    <x v="2"/>
    <x v="0"/>
    <x v="0"/>
    <n v="1"/>
    <n v="0"/>
    <s v="EPS"/>
    <m/>
    <n v="0"/>
    <d v="1899-12-30T10:50:00"/>
    <s v="JUAN HERNANDEZ"/>
    <m/>
  </r>
  <r>
    <x v="1"/>
    <x v="0"/>
    <x v="0"/>
    <x v="2"/>
    <x v="0"/>
    <n v="6"/>
    <x v="0"/>
    <x v="0"/>
    <x v="0"/>
    <n v="1"/>
    <n v="0"/>
    <s v="EPS"/>
    <m/>
    <n v="0"/>
    <d v="1899-12-30T11:58:00"/>
    <s v="JUAN HERNANDEZ"/>
    <m/>
  </r>
  <r>
    <x v="1"/>
    <x v="0"/>
    <x v="0"/>
    <x v="3"/>
    <x v="0"/>
    <n v="1"/>
    <x v="1"/>
    <x v="1"/>
    <x v="1"/>
    <n v="17"/>
    <n v="0.4"/>
    <s v="EPS"/>
    <m/>
    <n v="1.28"/>
    <d v="1899-12-30T07:34:00"/>
    <s v="JUAN HERNANDEZ"/>
    <m/>
  </r>
  <r>
    <x v="1"/>
    <x v="0"/>
    <x v="0"/>
    <x v="3"/>
    <x v="0"/>
    <n v="2"/>
    <x v="2"/>
    <x v="0"/>
    <x v="0"/>
    <n v="1"/>
    <n v="0"/>
    <s v="EPS"/>
    <m/>
    <n v="0"/>
    <d v="1899-12-30T07:46:00"/>
    <s v="JUAN HERNANDEZ"/>
    <m/>
  </r>
  <r>
    <x v="1"/>
    <x v="0"/>
    <x v="0"/>
    <x v="3"/>
    <x v="0"/>
    <n v="3"/>
    <x v="0"/>
    <x v="0"/>
    <x v="0"/>
    <n v="1"/>
    <n v="0"/>
    <s v="EPS"/>
    <m/>
    <n v="0"/>
    <d v="1899-12-30T08:24:00"/>
    <s v="JUAN HERNANDEZ"/>
    <m/>
  </r>
  <r>
    <x v="1"/>
    <x v="0"/>
    <x v="0"/>
    <x v="3"/>
    <x v="0"/>
    <n v="4"/>
    <x v="2"/>
    <x v="0"/>
    <x v="0"/>
    <n v="1"/>
    <n v="0"/>
    <s v="EPS"/>
    <m/>
    <n v="0"/>
    <d v="1899-12-30T11:48:00"/>
    <s v="JUAN HERNANDEZ"/>
    <m/>
  </r>
  <r>
    <x v="1"/>
    <x v="0"/>
    <x v="0"/>
    <x v="3"/>
    <x v="0"/>
    <n v="5"/>
    <x v="1"/>
    <x v="1"/>
    <x v="1"/>
    <n v="17"/>
    <n v="0.4"/>
    <s v="EPS"/>
    <m/>
    <n v="1.53"/>
    <d v="1899-12-30T13:50:00"/>
    <s v="JUAN HERNANDEZ"/>
    <m/>
  </r>
  <r>
    <x v="1"/>
    <x v="0"/>
    <x v="0"/>
    <x v="4"/>
    <x v="0"/>
    <n v="1"/>
    <x v="1"/>
    <x v="1"/>
    <x v="1"/>
    <n v="17"/>
    <n v="0.4"/>
    <s v="EPS"/>
    <m/>
    <n v="1.57"/>
    <d v="1899-12-30T07:33:00"/>
    <s v="JUAN HERNANDEZ"/>
    <m/>
  </r>
  <r>
    <x v="1"/>
    <x v="0"/>
    <x v="0"/>
    <x v="4"/>
    <x v="0"/>
    <n v="2"/>
    <x v="0"/>
    <x v="0"/>
    <x v="0"/>
    <n v="1"/>
    <n v="0"/>
    <s v="EPS"/>
    <m/>
    <n v="0"/>
    <d v="1899-12-30T07:46:00"/>
    <s v="JUAN HERNANDEZ"/>
    <m/>
  </r>
  <r>
    <x v="1"/>
    <x v="0"/>
    <x v="0"/>
    <x v="4"/>
    <x v="0"/>
    <n v="3"/>
    <x v="2"/>
    <x v="0"/>
    <x v="0"/>
    <n v="1"/>
    <n v="0"/>
    <s v="EPS"/>
    <m/>
    <n v="0"/>
    <d v="1899-12-30T08:00:00"/>
    <s v="JUAN HERNANDEZ"/>
    <m/>
  </r>
  <r>
    <x v="1"/>
    <x v="0"/>
    <x v="0"/>
    <x v="4"/>
    <x v="0"/>
    <n v="4"/>
    <x v="1"/>
    <x v="1"/>
    <x v="1"/>
    <n v="17"/>
    <n v="0.4"/>
    <s v="EPS"/>
    <m/>
    <n v="1.45"/>
    <d v="1899-12-30T10:11:00"/>
    <s v="JUAN HERNANDEZ"/>
    <m/>
  </r>
  <r>
    <x v="1"/>
    <x v="0"/>
    <x v="0"/>
    <x v="4"/>
    <x v="0"/>
    <n v="5"/>
    <x v="2"/>
    <x v="0"/>
    <x v="0"/>
    <n v="1"/>
    <n v="0"/>
    <s v="EPS"/>
    <m/>
    <n v="0"/>
    <d v="1899-12-30T12:06:00"/>
    <s v="JUAN HERNANDEZ"/>
    <m/>
  </r>
  <r>
    <x v="1"/>
    <x v="0"/>
    <x v="0"/>
    <x v="5"/>
    <x v="0"/>
    <n v="1"/>
    <x v="3"/>
    <x v="1"/>
    <x v="1"/>
    <n v="17"/>
    <n v="0.4"/>
    <s v="EPS"/>
    <m/>
    <n v="1.45"/>
    <d v="1899-12-30T08:26:00"/>
    <s v="JUAN HERNANDEZ"/>
    <m/>
  </r>
  <r>
    <x v="1"/>
    <x v="0"/>
    <x v="0"/>
    <x v="5"/>
    <x v="0"/>
    <n v="2"/>
    <x v="2"/>
    <x v="0"/>
    <x v="0"/>
    <n v="1"/>
    <n v="0"/>
    <s v="EPS"/>
    <m/>
    <n v="0"/>
    <d v="1899-12-30T08:44:00"/>
    <s v="JUAN HERNANDEZ"/>
    <m/>
  </r>
  <r>
    <x v="1"/>
    <x v="0"/>
    <x v="0"/>
    <x v="5"/>
    <x v="0"/>
    <n v="3"/>
    <x v="3"/>
    <x v="1"/>
    <x v="1"/>
    <n v="17"/>
    <n v="0.4"/>
    <s v="EPS"/>
    <m/>
    <n v="1.36"/>
    <d v="1899-12-30T10:50:00"/>
    <s v="JUAN HERNANDEZ"/>
    <m/>
  </r>
  <r>
    <x v="1"/>
    <x v="0"/>
    <x v="0"/>
    <x v="5"/>
    <x v="0"/>
    <n v="4"/>
    <x v="2"/>
    <x v="0"/>
    <x v="0"/>
    <n v="1"/>
    <n v="0"/>
    <s v="EPS"/>
    <m/>
    <n v="0"/>
    <d v="1899-12-30T13:45:00"/>
    <s v="JUAN HERNANDEZ"/>
    <m/>
  </r>
  <r>
    <x v="1"/>
    <x v="0"/>
    <x v="0"/>
    <x v="6"/>
    <x v="0"/>
    <n v="1"/>
    <x v="3"/>
    <x v="1"/>
    <x v="1"/>
    <n v="17"/>
    <n v="0.4"/>
    <s v="EPS"/>
    <m/>
    <n v="1.41"/>
    <d v="1899-12-30T07:28:00"/>
    <s v="JUAN HERNANDEZ"/>
    <m/>
  </r>
  <r>
    <x v="1"/>
    <x v="0"/>
    <x v="0"/>
    <x v="6"/>
    <x v="0"/>
    <n v="2"/>
    <x v="2"/>
    <x v="0"/>
    <x v="0"/>
    <n v="1"/>
    <n v="0"/>
    <s v="EPS"/>
    <m/>
    <n v="0"/>
    <d v="1899-12-30T07:40:00"/>
    <s v="JUAN HERNANDEZ"/>
    <m/>
  </r>
  <r>
    <x v="1"/>
    <x v="0"/>
    <x v="0"/>
    <x v="6"/>
    <x v="0"/>
    <n v="3"/>
    <x v="0"/>
    <x v="0"/>
    <x v="0"/>
    <n v="1"/>
    <n v="0"/>
    <s v="EPS"/>
    <m/>
    <n v="0"/>
    <d v="1899-12-30T07:50:00"/>
    <s v="JUAN HERNANDEZ"/>
    <m/>
  </r>
  <r>
    <x v="1"/>
    <x v="0"/>
    <x v="0"/>
    <x v="6"/>
    <x v="0"/>
    <n v="4"/>
    <x v="3"/>
    <x v="1"/>
    <x v="1"/>
    <n v="17"/>
    <n v="0.4"/>
    <s v="EPS"/>
    <m/>
    <n v="1.34"/>
    <d v="1899-12-30T12:37:00"/>
    <s v="JUAN HERNANDEZ"/>
    <m/>
  </r>
  <r>
    <x v="1"/>
    <x v="0"/>
    <x v="0"/>
    <x v="6"/>
    <x v="0"/>
    <n v="5"/>
    <x v="0"/>
    <x v="0"/>
    <x v="0"/>
    <n v="1"/>
    <n v="0"/>
    <s v="EPS"/>
    <m/>
    <n v="0"/>
    <d v="1899-12-30T12:45:00"/>
    <s v="JUAN HERNANDEZ"/>
    <m/>
  </r>
  <r>
    <x v="2"/>
    <x v="0"/>
    <x v="0"/>
    <x v="7"/>
    <x v="0"/>
    <n v="1"/>
    <x v="3"/>
    <x v="1"/>
    <x v="1"/>
    <n v="17"/>
    <n v="0.4"/>
    <s v="EPS"/>
    <m/>
    <n v="1.52"/>
    <d v="1899-12-30T07:29:00"/>
    <s v="JUAN HERNANDEZ"/>
    <m/>
  </r>
  <r>
    <x v="2"/>
    <x v="0"/>
    <x v="0"/>
    <x v="7"/>
    <x v="0"/>
    <n v="2"/>
    <x v="2"/>
    <x v="0"/>
    <x v="0"/>
    <n v="1"/>
    <n v="0"/>
    <s v="EPS"/>
    <m/>
    <n v="0"/>
    <d v="1899-12-30T07:51:00"/>
    <s v="JUAN HERNANDEZ"/>
    <m/>
  </r>
  <r>
    <x v="2"/>
    <x v="0"/>
    <x v="0"/>
    <x v="7"/>
    <x v="0"/>
    <n v="3"/>
    <x v="3"/>
    <x v="1"/>
    <x v="1"/>
    <n v="17"/>
    <n v="0.4"/>
    <s v="EPS"/>
    <m/>
    <n v="1.63"/>
    <d v="1899-12-30T10:37:00"/>
    <s v="JUAN HERNANDEZ"/>
    <m/>
  </r>
  <r>
    <x v="2"/>
    <x v="0"/>
    <x v="0"/>
    <x v="7"/>
    <x v="0"/>
    <n v="4"/>
    <x v="2"/>
    <x v="0"/>
    <x v="0"/>
    <n v="1"/>
    <n v="0"/>
    <s v="EPS"/>
    <m/>
    <n v="0"/>
    <d v="1899-12-30T12:25:00"/>
    <s v="JUAN HERNANDEZ"/>
    <m/>
  </r>
  <r>
    <x v="2"/>
    <x v="0"/>
    <x v="0"/>
    <x v="7"/>
    <x v="0"/>
    <n v="5"/>
    <x v="3"/>
    <x v="1"/>
    <x v="1"/>
    <n v="17"/>
    <n v="0.4"/>
    <s v="EPS"/>
    <m/>
    <n v="1.55"/>
    <d v="1899-12-30T13:08:00"/>
    <s v="JUAN HERNANDEZ"/>
    <m/>
  </r>
  <r>
    <x v="2"/>
    <x v="0"/>
    <x v="0"/>
    <x v="8"/>
    <x v="0"/>
    <n v="1"/>
    <x v="3"/>
    <x v="1"/>
    <x v="1"/>
    <n v="17"/>
    <n v="0.4"/>
    <s v="EPS"/>
    <m/>
    <n v="1.55"/>
    <d v="1899-12-30T07:37:00"/>
    <s v="JUAN HERNANDEZ"/>
    <m/>
  </r>
  <r>
    <x v="2"/>
    <x v="0"/>
    <x v="0"/>
    <x v="8"/>
    <x v="0"/>
    <n v="2"/>
    <x v="2"/>
    <x v="0"/>
    <x v="0"/>
    <n v="1"/>
    <n v="0"/>
    <s v="EPS"/>
    <m/>
    <n v="0"/>
    <d v="1899-12-30T07:45:00"/>
    <s v="JUAN HERNANDEZ"/>
    <m/>
  </r>
  <r>
    <x v="2"/>
    <x v="0"/>
    <x v="0"/>
    <x v="8"/>
    <x v="0"/>
    <n v="3"/>
    <x v="3"/>
    <x v="1"/>
    <x v="1"/>
    <n v="17"/>
    <n v="0.4"/>
    <s v="EPS"/>
    <m/>
    <n v="1.49"/>
    <d v="1899-12-30T10:13:00"/>
    <s v="JUAN HERNANDEZ"/>
    <m/>
  </r>
  <r>
    <x v="2"/>
    <x v="0"/>
    <x v="0"/>
    <x v="8"/>
    <x v="0"/>
    <n v="4"/>
    <x v="4"/>
    <x v="1"/>
    <x v="2"/>
    <n v="34"/>
    <n v="0.45"/>
    <s v="VIVIENDA"/>
    <m/>
    <n v="1.62"/>
    <d v="1899-12-30T11:57:00"/>
    <s v="JUAN HERNANDEZ"/>
    <m/>
  </r>
  <r>
    <x v="2"/>
    <x v="0"/>
    <x v="0"/>
    <x v="8"/>
    <x v="0"/>
    <n v="5"/>
    <x v="5"/>
    <x v="1"/>
    <x v="1"/>
    <n v="17"/>
    <n v="0.4"/>
    <s v="EPS"/>
    <m/>
    <n v="1.36"/>
    <d v="1899-12-30T12:31:00"/>
    <s v="JUAN HERNANDEZ"/>
    <m/>
  </r>
  <r>
    <x v="2"/>
    <x v="0"/>
    <x v="0"/>
    <x v="9"/>
    <x v="0"/>
    <n v="1"/>
    <x v="2"/>
    <x v="0"/>
    <x v="0"/>
    <n v="1"/>
    <n v="0"/>
    <s v="EPS"/>
    <m/>
    <n v="0"/>
    <d v="1899-12-30T07:44:00"/>
    <s v="JUAN HERNANDEZ"/>
    <m/>
  </r>
  <r>
    <x v="2"/>
    <x v="0"/>
    <x v="0"/>
    <x v="9"/>
    <x v="0"/>
    <n v="2"/>
    <x v="4"/>
    <x v="1"/>
    <x v="2"/>
    <n v="34"/>
    <n v="0.45"/>
    <s v="VIVIENDA"/>
    <m/>
    <n v="1.17"/>
    <d v="1899-12-30T08:03:00"/>
    <s v="JUAN HERNANDEZ"/>
    <m/>
  </r>
  <r>
    <x v="2"/>
    <x v="0"/>
    <x v="0"/>
    <x v="9"/>
    <x v="0"/>
    <n v="3"/>
    <x v="6"/>
    <x v="1"/>
    <x v="2"/>
    <n v="34"/>
    <n v="0.45"/>
    <s v="VIVIENDA"/>
    <m/>
    <n v="1.24"/>
    <d v="1899-12-30T08:22:00"/>
    <s v="JUAN HERNANDEZ"/>
    <m/>
  </r>
  <r>
    <x v="2"/>
    <x v="0"/>
    <x v="0"/>
    <x v="9"/>
    <x v="0"/>
    <n v="4"/>
    <x v="5"/>
    <x v="1"/>
    <x v="1"/>
    <n v="17"/>
    <n v="0.4"/>
    <s v="EPS"/>
    <m/>
    <n v="1.36"/>
    <d v="1899-12-30T08:48:00"/>
    <s v="JUAN HERNANDEZ"/>
    <m/>
  </r>
  <r>
    <x v="2"/>
    <x v="0"/>
    <x v="0"/>
    <x v="9"/>
    <x v="0"/>
    <n v="5"/>
    <x v="3"/>
    <x v="1"/>
    <x v="1"/>
    <n v="17"/>
    <n v="0.4"/>
    <s v="EPS"/>
    <m/>
    <n v="1.35"/>
    <d v="1899-12-30T09:00:00"/>
    <s v="JUAN HERNANDEZ"/>
    <m/>
  </r>
  <r>
    <x v="2"/>
    <x v="0"/>
    <x v="0"/>
    <x v="9"/>
    <x v="0"/>
    <n v="6"/>
    <x v="7"/>
    <x v="1"/>
    <x v="1"/>
    <n v="17"/>
    <n v="0.4"/>
    <s v="EPS"/>
    <m/>
    <n v="1.23"/>
    <d v="1899-12-30T09:15:00"/>
    <s v="JUAN HERNANDEZ"/>
    <m/>
  </r>
  <r>
    <x v="2"/>
    <x v="0"/>
    <x v="0"/>
    <x v="9"/>
    <x v="0"/>
    <n v="7"/>
    <x v="7"/>
    <x v="1"/>
    <x v="1"/>
    <n v="17"/>
    <n v="0.4"/>
    <s v="EPS"/>
    <m/>
    <n v="1.32"/>
    <d v="1899-12-30T11:55:00"/>
    <s v="JUAN HERNANDEZ"/>
    <m/>
  </r>
  <r>
    <x v="2"/>
    <x v="0"/>
    <x v="0"/>
    <x v="9"/>
    <x v="0"/>
    <n v="8"/>
    <x v="6"/>
    <x v="1"/>
    <x v="2"/>
    <n v="34"/>
    <n v="0.45"/>
    <s v="VIVIENDA"/>
    <m/>
    <n v="1.39"/>
    <d v="1899-12-30T12:44:00"/>
    <s v="JUAN HERNANDEZ"/>
    <m/>
  </r>
  <r>
    <x v="2"/>
    <x v="0"/>
    <x v="0"/>
    <x v="9"/>
    <x v="0"/>
    <n v="9"/>
    <x v="3"/>
    <x v="1"/>
    <x v="1"/>
    <n v="17"/>
    <n v="0.4"/>
    <s v="EPS"/>
    <m/>
    <n v="1.34"/>
    <d v="1899-12-30T13:30:00"/>
    <s v="JUAN HERNANDEZ"/>
    <m/>
  </r>
  <r>
    <x v="2"/>
    <x v="0"/>
    <x v="0"/>
    <x v="9"/>
    <x v="0"/>
    <n v="10"/>
    <x v="7"/>
    <x v="1"/>
    <x v="1"/>
    <n v="17"/>
    <n v="0.4"/>
    <s v="EPS"/>
    <m/>
    <n v="1.24"/>
    <d v="1899-12-30T13:40:00"/>
    <s v="JUAN HERNANDEZ"/>
    <m/>
  </r>
  <r>
    <x v="2"/>
    <x v="0"/>
    <x v="0"/>
    <x v="9"/>
    <x v="0"/>
    <n v="11"/>
    <x v="4"/>
    <x v="1"/>
    <x v="2"/>
    <n v="34"/>
    <n v="0.45"/>
    <s v="VIVIENDA"/>
    <m/>
    <n v="1.18"/>
    <d v="1899-12-30T11:56:00"/>
    <s v="PABLO CASTILLA"/>
    <m/>
  </r>
  <r>
    <x v="2"/>
    <x v="0"/>
    <x v="0"/>
    <x v="10"/>
    <x v="0"/>
    <n v="1"/>
    <x v="2"/>
    <x v="0"/>
    <x v="0"/>
    <n v="1"/>
    <n v="0"/>
    <s v="EPS"/>
    <m/>
    <n v="0"/>
    <d v="1899-12-30T07:44:00"/>
    <s v="JUAN HERNANDEZ"/>
    <m/>
  </r>
  <r>
    <x v="2"/>
    <x v="0"/>
    <x v="0"/>
    <x v="10"/>
    <x v="0"/>
    <n v="2"/>
    <x v="4"/>
    <x v="1"/>
    <x v="2"/>
    <n v="34"/>
    <n v="0.45"/>
    <s v="VIVIENDA"/>
    <m/>
    <n v="1.17"/>
    <d v="1899-12-30T08:03:00"/>
    <s v="JUAN HERNANDEZ"/>
    <m/>
  </r>
  <r>
    <x v="2"/>
    <x v="0"/>
    <x v="0"/>
    <x v="10"/>
    <x v="0"/>
    <n v="3"/>
    <x v="6"/>
    <x v="1"/>
    <x v="2"/>
    <n v="34"/>
    <n v="0.45"/>
    <s v="VIVIENDA"/>
    <m/>
    <n v="1.24"/>
    <d v="1899-12-30T08:22:00"/>
    <s v="JUAN HERNANDEZ"/>
    <m/>
  </r>
  <r>
    <x v="2"/>
    <x v="0"/>
    <x v="0"/>
    <x v="10"/>
    <x v="0"/>
    <n v="4"/>
    <x v="5"/>
    <x v="1"/>
    <x v="1"/>
    <n v="17"/>
    <n v="0.4"/>
    <s v="EPS"/>
    <m/>
    <n v="1.36"/>
    <d v="1899-12-30T08:48:00"/>
    <s v="JUAN HERNANDEZ"/>
    <m/>
  </r>
  <r>
    <x v="2"/>
    <x v="0"/>
    <x v="0"/>
    <x v="10"/>
    <x v="0"/>
    <n v="5"/>
    <x v="3"/>
    <x v="1"/>
    <x v="1"/>
    <n v="17"/>
    <n v="0.4"/>
    <s v="EPS"/>
    <m/>
    <n v="1.35"/>
    <d v="1899-12-30T09:00:00"/>
    <s v="JUAN HERNANDEZ"/>
    <m/>
  </r>
  <r>
    <x v="2"/>
    <x v="0"/>
    <x v="0"/>
    <x v="10"/>
    <x v="0"/>
    <n v="6"/>
    <x v="7"/>
    <x v="1"/>
    <x v="1"/>
    <n v="17"/>
    <n v="0.4"/>
    <s v="EPS"/>
    <m/>
    <n v="1.23"/>
    <d v="1899-12-30T09:15:00"/>
    <s v="JUAN HERNANDEZ"/>
    <m/>
  </r>
  <r>
    <x v="2"/>
    <x v="0"/>
    <x v="0"/>
    <x v="10"/>
    <x v="0"/>
    <n v="7"/>
    <x v="7"/>
    <x v="1"/>
    <x v="1"/>
    <n v="17"/>
    <n v="0.4"/>
    <s v="EPS"/>
    <m/>
    <n v="1.32"/>
    <d v="1899-12-30T11:55:00"/>
    <s v="JUAN HERNANDEZ"/>
    <m/>
  </r>
  <r>
    <x v="2"/>
    <x v="0"/>
    <x v="0"/>
    <x v="10"/>
    <x v="0"/>
    <n v="8"/>
    <x v="6"/>
    <x v="1"/>
    <x v="2"/>
    <n v="34"/>
    <n v="0.45"/>
    <s v="VIVIENDA"/>
    <m/>
    <n v="1.39"/>
    <d v="1899-12-30T12:44:00"/>
    <s v="JUAN HERNANDEZ"/>
    <m/>
  </r>
  <r>
    <x v="2"/>
    <x v="0"/>
    <x v="0"/>
    <x v="10"/>
    <x v="0"/>
    <n v="9"/>
    <x v="3"/>
    <x v="1"/>
    <x v="1"/>
    <n v="17"/>
    <n v="0.4"/>
    <s v="EPS"/>
    <m/>
    <n v="1.34"/>
    <d v="1899-12-30T13:30:00"/>
    <s v="JUAN HERNANDEZ"/>
    <m/>
  </r>
  <r>
    <x v="2"/>
    <x v="0"/>
    <x v="0"/>
    <x v="10"/>
    <x v="0"/>
    <n v="10"/>
    <x v="7"/>
    <x v="1"/>
    <x v="1"/>
    <n v="17"/>
    <n v="0.4"/>
    <s v="EPS"/>
    <m/>
    <n v="1.24"/>
    <d v="1899-12-30T13:40:00"/>
    <s v="JUAN HERNANDEZ"/>
    <m/>
  </r>
  <r>
    <x v="2"/>
    <x v="0"/>
    <x v="0"/>
    <x v="11"/>
    <x v="0"/>
    <n v="1"/>
    <x v="3"/>
    <x v="1"/>
    <x v="1"/>
    <n v="17"/>
    <n v="0.4"/>
    <s v="EPS"/>
    <n v="0"/>
    <n v="7.12"/>
    <d v="1899-12-30T07:18:00"/>
    <s v="JUAN HERNANDEZ"/>
    <m/>
  </r>
  <r>
    <x v="2"/>
    <x v="0"/>
    <x v="0"/>
    <x v="11"/>
    <x v="0"/>
    <n v="2"/>
    <x v="5"/>
    <x v="1"/>
    <x v="1"/>
    <n v="17"/>
    <n v="0.4"/>
    <s v="EPS"/>
    <n v="0"/>
    <n v="1.07"/>
    <d v="1899-12-30T07:25:00"/>
    <s v="JUAN HERNANDEZ"/>
    <m/>
  </r>
  <r>
    <x v="2"/>
    <x v="0"/>
    <x v="0"/>
    <x v="11"/>
    <x v="0"/>
    <n v="3"/>
    <x v="6"/>
    <x v="1"/>
    <x v="2"/>
    <n v="34"/>
    <n v="0.45"/>
    <s v="VIVIENDA"/>
    <n v="0"/>
    <n v="1.1200000000000001"/>
    <d v="1899-12-30T07:34:00"/>
    <s v="JUAN HERNANDEZ"/>
    <m/>
  </r>
  <r>
    <x v="2"/>
    <x v="0"/>
    <x v="0"/>
    <x v="11"/>
    <x v="0"/>
    <n v="4"/>
    <x v="4"/>
    <x v="1"/>
    <x v="2"/>
    <n v="34"/>
    <n v="0.45"/>
    <s v="VIVIENDA"/>
    <n v="0"/>
    <n v="1.1000000000000001"/>
    <d v="1899-12-30T07:49:00"/>
    <s v="JUAN HERNANDEZ"/>
    <m/>
  </r>
  <r>
    <x v="2"/>
    <x v="0"/>
    <x v="0"/>
    <x v="11"/>
    <x v="0"/>
    <n v="5"/>
    <x v="2"/>
    <x v="0"/>
    <x v="0"/>
    <n v="1"/>
    <n v="0"/>
    <s v="EPS"/>
    <n v="0"/>
    <n v="0"/>
    <d v="1899-12-30T08:01:00"/>
    <s v="JUAN HERNANDEZ"/>
    <m/>
  </r>
  <r>
    <x v="2"/>
    <x v="0"/>
    <x v="0"/>
    <x v="11"/>
    <x v="0"/>
    <n v="6"/>
    <x v="5"/>
    <x v="1"/>
    <x v="1"/>
    <n v="17"/>
    <n v="0.4"/>
    <s v="EPS"/>
    <n v="0"/>
    <n v="1.1599999999999999"/>
    <d v="1899-12-30T08:58:00"/>
    <s v="JUAN HERNANDEZ"/>
    <m/>
  </r>
  <r>
    <x v="2"/>
    <x v="0"/>
    <x v="0"/>
    <x v="11"/>
    <x v="0"/>
    <n v="7"/>
    <x v="3"/>
    <x v="1"/>
    <x v="1"/>
    <n v="17"/>
    <n v="0.4"/>
    <s v="EPS"/>
    <n v="0"/>
    <n v="1.18"/>
    <d v="1899-12-30T10:37:00"/>
    <s v="JUAN HERNANDEZ"/>
    <m/>
  </r>
  <r>
    <x v="2"/>
    <x v="0"/>
    <x v="0"/>
    <x v="11"/>
    <x v="0"/>
    <n v="8"/>
    <x v="4"/>
    <x v="1"/>
    <x v="2"/>
    <n v="34"/>
    <n v="0.45"/>
    <s v="VIVIENDA"/>
    <n v="0"/>
    <n v="1.1599999999999999"/>
    <d v="1899-12-30T10:55:00"/>
    <s v="JUAN HERNANDEZ"/>
    <m/>
  </r>
  <r>
    <x v="2"/>
    <x v="0"/>
    <x v="0"/>
    <x v="11"/>
    <x v="0"/>
    <n v="9"/>
    <x v="5"/>
    <x v="1"/>
    <x v="1"/>
    <n v="17"/>
    <n v="0.4"/>
    <s v="EPS"/>
    <n v="0"/>
    <n v="1.1499999999999999"/>
    <d v="1899-12-30T11:23:00"/>
    <s v="JUAN HERNANDEZ"/>
    <m/>
  </r>
  <r>
    <x v="2"/>
    <x v="0"/>
    <x v="0"/>
    <x v="11"/>
    <x v="0"/>
    <n v="10"/>
    <x v="2"/>
    <x v="0"/>
    <x v="0"/>
    <n v="1"/>
    <n v="0"/>
    <s v="EPS"/>
    <n v="0"/>
    <n v="0"/>
    <d v="1899-12-30T11:43:00"/>
    <s v="JUAN HERNANDEZ"/>
    <m/>
  </r>
  <r>
    <x v="2"/>
    <x v="0"/>
    <x v="0"/>
    <x v="12"/>
    <x v="0"/>
    <n v="1"/>
    <x v="5"/>
    <x v="1"/>
    <x v="1"/>
    <n v="17"/>
    <n v="0.4"/>
    <s v="EPS"/>
    <n v="0"/>
    <n v="1.1499999999999999"/>
    <d v="1899-12-30T07:07:00"/>
    <s v="JUAN HERNANDEZ"/>
    <m/>
  </r>
  <r>
    <x v="2"/>
    <x v="0"/>
    <x v="0"/>
    <x v="12"/>
    <x v="0"/>
    <n v="2"/>
    <x v="4"/>
    <x v="1"/>
    <x v="2"/>
    <n v="34"/>
    <n v="0.45"/>
    <s v="VIVIENDA"/>
    <n v="0"/>
    <n v="1.23"/>
    <d v="1899-12-30T07:26:00"/>
    <s v="JUAN HERNANDEZ"/>
    <m/>
  </r>
  <r>
    <x v="2"/>
    <x v="0"/>
    <x v="0"/>
    <x v="12"/>
    <x v="0"/>
    <n v="3"/>
    <x v="3"/>
    <x v="1"/>
    <x v="1"/>
    <n v="17"/>
    <n v="0.4"/>
    <s v="EPS"/>
    <n v="0"/>
    <n v="1.1399999999999999"/>
    <d v="1899-12-30T07:34:00"/>
    <s v="JUAN HERNANDEZ"/>
    <m/>
  </r>
  <r>
    <x v="2"/>
    <x v="0"/>
    <x v="0"/>
    <x v="12"/>
    <x v="0"/>
    <n v="4"/>
    <x v="6"/>
    <x v="1"/>
    <x v="2"/>
    <n v="34"/>
    <n v="0.45"/>
    <s v="VIVIENDA"/>
    <n v="0"/>
    <n v="1.1299999999999999"/>
    <d v="1899-12-30T07:50:00"/>
    <s v="JUAN HERNANDEZ"/>
    <m/>
  </r>
  <r>
    <x v="2"/>
    <x v="0"/>
    <x v="0"/>
    <x v="12"/>
    <x v="0"/>
    <n v="5"/>
    <x v="5"/>
    <x v="1"/>
    <x v="1"/>
    <n v="17"/>
    <n v="0.4"/>
    <s v="EPS"/>
    <n v="0"/>
    <n v="1.22"/>
    <d v="1899-12-30T09:32:00"/>
    <s v="JUAN HERNANDEZ"/>
    <m/>
  </r>
  <r>
    <x v="2"/>
    <x v="0"/>
    <x v="0"/>
    <x v="12"/>
    <x v="0"/>
    <n v="6"/>
    <x v="4"/>
    <x v="1"/>
    <x v="2"/>
    <n v="34"/>
    <n v="0.45"/>
    <s v="VIVIENDA"/>
    <n v="0"/>
    <n v="1.17"/>
    <d v="1899-12-30T10:40:00"/>
    <s v="JUAN HERNANDEZ"/>
    <m/>
  </r>
  <r>
    <x v="2"/>
    <x v="0"/>
    <x v="0"/>
    <x v="12"/>
    <x v="0"/>
    <n v="7"/>
    <x v="3"/>
    <x v="1"/>
    <x v="1"/>
    <n v="17"/>
    <n v="0.4"/>
    <s v="EPS"/>
    <n v="0"/>
    <n v="1.1599999999999999"/>
    <d v="1899-12-30T11:11:00"/>
    <s v="JUAN HERNANDEZ"/>
    <m/>
  </r>
  <r>
    <x v="2"/>
    <x v="0"/>
    <x v="0"/>
    <x v="12"/>
    <x v="0"/>
    <n v="8"/>
    <x v="3"/>
    <x v="1"/>
    <x v="1"/>
    <n v="17"/>
    <n v="0.4"/>
    <s v="EPS"/>
    <n v="0"/>
    <n v="1.18"/>
    <d v="1899-12-30T12:23:00"/>
    <s v="JUAN HERNANDEZ"/>
    <m/>
  </r>
  <r>
    <x v="2"/>
    <x v="0"/>
    <x v="0"/>
    <x v="12"/>
    <x v="0"/>
    <n v="9"/>
    <x v="5"/>
    <x v="1"/>
    <x v="1"/>
    <n v="17"/>
    <n v="0.4"/>
    <s v="EPS"/>
    <n v="0"/>
    <n v="1.17"/>
    <d v="1899-12-30T12:58:00"/>
    <s v="JUAN HERNANDEZ"/>
    <m/>
  </r>
  <r>
    <x v="2"/>
    <x v="0"/>
    <x v="0"/>
    <x v="12"/>
    <x v="0"/>
    <n v="10"/>
    <x v="6"/>
    <x v="1"/>
    <x v="2"/>
    <n v="34"/>
    <n v="0.45"/>
    <s v="VIVIENDA"/>
    <n v="0"/>
    <n v="1.21"/>
    <d v="1899-12-30T13:17:00"/>
    <s v="JUAN HERNANDEZ"/>
    <m/>
  </r>
  <r>
    <x v="2"/>
    <x v="0"/>
    <x v="0"/>
    <x v="12"/>
    <x v="0"/>
    <n v="11"/>
    <x v="4"/>
    <x v="1"/>
    <x v="2"/>
    <n v="34"/>
    <n v="0.45"/>
    <s v="VIVIENDA"/>
    <n v="0"/>
    <n v="1.22"/>
    <d v="1899-12-30T13:35:00"/>
    <s v="JUAN HERNANDEZ"/>
    <m/>
  </r>
  <r>
    <x v="3"/>
    <x v="0"/>
    <x v="0"/>
    <x v="13"/>
    <x v="0"/>
    <n v="1"/>
    <x v="3"/>
    <x v="1"/>
    <x v="1"/>
    <n v="17"/>
    <n v="0.4"/>
    <s v="EPS"/>
    <n v="0"/>
    <n v="1.08"/>
    <d v="1899-12-30T07:16:00"/>
    <s v="JUAN HERNANDEZ"/>
    <m/>
  </r>
  <r>
    <x v="3"/>
    <x v="0"/>
    <x v="0"/>
    <x v="13"/>
    <x v="0"/>
    <n v="2"/>
    <x v="5"/>
    <x v="1"/>
    <x v="1"/>
    <n v="17"/>
    <n v="0.4"/>
    <s v="EPS"/>
    <n v="0"/>
    <n v="1.06"/>
    <d v="1899-12-30T07:28:00"/>
    <s v="JUAN HERNANDEZ"/>
    <m/>
  </r>
  <r>
    <x v="3"/>
    <x v="0"/>
    <x v="0"/>
    <x v="13"/>
    <x v="0"/>
    <n v="3"/>
    <x v="6"/>
    <x v="1"/>
    <x v="2"/>
    <n v="34"/>
    <n v="0.45"/>
    <s v="VIVIENDA"/>
    <n v="0"/>
    <n v="1.1399999999999999"/>
    <d v="1899-12-30T07:42:00"/>
    <s v="JUAN HERNANDEZ"/>
    <m/>
  </r>
  <r>
    <x v="3"/>
    <x v="0"/>
    <x v="0"/>
    <x v="13"/>
    <x v="0"/>
    <n v="4"/>
    <x v="3"/>
    <x v="1"/>
    <x v="1"/>
    <n v="17"/>
    <n v="0.4"/>
    <s v="EPS"/>
    <n v="0"/>
    <n v="1.17"/>
    <d v="1899-12-30T09:42:00"/>
    <s v="JUAN HERNANDEZ"/>
    <m/>
  </r>
  <r>
    <x v="3"/>
    <x v="0"/>
    <x v="0"/>
    <x v="13"/>
    <x v="0"/>
    <n v="5"/>
    <x v="5"/>
    <x v="1"/>
    <x v="1"/>
    <n v="17"/>
    <n v="0.4"/>
    <s v="EPS"/>
    <n v="0"/>
    <n v="1.1200000000000001"/>
    <d v="1899-12-30T10:50:00"/>
    <s v="JUAN HERNANDEZ"/>
    <m/>
  </r>
  <r>
    <x v="3"/>
    <x v="0"/>
    <x v="0"/>
    <x v="14"/>
    <x v="0"/>
    <n v="1"/>
    <x v="5"/>
    <x v="1"/>
    <x v="1"/>
    <n v="17"/>
    <n v="0.4"/>
    <s v="EPS"/>
    <n v="0"/>
    <n v="1.1299999999999999"/>
    <d v="1899-12-30T07:20:00"/>
    <s v="JUAN HERNANDEZ"/>
    <m/>
  </r>
  <r>
    <x v="3"/>
    <x v="0"/>
    <x v="0"/>
    <x v="14"/>
    <x v="0"/>
    <n v="2"/>
    <x v="4"/>
    <x v="1"/>
    <x v="2"/>
    <n v="34"/>
    <n v="0.45"/>
    <s v="VIVIENDA"/>
    <n v="0"/>
    <n v="1.0900000000000001"/>
    <d v="1899-12-30T07:32:00"/>
    <s v="JUAN HERNANDEZ"/>
    <m/>
  </r>
  <r>
    <x v="3"/>
    <x v="0"/>
    <x v="0"/>
    <x v="14"/>
    <x v="0"/>
    <n v="3"/>
    <x v="0"/>
    <x v="0"/>
    <x v="0"/>
    <n v="1"/>
    <n v="0"/>
    <s v="EPS"/>
    <n v="0"/>
    <n v="0"/>
    <d v="1899-12-30T07:42:00"/>
    <s v="JUAN HERNANDEZ"/>
    <m/>
  </r>
  <r>
    <x v="3"/>
    <x v="0"/>
    <x v="0"/>
    <x v="14"/>
    <x v="0"/>
    <n v="4"/>
    <x v="2"/>
    <x v="0"/>
    <x v="0"/>
    <n v="1"/>
    <n v="0"/>
    <s v="EPS"/>
    <n v="0"/>
    <n v="0"/>
    <d v="1899-12-30T07:57:00"/>
    <s v="JUAN HERNANDEZ"/>
    <m/>
  </r>
  <r>
    <x v="3"/>
    <x v="0"/>
    <x v="0"/>
    <x v="14"/>
    <x v="0"/>
    <n v="5"/>
    <x v="6"/>
    <x v="1"/>
    <x v="2"/>
    <n v="34"/>
    <n v="0.45"/>
    <s v="VIVIENDA"/>
    <n v="0"/>
    <n v="1.07"/>
    <d v="1899-12-30T08:12:00"/>
    <s v="JUAN HERNANDEZ"/>
    <m/>
  </r>
  <r>
    <x v="3"/>
    <x v="0"/>
    <x v="0"/>
    <x v="14"/>
    <x v="0"/>
    <n v="6"/>
    <x v="3"/>
    <x v="1"/>
    <x v="1"/>
    <n v="17"/>
    <n v="0.4"/>
    <s v="EPS"/>
    <n v="0"/>
    <n v="1.1299999999999999"/>
    <d v="1899-12-30T08:31:00"/>
    <s v="JUAN HERNANDEZ"/>
    <m/>
  </r>
  <r>
    <x v="3"/>
    <x v="0"/>
    <x v="0"/>
    <x v="14"/>
    <x v="0"/>
    <n v="7"/>
    <x v="0"/>
    <x v="0"/>
    <x v="0"/>
    <n v="1"/>
    <n v="0"/>
    <s v="EPS"/>
    <n v="0"/>
    <n v="0"/>
    <d v="1899-12-30T10:40:00"/>
    <s v="JUAN HERNANDEZ"/>
    <m/>
  </r>
  <r>
    <x v="3"/>
    <x v="0"/>
    <x v="0"/>
    <x v="14"/>
    <x v="0"/>
    <n v="8"/>
    <x v="3"/>
    <x v="1"/>
    <x v="1"/>
    <n v="17"/>
    <n v="0.4"/>
    <s v="EPS"/>
    <n v="0"/>
    <n v="1.1599999999999999"/>
    <d v="1899-12-30T11:02:00"/>
    <s v="JUAN HERNANDEZ"/>
    <m/>
  </r>
  <r>
    <x v="3"/>
    <x v="0"/>
    <x v="0"/>
    <x v="14"/>
    <x v="0"/>
    <n v="9"/>
    <x v="2"/>
    <x v="0"/>
    <x v="0"/>
    <n v="1"/>
    <n v="0"/>
    <s v="EPS"/>
    <n v="0"/>
    <n v="0"/>
    <d v="1899-12-30T11:17:00"/>
    <s v="JUAN HERNANDEZ"/>
    <m/>
  </r>
  <r>
    <x v="3"/>
    <x v="0"/>
    <x v="0"/>
    <x v="14"/>
    <x v="0"/>
    <n v="10"/>
    <x v="4"/>
    <x v="1"/>
    <x v="2"/>
    <n v="34"/>
    <n v="0.45"/>
    <s v="VIVIENDA"/>
    <n v="0"/>
    <n v="1.1299999999999999"/>
    <d v="1899-12-30T11:40:00"/>
    <s v="JUAN HERNANDEZ"/>
    <m/>
  </r>
  <r>
    <x v="3"/>
    <x v="0"/>
    <x v="0"/>
    <x v="14"/>
    <x v="0"/>
    <n v="11"/>
    <x v="6"/>
    <x v="1"/>
    <x v="2"/>
    <n v="34"/>
    <n v="0.45"/>
    <s v="VIVIENDA"/>
    <n v="0"/>
    <n v="1.17"/>
    <d v="1899-12-30T11:55:00"/>
    <s v="JUAN HERNANDEZ"/>
    <m/>
  </r>
  <r>
    <x v="3"/>
    <x v="0"/>
    <x v="0"/>
    <x v="14"/>
    <x v="0"/>
    <n v="12"/>
    <x v="5"/>
    <x v="1"/>
    <x v="1"/>
    <n v="17"/>
    <n v="0.4"/>
    <s v="EPS"/>
    <n v="0"/>
    <n v="1.19"/>
    <d v="1899-12-30T12:24:00"/>
    <s v="JUAN HERNANDEZ"/>
    <m/>
  </r>
  <r>
    <x v="3"/>
    <x v="0"/>
    <x v="0"/>
    <x v="15"/>
    <x v="0"/>
    <n v="1"/>
    <x v="3"/>
    <x v="1"/>
    <x v="1"/>
    <n v="17"/>
    <n v="0.4"/>
    <s v="EPS"/>
    <n v="0"/>
    <n v="1.1000000000000001"/>
    <d v="1899-12-30T07:18:00"/>
    <s v="JUAN HERNANDEZ"/>
    <m/>
  </r>
  <r>
    <x v="3"/>
    <x v="0"/>
    <x v="0"/>
    <x v="15"/>
    <x v="0"/>
    <n v="2"/>
    <x v="4"/>
    <x v="1"/>
    <x v="2"/>
    <n v="34"/>
    <n v="0.45"/>
    <s v="VIVIENDA"/>
    <n v="0"/>
    <n v="1.17"/>
    <d v="1899-12-30T07:28:00"/>
    <s v="JUAN HERNANDEZ"/>
    <m/>
  </r>
  <r>
    <x v="3"/>
    <x v="0"/>
    <x v="0"/>
    <x v="15"/>
    <x v="0"/>
    <n v="3"/>
    <x v="5"/>
    <x v="1"/>
    <x v="1"/>
    <n v="17"/>
    <n v="0.4"/>
    <s v="EPS"/>
    <n v="0"/>
    <n v="1.1200000000000001"/>
    <d v="1899-12-30T07:39:00"/>
    <s v="JUAN HERNANDEZ"/>
    <m/>
  </r>
  <r>
    <x v="3"/>
    <x v="0"/>
    <x v="0"/>
    <x v="15"/>
    <x v="0"/>
    <n v="4"/>
    <x v="6"/>
    <x v="1"/>
    <x v="2"/>
    <n v="34"/>
    <n v="0.45"/>
    <s v="VIVIENDA"/>
    <n v="0"/>
    <n v="1.1000000000000001"/>
    <d v="1900-01-06T13:55:12"/>
    <s v="JUAN HERNANDEZ"/>
    <m/>
  </r>
  <r>
    <x v="3"/>
    <x v="0"/>
    <x v="0"/>
    <x v="15"/>
    <x v="0"/>
    <n v="5"/>
    <x v="7"/>
    <x v="1"/>
    <x v="1"/>
    <n v="17"/>
    <n v="0.4"/>
    <s v="EPS"/>
    <n v="0"/>
    <n v="1.1499999999999999"/>
    <d v="1899-12-30T09:26:00"/>
    <s v="JUAN HERNANDEZ"/>
    <m/>
  </r>
  <r>
    <x v="3"/>
    <x v="0"/>
    <x v="0"/>
    <x v="15"/>
    <x v="0"/>
    <n v="6"/>
    <x v="3"/>
    <x v="1"/>
    <x v="1"/>
    <n v="17"/>
    <n v="0.4"/>
    <s v="EPS"/>
    <n v="0"/>
    <n v="1.21"/>
    <d v="1899-12-30T10:07:00"/>
    <s v="JUAN HERNANDEZ"/>
    <m/>
  </r>
  <r>
    <x v="3"/>
    <x v="0"/>
    <x v="0"/>
    <x v="15"/>
    <x v="0"/>
    <n v="7"/>
    <x v="2"/>
    <x v="0"/>
    <x v="0"/>
    <n v="1"/>
    <n v="0"/>
    <s v="EPS"/>
    <n v="0"/>
    <n v="0"/>
    <d v="1899-12-30T10:15:00"/>
    <s v="JUAN HERNANDEZ"/>
    <m/>
  </r>
  <r>
    <x v="3"/>
    <x v="0"/>
    <x v="0"/>
    <x v="15"/>
    <x v="0"/>
    <n v="8"/>
    <x v="6"/>
    <x v="1"/>
    <x v="2"/>
    <n v="34"/>
    <n v="0.45"/>
    <s v="VIVIENDA"/>
    <n v="0"/>
    <n v="1.18"/>
    <d v="1899-12-30T11:00:00"/>
    <s v="JUAN HERNANDEZ"/>
    <m/>
  </r>
  <r>
    <x v="3"/>
    <x v="0"/>
    <x v="0"/>
    <x v="15"/>
    <x v="0"/>
    <n v="9"/>
    <x v="4"/>
    <x v="1"/>
    <x v="2"/>
    <n v="34"/>
    <n v="0.45"/>
    <s v="VIVIENDA"/>
    <n v="0"/>
    <n v="1.1499999999999999"/>
    <d v="1899-12-30T11:25:00"/>
    <s v="JUAN HERNANDEZ"/>
    <m/>
  </r>
  <r>
    <x v="3"/>
    <x v="0"/>
    <x v="0"/>
    <x v="15"/>
    <x v="0"/>
    <n v="10"/>
    <x v="5"/>
    <x v="1"/>
    <x v="1"/>
    <n v="17"/>
    <n v="0.4"/>
    <s v="EPS"/>
    <n v="0"/>
    <n v="1.33"/>
    <d v="1899-12-30T11:35:00"/>
    <s v="JUAN HERNANDEZ"/>
    <m/>
  </r>
  <r>
    <x v="3"/>
    <x v="0"/>
    <x v="0"/>
    <x v="15"/>
    <x v="0"/>
    <n v="11"/>
    <x v="7"/>
    <x v="1"/>
    <x v="1"/>
    <n v="17"/>
    <n v="0.4"/>
    <s v="EPS"/>
    <n v="0"/>
    <n v="1.37"/>
    <d v="1899-12-30T12:01:00"/>
    <s v="JUAN HERNANDEZ"/>
    <m/>
  </r>
  <r>
    <x v="3"/>
    <x v="0"/>
    <x v="0"/>
    <x v="16"/>
    <x v="0"/>
    <n v="1"/>
    <x v="4"/>
    <x v="1"/>
    <x v="2"/>
    <n v="34"/>
    <n v="0.45"/>
    <s v="VIVIENDA"/>
    <n v="0"/>
    <n v="1.0900000000000001"/>
    <d v="1899-12-30T07:19:00"/>
    <s v="JUAN HERNANDEZ"/>
    <m/>
  </r>
  <r>
    <x v="3"/>
    <x v="0"/>
    <x v="0"/>
    <x v="16"/>
    <x v="0"/>
    <n v="2"/>
    <x v="2"/>
    <x v="0"/>
    <x v="0"/>
    <n v="1"/>
    <n v="0"/>
    <s v="EPS"/>
    <n v="0"/>
    <n v="0"/>
    <d v="1899-12-30T07:33:00"/>
    <s v="JUAN HERNANDEZ"/>
    <m/>
  </r>
  <r>
    <x v="3"/>
    <x v="0"/>
    <x v="0"/>
    <x v="16"/>
    <x v="0"/>
    <n v="3"/>
    <x v="5"/>
    <x v="1"/>
    <x v="1"/>
    <n v="17"/>
    <n v="0.4"/>
    <s v="EPS"/>
    <n v="0"/>
    <n v="1.1299999999999999"/>
    <d v="1899-12-30T07:47:00"/>
    <s v="JUAN HERNANDEZ"/>
    <m/>
  </r>
  <r>
    <x v="3"/>
    <x v="0"/>
    <x v="0"/>
    <x v="16"/>
    <x v="0"/>
    <n v="4"/>
    <x v="3"/>
    <x v="1"/>
    <x v="1"/>
    <n v="17"/>
    <n v="0.4"/>
    <s v="EPS"/>
    <n v="0"/>
    <n v="1.1100000000000001"/>
    <d v="1899-12-30T08:05:00"/>
    <s v="JUAN HERNANDEZ"/>
    <m/>
  </r>
  <r>
    <x v="3"/>
    <x v="0"/>
    <x v="0"/>
    <x v="16"/>
    <x v="0"/>
    <n v="5"/>
    <x v="6"/>
    <x v="1"/>
    <x v="2"/>
    <n v="34"/>
    <n v="0.45"/>
    <s v="VIVIENDA"/>
    <n v="0"/>
    <n v="1.17"/>
    <d v="1899-12-30T09:16:00"/>
    <s v="JUAN HERNANDEZ"/>
    <m/>
  </r>
  <r>
    <x v="3"/>
    <x v="0"/>
    <x v="0"/>
    <x v="16"/>
    <x v="0"/>
    <n v="6"/>
    <x v="3"/>
    <x v="1"/>
    <x v="1"/>
    <n v="17"/>
    <n v="0.4"/>
    <s v="EPS"/>
    <n v="0"/>
    <n v="1.19"/>
    <d v="1899-12-30T10:51:00"/>
    <s v="JUAN HERNANDEZ"/>
    <m/>
  </r>
  <r>
    <x v="3"/>
    <x v="0"/>
    <x v="0"/>
    <x v="16"/>
    <x v="0"/>
    <n v="7"/>
    <x v="4"/>
    <x v="1"/>
    <x v="2"/>
    <n v="34"/>
    <n v="0.45"/>
    <s v="VIVIENDA"/>
    <n v="0"/>
    <n v="1.1200000000000001"/>
    <d v="1899-12-30T11:30:00"/>
    <s v="JUAN HERNANDEZ"/>
    <m/>
  </r>
  <r>
    <x v="3"/>
    <x v="0"/>
    <x v="0"/>
    <x v="16"/>
    <x v="0"/>
    <n v="8"/>
    <x v="2"/>
    <x v="0"/>
    <x v="0"/>
    <n v="1"/>
    <n v="0"/>
    <s v="EPS"/>
    <n v="0"/>
    <n v="0"/>
    <d v="1899-12-30T11:47:00"/>
    <s v="JUAN HERNANDEZ"/>
    <m/>
  </r>
  <r>
    <x v="3"/>
    <x v="0"/>
    <x v="0"/>
    <x v="16"/>
    <x v="0"/>
    <n v="9"/>
    <x v="6"/>
    <x v="1"/>
    <x v="2"/>
    <n v="34"/>
    <n v="0.45"/>
    <s v="VIVIENDA"/>
    <n v="0"/>
    <n v="1.26"/>
    <d v="1899-12-30T12:06:00"/>
    <s v="JUAN HERNANDEZ"/>
    <m/>
  </r>
  <r>
    <x v="3"/>
    <x v="0"/>
    <x v="0"/>
    <x v="16"/>
    <x v="0"/>
    <n v="10"/>
    <x v="5"/>
    <x v="1"/>
    <x v="1"/>
    <n v="17"/>
    <n v="0.4"/>
    <s v="EPS"/>
    <n v="0"/>
    <n v="1.17"/>
    <d v="1899-12-30T12:56:00"/>
    <s v="JUAN HERNANDEZ"/>
    <m/>
  </r>
  <r>
    <x v="3"/>
    <x v="0"/>
    <x v="0"/>
    <x v="16"/>
    <x v="0"/>
    <n v="11"/>
    <x v="3"/>
    <x v="1"/>
    <x v="1"/>
    <n v="17"/>
    <n v="0.4"/>
    <s v="EPS"/>
    <n v="0"/>
    <n v="0"/>
    <d v="1899-12-30T15:28:00"/>
    <s v="JUAN HERNANDEZ"/>
    <m/>
  </r>
  <r>
    <x v="3"/>
    <x v="0"/>
    <x v="0"/>
    <x v="17"/>
    <x v="0"/>
    <n v="1"/>
    <x v="4"/>
    <x v="1"/>
    <x v="2"/>
    <n v="34"/>
    <n v="0.45"/>
    <s v="VIVIENDA"/>
    <n v="0"/>
    <n v="1.0900000000000001"/>
    <d v="1899-12-30T07:20:00"/>
    <s v="JUAN HERNANDEZ"/>
    <m/>
  </r>
  <r>
    <x v="3"/>
    <x v="0"/>
    <x v="0"/>
    <x v="17"/>
    <x v="0"/>
    <n v="2"/>
    <x v="5"/>
    <x v="1"/>
    <x v="1"/>
    <n v="17"/>
    <n v="0.4"/>
    <s v="EPS"/>
    <n v="0"/>
    <n v="1.1100000000000001"/>
    <d v="1899-12-30T07:38:00"/>
    <s v="JUAN HERNANDEZ"/>
    <m/>
  </r>
  <r>
    <x v="3"/>
    <x v="0"/>
    <x v="0"/>
    <x v="17"/>
    <x v="0"/>
    <n v="3"/>
    <x v="6"/>
    <x v="1"/>
    <x v="2"/>
    <n v="34"/>
    <n v="0.45"/>
    <s v="VIVIENDA"/>
    <n v="0"/>
    <n v="1.1599999999999999"/>
    <d v="1899-12-30T07:48:00"/>
    <s v="JUAN HERNANDEZ"/>
    <m/>
  </r>
  <r>
    <x v="3"/>
    <x v="0"/>
    <x v="0"/>
    <x v="17"/>
    <x v="0"/>
    <n v="4"/>
    <x v="2"/>
    <x v="0"/>
    <x v="0"/>
    <n v="1"/>
    <n v="0"/>
    <s v="EPS"/>
    <n v="0"/>
    <n v="0"/>
    <d v="1899-12-30T08:50:00"/>
    <s v="JUAN HERNANDEZ"/>
    <m/>
  </r>
  <r>
    <x v="3"/>
    <x v="0"/>
    <x v="0"/>
    <x v="17"/>
    <x v="0"/>
    <n v="5"/>
    <x v="3"/>
    <x v="1"/>
    <x v="1"/>
    <n v="17"/>
    <n v="0.4"/>
    <s v="EPS"/>
    <n v="0"/>
    <n v="1.19"/>
    <d v="1899-12-30T08:10:00"/>
    <s v="JUAN HERNANDEZ"/>
    <m/>
  </r>
  <r>
    <x v="3"/>
    <x v="0"/>
    <x v="0"/>
    <x v="17"/>
    <x v="0"/>
    <n v="6"/>
    <x v="4"/>
    <x v="1"/>
    <x v="2"/>
    <n v="34"/>
    <n v="0.45"/>
    <s v="VIVIENDA"/>
    <n v="0"/>
    <n v="1.1499999999999999"/>
    <d v="1899-12-30T10:30:00"/>
    <s v="JUAN HERNANDEZ"/>
    <m/>
  </r>
  <r>
    <x v="3"/>
    <x v="0"/>
    <x v="0"/>
    <x v="17"/>
    <x v="0"/>
    <n v="7"/>
    <x v="2"/>
    <x v="0"/>
    <x v="0"/>
    <n v="1"/>
    <n v="0"/>
    <s v="EPS"/>
    <n v="0"/>
    <n v="0"/>
    <d v="1899-12-30T11:10:00"/>
    <s v="JUAN HERNANDEZ"/>
    <m/>
  </r>
  <r>
    <x v="3"/>
    <x v="0"/>
    <x v="0"/>
    <x v="17"/>
    <x v="0"/>
    <n v="8"/>
    <x v="5"/>
    <x v="1"/>
    <x v="1"/>
    <n v="17"/>
    <n v="0.4"/>
    <s v="EPS"/>
    <n v="0"/>
    <n v="1.3"/>
    <d v="1899-12-30T11:30:00"/>
    <s v="JUAN HERNANDEZ"/>
    <m/>
  </r>
  <r>
    <x v="3"/>
    <x v="0"/>
    <x v="0"/>
    <x v="18"/>
    <x v="0"/>
    <n v="1"/>
    <x v="4"/>
    <x v="1"/>
    <x v="2"/>
    <n v="34"/>
    <n v="0.45"/>
    <s v="VIVIENDA"/>
    <n v="0"/>
    <n v="1.17"/>
    <d v="1899-12-30T07:23:00"/>
    <s v="JUAN HERNANDEZ"/>
    <m/>
  </r>
  <r>
    <x v="3"/>
    <x v="0"/>
    <x v="0"/>
    <x v="18"/>
    <x v="0"/>
    <n v="2"/>
    <x v="2"/>
    <x v="0"/>
    <x v="0"/>
    <n v="1"/>
    <n v="0"/>
    <s v="EPS"/>
    <n v="0"/>
    <n v="0"/>
    <d v="1899-12-30T08:06:00"/>
    <s v="JUAN HERNANDEZ"/>
    <m/>
  </r>
  <r>
    <x v="3"/>
    <x v="0"/>
    <x v="0"/>
    <x v="18"/>
    <x v="0"/>
    <n v="3"/>
    <x v="6"/>
    <x v="1"/>
    <x v="2"/>
    <n v="34"/>
    <n v="0.45"/>
    <s v="VIVIENDA"/>
    <n v="0"/>
    <n v="1.08"/>
    <d v="1899-12-30T08:22:00"/>
    <s v="JUAN HERNANDEZ"/>
    <m/>
  </r>
  <r>
    <x v="3"/>
    <x v="0"/>
    <x v="0"/>
    <x v="18"/>
    <x v="0"/>
    <n v="4"/>
    <x v="3"/>
    <x v="1"/>
    <x v="1"/>
    <n v="17"/>
    <n v="0.4"/>
    <s v="EPS"/>
    <n v="0"/>
    <n v="1.18"/>
    <d v="1899-12-30T09:37:00"/>
    <s v="JUAN HERNANDEZ"/>
    <m/>
  </r>
  <r>
    <x v="3"/>
    <x v="0"/>
    <x v="0"/>
    <x v="18"/>
    <x v="0"/>
    <n v="5"/>
    <x v="5"/>
    <x v="1"/>
    <x v="1"/>
    <n v="17"/>
    <n v="0.4"/>
    <s v="EPS"/>
    <n v="0"/>
    <n v="1.1000000000000001"/>
    <d v="1899-12-30T08:50:00"/>
    <s v="JUAN HERNANDEZ"/>
    <m/>
  </r>
  <r>
    <x v="3"/>
    <x v="0"/>
    <x v="0"/>
    <x v="18"/>
    <x v="0"/>
    <n v="6"/>
    <x v="4"/>
    <x v="1"/>
    <x v="2"/>
    <n v="34"/>
    <n v="0.45"/>
    <s v="VIVIENDA"/>
    <n v="0"/>
    <n v="1.19"/>
    <d v="1899-12-30T10:41:00"/>
    <s v="JUAN HERNANDEZ"/>
    <m/>
  </r>
  <r>
    <x v="3"/>
    <x v="0"/>
    <x v="0"/>
    <x v="18"/>
    <x v="0"/>
    <n v="7"/>
    <x v="3"/>
    <x v="1"/>
    <x v="1"/>
    <n v="17"/>
    <n v="0.4"/>
    <s v="EPS"/>
    <n v="0"/>
    <n v="1.22"/>
    <d v="1899-12-30T12:35:00"/>
    <s v="JUAN HERNANDEZ"/>
    <m/>
  </r>
  <r>
    <x v="3"/>
    <x v="0"/>
    <x v="0"/>
    <x v="19"/>
    <x v="0"/>
    <n v="1"/>
    <x v="4"/>
    <x v="1"/>
    <x v="2"/>
    <n v="34"/>
    <n v="0.45"/>
    <s v="VIVIENDA"/>
    <n v="0"/>
    <n v="1.18"/>
    <d v="1899-12-30T07:21:00"/>
    <s v="JUAN HERNANDEZ"/>
    <m/>
  </r>
  <r>
    <x v="3"/>
    <x v="0"/>
    <x v="0"/>
    <x v="19"/>
    <x v="0"/>
    <n v="2"/>
    <x v="5"/>
    <x v="1"/>
    <x v="1"/>
    <n v="17"/>
    <n v="0.4"/>
    <s v="EPS"/>
    <n v="0"/>
    <n v="1.08"/>
    <d v="1899-12-30T07:36:00"/>
    <s v="JUAN HERNANDEZ"/>
    <m/>
  </r>
  <r>
    <x v="3"/>
    <x v="0"/>
    <x v="0"/>
    <x v="19"/>
    <x v="0"/>
    <n v="3"/>
    <x v="3"/>
    <x v="1"/>
    <x v="1"/>
    <n v="17"/>
    <n v="0.4"/>
    <s v="EPS"/>
    <n v="0"/>
    <n v="1.1200000000000001"/>
    <d v="1899-12-30T07:49:00"/>
    <s v="JUAN HERNANDEZ"/>
    <m/>
  </r>
  <r>
    <x v="3"/>
    <x v="0"/>
    <x v="0"/>
    <x v="19"/>
    <x v="0"/>
    <n v="4"/>
    <x v="0"/>
    <x v="0"/>
    <x v="0"/>
    <n v="1"/>
    <n v="0"/>
    <s v="EPS"/>
    <n v="0"/>
    <n v="0"/>
    <d v="1899-12-30T08:00:00"/>
    <s v="JUAN HERNANDEZ"/>
    <m/>
  </r>
  <r>
    <x v="3"/>
    <x v="0"/>
    <x v="0"/>
    <x v="19"/>
    <x v="0"/>
    <n v="5"/>
    <x v="8"/>
    <x v="1"/>
    <x v="1"/>
    <n v="17"/>
    <n v="0.4"/>
    <s v="EPS"/>
    <n v="0"/>
    <n v="1.1000000000000001"/>
    <d v="1899-12-30T08:34:00"/>
    <s v="JUAN HERNANDEZ"/>
    <m/>
  </r>
  <r>
    <x v="3"/>
    <x v="0"/>
    <x v="0"/>
    <x v="19"/>
    <x v="0"/>
    <n v="6"/>
    <x v="4"/>
    <x v="1"/>
    <x v="2"/>
    <n v="34"/>
    <n v="0.45"/>
    <s v="VIVIENDA"/>
    <n v="0"/>
    <n v="1.19"/>
    <d v="1899-12-30T10:20:00"/>
    <s v="JUAN HERNANDEZ"/>
    <m/>
  </r>
  <r>
    <x v="3"/>
    <x v="0"/>
    <x v="0"/>
    <x v="19"/>
    <x v="0"/>
    <n v="7"/>
    <x v="3"/>
    <x v="1"/>
    <x v="1"/>
    <n v="17"/>
    <n v="0.4"/>
    <s v="EPS"/>
    <n v="0"/>
    <n v="1.22"/>
    <d v="1899-12-30T10:43:00"/>
    <s v="JUAN HERNANDEZ"/>
    <m/>
  </r>
  <r>
    <x v="3"/>
    <x v="0"/>
    <x v="0"/>
    <x v="19"/>
    <x v="0"/>
    <n v="8"/>
    <x v="8"/>
    <x v="1"/>
    <x v="1"/>
    <n v="17"/>
    <n v="0.4"/>
    <s v="EPS"/>
    <n v="0"/>
    <n v="1.1100000000000001"/>
    <d v="1899-12-30T12:23:00"/>
    <s v="JUAN HERNANDEZ"/>
    <m/>
  </r>
  <r>
    <x v="3"/>
    <x v="0"/>
    <x v="0"/>
    <x v="19"/>
    <x v="0"/>
    <n v="9"/>
    <x v="5"/>
    <x v="1"/>
    <x v="1"/>
    <n v="17"/>
    <n v="0.4"/>
    <s v="EPS"/>
    <n v="0"/>
    <n v="1.1000000000000001"/>
    <d v="1899-12-30T12:39:00"/>
    <s v="JUAN HERNANDEZ"/>
    <m/>
  </r>
  <r>
    <x v="3"/>
    <x v="0"/>
    <x v="0"/>
    <x v="19"/>
    <x v="0"/>
    <n v="10"/>
    <x v="4"/>
    <x v="1"/>
    <x v="2"/>
    <n v="34"/>
    <n v="0.45"/>
    <s v="VIVIENDA"/>
    <n v="0"/>
    <n v="1.1200000000000001"/>
    <d v="1899-12-30T13:30:00"/>
    <s v="JUAN HERNANDEZ"/>
    <m/>
  </r>
  <r>
    <x v="4"/>
    <x v="0"/>
    <x v="0"/>
    <x v="20"/>
    <x v="0"/>
    <n v="1"/>
    <x v="5"/>
    <x v="1"/>
    <x v="1"/>
    <n v="17"/>
    <n v="0.4"/>
    <s v="EPS"/>
    <n v="0"/>
    <n v="1.56"/>
    <d v="1899-12-30T07:28:00"/>
    <s v="JUAN HERNANDEZ"/>
    <m/>
  </r>
  <r>
    <x v="4"/>
    <x v="0"/>
    <x v="0"/>
    <x v="20"/>
    <x v="0"/>
    <n v="2"/>
    <x v="3"/>
    <x v="1"/>
    <x v="1"/>
    <n v="17"/>
    <n v="0.4"/>
    <s v="EPS"/>
    <n v="0"/>
    <n v="1.41"/>
    <d v="1899-12-30T07:36:00"/>
    <s v="JUAN HERNANDEZ"/>
    <m/>
  </r>
  <r>
    <x v="4"/>
    <x v="0"/>
    <x v="0"/>
    <x v="20"/>
    <x v="0"/>
    <n v="3"/>
    <x v="4"/>
    <x v="1"/>
    <x v="2"/>
    <n v="34"/>
    <n v="0.45"/>
    <s v="VIVIENDA"/>
    <n v="0"/>
    <n v="1.28"/>
    <d v="1899-12-30T07:45:00"/>
    <s v="JUAN HERNANDEZ"/>
    <m/>
  </r>
  <r>
    <x v="4"/>
    <x v="0"/>
    <x v="0"/>
    <x v="20"/>
    <x v="0"/>
    <n v="4"/>
    <x v="0"/>
    <x v="0"/>
    <x v="0"/>
    <n v="1"/>
    <n v="0"/>
    <s v="EPS"/>
    <n v="0"/>
    <n v="0"/>
    <d v="1899-12-30T08:00:00"/>
    <s v="JUAN HERNANDEZ"/>
    <m/>
  </r>
  <r>
    <x v="4"/>
    <x v="0"/>
    <x v="0"/>
    <x v="20"/>
    <x v="0"/>
    <n v="5"/>
    <x v="7"/>
    <x v="1"/>
    <x v="1"/>
    <n v="17"/>
    <n v="0.4"/>
    <s v="EPS"/>
    <n v="0"/>
    <n v="1.1399999999999999"/>
    <d v="1899-12-30T08:55:00"/>
    <s v="JUAN HERNANDEZ"/>
    <m/>
  </r>
  <r>
    <x v="4"/>
    <x v="0"/>
    <x v="0"/>
    <x v="20"/>
    <x v="0"/>
    <n v="6"/>
    <x v="4"/>
    <x v="1"/>
    <x v="2"/>
    <n v="34"/>
    <n v="0.45"/>
    <s v="VIVIENDA"/>
    <n v="0"/>
    <n v="1.1499999999999999"/>
    <d v="1899-12-30T10:45:00"/>
    <s v="JUAN HERNANDEZ"/>
    <m/>
  </r>
  <r>
    <x v="4"/>
    <x v="0"/>
    <x v="0"/>
    <x v="20"/>
    <x v="0"/>
    <n v="7"/>
    <x v="5"/>
    <x v="1"/>
    <x v="1"/>
    <n v="17"/>
    <n v="0.4"/>
    <s v="EPS"/>
    <n v="0"/>
    <n v="1.4"/>
    <d v="1899-12-30T11:01:00"/>
    <s v="JUAN HERNANDEZ"/>
    <m/>
  </r>
  <r>
    <x v="4"/>
    <x v="0"/>
    <x v="0"/>
    <x v="20"/>
    <x v="0"/>
    <n v="8"/>
    <x v="3"/>
    <x v="1"/>
    <x v="1"/>
    <n v="17"/>
    <n v="0.4"/>
    <s v="EPS"/>
    <n v="0"/>
    <n v="1.3"/>
    <d v="1899-12-30T11:15:00"/>
    <s v="JUAN HERNANDEZ"/>
    <m/>
  </r>
  <r>
    <x v="4"/>
    <x v="0"/>
    <x v="0"/>
    <x v="21"/>
    <x v="0"/>
    <n v="1"/>
    <x v="4"/>
    <x v="1"/>
    <x v="2"/>
    <n v="34"/>
    <n v="0.45"/>
    <s v="VIVIENDA"/>
    <n v="0"/>
    <n v="1.1399999999999999"/>
    <d v="1899-12-30T07:31:00"/>
    <s v="JUAN HERNANDEZ"/>
    <m/>
  </r>
  <r>
    <x v="4"/>
    <x v="0"/>
    <x v="0"/>
    <x v="21"/>
    <x v="0"/>
    <n v="2"/>
    <x v="5"/>
    <x v="1"/>
    <x v="1"/>
    <n v="17"/>
    <n v="0.4"/>
    <s v="EPS"/>
    <n v="0"/>
    <n v="1.2"/>
    <d v="1899-12-30T07:56:00"/>
    <s v="JUAN HERNANDEZ"/>
    <m/>
  </r>
  <r>
    <x v="4"/>
    <x v="0"/>
    <x v="0"/>
    <x v="21"/>
    <x v="0"/>
    <n v="3"/>
    <x v="2"/>
    <x v="0"/>
    <x v="0"/>
    <n v="1"/>
    <n v="0"/>
    <s v="EPS"/>
    <n v="0"/>
    <n v="0"/>
    <d v="1899-12-30T08:03:00"/>
    <s v="JUAN HERNANDEZ"/>
    <m/>
  </r>
  <r>
    <x v="4"/>
    <x v="0"/>
    <x v="0"/>
    <x v="21"/>
    <x v="0"/>
    <n v="4"/>
    <x v="7"/>
    <x v="1"/>
    <x v="1"/>
    <n v="17"/>
    <n v="0.4"/>
    <s v="EPS"/>
    <n v="0"/>
    <n v="1.1000000000000001"/>
    <d v="1899-12-30T08:18:00"/>
    <s v="JUAN HERNANDEZ"/>
    <m/>
  </r>
  <r>
    <x v="4"/>
    <x v="0"/>
    <x v="0"/>
    <x v="21"/>
    <x v="0"/>
    <n v="5"/>
    <x v="3"/>
    <x v="1"/>
    <x v="1"/>
    <n v="17"/>
    <n v="0.4"/>
    <s v="EPS"/>
    <n v="0"/>
    <n v="1.21"/>
    <d v="1899-12-30T08:27:00"/>
    <s v="JUAN HERNANDEZ"/>
    <m/>
  </r>
  <r>
    <x v="4"/>
    <x v="0"/>
    <x v="0"/>
    <x v="21"/>
    <x v="0"/>
    <n v="6"/>
    <x v="7"/>
    <x v="1"/>
    <x v="1"/>
    <n v="17"/>
    <n v="0.4"/>
    <s v="EPS"/>
    <n v="0"/>
    <n v="1.17"/>
    <d v="1899-12-30T10:50:00"/>
    <s v="JUAN HERNANDEZ"/>
    <m/>
  </r>
  <r>
    <x v="4"/>
    <x v="0"/>
    <x v="0"/>
    <x v="21"/>
    <x v="0"/>
    <n v="7"/>
    <x v="3"/>
    <x v="1"/>
    <x v="1"/>
    <n v="17"/>
    <n v="0.4"/>
    <s v="EPS"/>
    <n v="0"/>
    <n v="1.2"/>
    <d v="1899-12-30T11:06:00"/>
    <s v="JUAN HERNANDEZ"/>
    <m/>
  </r>
  <r>
    <x v="4"/>
    <x v="0"/>
    <x v="0"/>
    <x v="21"/>
    <x v="0"/>
    <n v="8"/>
    <x v="5"/>
    <x v="1"/>
    <x v="1"/>
    <n v="17"/>
    <n v="0.4"/>
    <s v="EPS"/>
    <n v="0"/>
    <n v="1.27"/>
    <d v="1899-12-30T11:30:00"/>
    <s v="JUAN HERNANDEZ"/>
    <m/>
  </r>
  <r>
    <x v="4"/>
    <x v="0"/>
    <x v="0"/>
    <x v="21"/>
    <x v="0"/>
    <n v="9"/>
    <x v="2"/>
    <x v="0"/>
    <x v="0"/>
    <n v="1"/>
    <n v="0"/>
    <s v="EPS"/>
    <n v="0"/>
    <n v="0"/>
    <d v="1899-12-30T12:00:00"/>
    <s v="JUAN HERNANDEZ"/>
    <m/>
  </r>
  <r>
    <x v="4"/>
    <x v="0"/>
    <x v="0"/>
    <x v="21"/>
    <x v="0"/>
    <n v="10"/>
    <x v="4"/>
    <x v="1"/>
    <x v="2"/>
    <n v="34"/>
    <n v="0.45"/>
    <s v="VIVIENDA"/>
    <n v="0"/>
    <n v="1.24"/>
    <d v="1899-12-30T12:22:00"/>
    <s v="JUAN HERNANDEZ"/>
    <m/>
  </r>
  <r>
    <x v="4"/>
    <x v="0"/>
    <x v="0"/>
    <x v="22"/>
    <x v="0"/>
    <n v="1"/>
    <x v="4"/>
    <x v="1"/>
    <x v="2"/>
    <n v="34"/>
    <n v="0.45"/>
    <s v="VIVIENDA"/>
    <n v="0"/>
    <n v="1.1599999999999999"/>
    <d v="1899-12-30T07:21:00"/>
    <s v="JUAN HERNANDEZ"/>
    <m/>
  </r>
  <r>
    <x v="4"/>
    <x v="0"/>
    <x v="0"/>
    <x v="22"/>
    <x v="0"/>
    <n v="2"/>
    <x v="7"/>
    <x v="1"/>
    <x v="1"/>
    <n v="17"/>
    <n v="0.4"/>
    <s v="EPS"/>
    <n v="0"/>
    <n v="1.22"/>
    <d v="1899-12-30T07:44:00"/>
    <s v="JUAN HERNANDEZ"/>
    <m/>
  </r>
  <r>
    <x v="4"/>
    <x v="0"/>
    <x v="0"/>
    <x v="22"/>
    <x v="0"/>
    <n v="3"/>
    <x v="2"/>
    <x v="0"/>
    <x v="0"/>
    <n v="1"/>
    <n v="0"/>
    <s v="EPS"/>
    <n v="0"/>
    <n v="0"/>
    <d v="1899-12-30T07:54:00"/>
    <s v="JUAN HERNANDEZ"/>
    <m/>
  </r>
  <r>
    <x v="4"/>
    <x v="0"/>
    <x v="0"/>
    <x v="22"/>
    <x v="0"/>
    <n v="4"/>
    <x v="3"/>
    <x v="1"/>
    <x v="1"/>
    <n v="17"/>
    <n v="0.4"/>
    <s v="EPS"/>
    <n v="0"/>
    <n v="1.17"/>
    <d v="1899-12-30T08:10:00"/>
    <s v="JUAN HERNANDEZ"/>
    <m/>
  </r>
  <r>
    <x v="4"/>
    <x v="0"/>
    <x v="0"/>
    <x v="22"/>
    <x v="0"/>
    <n v="5"/>
    <x v="5"/>
    <x v="1"/>
    <x v="1"/>
    <n v="17"/>
    <n v="0.4"/>
    <s v="EPS"/>
    <n v="0"/>
    <n v="1.1200000000000001"/>
    <d v="1899-12-30T08:25:00"/>
    <s v="JUAN HERNANDEZ"/>
    <m/>
  </r>
  <r>
    <x v="4"/>
    <x v="0"/>
    <x v="0"/>
    <x v="22"/>
    <x v="0"/>
    <n v="6"/>
    <x v="7"/>
    <x v="1"/>
    <x v="1"/>
    <n v="17"/>
    <n v="0.4"/>
    <s v="EPS"/>
    <n v="0"/>
    <n v="1.1599999999999999"/>
    <d v="1899-12-30T10:27:00"/>
    <s v="JUAN HERNANDEZ"/>
    <m/>
  </r>
  <r>
    <x v="4"/>
    <x v="0"/>
    <x v="0"/>
    <x v="22"/>
    <x v="0"/>
    <n v="7"/>
    <x v="4"/>
    <x v="1"/>
    <x v="2"/>
    <n v="34"/>
    <n v="0.45"/>
    <s v="VIVIENDA"/>
    <n v="0"/>
    <n v="1.23"/>
    <d v="1899-12-30T10:42:00"/>
    <s v="JUAN HERNANDEZ"/>
    <m/>
  </r>
  <r>
    <x v="4"/>
    <x v="0"/>
    <x v="0"/>
    <x v="22"/>
    <x v="0"/>
    <n v="8"/>
    <x v="5"/>
    <x v="1"/>
    <x v="1"/>
    <n v="17"/>
    <n v="0.4"/>
    <s v="EPS"/>
    <n v="0"/>
    <n v="1.2"/>
    <d v="1899-12-30T11:39:00"/>
    <s v="JUAN HERNANDEZ"/>
    <m/>
  </r>
  <r>
    <x v="4"/>
    <x v="0"/>
    <x v="0"/>
    <x v="22"/>
    <x v="0"/>
    <n v="9"/>
    <x v="2"/>
    <x v="0"/>
    <x v="0"/>
    <n v="1"/>
    <n v="0"/>
    <s v="EPS"/>
    <n v="0"/>
    <n v="0"/>
    <d v="1899-12-30T12:01:00"/>
    <s v="JUAN HERNANDEZ"/>
    <m/>
  </r>
  <r>
    <x v="4"/>
    <x v="0"/>
    <x v="0"/>
    <x v="23"/>
    <x v="0"/>
    <n v="1"/>
    <x v="4"/>
    <x v="1"/>
    <x v="2"/>
    <n v="34"/>
    <n v="0.45"/>
    <s v="VIVIENDA"/>
    <n v="0"/>
    <n v="1.1599999999999999"/>
    <d v="1899-12-30T07:26:00"/>
    <s v="JUAN HERNANDEZ"/>
    <m/>
  </r>
  <r>
    <x v="4"/>
    <x v="0"/>
    <x v="0"/>
    <x v="23"/>
    <x v="0"/>
    <n v="2"/>
    <x v="0"/>
    <x v="0"/>
    <x v="0"/>
    <n v="1"/>
    <n v="0"/>
    <s v="EPS"/>
    <n v="0"/>
    <n v="0"/>
    <d v="1899-12-30T07:37:00"/>
    <s v="JUAN HERNANDEZ"/>
    <m/>
  </r>
  <r>
    <x v="4"/>
    <x v="0"/>
    <x v="0"/>
    <x v="23"/>
    <x v="0"/>
    <n v="3"/>
    <x v="2"/>
    <x v="0"/>
    <x v="0"/>
    <n v="1"/>
    <n v="0"/>
    <s v="EPS"/>
    <n v="0"/>
    <n v="0"/>
    <d v="1899-12-30T07:49:00"/>
    <s v="JUAN HERNANDEZ"/>
    <m/>
  </r>
  <r>
    <x v="4"/>
    <x v="0"/>
    <x v="0"/>
    <x v="23"/>
    <x v="0"/>
    <n v="4"/>
    <x v="7"/>
    <x v="1"/>
    <x v="1"/>
    <n v="17"/>
    <n v="0.4"/>
    <s v="EPS"/>
    <n v="0"/>
    <n v="1.1000000000000001"/>
    <d v="1899-12-30T07:55:00"/>
    <s v="JUAN HERNANDEZ"/>
    <m/>
  </r>
  <r>
    <x v="4"/>
    <x v="0"/>
    <x v="0"/>
    <x v="23"/>
    <x v="0"/>
    <n v="5"/>
    <x v="5"/>
    <x v="1"/>
    <x v="1"/>
    <n v="17"/>
    <n v="0.4"/>
    <s v="EPS"/>
    <n v="0"/>
    <n v="1.1399999999999999"/>
    <d v="1899-12-30T08:03:00"/>
    <s v="JUAN HERNANDEZ"/>
    <m/>
  </r>
  <r>
    <x v="4"/>
    <x v="0"/>
    <x v="0"/>
    <x v="23"/>
    <x v="0"/>
    <n v="6"/>
    <x v="3"/>
    <x v="1"/>
    <x v="1"/>
    <n v="17"/>
    <n v="0.4"/>
    <s v="EPS"/>
    <n v="0"/>
    <n v="1.2"/>
    <d v="1899-12-30T08:16:00"/>
    <s v="JUAN HERNANDEZ"/>
    <m/>
  </r>
  <r>
    <x v="4"/>
    <x v="0"/>
    <x v="0"/>
    <x v="23"/>
    <x v="0"/>
    <n v="7"/>
    <x v="5"/>
    <x v="1"/>
    <x v="1"/>
    <n v="17"/>
    <n v="0.4"/>
    <s v="EPS"/>
    <n v="0"/>
    <n v="1.23"/>
    <d v="1899-12-30T10:24:00"/>
    <s v="JUAN HERNANDEZ"/>
    <m/>
  </r>
  <r>
    <x v="4"/>
    <x v="0"/>
    <x v="0"/>
    <x v="23"/>
    <x v="0"/>
    <n v="8"/>
    <x v="2"/>
    <x v="0"/>
    <x v="0"/>
    <n v="1"/>
    <n v="0"/>
    <s v="EPS"/>
    <n v="0"/>
    <n v="0"/>
    <d v="1899-12-30T10:56:00"/>
    <s v="JUAN HERNANDEZ"/>
    <m/>
  </r>
  <r>
    <x v="4"/>
    <x v="0"/>
    <x v="0"/>
    <x v="23"/>
    <x v="0"/>
    <n v="9"/>
    <x v="0"/>
    <x v="0"/>
    <x v="0"/>
    <n v="1"/>
    <n v="0"/>
    <s v="EPS"/>
    <n v="0"/>
    <n v="0"/>
    <d v="1899-12-30T11:13:00"/>
    <s v="JUAN HERNANDEZ"/>
    <m/>
  </r>
  <r>
    <x v="4"/>
    <x v="0"/>
    <x v="0"/>
    <x v="23"/>
    <x v="0"/>
    <n v="10"/>
    <x v="7"/>
    <x v="1"/>
    <x v="1"/>
    <n v="17"/>
    <n v="0.4"/>
    <s v="EPS"/>
    <n v="0"/>
    <n v="1.17"/>
    <d v="1899-12-30T11:51:00"/>
    <s v="JUAN HERNANDEZ"/>
    <m/>
  </r>
  <r>
    <x v="4"/>
    <x v="0"/>
    <x v="0"/>
    <x v="23"/>
    <x v="0"/>
    <n v="11"/>
    <x v="4"/>
    <x v="1"/>
    <x v="2"/>
    <n v="34"/>
    <n v="0.45"/>
    <s v="VIVIENDA"/>
    <n v="0"/>
    <n v="1.21"/>
    <d v="1899-12-30T12:52:00"/>
    <s v="JUAN HERNANDEZ"/>
    <m/>
  </r>
  <r>
    <x v="4"/>
    <x v="0"/>
    <x v="0"/>
    <x v="24"/>
    <x v="0"/>
    <n v="1"/>
    <x v="5"/>
    <x v="1"/>
    <x v="1"/>
    <n v="17"/>
    <n v="0.4"/>
    <s v="EPS"/>
    <n v="0"/>
    <n v="1.17"/>
    <d v="1899-12-30T07:17:00"/>
    <s v="JUAN HERNANDEZ"/>
    <m/>
  </r>
  <r>
    <x v="4"/>
    <x v="0"/>
    <x v="0"/>
    <x v="24"/>
    <x v="0"/>
    <n v="2"/>
    <x v="4"/>
    <x v="1"/>
    <x v="2"/>
    <n v="34"/>
    <n v="0.45"/>
    <s v="VIVIENDA"/>
    <n v="0"/>
    <n v="1.1599999999999999"/>
    <d v="1899-12-30T07:30:00"/>
    <s v="JUAN HERNANDEZ"/>
    <m/>
  </r>
  <r>
    <x v="4"/>
    <x v="0"/>
    <x v="0"/>
    <x v="24"/>
    <x v="0"/>
    <n v="3"/>
    <x v="7"/>
    <x v="1"/>
    <x v="1"/>
    <n v="17"/>
    <n v="0.4"/>
    <s v="EPS"/>
    <n v="0"/>
    <n v="1.1100000000000001"/>
    <d v="1899-12-30T07:40:00"/>
    <s v="JUAN HERNANDEZ"/>
    <m/>
  </r>
  <r>
    <x v="4"/>
    <x v="0"/>
    <x v="0"/>
    <x v="24"/>
    <x v="0"/>
    <n v="4"/>
    <x v="2"/>
    <x v="0"/>
    <x v="0"/>
    <n v="1"/>
    <n v="0"/>
    <s v="EPS"/>
    <n v="0"/>
    <n v="0"/>
    <d v="1899-12-30T07:54:00"/>
    <s v="JUAN HERNANDEZ"/>
    <m/>
  </r>
  <r>
    <x v="4"/>
    <x v="0"/>
    <x v="0"/>
    <x v="24"/>
    <x v="0"/>
    <n v="5"/>
    <x v="0"/>
    <x v="0"/>
    <x v="0"/>
    <n v="1"/>
    <n v="0"/>
    <s v="EPS"/>
    <n v="0"/>
    <n v="0"/>
    <d v="1899-12-30T08:05:00"/>
    <s v="JUAN HERNANDEZ"/>
    <m/>
  </r>
  <r>
    <x v="4"/>
    <x v="0"/>
    <x v="0"/>
    <x v="24"/>
    <x v="0"/>
    <n v="6"/>
    <x v="3"/>
    <x v="1"/>
    <x v="2"/>
    <n v="34"/>
    <n v="0.45"/>
    <s v="VIVIENDA"/>
    <n v="0"/>
    <n v="1.1200000000000001"/>
    <d v="1899-12-30T08:22:00"/>
    <s v="JUAN HERNANDEZ"/>
    <m/>
  </r>
  <r>
    <x v="4"/>
    <x v="0"/>
    <x v="0"/>
    <x v="24"/>
    <x v="0"/>
    <n v="7"/>
    <x v="4"/>
    <x v="1"/>
    <x v="1"/>
    <n v="17"/>
    <n v="0.4"/>
    <s v="EPS"/>
    <n v="0"/>
    <n v="1.19"/>
    <d v="1899-12-30T11:03:00"/>
    <s v="JUAN HERNANDEZ"/>
    <m/>
  </r>
  <r>
    <x v="4"/>
    <x v="0"/>
    <x v="0"/>
    <x v="24"/>
    <x v="0"/>
    <n v="8"/>
    <x v="5"/>
    <x v="1"/>
    <x v="1"/>
    <n v="17"/>
    <n v="0.4"/>
    <s v="EPS"/>
    <n v="0"/>
    <n v="1.18"/>
    <d v="1899-12-30T11:32:00"/>
    <s v="JUAN HERNANDEZ"/>
    <m/>
  </r>
  <r>
    <x v="4"/>
    <x v="0"/>
    <x v="0"/>
    <x v="24"/>
    <x v="0"/>
    <n v="9"/>
    <x v="7"/>
    <x v="1"/>
    <x v="1"/>
    <n v="17"/>
    <n v="0.4"/>
    <s v="EPS"/>
    <n v="0"/>
    <n v="1.27"/>
    <d v="1899-12-30T11:50:00"/>
    <s v="JUAN HERNANDEZ"/>
    <m/>
  </r>
  <r>
    <x v="4"/>
    <x v="0"/>
    <x v="0"/>
    <x v="25"/>
    <x v="0"/>
    <n v="1"/>
    <x v="3"/>
    <x v="1"/>
    <x v="1"/>
    <n v="17"/>
    <n v="0.4"/>
    <s v="EPS"/>
    <n v="0"/>
    <n v="1.18"/>
    <d v="1899-12-30T07:28:00"/>
    <s v="JUAN HERNANDEZ"/>
    <m/>
  </r>
  <r>
    <x v="4"/>
    <x v="0"/>
    <x v="0"/>
    <x v="25"/>
    <x v="0"/>
    <n v="2"/>
    <x v="4"/>
    <x v="1"/>
    <x v="2"/>
    <n v="34"/>
    <n v="0.45"/>
    <s v="VIVIENDA"/>
    <n v="0"/>
    <n v="1.1599999999999999"/>
    <d v="1899-12-30T07:30:00"/>
    <s v="JUAN HERNANDEZ"/>
    <m/>
  </r>
  <r>
    <x v="4"/>
    <x v="0"/>
    <x v="0"/>
    <x v="25"/>
    <x v="0"/>
    <n v="3"/>
    <x v="7"/>
    <x v="1"/>
    <x v="1"/>
    <n v="17"/>
    <n v="0.4"/>
    <s v="EPS"/>
    <n v="0"/>
    <n v="1.08"/>
    <d v="1899-12-30T07:42:00"/>
    <s v="JUAN HERNANDEZ"/>
    <m/>
  </r>
  <r>
    <x v="4"/>
    <x v="0"/>
    <x v="0"/>
    <x v="25"/>
    <x v="0"/>
    <n v="4"/>
    <x v="2"/>
    <x v="0"/>
    <x v="0"/>
    <n v="1"/>
    <n v="0"/>
    <s v="EPS"/>
    <n v="0"/>
    <n v="0"/>
    <d v="1899-12-30T07:56:00"/>
    <s v="JUAN HERNANDEZ"/>
    <m/>
  </r>
  <r>
    <x v="4"/>
    <x v="0"/>
    <x v="0"/>
    <x v="25"/>
    <x v="0"/>
    <n v="5"/>
    <x v="0"/>
    <x v="0"/>
    <x v="0"/>
    <n v="1"/>
    <n v="0"/>
    <s v="EPS"/>
    <n v="0"/>
    <n v="0"/>
    <d v="1899-12-30T08:07:00"/>
    <s v="JUAN HERNANDEZ"/>
    <m/>
  </r>
  <r>
    <x v="4"/>
    <x v="0"/>
    <x v="0"/>
    <x v="25"/>
    <x v="0"/>
    <n v="6"/>
    <x v="5"/>
    <x v="1"/>
    <x v="1"/>
    <n v="17"/>
    <n v="0.4"/>
    <s v="EPS"/>
    <n v="0"/>
    <n v="1.18"/>
    <d v="1899-12-30T08:22:00"/>
    <s v="JUAN HERNANDEZ"/>
    <m/>
  </r>
  <r>
    <x v="4"/>
    <x v="0"/>
    <x v="0"/>
    <x v="25"/>
    <x v="0"/>
    <n v="7"/>
    <x v="4"/>
    <x v="1"/>
    <x v="2"/>
    <n v="34"/>
    <n v="0.45"/>
    <s v="VIVIENDA"/>
    <n v="0"/>
    <n v="1.25"/>
    <d v="1899-12-30T10:38:00"/>
    <s v="JUAN HERNANDEZ"/>
    <m/>
  </r>
  <r>
    <x v="4"/>
    <x v="0"/>
    <x v="0"/>
    <x v="25"/>
    <x v="0"/>
    <n v="8"/>
    <x v="7"/>
    <x v="1"/>
    <x v="1"/>
    <n v="17"/>
    <n v="0.4"/>
    <s v="EPS"/>
    <n v="0"/>
    <n v="1.19"/>
    <d v="1899-12-30T11:28:00"/>
    <s v="JUAN HERNANDEZ"/>
    <m/>
  </r>
  <r>
    <x v="4"/>
    <x v="0"/>
    <x v="0"/>
    <x v="25"/>
    <x v="0"/>
    <n v="9"/>
    <x v="7"/>
    <x v="1"/>
    <x v="1"/>
    <n v="17"/>
    <n v="0.4"/>
    <s v="EPS"/>
    <n v="0"/>
    <n v="1.17"/>
    <d v="1899-12-30T01:45:00"/>
    <s v="JUAN HERNANDEZ"/>
    <m/>
  </r>
  <r>
    <x v="5"/>
    <x v="1"/>
    <x v="0"/>
    <x v="26"/>
    <x v="0"/>
    <n v="1"/>
    <x v="2"/>
    <x v="0"/>
    <x v="0"/>
    <n v="1"/>
    <n v="0"/>
    <s v="EPS"/>
    <n v="0"/>
    <n v="0"/>
    <d v="1899-12-30T06:47:00"/>
    <s v="JUAN HERNANDEZ"/>
    <m/>
  </r>
  <r>
    <x v="5"/>
    <x v="1"/>
    <x v="0"/>
    <x v="26"/>
    <x v="0"/>
    <n v="2"/>
    <x v="4"/>
    <x v="1"/>
    <x v="2"/>
    <n v="34"/>
    <n v="0.45"/>
    <s v="VIVIENDA"/>
    <n v="0"/>
    <n v="1.1399999999999999"/>
    <d v="1899-12-30T07:37:00"/>
    <s v="JUAN HERNANDEZ"/>
    <m/>
  </r>
  <r>
    <x v="5"/>
    <x v="1"/>
    <x v="0"/>
    <x v="26"/>
    <x v="0"/>
    <n v="3"/>
    <x v="7"/>
    <x v="1"/>
    <x v="1"/>
    <n v="17"/>
    <n v="0.4"/>
    <s v="EPS"/>
    <n v="0"/>
    <n v="1.0900000000000001"/>
    <d v="1899-12-30T07:48:00"/>
    <s v="JUAN HERNANDEZ"/>
    <m/>
  </r>
  <r>
    <x v="5"/>
    <x v="1"/>
    <x v="0"/>
    <x v="26"/>
    <x v="0"/>
    <n v="4"/>
    <x v="5"/>
    <x v="1"/>
    <x v="1"/>
    <n v="17"/>
    <n v="0.4"/>
    <s v="EPS"/>
    <n v="0"/>
    <n v="1.02"/>
    <d v="1899-12-30T07:53:00"/>
    <s v="JUAN HERNANDEZ"/>
    <m/>
  </r>
  <r>
    <x v="5"/>
    <x v="1"/>
    <x v="0"/>
    <x v="26"/>
    <x v="0"/>
    <n v="5"/>
    <x v="3"/>
    <x v="1"/>
    <x v="1"/>
    <n v="17"/>
    <n v="0.4"/>
    <s v="EPS"/>
    <n v="0"/>
    <n v="1.0900000000000001"/>
    <d v="1899-12-30T08:08:00"/>
    <s v="JUAN HERNANDEZ"/>
    <m/>
  </r>
  <r>
    <x v="5"/>
    <x v="1"/>
    <x v="0"/>
    <x v="26"/>
    <x v="0"/>
    <n v="6"/>
    <x v="1"/>
    <x v="1"/>
    <x v="1"/>
    <n v="17"/>
    <n v="0.4"/>
    <s v="EPS"/>
    <n v="0"/>
    <n v="1.04"/>
    <d v="1899-12-30T08:28:00"/>
    <s v="JUAN HERNANDEZ"/>
    <m/>
  </r>
  <r>
    <x v="5"/>
    <x v="1"/>
    <x v="0"/>
    <x v="26"/>
    <x v="0"/>
    <n v="7"/>
    <x v="6"/>
    <x v="1"/>
    <x v="2"/>
    <n v="34"/>
    <n v="0.45"/>
    <s v="VIVIENDA"/>
    <n v="0"/>
    <n v="1.08"/>
    <d v="1899-12-30T09:00:00"/>
    <s v="JUAN HERNANDEZ"/>
    <m/>
  </r>
  <r>
    <x v="5"/>
    <x v="1"/>
    <x v="0"/>
    <x v="26"/>
    <x v="0"/>
    <n v="8"/>
    <x v="2"/>
    <x v="0"/>
    <x v="0"/>
    <n v="1"/>
    <n v="0"/>
    <s v="EPS"/>
    <n v="0"/>
    <n v="0"/>
    <d v="1899-12-30T09:28:00"/>
    <s v="JUAN HERNANDEZ"/>
    <m/>
  </r>
  <r>
    <x v="5"/>
    <x v="1"/>
    <x v="0"/>
    <x v="26"/>
    <x v="0"/>
    <n v="9"/>
    <x v="4"/>
    <x v="1"/>
    <x v="2"/>
    <n v="34"/>
    <n v="0.45"/>
    <s v="VIVIENDA"/>
    <n v="0"/>
    <n v="1.07"/>
    <d v="1899-12-30T10:15:00"/>
    <s v="JUAN HERNANDEZ"/>
    <m/>
  </r>
  <r>
    <x v="5"/>
    <x v="1"/>
    <x v="0"/>
    <x v="26"/>
    <x v="0"/>
    <n v="10"/>
    <x v="3"/>
    <x v="1"/>
    <x v="1"/>
    <n v="17"/>
    <n v="0.4"/>
    <s v="EPS"/>
    <n v="0"/>
    <n v="1.1200000000000001"/>
    <d v="1899-12-30T10:36:00"/>
    <s v="JUAN HERNANDEZ"/>
    <m/>
  </r>
  <r>
    <x v="5"/>
    <x v="1"/>
    <x v="0"/>
    <x v="26"/>
    <x v="0"/>
    <n v="11"/>
    <x v="7"/>
    <x v="1"/>
    <x v="1"/>
    <n v="17"/>
    <n v="0.4"/>
    <s v="EPS"/>
    <n v="0"/>
    <n v="1.1299999999999999"/>
    <d v="1899-12-30T11:23:00"/>
    <s v="JUAN HERNANDEZ"/>
    <m/>
  </r>
  <r>
    <x v="5"/>
    <x v="1"/>
    <x v="0"/>
    <x v="26"/>
    <x v="0"/>
    <n v="12"/>
    <x v="1"/>
    <x v="1"/>
    <x v="1"/>
    <n v="17"/>
    <n v="0.4"/>
    <s v="EPS"/>
    <n v="0"/>
    <n v="1.05"/>
    <d v="1899-12-30T11:38:00"/>
    <s v="JUAN HERNANDEZ"/>
    <m/>
  </r>
  <r>
    <x v="5"/>
    <x v="1"/>
    <x v="0"/>
    <x v="26"/>
    <x v="0"/>
    <n v="13"/>
    <x v="5"/>
    <x v="1"/>
    <x v="1"/>
    <n v="17"/>
    <n v="0.4"/>
    <s v="EPS"/>
    <n v="0"/>
    <n v="1.1599999999999999"/>
    <d v="1899-12-30T11:58:00"/>
    <s v="JUAN HERNANDEZ"/>
    <m/>
  </r>
  <r>
    <x v="5"/>
    <x v="1"/>
    <x v="0"/>
    <x v="26"/>
    <x v="0"/>
    <n v="14"/>
    <x v="1"/>
    <x v="1"/>
    <x v="1"/>
    <n v="17"/>
    <n v="0.4"/>
    <s v="EPS"/>
    <n v="0"/>
    <n v="1.0900000000000001"/>
    <d v="1899-12-30T13:50:00"/>
    <s v="JUAN HERNANDEZ"/>
    <m/>
  </r>
  <r>
    <x v="5"/>
    <x v="1"/>
    <x v="0"/>
    <x v="26"/>
    <x v="0"/>
    <n v="15"/>
    <x v="5"/>
    <x v="1"/>
    <x v="1"/>
    <n v="17"/>
    <n v="0.4"/>
    <s v="EPS"/>
    <n v="0"/>
    <n v="1.1499999999999999"/>
    <d v="1899-12-30T14:11:00"/>
    <s v="JUAN HERNANDEZ"/>
    <m/>
  </r>
  <r>
    <x v="5"/>
    <x v="1"/>
    <x v="0"/>
    <x v="27"/>
    <x v="0"/>
    <n v="1"/>
    <x v="2"/>
    <x v="0"/>
    <x v="0"/>
    <n v="1"/>
    <n v="0"/>
    <s v="EPS"/>
    <n v="0"/>
    <n v="0"/>
    <d v="1899-12-30T06:47:00"/>
    <s v="JUAN HERNANDEZ"/>
    <m/>
  </r>
  <r>
    <x v="5"/>
    <x v="1"/>
    <x v="0"/>
    <x v="27"/>
    <x v="0"/>
    <n v="2"/>
    <x v="3"/>
    <x v="1"/>
    <x v="1"/>
    <n v="17"/>
    <n v="0.4"/>
    <s v="EPS"/>
    <n v="0"/>
    <n v="1.1599999999999999"/>
    <d v="1899-12-30T07:00:00"/>
    <s v="JUAN HERNANDEZ"/>
    <m/>
  </r>
  <r>
    <x v="5"/>
    <x v="1"/>
    <x v="0"/>
    <x v="27"/>
    <x v="0"/>
    <n v="3"/>
    <x v="6"/>
    <x v="1"/>
    <x v="2"/>
    <n v="34"/>
    <n v="0.45"/>
    <s v="VIVIENDA"/>
    <n v="0"/>
    <n v="1.0900000000000001"/>
    <d v="1899-12-30T07:16:00"/>
    <s v="JUAN HERNANDEZ"/>
    <m/>
  </r>
  <r>
    <x v="5"/>
    <x v="1"/>
    <x v="0"/>
    <x v="27"/>
    <x v="0"/>
    <n v="4"/>
    <x v="5"/>
    <x v="1"/>
    <x v="1"/>
    <n v="17"/>
    <n v="0.4"/>
    <s v="EPS"/>
    <n v="0"/>
    <n v="1.07"/>
    <d v="1899-12-30T07:37:00"/>
    <s v="JUAN HERNANDEZ"/>
    <m/>
  </r>
  <r>
    <x v="5"/>
    <x v="1"/>
    <x v="0"/>
    <x v="27"/>
    <x v="0"/>
    <n v="5"/>
    <x v="4"/>
    <x v="1"/>
    <x v="2"/>
    <n v="34"/>
    <n v="0.45"/>
    <s v="VIVIENDA"/>
    <n v="0"/>
    <n v="1.0900000000000001"/>
    <d v="1900-01-06T11:16:48"/>
    <s v="JUAN HERNANDEZ"/>
    <m/>
  </r>
  <r>
    <x v="5"/>
    <x v="1"/>
    <x v="0"/>
    <x v="27"/>
    <x v="0"/>
    <n v="6"/>
    <x v="1"/>
    <x v="1"/>
    <x v="1"/>
    <n v="17"/>
    <n v="0.4"/>
    <s v="EPS"/>
    <n v="0"/>
    <n v="1.06"/>
    <d v="1899-12-30T08:05:00"/>
    <s v="JUAN HERNANDEZ"/>
    <m/>
  </r>
  <r>
    <x v="5"/>
    <x v="1"/>
    <x v="0"/>
    <x v="27"/>
    <x v="0"/>
    <n v="7"/>
    <x v="7"/>
    <x v="1"/>
    <x v="1"/>
    <n v="17"/>
    <n v="0.4"/>
    <s v="EPS"/>
    <n v="0"/>
    <n v="1.02"/>
    <d v="1899-12-30T08:15:00"/>
    <s v="JUAN HERNANDEZ"/>
    <m/>
  </r>
  <r>
    <x v="5"/>
    <x v="1"/>
    <x v="0"/>
    <x v="27"/>
    <x v="0"/>
    <n v="8"/>
    <x v="3"/>
    <x v="1"/>
    <x v="1"/>
    <n v="17"/>
    <n v="0.4"/>
    <s v="EPS"/>
    <n v="0"/>
    <n v="1.05"/>
    <d v="1899-12-30T09:24:00"/>
    <s v="JUAN HERNANDEZ"/>
    <m/>
  </r>
  <r>
    <x v="5"/>
    <x v="1"/>
    <x v="0"/>
    <x v="27"/>
    <x v="0"/>
    <n v="9"/>
    <x v="2"/>
    <x v="0"/>
    <x v="0"/>
    <n v="1"/>
    <n v="0"/>
    <s v="EPS"/>
    <n v="0"/>
    <n v="0"/>
    <d v="1899-12-30T09:50:00"/>
    <s v="JUAN HERNANDEZ"/>
    <m/>
  </r>
  <r>
    <x v="5"/>
    <x v="1"/>
    <x v="0"/>
    <x v="27"/>
    <x v="0"/>
    <n v="10"/>
    <x v="6"/>
    <x v="1"/>
    <x v="2"/>
    <n v="34"/>
    <n v="0.45"/>
    <s v="VIVIENDA"/>
    <n v="0"/>
    <n v="1.1100000000000001"/>
    <d v="1899-12-30T10:26:00"/>
    <s v="JUAN HERNANDEZ"/>
    <m/>
  </r>
  <r>
    <x v="5"/>
    <x v="1"/>
    <x v="0"/>
    <x v="27"/>
    <x v="0"/>
    <n v="11"/>
    <x v="5"/>
    <x v="1"/>
    <x v="1"/>
    <n v="17"/>
    <n v="0.4"/>
    <s v="EPS"/>
    <n v="0"/>
    <n v="1.1299999999999999"/>
    <d v="1899-12-30T10:47:00"/>
    <s v="JUAN HERNANDEZ"/>
    <m/>
  </r>
  <r>
    <x v="5"/>
    <x v="1"/>
    <x v="0"/>
    <x v="27"/>
    <x v="0"/>
    <n v="12"/>
    <x v="7"/>
    <x v="1"/>
    <x v="1"/>
    <n v="17"/>
    <n v="0.4"/>
    <s v="EPS"/>
    <n v="0"/>
    <n v="1.1100000000000001"/>
    <d v="1899-12-30T11:06:00"/>
    <s v="JUAN HERNANDEZ"/>
    <m/>
  </r>
  <r>
    <x v="5"/>
    <x v="1"/>
    <x v="0"/>
    <x v="27"/>
    <x v="0"/>
    <n v="13"/>
    <x v="3"/>
    <x v="1"/>
    <x v="1"/>
    <n v="17"/>
    <n v="0.4"/>
    <s v="EPS"/>
    <n v="0"/>
    <n v="1.1200000000000001"/>
    <d v="1899-12-30T11:14:00"/>
    <s v="JUAN HERNANDEZ"/>
    <m/>
  </r>
  <r>
    <x v="5"/>
    <x v="1"/>
    <x v="0"/>
    <x v="27"/>
    <x v="0"/>
    <n v="14"/>
    <x v="4"/>
    <x v="1"/>
    <x v="2"/>
    <n v="34"/>
    <n v="0.45"/>
    <s v="VIVIENDA"/>
    <n v="0"/>
    <n v="1.08"/>
    <d v="1899-12-30T11:41:00"/>
    <s v="JUAN HERNANDEZ"/>
    <m/>
  </r>
  <r>
    <x v="5"/>
    <x v="1"/>
    <x v="0"/>
    <x v="27"/>
    <x v="1"/>
    <n v="15"/>
    <x v="1"/>
    <x v="1"/>
    <x v="1"/>
    <n v="17"/>
    <n v="0.4"/>
    <s v="EPS"/>
    <n v="0"/>
    <n v="1.04"/>
    <d v="1899-12-30T12:28:00"/>
    <s v="PABLO CASTILLA"/>
    <m/>
  </r>
  <r>
    <x v="5"/>
    <x v="1"/>
    <x v="0"/>
    <x v="28"/>
    <x v="0"/>
    <n v="1"/>
    <x v="2"/>
    <x v="0"/>
    <x v="0"/>
    <n v="1"/>
    <n v="0"/>
    <s v="EPS"/>
    <n v="0"/>
    <n v="0"/>
    <d v="1899-12-30T06:34:00"/>
    <s v="JUAN HERNANDEZ"/>
    <m/>
  </r>
  <r>
    <x v="5"/>
    <x v="1"/>
    <x v="0"/>
    <x v="28"/>
    <x v="0"/>
    <n v="2"/>
    <x v="4"/>
    <x v="1"/>
    <x v="2"/>
    <n v="34"/>
    <n v="0.45"/>
    <s v="VIVIENDA"/>
    <n v="0"/>
    <n v="1.02"/>
    <d v="1899-12-30T07:24:00"/>
    <s v="JUAN HERNANDEZ"/>
    <m/>
  </r>
  <r>
    <x v="5"/>
    <x v="1"/>
    <x v="0"/>
    <x v="28"/>
    <x v="0"/>
    <n v="3"/>
    <x v="5"/>
    <x v="1"/>
    <x v="1"/>
    <n v="17"/>
    <n v="0.4"/>
    <s v="EPS"/>
    <n v="0"/>
    <n v="1.07"/>
    <d v="1899-12-30T07:34:00"/>
    <s v="JUAN HERNANDEZ"/>
    <m/>
  </r>
  <r>
    <x v="5"/>
    <x v="1"/>
    <x v="0"/>
    <x v="28"/>
    <x v="0"/>
    <n v="4"/>
    <x v="9"/>
    <x v="1"/>
    <x v="3"/>
    <n v="9"/>
    <n v="0.22"/>
    <s v="EPS"/>
    <n v="0"/>
    <n v="1.1499999999999999"/>
    <d v="1899-12-30T08:11:00"/>
    <s v="JUAN HERNANDEZ"/>
    <m/>
  </r>
  <r>
    <x v="5"/>
    <x v="1"/>
    <x v="0"/>
    <x v="28"/>
    <x v="0"/>
    <n v="5"/>
    <x v="7"/>
    <x v="1"/>
    <x v="1"/>
    <n v="17"/>
    <n v="0.4"/>
    <s v="EPS"/>
    <n v="0"/>
    <n v="1.06"/>
    <d v="1899-12-30T08:23:00"/>
    <s v="JUAN HERNANDEZ"/>
    <m/>
  </r>
  <r>
    <x v="5"/>
    <x v="1"/>
    <x v="0"/>
    <x v="28"/>
    <x v="0"/>
    <n v="6"/>
    <x v="1"/>
    <x v="1"/>
    <x v="1"/>
    <n v="17"/>
    <n v="0.4"/>
    <s v="EPS"/>
    <n v="0"/>
    <n v="1.07"/>
    <d v="1899-12-30T08:35:00"/>
    <s v="JUAN HERNANDEZ"/>
    <m/>
  </r>
  <r>
    <x v="5"/>
    <x v="1"/>
    <x v="0"/>
    <x v="28"/>
    <x v="0"/>
    <n v="7"/>
    <x v="6"/>
    <x v="1"/>
    <x v="2"/>
    <n v="34"/>
    <n v="0.45"/>
    <s v="VIVIENDA"/>
    <n v="0"/>
    <n v="1.1100000000000001"/>
    <d v="1899-12-30T09:50:00"/>
    <s v="JUAN HERNANDEZ"/>
    <m/>
  </r>
  <r>
    <x v="5"/>
    <x v="1"/>
    <x v="0"/>
    <x v="28"/>
    <x v="0"/>
    <n v="8"/>
    <x v="5"/>
    <x v="1"/>
    <x v="1"/>
    <n v="17"/>
    <n v="0.4"/>
    <s v="EPS"/>
    <n v="0"/>
    <n v="1.02"/>
    <d v="1899-12-30T10:35:00"/>
    <s v="JUAN HERNANDEZ"/>
    <m/>
  </r>
  <r>
    <x v="5"/>
    <x v="1"/>
    <x v="0"/>
    <x v="28"/>
    <x v="0"/>
    <n v="9"/>
    <x v="1"/>
    <x v="1"/>
    <x v="1"/>
    <n v="17"/>
    <n v="0.4"/>
    <s v="EPS"/>
    <n v="0"/>
    <n v="1.05"/>
    <d v="1899-12-30T11:22:00"/>
    <s v="JUAN HERNANDEZ"/>
    <m/>
  </r>
  <r>
    <x v="5"/>
    <x v="1"/>
    <x v="0"/>
    <x v="28"/>
    <x v="0"/>
    <n v="10"/>
    <x v="6"/>
    <x v="1"/>
    <x v="2"/>
    <n v="34"/>
    <n v="0.45"/>
    <s v="VIVIENDA"/>
    <n v="0"/>
    <n v="1.1499999999999999"/>
    <d v="1899-12-30T12:15:00"/>
    <s v="JUAN HERNANDEZ"/>
    <m/>
  </r>
  <r>
    <x v="5"/>
    <x v="1"/>
    <x v="0"/>
    <x v="28"/>
    <x v="0"/>
    <n v="11"/>
    <x v="2"/>
    <x v="0"/>
    <x v="0"/>
    <n v="1"/>
    <n v="0"/>
    <s v="EPS"/>
    <n v="0"/>
    <n v="0"/>
    <d v="1899-12-30T12:44:00"/>
    <s v="JUAN HERNANDEZ"/>
    <m/>
  </r>
  <r>
    <x v="5"/>
    <x v="1"/>
    <x v="0"/>
    <x v="28"/>
    <x v="0"/>
    <n v="12"/>
    <x v="4"/>
    <x v="1"/>
    <x v="2"/>
    <n v="34"/>
    <n v="0.45"/>
    <s v="VIVIENDA"/>
    <n v="0"/>
    <n v="1.08"/>
    <d v="1899-12-30T13:01:00"/>
    <s v="JUAN HERNANDEZ"/>
    <m/>
  </r>
  <r>
    <x v="5"/>
    <x v="1"/>
    <x v="0"/>
    <x v="28"/>
    <x v="0"/>
    <n v="13"/>
    <x v="5"/>
    <x v="1"/>
    <x v="1"/>
    <n v="17"/>
    <n v="0.4"/>
    <s v="EPS"/>
    <n v="0"/>
    <n v="1.1100000000000001"/>
    <d v="1899-12-30T13:24:00"/>
    <s v="JUAN HERNANDEZ"/>
    <m/>
  </r>
  <r>
    <x v="5"/>
    <x v="1"/>
    <x v="0"/>
    <x v="29"/>
    <x v="0"/>
    <n v="1"/>
    <x v="4"/>
    <x v="1"/>
    <x v="2"/>
    <n v="34"/>
    <n v="0.45"/>
    <s v="VIVIENDA"/>
    <n v="0"/>
    <n v="1.1000000000000001"/>
    <d v="1899-12-30T07:13:00"/>
    <s v="JUAN HERNANDEZ"/>
    <m/>
  </r>
  <r>
    <x v="5"/>
    <x v="1"/>
    <x v="0"/>
    <x v="29"/>
    <x v="0"/>
    <n v="2"/>
    <x v="5"/>
    <x v="1"/>
    <x v="1"/>
    <n v="17"/>
    <n v="0.4"/>
    <s v="EPS"/>
    <n v="0"/>
    <n v="1.18"/>
    <d v="1899-12-30T07:32:00"/>
    <s v="JUAN HERNANDEZ"/>
    <m/>
  </r>
  <r>
    <x v="5"/>
    <x v="1"/>
    <x v="0"/>
    <x v="29"/>
    <x v="0"/>
    <n v="3"/>
    <x v="1"/>
    <x v="1"/>
    <x v="1"/>
    <n v="17"/>
    <n v="0.4"/>
    <s v="EPS"/>
    <n v="0"/>
    <n v="1.0900000000000001"/>
    <d v="1899-12-30T07:37:00"/>
    <s v="JUAN HERNANDEZ"/>
    <m/>
  </r>
  <r>
    <x v="5"/>
    <x v="1"/>
    <x v="0"/>
    <x v="29"/>
    <x v="0"/>
    <n v="4"/>
    <x v="7"/>
    <x v="1"/>
    <x v="1"/>
    <n v="17"/>
    <n v="0.4"/>
    <s v="EPS"/>
    <n v="0"/>
    <n v="1.1200000000000001"/>
    <d v="1899-12-30T07:53:00"/>
    <s v="JUAN HERNANDEZ"/>
    <m/>
  </r>
  <r>
    <x v="5"/>
    <x v="1"/>
    <x v="0"/>
    <x v="29"/>
    <x v="0"/>
    <n v="5"/>
    <x v="5"/>
    <x v="1"/>
    <x v="1"/>
    <n v="17"/>
    <n v="0.4"/>
    <s v="EPS"/>
    <n v="0"/>
    <n v="1.06"/>
    <d v="1899-12-30T09:37:00"/>
    <s v="JUAN HERNANDEZ"/>
    <m/>
  </r>
  <r>
    <x v="5"/>
    <x v="1"/>
    <x v="0"/>
    <x v="29"/>
    <x v="0"/>
    <n v="6"/>
    <x v="2"/>
    <x v="0"/>
    <x v="0"/>
    <n v="1"/>
    <n v="0"/>
    <s v="EPS"/>
    <n v="0"/>
    <n v="0"/>
    <d v="1899-12-30T10:17:00"/>
    <s v="JUAN HERNANDEZ"/>
    <m/>
  </r>
  <r>
    <x v="5"/>
    <x v="1"/>
    <x v="0"/>
    <x v="29"/>
    <x v="0"/>
    <n v="7"/>
    <x v="1"/>
    <x v="1"/>
    <x v="1"/>
    <n v="17"/>
    <n v="0.4"/>
    <s v="EPS"/>
    <n v="0"/>
    <n v="1.05"/>
    <d v="1899-12-30T10:29:00"/>
    <s v="JUAN HERNANDEZ"/>
    <m/>
  </r>
  <r>
    <x v="5"/>
    <x v="1"/>
    <x v="0"/>
    <x v="29"/>
    <x v="0"/>
    <n v="8"/>
    <x v="7"/>
    <x v="1"/>
    <x v="1"/>
    <n v="17"/>
    <n v="0.4"/>
    <s v="EPS"/>
    <n v="0"/>
    <n v="1"/>
    <d v="1899-12-30T10:44:00"/>
    <s v="JUAN HERNANDEZ"/>
    <m/>
  </r>
  <r>
    <x v="5"/>
    <x v="1"/>
    <x v="0"/>
    <x v="29"/>
    <x v="0"/>
    <n v="9"/>
    <x v="4"/>
    <x v="1"/>
    <x v="2"/>
    <n v="34"/>
    <n v="0.45"/>
    <s v="VIVIENDA"/>
    <n v="0"/>
    <n v="1.07"/>
    <d v="1899-12-30T11:07:00"/>
    <s v="JUAN HERNANDEZ"/>
    <m/>
  </r>
  <r>
    <x v="5"/>
    <x v="1"/>
    <x v="0"/>
    <x v="29"/>
    <x v="0"/>
    <n v="10"/>
    <x v="1"/>
    <x v="1"/>
    <x v="1"/>
    <n v="17"/>
    <n v="0.4"/>
    <s v="EPS"/>
    <n v="0"/>
    <n v="1.05"/>
    <d v="1899-12-30T13:10:00"/>
    <s v="JUAN HERNANDEZ"/>
    <m/>
  </r>
  <r>
    <x v="5"/>
    <x v="1"/>
    <x v="0"/>
    <x v="29"/>
    <x v="0"/>
    <n v="11"/>
    <x v="5"/>
    <x v="1"/>
    <x v="1"/>
    <n v="17"/>
    <n v="0.4"/>
    <s v="EPS"/>
    <n v="0"/>
    <n v="1.02"/>
    <d v="1899-12-30T13:30:00"/>
    <s v="JUAN HERNANDEZ"/>
    <m/>
  </r>
  <r>
    <x v="5"/>
    <x v="1"/>
    <x v="0"/>
    <x v="29"/>
    <x v="1"/>
    <n v="12"/>
    <x v="7"/>
    <x v="1"/>
    <x v="1"/>
    <n v="17"/>
    <n v="0.4"/>
    <s v="EPS"/>
    <n v="0"/>
    <n v="1.61"/>
    <d v="1899-12-30T12:42:00"/>
    <s v="PABLO CASTILLA"/>
    <m/>
  </r>
  <r>
    <x v="5"/>
    <x v="1"/>
    <x v="0"/>
    <x v="30"/>
    <x v="0"/>
    <n v="1"/>
    <x v="2"/>
    <x v="0"/>
    <x v="0"/>
    <n v="1"/>
    <n v="0"/>
    <s v="EPS"/>
    <n v="0"/>
    <n v="0"/>
    <d v="1899-12-30T06:36:00"/>
    <s v="JUAN HERNANDEZ"/>
    <m/>
  </r>
  <r>
    <x v="5"/>
    <x v="1"/>
    <x v="0"/>
    <x v="30"/>
    <x v="0"/>
    <n v="2"/>
    <x v="0"/>
    <x v="0"/>
    <x v="0"/>
    <n v="1"/>
    <n v="0"/>
    <s v="EPS"/>
    <n v="0"/>
    <n v="0"/>
    <d v="1899-12-30T06:51:00"/>
    <s v="JUAN HERNANDEZ"/>
    <m/>
  </r>
  <r>
    <x v="5"/>
    <x v="1"/>
    <x v="0"/>
    <x v="30"/>
    <x v="0"/>
    <n v="3"/>
    <x v="5"/>
    <x v="1"/>
    <x v="1"/>
    <n v="17"/>
    <n v="0.4"/>
    <s v="EPS"/>
    <n v="0"/>
    <n v="1"/>
    <d v="1899-12-30T07:19:00"/>
    <s v="JUAN HERNANDEZ"/>
    <m/>
  </r>
  <r>
    <x v="5"/>
    <x v="1"/>
    <x v="0"/>
    <x v="30"/>
    <x v="0"/>
    <n v="4"/>
    <x v="4"/>
    <x v="1"/>
    <x v="2"/>
    <n v="34"/>
    <n v="0.45"/>
    <s v="VIVIENDA"/>
    <n v="0"/>
    <n v="1.03"/>
    <d v="1899-12-30T07:32:00"/>
    <s v="JUAN HERNANDEZ"/>
    <m/>
  </r>
  <r>
    <x v="5"/>
    <x v="1"/>
    <x v="0"/>
    <x v="30"/>
    <x v="0"/>
    <n v="5"/>
    <x v="7"/>
    <x v="1"/>
    <x v="1"/>
    <n v="17"/>
    <n v="0.4"/>
    <s v="EPS"/>
    <n v="0"/>
    <n v="1.02"/>
    <d v="1899-12-30T07:47:00"/>
    <s v="JUAN HERNANDEZ"/>
    <m/>
  </r>
  <r>
    <x v="5"/>
    <x v="1"/>
    <x v="0"/>
    <x v="30"/>
    <x v="0"/>
    <n v="6"/>
    <x v="1"/>
    <x v="1"/>
    <x v="1"/>
    <n v="17"/>
    <n v="0.4"/>
    <s v="EPS"/>
    <n v="0"/>
    <n v="1.1000000000000001"/>
    <d v="1899-12-30T08:04:00"/>
    <s v="JUAN HERNANDEZ"/>
    <m/>
  </r>
  <r>
    <x v="5"/>
    <x v="1"/>
    <x v="0"/>
    <x v="30"/>
    <x v="0"/>
    <n v="7"/>
    <x v="4"/>
    <x v="1"/>
    <x v="2"/>
    <n v="34"/>
    <n v="0.45"/>
    <s v="VIVIENDA"/>
    <n v="0"/>
    <n v="1.1399999999999999"/>
    <d v="1899-12-30T10:14:00"/>
    <s v="JUAN HERNANDEZ"/>
    <m/>
  </r>
  <r>
    <x v="5"/>
    <x v="1"/>
    <x v="0"/>
    <x v="30"/>
    <x v="0"/>
    <n v="8"/>
    <x v="5"/>
    <x v="1"/>
    <x v="1"/>
    <n v="17"/>
    <n v="0.4"/>
    <s v="EPS"/>
    <n v="0"/>
    <n v="1.04"/>
    <d v="1899-12-30T10:30:00"/>
    <s v="JUAN HERNANDEZ"/>
    <m/>
  </r>
  <r>
    <x v="5"/>
    <x v="1"/>
    <x v="0"/>
    <x v="30"/>
    <x v="0"/>
    <n v="9"/>
    <x v="1"/>
    <x v="1"/>
    <x v="1"/>
    <n v="17"/>
    <n v="0.4"/>
    <s v="EPS"/>
    <n v="0"/>
    <n v="1.01"/>
    <d v="1899-12-30T11:21:00"/>
    <s v="JUAN HERNANDEZ"/>
    <m/>
  </r>
  <r>
    <x v="5"/>
    <x v="1"/>
    <x v="0"/>
    <x v="31"/>
    <x v="0"/>
    <n v="1"/>
    <x v="0"/>
    <x v="0"/>
    <x v="0"/>
    <n v="1"/>
    <n v="0"/>
    <s v="EPS"/>
    <n v="0"/>
    <n v="0"/>
    <d v="1899-12-30T07:00:00"/>
    <s v="JUAN HERNANDEZ"/>
    <m/>
  </r>
  <r>
    <x v="5"/>
    <x v="1"/>
    <x v="0"/>
    <x v="31"/>
    <x v="0"/>
    <n v="2"/>
    <x v="4"/>
    <x v="1"/>
    <x v="2"/>
    <n v="34"/>
    <n v="0.45"/>
    <s v="VIVIENDA"/>
    <n v="0"/>
    <n v="1.03"/>
    <d v="1899-12-30T07:23:00"/>
    <s v="JUAN HERNANDEZ"/>
    <m/>
  </r>
  <r>
    <x v="5"/>
    <x v="1"/>
    <x v="0"/>
    <x v="31"/>
    <x v="0"/>
    <n v="3"/>
    <x v="7"/>
    <x v="1"/>
    <x v="1"/>
    <n v="17"/>
    <n v="0.4"/>
    <s v="EPS"/>
    <n v="0"/>
    <n v="1.1000000000000001"/>
    <d v="1899-12-30T07:45:00"/>
    <s v="JUAN HERNANDEZ"/>
    <m/>
  </r>
  <r>
    <x v="5"/>
    <x v="1"/>
    <x v="0"/>
    <x v="31"/>
    <x v="0"/>
    <n v="4"/>
    <x v="1"/>
    <x v="1"/>
    <x v="1"/>
    <n v="17"/>
    <n v="0.4"/>
    <s v="EPS"/>
    <n v="0"/>
    <n v="1.05"/>
    <d v="1899-12-30T07:53:00"/>
    <s v="JUAN HERNANDEZ"/>
    <m/>
  </r>
  <r>
    <x v="5"/>
    <x v="1"/>
    <x v="0"/>
    <x v="31"/>
    <x v="0"/>
    <n v="5"/>
    <x v="5"/>
    <x v="1"/>
    <x v="1"/>
    <n v="17"/>
    <n v="0.4"/>
    <s v="EPS"/>
    <n v="0"/>
    <n v="1.03"/>
    <d v="1899-12-30T08:15:00"/>
    <s v="JUAN HERNANDEZ"/>
    <m/>
  </r>
  <r>
    <x v="5"/>
    <x v="1"/>
    <x v="0"/>
    <x v="31"/>
    <x v="0"/>
    <n v="6"/>
    <x v="4"/>
    <x v="1"/>
    <x v="2"/>
    <n v="34"/>
    <n v="0.45"/>
    <s v="VIVIENDA"/>
    <n v="0"/>
    <n v="1.1200000000000001"/>
    <d v="1899-12-30T10:05:00"/>
    <s v="JUAN HERNANDEZ"/>
    <m/>
  </r>
  <r>
    <x v="5"/>
    <x v="1"/>
    <x v="0"/>
    <x v="31"/>
    <x v="0"/>
    <n v="7"/>
    <x v="7"/>
    <x v="1"/>
    <x v="1"/>
    <n v="17"/>
    <n v="0.4"/>
    <s v="EPS"/>
    <n v="0"/>
    <n v="1.02"/>
    <d v="1899-12-30T11:18:00"/>
    <s v="JUAN HERNANDEZ"/>
    <m/>
  </r>
  <r>
    <x v="5"/>
    <x v="1"/>
    <x v="0"/>
    <x v="31"/>
    <x v="0"/>
    <n v="8"/>
    <x v="1"/>
    <x v="1"/>
    <x v="1"/>
    <n v="17"/>
    <n v="0.4"/>
    <s v="EPS"/>
    <n v="0"/>
    <n v="1.05"/>
    <d v="1899-12-30T11:34:00"/>
    <s v="JUAN HERNANDEZ"/>
    <m/>
  </r>
  <r>
    <x v="5"/>
    <x v="1"/>
    <x v="0"/>
    <x v="31"/>
    <x v="0"/>
    <n v="9"/>
    <x v="5"/>
    <x v="1"/>
    <x v="1"/>
    <n v="17"/>
    <n v="0.4"/>
    <s v="EPS"/>
    <n v="0"/>
    <n v="1.02"/>
    <d v="1899-12-30T13:27:00"/>
    <s v="JUAN HERNANDEZ"/>
    <m/>
  </r>
  <r>
    <x v="6"/>
    <x v="1"/>
    <x v="0"/>
    <x v="32"/>
    <x v="0"/>
    <n v="1"/>
    <x v="0"/>
    <x v="0"/>
    <x v="0"/>
    <n v="1"/>
    <n v="0"/>
    <s v="EPS"/>
    <n v="0"/>
    <n v="0"/>
    <d v="1899-12-30T07:00:00"/>
    <s v="JUAN HERNANDEZ"/>
    <m/>
  </r>
  <r>
    <x v="6"/>
    <x v="1"/>
    <x v="0"/>
    <x v="32"/>
    <x v="0"/>
    <n v="2"/>
    <x v="4"/>
    <x v="1"/>
    <x v="2"/>
    <n v="34"/>
    <n v="0.45"/>
    <s v="VIVIENDA"/>
    <n v="0"/>
    <n v="1.03"/>
    <d v="1899-12-30T07:23:00"/>
    <s v="JUAN HERNANDEZ"/>
    <m/>
  </r>
  <r>
    <x v="6"/>
    <x v="1"/>
    <x v="0"/>
    <x v="32"/>
    <x v="0"/>
    <n v="3"/>
    <x v="7"/>
    <x v="1"/>
    <x v="1"/>
    <n v="17"/>
    <n v="0.4"/>
    <s v="EPS"/>
    <n v="0"/>
    <n v="1.1000000000000001"/>
    <d v="1899-12-30T07:45:00"/>
    <s v="JUAN HERNANDEZ"/>
    <m/>
  </r>
  <r>
    <x v="6"/>
    <x v="1"/>
    <x v="0"/>
    <x v="32"/>
    <x v="0"/>
    <n v="4"/>
    <x v="1"/>
    <x v="1"/>
    <x v="1"/>
    <n v="17"/>
    <n v="0.4"/>
    <s v="EPS"/>
    <n v="0"/>
    <n v="1.05"/>
    <d v="1899-12-30T07:53:00"/>
    <s v="JUAN HERNANDEZ"/>
    <m/>
  </r>
  <r>
    <x v="6"/>
    <x v="1"/>
    <x v="0"/>
    <x v="32"/>
    <x v="0"/>
    <n v="5"/>
    <x v="5"/>
    <x v="1"/>
    <x v="1"/>
    <n v="17"/>
    <n v="0.4"/>
    <s v="EPS"/>
    <n v="0"/>
    <n v="1.03"/>
    <d v="1899-12-30T08:15:00"/>
    <s v="JUAN HERNANDEZ"/>
    <m/>
  </r>
  <r>
    <x v="6"/>
    <x v="1"/>
    <x v="0"/>
    <x v="32"/>
    <x v="0"/>
    <n v="6"/>
    <x v="4"/>
    <x v="1"/>
    <x v="2"/>
    <n v="34"/>
    <n v="0.45"/>
    <s v="VIVIENDA"/>
    <n v="0"/>
    <n v="1.1000000000000001"/>
    <d v="1899-12-30T10:05:00"/>
    <s v="JUAN HERNANDEZ"/>
    <m/>
  </r>
  <r>
    <x v="6"/>
    <x v="1"/>
    <x v="0"/>
    <x v="32"/>
    <x v="0"/>
    <n v="7"/>
    <x v="7"/>
    <x v="1"/>
    <x v="1"/>
    <n v="17"/>
    <n v="0.4"/>
    <s v="EPS"/>
    <n v="0"/>
    <n v="1.02"/>
    <d v="1899-12-30T11:18:00"/>
    <s v="JUAN HERNANDEZ"/>
    <m/>
  </r>
  <r>
    <x v="6"/>
    <x v="1"/>
    <x v="0"/>
    <x v="32"/>
    <x v="0"/>
    <n v="8"/>
    <x v="1"/>
    <x v="1"/>
    <x v="1"/>
    <n v="17"/>
    <n v="0.4"/>
    <s v="EPS"/>
    <n v="0"/>
    <n v="1.05"/>
    <d v="1899-12-30T11:34:00"/>
    <s v="JUAN HERNANDEZ"/>
    <m/>
  </r>
  <r>
    <x v="6"/>
    <x v="1"/>
    <x v="0"/>
    <x v="32"/>
    <x v="0"/>
    <n v="9"/>
    <x v="5"/>
    <x v="1"/>
    <x v="1"/>
    <n v="17"/>
    <n v="0.4"/>
    <s v="EPS"/>
    <n v="0"/>
    <n v="1.02"/>
    <d v="1899-12-30T13:27:00"/>
    <s v="JUAN HERNANDEZ"/>
    <m/>
  </r>
  <r>
    <x v="6"/>
    <x v="1"/>
    <x v="0"/>
    <x v="33"/>
    <x v="0"/>
    <n v="1"/>
    <x v="4"/>
    <x v="1"/>
    <x v="2"/>
    <n v="34"/>
    <n v="0.45"/>
    <s v="VIVIENDA"/>
    <n v="0"/>
    <n v="1.1100000000000001"/>
    <d v="1899-12-30T07:29:00"/>
    <s v="JUAN HERNANDEZ"/>
    <m/>
  </r>
  <r>
    <x v="6"/>
    <x v="1"/>
    <x v="0"/>
    <x v="33"/>
    <x v="0"/>
    <n v="2"/>
    <x v="5"/>
    <x v="1"/>
    <x v="1"/>
    <n v="17"/>
    <n v="0.4"/>
    <s v="EPS"/>
    <n v="0"/>
    <n v="1.05"/>
    <d v="1899-12-30T07:49:00"/>
    <s v="JUAN HERNANDEZ"/>
    <m/>
  </r>
  <r>
    <x v="6"/>
    <x v="1"/>
    <x v="0"/>
    <x v="33"/>
    <x v="0"/>
    <n v="3"/>
    <x v="7"/>
    <x v="1"/>
    <x v="1"/>
    <n v="17"/>
    <n v="0.4"/>
    <s v="EPS"/>
    <n v="0"/>
    <n v="1.04"/>
    <d v="1899-12-30T07:57:00"/>
    <s v="JUAN HERNANDEZ"/>
    <m/>
  </r>
  <r>
    <x v="6"/>
    <x v="1"/>
    <x v="0"/>
    <x v="33"/>
    <x v="0"/>
    <n v="4"/>
    <x v="1"/>
    <x v="1"/>
    <x v="1"/>
    <n v="17"/>
    <n v="0.4"/>
    <s v="EPS"/>
    <n v="0"/>
    <n v="1.0900000000000001"/>
    <d v="1899-12-30T08:07:00"/>
    <s v="JUAN HERNANDEZ"/>
    <m/>
  </r>
  <r>
    <x v="6"/>
    <x v="1"/>
    <x v="0"/>
    <x v="33"/>
    <x v="0"/>
    <n v="5"/>
    <x v="1"/>
    <x v="1"/>
    <x v="1"/>
    <n v="17"/>
    <n v="0.4"/>
    <s v="EPS"/>
    <n v="0"/>
    <n v="1.17"/>
    <d v="1899-12-30T09:50:00"/>
    <s v="JUAN HERNANDEZ"/>
    <m/>
  </r>
  <r>
    <x v="6"/>
    <x v="1"/>
    <x v="0"/>
    <x v="33"/>
    <x v="0"/>
    <n v="6"/>
    <x v="4"/>
    <x v="1"/>
    <x v="2"/>
    <n v="34"/>
    <n v="0.45"/>
    <s v="VIVIENDA"/>
    <n v="0"/>
    <n v="1.0900000000000001"/>
    <d v="1899-12-30T11:31:00"/>
    <s v="JUAN HERNANDEZ"/>
    <m/>
  </r>
  <r>
    <x v="6"/>
    <x v="1"/>
    <x v="0"/>
    <x v="33"/>
    <x v="0"/>
    <n v="7"/>
    <x v="5"/>
    <x v="1"/>
    <x v="1"/>
    <n v="17"/>
    <n v="0.4"/>
    <s v="EPS"/>
    <n v="0"/>
    <n v="1.1000000000000001"/>
    <d v="1899-12-30T12:41:00"/>
    <s v="JUAN HERNANDEZ"/>
    <m/>
  </r>
  <r>
    <x v="6"/>
    <x v="1"/>
    <x v="0"/>
    <x v="33"/>
    <x v="0"/>
    <n v="8"/>
    <x v="7"/>
    <x v="1"/>
    <x v="1"/>
    <n v="17"/>
    <n v="0.4"/>
    <s v="EPS"/>
    <n v="0"/>
    <n v="1.1399999999999999"/>
    <d v="1899-12-30T12:55:00"/>
    <s v="JUAN HERNANDEZ"/>
    <m/>
  </r>
  <r>
    <x v="6"/>
    <x v="1"/>
    <x v="0"/>
    <x v="34"/>
    <x v="0"/>
    <n v="1"/>
    <x v="4"/>
    <x v="1"/>
    <x v="2"/>
    <n v="34"/>
    <n v="0.45"/>
    <s v="VIVIENDA"/>
    <n v="0"/>
    <n v="1.06"/>
    <d v="1899-12-30T07:27:00"/>
    <s v="JUAN HERNANDEZ"/>
    <m/>
  </r>
  <r>
    <x v="6"/>
    <x v="1"/>
    <x v="0"/>
    <x v="34"/>
    <x v="0"/>
    <n v="2"/>
    <x v="5"/>
    <x v="1"/>
    <x v="1"/>
    <n v="17"/>
    <n v="0.4"/>
    <s v="EPS"/>
    <n v="0"/>
    <n v="1"/>
    <d v="1899-12-30T07:46:00"/>
    <s v="JUAN HERNANDEZ"/>
    <m/>
  </r>
  <r>
    <x v="6"/>
    <x v="1"/>
    <x v="0"/>
    <x v="34"/>
    <x v="0"/>
    <n v="3"/>
    <x v="7"/>
    <x v="1"/>
    <x v="1"/>
    <n v="17"/>
    <n v="0.4"/>
    <s v="EPS"/>
    <n v="0"/>
    <n v="1.1000000000000001"/>
    <d v="1899-12-30T08:27:00"/>
    <s v="JUAN HERNANDEZ"/>
    <m/>
  </r>
  <r>
    <x v="6"/>
    <x v="1"/>
    <x v="0"/>
    <x v="34"/>
    <x v="0"/>
    <n v="4"/>
    <x v="1"/>
    <x v="1"/>
    <x v="1"/>
    <n v="17"/>
    <n v="0.4"/>
    <s v="EPS"/>
    <n v="0"/>
    <n v="1.07"/>
    <d v="1899-12-30T08:39:00"/>
    <s v="JUAN HERNANDEZ"/>
    <m/>
  </r>
  <r>
    <x v="6"/>
    <x v="1"/>
    <x v="0"/>
    <x v="34"/>
    <x v="0"/>
    <n v="5"/>
    <x v="7"/>
    <x v="1"/>
    <x v="1"/>
    <n v="17"/>
    <n v="0.4"/>
    <s v="EPS"/>
    <n v="0"/>
    <n v="1.02"/>
    <d v="1899-12-30T11:20:00"/>
    <s v="JUAN HERNANDEZ"/>
    <m/>
  </r>
  <r>
    <x v="6"/>
    <x v="1"/>
    <x v="0"/>
    <x v="34"/>
    <x v="0"/>
    <n v="6"/>
    <x v="4"/>
    <x v="1"/>
    <x v="2"/>
    <n v="34"/>
    <n v="0.45"/>
    <s v="VIVIENDA"/>
    <n v="0"/>
    <n v="1.06"/>
    <d v="1899-12-30T12:02:00"/>
    <s v="JUAN HERNANDEZ"/>
    <m/>
  </r>
  <r>
    <x v="6"/>
    <x v="1"/>
    <x v="0"/>
    <x v="34"/>
    <x v="0"/>
    <n v="7"/>
    <x v="5"/>
    <x v="1"/>
    <x v="1"/>
    <n v="17"/>
    <n v="0.4"/>
    <s v="EPS"/>
    <n v="0"/>
    <n v="1.1299999999999999"/>
    <d v="1899-12-30T12:56:00"/>
    <s v="JUAN HERNANDEZ"/>
    <m/>
  </r>
  <r>
    <x v="6"/>
    <x v="1"/>
    <x v="0"/>
    <x v="35"/>
    <x v="0"/>
    <n v="1"/>
    <x v="0"/>
    <x v="0"/>
    <x v="0"/>
    <n v="1"/>
    <n v="0"/>
    <s v="EPS"/>
    <n v="0"/>
    <n v="0"/>
    <d v="1899-12-30T07:22:00"/>
    <s v="JUAN HERNANDEZ"/>
    <m/>
  </r>
  <r>
    <x v="6"/>
    <x v="1"/>
    <x v="0"/>
    <x v="35"/>
    <x v="0"/>
    <n v="2"/>
    <x v="4"/>
    <x v="1"/>
    <x v="2"/>
    <n v="34"/>
    <n v="0.45"/>
    <s v="VIVIENDA"/>
    <n v="0"/>
    <n v="1.08"/>
    <d v="1899-12-30T07:40:00"/>
    <s v="JUAN HERNANDEZ"/>
    <m/>
  </r>
  <r>
    <x v="6"/>
    <x v="1"/>
    <x v="0"/>
    <x v="35"/>
    <x v="0"/>
    <n v="3"/>
    <x v="5"/>
    <x v="1"/>
    <x v="1"/>
    <n v="17"/>
    <n v="0.4"/>
    <s v="EPS"/>
    <n v="0"/>
    <n v="1.05"/>
    <d v="1899-12-30T07:50:00"/>
    <s v="JUAN HERNANDEZ"/>
    <m/>
  </r>
  <r>
    <x v="6"/>
    <x v="1"/>
    <x v="0"/>
    <x v="35"/>
    <x v="0"/>
    <n v="4"/>
    <x v="7"/>
    <x v="1"/>
    <x v="1"/>
    <n v="17"/>
    <n v="0.4"/>
    <s v="EPS"/>
    <n v="0"/>
    <n v="1"/>
    <d v="1899-12-30T07:58:00"/>
    <s v="JUAN HERNANDEZ"/>
    <m/>
  </r>
  <r>
    <x v="6"/>
    <x v="1"/>
    <x v="0"/>
    <x v="35"/>
    <x v="0"/>
    <n v="5"/>
    <x v="1"/>
    <x v="1"/>
    <x v="1"/>
    <n v="17"/>
    <n v="0.4"/>
    <s v="EPS"/>
    <n v="0"/>
    <n v="1.07"/>
    <d v="1899-12-30T08:08:00"/>
    <s v="JUAN HERNANDEZ"/>
    <m/>
  </r>
  <r>
    <x v="6"/>
    <x v="1"/>
    <x v="0"/>
    <x v="35"/>
    <x v="0"/>
    <n v="6"/>
    <x v="7"/>
    <x v="1"/>
    <x v="1"/>
    <n v="17"/>
    <n v="0.4"/>
    <s v="EPS"/>
    <n v="0"/>
    <n v="1.02"/>
    <d v="1899-12-30T10:17:00"/>
    <s v="JUAN HERNANDEZ"/>
    <m/>
  </r>
  <r>
    <x v="6"/>
    <x v="1"/>
    <x v="0"/>
    <x v="35"/>
    <x v="0"/>
    <n v="7"/>
    <x v="1"/>
    <x v="1"/>
    <x v="1"/>
    <n v="17"/>
    <n v="0.4"/>
    <s v="EPS"/>
    <n v="0"/>
    <n v="1.1299999999999999"/>
    <d v="1899-12-30T10:32:00"/>
    <s v="JUAN HERNANDEZ"/>
    <m/>
  </r>
  <r>
    <x v="6"/>
    <x v="1"/>
    <x v="0"/>
    <x v="35"/>
    <x v="0"/>
    <n v="8"/>
    <x v="4"/>
    <x v="1"/>
    <x v="2"/>
    <n v="34"/>
    <n v="0.45"/>
    <s v="VIVIENDA"/>
    <n v="0"/>
    <n v="1.1100000000000001"/>
    <d v="1899-12-30T12:55:00"/>
    <s v="JUAN HERNANDEZ"/>
    <m/>
  </r>
  <r>
    <x v="6"/>
    <x v="1"/>
    <x v="0"/>
    <x v="36"/>
    <x v="0"/>
    <n v="1"/>
    <x v="5"/>
    <x v="1"/>
    <x v="1"/>
    <n v="17"/>
    <n v="0.4"/>
    <s v="EPS"/>
    <n v="0"/>
    <n v="1"/>
    <d v="1899-12-30T07:15:00"/>
    <s v="JUAN HERNANDEZ"/>
    <m/>
  </r>
  <r>
    <x v="6"/>
    <x v="1"/>
    <x v="0"/>
    <x v="36"/>
    <x v="0"/>
    <n v="2"/>
    <x v="4"/>
    <x v="1"/>
    <x v="2"/>
    <n v="34"/>
    <n v="0.45"/>
    <s v="VIVIENDA"/>
    <n v="0"/>
    <n v="1.04"/>
    <d v="1899-12-30T07:26:00"/>
    <s v="JUAN HERNANDEZ"/>
    <m/>
  </r>
  <r>
    <x v="6"/>
    <x v="1"/>
    <x v="0"/>
    <x v="36"/>
    <x v="0"/>
    <n v="3"/>
    <x v="7"/>
    <x v="1"/>
    <x v="1"/>
    <n v="17"/>
    <n v="0.4"/>
    <s v="EPS"/>
    <n v="0"/>
    <n v="1.02"/>
    <d v="1899-12-30T07:35:00"/>
    <s v="JUAN HERNANDEZ"/>
    <m/>
  </r>
  <r>
    <x v="6"/>
    <x v="1"/>
    <x v="0"/>
    <x v="36"/>
    <x v="0"/>
    <n v="4"/>
    <x v="1"/>
    <x v="1"/>
    <x v="1"/>
    <n v="17"/>
    <n v="0.4"/>
    <s v="EPS"/>
    <n v="0"/>
    <n v="1.1299999999999999"/>
    <d v="1899-12-30T07:44:00"/>
    <s v="JUAN HERNANDEZ"/>
    <m/>
  </r>
  <r>
    <x v="6"/>
    <x v="1"/>
    <x v="0"/>
    <x v="36"/>
    <x v="0"/>
    <n v="5"/>
    <x v="0"/>
    <x v="0"/>
    <x v="0"/>
    <n v="1"/>
    <n v="0"/>
    <s v="EPS"/>
    <n v="0"/>
    <n v="0"/>
    <d v="1899-12-30T08:01:00"/>
    <s v="JUAN HERNANDEZ"/>
    <m/>
  </r>
  <r>
    <x v="6"/>
    <x v="1"/>
    <x v="0"/>
    <x v="36"/>
    <x v="0"/>
    <n v="6"/>
    <x v="5"/>
    <x v="1"/>
    <x v="1"/>
    <n v="17"/>
    <n v="0.4"/>
    <s v="EPS"/>
    <n v="0"/>
    <n v="1.05"/>
    <d v="1899-12-30T09:30:00"/>
    <s v="JUAN HERNANDEZ"/>
    <m/>
  </r>
  <r>
    <x v="6"/>
    <x v="1"/>
    <x v="0"/>
    <x v="36"/>
    <x v="0"/>
    <n v="7"/>
    <x v="1"/>
    <x v="1"/>
    <x v="1"/>
    <n v="17"/>
    <n v="0.4"/>
    <s v="EPS"/>
    <n v="0"/>
    <n v="1.1000000000000001"/>
    <d v="1899-12-30T09:53:00"/>
    <s v="JUAN HERNANDEZ"/>
    <m/>
  </r>
  <r>
    <x v="6"/>
    <x v="1"/>
    <x v="0"/>
    <x v="36"/>
    <x v="0"/>
    <n v="8"/>
    <x v="4"/>
    <x v="1"/>
    <x v="2"/>
    <n v="34"/>
    <n v="0.45"/>
    <s v="VIVIENDA"/>
    <n v="0"/>
    <n v="1.1399999999999999"/>
    <d v="1899-12-30T10:18:00"/>
    <s v="JUAN HERNANDEZ"/>
    <m/>
  </r>
  <r>
    <x v="6"/>
    <x v="1"/>
    <x v="0"/>
    <x v="36"/>
    <x v="0"/>
    <n v="9"/>
    <x v="0"/>
    <x v="0"/>
    <x v="0"/>
    <n v="1"/>
    <n v="0"/>
    <s v="EPS"/>
    <n v="0"/>
    <n v="0"/>
    <d v="1899-12-30T10:30:00"/>
    <s v="JUAN HERNANDEZ"/>
    <m/>
  </r>
  <r>
    <x v="6"/>
    <x v="1"/>
    <x v="0"/>
    <x v="36"/>
    <x v="0"/>
    <n v="10"/>
    <x v="7"/>
    <x v="1"/>
    <x v="1"/>
    <n v="17"/>
    <n v="0.4"/>
    <s v="EPS"/>
    <n v="0"/>
    <n v="1.08"/>
    <d v="1899-12-30T10:59:00"/>
    <s v="JUAN HERNANDEZ"/>
    <m/>
  </r>
  <r>
    <x v="6"/>
    <x v="1"/>
    <x v="0"/>
    <x v="36"/>
    <x v="0"/>
    <n v="11"/>
    <x v="1"/>
    <x v="1"/>
    <x v="1"/>
    <n v="17"/>
    <n v="0.4"/>
    <s v="EPS"/>
    <n v="0"/>
    <n v="1.1000000000000001"/>
    <d v="1899-12-30T12:20:00"/>
    <s v="JUAN HERNANDEZ"/>
    <m/>
  </r>
  <r>
    <x v="6"/>
    <x v="1"/>
    <x v="0"/>
    <x v="36"/>
    <x v="0"/>
    <n v="12"/>
    <x v="5"/>
    <x v="1"/>
    <x v="1"/>
    <n v="17"/>
    <n v="0.4"/>
    <s v="EPS"/>
    <n v="0"/>
    <n v="1.05"/>
    <d v="1899-12-30T12:40:00"/>
    <s v="JUAN HERNANDEZ"/>
    <m/>
  </r>
  <r>
    <x v="6"/>
    <x v="1"/>
    <x v="0"/>
    <x v="36"/>
    <x v="0"/>
    <n v="13"/>
    <x v="9"/>
    <x v="1"/>
    <x v="3"/>
    <n v="9"/>
    <n v="0.22"/>
    <s v="EPS"/>
    <n v="0"/>
    <n v="1.1299999999999999"/>
    <d v="1899-12-30T13:23:00"/>
    <s v="JUAN HERNANDEZ"/>
    <m/>
  </r>
  <r>
    <x v="6"/>
    <x v="1"/>
    <x v="0"/>
    <x v="36"/>
    <x v="0"/>
    <n v="14"/>
    <x v="0"/>
    <x v="0"/>
    <x v="0"/>
    <n v="1"/>
    <n v="0"/>
    <s v="EPS"/>
    <n v="0"/>
    <n v="0"/>
    <d v="1899-12-30T13:30:00"/>
    <s v="JUAN HERNANDEZ"/>
    <m/>
  </r>
  <r>
    <x v="6"/>
    <x v="1"/>
    <x v="0"/>
    <x v="37"/>
    <x v="0"/>
    <n v="1"/>
    <x v="4"/>
    <x v="1"/>
    <x v="2"/>
    <n v="34"/>
    <n v="0.45"/>
    <s v="VIVIENDA"/>
    <n v="0"/>
    <n v="1.1200000000000001"/>
    <d v="1899-12-30T07:28:00"/>
    <s v="JUAN HERNANDEZ"/>
    <m/>
  </r>
  <r>
    <x v="6"/>
    <x v="1"/>
    <x v="0"/>
    <x v="37"/>
    <x v="0"/>
    <n v="2"/>
    <x v="5"/>
    <x v="1"/>
    <x v="1"/>
    <n v="17"/>
    <n v="0.4"/>
    <s v="EPS"/>
    <n v="0"/>
    <n v="1.0900000000000001"/>
    <d v="1899-12-30T07:35:00"/>
    <s v="JUAN HERNANDEZ"/>
    <m/>
  </r>
  <r>
    <x v="6"/>
    <x v="1"/>
    <x v="0"/>
    <x v="37"/>
    <x v="0"/>
    <n v="3"/>
    <x v="7"/>
    <x v="1"/>
    <x v="1"/>
    <n v="17"/>
    <n v="0.4"/>
    <s v="EPS"/>
    <n v="0"/>
    <n v="1.06"/>
    <d v="1899-12-30T07:43:00"/>
    <s v="JUAN HERNANDEZ"/>
    <m/>
  </r>
  <r>
    <x v="6"/>
    <x v="1"/>
    <x v="0"/>
    <x v="37"/>
    <x v="0"/>
    <n v="4"/>
    <x v="1"/>
    <x v="1"/>
    <x v="1"/>
    <n v="17"/>
    <n v="0.4"/>
    <s v="EPS"/>
    <n v="0"/>
    <n v="1.03"/>
    <d v="1899-12-30T07:50:00"/>
    <s v="JUAN HERNANDEZ"/>
    <m/>
  </r>
  <r>
    <x v="6"/>
    <x v="1"/>
    <x v="0"/>
    <x v="37"/>
    <x v="0"/>
    <n v="5"/>
    <x v="1"/>
    <x v="1"/>
    <x v="1"/>
    <n v="17"/>
    <n v="0.4"/>
    <s v="EPS"/>
    <n v="0"/>
    <n v="1.04"/>
    <d v="1899-12-30T10:30:00"/>
    <s v="JUAN HERNANDEZ"/>
    <m/>
  </r>
  <r>
    <x v="7"/>
    <x v="1"/>
    <x v="0"/>
    <x v="38"/>
    <x v="1"/>
    <n v="1"/>
    <x v="1"/>
    <x v="1"/>
    <x v="1"/>
    <n v="17"/>
    <n v="0.4"/>
    <s v="EPS"/>
    <n v="0"/>
    <n v="1"/>
    <d v="1899-12-30T08:07:00"/>
    <s v="PABLO CASTILLA"/>
    <m/>
  </r>
  <r>
    <x v="7"/>
    <x v="1"/>
    <x v="0"/>
    <x v="38"/>
    <x v="1"/>
    <n v="2"/>
    <x v="5"/>
    <x v="1"/>
    <x v="1"/>
    <n v="17"/>
    <n v="0.4"/>
    <s v="EPS"/>
    <n v="0"/>
    <n v="1.08"/>
    <d v="1899-12-30T08:20:00"/>
    <s v="PABLO CASTILLA"/>
    <m/>
  </r>
  <r>
    <x v="7"/>
    <x v="1"/>
    <x v="0"/>
    <x v="38"/>
    <x v="1"/>
    <n v="3"/>
    <x v="7"/>
    <x v="1"/>
    <x v="1"/>
    <n v="17"/>
    <n v="0.4"/>
    <s v="EPS"/>
    <n v="0"/>
    <n v="1.01"/>
    <d v="1899-12-30T08:31:00"/>
    <s v="PABLO CASTILLA"/>
    <m/>
  </r>
  <r>
    <x v="7"/>
    <x v="1"/>
    <x v="0"/>
    <x v="38"/>
    <x v="1"/>
    <n v="4"/>
    <x v="4"/>
    <x v="1"/>
    <x v="2"/>
    <n v="34"/>
    <n v="0.45"/>
    <s v="VIVIENDA"/>
    <n v="0"/>
    <n v="1.1200000000000001"/>
    <d v="1899-12-30T09:07:00"/>
    <s v="PABLO CASTILLA"/>
    <m/>
  </r>
  <r>
    <x v="7"/>
    <x v="1"/>
    <x v="0"/>
    <x v="38"/>
    <x v="1"/>
    <n v="5"/>
    <x v="5"/>
    <x v="1"/>
    <x v="1"/>
    <n v="17"/>
    <n v="0.4"/>
    <s v="EPS"/>
    <n v="0"/>
    <n v="1.1599999999999999"/>
    <d v="1899-12-30T12:57:00"/>
    <s v="PABLO CASTILLA"/>
    <m/>
  </r>
  <r>
    <x v="7"/>
    <x v="1"/>
    <x v="0"/>
    <x v="38"/>
    <x v="1"/>
    <n v="6"/>
    <x v="4"/>
    <x v="1"/>
    <x v="2"/>
    <n v="34"/>
    <n v="0.45"/>
    <s v="VIVIENDA"/>
    <n v="0"/>
    <n v="1.49"/>
    <d v="1899-12-30T01:17:00"/>
    <s v="PABLO CASTILLA"/>
    <m/>
  </r>
  <r>
    <x v="7"/>
    <x v="1"/>
    <x v="0"/>
    <x v="38"/>
    <x v="1"/>
    <n v="7"/>
    <x v="7"/>
    <x v="1"/>
    <x v="1"/>
    <n v="17"/>
    <n v="0.4"/>
    <s v="EPS"/>
    <n v="0"/>
    <n v="1.19"/>
    <d v="1899-12-30T01:40:00"/>
    <s v="PABLO CASTILLA"/>
    <m/>
  </r>
  <r>
    <x v="7"/>
    <x v="1"/>
    <x v="0"/>
    <x v="38"/>
    <x v="1"/>
    <n v="8"/>
    <x v="1"/>
    <x v="1"/>
    <x v="1"/>
    <n v="17"/>
    <n v="0.4"/>
    <s v="EPS"/>
    <n v="0"/>
    <n v="1.21"/>
    <d v="1899-12-30T01:57:00"/>
    <s v="PABLO CASTILLA"/>
    <m/>
  </r>
  <r>
    <x v="7"/>
    <x v="1"/>
    <x v="0"/>
    <x v="39"/>
    <x v="1"/>
    <n v="1"/>
    <x v="5"/>
    <x v="1"/>
    <x v="1"/>
    <n v="17"/>
    <n v="0.4"/>
    <s v="EPS"/>
    <n v="0"/>
    <n v="1.26"/>
    <d v="1899-12-30T08:06:00"/>
    <s v="PABLO CASTILLA"/>
    <m/>
  </r>
  <r>
    <x v="7"/>
    <x v="1"/>
    <x v="0"/>
    <x v="39"/>
    <x v="1"/>
    <n v="2"/>
    <x v="7"/>
    <x v="1"/>
    <x v="1"/>
    <n v="17"/>
    <n v="0.4"/>
    <s v="EPS"/>
    <n v="0"/>
    <n v="1.27"/>
    <d v="1899-12-30T08:25:00"/>
    <s v="PABLO CASTILLA"/>
    <m/>
  </r>
  <r>
    <x v="7"/>
    <x v="1"/>
    <x v="0"/>
    <x v="39"/>
    <x v="1"/>
    <n v="3"/>
    <x v="4"/>
    <x v="1"/>
    <x v="2"/>
    <n v="34"/>
    <n v="0.45"/>
    <s v="VIVIENDA"/>
    <n v="0"/>
    <n v="1.1100000000000001"/>
    <d v="1899-12-30T08:45:00"/>
    <s v="PABLO CASTILLA"/>
    <m/>
  </r>
  <r>
    <x v="7"/>
    <x v="1"/>
    <x v="0"/>
    <x v="39"/>
    <x v="1"/>
    <n v="4"/>
    <x v="1"/>
    <x v="1"/>
    <x v="1"/>
    <n v="17"/>
    <n v="0.4"/>
    <s v="EPS"/>
    <n v="0"/>
    <n v="1.35"/>
    <d v="1899-12-30T11:49:00"/>
    <s v="PABLO CASTILLA"/>
    <m/>
  </r>
  <r>
    <x v="7"/>
    <x v="1"/>
    <x v="0"/>
    <x v="39"/>
    <x v="1"/>
    <n v="5"/>
    <x v="4"/>
    <x v="1"/>
    <x v="2"/>
    <n v="34"/>
    <n v="0.45"/>
    <s v="VIVIENDA"/>
    <n v="0"/>
    <n v="1.1399999999999999"/>
    <d v="1899-12-30T13:01:00"/>
    <s v="PABLO CASTILLA"/>
    <m/>
  </r>
  <r>
    <x v="7"/>
    <x v="1"/>
    <x v="0"/>
    <x v="39"/>
    <x v="1"/>
    <n v="6"/>
    <x v="7"/>
    <x v="1"/>
    <x v="1"/>
    <n v="17"/>
    <n v="0.4"/>
    <s v="EPS"/>
    <n v="0"/>
    <n v="1.4"/>
    <d v="1899-12-30T13:23:00"/>
    <s v="PABLO CASTILLA"/>
    <m/>
  </r>
  <r>
    <x v="7"/>
    <x v="1"/>
    <x v="0"/>
    <x v="39"/>
    <x v="1"/>
    <n v="7"/>
    <x v="5"/>
    <x v="1"/>
    <x v="1"/>
    <n v="17"/>
    <n v="0.4"/>
    <s v="EPS"/>
    <n v="0"/>
    <n v="1.37"/>
    <d v="1899-12-30T13:38:00"/>
    <s v="PABLO CASTILLA"/>
    <m/>
  </r>
  <r>
    <x v="7"/>
    <x v="1"/>
    <x v="0"/>
    <x v="39"/>
    <x v="1"/>
    <n v="8"/>
    <x v="5"/>
    <x v="1"/>
    <x v="1"/>
    <n v="17"/>
    <n v="0.4"/>
    <s v="EPS"/>
    <n v="0"/>
    <n v="1.1299999999999999"/>
    <d v="1899-12-30T16:26:00"/>
    <s v="PABLO CASTILLA"/>
    <m/>
  </r>
  <r>
    <x v="7"/>
    <x v="1"/>
    <x v="0"/>
    <x v="40"/>
    <x v="1"/>
    <n v="1"/>
    <x v="5"/>
    <x v="1"/>
    <x v="1"/>
    <n v="17"/>
    <n v="0.4"/>
    <s v="EPS"/>
    <n v="0"/>
    <n v="0.81"/>
    <d v="1899-12-30T08:22:00"/>
    <s v="PABLO CASTILLA"/>
    <m/>
  </r>
  <r>
    <x v="7"/>
    <x v="1"/>
    <x v="0"/>
    <x v="40"/>
    <x v="1"/>
    <n v="2"/>
    <x v="7"/>
    <x v="1"/>
    <x v="1"/>
    <n v="17"/>
    <n v="0.4"/>
    <s v="EPS"/>
    <n v="0"/>
    <n v="1.07"/>
    <d v="1899-12-30T08:39:00"/>
    <s v="PABLO CASTILLA"/>
    <m/>
  </r>
  <r>
    <x v="7"/>
    <x v="1"/>
    <x v="0"/>
    <x v="40"/>
    <x v="1"/>
    <n v="3"/>
    <x v="1"/>
    <x v="1"/>
    <x v="1"/>
    <n v="17"/>
    <n v="0.4"/>
    <s v="EPS"/>
    <n v="0"/>
    <n v="1.31"/>
    <d v="1899-12-30T08:55:00"/>
    <s v="PABLO CASTILLA"/>
    <m/>
  </r>
  <r>
    <x v="7"/>
    <x v="1"/>
    <x v="0"/>
    <x v="40"/>
    <x v="1"/>
    <n v="4"/>
    <x v="4"/>
    <x v="1"/>
    <x v="2"/>
    <n v="34"/>
    <n v="0.45"/>
    <s v="VIVIENDA"/>
    <n v="0"/>
    <n v="1.08"/>
    <d v="1899-12-30T09:23:00"/>
    <s v="PABLO CASTILLA"/>
    <m/>
  </r>
  <r>
    <x v="7"/>
    <x v="1"/>
    <x v="0"/>
    <x v="40"/>
    <x v="1"/>
    <n v="5"/>
    <x v="3"/>
    <x v="1"/>
    <x v="1"/>
    <n v="17"/>
    <n v="0.4"/>
    <s v="EPS"/>
    <n v="0"/>
    <n v="1.1299999999999999"/>
    <d v="1899-12-30T09:37:00"/>
    <s v="PABLO CASTILLA"/>
    <m/>
  </r>
  <r>
    <x v="7"/>
    <x v="1"/>
    <x v="0"/>
    <x v="40"/>
    <x v="1"/>
    <n v="6"/>
    <x v="6"/>
    <x v="1"/>
    <x v="2"/>
    <n v="34"/>
    <n v="0.45"/>
    <s v="VIVIENDA"/>
    <n v="0"/>
    <n v="1.1499999999999999"/>
    <d v="1899-12-30T10:07:00"/>
    <s v="PABLO CASTILLA"/>
    <m/>
  </r>
  <r>
    <x v="7"/>
    <x v="1"/>
    <x v="0"/>
    <x v="40"/>
    <x v="1"/>
    <n v="7"/>
    <x v="5"/>
    <x v="1"/>
    <x v="1"/>
    <n v="17"/>
    <n v="0.4"/>
    <s v="EPS"/>
    <n v="0"/>
    <n v="1.08"/>
    <d v="1899-12-30T11:52:00"/>
    <s v="PABLO CASTILLA"/>
    <m/>
  </r>
  <r>
    <x v="7"/>
    <x v="1"/>
    <x v="0"/>
    <x v="40"/>
    <x v="1"/>
    <n v="8"/>
    <x v="7"/>
    <x v="1"/>
    <x v="1"/>
    <n v="17"/>
    <n v="0.4"/>
    <s v="EPS"/>
    <n v="0"/>
    <n v="1.17"/>
    <d v="1899-12-30T12:06:00"/>
    <s v="PABLO CASTILLA"/>
    <m/>
  </r>
  <r>
    <x v="7"/>
    <x v="1"/>
    <x v="0"/>
    <x v="40"/>
    <x v="1"/>
    <n v="9"/>
    <x v="4"/>
    <x v="1"/>
    <x v="2"/>
    <n v="34"/>
    <n v="0.45"/>
    <s v="VIVIENDA"/>
    <n v="0"/>
    <n v="1.1200000000000001"/>
    <d v="1899-12-30T12:21:00"/>
    <s v="PABLO CASTILLA"/>
    <m/>
  </r>
  <r>
    <x v="7"/>
    <x v="1"/>
    <x v="0"/>
    <x v="40"/>
    <x v="1"/>
    <n v="10"/>
    <x v="8"/>
    <x v="1"/>
    <x v="1"/>
    <n v="17"/>
    <n v="0.4"/>
    <s v="EPS"/>
    <n v="0"/>
    <n v="1.1000000000000001"/>
    <d v="1899-12-30T12:32:00"/>
    <s v="PABLO CASTILLA"/>
    <m/>
  </r>
  <r>
    <x v="7"/>
    <x v="1"/>
    <x v="0"/>
    <x v="40"/>
    <x v="1"/>
    <n v="11"/>
    <x v="3"/>
    <x v="1"/>
    <x v="1"/>
    <n v="17"/>
    <n v="0.4"/>
    <s v="EPS"/>
    <n v="0"/>
    <n v="1.1499999999999999"/>
    <d v="1899-12-30T12:47:00"/>
    <s v="PABLO CASTILLA"/>
    <m/>
  </r>
  <r>
    <x v="7"/>
    <x v="1"/>
    <x v="0"/>
    <x v="40"/>
    <x v="1"/>
    <n v="12"/>
    <x v="5"/>
    <x v="1"/>
    <x v="1"/>
    <n v="17"/>
    <n v="0.4"/>
    <s v="EPS"/>
    <n v="0"/>
    <n v="1.46"/>
    <d v="1899-12-30T13:36:00"/>
    <s v="PABLO CASTILLA"/>
    <m/>
  </r>
  <r>
    <x v="7"/>
    <x v="1"/>
    <x v="0"/>
    <x v="40"/>
    <x v="1"/>
    <n v="13"/>
    <x v="8"/>
    <x v="1"/>
    <x v="1"/>
    <n v="17"/>
    <n v="0.4"/>
    <s v="EPS"/>
    <n v="0"/>
    <n v="1.1200000000000001"/>
    <d v="1899-12-30T02:22:00"/>
    <s v="PABLO CASTILLA"/>
    <m/>
  </r>
  <r>
    <x v="7"/>
    <x v="1"/>
    <x v="0"/>
    <x v="40"/>
    <x v="1"/>
    <n v="13"/>
    <x v="4"/>
    <x v="1"/>
    <x v="2"/>
    <n v="34"/>
    <n v="0.45"/>
    <s v="VIVIENDA"/>
    <n v="0"/>
    <m/>
    <d v="1899-12-30T21:30:00"/>
    <s v="PABLO CASTILLA"/>
    <m/>
  </r>
  <r>
    <x v="7"/>
    <x v="1"/>
    <x v="0"/>
    <x v="41"/>
    <x v="1"/>
    <n v="1"/>
    <x v="6"/>
    <x v="1"/>
    <x v="2"/>
    <n v="34"/>
    <n v="0.45"/>
    <s v="VIVIENDA"/>
    <n v="0"/>
    <n v="1.4"/>
    <d v="1899-12-30T06:55:00"/>
    <s v="PABLO CASTILLA"/>
    <m/>
  </r>
  <r>
    <x v="7"/>
    <x v="1"/>
    <x v="0"/>
    <x v="41"/>
    <x v="1"/>
    <n v="2"/>
    <x v="5"/>
    <x v="1"/>
    <x v="1"/>
    <n v="17"/>
    <n v="0.4"/>
    <s v="EPS"/>
    <n v="0"/>
    <n v="0.9"/>
    <d v="1899-12-30T07:40:00"/>
    <s v="PABLO CASTILLA"/>
    <m/>
  </r>
  <r>
    <x v="7"/>
    <x v="1"/>
    <x v="0"/>
    <x v="41"/>
    <x v="1"/>
    <n v="3"/>
    <x v="1"/>
    <x v="1"/>
    <x v="1"/>
    <n v="17"/>
    <n v="0.4"/>
    <s v="EPS"/>
    <n v="0"/>
    <n v="1.04"/>
    <d v="1899-12-30T08:06:00"/>
    <s v="PABLO CASTILLA"/>
    <m/>
  </r>
  <r>
    <x v="7"/>
    <x v="1"/>
    <x v="0"/>
    <x v="41"/>
    <x v="1"/>
    <n v="4"/>
    <x v="4"/>
    <x v="1"/>
    <x v="2"/>
    <n v="34"/>
    <n v="0.45"/>
    <s v="VIVIENDA"/>
    <n v="0"/>
    <n v="1.01"/>
    <d v="1899-12-30T08:30:00"/>
    <s v="PABLO CASTILLA"/>
    <m/>
  </r>
  <r>
    <x v="7"/>
    <x v="1"/>
    <x v="0"/>
    <x v="41"/>
    <x v="1"/>
    <n v="5"/>
    <x v="7"/>
    <x v="1"/>
    <x v="1"/>
    <n v="17"/>
    <n v="0.4"/>
    <s v="EPS"/>
    <n v="0"/>
    <n v="1.17"/>
    <d v="1899-12-30T08:45:00"/>
    <s v="PABLO CASTILLA"/>
    <m/>
  </r>
  <r>
    <x v="7"/>
    <x v="1"/>
    <x v="0"/>
    <x v="41"/>
    <x v="1"/>
    <n v="6"/>
    <x v="3"/>
    <x v="1"/>
    <x v="1"/>
    <n v="17"/>
    <n v="0.4"/>
    <s v="EPS"/>
    <n v="0"/>
    <n v="1.1299999999999999"/>
    <d v="1899-12-30T09:47:00"/>
    <s v="PABLO CASTILLA"/>
    <m/>
  </r>
  <r>
    <x v="7"/>
    <x v="1"/>
    <x v="0"/>
    <x v="41"/>
    <x v="1"/>
    <n v="7"/>
    <x v="8"/>
    <x v="1"/>
    <x v="1"/>
    <n v="17"/>
    <n v="0.4"/>
    <s v="EPS"/>
    <n v="0"/>
    <n v="1.04"/>
    <d v="1899-12-30T11:25:00"/>
    <s v="PABLO CASTILLA"/>
    <m/>
  </r>
  <r>
    <x v="7"/>
    <x v="1"/>
    <x v="0"/>
    <x v="41"/>
    <x v="1"/>
    <n v="8"/>
    <x v="1"/>
    <x v="1"/>
    <x v="1"/>
    <n v="17"/>
    <n v="0.4"/>
    <s v="EPS"/>
    <n v="0"/>
    <n v="1.27"/>
    <d v="1899-12-30T11:50:00"/>
    <s v="PABLO CASTILLA"/>
    <m/>
  </r>
  <r>
    <x v="7"/>
    <x v="1"/>
    <x v="0"/>
    <x v="41"/>
    <x v="1"/>
    <n v="9"/>
    <x v="4"/>
    <x v="1"/>
    <x v="1"/>
    <n v="17"/>
    <n v="0.4"/>
    <s v="EPS"/>
    <n v="0"/>
    <n v="1.25"/>
    <d v="1899-12-30T12:25:00"/>
    <s v="PABLO CASTILLA"/>
    <m/>
  </r>
  <r>
    <x v="7"/>
    <x v="1"/>
    <x v="0"/>
    <x v="41"/>
    <x v="1"/>
    <n v="10"/>
    <x v="7"/>
    <x v="1"/>
    <x v="2"/>
    <n v="34"/>
    <n v="0.45"/>
    <s v="VIVIENDA"/>
    <n v="0"/>
    <n v="1.21"/>
    <d v="1899-12-30T12:35:00"/>
    <s v="PABLO CASTILLA"/>
    <m/>
  </r>
  <r>
    <x v="7"/>
    <x v="1"/>
    <x v="0"/>
    <x v="41"/>
    <x v="1"/>
    <n v="11"/>
    <x v="3"/>
    <x v="1"/>
    <x v="1"/>
    <n v="17"/>
    <n v="0.4"/>
    <s v="EPS"/>
    <n v="0"/>
    <n v="1.0900000000000001"/>
    <d v="1899-12-30T12:47:00"/>
    <s v="PABLO CASTILLA"/>
    <m/>
  </r>
  <r>
    <x v="7"/>
    <x v="1"/>
    <x v="0"/>
    <x v="41"/>
    <x v="1"/>
    <n v="12"/>
    <x v="2"/>
    <x v="1"/>
    <x v="1"/>
    <n v="17"/>
    <n v="0.4"/>
    <s v="EPS"/>
    <n v="0"/>
    <m/>
    <d v="1899-12-30T08:55:00"/>
    <s v="PABLO CASTILLA"/>
    <m/>
  </r>
  <r>
    <x v="7"/>
    <x v="1"/>
    <x v="0"/>
    <x v="41"/>
    <x v="1"/>
    <n v="13"/>
    <x v="0"/>
    <x v="0"/>
    <x v="0"/>
    <n v="1"/>
    <n v="0"/>
    <s v="EPS"/>
    <n v="0"/>
    <m/>
    <d v="1899-12-30T11:01:00"/>
    <s v="PABLO CASTILLA"/>
    <m/>
  </r>
  <r>
    <x v="7"/>
    <x v="1"/>
    <x v="0"/>
    <x v="41"/>
    <x v="1"/>
    <n v="14"/>
    <x v="2"/>
    <x v="0"/>
    <x v="0"/>
    <n v="1"/>
    <n v="0"/>
    <s v="EPS"/>
    <n v="0"/>
    <m/>
    <d v="1899-12-30T11:32:00"/>
    <s v="PABLO CASTILLA"/>
    <m/>
  </r>
  <r>
    <x v="7"/>
    <x v="1"/>
    <x v="0"/>
    <x v="42"/>
    <x v="1"/>
    <n v="1"/>
    <x v="5"/>
    <x v="1"/>
    <x v="1"/>
    <n v="17"/>
    <n v="0.4"/>
    <s v="EPS"/>
    <n v="0"/>
    <n v="1.18"/>
    <d v="1899-12-30T07:50:00"/>
    <s v="PABLO CASTILLA"/>
    <m/>
  </r>
  <r>
    <x v="7"/>
    <x v="1"/>
    <x v="0"/>
    <x v="42"/>
    <x v="1"/>
    <n v="2"/>
    <x v="1"/>
    <x v="1"/>
    <x v="1"/>
    <n v="17"/>
    <n v="0.4"/>
    <s v="EPS"/>
    <n v="0"/>
    <n v="1.1100000000000001"/>
    <d v="1899-12-30T08:09:00"/>
    <s v="PABLO CASTILLA"/>
    <m/>
  </r>
  <r>
    <x v="7"/>
    <x v="1"/>
    <x v="0"/>
    <x v="42"/>
    <x v="1"/>
    <n v="3"/>
    <x v="4"/>
    <x v="1"/>
    <x v="2"/>
    <n v="34"/>
    <n v="0.45"/>
    <s v="VIVIENDA"/>
    <n v="0"/>
    <n v="1.0669999999999999"/>
    <d v="1899-12-30T08:38:00"/>
    <s v="PABLO CASTILLA"/>
    <m/>
  </r>
  <r>
    <x v="7"/>
    <x v="1"/>
    <x v="0"/>
    <x v="42"/>
    <x v="1"/>
    <n v="4"/>
    <x v="3"/>
    <x v="1"/>
    <x v="1"/>
    <n v="17"/>
    <n v="0.4"/>
    <s v="EPS"/>
    <n v="0"/>
    <n v="1.07"/>
    <d v="1899-12-30T09:10:00"/>
    <s v="PABLO CASTILLA"/>
    <m/>
  </r>
  <r>
    <x v="7"/>
    <x v="1"/>
    <x v="0"/>
    <x v="42"/>
    <x v="1"/>
    <n v="5"/>
    <x v="6"/>
    <x v="1"/>
    <x v="2"/>
    <n v="34"/>
    <n v="0.45"/>
    <s v="VIVIENDA"/>
    <n v="0"/>
    <n v="1.1100000000000001"/>
    <d v="1899-12-30T10:25:00"/>
    <s v="PABLO CASTILLA"/>
    <m/>
  </r>
  <r>
    <x v="7"/>
    <x v="1"/>
    <x v="0"/>
    <x v="42"/>
    <x v="1"/>
    <n v="6"/>
    <x v="7"/>
    <x v="1"/>
    <x v="1"/>
    <n v="17"/>
    <n v="0.4"/>
    <s v="EPS"/>
    <n v="0"/>
    <n v="1.43"/>
    <d v="1899-12-30T11:09:00"/>
    <s v="PABLO CASTILLA"/>
    <m/>
  </r>
  <r>
    <x v="7"/>
    <x v="1"/>
    <x v="0"/>
    <x v="42"/>
    <x v="1"/>
    <n v="7"/>
    <x v="3"/>
    <x v="1"/>
    <x v="1"/>
    <n v="17"/>
    <n v="0.4"/>
    <s v="EPS"/>
    <n v="0"/>
    <n v="1.36"/>
    <d v="1899-12-30T12:07:00"/>
    <s v="PABLO CASTILLA"/>
    <m/>
  </r>
  <r>
    <x v="7"/>
    <x v="1"/>
    <x v="0"/>
    <x v="42"/>
    <x v="1"/>
    <n v="8"/>
    <x v="4"/>
    <x v="1"/>
    <x v="2"/>
    <n v="34"/>
    <n v="0.45"/>
    <s v="VIVIENDA"/>
    <n v="0"/>
    <n v="1.27"/>
    <d v="1899-12-30T12:24:00"/>
    <s v="PABLO CASTILLA"/>
    <m/>
  </r>
  <r>
    <x v="7"/>
    <x v="1"/>
    <x v="0"/>
    <x v="42"/>
    <x v="1"/>
    <n v="9"/>
    <x v="5"/>
    <x v="1"/>
    <x v="1"/>
    <n v="17"/>
    <n v="0.4"/>
    <s v="EPS"/>
    <n v="0"/>
    <n v="1"/>
    <d v="1899-12-30T12:41:00"/>
    <s v="PABLO CASTILLA"/>
    <m/>
  </r>
  <r>
    <x v="7"/>
    <x v="1"/>
    <x v="0"/>
    <x v="42"/>
    <x v="1"/>
    <n v="10"/>
    <x v="1"/>
    <x v="1"/>
    <x v="1"/>
    <n v="17"/>
    <n v="0.4"/>
    <s v="EPS"/>
    <n v="0"/>
    <n v="1.0900000000000001"/>
    <d v="1899-12-30T13:39:00"/>
    <s v="PABLO CASTILLA"/>
    <m/>
  </r>
  <r>
    <x v="7"/>
    <x v="1"/>
    <x v="0"/>
    <x v="42"/>
    <x v="1"/>
    <n v="11"/>
    <x v="7"/>
    <x v="1"/>
    <x v="1"/>
    <n v="17"/>
    <n v="0.4"/>
    <s v="EPS"/>
    <n v="0"/>
    <n v="1.36"/>
    <d v="1899-12-30T14:25:00"/>
    <s v="PABLO CASTILLA"/>
    <m/>
  </r>
  <r>
    <x v="7"/>
    <x v="1"/>
    <x v="0"/>
    <x v="42"/>
    <x v="1"/>
    <n v="12"/>
    <x v="2"/>
    <x v="0"/>
    <x v="0"/>
    <n v="1"/>
    <n v="0"/>
    <s v="EPS"/>
    <n v="0"/>
    <m/>
    <d v="1899-12-30T11:01:00"/>
    <s v="PABLO CASTILLA"/>
    <m/>
  </r>
  <r>
    <x v="7"/>
    <x v="1"/>
    <x v="0"/>
    <x v="43"/>
    <x v="1"/>
    <n v="1"/>
    <x v="5"/>
    <x v="1"/>
    <x v="1"/>
    <n v="17"/>
    <n v="0.4"/>
    <s v="EPS"/>
    <n v="0"/>
    <n v="1.06"/>
    <d v="1899-12-30T07:55:00"/>
    <s v="IVAN ESPINOZA "/>
    <m/>
  </r>
  <r>
    <x v="7"/>
    <x v="1"/>
    <x v="0"/>
    <x v="43"/>
    <x v="1"/>
    <n v="2"/>
    <x v="3"/>
    <x v="1"/>
    <x v="1"/>
    <n v="17"/>
    <n v="0.4"/>
    <s v="EPS"/>
    <n v="0"/>
    <n v="1.08"/>
    <d v="1899-12-30T08:11:00"/>
    <s v="IVAN ESPINOZA "/>
    <m/>
  </r>
  <r>
    <x v="7"/>
    <x v="1"/>
    <x v="0"/>
    <x v="43"/>
    <x v="1"/>
    <n v="3"/>
    <x v="4"/>
    <x v="1"/>
    <x v="2"/>
    <n v="34"/>
    <n v="0.45"/>
    <s v="VIVIENDA"/>
    <n v="0"/>
    <n v="1.22"/>
    <d v="1899-12-30T08:35:00"/>
    <s v="IVAN ESPINOZA "/>
    <m/>
  </r>
  <r>
    <x v="7"/>
    <x v="1"/>
    <x v="0"/>
    <x v="43"/>
    <x v="1"/>
    <n v="4"/>
    <x v="6"/>
    <x v="1"/>
    <x v="2"/>
    <n v="34"/>
    <n v="0.45"/>
    <s v="VIVIENDA"/>
    <n v="0"/>
    <n v="1.1200000000000001"/>
    <d v="1899-12-30T08:53:00"/>
    <s v="IVAN ESPINOZA "/>
    <m/>
  </r>
  <r>
    <x v="7"/>
    <x v="1"/>
    <x v="0"/>
    <x v="43"/>
    <x v="1"/>
    <n v="5"/>
    <x v="3"/>
    <x v="1"/>
    <x v="1"/>
    <n v="17"/>
    <n v="0.4"/>
    <s v="EPS"/>
    <n v="0"/>
    <n v="1.22"/>
    <d v="1899-12-30T10:50:00"/>
    <s v="IVAN ESPINOZA "/>
    <m/>
  </r>
  <r>
    <x v="7"/>
    <x v="1"/>
    <x v="0"/>
    <x v="43"/>
    <x v="1"/>
    <n v="6"/>
    <x v="5"/>
    <x v="1"/>
    <x v="1"/>
    <n v="17"/>
    <n v="0.4"/>
    <s v="EPS"/>
    <n v="0"/>
    <n v="1.17"/>
    <d v="1899-12-30T11:20:00"/>
    <s v="IVAN ESPINOZA "/>
    <m/>
  </r>
  <r>
    <x v="7"/>
    <x v="1"/>
    <x v="0"/>
    <x v="43"/>
    <x v="1"/>
    <n v="7"/>
    <x v="7"/>
    <x v="1"/>
    <x v="1"/>
    <n v="17"/>
    <n v="0.4"/>
    <s v="EPS"/>
    <n v="0"/>
    <n v="1.25"/>
    <d v="1899-12-30T11:31:00"/>
    <s v="IVAN ESPINOZA "/>
    <m/>
  </r>
  <r>
    <x v="7"/>
    <x v="1"/>
    <x v="0"/>
    <x v="43"/>
    <x v="1"/>
    <n v="8"/>
    <x v="1"/>
    <x v="1"/>
    <x v="1"/>
    <n v="17"/>
    <n v="0.4"/>
    <s v="EPS"/>
    <n v="0"/>
    <n v="1.22"/>
    <d v="1899-12-30T11:43:00"/>
    <s v="IVAN ESPINOZA "/>
    <m/>
  </r>
  <r>
    <x v="7"/>
    <x v="1"/>
    <x v="0"/>
    <x v="43"/>
    <x v="0"/>
    <n v="9"/>
    <x v="2"/>
    <x v="0"/>
    <x v="0"/>
    <n v="1"/>
    <n v="0"/>
    <s v="EPS"/>
    <n v="1"/>
    <s v=" - "/>
    <d v="1899-12-30T06:34:00"/>
    <s v="JUAN HERNANDEZ"/>
    <m/>
  </r>
  <r>
    <x v="8"/>
    <x v="1"/>
    <x v="0"/>
    <x v="44"/>
    <x v="0"/>
    <n v="1"/>
    <x v="2"/>
    <x v="0"/>
    <x v="0"/>
    <n v="1"/>
    <n v="0"/>
    <s v="EPS"/>
    <n v="0"/>
    <m/>
    <d v="1899-12-30T06:42:00"/>
    <s v="JUAN HERNANDEZ"/>
    <m/>
  </r>
  <r>
    <x v="8"/>
    <x v="1"/>
    <x v="0"/>
    <x v="44"/>
    <x v="0"/>
    <n v="2"/>
    <x v="4"/>
    <x v="1"/>
    <x v="2"/>
    <n v="34"/>
    <n v="0.45"/>
    <s v="VIVIENDA"/>
    <n v="0.9"/>
    <n v="1.01"/>
    <d v="1899-12-30T07:30:00"/>
    <s v="JUAN HERNANDEZ"/>
    <m/>
  </r>
  <r>
    <x v="8"/>
    <x v="1"/>
    <x v="0"/>
    <x v="44"/>
    <x v="0"/>
    <n v="3"/>
    <x v="5"/>
    <x v="1"/>
    <x v="1"/>
    <n v="17"/>
    <n v="0.4"/>
    <s v="EPS"/>
    <n v="0.5"/>
    <n v="1.06"/>
    <d v="1899-12-30T07:43:00"/>
    <s v="JUAN HERNANDEZ"/>
    <m/>
  </r>
  <r>
    <x v="8"/>
    <x v="1"/>
    <x v="0"/>
    <x v="44"/>
    <x v="0"/>
    <n v="4"/>
    <x v="7"/>
    <x v="1"/>
    <x v="1"/>
    <n v="17"/>
    <n v="0.4"/>
    <s v="EPS"/>
    <n v="0.5"/>
    <n v="1.1299999999999999"/>
    <d v="1899-12-30T08:15:00"/>
    <s v="JUAN HERNANDEZ"/>
    <m/>
  </r>
  <r>
    <x v="8"/>
    <x v="1"/>
    <x v="0"/>
    <x v="44"/>
    <x v="0"/>
    <n v="5"/>
    <x v="1"/>
    <x v="1"/>
    <x v="1"/>
    <n v="17"/>
    <n v="0.4"/>
    <s v="EPS"/>
    <n v="0.5"/>
    <n v="1.1100000000000001"/>
    <d v="1899-12-30T08:20:00"/>
    <s v="JUAN HERNANDEZ"/>
    <m/>
  </r>
  <r>
    <x v="8"/>
    <x v="1"/>
    <x v="0"/>
    <x v="44"/>
    <x v="0"/>
    <n v="6"/>
    <x v="2"/>
    <x v="0"/>
    <x v="0"/>
    <n v="1"/>
    <n v="0"/>
    <s v="EPS"/>
    <n v="0"/>
    <s v=" - "/>
    <d v="1899-12-30T09:15:00"/>
    <s v="JUAN HERNANDEZ"/>
    <m/>
  </r>
  <r>
    <x v="8"/>
    <x v="1"/>
    <x v="0"/>
    <x v="44"/>
    <x v="0"/>
    <n v="7"/>
    <x v="7"/>
    <x v="1"/>
    <x v="1"/>
    <n v="17"/>
    <n v="0.4"/>
    <s v="EPS"/>
    <n v="0.5"/>
    <n v="1.1399999999999999"/>
    <d v="1899-12-30T11:18:00"/>
    <s v="JUAN HERNANDEZ"/>
    <m/>
  </r>
  <r>
    <x v="8"/>
    <x v="1"/>
    <x v="0"/>
    <x v="44"/>
    <x v="0"/>
    <n v="8"/>
    <x v="4"/>
    <x v="1"/>
    <x v="2"/>
    <n v="34"/>
    <n v="0.45"/>
    <s v="VIVIENDA"/>
    <n v="0.9"/>
    <n v="1.01"/>
    <d v="1899-12-30T11:33:00"/>
    <s v="JUAN HERNANDEZ"/>
    <m/>
  </r>
  <r>
    <x v="8"/>
    <x v="1"/>
    <x v="0"/>
    <x v="44"/>
    <x v="0"/>
    <n v="9"/>
    <x v="5"/>
    <x v="1"/>
    <x v="1"/>
    <n v="17"/>
    <n v="0.4"/>
    <s v="EPS"/>
    <n v="0.5"/>
    <n v="1.08"/>
    <d v="1899-12-30T11:53:00"/>
    <s v="JUAN HERNANDEZ"/>
    <m/>
  </r>
  <r>
    <x v="8"/>
    <x v="1"/>
    <x v="0"/>
    <x v="44"/>
    <x v="0"/>
    <n v="10"/>
    <x v="1"/>
    <x v="1"/>
    <x v="1"/>
    <n v="17"/>
    <n v="0.4"/>
    <s v="EPS"/>
    <n v="0.5"/>
    <n v="1.19"/>
    <d v="1899-12-30T12:08:00"/>
    <s v="JUAN HERNANDEZ"/>
    <m/>
  </r>
  <r>
    <x v="8"/>
    <x v="1"/>
    <x v="0"/>
    <x v="44"/>
    <x v="0"/>
    <n v="11"/>
    <x v="4"/>
    <x v="1"/>
    <x v="2"/>
    <n v="34"/>
    <n v="0.45"/>
    <s v="VIVIENDA"/>
    <n v="0.9"/>
    <n v="1.06"/>
    <d v="1899-12-30T13:15:00"/>
    <s v="JUAN HERNANDEZ"/>
    <m/>
  </r>
  <r>
    <x v="8"/>
    <x v="1"/>
    <x v="0"/>
    <x v="45"/>
    <x v="0"/>
    <n v="1"/>
    <x v="2"/>
    <x v="0"/>
    <x v="0"/>
    <n v="1"/>
    <n v="0"/>
    <s v="EPS"/>
    <n v="0"/>
    <m/>
    <d v="1899-12-30T06:48:00"/>
    <s v="JUAN HERNANDEZ"/>
    <m/>
  </r>
  <r>
    <x v="8"/>
    <x v="1"/>
    <x v="0"/>
    <x v="45"/>
    <x v="0"/>
    <n v="2"/>
    <x v="2"/>
    <x v="0"/>
    <x v="0"/>
    <n v="1"/>
    <n v="0"/>
    <s v="EPS"/>
    <n v="0"/>
    <m/>
    <d v="1899-12-30T11:15:00"/>
    <s v="JUAN HERNANDEZ"/>
    <m/>
  </r>
  <r>
    <x v="8"/>
    <x v="1"/>
    <x v="0"/>
    <x v="45"/>
    <x v="1"/>
    <n v="3"/>
    <x v="4"/>
    <x v="1"/>
    <x v="2"/>
    <n v="34"/>
    <n v="0.45"/>
    <s v="VIVIENDA"/>
    <n v="0"/>
    <n v="1.06"/>
    <d v="1899-12-30T08:28:00"/>
    <s v="PABLO CASTILLA"/>
    <m/>
  </r>
  <r>
    <x v="8"/>
    <x v="1"/>
    <x v="0"/>
    <x v="45"/>
    <x v="1"/>
    <n v="4"/>
    <x v="7"/>
    <x v="1"/>
    <x v="1"/>
    <n v="17"/>
    <n v="0.4"/>
    <s v="EPS"/>
    <n v="0"/>
    <n v="1.18"/>
    <d v="1899-12-30T08:45:00"/>
    <s v="PABLO CASTILLA"/>
    <m/>
  </r>
  <r>
    <x v="8"/>
    <x v="1"/>
    <x v="0"/>
    <x v="45"/>
    <x v="1"/>
    <n v="5"/>
    <x v="5"/>
    <x v="1"/>
    <x v="1"/>
    <n v="17"/>
    <n v="0.4"/>
    <s v="EPS"/>
    <n v="0"/>
    <n v="1.1399999999999999"/>
    <d v="1899-12-30T09:00:00"/>
    <s v="PABLO CASTILLA"/>
    <m/>
  </r>
  <r>
    <x v="8"/>
    <x v="1"/>
    <x v="0"/>
    <x v="45"/>
    <x v="1"/>
    <n v="6"/>
    <x v="1"/>
    <x v="1"/>
    <x v="1"/>
    <n v="17"/>
    <n v="0.4"/>
    <s v="EPS"/>
    <n v="0"/>
    <n v="1.1499999999999999"/>
    <d v="1899-12-30T09:17:00"/>
    <s v="PABLO CASTILLA"/>
    <m/>
  </r>
  <r>
    <x v="8"/>
    <x v="1"/>
    <x v="0"/>
    <x v="45"/>
    <x v="1"/>
    <n v="7"/>
    <x v="4"/>
    <x v="1"/>
    <x v="2"/>
    <n v="34"/>
    <n v="0.45"/>
    <s v="VIVIENDA"/>
    <n v="0"/>
    <n v="1.17"/>
    <d v="1899-12-30T12:29:00"/>
    <s v="PABLO CASTILLA"/>
    <m/>
  </r>
  <r>
    <x v="8"/>
    <x v="1"/>
    <x v="0"/>
    <x v="45"/>
    <x v="1"/>
    <n v="8"/>
    <x v="7"/>
    <x v="1"/>
    <x v="1"/>
    <n v="17"/>
    <n v="0.4"/>
    <s v="EPS"/>
    <n v="0"/>
    <n v="1.1100000000000001"/>
    <d v="1899-12-30T12:43:00"/>
    <s v="PABLO CASTILLA"/>
    <m/>
  </r>
  <r>
    <x v="8"/>
    <x v="1"/>
    <x v="0"/>
    <x v="45"/>
    <x v="1"/>
    <n v="9"/>
    <x v="1"/>
    <x v="1"/>
    <x v="1"/>
    <n v="17"/>
    <n v="0.4"/>
    <s v="EPS"/>
    <n v="0"/>
    <n v="1.28"/>
    <d v="1899-12-30T12:57:00"/>
    <s v="PABLO CASTILLA"/>
    <m/>
  </r>
  <r>
    <x v="8"/>
    <x v="1"/>
    <x v="0"/>
    <x v="45"/>
    <x v="1"/>
    <n v="10"/>
    <x v="5"/>
    <x v="1"/>
    <x v="1"/>
    <n v="17"/>
    <n v="0.4"/>
    <s v="EPS"/>
    <n v="0"/>
    <n v="1.1499999999999999"/>
    <d v="1899-12-30T13:10:00"/>
    <s v="PABLO CASTILLA"/>
    <m/>
  </r>
  <r>
    <x v="8"/>
    <x v="1"/>
    <x v="0"/>
    <x v="46"/>
    <x v="1"/>
    <n v="1"/>
    <x v="5"/>
    <x v="1"/>
    <x v="1"/>
    <n v="17"/>
    <n v="0.4"/>
    <s v="EPS"/>
    <n v="0"/>
    <n v="1.2"/>
    <d v="1899-12-30T08:05:00"/>
    <s v="PABLO CASTILLA"/>
    <m/>
  </r>
  <r>
    <x v="8"/>
    <x v="1"/>
    <x v="0"/>
    <x v="46"/>
    <x v="1"/>
    <n v="2"/>
    <x v="4"/>
    <x v="1"/>
    <x v="2"/>
    <n v="34"/>
    <n v="0.45"/>
    <s v="VIVIENDA"/>
    <n v="0"/>
    <n v="1.1599999999999999"/>
    <d v="1899-12-30T08:30:00"/>
    <s v="PABLO CASTILLA"/>
    <m/>
  </r>
  <r>
    <x v="8"/>
    <x v="1"/>
    <x v="0"/>
    <x v="46"/>
    <x v="1"/>
    <n v="3"/>
    <x v="1"/>
    <x v="1"/>
    <x v="1"/>
    <n v="17"/>
    <n v="0.4"/>
    <s v="EPS"/>
    <n v="0"/>
    <n v="1.1599999999999999"/>
    <d v="1899-12-30T10:01:00"/>
    <s v="PABLO CASTILLA"/>
    <m/>
  </r>
  <r>
    <x v="8"/>
    <x v="1"/>
    <x v="0"/>
    <x v="46"/>
    <x v="1"/>
    <n v="4"/>
    <x v="7"/>
    <x v="1"/>
    <x v="1"/>
    <n v="17"/>
    <n v="0.4"/>
    <s v="EPS"/>
    <n v="0"/>
    <n v="1.21"/>
    <d v="1899-12-30T10:14:00"/>
    <s v="PABLO CASTILLA"/>
    <m/>
  </r>
  <r>
    <x v="8"/>
    <x v="1"/>
    <x v="0"/>
    <x v="46"/>
    <x v="1"/>
    <n v="5"/>
    <x v="5"/>
    <x v="1"/>
    <x v="1"/>
    <n v="17"/>
    <n v="0.4"/>
    <s v="EPS"/>
    <n v="0"/>
    <n v="1.36"/>
    <d v="1899-12-30T11:28:00"/>
    <s v="PABLO CASTILLA"/>
    <m/>
  </r>
  <r>
    <x v="8"/>
    <x v="1"/>
    <x v="0"/>
    <x v="46"/>
    <x v="1"/>
    <n v="6"/>
    <x v="1"/>
    <x v="1"/>
    <x v="1"/>
    <n v="17"/>
    <n v="0.4"/>
    <s v="EPS"/>
    <n v="0"/>
    <n v="1.34"/>
    <d v="1899-12-30T13:33:00"/>
    <s v="PABLO CASTILLA"/>
    <m/>
  </r>
  <r>
    <x v="8"/>
    <x v="1"/>
    <x v="0"/>
    <x v="47"/>
    <x v="0"/>
    <n v="1"/>
    <x v="2"/>
    <x v="0"/>
    <x v="0"/>
    <n v="1"/>
    <n v="0"/>
    <s v="EPS"/>
    <n v="0"/>
    <n v="0"/>
    <d v="1899-12-30T07:16:00"/>
    <s v="JUAN HERNANDEZ"/>
    <m/>
  </r>
  <r>
    <x v="8"/>
    <x v="1"/>
    <x v="0"/>
    <x v="47"/>
    <x v="0"/>
    <n v="2"/>
    <x v="5"/>
    <x v="1"/>
    <x v="1"/>
    <n v="17"/>
    <n v="0.4"/>
    <s v="EPS"/>
    <n v="0"/>
    <n v="1"/>
    <d v="1899-12-30T07:35:00"/>
    <s v="JUAN HERNANDEZ"/>
    <m/>
  </r>
  <r>
    <x v="8"/>
    <x v="1"/>
    <x v="0"/>
    <x v="47"/>
    <x v="0"/>
    <n v="3"/>
    <x v="4"/>
    <x v="1"/>
    <x v="2"/>
    <n v="34"/>
    <n v="0.45"/>
    <s v="VIVIENDA"/>
    <n v="0"/>
    <n v="1.03"/>
    <d v="1899-12-30T07:50:00"/>
    <s v="JUAN HERNANDEZ"/>
    <m/>
  </r>
  <r>
    <x v="8"/>
    <x v="1"/>
    <x v="0"/>
    <x v="47"/>
    <x v="0"/>
    <n v="4"/>
    <x v="6"/>
    <x v="1"/>
    <x v="2"/>
    <n v="34"/>
    <n v="0.45"/>
    <s v="VIVIENDA"/>
    <n v="0"/>
    <n v="0.97"/>
    <d v="1899-12-30T08:13:00"/>
    <s v="JUAN HERNANDEZ"/>
    <m/>
  </r>
  <r>
    <x v="8"/>
    <x v="1"/>
    <x v="0"/>
    <x v="47"/>
    <x v="0"/>
    <n v="5"/>
    <x v="1"/>
    <x v="1"/>
    <x v="1"/>
    <n v="17"/>
    <n v="0.4"/>
    <s v="EPS"/>
    <n v="0"/>
    <n v="1.1599999999999999"/>
    <d v="1899-12-30T08:23:00"/>
    <s v="JUAN HERNANDEZ"/>
    <m/>
  </r>
  <r>
    <x v="8"/>
    <x v="1"/>
    <x v="0"/>
    <x v="47"/>
    <x v="0"/>
    <n v="6"/>
    <x v="1"/>
    <x v="1"/>
    <x v="1"/>
    <n v="17"/>
    <n v="0.4"/>
    <s v="EPS"/>
    <n v="0"/>
    <n v="1.08"/>
    <d v="1899-12-30T09:57:00"/>
    <s v="JUAN HERNANDEZ"/>
    <m/>
  </r>
  <r>
    <x v="8"/>
    <x v="1"/>
    <x v="0"/>
    <x v="47"/>
    <x v="0"/>
    <n v="7"/>
    <x v="5"/>
    <x v="1"/>
    <x v="1"/>
    <n v="17"/>
    <n v="0.4"/>
    <s v="EPS"/>
    <n v="0"/>
    <n v="1.03"/>
    <d v="1899-12-30T11:33:00"/>
    <s v="JUAN HERNANDEZ"/>
    <m/>
  </r>
  <r>
    <x v="8"/>
    <x v="1"/>
    <x v="0"/>
    <x v="47"/>
    <x v="0"/>
    <n v="8"/>
    <x v="4"/>
    <x v="1"/>
    <x v="2"/>
    <n v="34"/>
    <n v="0.45"/>
    <s v="VIVIENDA"/>
    <n v="0"/>
    <n v="1"/>
    <d v="1899-12-30T11:55:00"/>
    <s v="JUAN HERNANDEZ"/>
    <m/>
  </r>
  <r>
    <x v="8"/>
    <x v="1"/>
    <x v="0"/>
    <x v="47"/>
    <x v="0"/>
    <n v="9"/>
    <x v="6"/>
    <x v="1"/>
    <x v="2"/>
    <n v="34"/>
    <n v="0.45"/>
    <s v="VIVIENDA"/>
    <n v="0"/>
    <n v="0.99"/>
    <d v="1899-12-30T13:40:00"/>
    <s v="JUAN HERNANDEZ"/>
    <m/>
  </r>
  <r>
    <x v="8"/>
    <x v="1"/>
    <x v="0"/>
    <x v="48"/>
    <x v="0"/>
    <n v="1"/>
    <x v="5"/>
    <x v="1"/>
    <x v="1"/>
    <n v="17"/>
    <n v="0.4"/>
    <s v="EPS"/>
    <n v="0"/>
    <n v="1.07"/>
    <d v="1899-12-30T07:17:00"/>
    <s v="JUAN HERNANDEZ"/>
    <m/>
  </r>
  <r>
    <x v="8"/>
    <x v="1"/>
    <x v="0"/>
    <x v="48"/>
    <x v="0"/>
    <n v="2"/>
    <x v="4"/>
    <x v="1"/>
    <x v="2"/>
    <n v="34"/>
    <n v="0.45"/>
    <s v="VIVIENDA"/>
    <n v="0"/>
    <n v="1.08"/>
    <d v="1899-12-30T07:25:00"/>
    <s v="JUAN HERNANDEZ"/>
    <m/>
  </r>
  <r>
    <x v="8"/>
    <x v="1"/>
    <x v="0"/>
    <x v="48"/>
    <x v="0"/>
    <n v="3"/>
    <x v="6"/>
    <x v="1"/>
    <x v="2"/>
    <n v="34"/>
    <n v="0.45"/>
    <s v="VIVIENDA"/>
    <n v="0"/>
    <n v="1.04"/>
    <d v="1899-12-30T07:35:00"/>
    <s v="JUAN HERNANDEZ"/>
    <m/>
  </r>
  <r>
    <x v="8"/>
    <x v="1"/>
    <x v="0"/>
    <x v="48"/>
    <x v="0"/>
    <n v="4"/>
    <x v="2"/>
    <x v="0"/>
    <x v="0"/>
    <n v="1"/>
    <n v="0"/>
    <s v="EPS"/>
    <n v="0"/>
    <n v="0"/>
    <d v="1900-01-06T11:16:48"/>
    <s v="JUAN HERNANDEZ"/>
    <m/>
  </r>
  <r>
    <x v="8"/>
    <x v="1"/>
    <x v="0"/>
    <x v="48"/>
    <x v="0"/>
    <n v="5"/>
    <x v="1"/>
    <x v="1"/>
    <x v="1"/>
    <n v="17"/>
    <n v="0.4"/>
    <s v="EPS"/>
    <n v="0"/>
    <n v="1.0900000000000001"/>
    <d v="1899-12-30T08:05:00"/>
    <s v="JUAN HERNANDEZ"/>
    <m/>
  </r>
  <r>
    <x v="8"/>
    <x v="1"/>
    <x v="0"/>
    <x v="48"/>
    <x v="0"/>
    <n v="6"/>
    <x v="1"/>
    <x v="1"/>
    <x v="1"/>
    <n v="17"/>
    <n v="0.4"/>
    <s v="EPS"/>
    <n v="0"/>
    <n v="1.1100000000000001"/>
    <d v="1899-12-30T11:15:00"/>
    <s v="JUAN HERNANDEZ"/>
    <m/>
  </r>
  <r>
    <x v="8"/>
    <x v="1"/>
    <x v="0"/>
    <x v="48"/>
    <x v="0"/>
    <n v="7"/>
    <x v="5"/>
    <x v="1"/>
    <x v="1"/>
    <n v="17"/>
    <n v="0.4"/>
    <s v="EPS"/>
    <n v="0"/>
    <n v="1"/>
    <d v="1899-12-30T11:51:00"/>
    <s v="JUAN HERNANDEZ"/>
    <m/>
  </r>
  <r>
    <x v="8"/>
    <x v="1"/>
    <x v="0"/>
    <x v="48"/>
    <x v="0"/>
    <n v="8"/>
    <x v="1"/>
    <x v="1"/>
    <x v="1"/>
    <n v="17"/>
    <n v="0.4"/>
    <s v="EPS"/>
    <n v="0"/>
    <n v="1.07"/>
    <d v="1899-12-30T12:47:00"/>
    <s v="JUAN HERNANDEZ"/>
    <m/>
  </r>
  <r>
    <x v="8"/>
    <x v="1"/>
    <x v="0"/>
    <x v="48"/>
    <x v="0"/>
    <n v="9"/>
    <x v="4"/>
    <x v="1"/>
    <x v="2"/>
    <n v="34"/>
    <n v="0.45"/>
    <s v="VIVIENDA"/>
    <n v="0"/>
    <n v="1.07"/>
    <d v="1899-12-30T13:45:00"/>
    <s v="JUAN HERNANDEZ"/>
    <m/>
  </r>
  <r>
    <x v="8"/>
    <x v="1"/>
    <x v="0"/>
    <x v="49"/>
    <x v="1"/>
    <n v="1"/>
    <x v="5"/>
    <x v="1"/>
    <x v="1"/>
    <n v="17"/>
    <n v="0.4"/>
    <s v="EPS"/>
    <n v="0"/>
    <n v="1.02"/>
    <d v="1899-12-30T07:55:00"/>
    <s v="PABLO CASTILLA"/>
    <m/>
  </r>
  <r>
    <x v="8"/>
    <x v="1"/>
    <x v="0"/>
    <x v="49"/>
    <x v="1"/>
    <n v="2"/>
    <x v="4"/>
    <x v="1"/>
    <x v="2"/>
    <n v="34"/>
    <n v="0.45"/>
    <s v="VIVIENDA"/>
    <n v="0"/>
    <n v="1"/>
    <d v="1899-12-30T08:12:00"/>
    <s v="PABLO CASTILLA"/>
    <m/>
  </r>
  <r>
    <x v="8"/>
    <x v="1"/>
    <x v="0"/>
    <x v="49"/>
    <x v="1"/>
    <n v="3"/>
    <x v="6"/>
    <x v="1"/>
    <x v="2"/>
    <n v="34"/>
    <n v="0.45"/>
    <s v="VIVIENDA"/>
    <n v="0"/>
    <n v="1.29"/>
    <d v="1899-12-30T08:42:00"/>
    <s v="PABLO CASTILLA"/>
    <m/>
  </r>
  <r>
    <x v="8"/>
    <x v="1"/>
    <x v="0"/>
    <x v="49"/>
    <x v="1"/>
    <n v="4"/>
    <x v="1"/>
    <x v="1"/>
    <x v="1"/>
    <n v="17"/>
    <n v="0.4"/>
    <s v="EPS"/>
    <n v="0"/>
    <n v="1.23"/>
    <d v="1899-12-30T08:55:00"/>
    <s v="PABLO CASTILLA"/>
    <m/>
  </r>
  <r>
    <x v="8"/>
    <x v="1"/>
    <x v="0"/>
    <x v="49"/>
    <x v="1"/>
    <n v="5"/>
    <x v="5"/>
    <x v="1"/>
    <x v="1"/>
    <n v="17"/>
    <n v="0.4"/>
    <s v="EPS"/>
    <n v="0"/>
    <n v="1.26"/>
    <d v="1899-12-30T12:41:00"/>
    <s v="PABLO CASTILLA"/>
    <m/>
  </r>
  <r>
    <x v="9"/>
    <x v="2"/>
    <x v="0"/>
    <x v="50"/>
    <x v="0"/>
    <n v="1"/>
    <x v="2"/>
    <x v="0"/>
    <x v="0"/>
    <n v="1"/>
    <n v="0"/>
    <s v="EPS"/>
    <n v="0"/>
    <n v="0"/>
    <d v="1899-12-30T06:40:00"/>
    <s v="JUAN HERNANDEZ"/>
    <m/>
  </r>
  <r>
    <x v="9"/>
    <x v="2"/>
    <x v="0"/>
    <x v="50"/>
    <x v="0"/>
    <n v="2"/>
    <x v="9"/>
    <x v="1"/>
    <x v="3"/>
    <n v="9"/>
    <n v="0.22"/>
    <s v="EPS"/>
    <n v="0"/>
    <n v="0"/>
    <d v="1899-12-30T06:55:00"/>
    <s v="JUAN HERNANDEZ"/>
    <m/>
  </r>
  <r>
    <x v="9"/>
    <x v="2"/>
    <x v="0"/>
    <x v="50"/>
    <x v="0"/>
    <n v="3"/>
    <x v="5"/>
    <x v="1"/>
    <x v="1"/>
    <n v="17"/>
    <n v="0.4"/>
    <s v="EPS"/>
    <n v="0"/>
    <n v="1.06"/>
    <d v="1899-12-30T07:16:00"/>
    <s v="JUAN HERNANDEZ"/>
    <m/>
  </r>
  <r>
    <x v="9"/>
    <x v="2"/>
    <x v="0"/>
    <x v="50"/>
    <x v="0"/>
    <n v="4"/>
    <x v="6"/>
    <x v="1"/>
    <x v="2"/>
    <n v="34"/>
    <n v="0.45"/>
    <s v="VIVIENDA"/>
    <n v="0"/>
    <n v="1"/>
    <d v="1899-12-30T07:38:00"/>
    <s v="JUAN HERNANDEZ"/>
    <m/>
  </r>
  <r>
    <x v="9"/>
    <x v="2"/>
    <x v="0"/>
    <x v="50"/>
    <x v="0"/>
    <n v="5"/>
    <x v="1"/>
    <x v="1"/>
    <x v="1"/>
    <n v="17"/>
    <n v="0.4"/>
    <s v="EPS"/>
    <n v="0"/>
    <n v="1.1299999999999999"/>
    <d v="1899-12-30T07:53:00"/>
    <s v="JUAN HERNANDEZ"/>
    <m/>
  </r>
  <r>
    <x v="9"/>
    <x v="2"/>
    <x v="0"/>
    <x v="50"/>
    <x v="0"/>
    <n v="6"/>
    <x v="1"/>
    <x v="1"/>
    <x v="1"/>
    <n v="17"/>
    <n v="0.4"/>
    <s v="EPS"/>
    <n v="0"/>
    <n v="1.1200000000000001"/>
    <d v="1899-12-30T10:52:00"/>
    <s v="JUAN HERNANDEZ"/>
    <m/>
  </r>
  <r>
    <x v="9"/>
    <x v="2"/>
    <x v="0"/>
    <x v="50"/>
    <x v="0"/>
    <n v="7"/>
    <x v="5"/>
    <x v="1"/>
    <x v="1"/>
    <n v="17"/>
    <n v="0.4"/>
    <s v="EPS"/>
    <n v="0"/>
    <n v="1.02"/>
    <d v="1899-12-30T12:46:00"/>
    <s v="JUAN HERNANDEZ"/>
    <m/>
  </r>
  <r>
    <x v="9"/>
    <x v="2"/>
    <x v="0"/>
    <x v="51"/>
    <x v="0"/>
    <n v="1"/>
    <x v="9"/>
    <x v="1"/>
    <x v="3"/>
    <n v="9"/>
    <n v="0.22"/>
    <s v="EPS"/>
    <n v="0"/>
    <n v="0"/>
    <d v="1899-12-30T06:38:00"/>
    <s v="JUAN HERNANDEZ"/>
    <m/>
  </r>
  <r>
    <x v="9"/>
    <x v="2"/>
    <x v="0"/>
    <x v="51"/>
    <x v="0"/>
    <n v="2"/>
    <x v="4"/>
    <x v="1"/>
    <x v="2"/>
    <n v="34"/>
    <n v="0.45"/>
    <s v="VIVIENDA"/>
    <n v="0"/>
    <n v="1.06"/>
    <d v="1899-12-30T07:23:00"/>
    <s v="JUAN HERNANDEZ"/>
    <m/>
  </r>
  <r>
    <x v="9"/>
    <x v="2"/>
    <x v="0"/>
    <x v="51"/>
    <x v="0"/>
    <n v="3"/>
    <x v="6"/>
    <x v="1"/>
    <x v="2"/>
    <n v="34"/>
    <n v="0.45"/>
    <s v="VIVIENDA"/>
    <n v="0"/>
    <n v="1.07"/>
    <d v="1899-12-30T07:38:00"/>
    <s v="JUAN HERNANDEZ"/>
    <m/>
  </r>
  <r>
    <x v="9"/>
    <x v="2"/>
    <x v="0"/>
    <x v="51"/>
    <x v="0"/>
    <n v="4"/>
    <x v="5"/>
    <x v="1"/>
    <x v="1"/>
    <n v="17"/>
    <n v="0.4"/>
    <s v="EPS"/>
    <n v="0"/>
    <n v="1.1100000000000001"/>
    <d v="1899-12-30T07:53:00"/>
    <s v="JUAN HERNANDEZ"/>
    <m/>
  </r>
  <r>
    <x v="9"/>
    <x v="2"/>
    <x v="0"/>
    <x v="51"/>
    <x v="0"/>
    <n v="5"/>
    <x v="1"/>
    <x v="1"/>
    <x v="1"/>
    <n v="17"/>
    <n v="0.4"/>
    <s v="EPS"/>
    <n v="0"/>
    <n v="1.04"/>
    <d v="1899-12-30T08:01:00"/>
    <s v="JUAN HERNANDEZ"/>
    <m/>
  </r>
  <r>
    <x v="9"/>
    <x v="2"/>
    <x v="0"/>
    <x v="51"/>
    <x v="0"/>
    <n v="6"/>
    <x v="9"/>
    <x v="1"/>
    <x v="3"/>
    <n v="9"/>
    <n v="0.22"/>
    <s v="EPS"/>
    <n v="0"/>
    <n v="0"/>
    <d v="1899-12-30T13:15:00"/>
    <s v="JUAN HERNANDEZ"/>
    <m/>
  </r>
  <r>
    <x v="9"/>
    <x v="2"/>
    <x v="0"/>
    <x v="51"/>
    <x v="0"/>
    <n v="7"/>
    <x v="5"/>
    <x v="1"/>
    <x v="1"/>
    <n v="17"/>
    <n v="0.4"/>
    <s v="EPS"/>
    <n v="0"/>
    <n v="1.03"/>
    <d v="1899-12-30T13:24:00"/>
    <s v="JUAN HERNANDEZ"/>
    <m/>
  </r>
  <r>
    <x v="9"/>
    <x v="2"/>
    <x v="0"/>
    <x v="51"/>
    <x v="0"/>
    <n v="8"/>
    <x v="6"/>
    <x v="1"/>
    <x v="2"/>
    <n v="34"/>
    <n v="0.45"/>
    <s v="VIVIENDA"/>
    <n v="0"/>
    <n v="1.05"/>
    <d v="1899-12-30T13:49:00"/>
    <s v="JUAN HERNANDEZ"/>
    <m/>
  </r>
  <r>
    <x v="9"/>
    <x v="2"/>
    <x v="0"/>
    <x v="52"/>
    <x v="0"/>
    <n v="1"/>
    <x v="9"/>
    <x v="1"/>
    <x v="3"/>
    <n v="9"/>
    <n v="0.22"/>
    <s v="EPS"/>
    <n v="0"/>
    <n v="0"/>
    <d v="1899-12-30T06:36:00"/>
    <s v="JUAN HERNANDEZ"/>
    <m/>
  </r>
  <r>
    <x v="9"/>
    <x v="2"/>
    <x v="0"/>
    <x v="52"/>
    <x v="0"/>
    <n v="2"/>
    <x v="2"/>
    <x v="0"/>
    <x v="0"/>
    <n v="1"/>
    <n v="0"/>
    <s v="EPS"/>
    <n v="0"/>
    <n v="0"/>
    <d v="1899-12-30T06:47:00"/>
    <s v="JUAN HERNANDEZ"/>
    <m/>
  </r>
  <r>
    <x v="9"/>
    <x v="2"/>
    <x v="0"/>
    <x v="52"/>
    <x v="0"/>
    <n v="3"/>
    <x v="5"/>
    <x v="1"/>
    <x v="1"/>
    <n v="17"/>
    <n v="0.4"/>
    <s v="EPS"/>
    <n v="0"/>
    <n v="1.08"/>
    <d v="1899-12-30T07:12:00"/>
    <s v="JUAN HERNANDEZ"/>
    <m/>
  </r>
  <r>
    <x v="9"/>
    <x v="2"/>
    <x v="0"/>
    <x v="52"/>
    <x v="0"/>
    <n v="4"/>
    <x v="6"/>
    <x v="1"/>
    <x v="2"/>
    <n v="34"/>
    <n v="0.45"/>
    <s v="VIVIENDA"/>
    <n v="0"/>
    <n v="1.1000000000000001"/>
    <d v="1899-12-30T07:51:00"/>
    <s v="JUAN HERNANDEZ"/>
    <m/>
  </r>
  <r>
    <x v="9"/>
    <x v="2"/>
    <x v="0"/>
    <x v="52"/>
    <x v="0"/>
    <n v="5"/>
    <x v="1"/>
    <x v="1"/>
    <x v="1"/>
    <n v="17"/>
    <n v="0.4"/>
    <s v="EPS"/>
    <n v="0"/>
    <n v="1.1100000000000001"/>
    <d v="1899-12-30T08:01:00"/>
    <s v="JUAN HERNANDEZ"/>
    <m/>
  </r>
  <r>
    <x v="9"/>
    <x v="2"/>
    <x v="0"/>
    <x v="52"/>
    <x v="0"/>
    <n v="6"/>
    <x v="5"/>
    <x v="1"/>
    <x v="1"/>
    <n v="17"/>
    <n v="0.4"/>
    <s v="EPS"/>
    <n v="0"/>
    <n v="1.1499999999999999"/>
    <d v="1899-12-30T10:15:00"/>
    <s v="JUAN HERNANDEZ"/>
    <m/>
  </r>
  <r>
    <x v="9"/>
    <x v="2"/>
    <x v="0"/>
    <x v="52"/>
    <x v="0"/>
    <n v="7"/>
    <x v="1"/>
    <x v="1"/>
    <x v="1"/>
    <n v="17"/>
    <n v="0.4"/>
    <s v="EPS"/>
    <n v="0"/>
    <n v="1.1000000000000001"/>
    <d v="1899-12-30T10:38:00"/>
    <s v="JUAN HERNANDEZ"/>
    <m/>
  </r>
  <r>
    <x v="9"/>
    <x v="2"/>
    <x v="0"/>
    <x v="52"/>
    <x v="0"/>
    <n v="8"/>
    <x v="9"/>
    <x v="1"/>
    <x v="3"/>
    <n v="9"/>
    <n v="0.22"/>
    <s v="EPS"/>
    <n v="0"/>
    <n v="0"/>
    <d v="1899-12-30T10:55:00"/>
    <s v="JUAN HERNANDEZ"/>
    <m/>
  </r>
  <r>
    <x v="9"/>
    <x v="2"/>
    <x v="0"/>
    <x v="53"/>
    <x v="0"/>
    <n v="1"/>
    <x v="9"/>
    <x v="1"/>
    <x v="3"/>
    <n v="9"/>
    <n v="0.22"/>
    <s v="EPS"/>
    <n v="0"/>
    <n v="0"/>
    <d v="1899-12-30T06:45:00"/>
    <s v="JUAN HERNANDEZ"/>
    <m/>
  </r>
  <r>
    <x v="9"/>
    <x v="2"/>
    <x v="0"/>
    <x v="53"/>
    <x v="0"/>
    <n v="2"/>
    <x v="0"/>
    <x v="0"/>
    <x v="0"/>
    <n v="1"/>
    <n v="0"/>
    <s v="EPS"/>
    <n v="0"/>
    <n v="0"/>
    <d v="1899-12-30T06:58:00"/>
    <s v="JUAN HERNANDEZ"/>
    <m/>
  </r>
  <r>
    <x v="9"/>
    <x v="2"/>
    <x v="0"/>
    <x v="53"/>
    <x v="0"/>
    <n v="3"/>
    <x v="2"/>
    <x v="0"/>
    <x v="0"/>
    <n v="1"/>
    <n v="0"/>
    <s v="EPS"/>
    <n v="0"/>
    <n v="0"/>
    <d v="1899-12-30T07:07:00"/>
    <s v="JUAN HERNANDEZ"/>
    <m/>
  </r>
  <r>
    <x v="9"/>
    <x v="2"/>
    <x v="0"/>
    <x v="53"/>
    <x v="0"/>
    <n v="4"/>
    <x v="5"/>
    <x v="1"/>
    <x v="1"/>
    <n v="17"/>
    <n v="0.4"/>
    <s v="EPS"/>
    <n v="0"/>
    <n v="1.1100000000000001"/>
    <d v="1899-12-30T07:20:00"/>
    <s v="JUAN HERNANDEZ"/>
    <m/>
  </r>
  <r>
    <x v="9"/>
    <x v="2"/>
    <x v="0"/>
    <x v="53"/>
    <x v="0"/>
    <n v="5"/>
    <x v="6"/>
    <x v="1"/>
    <x v="2"/>
    <n v="34"/>
    <n v="0.45"/>
    <s v="VIVIENDA"/>
    <n v="0"/>
    <n v="1.06"/>
    <d v="1899-12-30T07:35:00"/>
    <s v="JUAN HERNANDEZ"/>
    <m/>
  </r>
  <r>
    <x v="9"/>
    <x v="2"/>
    <x v="0"/>
    <x v="53"/>
    <x v="0"/>
    <n v="6"/>
    <x v="1"/>
    <x v="1"/>
    <x v="1"/>
    <n v="17"/>
    <n v="0.4"/>
    <s v="EPS"/>
    <n v="0"/>
    <n v="1.1299999999999999"/>
    <d v="1899-12-30T07:50:00"/>
    <s v="JUAN HERNANDEZ"/>
    <m/>
  </r>
  <r>
    <x v="9"/>
    <x v="2"/>
    <x v="0"/>
    <x v="53"/>
    <x v="0"/>
    <n v="7"/>
    <x v="9"/>
    <x v="1"/>
    <x v="3"/>
    <n v="9"/>
    <n v="0.22"/>
    <s v="EPS"/>
    <n v="0"/>
    <n v="0"/>
    <d v="1899-12-30T09:51:00"/>
    <s v="JUAN HERNANDEZ"/>
    <m/>
  </r>
  <r>
    <x v="9"/>
    <x v="2"/>
    <x v="0"/>
    <x v="53"/>
    <x v="0"/>
    <n v="8"/>
    <x v="5"/>
    <x v="1"/>
    <x v="1"/>
    <n v="17"/>
    <n v="0.4"/>
    <s v="EPS"/>
    <n v="0"/>
    <n v="1.45"/>
    <d v="1899-12-30T10:57:00"/>
    <s v="JUAN HERNANDEZ"/>
    <m/>
  </r>
  <r>
    <x v="9"/>
    <x v="2"/>
    <x v="0"/>
    <x v="53"/>
    <x v="0"/>
    <n v="9"/>
    <x v="1"/>
    <x v="1"/>
    <x v="1"/>
    <n v="17"/>
    <n v="0.4"/>
    <s v="EPS"/>
    <n v="0"/>
    <n v="1.32"/>
    <d v="1899-12-30T11:14:00"/>
    <s v="JUAN HERNANDEZ"/>
    <m/>
  </r>
  <r>
    <x v="9"/>
    <x v="2"/>
    <x v="0"/>
    <x v="53"/>
    <x v="0"/>
    <n v="10"/>
    <x v="1"/>
    <x v="1"/>
    <x v="1"/>
    <n v="17"/>
    <n v="0.4"/>
    <s v="EPS"/>
    <n v="0"/>
    <n v="1.1100000000000001"/>
    <d v="1899-12-30T13:35:00"/>
    <s v="JUAN HERNANDEZ"/>
    <m/>
  </r>
  <r>
    <x v="9"/>
    <x v="2"/>
    <x v="0"/>
    <x v="53"/>
    <x v="0"/>
    <n v="11"/>
    <x v="2"/>
    <x v="0"/>
    <x v="0"/>
    <n v="1"/>
    <n v="0"/>
    <s v="EPS"/>
    <n v="0"/>
    <n v="0"/>
    <d v="1899-12-30T14:00:00"/>
    <s v="JUAN HERNANDEZ"/>
    <m/>
  </r>
  <r>
    <x v="9"/>
    <x v="2"/>
    <x v="0"/>
    <x v="54"/>
    <x v="0"/>
    <n v="1"/>
    <x v="2"/>
    <x v="0"/>
    <x v="0"/>
    <n v="1"/>
    <n v="0"/>
    <s v="EPS"/>
    <n v="0"/>
    <n v="0"/>
    <d v="1899-12-30T06:22:00"/>
    <s v="JUAN HERNANDEZ"/>
    <m/>
  </r>
  <r>
    <x v="9"/>
    <x v="2"/>
    <x v="0"/>
    <x v="54"/>
    <x v="0"/>
    <n v="2"/>
    <x v="9"/>
    <x v="1"/>
    <x v="3"/>
    <n v="9"/>
    <n v="0.22"/>
    <s v="EPS"/>
    <n v="0"/>
    <n v="0"/>
    <d v="1899-12-30T06:38:00"/>
    <s v="JUAN HERNANDEZ"/>
    <m/>
  </r>
  <r>
    <x v="9"/>
    <x v="2"/>
    <x v="0"/>
    <x v="54"/>
    <x v="0"/>
    <n v="3"/>
    <x v="0"/>
    <x v="0"/>
    <x v="0"/>
    <n v="1"/>
    <n v="0"/>
    <s v="EPS"/>
    <n v="0"/>
    <n v="0"/>
    <d v="1899-12-30T06:56:00"/>
    <s v="JUAN HERNANDEZ"/>
    <m/>
  </r>
  <r>
    <x v="9"/>
    <x v="2"/>
    <x v="0"/>
    <x v="54"/>
    <x v="0"/>
    <n v="4"/>
    <x v="5"/>
    <x v="1"/>
    <x v="1"/>
    <n v="17"/>
    <n v="0.4"/>
    <s v="EPS"/>
    <n v="0"/>
    <n v="1.4"/>
    <d v="1899-12-30T07:15:00"/>
    <s v="JUAN HERNANDEZ"/>
    <m/>
  </r>
  <r>
    <x v="9"/>
    <x v="2"/>
    <x v="0"/>
    <x v="54"/>
    <x v="0"/>
    <n v="5"/>
    <x v="1"/>
    <x v="1"/>
    <x v="1"/>
    <n v="17"/>
    <n v="0.4"/>
    <s v="EPS"/>
    <n v="0"/>
    <n v="1.36"/>
    <d v="1899-12-30T07:28:00"/>
    <s v="JUAN HERNANDEZ"/>
    <m/>
  </r>
  <r>
    <x v="9"/>
    <x v="2"/>
    <x v="0"/>
    <x v="54"/>
    <x v="0"/>
    <n v="6"/>
    <x v="6"/>
    <x v="1"/>
    <x v="2"/>
    <n v="34"/>
    <n v="0.45"/>
    <s v="VIVIENDA"/>
    <n v="0"/>
    <n v="1.37"/>
    <d v="1899-12-30T07:45:00"/>
    <s v="JUAN HERNANDEZ"/>
    <m/>
  </r>
  <r>
    <x v="9"/>
    <x v="2"/>
    <x v="0"/>
    <x v="54"/>
    <x v="0"/>
    <n v="7"/>
    <x v="9"/>
    <x v="1"/>
    <x v="3"/>
    <n v="9"/>
    <n v="0.22"/>
    <s v="EPS"/>
    <n v="0"/>
    <n v="0"/>
    <d v="1899-12-30T10:00:00"/>
    <s v="JUAN HERNANDEZ"/>
    <m/>
  </r>
  <r>
    <x v="9"/>
    <x v="2"/>
    <x v="0"/>
    <x v="54"/>
    <x v="0"/>
    <n v="8"/>
    <x v="1"/>
    <x v="1"/>
    <x v="1"/>
    <n v="17"/>
    <n v="0.4"/>
    <s v="EPS"/>
    <n v="0"/>
    <n v="1.62"/>
    <d v="1899-12-30T10:34:00"/>
    <s v="JUAN HERNANDEZ"/>
    <m/>
  </r>
  <r>
    <x v="9"/>
    <x v="2"/>
    <x v="0"/>
    <x v="54"/>
    <x v="0"/>
    <n v="9"/>
    <x v="6"/>
    <x v="1"/>
    <x v="2"/>
    <n v="34"/>
    <n v="0.45"/>
    <s v="VIVIENDA"/>
    <n v="0"/>
    <n v="1.51"/>
    <d v="1899-12-30T11:02:00"/>
    <s v="JUAN HERNANDEZ"/>
    <m/>
  </r>
  <r>
    <x v="9"/>
    <x v="2"/>
    <x v="0"/>
    <x v="54"/>
    <x v="0"/>
    <n v="10"/>
    <x v="5"/>
    <x v="1"/>
    <x v="1"/>
    <n v="17"/>
    <n v="0.4"/>
    <s v="EPS"/>
    <n v="0"/>
    <n v="1.41"/>
    <d v="1899-12-30T12:29:00"/>
    <s v="JUAN HERNANDEZ"/>
    <m/>
  </r>
  <r>
    <x v="9"/>
    <x v="2"/>
    <x v="0"/>
    <x v="55"/>
    <x v="0"/>
    <n v="1"/>
    <x v="9"/>
    <x v="1"/>
    <x v="3"/>
    <n v="9"/>
    <n v="0.22"/>
    <s v="EPS"/>
    <n v="0"/>
    <n v="0"/>
    <d v="1899-12-30T06:10:00"/>
    <s v="JUAN HERNANDEZ"/>
    <m/>
  </r>
  <r>
    <x v="9"/>
    <x v="2"/>
    <x v="0"/>
    <x v="55"/>
    <x v="0"/>
    <n v="2"/>
    <x v="0"/>
    <x v="0"/>
    <x v="0"/>
    <n v="1"/>
    <n v="0"/>
    <s v="EPS"/>
    <n v="0"/>
    <n v="0"/>
    <d v="1899-12-30T06:20:00"/>
    <s v="JUAN HERNANDEZ"/>
    <m/>
  </r>
  <r>
    <x v="9"/>
    <x v="2"/>
    <x v="0"/>
    <x v="55"/>
    <x v="0"/>
    <n v="3"/>
    <x v="5"/>
    <x v="1"/>
    <x v="1"/>
    <n v="17"/>
    <n v="0.4"/>
    <s v="EPS"/>
    <n v="0"/>
    <n v="1.28"/>
    <d v="1899-12-30T07:31:00"/>
    <s v="JUAN HERNANDEZ"/>
    <m/>
  </r>
  <r>
    <x v="9"/>
    <x v="2"/>
    <x v="0"/>
    <x v="55"/>
    <x v="0"/>
    <n v="4"/>
    <x v="6"/>
    <x v="1"/>
    <x v="2"/>
    <n v="34"/>
    <n v="0.45"/>
    <s v="VIVIENDA"/>
    <n v="0"/>
    <n v="1.28"/>
    <d v="1899-12-30T07:50:00"/>
    <s v="JUAN HERNANDEZ"/>
    <m/>
  </r>
  <r>
    <x v="9"/>
    <x v="2"/>
    <x v="0"/>
    <x v="55"/>
    <x v="0"/>
    <n v="5"/>
    <x v="1"/>
    <x v="1"/>
    <x v="1"/>
    <n v="17"/>
    <n v="0.4"/>
    <s v="EPS"/>
    <n v="0"/>
    <n v="1.24"/>
    <d v="1899-12-30T08:20:00"/>
    <s v="JUAN HERNANDEZ"/>
    <m/>
  </r>
  <r>
    <x v="9"/>
    <x v="2"/>
    <x v="0"/>
    <x v="55"/>
    <x v="0"/>
    <n v="6"/>
    <x v="5"/>
    <x v="1"/>
    <x v="1"/>
    <n v="17"/>
    <n v="0.4"/>
    <s v="EPS"/>
    <n v="0"/>
    <n v="1.32"/>
    <d v="1899-12-30T11:50:00"/>
    <s v="JUAN HERNANDEZ"/>
    <m/>
  </r>
  <r>
    <x v="9"/>
    <x v="2"/>
    <x v="0"/>
    <x v="55"/>
    <x v="0"/>
    <n v="7"/>
    <x v="1"/>
    <x v="1"/>
    <x v="1"/>
    <n v="17"/>
    <n v="0.4"/>
    <s v="EPS"/>
    <n v="0"/>
    <n v="1.26"/>
    <d v="1899-12-30T12:05:00"/>
    <s v="JUAN HERNANDEZ"/>
    <m/>
  </r>
  <r>
    <x v="10"/>
    <x v="2"/>
    <x v="0"/>
    <x v="56"/>
    <x v="0"/>
    <n v="1"/>
    <x v="9"/>
    <x v="1"/>
    <x v="3"/>
    <n v="9"/>
    <n v="0.22"/>
    <s v="EPS"/>
    <n v="0"/>
    <n v="0"/>
    <d v="1899-12-30T06:35:00"/>
    <s v="JUAN HERNANDEZ"/>
    <m/>
  </r>
  <r>
    <x v="10"/>
    <x v="2"/>
    <x v="0"/>
    <x v="56"/>
    <x v="0"/>
    <n v="2"/>
    <x v="0"/>
    <x v="0"/>
    <x v="0"/>
    <n v="1"/>
    <n v="0"/>
    <s v="EPS"/>
    <n v="0"/>
    <n v="0"/>
    <d v="1899-12-30T06:45:00"/>
    <s v="JUAN HERNANDEZ"/>
    <m/>
  </r>
  <r>
    <x v="10"/>
    <x v="2"/>
    <x v="0"/>
    <x v="56"/>
    <x v="0"/>
    <n v="3"/>
    <x v="2"/>
    <x v="0"/>
    <x v="0"/>
    <n v="1"/>
    <n v="0"/>
    <s v="EPS"/>
    <n v="0"/>
    <n v="0"/>
    <d v="1899-12-30T06:53:00"/>
    <s v="JUAN HERNANDEZ"/>
    <m/>
  </r>
  <r>
    <x v="10"/>
    <x v="2"/>
    <x v="0"/>
    <x v="56"/>
    <x v="0"/>
    <n v="4"/>
    <x v="5"/>
    <x v="1"/>
    <x v="1"/>
    <n v="17"/>
    <n v="0.4"/>
    <s v="EPS"/>
    <n v="0"/>
    <n v="1.44"/>
    <d v="1899-12-30T07:18:00"/>
    <s v="JUAN HERNANDEZ"/>
    <m/>
  </r>
  <r>
    <x v="10"/>
    <x v="2"/>
    <x v="0"/>
    <x v="56"/>
    <x v="0"/>
    <n v="5"/>
    <x v="6"/>
    <x v="1"/>
    <x v="2"/>
    <n v="34"/>
    <n v="0.45"/>
    <s v="VIVIENDA"/>
    <n v="0"/>
    <n v="1.53"/>
    <d v="1899-12-30T07:35:00"/>
    <s v="JUAN HERNANDEZ"/>
    <m/>
  </r>
  <r>
    <x v="10"/>
    <x v="2"/>
    <x v="0"/>
    <x v="56"/>
    <x v="0"/>
    <n v="6"/>
    <x v="1"/>
    <x v="1"/>
    <x v="1"/>
    <n v="17"/>
    <n v="0.4"/>
    <s v="EPS"/>
    <n v="0"/>
    <n v="1.48"/>
    <d v="1899-12-30T07:51:00"/>
    <s v="JUAN HERNANDEZ"/>
    <m/>
  </r>
  <r>
    <x v="10"/>
    <x v="2"/>
    <x v="0"/>
    <x v="56"/>
    <x v="0"/>
    <n v="7"/>
    <x v="9"/>
    <x v="1"/>
    <x v="3"/>
    <n v="9"/>
    <n v="0.22"/>
    <s v="EPS"/>
    <n v="0"/>
    <n v="0"/>
    <d v="1899-12-30T10:30:00"/>
    <s v="JUAN HERNANDEZ"/>
    <m/>
  </r>
  <r>
    <x v="10"/>
    <x v="2"/>
    <x v="0"/>
    <x v="56"/>
    <x v="0"/>
    <n v="8"/>
    <x v="1"/>
    <x v="1"/>
    <x v="1"/>
    <n v="17"/>
    <n v="0.4"/>
    <s v="EPS"/>
    <n v="0"/>
    <n v="1.57"/>
    <d v="1899-12-30T11:35:00"/>
    <s v="JUAN HERNANDEZ"/>
    <m/>
  </r>
  <r>
    <x v="10"/>
    <x v="2"/>
    <x v="0"/>
    <x v="56"/>
    <x v="0"/>
    <n v="9"/>
    <x v="5"/>
    <x v="1"/>
    <x v="1"/>
    <n v="17"/>
    <n v="0.4"/>
    <s v="EPS"/>
    <n v="0"/>
    <n v="1.51"/>
    <d v="1899-12-30T11:56:00"/>
    <s v="JUAN HERNANDEZ"/>
    <m/>
  </r>
  <r>
    <x v="10"/>
    <x v="2"/>
    <x v="0"/>
    <x v="56"/>
    <x v="0"/>
    <n v="10"/>
    <x v="9"/>
    <x v="1"/>
    <x v="3"/>
    <n v="9"/>
    <n v="0.22"/>
    <s v="EPS"/>
    <n v="0"/>
    <n v="0"/>
    <d v="1899-12-30T12:10:00"/>
    <s v="JUAN HERNANDEZ"/>
    <m/>
  </r>
  <r>
    <x v="10"/>
    <x v="2"/>
    <x v="0"/>
    <x v="56"/>
    <x v="0"/>
    <n v="11"/>
    <x v="6"/>
    <x v="1"/>
    <x v="2"/>
    <n v="34"/>
    <n v="0.45"/>
    <s v="VIVIENDA"/>
    <n v="0"/>
    <n v="1.54"/>
    <d v="1899-12-30T12:35:00"/>
    <s v="JUAN HERNANDEZ"/>
    <m/>
  </r>
  <r>
    <x v="10"/>
    <x v="2"/>
    <x v="0"/>
    <x v="57"/>
    <x v="0"/>
    <n v="1"/>
    <x v="2"/>
    <x v="0"/>
    <x v="0"/>
    <n v="1"/>
    <n v="0"/>
    <s v="EPS"/>
    <n v="0"/>
    <n v="0"/>
    <d v="1899-12-30T06:35:00"/>
    <s v="JUAN HERNANDEZ"/>
    <m/>
  </r>
  <r>
    <x v="10"/>
    <x v="2"/>
    <x v="0"/>
    <x v="57"/>
    <x v="0"/>
    <n v="2"/>
    <x v="0"/>
    <x v="0"/>
    <x v="0"/>
    <n v="1"/>
    <n v="0"/>
    <s v="EPS"/>
    <n v="0"/>
    <n v="0"/>
    <d v="1899-12-30T06:42:00"/>
    <s v="JUAN HERNANDEZ"/>
    <m/>
  </r>
  <r>
    <x v="10"/>
    <x v="2"/>
    <x v="0"/>
    <x v="57"/>
    <x v="0"/>
    <n v="3"/>
    <x v="5"/>
    <x v="1"/>
    <x v="1"/>
    <n v="17"/>
    <n v="0.4"/>
    <s v="EPS"/>
    <n v="0"/>
    <n v="1.67"/>
    <d v="1899-12-30T07:18:00"/>
    <s v="JUAN HERNANDEZ"/>
    <m/>
  </r>
  <r>
    <x v="10"/>
    <x v="2"/>
    <x v="0"/>
    <x v="57"/>
    <x v="0"/>
    <n v="4"/>
    <x v="6"/>
    <x v="1"/>
    <x v="2"/>
    <n v="34"/>
    <n v="0.45"/>
    <s v="VIVIENDA"/>
    <n v="0"/>
    <n v="1.64"/>
    <d v="1899-12-30T07:28:00"/>
    <s v="JUAN HERNANDEZ"/>
    <m/>
  </r>
  <r>
    <x v="10"/>
    <x v="2"/>
    <x v="0"/>
    <x v="57"/>
    <x v="0"/>
    <n v="5"/>
    <x v="1"/>
    <x v="1"/>
    <x v="1"/>
    <n v="17"/>
    <n v="0.4"/>
    <s v="EPS"/>
    <n v="0"/>
    <n v="1.77"/>
    <d v="1899-12-30T07:40:00"/>
    <s v="JUAN HERNANDEZ"/>
    <m/>
  </r>
  <r>
    <x v="10"/>
    <x v="2"/>
    <x v="0"/>
    <x v="57"/>
    <x v="0"/>
    <n v="6"/>
    <x v="1"/>
    <x v="1"/>
    <x v="1"/>
    <n v="17"/>
    <n v="0.4"/>
    <s v="EPS"/>
    <n v="0"/>
    <n v="1.57"/>
    <d v="1899-12-30T10:00:00"/>
    <s v="JUAN HERNANDEZ"/>
    <m/>
  </r>
  <r>
    <x v="10"/>
    <x v="2"/>
    <x v="0"/>
    <x v="57"/>
    <x v="0"/>
    <n v="7"/>
    <x v="5"/>
    <x v="1"/>
    <x v="1"/>
    <n v="17"/>
    <n v="0.4"/>
    <s v="EPS"/>
    <n v="0"/>
    <n v="1.48"/>
    <d v="1899-12-30T11:25:00"/>
    <s v="JUAN HERNANDEZ"/>
    <m/>
  </r>
  <r>
    <x v="10"/>
    <x v="2"/>
    <x v="0"/>
    <x v="57"/>
    <x v="0"/>
    <n v="8"/>
    <x v="9"/>
    <x v="1"/>
    <x v="3"/>
    <n v="9"/>
    <n v="0.22"/>
    <s v="EPS"/>
    <n v="0"/>
    <n v="0"/>
    <d v="1899-12-30T11:45:00"/>
    <s v="JUAN HERNANDEZ"/>
    <m/>
  </r>
  <r>
    <x v="10"/>
    <x v="2"/>
    <x v="0"/>
    <x v="58"/>
    <x v="0"/>
    <n v="1"/>
    <x v="9"/>
    <x v="1"/>
    <x v="3"/>
    <n v="9"/>
    <n v="0.22"/>
    <s v="EPS"/>
    <n v="0"/>
    <n v="0"/>
    <d v="1899-12-30T03:21:00"/>
    <s v="JUAN HERNANDEZ"/>
    <m/>
  </r>
  <r>
    <x v="10"/>
    <x v="2"/>
    <x v="0"/>
    <x v="58"/>
    <x v="0"/>
    <n v="2"/>
    <x v="0"/>
    <x v="0"/>
    <x v="0"/>
    <n v="1"/>
    <n v="0"/>
    <s v="EPS"/>
    <n v="0"/>
    <n v="0"/>
    <d v="1899-12-30T03:34:00"/>
    <s v="JUAN HERNANDEZ"/>
    <m/>
  </r>
  <r>
    <x v="10"/>
    <x v="2"/>
    <x v="0"/>
    <x v="58"/>
    <x v="0"/>
    <n v="3"/>
    <x v="9"/>
    <x v="1"/>
    <x v="3"/>
    <n v="9"/>
    <n v="0.22"/>
    <s v="EPS"/>
    <n v="0"/>
    <n v="0"/>
    <d v="1899-12-30T04:10:00"/>
    <s v="JUAN HERNANDEZ"/>
    <m/>
  </r>
  <r>
    <x v="10"/>
    <x v="2"/>
    <x v="0"/>
    <x v="58"/>
    <x v="0"/>
    <n v="4"/>
    <x v="2"/>
    <x v="0"/>
    <x v="0"/>
    <n v="1"/>
    <n v="0"/>
    <s v="EPS"/>
    <n v="0"/>
    <n v="0"/>
    <d v="1899-12-30T06:40:00"/>
    <s v="JUAN HERNANDEZ"/>
    <m/>
  </r>
  <r>
    <x v="10"/>
    <x v="2"/>
    <x v="0"/>
    <x v="58"/>
    <x v="0"/>
    <n v="5"/>
    <x v="5"/>
    <x v="1"/>
    <x v="1"/>
    <n v="17"/>
    <n v="0.4"/>
    <s v="EPS"/>
    <n v="0"/>
    <n v="1.21"/>
    <d v="1899-12-30T07:23:00"/>
    <s v="JUAN HERNANDEZ"/>
    <m/>
  </r>
  <r>
    <x v="10"/>
    <x v="2"/>
    <x v="0"/>
    <x v="58"/>
    <x v="0"/>
    <n v="6"/>
    <x v="6"/>
    <x v="1"/>
    <x v="2"/>
    <n v="34"/>
    <n v="0.45"/>
    <s v="VIVIENDA"/>
    <n v="0"/>
    <n v="1.65"/>
    <d v="1899-12-30T07:33:00"/>
    <s v="JUAN HERNANDEZ"/>
    <m/>
  </r>
  <r>
    <x v="10"/>
    <x v="2"/>
    <x v="0"/>
    <x v="58"/>
    <x v="0"/>
    <n v="7"/>
    <x v="1"/>
    <x v="1"/>
    <x v="1"/>
    <n v="17"/>
    <n v="0.4"/>
    <s v="EPS"/>
    <n v="0"/>
    <n v="1.63"/>
    <d v="1899-12-30T07:51:00"/>
    <s v="JUAN HERNANDEZ"/>
    <m/>
  </r>
  <r>
    <x v="10"/>
    <x v="2"/>
    <x v="0"/>
    <x v="58"/>
    <x v="0"/>
    <n v="8"/>
    <x v="9"/>
    <x v="1"/>
    <x v="3"/>
    <n v="9"/>
    <n v="0.22"/>
    <s v="EPS"/>
    <n v="0"/>
    <n v="0"/>
    <d v="1899-12-30T09:12:00"/>
    <s v="JUAN HERNANDEZ"/>
    <m/>
  </r>
  <r>
    <x v="10"/>
    <x v="2"/>
    <x v="0"/>
    <x v="58"/>
    <x v="0"/>
    <n v="9"/>
    <x v="6"/>
    <x v="1"/>
    <x v="2"/>
    <n v="34"/>
    <n v="0.45"/>
    <s v="VIVIENDA"/>
    <n v="0"/>
    <n v="1.45"/>
    <d v="1899-12-30T10:26:00"/>
    <s v="JUAN HERNANDEZ"/>
    <m/>
  </r>
  <r>
    <x v="10"/>
    <x v="2"/>
    <x v="0"/>
    <x v="58"/>
    <x v="0"/>
    <n v="10"/>
    <x v="1"/>
    <x v="1"/>
    <x v="1"/>
    <n v="17"/>
    <n v="0.4"/>
    <s v="EPS"/>
    <n v="0"/>
    <n v="1.5"/>
    <d v="1899-12-30T11:40:00"/>
    <s v="JUAN HERNANDEZ"/>
    <m/>
  </r>
  <r>
    <x v="10"/>
    <x v="2"/>
    <x v="0"/>
    <x v="59"/>
    <x v="0"/>
    <n v="1"/>
    <x v="2"/>
    <x v="0"/>
    <x v="0"/>
    <n v="1"/>
    <n v="0"/>
    <s v="EPS"/>
    <n v="0"/>
    <n v="0"/>
    <d v="1899-12-30T06:42:00"/>
    <s v="JUAN HERNANDEZ"/>
    <m/>
  </r>
  <r>
    <x v="10"/>
    <x v="2"/>
    <x v="0"/>
    <x v="59"/>
    <x v="0"/>
    <n v="2"/>
    <x v="9"/>
    <x v="1"/>
    <x v="3"/>
    <n v="9"/>
    <n v="0.22"/>
    <s v="EPS"/>
    <n v="0"/>
    <n v="0"/>
    <d v="1899-12-30T06:50:00"/>
    <s v="JUAN HERNANDEZ"/>
    <m/>
  </r>
  <r>
    <x v="10"/>
    <x v="2"/>
    <x v="0"/>
    <x v="59"/>
    <x v="0"/>
    <n v="3"/>
    <x v="0"/>
    <x v="0"/>
    <x v="0"/>
    <n v="1"/>
    <n v="0"/>
    <s v="EPS"/>
    <n v="0"/>
    <n v="0"/>
    <d v="1899-12-30T07:00:00"/>
    <s v="JUAN HERNANDEZ"/>
    <m/>
  </r>
  <r>
    <x v="10"/>
    <x v="2"/>
    <x v="0"/>
    <x v="59"/>
    <x v="0"/>
    <n v="4"/>
    <x v="5"/>
    <x v="1"/>
    <x v="1"/>
    <n v="17"/>
    <n v="0.4"/>
    <s v="EPS"/>
    <n v="0"/>
    <n v="1.44"/>
    <d v="1899-12-30T07:20:00"/>
    <s v="JUAN HERNANDEZ"/>
    <m/>
  </r>
  <r>
    <x v="10"/>
    <x v="2"/>
    <x v="0"/>
    <x v="59"/>
    <x v="0"/>
    <n v="5"/>
    <x v="6"/>
    <x v="1"/>
    <x v="2"/>
    <n v="34"/>
    <n v="0.45"/>
    <s v="VIVIENDA"/>
    <n v="0"/>
    <n v="1.36"/>
    <d v="1899-12-30T07:35:00"/>
    <s v="JUAN HERNANDEZ"/>
    <m/>
  </r>
  <r>
    <x v="10"/>
    <x v="2"/>
    <x v="0"/>
    <x v="59"/>
    <x v="0"/>
    <n v="6"/>
    <x v="1"/>
    <x v="1"/>
    <x v="1"/>
    <n v="17"/>
    <n v="0.4"/>
    <s v="EPS"/>
    <n v="0"/>
    <n v="1.45"/>
    <d v="1899-12-30T08:00:00"/>
    <s v="JUAN HERNANDEZ"/>
    <m/>
  </r>
  <r>
    <x v="10"/>
    <x v="2"/>
    <x v="0"/>
    <x v="59"/>
    <x v="0"/>
    <n v="7"/>
    <x v="1"/>
    <x v="1"/>
    <x v="1"/>
    <n v="17"/>
    <n v="0.4"/>
    <s v="EPS"/>
    <n v="0"/>
    <n v="1.36"/>
    <d v="1899-12-30T11:00:00"/>
    <s v="JUAN HERNANDEZ"/>
    <m/>
  </r>
  <r>
    <x v="10"/>
    <x v="2"/>
    <x v="0"/>
    <x v="59"/>
    <x v="0"/>
    <n v="8"/>
    <x v="5"/>
    <x v="1"/>
    <x v="1"/>
    <n v="17"/>
    <n v="0.4"/>
    <s v="EPS"/>
    <n v="0"/>
    <n v="1.23"/>
    <d v="1899-12-30T12:35:00"/>
    <s v="JUAN HERNANDEZ"/>
    <m/>
  </r>
  <r>
    <x v="10"/>
    <x v="2"/>
    <x v="0"/>
    <x v="60"/>
    <x v="0"/>
    <n v="1"/>
    <x v="0"/>
    <x v="0"/>
    <x v="0"/>
    <n v="1"/>
    <n v="0"/>
    <s v="EPS"/>
    <n v="0"/>
    <n v="0"/>
    <d v="1899-12-30T06:13:00"/>
    <s v="JUAN HERNANDEZ"/>
    <m/>
  </r>
  <r>
    <x v="10"/>
    <x v="2"/>
    <x v="0"/>
    <x v="60"/>
    <x v="0"/>
    <n v="2"/>
    <x v="2"/>
    <x v="0"/>
    <x v="0"/>
    <n v="1"/>
    <n v="0"/>
    <s v="EPS"/>
    <n v="0"/>
    <n v="0"/>
    <d v="1899-12-30T06:22:00"/>
    <s v="JUAN HERNANDEZ"/>
    <m/>
  </r>
  <r>
    <x v="10"/>
    <x v="2"/>
    <x v="0"/>
    <x v="60"/>
    <x v="0"/>
    <n v="3"/>
    <x v="0"/>
    <x v="0"/>
    <x v="0"/>
    <n v="1"/>
    <n v="0"/>
    <s v="EPS"/>
    <n v="0"/>
    <n v="0"/>
    <d v="1899-12-30T10:21:00"/>
    <s v="JUAN HERNANDEZ"/>
    <m/>
  </r>
  <r>
    <x v="10"/>
    <x v="2"/>
    <x v="0"/>
    <x v="61"/>
    <x v="0"/>
    <n v="1"/>
    <x v="5"/>
    <x v="1"/>
    <x v="1"/>
    <n v="17"/>
    <n v="0.4"/>
    <s v="EPS"/>
    <n v="0"/>
    <n v="1.1299999999999999"/>
    <d v="1899-12-30T07:19:00"/>
    <s v="JUAN HERNANDEZ"/>
    <m/>
  </r>
  <r>
    <x v="10"/>
    <x v="2"/>
    <x v="0"/>
    <x v="61"/>
    <x v="0"/>
    <n v="2"/>
    <x v="6"/>
    <x v="1"/>
    <x v="2"/>
    <n v="34"/>
    <n v="0.45"/>
    <s v="VIVIENDA"/>
    <n v="0"/>
    <n v="1.1499999999999999"/>
    <d v="1899-12-30T07:28:00"/>
    <s v="JUAN HERNANDEZ"/>
    <m/>
  </r>
  <r>
    <x v="10"/>
    <x v="2"/>
    <x v="0"/>
    <x v="61"/>
    <x v="0"/>
    <n v="3"/>
    <x v="1"/>
    <x v="1"/>
    <x v="1"/>
    <n v="17"/>
    <n v="0.4"/>
    <s v="EPS"/>
    <n v="0"/>
    <n v="1.1000000000000001"/>
    <d v="1899-12-30T07:41:00"/>
    <s v="JUAN HERNANDEZ"/>
    <m/>
  </r>
  <r>
    <x v="10"/>
    <x v="2"/>
    <x v="0"/>
    <x v="61"/>
    <x v="0"/>
    <n v="4"/>
    <x v="5"/>
    <x v="1"/>
    <x v="1"/>
    <n v="17"/>
    <n v="0.4"/>
    <s v="EPS"/>
    <n v="0"/>
    <n v="1.06"/>
    <d v="1899-12-30T11:40:00"/>
    <s v="JUAN HERNANDEZ"/>
    <m/>
  </r>
  <r>
    <x v="10"/>
    <x v="2"/>
    <x v="0"/>
    <x v="61"/>
    <x v="0"/>
    <n v="5"/>
    <x v="1"/>
    <x v="1"/>
    <x v="1"/>
    <n v="17"/>
    <n v="0.4"/>
    <s v="EPS"/>
    <n v="0"/>
    <n v="1.07"/>
    <d v="1899-12-30T12:05:00"/>
    <s v="JUAN HERNANDEZ"/>
    <m/>
  </r>
  <r>
    <x v="11"/>
    <x v="2"/>
    <x v="0"/>
    <x v="62"/>
    <x v="0"/>
    <n v="1"/>
    <x v="9"/>
    <x v="1"/>
    <x v="3"/>
    <n v="9"/>
    <n v="0.22"/>
    <s v="EPS"/>
    <n v="0"/>
    <n v="0"/>
    <d v="1899-12-30T06:35:00"/>
    <s v="JUAN HERNANDEZ"/>
    <m/>
  </r>
  <r>
    <x v="11"/>
    <x v="2"/>
    <x v="0"/>
    <x v="62"/>
    <x v="0"/>
    <n v="2"/>
    <x v="2"/>
    <x v="0"/>
    <x v="0"/>
    <n v="1"/>
    <n v="0"/>
    <s v="EPS"/>
    <n v="0"/>
    <n v="0"/>
    <d v="1899-12-30T06:52:00"/>
    <s v="JUAN HERNANDEZ"/>
    <m/>
  </r>
  <r>
    <x v="11"/>
    <x v="2"/>
    <x v="0"/>
    <x v="62"/>
    <x v="0"/>
    <n v="3"/>
    <x v="5"/>
    <x v="1"/>
    <x v="1"/>
    <n v="17"/>
    <n v="0.4"/>
    <s v="EPS"/>
    <n v="0"/>
    <n v="1.25"/>
    <d v="1899-12-30T07:11:00"/>
    <s v="JUAN HERNANDEZ"/>
    <m/>
  </r>
  <r>
    <x v="11"/>
    <x v="2"/>
    <x v="0"/>
    <x v="62"/>
    <x v="0"/>
    <n v="4"/>
    <x v="6"/>
    <x v="1"/>
    <x v="2"/>
    <n v="34"/>
    <n v="0.45"/>
    <s v="VIVIENDA"/>
    <n v="0"/>
    <n v="1.35"/>
    <d v="1899-12-30T07:26:00"/>
    <s v="JUAN HERNANDEZ"/>
    <m/>
  </r>
  <r>
    <x v="11"/>
    <x v="2"/>
    <x v="0"/>
    <x v="62"/>
    <x v="0"/>
    <n v="5"/>
    <x v="1"/>
    <x v="1"/>
    <x v="1"/>
    <n v="17"/>
    <n v="0.4"/>
    <s v="EPS"/>
    <n v="0"/>
    <n v="1.26"/>
    <d v="1899-12-30T07:46:00"/>
    <s v="JUAN HERNANDEZ"/>
    <m/>
  </r>
  <r>
    <x v="11"/>
    <x v="2"/>
    <x v="0"/>
    <x v="62"/>
    <x v="0"/>
    <n v="6"/>
    <x v="5"/>
    <x v="1"/>
    <x v="1"/>
    <n v="17"/>
    <n v="0.4"/>
    <s v="EPS"/>
    <n v="0"/>
    <n v="1.2"/>
    <d v="1899-12-30T10:40:00"/>
    <s v="JUAN HERNANDEZ"/>
    <m/>
  </r>
  <r>
    <x v="11"/>
    <x v="2"/>
    <x v="0"/>
    <x v="62"/>
    <x v="0"/>
    <n v="7"/>
    <x v="1"/>
    <x v="1"/>
    <x v="1"/>
    <n v="17"/>
    <n v="0.4"/>
    <s v="EPS"/>
    <n v="0"/>
    <n v="1.23"/>
    <d v="1899-12-30T12:31:00"/>
    <s v="JUAN HERNANDEZ"/>
    <m/>
  </r>
  <r>
    <x v="11"/>
    <x v="2"/>
    <x v="0"/>
    <x v="63"/>
    <x v="0"/>
    <n v="1"/>
    <x v="2"/>
    <x v="0"/>
    <x v="0"/>
    <n v="1"/>
    <n v="0"/>
    <s v="EPS"/>
    <n v="0"/>
    <n v="0"/>
    <d v="1899-12-30T06:37:00"/>
    <s v="JUAN HERNANDEZ"/>
    <m/>
  </r>
  <r>
    <x v="11"/>
    <x v="2"/>
    <x v="0"/>
    <x v="63"/>
    <x v="0"/>
    <n v="2"/>
    <x v="5"/>
    <x v="1"/>
    <x v="1"/>
    <n v="17"/>
    <n v="0.4"/>
    <s v="EPS"/>
    <n v="0"/>
    <n v="1.24"/>
    <d v="1899-12-30T07:10:00"/>
    <s v="JUAN HERNANDEZ"/>
    <m/>
  </r>
  <r>
    <x v="11"/>
    <x v="2"/>
    <x v="0"/>
    <x v="63"/>
    <x v="0"/>
    <n v="3"/>
    <x v="6"/>
    <x v="1"/>
    <x v="2"/>
    <n v="34"/>
    <n v="0.45"/>
    <s v="VIVIENDA"/>
    <n v="0"/>
    <n v="1.1599999999999999"/>
    <d v="1899-12-30T07:31:00"/>
    <s v="JUAN HERNANDEZ"/>
    <m/>
  </r>
  <r>
    <x v="11"/>
    <x v="2"/>
    <x v="0"/>
    <x v="63"/>
    <x v="0"/>
    <n v="4"/>
    <x v="0"/>
    <x v="0"/>
    <x v="0"/>
    <n v="1"/>
    <n v="0"/>
    <s v="EPS"/>
    <n v="0"/>
    <n v="0"/>
    <d v="1899-12-30T07:43:00"/>
    <s v="JUAN HERNANDEZ"/>
    <m/>
  </r>
  <r>
    <x v="11"/>
    <x v="2"/>
    <x v="0"/>
    <x v="63"/>
    <x v="0"/>
    <n v="5"/>
    <x v="9"/>
    <x v="1"/>
    <x v="3"/>
    <n v="9"/>
    <n v="0.22"/>
    <s v="EPS"/>
    <n v="0"/>
    <n v="0"/>
    <d v="1899-12-30T07:50:00"/>
    <s v="JUAN HERNANDEZ"/>
    <m/>
  </r>
  <r>
    <x v="11"/>
    <x v="2"/>
    <x v="0"/>
    <x v="63"/>
    <x v="0"/>
    <n v="6"/>
    <x v="1"/>
    <x v="1"/>
    <x v="1"/>
    <n v="17"/>
    <n v="0.4"/>
    <s v="EPS"/>
    <n v="0"/>
    <n v="1.24"/>
    <d v="1899-12-30T08:00:00"/>
    <s v="JUAN HERNANDEZ"/>
    <m/>
  </r>
  <r>
    <x v="11"/>
    <x v="2"/>
    <x v="0"/>
    <x v="63"/>
    <x v="0"/>
    <n v="7"/>
    <x v="9"/>
    <x v="1"/>
    <x v="3"/>
    <n v="9"/>
    <n v="0.22"/>
    <s v="EPS"/>
    <n v="0"/>
    <n v="0"/>
    <d v="1899-12-30T09:47:00"/>
    <s v="JUAN HERNANDEZ"/>
    <m/>
  </r>
  <r>
    <x v="11"/>
    <x v="2"/>
    <x v="0"/>
    <x v="63"/>
    <x v="0"/>
    <n v="8"/>
    <x v="1"/>
    <x v="1"/>
    <x v="1"/>
    <n v="17"/>
    <n v="0.4"/>
    <s v="EPS"/>
    <n v="0"/>
    <n v="1.21"/>
    <d v="1899-12-30T10:02:00"/>
    <s v="JUAN HERNANDEZ"/>
    <m/>
  </r>
  <r>
    <x v="11"/>
    <x v="2"/>
    <x v="0"/>
    <x v="63"/>
    <x v="0"/>
    <n v="9"/>
    <x v="5"/>
    <x v="1"/>
    <x v="1"/>
    <n v="17"/>
    <n v="0.4"/>
    <s v="EPS"/>
    <n v="0"/>
    <n v="1.18"/>
    <d v="1899-12-30T10:15:00"/>
    <s v="JUAN HERNANDEZ"/>
    <m/>
  </r>
  <r>
    <x v="11"/>
    <x v="2"/>
    <x v="0"/>
    <x v="63"/>
    <x v="0"/>
    <n v="10"/>
    <x v="6"/>
    <x v="1"/>
    <x v="2"/>
    <n v="34"/>
    <n v="0.45"/>
    <s v="VIVIENDA"/>
    <n v="0"/>
    <n v="1.1599999999999999"/>
    <d v="1899-12-30T10:37:00"/>
    <s v="JUAN HERNANDEZ"/>
    <m/>
  </r>
  <r>
    <x v="11"/>
    <x v="2"/>
    <x v="0"/>
    <x v="63"/>
    <x v="0"/>
    <n v="11"/>
    <x v="1"/>
    <x v="1"/>
    <x v="1"/>
    <n v="17"/>
    <n v="0.4"/>
    <s v="EPS"/>
    <n v="0"/>
    <n v="1.32"/>
    <d v="1899-12-30T12:44:00"/>
    <s v="JUAN HERNANDEZ"/>
    <m/>
  </r>
  <r>
    <x v="11"/>
    <x v="2"/>
    <x v="0"/>
    <x v="63"/>
    <x v="0"/>
    <n v="12"/>
    <x v="2"/>
    <x v="0"/>
    <x v="0"/>
    <n v="1"/>
    <n v="0"/>
    <s v="EPS"/>
    <n v="0"/>
    <n v="0"/>
    <d v="1899-12-30T13:05:00"/>
    <s v="JUAN HERNANDEZ"/>
    <m/>
  </r>
  <r>
    <x v="11"/>
    <x v="2"/>
    <x v="0"/>
    <x v="64"/>
    <x v="0"/>
    <n v="1"/>
    <x v="9"/>
    <x v="1"/>
    <x v="3"/>
    <n v="9"/>
    <n v="0.22"/>
    <s v="EPS"/>
    <n v="0"/>
    <n v="0"/>
    <d v="1899-12-30T04:00:00"/>
    <s v="JUAN HERNANDEZ"/>
    <m/>
  </r>
  <r>
    <x v="11"/>
    <x v="2"/>
    <x v="0"/>
    <x v="64"/>
    <x v="0"/>
    <n v="2"/>
    <x v="0"/>
    <x v="0"/>
    <x v="0"/>
    <n v="1"/>
    <n v="0"/>
    <s v="EPS"/>
    <n v="0"/>
    <n v="0"/>
    <d v="1899-12-30T04:10:00"/>
    <s v="JUAN HERNANDEZ"/>
    <m/>
  </r>
  <r>
    <x v="11"/>
    <x v="2"/>
    <x v="0"/>
    <x v="64"/>
    <x v="0"/>
    <n v="3"/>
    <x v="9"/>
    <x v="1"/>
    <x v="3"/>
    <n v="9"/>
    <n v="0.22"/>
    <s v="EPS"/>
    <n v="0"/>
    <n v="0"/>
    <d v="1899-12-30T04:26:00"/>
    <s v="JUAN HERNANDEZ"/>
    <m/>
  </r>
  <r>
    <x v="11"/>
    <x v="2"/>
    <x v="0"/>
    <x v="64"/>
    <x v="0"/>
    <n v="4"/>
    <x v="5"/>
    <x v="1"/>
    <x v="1"/>
    <n v="17"/>
    <n v="0.4"/>
    <s v="EPS"/>
    <n v="0"/>
    <n v="1.31"/>
    <d v="1899-12-30T07:21:00"/>
    <s v="JUAN HERNANDEZ"/>
    <m/>
  </r>
  <r>
    <x v="11"/>
    <x v="2"/>
    <x v="0"/>
    <x v="64"/>
    <x v="0"/>
    <n v="5"/>
    <x v="6"/>
    <x v="1"/>
    <x v="2"/>
    <n v="34"/>
    <n v="0.45"/>
    <s v="VIVIENDA"/>
    <n v="0"/>
    <n v="1.3"/>
    <d v="1899-12-30T07:35:00"/>
    <s v="JUAN HERNANDEZ"/>
    <m/>
  </r>
  <r>
    <x v="11"/>
    <x v="2"/>
    <x v="0"/>
    <x v="64"/>
    <x v="0"/>
    <n v="6"/>
    <x v="1"/>
    <x v="1"/>
    <x v="1"/>
    <n v="17"/>
    <n v="0.4"/>
    <s v="EPS"/>
    <n v="0"/>
    <n v="1.17"/>
    <d v="1899-12-30T07:50:00"/>
    <s v="JUAN HERNANDEZ"/>
    <m/>
  </r>
  <r>
    <x v="11"/>
    <x v="2"/>
    <x v="0"/>
    <x v="64"/>
    <x v="0"/>
    <n v="7"/>
    <x v="9"/>
    <x v="1"/>
    <x v="3"/>
    <n v="9"/>
    <n v="0.22"/>
    <s v="EPS"/>
    <n v="0"/>
    <n v="0"/>
    <d v="1899-12-30T08:48:00"/>
    <s v="JUAN HERNANDEZ"/>
    <m/>
  </r>
  <r>
    <x v="11"/>
    <x v="2"/>
    <x v="0"/>
    <x v="64"/>
    <x v="0"/>
    <n v="8"/>
    <x v="1"/>
    <x v="1"/>
    <x v="1"/>
    <n v="17"/>
    <n v="0.4"/>
    <s v="EPS"/>
    <n v="0"/>
    <n v="1.2"/>
    <d v="1899-12-30T11:10:00"/>
    <s v="JUAN HERNANDEZ"/>
    <m/>
  </r>
  <r>
    <x v="11"/>
    <x v="2"/>
    <x v="0"/>
    <x v="64"/>
    <x v="0"/>
    <n v="9"/>
    <x v="2"/>
    <x v="0"/>
    <x v="0"/>
    <n v="1"/>
    <n v="0"/>
    <s v="EPS"/>
    <n v="0"/>
    <n v="0"/>
    <d v="1899-12-30T12:01:00"/>
    <s v="JUAN HERNANDEZ"/>
    <m/>
  </r>
  <r>
    <x v="11"/>
    <x v="2"/>
    <x v="0"/>
    <x v="64"/>
    <x v="0"/>
    <n v="10"/>
    <x v="5"/>
    <x v="1"/>
    <x v="1"/>
    <n v="17"/>
    <n v="0.4"/>
    <s v="EPS"/>
    <n v="0"/>
    <n v="1.3"/>
    <d v="1899-12-30T12:12:00"/>
    <s v="JUAN HERNANDEZ"/>
    <m/>
  </r>
  <r>
    <x v="11"/>
    <x v="2"/>
    <x v="0"/>
    <x v="65"/>
    <x v="0"/>
    <n v="1"/>
    <x v="0"/>
    <x v="0"/>
    <x v="0"/>
    <n v="1"/>
    <n v="0"/>
    <s v="EPS"/>
    <n v="0"/>
    <n v="0"/>
    <d v="1899-12-30T06:55:00"/>
    <s v="JUAN HERNANDEZ"/>
    <m/>
  </r>
  <r>
    <x v="11"/>
    <x v="2"/>
    <x v="0"/>
    <x v="65"/>
    <x v="0"/>
    <n v="2"/>
    <x v="9"/>
    <x v="1"/>
    <x v="3"/>
    <n v="9"/>
    <n v="0.22"/>
    <s v="EPS"/>
    <n v="0"/>
    <n v="0"/>
    <d v="1899-12-30T07:05:00"/>
    <s v="JUAN HERNANDEZ"/>
    <m/>
  </r>
  <r>
    <x v="11"/>
    <x v="2"/>
    <x v="0"/>
    <x v="65"/>
    <x v="0"/>
    <n v="3"/>
    <x v="6"/>
    <x v="1"/>
    <x v="2"/>
    <n v="34"/>
    <n v="0.45"/>
    <s v="VIVIENDA"/>
    <n v="0"/>
    <n v="1.01"/>
    <d v="1899-12-30T07:33:00"/>
    <s v="JUAN HERNANDEZ"/>
    <m/>
  </r>
  <r>
    <x v="11"/>
    <x v="2"/>
    <x v="0"/>
    <x v="65"/>
    <x v="0"/>
    <n v="4"/>
    <x v="1"/>
    <x v="1"/>
    <x v="1"/>
    <n v="17"/>
    <n v="0.4"/>
    <s v="EPS"/>
    <n v="0"/>
    <n v="1.1299999999999999"/>
    <d v="1899-12-30T07:42:00"/>
    <s v="JUAN HERNANDEZ"/>
    <m/>
  </r>
  <r>
    <x v="11"/>
    <x v="2"/>
    <x v="0"/>
    <x v="65"/>
    <x v="0"/>
    <n v="5"/>
    <x v="9"/>
    <x v="1"/>
    <x v="3"/>
    <n v="9"/>
    <n v="0.22"/>
    <s v="EPS"/>
    <n v="0"/>
    <n v="0"/>
    <d v="1899-12-30T08:35:00"/>
    <s v="JUAN HERNANDEZ"/>
    <m/>
  </r>
  <r>
    <x v="11"/>
    <x v="2"/>
    <x v="0"/>
    <x v="65"/>
    <x v="0"/>
    <n v="6"/>
    <x v="9"/>
    <x v="1"/>
    <x v="3"/>
    <n v="9"/>
    <n v="0.22"/>
    <s v="EPS"/>
    <n v="0"/>
    <n v="0"/>
    <d v="1899-12-30T10:22:00"/>
    <s v="JUAN HERNANDEZ"/>
    <m/>
  </r>
  <r>
    <x v="11"/>
    <x v="2"/>
    <x v="0"/>
    <x v="65"/>
    <x v="0"/>
    <n v="7"/>
    <x v="1"/>
    <x v="1"/>
    <x v="1"/>
    <n v="17"/>
    <n v="0.4"/>
    <s v="EPS"/>
    <n v="0"/>
    <n v="1.1599999999999999"/>
    <d v="1899-12-30T10:40:00"/>
    <s v="JUAN HERNANDEZ"/>
    <m/>
  </r>
  <r>
    <x v="11"/>
    <x v="2"/>
    <x v="0"/>
    <x v="66"/>
    <x v="0"/>
    <n v="1"/>
    <x v="2"/>
    <x v="0"/>
    <x v="0"/>
    <n v="1"/>
    <n v="0"/>
    <s v="EPS"/>
    <n v="0"/>
    <n v="0"/>
    <d v="1899-12-30T06:37:00"/>
    <s v="JUAN HERNANDEZ"/>
    <m/>
  </r>
  <r>
    <x v="11"/>
    <x v="2"/>
    <x v="0"/>
    <x v="66"/>
    <x v="0"/>
    <n v="2"/>
    <x v="9"/>
    <x v="1"/>
    <x v="3"/>
    <n v="9"/>
    <n v="0.22"/>
    <s v="EPS"/>
    <n v="0"/>
    <n v="0"/>
    <d v="1899-12-30T07:34:00"/>
    <s v="JUAN HERNANDEZ"/>
    <m/>
  </r>
  <r>
    <x v="11"/>
    <x v="2"/>
    <x v="0"/>
    <x v="66"/>
    <x v="0"/>
    <n v="3"/>
    <x v="6"/>
    <x v="1"/>
    <x v="2"/>
    <n v="34"/>
    <n v="0.45"/>
    <s v="VIVIENDA"/>
    <n v="0"/>
    <n v="1.1299999999999999"/>
    <d v="1899-12-30T08:05:00"/>
    <s v="JUAN HERNANDEZ"/>
    <m/>
  </r>
  <r>
    <x v="11"/>
    <x v="2"/>
    <x v="0"/>
    <x v="66"/>
    <x v="0"/>
    <n v="4"/>
    <x v="1"/>
    <x v="1"/>
    <x v="1"/>
    <n v="17"/>
    <n v="0.4"/>
    <s v="EPS"/>
    <n v="0"/>
    <n v="1.08"/>
    <d v="1899-12-30T08:13:00"/>
    <s v="JUAN HERNANDEZ"/>
    <m/>
  </r>
  <r>
    <x v="11"/>
    <x v="2"/>
    <x v="0"/>
    <x v="66"/>
    <x v="0"/>
    <n v="5"/>
    <x v="1"/>
    <x v="1"/>
    <x v="1"/>
    <n v="17"/>
    <n v="0.4"/>
    <s v="EPS"/>
    <n v="0"/>
    <n v="1.0900000000000001"/>
    <d v="1899-12-30T12:08:00"/>
    <s v="JUAN HERNANDEZ"/>
    <m/>
  </r>
  <r>
    <x v="11"/>
    <x v="2"/>
    <x v="0"/>
    <x v="67"/>
    <x v="0"/>
    <n v="1"/>
    <x v="6"/>
    <x v="1"/>
    <x v="2"/>
    <n v="34"/>
    <n v="0.45"/>
    <s v="VIVIENDA"/>
    <n v="0"/>
    <n v="1.03"/>
    <d v="1899-12-30T07:33:00"/>
    <s v="JUAN HERNANDEZ"/>
    <m/>
  </r>
  <r>
    <x v="11"/>
    <x v="2"/>
    <x v="0"/>
    <x v="67"/>
    <x v="0"/>
    <n v="2"/>
    <x v="1"/>
    <x v="1"/>
    <x v="1"/>
    <n v="17"/>
    <n v="0.4"/>
    <s v="EPS"/>
    <n v="0"/>
    <n v="1.1299999999999999"/>
    <d v="1899-12-30T07:45:00"/>
    <s v="JUAN HERNANDEZ"/>
    <m/>
  </r>
  <r>
    <x v="11"/>
    <x v="2"/>
    <x v="0"/>
    <x v="67"/>
    <x v="0"/>
    <n v="3"/>
    <x v="9"/>
    <x v="1"/>
    <x v="3"/>
    <n v="9"/>
    <n v="0.22"/>
    <s v="EPS"/>
    <n v="0"/>
    <n v="0"/>
    <d v="1899-12-30T07:58:00"/>
    <s v="JUAN HERNANDEZ"/>
    <m/>
  </r>
  <r>
    <x v="11"/>
    <x v="2"/>
    <x v="0"/>
    <x v="67"/>
    <x v="0"/>
    <n v="4"/>
    <x v="1"/>
    <x v="1"/>
    <x v="1"/>
    <n v="17"/>
    <n v="0.4"/>
    <s v="EPS"/>
    <n v="0"/>
    <n v="1.1000000000000001"/>
    <d v="1899-12-30T11:22:00"/>
    <s v="JUAN HERNANDEZ"/>
    <m/>
  </r>
  <r>
    <x v="12"/>
    <x v="2"/>
    <x v="0"/>
    <x v="68"/>
    <x v="0"/>
    <n v="1"/>
    <x v="1"/>
    <x v="1"/>
    <x v="1"/>
    <n v="17"/>
    <n v="0.4"/>
    <s v="EPS"/>
    <n v="0"/>
    <n v="1.1299999999999999"/>
    <d v="1899-12-30T07:35:00"/>
    <s v="JUAN HERNANDEZ"/>
    <m/>
  </r>
  <r>
    <x v="12"/>
    <x v="2"/>
    <x v="0"/>
    <x v="68"/>
    <x v="0"/>
    <n v="2"/>
    <x v="1"/>
    <x v="1"/>
    <x v="1"/>
    <n v="17"/>
    <n v="0.4"/>
    <s v="EPS"/>
    <n v="0"/>
    <n v="1.1399999999999999"/>
    <d v="1899-12-30T11:01:00"/>
    <s v="JUAN HERNANDEZ"/>
    <m/>
  </r>
  <r>
    <x v="12"/>
    <x v="2"/>
    <x v="0"/>
    <x v="69"/>
    <x v="0"/>
    <n v="1"/>
    <x v="2"/>
    <x v="0"/>
    <x v="0"/>
    <n v="1"/>
    <n v="0"/>
    <s v="EPS"/>
    <n v="0"/>
    <n v="0"/>
    <d v="1899-12-30T06:44:00"/>
    <s v="JUAN HERNANDEZ"/>
    <m/>
  </r>
  <r>
    <x v="12"/>
    <x v="2"/>
    <x v="0"/>
    <x v="69"/>
    <x v="0"/>
    <n v="2"/>
    <x v="1"/>
    <x v="1"/>
    <x v="1"/>
    <n v="17"/>
    <n v="0.4"/>
    <s v="EPS"/>
    <n v="0"/>
    <n v="1.02"/>
    <d v="1899-12-30T07:38:00"/>
    <s v="JUAN HERNANDEZ"/>
    <m/>
  </r>
  <r>
    <x v="12"/>
    <x v="2"/>
    <x v="0"/>
    <x v="69"/>
    <x v="0"/>
    <n v="3"/>
    <x v="6"/>
    <x v="1"/>
    <x v="2"/>
    <n v="34"/>
    <n v="0.45"/>
    <s v="VIVIENDA"/>
    <n v="0"/>
    <n v="1.04"/>
    <d v="1899-12-30T07:56:00"/>
    <s v="JUAN HERNANDEZ"/>
    <m/>
  </r>
  <r>
    <x v="12"/>
    <x v="2"/>
    <x v="0"/>
    <x v="69"/>
    <x v="0"/>
    <n v="4"/>
    <x v="9"/>
    <x v="1"/>
    <x v="3"/>
    <n v="9"/>
    <n v="0.22"/>
    <s v="EPS"/>
    <n v="0"/>
    <n v="0"/>
    <d v="1899-12-30T13:00:00"/>
    <s v="JUAN HERNANDEZ"/>
    <m/>
  </r>
  <r>
    <x v="12"/>
    <x v="2"/>
    <x v="0"/>
    <x v="70"/>
    <x v="0"/>
    <n v="1"/>
    <x v="2"/>
    <x v="0"/>
    <x v="0"/>
    <n v="1"/>
    <n v="0"/>
    <s v="EPS"/>
    <n v="0"/>
    <n v="0"/>
    <d v="1899-12-30T06:58:00"/>
    <s v="JUAN HERNANDEZ"/>
    <m/>
  </r>
  <r>
    <x v="12"/>
    <x v="2"/>
    <x v="0"/>
    <x v="70"/>
    <x v="0"/>
    <n v="2"/>
    <x v="6"/>
    <x v="1"/>
    <x v="2"/>
    <n v="34"/>
    <n v="0.45"/>
    <s v="VIVIENDA"/>
    <n v="0"/>
    <n v="1.19"/>
    <d v="1899-12-30T07:50:00"/>
    <s v="JUAN HERNANDEZ"/>
    <m/>
  </r>
  <r>
    <x v="12"/>
    <x v="2"/>
    <x v="0"/>
    <x v="70"/>
    <x v="0"/>
    <n v="3"/>
    <x v="1"/>
    <x v="1"/>
    <x v="1"/>
    <n v="17"/>
    <n v="0.4"/>
    <s v="EPS"/>
    <n v="0"/>
    <n v="1.21"/>
    <d v="1899-12-30T08:05:00"/>
    <s v="JUAN HERNANDEZ"/>
    <m/>
  </r>
  <r>
    <x v="12"/>
    <x v="2"/>
    <x v="0"/>
    <x v="70"/>
    <x v="0"/>
    <n v="4"/>
    <x v="9"/>
    <x v="1"/>
    <x v="3"/>
    <n v="9"/>
    <n v="0.22"/>
    <s v="EPS"/>
    <n v="0"/>
    <n v="0"/>
    <d v="1899-12-30T10:37:00"/>
    <s v="JUAN HERNANDEZ"/>
    <m/>
  </r>
  <r>
    <x v="12"/>
    <x v="2"/>
    <x v="0"/>
    <x v="70"/>
    <x v="0"/>
    <n v="5"/>
    <x v="1"/>
    <x v="1"/>
    <x v="1"/>
    <n v="17"/>
    <n v="0.4"/>
    <s v="EPS"/>
    <n v="0"/>
    <n v="1.18"/>
    <d v="1899-12-30T10:55:00"/>
    <s v="JUAN HERNANDEZ"/>
    <m/>
  </r>
  <r>
    <x v="12"/>
    <x v="2"/>
    <x v="0"/>
    <x v="70"/>
    <x v="0"/>
    <n v="6"/>
    <x v="6"/>
    <x v="1"/>
    <x v="2"/>
    <n v="34"/>
    <n v="0.45"/>
    <s v="VIVIENDA"/>
    <n v="0"/>
    <n v="1.23"/>
    <d v="1899-12-30T12:05:00"/>
    <s v="JUAN HERNANDEZ"/>
    <m/>
  </r>
  <r>
    <x v="12"/>
    <x v="2"/>
    <x v="0"/>
    <x v="71"/>
    <x v="0"/>
    <n v="1"/>
    <x v="2"/>
    <x v="0"/>
    <x v="0"/>
    <n v="1"/>
    <n v="0"/>
    <s v="EPS"/>
    <n v="0"/>
    <n v="0"/>
    <d v="1899-12-30T06:43:00"/>
    <s v="JUAN HERNANDEZ"/>
    <m/>
  </r>
  <r>
    <x v="12"/>
    <x v="2"/>
    <x v="0"/>
    <x v="71"/>
    <x v="0"/>
    <n v="2"/>
    <x v="1"/>
    <x v="1"/>
    <x v="1"/>
    <n v="17"/>
    <n v="0.4"/>
    <s v="EPS"/>
    <n v="0"/>
    <n v="1.07"/>
    <d v="1899-12-30T07:20:00"/>
    <s v="JUAN HERNANDEZ"/>
    <m/>
  </r>
  <r>
    <x v="12"/>
    <x v="2"/>
    <x v="0"/>
    <x v="71"/>
    <x v="0"/>
    <n v="3"/>
    <x v="6"/>
    <x v="1"/>
    <x v="2"/>
    <n v="34"/>
    <n v="0.45"/>
    <s v="VIVIENDA"/>
    <n v="0"/>
    <n v="1.1100000000000001"/>
    <d v="1899-12-30T07:33:00"/>
    <s v="JUAN HERNANDEZ"/>
    <m/>
  </r>
  <r>
    <x v="12"/>
    <x v="2"/>
    <x v="0"/>
    <x v="71"/>
    <x v="0"/>
    <n v="4"/>
    <x v="0"/>
    <x v="0"/>
    <x v="0"/>
    <n v="1"/>
    <n v="0"/>
    <s v="EPS"/>
    <n v="0"/>
    <n v="0"/>
    <d v="1899-12-30T07:45:00"/>
    <s v="JUAN HERNANDEZ"/>
    <m/>
  </r>
  <r>
    <x v="12"/>
    <x v="2"/>
    <x v="0"/>
    <x v="71"/>
    <x v="0"/>
    <n v="5"/>
    <x v="9"/>
    <x v="1"/>
    <x v="3"/>
    <n v="9"/>
    <n v="0.22"/>
    <s v="EPS"/>
    <n v="0"/>
    <n v="0"/>
    <d v="1899-12-30T08:06:00"/>
    <s v="JUAN HERNANDEZ"/>
    <m/>
  </r>
  <r>
    <x v="12"/>
    <x v="2"/>
    <x v="0"/>
    <x v="71"/>
    <x v="0"/>
    <n v="6"/>
    <x v="1"/>
    <x v="1"/>
    <x v="1"/>
    <n v="17"/>
    <n v="0.4"/>
    <s v="EPS"/>
    <n v="0"/>
    <n v="1.1200000000000001"/>
    <d v="1899-12-30T10:26:00"/>
    <s v="JUAN HERNANDEZ"/>
    <m/>
  </r>
  <r>
    <x v="12"/>
    <x v="2"/>
    <x v="0"/>
    <x v="71"/>
    <x v="0"/>
    <n v="7"/>
    <x v="9"/>
    <x v="1"/>
    <x v="3"/>
    <n v="9"/>
    <n v="0.22"/>
    <s v="EPS"/>
    <n v="0"/>
    <n v="0"/>
    <d v="1899-12-30T12:16:00"/>
    <s v="JUAN HERNANDEZ"/>
    <m/>
  </r>
  <r>
    <x v="12"/>
    <x v="2"/>
    <x v="0"/>
    <x v="72"/>
    <x v="0"/>
    <n v="1"/>
    <x v="9"/>
    <x v="1"/>
    <x v="3"/>
    <n v="9"/>
    <n v="0.22"/>
    <s v="EPS"/>
    <n v="0"/>
    <n v="0"/>
    <d v="1899-12-30T04:10:00"/>
    <s v="JUAN HERNANDEZ"/>
    <m/>
  </r>
  <r>
    <x v="12"/>
    <x v="2"/>
    <x v="0"/>
    <x v="72"/>
    <x v="0"/>
    <n v="2"/>
    <x v="1"/>
    <x v="1"/>
    <x v="1"/>
    <n v="17"/>
    <n v="0.4"/>
    <s v="EPS"/>
    <n v="0"/>
    <n v="1.23"/>
    <d v="1899-12-30T07:29:00"/>
    <s v="JUAN HERNANDEZ"/>
    <m/>
  </r>
  <r>
    <x v="12"/>
    <x v="2"/>
    <x v="0"/>
    <x v="72"/>
    <x v="0"/>
    <n v="3"/>
    <x v="6"/>
    <x v="1"/>
    <x v="2"/>
    <n v="34"/>
    <n v="0.45"/>
    <s v="VIVIENDA"/>
    <n v="0"/>
    <n v="1.18"/>
    <d v="1899-12-30T07:42:00"/>
    <s v="JUAN HERNANDEZ"/>
    <m/>
  </r>
  <r>
    <x v="12"/>
    <x v="2"/>
    <x v="0"/>
    <x v="72"/>
    <x v="0"/>
    <n v="4"/>
    <x v="1"/>
    <x v="1"/>
    <x v="1"/>
    <n v="17"/>
    <n v="0.4"/>
    <s v="EPS"/>
    <n v="0"/>
    <n v="1.19"/>
    <d v="1899-12-30T12:00:00"/>
    <s v="JUAN HERNANDEZ"/>
    <m/>
  </r>
  <r>
    <x v="12"/>
    <x v="2"/>
    <x v="0"/>
    <x v="72"/>
    <x v="0"/>
    <n v="5"/>
    <x v="1"/>
    <x v="1"/>
    <x v="1"/>
    <n v="17"/>
    <n v="0.4"/>
    <s v="EPS"/>
    <n v="0"/>
    <n v="1.08"/>
    <d v="1899-12-30T03:16:00"/>
    <s v="JUAN HERNANDEZ"/>
    <m/>
  </r>
  <r>
    <x v="12"/>
    <x v="2"/>
    <x v="0"/>
    <x v="72"/>
    <x v="0"/>
    <n v="6"/>
    <x v="5"/>
    <x v="1"/>
    <x v="1"/>
    <n v="17"/>
    <n v="0.4"/>
    <s v="EPS"/>
    <n v="0"/>
    <n v="1.1100000000000001"/>
    <d v="1899-12-30T03:29:00"/>
    <s v="JUAN HERNANDEZ"/>
    <m/>
  </r>
  <r>
    <x v="12"/>
    <x v="2"/>
    <x v="0"/>
    <x v="73"/>
    <x v="0"/>
    <n v="1"/>
    <x v="2"/>
    <x v="0"/>
    <x v="0"/>
    <n v="1"/>
    <n v="0"/>
    <s v="EPS"/>
    <n v="0"/>
    <n v="0"/>
    <d v="1899-12-30T06:53:00"/>
    <s v="JUAN HERNANDEZ"/>
    <m/>
  </r>
  <r>
    <x v="12"/>
    <x v="2"/>
    <x v="0"/>
    <x v="73"/>
    <x v="0"/>
    <n v="2"/>
    <x v="6"/>
    <x v="1"/>
    <x v="2"/>
    <n v="34"/>
    <n v="0.45"/>
    <s v="VIVIENDA"/>
    <n v="0"/>
    <n v="1.1100000000000001"/>
    <d v="1899-12-30T07:30:00"/>
    <s v="JUAN HERNANDEZ"/>
    <m/>
  </r>
  <r>
    <x v="12"/>
    <x v="2"/>
    <x v="0"/>
    <x v="73"/>
    <x v="0"/>
    <n v="3"/>
    <x v="0"/>
    <x v="0"/>
    <x v="0"/>
    <n v="1"/>
    <n v="0"/>
    <s v="EPS"/>
    <n v="0"/>
    <n v="0"/>
    <d v="1899-12-30T07:45:00"/>
    <s v="JUAN HERNANDEZ"/>
    <m/>
  </r>
  <r>
    <x v="12"/>
    <x v="2"/>
    <x v="0"/>
    <x v="73"/>
    <x v="0"/>
    <n v="4"/>
    <x v="1"/>
    <x v="1"/>
    <x v="1"/>
    <n v="17"/>
    <n v="0.4"/>
    <s v="EPS"/>
    <n v="0"/>
    <n v="1.08"/>
    <d v="1899-12-30T08:00:00"/>
    <s v="JUAN HERNANDEZ"/>
    <m/>
  </r>
  <r>
    <x v="12"/>
    <x v="2"/>
    <x v="0"/>
    <x v="73"/>
    <x v="0"/>
    <n v="5"/>
    <x v="9"/>
    <x v="1"/>
    <x v="3"/>
    <n v="9"/>
    <n v="0.22"/>
    <s v="EPS"/>
    <n v="0"/>
    <n v="0"/>
    <d v="1899-12-30T08:10:00"/>
    <s v="JUAN HERNANDEZ"/>
    <m/>
  </r>
  <r>
    <x v="12"/>
    <x v="2"/>
    <x v="0"/>
    <x v="73"/>
    <x v="0"/>
    <n v="6"/>
    <x v="1"/>
    <x v="1"/>
    <x v="1"/>
    <n v="17"/>
    <n v="0.4"/>
    <s v="EPS"/>
    <n v="0"/>
    <n v="1.07"/>
    <d v="1899-12-30T09:50:00"/>
    <s v="JUAN HERNANDEZ"/>
    <m/>
  </r>
  <r>
    <x v="12"/>
    <x v="2"/>
    <x v="0"/>
    <x v="73"/>
    <x v="0"/>
    <n v="7"/>
    <x v="2"/>
    <x v="0"/>
    <x v="0"/>
    <n v="1"/>
    <n v="0"/>
    <s v="EPS"/>
    <n v="0"/>
    <n v="0"/>
    <d v="1899-12-30T10:00:00"/>
    <s v="JUAN HERNANDEZ"/>
    <m/>
  </r>
  <r>
    <x v="12"/>
    <x v="2"/>
    <x v="0"/>
    <x v="73"/>
    <x v="0"/>
    <n v="8"/>
    <x v="1"/>
    <x v="1"/>
    <x v="1"/>
    <n v="17"/>
    <n v="0.4"/>
    <s v="EPS"/>
    <n v="0"/>
    <n v="1.1299999999999999"/>
    <d v="1899-12-30T11:15:00"/>
    <s v="JUAN HERNANDEZ"/>
    <m/>
  </r>
  <r>
    <x v="12"/>
    <x v="2"/>
    <x v="0"/>
    <x v="74"/>
    <x v="0"/>
    <n v="1"/>
    <x v="2"/>
    <x v="0"/>
    <x v="0"/>
    <n v="1"/>
    <n v="0"/>
    <s v="EPS"/>
    <n v="0"/>
    <n v="0"/>
    <d v="1899-12-30T07:07:00"/>
    <s v="JUAN HERNANDEZ"/>
    <m/>
  </r>
  <r>
    <x v="12"/>
    <x v="2"/>
    <x v="0"/>
    <x v="74"/>
    <x v="0"/>
    <n v="2"/>
    <x v="5"/>
    <x v="1"/>
    <x v="1"/>
    <n v="17"/>
    <n v="0.4"/>
    <s v="EPS"/>
    <n v="0"/>
    <n v="1.54"/>
    <d v="1899-12-30T07:29:00"/>
    <s v="JUAN HERNANDEZ"/>
    <m/>
  </r>
  <r>
    <x v="12"/>
    <x v="2"/>
    <x v="0"/>
    <x v="74"/>
    <x v="0"/>
    <n v="3"/>
    <x v="9"/>
    <x v="1"/>
    <x v="3"/>
    <n v="9"/>
    <n v="0.22"/>
    <s v="EPS"/>
    <n v="0"/>
    <n v="0"/>
    <d v="1899-12-30T07:51:00"/>
    <s v="JUAN HERNANDEZ"/>
    <m/>
  </r>
  <r>
    <x v="12"/>
    <x v="2"/>
    <x v="0"/>
    <x v="74"/>
    <x v="0"/>
    <n v="4"/>
    <x v="5"/>
    <x v="1"/>
    <x v="1"/>
    <n v="17"/>
    <n v="0.4"/>
    <s v="EPS"/>
    <n v="0"/>
    <n v="1.53"/>
    <d v="1899-12-30T12:05:00"/>
    <s v="JUAN HERNANDEZ"/>
    <m/>
  </r>
  <r>
    <x v="13"/>
    <x v="2"/>
    <x v="0"/>
    <x v="75"/>
    <x v="0"/>
    <n v="1"/>
    <x v="2"/>
    <x v="0"/>
    <x v="0"/>
    <n v="1"/>
    <n v="0"/>
    <s v="EPS"/>
    <n v="0"/>
    <m/>
    <d v="1899-12-30T06:40:00"/>
    <s v="JUAN HERNANDEZ"/>
    <m/>
  </r>
  <r>
    <x v="13"/>
    <x v="2"/>
    <x v="0"/>
    <x v="75"/>
    <x v="0"/>
    <n v="2"/>
    <x v="2"/>
    <x v="0"/>
    <x v="0"/>
    <n v="1"/>
    <n v="0"/>
    <s v="EPS"/>
    <n v="0"/>
    <m/>
    <d v="1899-12-30T11:30:00"/>
    <s v="JUAN HERNANDEZ"/>
    <m/>
  </r>
  <r>
    <x v="13"/>
    <x v="2"/>
    <x v="0"/>
    <x v="75"/>
    <x v="1"/>
    <n v="1"/>
    <x v="5"/>
    <x v="1"/>
    <x v="1"/>
    <n v="17"/>
    <n v="0.4"/>
    <s v="EPS"/>
    <n v="0"/>
    <n v="1.76"/>
    <d v="1899-12-30T08:35:00"/>
    <s v="PABLO CASTILLA"/>
    <m/>
  </r>
  <r>
    <x v="13"/>
    <x v="2"/>
    <x v="0"/>
    <x v="75"/>
    <x v="1"/>
    <n v="2"/>
    <x v="1"/>
    <x v="1"/>
    <x v="1"/>
    <n v="17"/>
    <n v="0.4"/>
    <s v="EPS"/>
    <n v="0"/>
    <n v="1.59"/>
    <d v="1899-12-30T09:00:00"/>
    <s v="PABLO CASTILLA"/>
    <m/>
  </r>
  <r>
    <x v="13"/>
    <x v="2"/>
    <x v="0"/>
    <x v="75"/>
    <x v="1"/>
    <n v="3"/>
    <x v="1"/>
    <x v="1"/>
    <x v="1"/>
    <n v="17"/>
    <n v="0.4"/>
    <s v="EPS"/>
    <n v="0"/>
    <n v="1.22"/>
    <d v="1899-12-30T12:52:00"/>
    <s v="PABLO CASTILLA"/>
    <m/>
  </r>
  <r>
    <x v="13"/>
    <x v="2"/>
    <x v="0"/>
    <x v="75"/>
    <x v="1"/>
    <n v="4"/>
    <x v="5"/>
    <x v="1"/>
    <x v="1"/>
    <n v="17"/>
    <n v="0.4"/>
    <s v="EPS"/>
    <n v="0"/>
    <n v="1.32"/>
    <d v="1899-12-30T13:14:00"/>
    <s v="PABLO CASTILLA"/>
    <m/>
  </r>
  <r>
    <x v="13"/>
    <x v="2"/>
    <x v="0"/>
    <x v="76"/>
    <x v="0"/>
    <n v="1"/>
    <x v="2"/>
    <x v="0"/>
    <x v="0"/>
    <n v="1"/>
    <n v="0"/>
    <s v="EPS"/>
    <n v="0"/>
    <n v="0"/>
    <d v="1899-12-30T06:40:00"/>
    <s v="JUAN HERNANDEZ"/>
    <m/>
  </r>
  <r>
    <x v="13"/>
    <x v="2"/>
    <x v="0"/>
    <x v="76"/>
    <x v="0"/>
    <n v="2"/>
    <x v="9"/>
    <x v="1"/>
    <x v="3"/>
    <n v="9"/>
    <n v="0.22"/>
    <s v="EPS"/>
    <n v="0"/>
    <n v="0"/>
    <d v="1899-12-30T06:50:00"/>
    <s v="JUAN HERNANDEZ"/>
    <m/>
  </r>
  <r>
    <x v="13"/>
    <x v="2"/>
    <x v="0"/>
    <x v="76"/>
    <x v="0"/>
    <n v="3"/>
    <x v="5"/>
    <x v="1"/>
    <x v="1"/>
    <n v="17"/>
    <n v="0.4"/>
    <s v="EPS"/>
    <n v="0"/>
    <n v="1.51"/>
    <d v="1899-12-30T07:28:00"/>
    <s v="JUAN HERNANDEZ"/>
    <m/>
  </r>
  <r>
    <x v="13"/>
    <x v="2"/>
    <x v="0"/>
    <x v="76"/>
    <x v="0"/>
    <n v="4"/>
    <x v="1"/>
    <x v="1"/>
    <x v="1"/>
    <n v="17"/>
    <n v="0.4"/>
    <s v="EPS"/>
    <n v="0"/>
    <n v="1.37"/>
    <d v="1899-12-30T07:00:00"/>
    <s v="JUAN HERNANDEZ"/>
    <m/>
  </r>
  <r>
    <x v="13"/>
    <x v="2"/>
    <x v="0"/>
    <x v="76"/>
    <x v="0"/>
    <n v="5"/>
    <x v="5"/>
    <x v="1"/>
    <x v="1"/>
    <n v="17"/>
    <n v="0.4"/>
    <s v="EPS"/>
    <n v="0"/>
    <n v="1.75"/>
    <d v="1899-12-30T10:22:00"/>
    <s v="JUAN HERNANDEZ"/>
    <m/>
  </r>
  <r>
    <x v="13"/>
    <x v="2"/>
    <x v="0"/>
    <x v="76"/>
    <x v="0"/>
    <n v="6"/>
    <x v="1"/>
    <x v="1"/>
    <x v="1"/>
    <n v="17"/>
    <n v="0.4"/>
    <s v="EPS"/>
    <n v="0"/>
    <n v="1.64"/>
    <d v="1899-12-30T12:40:00"/>
    <s v="JUAN HERNANDEZ"/>
    <m/>
  </r>
  <r>
    <x v="13"/>
    <x v="2"/>
    <x v="0"/>
    <x v="76"/>
    <x v="0"/>
    <n v="7"/>
    <x v="5"/>
    <x v="1"/>
    <x v="1"/>
    <n v="17"/>
    <n v="0.4"/>
    <s v="EPS"/>
    <n v="0"/>
    <n v="1.5"/>
    <d v="1899-12-30T12:58:00"/>
    <s v="JUAN HERNANDEZ"/>
    <m/>
  </r>
  <r>
    <x v="13"/>
    <x v="3"/>
    <x v="0"/>
    <x v="77"/>
    <x v="0"/>
    <n v="1"/>
    <x v="5"/>
    <x v="1"/>
    <x v="1"/>
    <n v="17"/>
    <n v="0.4"/>
    <s v="EPS"/>
    <n v="0"/>
    <n v="1.2"/>
    <d v="1899-12-30T07:41:00"/>
    <s v="JUAN HERNANDEZ"/>
    <m/>
  </r>
  <r>
    <x v="13"/>
    <x v="3"/>
    <x v="0"/>
    <x v="77"/>
    <x v="0"/>
    <n v="2"/>
    <x v="1"/>
    <x v="1"/>
    <x v="1"/>
    <n v="17"/>
    <n v="0.4"/>
    <s v="EPS"/>
    <n v="0"/>
    <n v="1.51"/>
    <d v="1900-01-06T12:00:00"/>
    <s v="JUAN HERNANDEZ"/>
    <m/>
  </r>
  <r>
    <x v="13"/>
    <x v="3"/>
    <x v="0"/>
    <x v="77"/>
    <x v="0"/>
    <n v="3"/>
    <x v="1"/>
    <x v="1"/>
    <x v="1"/>
    <n v="17"/>
    <n v="0.4"/>
    <s v="EPS"/>
    <n v="0"/>
    <n v="1.28"/>
    <d v="1899-12-30T10:48:00"/>
    <s v="JUAN HERNANDEZ"/>
    <m/>
  </r>
  <r>
    <x v="13"/>
    <x v="3"/>
    <x v="0"/>
    <x v="77"/>
    <x v="0"/>
    <n v="4"/>
    <x v="5"/>
    <x v="1"/>
    <x v="1"/>
    <n v="17"/>
    <n v="0.4"/>
    <s v="EPS"/>
    <n v="0"/>
    <n v="1.3"/>
    <d v="1899-12-30T11:01:00"/>
    <s v="JUAN HERNANDEZ"/>
    <m/>
  </r>
  <r>
    <x v="13"/>
    <x v="3"/>
    <x v="0"/>
    <x v="77"/>
    <x v="0"/>
    <n v="5"/>
    <x v="2"/>
    <x v="0"/>
    <x v="0"/>
    <n v="1"/>
    <n v="0"/>
    <s v="EPS"/>
    <n v="0"/>
    <n v="0"/>
    <d v="1899-12-30T12:22:00"/>
    <s v="JUAN HERNANDEZ"/>
    <m/>
  </r>
  <r>
    <x v="13"/>
    <x v="3"/>
    <x v="0"/>
    <x v="78"/>
    <x v="0"/>
    <n v="1"/>
    <x v="5"/>
    <x v="1"/>
    <x v="1"/>
    <n v="17"/>
    <n v="0.4"/>
    <s v="EPS"/>
    <n v="0"/>
    <n v="1.25"/>
    <d v="1899-12-30T07:26:00"/>
    <s v="JUAN HERNANDEZ"/>
    <m/>
  </r>
  <r>
    <x v="13"/>
    <x v="3"/>
    <x v="0"/>
    <x v="78"/>
    <x v="0"/>
    <n v="2"/>
    <x v="5"/>
    <x v="1"/>
    <x v="1"/>
    <n v="17"/>
    <n v="0.4"/>
    <s v="EPS"/>
    <n v="0"/>
    <n v="1.1599999999999999"/>
    <d v="1899-12-30T10:33:00"/>
    <s v="JUAN HERNANDEZ"/>
    <m/>
  </r>
  <r>
    <x v="13"/>
    <x v="3"/>
    <x v="0"/>
    <x v="79"/>
    <x v="0"/>
    <n v="1"/>
    <x v="5"/>
    <x v="1"/>
    <x v="1"/>
    <n v="17"/>
    <n v="0.4"/>
    <s v="EPS"/>
    <n v="0"/>
    <n v="1.23"/>
    <d v="1899-12-30T07:30:00"/>
    <s v="JUAN HERNANDEZ"/>
    <m/>
  </r>
  <r>
    <x v="13"/>
    <x v="3"/>
    <x v="0"/>
    <x v="79"/>
    <x v="0"/>
    <n v="2"/>
    <x v="1"/>
    <x v="1"/>
    <x v="1"/>
    <n v="17"/>
    <n v="0.4"/>
    <s v="EPS"/>
    <n v="0"/>
    <n v="1.22"/>
    <d v="1899-12-30T07:41:00"/>
    <s v="JUAN HERNANDEZ"/>
    <m/>
  </r>
  <r>
    <x v="14"/>
    <x v="3"/>
    <x v="0"/>
    <x v="80"/>
    <x v="0"/>
    <n v="1"/>
    <x v="5"/>
    <x v="1"/>
    <x v="1"/>
    <n v="17"/>
    <n v="0.4"/>
    <s v="EPS"/>
    <n v="0"/>
    <n v="1.59"/>
    <d v="1899-12-30T07:21:00"/>
    <s v="JUAN HERNANDEZ"/>
    <m/>
  </r>
  <r>
    <x v="14"/>
    <x v="3"/>
    <x v="0"/>
    <x v="80"/>
    <x v="0"/>
    <n v="2"/>
    <x v="1"/>
    <x v="1"/>
    <x v="1"/>
    <n v="17"/>
    <n v="0.4"/>
    <s v="EPS"/>
    <n v="0"/>
    <n v="1.49"/>
    <d v="1899-12-30T07:35:00"/>
    <s v="JUAN HERNANDEZ"/>
    <m/>
  </r>
  <r>
    <x v="14"/>
    <x v="3"/>
    <x v="0"/>
    <x v="80"/>
    <x v="0"/>
    <n v="3"/>
    <x v="5"/>
    <x v="1"/>
    <x v="1"/>
    <n v="17"/>
    <n v="0.4"/>
    <s v="EPS"/>
    <n v="0"/>
    <n v="1.47"/>
    <d v="1899-12-30T10:21:00"/>
    <s v="JUAN HERNANDEZ"/>
    <m/>
  </r>
  <r>
    <x v="14"/>
    <x v="3"/>
    <x v="0"/>
    <x v="80"/>
    <x v="0"/>
    <n v="4"/>
    <x v="1"/>
    <x v="1"/>
    <x v="1"/>
    <n v="17"/>
    <n v="0.4"/>
    <s v="EPS"/>
    <n v="0"/>
    <n v="1.56"/>
    <d v="1899-12-30T11:36:00"/>
    <s v="JUAN HERNANDEZ"/>
    <m/>
  </r>
  <r>
    <x v="14"/>
    <x v="3"/>
    <x v="0"/>
    <x v="81"/>
    <x v="0"/>
    <n v="1"/>
    <x v="5"/>
    <x v="1"/>
    <x v="1"/>
    <n v="17"/>
    <n v="0.4"/>
    <s v="EPS"/>
    <n v="0"/>
    <n v="1.52"/>
    <d v="1899-12-30T07:30:00"/>
    <s v="JUAN HERNANDEZ"/>
    <m/>
  </r>
  <r>
    <x v="14"/>
    <x v="3"/>
    <x v="0"/>
    <x v="81"/>
    <x v="0"/>
    <n v="2"/>
    <x v="1"/>
    <x v="1"/>
    <x v="1"/>
    <n v="17"/>
    <n v="0.4"/>
    <s v="EPS"/>
    <n v="0"/>
    <n v="1.53"/>
    <d v="1899-12-30T07:42:00"/>
    <s v="JUAN HERNANDEZ"/>
    <m/>
  </r>
  <r>
    <x v="14"/>
    <x v="3"/>
    <x v="0"/>
    <x v="81"/>
    <x v="0"/>
    <n v="3"/>
    <x v="2"/>
    <x v="0"/>
    <x v="0"/>
    <n v="1"/>
    <n v="0"/>
    <s v="EPS"/>
    <m/>
    <n v="0"/>
    <d v="1899-12-30T07:55:00"/>
    <s v="JUAN HERNANDEZ"/>
    <m/>
  </r>
  <r>
    <x v="14"/>
    <x v="3"/>
    <x v="0"/>
    <x v="81"/>
    <x v="0"/>
    <n v="4"/>
    <x v="9"/>
    <x v="1"/>
    <x v="3"/>
    <n v="9"/>
    <n v="0.22"/>
    <s v="EPS"/>
    <m/>
    <n v="0"/>
    <d v="1899-12-30T08:20:00"/>
    <s v="JUAN HERNANDEZ"/>
    <m/>
  </r>
  <r>
    <x v="14"/>
    <x v="3"/>
    <x v="0"/>
    <x v="81"/>
    <x v="0"/>
    <n v="5"/>
    <x v="1"/>
    <x v="1"/>
    <x v="1"/>
    <n v="17"/>
    <n v="0.4"/>
    <s v="EPS"/>
    <n v="0"/>
    <n v="1.56"/>
    <d v="1899-12-30T09:40:00"/>
    <s v="JUAN HERNANDEZ"/>
    <m/>
  </r>
  <r>
    <x v="14"/>
    <x v="3"/>
    <x v="0"/>
    <x v="81"/>
    <x v="0"/>
    <n v="6"/>
    <x v="5"/>
    <x v="1"/>
    <x v="1"/>
    <n v="17"/>
    <n v="0.4"/>
    <s v="EPS"/>
    <n v="0"/>
    <n v="1.64"/>
    <d v="1899-12-30T10:23:00"/>
    <s v="JUAN HERNANDEZ"/>
    <m/>
  </r>
  <r>
    <x v="14"/>
    <x v="3"/>
    <x v="0"/>
    <x v="81"/>
    <x v="0"/>
    <n v="7"/>
    <x v="1"/>
    <x v="1"/>
    <x v="1"/>
    <n v="17"/>
    <n v="0.4"/>
    <s v="EPS"/>
    <n v="0"/>
    <n v="1.61"/>
    <d v="1899-12-30T12:42:00"/>
    <s v="JUAN HERNANDEZ"/>
    <m/>
  </r>
  <r>
    <x v="14"/>
    <x v="3"/>
    <x v="0"/>
    <x v="82"/>
    <x v="0"/>
    <n v="1"/>
    <x v="5"/>
    <x v="1"/>
    <x v="1"/>
    <n v="17"/>
    <n v="0.4"/>
    <s v="EPS"/>
    <n v="0"/>
    <n v="1.33"/>
    <d v="1899-12-30T07:26:00"/>
    <s v="JUAN HERNANDEZ"/>
    <m/>
  </r>
  <r>
    <x v="14"/>
    <x v="3"/>
    <x v="0"/>
    <x v="82"/>
    <x v="0"/>
    <n v="2"/>
    <x v="1"/>
    <x v="1"/>
    <x v="1"/>
    <n v="17"/>
    <n v="0.4"/>
    <s v="EPS"/>
    <n v="0"/>
    <n v="1.38"/>
    <d v="1899-12-30T07:40:00"/>
    <s v="JUAN HERNANDEZ"/>
    <m/>
  </r>
  <r>
    <x v="14"/>
    <x v="3"/>
    <x v="0"/>
    <x v="82"/>
    <x v="0"/>
    <n v="3"/>
    <x v="9"/>
    <x v="1"/>
    <x v="3"/>
    <n v="9"/>
    <n v="0.22"/>
    <s v="EPS"/>
    <m/>
    <n v="0"/>
    <d v="1899-12-30T07:57:00"/>
    <s v="JUAN HERNANDEZ"/>
    <m/>
  </r>
  <r>
    <x v="14"/>
    <x v="3"/>
    <x v="0"/>
    <x v="82"/>
    <x v="0"/>
    <n v="4"/>
    <x v="5"/>
    <x v="1"/>
    <x v="1"/>
    <n v="17"/>
    <n v="0.4"/>
    <s v="EPS"/>
    <n v="0"/>
    <n v="1.54"/>
    <d v="1899-12-30T10:26:00"/>
    <s v="JUAN HERNANDEZ"/>
    <m/>
  </r>
  <r>
    <x v="14"/>
    <x v="3"/>
    <x v="0"/>
    <x v="82"/>
    <x v="0"/>
    <n v="5"/>
    <x v="1"/>
    <x v="1"/>
    <x v="1"/>
    <n v="17"/>
    <n v="0.4"/>
    <s v="EPS"/>
    <n v="0"/>
    <n v="1.57"/>
    <d v="1899-12-30T11:24:00"/>
    <s v="JUAN HERNANDEZ"/>
    <m/>
  </r>
  <r>
    <x v="14"/>
    <x v="3"/>
    <x v="0"/>
    <x v="82"/>
    <x v="0"/>
    <n v="6"/>
    <x v="9"/>
    <x v="1"/>
    <x v="3"/>
    <n v="9"/>
    <n v="0.22"/>
    <s v="EPS"/>
    <n v="0"/>
    <n v="0"/>
    <d v="1899-12-30T12:52:00"/>
    <s v="JUAN HERNANDEZ"/>
    <m/>
  </r>
  <r>
    <x v="14"/>
    <x v="3"/>
    <x v="0"/>
    <x v="83"/>
    <x v="0"/>
    <n v="1"/>
    <x v="9"/>
    <x v="1"/>
    <x v="3"/>
    <n v="9"/>
    <n v="0.22"/>
    <s v="EPS"/>
    <n v="0"/>
    <n v="0"/>
    <d v="1899-12-30T06:43:00"/>
    <s v="JUAN HERNANDEZ"/>
    <m/>
  </r>
  <r>
    <x v="14"/>
    <x v="3"/>
    <x v="0"/>
    <x v="83"/>
    <x v="0"/>
    <n v="2"/>
    <x v="5"/>
    <x v="1"/>
    <x v="1"/>
    <n v="17"/>
    <n v="0.4"/>
    <s v="EPS"/>
    <n v="0"/>
    <n v="1.0900000000000001"/>
    <d v="1899-12-30T07:36:00"/>
    <s v="JUAN HERNANDEZ"/>
    <m/>
  </r>
  <r>
    <x v="14"/>
    <x v="3"/>
    <x v="0"/>
    <x v="83"/>
    <x v="0"/>
    <n v="3"/>
    <x v="1"/>
    <x v="1"/>
    <x v="1"/>
    <n v="17"/>
    <n v="0.4"/>
    <s v="EPS"/>
    <n v="0"/>
    <n v="1.1100000000000001"/>
    <d v="1899-12-30T07:50:00"/>
    <s v="JUAN HERNANDEZ"/>
    <m/>
  </r>
  <r>
    <x v="14"/>
    <x v="3"/>
    <x v="0"/>
    <x v="83"/>
    <x v="0"/>
    <n v="4"/>
    <x v="1"/>
    <x v="1"/>
    <x v="1"/>
    <n v="17"/>
    <n v="0.4"/>
    <s v="EPS"/>
    <n v="0"/>
    <n v="1.07"/>
    <d v="1899-12-30T09:38:00"/>
    <s v="JUAN HERNANDEZ"/>
    <m/>
  </r>
  <r>
    <x v="14"/>
    <x v="3"/>
    <x v="0"/>
    <x v="83"/>
    <x v="0"/>
    <n v="5"/>
    <x v="5"/>
    <x v="1"/>
    <x v="1"/>
    <n v="17"/>
    <n v="0.4"/>
    <s v="EPS"/>
    <n v="0"/>
    <n v="1.1200000000000001"/>
    <d v="1899-12-30T11:45:00"/>
    <s v="JUAN HERNANDEZ"/>
    <m/>
  </r>
  <r>
    <x v="14"/>
    <x v="3"/>
    <x v="0"/>
    <x v="83"/>
    <x v="0"/>
    <n v="6"/>
    <x v="1"/>
    <x v="1"/>
    <x v="1"/>
    <n v="17"/>
    <n v="0.4"/>
    <s v="EPS"/>
    <n v="0"/>
    <n v="1.1000000000000001"/>
    <d v="1899-12-30T12:43:00"/>
    <s v="JUAN HERNANDEZ"/>
    <m/>
  </r>
  <r>
    <x v="14"/>
    <x v="3"/>
    <x v="0"/>
    <x v="83"/>
    <x v="0"/>
    <n v="7"/>
    <x v="9"/>
    <x v="1"/>
    <x v="3"/>
    <n v="9"/>
    <n v="0.22"/>
    <s v="EPS"/>
    <n v="0"/>
    <n v="0"/>
    <d v="1899-12-30T15:13:00"/>
    <s v="JUAN HERNANDEZ"/>
    <m/>
  </r>
  <r>
    <x v="14"/>
    <x v="3"/>
    <x v="0"/>
    <x v="84"/>
    <x v="0"/>
    <n v="1"/>
    <x v="5"/>
    <x v="1"/>
    <x v="1"/>
    <n v="17"/>
    <n v="0.4"/>
    <s v="EPS"/>
    <n v="0"/>
    <n v="1.0900000000000001"/>
    <d v="1899-12-30T07:37:00"/>
    <s v="JUAN HERNANDEZ"/>
    <m/>
  </r>
  <r>
    <x v="14"/>
    <x v="3"/>
    <x v="0"/>
    <x v="84"/>
    <x v="0"/>
    <n v="2"/>
    <x v="1"/>
    <x v="1"/>
    <x v="1"/>
    <n v="17"/>
    <n v="0.4"/>
    <s v="EPS"/>
    <n v="0"/>
    <n v="1.1100000000000001"/>
    <d v="1899-12-30T07:52:00"/>
    <s v="JUAN HERNANDEZ"/>
    <m/>
  </r>
  <r>
    <x v="14"/>
    <x v="3"/>
    <x v="0"/>
    <x v="84"/>
    <x v="0"/>
    <n v="3"/>
    <x v="9"/>
    <x v="1"/>
    <x v="3"/>
    <n v="9"/>
    <n v="0.22"/>
    <s v="EPS"/>
    <n v="0"/>
    <n v="0"/>
    <d v="1899-12-30T08:05:00"/>
    <s v="JUAN HERNANDEZ"/>
    <m/>
  </r>
  <r>
    <x v="14"/>
    <x v="3"/>
    <x v="0"/>
    <x v="84"/>
    <x v="0"/>
    <n v="4"/>
    <x v="5"/>
    <x v="1"/>
    <x v="1"/>
    <n v="17"/>
    <n v="0.4"/>
    <s v="EPS"/>
    <n v="0"/>
    <n v="1.0900000000000001"/>
    <d v="1899-12-30T10:40:00"/>
    <s v="JUAN HERNANDEZ"/>
    <m/>
  </r>
  <r>
    <x v="14"/>
    <x v="3"/>
    <x v="0"/>
    <x v="84"/>
    <x v="0"/>
    <n v="5"/>
    <x v="9"/>
    <x v="1"/>
    <x v="3"/>
    <n v="9"/>
    <n v="0.22"/>
    <s v="EPS"/>
    <n v="0"/>
    <n v="0"/>
    <d v="1899-12-30T11:08:00"/>
    <s v="JUAN HERNANDEZ"/>
    <m/>
  </r>
  <r>
    <x v="14"/>
    <x v="3"/>
    <x v="0"/>
    <x v="84"/>
    <x v="0"/>
    <n v="6"/>
    <x v="1"/>
    <x v="1"/>
    <x v="1"/>
    <n v="17"/>
    <n v="0.4"/>
    <s v="EPS"/>
    <n v="0"/>
    <n v="1.06"/>
    <d v="1899-12-30T12:14:00"/>
    <s v="JUAN HERNANDEZ"/>
    <m/>
  </r>
  <r>
    <x v="14"/>
    <x v="3"/>
    <x v="0"/>
    <x v="85"/>
    <x v="0"/>
    <n v="1"/>
    <x v="5"/>
    <x v="1"/>
    <x v="1"/>
    <n v="17"/>
    <n v="0.4"/>
    <s v="EPS"/>
    <n v="0"/>
    <n v="1.1000000000000001"/>
    <d v="1899-12-30T07:23:00"/>
    <s v="JUAN HERNANDEZ"/>
    <m/>
  </r>
  <r>
    <x v="14"/>
    <x v="3"/>
    <x v="0"/>
    <x v="85"/>
    <x v="0"/>
    <n v="2"/>
    <x v="1"/>
    <x v="1"/>
    <x v="1"/>
    <n v="17"/>
    <n v="0.4"/>
    <s v="EPS"/>
    <n v="0"/>
    <n v="1.1100000000000001"/>
    <d v="1899-12-30T07:34:00"/>
    <s v="JUAN HERNANDEZ"/>
    <m/>
  </r>
  <r>
    <x v="14"/>
    <x v="3"/>
    <x v="0"/>
    <x v="85"/>
    <x v="0"/>
    <n v="3"/>
    <x v="5"/>
    <x v="1"/>
    <x v="1"/>
    <n v="17"/>
    <n v="0.4"/>
    <s v="EPS"/>
    <n v="0"/>
    <n v="1.18"/>
    <d v="1899-12-30T09:49:00"/>
    <s v="JUAN HERNANDEZ"/>
    <m/>
  </r>
  <r>
    <x v="14"/>
    <x v="3"/>
    <x v="0"/>
    <x v="85"/>
    <x v="0"/>
    <n v="4"/>
    <x v="1"/>
    <x v="1"/>
    <x v="1"/>
    <n v="17"/>
    <n v="0.4"/>
    <s v="EPS"/>
    <n v="0"/>
    <n v="1.21"/>
    <d v="1899-12-30T10:01:00"/>
    <s v="JUAN HERNANDEZ"/>
    <m/>
  </r>
  <r>
    <x v="14"/>
    <x v="3"/>
    <x v="0"/>
    <x v="85"/>
    <x v="0"/>
    <n v="5"/>
    <x v="5"/>
    <x v="1"/>
    <x v="1"/>
    <n v="17"/>
    <n v="0.4"/>
    <s v="EPS"/>
    <n v="0"/>
    <n v="1.17"/>
    <d v="1899-12-30T12:06:00"/>
    <s v="JUAN HERNANDEZ"/>
    <m/>
  </r>
  <r>
    <x v="14"/>
    <x v="3"/>
    <x v="0"/>
    <x v="85"/>
    <x v="0"/>
    <n v="6"/>
    <x v="1"/>
    <x v="1"/>
    <x v="1"/>
    <n v="17"/>
    <n v="0.4"/>
    <s v="EPS"/>
    <n v="0"/>
    <n v="1.24"/>
    <d v="1899-12-30T15:05:00"/>
    <s v="JUAN HERNANDEZ"/>
    <m/>
  </r>
  <r>
    <x v="14"/>
    <x v="3"/>
    <x v="0"/>
    <x v="86"/>
    <x v="0"/>
    <n v="1"/>
    <x v="2"/>
    <x v="0"/>
    <x v="0"/>
    <n v="1"/>
    <n v="0"/>
    <s v="EPS"/>
    <n v="0"/>
    <n v="0"/>
    <d v="1899-12-30T06:47:00"/>
    <s v="JUAN HERNANDEZ"/>
    <m/>
  </r>
  <r>
    <x v="14"/>
    <x v="3"/>
    <x v="0"/>
    <x v="86"/>
    <x v="0"/>
    <n v="2"/>
    <x v="5"/>
    <x v="1"/>
    <x v="1"/>
    <n v="17"/>
    <n v="0.4"/>
    <s v="EPS"/>
    <n v="0"/>
    <n v="1.06"/>
    <d v="1899-12-30T07:13:00"/>
    <s v="JUAN HERNANDEZ"/>
    <m/>
  </r>
  <r>
    <x v="14"/>
    <x v="3"/>
    <x v="0"/>
    <x v="86"/>
    <x v="0"/>
    <n v="3"/>
    <x v="0"/>
    <x v="0"/>
    <x v="0"/>
    <n v="1"/>
    <n v="0"/>
    <s v="EPS"/>
    <n v="0"/>
    <n v="0"/>
    <d v="1899-12-30T07:34:00"/>
    <s v="JUAN HERNANDEZ"/>
    <m/>
  </r>
  <r>
    <x v="14"/>
    <x v="3"/>
    <x v="0"/>
    <x v="86"/>
    <x v="0"/>
    <n v="4"/>
    <x v="5"/>
    <x v="1"/>
    <x v="1"/>
    <n v="17"/>
    <n v="0.4"/>
    <s v="EPS"/>
    <n v="0"/>
    <n v="1.1000000000000001"/>
    <d v="1899-12-30T12:18:00"/>
    <s v="JUAN HERNANDEZ"/>
    <m/>
  </r>
  <r>
    <x v="15"/>
    <x v="3"/>
    <x v="0"/>
    <x v="87"/>
    <x v="0"/>
    <n v="1"/>
    <x v="5"/>
    <x v="1"/>
    <x v="1"/>
    <n v="17"/>
    <n v="0.4"/>
    <s v="EPS"/>
    <n v="0"/>
    <n v="1.54"/>
    <d v="1899-12-30T07:25:00"/>
    <s v="JUAN HERNANDEZ"/>
    <m/>
  </r>
  <r>
    <x v="15"/>
    <x v="3"/>
    <x v="0"/>
    <x v="87"/>
    <x v="0"/>
    <n v="2"/>
    <x v="1"/>
    <x v="1"/>
    <x v="1"/>
    <n v="17"/>
    <n v="0.4"/>
    <s v="EPS"/>
    <n v="0"/>
    <n v="1.41"/>
    <d v="1899-12-30T07:32:00"/>
    <s v="JUAN HERNANDEZ"/>
    <m/>
  </r>
  <r>
    <x v="15"/>
    <x v="3"/>
    <x v="0"/>
    <x v="87"/>
    <x v="0"/>
    <n v="3"/>
    <x v="2"/>
    <x v="0"/>
    <x v="0"/>
    <n v="1"/>
    <n v="0"/>
    <s v="EPS"/>
    <n v="0"/>
    <n v="0"/>
    <d v="1899-12-30T07:44:00"/>
    <s v="JUAN HERNANDEZ"/>
    <m/>
  </r>
  <r>
    <x v="15"/>
    <x v="3"/>
    <x v="0"/>
    <x v="87"/>
    <x v="0"/>
    <n v="4"/>
    <x v="9"/>
    <x v="1"/>
    <x v="3"/>
    <n v="9"/>
    <n v="0.22"/>
    <s v="EPS"/>
    <n v="0"/>
    <n v="0"/>
    <d v="1899-12-30T08:25:00"/>
    <s v="JUAN HERNANDEZ"/>
    <m/>
  </r>
  <r>
    <x v="15"/>
    <x v="3"/>
    <x v="0"/>
    <x v="87"/>
    <x v="0"/>
    <n v="5"/>
    <x v="5"/>
    <x v="1"/>
    <x v="1"/>
    <n v="17"/>
    <n v="0.4"/>
    <s v="EPS"/>
    <n v="0"/>
    <n v="1.46"/>
    <d v="1899-12-30T10:31:00"/>
    <s v="JUAN HERNANDEZ"/>
    <m/>
  </r>
  <r>
    <x v="15"/>
    <x v="3"/>
    <x v="0"/>
    <x v="87"/>
    <x v="0"/>
    <n v="6"/>
    <x v="1"/>
    <x v="1"/>
    <x v="1"/>
    <n v="17"/>
    <n v="0.4"/>
    <s v="EPS"/>
    <n v="0"/>
    <n v="1.37"/>
    <d v="1899-12-30T11:15:00"/>
    <s v="JUAN HERNANDEZ"/>
    <m/>
  </r>
  <r>
    <x v="15"/>
    <x v="3"/>
    <x v="0"/>
    <x v="87"/>
    <x v="0"/>
    <n v="7"/>
    <x v="5"/>
    <x v="1"/>
    <x v="1"/>
    <n v="17"/>
    <n v="0.4"/>
    <s v="EPS"/>
    <n v="0"/>
    <n v="1.46"/>
    <d v="1899-12-30T13:04:00"/>
    <s v="JUAN HERNANDEZ"/>
    <m/>
  </r>
  <r>
    <x v="15"/>
    <x v="3"/>
    <x v="0"/>
    <x v="87"/>
    <x v="0"/>
    <n v="8"/>
    <x v="1"/>
    <x v="1"/>
    <x v="1"/>
    <n v="17"/>
    <n v="0.4"/>
    <s v="EPS"/>
    <n v="0"/>
    <n v="1.35"/>
    <d v="1899-12-30T14:00:00"/>
    <s v="JUAN HERNANDEZ"/>
    <m/>
  </r>
  <r>
    <x v="15"/>
    <x v="3"/>
    <x v="0"/>
    <x v="88"/>
    <x v="0"/>
    <n v="1"/>
    <x v="5"/>
    <x v="1"/>
    <x v="1"/>
    <n v="17"/>
    <n v="0.4"/>
    <s v="EPS"/>
    <n v="0"/>
    <n v="1.04"/>
    <d v="1899-12-30T07:22:00"/>
    <s v="JUAN HERNANDEZ"/>
    <m/>
  </r>
  <r>
    <x v="15"/>
    <x v="3"/>
    <x v="0"/>
    <x v="88"/>
    <x v="0"/>
    <n v="2"/>
    <x v="1"/>
    <x v="1"/>
    <x v="1"/>
    <n v="17"/>
    <n v="0.4"/>
    <s v="EPS"/>
    <n v="0"/>
    <n v="1.1599999999999999"/>
    <d v="1899-12-30T07:39:00"/>
    <s v="JUAN HERNANDEZ"/>
    <m/>
  </r>
  <r>
    <x v="15"/>
    <x v="3"/>
    <x v="0"/>
    <x v="88"/>
    <x v="0"/>
    <n v="3"/>
    <x v="9"/>
    <x v="1"/>
    <x v="3"/>
    <n v="9"/>
    <n v="0.22"/>
    <s v="EPS"/>
    <n v="0"/>
    <n v="0"/>
    <d v="1899-12-30T07:44:00"/>
    <s v="JUAN HERNANDEZ"/>
    <m/>
  </r>
  <r>
    <x v="15"/>
    <x v="3"/>
    <x v="0"/>
    <x v="88"/>
    <x v="0"/>
    <n v="4"/>
    <x v="0"/>
    <x v="0"/>
    <x v="0"/>
    <n v="1"/>
    <n v="0"/>
    <s v="EPS"/>
    <n v="0"/>
    <n v="0"/>
    <d v="1899-12-30T07:56:00"/>
    <s v="JUAN HERNANDEZ"/>
    <m/>
  </r>
  <r>
    <x v="15"/>
    <x v="3"/>
    <x v="0"/>
    <x v="88"/>
    <x v="0"/>
    <n v="5"/>
    <x v="1"/>
    <x v="1"/>
    <x v="1"/>
    <n v="17"/>
    <n v="0.4"/>
    <s v="EPS"/>
    <n v="0"/>
    <n v="1.08"/>
    <d v="1899-12-30T11:21:00"/>
    <s v="JUAN HERNANDEZ"/>
    <m/>
  </r>
  <r>
    <x v="15"/>
    <x v="3"/>
    <x v="0"/>
    <x v="89"/>
    <x v="0"/>
    <n v="1"/>
    <x v="5"/>
    <x v="1"/>
    <x v="1"/>
    <n v="17"/>
    <n v="0.4"/>
    <s v="EPS"/>
    <n v="0"/>
    <n v="1.1000000000000001"/>
    <d v="1899-12-30T07:22:00"/>
    <s v="JUAN HERNANDEZ"/>
    <m/>
  </r>
  <r>
    <x v="15"/>
    <x v="3"/>
    <x v="0"/>
    <x v="89"/>
    <x v="0"/>
    <n v="2"/>
    <x v="1"/>
    <x v="1"/>
    <x v="1"/>
    <n v="17"/>
    <n v="0.4"/>
    <s v="EPS"/>
    <n v="0"/>
    <n v="1.07"/>
    <d v="1899-12-30T07:50:00"/>
    <s v="JUAN HERNANDEZ"/>
    <m/>
  </r>
  <r>
    <x v="15"/>
    <x v="3"/>
    <x v="0"/>
    <x v="89"/>
    <x v="0"/>
    <n v="3"/>
    <x v="5"/>
    <x v="1"/>
    <x v="1"/>
    <n v="17"/>
    <n v="0.4"/>
    <s v="EPS"/>
    <n v="0"/>
    <n v="1.28"/>
    <d v="1899-12-30T12:34:00"/>
    <s v="JUAN HERNANDEZ"/>
    <m/>
  </r>
  <r>
    <x v="15"/>
    <x v="3"/>
    <x v="0"/>
    <x v="89"/>
    <x v="0"/>
    <n v="4"/>
    <x v="1"/>
    <x v="1"/>
    <x v="1"/>
    <n v="17"/>
    <n v="0.4"/>
    <s v="EPS"/>
    <n v="0"/>
    <n v="1.34"/>
    <d v="1899-12-30T12:50:00"/>
    <s v="JUAN HERNANDEZ"/>
    <m/>
  </r>
  <r>
    <x v="15"/>
    <x v="3"/>
    <x v="0"/>
    <x v="90"/>
    <x v="0"/>
    <n v="1"/>
    <x v="5"/>
    <x v="1"/>
    <x v="1"/>
    <n v="17"/>
    <n v="0.4"/>
    <s v="EPS"/>
    <n v="0"/>
    <n v="1.1100000000000001"/>
    <d v="1899-12-30T07:30:00"/>
    <s v="JUAN HERNANDEZ"/>
    <m/>
  </r>
  <r>
    <x v="15"/>
    <x v="3"/>
    <x v="0"/>
    <x v="90"/>
    <x v="0"/>
    <n v="2"/>
    <x v="1"/>
    <x v="1"/>
    <x v="1"/>
    <n v="17"/>
    <n v="0.4"/>
    <s v="EPS"/>
    <n v="0"/>
    <n v="1.3"/>
    <d v="1899-12-30T07:40:00"/>
    <s v="JUAN HERNANDEZ"/>
    <m/>
  </r>
  <r>
    <x v="15"/>
    <x v="3"/>
    <x v="0"/>
    <x v="90"/>
    <x v="0"/>
    <n v="3"/>
    <x v="9"/>
    <x v="1"/>
    <x v="3"/>
    <n v="9"/>
    <n v="0.22"/>
    <s v="EPS"/>
    <n v="0"/>
    <n v="0"/>
    <d v="1899-12-30T08:03:00"/>
    <s v="JUAN HERNANDEZ"/>
    <m/>
  </r>
  <r>
    <x v="15"/>
    <x v="3"/>
    <x v="0"/>
    <x v="90"/>
    <x v="0"/>
    <n v="4"/>
    <x v="1"/>
    <x v="1"/>
    <x v="1"/>
    <n v="17"/>
    <n v="0.4"/>
    <s v="EPS"/>
    <n v="0"/>
    <n v="1.4"/>
    <d v="1899-12-30T10:45:00"/>
    <s v="JUAN HERNANDEZ"/>
    <m/>
  </r>
  <r>
    <x v="15"/>
    <x v="3"/>
    <x v="0"/>
    <x v="90"/>
    <x v="0"/>
    <n v="5"/>
    <x v="5"/>
    <x v="1"/>
    <x v="1"/>
    <n v="17"/>
    <n v="0.4"/>
    <s v="EPS"/>
    <n v="0"/>
    <n v="1.44"/>
    <d v="1899-12-30T11:35:00"/>
    <s v="JUAN HERNANDEZ"/>
    <m/>
  </r>
  <r>
    <x v="15"/>
    <x v="3"/>
    <x v="0"/>
    <x v="91"/>
    <x v="0"/>
    <n v="1"/>
    <x v="2"/>
    <x v="0"/>
    <x v="0"/>
    <n v="1"/>
    <n v="0"/>
    <s v="EPS"/>
    <n v="0"/>
    <n v="0"/>
    <d v="1899-12-30T06:48:00"/>
    <s v="JUAN HERNANDEZ"/>
    <m/>
  </r>
  <r>
    <x v="15"/>
    <x v="3"/>
    <x v="0"/>
    <x v="91"/>
    <x v="0"/>
    <n v="2"/>
    <x v="5"/>
    <x v="1"/>
    <x v="1"/>
    <n v="17"/>
    <n v="0.4"/>
    <s v="EPS"/>
    <n v="0"/>
    <n v="1.27"/>
    <d v="1899-12-30T07:15:00"/>
    <s v="JUAN HERNANDEZ"/>
    <m/>
  </r>
  <r>
    <x v="15"/>
    <x v="3"/>
    <x v="0"/>
    <x v="91"/>
    <x v="0"/>
    <n v="3"/>
    <x v="1"/>
    <x v="1"/>
    <x v="1"/>
    <n v="17"/>
    <n v="0.4"/>
    <s v="EPS"/>
    <n v="0"/>
    <n v="1.36"/>
    <d v="1899-12-30T07:32:00"/>
    <s v="JUAN HERNANDEZ"/>
    <m/>
  </r>
  <r>
    <x v="15"/>
    <x v="3"/>
    <x v="0"/>
    <x v="91"/>
    <x v="0"/>
    <n v="4"/>
    <x v="0"/>
    <x v="0"/>
    <x v="0"/>
    <n v="1"/>
    <n v="0"/>
    <s v="EPS"/>
    <n v="0"/>
    <n v="0"/>
    <d v="1899-12-30T08:27:00"/>
    <s v="JUAN HERNANDEZ"/>
    <m/>
  </r>
  <r>
    <x v="15"/>
    <x v="3"/>
    <x v="0"/>
    <x v="91"/>
    <x v="1"/>
    <n v="5"/>
    <x v="5"/>
    <x v="1"/>
    <x v="1"/>
    <n v="17"/>
    <n v="0.4"/>
    <s v="EPS"/>
    <n v="0"/>
    <n v="1.71"/>
    <d v="1899-12-30T10:46:00"/>
    <s v="JUAN HERNANDEZ"/>
    <m/>
  </r>
  <r>
    <x v="15"/>
    <x v="3"/>
    <x v="0"/>
    <x v="91"/>
    <x v="1"/>
    <n v="6"/>
    <x v="1"/>
    <x v="1"/>
    <x v="1"/>
    <n v="17"/>
    <n v="0.4"/>
    <s v="EPS"/>
    <n v="0"/>
    <n v="1.3"/>
    <d v="1899-12-30T10:58:00"/>
    <s v="PABLO CASTILLA"/>
    <m/>
  </r>
  <r>
    <x v="15"/>
    <x v="3"/>
    <x v="0"/>
    <x v="92"/>
    <x v="1"/>
    <n v="1"/>
    <x v="5"/>
    <x v="1"/>
    <x v="1"/>
    <n v="17"/>
    <n v="0.4"/>
    <s v="EPS"/>
    <n v="0"/>
    <n v="1.1299999999999999"/>
    <d v="1899-12-30T09:50:00"/>
    <s v="PABLO CASTILLA"/>
    <m/>
  </r>
  <r>
    <x v="15"/>
    <x v="3"/>
    <x v="0"/>
    <x v="92"/>
    <x v="1"/>
    <n v="2"/>
    <x v="1"/>
    <x v="1"/>
    <x v="1"/>
    <n v="17"/>
    <n v="0.4"/>
    <s v="EPS"/>
    <n v="0"/>
    <n v="1.22"/>
    <d v="1899-12-30T10:16:00"/>
    <s v="PABLO CASTILLA"/>
    <m/>
  </r>
  <r>
    <x v="15"/>
    <x v="3"/>
    <x v="0"/>
    <x v="92"/>
    <x v="0"/>
    <n v="3"/>
    <x v="5"/>
    <x v="1"/>
    <x v="1"/>
    <n v="17"/>
    <n v="0.4"/>
    <s v="EPS"/>
    <n v="0"/>
    <n v="1.07"/>
    <d v="1899-12-30T07:21:00"/>
    <s v="JUAN HERNANDEZ"/>
    <m/>
  </r>
  <r>
    <x v="15"/>
    <x v="3"/>
    <x v="0"/>
    <x v="92"/>
    <x v="0"/>
    <n v="4"/>
    <x v="1"/>
    <x v="1"/>
    <x v="1"/>
    <n v="17"/>
    <n v="0.4"/>
    <s v="EPS"/>
    <n v="0"/>
    <n v="1.1200000000000001"/>
    <d v="1899-12-30T07:36:00"/>
    <s v="JUAN HERNANDEZ"/>
    <m/>
  </r>
  <r>
    <x v="15"/>
    <x v="3"/>
    <x v="0"/>
    <x v="92"/>
    <x v="0"/>
    <n v="5"/>
    <x v="0"/>
    <x v="0"/>
    <x v="0"/>
    <n v="1"/>
    <n v="0"/>
    <s v="EPS"/>
    <n v="0"/>
    <n v="0"/>
    <d v="1899-12-30T07:54:00"/>
    <s v="JUAN HERNANDEZ"/>
    <m/>
  </r>
  <r>
    <x v="15"/>
    <x v="3"/>
    <x v="0"/>
    <x v="92"/>
    <x v="0"/>
    <n v="6"/>
    <x v="1"/>
    <x v="1"/>
    <x v="1"/>
    <n v="17"/>
    <n v="0.4"/>
    <s v="EPS"/>
    <n v="0"/>
    <n v="1.1000000000000001"/>
    <d v="1899-12-30T13:03:00"/>
    <s v="JUAN HERNANDEZ"/>
    <m/>
  </r>
  <r>
    <x v="16"/>
    <x v="3"/>
    <x v="0"/>
    <x v="93"/>
    <x v="0"/>
    <n v="1"/>
    <x v="5"/>
    <x v="1"/>
    <x v="1"/>
    <n v="17"/>
    <n v="0.4"/>
    <s v="EPS"/>
    <n v="0"/>
    <n v="1.1100000000000001"/>
    <d v="1899-12-30T07:20:00"/>
    <s v="JUAN HERNANDEZ"/>
    <m/>
  </r>
  <r>
    <x v="16"/>
    <x v="3"/>
    <x v="0"/>
    <x v="93"/>
    <x v="0"/>
    <n v="2"/>
    <x v="1"/>
    <x v="1"/>
    <x v="1"/>
    <n v="17"/>
    <n v="0.4"/>
    <s v="EPS"/>
    <n v="0"/>
    <n v="1.1399999999999999"/>
    <d v="1899-12-30T07:39:00"/>
    <s v="JUAN HERNANDEZ"/>
    <m/>
  </r>
  <r>
    <x v="16"/>
    <x v="3"/>
    <x v="0"/>
    <x v="94"/>
    <x v="0"/>
    <n v="1"/>
    <x v="5"/>
    <x v="1"/>
    <x v="1"/>
    <n v="17"/>
    <n v="0.4"/>
    <s v="EPS"/>
    <n v="0"/>
    <n v="1.1599999999999999"/>
    <d v="1899-12-30T07:21:00"/>
    <s v="JUAN HERNANDEZ"/>
    <m/>
  </r>
  <r>
    <x v="16"/>
    <x v="3"/>
    <x v="0"/>
    <x v="94"/>
    <x v="0"/>
    <n v="2"/>
    <x v="1"/>
    <x v="1"/>
    <x v="1"/>
    <n v="17"/>
    <n v="0.4"/>
    <s v="EPS"/>
    <n v="0"/>
    <n v="1.17"/>
    <d v="1899-12-30T07:40:00"/>
    <s v="JUAN HERNANDEZ"/>
    <m/>
  </r>
  <r>
    <x v="16"/>
    <x v="3"/>
    <x v="0"/>
    <x v="94"/>
    <x v="0"/>
    <n v="3"/>
    <x v="9"/>
    <x v="1"/>
    <x v="3"/>
    <n v="9"/>
    <n v="0.22"/>
    <s v="EPS"/>
    <n v="0"/>
    <n v="0"/>
    <d v="1899-12-30T07:50:00"/>
    <s v="JUAN HERNANDEZ"/>
    <m/>
  </r>
  <r>
    <x v="16"/>
    <x v="3"/>
    <x v="0"/>
    <x v="94"/>
    <x v="0"/>
    <n v="4"/>
    <x v="1"/>
    <x v="1"/>
    <x v="1"/>
    <n v="17"/>
    <n v="0.4"/>
    <s v="EPS"/>
    <n v="0"/>
    <n v="1.32"/>
    <d v="1899-12-30T12:20:00"/>
    <s v="JUAN HERNANDEZ"/>
    <m/>
  </r>
  <r>
    <x v="16"/>
    <x v="3"/>
    <x v="0"/>
    <x v="94"/>
    <x v="0"/>
    <n v="5"/>
    <x v="5"/>
    <x v="1"/>
    <x v="1"/>
    <n v="17"/>
    <n v="0.4"/>
    <s v="EPS"/>
    <n v="0"/>
    <n v="1.3"/>
    <d v="1899-12-30T12:32:00"/>
    <s v="JUAN HERNANDEZ"/>
    <m/>
  </r>
  <r>
    <x v="16"/>
    <x v="3"/>
    <x v="0"/>
    <x v="94"/>
    <x v="0"/>
    <n v="6"/>
    <x v="1"/>
    <x v="1"/>
    <x v="1"/>
    <n v="17"/>
    <n v="0.4"/>
    <s v="EPS"/>
    <n v="0"/>
    <n v="1.2"/>
    <d v="1899-12-30T12:08:00"/>
    <s v="JUAN HERNANDEZ"/>
    <m/>
  </r>
  <r>
    <x v="16"/>
    <x v="3"/>
    <x v="0"/>
    <x v="94"/>
    <x v="1"/>
    <n v="7"/>
    <x v="5"/>
    <x v="1"/>
    <x v="1"/>
    <n v="17"/>
    <n v="0.4"/>
    <s v="EPS"/>
    <n v="0"/>
    <n v="1.48"/>
    <d v="1899-12-30T09:43:00"/>
    <s v="PABLO CASTILLA"/>
    <m/>
  </r>
  <r>
    <x v="16"/>
    <x v="3"/>
    <x v="0"/>
    <x v="95"/>
    <x v="0"/>
    <n v="1"/>
    <x v="5"/>
    <x v="1"/>
    <x v="1"/>
    <n v="17"/>
    <n v="0.4"/>
    <s v="EPS"/>
    <n v="0"/>
    <n v="1.35"/>
    <d v="1899-12-30T07:20:00"/>
    <s v="JUAN HERNANDEZ"/>
    <m/>
  </r>
  <r>
    <x v="16"/>
    <x v="3"/>
    <x v="0"/>
    <x v="95"/>
    <x v="0"/>
    <n v="2"/>
    <x v="1"/>
    <x v="1"/>
    <x v="1"/>
    <n v="17"/>
    <n v="0.4"/>
    <s v="EPS"/>
    <n v="0"/>
    <n v="1.38"/>
    <d v="1899-12-30T07:35:00"/>
    <s v="JUAN HERNANDEZ"/>
    <m/>
  </r>
  <r>
    <x v="16"/>
    <x v="3"/>
    <x v="0"/>
    <x v="95"/>
    <x v="0"/>
    <n v="3"/>
    <x v="9"/>
    <x v="1"/>
    <x v="3"/>
    <n v="9"/>
    <n v="0.22"/>
    <s v="EPS"/>
    <n v="0"/>
    <n v="0"/>
    <d v="1899-12-30T08:03:00"/>
    <s v="JUAN HERNANDEZ"/>
    <m/>
  </r>
  <r>
    <x v="16"/>
    <x v="3"/>
    <x v="0"/>
    <x v="95"/>
    <x v="0"/>
    <n v="4"/>
    <x v="5"/>
    <x v="1"/>
    <x v="1"/>
    <n v="17"/>
    <n v="0.4"/>
    <s v="EPS"/>
    <n v="0"/>
    <n v="1.4"/>
    <d v="1899-12-30T10:16:00"/>
    <s v="JUAN HERNANDEZ"/>
    <m/>
  </r>
  <r>
    <x v="16"/>
    <x v="3"/>
    <x v="0"/>
    <x v="95"/>
    <x v="0"/>
    <n v="5"/>
    <x v="1"/>
    <x v="1"/>
    <x v="1"/>
    <n v="17"/>
    <n v="0.4"/>
    <s v="EPS"/>
    <n v="0"/>
    <n v="1.34"/>
    <d v="1899-12-30T10:42:00"/>
    <s v="JUAN HERNANDEZ"/>
    <m/>
  </r>
  <r>
    <x v="16"/>
    <x v="3"/>
    <x v="0"/>
    <x v="95"/>
    <x v="0"/>
    <n v="6"/>
    <x v="5"/>
    <x v="1"/>
    <x v="1"/>
    <n v="17"/>
    <n v="0.4"/>
    <s v="EPS"/>
    <n v="0"/>
    <n v="1.43"/>
    <d v="1899-12-30T12:25:00"/>
    <s v="JUAN HERNANDEZ"/>
    <m/>
  </r>
  <r>
    <x v="16"/>
    <x v="3"/>
    <x v="0"/>
    <x v="95"/>
    <x v="0"/>
    <n v="7"/>
    <x v="1"/>
    <x v="1"/>
    <x v="1"/>
    <n v="17"/>
    <n v="0.4"/>
    <s v="EPS"/>
    <n v="0"/>
    <n v="1.41"/>
    <d v="1899-12-30T13:20:00"/>
    <s v="JUAN HERNANDEZ"/>
    <m/>
  </r>
  <r>
    <x v="16"/>
    <x v="3"/>
    <x v="0"/>
    <x v="96"/>
    <x v="1"/>
    <n v="1"/>
    <x v="5"/>
    <x v="1"/>
    <x v="1"/>
    <n v="17"/>
    <n v="0.4"/>
    <s v="EPS"/>
    <n v="0"/>
    <n v="1.24"/>
    <d v="1899-12-30T09:56:00"/>
    <s v="PABLO CASTILLA"/>
    <m/>
  </r>
  <r>
    <x v="16"/>
    <x v="3"/>
    <x v="0"/>
    <x v="96"/>
    <x v="0"/>
    <n v="1"/>
    <x v="2"/>
    <x v="0"/>
    <x v="0"/>
    <n v="1"/>
    <n v="0"/>
    <s v="EPS"/>
    <n v="0"/>
    <n v="0"/>
    <d v="1899-12-30T07:00:00"/>
    <s v="JUAN HERNANDEZ"/>
    <m/>
  </r>
  <r>
    <x v="16"/>
    <x v="3"/>
    <x v="0"/>
    <x v="96"/>
    <x v="0"/>
    <n v="2"/>
    <x v="9"/>
    <x v="1"/>
    <x v="3"/>
    <n v="9"/>
    <n v="0.22"/>
    <s v="EPS"/>
    <n v="0"/>
    <n v="0"/>
    <d v="1899-12-30T07:10:00"/>
    <s v="JUAN HERNANDEZ"/>
    <m/>
  </r>
  <r>
    <x v="16"/>
    <x v="3"/>
    <x v="0"/>
    <x v="96"/>
    <x v="0"/>
    <n v="3"/>
    <x v="5"/>
    <x v="1"/>
    <x v="1"/>
    <n v="17"/>
    <n v="0.4"/>
    <s v="EPS"/>
    <n v="0"/>
    <n v="1.36"/>
    <d v="1899-12-30T07:28:00"/>
    <s v="JUAN HERNANDEZ"/>
    <m/>
  </r>
  <r>
    <x v="16"/>
    <x v="3"/>
    <x v="0"/>
    <x v="96"/>
    <x v="0"/>
    <n v="4"/>
    <x v="1"/>
    <x v="1"/>
    <x v="1"/>
    <n v="17"/>
    <n v="0.4"/>
    <s v="EPS"/>
    <n v="0"/>
    <n v="1.4"/>
    <d v="1899-12-30T07:40:00"/>
    <s v="JUAN HERNANDEZ"/>
    <m/>
  </r>
  <r>
    <x v="16"/>
    <x v="3"/>
    <x v="0"/>
    <x v="96"/>
    <x v="0"/>
    <n v="5"/>
    <x v="1"/>
    <x v="1"/>
    <x v="1"/>
    <n v="17"/>
    <n v="0.4"/>
    <s v="EPS"/>
    <n v="0"/>
    <n v="1.24"/>
    <d v="1899-12-30T11:17:00"/>
    <s v="JUAN HERNANDEZ"/>
    <m/>
  </r>
  <r>
    <x v="16"/>
    <x v="3"/>
    <x v="0"/>
    <x v="96"/>
    <x v="0"/>
    <n v="6"/>
    <x v="5"/>
    <x v="1"/>
    <x v="1"/>
    <n v="17"/>
    <n v="0.4"/>
    <s v="EPS"/>
    <n v="0"/>
    <n v="1.29"/>
    <d v="1899-12-30T12:28:00"/>
    <s v="JUAN HERNANDEZ"/>
    <m/>
  </r>
  <r>
    <x v="16"/>
    <x v="3"/>
    <x v="0"/>
    <x v="96"/>
    <x v="0"/>
    <n v="7"/>
    <x v="1"/>
    <x v="1"/>
    <x v="1"/>
    <n v="17"/>
    <n v="0.4"/>
    <s v="EPS"/>
    <n v="0"/>
    <n v="1.4"/>
    <d v="1899-12-30T13:50:00"/>
    <s v="JUAN HERNANDEZ"/>
    <m/>
  </r>
  <r>
    <x v="16"/>
    <x v="3"/>
    <x v="0"/>
    <x v="97"/>
    <x v="0"/>
    <n v="1"/>
    <x v="2"/>
    <x v="0"/>
    <x v="0"/>
    <n v="1"/>
    <n v="0"/>
    <s v="EPS"/>
    <n v="0"/>
    <n v="0"/>
    <d v="1899-12-30T07:13:00"/>
    <s v="JUAN HERNANDEZ"/>
    <m/>
  </r>
  <r>
    <x v="16"/>
    <x v="3"/>
    <x v="0"/>
    <x v="97"/>
    <x v="0"/>
    <n v="2"/>
    <x v="9"/>
    <x v="1"/>
    <x v="3"/>
    <n v="9"/>
    <n v="0.22"/>
    <s v="EPS"/>
    <n v="0"/>
    <n v="0"/>
    <d v="1899-12-30T07:20:00"/>
    <s v="JUAN HERNANDEZ"/>
    <m/>
  </r>
  <r>
    <x v="16"/>
    <x v="3"/>
    <x v="0"/>
    <x v="97"/>
    <x v="0"/>
    <n v="3"/>
    <x v="5"/>
    <x v="1"/>
    <x v="1"/>
    <n v="17"/>
    <n v="0.4"/>
    <s v="EPS"/>
    <n v="0"/>
    <n v="1.25"/>
    <d v="1899-12-30T07:34:00"/>
    <s v="JUAN HERNANDEZ"/>
    <m/>
  </r>
  <r>
    <x v="16"/>
    <x v="3"/>
    <x v="0"/>
    <x v="97"/>
    <x v="0"/>
    <n v="4"/>
    <x v="1"/>
    <x v="1"/>
    <x v="1"/>
    <n v="17"/>
    <n v="0.4"/>
    <s v="EPS"/>
    <n v="0"/>
    <n v="1.3"/>
    <d v="1899-12-30T09:55:00"/>
    <s v="JUAN HERNANDEZ"/>
    <m/>
  </r>
  <r>
    <x v="16"/>
    <x v="3"/>
    <x v="0"/>
    <x v="97"/>
    <x v="0"/>
    <n v="5"/>
    <x v="5"/>
    <x v="1"/>
    <x v="1"/>
    <n v="17"/>
    <n v="0.4"/>
    <s v="EPS"/>
    <n v="0"/>
    <n v="1.32"/>
    <d v="1899-12-30T10:50:00"/>
    <s v="JUAN HERNANDEZ"/>
    <m/>
  </r>
  <r>
    <x v="16"/>
    <x v="3"/>
    <x v="0"/>
    <x v="97"/>
    <x v="0"/>
    <n v="6"/>
    <x v="5"/>
    <x v="1"/>
    <x v="1"/>
    <n v="17"/>
    <n v="0.4"/>
    <s v="EPS"/>
    <n v="0"/>
    <n v="1.5"/>
    <d v="1899-12-30T12:43:00"/>
    <s v="JUAN HERNANDEZ"/>
    <m/>
  </r>
  <r>
    <x v="16"/>
    <x v="3"/>
    <x v="0"/>
    <x v="97"/>
    <x v="0"/>
    <n v="7"/>
    <x v="1"/>
    <x v="1"/>
    <x v="1"/>
    <n v="17"/>
    <n v="0.4"/>
    <s v="EPS"/>
    <n v="0"/>
    <n v="1.43"/>
    <d v="1899-12-30T12:58:00"/>
    <s v="JUAN HERNANDEZ"/>
    <m/>
  </r>
  <r>
    <x v="16"/>
    <x v="3"/>
    <x v="0"/>
    <x v="97"/>
    <x v="0"/>
    <n v="8"/>
    <x v="9"/>
    <x v="1"/>
    <x v="3"/>
    <n v="9"/>
    <n v="0.22"/>
    <s v="EPS"/>
    <n v="0"/>
    <n v="0"/>
    <d v="1899-12-30T14:43:00"/>
    <s v="JUAN HERNANDEZ"/>
    <m/>
  </r>
  <r>
    <x v="16"/>
    <x v="3"/>
    <x v="0"/>
    <x v="98"/>
    <x v="0"/>
    <n v="1"/>
    <x v="2"/>
    <x v="0"/>
    <x v="0"/>
    <n v="1"/>
    <n v="0"/>
    <s v="EPS"/>
    <n v="0"/>
    <n v="0"/>
    <d v="1899-12-30T07:00:00"/>
    <s v="JUAN HERNANDEZ"/>
    <m/>
  </r>
  <r>
    <x v="16"/>
    <x v="3"/>
    <x v="0"/>
    <x v="98"/>
    <x v="0"/>
    <n v="2"/>
    <x v="5"/>
    <x v="1"/>
    <x v="1"/>
    <n v="17"/>
    <n v="0.4"/>
    <s v="EPS"/>
    <n v="0"/>
    <n v="1.27"/>
    <d v="1899-12-30T07:23:00"/>
    <s v="JUAN HERNANDEZ"/>
    <m/>
  </r>
  <r>
    <x v="16"/>
    <x v="3"/>
    <x v="0"/>
    <x v="98"/>
    <x v="0"/>
    <n v="3"/>
    <x v="1"/>
    <x v="1"/>
    <x v="1"/>
    <n v="17"/>
    <n v="0.4"/>
    <s v="EPS"/>
    <n v="0"/>
    <n v="1.24"/>
    <d v="1899-12-30T07:50:00"/>
    <s v="JUAN HERNANDEZ"/>
    <m/>
  </r>
  <r>
    <x v="16"/>
    <x v="3"/>
    <x v="0"/>
    <x v="98"/>
    <x v="0"/>
    <n v="4"/>
    <x v="9"/>
    <x v="1"/>
    <x v="3"/>
    <n v="9"/>
    <n v="0.22"/>
    <s v="EPS"/>
    <n v="0"/>
    <n v="0"/>
    <d v="1899-12-30T08:06:00"/>
    <s v="JUAN HERNANDEZ"/>
    <m/>
  </r>
  <r>
    <x v="16"/>
    <x v="3"/>
    <x v="0"/>
    <x v="98"/>
    <x v="0"/>
    <n v="5"/>
    <x v="1"/>
    <x v="1"/>
    <x v="1"/>
    <n v="17"/>
    <n v="0.4"/>
    <s v="EPS"/>
    <n v="0"/>
    <n v="1.59"/>
    <d v="1899-12-30T11:58:00"/>
    <s v="JUAN HERNANDEZ"/>
    <m/>
  </r>
  <r>
    <x v="16"/>
    <x v="3"/>
    <x v="0"/>
    <x v="98"/>
    <x v="0"/>
    <n v="6"/>
    <x v="5"/>
    <x v="1"/>
    <x v="1"/>
    <n v="17"/>
    <n v="0.4"/>
    <s v="EPS"/>
    <n v="0"/>
    <n v="1.54"/>
    <d v="1899-12-30T12:10:00"/>
    <s v="JUAN HERNANDEZ"/>
    <m/>
  </r>
  <r>
    <x v="16"/>
    <x v="3"/>
    <x v="0"/>
    <x v="99"/>
    <x v="0"/>
    <n v="1"/>
    <x v="5"/>
    <x v="1"/>
    <x v="1"/>
    <n v="17"/>
    <n v="0.4"/>
    <s v="EPS"/>
    <n v="0"/>
    <n v="1.52"/>
    <d v="1899-12-30T07:18:00"/>
    <s v="JUAN HERNANDEZ"/>
    <m/>
  </r>
  <r>
    <x v="16"/>
    <x v="3"/>
    <x v="0"/>
    <x v="99"/>
    <x v="0"/>
    <n v="2"/>
    <x v="2"/>
    <x v="0"/>
    <x v="0"/>
    <n v="1"/>
    <n v="0"/>
    <s v="EPS"/>
    <n v="0"/>
    <n v="0"/>
    <d v="1899-12-30T07:48:00"/>
    <s v="JUAN HERNANDEZ"/>
    <m/>
  </r>
  <r>
    <x v="16"/>
    <x v="3"/>
    <x v="0"/>
    <x v="99"/>
    <x v="0"/>
    <n v="3"/>
    <x v="9"/>
    <x v="1"/>
    <x v="3"/>
    <n v="9"/>
    <n v="0.22"/>
    <s v="EPS"/>
    <n v="0"/>
    <n v="0"/>
    <d v="1899-12-30T08:04:00"/>
    <s v="JUAN HERNANDEZ"/>
    <m/>
  </r>
  <r>
    <x v="16"/>
    <x v="3"/>
    <x v="0"/>
    <x v="99"/>
    <x v="0"/>
    <n v="4"/>
    <x v="5"/>
    <x v="1"/>
    <x v="1"/>
    <n v="17"/>
    <n v="0.4"/>
    <s v="EPS"/>
    <n v="0"/>
    <n v="1.49"/>
    <d v="1899-12-30T10:33:00"/>
    <s v="JUAN HERNANDEZ"/>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60">
  <r>
    <x v="0"/>
    <x v="0"/>
    <x v="0"/>
    <s v="18:00"/>
    <n v="10.679600000000001"/>
  </r>
  <r>
    <x v="0"/>
    <x v="0"/>
    <x v="0"/>
    <s v="14:00"/>
    <n v="10.679600000000001"/>
  </r>
  <r>
    <x v="0"/>
    <x v="0"/>
    <x v="0"/>
    <s v="10:00"/>
    <n v="10.679600000000001"/>
  </r>
  <r>
    <x v="0"/>
    <x v="0"/>
    <x v="0"/>
    <s v="06:00"/>
    <n v="10.679600000000001"/>
  </r>
  <r>
    <x v="0"/>
    <x v="0"/>
    <x v="1"/>
    <s v="18:00"/>
    <n v="12.591699999999999"/>
  </r>
  <r>
    <x v="0"/>
    <x v="0"/>
    <x v="1"/>
    <s v="14:00"/>
    <n v="12.591699999999999"/>
  </r>
  <r>
    <x v="0"/>
    <x v="0"/>
    <x v="1"/>
    <s v="10:00"/>
    <n v="10.679600000000001"/>
  </r>
  <r>
    <x v="0"/>
    <x v="0"/>
    <x v="1"/>
    <s v="06:00"/>
    <n v="9.7845999999999993"/>
  </r>
  <r>
    <x v="0"/>
    <x v="0"/>
    <x v="2"/>
    <s v="18:00"/>
    <n v="11.6153"/>
  </r>
  <r>
    <x v="0"/>
    <x v="0"/>
    <x v="2"/>
    <s v="14:00"/>
    <n v="11.6153"/>
  </r>
  <r>
    <x v="0"/>
    <x v="0"/>
    <x v="2"/>
    <s v="10:00"/>
    <n v="13.6088"/>
  </r>
  <r>
    <x v="0"/>
    <x v="0"/>
    <x v="2"/>
    <s v="06:00"/>
    <n v="13.6088"/>
  </r>
  <r>
    <x v="0"/>
    <x v="0"/>
    <x v="3"/>
    <s v="18:00"/>
    <n v="18.0839"/>
  </r>
  <r>
    <x v="0"/>
    <x v="0"/>
    <x v="3"/>
    <s v="14:00"/>
    <n v="21.8674"/>
  </r>
  <r>
    <x v="0"/>
    <x v="0"/>
    <x v="3"/>
    <s v="10:00"/>
    <n v="26.017199999999999"/>
  </r>
  <r>
    <x v="0"/>
    <x v="0"/>
    <x v="3"/>
    <s v="06:00"/>
    <n v="26.017199999999999"/>
  </r>
  <r>
    <x v="0"/>
    <x v="0"/>
    <x v="4"/>
    <s v="18:00"/>
    <n v="9.7845999999999993"/>
  </r>
  <r>
    <x v="0"/>
    <x v="0"/>
    <x v="4"/>
    <s v="14:00"/>
    <n v="9.7845999999999993"/>
  </r>
  <r>
    <x v="0"/>
    <x v="0"/>
    <x v="4"/>
    <s v="10:00"/>
    <n v="9.7845999999999993"/>
  </r>
  <r>
    <x v="0"/>
    <x v="0"/>
    <x v="4"/>
    <s v="06:00"/>
    <n v="9.7845999999999993"/>
  </r>
  <r>
    <x v="0"/>
    <x v="0"/>
    <x v="5"/>
    <s v="06:00"/>
    <n v="8.9303000000000008"/>
  </r>
  <r>
    <x v="0"/>
    <x v="0"/>
    <x v="6"/>
    <s v="18:00"/>
    <n v="8.9303000000000008"/>
  </r>
  <r>
    <x v="0"/>
    <x v="0"/>
    <x v="6"/>
    <s v="14:00"/>
    <n v="8.9303000000000008"/>
  </r>
  <r>
    <x v="0"/>
    <x v="0"/>
    <x v="6"/>
    <s v="10:00"/>
    <n v="8.9303000000000008"/>
  </r>
  <r>
    <x v="0"/>
    <x v="0"/>
    <x v="6"/>
    <s v="06:00"/>
    <n v="8.9303000000000008"/>
  </r>
  <r>
    <x v="0"/>
    <x v="0"/>
    <x v="7"/>
    <s v="18:00"/>
    <n v="4.6588000000000003"/>
  </r>
  <r>
    <x v="0"/>
    <x v="0"/>
    <x v="7"/>
    <s v="14:00"/>
    <n v="4.6588000000000003"/>
  </r>
  <r>
    <x v="0"/>
    <x v="0"/>
    <x v="7"/>
    <s v="10:00"/>
    <n v="4.6588000000000003"/>
  </r>
  <r>
    <x v="0"/>
    <x v="0"/>
    <x v="7"/>
    <s v="06:00"/>
    <n v="4.6588000000000003"/>
  </r>
  <r>
    <x v="0"/>
    <x v="0"/>
    <x v="8"/>
    <s v="18:00"/>
    <n v="2.6248"/>
  </r>
  <r>
    <x v="0"/>
    <x v="0"/>
    <x v="8"/>
    <s v="14:00"/>
    <n v="2.6248"/>
  </r>
  <r>
    <x v="0"/>
    <x v="0"/>
    <x v="8"/>
    <s v="10:00"/>
    <n v="2.6248"/>
  </r>
  <r>
    <x v="0"/>
    <x v="0"/>
    <x v="8"/>
    <s v="06:00"/>
    <n v="2.6248"/>
  </r>
  <r>
    <x v="0"/>
    <x v="0"/>
    <x v="9"/>
    <s v="18:00"/>
    <n v="2.218"/>
  </r>
  <r>
    <x v="0"/>
    <x v="0"/>
    <x v="9"/>
    <s v="14:00"/>
    <n v="2.218"/>
  </r>
  <r>
    <x v="0"/>
    <x v="0"/>
    <x v="9"/>
    <s v="10:00"/>
    <n v="2.218"/>
  </r>
  <r>
    <x v="0"/>
    <x v="0"/>
    <x v="9"/>
    <s v="06:00"/>
    <n v="2.218"/>
  </r>
  <r>
    <x v="0"/>
    <x v="0"/>
    <x v="10"/>
    <s v="18:00"/>
    <n v="1.5265"/>
  </r>
  <r>
    <x v="0"/>
    <x v="0"/>
    <x v="10"/>
    <s v="14:00"/>
    <n v="1.5265"/>
  </r>
  <r>
    <x v="0"/>
    <x v="0"/>
    <x v="10"/>
    <s v="10:00"/>
    <n v="1.5265"/>
  </r>
  <r>
    <x v="0"/>
    <x v="0"/>
    <x v="10"/>
    <s v="06:00"/>
    <n v="1.5265"/>
  </r>
  <r>
    <x v="0"/>
    <x v="0"/>
    <x v="11"/>
    <s v="18:00"/>
    <n v="0.99780000000000002"/>
  </r>
  <r>
    <x v="0"/>
    <x v="0"/>
    <x v="11"/>
    <s v="14:00"/>
    <n v="0.99780000000000002"/>
  </r>
  <r>
    <x v="0"/>
    <x v="0"/>
    <x v="11"/>
    <s v="10:00"/>
    <n v="0.99780000000000002"/>
  </r>
  <r>
    <x v="0"/>
    <x v="0"/>
    <x v="11"/>
    <s v="06:00"/>
    <n v="0.99780000000000002"/>
  </r>
  <r>
    <x v="0"/>
    <x v="0"/>
    <x v="12"/>
    <s v="18:00"/>
    <n v="0.99780000000000002"/>
  </r>
  <r>
    <x v="0"/>
    <x v="0"/>
    <x v="12"/>
    <s v="14:00"/>
    <n v="0.99780000000000002"/>
  </r>
  <r>
    <x v="0"/>
    <x v="0"/>
    <x v="12"/>
    <s v="10:00"/>
    <n v="0.99780000000000002"/>
  </r>
  <r>
    <x v="0"/>
    <x v="0"/>
    <x v="12"/>
    <s v="06:00"/>
    <n v="0.99780000000000002"/>
  </r>
  <r>
    <x v="0"/>
    <x v="0"/>
    <x v="13"/>
    <s v="18:00"/>
    <n v="0.99780000000000002"/>
  </r>
  <r>
    <x v="0"/>
    <x v="0"/>
    <x v="13"/>
    <s v="14:00"/>
    <n v="0.99780000000000002"/>
  </r>
  <r>
    <x v="0"/>
    <x v="0"/>
    <x v="13"/>
    <s v="10:00"/>
    <n v="0.99780000000000002"/>
  </r>
  <r>
    <x v="0"/>
    <x v="0"/>
    <x v="13"/>
    <s v="06:00"/>
    <n v="0.99780000000000002"/>
  </r>
  <r>
    <x v="0"/>
    <x v="0"/>
    <x v="14"/>
    <s v="18:00"/>
    <n v="0.99780000000000002"/>
  </r>
  <r>
    <x v="0"/>
    <x v="0"/>
    <x v="14"/>
    <s v="14:00"/>
    <n v="0.99780000000000002"/>
  </r>
  <r>
    <x v="0"/>
    <x v="0"/>
    <x v="14"/>
    <s v="10:00"/>
    <n v="0.99780000000000002"/>
  </r>
  <r>
    <x v="0"/>
    <x v="0"/>
    <x v="14"/>
    <s v="06:00"/>
    <n v="0.99780000000000002"/>
  </r>
  <r>
    <x v="0"/>
    <x v="0"/>
    <x v="15"/>
    <s v="18:00"/>
    <n v="0.7944"/>
  </r>
  <r>
    <x v="0"/>
    <x v="0"/>
    <x v="15"/>
    <s v="14:00"/>
    <n v="0.7944"/>
  </r>
  <r>
    <x v="0"/>
    <x v="0"/>
    <x v="15"/>
    <s v="10:00"/>
    <n v="0.7944"/>
  </r>
  <r>
    <x v="0"/>
    <x v="0"/>
    <x v="15"/>
    <s v="06:00"/>
    <n v="0.7944"/>
  </r>
  <r>
    <x v="0"/>
    <x v="0"/>
    <x v="16"/>
    <s v="18:00"/>
    <n v="0.63180000000000003"/>
  </r>
  <r>
    <x v="0"/>
    <x v="0"/>
    <x v="16"/>
    <s v="14:00"/>
    <n v="0.63180000000000003"/>
  </r>
  <r>
    <x v="0"/>
    <x v="0"/>
    <x v="16"/>
    <s v="10:00"/>
    <n v="0.63180000000000003"/>
  </r>
  <r>
    <x v="0"/>
    <x v="0"/>
    <x v="16"/>
    <s v="06:00"/>
    <n v="0.7944"/>
  </r>
  <r>
    <x v="0"/>
    <x v="0"/>
    <x v="17"/>
    <s v="18:00"/>
    <n v="0.99780000000000002"/>
  </r>
  <r>
    <x v="0"/>
    <x v="0"/>
    <x v="17"/>
    <s v="14:00"/>
    <n v="0.99780000000000002"/>
  </r>
  <r>
    <x v="0"/>
    <x v="0"/>
    <x v="17"/>
    <s v="10:00"/>
    <n v="0.99780000000000002"/>
  </r>
  <r>
    <x v="0"/>
    <x v="0"/>
    <x v="17"/>
    <s v="06:00"/>
    <n v="0.7944"/>
  </r>
  <r>
    <x v="0"/>
    <x v="0"/>
    <x v="18"/>
    <s v="18:00"/>
    <n v="1.5265"/>
  </r>
  <r>
    <x v="0"/>
    <x v="0"/>
    <x v="18"/>
    <s v="14:00"/>
    <n v="0.99780000000000002"/>
  </r>
  <r>
    <x v="0"/>
    <x v="0"/>
    <x v="18"/>
    <s v="10:00"/>
    <n v="0.7944"/>
  </r>
  <r>
    <x v="0"/>
    <x v="0"/>
    <x v="18"/>
    <s v="06:00"/>
    <n v="0.7944"/>
  </r>
  <r>
    <x v="0"/>
    <x v="0"/>
    <x v="19"/>
    <s v="18:00"/>
    <n v="18.0839"/>
  </r>
  <r>
    <x v="0"/>
    <x v="0"/>
    <x v="19"/>
    <s v="14:00"/>
    <n v="18.0839"/>
  </r>
  <r>
    <x v="0"/>
    <x v="0"/>
    <x v="19"/>
    <s v="10:00"/>
    <n v="10.679600000000001"/>
  </r>
  <r>
    <x v="0"/>
    <x v="0"/>
    <x v="19"/>
    <s v="06:00"/>
    <n v="14.666499999999999"/>
  </r>
  <r>
    <x v="0"/>
    <x v="0"/>
    <x v="20"/>
    <s v="18:00"/>
    <n v="14.666499999999999"/>
  </r>
  <r>
    <x v="0"/>
    <x v="0"/>
    <x v="20"/>
    <s v="14:00"/>
    <n v="16.9041"/>
  </r>
  <r>
    <x v="0"/>
    <x v="0"/>
    <x v="20"/>
    <s v="10:00"/>
    <n v="16.9041"/>
  </r>
  <r>
    <x v="0"/>
    <x v="0"/>
    <x v="20"/>
    <s v="06:00"/>
    <n v="10.679600000000001"/>
  </r>
  <r>
    <x v="0"/>
    <x v="0"/>
    <x v="21"/>
    <s v="18:00"/>
    <n v="14.666499999999999"/>
  </r>
  <r>
    <x v="0"/>
    <x v="0"/>
    <x v="21"/>
    <s v="14:00"/>
    <n v="16.9041"/>
  </r>
  <r>
    <x v="0"/>
    <x v="0"/>
    <x v="21"/>
    <s v="10:00"/>
    <n v="16.9041"/>
  </r>
  <r>
    <x v="0"/>
    <x v="0"/>
    <x v="21"/>
    <s v="06:00"/>
    <n v="20.5656"/>
  </r>
  <r>
    <x v="0"/>
    <x v="0"/>
    <x v="22"/>
    <s v="18:00"/>
    <n v="16.9041"/>
  </r>
  <r>
    <x v="0"/>
    <x v="0"/>
    <x v="22"/>
    <s v="14:00"/>
    <n v="16.9041"/>
  </r>
  <r>
    <x v="0"/>
    <x v="0"/>
    <x v="22"/>
    <s v="10:00"/>
    <n v="14.666499999999999"/>
  </r>
  <r>
    <x v="0"/>
    <x v="0"/>
    <x v="22"/>
    <s v="06:00"/>
    <n v="11.6153"/>
  </r>
  <r>
    <x v="0"/>
    <x v="0"/>
    <x v="23"/>
    <s v="18:00"/>
    <n v="15.765000000000001"/>
  </r>
  <r>
    <x v="0"/>
    <x v="0"/>
    <x v="23"/>
    <s v="14:00"/>
    <n v="15.765000000000001"/>
  </r>
  <r>
    <x v="0"/>
    <x v="0"/>
    <x v="23"/>
    <s v="10:00"/>
    <n v="15.765000000000001"/>
  </r>
  <r>
    <x v="0"/>
    <x v="0"/>
    <x v="23"/>
    <s v="06:00"/>
    <n v="15.765000000000001"/>
  </r>
  <r>
    <x v="0"/>
    <x v="0"/>
    <x v="24"/>
    <s v="18:00"/>
    <n v="16.9041"/>
  </r>
  <r>
    <x v="0"/>
    <x v="0"/>
    <x v="24"/>
    <s v="14:00"/>
    <n v="18.0839"/>
  </r>
  <r>
    <x v="0"/>
    <x v="0"/>
    <x v="24"/>
    <s v="10:00"/>
    <n v="18.0839"/>
  </r>
  <r>
    <x v="0"/>
    <x v="0"/>
    <x v="24"/>
    <s v="06:00"/>
    <n v="13.6088"/>
  </r>
  <r>
    <x v="0"/>
    <x v="0"/>
    <x v="25"/>
    <s v="18:00"/>
    <n v="18.0839"/>
  </r>
  <r>
    <x v="0"/>
    <x v="0"/>
    <x v="25"/>
    <s v="14:00"/>
    <n v="18.0839"/>
  </r>
  <r>
    <x v="0"/>
    <x v="0"/>
    <x v="25"/>
    <s v="10:00"/>
    <n v="18.0839"/>
  </r>
  <r>
    <x v="0"/>
    <x v="0"/>
    <x v="25"/>
    <s v="06:00"/>
    <n v="18.0839"/>
  </r>
  <r>
    <x v="0"/>
    <x v="0"/>
    <x v="26"/>
    <s v="18:00"/>
    <n v="16.9041"/>
  </r>
  <r>
    <x v="0"/>
    <x v="0"/>
    <x v="26"/>
    <s v="14:00"/>
    <n v="16.9041"/>
  </r>
  <r>
    <x v="0"/>
    <x v="0"/>
    <x v="26"/>
    <s v="10:00"/>
    <n v="14.666499999999999"/>
  </r>
  <r>
    <x v="0"/>
    <x v="0"/>
    <x v="26"/>
    <s v="06:00"/>
    <n v="14.666499999999999"/>
  </r>
  <r>
    <x v="0"/>
    <x v="0"/>
    <x v="27"/>
    <s v="18:00"/>
    <n v="21.8674"/>
  </r>
  <r>
    <x v="0"/>
    <x v="0"/>
    <x v="27"/>
    <s v="14:00"/>
    <n v="20.5656"/>
  </r>
  <r>
    <x v="0"/>
    <x v="0"/>
    <x v="27"/>
    <s v="10:00"/>
    <n v="16.9041"/>
  </r>
  <r>
    <x v="0"/>
    <x v="0"/>
    <x v="27"/>
    <s v="06:00"/>
    <n v="16.9041"/>
  </r>
  <r>
    <x v="0"/>
    <x v="0"/>
    <x v="28"/>
    <s v="18:00"/>
    <n v="72.397199999999998"/>
  </r>
  <r>
    <x v="0"/>
    <x v="0"/>
    <x v="28"/>
    <s v="14:00"/>
    <n v="72.397199999999998"/>
  </r>
  <r>
    <x v="0"/>
    <x v="0"/>
    <x v="28"/>
    <s v="10:00"/>
    <n v="40.663400000000003"/>
  </r>
  <r>
    <x v="0"/>
    <x v="0"/>
    <x v="28"/>
    <s v="06:00"/>
    <n v="32.119700000000002"/>
  </r>
  <r>
    <x v="0"/>
    <x v="0"/>
    <x v="29"/>
    <s v="18:00"/>
    <n v="67.637100000000004"/>
  </r>
  <r>
    <x v="0"/>
    <x v="0"/>
    <x v="29"/>
    <s v="14:00"/>
    <n v="72.397199999999998"/>
  </r>
  <r>
    <x v="0"/>
    <x v="0"/>
    <x v="29"/>
    <s v="10:00"/>
    <n v="72.397199999999998"/>
  </r>
  <r>
    <x v="0"/>
    <x v="0"/>
    <x v="29"/>
    <s v="06:00"/>
    <n v="85.009399999999999"/>
  </r>
  <r>
    <x v="0"/>
    <x v="0"/>
    <x v="30"/>
    <s v="18:00"/>
    <n v="35.415100000000002"/>
  </r>
  <r>
    <x v="0"/>
    <x v="0"/>
    <x v="30"/>
    <s v="14:00"/>
    <n v="35.415100000000002"/>
  </r>
  <r>
    <x v="0"/>
    <x v="0"/>
    <x v="30"/>
    <s v="10:00"/>
    <n v="37.123800000000003"/>
  </r>
  <r>
    <x v="0"/>
    <x v="0"/>
    <x v="30"/>
    <s v="06:00"/>
    <n v="37.123800000000003"/>
  </r>
  <r>
    <x v="0"/>
    <x v="1"/>
    <x v="31"/>
    <s v="18:00"/>
    <n v="32.119700000000002"/>
  </r>
  <r>
    <x v="0"/>
    <x v="1"/>
    <x v="31"/>
    <s v="14:00"/>
    <n v="32.119700000000002"/>
  </r>
  <r>
    <x v="0"/>
    <x v="1"/>
    <x v="31"/>
    <s v="10:00"/>
    <n v="32.119700000000002"/>
  </r>
  <r>
    <x v="0"/>
    <x v="1"/>
    <x v="31"/>
    <s v="06:00"/>
    <n v="32.119700000000002"/>
  </r>
  <r>
    <x v="0"/>
    <x v="1"/>
    <x v="32"/>
    <s v="18:00"/>
    <n v="60.802100000000003"/>
  </r>
  <r>
    <x v="0"/>
    <x v="1"/>
    <x v="32"/>
    <s v="14:00"/>
    <n v="72.397199999999998"/>
  </r>
  <r>
    <x v="0"/>
    <x v="1"/>
    <x v="32"/>
    <s v="10:00"/>
    <n v="90.339100000000002"/>
  </r>
  <r>
    <x v="0"/>
    <x v="1"/>
    <x v="32"/>
    <s v="08:00"/>
    <n v="98.638800000000003"/>
  </r>
  <r>
    <x v="0"/>
    <x v="1"/>
    <x v="32"/>
    <s v="06:00"/>
    <n v="98.638800000000003"/>
  </r>
  <r>
    <x v="0"/>
    <x v="1"/>
    <x v="33"/>
    <s v="18:00"/>
    <n v="98.638800000000003"/>
  </r>
  <r>
    <x v="0"/>
    <x v="1"/>
    <x v="33"/>
    <s v="14:00"/>
    <n v="128.94900000000001"/>
  </r>
  <r>
    <x v="0"/>
    <x v="1"/>
    <x v="33"/>
    <s v="10:00"/>
    <n v="163.3279"/>
  </r>
  <r>
    <x v="0"/>
    <x v="1"/>
    <x v="33"/>
    <s v="06:00"/>
    <n v="201.77529999999999"/>
  </r>
  <r>
    <x v="0"/>
    <x v="1"/>
    <x v="34"/>
    <s v="18:00"/>
    <n v="50.224200000000003"/>
  </r>
  <r>
    <x v="0"/>
    <x v="1"/>
    <x v="34"/>
    <s v="14:00"/>
    <n v="56.448900000000002"/>
  </r>
  <r>
    <x v="0"/>
    <x v="1"/>
    <x v="34"/>
    <s v="10:00"/>
    <n v="60.802100000000003"/>
  </r>
  <r>
    <x v="0"/>
    <x v="1"/>
    <x v="34"/>
    <s v="06:00"/>
    <n v="60.802100000000003"/>
  </r>
  <r>
    <x v="0"/>
    <x v="1"/>
    <x v="35"/>
    <s v="18:00"/>
    <n v="72.397199999999998"/>
  </r>
  <r>
    <x v="0"/>
    <x v="1"/>
    <x v="35"/>
    <s v="14:00"/>
    <n v="113.2854"/>
  </r>
  <r>
    <x v="0"/>
    <x v="1"/>
    <x v="35"/>
    <s v="10:00"/>
    <n v="128.94900000000001"/>
  </r>
  <r>
    <x v="0"/>
    <x v="1"/>
    <x v="35"/>
    <s v="07:00"/>
    <n v="128.94900000000001"/>
  </r>
  <r>
    <x v="0"/>
    <x v="1"/>
    <x v="35"/>
    <s v="06:00"/>
    <n v="50.224200000000003"/>
  </r>
  <r>
    <x v="0"/>
    <x v="1"/>
    <x v="36"/>
    <s v="18:00"/>
    <n v="60.802100000000003"/>
  </r>
  <r>
    <x v="0"/>
    <x v="1"/>
    <x v="36"/>
    <s v="14:00"/>
    <n v="60.802100000000003"/>
  </r>
  <r>
    <x v="0"/>
    <x v="1"/>
    <x v="36"/>
    <s v="10:00"/>
    <n v="72.397199999999998"/>
  </r>
  <r>
    <x v="0"/>
    <x v="1"/>
    <x v="36"/>
    <s v="06:00"/>
    <n v="72.397199999999998"/>
  </r>
  <r>
    <x v="0"/>
    <x v="1"/>
    <x v="37"/>
    <s v="18:00"/>
    <n v="90.339100000000002"/>
  </r>
  <r>
    <x v="0"/>
    <x v="1"/>
    <x v="37"/>
    <s v="14:00"/>
    <n v="85.009399999999999"/>
  </r>
  <r>
    <x v="0"/>
    <x v="1"/>
    <x v="37"/>
    <s v="10:00"/>
    <n v="85.009399999999999"/>
  </r>
  <r>
    <x v="0"/>
    <x v="1"/>
    <x v="37"/>
    <s v="06:00"/>
    <n v="72.397199999999998"/>
  </r>
  <r>
    <x v="0"/>
    <x v="1"/>
    <x v="38"/>
    <s v="18:00"/>
    <n v="128.94900000000001"/>
  </r>
  <r>
    <x v="0"/>
    <x v="1"/>
    <x v="38"/>
    <s v="14:00"/>
    <n v="128.94900000000001"/>
  </r>
  <r>
    <x v="0"/>
    <x v="1"/>
    <x v="38"/>
    <s v="10:00"/>
    <n v="113.2854"/>
  </r>
  <r>
    <x v="0"/>
    <x v="1"/>
    <x v="38"/>
    <s v="06:00"/>
    <n v="98.638800000000003"/>
  </r>
  <r>
    <x v="0"/>
    <x v="1"/>
    <x v="39"/>
    <s v="18:00"/>
    <n v="94.427400000000006"/>
  </r>
  <r>
    <x v="0"/>
    <x v="1"/>
    <x v="39"/>
    <s v="14:00"/>
    <n v="125.4855"/>
  </r>
  <r>
    <x v="0"/>
    <x v="1"/>
    <x v="39"/>
    <s v="10:00"/>
    <n v="125.4855"/>
  </r>
  <r>
    <x v="0"/>
    <x v="1"/>
    <x v="39"/>
    <s v="06:00"/>
    <n v="200.4477"/>
  </r>
  <r>
    <x v="0"/>
    <x v="1"/>
    <x v="40"/>
    <s v="18:00"/>
    <n v="53.640999999999998"/>
  </r>
  <r>
    <x v="0"/>
    <x v="1"/>
    <x v="40"/>
    <s v="14:00"/>
    <n v="55.869"/>
  </r>
  <r>
    <x v="0"/>
    <x v="1"/>
    <x v="40"/>
    <s v="10:00"/>
    <n v="60.453499999999998"/>
  </r>
  <r>
    <x v="0"/>
    <x v="1"/>
    <x v="40"/>
    <s v="06:00"/>
    <n v="60.453499999999998"/>
  </r>
  <r>
    <x v="0"/>
    <x v="1"/>
    <x v="41"/>
    <s v="18:00"/>
    <n v="49.313499999999998"/>
  </r>
  <r>
    <x v="0"/>
    <x v="1"/>
    <x v="41"/>
    <s v="14:00"/>
    <n v="49.313499999999998"/>
  </r>
  <r>
    <x v="0"/>
    <x v="1"/>
    <x v="41"/>
    <s v="10:00"/>
    <n v="51.455800000000004"/>
  </r>
  <r>
    <x v="0"/>
    <x v="1"/>
    <x v="41"/>
    <s v="06:00"/>
    <n v="53.640999999999998"/>
  </r>
  <r>
    <x v="0"/>
    <x v="1"/>
    <x v="42"/>
    <s v="18:00"/>
    <n v="53.640999999999998"/>
  </r>
  <r>
    <x v="0"/>
    <x v="1"/>
    <x v="42"/>
    <s v="14:00"/>
    <n v="53.640999999999998"/>
  </r>
  <r>
    <x v="0"/>
    <x v="1"/>
    <x v="42"/>
    <s v="10:00"/>
    <n v="55.869"/>
  </r>
  <r>
    <x v="0"/>
    <x v="1"/>
    <x v="42"/>
    <s v="06:00"/>
    <n v="55.869"/>
  </r>
  <r>
    <x v="0"/>
    <x v="1"/>
    <x v="43"/>
    <s v="18:00"/>
    <n v="53.640999999999998"/>
  </r>
  <r>
    <x v="0"/>
    <x v="1"/>
    <x v="43"/>
    <s v="14:00"/>
    <n v="53.640999999999998"/>
  </r>
  <r>
    <x v="0"/>
    <x v="1"/>
    <x v="43"/>
    <s v="10:00"/>
    <n v="60.453499999999998"/>
  </r>
  <r>
    <x v="0"/>
    <x v="1"/>
    <x v="43"/>
    <s v="06:00"/>
    <n v="60.453499999999998"/>
  </r>
  <r>
    <x v="0"/>
    <x v="1"/>
    <x v="44"/>
    <s v="18:00"/>
    <n v="60.453499999999998"/>
  </r>
  <r>
    <x v="0"/>
    <x v="1"/>
    <x v="44"/>
    <s v="14:00"/>
    <n v="60.453499999999998"/>
  </r>
  <r>
    <x v="0"/>
    <x v="1"/>
    <x v="44"/>
    <s v="10:00"/>
    <n v="60.453499999999998"/>
  </r>
  <r>
    <x v="0"/>
    <x v="1"/>
    <x v="44"/>
    <s v="06:00"/>
    <n v="62.809899999999999"/>
  </r>
  <r>
    <x v="0"/>
    <x v="1"/>
    <x v="45"/>
    <s v="18:00"/>
    <n v="94.427400000000006"/>
  </r>
  <r>
    <x v="0"/>
    <x v="1"/>
    <x v="45"/>
    <s v="14:00"/>
    <n v="94.427400000000006"/>
  </r>
  <r>
    <x v="0"/>
    <x v="1"/>
    <x v="45"/>
    <s v="10:00"/>
    <n v="94.427400000000006"/>
  </r>
  <r>
    <x v="0"/>
    <x v="1"/>
    <x v="45"/>
    <s v="06:00"/>
    <n v="94.427400000000006"/>
  </r>
  <r>
    <x v="0"/>
    <x v="1"/>
    <x v="46"/>
    <s v="18:00"/>
    <n v="109.4212"/>
  </r>
  <r>
    <x v="0"/>
    <x v="1"/>
    <x v="46"/>
    <s v="14:00"/>
    <n v="109.4212"/>
  </r>
  <r>
    <x v="0"/>
    <x v="1"/>
    <x v="46"/>
    <s v="10:00"/>
    <n v="118.93129999999999"/>
  </r>
  <r>
    <x v="0"/>
    <x v="1"/>
    <x v="46"/>
    <s v="06:00"/>
    <n v="125.4855"/>
  </r>
  <r>
    <x v="0"/>
    <x v="1"/>
    <x v="47"/>
    <s v="18:00"/>
    <n v="200.4477"/>
  </r>
  <r>
    <x v="0"/>
    <x v="1"/>
    <x v="47"/>
    <s v="14:00"/>
    <n v="200.4477"/>
  </r>
  <r>
    <x v="0"/>
    <x v="1"/>
    <x v="47"/>
    <s v="10:00"/>
    <n v="200.4477"/>
  </r>
  <r>
    <x v="0"/>
    <x v="1"/>
    <x v="47"/>
    <s v="06:00"/>
    <n v="200.4477"/>
  </r>
  <r>
    <x v="0"/>
    <x v="1"/>
    <x v="48"/>
    <s v="18:00"/>
    <n v="180.10140000000001"/>
  </r>
  <r>
    <x v="0"/>
    <x v="1"/>
    <x v="48"/>
    <s v="14:00"/>
    <n v="200.4477"/>
  </r>
  <r>
    <x v="0"/>
    <x v="1"/>
    <x v="48"/>
    <s v="10:00"/>
    <n v="200.4477"/>
  </r>
  <r>
    <x v="0"/>
    <x v="1"/>
    <x v="48"/>
    <s v="06:00"/>
    <n v="200.4477"/>
  </r>
  <r>
    <x v="0"/>
    <x v="1"/>
    <x v="49"/>
    <s v="18:00"/>
    <n v="94.427400000000006"/>
  </r>
  <r>
    <x v="0"/>
    <x v="1"/>
    <x v="49"/>
    <s v="14:00"/>
    <n v="94.427400000000006"/>
  </r>
  <r>
    <x v="0"/>
    <x v="1"/>
    <x v="49"/>
    <s v="10:00"/>
    <n v="109.4212"/>
  </r>
  <r>
    <x v="0"/>
    <x v="1"/>
    <x v="49"/>
    <s v="06:00"/>
    <n v="125.4855"/>
  </r>
  <r>
    <x v="0"/>
    <x v="1"/>
    <x v="50"/>
    <s v="18:00"/>
    <n v="55.869"/>
  </r>
  <r>
    <x v="0"/>
    <x v="1"/>
    <x v="50"/>
    <s v="14:00"/>
    <n v="55.869"/>
  </r>
  <r>
    <x v="0"/>
    <x v="1"/>
    <x v="50"/>
    <s v="10:00"/>
    <n v="67.651300000000006"/>
  </r>
  <r>
    <x v="0"/>
    <x v="1"/>
    <x v="50"/>
    <s v="06:00"/>
    <n v="80.504099999999994"/>
  </r>
  <r>
    <x v="0"/>
    <x v="1"/>
    <x v="51"/>
    <s v="18:00"/>
    <n v="55.869"/>
  </r>
  <r>
    <x v="0"/>
    <x v="1"/>
    <x v="51"/>
    <s v="14:00"/>
    <n v="55.869"/>
  </r>
  <r>
    <x v="0"/>
    <x v="1"/>
    <x v="51"/>
    <s v="10:00"/>
    <n v="55.869"/>
  </r>
  <r>
    <x v="0"/>
    <x v="1"/>
    <x v="51"/>
    <s v="06:00"/>
    <n v="55.869"/>
  </r>
  <r>
    <x v="0"/>
    <x v="1"/>
    <x v="52"/>
    <s v="18:00"/>
    <n v="45.157200000000003"/>
  </r>
  <r>
    <x v="0"/>
    <x v="1"/>
    <x v="52"/>
    <s v="14:00"/>
    <n v="45.157200000000003"/>
  </r>
  <r>
    <x v="0"/>
    <x v="1"/>
    <x v="52"/>
    <s v="10:00"/>
    <n v="45.157200000000003"/>
  </r>
  <r>
    <x v="0"/>
    <x v="1"/>
    <x v="52"/>
    <s v="06:00"/>
    <n v="45.157200000000003"/>
  </r>
  <r>
    <x v="0"/>
    <x v="1"/>
    <x v="53"/>
    <s v="18:00"/>
    <n v="45.157200000000003"/>
  </r>
  <r>
    <x v="0"/>
    <x v="1"/>
    <x v="53"/>
    <s v="14:00"/>
    <n v="55.869"/>
  </r>
  <r>
    <x v="0"/>
    <x v="1"/>
    <x v="53"/>
    <s v="10:00"/>
    <n v="55.869"/>
  </r>
  <r>
    <x v="0"/>
    <x v="1"/>
    <x v="53"/>
    <s v="06:00"/>
    <n v="51.455800000000004"/>
  </r>
  <r>
    <x v="0"/>
    <x v="1"/>
    <x v="54"/>
    <s v="18:00"/>
    <n v="31.959099999999999"/>
  </r>
  <r>
    <x v="0"/>
    <x v="1"/>
    <x v="54"/>
    <s v="14:00"/>
    <n v="35.515900000000002"/>
  </r>
  <r>
    <x v="0"/>
    <x v="1"/>
    <x v="54"/>
    <s v="10:00"/>
    <n v="35.515900000000002"/>
  </r>
  <r>
    <x v="0"/>
    <x v="1"/>
    <x v="54"/>
    <s v="06:00"/>
    <n v="26.9451"/>
  </r>
  <r>
    <x v="0"/>
    <x v="1"/>
    <x v="55"/>
    <s v="18:00"/>
    <n v="94.427400000000006"/>
  </r>
  <r>
    <x v="0"/>
    <x v="1"/>
    <x v="55"/>
    <s v="14:00"/>
    <n v="112.5484"/>
  </r>
  <r>
    <x v="0"/>
    <x v="1"/>
    <x v="55"/>
    <s v="10:00"/>
    <n v="125.4855"/>
  </r>
  <r>
    <x v="0"/>
    <x v="1"/>
    <x v="55"/>
    <s v="06:00"/>
    <n v="125.4855"/>
  </r>
  <r>
    <x v="0"/>
    <x v="1"/>
    <x v="56"/>
    <s v="18:00"/>
    <n v="55.869"/>
  </r>
  <r>
    <x v="0"/>
    <x v="1"/>
    <x v="56"/>
    <s v="14:00"/>
    <n v="55.869"/>
  </r>
  <r>
    <x v="0"/>
    <x v="1"/>
    <x v="56"/>
    <s v="10:00"/>
    <n v="67.651300000000006"/>
  </r>
  <r>
    <x v="0"/>
    <x v="1"/>
    <x v="56"/>
    <s v="06:00"/>
    <n v="67.651300000000006"/>
  </r>
  <r>
    <x v="0"/>
    <x v="1"/>
    <x v="57"/>
    <s v="18:00"/>
    <n v="19.444800000000001"/>
  </r>
  <r>
    <x v="0"/>
    <x v="1"/>
    <x v="57"/>
    <s v="14:00"/>
    <n v="19.444800000000001"/>
  </r>
  <r>
    <x v="0"/>
    <x v="1"/>
    <x v="57"/>
    <s v="10:00"/>
    <n v="20.859200000000001"/>
  </r>
  <r>
    <x v="0"/>
    <x v="1"/>
    <x v="57"/>
    <s v="06:00"/>
    <n v="45.157200000000003"/>
  </r>
  <r>
    <x v="0"/>
    <x v="1"/>
    <x v="58"/>
    <s v="18:00"/>
    <n v="6.7122999999999999"/>
  </r>
  <r>
    <x v="0"/>
    <x v="1"/>
    <x v="58"/>
    <s v="14:00"/>
    <n v="6.7122999999999999"/>
  </r>
  <r>
    <x v="0"/>
    <x v="1"/>
    <x v="58"/>
    <s v="10:00"/>
    <n v="7.6557000000000004"/>
  </r>
  <r>
    <x v="0"/>
    <x v="1"/>
    <x v="58"/>
    <s v="06:00"/>
    <n v="7.6557000000000004"/>
  </r>
  <r>
    <x v="0"/>
    <x v="2"/>
    <x v="59"/>
    <s v="18:00"/>
    <n v="51.455800000000004"/>
  </r>
  <r>
    <x v="0"/>
    <x v="2"/>
    <x v="59"/>
    <s v="14:00"/>
    <n v="49.313499999999998"/>
  </r>
  <r>
    <x v="0"/>
    <x v="2"/>
    <x v="59"/>
    <s v="10:00"/>
    <n v="94.427400000000006"/>
  </r>
  <r>
    <x v="0"/>
    <x v="2"/>
    <x v="59"/>
    <s v="06:00"/>
    <n v="94.427400000000006"/>
  </r>
  <r>
    <x v="0"/>
    <x v="2"/>
    <x v="60"/>
    <s v="18:00"/>
    <n v="30.245000000000001"/>
  </r>
  <r>
    <x v="0"/>
    <x v="2"/>
    <x v="60"/>
    <s v="14:00"/>
    <n v="37.358499999999999"/>
  </r>
  <r>
    <x v="0"/>
    <x v="2"/>
    <x v="60"/>
    <s v="10:00"/>
    <n v="45.157200000000003"/>
  </r>
  <r>
    <x v="0"/>
    <x v="2"/>
    <x v="60"/>
    <s v="06:00"/>
    <n v="53.640999999999998"/>
  </r>
  <r>
    <x v="0"/>
    <x v="2"/>
    <x v="61"/>
    <s v="18:00"/>
    <n v="26.9451"/>
  </r>
  <r>
    <x v="0"/>
    <x v="2"/>
    <x v="61"/>
    <s v="14:00"/>
    <n v="26.9451"/>
  </r>
  <r>
    <x v="0"/>
    <x v="2"/>
    <x v="61"/>
    <s v="10:00"/>
    <n v="26.9451"/>
  </r>
  <r>
    <x v="0"/>
    <x v="2"/>
    <x v="61"/>
    <s v="06:00"/>
    <n v="33.716099999999997"/>
  </r>
  <r>
    <x v="0"/>
    <x v="2"/>
    <x v="62"/>
    <s v="18:00"/>
    <n v="23.816500000000001"/>
  </r>
  <r>
    <x v="0"/>
    <x v="2"/>
    <x v="62"/>
    <s v="14:00"/>
    <n v="26.9451"/>
  </r>
  <r>
    <x v="0"/>
    <x v="2"/>
    <x v="62"/>
    <s v="10:00"/>
    <n v="30.245000000000001"/>
  </r>
  <r>
    <x v="0"/>
    <x v="2"/>
    <x v="62"/>
    <s v="06:00"/>
    <n v="33.716099999999997"/>
  </r>
  <r>
    <x v="0"/>
    <x v="2"/>
    <x v="63"/>
    <s v="18:00"/>
    <n v="26.9451"/>
  </r>
  <r>
    <x v="0"/>
    <x v="2"/>
    <x v="63"/>
    <s v="14:00"/>
    <n v="33.716099999999997"/>
  </r>
  <r>
    <x v="0"/>
    <x v="2"/>
    <x v="63"/>
    <s v="10:00"/>
    <n v="33.716099999999997"/>
  </r>
  <r>
    <x v="0"/>
    <x v="2"/>
    <x v="63"/>
    <s v="06:00"/>
    <n v="33.716099999999997"/>
  </r>
  <r>
    <x v="0"/>
    <x v="2"/>
    <x v="64"/>
    <s v="18:00"/>
    <n v="30.245000000000001"/>
  </r>
  <r>
    <x v="0"/>
    <x v="2"/>
    <x v="64"/>
    <s v="14:00"/>
    <n v="30.245000000000001"/>
  </r>
  <r>
    <x v="0"/>
    <x v="2"/>
    <x v="64"/>
    <s v="10:00"/>
    <n v="30.245000000000001"/>
  </r>
  <r>
    <x v="0"/>
    <x v="2"/>
    <x v="64"/>
    <s v="06:00"/>
    <n v="30.245000000000001"/>
  </r>
  <r>
    <x v="0"/>
    <x v="2"/>
    <x v="65"/>
    <s v="18:00"/>
    <n v="31.959099999999999"/>
  </r>
  <r>
    <x v="0"/>
    <x v="2"/>
    <x v="65"/>
    <s v="14:00"/>
    <n v="31.959099999999999"/>
  </r>
  <r>
    <x v="0"/>
    <x v="2"/>
    <x v="65"/>
    <s v="10:00"/>
    <n v="31.959099999999999"/>
  </r>
  <r>
    <x v="0"/>
    <x v="2"/>
    <x v="65"/>
    <s v="06:00"/>
    <n v="31.959099999999999"/>
  </r>
  <r>
    <x v="0"/>
    <x v="2"/>
    <x v="66"/>
    <s v="18:00"/>
    <n v="31.959099999999999"/>
  </r>
  <r>
    <x v="0"/>
    <x v="2"/>
    <x v="66"/>
    <s v="14:00"/>
    <n v="31.959099999999999"/>
  </r>
  <r>
    <x v="0"/>
    <x v="2"/>
    <x v="66"/>
    <s v="10:00"/>
    <n v="31.959099999999999"/>
  </r>
  <r>
    <x v="0"/>
    <x v="2"/>
    <x v="66"/>
    <s v="06:00"/>
    <n v="26.9451"/>
  </r>
  <r>
    <x v="0"/>
    <x v="2"/>
    <x v="67"/>
    <s v="22:00"/>
    <n v="160.82560000000001"/>
  </r>
  <r>
    <x v="0"/>
    <x v="2"/>
    <x v="67"/>
    <s v="18:00"/>
    <n v="72.664000000000001"/>
  </r>
  <r>
    <x v="0"/>
    <x v="2"/>
    <x v="67"/>
    <s v="14:00"/>
    <n v="72.664000000000001"/>
  </r>
  <r>
    <x v="0"/>
    <x v="2"/>
    <x v="67"/>
    <s v="10:00"/>
    <n v="77.847899999999996"/>
  </r>
  <r>
    <x v="0"/>
    <x v="2"/>
    <x v="67"/>
    <s v="07:00"/>
    <n v="77.847899999999996"/>
  </r>
  <r>
    <x v="0"/>
    <x v="2"/>
    <x v="67"/>
    <s v="05:00"/>
    <n v="28.573599999999999"/>
  </r>
  <r>
    <x v="0"/>
    <x v="2"/>
    <x v="68"/>
    <s v="18:00"/>
    <n v="55.869"/>
  </r>
  <r>
    <x v="0"/>
    <x v="2"/>
    <x v="68"/>
    <s v="14:00"/>
    <n v="109.4212"/>
  </r>
  <r>
    <x v="0"/>
    <x v="2"/>
    <x v="68"/>
    <s v="10:00"/>
    <n v="109.4212"/>
  </r>
  <r>
    <x v="0"/>
    <x v="2"/>
    <x v="68"/>
    <s v="06:00"/>
    <n v="125.4855"/>
  </r>
  <r>
    <x v="0"/>
    <x v="2"/>
    <x v="69"/>
    <s v="18:00"/>
    <n v="94.427400000000006"/>
  </r>
  <r>
    <x v="0"/>
    <x v="2"/>
    <x v="69"/>
    <s v="14:00"/>
    <n v="94.427400000000006"/>
  </r>
  <r>
    <x v="0"/>
    <x v="2"/>
    <x v="69"/>
    <s v="10:00"/>
    <n v="94.427400000000006"/>
  </r>
  <r>
    <x v="0"/>
    <x v="2"/>
    <x v="69"/>
    <s v="06:00"/>
    <n v="45.157200000000003"/>
  </r>
  <r>
    <x v="0"/>
    <x v="2"/>
    <x v="70"/>
    <s v="18:00"/>
    <n v="94.427400000000006"/>
  </r>
  <r>
    <x v="0"/>
    <x v="2"/>
    <x v="70"/>
    <s v="14:00"/>
    <n v="94.427400000000006"/>
  </r>
  <r>
    <x v="0"/>
    <x v="2"/>
    <x v="70"/>
    <s v="10:00"/>
    <n v="94.427400000000006"/>
  </r>
  <r>
    <x v="0"/>
    <x v="2"/>
    <x v="70"/>
    <s v="06:00"/>
    <n v="94.427400000000006"/>
  </r>
  <r>
    <x v="0"/>
    <x v="2"/>
    <x v="71"/>
    <s v="18:00"/>
    <n v="94.427400000000006"/>
  </r>
  <r>
    <x v="0"/>
    <x v="2"/>
    <x v="71"/>
    <s v="14:00"/>
    <n v="94.427400000000006"/>
  </r>
  <r>
    <x v="0"/>
    <x v="2"/>
    <x v="71"/>
    <s v="10:00"/>
    <n v="94.427400000000006"/>
  </r>
  <r>
    <x v="0"/>
    <x v="2"/>
    <x v="71"/>
    <s v="06:00"/>
    <n v="94.427400000000006"/>
  </r>
  <r>
    <x v="0"/>
    <x v="2"/>
    <x v="72"/>
    <s v="18:00"/>
    <n v="94.427400000000006"/>
  </r>
  <r>
    <x v="0"/>
    <x v="2"/>
    <x v="72"/>
    <s v="14:00"/>
    <n v="94.427400000000006"/>
  </r>
  <r>
    <x v="0"/>
    <x v="2"/>
    <x v="72"/>
    <s v="10:00"/>
    <n v="94.427400000000006"/>
  </r>
  <r>
    <x v="0"/>
    <x v="2"/>
    <x v="72"/>
    <s v="06:00"/>
    <n v="94.427400000000006"/>
  </r>
  <r>
    <x v="0"/>
    <x v="2"/>
    <x v="73"/>
    <s v="18:00"/>
    <n v="67.651300000000006"/>
  </r>
  <r>
    <x v="0"/>
    <x v="2"/>
    <x v="73"/>
    <s v="14:00"/>
    <n v="67.651300000000006"/>
  </r>
  <r>
    <x v="0"/>
    <x v="2"/>
    <x v="73"/>
    <s v="10:00"/>
    <n v="67.651300000000006"/>
  </r>
  <r>
    <x v="0"/>
    <x v="2"/>
    <x v="73"/>
    <s v="06:00"/>
    <n v="67.651300000000006"/>
  </r>
  <r>
    <x v="0"/>
    <x v="2"/>
    <x v="74"/>
    <s v="18:00"/>
    <n v="41.172199999999997"/>
  </r>
  <r>
    <x v="0"/>
    <x v="2"/>
    <x v="74"/>
    <s v="14:00"/>
    <n v="41.172199999999997"/>
  </r>
  <r>
    <x v="0"/>
    <x v="2"/>
    <x v="74"/>
    <s v="10:00"/>
    <n v="41.172199999999997"/>
  </r>
  <r>
    <x v="0"/>
    <x v="2"/>
    <x v="74"/>
    <s v="06:00"/>
    <n v="41.172199999999997"/>
  </r>
  <r>
    <x v="0"/>
    <x v="2"/>
    <x v="75"/>
    <s v="18:00"/>
    <n v="37.358499999999999"/>
  </r>
  <r>
    <x v="0"/>
    <x v="2"/>
    <x v="75"/>
    <s v="14:00"/>
    <n v="37.358499999999999"/>
  </r>
  <r>
    <x v="0"/>
    <x v="2"/>
    <x v="75"/>
    <s v="10:00"/>
    <n v="37.358499999999999"/>
  </r>
  <r>
    <x v="0"/>
    <x v="2"/>
    <x v="75"/>
    <s v="06:00"/>
    <n v="37.358499999999999"/>
  </r>
  <r>
    <x v="0"/>
    <x v="2"/>
    <x v="76"/>
    <s v="18:00"/>
    <n v="35.515900000000002"/>
  </r>
  <r>
    <x v="0"/>
    <x v="2"/>
    <x v="76"/>
    <s v="14:00"/>
    <n v="35.515900000000002"/>
  </r>
  <r>
    <x v="0"/>
    <x v="2"/>
    <x v="76"/>
    <s v="10:00"/>
    <n v="35.515900000000002"/>
  </r>
  <r>
    <x v="0"/>
    <x v="2"/>
    <x v="76"/>
    <s v="06:00"/>
    <n v="35.515900000000002"/>
  </r>
  <r>
    <x v="0"/>
    <x v="2"/>
    <x v="77"/>
    <s v="18:00"/>
    <n v="31.959099999999999"/>
  </r>
  <r>
    <x v="0"/>
    <x v="2"/>
    <x v="77"/>
    <s v="14:00"/>
    <n v="31.959099999999999"/>
  </r>
  <r>
    <x v="0"/>
    <x v="2"/>
    <x v="77"/>
    <s v="10:00"/>
    <n v="31.959099999999999"/>
  </r>
  <r>
    <x v="0"/>
    <x v="2"/>
    <x v="77"/>
    <s v="06:00"/>
    <n v="31.959099999999999"/>
  </r>
  <r>
    <x v="0"/>
    <x v="2"/>
    <x v="78"/>
    <s v="18:00"/>
    <n v="55.869"/>
  </r>
  <r>
    <x v="0"/>
    <x v="2"/>
    <x v="78"/>
    <s v="14:00"/>
    <n v="55.869"/>
  </r>
  <r>
    <x v="0"/>
    <x v="2"/>
    <x v="78"/>
    <s v="10:00"/>
    <n v="51.455800000000004"/>
  </r>
  <r>
    <x v="0"/>
    <x v="2"/>
    <x v="78"/>
    <s v="06:00"/>
    <n v="55.869"/>
  </r>
  <r>
    <x v="0"/>
    <x v="2"/>
    <x v="79"/>
    <s v="18:00"/>
    <n v="62.809899999999999"/>
  </r>
  <r>
    <x v="0"/>
    <x v="2"/>
    <x v="79"/>
    <s v="14:00"/>
    <n v="62.809899999999999"/>
  </r>
  <r>
    <x v="0"/>
    <x v="2"/>
    <x v="79"/>
    <s v="10:00"/>
    <n v="67.651300000000006"/>
  </r>
  <r>
    <x v="0"/>
    <x v="2"/>
    <x v="79"/>
    <s v="06:00"/>
    <n v="67.651300000000006"/>
  </r>
  <r>
    <x v="0"/>
    <x v="2"/>
    <x v="80"/>
    <s v="18:00"/>
    <n v="51.455800000000004"/>
  </r>
  <r>
    <x v="0"/>
    <x v="2"/>
    <x v="80"/>
    <s v="14:00"/>
    <n v="51.455800000000004"/>
  </r>
  <r>
    <x v="0"/>
    <x v="2"/>
    <x v="80"/>
    <s v="10:00"/>
    <n v="55.869"/>
  </r>
  <r>
    <x v="0"/>
    <x v="2"/>
    <x v="80"/>
    <s v="06:00"/>
    <n v="55.869"/>
  </r>
  <r>
    <x v="0"/>
    <x v="2"/>
    <x v="81"/>
    <s v="18:00"/>
    <n v="45.157200000000003"/>
  </r>
  <r>
    <x v="0"/>
    <x v="2"/>
    <x v="81"/>
    <s v="14:00"/>
    <n v="45.157200000000003"/>
  </r>
  <r>
    <x v="0"/>
    <x v="2"/>
    <x v="81"/>
    <s v="10:00"/>
    <n v="45.157200000000003"/>
  </r>
  <r>
    <x v="0"/>
    <x v="2"/>
    <x v="81"/>
    <s v="06:00"/>
    <n v="45.157200000000003"/>
  </r>
  <r>
    <x v="0"/>
    <x v="2"/>
    <x v="82"/>
    <s v="18:00"/>
    <n v="41.172199999999997"/>
  </r>
  <r>
    <x v="0"/>
    <x v="2"/>
    <x v="82"/>
    <s v="14:00"/>
    <n v="41.172199999999997"/>
  </r>
  <r>
    <x v="0"/>
    <x v="2"/>
    <x v="82"/>
    <s v="10:00"/>
    <n v="41.172199999999997"/>
  </r>
  <r>
    <x v="0"/>
    <x v="2"/>
    <x v="82"/>
    <s v="06:00"/>
    <n v="41.172199999999997"/>
  </r>
  <r>
    <x v="0"/>
    <x v="2"/>
    <x v="83"/>
    <s v="18:00"/>
    <n v="13.015000000000001"/>
  </r>
  <r>
    <x v="0"/>
    <x v="2"/>
    <x v="83"/>
    <s v="14:00"/>
    <n v="16.744399999999999"/>
  </r>
  <r>
    <x v="0"/>
    <x v="2"/>
    <x v="83"/>
    <s v="10:00"/>
    <n v="19.444800000000001"/>
  </r>
  <r>
    <x v="0"/>
    <x v="2"/>
    <x v="83"/>
    <s v="06:00"/>
    <n v="26.9451"/>
  </r>
  <r>
    <x v="0"/>
    <x v="2"/>
    <x v="84"/>
    <s v="18:00"/>
    <n v="9.6709999999999994"/>
  </r>
  <r>
    <x v="0"/>
    <x v="2"/>
    <x v="84"/>
    <s v="14:00"/>
    <n v="9.6709999999999994"/>
  </r>
  <r>
    <x v="0"/>
    <x v="2"/>
    <x v="84"/>
    <s v="10:00"/>
    <n v="9.6709999999999994"/>
  </r>
  <r>
    <x v="0"/>
    <x v="2"/>
    <x v="84"/>
    <s v="06:00"/>
    <n v="9.6709999999999994"/>
  </r>
  <r>
    <x v="0"/>
    <x v="3"/>
    <x v="85"/>
    <s v="18:00"/>
    <n v="13.015000000000001"/>
  </r>
  <r>
    <x v="0"/>
    <x v="3"/>
    <x v="85"/>
    <s v="14:00"/>
    <n v="13.015000000000001"/>
  </r>
  <r>
    <x v="0"/>
    <x v="3"/>
    <x v="85"/>
    <s v="10:00"/>
    <n v="13.015000000000001"/>
  </r>
  <r>
    <x v="0"/>
    <x v="3"/>
    <x v="85"/>
    <s v="06:00"/>
    <n v="13.015000000000001"/>
  </r>
  <r>
    <x v="0"/>
    <x v="3"/>
    <x v="86"/>
    <s v="18:00"/>
    <n v="16.744399999999999"/>
  </r>
  <r>
    <x v="0"/>
    <x v="3"/>
    <x v="86"/>
    <s v="14:00"/>
    <n v="16.744399999999999"/>
  </r>
  <r>
    <x v="0"/>
    <x v="3"/>
    <x v="86"/>
    <s v="10:00"/>
    <n v="16.744399999999999"/>
  </r>
  <r>
    <x v="0"/>
    <x v="3"/>
    <x v="86"/>
    <s v="06:00"/>
    <n v="16.744399999999999"/>
  </r>
  <r>
    <x v="0"/>
    <x v="3"/>
    <x v="87"/>
    <s v="18:00"/>
    <n v="19.444800000000001"/>
  </r>
  <r>
    <x v="0"/>
    <x v="3"/>
    <x v="87"/>
    <s v="14:00"/>
    <n v="19.444800000000001"/>
  </r>
  <r>
    <x v="0"/>
    <x v="3"/>
    <x v="87"/>
    <s v="10:00"/>
    <n v="19.444800000000001"/>
  </r>
  <r>
    <x v="0"/>
    <x v="3"/>
    <x v="87"/>
    <s v="06:00"/>
    <n v="19.444800000000001"/>
  </r>
  <r>
    <x v="0"/>
    <x v="3"/>
    <x v="88"/>
    <s v="18:00"/>
    <n v="18.0732"/>
  </r>
  <r>
    <x v="0"/>
    <x v="3"/>
    <x v="88"/>
    <s v="14:00"/>
    <n v="18.0732"/>
  </r>
  <r>
    <x v="0"/>
    <x v="3"/>
    <x v="88"/>
    <s v="10:00"/>
    <n v="18.0732"/>
  </r>
  <r>
    <x v="0"/>
    <x v="3"/>
    <x v="88"/>
    <s v="06:00"/>
    <n v="19.444800000000001"/>
  </r>
  <r>
    <x v="0"/>
    <x v="3"/>
    <x v="89"/>
    <s v="18:00"/>
    <n v="16.744399999999999"/>
  </r>
  <r>
    <x v="0"/>
    <x v="3"/>
    <x v="89"/>
    <s v="14:00"/>
    <n v="16.744399999999999"/>
  </r>
  <r>
    <x v="0"/>
    <x v="3"/>
    <x v="89"/>
    <s v="10:00"/>
    <n v="16.744399999999999"/>
  </r>
  <r>
    <x v="0"/>
    <x v="3"/>
    <x v="89"/>
    <s v="06:00"/>
    <n v="16.744399999999999"/>
  </r>
  <r>
    <x v="0"/>
    <x v="3"/>
    <x v="90"/>
    <s v="18:00"/>
    <n v="13.015000000000001"/>
  </r>
  <r>
    <x v="0"/>
    <x v="3"/>
    <x v="90"/>
    <s v="14:00"/>
    <n v="13.015000000000001"/>
  </r>
  <r>
    <x v="0"/>
    <x v="3"/>
    <x v="90"/>
    <s v="10:00"/>
    <n v="13.015000000000001"/>
  </r>
  <r>
    <x v="0"/>
    <x v="3"/>
    <x v="90"/>
    <s v="06:00"/>
    <n v="13.015000000000001"/>
  </r>
  <r>
    <x v="0"/>
    <x v="3"/>
    <x v="91"/>
    <s v="18:00"/>
    <n v="18.0732"/>
  </r>
  <r>
    <x v="0"/>
    <x v="3"/>
    <x v="91"/>
    <s v="14:00"/>
    <n v="18.0732"/>
  </r>
  <r>
    <x v="0"/>
    <x v="3"/>
    <x v="91"/>
    <s v="10:00"/>
    <n v="20.859200000000001"/>
  </r>
  <r>
    <x v="0"/>
    <x v="3"/>
    <x v="91"/>
    <s v="06:00"/>
    <n v="20.859200000000001"/>
  </r>
  <r>
    <x v="0"/>
    <x v="3"/>
    <x v="92"/>
    <s v="18:00"/>
    <n v="20.859200000000001"/>
  </r>
  <r>
    <x v="0"/>
    <x v="3"/>
    <x v="92"/>
    <s v="14:00"/>
    <n v="20.859200000000001"/>
  </r>
  <r>
    <x v="0"/>
    <x v="3"/>
    <x v="92"/>
    <s v="10:00"/>
    <n v="20.859200000000001"/>
  </r>
  <r>
    <x v="0"/>
    <x v="3"/>
    <x v="92"/>
    <s v="06:00"/>
    <n v="20.859200000000001"/>
  </r>
  <r>
    <x v="0"/>
    <x v="3"/>
    <x v="93"/>
    <s v="18:00"/>
    <n v="19.444800000000001"/>
  </r>
  <r>
    <x v="0"/>
    <x v="3"/>
    <x v="93"/>
    <s v="14:00"/>
    <n v="19.444800000000001"/>
  </r>
  <r>
    <x v="0"/>
    <x v="3"/>
    <x v="93"/>
    <s v="10:00"/>
    <n v="19.444800000000001"/>
  </r>
  <r>
    <x v="0"/>
    <x v="3"/>
    <x v="93"/>
    <s v="06:00"/>
    <n v="19.444800000000001"/>
  </r>
  <r>
    <x v="0"/>
    <x v="3"/>
    <x v="94"/>
    <s v="18:00"/>
    <n v="16.744399999999999"/>
  </r>
  <r>
    <x v="0"/>
    <x v="3"/>
    <x v="94"/>
    <s v="14:00"/>
    <n v="16.744399999999999"/>
  </r>
  <r>
    <x v="0"/>
    <x v="3"/>
    <x v="94"/>
    <s v="10:00"/>
    <n v="16.744399999999999"/>
  </r>
  <r>
    <x v="0"/>
    <x v="3"/>
    <x v="94"/>
    <s v="06:00"/>
    <n v="16.744399999999999"/>
  </r>
  <r>
    <x v="0"/>
    <x v="3"/>
    <x v="95"/>
    <s v="18:00"/>
    <n v="41.172199999999997"/>
  </r>
  <r>
    <x v="0"/>
    <x v="3"/>
    <x v="95"/>
    <s v="14:00"/>
    <n v="41.172199999999997"/>
  </r>
  <r>
    <x v="0"/>
    <x v="3"/>
    <x v="95"/>
    <s v="10:00"/>
    <n v="45.157200000000003"/>
  </r>
  <r>
    <x v="0"/>
    <x v="3"/>
    <x v="95"/>
    <s v="06:00"/>
    <n v="45.157200000000003"/>
  </r>
  <r>
    <x v="0"/>
    <x v="3"/>
    <x v="96"/>
    <s v="18:00"/>
    <n v="37.358499999999999"/>
  </r>
  <r>
    <x v="0"/>
    <x v="3"/>
    <x v="96"/>
    <s v="14:00"/>
    <n v="37.358499999999999"/>
  </r>
  <r>
    <x v="0"/>
    <x v="3"/>
    <x v="96"/>
    <s v="10:00"/>
    <n v="37.358499999999999"/>
  </r>
  <r>
    <x v="0"/>
    <x v="3"/>
    <x v="96"/>
    <s v="06:00"/>
    <n v="37.358499999999999"/>
  </r>
  <r>
    <x v="0"/>
    <x v="3"/>
    <x v="97"/>
    <s v="18:00"/>
    <n v="26.9451"/>
  </r>
  <r>
    <x v="0"/>
    <x v="3"/>
    <x v="97"/>
    <s v="14:00"/>
    <n v="26.9451"/>
  </r>
  <r>
    <x v="0"/>
    <x v="3"/>
    <x v="97"/>
    <s v="10:00"/>
    <n v="23.816500000000001"/>
  </r>
  <r>
    <x v="0"/>
    <x v="3"/>
    <x v="97"/>
    <s v="06:00"/>
    <n v="26.9451"/>
  </r>
  <r>
    <x v="0"/>
    <x v="3"/>
    <x v="98"/>
    <s v="18:00"/>
    <n v="13.015000000000001"/>
  </r>
  <r>
    <x v="0"/>
    <x v="3"/>
    <x v="98"/>
    <s v="14:00"/>
    <n v="13.015000000000001"/>
  </r>
  <r>
    <x v="0"/>
    <x v="3"/>
    <x v="98"/>
    <s v="10:00"/>
    <n v="13.015000000000001"/>
  </r>
  <r>
    <x v="0"/>
    <x v="3"/>
    <x v="98"/>
    <s v="06:00"/>
    <n v="19.444800000000001"/>
  </r>
  <r>
    <x v="0"/>
    <x v="3"/>
    <x v="99"/>
    <s v="18:00"/>
    <n v="10.742800000000001"/>
  </r>
  <r>
    <x v="0"/>
    <x v="3"/>
    <x v="99"/>
    <s v="14:00"/>
    <n v="10.742800000000001"/>
  </r>
  <r>
    <x v="0"/>
    <x v="3"/>
    <x v="99"/>
    <s v="10:00"/>
    <n v="10.742800000000001"/>
  </r>
  <r>
    <x v="0"/>
    <x v="3"/>
    <x v="99"/>
    <s v="06:00"/>
    <n v="10.742800000000001"/>
  </r>
  <r>
    <x v="0"/>
    <x v="3"/>
    <x v="100"/>
    <s v="18:00"/>
    <n v="9.6709999999999994"/>
  </r>
  <r>
    <x v="0"/>
    <x v="3"/>
    <x v="100"/>
    <s v="14:00"/>
    <n v="9.6709999999999994"/>
  </r>
  <r>
    <x v="0"/>
    <x v="3"/>
    <x v="100"/>
    <s v="10:00"/>
    <n v="9.6709999999999994"/>
  </r>
  <r>
    <x v="0"/>
    <x v="3"/>
    <x v="100"/>
    <s v="06:00"/>
    <n v="10.742800000000001"/>
  </r>
  <r>
    <x v="0"/>
    <x v="3"/>
    <x v="101"/>
    <s v="18:00"/>
    <n v="11.8575"/>
  </r>
  <r>
    <x v="0"/>
    <x v="3"/>
    <x v="101"/>
    <s v="14:00"/>
    <n v="11.8575"/>
  </r>
  <r>
    <x v="0"/>
    <x v="3"/>
    <x v="101"/>
    <s v="10:00"/>
    <n v="11.8575"/>
  </r>
  <r>
    <x v="0"/>
    <x v="3"/>
    <x v="101"/>
    <s v="06:00"/>
    <n v="11.8575"/>
  </r>
  <r>
    <x v="0"/>
    <x v="3"/>
    <x v="102"/>
    <s v="18:00"/>
    <n v="10.742800000000001"/>
  </r>
  <r>
    <x v="0"/>
    <x v="3"/>
    <x v="102"/>
    <s v="14:00"/>
    <n v="10.742800000000001"/>
  </r>
  <r>
    <x v="0"/>
    <x v="3"/>
    <x v="102"/>
    <s v="10:00"/>
    <n v="10.742800000000001"/>
  </r>
  <r>
    <x v="0"/>
    <x v="3"/>
    <x v="102"/>
    <s v="06:00"/>
    <n v="10.742800000000001"/>
  </r>
  <r>
    <x v="0"/>
    <x v="3"/>
    <x v="103"/>
    <s v="06:00"/>
    <n v="9.6709999999999994"/>
  </r>
  <r>
    <x v="0"/>
    <x v="4"/>
    <x v="104"/>
    <s v="18:00"/>
    <n v="6.2291999999999996"/>
  </r>
  <r>
    <x v="0"/>
    <x v="4"/>
    <x v="104"/>
    <s v="14:00"/>
    <n v="5.3689999999999998"/>
  </r>
  <r>
    <x v="0"/>
    <x v="4"/>
    <x v="104"/>
    <s v="10:00"/>
    <n v="5.3689999999999998"/>
  </r>
  <r>
    <x v="0"/>
    <x v="4"/>
    <x v="104"/>
    <s v="06:00"/>
    <n v="5.3689999999999998"/>
  </r>
  <r>
    <x v="0"/>
    <x v="4"/>
    <x v="105"/>
    <s v="18:00"/>
    <n v="6.2291999999999996"/>
  </r>
  <r>
    <x v="0"/>
    <x v="4"/>
    <x v="105"/>
    <s v="14:00"/>
    <n v="5.3689999999999998"/>
  </r>
  <r>
    <x v="0"/>
    <x v="4"/>
    <x v="105"/>
    <s v="10:00"/>
    <n v="6.2291999999999996"/>
  </r>
  <r>
    <x v="0"/>
    <x v="4"/>
    <x v="105"/>
    <s v="06:00"/>
    <n v="6.2291999999999996"/>
  </r>
  <r>
    <x v="0"/>
    <x v="4"/>
    <x v="106"/>
    <s v="18:00"/>
    <n v="6.2291999999999996"/>
  </r>
  <r>
    <x v="0"/>
    <x v="4"/>
    <x v="106"/>
    <s v="14:00"/>
    <n v="6.2291999999999996"/>
  </r>
  <r>
    <x v="0"/>
    <x v="4"/>
    <x v="106"/>
    <s v="10:00"/>
    <n v="6.2291999999999996"/>
  </r>
  <r>
    <x v="0"/>
    <x v="4"/>
    <x v="106"/>
    <s v="06:00"/>
    <n v="6.2291999999999996"/>
  </r>
  <r>
    <x v="0"/>
    <x v="4"/>
    <x v="107"/>
    <s v="18:00"/>
    <n v="6.2291999999999996"/>
  </r>
  <r>
    <x v="0"/>
    <x v="4"/>
    <x v="107"/>
    <s v="14:00"/>
    <n v="6.2291999999999996"/>
  </r>
  <r>
    <x v="0"/>
    <x v="4"/>
    <x v="107"/>
    <s v="10:00"/>
    <n v="6.2291999999999996"/>
  </r>
  <r>
    <x v="0"/>
    <x v="4"/>
    <x v="107"/>
    <s v="06:00"/>
    <n v="6.2291999999999996"/>
  </r>
  <r>
    <x v="0"/>
    <x v="4"/>
    <x v="108"/>
    <s v="18:00"/>
    <n v="5.3689999999999998"/>
  </r>
  <r>
    <x v="0"/>
    <x v="4"/>
    <x v="108"/>
    <s v="14:00"/>
    <n v="6.2291999999999996"/>
  </r>
  <r>
    <x v="0"/>
    <x v="4"/>
    <x v="108"/>
    <s v="10:00"/>
    <n v="6.2291999999999996"/>
  </r>
  <r>
    <x v="0"/>
    <x v="4"/>
    <x v="108"/>
    <s v="06:00"/>
    <n v="6.2291999999999996"/>
  </r>
  <r>
    <x v="0"/>
    <x v="4"/>
    <x v="109"/>
    <s v="18:00"/>
    <n v="5.3689999999999998"/>
  </r>
  <r>
    <x v="0"/>
    <x v="4"/>
    <x v="109"/>
    <s v="14:00"/>
    <n v="6.2291999999999996"/>
  </r>
  <r>
    <x v="0"/>
    <x v="4"/>
    <x v="109"/>
    <s v="10:00"/>
    <n v="6.2291999999999996"/>
  </r>
  <r>
    <x v="0"/>
    <x v="4"/>
    <x v="109"/>
    <s v="06:00"/>
    <n v="6.2291999999999996"/>
  </r>
  <r>
    <x v="0"/>
    <x v="4"/>
    <x v="110"/>
    <s v="18:00"/>
    <n v="6.2291999999999996"/>
  </r>
  <r>
    <x v="0"/>
    <x v="4"/>
    <x v="110"/>
    <s v="14:00"/>
    <n v="5.7914000000000003"/>
  </r>
  <r>
    <x v="0"/>
    <x v="4"/>
    <x v="110"/>
    <s v="10:00"/>
    <n v="6.2291999999999996"/>
  </r>
  <r>
    <x v="0"/>
    <x v="4"/>
    <x v="110"/>
    <s v="06:00"/>
    <n v="6.2291999999999996"/>
  </r>
  <r>
    <x v="0"/>
    <x v="4"/>
    <x v="111"/>
    <s v="18:00"/>
    <n v="6.6825000000000001"/>
  </r>
  <r>
    <x v="0"/>
    <x v="4"/>
    <x v="111"/>
    <s v="14:00"/>
    <n v="6.2291999999999996"/>
  </r>
  <r>
    <x v="0"/>
    <x v="4"/>
    <x v="111"/>
    <s v="10:00"/>
    <n v="6.2291999999999996"/>
  </r>
  <r>
    <x v="0"/>
    <x v="4"/>
    <x v="111"/>
    <s v="06:00"/>
    <n v="6.2291999999999996"/>
  </r>
  <r>
    <x v="0"/>
    <x v="4"/>
    <x v="112"/>
    <s v="18:00"/>
    <n v="7.1512000000000002"/>
  </r>
  <r>
    <x v="0"/>
    <x v="4"/>
    <x v="112"/>
    <s v="14:00"/>
    <n v="7.1512000000000002"/>
  </r>
  <r>
    <x v="0"/>
    <x v="4"/>
    <x v="112"/>
    <s v="10:00"/>
    <n v="6.6825000000000001"/>
  </r>
  <r>
    <x v="0"/>
    <x v="4"/>
    <x v="112"/>
    <s v="06:00"/>
    <n v="6.2291999999999996"/>
  </r>
  <r>
    <x v="0"/>
    <x v="4"/>
    <x v="113"/>
    <s v="18:00"/>
    <n v="7.1512000000000002"/>
  </r>
  <r>
    <x v="0"/>
    <x v="4"/>
    <x v="113"/>
    <s v="14:00"/>
    <n v="7.1512000000000002"/>
  </r>
  <r>
    <x v="0"/>
    <x v="4"/>
    <x v="113"/>
    <s v="10:00"/>
    <n v="7.1512000000000002"/>
  </r>
  <r>
    <x v="0"/>
    <x v="4"/>
    <x v="113"/>
    <s v="06:00"/>
    <n v="7.1512000000000002"/>
  </r>
  <r>
    <x v="0"/>
    <x v="4"/>
    <x v="114"/>
    <s v="18:00"/>
    <n v="5.3689999999999998"/>
  </r>
  <r>
    <x v="0"/>
    <x v="4"/>
    <x v="114"/>
    <s v="14:00"/>
    <n v="5.3689999999999998"/>
  </r>
  <r>
    <x v="0"/>
    <x v="4"/>
    <x v="114"/>
    <s v="10:00"/>
    <n v="5.7914000000000003"/>
  </r>
  <r>
    <x v="0"/>
    <x v="4"/>
    <x v="114"/>
    <s v="06:00"/>
    <n v="6.6825000000000001"/>
  </r>
  <r>
    <x v="0"/>
    <x v="4"/>
    <x v="115"/>
    <s v="18:00"/>
    <n v="5.3689999999999998"/>
  </r>
  <r>
    <x v="0"/>
    <x v="4"/>
    <x v="115"/>
    <s v="14:00"/>
    <n v="5.3689999999999998"/>
  </r>
  <r>
    <x v="0"/>
    <x v="4"/>
    <x v="115"/>
    <s v="06:00"/>
    <n v="5.3689999999999998"/>
  </r>
  <r>
    <x v="0"/>
    <x v="4"/>
    <x v="116"/>
    <s v="18:00"/>
    <n v="4.5705999999999998"/>
  </r>
  <r>
    <x v="0"/>
    <x v="4"/>
    <x v="116"/>
    <s v="14:00"/>
    <n v="4.5705999999999998"/>
  </r>
  <r>
    <x v="0"/>
    <x v="4"/>
    <x v="116"/>
    <s v="06:00"/>
    <n v="5.3689999999999998"/>
  </r>
  <r>
    <x v="0"/>
    <x v="5"/>
    <x v="117"/>
    <s v="18:00"/>
    <n v="4.5705999999999998"/>
  </r>
  <r>
    <x v="0"/>
    <x v="5"/>
    <x v="117"/>
    <s v="14:00"/>
    <n v="4.5705999999999998"/>
  </r>
  <r>
    <x v="0"/>
    <x v="5"/>
    <x v="117"/>
    <s v="10:00"/>
    <n v="4.5705999999999998"/>
  </r>
  <r>
    <x v="0"/>
    <x v="5"/>
    <x v="117"/>
    <s v="06:00"/>
    <n v="4.5705999999999998"/>
  </r>
  <r>
    <x v="0"/>
    <x v="5"/>
    <x v="118"/>
    <s v="18:00"/>
    <n v="4.5705999999999998"/>
  </r>
  <r>
    <x v="0"/>
    <x v="5"/>
    <x v="118"/>
    <s v="14:00"/>
    <n v="4.5705999999999998"/>
  </r>
  <r>
    <x v="0"/>
    <x v="5"/>
    <x v="118"/>
    <s v="10:00"/>
    <n v="4.5705999999999998"/>
  </r>
  <r>
    <x v="0"/>
    <x v="5"/>
    <x v="118"/>
    <s v="06:00"/>
    <n v="4.5705999999999998"/>
  </r>
  <r>
    <x v="0"/>
    <x v="5"/>
    <x v="119"/>
    <s v="18:00"/>
    <n v="4.1944999999999997"/>
  </r>
  <r>
    <x v="0"/>
    <x v="5"/>
    <x v="119"/>
    <s v="14:00"/>
    <n v="4.5705999999999998"/>
  </r>
  <r>
    <x v="0"/>
    <x v="5"/>
    <x v="119"/>
    <s v="10:00"/>
    <n v="4.5705999999999998"/>
  </r>
  <r>
    <x v="0"/>
    <x v="5"/>
    <x v="119"/>
    <s v="06:00"/>
    <n v="4.5705999999999998"/>
  </r>
  <r>
    <x v="0"/>
    <x v="5"/>
    <x v="120"/>
    <s v="18:00"/>
    <n v="4.5705999999999998"/>
  </r>
  <r>
    <x v="0"/>
    <x v="5"/>
    <x v="120"/>
    <s v="14:00"/>
    <n v="4.5705999999999998"/>
  </r>
  <r>
    <x v="0"/>
    <x v="5"/>
    <x v="120"/>
    <s v="10:00"/>
    <n v="4.5705999999999998"/>
  </r>
  <r>
    <x v="0"/>
    <x v="5"/>
    <x v="120"/>
    <s v="06:00"/>
    <n v="4.5705999999999998"/>
  </r>
  <r>
    <x v="0"/>
    <x v="5"/>
    <x v="121"/>
    <s v="18:00"/>
    <n v="4.5705999999999998"/>
  </r>
  <r>
    <x v="0"/>
    <x v="5"/>
    <x v="121"/>
    <s v="14:00"/>
    <n v="4.5705999999999998"/>
  </r>
  <r>
    <x v="0"/>
    <x v="5"/>
    <x v="121"/>
    <s v="10:00"/>
    <n v="4.5705999999999998"/>
  </r>
  <r>
    <x v="0"/>
    <x v="5"/>
    <x v="121"/>
    <s v="06:00"/>
    <n v="4.5705999999999998"/>
  </r>
  <r>
    <x v="0"/>
    <x v="5"/>
    <x v="122"/>
    <s v="18:00"/>
    <n v="3.8340000000000001"/>
  </r>
  <r>
    <x v="0"/>
    <x v="5"/>
    <x v="122"/>
    <s v="14:00"/>
    <n v="3.8340000000000001"/>
  </r>
  <r>
    <x v="0"/>
    <x v="5"/>
    <x v="122"/>
    <s v="10:00"/>
    <n v="3.8340000000000001"/>
  </r>
  <r>
    <x v="0"/>
    <x v="5"/>
    <x v="122"/>
    <s v="06:00"/>
    <n v="4.5705999999999998"/>
  </r>
  <r>
    <x v="0"/>
    <x v="5"/>
    <x v="123"/>
    <s v="18:00"/>
    <n v="4.5705999999999998"/>
  </r>
  <r>
    <x v="0"/>
    <x v="5"/>
    <x v="123"/>
    <s v="14:00"/>
    <n v="4.5705999999999998"/>
  </r>
  <r>
    <x v="0"/>
    <x v="5"/>
    <x v="123"/>
    <s v="10:00"/>
    <n v="4.5705999999999998"/>
  </r>
  <r>
    <x v="0"/>
    <x v="5"/>
    <x v="123"/>
    <s v="06:00"/>
    <n v="3.8340000000000001"/>
  </r>
  <r>
    <x v="0"/>
    <x v="5"/>
    <x v="124"/>
    <s v="18:00"/>
    <n v="4.5705999999999998"/>
  </r>
  <r>
    <x v="0"/>
    <x v="5"/>
    <x v="124"/>
    <s v="14:00"/>
    <n v="4.5705999999999998"/>
  </r>
  <r>
    <x v="0"/>
    <x v="5"/>
    <x v="124"/>
    <s v="10:00"/>
    <n v="4.5705999999999998"/>
  </r>
  <r>
    <x v="0"/>
    <x v="5"/>
    <x v="124"/>
    <s v="06:00"/>
    <n v="4.5705999999999998"/>
  </r>
  <r>
    <x v="0"/>
    <x v="5"/>
    <x v="125"/>
    <s v="18:00"/>
    <n v="4.5705999999999998"/>
  </r>
  <r>
    <x v="0"/>
    <x v="5"/>
    <x v="125"/>
    <s v="14:00"/>
    <n v="4.5705999999999998"/>
  </r>
  <r>
    <x v="0"/>
    <x v="5"/>
    <x v="125"/>
    <s v="10:00"/>
    <n v="4.5705999999999998"/>
  </r>
  <r>
    <x v="0"/>
    <x v="5"/>
    <x v="125"/>
    <s v="06:00"/>
    <n v="4.5705999999999998"/>
  </r>
  <r>
    <x v="0"/>
    <x v="5"/>
    <x v="126"/>
    <s v="18:00"/>
    <n v="4.5705999999999998"/>
  </r>
  <r>
    <x v="0"/>
    <x v="5"/>
    <x v="126"/>
    <s v="14:00"/>
    <n v="4.5705999999999998"/>
  </r>
  <r>
    <x v="0"/>
    <x v="5"/>
    <x v="126"/>
    <s v="10:00"/>
    <n v="4.5705999999999998"/>
  </r>
  <r>
    <x v="0"/>
    <x v="5"/>
    <x v="126"/>
    <s v="06:00"/>
    <n v="4.5705999999999998"/>
  </r>
  <r>
    <x v="0"/>
    <x v="5"/>
    <x v="127"/>
    <s v="18:00"/>
    <n v="4.5705999999999998"/>
  </r>
  <r>
    <x v="0"/>
    <x v="5"/>
    <x v="127"/>
    <s v="14:00"/>
    <n v="4.5705999999999998"/>
  </r>
  <r>
    <x v="0"/>
    <x v="5"/>
    <x v="127"/>
    <s v="10:00"/>
    <n v="4.5705999999999998"/>
  </r>
  <r>
    <x v="0"/>
    <x v="5"/>
    <x v="127"/>
    <s v="06:00"/>
    <n v="4.5705999999999998"/>
  </r>
  <r>
    <x v="0"/>
    <x v="5"/>
    <x v="128"/>
    <s v="18:00"/>
    <n v="4.5705999999999998"/>
  </r>
  <r>
    <x v="0"/>
    <x v="5"/>
    <x v="128"/>
    <s v="14:00"/>
    <n v="4.5705999999999998"/>
  </r>
  <r>
    <x v="0"/>
    <x v="5"/>
    <x v="128"/>
    <s v="10:00"/>
    <n v="4.5705999999999998"/>
  </r>
  <r>
    <x v="0"/>
    <x v="5"/>
    <x v="128"/>
    <s v="06:00"/>
    <n v="4.5705999999999998"/>
  </r>
  <r>
    <x v="0"/>
    <x v="5"/>
    <x v="129"/>
    <s v="18:00"/>
    <n v="2.8334999999999999"/>
  </r>
  <r>
    <x v="0"/>
    <x v="5"/>
    <x v="129"/>
    <s v="14:00"/>
    <n v="2.8334999999999999"/>
  </r>
  <r>
    <x v="0"/>
    <x v="5"/>
    <x v="129"/>
    <s v="10:00"/>
    <n v="2.8334999999999999"/>
  </r>
  <r>
    <x v="0"/>
    <x v="5"/>
    <x v="129"/>
    <s v="06:00"/>
    <n v="2.8334999999999999"/>
  </r>
  <r>
    <x v="0"/>
    <x v="5"/>
    <x v="130"/>
    <s v="18:00"/>
    <n v="2.8334999999999999"/>
  </r>
  <r>
    <x v="0"/>
    <x v="5"/>
    <x v="130"/>
    <s v="14:00"/>
    <n v="2.8334999999999999"/>
  </r>
  <r>
    <x v="0"/>
    <x v="5"/>
    <x v="130"/>
    <s v="10:00"/>
    <n v="2.8334999999999999"/>
  </r>
  <r>
    <x v="0"/>
    <x v="5"/>
    <x v="130"/>
    <s v="06:00"/>
    <n v="2.8334999999999999"/>
  </r>
  <r>
    <x v="0"/>
    <x v="5"/>
    <x v="131"/>
    <s v="18:00"/>
    <n v="2.4662999999999999"/>
  </r>
  <r>
    <x v="0"/>
    <x v="5"/>
    <x v="131"/>
    <s v="14:00"/>
    <n v="2.8334999999999999"/>
  </r>
  <r>
    <x v="0"/>
    <x v="5"/>
    <x v="131"/>
    <s v="10:00"/>
    <n v="2.8334999999999999"/>
  </r>
  <r>
    <x v="0"/>
    <x v="5"/>
    <x v="131"/>
    <s v="06:00"/>
    <n v="2.8334999999999999"/>
  </r>
  <r>
    <x v="0"/>
    <x v="5"/>
    <x v="132"/>
    <s v="18:00"/>
    <n v="3.2193999999999998"/>
  </r>
  <r>
    <x v="0"/>
    <x v="5"/>
    <x v="132"/>
    <s v="14:00"/>
    <n v="3.2193999999999998"/>
  </r>
  <r>
    <x v="0"/>
    <x v="5"/>
    <x v="132"/>
    <s v="10:00"/>
    <n v="3.2193999999999998"/>
  </r>
  <r>
    <x v="0"/>
    <x v="5"/>
    <x v="132"/>
    <s v="06:00"/>
    <n v="2.8334999999999999"/>
  </r>
  <r>
    <x v="0"/>
    <x v="5"/>
    <x v="133"/>
    <s v="18:00"/>
    <n v="3.2193999999999998"/>
  </r>
  <r>
    <x v="0"/>
    <x v="5"/>
    <x v="133"/>
    <s v="14:00"/>
    <n v="3.2193999999999998"/>
  </r>
  <r>
    <x v="0"/>
    <x v="5"/>
    <x v="133"/>
    <s v="10:00"/>
    <n v="3.2193999999999998"/>
  </r>
  <r>
    <x v="0"/>
    <x v="5"/>
    <x v="133"/>
    <s v="06:00"/>
    <n v="3.2193999999999998"/>
  </r>
  <r>
    <x v="0"/>
    <x v="5"/>
    <x v="134"/>
    <s v="18:00"/>
    <n v="3.6238999999999999"/>
  </r>
  <r>
    <x v="0"/>
    <x v="5"/>
    <x v="134"/>
    <s v="14:00"/>
    <n v="3.6238999999999999"/>
  </r>
  <r>
    <x v="0"/>
    <x v="5"/>
    <x v="134"/>
    <s v="10:00"/>
    <n v="3.6238999999999999"/>
  </r>
  <r>
    <x v="0"/>
    <x v="5"/>
    <x v="134"/>
    <s v="06:00"/>
    <n v="3.2193999999999998"/>
  </r>
  <r>
    <x v="0"/>
    <x v="5"/>
    <x v="135"/>
    <s v="18:00"/>
    <n v="3.6238999999999999"/>
  </r>
  <r>
    <x v="0"/>
    <x v="5"/>
    <x v="135"/>
    <s v="14:00"/>
    <n v="3.6238999999999999"/>
  </r>
  <r>
    <x v="0"/>
    <x v="5"/>
    <x v="135"/>
    <s v="10:00"/>
    <n v="3.6238999999999999"/>
  </r>
  <r>
    <x v="0"/>
    <x v="5"/>
    <x v="135"/>
    <s v="06:00"/>
    <n v="3.6238999999999999"/>
  </r>
  <r>
    <x v="0"/>
    <x v="5"/>
    <x v="136"/>
    <s v="18:00"/>
    <n v="4.0472000000000001"/>
  </r>
  <r>
    <x v="0"/>
    <x v="5"/>
    <x v="136"/>
    <s v="14:00"/>
    <n v="4.0472000000000001"/>
  </r>
  <r>
    <x v="0"/>
    <x v="5"/>
    <x v="136"/>
    <s v="10:00"/>
    <n v="3.6238999999999999"/>
  </r>
  <r>
    <x v="0"/>
    <x v="5"/>
    <x v="136"/>
    <s v="06:00"/>
    <n v="3.6238999999999999"/>
  </r>
  <r>
    <x v="0"/>
    <x v="5"/>
    <x v="137"/>
    <s v="18:00"/>
    <n v="4.0472000000000001"/>
  </r>
  <r>
    <x v="0"/>
    <x v="5"/>
    <x v="137"/>
    <s v="14:00"/>
    <n v="4.0472000000000001"/>
  </r>
  <r>
    <x v="0"/>
    <x v="5"/>
    <x v="137"/>
    <s v="10:00"/>
    <n v="3.6238999999999999"/>
  </r>
  <r>
    <x v="0"/>
    <x v="5"/>
    <x v="137"/>
    <s v="06:00"/>
    <n v="4.0472000000000001"/>
  </r>
  <r>
    <x v="0"/>
    <x v="5"/>
    <x v="138"/>
    <s v="18:00"/>
    <n v="4.0472000000000001"/>
  </r>
  <r>
    <x v="0"/>
    <x v="5"/>
    <x v="138"/>
    <s v="14:00"/>
    <n v="4.0472000000000001"/>
  </r>
  <r>
    <x v="0"/>
    <x v="5"/>
    <x v="138"/>
    <s v="10:00"/>
    <n v="4.0472000000000001"/>
  </r>
  <r>
    <x v="0"/>
    <x v="5"/>
    <x v="138"/>
    <s v="06:00"/>
    <n v="4.0472000000000001"/>
  </r>
  <r>
    <x v="0"/>
    <x v="5"/>
    <x v="139"/>
    <s v="18:00"/>
    <n v="3.6238999999999999"/>
  </r>
  <r>
    <x v="0"/>
    <x v="5"/>
    <x v="139"/>
    <s v="14:00"/>
    <n v="3.6238999999999999"/>
  </r>
  <r>
    <x v="0"/>
    <x v="5"/>
    <x v="139"/>
    <s v="10:00"/>
    <n v="4.0472000000000001"/>
  </r>
  <r>
    <x v="0"/>
    <x v="5"/>
    <x v="139"/>
    <s v="06:00"/>
    <n v="4.0472000000000001"/>
  </r>
  <r>
    <x v="0"/>
    <x v="5"/>
    <x v="140"/>
    <s v="18:00"/>
    <n v="3.6238999999999999"/>
  </r>
  <r>
    <x v="0"/>
    <x v="5"/>
    <x v="140"/>
    <s v="14:00"/>
    <n v="3.6238999999999999"/>
  </r>
  <r>
    <x v="0"/>
    <x v="5"/>
    <x v="140"/>
    <s v="10:00"/>
    <n v="3.6238999999999999"/>
  </r>
  <r>
    <x v="0"/>
    <x v="5"/>
    <x v="140"/>
    <s v="06:00"/>
    <n v="3.6238999999999999"/>
  </r>
  <r>
    <x v="0"/>
    <x v="5"/>
    <x v="141"/>
    <s v="18:00"/>
    <n v="3.6238999999999999"/>
  </r>
  <r>
    <x v="0"/>
    <x v="5"/>
    <x v="141"/>
    <s v="14:00"/>
    <n v="3.6238999999999999"/>
  </r>
  <r>
    <x v="0"/>
    <x v="5"/>
    <x v="141"/>
    <s v="10:00"/>
    <n v="3.6238999999999999"/>
  </r>
  <r>
    <x v="0"/>
    <x v="5"/>
    <x v="141"/>
    <s v="06:00"/>
    <n v="3.6238999999999999"/>
  </r>
  <r>
    <x v="0"/>
    <x v="5"/>
    <x v="142"/>
    <s v="18:00"/>
    <n v="5.9269999999999996"/>
  </r>
  <r>
    <x v="0"/>
    <x v="5"/>
    <x v="142"/>
    <s v="14:00"/>
    <n v="5.9269999999999996"/>
  </r>
  <r>
    <x v="0"/>
    <x v="5"/>
    <x v="142"/>
    <s v="10:00"/>
    <n v="5.9269999999999996"/>
  </r>
  <r>
    <x v="0"/>
    <x v="5"/>
    <x v="142"/>
    <s v="06:00"/>
    <n v="3.6238999999999999"/>
  </r>
  <r>
    <x v="0"/>
    <x v="5"/>
    <x v="143"/>
    <s v="18:00"/>
    <n v="4.4890999999999996"/>
  </r>
  <r>
    <x v="0"/>
    <x v="5"/>
    <x v="143"/>
    <s v="14:00"/>
    <n v="4.4890999999999996"/>
  </r>
  <r>
    <x v="0"/>
    <x v="5"/>
    <x v="143"/>
    <s v="10:00"/>
    <n v="4.4890999999999996"/>
  </r>
  <r>
    <x v="0"/>
    <x v="5"/>
    <x v="143"/>
    <s v="06:00"/>
    <n v="5.9269999999999996"/>
  </r>
  <r>
    <x v="0"/>
    <x v="5"/>
    <x v="144"/>
    <s v="18:00"/>
    <n v="5.9269999999999996"/>
  </r>
  <r>
    <x v="0"/>
    <x v="5"/>
    <x v="144"/>
    <s v="14:00"/>
    <n v="5.9269999999999996"/>
  </r>
  <r>
    <x v="0"/>
    <x v="5"/>
    <x v="144"/>
    <s v="10:00"/>
    <n v="5.9269999999999996"/>
  </r>
  <r>
    <x v="0"/>
    <x v="5"/>
    <x v="144"/>
    <s v="06:00"/>
    <n v="5.4290000000000003"/>
  </r>
  <r>
    <x v="0"/>
    <x v="5"/>
    <x v="145"/>
    <s v="18:00"/>
    <n v="5.4290000000000003"/>
  </r>
  <r>
    <x v="0"/>
    <x v="5"/>
    <x v="145"/>
    <s v="14:00"/>
    <n v="5.4290000000000003"/>
  </r>
  <r>
    <x v="0"/>
    <x v="5"/>
    <x v="145"/>
    <s v="10:00"/>
    <n v="5.4290000000000003"/>
  </r>
  <r>
    <x v="0"/>
    <x v="5"/>
    <x v="145"/>
    <s v="06:00"/>
    <n v="5.4290000000000003"/>
  </r>
  <r>
    <x v="0"/>
    <x v="5"/>
    <x v="146"/>
    <s v="18:00"/>
    <n v="4.9497"/>
  </r>
  <r>
    <x v="0"/>
    <x v="5"/>
    <x v="146"/>
    <s v="14:00"/>
    <n v="4.9497"/>
  </r>
  <r>
    <x v="0"/>
    <x v="5"/>
    <x v="146"/>
    <s v="10:00"/>
    <n v="4.9497"/>
  </r>
  <r>
    <x v="0"/>
    <x v="5"/>
    <x v="146"/>
    <s v="06:00"/>
    <n v="5.4290000000000003"/>
  </r>
  <r>
    <x v="0"/>
    <x v="6"/>
    <x v="147"/>
    <s v="18:00"/>
    <n v="5.9269999999999996"/>
  </r>
  <r>
    <x v="0"/>
    <x v="6"/>
    <x v="147"/>
    <s v="14:00"/>
    <n v="5.9269999999999996"/>
  </r>
  <r>
    <x v="0"/>
    <x v="6"/>
    <x v="147"/>
    <s v="10:00"/>
    <n v="4.9497"/>
  </r>
  <r>
    <x v="0"/>
    <x v="6"/>
    <x v="147"/>
    <s v="06:00"/>
    <n v="4.9497"/>
  </r>
  <r>
    <x v="0"/>
    <x v="6"/>
    <x v="148"/>
    <s v="18:00"/>
    <n v="6.4436"/>
  </r>
  <r>
    <x v="0"/>
    <x v="6"/>
    <x v="148"/>
    <s v="14:00"/>
    <n v="6.4436"/>
  </r>
  <r>
    <x v="0"/>
    <x v="6"/>
    <x v="148"/>
    <s v="10:00"/>
    <n v="6.4436"/>
  </r>
  <r>
    <x v="0"/>
    <x v="6"/>
    <x v="148"/>
    <s v="06:00"/>
    <n v="5.9269999999999996"/>
  </r>
  <r>
    <x v="0"/>
    <x v="6"/>
    <x v="149"/>
    <s v="18:00"/>
    <n v="6.9790000000000001"/>
  </r>
  <r>
    <x v="0"/>
    <x v="6"/>
    <x v="149"/>
    <s v="14:00"/>
    <n v="6.9790000000000001"/>
  </r>
  <r>
    <x v="0"/>
    <x v="6"/>
    <x v="149"/>
    <s v="10:00"/>
    <n v="6.4436"/>
  </r>
  <r>
    <x v="0"/>
    <x v="6"/>
    <x v="149"/>
    <s v="06:00"/>
    <n v="6.4436"/>
  </r>
  <r>
    <x v="0"/>
    <x v="6"/>
    <x v="150"/>
    <s v="18:00"/>
    <n v="7.5330000000000004"/>
  </r>
  <r>
    <x v="0"/>
    <x v="6"/>
    <x v="150"/>
    <s v="14:00"/>
    <n v="6.9790000000000001"/>
  </r>
  <r>
    <x v="0"/>
    <x v="6"/>
    <x v="150"/>
    <s v="10:00"/>
    <n v="7.5330000000000004"/>
  </r>
  <r>
    <x v="0"/>
    <x v="6"/>
    <x v="150"/>
    <s v="06:00"/>
    <n v="7.5330000000000004"/>
  </r>
  <r>
    <x v="0"/>
    <x v="6"/>
    <x v="151"/>
    <s v="18:00"/>
    <n v="6.4436"/>
  </r>
  <r>
    <x v="0"/>
    <x v="6"/>
    <x v="151"/>
    <s v="14:00"/>
    <n v="6.4436"/>
  </r>
  <r>
    <x v="0"/>
    <x v="6"/>
    <x v="151"/>
    <s v="10:00"/>
    <n v="6.4436"/>
  </r>
  <r>
    <x v="0"/>
    <x v="6"/>
    <x v="151"/>
    <s v="06:00"/>
    <n v="6.4436"/>
  </r>
  <r>
    <x v="0"/>
    <x v="6"/>
    <x v="152"/>
    <s v="18:00"/>
    <n v="7.5068999999999999"/>
  </r>
  <r>
    <x v="0"/>
    <x v="6"/>
    <x v="152"/>
    <s v="14:00"/>
    <n v="8.2965"/>
  </r>
  <r>
    <x v="0"/>
    <x v="6"/>
    <x v="152"/>
    <s v="10:00"/>
    <n v="8.2965"/>
  </r>
  <r>
    <x v="0"/>
    <x v="6"/>
    <x v="152"/>
    <s v="06:00"/>
    <n v="8.2965"/>
  </r>
  <r>
    <x v="0"/>
    <x v="6"/>
    <x v="153"/>
    <s v="18:00"/>
    <n v="6.7572999999999999"/>
  </r>
  <r>
    <x v="0"/>
    <x v="6"/>
    <x v="153"/>
    <s v="14:00"/>
    <n v="6.7572999999999999"/>
  </r>
  <r>
    <x v="0"/>
    <x v="6"/>
    <x v="153"/>
    <s v="10:00"/>
    <n v="6.0476000000000001"/>
  </r>
  <r>
    <x v="0"/>
    <x v="6"/>
    <x v="153"/>
    <s v="06:00"/>
    <n v="6.7572999999999999"/>
  </r>
  <r>
    <x v="0"/>
    <x v="6"/>
    <x v="154"/>
    <s v="18:00"/>
    <n v="5.3779000000000003"/>
  </r>
  <r>
    <x v="0"/>
    <x v="6"/>
    <x v="154"/>
    <s v="14:00"/>
    <n v="5.3779000000000003"/>
  </r>
  <r>
    <x v="0"/>
    <x v="6"/>
    <x v="154"/>
    <s v="10:00"/>
    <n v="5.3779000000000003"/>
  </r>
  <r>
    <x v="0"/>
    <x v="6"/>
    <x v="154"/>
    <s v="06:00"/>
    <n v="5.3779000000000003"/>
  </r>
  <r>
    <x v="0"/>
    <x v="6"/>
    <x v="155"/>
    <s v="18:00"/>
    <n v="5.3779000000000003"/>
  </r>
  <r>
    <x v="0"/>
    <x v="6"/>
    <x v="155"/>
    <s v="14:00"/>
    <n v="5.3779000000000003"/>
  </r>
  <r>
    <x v="0"/>
    <x v="6"/>
    <x v="155"/>
    <s v="10:00"/>
    <n v="5.3779000000000003"/>
  </r>
  <r>
    <x v="0"/>
    <x v="6"/>
    <x v="155"/>
    <s v="06:00"/>
    <n v="5.3779000000000003"/>
  </r>
  <r>
    <x v="0"/>
    <x v="6"/>
    <x v="156"/>
    <s v="18:00"/>
    <n v="5.3779000000000003"/>
  </r>
  <r>
    <x v="0"/>
    <x v="6"/>
    <x v="156"/>
    <s v="14:00"/>
    <n v="5.3779000000000003"/>
  </r>
  <r>
    <x v="0"/>
    <x v="6"/>
    <x v="156"/>
    <s v="10:00"/>
    <n v="5.3779000000000003"/>
  </r>
  <r>
    <x v="0"/>
    <x v="6"/>
    <x v="156"/>
    <s v="06:00"/>
    <n v="5.3779000000000003"/>
  </r>
  <r>
    <x v="0"/>
    <x v="6"/>
    <x v="157"/>
    <s v="18:00"/>
    <n v="6.0476000000000001"/>
  </r>
  <r>
    <x v="0"/>
    <x v="6"/>
    <x v="157"/>
    <s v="14:00"/>
    <n v="6.0476000000000001"/>
  </r>
  <r>
    <x v="0"/>
    <x v="6"/>
    <x v="157"/>
    <s v="10:00"/>
    <n v="6.0476000000000001"/>
  </r>
  <r>
    <x v="0"/>
    <x v="6"/>
    <x v="157"/>
    <s v="06:00"/>
    <n v="5.3779000000000003"/>
  </r>
  <r>
    <x v="0"/>
    <x v="6"/>
    <x v="158"/>
    <s v="18:00"/>
    <n v="9.1260999999999992"/>
  </r>
  <r>
    <x v="0"/>
    <x v="6"/>
    <x v="158"/>
    <s v="14:00"/>
    <n v="9.9955999999999996"/>
  </r>
  <r>
    <x v="0"/>
    <x v="6"/>
    <x v="158"/>
    <s v="10:00"/>
    <n v="9.9955999999999996"/>
  </r>
  <r>
    <x v="0"/>
    <x v="6"/>
    <x v="158"/>
    <s v="06:00"/>
    <n v="9.9955999999999996"/>
  </r>
  <r>
    <x v="0"/>
    <x v="6"/>
    <x v="159"/>
    <s v="18:00"/>
    <n v="7.5068999999999999"/>
  </r>
  <r>
    <x v="0"/>
    <x v="6"/>
    <x v="159"/>
    <s v="14:00"/>
    <n v="7.5068999999999999"/>
  </r>
  <r>
    <x v="0"/>
    <x v="6"/>
    <x v="159"/>
    <s v="10:00"/>
    <n v="7.5068999999999999"/>
  </r>
  <r>
    <x v="0"/>
    <x v="6"/>
    <x v="159"/>
    <s v="06:00"/>
    <n v="7.5068999999999999"/>
  </r>
  <r>
    <x v="0"/>
    <x v="6"/>
    <x v="160"/>
    <s v="18:00"/>
    <n v="9.9955999999999996"/>
  </r>
  <r>
    <x v="0"/>
    <x v="6"/>
    <x v="160"/>
    <s v="14:00"/>
    <n v="9.9955999999999996"/>
  </r>
  <r>
    <x v="0"/>
    <x v="6"/>
    <x v="160"/>
    <s v="10:00"/>
    <n v="10.904999999999999"/>
  </r>
  <r>
    <x v="0"/>
    <x v="6"/>
    <x v="160"/>
    <s v="06:00"/>
    <n v="8.2965"/>
  </r>
  <r>
    <x v="0"/>
    <x v="6"/>
    <x v="161"/>
    <s v="18:00"/>
    <n v="8.2965"/>
  </r>
  <r>
    <x v="0"/>
    <x v="6"/>
    <x v="161"/>
    <s v="14:00"/>
    <n v="8.2965"/>
  </r>
  <r>
    <x v="0"/>
    <x v="6"/>
    <x v="161"/>
    <s v="10:00"/>
    <n v="9.9955999999999996"/>
  </r>
  <r>
    <x v="0"/>
    <x v="6"/>
    <x v="161"/>
    <s v="06:00"/>
    <n v="9.9955999999999996"/>
  </r>
  <r>
    <x v="0"/>
    <x v="6"/>
    <x v="162"/>
    <s v="18:00"/>
    <n v="8.2965"/>
  </r>
  <r>
    <x v="0"/>
    <x v="6"/>
    <x v="162"/>
    <s v="14:00"/>
    <n v="8.2965"/>
  </r>
  <r>
    <x v="0"/>
    <x v="6"/>
    <x v="162"/>
    <s v="10:00"/>
    <n v="7.5068999999999999"/>
  </r>
  <r>
    <x v="0"/>
    <x v="6"/>
    <x v="162"/>
    <s v="06:00"/>
    <n v="7.5068999999999999"/>
  </r>
  <r>
    <x v="0"/>
    <x v="6"/>
    <x v="163"/>
    <s v="18:00"/>
    <n v="8.2965"/>
  </r>
  <r>
    <x v="0"/>
    <x v="6"/>
    <x v="163"/>
    <s v="14:00"/>
    <n v="8.2965"/>
  </r>
  <r>
    <x v="0"/>
    <x v="6"/>
    <x v="163"/>
    <s v="10:00"/>
    <n v="8.2965"/>
  </r>
  <r>
    <x v="0"/>
    <x v="6"/>
    <x v="163"/>
    <s v="06:00"/>
    <n v="7.5068999999999999"/>
  </r>
  <r>
    <x v="0"/>
    <x v="6"/>
    <x v="164"/>
    <s v="18:00"/>
    <n v="9.1260999999999992"/>
  </r>
  <r>
    <x v="0"/>
    <x v="6"/>
    <x v="164"/>
    <s v="14:00"/>
    <n v="9.1260999999999992"/>
  </r>
  <r>
    <x v="0"/>
    <x v="6"/>
    <x v="164"/>
    <s v="10:00"/>
    <n v="9.1260999999999992"/>
  </r>
  <r>
    <x v="0"/>
    <x v="6"/>
    <x v="164"/>
    <s v="06:00"/>
    <n v="7.5068999999999999"/>
  </r>
  <r>
    <x v="0"/>
    <x v="6"/>
    <x v="165"/>
    <s v="18:00"/>
    <n v="9.1260999999999992"/>
  </r>
  <r>
    <x v="0"/>
    <x v="6"/>
    <x v="165"/>
    <s v="14:00"/>
    <n v="9.1260999999999992"/>
  </r>
  <r>
    <x v="0"/>
    <x v="6"/>
    <x v="165"/>
    <s v="10:00"/>
    <n v="9.1260999999999992"/>
  </r>
  <r>
    <x v="0"/>
    <x v="6"/>
    <x v="165"/>
    <s v="06:00"/>
    <n v="9.1260999999999992"/>
  </r>
  <r>
    <x v="0"/>
    <x v="6"/>
    <x v="166"/>
    <s v="18:00"/>
    <n v="7.5068999999999999"/>
  </r>
  <r>
    <x v="0"/>
    <x v="6"/>
    <x v="166"/>
    <s v="14:00"/>
    <n v="8.2965"/>
  </r>
  <r>
    <x v="0"/>
    <x v="6"/>
    <x v="166"/>
    <s v="10:00"/>
    <n v="8.2965"/>
  </r>
  <r>
    <x v="0"/>
    <x v="6"/>
    <x v="166"/>
    <s v="06:00"/>
    <n v="9.1260999999999992"/>
  </r>
  <r>
    <x v="0"/>
    <x v="6"/>
    <x v="167"/>
    <s v="18:00"/>
    <n v="9.1260999999999992"/>
  </r>
  <r>
    <x v="0"/>
    <x v="6"/>
    <x v="167"/>
    <s v="14:00"/>
    <n v="9.1260999999999992"/>
  </r>
  <r>
    <x v="0"/>
    <x v="6"/>
    <x v="167"/>
    <s v="10:00"/>
    <n v="9.1260999999999992"/>
  </r>
  <r>
    <x v="0"/>
    <x v="6"/>
    <x v="167"/>
    <s v="06:00"/>
    <n v="8.2965"/>
  </r>
  <r>
    <x v="0"/>
    <x v="6"/>
    <x v="168"/>
    <s v="18:00"/>
    <n v="9.1260999999999992"/>
  </r>
  <r>
    <x v="0"/>
    <x v="6"/>
    <x v="168"/>
    <s v="14:00"/>
    <n v="9.1260999999999992"/>
  </r>
  <r>
    <x v="0"/>
    <x v="6"/>
    <x v="168"/>
    <s v="10:00"/>
    <n v="9.1260999999999992"/>
  </r>
  <r>
    <x v="0"/>
    <x v="6"/>
    <x v="168"/>
    <s v="06:00"/>
    <n v="8.2965"/>
  </r>
  <r>
    <x v="0"/>
    <x v="6"/>
    <x v="169"/>
    <s v="18:00"/>
    <n v="7.5068999999999999"/>
  </r>
  <r>
    <x v="0"/>
    <x v="6"/>
    <x v="169"/>
    <s v="14:00"/>
    <n v="7.5068999999999999"/>
  </r>
  <r>
    <x v="0"/>
    <x v="6"/>
    <x v="169"/>
    <s v="10:00"/>
    <n v="7.5068999999999999"/>
  </r>
  <r>
    <x v="0"/>
    <x v="6"/>
    <x v="169"/>
    <s v="06:00"/>
    <n v="9.1260999999999992"/>
  </r>
  <r>
    <x v="0"/>
    <x v="6"/>
    <x v="170"/>
    <s v="18:00"/>
    <n v="7.5068999999999999"/>
  </r>
  <r>
    <x v="0"/>
    <x v="6"/>
    <x v="170"/>
    <s v="14:00"/>
    <n v="7.5068999999999999"/>
  </r>
  <r>
    <x v="0"/>
    <x v="6"/>
    <x v="170"/>
    <s v="10:00"/>
    <n v="7.5068999999999999"/>
  </r>
  <r>
    <x v="0"/>
    <x v="6"/>
    <x v="170"/>
    <s v="06:00"/>
    <n v="7.5068999999999999"/>
  </r>
  <r>
    <x v="0"/>
    <x v="6"/>
    <x v="171"/>
    <s v="18:00"/>
    <n v="8.2965"/>
  </r>
  <r>
    <x v="0"/>
    <x v="6"/>
    <x v="171"/>
    <s v="14:00"/>
    <n v="8.2965"/>
  </r>
  <r>
    <x v="0"/>
    <x v="6"/>
    <x v="171"/>
    <s v="10:00"/>
    <n v="8.2965"/>
  </r>
  <r>
    <x v="0"/>
    <x v="6"/>
    <x v="171"/>
    <s v="06:00"/>
    <n v="8.2965"/>
  </r>
  <r>
    <x v="0"/>
    <x v="6"/>
    <x v="172"/>
    <s v="18:00"/>
    <n v="8.2965"/>
  </r>
  <r>
    <x v="0"/>
    <x v="6"/>
    <x v="172"/>
    <s v="14:00"/>
    <n v="8.2965"/>
  </r>
  <r>
    <x v="0"/>
    <x v="6"/>
    <x v="172"/>
    <s v="10:00"/>
    <n v="8.2965"/>
  </r>
  <r>
    <x v="0"/>
    <x v="6"/>
    <x v="172"/>
    <s v="06:00"/>
    <n v="8.2965"/>
  </r>
  <r>
    <x v="0"/>
    <x v="6"/>
    <x v="173"/>
    <s v="18:00"/>
    <n v="7.5068999999999999"/>
  </r>
  <r>
    <x v="0"/>
    <x v="6"/>
    <x v="173"/>
    <s v="14:00"/>
    <n v="7.5068999999999999"/>
  </r>
  <r>
    <x v="0"/>
    <x v="6"/>
    <x v="173"/>
    <s v="10:00"/>
    <n v="9.1260999999999992"/>
  </r>
  <r>
    <x v="0"/>
    <x v="6"/>
    <x v="173"/>
    <s v="06:00"/>
    <n v="8.2965"/>
  </r>
  <r>
    <x v="0"/>
    <x v="6"/>
    <x v="174"/>
    <s v="18:00"/>
    <n v="9.1260999999999992"/>
  </r>
  <r>
    <x v="0"/>
    <x v="6"/>
    <x v="174"/>
    <s v="14:00"/>
    <n v="9.1260999999999992"/>
  </r>
  <r>
    <x v="0"/>
    <x v="6"/>
    <x v="174"/>
    <s v="10:00"/>
    <n v="9.1260999999999992"/>
  </r>
  <r>
    <x v="0"/>
    <x v="6"/>
    <x v="174"/>
    <s v="06:00"/>
    <n v="8.2965"/>
  </r>
  <r>
    <x v="0"/>
    <x v="6"/>
    <x v="175"/>
    <s v="18:00"/>
    <n v="10.904999999999999"/>
  </r>
  <r>
    <x v="0"/>
    <x v="6"/>
    <x v="175"/>
    <s v="14:00"/>
    <n v="10.904999999999999"/>
  </r>
  <r>
    <x v="0"/>
    <x v="6"/>
    <x v="175"/>
    <s v="10:00"/>
    <n v="10.904999999999999"/>
  </r>
  <r>
    <x v="0"/>
    <x v="6"/>
    <x v="175"/>
    <s v="06:00"/>
    <n v="10.904999999999999"/>
  </r>
  <r>
    <x v="0"/>
    <x v="6"/>
    <x v="176"/>
    <s v="18:00"/>
    <n v="11.8545"/>
  </r>
  <r>
    <x v="0"/>
    <x v="6"/>
    <x v="176"/>
    <s v="14:00"/>
    <n v="11.8545"/>
  </r>
  <r>
    <x v="0"/>
    <x v="6"/>
    <x v="176"/>
    <s v="10:00"/>
    <n v="11.8545"/>
  </r>
  <r>
    <x v="0"/>
    <x v="6"/>
    <x v="176"/>
    <s v="06:00"/>
    <n v="12.8438"/>
  </r>
  <r>
    <x v="0"/>
    <x v="6"/>
    <x v="177"/>
    <s v="18:00"/>
    <n v="12.8438"/>
  </r>
  <r>
    <x v="0"/>
    <x v="6"/>
    <x v="177"/>
    <s v="14:00"/>
    <n v="12.8438"/>
  </r>
  <r>
    <x v="0"/>
    <x v="6"/>
    <x v="177"/>
    <s v="10:00"/>
    <n v="12.8438"/>
  </r>
  <r>
    <x v="0"/>
    <x v="6"/>
    <x v="177"/>
    <s v="06:00"/>
    <n v="12.8438"/>
  </r>
  <r>
    <x v="1"/>
    <x v="0"/>
    <x v="178"/>
    <s v="18:00"/>
    <n v="54.661799999999999"/>
  </r>
  <r>
    <x v="1"/>
    <x v="0"/>
    <x v="178"/>
    <s v="14:00"/>
    <n v="54.661799999999999"/>
  </r>
  <r>
    <x v="1"/>
    <x v="0"/>
    <x v="178"/>
    <s v="10:00"/>
    <n v="54.661799999999999"/>
  </r>
  <r>
    <x v="1"/>
    <x v="0"/>
    <x v="178"/>
    <s v="06:00"/>
    <n v="54.661799999999999"/>
  </r>
  <r>
    <x v="1"/>
    <x v="0"/>
    <x v="179"/>
    <s v="14:00"/>
    <n v="80.050200000000004"/>
  </r>
  <r>
    <x v="1"/>
    <x v="0"/>
    <x v="179"/>
    <s v="10:00"/>
    <n v="80.050200000000004"/>
  </r>
  <r>
    <x v="1"/>
    <x v="0"/>
    <x v="179"/>
    <s v="06:00"/>
    <n v="54.661799999999999"/>
  </r>
  <r>
    <x v="1"/>
    <x v="0"/>
    <x v="180"/>
    <s v="18:00"/>
    <n v="56.77"/>
  </r>
  <r>
    <x v="1"/>
    <x v="0"/>
    <x v="180"/>
    <s v="14:00"/>
    <n v="54.661799999999999"/>
  </r>
  <r>
    <x v="1"/>
    <x v="0"/>
    <x v="180"/>
    <s v="10:00"/>
    <n v="80.050200000000004"/>
  </r>
  <r>
    <x v="1"/>
    <x v="0"/>
    <x v="180"/>
    <s v="06:00"/>
    <n v="80.050200000000004"/>
  </r>
  <r>
    <x v="1"/>
    <x v="0"/>
    <x v="181"/>
    <s v="18:00"/>
    <n v="41.0229"/>
  </r>
  <r>
    <x v="1"/>
    <x v="0"/>
    <x v="181"/>
    <s v="14:00"/>
    <n v="41.0229"/>
  </r>
  <r>
    <x v="1"/>
    <x v="0"/>
    <x v="181"/>
    <s v="10:00"/>
    <n v="41.0229"/>
  </r>
  <r>
    <x v="1"/>
    <x v="0"/>
    <x v="181"/>
    <s v="06:00"/>
    <n v="39.234400000000001"/>
  </r>
  <r>
    <x v="1"/>
    <x v="0"/>
    <x v="182"/>
    <s v="18:00"/>
    <n v="24.935400000000001"/>
  </r>
  <r>
    <x v="1"/>
    <x v="0"/>
    <x v="182"/>
    <s v="14:00"/>
    <n v="24.935400000000001"/>
  </r>
  <r>
    <x v="1"/>
    <x v="0"/>
    <x v="182"/>
    <s v="10:00"/>
    <n v="24.935400000000001"/>
  </r>
  <r>
    <x v="1"/>
    <x v="0"/>
    <x v="182"/>
    <s v="06:00"/>
    <n v="24.935400000000001"/>
  </r>
  <r>
    <x v="1"/>
    <x v="0"/>
    <x v="183"/>
    <s v="18:00"/>
    <n v="30.890899999999998"/>
  </r>
  <r>
    <x v="1"/>
    <x v="0"/>
    <x v="183"/>
    <s v="14:00"/>
    <n v="24.935400000000001"/>
  </r>
  <r>
    <x v="1"/>
    <x v="0"/>
    <x v="183"/>
    <s v="10:00"/>
    <n v="24.935400000000001"/>
  </r>
  <r>
    <x v="1"/>
    <x v="0"/>
    <x v="183"/>
    <s v="06:00"/>
    <n v="24.935400000000001"/>
  </r>
  <r>
    <x v="1"/>
    <x v="0"/>
    <x v="184"/>
    <s v="18:00"/>
    <n v="24.935400000000001"/>
  </r>
  <r>
    <x v="1"/>
    <x v="0"/>
    <x v="184"/>
    <s v="14:00"/>
    <n v="29.342099999999999"/>
  </r>
  <r>
    <x v="1"/>
    <x v="0"/>
    <x v="184"/>
    <s v="10:00"/>
    <n v="32.479700000000001"/>
  </r>
  <r>
    <x v="1"/>
    <x v="0"/>
    <x v="184"/>
    <s v="06:00"/>
    <n v="32.479700000000001"/>
  </r>
  <r>
    <x v="1"/>
    <x v="0"/>
    <x v="185"/>
    <s v="18:00"/>
    <n v="24.935400000000001"/>
  </r>
  <r>
    <x v="1"/>
    <x v="0"/>
    <x v="185"/>
    <s v="14:00"/>
    <n v="24.935400000000001"/>
  </r>
  <r>
    <x v="1"/>
    <x v="0"/>
    <x v="185"/>
    <s v="10:00"/>
    <n v="24.935400000000001"/>
  </r>
  <r>
    <x v="1"/>
    <x v="0"/>
    <x v="185"/>
    <s v="06:00"/>
    <n v="24.935400000000001"/>
  </r>
  <r>
    <x v="1"/>
    <x v="0"/>
    <x v="186"/>
    <s v="18:00"/>
    <n v="30.890899999999998"/>
  </r>
  <r>
    <x v="1"/>
    <x v="0"/>
    <x v="186"/>
    <s v="14:00"/>
    <n v="30.890899999999998"/>
  </r>
  <r>
    <x v="1"/>
    <x v="0"/>
    <x v="186"/>
    <s v="10:00"/>
    <n v="30.890899999999998"/>
  </r>
  <r>
    <x v="1"/>
    <x v="0"/>
    <x v="186"/>
    <s v="06:00"/>
    <n v="30.890899999999998"/>
  </r>
  <r>
    <x v="1"/>
    <x v="0"/>
    <x v="187"/>
    <s v="18:00"/>
    <n v="29.342099999999999"/>
  </r>
  <r>
    <x v="1"/>
    <x v="0"/>
    <x v="187"/>
    <s v="14:00"/>
    <n v="30.890899999999998"/>
  </r>
  <r>
    <x v="1"/>
    <x v="0"/>
    <x v="187"/>
    <s v="10:00"/>
    <n v="30.890899999999998"/>
  </r>
  <r>
    <x v="1"/>
    <x v="0"/>
    <x v="187"/>
    <s v="06:00"/>
    <n v="30.890899999999998"/>
  </r>
  <r>
    <x v="1"/>
    <x v="0"/>
    <x v="188"/>
    <s v="18:00"/>
    <n v="22.197399999999998"/>
  </r>
  <r>
    <x v="1"/>
    <x v="0"/>
    <x v="188"/>
    <s v="14:00"/>
    <n v="22.197399999999998"/>
  </r>
  <r>
    <x v="1"/>
    <x v="0"/>
    <x v="188"/>
    <s v="10:00"/>
    <n v="27.833300000000001"/>
  </r>
  <r>
    <x v="1"/>
    <x v="0"/>
    <x v="188"/>
    <s v="06:00"/>
    <n v="27.833300000000001"/>
  </r>
  <r>
    <x v="1"/>
    <x v="0"/>
    <x v="189"/>
    <s v="18:00"/>
    <n v="27.833300000000001"/>
  </r>
  <r>
    <x v="1"/>
    <x v="0"/>
    <x v="189"/>
    <s v="14:00"/>
    <n v="27.833300000000001"/>
  </r>
  <r>
    <x v="1"/>
    <x v="0"/>
    <x v="189"/>
    <s v="06:00"/>
    <n v="27.833300000000001"/>
  </r>
  <r>
    <x v="1"/>
    <x v="0"/>
    <x v="190"/>
    <s v="18:00"/>
    <n v="27.833300000000001"/>
  </r>
  <r>
    <x v="1"/>
    <x v="0"/>
    <x v="190"/>
    <s v="14:00"/>
    <n v="27.833300000000001"/>
  </r>
  <r>
    <x v="1"/>
    <x v="0"/>
    <x v="190"/>
    <s v="10:00"/>
    <n v="27.833300000000001"/>
  </r>
  <r>
    <x v="1"/>
    <x v="0"/>
    <x v="190"/>
    <s v="06:00"/>
    <n v="27.833300000000001"/>
  </r>
  <r>
    <x v="1"/>
    <x v="0"/>
    <x v="191"/>
    <s v="18:00"/>
    <n v="37.485799999999998"/>
  </r>
  <r>
    <x v="1"/>
    <x v="0"/>
    <x v="191"/>
    <s v="14:00"/>
    <n v="39.234400000000001"/>
  </r>
  <r>
    <x v="1"/>
    <x v="0"/>
    <x v="191"/>
    <s v="10:00"/>
    <n v="39.234400000000001"/>
  </r>
  <r>
    <x v="1"/>
    <x v="0"/>
    <x v="191"/>
    <s v="06:00"/>
    <n v="39.234400000000001"/>
  </r>
  <r>
    <x v="1"/>
    <x v="0"/>
    <x v="192"/>
    <s v="18:00"/>
    <n v="32.479700000000001"/>
  </r>
  <r>
    <x v="1"/>
    <x v="0"/>
    <x v="192"/>
    <s v="14:00"/>
    <n v="37.485799999999998"/>
  </r>
  <r>
    <x v="1"/>
    <x v="0"/>
    <x v="192"/>
    <s v="10:00"/>
    <n v="37.485799999999998"/>
  </r>
  <r>
    <x v="1"/>
    <x v="0"/>
    <x v="192"/>
    <s v="06:00"/>
    <n v="39.234400000000001"/>
  </r>
  <r>
    <x v="1"/>
    <x v="0"/>
    <x v="193"/>
    <s v="18:00"/>
    <n v="29.342099999999999"/>
  </r>
  <r>
    <x v="1"/>
    <x v="0"/>
    <x v="193"/>
    <s v="14:00"/>
    <n v="32.479700000000001"/>
  </r>
  <r>
    <x v="1"/>
    <x v="0"/>
    <x v="193"/>
    <s v="10:00"/>
    <n v="32.479700000000001"/>
  </r>
  <r>
    <x v="1"/>
    <x v="0"/>
    <x v="193"/>
    <s v="06:00"/>
    <n v="32.479700000000001"/>
  </r>
  <r>
    <x v="1"/>
    <x v="0"/>
    <x v="194"/>
    <s v="18:00"/>
    <n v="80.050200000000004"/>
  </r>
  <r>
    <x v="1"/>
    <x v="0"/>
    <x v="194"/>
    <s v="14:00"/>
    <n v="67.910600000000002"/>
  </r>
  <r>
    <x v="1"/>
    <x v="0"/>
    <x v="194"/>
    <s v="10:00"/>
    <n v="67.910600000000002"/>
  </r>
  <r>
    <x v="1"/>
    <x v="0"/>
    <x v="194"/>
    <s v="06:00"/>
    <n v="67.910600000000002"/>
  </r>
  <r>
    <x v="1"/>
    <x v="0"/>
    <x v="195"/>
    <s v="18:00"/>
    <n v="54.661799999999999"/>
  </r>
  <r>
    <x v="1"/>
    <x v="0"/>
    <x v="195"/>
    <s v="14:00"/>
    <n v="80.050200000000004"/>
  </r>
  <r>
    <x v="1"/>
    <x v="0"/>
    <x v="195"/>
    <s v="10:00"/>
    <n v="80.050200000000004"/>
  </r>
  <r>
    <x v="1"/>
    <x v="0"/>
    <x v="195"/>
    <s v="06:00"/>
    <n v="80.050200000000004"/>
  </r>
  <r>
    <x v="1"/>
    <x v="0"/>
    <x v="196"/>
    <s v="18:00"/>
    <n v="80.050200000000004"/>
  </r>
  <r>
    <x v="1"/>
    <x v="0"/>
    <x v="196"/>
    <s v="14:00"/>
    <n v="80.050200000000004"/>
  </r>
  <r>
    <x v="1"/>
    <x v="0"/>
    <x v="196"/>
    <s v="10:00"/>
    <n v="80.050200000000004"/>
  </r>
  <r>
    <x v="1"/>
    <x v="0"/>
    <x v="196"/>
    <s v="06:00"/>
    <n v="80.050200000000004"/>
  </r>
  <r>
    <x v="1"/>
    <x v="0"/>
    <x v="197"/>
    <s v="18:00"/>
    <n v="93.188699999999997"/>
  </r>
  <r>
    <x v="1"/>
    <x v="0"/>
    <x v="197"/>
    <s v="14:00"/>
    <n v="93.188699999999997"/>
  </r>
  <r>
    <x v="1"/>
    <x v="0"/>
    <x v="197"/>
    <s v="10:00"/>
    <n v="93.188699999999997"/>
  </r>
  <r>
    <x v="1"/>
    <x v="0"/>
    <x v="197"/>
    <s v="06:00"/>
    <n v="93.188699999999997"/>
  </r>
  <r>
    <x v="1"/>
    <x v="0"/>
    <x v="198"/>
    <s v="18:00"/>
    <n v="107.3262"/>
  </r>
  <r>
    <x v="1"/>
    <x v="0"/>
    <x v="198"/>
    <s v="14:00"/>
    <n v="107.3262"/>
  </r>
  <r>
    <x v="1"/>
    <x v="0"/>
    <x v="198"/>
    <s v="10:00"/>
    <n v="107.3262"/>
  </r>
  <r>
    <x v="1"/>
    <x v="0"/>
    <x v="198"/>
    <s v="06:00"/>
    <n v="107.3262"/>
  </r>
  <r>
    <x v="1"/>
    <x v="0"/>
    <x v="199"/>
    <s v="18:00"/>
    <n v="122.4628"/>
  </r>
  <r>
    <x v="1"/>
    <x v="0"/>
    <x v="199"/>
    <s v="14:00"/>
    <n v="122.4628"/>
  </r>
  <r>
    <x v="1"/>
    <x v="0"/>
    <x v="199"/>
    <s v="10:00"/>
    <n v="122.4628"/>
  </r>
  <r>
    <x v="1"/>
    <x v="0"/>
    <x v="199"/>
    <s v="06:00"/>
    <n v="122.4628"/>
  </r>
  <r>
    <x v="1"/>
    <x v="0"/>
    <x v="200"/>
    <s v="18:00"/>
    <n v="107.3262"/>
  </r>
  <r>
    <x v="1"/>
    <x v="0"/>
    <x v="200"/>
    <s v="14:00"/>
    <n v="107.3262"/>
  </r>
  <r>
    <x v="1"/>
    <x v="0"/>
    <x v="200"/>
    <s v="10:00"/>
    <n v="107.3262"/>
  </r>
  <r>
    <x v="1"/>
    <x v="0"/>
    <x v="200"/>
    <s v="06:00"/>
    <n v="122.4628"/>
  </r>
  <r>
    <x v="1"/>
    <x v="0"/>
    <x v="201"/>
    <s v="18:00"/>
    <n v="9.1260999999999992"/>
  </r>
  <r>
    <x v="1"/>
    <x v="0"/>
    <x v="201"/>
    <s v="14:00"/>
    <n v="16.0518"/>
  </r>
  <r>
    <x v="1"/>
    <x v="0"/>
    <x v="201"/>
    <s v="10:00"/>
    <n v="16.0518"/>
  </r>
  <r>
    <x v="1"/>
    <x v="0"/>
    <x v="201"/>
    <s v="06:00"/>
    <n v="122.4628"/>
  </r>
  <r>
    <x v="1"/>
    <x v="0"/>
    <x v="202"/>
    <s v="18:00"/>
    <n v="37.485799999999998"/>
  </r>
  <r>
    <x v="1"/>
    <x v="0"/>
    <x v="202"/>
    <s v="14:00"/>
    <n v="37.485799999999998"/>
  </r>
  <r>
    <x v="1"/>
    <x v="0"/>
    <x v="202"/>
    <s v="10:00"/>
    <n v="37.485799999999998"/>
  </r>
  <r>
    <x v="1"/>
    <x v="0"/>
    <x v="202"/>
    <s v="06:00"/>
    <n v="37.485799999999998"/>
  </r>
  <r>
    <x v="1"/>
    <x v="0"/>
    <x v="203"/>
    <s v="14:00"/>
    <n v="35.777099999999997"/>
  </r>
  <r>
    <x v="1"/>
    <x v="0"/>
    <x v="203"/>
    <s v="10:00"/>
    <n v="35.777099999999997"/>
  </r>
  <r>
    <x v="1"/>
    <x v="0"/>
    <x v="203"/>
    <s v="06:00"/>
    <n v="37.485799999999998"/>
  </r>
  <r>
    <x v="1"/>
    <x v="0"/>
    <x v="204"/>
    <s v="18:00"/>
    <n v="17.201000000000001"/>
  </r>
  <r>
    <x v="1"/>
    <x v="0"/>
    <x v="204"/>
    <s v="14:00"/>
    <n v="35.777099999999997"/>
  </r>
  <r>
    <x v="1"/>
    <x v="0"/>
    <x v="204"/>
    <s v="10:00"/>
    <n v="35.777099999999997"/>
  </r>
  <r>
    <x v="1"/>
    <x v="0"/>
    <x v="204"/>
    <s v="06:00"/>
    <n v="34.108400000000003"/>
  </r>
  <r>
    <x v="1"/>
    <x v="0"/>
    <x v="205"/>
    <s v="18:00"/>
    <n v="35.777099999999997"/>
  </r>
  <r>
    <x v="1"/>
    <x v="0"/>
    <x v="205"/>
    <s v="14:00"/>
    <n v="35.777099999999997"/>
  </r>
  <r>
    <x v="1"/>
    <x v="0"/>
    <x v="205"/>
    <s v="10:00"/>
    <n v="35.777099999999997"/>
  </r>
  <r>
    <x v="1"/>
    <x v="0"/>
    <x v="205"/>
    <s v="06:00"/>
    <n v="35.777099999999997"/>
  </r>
  <r>
    <x v="1"/>
    <x v="0"/>
    <x v="206"/>
    <s v="18:00"/>
    <n v="35.777099999999997"/>
  </r>
  <r>
    <x v="1"/>
    <x v="0"/>
    <x v="206"/>
    <s v="14:00"/>
    <n v="30.890899999999998"/>
  </r>
  <r>
    <x v="1"/>
    <x v="0"/>
    <x v="206"/>
    <s v="10:00"/>
    <n v="30.890899999999998"/>
  </r>
  <r>
    <x v="1"/>
    <x v="0"/>
    <x v="206"/>
    <s v="06:00"/>
    <n v="35.777099999999997"/>
  </r>
  <r>
    <x v="1"/>
    <x v="0"/>
    <x v="207"/>
    <s v="18:00"/>
    <n v="37.485799999999998"/>
  </r>
  <r>
    <x v="1"/>
    <x v="0"/>
    <x v="207"/>
    <s v="14:00"/>
    <n v="37.485799999999998"/>
  </r>
  <r>
    <x v="1"/>
    <x v="0"/>
    <x v="207"/>
    <s v="10:00"/>
    <n v="37.485799999999998"/>
  </r>
  <r>
    <x v="1"/>
    <x v="0"/>
    <x v="207"/>
    <s v="06:00"/>
    <n v="37.485799999999998"/>
  </r>
  <r>
    <x v="1"/>
    <x v="0"/>
    <x v="208"/>
    <s v="18:00"/>
    <n v="37.485799999999998"/>
  </r>
  <r>
    <x v="1"/>
    <x v="0"/>
    <x v="208"/>
    <s v="14:00"/>
    <n v="39.234400000000001"/>
  </r>
  <r>
    <x v="1"/>
    <x v="0"/>
    <x v="208"/>
    <s v="10:00"/>
    <n v="39.234400000000001"/>
  </r>
  <r>
    <x v="1"/>
    <x v="0"/>
    <x v="208"/>
    <s v="06:00"/>
    <n v="37.485799999999998"/>
  </r>
  <r>
    <x v="1"/>
    <x v="1"/>
    <x v="209"/>
    <s v="18:00"/>
    <n v="35.777099999999997"/>
  </r>
  <r>
    <x v="1"/>
    <x v="1"/>
    <x v="209"/>
    <s v="14:00"/>
    <n v="39.234400000000001"/>
  </r>
  <r>
    <x v="1"/>
    <x v="1"/>
    <x v="209"/>
    <s v="10:00"/>
    <n v="39.234400000000001"/>
  </r>
  <r>
    <x v="1"/>
    <x v="1"/>
    <x v="209"/>
    <s v="06:00"/>
    <n v="39.234400000000001"/>
  </r>
  <r>
    <x v="1"/>
    <x v="1"/>
    <x v="210"/>
    <s v="18:00"/>
    <n v="37.485799999999998"/>
  </r>
  <r>
    <x v="1"/>
    <x v="1"/>
    <x v="210"/>
    <s v="14:00"/>
    <n v="39.234400000000001"/>
  </r>
  <r>
    <x v="1"/>
    <x v="1"/>
    <x v="210"/>
    <s v="10:00"/>
    <n v="39.234400000000001"/>
  </r>
  <r>
    <x v="1"/>
    <x v="1"/>
    <x v="210"/>
    <s v="06:00"/>
    <n v="39.234400000000001"/>
  </r>
  <r>
    <x v="1"/>
    <x v="1"/>
    <x v="211"/>
    <s v="18:00"/>
    <n v="16.0518"/>
  </r>
  <r>
    <x v="1"/>
    <x v="1"/>
    <x v="211"/>
    <s v="14:00"/>
    <n v="16.0518"/>
  </r>
  <r>
    <x v="1"/>
    <x v="1"/>
    <x v="211"/>
    <s v="10:00"/>
    <n v="37.485799999999998"/>
  </r>
  <r>
    <x v="1"/>
    <x v="1"/>
    <x v="211"/>
    <s v="06:00"/>
    <n v="35.777099999999997"/>
  </r>
  <r>
    <x v="1"/>
    <x v="1"/>
    <x v="212"/>
    <s v="18:00"/>
    <n v="27.833300000000001"/>
  </r>
  <r>
    <x v="1"/>
    <x v="1"/>
    <x v="212"/>
    <s v="14:00"/>
    <n v="24.935400000000001"/>
  </r>
  <r>
    <x v="1"/>
    <x v="1"/>
    <x v="212"/>
    <s v="10:00"/>
    <n v="24.935400000000001"/>
  </r>
  <r>
    <x v="1"/>
    <x v="1"/>
    <x v="212"/>
    <s v="06:00"/>
    <n v="25.6449"/>
  </r>
  <r>
    <x v="1"/>
    <x v="1"/>
    <x v="213"/>
    <s v="21:00"/>
    <n v="80.049599999999998"/>
  </r>
  <r>
    <x v="1"/>
    <x v="1"/>
    <x v="213"/>
    <s v="18:00"/>
    <n v="23.546500000000002"/>
  </r>
  <r>
    <x v="1"/>
    <x v="1"/>
    <x v="213"/>
    <s v="14:00"/>
    <n v="16.0518"/>
  </r>
  <r>
    <x v="1"/>
    <x v="1"/>
    <x v="213"/>
    <s v="10:00"/>
    <n v="16.0518"/>
  </r>
  <r>
    <x v="1"/>
    <x v="1"/>
    <x v="213"/>
    <s v="06:00"/>
    <n v="14.942500000000001"/>
  </r>
  <r>
    <x v="1"/>
    <x v="1"/>
    <x v="214"/>
    <s v="18:00"/>
    <n v="27.833300000000001"/>
  </r>
  <r>
    <x v="1"/>
    <x v="1"/>
    <x v="214"/>
    <s v="14:00"/>
    <n v="27.833300000000001"/>
  </r>
  <r>
    <x v="1"/>
    <x v="1"/>
    <x v="214"/>
    <s v="10:00"/>
    <n v="27.833300000000001"/>
  </r>
  <r>
    <x v="1"/>
    <x v="1"/>
    <x v="214"/>
    <s v="06:00"/>
    <n v="27.833300000000001"/>
  </r>
  <r>
    <x v="1"/>
    <x v="1"/>
    <x v="215"/>
    <s v="18:00"/>
    <n v="16.0518"/>
  </r>
  <r>
    <x v="1"/>
    <x v="1"/>
    <x v="215"/>
    <s v="14:00"/>
    <n v="27.833300000000001"/>
  </r>
  <r>
    <x v="1"/>
    <x v="1"/>
    <x v="215"/>
    <s v="10:00"/>
    <n v="35.777099999999997"/>
  </r>
  <r>
    <x v="1"/>
    <x v="1"/>
    <x v="215"/>
    <s v="06:00"/>
    <n v="17.201000000000001"/>
  </r>
  <r>
    <x v="1"/>
    <x v="1"/>
    <x v="216"/>
    <s v="18:00"/>
    <n v="17.201000000000001"/>
  </r>
  <r>
    <x v="1"/>
    <x v="1"/>
    <x v="216"/>
    <s v="14:00"/>
    <n v="17.201000000000001"/>
  </r>
  <r>
    <x v="1"/>
    <x v="1"/>
    <x v="216"/>
    <s v="10:00"/>
    <n v="17.201000000000001"/>
  </r>
  <r>
    <x v="1"/>
    <x v="1"/>
    <x v="216"/>
    <s v="06:00"/>
    <n v="17.201000000000001"/>
  </r>
  <r>
    <x v="1"/>
    <x v="1"/>
    <x v="217"/>
    <s v="18:00"/>
    <n v="16.0518"/>
  </r>
  <r>
    <x v="1"/>
    <x v="1"/>
    <x v="217"/>
    <s v="14:00"/>
    <n v="16.0518"/>
  </r>
  <r>
    <x v="1"/>
    <x v="1"/>
    <x v="217"/>
    <s v="10:00"/>
    <n v="17.201000000000001"/>
  </r>
  <r>
    <x v="1"/>
    <x v="1"/>
    <x v="217"/>
    <s v="06:00"/>
    <n v="23.546500000000002"/>
  </r>
  <r>
    <x v="1"/>
    <x v="1"/>
    <x v="218"/>
    <s v="18:00"/>
    <n v="5.0580999999999996"/>
  </r>
  <r>
    <x v="1"/>
    <x v="1"/>
    <x v="218"/>
    <s v="14:00"/>
    <n v="5.0580999999999996"/>
  </r>
  <r>
    <x v="1"/>
    <x v="1"/>
    <x v="218"/>
    <s v="10:00"/>
    <n v="6.7572999999999999"/>
  </r>
  <r>
    <x v="1"/>
    <x v="1"/>
    <x v="218"/>
    <s v="06:00"/>
    <n v="6.7572999999999999"/>
  </r>
  <r>
    <x v="1"/>
    <x v="1"/>
    <x v="219"/>
    <s v="18:00"/>
    <n v="3.0987"/>
  </r>
  <r>
    <x v="1"/>
    <x v="1"/>
    <x v="219"/>
    <s v="14:00"/>
    <n v="3.6086"/>
  </r>
  <r>
    <x v="1"/>
    <x v="1"/>
    <x v="219"/>
    <s v="10:00"/>
    <n v="3.6086"/>
  </r>
  <r>
    <x v="1"/>
    <x v="1"/>
    <x v="219"/>
    <s v="06:00"/>
    <n v="3.6086"/>
  </r>
  <r>
    <x v="1"/>
    <x v="1"/>
    <x v="220"/>
    <s v="18:00"/>
    <n v="1.8088"/>
  </r>
  <r>
    <x v="1"/>
    <x v="1"/>
    <x v="220"/>
    <s v="14:00"/>
    <n v="3.6086"/>
  </r>
  <r>
    <x v="1"/>
    <x v="1"/>
    <x v="220"/>
    <s v="10:00"/>
    <n v="0.308"/>
  </r>
  <r>
    <x v="1"/>
    <x v="1"/>
    <x v="220"/>
    <s v="06:00"/>
    <n v="3.0987"/>
  </r>
  <r>
    <x v="1"/>
    <x v="1"/>
    <x v="221"/>
    <s v="18:00"/>
    <n v="1.8088"/>
  </r>
  <r>
    <x v="1"/>
    <x v="1"/>
    <x v="221"/>
    <s v="14:00"/>
    <n v="1.8088"/>
  </r>
  <r>
    <x v="1"/>
    <x v="1"/>
    <x v="221"/>
    <s v="10:00"/>
    <n v="1.8088"/>
  </r>
  <r>
    <x v="1"/>
    <x v="1"/>
    <x v="221"/>
    <s v="06:00"/>
    <n v="1.8088"/>
  </r>
  <r>
    <x v="1"/>
    <x v="1"/>
    <x v="222"/>
    <s v="18:00"/>
    <n v="17.393899999999999"/>
  </r>
  <r>
    <x v="1"/>
    <x v="1"/>
    <x v="222"/>
    <s v="14:00"/>
    <n v="20.801300000000001"/>
  </r>
  <r>
    <x v="1"/>
    <x v="1"/>
    <x v="222"/>
    <s v="10:00"/>
    <n v="20.801300000000001"/>
  </r>
  <r>
    <x v="1"/>
    <x v="1"/>
    <x v="222"/>
    <s v="06:00"/>
    <n v="20.801300000000001"/>
  </r>
  <r>
    <x v="1"/>
    <x v="1"/>
    <x v="223"/>
    <s v="18:00"/>
    <n v="27.777200000000001"/>
  </r>
  <r>
    <x v="1"/>
    <x v="1"/>
    <x v="223"/>
    <s v="14:00"/>
    <n v="49.993499999999997"/>
  </r>
  <r>
    <x v="1"/>
    <x v="1"/>
    <x v="223"/>
    <s v="10:00"/>
    <n v="49.993499999999997"/>
  </r>
  <r>
    <x v="1"/>
    <x v="1"/>
    <x v="223"/>
    <s v="06:00"/>
    <n v="49.993499999999997"/>
  </r>
  <r>
    <x v="1"/>
    <x v="1"/>
    <x v="224"/>
    <s v="18:00"/>
    <n v="31.345700000000001"/>
  </r>
  <r>
    <x v="1"/>
    <x v="1"/>
    <x v="224"/>
    <s v="14:00"/>
    <n v="31.345700000000001"/>
  </r>
  <r>
    <x v="1"/>
    <x v="1"/>
    <x v="224"/>
    <s v="10:00"/>
    <n v="31.345700000000001"/>
  </r>
  <r>
    <x v="1"/>
    <x v="1"/>
    <x v="224"/>
    <s v="06:00"/>
    <n v="31.345700000000001"/>
  </r>
  <r>
    <x v="1"/>
    <x v="1"/>
    <x v="225"/>
    <s v="18:00"/>
    <n v="27.777200000000001"/>
  </r>
  <r>
    <x v="1"/>
    <x v="1"/>
    <x v="225"/>
    <s v="14:00"/>
    <n v="46.156599999999997"/>
  </r>
  <r>
    <x v="1"/>
    <x v="1"/>
    <x v="225"/>
    <s v="10:00"/>
    <n v="46.156599999999997"/>
  </r>
  <r>
    <x v="1"/>
    <x v="1"/>
    <x v="225"/>
    <s v="06:00"/>
    <n v="27.777200000000001"/>
  </r>
  <r>
    <x v="1"/>
    <x v="1"/>
    <x v="226"/>
    <s v="18:00"/>
    <n v="27.777200000000001"/>
  </r>
  <r>
    <x v="1"/>
    <x v="1"/>
    <x v="226"/>
    <s v="14:00"/>
    <n v="27.777200000000001"/>
  </r>
  <r>
    <x v="1"/>
    <x v="1"/>
    <x v="226"/>
    <s v="10:00"/>
    <n v="27.777200000000001"/>
  </r>
  <r>
    <x v="1"/>
    <x v="1"/>
    <x v="226"/>
    <s v="06:00"/>
    <n v="27.777200000000001"/>
  </r>
  <r>
    <x v="1"/>
    <x v="1"/>
    <x v="227"/>
    <s v="18:00"/>
    <n v="95.743799999999993"/>
  </r>
  <r>
    <x v="1"/>
    <x v="1"/>
    <x v="227"/>
    <s v="14:00"/>
    <n v="104.76009999999999"/>
  </r>
  <r>
    <x v="1"/>
    <x v="1"/>
    <x v="227"/>
    <s v="10:00"/>
    <n v="91.316299999999998"/>
  </r>
  <r>
    <x v="1"/>
    <x v="1"/>
    <x v="227"/>
    <s v="06:00"/>
    <n v="91.316299999999998"/>
  </r>
  <r>
    <x v="1"/>
    <x v="1"/>
    <x v="228"/>
    <s v="18:00"/>
    <n v="118.6872"/>
  </r>
  <r>
    <x v="1"/>
    <x v="1"/>
    <x v="228"/>
    <s v="14:00"/>
    <n v="113.9911"/>
  </r>
  <r>
    <x v="1"/>
    <x v="1"/>
    <x v="228"/>
    <s v="10:00"/>
    <n v="113.9911"/>
  </r>
  <r>
    <x v="1"/>
    <x v="1"/>
    <x v="228"/>
    <s v="06:00"/>
    <n v="118.6872"/>
  </r>
  <r>
    <x v="1"/>
    <x v="1"/>
    <x v="229"/>
    <s v="18:00"/>
    <n v="65.878299999999996"/>
  </r>
  <r>
    <x v="1"/>
    <x v="1"/>
    <x v="229"/>
    <s v="14:00"/>
    <n v="74.142799999999994"/>
  </r>
  <r>
    <x v="1"/>
    <x v="1"/>
    <x v="229"/>
    <s v="10:00"/>
    <n v="74.142799999999994"/>
  </r>
  <r>
    <x v="1"/>
    <x v="1"/>
    <x v="229"/>
    <s v="06:00"/>
    <n v="74.142799999999994"/>
  </r>
  <r>
    <x v="1"/>
    <x v="1"/>
    <x v="230"/>
    <s v="18:00"/>
    <n v="27.777200000000001"/>
  </r>
  <r>
    <x v="1"/>
    <x v="1"/>
    <x v="230"/>
    <s v="14:00"/>
    <n v="53.8842"/>
  </r>
  <r>
    <x v="1"/>
    <x v="1"/>
    <x v="230"/>
    <s v="10:00"/>
    <n v="53.8842"/>
  </r>
  <r>
    <x v="1"/>
    <x v="1"/>
    <x v="230"/>
    <s v="06:00"/>
    <n v="49.993499999999997"/>
  </r>
  <r>
    <x v="1"/>
    <x v="1"/>
    <x v="231"/>
    <s v="18:00"/>
    <n v="17.393899999999999"/>
  </r>
  <r>
    <x v="1"/>
    <x v="1"/>
    <x v="231"/>
    <s v="14:00"/>
    <n v="24.2624"/>
  </r>
  <r>
    <x v="1"/>
    <x v="1"/>
    <x v="231"/>
    <s v="10:00"/>
    <n v="27.777200000000001"/>
  </r>
  <r>
    <x v="1"/>
    <x v="1"/>
    <x v="231"/>
    <s v="06:00"/>
    <n v="24.2624"/>
  </r>
  <r>
    <x v="1"/>
    <x v="1"/>
    <x v="232"/>
    <s v="18:00"/>
    <n v="27.777200000000001"/>
  </r>
  <r>
    <x v="1"/>
    <x v="1"/>
    <x v="232"/>
    <s v="14:00"/>
    <n v="27.777200000000001"/>
  </r>
  <r>
    <x v="1"/>
    <x v="1"/>
    <x v="232"/>
    <s v="10:00"/>
    <n v="27.777200000000001"/>
  </r>
  <r>
    <x v="1"/>
    <x v="1"/>
    <x v="232"/>
    <s v="06:00"/>
    <n v="27.777200000000001"/>
  </r>
  <r>
    <x v="1"/>
    <x v="1"/>
    <x v="233"/>
    <s v="18:00"/>
    <n v="27.777200000000001"/>
  </r>
  <r>
    <x v="1"/>
    <x v="1"/>
    <x v="233"/>
    <s v="14:00"/>
    <n v="27.777200000000001"/>
  </r>
  <r>
    <x v="1"/>
    <x v="1"/>
    <x v="233"/>
    <s v="10:00"/>
    <n v="27.777200000000001"/>
  </r>
  <r>
    <x v="1"/>
    <x v="1"/>
    <x v="233"/>
    <s v="06:00"/>
    <n v="27.777200000000001"/>
  </r>
  <r>
    <x v="1"/>
    <x v="1"/>
    <x v="234"/>
    <s v="18:00"/>
    <n v="138.00829999999999"/>
  </r>
  <r>
    <x v="1"/>
    <x v="1"/>
    <x v="234"/>
    <s v="14:00"/>
    <n v="142.97290000000001"/>
  </r>
  <r>
    <x v="1"/>
    <x v="1"/>
    <x v="234"/>
    <s v="10:00"/>
    <n v="142.97290000000001"/>
  </r>
  <r>
    <x v="1"/>
    <x v="1"/>
    <x v="234"/>
    <s v="06:00"/>
    <n v="142.97290000000001"/>
  </r>
  <r>
    <x v="1"/>
    <x v="1"/>
    <x v="235"/>
    <s v="18:00"/>
    <n v="195.5712"/>
  </r>
  <r>
    <x v="1"/>
    <x v="1"/>
    <x v="235"/>
    <s v="14:00"/>
    <n v="195.5712"/>
  </r>
  <r>
    <x v="1"/>
    <x v="1"/>
    <x v="235"/>
    <s v="10:00"/>
    <n v="195.5712"/>
  </r>
  <r>
    <x v="1"/>
    <x v="1"/>
    <x v="235"/>
    <s v="06:00"/>
    <n v="195.5712"/>
  </r>
  <r>
    <x v="1"/>
    <x v="1"/>
    <x v="236"/>
    <s v="18:00"/>
    <n v="142.97290000000001"/>
  </r>
  <r>
    <x v="1"/>
    <x v="1"/>
    <x v="236"/>
    <s v="14:00"/>
    <n v="206.73519999999999"/>
  </r>
  <r>
    <x v="1"/>
    <x v="1"/>
    <x v="236"/>
    <s v="10:00"/>
    <n v="206.73519999999999"/>
  </r>
  <r>
    <x v="1"/>
    <x v="1"/>
    <x v="236"/>
    <s v="06:00"/>
    <n v="190.06979999999999"/>
  </r>
  <r>
    <x v="1"/>
    <x v="1"/>
    <x v="237"/>
    <s v="18:00"/>
    <n v="247.50059999999999"/>
  </r>
  <r>
    <x v="1"/>
    <x v="1"/>
    <x v="237"/>
    <s v="14:00"/>
    <n v="247.50059999999999"/>
  </r>
  <r>
    <x v="1"/>
    <x v="1"/>
    <x v="237"/>
    <s v="10:00"/>
    <n v="247.50059999999999"/>
  </r>
  <r>
    <x v="1"/>
    <x v="1"/>
    <x v="237"/>
    <s v="06:00"/>
    <n v="223.88390000000001"/>
  </r>
  <r>
    <x v="1"/>
    <x v="2"/>
    <x v="238"/>
    <s v="18:00"/>
    <n v="163.36789999999999"/>
  </r>
  <r>
    <x v="1"/>
    <x v="2"/>
    <x v="238"/>
    <s v="14:00"/>
    <n v="218.114"/>
  </r>
  <r>
    <x v="1"/>
    <x v="2"/>
    <x v="238"/>
    <s v="10:00"/>
    <n v="218.114"/>
  </r>
  <r>
    <x v="1"/>
    <x v="2"/>
    <x v="238"/>
    <s v="06:00"/>
    <n v="247.50059999999999"/>
  </r>
  <r>
    <x v="1"/>
    <x v="2"/>
    <x v="239"/>
    <s v="18:00"/>
    <n v="168.6009"/>
  </r>
  <r>
    <x v="1"/>
    <x v="2"/>
    <x v="239"/>
    <s v="14:00"/>
    <n v="179.22790000000001"/>
  </r>
  <r>
    <x v="1"/>
    <x v="2"/>
    <x v="239"/>
    <s v="10:00"/>
    <n v="179.22790000000001"/>
  </r>
  <r>
    <x v="1"/>
    <x v="2"/>
    <x v="239"/>
    <s v="06:00"/>
    <n v="195.5712"/>
  </r>
  <r>
    <x v="1"/>
    <x v="2"/>
    <x v="240"/>
    <s v="18:00"/>
    <n v="91.316299999999998"/>
  </r>
  <r>
    <x v="1"/>
    <x v="2"/>
    <x v="240"/>
    <s v="14:00"/>
    <n v="91.316299999999998"/>
  </r>
  <r>
    <x v="1"/>
    <x v="2"/>
    <x v="240"/>
    <s v="10:00"/>
    <n v="91.316299999999998"/>
  </r>
  <r>
    <x v="1"/>
    <x v="2"/>
    <x v="240"/>
    <s v="06:00"/>
    <n v="91.316299999999998"/>
  </r>
  <r>
    <x v="1"/>
    <x v="2"/>
    <x v="241"/>
    <s v="18:00"/>
    <n v="218.114"/>
  </r>
  <r>
    <x v="1"/>
    <x v="2"/>
    <x v="241"/>
    <s v="14:00"/>
    <n v="247.50059999999999"/>
  </r>
  <r>
    <x v="1"/>
    <x v="2"/>
    <x v="241"/>
    <s v="10:00"/>
    <n v="247.50059999999999"/>
  </r>
  <r>
    <x v="1"/>
    <x v="2"/>
    <x v="241"/>
    <s v="06:00"/>
    <n v="247.50059999999999"/>
  </r>
  <r>
    <x v="1"/>
    <x v="2"/>
    <x v="242"/>
    <s v="18:00"/>
    <n v="218.114"/>
  </r>
  <r>
    <x v="1"/>
    <x v="2"/>
    <x v="242"/>
    <s v="14:00"/>
    <n v="247.50059999999999"/>
  </r>
  <r>
    <x v="1"/>
    <x v="2"/>
    <x v="242"/>
    <s v="10:00"/>
    <n v="218.114"/>
  </r>
  <r>
    <x v="1"/>
    <x v="2"/>
    <x v="242"/>
    <s v="06:00"/>
    <n v="218.114"/>
  </r>
  <r>
    <x v="1"/>
    <x v="2"/>
    <x v="243"/>
    <s v="18:00"/>
    <n v="190.06979999999999"/>
  </r>
  <r>
    <x v="1"/>
    <x v="2"/>
    <x v="243"/>
    <s v="14:00"/>
    <n v="218.114"/>
  </r>
  <r>
    <x v="1"/>
    <x v="2"/>
    <x v="243"/>
    <s v="10:00"/>
    <n v="218.114"/>
  </r>
  <r>
    <x v="1"/>
    <x v="2"/>
    <x v="243"/>
    <s v="06:00"/>
    <n v="195.5712"/>
  </r>
  <r>
    <x v="1"/>
    <x v="2"/>
    <x v="244"/>
    <s v="18:00"/>
    <n v="190.06979999999999"/>
  </r>
  <r>
    <x v="1"/>
    <x v="2"/>
    <x v="244"/>
    <s v="14:00"/>
    <n v="195.5712"/>
  </r>
  <r>
    <x v="1"/>
    <x v="2"/>
    <x v="244"/>
    <s v="10:00"/>
    <n v="190.06979999999999"/>
  </r>
  <r>
    <x v="1"/>
    <x v="2"/>
    <x v="244"/>
    <s v="06:00"/>
    <n v="190.06979999999999"/>
  </r>
  <r>
    <x v="1"/>
    <x v="2"/>
    <x v="245"/>
    <s v="18:00"/>
    <n v="138.00829999999999"/>
  </r>
  <r>
    <x v="1"/>
    <x v="2"/>
    <x v="245"/>
    <s v="14:00"/>
    <n v="113.9911"/>
  </r>
  <r>
    <x v="1"/>
    <x v="2"/>
    <x v="245"/>
    <s v="10:00"/>
    <n v="113.9911"/>
  </r>
  <r>
    <x v="1"/>
    <x v="2"/>
    <x v="245"/>
    <s v="06:00"/>
    <n v="113.9911"/>
  </r>
  <r>
    <x v="1"/>
    <x v="2"/>
    <x v="246"/>
    <s v="18:00"/>
    <n v="138.00829999999999"/>
  </r>
  <r>
    <x v="1"/>
    <x v="2"/>
    <x v="246"/>
    <s v="14:00"/>
    <n v="158.18860000000001"/>
  </r>
  <r>
    <x v="1"/>
    <x v="2"/>
    <x v="246"/>
    <s v="10:00"/>
    <n v="158.18860000000001"/>
  </r>
  <r>
    <x v="1"/>
    <x v="2"/>
    <x v="246"/>
    <s v="06:00"/>
    <n v="218.114"/>
  </r>
  <r>
    <x v="1"/>
    <x v="2"/>
    <x v="247"/>
    <s v="18:00"/>
    <n v="138.00829999999999"/>
  </r>
  <r>
    <x v="1"/>
    <x v="2"/>
    <x v="247"/>
    <s v="14:00"/>
    <n v="138.00829999999999"/>
  </r>
  <r>
    <x v="1"/>
    <x v="2"/>
    <x v="247"/>
    <s v="10:00"/>
    <n v="138.00829999999999"/>
  </r>
  <r>
    <x v="1"/>
    <x v="2"/>
    <x v="247"/>
    <s v="06:00"/>
    <n v="138.00829999999999"/>
  </r>
  <r>
    <x v="1"/>
    <x v="2"/>
    <x v="248"/>
    <s v="18:00"/>
    <n v="142.97290000000001"/>
  </r>
  <r>
    <x v="1"/>
    <x v="2"/>
    <x v="248"/>
    <s v="14:00"/>
    <n v="138.00829999999999"/>
  </r>
  <r>
    <x v="1"/>
    <x v="2"/>
    <x v="248"/>
    <s v="10:00"/>
    <n v="138.00829999999999"/>
  </r>
  <r>
    <x v="1"/>
    <x v="2"/>
    <x v="248"/>
    <s v="06:00"/>
    <n v="138.00829999999999"/>
  </r>
  <r>
    <x v="1"/>
    <x v="2"/>
    <x v="249"/>
    <s v="18:00"/>
    <n v="138.00829999999999"/>
  </r>
  <r>
    <x v="1"/>
    <x v="2"/>
    <x v="249"/>
    <s v="14:00"/>
    <n v="138.00829999999999"/>
  </r>
  <r>
    <x v="1"/>
    <x v="2"/>
    <x v="249"/>
    <s v="10:00"/>
    <n v="138.00829999999999"/>
  </r>
  <r>
    <x v="1"/>
    <x v="2"/>
    <x v="249"/>
    <s v="06:00"/>
    <n v="138.00829999999999"/>
  </r>
  <r>
    <x v="1"/>
    <x v="2"/>
    <x v="250"/>
    <s v="18:00"/>
    <n v="138.00829999999999"/>
  </r>
  <r>
    <x v="1"/>
    <x v="2"/>
    <x v="250"/>
    <s v="14:00"/>
    <n v="138.00829999999999"/>
  </r>
  <r>
    <x v="1"/>
    <x v="2"/>
    <x v="250"/>
    <s v="10:00"/>
    <n v="138.00829999999999"/>
  </r>
  <r>
    <x v="1"/>
    <x v="2"/>
    <x v="250"/>
    <s v="06:00"/>
    <n v="142.97290000000001"/>
  </r>
  <r>
    <x v="1"/>
    <x v="2"/>
    <x v="251"/>
    <s v="18:00"/>
    <n v="133.0975"/>
  </r>
  <r>
    <x v="1"/>
    <x v="2"/>
    <x v="251"/>
    <s v="14:00"/>
    <n v="138.00829999999999"/>
  </r>
  <r>
    <x v="1"/>
    <x v="2"/>
    <x v="251"/>
    <s v="10:00"/>
    <n v="138.00829999999999"/>
  </r>
  <r>
    <x v="1"/>
    <x v="2"/>
    <x v="251"/>
    <s v="06:00"/>
    <n v="138.00829999999999"/>
  </r>
  <r>
    <x v="1"/>
    <x v="2"/>
    <x v="252"/>
    <s v="18:00"/>
    <n v="109.3488"/>
  </r>
  <r>
    <x v="1"/>
    <x v="2"/>
    <x v="252"/>
    <s v="14:00"/>
    <n v="113.9911"/>
  </r>
  <r>
    <x v="1"/>
    <x v="2"/>
    <x v="252"/>
    <s v="10:00"/>
    <n v="113.9911"/>
  </r>
  <r>
    <x v="1"/>
    <x v="2"/>
    <x v="252"/>
    <s v="06:00"/>
    <n v="113.9911"/>
  </r>
  <r>
    <x v="1"/>
    <x v="2"/>
    <x v="253"/>
    <s v="18:00"/>
    <n v="118.6872"/>
  </r>
  <r>
    <x v="1"/>
    <x v="2"/>
    <x v="253"/>
    <s v="14:00"/>
    <n v="118.6872"/>
  </r>
  <r>
    <x v="1"/>
    <x v="2"/>
    <x v="253"/>
    <s v="10:00"/>
    <n v="113.9911"/>
  </r>
  <r>
    <x v="1"/>
    <x v="2"/>
    <x v="253"/>
    <s v="06:00"/>
    <n v="113.9911"/>
  </r>
  <r>
    <x v="1"/>
    <x v="2"/>
    <x v="254"/>
    <s v="18:00"/>
    <n v="118.6872"/>
  </r>
  <r>
    <x v="1"/>
    <x v="2"/>
    <x v="254"/>
    <s v="14:00"/>
    <n v="118.6872"/>
  </r>
  <r>
    <x v="1"/>
    <x v="2"/>
    <x v="254"/>
    <s v="10:00"/>
    <n v="118.6872"/>
  </r>
  <r>
    <x v="1"/>
    <x v="2"/>
    <x v="254"/>
    <s v="06:00"/>
    <n v="118.6872"/>
  </r>
  <r>
    <x v="1"/>
    <x v="2"/>
    <x v="255"/>
    <s v="18:00"/>
    <n v="118.6872"/>
  </r>
  <r>
    <x v="1"/>
    <x v="2"/>
    <x v="255"/>
    <s v="14:00"/>
    <n v="118.6872"/>
  </r>
  <r>
    <x v="1"/>
    <x v="2"/>
    <x v="255"/>
    <s v="10:00"/>
    <n v="118.6872"/>
  </r>
  <r>
    <x v="1"/>
    <x v="2"/>
    <x v="255"/>
    <s v="06:00"/>
    <n v="118.6872"/>
  </r>
  <r>
    <x v="1"/>
    <x v="2"/>
    <x v="256"/>
    <s v="18:00"/>
    <n v="91.316299999999998"/>
  </r>
  <r>
    <x v="1"/>
    <x v="2"/>
    <x v="256"/>
    <s v="14:00"/>
    <n v="118.6872"/>
  </r>
  <r>
    <x v="1"/>
    <x v="2"/>
    <x v="256"/>
    <s v="10:00"/>
    <n v="91.316299999999998"/>
  </r>
  <r>
    <x v="1"/>
    <x v="2"/>
    <x v="256"/>
    <s v="06:00"/>
    <n v="91.316299999999998"/>
  </r>
  <r>
    <x v="1"/>
    <x v="2"/>
    <x v="257"/>
    <s v="18:00"/>
    <n v="91.316299999999998"/>
  </r>
  <r>
    <x v="1"/>
    <x v="2"/>
    <x v="257"/>
    <s v="14:00"/>
    <n v="91.316299999999998"/>
  </r>
  <r>
    <x v="1"/>
    <x v="2"/>
    <x v="257"/>
    <s v="10:00"/>
    <n v="91.316299999999998"/>
  </r>
  <r>
    <x v="1"/>
    <x v="2"/>
    <x v="257"/>
    <s v="06:00"/>
    <n v="91.316299999999998"/>
  </r>
  <r>
    <x v="1"/>
    <x v="2"/>
    <x v="258"/>
    <s v="18:00"/>
    <n v="86.942400000000006"/>
  </r>
  <r>
    <x v="1"/>
    <x v="2"/>
    <x v="258"/>
    <s v="14:00"/>
    <n v="86.942400000000006"/>
  </r>
  <r>
    <x v="1"/>
    <x v="2"/>
    <x v="258"/>
    <s v="10:00"/>
    <n v="86.942400000000006"/>
  </r>
  <r>
    <x v="1"/>
    <x v="2"/>
    <x v="258"/>
    <s v="06:00"/>
    <n v="86.942400000000006"/>
  </r>
  <r>
    <x v="1"/>
    <x v="2"/>
    <x v="259"/>
    <s v="18:00"/>
    <n v="91.316299999999998"/>
  </r>
  <r>
    <x v="1"/>
    <x v="2"/>
    <x v="259"/>
    <s v="14:00"/>
    <n v="86.942400000000006"/>
  </r>
  <r>
    <x v="1"/>
    <x v="2"/>
    <x v="259"/>
    <s v="10:00"/>
    <n v="86.942400000000006"/>
  </r>
  <r>
    <x v="1"/>
    <x v="2"/>
    <x v="259"/>
    <s v="06:00"/>
    <n v="86.942400000000006"/>
  </r>
  <r>
    <x v="1"/>
    <x v="2"/>
    <x v="260"/>
    <s v="18:00"/>
    <n v="86.942400000000006"/>
  </r>
  <r>
    <x v="1"/>
    <x v="2"/>
    <x v="260"/>
    <s v="14:00"/>
    <n v="86.942400000000006"/>
  </r>
  <r>
    <x v="1"/>
    <x v="2"/>
    <x v="260"/>
    <s v="10:00"/>
    <n v="86.942400000000006"/>
  </r>
  <r>
    <x v="1"/>
    <x v="2"/>
    <x v="260"/>
    <s v="06:00"/>
    <n v="86.942400000000006"/>
  </r>
  <r>
    <x v="1"/>
    <x v="2"/>
    <x v="261"/>
    <s v="18:00"/>
    <n v="133.0975"/>
  </r>
  <r>
    <x v="1"/>
    <x v="2"/>
    <x v="261"/>
    <s v="14:00"/>
    <n v="133.0975"/>
  </r>
  <r>
    <x v="1"/>
    <x v="2"/>
    <x v="261"/>
    <s v="10:00"/>
    <n v="133.0975"/>
  </r>
  <r>
    <x v="1"/>
    <x v="2"/>
    <x v="261"/>
    <s v="06:00"/>
    <n v="133.0975"/>
  </r>
  <r>
    <x v="1"/>
    <x v="2"/>
    <x v="262"/>
    <s v="18:00"/>
    <n v="113.9911"/>
  </r>
  <r>
    <x v="1"/>
    <x v="2"/>
    <x v="262"/>
    <s v="14:00"/>
    <n v="133.0975"/>
  </r>
  <r>
    <x v="1"/>
    <x v="2"/>
    <x v="262"/>
    <s v="10:00"/>
    <n v="133.0975"/>
  </r>
  <r>
    <x v="1"/>
    <x v="2"/>
    <x v="262"/>
    <s v="06:00"/>
    <n v="133.0975"/>
  </r>
  <r>
    <x v="1"/>
    <x v="2"/>
    <x v="263"/>
    <s v="18:00"/>
    <n v="133.0975"/>
  </r>
  <r>
    <x v="1"/>
    <x v="2"/>
    <x v="263"/>
    <s v="14:00"/>
    <n v="113.9911"/>
  </r>
  <r>
    <x v="1"/>
    <x v="2"/>
    <x v="263"/>
    <s v="10:00"/>
    <n v="113.9911"/>
  </r>
  <r>
    <x v="1"/>
    <x v="2"/>
    <x v="263"/>
    <s v="06:00"/>
    <n v="113.9911"/>
  </r>
  <r>
    <x v="1"/>
    <x v="2"/>
    <x v="264"/>
    <s v="18:00"/>
    <n v="133.0975"/>
  </r>
  <r>
    <x v="1"/>
    <x v="2"/>
    <x v="264"/>
    <s v="14:00"/>
    <n v="133.0975"/>
  </r>
  <r>
    <x v="1"/>
    <x v="2"/>
    <x v="264"/>
    <s v="10:00"/>
    <n v="133.0975"/>
  </r>
  <r>
    <x v="1"/>
    <x v="2"/>
    <x v="264"/>
    <s v="06:00"/>
    <n v="133.0975"/>
  </r>
  <r>
    <x v="1"/>
    <x v="2"/>
    <x v="265"/>
    <s v="18:00"/>
    <n v="65.878299999999996"/>
  </r>
  <r>
    <x v="1"/>
    <x v="2"/>
    <x v="265"/>
    <s v="14:00"/>
    <n v="53.8842"/>
  </r>
  <r>
    <x v="1"/>
    <x v="2"/>
    <x v="265"/>
    <s v="10:00"/>
    <n v="65.878299999999996"/>
  </r>
  <r>
    <x v="1"/>
    <x v="2"/>
    <x v="265"/>
    <s v="06:00"/>
    <n v="91.316299999999998"/>
  </r>
  <r>
    <x v="1"/>
    <x v="2"/>
    <x v="266"/>
    <s v="18:00"/>
    <n v="65.878299999999996"/>
  </r>
  <r>
    <x v="1"/>
    <x v="2"/>
    <x v="266"/>
    <s v="14:00"/>
    <n v="65.878299999999996"/>
  </r>
  <r>
    <x v="1"/>
    <x v="2"/>
    <x v="266"/>
    <s v="10:00"/>
    <n v="65.878299999999996"/>
  </r>
  <r>
    <x v="1"/>
    <x v="2"/>
    <x v="266"/>
    <s v="06:00"/>
    <n v="65.878299999999996"/>
  </r>
  <r>
    <x v="1"/>
    <x v="2"/>
    <x v="267"/>
    <s v="18:00"/>
    <n v="65.878299999999996"/>
  </r>
  <r>
    <x v="1"/>
    <x v="2"/>
    <x v="267"/>
    <s v="14:00"/>
    <n v="65.878299999999996"/>
  </r>
  <r>
    <x v="1"/>
    <x v="2"/>
    <x v="267"/>
    <s v="10:00"/>
    <n v="57.828499999999998"/>
  </r>
  <r>
    <x v="1"/>
    <x v="2"/>
    <x v="267"/>
    <s v="06:00"/>
    <n v="57.828499999999998"/>
  </r>
  <r>
    <x v="1"/>
    <x v="2"/>
    <x v="268"/>
    <s v="06:00"/>
    <n v="65.878299999999996"/>
  </r>
  <r>
    <x v="1"/>
    <x v="3"/>
    <x v="269"/>
    <s v="18:00"/>
    <n v="65.878299999999996"/>
  </r>
  <r>
    <x v="1"/>
    <x v="3"/>
    <x v="269"/>
    <s v="14:00"/>
    <n v="65.878299999999996"/>
  </r>
  <r>
    <x v="1"/>
    <x v="3"/>
    <x v="269"/>
    <s v="10:00"/>
    <n v="65.878299999999996"/>
  </r>
  <r>
    <x v="1"/>
    <x v="3"/>
    <x v="269"/>
    <s v="06:00"/>
    <n v="65.878299999999996"/>
  </r>
  <r>
    <x v="1"/>
    <x v="3"/>
    <x v="270"/>
    <s v="18:00"/>
    <n v="49.993499999999997"/>
  </r>
  <r>
    <x v="1"/>
    <x v="3"/>
    <x v="270"/>
    <s v="14:00"/>
    <n v="65.878299999999996"/>
  </r>
  <r>
    <x v="1"/>
    <x v="3"/>
    <x v="270"/>
    <s v="10:00"/>
    <n v="65.878299999999996"/>
  </r>
  <r>
    <x v="1"/>
    <x v="3"/>
    <x v="270"/>
    <s v="06:00"/>
    <n v="65.878299999999996"/>
  </r>
  <r>
    <x v="1"/>
    <x v="3"/>
    <x v="271"/>
    <s v="18:00"/>
    <n v="69.983699999999999"/>
  </r>
  <r>
    <x v="1"/>
    <x v="3"/>
    <x v="271"/>
    <s v="14:00"/>
    <n v="78.355699999999999"/>
  </r>
  <r>
    <x v="1"/>
    <x v="3"/>
    <x v="271"/>
    <s v="10:00"/>
    <n v="78.355699999999999"/>
  </r>
  <r>
    <x v="1"/>
    <x v="3"/>
    <x v="271"/>
    <s v="06:00"/>
    <n v="78.355699999999999"/>
  </r>
  <r>
    <x v="1"/>
    <x v="3"/>
    <x v="272"/>
    <s v="18:00"/>
    <n v="91.316299999999998"/>
  </r>
  <r>
    <x v="1"/>
    <x v="3"/>
    <x v="272"/>
    <s v="14:00"/>
    <n v="91.316299999999998"/>
  </r>
  <r>
    <x v="1"/>
    <x v="3"/>
    <x v="272"/>
    <s v="10:00"/>
    <n v="91.316299999999998"/>
  </r>
  <r>
    <x v="1"/>
    <x v="3"/>
    <x v="272"/>
    <s v="06:00"/>
    <n v="91.316299999999998"/>
  </r>
  <r>
    <x v="1"/>
    <x v="3"/>
    <x v="273"/>
    <s v="18:00"/>
    <n v="69.983699999999999"/>
  </r>
  <r>
    <x v="1"/>
    <x v="3"/>
    <x v="273"/>
    <s v="14:00"/>
    <n v="69.983699999999999"/>
  </r>
  <r>
    <x v="1"/>
    <x v="3"/>
    <x v="273"/>
    <s v="10:00"/>
    <n v="69.983699999999999"/>
  </r>
  <r>
    <x v="1"/>
    <x v="3"/>
    <x v="273"/>
    <s v="06:00"/>
    <n v="69.983699999999999"/>
  </r>
  <r>
    <x v="1"/>
    <x v="3"/>
    <x v="274"/>
    <s v="18:00"/>
    <n v="109.3488"/>
  </r>
  <r>
    <x v="1"/>
    <x v="3"/>
    <x v="274"/>
    <s v="14:00"/>
    <n v="109.3488"/>
  </r>
  <r>
    <x v="1"/>
    <x v="3"/>
    <x v="274"/>
    <s v="10:00"/>
    <n v="109.3488"/>
  </r>
  <r>
    <x v="1"/>
    <x v="3"/>
    <x v="274"/>
    <s v="06:00"/>
    <n v="109.3488"/>
  </r>
  <r>
    <x v="1"/>
    <x v="3"/>
    <x v="275"/>
    <s v="18:00"/>
    <n v="86.942400000000006"/>
  </r>
  <r>
    <x v="1"/>
    <x v="3"/>
    <x v="275"/>
    <s v="14:00"/>
    <n v="113.9911"/>
  </r>
  <r>
    <x v="1"/>
    <x v="3"/>
    <x v="275"/>
    <s v="10:00"/>
    <n v="113.9911"/>
  </r>
  <r>
    <x v="1"/>
    <x v="3"/>
    <x v="275"/>
    <s v="06:00"/>
    <n v="113.9911"/>
  </r>
  <r>
    <x v="1"/>
    <x v="3"/>
    <x v="276"/>
    <s v="18:00"/>
    <n v="49.993499999999997"/>
  </r>
  <r>
    <x v="1"/>
    <x v="3"/>
    <x v="276"/>
    <s v="14:00"/>
    <n v="91.316299999999998"/>
  </r>
  <r>
    <x v="1"/>
    <x v="3"/>
    <x v="276"/>
    <s v="10:00"/>
    <n v="91.316299999999998"/>
  </r>
  <r>
    <x v="1"/>
    <x v="3"/>
    <x v="276"/>
    <s v="06:00"/>
    <n v="86.942400000000006"/>
  </r>
  <r>
    <x v="1"/>
    <x v="3"/>
    <x v="277"/>
    <s v="18:00"/>
    <n v="109.3488"/>
  </r>
  <r>
    <x v="1"/>
    <x v="3"/>
    <x v="277"/>
    <s v="14:00"/>
    <n v="91.316299999999998"/>
  </r>
  <r>
    <x v="1"/>
    <x v="3"/>
    <x v="277"/>
    <s v="10:00"/>
    <n v="91.316299999999998"/>
  </r>
  <r>
    <x v="1"/>
    <x v="3"/>
    <x v="277"/>
    <s v="06:00"/>
    <n v="86.942400000000006"/>
  </r>
  <r>
    <x v="1"/>
    <x v="3"/>
    <x v="278"/>
    <s v="18:00"/>
    <n v="69.983699999999999"/>
  </r>
  <r>
    <x v="1"/>
    <x v="3"/>
    <x v="278"/>
    <s v="14:00"/>
    <n v="69.983699999999999"/>
  </r>
  <r>
    <x v="1"/>
    <x v="3"/>
    <x v="278"/>
    <s v="10:00"/>
    <n v="69.983699999999999"/>
  </r>
  <r>
    <x v="1"/>
    <x v="3"/>
    <x v="278"/>
    <s v="06:00"/>
    <n v="69.983699999999999"/>
  </r>
  <r>
    <x v="1"/>
    <x v="3"/>
    <x v="279"/>
    <s v="18:00"/>
    <n v="69.983699999999999"/>
  </r>
  <r>
    <x v="1"/>
    <x v="3"/>
    <x v="279"/>
    <s v="14:00"/>
    <n v="86.942400000000006"/>
  </r>
  <r>
    <x v="1"/>
    <x v="3"/>
    <x v="279"/>
    <s v="10:00"/>
    <n v="86.942400000000006"/>
  </r>
  <r>
    <x v="1"/>
    <x v="3"/>
    <x v="279"/>
    <s v="06:00"/>
    <n v="86.942400000000006"/>
  </r>
  <r>
    <x v="1"/>
    <x v="3"/>
    <x v="280"/>
    <s v="18:00"/>
    <n v="65.878299999999996"/>
  </r>
  <r>
    <x v="1"/>
    <x v="3"/>
    <x v="280"/>
    <s v="14:00"/>
    <n v="69.983699999999999"/>
  </r>
  <r>
    <x v="1"/>
    <x v="3"/>
    <x v="280"/>
    <s v="10:00"/>
    <n v="69.983699999999999"/>
  </r>
  <r>
    <x v="1"/>
    <x v="3"/>
    <x v="280"/>
    <s v="06:00"/>
    <n v="69.983699999999999"/>
  </r>
  <r>
    <x v="1"/>
    <x v="3"/>
    <x v="281"/>
    <s v="18:00"/>
    <n v="42.3733"/>
  </r>
  <r>
    <x v="1"/>
    <x v="3"/>
    <x v="281"/>
    <s v="14:00"/>
    <n v="46.156599999999997"/>
  </r>
  <r>
    <x v="1"/>
    <x v="3"/>
    <x v="281"/>
    <s v="10:00"/>
    <n v="46.156599999999997"/>
  </r>
  <r>
    <x v="1"/>
    <x v="3"/>
    <x v="281"/>
    <s v="06:00"/>
    <n v="46.156599999999997"/>
  </r>
  <r>
    <x v="1"/>
    <x v="3"/>
    <x v="282"/>
    <s v="18:00"/>
    <n v="31.345700000000001"/>
  </r>
  <r>
    <x v="1"/>
    <x v="3"/>
    <x v="282"/>
    <s v="14:00"/>
    <n v="31.345700000000001"/>
  </r>
  <r>
    <x v="1"/>
    <x v="3"/>
    <x v="282"/>
    <s v="10:00"/>
    <n v="49.993499999999997"/>
  </r>
  <r>
    <x v="1"/>
    <x v="3"/>
    <x v="282"/>
    <s v="06:00"/>
    <n v="49.993499999999997"/>
  </r>
  <r>
    <x v="1"/>
    <x v="3"/>
    <x v="283"/>
    <s v="18:00"/>
    <n v="27.777200000000001"/>
  </r>
  <r>
    <x v="1"/>
    <x v="3"/>
    <x v="283"/>
    <s v="14:00"/>
    <n v="27.777200000000001"/>
  </r>
  <r>
    <x v="1"/>
    <x v="3"/>
    <x v="283"/>
    <s v="10:00"/>
    <n v="27.777200000000001"/>
  </r>
  <r>
    <x v="1"/>
    <x v="3"/>
    <x v="283"/>
    <s v="06:00"/>
    <n v="27.777200000000001"/>
  </r>
  <r>
    <x v="1"/>
    <x v="3"/>
    <x v="284"/>
    <s v="18:00"/>
    <n v="24.2624"/>
  </r>
  <r>
    <x v="1"/>
    <x v="3"/>
    <x v="284"/>
    <s v="14:00"/>
    <n v="27.777200000000001"/>
  </r>
  <r>
    <x v="1"/>
    <x v="3"/>
    <x v="284"/>
    <s v="10:00"/>
    <n v="27.777200000000001"/>
  </r>
  <r>
    <x v="1"/>
    <x v="3"/>
    <x v="284"/>
    <s v="06:00"/>
    <n v="31.345700000000001"/>
  </r>
  <r>
    <x v="1"/>
    <x v="3"/>
    <x v="285"/>
    <s v="18:00"/>
    <n v="14.0402"/>
  </r>
  <r>
    <x v="1"/>
    <x v="3"/>
    <x v="285"/>
    <s v="14:00"/>
    <n v="20.801300000000001"/>
  </r>
  <r>
    <x v="1"/>
    <x v="3"/>
    <x v="285"/>
    <s v="10:00"/>
    <n v="20.801300000000001"/>
  </r>
  <r>
    <x v="1"/>
    <x v="3"/>
    <x v="285"/>
    <s v="06:00"/>
    <n v="20.801300000000001"/>
  </r>
  <r>
    <x v="1"/>
    <x v="3"/>
    <x v="286"/>
    <s v="18:00"/>
    <n v="14.0402"/>
  </r>
  <r>
    <x v="1"/>
    <x v="3"/>
    <x v="286"/>
    <s v="14:00"/>
    <n v="14.0402"/>
  </r>
  <r>
    <x v="1"/>
    <x v="3"/>
    <x v="286"/>
    <s v="10:00"/>
    <n v="14.0402"/>
  </r>
  <r>
    <x v="1"/>
    <x v="3"/>
    <x v="286"/>
    <s v="06:00"/>
    <n v="20.801300000000001"/>
  </r>
  <r>
    <x v="1"/>
    <x v="3"/>
    <x v="287"/>
    <s v="18:00"/>
    <n v="14.0402"/>
  </r>
  <r>
    <x v="1"/>
    <x v="3"/>
    <x v="287"/>
    <s v="14:00"/>
    <n v="14.0402"/>
  </r>
  <r>
    <x v="1"/>
    <x v="3"/>
    <x v="287"/>
    <s v="10:00"/>
    <n v="14.0402"/>
  </r>
  <r>
    <x v="1"/>
    <x v="3"/>
    <x v="287"/>
    <s v="06:00"/>
    <n v="14.0402"/>
  </r>
  <r>
    <x v="1"/>
    <x v="3"/>
    <x v="288"/>
    <s v="18:00"/>
    <n v="14.0402"/>
  </r>
  <r>
    <x v="1"/>
    <x v="3"/>
    <x v="288"/>
    <s v="14:00"/>
    <n v="14.0402"/>
  </r>
  <r>
    <x v="1"/>
    <x v="3"/>
    <x v="288"/>
    <s v="10:00"/>
    <n v="14.0402"/>
  </r>
  <r>
    <x v="1"/>
    <x v="3"/>
    <x v="288"/>
    <s v="06:00"/>
    <n v="14.0402"/>
  </r>
  <r>
    <x v="1"/>
    <x v="3"/>
    <x v="289"/>
    <s v="18:00"/>
    <n v="14.0402"/>
  </r>
  <r>
    <x v="1"/>
    <x v="3"/>
    <x v="289"/>
    <s v="14:00"/>
    <n v="14.0402"/>
  </r>
  <r>
    <x v="1"/>
    <x v="3"/>
    <x v="289"/>
    <s v="10:00"/>
    <n v="14.0402"/>
  </r>
  <r>
    <x v="1"/>
    <x v="3"/>
    <x v="289"/>
    <s v="06:00"/>
    <n v="14.0402"/>
  </r>
  <r>
    <x v="1"/>
    <x v="3"/>
    <x v="290"/>
    <s v="18:00"/>
    <n v="14.0402"/>
  </r>
  <r>
    <x v="1"/>
    <x v="3"/>
    <x v="290"/>
    <s v="14:00"/>
    <n v="14.0402"/>
  </r>
  <r>
    <x v="1"/>
    <x v="3"/>
    <x v="290"/>
    <s v="10:00"/>
    <n v="14.0402"/>
  </r>
  <r>
    <x v="1"/>
    <x v="3"/>
    <x v="290"/>
    <s v="06:00"/>
    <n v="14.0402"/>
  </r>
  <r>
    <x v="1"/>
    <x v="3"/>
    <x v="291"/>
    <s v="18:00"/>
    <n v="14.0402"/>
  </r>
  <r>
    <x v="1"/>
    <x v="3"/>
    <x v="291"/>
    <s v="14:00"/>
    <n v="14.0402"/>
  </r>
  <r>
    <x v="1"/>
    <x v="3"/>
    <x v="291"/>
    <s v="10:00"/>
    <n v="14.0402"/>
  </r>
  <r>
    <x v="1"/>
    <x v="3"/>
    <x v="291"/>
    <s v="06:00"/>
    <n v="14.0402"/>
  </r>
  <r>
    <x v="1"/>
    <x v="3"/>
    <x v="292"/>
    <s v="18:00"/>
    <n v="1.1621999999999999"/>
  </r>
  <r>
    <x v="1"/>
    <x v="3"/>
    <x v="292"/>
    <s v="14:00"/>
    <n v="1.1621999999999999"/>
  </r>
  <r>
    <x v="1"/>
    <x v="3"/>
    <x v="292"/>
    <s v="10:00"/>
    <n v="14.0402"/>
  </r>
  <r>
    <x v="1"/>
    <x v="3"/>
    <x v="292"/>
    <s v="06:00"/>
    <n v="14.0402"/>
  </r>
  <r>
    <x v="1"/>
    <x v="3"/>
    <x v="293"/>
    <s v="18:00"/>
    <n v="4.3011999999999997"/>
  </r>
  <r>
    <x v="1"/>
    <x v="3"/>
    <x v="293"/>
    <s v="14:00"/>
    <n v="4.3011999999999997"/>
  </r>
  <r>
    <x v="1"/>
    <x v="3"/>
    <x v="293"/>
    <s v="10:00"/>
    <n v="4.3011999999999997"/>
  </r>
  <r>
    <x v="1"/>
    <x v="3"/>
    <x v="293"/>
    <s v="06:00"/>
    <n v="4.3011999999999997"/>
  </r>
  <r>
    <x v="1"/>
    <x v="3"/>
    <x v="294"/>
    <s v="18:00"/>
    <n v="4.3011999999999997"/>
  </r>
  <r>
    <x v="1"/>
    <x v="3"/>
    <x v="294"/>
    <s v="14:00"/>
    <n v="4.3011999999999997"/>
  </r>
  <r>
    <x v="1"/>
    <x v="3"/>
    <x v="294"/>
    <s v="10:00"/>
    <n v="4.3011999999999997"/>
  </r>
  <r>
    <x v="1"/>
    <x v="3"/>
    <x v="294"/>
    <s v="06:00"/>
    <n v="4.3011999999999997"/>
  </r>
  <r>
    <x v="1"/>
    <x v="3"/>
    <x v="295"/>
    <s v="18:00"/>
    <n v="4.3011999999999997"/>
  </r>
  <r>
    <x v="1"/>
    <x v="3"/>
    <x v="295"/>
    <s v="14:00"/>
    <n v="4.3011999999999997"/>
  </r>
  <r>
    <x v="1"/>
    <x v="3"/>
    <x v="295"/>
    <s v="10:00"/>
    <n v="4.3011999999999997"/>
  </r>
  <r>
    <x v="1"/>
    <x v="3"/>
    <x v="295"/>
    <s v="06:00"/>
    <n v="4.3011999999999997"/>
  </r>
  <r>
    <x v="1"/>
    <x v="3"/>
    <x v="296"/>
    <s v="18:00"/>
    <n v="4.3011999999999997"/>
  </r>
  <r>
    <x v="1"/>
    <x v="3"/>
    <x v="296"/>
    <s v="14:00"/>
    <n v="4.3011999999999997"/>
  </r>
  <r>
    <x v="1"/>
    <x v="3"/>
    <x v="296"/>
    <s v="10:00"/>
    <n v="4.3011999999999997"/>
  </r>
  <r>
    <x v="1"/>
    <x v="3"/>
    <x v="296"/>
    <s v="06:00"/>
    <n v="4.3011999999999997"/>
  </r>
  <r>
    <x v="1"/>
    <x v="3"/>
    <x v="297"/>
    <s v="18:00"/>
    <n v="4.3011999999999997"/>
  </r>
  <r>
    <x v="1"/>
    <x v="3"/>
    <x v="297"/>
    <s v="14:00"/>
    <n v="4.3011999999999997"/>
  </r>
  <r>
    <x v="1"/>
    <x v="3"/>
    <x v="297"/>
    <s v="10:00"/>
    <n v="4.3011999999999997"/>
  </r>
  <r>
    <x v="1"/>
    <x v="3"/>
    <x v="297"/>
    <s v="06:00"/>
    <n v="4.3011999999999997"/>
  </r>
  <r>
    <x v="1"/>
    <x v="3"/>
    <x v="298"/>
    <s v="18:00"/>
    <n v="4.3011999999999997"/>
  </r>
  <r>
    <x v="1"/>
    <x v="3"/>
    <x v="298"/>
    <s v="14:00"/>
    <n v="4.3011999999999997"/>
  </r>
  <r>
    <x v="1"/>
    <x v="3"/>
    <x v="298"/>
    <s v="10:00"/>
    <n v="4.3011999999999997"/>
  </r>
  <r>
    <x v="1"/>
    <x v="3"/>
    <x v="298"/>
    <s v="06:00"/>
    <n v="4.3011999999999997"/>
  </r>
  <r>
    <x v="1"/>
    <x v="7"/>
    <x v="299"/>
    <s v="18:00"/>
    <n v="4.3011999999999997"/>
  </r>
  <r>
    <x v="1"/>
    <x v="7"/>
    <x v="299"/>
    <s v="14:00"/>
    <n v="4.3011999999999997"/>
  </r>
  <r>
    <x v="1"/>
    <x v="7"/>
    <x v="299"/>
    <s v="10:00"/>
    <n v="4.3011999999999997"/>
  </r>
  <r>
    <x v="1"/>
    <x v="7"/>
    <x v="299"/>
    <s v="06:00"/>
    <n v="4.3011999999999997"/>
  </r>
  <r>
    <x v="1"/>
    <x v="7"/>
    <x v="300"/>
    <s v="18:00"/>
    <n v="12.3834"/>
  </r>
  <r>
    <x v="1"/>
    <x v="7"/>
    <x v="300"/>
    <s v="14:00"/>
    <n v="4.3011999999999997"/>
  </r>
  <r>
    <x v="1"/>
    <x v="7"/>
    <x v="300"/>
    <s v="10:00"/>
    <n v="4.3011999999999997"/>
  </r>
  <r>
    <x v="1"/>
    <x v="7"/>
    <x v="300"/>
    <s v="06:00"/>
    <n v="4.3011999999999997"/>
  </r>
  <r>
    <x v="1"/>
    <x v="7"/>
    <x v="301"/>
    <s v="18:00"/>
    <n v="13.402200000000001"/>
  </r>
  <r>
    <x v="1"/>
    <x v="7"/>
    <x v="301"/>
    <s v="14:00"/>
    <n v="13.402200000000001"/>
  </r>
  <r>
    <x v="1"/>
    <x v="7"/>
    <x v="301"/>
    <s v="10:00"/>
    <n v="13.402200000000001"/>
  </r>
  <r>
    <x v="1"/>
    <x v="7"/>
    <x v="301"/>
    <s v="06:00"/>
    <n v="13.402200000000001"/>
  </r>
  <r>
    <x v="1"/>
    <x v="7"/>
    <x v="302"/>
    <s v="18:00"/>
    <n v="13.402200000000001"/>
  </r>
  <r>
    <x v="1"/>
    <x v="7"/>
    <x v="302"/>
    <s v="14:00"/>
    <n v="13.402200000000001"/>
  </r>
  <r>
    <x v="1"/>
    <x v="7"/>
    <x v="302"/>
    <s v="10:00"/>
    <n v="13.402200000000001"/>
  </r>
  <r>
    <x v="1"/>
    <x v="7"/>
    <x v="302"/>
    <s v="06:00"/>
    <n v="13.402200000000001"/>
  </r>
  <r>
    <x v="1"/>
    <x v="7"/>
    <x v="303"/>
    <s v="18:00"/>
    <n v="13.402200000000001"/>
  </r>
  <r>
    <x v="1"/>
    <x v="7"/>
    <x v="303"/>
    <s v="14:00"/>
    <n v="13.402200000000001"/>
  </r>
  <r>
    <x v="1"/>
    <x v="7"/>
    <x v="303"/>
    <s v="10:00"/>
    <n v="13.402200000000001"/>
  </r>
  <r>
    <x v="1"/>
    <x v="7"/>
    <x v="303"/>
    <s v="06:00"/>
    <n v="13.402200000000001"/>
  </r>
  <r>
    <x v="1"/>
    <x v="7"/>
    <x v="304"/>
    <s v="18:00"/>
    <n v="13.402200000000001"/>
  </r>
  <r>
    <x v="1"/>
    <x v="7"/>
    <x v="304"/>
    <s v="14:00"/>
    <n v="13.402200000000001"/>
  </r>
  <r>
    <x v="1"/>
    <x v="7"/>
    <x v="304"/>
    <s v="10:00"/>
    <n v="13.402200000000001"/>
  </r>
  <r>
    <x v="1"/>
    <x v="7"/>
    <x v="305"/>
    <s v="06:00"/>
    <n v="13.402200000000001"/>
  </r>
  <r>
    <x v="1"/>
    <x v="7"/>
    <x v="306"/>
    <s v="14:00"/>
    <n v="12.347"/>
  </r>
  <r>
    <x v="1"/>
    <x v="7"/>
    <x v="306"/>
    <s v="10:00"/>
    <n v="12.347"/>
  </r>
  <r>
    <x v="1"/>
    <x v="7"/>
    <x v="306"/>
    <s v="06:00"/>
    <n v="12.347"/>
  </r>
  <r>
    <x v="1"/>
    <x v="7"/>
    <x v="307"/>
    <s v="18:00"/>
    <n v="11.3285"/>
  </r>
  <r>
    <x v="1"/>
    <x v="7"/>
    <x v="307"/>
    <s v="14:00"/>
    <n v="11.3285"/>
  </r>
  <r>
    <x v="1"/>
    <x v="7"/>
    <x v="307"/>
    <s v="10:00"/>
    <n v="11.3285"/>
  </r>
  <r>
    <x v="1"/>
    <x v="7"/>
    <x v="307"/>
    <s v="06:00"/>
    <n v="11.3285"/>
  </r>
  <r>
    <x v="1"/>
    <x v="7"/>
    <x v="308"/>
    <s v="18:00"/>
    <n v="9.4016999999999999"/>
  </r>
  <r>
    <x v="1"/>
    <x v="7"/>
    <x v="308"/>
    <s v="14:00"/>
    <n v="9.4016999999999999"/>
  </r>
  <r>
    <x v="1"/>
    <x v="7"/>
    <x v="308"/>
    <s v="10:00"/>
    <n v="9.4016999999999999"/>
  </r>
  <r>
    <x v="1"/>
    <x v="7"/>
    <x v="308"/>
    <s v="06:00"/>
    <n v="11.3285"/>
  </r>
  <r>
    <x v="1"/>
    <x v="7"/>
    <x v="309"/>
    <s v="18:00"/>
    <n v="9.4016999999999999"/>
  </r>
  <r>
    <x v="1"/>
    <x v="7"/>
    <x v="309"/>
    <s v="14:00"/>
    <n v="9.4016999999999999"/>
  </r>
  <r>
    <x v="1"/>
    <x v="7"/>
    <x v="309"/>
    <s v="10:00"/>
    <n v="9.4016999999999999"/>
  </r>
  <r>
    <x v="1"/>
    <x v="7"/>
    <x v="309"/>
    <s v="06:00"/>
    <n v="9.4016999999999999"/>
  </r>
  <r>
    <x v="1"/>
    <x v="7"/>
    <x v="310"/>
    <s v="18:00"/>
    <n v="9.4016999999999999"/>
  </r>
  <r>
    <x v="1"/>
    <x v="7"/>
    <x v="310"/>
    <s v="14:00"/>
    <n v="9.4016999999999999"/>
  </r>
  <r>
    <x v="1"/>
    <x v="7"/>
    <x v="310"/>
    <s v="10:00"/>
    <n v="9.4016999999999999"/>
  </r>
  <r>
    <x v="1"/>
    <x v="7"/>
    <x v="310"/>
    <s v="06:00"/>
    <n v="9.4016999999999999"/>
  </r>
  <r>
    <x v="1"/>
    <x v="7"/>
    <x v="311"/>
    <s v="18:00"/>
    <n v="9.4016999999999999"/>
  </r>
  <r>
    <x v="1"/>
    <x v="7"/>
    <x v="311"/>
    <s v="14:00"/>
    <n v="9.4016999999999999"/>
  </r>
  <r>
    <x v="1"/>
    <x v="7"/>
    <x v="311"/>
    <s v="10:00"/>
    <n v="9.4016999999999999"/>
  </r>
  <r>
    <x v="1"/>
    <x v="7"/>
    <x v="311"/>
    <s v="06:00"/>
    <n v="9.4016999999999999"/>
  </r>
  <r>
    <x v="1"/>
    <x v="7"/>
    <x v="312"/>
    <s v="18:00"/>
    <n v="9.4016999999999999"/>
  </r>
  <r>
    <x v="1"/>
    <x v="7"/>
    <x v="312"/>
    <s v="14:00"/>
    <n v="9.4016999999999999"/>
  </r>
  <r>
    <x v="1"/>
    <x v="7"/>
    <x v="312"/>
    <s v="10:00"/>
    <n v="9.4016999999999999"/>
  </r>
  <r>
    <x v="1"/>
    <x v="7"/>
    <x v="312"/>
    <s v="06:00"/>
    <n v="9.4016999999999999"/>
  </r>
  <r>
    <x v="1"/>
    <x v="7"/>
    <x v="313"/>
    <s v="18:00"/>
    <n v="7.6219000000000001"/>
  </r>
  <r>
    <x v="1"/>
    <x v="7"/>
    <x v="313"/>
    <s v="14:00"/>
    <n v="9.4016999999999999"/>
  </r>
  <r>
    <x v="1"/>
    <x v="7"/>
    <x v="313"/>
    <s v="10:00"/>
    <n v="7.6219000000000001"/>
  </r>
  <r>
    <x v="1"/>
    <x v="7"/>
    <x v="313"/>
    <s v="06:00"/>
    <n v="9.4016999999999999"/>
  </r>
  <r>
    <x v="1"/>
    <x v="7"/>
    <x v="314"/>
    <s v="18:00"/>
    <n v="7.6219000000000001"/>
  </r>
  <r>
    <x v="1"/>
    <x v="7"/>
    <x v="314"/>
    <s v="14:00"/>
    <n v="7.6219000000000001"/>
  </r>
  <r>
    <x v="1"/>
    <x v="7"/>
    <x v="314"/>
    <s v="10:00"/>
    <n v="7.6219000000000001"/>
  </r>
  <r>
    <x v="1"/>
    <x v="7"/>
    <x v="314"/>
    <s v="06:00"/>
    <n v="7.6219000000000001"/>
  </r>
  <r>
    <x v="1"/>
    <x v="7"/>
    <x v="315"/>
    <s v="18:00"/>
    <n v="7.6219000000000001"/>
  </r>
  <r>
    <x v="1"/>
    <x v="7"/>
    <x v="315"/>
    <s v="14:00"/>
    <n v="7.6219000000000001"/>
  </r>
  <r>
    <x v="1"/>
    <x v="7"/>
    <x v="315"/>
    <s v="10:00"/>
    <n v="7.6219000000000001"/>
  </r>
  <r>
    <x v="1"/>
    <x v="7"/>
    <x v="315"/>
    <s v="06:00"/>
    <n v="7.6219000000000001"/>
  </r>
  <r>
    <x v="1"/>
    <x v="7"/>
    <x v="316"/>
    <s v="18:00"/>
    <n v="7.6219000000000001"/>
  </r>
  <r>
    <x v="1"/>
    <x v="7"/>
    <x v="316"/>
    <s v="14:00"/>
    <n v="7.6219000000000001"/>
  </r>
  <r>
    <x v="1"/>
    <x v="7"/>
    <x v="316"/>
    <s v="10:00"/>
    <n v="7.6219000000000001"/>
  </r>
  <r>
    <x v="1"/>
    <x v="7"/>
    <x v="316"/>
    <s v="06:00"/>
    <n v="7.6219000000000001"/>
  </r>
  <r>
    <x v="1"/>
    <x v="7"/>
    <x v="317"/>
    <s v="18:00"/>
    <n v="7.6219000000000001"/>
  </r>
  <r>
    <x v="1"/>
    <x v="7"/>
    <x v="317"/>
    <s v="14:00"/>
    <n v="7.6219000000000001"/>
  </r>
  <r>
    <x v="1"/>
    <x v="7"/>
    <x v="317"/>
    <s v="10:00"/>
    <n v="7.6219000000000001"/>
  </r>
  <r>
    <x v="1"/>
    <x v="7"/>
    <x v="317"/>
    <s v="06:00"/>
    <n v="7.6219000000000001"/>
  </r>
  <r>
    <x v="1"/>
    <x v="7"/>
    <x v="318"/>
    <s v="18:00"/>
    <n v="7.6219000000000001"/>
  </r>
  <r>
    <x v="1"/>
    <x v="7"/>
    <x v="318"/>
    <s v="14:00"/>
    <n v="7.6219000000000001"/>
  </r>
  <r>
    <x v="1"/>
    <x v="7"/>
    <x v="318"/>
    <s v="10:00"/>
    <n v="7.6219000000000001"/>
  </r>
  <r>
    <x v="1"/>
    <x v="7"/>
    <x v="318"/>
    <s v="06:00"/>
    <n v="7.6219000000000001"/>
  </r>
  <r>
    <x v="1"/>
    <x v="7"/>
    <x v="319"/>
    <s v="18:00"/>
    <n v="7.6219000000000001"/>
  </r>
  <r>
    <x v="1"/>
    <x v="7"/>
    <x v="319"/>
    <s v="14:00"/>
    <n v="7.6219000000000001"/>
  </r>
  <r>
    <x v="1"/>
    <x v="7"/>
    <x v="319"/>
    <s v="10:00"/>
    <n v="7.6219000000000001"/>
  </r>
  <r>
    <x v="1"/>
    <x v="7"/>
    <x v="319"/>
    <s v="06:00"/>
    <n v="7.6219000000000001"/>
  </r>
  <r>
    <x v="1"/>
    <x v="7"/>
    <x v="320"/>
    <s v="18:00"/>
    <n v="7.6219000000000001"/>
  </r>
  <r>
    <x v="1"/>
    <x v="7"/>
    <x v="320"/>
    <s v="14:00"/>
    <n v="7.6219000000000001"/>
  </r>
  <r>
    <x v="1"/>
    <x v="7"/>
    <x v="320"/>
    <s v="10:00"/>
    <n v="7.6219000000000001"/>
  </r>
  <r>
    <x v="1"/>
    <x v="7"/>
    <x v="320"/>
    <s v="06:00"/>
    <n v="7.6219000000000001"/>
  </r>
  <r>
    <x v="1"/>
    <x v="7"/>
    <x v="321"/>
    <s v="18:00"/>
    <n v="7.6219000000000001"/>
  </r>
  <r>
    <x v="1"/>
    <x v="7"/>
    <x v="321"/>
    <s v="14:00"/>
    <n v="7.6219000000000001"/>
  </r>
  <r>
    <x v="1"/>
    <x v="7"/>
    <x v="321"/>
    <s v="10:00"/>
    <n v="7.6219000000000001"/>
  </r>
  <r>
    <x v="1"/>
    <x v="7"/>
    <x v="321"/>
    <s v="06:00"/>
    <n v="7.6219000000000001"/>
  </r>
  <r>
    <x v="1"/>
    <x v="7"/>
    <x v="322"/>
    <s v="18:00"/>
    <n v="7.6219000000000001"/>
  </r>
  <r>
    <x v="1"/>
    <x v="7"/>
    <x v="322"/>
    <s v="14:00"/>
    <n v="7.6219000000000001"/>
  </r>
  <r>
    <x v="1"/>
    <x v="7"/>
    <x v="322"/>
    <s v="10:00"/>
    <n v="7.6219000000000001"/>
  </r>
  <r>
    <x v="1"/>
    <x v="7"/>
    <x v="322"/>
    <s v="06:00"/>
    <n v="7.6219000000000001"/>
  </r>
  <r>
    <x v="1"/>
    <x v="7"/>
    <x v="323"/>
    <s v="18:00"/>
    <n v="7.6219000000000001"/>
  </r>
  <r>
    <x v="1"/>
    <x v="7"/>
    <x v="323"/>
    <s v="14:00"/>
    <n v="7.6219000000000001"/>
  </r>
  <r>
    <x v="1"/>
    <x v="7"/>
    <x v="323"/>
    <s v="10:00"/>
    <n v="7.6219000000000001"/>
  </r>
  <r>
    <x v="1"/>
    <x v="7"/>
    <x v="323"/>
    <s v="06:00"/>
    <n v="7.6219000000000001"/>
  </r>
  <r>
    <x v="1"/>
    <x v="7"/>
    <x v="324"/>
    <s v="18:00"/>
    <n v="7.6219000000000001"/>
  </r>
  <r>
    <x v="1"/>
    <x v="7"/>
    <x v="324"/>
    <s v="14:00"/>
    <n v="7.6219000000000001"/>
  </r>
  <r>
    <x v="1"/>
    <x v="7"/>
    <x v="324"/>
    <s v="10:00"/>
    <n v="7.6219000000000001"/>
  </r>
  <r>
    <x v="1"/>
    <x v="7"/>
    <x v="324"/>
    <s v="06:00"/>
    <n v="7.6219000000000001"/>
  </r>
  <r>
    <x v="1"/>
    <x v="7"/>
    <x v="325"/>
    <s v="18:00"/>
    <n v="7.6219000000000001"/>
  </r>
  <r>
    <x v="1"/>
    <x v="7"/>
    <x v="325"/>
    <s v="14:00"/>
    <n v="7.6219000000000001"/>
  </r>
  <r>
    <x v="1"/>
    <x v="7"/>
    <x v="325"/>
    <s v="10:00"/>
    <n v="7.6219000000000001"/>
  </r>
  <r>
    <x v="1"/>
    <x v="7"/>
    <x v="325"/>
    <s v="06:00"/>
    <n v="7.6219000000000001"/>
  </r>
  <r>
    <x v="1"/>
    <x v="7"/>
    <x v="326"/>
    <s v="18:00"/>
    <n v="5.9892000000000003"/>
  </r>
  <r>
    <x v="1"/>
    <x v="7"/>
    <x v="326"/>
    <s v="14:00"/>
    <n v="5.9892000000000003"/>
  </r>
  <r>
    <x v="1"/>
    <x v="7"/>
    <x v="326"/>
    <s v="10:00"/>
    <n v="5.9892000000000003"/>
  </r>
  <r>
    <x v="1"/>
    <x v="7"/>
    <x v="326"/>
    <s v="06:00"/>
    <n v="5.9892000000000003"/>
  </r>
  <r>
    <x v="1"/>
    <x v="7"/>
    <x v="327"/>
    <s v="18:00"/>
    <n v="5.9892000000000003"/>
  </r>
  <r>
    <x v="1"/>
    <x v="7"/>
    <x v="327"/>
    <s v="14:00"/>
    <n v="5.9892000000000003"/>
  </r>
  <r>
    <x v="1"/>
    <x v="7"/>
    <x v="327"/>
    <s v="10:00"/>
    <n v="5.9892000000000003"/>
  </r>
  <r>
    <x v="1"/>
    <x v="7"/>
    <x v="327"/>
    <s v="06:00"/>
    <n v="5.9892000000000003"/>
  </r>
  <r>
    <x v="1"/>
    <x v="7"/>
    <x v="328"/>
    <s v="18:00"/>
    <n v="5.9892000000000003"/>
  </r>
  <r>
    <x v="1"/>
    <x v="7"/>
    <x v="328"/>
    <s v="14:00"/>
    <n v="5.9892000000000003"/>
  </r>
  <r>
    <x v="1"/>
    <x v="7"/>
    <x v="328"/>
    <s v="10:00"/>
    <n v="5.9892000000000003"/>
  </r>
  <r>
    <x v="1"/>
    <x v="7"/>
    <x v="328"/>
    <s v="06:00"/>
    <n v="5.9892000000000003"/>
  </r>
  <r>
    <x v="1"/>
    <x v="7"/>
    <x v="329"/>
    <s v="14:00"/>
    <n v="5.9892000000000003"/>
  </r>
  <r>
    <x v="1"/>
    <x v="7"/>
    <x v="329"/>
    <s v="10:00"/>
    <n v="5.9892000000000003"/>
  </r>
  <r>
    <x v="1"/>
    <x v="7"/>
    <x v="329"/>
    <s v="06:00"/>
    <n v="5.9892000000000003"/>
  </r>
  <r>
    <x v="1"/>
    <x v="7"/>
    <x v="330"/>
    <s v="18:00"/>
    <n v="5.9892000000000003"/>
  </r>
  <r>
    <x v="1"/>
    <x v="7"/>
    <x v="330"/>
    <s v="14:00"/>
    <n v="5.9892000000000003"/>
  </r>
  <r>
    <x v="1"/>
    <x v="7"/>
    <x v="330"/>
    <s v="10:00"/>
    <n v="5.9892000000000003"/>
  </r>
  <r>
    <x v="1"/>
    <x v="7"/>
    <x v="330"/>
    <s v="06:00"/>
    <n v="5.9892000000000003"/>
  </r>
  <r>
    <x v="1"/>
    <x v="8"/>
    <x v="331"/>
    <s v="18:00"/>
    <n v="5.9892000000000003"/>
  </r>
  <r>
    <x v="1"/>
    <x v="8"/>
    <x v="331"/>
    <s v="14:00"/>
    <n v="5.9892000000000003"/>
  </r>
  <r>
    <x v="1"/>
    <x v="8"/>
    <x v="331"/>
    <s v="10:00"/>
    <n v="5.9892000000000003"/>
  </r>
  <r>
    <x v="1"/>
    <x v="8"/>
    <x v="331"/>
    <s v="06:00"/>
    <n v="5.9892000000000003"/>
  </r>
  <r>
    <x v="1"/>
    <x v="8"/>
    <x v="332"/>
    <s v="18:00"/>
    <n v="5.9892000000000003"/>
  </r>
  <r>
    <x v="1"/>
    <x v="8"/>
    <x v="332"/>
    <s v="14:00"/>
    <n v="5.9892000000000003"/>
  </r>
  <r>
    <x v="1"/>
    <x v="8"/>
    <x v="332"/>
    <s v="10:00"/>
    <n v="5.9892000000000003"/>
  </r>
  <r>
    <x v="1"/>
    <x v="8"/>
    <x v="332"/>
    <s v="06:00"/>
    <n v="5.9892000000000003"/>
  </r>
  <r>
    <x v="1"/>
    <x v="8"/>
    <x v="333"/>
    <s v="18:00"/>
    <n v="5.9892000000000003"/>
  </r>
  <r>
    <x v="1"/>
    <x v="8"/>
    <x v="333"/>
    <s v="14:00"/>
    <n v="5.9892000000000003"/>
  </r>
  <r>
    <x v="1"/>
    <x v="8"/>
    <x v="333"/>
    <s v="10:00"/>
    <n v="5.9892000000000003"/>
  </r>
  <r>
    <x v="1"/>
    <x v="8"/>
    <x v="333"/>
    <s v="06:00"/>
    <n v="5.9892000000000003"/>
  </r>
  <r>
    <x v="1"/>
    <x v="8"/>
    <x v="334"/>
    <s v="18:00"/>
    <n v="5.9892000000000003"/>
  </r>
  <r>
    <x v="1"/>
    <x v="8"/>
    <x v="334"/>
    <s v="14:00"/>
    <n v="5.9892000000000003"/>
  </r>
  <r>
    <x v="1"/>
    <x v="8"/>
    <x v="334"/>
    <s v="10:00"/>
    <n v="5.9892000000000003"/>
  </r>
  <r>
    <x v="1"/>
    <x v="8"/>
    <x v="334"/>
    <s v="06:00"/>
    <n v="5.9892000000000003"/>
  </r>
  <r>
    <x v="1"/>
    <x v="8"/>
    <x v="335"/>
    <s v="18:00"/>
    <n v="5.9892000000000003"/>
  </r>
  <r>
    <x v="1"/>
    <x v="8"/>
    <x v="335"/>
    <s v="14:00"/>
    <n v="5.9892000000000003"/>
  </r>
  <r>
    <x v="1"/>
    <x v="8"/>
    <x v="335"/>
    <s v="10:00"/>
    <n v="5.9892000000000003"/>
  </r>
  <r>
    <x v="1"/>
    <x v="8"/>
    <x v="335"/>
    <s v="06:00"/>
    <n v="5.9892000000000003"/>
  </r>
  <r>
    <x v="1"/>
    <x v="8"/>
    <x v="336"/>
    <s v="18:00"/>
    <n v="5.9892000000000003"/>
  </r>
  <r>
    <x v="1"/>
    <x v="8"/>
    <x v="336"/>
    <s v="14:00"/>
    <n v="5.9892000000000003"/>
  </r>
  <r>
    <x v="1"/>
    <x v="8"/>
    <x v="336"/>
    <s v="10:00"/>
    <n v="5.9892000000000003"/>
  </r>
  <r>
    <x v="1"/>
    <x v="8"/>
    <x v="336"/>
    <s v="06:00"/>
    <n v="5.9892000000000003"/>
  </r>
  <r>
    <x v="1"/>
    <x v="8"/>
    <x v="337"/>
    <s v="18:00"/>
    <n v="5.9892000000000003"/>
  </r>
  <r>
    <x v="1"/>
    <x v="8"/>
    <x v="337"/>
    <s v="14:00"/>
    <n v="5.9892000000000003"/>
  </r>
  <r>
    <x v="1"/>
    <x v="8"/>
    <x v="337"/>
    <s v="10:00"/>
    <n v="5.9892000000000003"/>
  </r>
  <r>
    <x v="1"/>
    <x v="8"/>
    <x v="337"/>
    <s v="06:00"/>
    <n v="5.9892000000000003"/>
  </r>
  <r>
    <x v="1"/>
    <x v="8"/>
    <x v="338"/>
    <s v="18:00"/>
    <n v="5.9892000000000003"/>
  </r>
  <r>
    <x v="1"/>
    <x v="8"/>
    <x v="338"/>
    <s v="14:00"/>
    <n v="5.9892000000000003"/>
  </r>
  <r>
    <x v="1"/>
    <x v="8"/>
    <x v="338"/>
    <s v="10:00"/>
    <n v="5.9892000000000003"/>
  </r>
  <r>
    <x v="1"/>
    <x v="8"/>
    <x v="338"/>
    <s v="06:00"/>
    <n v="5.9892000000000003"/>
  </r>
  <r>
    <x v="1"/>
    <x v="8"/>
    <x v="339"/>
    <s v="18:00"/>
    <n v="5.9892000000000003"/>
  </r>
  <r>
    <x v="1"/>
    <x v="8"/>
    <x v="339"/>
    <s v="14:00"/>
    <n v="5.9892000000000003"/>
  </r>
  <r>
    <x v="1"/>
    <x v="8"/>
    <x v="339"/>
    <s v="10:00"/>
    <n v="5.9892000000000003"/>
  </r>
  <r>
    <x v="1"/>
    <x v="8"/>
    <x v="339"/>
    <s v="06:00"/>
    <n v="5.9892000000000003"/>
  </r>
  <r>
    <x v="1"/>
    <x v="8"/>
    <x v="340"/>
    <s v="18:00"/>
    <n v="5.9892000000000003"/>
  </r>
  <r>
    <x v="1"/>
    <x v="8"/>
    <x v="340"/>
    <s v="14:00"/>
    <n v="5.9892000000000003"/>
  </r>
  <r>
    <x v="1"/>
    <x v="8"/>
    <x v="340"/>
    <s v="10:00"/>
    <n v="5.9892000000000003"/>
  </r>
  <r>
    <x v="1"/>
    <x v="8"/>
    <x v="340"/>
    <s v="06:00"/>
    <n v="5.9892000000000003"/>
  </r>
  <r>
    <x v="1"/>
    <x v="8"/>
    <x v="341"/>
    <s v="18:00"/>
    <n v="5.2279"/>
  </r>
  <r>
    <x v="1"/>
    <x v="8"/>
    <x v="341"/>
    <s v="14:00"/>
    <n v="5.2279"/>
  </r>
  <r>
    <x v="1"/>
    <x v="8"/>
    <x v="341"/>
    <s v="10:00"/>
    <n v="5.2279"/>
  </r>
  <r>
    <x v="1"/>
    <x v="8"/>
    <x v="341"/>
    <s v="06:00"/>
    <n v="5.2279"/>
  </r>
  <r>
    <x v="1"/>
    <x v="8"/>
    <x v="342"/>
    <s v="18:00"/>
    <n v="5.2279"/>
  </r>
  <r>
    <x v="1"/>
    <x v="8"/>
    <x v="342"/>
    <s v="14:00"/>
    <n v="5.2279"/>
  </r>
  <r>
    <x v="1"/>
    <x v="8"/>
    <x v="342"/>
    <s v="10:00"/>
    <n v="5.2279"/>
  </r>
  <r>
    <x v="1"/>
    <x v="8"/>
    <x v="342"/>
    <s v="06:00"/>
    <n v="5.2279"/>
  </r>
  <r>
    <x v="1"/>
    <x v="8"/>
    <x v="343"/>
    <s v="18:00"/>
    <n v="5.2279"/>
  </r>
  <r>
    <x v="1"/>
    <x v="8"/>
    <x v="343"/>
    <s v="14:00"/>
    <n v="5.2279"/>
  </r>
  <r>
    <x v="1"/>
    <x v="8"/>
    <x v="343"/>
    <s v="10:00"/>
    <n v="5.2279"/>
  </r>
  <r>
    <x v="1"/>
    <x v="8"/>
    <x v="343"/>
    <s v="06:00"/>
    <n v="5.2279"/>
  </r>
  <r>
    <x v="1"/>
    <x v="8"/>
    <x v="344"/>
    <s v="18:00"/>
    <n v="5.2279"/>
  </r>
  <r>
    <x v="1"/>
    <x v="8"/>
    <x v="344"/>
    <s v="14:00"/>
    <n v="5.2279"/>
  </r>
  <r>
    <x v="1"/>
    <x v="8"/>
    <x v="344"/>
    <s v="10:00"/>
    <n v="5.2279"/>
  </r>
  <r>
    <x v="1"/>
    <x v="8"/>
    <x v="344"/>
    <s v="06:00"/>
    <n v="5.2279"/>
  </r>
  <r>
    <x v="1"/>
    <x v="8"/>
    <x v="345"/>
    <s v="18:00"/>
    <n v="4.5034000000000001"/>
  </r>
  <r>
    <x v="1"/>
    <x v="8"/>
    <x v="345"/>
    <s v="14:00"/>
    <n v="4.5034000000000001"/>
  </r>
  <r>
    <x v="1"/>
    <x v="8"/>
    <x v="345"/>
    <s v="10:00"/>
    <n v="4.5034000000000001"/>
  </r>
  <r>
    <x v="1"/>
    <x v="8"/>
    <x v="345"/>
    <s v="06:00"/>
    <n v="4.5034000000000001"/>
  </r>
  <r>
    <x v="1"/>
    <x v="8"/>
    <x v="346"/>
    <s v="18:00"/>
    <n v="4.5034000000000001"/>
  </r>
  <r>
    <x v="1"/>
    <x v="8"/>
    <x v="346"/>
    <s v="14:00"/>
    <n v="4.5034000000000001"/>
  </r>
  <r>
    <x v="1"/>
    <x v="8"/>
    <x v="346"/>
    <s v="10:00"/>
    <n v="4.5034000000000001"/>
  </r>
  <r>
    <x v="1"/>
    <x v="8"/>
    <x v="346"/>
    <s v="06:00"/>
    <n v="4.5034000000000001"/>
  </r>
  <r>
    <x v="1"/>
    <x v="8"/>
    <x v="347"/>
    <s v="18:00"/>
    <n v="4.5034000000000001"/>
  </r>
  <r>
    <x v="1"/>
    <x v="8"/>
    <x v="347"/>
    <s v="14:00"/>
    <n v="4.5034000000000001"/>
  </r>
  <r>
    <x v="1"/>
    <x v="8"/>
    <x v="347"/>
    <s v="10:00"/>
    <n v="4.5034000000000001"/>
  </r>
  <r>
    <x v="1"/>
    <x v="8"/>
    <x v="347"/>
    <s v="06:00"/>
    <n v="4.5034000000000001"/>
  </r>
  <r>
    <x v="1"/>
    <x v="8"/>
    <x v="348"/>
    <s v="18:00"/>
    <n v="4.5034000000000001"/>
  </r>
  <r>
    <x v="1"/>
    <x v="8"/>
    <x v="348"/>
    <s v="14:00"/>
    <n v="4.5034000000000001"/>
  </r>
  <r>
    <x v="1"/>
    <x v="8"/>
    <x v="348"/>
    <s v="10:00"/>
    <n v="4.5034000000000001"/>
  </r>
  <r>
    <x v="1"/>
    <x v="8"/>
    <x v="348"/>
    <s v="06:00"/>
    <n v="4.5034000000000001"/>
  </r>
  <r>
    <x v="1"/>
    <x v="8"/>
    <x v="349"/>
    <s v="18:00"/>
    <n v="4.5034000000000001"/>
  </r>
  <r>
    <x v="1"/>
    <x v="8"/>
    <x v="349"/>
    <s v="14:00"/>
    <n v="4.5034000000000001"/>
  </r>
  <r>
    <x v="1"/>
    <x v="8"/>
    <x v="349"/>
    <s v="10:00"/>
    <n v="4.5034000000000001"/>
  </r>
  <r>
    <x v="1"/>
    <x v="8"/>
    <x v="349"/>
    <s v="06:00"/>
    <n v="4.5034000000000001"/>
  </r>
  <r>
    <x v="1"/>
    <x v="8"/>
    <x v="350"/>
    <s v="18:00"/>
    <n v="4.5034000000000001"/>
  </r>
  <r>
    <x v="1"/>
    <x v="8"/>
    <x v="350"/>
    <s v="14:00"/>
    <n v="4.5034000000000001"/>
  </r>
  <r>
    <x v="1"/>
    <x v="8"/>
    <x v="350"/>
    <s v="10:00"/>
    <n v="4.5034000000000001"/>
  </r>
  <r>
    <x v="1"/>
    <x v="8"/>
    <x v="350"/>
    <s v="06:00"/>
    <n v="4.5034000000000001"/>
  </r>
  <r>
    <x v="1"/>
    <x v="8"/>
    <x v="351"/>
    <s v="18:00"/>
    <n v="4.5034000000000001"/>
  </r>
  <r>
    <x v="1"/>
    <x v="8"/>
    <x v="351"/>
    <s v="14:00"/>
    <n v="4.5034000000000001"/>
  </r>
  <r>
    <x v="1"/>
    <x v="8"/>
    <x v="351"/>
    <s v="10:00"/>
    <n v="4.5034000000000001"/>
  </r>
  <r>
    <x v="1"/>
    <x v="8"/>
    <x v="351"/>
    <s v="06:00"/>
    <n v="4.5034000000000001"/>
  </r>
  <r>
    <x v="1"/>
    <x v="8"/>
    <x v="352"/>
    <s v="18:00"/>
    <n v="4.5034000000000001"/>
  </r>
  <r>
    <x v="1"/>
    <x v="8"/>
    <x v="352"/>
    <s v="14:00"/>
    <n v="4.5034000000000001"/>
  </r>
  <r>
    <x v="1"/>
    <x v="8"/>
    <x v="352"/>
    <s v="10:00"/>
    <n v="4.5034000000000001"/>
  </r>
  <r>
    <x v="1"/>
    <x v="8"/>
    <x v="352"/>
    <s v="06:00"/>
    <n v="4.5034000000000001"/>
  </r>
  <r>
    <x v="1"/>
    <x v="8"/>
    <x v="353"/>
    <s v="18:00"/>
    <n v="4.5034000000000001"/>
  </r>
  <r>
    <x v="1"/>
    <x v="8"/>
    <x v="353"/>
    <s v="14:00"/>
    <n v="4.5034000000000001"/>
  </r>
  <r>
    <x v="1"/>
    <x v="8"/>
    <x v="353"/>
    <s v="10:00"/>
    <n v="4.5034000000000001"/>
  </r>
  <r>
    <x v="1"/>
    <x v="8"/>
    <x v="353"/>
    <s v="06:00"/>
    <n v="4.5034000000000001"/>
  </r>
  <r>
    <x v="1"/>
    <x v="8"/>
    <x v="354"/>
    <s v="18:00"/>
    <n v="4.5034000000000001"/>
  </r>
  <r>
    <x v="1"/>
    <x v="8"/>
    <x v="354"/>
    <s v="14:00"/>
    <n v="4.5034000000000001"/>
  </r>
  <r>
    <x v="1"/>
    <x v="8"/>
    <x v="354"/>
    <s v="10:00"/>
    <n v="4.5034000000000001"/>
  </r>
  <r>
    <x v="1"/>
    <x v="8"/>
    <x v="354"/>
    <s v="06:00"/>
    <n v="4.5034000000000001"/>
  </r>
  <r>
    <x v="1"/>
    <x v="8"/>
    <x v="355"/>
    <s v="18:00"/>
    <n v="4.5034000000000001"/>
  </r>
  <r>
    <x v="1"/>
    <x v="8"/>
    <x v="355"/>
    <s v="14:00"/>
    <n v="4.5034000000000001"/>
  </r>
  <r>
    <x v="1"/>
    <x v="8"/>
    <x v="355"/>
    <s v="10:00"/>
    <n v="4.5034000000000001"/>
  </r>
  <r>
    <x v="1"/>
    <x v="8"/>
    <x v="355"/>
    <s v="06:00"/>
    <n v="4.5034000000000001"/>
  </r>
  <r>
    <x v="1"/>
    <x v="8"/>
    <x v="356"/>
    <s v="10:00"/>
    <n v="4.5034000000000001"/>
  </r>
  <r>
    <x v="1"/>
    <x v="8"/>
    <x v="356"/>
    <s v="06:00"/>
    <n v="4.5034000000000001"/>
  </r>
  <r>
    <x v="1"/>
    <x v="8"/>
    <x v="357"/>
    <s v="18:00"/>
    <n v="3.8155999999999999"/>
  </r>
  <r>
    <x v="1"/>
    <x v="8"/>
    <x v="357"/>
    <s v="14:00"/>
    <n v="3.8155999999999999"/>
  </r>
  <r>
    <x v="1"/>
    <x v="8"/>
    <x v="357"/>
    <s v="10:00"/>
    <n v="3.8155999999999999"/>
  </r>
  <r>
    <x v="1"/>
    <x v="8"/>
    <x v="357"/>
    <s v="06:00"/>
    <n v="3.8155999999999999"/>
  </r>
  <r>
    <x v="1"/>
    <x v="8"/>
    <x v="358"/>
    <s v="18:00"/>
    <n v="3.8155999999999999"/>
  </r>
  <r>
    <x v="1"/>
    <x v="8"/>
    <x v="358"/>
    <s v="14:00"/>
    <n v="3.8155999999999999"/>
  </r>
  <r>
    <x v="1"/>
    <x v="8"/>
    <x v="358"/>
    <s v="10:00"/>
    <n v="3.8155999999999999"/>
  </r>
  <r>
    <x v="1"/>
    <x v="8"/>
    <x v="358"/>
    <s v="06:00"/>
    <n v="3.8155999999999999"/>
  </r>
  <r>
    <x v="1"/>
    <x v="8"/>
    <x v="359"/>
    <s v="18:00"/>
    <n v="3.8155999999999999"/>
  </r>
  <r>
    <x v="1"/>
    <x v="8"/>
    <x v="359"/>
    <s v="14:00"/>
    <n v="3.8155999999999999"/>
  </r>
  <r>
    <x v="1"/>
    <x v="8"/>
    <x v="359"/>
    <s v="10:00"/>
    <n v="3.8155999999999999"/>
  </r>
  <r>
    <x v="1"/>
    <x v="8"/>
    <x v="360"/>
    <s v="18:00"/>
    <n v="3.8155999999999999"/>
  </r>
  <r>
    <x v="1"/>
    <x v="8"/>
    <x v="360"/>
    <s v="14:00"/>
    <n v="3.8155999999999999"/>
  </r>
  <r>
    <x v="1"/>
    <x v="8"/>
    <x v="360"/>
    <s v="10:00"/>
    <n v="3.8155999999999999"/>
  </r>
  <r>
    <x v="1"/>
    <x v="8"/>
    <x v="360"/>
    <s v="06:00"/>
    <n v="3.8155999999999999"/>
  </r>
  <r>
    <x v="1"/>
    <x v="9"/>
    <x v="361"/>
    <s v="18:00"/>
    <n v="3.8155999999999999"/>
  </r>
  <r>
    <x v="1"/>
    <x v="9"/>
    <x v="361"/>
    <s v="14:00"/>
    <n v="3.8155999999999999"/>
  </r>
  <r>
    <x v="1"/>
    <x v="9"/>
    <x v="361"/>
    <s v="10:00"/>
    <n v="3.8155999999999999"/>
  </r>
  <r>
    <x v="1"/>
    <x v="9"/>
    <x v="361"/>
    <s v="06:00"/>
    <n v="3.8155999999999999"/>
  </r>
  <r>
    <x v="1"/>
    <x v="9"/>
    <x v="362"/>
    <s v="18:00"/>
    <n v="3.8155999999999999"/>
  </r>
  <r>
    <x v="1"/>
    <x v="9"/>
    <x v="362"/>
    <s v="14:00"/>
    <n v="3.8155999999999999"/>
  </r>
  <r>
    <x v="1"/>
    <x v="9"/>
    <x v="362"/>
    <s v="10:00"/>
    <n v="3.8155999999999999"/>
  </r>
  <r>
    <x v="1"/>
    <x v="9"/>
    <x v="362"/>
    <s v="06:00"/>
    <n v="3.8155999999999999"/>
  </r>
  <r>
    <x v="1"/>
    <x v="9"/>
    <x v="363"/>
    <s v="18:00"/>
    <n v="3.8155999999999999"/>
  </r>
  <r>
    <x v="1"/>
    <x v="9"/>
    <x v="363"/>
    <s v="14:00"/>
    <n v="3.1646000000000001"/>
  </r>
  <r>
    <x v="1"/>
    <x v="9"/>
    <x v="363"/>
    <s v="10:00"/>
    <n v="3.1646000000000001"/>
  </r>
  <r>
    <x v="1"/>
    <x v="9"/>
    <x v="363"/>
    <s v="06:00"/>
    <n v="3.8155999999999999"/>
  </r>
  <r>
    <x v="1"/>
    <x v="9"/>
    <x v="364"/>
    <s v="18:00"/>
    <n v="3.1646000000000001"/>
  </r>
  <r>
    <x v="1"/>
    <x v="9"/>
    <x v="364"/>
    <s v="10:00"/>
    <n v="3.1646000000000001"/>
  </r>
  <r>
    <x v="1"/>
    <x v="9"/>
    <x v="364"/>
    <s v="06:00"/>
    <n v="3.1646000000000001"/>
  </r>
  <r>
    <x v="1"/>
    <x v="9"/>
    <x v="365"/>
    <s v="18:00"/>
    <n v="3.1646000000000001"/>
  </r>
  <r>
    <x v="1"/>
    <x v="9"/>
    <x v="365"/>
    <s v="14:00"/>
    <n v="3.1646000000000001"/>
  </r>
  <r>
    <x v="1"/>
    <x v="9"/>
    <x v="365"/>
    <s v="10:00"/>
    <n v="3.1646000000000001"/>
  </r>
  <r>
    <x v="1"/>
    <x v="9"/>
    <x v="365"/>
    <s v="06:00"/>
    <n v="3.1646000000000001"/>
  </r>
  <r>
    <x v="1"/>
    <x v="9"/>
    <x v="366"/>
    <s v="18:00"/>
    <n v="3.1646000000000001"/>
  </r>
  <r>
    <x v="1"/>
    <x v="9"/>
    <x v="366"/>
    <s v="14:00"/>
    <n v="3.1646000000000001"/>
  </r>
  <r>
    <x v="1"/>
    <x v="9"/>
    <x v="366"/>
    <s v="10:00"/>
    <n v="3.1646000000000001"/>
  </r>
  <r>
    <x v="1"/>
    <x v="9"/>
    <x v="366"/>
    <s v="06:00"/>
    <n v="3.1646000000000001"/>
  </r>
  <r>
    <x v="1"/>
    <x v="9"/>
    <x v="367"/>
    <s v="18:00"/>
    <n v="3.1646000000000001"/>
  </r>
  <r>
    <x v="1"/>
    <x v="9"/>
    <x v="367"/>
    <s v="14:00"/>
    <n v="3.1646000000000001"/>
  </r>
  <r>
    <x v="1"/>
    <x v="9"/>
    <x v="367"/>
    <s v="10:00"/>
    <n v="3.1646000000000001"/>
  </r>
  <r>
    <x v="1"/>
    <x v="9"/>
    <x v="367"/>
    <s v="06:00"/>
    <n v="3.1646000000000001"/>
  </r>
  <r>
    <x v="1"/>
    <x v="9"/>
    <x v="368"/>
    <s v="18:00"/>
    <n v="3.1646000000000001"/>
  </r>
  <r>
    <x v="1"/>
    <x v="9"/>
    <x v="368"/>
    <s v="14:00"/>
    <n v="3.1646000000000001"/>
  </r>
  <r>
    <x v="1"/>
    <x v="9"/>
    <x v="368"/>
    <s v="10:00"/>
    <n v="3.1646000000000001"/>
  </r>
  <r>
    <x v="1"/>
    <x v="9"/>
    <x v="368"/>
    <s v="06:00"/>
    <n v="3.1646000000000001"/>
  </r>
  <r>
    <x v="1"/>
    <x v="9"/>
    <x v="369"/>
    <s v="18:00"/>
    <n v="3.1646000000000001"/>
  </r>
  <r>
    <x v="1"/>
    <x v="9"/>
    <x v="369"/>
    <s v="14:00"/>
    <n v="3.1646000000000001"/>
  </r>
  <r>
    <x v="1"/>
    <x v="9"/>
    <x v="369"/>
    <s v="10:00"/>
    <n v="3.1646000000000001"/>
  </r>
  <r>
    <x v="1"/>
    <x v="9"/>
    <x v="369"/>
    <s v="06:00"/>
    <n v="3.1646000000000001"/>
  </r>
  <r>
    <x v="1"/>
    <x v="9"/>
    <x v="370"/>
    <s v="18:00"/>
    <n v="3.1646000000000001"/>
  </r>
  <r>
    <x v="1"/>
    <x v="9"/>
    <x v="370"/>
    <s v="14:00"/>
    <n v="3.1646000000000001"/>
  </r>
  <r>
    <x v="1"/>
    <x v="9"/>
    <x v="370"/>
    <s v="10:00"/>
    <n v="3.1646000000000001"/>
  </r>
  <r>
    <x v="1"/>
    <x v="9"/>
    <x v="370"/>
    <s v="06:00"/>
    <n v="3.1646000000000001"/>
  </r>
  <r>
    <x v="1"/>
    <x v="9"/>
    <x v="371"/>
    <s v="18:00"/>
    <n v="3.1646000000000001"/>
  </r>
  <r>
    <x v="1"/>
    <x v="9"/>
    <x v="371"/>
    <s v="14:00"/>
    <n v="3.1646000000000001"/>
  </r>
  <r>
    <x v="1"/>
    <x v="9"/>
    <x v="371"/>
    <s v="10:00"/>
    <n v="3.1646000000000001"/>
  </r>
  <r>
    <x v="1"/>
    <x v="9"/>
    <x v="371"/>
    <s v="06:00"/>
    <n v="3.1646000000000001"/>
  </r>
  <r>
    <x v="1"/>
    <x v="9"/>
    <x v="372"/>
    <s v="18:00"/>
    <n v="3.1646000000000001"/>
  </r>
  <r>
    <x v="1"/>
    <x v="9"/>
    <x v="372"/>
    <s v="14:00"/>
    <n v="3.1646000000000001"/>
  </r>
  <r>
    <x v="1"/>
    <x v="9"/>
    <x v="372"/>
    <s v="10:00"/>
    <n v="3.1646000000000001"/>
  </r>
  <r>
    <x v="1"/>
    <x v="9"/>
    <x v="372"/>
    <s v="06:00"/>
    <n v="3.1646000000000001"/>
  </r>
  <r>
    <x v="1"/>
    <x v="9"/>
    <x v="373"/>
    <s v="18:00"/>
    <n v="3.1646000000000001"/>
  </r>
  <r>
    <x v="1"/>
    <x v="9"/>
    <x v="373"/>
    <s v="14:00"/>
    <n v="3.1646000000000001"/>
  </r>
  <r>
    <x v="1"/>
    <x v="9"/>
    <x v="373"/>
    <s v="10:00"/>
    <n v="3.1646000000000001"/>
  </r>
  <r>
    <x v="1"/>
    <x v="9"/>
    <x v="373"/>
    <s v="06:00"/>
    <n v="3.1646000000000001"/>
  </r>
  <r>
    <x v="1"/>
    <x v="9"/>
    <x v="374"/>
    <s v="18:00"/>
    <n v="3.1646000000000001"/>
  </r>
  <r>
    <x v="1"/>
    <x v="9"/>
    <x v="374"/>
    <s v="14:00"/>
    <n v="3.1646000000000001"/>
  </r>
  <r>
    <x v="1"/>
    <x v="9"/>
    <x v="374"/>
    <s v="10:00"/>
    <n v="3.1646000000000001"/>
  </r>
  <r>
    <x v="1"/>
    <x v="9"/>
    <x v="374"/>
    <s v="06:00"/>
    <n v="3.1646000000000001"/>
  </r>
  <r>
    <x v="1"/>
    <x v="9"/>
    <x v="375"/>
    <s v="18:00"/>
    <n v="3.1646000000000001"/>
  </r>
  <r>
    <x v="1"/>
    <x v="9"/>
    <x v="375"/>
    <s v="14:00"/>
    <n v="3.1646000000000001"/>
  </r>
  <r>
    <x v="1"/>
    <x v="9"/>
    <x v="375"/>
    <s v="10:00"/>
    <n v="3.1646000000000001"/>
  </r>
  <r>
    <x v="1"/>
    <x v="9"/>
    <x v="375"/>
    <s v="06:00"/>
    <n v="3.1646000000000001"/>
  </r>
  <r>
    <x v="1"/>
    <x v="9"/>
    <x v="376"/>
    <s v="18:00"/>
    <n v="3.1646000000000001"/>
  </r>
  <r>
    <x v="1"/>
    <x v="9"/>
    <x v="376"/>
    <s v="14:00"/>
    <n v="3.1646000000000001"/>
  </r>
  <r>
    <x v="1"/>
    <x v="9"/>
    <x v="376"/>
    <s v="10:00"/>
    <n v="3.1646000000000001"/>
  </r>
  <r>
    <x v="1"/>
    <x v="9"/>
    <x v="376"/>
    <s v="06:00"/>
    <n v="3.1646000000000001"/>
  </r>
  <r>
    <x v="1"/>
    <x v="9"/>
    <x v="377"/>
    <s v="18:00"/>
    <n v="3.1646000000000001"/>
  </r>
  <r>
    <x v="1"/>
    <x v="9"/>
    <x v="377"/>
    <s v="14:00"/>
    <n v="3.1646000000000001"/>
  </r>
  <r>
    <x v="1"/>
    <x v="9"/>
    <x v="377"/>
    <s v="10:00"/>
    <n v="3.1646000000000001"/>
  </r>
  <r>
    <x v="1"/>
    <x v="9"/>
    <x v="377"/>
    <s v="06:00"/>
    <n v="3.1646000000000001"/>
  </r>
  <r>
    <x v="1"/>
    <x v="9"/>
    <x v="378"/>
    <s v="18:00"/>
    <n v="2.0432999999999999"/>
  </r>
  <r>
    <x v="1"/>
    <x v="9"/>
    <x v="378"/>
    <s v="14:00"/>
    <n v="2.0432999999999999"/>
  </r>
  <r>
    <x v="1"/>
    <x v="9"/>
    <x v="378"/>
    <s v="10:00"/>
    <n v="2.0432999999999999"/>
  </r>
  <r>
    <x v="1"/>
    <x v="9"/>
    <x v="378"/>
    <s v="06:00"/>
    <n v="2.0432999999999999"/>
  </r>
  <r>
    <x v="1"/>
    <x v="9"/>
    <x v="379"/>
    <s v="18:00"/>
    <n v="2.0432999999999999"/>
  </r>
  <r>
    <x v="1"/>
    <x v="9"/>
    <x v="379"/>
    <s v="14:00"/>
    <n v="2.0432999999999999"/>
  </r>
  <r>
    <x v="1"/>
    <x v="9"/>
    <x v="379"/>
    <s v="10:00"/>
    <n v="2.0432999999999999"/>
  </r>
  <r>
    <x v="1"/>
    <x v="9"/>
    <x v="379"/>
    <s v="06:00"/>
    <n v="2.0432999999999999"/>
  </r>
  <r>
    <x v="1"/>
    <x v="9"/>
    <x v="380"/>
    <s v="18:00"/>
    <n v="2.0432999999999999"/>
  </r>
  <r>
    <x v="1"/>
    <x v="9"/>
    <x v="380"/>
    <s v="14:00"/>
    <n v="2.0432999999999999"/>
  </r>
  <r>
    <x v="1"/>
    <x v="9"/>
    <x v="380"/>
    <s v="10:00"/>
    <n v="2.0432999999999999"/>
  </r>
  <r>
    <x v="1"/>
    <x v="9"/>
    <x v="380"/>
    <s v="06:00"/>
    <n v="2.0432999999999999"/>
  </r>
  <r>
    <x v="1"/>
    <x v="9"/>
    <x v="381"/>
    <s v="18:00"/>
    <n v="2.0432999999999999"/>
  </r>
  <r>
    <x v="1"/>
    <x v="9"/>
    <x v="381"/>
    <s v="14:00"/>
    <n v="2.0432999999999999"/>
  </r>
  <r>
    <x v="1"/>
    <x v="9"/>
    <x v="381"/>
    <s v="10:00"/>
    <n v="2.0432999999999999"/>
  </r>
  <r>
    <x v="1"/>
    <x v="9"/>
    <x v="381"/>
    <s v="06:00"/>
    <n v="2.0432999999999999"/>
  </r>
  <r>
    <x v="1"/>
    <x v="9"/>
    <x v="382"/>
    <s v="18:00"/>
    <n v="2.0432999999999999"/>
  </r>
  <r>
    <x v="1"/>
    <x v="9"/>
    <x v="382"/>
    <s v="14:00"/>
    <n v="2.0432999999999999"/>
  </r>
  <r>
    <x v="1"/>
    <x v="9"/>
    <x v="382"/>
    <s v="10:00"/>
    <n v="2.0432999999999999"/>
  </r>
  <r>
    <x v="1"/>
    <x v="9"/>
    <x v="382"/>
    <s v="06:00"/>
    <n v="2.0432999999999999"/>
  </r>
  <r>
    <x v="1"/>
    <x v="9"/>
    <x v="383"/>
    <s v="18:00"/>
    <n v="2.0432999999999999"/>
  </r>
  <r>
    <x v="1"/>
    <x v="9"/>
    <x v="383"/>
    <s v="14:00"/>
    <n v="2.0432999999999999"/>
  </r>
  <r>
    <x v="1"/>
    <x v="9"/>
    <x v="383"/>
    <s v="10:00"/>
    <n v="2.0432999999999999"/>
  </r>
  <r>
    <x v="1"/>
    <x v="9"/>
    <x v="383"/>
    <s v="06:00"/>
    <n v="2.0432999999999999"/>
  </r>
  <r>
    <x v="1"/>
    <x v="9"/>
    <x v="384"/>
    <s v="18:00"/>
    <n v="2.0432999999999999"/>
  </r>
  <r>
    <x v="1"/>
    <x v="9"/>
    <x v="384"/>
    <s v="14:00"/>
    <n v="2.0432999999999999"/>
  </r>
  <r>
    <x v="1"/>
    <x v="9"/>
    <x v="384"/>
    <s v="10:00"/>
    <n v="2.0432999999999999"/>
  </r>
  <r>
    <x v="1"/>
    <x v="9"/>
    <x v="384"/>
    <s v="06:00"/>
    <n v="2.0432999999999999"/>
  </r>
  <r>
    <x v="1"/>
    <x v="9"/>
    <x v="385"/>
    <s v="18:00"/>
    <n v="2.0432999999999999"/>
  </r>
  <r>
    <x v="1"/>
    <x v="9"/>
    <x v="385"/>
    <s v="14:00"/>
    <n v="2.0432999999999999"/>
  </r>
  <r>
    <x v="1"/>
    <x v="9"/>
    <x v="385"/>
    <s v="10:00"/>
    <n v="2.0432999999999999"/>
  </r>
  <r>
    <x v="1"/>
    <x v="9"/>
    <x v="385"/>
    <s v="06:00"/>
    <n v="2.0432999999999999"/>
  </r>
  <r>
    <x v="1"/>
    <x v="9"/>
    <x v="386"/>
    <s v="18:00"/>
    <n v="2.0432999999999999"/>
  </r>
  <r>
    <x v="1"/>
    <x v="9"/>
    <x v="386"/>
    <s v="14:00"/>
    <n v="2.0432999999999999"/>
  </r>
  <r>
    <x v="1"/>
    <x v="9"/>
    <x v="386"/>
    <s v="10:00"/>
    <n v="2.0432999999999999"/>
  </r>
  <r>
    <x v="1"/>
    <x v="9"/>
    <x v="386"/>
    <s v="06:00"/>
    <n v="2.0432999999999999"/>
  </r>
  <r>
    <x v="1"/>
    <x v="9"/>
    <x v="387"/>
    <s v="18:00"/>
    <n v="2.0432999999999999"/>
  </r>
  <r>
    <x v="1"/>
    <x v="9"/>
    <x v="387"/>
    <s v="14:00"/>
    <n v="2.0432999999999999"/>
  </r>
  <r>
    <x v="1"/>
    <x v="9"/>
    <x v="387"/>
    <s v="10:00"/>
    <n v="2.0432999999999999"/>
  </r>
  <r>
    <x v="1"/>
    <x v="9"/>
    <x v="387"/>
    <s v="06:00"/>
    <n v="2.0432999999999999"/>
  </r>
  <r>
    <x v="1"/>
    <x v="9"/>
    <x v="388"/>
    <s v="18:00"/>
    <n v="2.0432999999999999"/>
  </r>
  <r>
    <x v="1"/>
    <x v="9"/>
    <x v="388"/>
    <s v="14:00"/>
    <n v="2.0432999999999999"/>
  </r>
  <r>
    <x v="1"/>
    <x v="9"/>
    <x v="388"/>
    <s v="10:00"/>
    <n v="2.0432999999999999"/>
  </r>
  <r>
    <x v="1"/>
    <x v="9"/>
    <x v="388"/>
    <s v="06:00"/>
    <n v="2.0432999999999999"/>
  </r>
  <r>
    <x v="1"/>
    <x v="9"/>
    <x v="389"/>
    <s v="18:00"/>
    <n v="2.0432999999999999"/>
  </r>
  <r>
    <x v="1"/>
    <x v="9"/>
    <x v="389"/>
    <s v="14:00"/>
    <n v="2.0432999999999999"/>
  </r>
  <r>
    <x v="1"/>
    <x v="9"/>
    <x v="389"/>
    <s v="10:00"/>
    <n v="2.0432999999999999"/>
  </r>
  <r>
    <x v="1"/>
    <x v="9"/>
    <x v="389"/>
    <s v="06:00"/>
    <n v="2.0432999999999999"/>
  </r>
  <r>
    <x v="1"/>
    <x v="9"/>
    <x v="390"/>
    <s v="18:00"/>
    <n v="2.0432999999999999"/>
  </r>
  <r>
    <x v="1"/>
    <x v="9"/>
    <x v="390"/>
    <s v="14:00"/>
    <n v="2.0432999999999999"/>
  </r>
  <r>
    <x v="1"/>
    <x v="9"/>
    <x v="390"/>
    <s v="10:00"/>
    <n v="2.0432999999999999"/>
  </r>
  <r>
    <x v="1"/>
    <x v="9"/>
    <x v="390"/>
    <s v="06:00"/>
    <n v="2.0432999999999999"/>
  </r>
  <r>
    <x v="1"/>
    <x v="9"/>
    <x v="391"/>
    <s v="18:00"/>
    <n v="2.0432999999999999"/>
  </r>
  <r>
    <x v="1"/>
    <x v="9"/>
    <x v="391"/>
    <s v="14:00"/>
    <n v="2.0432999999999999"/>
  </r>
  <r>
    <x v="1"/>
    <x v="9"/>
    <x v="391"/>
    <s v="10:00"/>
    <n v="2.0432999999999999"/>
  </r>
  <r>
    <x v="1"/>
    <x v="9"/>
    <x v="391"/>
    <s v="06:00"/>
    <n v="2.0432999999999999"/>
  </r>
  <r>
    <x v="1"/>
    <x v="10"/>
    <x v="392"/>
    <s v="18:00"/>
    <n v="2.0432999999999999"/>
  </r>
  <r>
    <x v="1"/>
    <x v="10"/>
    <x v="392"/>
    <s v="14:00"/>
    <n v="2.0432999999999999"/>
  </r>
  <r>
    <x v="1"/>
    <x v="10"/>
    <x v="392"/>
    <s v="10:00"/>
    <n v="2.0432999999999999"/>
  </r>
  <r>
    <x v="1"/>
    <x v="10"/>
    <x v="392"/>
    <s v="06:00"/>
    <n v="2.0432999999999999"/>
  </r>
  <r>
    <x v="1"/>
    <x v="10"/>
    <x v="393"/>
    <s v="18:00"/>
    <n v="2.0432999999999999"/>
  </r>
  <r>
    <x v="1"/>
    <x v="10"/>
    <x v="393"/>
    <s v="14:00"/>
    <n v="2.0432999999999999"/>
  </r>
  <r>
    <x v="1"/>
    <x v="10"/>
    <x v="393"/>
    <s v="10:00"/>
    <n v="2.0432999999999999"/>
  </r>
  <r>
    <x v="1"/>
    <x v="10"/>
    <x v="393"/>
    <s v="06:00"/>
    <n v="2.0432999999999999"/>
  </r>
  <r>
    <x v="1"/>
    <x v="10"/>
    <x v="394"/>
    <s v="18:00"/>
    <n v="2.0432999999999999"/>
  </r>
  <r>
    <x v="1"/>
    <x v="10"/>
    <x v="394"/>
    <s v="14:00"/>
    <n v="2.0432999999999999"/>
  </r>
  <r>
    <x v="1"/>
    <x v="10"/>
    <x v="394"/>
    <s v="10:00"/>
    <n v="2.0432999999999999"/>
  </r>
  <r>
    <x v="1"/>
    <x v="10"/>
    <x v="394"/>
    <s v="06:00"/>
    <n v="2.0432999999999999"/>
  </r>
  <r>
    <x v="1"/>
    <x v="10"/>
    <x v="395"/>
    <s v="18:00"/>
    <n v="2.0432999999999999"/>
  </r>
  <r>
    <x v="1"/>
    <x v="10"/>
    <x v="395"/>
    <s v="14:00"/>
    <n v="2.0432999999999999"/>
  </r>
  <r>
    <x v="1"/>
    <x v="10"/>
    <x v="395"/>
    <s v="10:00"/>
    <n v="2.0432999999999999"/>
  </r>
  <r>
    <x v="1"/>
    <x v="10"/>
    <x v="395"/>
    <s v="06:00"/>
    <n v="2.0432999999999999"/>
  </r>
  <r>
    <x v="1"/>
    <x v="10"/>
    <x v="396"/>
    <s v="18:00"/>
    <n v="2.0432999999999999"/>
  </r>
  <r>
    <x v="1"/>
    <x v="10"/>
    <x v="396"/>
    <s v="14:00"/>
    <n v="2.0432999999999999"/>
  </r>
  <r>
    <x v="1"/>
    <x v="10"/>
    <x v="396"/>
    <s v="10:00"/>
    <n v="2.0432999999999999"/>
  </r>
  <r>
    <x v="1"/>
    <x v="10"/>
    <x v="396"/>
    <s v="06:00"/>
    <n v="2.0432999999999999"/>
  </r>
  <r>
    <x v="1"/>
    <x v="10"/>
    <x v="397"/>
    <s v="18:00"/>
    <n v="2.0432999999999999"/>
  </r>
  <r>
    <x v="1"/>
    <x v="10"/>
    <x v="397"/>
    <s v="14:00"/>
    <n v="2.0432999999999999"/>
  </r>
  <r>
    <x v="1"/>
    <x v="10"/>
    <x v="397"/>
    <s v="10:00"/>
    <n v="2.0432999999999999"/>
  </r>
  <r>
    <x v="1"/>
    <x v="10"/>
    <x v="397"/>
    <s v="06:00"/>
    <n v="2.0432999999999999"/>
  </r>
  <r>
    <x v="1"/>
    <x v="10"/>
    <x v="398"/>
    <s v="18:00"/>
    <n v="2.0432999999999999"/>
  </r>
  <r>
    <x v="1"/>
    <x v="10"/>
    <x v="398"/>
    <s v="14:00"/>
    <n v="2.0432999999999999"/>
  </r>
  <r>
    <x v="1"/>
    <x v="10"/>
    <x v="398"/>
    <s v="10:00"/>
    <n v="2.0432999999999999"/>
  </r>
  <r>
    <x v="1"/>
    <x v="10"/>
    <x v="398"/>
    <s v="06:00"/>
    <n v="2.0432999999999999"/>
  </r>
  <r>
    <x v="1"/>
    <x v="10"/>
    <x v="399"/>
    <s v="18:00"/>
    <n v="1.6437999999999999"/>
  </r>
  <r>
    <x v="1"/>
    <x v="10"/>
    <x v="399"/>
    <s v="14:00"/>
    <n v="1.6437999999999999"/>
  </r>
  <r>
    <x v="1"/>
    <x v="10"/>
    <x v="399"/>
    <s v="10:00"/>
    <n v="1.6437999999999999"/>
  </r>
  <r>
    <x v="1"/>
    <x v="10"/>
    <x v="399"/>
    <s v="06:00"/>
    <n v="1.6437999999999999"/>
  </r>
  <r>
    <x v="1"/>
    <x v="10"/>
    <x v="400"/>
    <s v="18:00"/>
    <n v="1.6437999999999999"/>
  </r>
  <r>
    <x v="1"/>
    <x v="10"/>
    <x v="400"/>
    <s v="14:00"/>
    <n v="1.6437999999999999"/>
  </r>
  <r>
    <x v="1"/>
    <x v="10"/>
    <x v="400"/>
    <s v="10:00"/>
    <n v="1.6437999999999999"/>
  </r>
  <r>
    <x v="1"/>
    <x v="10"/>
    <x v="400"/>
    <s v="06:00"/>
    <n v="1.6437999999999999"/>
  </r>
  <r>
    <x v="1"/>
    <x v="10"/>
    <x v="401"/>
    <s v="18:00"/>
    <n v="1.6437999999999999"/>
  </r>
  <r>
    <x v="1"/>
    <x v="10"/>
    <x v="401"/>
    <s v="14:00"/>
    <n v="1.6437999999999999"/>
  </r>
  <r>
    <x v="1"/>
    <x v="10"/>
    <x v="401"/>
    <s v="10:00"/>
    <n v="1.6437999999999999"/>
  </r>
  <r>
    <x v="1"/>
    <x v="10"/>
    <x v="401"/>
    <s v="06:00"/>
    <n v="1.6437999999999999"/>
  </r>
  <r>
    <x v="1"/>
    <x v="10"/>
    <x v="402"/>
    <s v="18:00"/>
    <n v="1.6437999999999999"/>
  </r>
  <r>
    <x v="1"/>
    <x v="10"/>
    <x v="402"/>
    <s v="14:00"/>
    <n v="1.6437999999999999"/>
  </r>
  <r>
    <x v="1"/>
    <x v="10"/>
    <x v="402"/>
    <s v="10:00"/>
    <n v="1.6437999999999999"/>
  </r>
  <r>
    <x v="1"/>
    <x v="10"/>
    <x v="402"/>
    <s v="06:00"/>
    <n v="1.6437999999999999"/>
  </r>
  <r>
    <x v="1"/>
    <x v="10"/>
    <x v="403"/>
    <s v="18:00"/>
    <n v="1.6437999999999999"/>
  </r>
  <r>
    <x v="1"/>
    <x v="10"/>
    <x v="403"/>
    <s v="14:00"/>
    <n v="1.6437999999999999"/>
  </r>
  <r>
    <x v="1"/>
    <x v="10"/>
    <x v="403"/>
    <s v="10:00"/>
    <n v="1.6437999999999999"/>
  </r>
  <r>
    <x v="1"/>
    <x v="10"/>
    <x v="403"/>
    <s v="06:00"/>
    <n v="1.6437999999999999"/>
  </r>
  <r>
    <x v="1"/>
    <x v="10"/>
    <x v="404"/>
    <s v="18:00"/>
    <n v="1.6437999999999999"/>
  </r>
  <r>
    <x v="1"/>
    <x v="10"/>
    <x v="404"/>
    <s v="14:00"/>
    <n v="1.6437999999999999"/>
  </r>
  <r>
    <x v="1"/>
    <x v="10"/>
    <x v="404"/>
    <s v="10:00"/>
    <n v="1.6437999999999999"/>
  </r>
  <r>
    <x v="1"/>
    <x v="10"/>
    <x v="404"/>
    <s v="06:00"/>
    <n v="1.6437999999999999"/>
  </r>
  <r>
    <x v="1"/>
    <x v="10"/>
    <x v="405"/>
    <s v="18:00"/>
    <n v="1.6437999999999999"/>
  </r>
  <r>
    <x v="1"/>
    <x v="10"/>
    <x v="405"/>
    <s v="14:00"/>
    <n v="1.6437999999999999"/>
  </r>
  <r>
    <x v="1"/>
    <x v="10"/>
    <x v="405"/>
    <s v="10:00"/>
    <n v="1.6437999999999999"/>
  </r>
  <r>
    <x v="1"/>
    <x v="10"/>
    <x v="405"/>
    <s v="06:00"/>
    <n v="1.6437999999999999"/>
  </r>
  <r>
    <x v="1"/>
    <x v="10"/>
    <x v="406"/>
    <s v="18:00"/>
    <n v="1.6437999999999999"/>
  </r>
  <r>
    <x v="1"/>
    <x v="10"/>
    <x v="406"/>
    <s v="14:00"/>
    <n v="1.6437999999999999"/>
  </r>
  <r>
    <x v="1"/>
    <x v="10"/>
    <x v="406"/>
    <s v="10:00"/>
    <n v="1.6437999999999999"/>
  </r>
  <r>
    <x v="1"/>
    <x v="10"/>
    <x v="406"/>
    <s v="06:00"/>
    <n v="1.6437999999999999"/>
  </r>
  <r>
    <x v="1"/>
    <x v="10"/>
    <x v="407"/>
    <s v="18:00"/>
    <n v="1.6437999999999999"/>
  </r>
  <r>
    <x v="1"/>
    <x v="10"/>
    <x v="407"/>
    <s v="14:00"/>
    <n v="1.6437999999999999"/>
  </r>
  <r>
    <x v="1"/>
    <x v="10"/>
    <x v="407"/>
    <s v="10:00"/>
    <n v="1.4598"/>
  </r>
  <r>
    <x v="1"/>
    <x v="10"/>
    <x v="407"/>
    <s v="06:00"/>
    <n v="1.4598"/>
  </r>
  <r>
    <x v="1"/>
    <x v="10"/>
    <x v="408"/>
    <s v="18:00"/>
    <n v="1.4598"/>
  </r>
  <r>
    <x v="1"/>
    <x v="10"/>
    <x v="408"/>
    <s v="14:00"/>
    <n v="1.4598"/>
  </r>
  <r>
    <x v="1"/>
    <x v="10"/>
    <x v="408"/>
    <s v="10:00"/>
    <n v="1.4598"/>
  </r>
  <r>
    <x v="1"/>
    <x v="10"/>
    <x v="408"/>
    <s v="06:00"/>
    <n v="1.4598"/>
  </r>
  <r>
    <x v="1"/>
    <x v="10"/>
    <x v="409"/>
    <s v="18:00"/>
    <n v="1.4598"/>
  </r>
  <r>
    <x v="1"/>
    <x v="10"/>
    <x v="409"/>
    <s v="14:00"/>
    <n v="1.4598"/>
  </r>
  <r>
    <x v="1"/>
    <x v="10"/>
    <x v="409"/>
    <s v="10:00"/>
    <n v="1.4598"/>
  </r>
  <r>
    <x v="1"/>
    <x v="10"/>
    <x v="409"/>
    <s v="06:00"/>
    <n v="1.4598"/>
  </r>
  <r>
    <x v="1"/>
    <x v="10"/>
    <x v="410"/>
    <s v="18:00"/>
    <n v="1.4598"/>
  </r>
  <r>
    <x v="1"/>
    <x v="10"/>
    <x v="410"/>
    <s v="14:00"/>
    <n v="1.4598"/>
  </r>
  <r>
    <x v="1"/>
    <x v="10"/>
    <x v="410"/>
    <s v="10:00"/>
    <n v="1.4598"/>
  </r>
  <r>
    <x v="1"/>
    <x v="10"/>
    <x v="410"/>
    <s v="06:00"/>
    <n v="1.4598"/>
  </r>
  <r>
    <x v="1"/>
    <x v="10"/>
    <x v="411"/>
    <s v="18:00"/>
    <n v="1.4598"/>
  </r>
  <r>
    <x v="1"/>
    <x v="10"/>
    <x v="411"/>
    <s v="14:00"/>
    <n v="1.4598"/>
  </r>
  <r>
    <x v="1"/>
    <x v="10"/>
    <x v="411"/>
    <s v="10:00"/>
    <n v="1.4598"/>
  </r>
  <r>
    <x v="1"/>
    <x v="10"/>
    <x v="411"/>
    <s v="06:00"/>
    <n v="1.4598"/>
  </r>
  <r>
    <x v="1"/>
    <x v="10"/>
    <x v="412"/>
    <s v="18:00"/>
    <n v="1.4598"/>
  </r>
  <r>
    <x v="1"/>
    <x v="10"/>
    <x v="412"/>
    <s v="14:00"/>
    <n v="1.4598"/>
  </r>
  <r>
    <x v="1"/>
    <x v="10"/>
    <x v="412"/>
    <s v="10:00"/>
    <n v="1.4598"/>
  </r>
  <r>
    <x v="1"/>
    <x v="10"/>
    <x v="412"/>
    <s v="06:00"/>
    <n v="1.4598"/>
  </r>
  <r>
    <x v="1"/>
    <x v="10"/>
    <x v="413"/>
    <s v="18:00"/>
    <n v="1.4598"/>
  </r>
  <r>
    <x v="1"/>
    <x v="10"/>
    <x v="413"/>
    <s v="14:00"/>
    <n v="1.4598"/>
  </r>
  <r>
    <x v="1"/>
    <x v="10"/>
    <x v="413"/>
    <s v="10:00"/>
    <n v="1.4598"/>
  </r>
  <r>
    <x v="1"/>
    <x v="10"/>
    <x v="413"/>
    <s v="06:00"/>
    <n v="1.4598"/>
  </r>
  <r>
    <x v="1"/>
    <x v="10"/>
    <x v="414"/>
    <s v="18:00"/>
    <n v="1.4598"/>
  </r>
  <r>
    <x v="1"/>
    <x v="10"/>
    <x v="414"/>
    <s v="14:00"/>
    <n v="1.4598"/>
  </r>
  <r>
    <x v="1"/>
    <x v="10"/>
    <x v="414"/>
    <s v="10:00"/>
    <n v="1.4598"/>
  </r>
  <r>
    <x v="1"/>
    <x v="10"/>
    <x v="414"/>
    <s v="06:00"/>
    <n v="1.4598"/>
  </r>
  <r>
    <x v="1"/>
    <x v="10"/>
    <x v="415"/>
    <s v="18:00"/>
    <n v="1.4598"/>
  </r>
  <r>
    <x v="1"/>
    <x v="10"/>
    <x v="415"/>
    <s v="14:00"/>
    <n v="1.4598"/>
  </r>
  <r>
    <x v="1"/>
    <x v="10"/>
    <x v="415"/>
    <s v="10:00"/>
    <n v="1.4598"/>
  </r>
  <r>
    <x v="1"/>
    <x v="10"/>
    <x v="415"/>
    <s v="06:00"/>
    <n v="1.4598"/>
  </r>
  <r>
    <x v="1"/>
    <x v="10"/>
    <x v="416"/>
    <s v="18:00"/>
    <n v="1.4598"/>
  </r>
  <r>
    <x v="1"/>
    <x v="10"/>
    <x v="416"/>
    <s v="14:00"/>
    <n v="1.4598"/>
  </r>
  <r>
    <x v="1"/>
    <x v="10"/>
    <x v="416"/>
    <s v="10:00"/>
    <n v="1.4598"/>
  </r>
  <r>
    <x v="1"/>
    <x v="10"/>
    <x v="416"/>
    <s v="06:00"/>
    <n v="1.4598"/>
  </r>
  <r>
    <x v="1"/>
    <x v="10"/>
    <x v="417"/>
    <s v="18:00"/>
    <n v="1.4598"/>
  </r>
  <r>
    <x v="1"/>
    <x v="10"/>
    <x v="417"/>
    <s v="14:00"/>
    <n v="1.4598"/>
  </r>
  <r>
    <x v="1"/>
    <x v="10"/>
    <x v="417"/>
    <s v="10:00"/>
    <n v="1.4598"/>
  </r>
  <r>
    <x v="1"/>
    <x v="10"/>
    <x v="417"/>
    <s v="06:00"/>
    <n v="1.4598"/>
  </r>
  <r>
    <x v="1"/>
    <x v="10"/>
    <x v="418"/>
    <s v="18:00"/>
    <n v="1.4598"/>
  </r>
  <r>
    <x v="1"/>
    <x v="10"/>
    <x v="418"/>
    <s v="14:00"/>
    <n v="1.4598"/>
  </r>
  <r>
    <x v="1"/>
    <x v="10"/>
    <x v="418"/>
    <s v="10:00"/>
    <n v="1.4598"/>
  </r>
  <r>
    <x v="1"/>
    <x v="10"/>
    <x v="418"/>
    <s v="06:00"/>
    <n v="1.4598"/>
  </r>
  <r>
    <x v="1"/>
    <x v="10"/>
    <x v="419"/>
    <s v="18:00"/>
    <n v="1.4598"/>
  </r>
  <r>
    <x v="1"/>
    <x v="10"/>
    <x v="419"/>
    <s v="14:00"/>
    <n v="1.4598"/>
  </r>
  <r>
    <x v="1"/>
    <x v="10"/>
    <x v="419"/>
    <s v="10:00"/>
    <n v="1.4598"/>
  </r>
  <r>
    <x v="1"/>
    <x v="10"/>
    <x v="419"/>
    <s v="06:00"/>
    <n v="1.4598"/>
  </r>
  <r>
    <x v="1"/>
    <x v="10"/>
    <x v="420"/>
    <s v="18:00"/>
    <n v="1.4598"/>
  </r>
  <r>
    <x v="1"/>
    <x v="10"/>
    <x v="420"/>
    <s v="14:00"/>
    <n v="1.4598"/>
  </r>
  <r>
    <x v="1"/>
    <x v="10"/>
    <x v="420"/>
    <s v="10:00"/>
    <n v="1.4598"/>
  </r>
  <r>
    <x v="1"/>
    <x v="10"/>
    <x v="420"/>
    <s v="06:00"/>
    <n v="1.4598"/>
  </r>
  <r>
    <x v="1"/>
    <x v="10"/>
    <x v="421"/>
    <s v="18:00"/>
    <n v="1.2864"/>
  </r>
  <r>
    <x v="1"/>
    <x v="10"/>
    <x v="421"/>
    <s v="14:00"/>
    <n v="1.2864"/>
  </r>
  <r>
    <x v="1"/>
    <x v="10"/>
    <x v="421"/>
    <s v="10:00"/>
    <n v="1.2864"/>
  </r>
  <r>
    <x v="1"/>
    <x v="10"/>
    <x v="421"/>
    <s v="06:00"/>
    <n v="1.2864"/>
  </r>
  <r>
    <x v="1"/>
    <x v="10"/>
    <x v="422"/>
    <s v="18:00"/>
    <n v="1.2864"/>
  </r>
  <r>
    <x v="1"/>
    <x v="10"/>
    <x v="422"/>
    <s v="14:00"/>
    <n v="1.2864"/>
  </r>
  <r>
    <x v="1"/>
    <x v="10"/>
    <x v="422"/>
    <s v="10:00"/>
    <n v="1.2864"/>
  </r>
  <r>
    <x v="1"/>
    <x v="10"/>
    <x v="422"/>
    <s v="06:00"/>
    <n v="1.2864"/>
  </r>
  <r>
    <x v="1"/>
    <x v="11"/>
    <x v="423"/>
    <s v="18:00"/>
    <n v="1.2864"/>
  </r>
  <r>
    <x v="1"/>
    <x v="11"/>
    <x v="423"/>
    <s v="14:00"/>
    <n v="1.2864"/>
  </r>
  <r>
    <x v="1"/>
    <x v="11"/>
    <x v="423"/>
    <s v="10:00"/>
    <n v="1.2864"/>
  </r>
  <r>
    <x v="1"/>
    <x v="11"/>
    <x v="423"/>
    <s v="06:00"/>
    <n v="1.2864"/>
  </r>
  <r>
    <x v="1"/>
    <x v="11"/>
    <x v="424"/>
    <s v="18:00"/>
    <n v="1.2864"/>
  </r>
  <r>
    <x v="1"/>
    <x v="11"/>
    <x v="424"/>
    <s v="14:00"/>
    <n v="1.2864"/>
  </r>
  <r>
    <x v="1"/>
    <x v="11"/>
    <x v="424"/>
    <s v="10:00"/>
    <n v="1.2864"/>
  </r>
  <r>
    <x v="1"/>
    <x v="11"/>
    <x v="424"/>
    <s v="06:00"/>
    <n v="1.2864"/>
  </r>
  <r>
    <x v="1"/>
    <x v="11"/>
    <x v="425"/>
    <s v="18:00"/>
    <n v="1.2864"/>
  </r>
  <r>
    <x v="1"/>
    <x v="11"/>
    <x v="425"/>
    <s v="14:00"/>
    <n v="1.2864"/>
  </r>
  <r>
    <x v="1"/>
    <x v="11"/>
    <x v="425"/>
    <s v="10:00"/>
    <n v="1.2864"/>
  </r>
  <r>
    <x v="1"/>
    <x v="11"/>
    <x v="425"/>
    <s v="06:00"/>
    <n v="1.2864"/>
  </r>
  <r>
    <x v="1"/>
    <x v="11"/>
    <x v="426"/>
    <s v="18:00"/>
    <n v="1.1234"/>
  </r>
  <r>
    <x v="1"/>
    <x v="11"/>
    <x v="426"/>
    <s v="14:00"/>
    <n v="1.1234"/>
  </r>
  <r>
    <x v="1"/>
    <x v="11"/>
    <x v="426"/>
    <s v="10:00"/>
    <n v="1.1234"/>
  </r>
  <r>
    <x v="1"/>
    <x v="11"/>
    <x v="426"/>
    <s v="06:00"/>
    <n v="1.1234"/>
  </r>
  <r>
    <x v="1"/>
    <x v="11"/>
    <x v="427"/>
    <s v="18:00"/>
    <n v="1.1234"/>
  </r>
  <r>
    <x v="1"/>
    <x v="11"/>
    <x v="427"/>
    <s v="14:00"/>
    <n v="1.1234"/>
  </r>
  <r>
    <x v="1"/>
    <x v="11"/>
    <x v="427"/>
    <s v="10:00"/>
    <n v="1.1234"/>
  </r>
  <r>
    <x v="1"/>
    <x v="11"/>
    <x v="427"/>
    <s v="06:00"/>
    <n v="1.1234"/>
  </r>
  <r>
    <x v="1"/>
    <x v="11"/>
    <x v="428"/>
    <s v="18:00"/>
    <n v="1.1234"/>
  </r>
  <r>
    <x v="1"/>
    <x v="11"/>
    <x v="428"/>
    <s v="14:00"/>
    <n v="1.1234"/>
  </r>
  <r>
    <x v="1"/>
    <x v="11"/>
    <x v="428"/>
    <s v="10:00"/>
    <n v="1.1234"/>
  </r>
  <r>
    <x v="1"/>
    <x v="11"/>
    <x v="428"/>
    <s v="06:00"/>
    <n v="1.1234"/>
  </r>
  <r>
    <x v="1"/>
    <x v="11"/>
    <x v="429"/>
    <s v="18:00"/>
    <n v="1.1234"/>
  </r>
  <r>
    <x v="1"/>
    <x v="11"/>
    <x v="429"/>
    <s v="14:00"/>
    <n v="1.1234"/>
  </r>
  <r>
    <x v="1"/>
    <x v="11"/>
    <x v="429"/>
    <s v="10:00"/>
    <n v="1.1234"/>
  </r>
  <r>
    <x v="1"/>
    <x v="11"/>
    <x v="429"/>
    <s v="06:00"/>
    <n v="1.1234"/>
  </r>
  <r>
    <x v="1"/>
    <x v="11"/>
    <x v="430"/>
    <s v="18:00"/>
    <n v="1.1234"/>
  </r>
  <r>
    <x v="1"/>
    <x v="11"/>
    <x v="430"/>
    <s v="14:00"/>
    <n v="1.1234"/>
  </r>
  <r>
    <x v="1"/>
    <x v="11"/>
    <x v="430"/>
    <s v="10:00"/>
    <n v="1.1234"/>
  </r>
  <r>
    <x v="1"/>
    <x v="11"/>
    <x v="430"/>
    <s v="06:00"/>
    <n v="1.1234"/>
  </r>
  <r>
    <x v="1"/>
    <x v="11"/>
    <x v="431"/>
    <s v="18:00"/>
    <n v="1.1234"/>
  </r>
  <r>
    <x v="1"/>
    <x v="11"/>
    <x v="431"/>
    <s v="14:00"/>
    <n v="1.1234"/>
  </r>
  <r>
    <x v="1"/>
    <x v="11"/>
    <x v="431"/>
    <s v="10:00"/>
    <n v="1.1234"/>
  </r>
  <r>
    <x v="1"/>
    <x v="11"/>
    <x v="431"/>
    <s v="06:00"/>
    <n v="1.1234"/>
  </r>
  <r>
    <x v="1"/>
    <x v="11"/>
    <x v="432"/>
    <s v="18:00"/>
    <n v="1.1234"/>
  </r>
  <r>
    <x v="1"/>
    <x v="11"/>
    <x v="432"/>
    <s v="14:00"/>
    <n v="1.1234"/>
  </r>
  <r>
    <x v="1"/>
    <x v="11"/>
    <x v="432"/>
    <s v="10:00"/>
    <n v="1.1234"/>
  </r>
  <r>
    <x v="1"/>
    <x v="11"/>
    <x v="432"/>
    <s v="06:00"/>
    <n v="1.1234"/>
  </r>
  <r>
    <x v="1"/>
    <x v="11"/>
    <x v="433"/>
    <s v="18:00"/>
    <n v="1.1234"/>
  </r>
  <r>
    <x v="1"/>
    <x v="11"/>
    <x v="433"/>
    <s v="14:00"/>
    <n v="1.1234"/>
  </r>
  <r>
    <x v="1"/>
    <x v="11"/>
    <x v="433"/>
    <s v="10:00"/>
    <n v="1.1234"/>
  </r>
  <r>
    <x v="1"/>
    <x v="11"/>
    <x v="433"/>
    <s v="06:00"/>
    <n v="1.1234"/>
  </r>
  <r>
    <x v="1"/>
    <x v="11"/>
    <x v="434"/>
    <s v="10:00"/>
    <n v="1.1234"/>
  </r>
  <r>
    <x v="1"/>
    <x v="11"/>
    <x v="434"/>
    <s v="06:00"/>
    <n v="1.1234"/>
  </r>
  <r>
    <x v="1"/>
    <x v="11"/>
    <x v="435"/>
    <s v="18:00"/>
    <n v="1.1234"/>
  </r>
  <r>
    <x v="1"/>
    <x v="11"/>
    <x v="435"/>
    <s v="14:00"/>
    <n v="1.1234"/>
  </r>
  <r>
    <x v="1"/>
    <x v="11"/>
    <x v="435"/>
    <s v="10:00"/>
    <n v="1.1234"/>
  </r>
  <r>
    <x v="1"/>
    <x v="11"/>
    <x v="435"/>
    <s v="06:00"/>
    <n v="1.1234"/>
  </r>
  <r>
    <x v="1"/>
    <x v="11"/>
    <x v="436"/>
    <s v="18:00"/>
    <n v="1.1234"/>
  </r>
  <r>
    <x v="1"/>
    <x v="11"/>
    <x v="436"/>
    <s v="14:00"/>
    <n v="1.1234"/>
  </r>
  <r>
    <x v="1"/>
    <x v="11"/>
    <x v="436"/>
    <s v="10:00"/>
    <n v="1.1234"/>
  </r>
  <r>
    <x v="1"/>
    <x v="11"/>
    <x v="436"/>
    <s v="06:00"/>
    <n v="1.1234"/>
  </r>
  <r>
    <x v="1"/>
    <x v="11"/>
    <x v="437"/>
    <s v="18:00"/>
    <n v="0.97109999999999996"/>
  </r>
  <r>
    <x v="1"/>
    <x v="11"/>
    <x v="437"/>
    <s v="14:00"/>
    <n v="0.97109999999999996"/>
  </r>
  <r>
    <x v="1"/>
    <x v="11"/>
    <x v="437"/>
    <s v="10:00"/>
    <n v="0.97109999999999996"/>
  </r>
  <r>
    <x v="1"/>
    <x v="11"/>
    <x v="437"/>
    <s v="06:00"/>
    <n v="1.1234"/>
  </r>
  <r>
    <x v="1"/>
    <x v="11"/>
    <x v="438"/>
    <s v="18:00"/>
    <n v="0.97109999999999996"/>
  </r>
  <r>
    <x v="1"/>
    <x v="11"/>
    <x v="438"/>
    <s v="14:00"/>
    <n v="0.97109999999999996"/>
  </r>
  <r>
    <x v="1"/>
    <x v="11"/>
    <x v="438"/>
    <s v="10:00"/>
    <n v="0.97109999999999996"/>
  </r>
  <r>
    <x v="1"/>
    <x v="11"/>
    <x v="438"/>
    <s v="06:00"/>
    <n v="0.97109999999999996"/>
  </r>
  <r>
    <x v="1"/>
    <x v="11"/>
    <x v="439"/>
    <s v="18:00"/>
    <n v="0.97109999999999996"/>
  </r>
  <r>
    <x v="1"/>
    <x v="11"/>
    <x v="439"/>
    <s v="14:00"/>
    <n v="0.97109999999999996"/>
  </r>
  <r>
    <x v="1"/>
    <x v="11"/>
    <x v="439"/>
    <s v="10:00"/>
    <n v="0.97109999999999996"/>
  </r>
  <r>
    <x v="1"/>
    <x v="11"/>
    <x v="439"/>
    <s v="06:00"/>
    <n v="0.97109999999999996"/>
  </r>
  <r>
    <x v="1"/>
    <x v="11"/>
    <x v="440"/>
    <s v="18:00"/>
    <n v="0.97109999999999996"/>
  </r>
  <r>
    <x v="1"/>
    <x v="11"/>
    <x v="440"/>
    <s v="14:00"/>
    <n v="0.97109999999999996"/>
  </r>
  <r>
    <x v="1"/>
    <x v="11"/>
    <x v="440"/>
    <s v="10:00"/>
    <n v="0.97109999999999996"/>
  </r>
  <r>
    <x v="1"/>
    <x v="11"/>
    <x v="440"/>
    <s v="06:00"/>
    <n v="0.97109999999999996"/>
  </r>
  <r>
    <x v="1"/>
    <x v="11"/>
    <x v="441"/>
    <s v="18:00"/>
    <n v="0.97109999999999996"/>
  </r>
  <r>
    <x v="1"/>
    <x v="11"/>
    <x v="441"/>
    <s v="14:00"/>
    <n v="0.97109999999999996"/>
  </r>
  <r>
    <x v="1"/>
    <x v="11"/>
    <x v="441"/>
    <s v="10:00"/>
    <n v="0.97109999999999996"/>
  </r>
  <r>
    <x v="1"/>
    <x v="11"/>
    <x v="441"/>
    <s v="06:00"/>
    <n v="0.97109999999999996"/>
  </r>
  <r>
    <x v="1"/>
    <x v="11"/>
    <x v="442"/>
    <s v="18:00"/>
    <n v="0.97109999999999996"/>
  </r>
  <r>
    <x v="1"/>
    <x v="11"/>
    <x v="442"/>
    <s v="14:00"/>
    <n v="0.97109999999999996"/>
  </r>
  <r>
    <x v="1"/>
    <x v="11"/>
    <x v="442"/>
    <s v="10:00"/>
    <n v="0.97109999999999996"/>
  </r>
  <r>
    <x v="1"/>
    <x v="11"/>
    <x v="442"/>
    <s v="06:00"/>
    <n v="0.97109999999999996"/>
  </r>
  <r>
    <x v="1"/>
    <x v="11"/>
    <x v="443"/>
    <s v="18:00"/>
    <n v="0.97109999999999996"/>
  </r>
  <r>
    <x v="1"/>
    <x v="11"/>
    <x v="443"/>
    <s v="14:00"/>
    <n v="0.97109999999999996"/>
  </r>
  <r>
    <x v="1"/>
    <x v="11"/>
    <x v="443"/>
    <s v="10:00"/>
    <n v="0.97109999999999996"/>
  </r>
  <r>
    <x v="1"/>
    <x v="11"/>
    <x v="443"/>
    <s v="06:00"/>
    <n v="0.97109999999999996"/>
  </r>
  <r>
    <x v="1"/>
    <x v="11"/>
    <x v="444"/>
    <s v="18:00"/>
    <n v="0.97109999999999996"/>
  </r>
  <r>
    <x v="1"/>
    <x v="11"/>
    <x v="444"/>
    <s v="14:00"/>
    <n v="0.97109999999999996"/>
  </r>
  <r>
    <x v="1"/>
    <x v="11"/>
    <x v="444"/>
    <s v="10:00"/>
    <n v="0.97109999999999996"/>
  </r>
  <r>
    <x v="1"/>
    <x v="11"/>
    <x v="444"/>
    <s v="06:00"/>
    <n v="0.97109999999999996"/>
  </r>
  <r>
    <x v="1"/>
    <x v="11"/>
    <x v="445"/>
    <s v="18:00"/>
    <n v="0.97109999999999996"/>
  </r>
  <r>
    <x v="1"/>
    <x v="11"/>
    <x v="445"/>
    <s v="14:00"/>
    <n v="0.97109999999999996"/>
  </r>
  <r>
    <x v="1"/>
    <x v="11"/>
    <x v="445"/>
    <s v="10:00"/>
    <n v="0.97109999999999996"/>
  </r>
  <r>
    <x v="1"/>
    <x v="11"/>
    <x v="445"/>
    <s v="06:00"/>
    <n v="0.97109999999999996"/>
  </r>
  <r>
    <x v="1"/>
    <x v="11"/>
    <x v="446"/>
    <s v="18:00"/>
    <n v="0.97109999999999996"/>
  </r>
  <r>
    <x v="1"/>
    <x v="11"/>
    <x v="446"/>
    <s v="14:00"/>
    <n v="0.97109999999999996"/>
  </r>
  <r>
    <x v="1"/>
    <x v="11"/>
    <x v="446"/>
    <s v="10:00"/>
    <n v="0.97109999999999996"/>
  </r>
  <r>
    <x v="1"/>
    <x v="11"/>
    <x v="446"/>
    <s v="06:00"/>
    <n v="0.97109999999999996"/>
  </r>
  <r>
    <x v="1"/>
    <x v="11"/>
    <x v="447"/>
    <s v="18:00"/>
    <n v="0.97109999999999996"/>
  </r>
  <r>
    <x v="1"/>
    <x v="11"/>
    <x v="447"/>
    <s v="14:00"/>
    <n v="0.82920000000000005"/>
  </r>
  <r>
    <x v="1"/>
    <x v="11"/>
    <x v="447"/>
    <s v="10:00"/>
    <n v="0.82920000000000005"/>
  </r>
  <r>
    <x v="1"/>
    <x v="11"/>
    <x v="447"/>
    <s v="06:00"/>
    <n v="0.82920000000000005"/>
  </r>
  <r>
    <x v="1"/>
    <x v="11"/>
    <x v="448"/>
    <s v="18:00"/>
    <n v="0.82920000000000005"/>
  </r>
  <r>
    <x v="1"/>
    <x v="11"/>
    <x v="448"/>
    <s v="14:00"/>
    <n v="0.82920000000000005"/>
  </r>
  <r>
    <x v="1"/>
    <x v="11"/>
    <x v="448"/>
    <s v="10:00"/>
    <n v="0.82920000000000005"/>
  </r>
  <r>
    <x v="1"/>
    <x v="11"/>
    <x v="448"/>
    <s v="06:00"/>
    <n v="0.82920000000000005"/>
  </r>
  <r>
    <x v="1"/>
    <x v="11"/>
    <x v="449"/>
    <s v="18:00"/>
    <n v="0.82920000000000005"/>
  </r>
  <r>
    <x v="1"/>
    <x v="11"/>
    <x v="449"/>
    <s v="14:00"/>
    <n v="0.82920000000000005"/>
  </r>
  <r>
    <x v="1"/>
    <x v="11"/>
    <x v="449"/>
    <s v="10:00"/>
    <n v="0.82920000000000005"/>
  </r>
  <r>
    <x v="1"/>
    <x v="11"/>
    <x v="449"/>
    <s v="06:00"/>
    <n v="0.82920000000000005"/>
  </r>
  <r>
    <x v="1"/>
    <x v="11"/>
    <x v="450"/>
    <s v="18:00"/>
    <n v="0.82920000000000005"/>
  </r>
  <r>
    <x v="1"/>
    <x v="11"/>
    <x v="450"/>
    <s v="14:00"/>
    <n v="0.82920000000000005"/>
  </r>
  <r>
    <x v="1"/>
    <x v="11"/>
    <x v="450"/>
    <s v="10:00"/>
    <n v="0.82920000000000005"/>
  </r>
  <r>
    <x v="1"/>
    <x v="11"/>
    <x v="450"/>
    <s v="06:00"/>
    <n v="0.82920000000000005"/>
  </r>
  <r>
    <x v="1"/>
    <x v="11"/>
    <x v="451"/>
    <s v="18:00"/>
    <n v="0.82920000000000005"/>
  </r>
  <r>
    <x v="1"/>
    <x v="11"/>
    <x v="451"/>
    <s v="14:00"/>
    <n v="0.82920000000000005"/>
  </r>
  <r>
    <x v="1"/>
    <x v="11"/>
    <x v="451"/>
    <s v="10:00"/>
    <n v="0.82920000000000005"/>
  </r>
  <r>
    <x v="1"/>
    <x v="11"/>
    <x v="451"/>
    <s v="06:00"/>
    <n v="0.82920000000000005"/>
  </r>
  <r>
    <x v="1"/>
    <x v="11"/>
    <x v="452"/>
    <s v="18:00"/>
    <n v="0.82920000000000005"/>
  </r>
  <r>
    <x v="1"/>
    <x v="11"/>
    <x v="452"/>
    <s v="14:00"/>
    <n v="0.82920000000000005"/>
  </r>
  <r>
    <x v="1"/>
    <x v="11"/>
    <x v="452"/>
    <s v="10:00"/>
    <n v="0.82920000000000005"/>
  </r>
  <r>
    <x v="1"/>
    <x v="11"/>
    <x v="452"/>
    <s v="06:00"/>
    <n v="0.82920000000000005"/>
  </r>
  <r>
    <x v="1"/>
    <x v="4"/>
    <x v="453"/>
    <s v="18:00"/>
    <n v="0.82920000000000005"/>
  </r>
  <r>
    <x v="1"/>
    <x v="4"/>
    <x v="453"/>
    <s v="14:00"/>
    <n v="0.82920000000000005"/>
  </r>
  <r>
    <x v="1"/>
    <x v="4"/>
    <x v="453"/>
    <s v="10:00"/>
    <n v="0.82920000000000005"/>
  </r>
  <r>
    <x v="1"/>
    <x v="4"/>
    <x v="453"/>
    <s v="06:00"/>
    <n v="0.82920000000000005"/>
  </r>
  <r>
    <x v="1"/>
    <x v="4"/>
    <x v="454"/>
    <s v="18:00"/>
    <n v="0.82920000000000005"/>
  </r>
  <r>
    <x v="1"/>
    <x v="4"/>
    <x v="454"/>
    <s v="14:00"/>
    <n v="0.82920000000000005"/>
  </r>
  <r>
    <x v="1"/>
    <x v="4"/>
    <x v="454"/>
    <s v="10:00"/>
    <n v="0.82920000000000005"/>
  </r>
  <r>
    <x v="1"/>
    <x v="4"/>
    <x v="454"/>
    <s v="06:00"/>
    <n v="0.82920000000000005"/>
  </r>
  <r>
    <x v="1"/>
    <x v="4"/>
    <x v="455"/>
    <s v="18:00"/>
    <n v="2.0432999999999999"/>
  </r>
  <r>
    <x v="1"/>
    <x v="4"/>
    <x v="455"/>
    <s v="14:00"/>
    <n v="2.0432999999999999"/>
  </r>
  <r>
    <x v="1"/>
    <x v="4"/>
    <x v="455"/>
    <s v="10:00"/>
    <n v="2.0432999999999999"/>
  </r>
  <r>
    <x v="1"/>
    <x v="4"/>
    <x v="455"/>
    <s v="06:00"/>
    <n v="2.0432999999999999"/>
  </r>
  <r>
    <x v="1"/>
    <x v="4"/>
    <x v="456"/>
    <s v="18:00"/>
    <n v="1.2864"/>
  </r>
  <r>
    <x v="1"/>
    <x v="4"/>
    <x v="456"/>
    <s v="14:00"/>
    <n v="1.2864"/>
  </r>
  <r>
    <x v="1"/>
    <x v="4"/>
    <x v="456"/>
    <s v="10:00"/>
    <n v="1.2864"/>
  </r>
  <r>
    <x v="1"/>
    <x v="4"/>
    <x v="456"/>
    <s v="06:00"/>
    <n v="1.2864"/>
  </r>
  <r>
    <x v="1"/>
    <x v="4"/>
    <x v="457"/>
    <s v="18:00"/>
    <n v="1.2864"/>
  </r>
  <r>
    <x v="1"/>
    <x v="4"/>
    <x v="457"/>
    <s v="14:00"/>
    <n v="1.2864"/>
  </r>
  <r>
    <x v="1"/>
    <x v="4"/>
    <x v="457"/>
    <s v="10:00"/>
    <n v="1.2864"/>
  </r>
  <r>
    <x v="1"/>
    <x v="4"/>
    <x v="457"/>
    <s v="06:00"/>
    <n v="1.2864"/>
  </r>
  <r>
    <x v="1"/>
    <x v="4"/>
    <x v="458"/>
    <s v="14:00"/>
    <n v="1.2864"/>
  </r>
  <r>
    <x v="1"/>
    <x v="4"/>
    <x v="458"/>
    <s v="10:00"/>
    <n v="1.2864"/>
  </r>
  <r>
    <x v="1"/>
    <x v="4"/>
    <x v="458"/>
    <s v="06:00"/>
    <n v="1.2864"/>
  </r>
  <r>
    <x v="1"/>
    <x v="4"/>
    <x v="459"/>
    <s v="18:00"/>
    <n v="1.2864"/>
  </r>
  <r>
    <x v="1"/>
    <x v="4"/>
    <x v="459"/>
    <s v="14:00"/>
    <n v="1.2864"/>
  </r>
  <r>
    <x v="1"/>
    <x v="4"/>
    <x v="459"/>
    <s v="10:00"/>
    <n v="1.2864"/>
  </r>
  <r>
    <x v="1"/>
    <x v="4"/>
    <x v="460"/>
    <s v="18:00"/>
    <n v="1.2864"/>
  </r>
  <r>
    <x v="1"/>
    <x v="4"/>
    <x v="460"/>
    <s v="14:00"/>
    <n v="1.2864"/>
  </r>
  <r>
    <x v="1"/>
    <x v="4"/>
    <x v="460"/>
    <s v="10:00"/>
    <n v="1.2864"/>
  </r>
  <r>
    <x v="1"/>
    <x v="4"/>
    <x v="460"/>
    <s v="06:00"/>
    <n v="1.2864"/>
  </r>
  <r>
    <x v="1"/>
    <x v="4"/>
    <x v="461"/>
    <s v="18:00"/>
    <n v="1.2864"/>
  </r>
  <r>
    <x v="1"/>
    <x v="4"/>
    <x v="461"/>
    <s v="14:00"/>
    <n v="1.2864"/>
  </r>
  <r>
    <x v="1"/>
    <x v="4"/>
    <x v="461"/>
    <s v="10:00"/>
    <n v="1.2864"/>
  </r>
  <r>
    <x v="1"/>
    <x v="4"/>
    <x v="461"/>
    <s v="06:00"/>
    <n v="1.2864"/>
  </r>
  <r>
    <x v="1"/>
    <x v="4"/>
    <x v="462"/>
    <s v="18:00"/>
    <n v="1.2864"/>
  </r>
  <r>
    <x v="1"/>
    <x v="4"/>
    <x v="462"/>
    <s v="14:00"/>
    <n v="1.2864"/>
  </r>
  <r>
    <x v="1"/>
    <x v="4"/>
    <x v="462"/>
    <s v="10:00"/>
    <n v="1.2864"/>
  </r>
  <r>
    <x v="1"/>
    <x v="4"/>
    <x v="462"/>
    <s v="06:00"/>
    <n v="1.2864"/>
  </r>
  <r>
    <x v="1"/>
    <x v="4"/>
    <x v="463"/>
    <s v="18:00"/>
    <n v="1.2864"/>
  </r>
  <r>
    <x v="1"/>
    <x v="4"/>
    <x v="463"/>
    <s v="14:00"/>
    <n v="1.2864"/>
  </r>
  <r>
    <x v="1"/>
    <x v="4"/>
    <x v="463"/>
    <s v="10:00"/>
    <n v="1.2864"/>
  </r>
  <r>
    <x v="1"/>
    <x v="4"/>
    <x v="463"/>
    <s v="06:00"/>
    <n v="1.2864"/>
  </r>
  <r>
    <x v="1"/>
    <x v="4"/>
    <x v="464"/>
    <s v="18:00"/>
    <n v="1.2864"/>
  </r>
  <r>
    <x v="1"/>
    <x v="4"/>
    <x v="464"/>
    <s v="14:00"/>
    <n v="1.2864"/>
  </r>
  <r>
    <x v="1"/>
    <x v="4"/>
    <x v="464"/>
    <s v="10:00"/>
    <n v="1.2864"/>
  </r>
  <r>
    <x v="1"/>
    <x v="4"/>
    <x v="464"/>
    <s v="06:00"/>
    <n v="1.2864"/>
  </r>
  <r>
    <x v="1"/>
    <x v="4"/>
    <x v="465"/>
    <s v="18:00"/>
    <n v="1.2864"/>
  </r>
  <r>
    <x v="1"/>
    <x v="4"/>
    <x v="465"/>
    <s v="14:00"/>
    <n v="1.2864"/>
  </r>
  <r>
    <x v="1"/>
    <x v="4"/>
    <x v="465"/>
    <s v="10:00"/>
    <n v="1.2864"/>
  </r>
  <r>
    <x v="1"/>
    <x v="4"/>
    <x v="465"/>
    <s v="06:00"/>
    <n v="1.2864"/>
  </r>
  <r>
    <x v="1"/>
    <x v="4"/>
    <x v="466"/>
    <s v="18:00"/>
    <n v="1.2864"/>
  </r>
  <r>
    <x v="1"/>
    <x v="4"/>
    <x v="466"/>
    <s v="14:00"/>
    <n v="1.2864"/>
  </r>
  <r>
    <x v="1"/>
    <x v="4"/>
    <x v="466"/>
    <s v="10:00"/>
    <n v="1.2864"/>
  </r>
  <r>
    <x v="1"/>
    <x v="4"/>
    <x v="466"/>
    <s v="06:00"/>
    <n v="1.2864"/>
  </r>
  <r>
    <x v="1"/>
    <x v="4"/>
    <x v="467"/>
    <s v="18:00"/>
    <n v="1.2864"/>
  </r>
  <r>
    <x v="1"/>
    <x v="4"/>
    <x v="467"/>
    <s v="14:00"/>
    <n v="1.2864"/>
  </r>
  <r>
    <x v="1"/>
    <x v="4"/>
    <x v="467"/>
    <s v="10:00"/>
    <n v="1.2864"/>
  </r>
  <r>
    <x v="1"/>
    <x v="4"/>
    <x v="467"/>
    <s v="06:00"/>
    <n v="1.2864"/>
  </r>
  <r>
    <x v="1"/>
    <x v="4"/>
    <x v="468"/>
    <s v="18:00"/>
    <n v="1.2864"/>
  </r>
  <r>
    <x v="1"/>
    <x v="4"/>
    <x v="468"/>
    <s v="14:00"/>
    <n v="1.2864"/>
  </r>
  <r>
    <x v="1"/>
    <x v="4"/>
    <x v="468"/>
    <s v="10:00"/>
    <n v="1.2864"/>
  </r>
  <r>
    <x v="1"/>
    <x v="4"/>
    <x v="468"/>
    <s v="06:00"/>
    <n v="1.2864"/>
  </r>
  <r>
    <x v="1"/>
    <x v="4"/>
    <x v="469"/>
    <s v="18:00"/>
    <n v="1.2864"/>
  </r>
  <r>
    <x v="1"/>
    <x v="4"/>
    <x v="469"/>
    <s v="14:00"/>
    <n v="1.2864"/>
  </r>
  <r>
    <x v="1"/>
    <x v="4"/>
    <x v="469"/>
    <s v="10:00"/>
    <n v="1.2864"/>
  </r>
  <r>
    <x v="1"/>
    <x v="4"/>
    <x v="469"/>
    <s v="06:00"/>
    <n v="1.2864"/>
  </r>
  <r>
    <x v="1"/>
    <x v="4"/>
    <x v="470"/>
    <s v="18:00"/>
    <n v="2.0432999999999999"/>
  </r>
  <r>
    <x v="1"/>
    <x v="4"/>
    <x v="470"/>
    <s v="14:00"/>
    <n v="2.0432999999999999"/>
  </r>
  <r>
    <x v="1"/>
    <x v="4"/>
    <x v="470"/>
    <s v="10:00"/>
    <n v="2.0432999999999999"/>
  </r>
  <r>
    <x v="1"/>
    <x v="4"/>
    <x v="470"/>
    <s v="06:00"/>
    <n v="2.0432999999999999"/>
  </r>
  <r>
    <x v="1"/>
    <x v="4"/>
    <x v="471"/>
    <s v="14:00"/>
    <n v="2.6019000000000001"/>
  </r>
  <r>
    <x v="1"/>
    <x v="4"/>
    <x v="471"/>
    <s v="10:00"/>
    <n v="2.6019000000000001"/>
  </r>
  <r>
    <x v="1"/>
    <x v="4"/>
    <x v="471"/>
    <s v="06:00"/>
    <n v="2.6019000000000001"/>
  </r>
  <r>
    <x v="1"/>
    <x v="4"/>
    <x v="472"/>
    <s v="18:00"/>
    <n v="2.6019000000000001"/>
  </r>
  <r>
    <x v="1"/>
    <x v="4"/>
    <x v="472"/>
    <s v="14:00"/>
    <n v="2.6019000000000001"/>
  </r>
  <r>
    <x v="1"/>
    <x v="4"/>
    <x v="472"/>
    <s v="10:00"/>
    <n v="2.6019000000000001"/>
  </r>
  <r>
    <x v="1"/>
    <x v="4"/>
    <x v="472"/>
    <s v="06:00"/>
    <n v="2.6019000000000001"/>
  </r>
  <r>
    <x v="1"/>
    <x v="4"/>
    <x v="473"/>
    <s v="18:00"/>
    <n v="2.8437999999999999"/>
  </r>
  <r>
    <x v="1"/>
    <x v="4"/>
    <x v="473"/>
    <s v="14:00"/>
    <n v="2.8437999999999999"/>
  </r>
  <r>
    <x v="1"/>
    <x v="4"/>
    <x v="473"/>
    <s v="10:00"/>
    <n v="2.8437999999999999"/>
  </r>
  <r>
    <x v="1"/>
    <x v="4"/>
    <x v="473"/>
    <s v="06:00"/>
    <n v="2.8437999999999999"/>
  </r>
  <r>
    <x v="1"/>
    <x v="4"/>
    <x v="474"/>
    <s v="18:00"/>
    <n v="3.4946000000000002"/>
  </r>
  <r>
    <x v="1"/>
    <x v="4"/>
    <x v="474"/>
    <s v="14:00"/>
    <n v="3.4946000000000002"/>
  </r>
  <r>
    <x v="1"/>
    <x v="4"/>
    <x v="474"/>
    <s v="10:00"/>
    <n v="3.4946000000000002"/>
  </r>
  <r>
    <x v="1"/>
    <x v="4"/>
    <x v="474"/>
    <s v="06:00"/>
    <n v="3.4946000000000002"/>
  </r>
  <r>
    <x v="1"/>
    <x v="4"/>
    <x v="475"/>
    <s v="18:00"/>
    <n v="3.4946000000000002"/>
  </r>
  <r>
    <x v="1"/>
    <x v="4"/>
    <x v="475"/>
    <s v="14:00"/>
    <n v="3.4946000000000002"/>
  </r>
  <r>
    <x v="1"/>
    <x v="4"/>
    <x v="475"/>
    <s v="10:00"/>
    <n v="3.4946000000000002"/>
  </r>
  <r>
    <x v="1"/>
    <x v="4"/>
    <x v="475"/>
    <s v="06:00"/>
    <n v="3.4946000000000002"/>
  </r>
  <r>
    <x v="1"/>
    <x v="4"/>
    <x v="476"/>
    <s v="18:00"/>
    <n v="3.4946000000000002"/>
  </r>
  <r>
    <x v="1"/>
    <x v="4"/>
    <x v="476"/>
    <s v="14:00"/>
    <n v="3.4946000000000002"/>
  </r>
  <r>
    <x v="1"/>
    <x v="4"/>
    <x v="476"/>
    <s v="10:00"/>
    <n v="3.4946000000000002"/>
  </r>
  <r>
    <x v="1"/>
    <x v="4"/>
    <x v="476"/>
    <s v="06:00"/>
    <n v="3.4946000000000002"/>
  </r>
  <r>
    <x v="1"/>
    <x v="4"/>
    <x v="477"/>
    <s v="18:00"/>
    <n v="3.9165999999999999"/>
  </r>
  <r>
    <x v="1"/>
    <x v="4"/>
    <x v="477"/>
    <s v="14:00"/>
    <n v="3.9165999999999999"/>
  </r>
  <r>
    <x v="1"/>
    <x v="4"/>
    <x v="477"/>
    <s v="10:00"/>
    <n v="3.9165999999999999"/>
  </r>
  <r>
    <x v="1"/>
    <x v="4"/>
    <x v="477"/>
    <s v="06:00"/>
    <n v="3.9165999999999999"/>
  </r>
  <r>
    <x v="1"/>
    <x v="4"/>
    <x v="478"/>
    <s v="18:00"/>
    <n v="3.6326000000000001"/>
  </r>
  <r>
    <x v="1"/>
    <x v="4"/>
    <x v="478"/>
    <s v="14:00"/>
    <n v="3.6326000000000001"/>
  </r>
  <r>
    <x v="1"/>
    <x v="4"/>
    <x v="478"/>
    <s v="10:00"/>
    <n v="3.6326000000000001"/>
  </r>
  <r>
    <x v="1"/>
    <x v="4"/>
    <x v="478"/>
    <s v="06:00"/>
    <n v="3.6326000000000001"/>
  </r>
  <r>
    <x v="1"/>
    <x v="4"/>
    <x v="479"/>
    <s v="18:00"/>
    <n v="3.2263999999999999"/>
  </r>
  <r>
    <x v="1"/>
    <x v="4"/>
    <x v="479"/>
    <s v="14:00"/>
    <n v="3.2263999999999999"/>
  </r>
  <r>
    <x v="1"/>
    <x v="4"/>
    <x v="479"/>
    <s v="10:00"/>
    <n v="3.2263999999999999"/>
  </r>
  <r>
    <x v="1"/>
    <x v="4"/>
    <x v="479"/>
    <s v="06:00"/>
    <n v="3.2263999999999999"/>
  </r>
  <r>
    <x v="1"/>
    <x v="4"/>
    <x v="480"/>
    <s v="18:00"/>
    <n v="3.2263999999999999"/>
  </r>
  <r>
    <x v="1"/>
    <x v="4"/>
    <x v="480"/>
    <s v="14:00"/>
    <n v="3.2263999999999999"/>
  </r>
  <r>
    <x v="1"/>
    <x v="4"/>
    <x v="480"/>
    <s v="10:00"/>
    <n v="3.2263999999999999"/>
  </r>
  <r>
    <x v="1"/>
    <x v="4"/>
    <x v="480"/>
    <s v="06:00"/>
    <n v="3.2263999999999999"/>
  </r>
  <r>
    <x v="1"/>
    <x v="4"/>
    <x v="481"/>
    <s v="18:00"/>
    <n v="3.4946000000000002"/>
  </r>
  <r>
    <x v="1"/>
    <x v="4"/>
    <x v="481"/>
    <s v="14:00"/>
    <n v="3.4946000000000002"/>
  </r>
  <r>
    <x v="1"/>
    <x v="4"/>
    <x v="481"/>
    <s v="10:00"/>
    <n v="3.4946000000000002"/>
  </r>
  <r>
    <x v="1"/>
    <x v="4"/>
    <x v="481"/>
    <s v="06:00"/>
    <n v="3.4946000000000002"/>
  </r>
  <r>
    <x v="1"/>
    <x v="4"/>
    <x v="482"/>
    <s v="06:00"/>
    <n v="3.2263999999999999"/>
  </r>
  <r>
    <x v="1"/>
    <x v="5"/>
    <x v="483"/>
    <s v="18:00"/>
    <n v="3.9165999999999999"/>
  </r>
  <r>
    <x v="1"/>
    <x v="5"/>
    <x v="483"/>
    <s v="14:00"/>
    <n v="3.9165999999999999"/>
  </r>
  <r>
    <x v="1"/>
    <x v="5"/>
    <x v="483"/>
    <s v="10:00"/>
    <n v="3.9165999999999999"/>
  </r>
  <r>
    <x v="1"/>
    <x v="5"/>
    <x v="483"/>
    <s v="06:00"/>
    <n v="3.9165999999999999"/>
  </r>
  <r>
    <x v="1"/>
    <x v="5"/>
    <x v="484"/>
    <s v="18:00"/>
    <n v="4.6726999999999999"/>
  </r>
  <r>
    <x v="1"/>
    <x v="5"/>
    <x v="484"/>
    <s v="14:00"/>
    <n v="4.6726999999999999"/>
  </r>
  <r>
    <x v="1"/>
    <x v="5"/>
    <x v="484"/>
    <s v="10:00"/>
    <n v="4.6726999999999999"/>
  </r>
  <r>
    <x v="1"/>
    <x v="5"/>
    <x v="484"/>
    <s v="06:00"/>
    <n v="4.6726999999999999"/>
  </r>
  <r>
    <x v="1"/>
    <x v="5"/>
    <x v="485"/>
    <s v="18:00"/>
    <n v="4.6726999999999999"/>
  </r>
  <r>
    <x v="1"/>
    <x v="5"/>
    <x v="485"/>
    <s v="14:00"/>
    <n v="4.6726999999999999"/>
  </r>
  <r>
    <x v="1"/>
    <x v="5"/>
    <x v="485"/>
    <s v="10:00"/>
    <n v="4.6726999999999999"/>
  </r>
  <r>
    <x v="1"/>
    <x v="5"/>
    <x v="485"/>
    <s v="06:00"/>
    <n v="4.6726999999999999"/>
  </r>
  <r>
    <x v="1"/>
    <x v="5"/>
    <x v="486"/>
    <s v="18:00"/>
    <n v="4.6726999999999999"/>
  </r>
  <r>
    <x v="1"/>
    <x v="5"/>
    <x v="486"/>
    <s v="14:00"/>
    <n v="4.6726999999999999"/>
  </r>
  <r>
    <x v="1"/>
    <x v="5"/>
    <x v="486"/>
    <s v="10:00"/>
    <n v="4.6726999999999999"/>
  </r>
  <r>
    <x v="1"/>
    <x v="5"/>
    <x v="486"/>
    <s v="06:00"/>
    <n v="4.6726999999999999"/>
  </r>
  <r>
    <x v="1"/>
    <x v="5"/>
    <x v="487"/>
    <s v="18:00"/>
    <n v="4.6726999999999999"/>
  </r>
  <r>
    <x v="1"/>
    <x v="5"/>
    <x v="487"/>
    <s v="14:00"/>
    <n v="4.6726999999999999"/>
  </r>
  <r>
    <x v="1"/>
    <x v="5"/>
    <x v="487"/>
    <s v="10:00"/>
    <n v="4.6726999999999999"/>
  </r>
  <r>
    <x v="1"/>
    <x v="5"/>
    <x v="487"/>
    <s v="06:00"/>
    <n v="4.6726999999999999"/>
  </r>
  <r>
    <x v="1"/>
    <x v="5"/>
    <x v="488"/>
    <s v="18:00"/>
    <n v="4.6726999999999999"/>
  </r>
  <r>
    <x v="1"/>
    <x v="5"/>
    <x v="488"/>
    <s v="14:00"/>
    <n v="4.6726999999999999"/>
  </r>
  <r>
    <x v="1"/>
    <x v="5"/>
    <x v="488"/>
    <s v="10:00"/>
    <n v="4.6726999999999999"/>
  </r>
  <r>
    <x v="1"/>
    <x v="5"/>
    <x v="488"/>
    <s v="06:00"/>
    <n v="4.5162000000000004"/>
  </r>
  <r>
    <x v="1"/>
    <x v="5"/>
    <x v="489"/>
    <s v="18:00"/>
    <n v="4.9935"/>
  </r>
  <r>
    <x v="1"/>
    <x v="5"/>
    <x v="489"/>
    <s v="14:00"/>
    <n v="4.9935"/>
  </r>
  <r>
    <x v="1"/>
    <x v="5"/>
    <x v="489"/>
    <s v="10:00"/>
    <n v="4.9935"/>
  </r>
  <r>
    <x v="1"/>
    <x v="5"/>
    <x v="489"/>
    <s v="06:00"/>
    <n v="4.9935"/>
  </r>
  <r>
    <x v="1"/>
    <x v="5"/>
    <x v="490"/>
    <s v="18:00"/>
    <n v="4.9935"/>
  </r>
  <r>
    <x v="1"/>
    <x v="5"/>
    <x v="490"/>
    <s v="14:00"/>
    <n v="4.9935"/>
  </r>
  <r>
    <x v="1"/>
    <x v="5"/>
    <x v="490"/>
    <s v="10:00"/>
    <n v="4.9935"/>
  </r>
  <r>
    <x v="1"/>
    <x v="5"/>
    <x v="490"/>
    <s v="06:00"/>
    <n v="4.9935"/>
  </r>
  <r>
    <x v="1"/>
    <x v="5"/>
    <x v="491"/>
    <s v="18:00"/>
    <n v="4.9935"/>
  </r>
  <r>
    <x v="1"/>
    <x v="5"/>
    <x v="491"/>
    <s v="14:00"/>
    <n v="4.9935"/>
  </r>
  <r>
    <x v="1"/>
    <x v="5"/>
    <x v="491"/>
    <s v="10:00"/>
    <n v="4.9935"/>
  </r>
  <r>
    <x v="1"/>
    <x v="5"/>
    <x v="491"/>
    <s v="06:00"/>
    <n v="4.9935"/>
  </r>
  <r>
    <x v="1"/>
    <x v="5"/>
    <x v="492"/>
    <s v="18:00"/>
    <n v="4.6726999999999999"/>
  </r>
  <r>
    <x v="1"/>
    <x v="5"/>
    <x v="492"/>
    <s v="14:00"/>
    <n v="4.6726999999999999"/>
  </r>
  <r>
    <x v="1"/>
    <x v="5"/>
    <x v="492"/>
    <s v="10:00"/>
    <n v="4.6726999999999999"/>
  </r>
  <r>
    <x v="1"/>
    <x v="5"/>
    <x v="492"/>
    <s v="06:00"/>
    <n v="4.6726999999999999"/>
  </r>
  <r>
    <x v="1"/>
    <x v="5"/>
    <x v="493"/>
    <s v="18:00"/>
    <n v="4.6726999999999999"/>
  </r>
  <r>
    <x v="1"/>
    <x v="5"/>
    <x v="493"/>
    <s v="14:00"/>
    <n v="4.6726999999999999"/>
  </r>
  <r>
    <x v="1"/>
    <x v="5"/>
    <x v="493"/>
    <s v="10:00"/>
    <n v="4.6726999999999999"/>
  </r>
  <r>
    <x v="1"/>
    <x v="5"/>
    <x v="493"/>
    <s v="06:00"/>
    <n v="4.6726999999999999"/>
  </r>
  <r>
    <x v="1"/>
    <x v="5"/>
    <x v="494"/>
    <s v="18:00"/>
    <n v="4.6726999999999999"/>
  </r>
  <r>
    <x v="1"/>
    <x v="5"/>
    <x v="494"/>
    <s v="14:00"/>
    <n v="4.6726999999999999"/>
  </r>
  <r>
    <x v="1"/>
    <x v="5"/>
    <x v="494"/>
    <s v="10:00"/>
    <n v="4.6726999999999999"/>
  </r>
  <r>
    <x v="1"/>
    <x v="5"/>
    <x v="494"/>
    <s v="06:00"/>
    <n v="4.6726999999999999"/>
  </r>
  <r>
    <x v="1"/>
    <x v="5"/>
    <x v="495"/>
    <s v="18:00"/>
    <n v="5.4945000000000004"/>
  </r>
  <r>
    <x v="1"/>
    <x v="5"/>
    <x v="495"/>
    <s v="14:00"/>
    <n v="5.4945000000000004"/>
  </r>
  <r>
    <x v="1"/>
    <x v="5"/>
    <x v="495"/>
    <s v="10:00"/>
    <n v="5.4945000000000004"/>
  </r>
  <r>
    <x v="1"/>
    <x v="5"/>
    <x v="495"/>
    <s v="06:00"/>
    <n v="5.4945000000000004"/>
  </r>
  <r>
    <x v="1"/>
    <x v="5"/>
    <x v="496"/>
    <s v="18:00"/>
    <n v="4.3623000000000003"/>
  </r>
  <r>
    <x v="1"/>
    <x v="5"/>
    <x v="496"/>
    <s v="14:00"/>
    <n v="4.3623000000000003"/>
  </r>
  <r>
    <x v="1"/>
    <x v="5"/>
    <x v="496"/>
    <s v="10:00"/>
    <n v="4.3623000000000003"/>
  </r>
  <r>
    <x v="1"/>
    <x v="5"/>
    <x v="496"/>
    <s v="06:00"/>
    <n v="4.3623000000000003"/>
  </r>
  <r>
    <x v="1"/>
    <x v="5"/>
    <x v="497"/>
    <s v="18:00"/>
    <n v="4.5162000000000004"/>
  </r>
  <r>
    <x v="1"/>
    <x v="5"/>
    <x v="497"/>
    <s v="14:00"/>
    <n v="4.5162000000000004"/>
  </r>
  <r>
    <x v="1"/>
    <x v="5"/>
    <x v="497"/>
    <s v="10:00"/>
    <n v="4.5162000000000004"/>
  </r>
  <r>
    <x v="1"/>
    <x v="5"/>
    <x v="497"/>
    <s v="06:00"/>
    <n v="4.5162000000000004"/>
  </r>
  <r>
    <x v="1"/>
    <x v="5"/>
    <x v="498"/>
    <s v="18:00"/>
    <n v="4.8318000000000003"/>
  </r>
  <r>
    <x v="1"/>
    <x v="5"/>
    <x v="498"/>
    <s v="14:00"/>
    <n v="4.8318000000000003"/>
  </r>
  <r>
    <x v="1"/>
    <x v="5"/>
    <x v="498"/>
    <s v="10:00"/>
    <n v="4.8318000000000003"/>
  </r>
  <r>
    <x v="1"/>
    <x v="5"/>
    <x v="498"/>
    <s v="06:00"/>
    <n v="4.8318000000000003"/>
  </r>
  <r>
    <x v="1"/>
    <x v="5"/>
    <x v="499"/>
    <s v="18:00"/>
    <n v="4.6726999999999999"/>
  </r>
  <r>
    <x v="1"/>
    <x v="5"/>
    <x v="499"/>
    <s v="14:00"/>
    <n v="4.6726999999999999"/>
  </r>
  <r>
    <x v="1"/>
    <x v="5"/>
    <x v="499"/>
    <s v="10:00"/>
    <n v="4.6726999999999999"/>
  </r>
  <r>
    <x v="1"/>
    <x v="5"/>
    <x v="499"/>
    <s v="06:00"/>
    <n v="4.6726999999999999"/>
  </r>
  <r>
    <x v="1"/>
    <x v="5"/>
    <x v="500"/>
    <s v="18:00"/>
    <n v="5.4945000000000004"/>
  </r>
  <r>
    <x v="1"/>
    <x v="5"/>
    <x v="500"/>
    <s v="14:00"/>
    <n v="5.4945000000000004"/>
  </r>
  <r>
    <x v="1"/>
    <x v="5"/>
    <x v="500"/>
    <s v="10:00"/>
    <n v="5.4945000000000004"/>
  </r>
  <r>
    <x v="1"/>
    <x v="5"/>
    <x v="500"/>
    <s v="06:00"/>
    <n v="5.4945000000000004"/>
  </r>
  <r>
    <x v="1"/>
    <x v="5"/>
    <x v="501"/>
    <s v="18:00"/>
    <n v="5.4945000000000004"/>
  </r>
  <r>
    <x v="1"/>
    <x v="5"/>
    <x v="501"/>
    <s v="14:00"/>
    <n v="5.4945000000000004"/>
  </r>
  <r>
    <x v="1"/>
    <x v="5"/>
    <x v="501"/>
    <s v="10:00"/>
    <n v="5.4945000000000004"/>
  </r>
  <r>
    <x v="1"/>
    <x v="5"/>
    <x v="501"/>
    <s v="06:00"/>
    <n v="5.4945000000000004"/>
  </r>
  <r>
    <x v="1"/>
    <x v="5"/>
    <x v="502"/>
    <s v="18:00"/>
    <n v="5.6668000000000003"/>
  </r>
  <r>
    <x v="1"/>
    <x v="5"/>
    <x v="502"/>
    <s v="14:00"/>
    <n v="5.4945000000000004"/>
  </r>
  <r>
    <x v="1"/>
    <x v="5"/>
    <x v="502"/>
    <s v="10:00"/>
    <n v="5.4945000000000004"/>
  </r>
  <r>
    <x v="1"/>
    <x v="5"/>
    <x v="502"/>
    <s v="06:00"/>
    <n v="5.6668000000000003"/>
  </r>
  <r>
    <x v="1"/>
    <x v="5"/>
    <x v="503"/>
    <s v="18:00"/>
    <n v="5.6668000000000003"/>
  </r>
  <r>
    <x v="1"/>
    <x v="5"/>
    <x v="503"/>
    <s v="14:00"/>
    <n v="5.6668000000000003"/>
  </r>
  <r>
    <x v="1"/>
    <x v="5"/>
    <x v="503"/>
    <s v="10:00"/>
    <n v="5.6668000000000003"/>
  </r>
  <r>
    <x v="1"/>
    <x v="5"/>
    <x v="503"/>
    <s v="06:00"/>
    <n v="5.6668000000000003"/>
  </r>
  <r>
    <x v="1"/>
    <x v="5"/>
    <x v="504"/>
    <s v="18:00"/>
    <n v="5.6668000000000003"/>
  </r>
  <r>
    <x v="1"/>
    <x v="5"/>
    <x v="504"/>
    <s v="14:00"/>
    <n v="5.6668000000000003"/>
  </r>
  <r>
    <x v="1"/>
    <x v="5"/>
    <x v="504"/>
    <s v="10:00"/>
    <n v="5.6668000000000003"/>
  </r>
  <r>
    <x v="1"/>
    <x v="5"/>
    <x v="504"/>
    <s v="06:00"/>
    <n v="5.6668000000000003"/>
  </r>
  <r>
    <x v="1"/>
    <x v="5"/>
    <x v="505"/>
    <s v="14:00"/>
    <n v="5.6668000000000003"/>
  </r>
  <r>
    <x v="1"/>
    <x v="5"/>
    <x v="505"/>
    <s v="10:00"/>
    <n v="5.6668000000000003"/>
  </r>
  <r>
    <x v="1"/>
    <x v="5"/>
    <x v="505"/>
    <s v="06:00"/>
    <n v="5.6668000000000003"/>
  </r>
  <r>
    <x v="1"/>
    <x v="5"/>
    <x v="506"/>
    <s v="18:00"/>
    <n v="5.6668000000000003"/>
  </r>
  <r>
    <x v="1"/>
    <x v="5"/>
    <x v="506"/>
    <s v="14:00"/>
    <n v="5.6668000000000003"/>
  </r>
  <r>
    <x v="1"/>
    <x v="5"/>
    <x v="506"/>
    <s v="10:00"/>
    <n v="5.6668000000000003"/>
  </r>
  <r>
    <x v="1"/>
    <x v="5"/>
    <x v="506"/>
    <s v="06:00"/>
    <n v="5.6668000000000003"/>
  </r>
  <r>
    <x v="1"/>
    <x v="5"/>
    <x v="507"/>
    <s v="18:00"/>
    <n v="5.6668000000000003"/>
  </r>
  <r>
    <x v="1"/>
    <x v="5"/>
    <x v="507"/>
    <s v="14:00"/>
    <n v="5.6668000000000003"/>
  </r>
  <r>
    <x v="1"/>
    <x v="5"/>
    <x v="507"/>
    <s v="10:00"/>
    <n v="5.6668000000000003"/>
  </r>
  <r>
    <x v="1"/>
    <x v="5"/>
    <x v="507"/>
    <s v="06:00"/>
    <n v="5.6668000000000003"/>
  </r>
  <r>
    <x v="1"/>
    <x v="5"/>
    <x v="508"/>
    <s v="18:00"/>
    <n v="5.6668000000000003"/>
  </r>
  <r>
    <x v="1"/>
    <x v="5"/>
    <x v="508"/>
    <s v="14:00"/>
    <n v="5.6668000000000003"/>
  </r>
  <r>
    <x v="1"/>
    <x v="5"/>
    <x v="508"/>
    <s v="10:00"/>
    <n v="5.6668000000000003"/>
  </r>
  <r>
    <x v="1"/>
    <x v="5"/>
    <x v="508"/>
    <s v="06:00"/>
    <n v="5.6668000000000003"/>
  </r>
  <r>
    <x v="1"/>
    <x v="5"/>
    <x v="509"/>
    <s v="18:00"/>
    <n v="15.2789"/>
  </r>
  <r>
    <x v="1"/>
    <x v="5"/>
    <x v="509"/>
    <s v="14:00"/>
    <n v="15.2789"/>
  </r>
  <r>
    <x v="1"/>
    <x v="5"/>
    <x v="509"/>
    <s v="10:00"/>
    <n v="12.0588"/>
  </r>
  <r>
    <x v="1"/>
    <x v="5"/>
    <x v="509"/>
    <s v="06:00"/>
    <n v="12.0588"/>
  </r>
  <r>
    <x v="1"/>
    <x v="5"/>
    <x v="510"/>
    <s v="18:00"/>
    <n v="15.852399999999999"/>
  </r>
  <r>
    <x v="1"/>
    <x v="5"/>
    <x v="510"/>
    <s v="14:00"/>
    <n v="15.852399999999999"/>
  </r>
  <r>
    <x v="1"/>
    <x v="5"/>
    <x v="510"/>
    <s v="10:00"/>
    <n v="15.852399999999999"/>
  </r>
  <r>
    <x v="1"/>
    <x v="5"/>
    <x v="510"/>
    <s v="06:00"/>
    <n v="15.2789"/>
  </r>
  <r>
    <x v="1"/>
    <x v="5"/>
    <x v="511"/>
    <s v="18:00"/>
    <n v="16.436499999999999"/>
  </r>
  <r>
    <x v="1"/>
    <x v="5"/>
    <x v="511"/>
    <s v="14:00"/>
    <n v="15.852399999999999"/>
  </r>
  <r>
    <x v="1"/>
    <x v="5"/>
    <x v="511"/>
    <s v="10:00"/>
    <n v="15.2789"/>
  </r>
  <r>
    <x v="1"/>
    <x v="5"/>
    <x v="511"/>
    <s v="06:00"/>
    <n v="15.2789"/>
  </r>
  <r>
    <x v="1"/>
    <x v="5"/>
    <x v="512"/>
    <s v="18:00"/>
    <n v="15.852399999999999"/>
  </r>
  <r>
    <x v="1"/>
    <x v="5"/>
    <x v="512"/>
    <s v="14:00"/>
    <n v="16.436499999999999"/>
  </r>
  <r>
    <x v="1"/>
    <x v="5"/>
    <x v="512"/>
    <s v="10:00"/>
    <n v="16.436499999999999"/>
  </r>
  <r>
    <x v="1"/>
    <x v="5"/>
    <x v="512"/>
    <s v="06:00"/>
    <n v="16.436499999999999"/>
  </r>
  <r>
    <x v="1"/>
    <x v="6"/>
    <x v="513"/>
    <s v="18:00"/>
    <n v="17.3323"/>
  </r>
  <r>
    <x v="1"/>
    <x v="6"/>
    <x v="513"/>
    <s v="14:00"/>
    <n v="17.3323"/>
  </r>
  <r>
    <x v="1"/>
    <x v="6"/>
    <x v="513"/>
    <s v="10:00"/>
    <n v="18.878"/>
  </r>
  <r>
    <x v="1"/>
    <x v="6"/>
    <x v="513"/>
    <s v="06:00"/>
    <n v="18.878"/>
  </r>
  <r>
    <x v="1"/>
    <x v="6"/>
    <x v="514"/>
    <s v="18:00"/>
    <n v="15.852399999999999"/>
  </r>
  <r>
    <x v="1"/>
    <x v="6"/>
    <x v="514"/>
    <s v="14:00"/>
    <n v="15.852399999999999"/>
  </r>
  <r>
    <x v="1"/>
    <x v="6"/>
    <x v="514"/>
    <s v="10:00"/>
    <n v="17.3323"/>
  </r>
  <r>
    <x v="1"/>
    <x v="6"/>
    <x v="514"/>
    <s v="06:00"/>
    <n v="17.3323"/>
  </r>
  <r>
    <x v="1"/>
    <x v="6"/>
    <x v="515"/>
    <s v="18:00"/>
    <n v="13.09"/>
  </r>
  <r>
    <x v="1"/>
    <x v="6"/>
    <x v="515"/>
    <s v="14:00"/>
    <n v="13.09"/>
  </r>
  <r>
    <x v="1"/>
    <x v="6"/>
    <x v="515"/>
    <s v="10:00"/>
    <n v="13.8911"/>
  </r>
  <r>
    <x v="1"/>
    <x v="6"/>
    <x v="515"/>
    <s v="06:00"/>
    <n v="15.2789"/>
  </r>
  <r>
    <x v="1"/>
    <x v="6"/>
    <x v="516"/>
    <s v="06:00"/>
    <n v="12.828200000000001"/>
  </r>
  <r>
    <x v="1"/>
    <x v="6"/>
    <x v="516"/>
    <s v="10:00"/>
    <n v="13.09"/>
  </r>
  <r>
    <x v="1"/>
    <x v="6"/>
    <x v="516"/>
    <s v="14:00"/>
    <n v="12.569100000000001"/>
  </r>
  <r>
    <x v="1"/>
    <x v="6"/>
    <x v="516"/>
    <s v="18:00"/>
    <n v="12.569100000000001"/>
  </r>
  <r>
    <x v="1"/>
    <x v="6"/>
    <x v="517"/>
    <s v="06:00"/>
    <n v="14.7159"/>
  </r>
  <r>
    <x v="1"/>
    <x v="6"/>
    <x v="517"/>
    <s v="10:00"/>
    <n v="14.7159"/>
  </r>
  <r>
    <x v="1"/>
    <x v="6"/>
    <x v="517"/>
    <s v="14:00"/>
    <n v="14.7159"/>
  </r>
  <r>
    <x v="1"/>
    <x v="6"/>
    <x v="517"/>
    <s v="18:00"/>
    <n v="15.2789"/>
  </r>
  <r>
    <x v="1"/>
    <x v="6"/>
    <x v="518"/>
    <s v="06:00"/>
    <n v="12.0588"/>
  </r>
  <r>
    <x v="1"/>
    <x v="6"/>
    <x v="518"/>
    <s v="10:00"/>
    <n v="10.1226"/>
  </r>
  <r>
    <x v="1"/>
    <x v="6"/>
    <x v="518"/>
    <s v="14:00"/>
    <n v="10.5908"/>
  </r>
  <r>
    <x v="1"/>
    <x v="6"/>
    <x v="518"/>
    <s v="18:00"/>
    <n v="10.5908"/>
  </r>
  <r>
    <x v="1"/>
    <x v="6"/>
    <x v="519"/>
    <s v="06:00"/>
    <n v="13.09"/>
  </r>
  <r>
    <x v="1"/>
    <x v="6"/>
    <x v="519"/>
    <s v="10:00"/>
    <n v="13.09"/>
  </r>
  <r>
    <x v="1"/>
    <x v="6"/>
    <x v="519"/>
    <s v="14:00"/>
    <n v="13.09"/>
  </r>
  <r>
    <x v="1"/>
    <x v="6"/>
    <x v="519"/>
    <s v="18:00"/>
    <n v="13.09"/>
  </r>
  <r>
    <x v="1"/>
    <x v="6"/>
    <x v="520"/>
    <s v="06:00"/>
    <n v="9.6648999999999994"/>
  </r>
  <r>
    <x v="1"/>
    <x v="6"/>
    <x v="520"/>
    <s v="10:00"/>
    <n v="9.6648999999999994"/>
  </r>
  <r>
    <x v="1"/>
    <x v="6"/>
    <x v="520"/>
    <s v="14:00"/>
    <n v="9.6648999999999994"/>
  </r>
  <r>
    <x v="1"/>
    <x v="6"/>
    <x v="520"/>
    <s v="18:00"/>
    <n v="9.6648999999999994"/>
  </r>
  <r>
    <x v="1"/>
    <x v="6"/>
    <x v="521"/>
    <s v="06:00"/>
    <n v="8.1457999999999995"/>
  </r>
  <r>
    <x v="1"/>
    <x v="6"/>
    <x v="521"/>
    <s v="10:00"/>
    <n v="8.3549000000000007"/>
  </r>
  <r>
    <x v="1"/>
    <x v="6"/>
    <x v="521"/>
    <s v="14:00"/>
    <n v="8.3549000000000007"/>
  </r>
  <r>
    <x v="1"/>
    <x v="6"/>
    <x v="521"/>
    <s v="18:00"/>
    <n v="8.3549000000000007"/>
  </r>
  <r>
    <x v="1"/>
    <x v="6"/>
    <x v="522"/>
    <s v="06:00"/>
    <n v="16.436499999999999"/>
  </r>
  <r>
    <x v="1"/>
    <x v="6"/>
    <x v="522"/>
    <s v="10:00"/>
    <n v="16.436499999999999"/>
  </r>
  <r>
    <x v="1"/>
    <x v="6"/>
    <x v="522"/>
    <s v="14:00"/>
    <n v="15.852399999999999"/>
  </r>
  <r>
    <x v="1"/>
    <x v="6"/>
    <x v="522"/>
    <s v="18:00"/>
    <n v="15.852399999999999"/>
  </r>
  <r>
    <x v="1"/>
    <x v="6"/>
    <x v="523"/>
    <s v="06:00"/>
    <n v="12.0588"/>
  </r>
  <r>
    <x v="1"/>
    <x v="6"/>
    <x v="523"/>
    <s v="10:00"/>
    <n v="12.0588"/>
  </r>
  <r>
    <x v="1"/>
    <x v="6"/>
    <x v="523"/>
    <s v="14:00"/>
    <n v="12.0588"/>
  </r>
  <r>
    <x v="1"/>
    <x v="6"/>
    <x v="523"/>
    <s v="18:00"/>
    <n v="12.0588"/>
  </r>
  <r>
    <x v="1"/>
    <x v="6"/>
    <x v="524"/>
    <s v="06:00"/>
    <n v="15.2789"/>
  </r>
  <r>
    <x v="1"/>
    <x v="6"/>
    <x v="524"/>
    <s v="10:00"/>
    <n v="15.2789"/>
  </r>
  <r>
    <x v="1"/>
    <x v="6"/>
    <x v="524"/>
    <s v="14:00"/>
    <n v="15.2789"/>
  </r>
  <r>
    <x v="1"/>
    <x v="6"/>
    <x v="524"/>
    <s v="18:00"/>
    <n v="15.852399999999999"/>
  </r>
  <r>
    <x v="1"/>
    <x v="6"/>
    <x v="525"/>
    <s v="06:00"/>
    <n v="18.878"/>
  </r>
  <r>
    <x v="1"/>
    <x v="6"/>
    <x v="525"/>
    <s v="10:00"/>
    <n v="15.2789"/>
  </r>
  <r>
    <x v="1"/>
    <x v="6"/>
    <x v="525"/>
    <s v="14:00"/>
    <n v="15.2789"/>
  </r>
  <r>
    <x v="1"/>
    <x v="6"/>
    <x v="525"/>
    <s v="18:00"/>
    <n v="15.2789"/>
  </r>
  <r>
    <x v="1"/>
    <x v="6"/>
    <x v="526"/>
    <s v="06:00"/>
    <n v="12.0588"/>
  </r>
  <r>
    <x v="1"/>
    <x v="6"/>
    <x v="526"/>
    <s v="10:00"/>
    <n v="8.3549000000000007"/>
  </r>
  <r>
    <x v="1"/>
    <x v="6"/>
    <x v="526"/>
    <s v="14:00"/>
    <n v="8.3549000000000007"/>
  </r>
  <r>
    <x v="1"/>
    <x v="6"/>
    <x v="526"/>
    <s v="18:00"/>
    <n v="8.3549000000000007"/>
  </r>
  <r>
    <x v="1"/>
    <x v="6"/>
    <x v="527"/>
    <s v="06:00"/>
    <n v="18.878"/>
  </r>
  <r>
    <x v="1"/>
    <x v="6"/>
    <x v="527"/>
    <s v="10:00"/>
    <n v="15.852399999999999"/>
  </r>
  <r>
    <x v="1"/>
    <x v="6"/>
    <x v="527"/>
    <s v="14:00"/>
    <n v="15.852399999999999"/>
  </r>
  <r>
    <x v="1"/>
    <x v="6"/>
    <x v="527"/>
    <s v="18:00"/>
    <n v="15.852399999999999"/>
  </r>
  <r>
    <x v="1"/>
    <x v="6"/>
    <x v="528"/>
    <s v="14:00"/>
    <n v="15.2789"/>
  </r>
  <r>
    <x v="1"/>
    <x v="6"/>
    <x v="528"/>
    <s v="18:00"/>
    <n v="14.7159"/>
  </r>
  <r>
    <x v="1"/>
    <x v="6"/>
    <x v="529"/>
    <s v="06:00"/>
    <n v="13.09"/>
  </r>
  <r>
    <x v="1"/>
    <x v="6"/>
    <x v="529"/>
    <s v="10:00"/>
    <n v="13.09"/>
  </r>
  <r>
    <x v="1"/>
    <x v="6"/>
    <x v="529"/>
    <s v="14:00"/>
    <n v="12.569100000000001"/>
  </r>
  <r>
    <x v="1"/>
    <x v="6"/>
    <x v="529"/>
    <s v="18:00"/>
    <n v="12.569100000000001"/>
  </r>
  <r>
    <x v="1"/>
    <x v="6"/>
    <x v="530"/>
    <s v="06:00"/>
    <n v="8.3549000000000007"/>
  </r>
  <r>
    <x v="1"/>
    <x v="6"/>
    <x v="530"/>
    <s v="10:00"/>
    <n v="8.3549000000000007"/>
  </r>
  <r>
    <x v="1"/>
    <x v="6"/>
    <x v="530"/>
    <s v="14:00"/>
    <n v="8.3549000000000007"/>
  </r>
  <r>
    <x v="1"/>
    <x v="6"/>
    <x v="530"/>
    <s v="18:00"/>
    <n v="8.3549000000000007"/>
  </r>
  <r>
    <x v="1"/>
    <x v="6"/>
    <x v="531"/>
    <s v="06:00"/>
    <n v="15.852399999999999"/>
  </r>
  <r>
    <x v="1"/>
    <x v="6"/>
    <x v="531"/>
    <s v="10:00"/>
    <n v="15.2789"/>
  </r>
  <r>
    <x v="1"/>
    <x v="6"/>
    <x v="531"/>
    <s v="14:00"/>
    <n v="15.2789"/>
  </r>
  <r>
    <x v="1"/>
    <x v="6"/>
    <x v="531"/>
    <s v="18:00"/>
    <n v="15.2789"/>
  </r>
  <r>
    <x v="1"/>
    <x v="6"/>
    <x v="532"/>
    <s v="06:00"/>
    <n v="23.91"/>
  </r>
  <r>
    <x v="1"/>
    <x v="6"/>
    <x v="532"/>
    <s v="10:00"/>
    <n v="15.852399999999999"/>
  </r>
  <r>
    <x v="1"/>
    <x v="6"/>
    <x v="532"/>
    <s v="14:00"/>
    <n v="15.852399999999999"/>
  </r>
  <r>
    <x v="1"/>
    <x v="6"/>
    <x v="532"/>
    <s v="18:00"/>
    <n v="15.852399999999999"/>
  </r>
  <r>
    <x v="1"/>
    <x v="6"/>
    <x v="533"/>
    <s v="06:00"/>
    <n v="14.7159"/>
  </r>
  <r>
    <x v="1"/>
    <x v="6"/>
    <x v="533"/>
    <s v="10:00"/>
    <n v="14.7159"/>
  </r>
  <r>
    <x v="1"/>
    <x v="6"/>
    <x v="533"/>
    <s v="14:00"/>
    <n v="14.7159"/>
  </r>
  <r>
    <x v="1"/>
    <x v="6"/>
    <x v="533"/>
    <s v="18:00"/>
    <n v="14.7159"/>
  </r>
  <r>
    <x v="1"/>
    <x v="6"/>
    <x v="534"/>
    <s v="06:00"/>
    <n v="10.5908"/>
  </r>
  <r>
    <x v="1"/>
    <x v="6"/>
    <x v="534"/>
    <s v="10:00"/>
    <n v="10.5908"/>
  </r>
  <r>
    <x v="1"/>
    <x v="6"/>
    <x v="534"/>
    <s v="14:00"/>
    <n v="10.5908"/>
  </r>
  <r>
    <x v="1"/>
    <x v="6"/>
    <x v="534"/>
    <s v="18:00"/>
    <n v="10.5908"/>
  </r>
  <r>
    <x v="1"/>
    <x v="6"/>
    <x v="535"/>
    <s v="06:00"/>
    <n v="8.7810000000000006"/>
  </r>
  <r>
    <x v="1"/>
    <x v="6"/>
    <x v="535"/>
    <s v="10:00"/>
    <n v="8.7810000000000006"/>
  </r>
  <r>
    <x v="1"/>
    <x v="6"/>
    <x v="535"/>
    <s v="14:00"/>
    <n v="8.7810000000000006"/>
  </r>
  <r>
    <x v="1"/>
    <x v="6"/>
    <x v="535"/>
    <s v="18:00"/>
    <n v="8.7810000000000006"/>
  </r>
  <r>
    <x v="1"/>
    <x v="6"/>
    <x v="536"/>
    <s v="06:00"/>
    <n v="8.7810000000000006"/>
  </r>
  <r>
    <x v="1"/>
    <x v="6"/>
    <x v="536"/>
    <s v="10:00"/>
    <n v="8.7810000000000006"/>
  </r>
  <r>
    <x v="1"/>
    <x v="6"/>
    <x v="536"/>
    <s v="14:00"/>
    <n v="8.3549000000000007"/>
  </r>
  <r>
    <x v="1"/>
    <x v="6"/>
    <x v="537"/>
    <s v="06:00"/>
    <n v="8.3549000000000007"/>
  </r>
  <r>
    <x v="1"/>
    <x v="6"/>
    <x v="537"/>
    <s v="10:00"/>
    <n v="8.3549000000000007"/>
  </r>
  <r>
    <x v="1"/>
    <x v="6"/>
    <x v="537"/>
    <s v="14:00"/>
    <n v="8.3549000000000007"/>
  </r>
  <r>
    <x v="1"/>
    <x v="6"/>
    <x v="537"/>
    <s v="18:00"/>
    <n v="8.3549000000000007"/>
  </r>
  <r>
    <x v="1"/>
    <x v="6"/>
    <x v="538"/>
    <s v="06:00"/>
    <n v="7.9393000000000002"/>
  </r>
  <r>
    <x v="1"/>
    <x v="6"/>
    <x v="538"/>
    <s v="10:00"/>
    <n v="7.9393000000000002"/>
  </r>
  <r>
    <x v="1"/>
    <x v="6"/>
    <x v="538"/>
    <s v="14:00"/>
    <n v="7.5342000000000002"/>
  </r>
  <r>
    <x v="1"/>
    <x v="6"/>
    <x v="538"/>
    <s v="18:00"/>
    <n v="7.5342000000000002"/>
  </r>
  <r>
    <x v="1"/>
    <x v="6"/>
    <x v="539"/>
    <s v="06:00"/>
    <n v="6.3822000000000001"/>
  </r>
  <r>
    <x v="1"/>
    <x v="6"/>
    <x v="539"/>
    <s v="10:00"/>
    <n v="6.3822000000000001"/>
  </r>
  <r>
    <x v="1"/>
    <x v="6"/>
    <x v="539"/>
    <s v="14:00"/>
    <n v="6.3822000000000001"/>
  </r>
  <r>
    <x v="1"/>
    <x v="6"/>
    <x v="539"/>
    <s v="18:00"/>
    <n v="6.3822000000000001"/>
  </r>
  <r>
    <x v="1"/>
    <x v="6"/>
    <x v="540"/>
    <s v="06:00"/>
    <n v="4.6726999999999999"/>
  </r>
  <r>
    <x v="1"/>
    <x v="6"/>
    <x v="540"/>
    <s v="10:00"/>
    <n v="4.6726999999999999"/>
  </r>
  <r>
    <x v="1"/>
    <x v="6"/>
    <x v="540"/>
    <s v="14:00"/>
    <n v="4.6726999999999999"/>
  </r>
  <r>
    <x v="1"/>
    <x v="6"/>
    <x v="540"/>
    <s v="18:00"/>
    <n v="4.6726999999999999"/>
  </r>
  <r>
    <x v="1"/>
    <x v="6"/>
    <x v="541"/>
    <s v="06:00"/>
    <n v="4.3623000000000003"/>
  </r>
  <r>
    <x v="1"/>
    <x v="6"/>
    <x v="541"/>
    <s v="10:00"/>
    <n v="4.3623000000000003"/>
  </r>
  <r>
    <x v="1"/>
    <x v="6"/>
    <x v="541"/>
    <s v="14:00"/>
    <n v="4.3623000000000003"/>
  </r>
  <r>
    <x v="1"/>
    <x v="6"/>
    <x v="541"/>
    <s v="18:00"/>
    <n v="4.3623000000000003"/>
  </r>
  <r>
    <x v="1"/>
    <x v="6"/>
    <x v="542"/>
    <s v="06:00"/>
    <n v="4.9935"/>
  </r>
  <r>
    <x v="1"/>
    <x v="6"/>
    <x v="542"/>
    <s v="10:00"/>
    <n v="4.9935"/>
  </r>
  <r>
    <x v="1"/>
    <x v="6"/>
    <x v="542"/>
    <s v="14:00"/>
    <n v="4.6726999999999999"/>
  </r>
  <r>
    <x v="1"/>
    <x v="6"/>
    <x v="542"/>
    <s v="18:00"/>
    <n v="4.6726999999999999"/>
  </r>
  <r>
    <x v="1"/>
    <x v="6"/>
    <x v="543"/>
    <s v="06:00"/>
    <n v="4.5162000000000004"/>
  </r>
  <r>
    <x v="1"/>
    <x v="6"/>
    <x v="543"/>
    <s v="10:00"/>
    <n v="4.5162000000000004"/>
  </r>
  <r>
    <x v="1"/>
    <x v="6"/>
    <x v="543"/>
    <s v="14:00"/>
    <n v="4.5162000000000004"/>
  </r>
  <r>
    <x v="1"/>
    <x v="6"/>
    <x v="543"/>
    <s v="18:00"/>
    <n v="12.569100000000001"/>
  </r>
  <r>
    <x v="2"/>
    <x v="0"/>
    <x v="544"/>
    <s v="06:00"/>
    <n v="18.878"/>
  </r>
  <r>
    <x v="2"/>
    <x v="0"/>
    <x v="544"/>
    <s v="10:00"/>
    <n v="15.852399999999999"/>
  </r>
  <r>
    <x v="2"/>
    <x v="0"/>
    <x v="544"/>
    <s v="14:00"/>
    <n v="15.852399999999999"/>
  </r>
  <r>
    <x v="2"/>
    <x v="0"/>
    <x v="544"/>
    <s v="18:00"/>
    <n v="15.852399999999999"/>
  </r>
  <r>
    <x v="2"/>
    <x v="0"/>
    <x v="545"/>
    <s v="06:00"/>
    <n v="23.91"/>
  </r>
  <r>
    <x v="2"/>
    <x v="0"/>
    <x v="545"/>
    <s v="10:00"/>
    <n v="18.878"/>
  </r>
  <r>
    <x v="2"/>
    <x v="0"/>
    <x v="545"/>
    <s v="14:00"/>
    <n v="22.166799999999999"/>
  </r>
  <r>
    <x v="2"/>
    <x v="0"/>
    <x v="545"/>
    <s v="18:00"/>
    <n v="22.166799999999999"/>
  </r>
  <r>
    <x v="2"/>
    <x v="0"/>
    <x v="546"/>
    <s v="06:00"/>
    <n v="22.166799999999999"/>
  </r>
  <r>
    <x v="2"/>
    <x v="0"/>
    <x v="546"/>
    <s v="10:00"/>
    <n v="18.878"/>
  </r>
  <r>
    <x v="2"/>
    <x v="0"/>
    <x v="546"/>
    <s v="14:00"/>
    <n v="15.852399999999999"/>
  </r>
  <r>
    <x v="2"/>
    <x v="0"/>
    <x v="546"/>
    <s v="18:00"/>
    <n v="15.852399999999999"/>
  </r>
  <r>
    <x v="2"/>
    <x v="0"/>
    <x v="547"/>
    <s v="06:00"/>
    <n v="22.166799999999999"/>
  </r>
  <r>
    <x v="2"/>
    <x v="0"/>
    <x v="547"/>
    <s v="10:00"/>
    <n v="18.878"/>
  </r>
  <r>
    <x v="2"/>
    <x v="0"/>
    <x v="547"/>
    <s v="14:00"/>
    <n v="18.878"/>
  </r>
  <r>
    <x v="2"/>
    <x v="0"/>
    <x v="547"/>
    <s v="18:00"/>
    <n v="18.878"/>
  </r>
  <r>
    <x v="2"/>
    <x v="0"/>
    <x v="548"/>
    <s v="06:00"/>
    <n v="18.878"/>
  </r>
  <r>
    <x v="2"/>
    <x v="0"/>
    <x v="548"/>
    <s v="10:00"/>
    <n v="18.878"/>
  </r>
  <r>
    <x v="2"/>
    <x v="0"/>
    <x v="548"/>
    <s v="14:00"/>
    <n v="18.878"/>
  </r>
  <r>
    <x v="2"/>
    <x v="0"/>
    <x v="548"/>
    <s v="18:00"/>
    <n v="18.878"/>
  </r>
  <r>
    <x v="2"/>
    <x v="0"/>
    <x v="549"/>
    <s v="06:00"/>
    <n v="18.878"/>
  </r>
  <r>
    <x v="2"/>
    <x v="0"/>
    <x v="549"/>
    <s v="10:00"/>
    <n v="18.878"/>
  </r>
  <r>
    <x v="2"/>
    <x v="0"/>
    <x v="549"/>
    <s v="14:00"/>
    <n v="18.878"/>
  </r>
  <r>
    <x v="2"/>
    <x v="0"/>
    <x v="549"/>
    <s v="18:00"/>
    <n v="17.3323"/>
  </r>
  <r>
    <x v="2"/>
    <x v="0"/>
    <x v="550"/>
    <s v="06:00"/>
    <n v="20.4895"/>
  </r>
  <r>
    <x v="2"/>
    <x v="0"/>
    <x v="550"/>
    <s v="10:00"/>
    <n v="18.878"/>
  </r>
  <r>
    <x v="2"/>
    <x v="0"/>
    <x v="550"/>
    <s v="14:00"/>
    <n v="18.878"/>
  </r>
  <r>
    <x v="2"/>
    <x v="0"/>
    <x v="550"/>
    <s v="18:00"/>
    <n v="18.878"/>
  </r>
  <r>
    <x v="2"/>
    <x v="0"/>
    <x v="551"/>
    <s v="06:00"/>
    <n v="15.852399999999999"/>
  </r>
  <r>
    <x v="2"/>
    <x v="0"/>
    <x v="551"/>
    <s v="10:00"/>
    <n v="15.852399999999999"/>
  </r>
  <r>
    <x v="2"/>
    <x v="0"/>
    <x v="551"/>
    <s v="14:00"/>
    <n v="15.852399999999999"/>
  </r>
  <r>
    <x v="2"/>
    <x v="0"/>
    <x v="551"/>
    <s v="18:00"/>
    <n v="15.852399999999999"/>
  </r>
  <r>
    <x v="2"/>
    <x v="0"/>
    <x v="552"/>
    <s v="06:00"/>
    <n v="14.4383"/>
  </r>
  <r>
    <x v="2"/>
    <x v="0"/>
    <x v="552"/>
    <s v="10:00"/>
    <n v="13.8911"/>
  </r>
  <r>
    <x v="2"/>
    <x v="0"/>
    <x v="552"/>
    <s v="14:00"/>
    <n v="13.8911"/>
  </r>
  <r>
    <x v="2"/>
    <x v="0"/>
    <x v="552"/>
    <s v="18:00"/>
    <n v="13.8911"/>
  </r>
  <r>
    <x v="2"/>
    <x v="0"/>
    <x v="553"/>
    <s v="06:00"/>
    <n v="12.569100000000001"/>
  </r>
  <r>
    <x v="2"/>
    <x v="0"/>
    <x v="553"/>
    <s v="10:00"/>
    <n v="12.569100000000001"/>
  </r>
  <r>
    <x v="2"/>
    <x v="0"/>
    <x v="553"/>
    <s v="14:00"/>
    <n v="12.569100000000001"/>
  </r>
  <r>
    <x v="2"/>
    <x v="0"/>
    <x v="553"/>
    <s v="18:00"/>
    <n v="12.569100000000001"/>
  </r>
  <r>
    <x v="2"/>
    <x v="0"/>
    <x v="554"/>
    <s v="06:00"/>
    <n v="10.5908"/>
  </r>
  <r>
    <x v="2"/>
    <x v="0"/>
    <x v="554"/>
    <s v="10:00"/>
    <n v="10.5908"/>
  </r>
  <r>
    <x v="2"/>
    <x v="0"/>
    <x v="554"/>
    <s v="14:00"/>
    <n v="10.5908"/>
  </r>
  <r>
    <x v="2"/>
    <x v="0"/>
    <x v="554"/>
    <s v="18:00"/>
    <n v="18.878"/>
  </r>
  <r>
    <x v="2"/>
    <x v="0"/>
    <x v="555"/>
    <s v="06:00"/>
    <n v="20.4895"/>
  </r>
  <r>
    <x v="2"/>
    <x v="0"/>
    <x v="555"/>
    <s v="10:00"/>
    <n v="20.4895"/>
  </r>
  <r>
    <x v="2"/>
    <x v="0"/>
    <x v="555"/>
    <s v="14:00"/>
    <n v="20.4895"/>
  </r>
  <r>
    <x v="2"/>
    <x v="0"/>
    <x v="555"/>
    <s v="18:00"/>
    <n v="20.4895"/>
  </r>
  <r>
    <x v="2"/>
    <x v="0"/>
    <x v="556"/>
    <s v="06:00"/>
    <n v="22.166799999999999"/>
  </r>
  <r>
    <x v="2"/>
    <x v="0"/>
    <x v="556"/>
    <s v="10:00"/>
    <n v="18.878"/>
  </r>
  <r>
    <x v="2"/>
    <x v="0"/>
    <x v="556"/>
    <s v="14:00"/>
    <n v="18.878"/>
  </r>
  <r>
    <x v="2"/>
    <x v="0"/>
    <x v="556"/>
    <s v="18:00"/>
    <n v="18.878"/>
  </r>
  <r>
    <x v="2"/>
    <x v="0"/>
    <x v="557"/>
    <s v="06:00"/>
    <n v="13.09"/>
  </r>
  <r>
    <x v="2"/>
    <x v="0"/>
    <x v="557"/>
    <s v="10:00"/>
    <n v="13.09"/>
  </r>
  <r>
    <x v="2"/>
    <x v="0"/>
    <x v="557"/>
    <s v="14:00"/>
    <n v="13.09"/>
  </r>
  <r>
    <x v="2"/>
    <x v="0"/>
    <x v="557"/>
    <s v="18:00"/>
    <n v="12.0588"/>
  </r>
  <r>
    <x v="2"/>
    <x v="0"/>
    <x v="558"/>
    <s v="06:00"/>
    <n v="12.0588"/>
  </r>
  <r>
    <x v="2"/>
    <x v="0"/>
    <x v="558"/>
    <s v="10:00"/>
    <n v="11.5589"/>
  </r>
  <r>
    <x v="2"/>
    <x v="0"/>
    <x v="558"/>
    <s v="14:00"/>
    <n v="11.5589"/>
  </r>
  <r>
    <x v="2"/>
    <x v="0"/>
    <x v="558"/>
    <s v="18:00"/>
    <n v="11.5589"/>
  </r>
  <r>
    <x v="2"/>
    <x v="0"/>
    <x v="559"/>
    <s v="06:00"/>
    <n v="11.069599999999999"/>
  </r>
  <r>
    <x v="2"/>
    <x v="0"/>
    <x v="559"/>
    <s v="10:00"/>
    <n v="10.5908"/>
  </r>
  <r>
    <x v="2"/>
    <x v="0"/>
    <x v="559"/>
    <s v="14:00"/>
    <n v="10.5908"/>
  </r>
  <r>
    <x v="2"/>
    <x v="0"/>
    <x v="559"/>
    <s v="18:00"/>
    <n v="10.5908"/>
  </r>
  <r>
    <x v="2"/>
    <x v="0"/>
    <x v="560"/>
    <s v="06:00"/>
    <n v="8.3549000000000007"/>
  </r>
  <r>
    <x v="2"/>
    <x v="0"/>
    <x v="560"/>
    <s v="10:00"/>
    <n v="8.3549000000000007"/>
  </r>
  <r>
    <x v="2"/>
    <x v="0"/>
    <x v="560"/>
    <s v="14:00"/>
    <n v="8.3549000000000007"/>
  </r>
  <r>
    <x v="2"/>
    <x v="0"/>
    <x v="560"/>
    <s v="18:00"/>
    <n v="8.3549000000000007"/>
  </r>
  <r>
    <x v="2"/>
    <x v="0"/>
    <x v="561"/>
    <s v="06:00"/>
    <n v="7.1397000000000004"/>
  </r>
  <r>
    <x v="2"/>
    <x v="0"/>
    <x v="561"/>
    <s v="10:00"/>
    <n v="7.1397000000000004"/>
  </r>
  <r>
    <x v="2"/>
    <x v="0"/>
    <x v="561"/>
    <s v="14:00"/>
    <n v="7.1397000000000004"/>
  </r>
  <r>
    <x v="2"/>
    <x v="0"/>
    <x v="561"/>
    <s v="18:00"/>
    <n v="7.1397000000000004"/>
  </r>
  <r>
    <x v="2"/>
    <x v="0"/>
    <x v="562"/>
    <s v="06:00"/>
    <n v="6.3822000000000001"/>
  </r>
  <r>
    <x v="2"/>
    <x v="0"/>
    <x v="562"/>
    <s v="10:00"/>
    <n v="6.3822000000000001"/>
  </r>
  <r>
    <x v="2"/>
    <x v="0"/>
    <x v="562"/>
    <s v="14:00"/>
    <n v="6.3822000000000001"/>
  </r>
  <r>
    <x v="2"/>
    <x v="0"/>
    <x v="562"/>
    <s v="18:00"/>
    <n v="6.3822000000000001"/>
  </r>
  <r>
    <x v="2"/>
    <x v="0"/>
    <x v="563"/>
    <s v="06:00"/>
    <n v="7.1397000000000004"/>
  </r>
  <r>
    <x v="2"/>
    <x v="0"/>
    <x v="563"/>
    <s v="10:00"/>
    <n v="7.1397000000000004"/>
  </r>
  <r>
    <x v="2"/>
    <x v="0"/>
    <x v="563"/>
    <s v="14:00"/>
    <n v="7.1397000000000004"/>
  </r>
  <r>
    <x v="2"/>
    <x v="0"/>
    <x v="563"/>
    <s v="18:00"/>
    <n v="7.1397000000000004"/>
  </r>
  <r>
    <x v="2"/>
    <x v="0"/>
    <x v="564"/>
    <s v="06:00"/>
    <n v="7.9393000000000002"/>
  </r>
  <r>
    <x v="2"/>
    <x v="0"/>
    <x v="564"/>
    <s v="10:00"/>
    <n v="7.9393000000000002"/>
  </r>
  <r>
    <x v="2"/>
    <x v="0"/>
    <x v="564"/>
    <s v="14:00"/>
    <n v="7.9393000000000002"/>
  </r>
  <r>
    <x v="2"/>
    <x v="0"/>
    <x v="564"/>
    <s v="18:00"/>
    <n v="7.9393000000000002"/>
  </r>
  <r>
    <x v="2"/>
    <x v="0"/>
    <x v="565"/>
    <s v="06:00"/>
    <n v="2.0432999999999999"/>
  </r>
  <r>
    <x v="2"/>
    <x v="0"/>
    <x v="565"/>
    <s v="10:00"/>
    <n v="2.0432999999999999"/>
  </r>
  <r>
    <x v="2"/>
    <x v="0"/>
    <x v="565"/>
    <s v="14:00"/>
    <n v="1.8383"/>
  </r>
  <r>
    <x v="2"/>
    <x v="0"/>
    <x v="565"/>
    <s v="18:00"/>
    <n v="1.8383"/>
  </r>
  <r>
    <x v="2"/>
    <x v="0"/>
    <x v="566"/>
    <s v="06:00"/>
    <n v="1.8383"/>
  </r>
  <r>
    <x v="2"/>
    <x v="0"/>
    <x v="566"/>
    <s v="10:00"/>
    <n v="1.8383"/>
  </r>
  <r>
    <x v="2"/>
    <x v="0"/>
    <x v="566"/>
    <s v="14:00"/>
    <n v="2.2587999999999999"/>
  </r>
  <r>
    <x v="2"/>
    <x v="0"/>
    <x v="566"/>
    <s v="18:00"/>
    <n v="2.2587999999999999"/>
  </r>
  <r>
    <x v="2"/>
    <x v="0"/>
    <x v="567"/>
    <s v="06:00"/>
    <n v="2.9687000000000001"/>
  </r>
  <r>
    <x v="2"/>
    <x v="0"/>
    <x v="567"/>
    <s v="10:00"/>
    <n v="2.9687000000000001"/>
  </r>
  <r>
    <x v="2"/>
    <x v="0"/>
    <x v="567"/>
    <s v="14:00"/>
    <n v="24.266500000000001"/>
  </r>
  <r>
    <x v="2"/>
    <x v="0"/>
    <x v="567"/>
    <s v="18:00"/>
    <n v="24.266500000000001"/>
  </r>
  <r>
    <x v="2"/>
    <x v="0"/>
    <x v="568"/>
    <s v="06:00"/>
    <n v="41.617199999999997"/>
  </r>
  <r>
    <x v="2"/>
    <x v="0"/>
    <x v="568"/>
    <s v="10:00"/>
    <n v="40.685699999999997"/>
  </r>
  <r>
    <x v="2"/>
    <x v="0"/>
    <x v="568"/>
    <s v="14:00"/>
    <n v="39.764699999999998"/>
  </r>
  <r>
    <x v="2"/>
    <x v="0"/>
    <x v="568"/>
    <s v="18:00"/>
    <n v="39.764699999999998"/>
  </r>
  <r>
    <x v="2"/>
    <x v="0"/>
    <x v="569"/>
    <s v="06:00"/>
    <n v="31.134"/>
  </r>
  <r>
    <x v="2"/>
    <x v="0"/>
    <x v="569"/>
    <s v="10:00"/>
    <n v="20.4895"/>
  </r>
  <r>
    <x v="2"/>
    <x v="0"/>
    <x v="569"/>
    <s v="14:00"/>
    <n v="20.4895"/>
  </r>
  <r>
    <x v="2"/>
    <x v="0"/>
    <x v="569"/>
    <s v="18:00"/>
    <n v="20.4895"/>
  </r>
  <r>
    <x v="2"/>
    <x v="0"/>
    <x v="570"/>
    <s v="06:00"/>
    <n v="40.685699999999997"/>
  </r>
  <r>
    <x v="2"/>
    <x v="0"/>
    <x v="570"/>
    <s v="10:00"/>
    <n v="18.878"/>
  </r>
  <r>
    <x v="2"/>
    <x v="0"/>
    <x v="570"/>
    <s v="14:00"/>
    <n v="18.878"/>
  </r>
  <r>
    <x v="2"/>
    <x v="0"/>
    <x v="570"/>
    <s v="18:00"/>
    <n v="22.166799999999999"/>
  </r>
  <r>
    <x v="2"/>
    <x v="0"/>
    <x v="571"/>
    <s v="06:00"/>
    <n v="43.511899999999997"/>
  </r>
  <r>
    <x v="2"/>
    <x v="0"/>
    <x v="571"/>
    <s v="10:00"/>
    <n v="22.166799999999999"/>
  </r>
  <r>
    <x v="2"/>
    <x v="0"/>
    <x v="571"/>
    <s v="14:00"/>
    <n v="20.4895"/>
  </r>
  <r>
    <x v="2"/>
    <x v="0"/>
    <x v="571"/>
    <s v="18:00"/>
    <n v="22.166799999999999"/>
  </r>
  <r>
    <x v="2"/>
    <x v="0"/>
    <x v="572"/>
    <s v="06:00"/>
    <n v="22.166799999999999"/>
  </r>
  <r>
    <x v="2"/>
    <x v="0"/>
    <x v="572"/>
    <s v="10:00"/>
    <n v="22.166799999999999"/>
  </r>
  <r>
    <x v="2"/>
    <x v="0"/>
    <x v="572"/>
    <s v="14:00"/>
    <n v="22.166799999999999"/>
  </r>
  <r>
    <x v="2"/>
    <x v="0"/>
    <x v="572"/>
    <s v="18:00"/>
    <n v="22.166799999999999"/>
  </r>
  <r>
    <x v="2"/>
    <x v="0"/>
    <x v="573"/>
    <s v="06:00"/>
    <n v="22.735700000000001"/>
  </r>
  <r>
    <x v="2"/>
    <x v="0"/>
    <x v="573"/>
    <s v="10:00"/>
    <n v="21.2865"/>
  </r>
  <r>
    <x v="2"/>
    <x v="0"/>
    <x v="573"/>
    <s v="14:00"/>
    <n v="21.2865"/>
  </r>
  <r>
    <x v="2"/>
    <x v="0"/>
    <x v="573"/>
    <s v="18:00"/>
    <n v="21.2865"/>
  </r>
  <r>
    <x v="2"/>
    <x v="0"/>
    <x v="574"/>
    <s v="06:00"/>
    <n v="20.302"/>
  </r>
  <r>
    <x v="2"/>
    <x v="0"/>
    <x v="574"/>
    <s v="10:00"/>
    <n v="22.543600000000001"/>
  </r>
  <r>
    <x v="2"/>
    <x v="0"/>
    <x v="574"/>
    <s v="14:00"/>
    <n v="17.8047"/>
  </r>
  <r>
    <x v="2"/>
    <x v="0"/>
    <x v="574"/>
    <s v="18:00"/>
    <n v="17.8047"/>
  </r>
  <r>
    <x v="2"/>
    <x v="1"/>
    <x v="575"/>
    <s v="06:00"/>
    <n v="22.543600000000001"/>
  </r>
  <r>
    <x v="2"/>
    <x v="1"/>
    <x v="575"/>
    <s v="10:00"/>
    <n v="22.543600000000001"/>
  </r>
  <r>
    <x v="2"/>
    <x v="1"/>
    <x v="575"/>
    <s v="14:00"/>
    <n v="20.302"/>
  </r>
  <r>
    <x v="2"/>
    <x v="1"/>
    <x v="575"/>
    <s v="18:00"/>
    <n v="20.302"/>
  </r>
  <r>
    <x v="2"/>
    <x v="1"/>
    <x v="576"/>
    <s v="06:00"/>
    <n v="30.1434"/>
  </r>
  <r>
    <x v="2"/>
    <x v="1"/>
    <x v="576"/>
    <s v="10:00"/>
    <n v="30.1434"/>
  </r>
  <r>
    <x v="2"/>
    <x v="1"/>
    <x v="576"/>
    <s v="14:00"/>
    <n v="30.1434"/>
  </r>
  <r>
    <x v="2"/>
    <x v="1"/>
    <x v="576"/>
    <s v="18:00"/>
    <n v="30.1434"/>
  </r>
  <r>
    <x v="2"/>
    <x v="1"/>
    <x v="577"/>
    <s v="06:00"/>
    <n v="22.543600000000001"/>
  </r>
  <r>
    <x v="2"/>
    <x v="1"/>
    <x v="577"/>
    <s v="10:00"/>
    <n v="20.302"/>
  </r>
  <r>
    <x v="2"/>
    <x v="1"/>
    <x v="577"/>
    <s v="14:00"/>
    <n v="20.302"/>
  </r>
  <r>
    <x v="2"/>
    <x v="1"/>
    <x v="577"/>
    <s v="18:00"/>
    <n v="20.302"/>
  </r>
  <r>
    <x v="2"/>
    <x v="1"/>
    <x v="578"/>
    <s v="06:00"/>
    <n v="20.302"/>
  </r>
  <r>
    <x v="2"/>
    <x v="1"/>
    <x v="578"/>
    <s v="10:00"/>
    <n v="20.302"/>
  </r>
  <r>
    <x v="2"/>
    <x v="1"/>
    <x v="578"/>
    <s v="14:00"/>
    <n v="20.302"/>
  </r>
  <r>
    <x v="2"/>
    <x v="1"/>
    <x v="578"/>
    <s v="18:00"/>
    <n v="20.302"/>
  </r>
  <r>
    <x v="2"/>
    <x v="1"/>
    <x v="579"/>
    <s v="06:00"/>
    <n v="20.302"/>
  </r>
  <r>
    <x v="2"/>
    <x v="1"/>
    <x v="579"/>
    <s v="10:00"/>
    <n v="20.302"/>
  </r>
  <r>
    <x v="2"/>
    <x v="1"/>
    <x v="579"/>
    <s v="14:00"/>
    <n v="20.302"/>
  </r>
  <r>
    <x v="2"/>
    <x v="1"/>
    <x v="579"/>
    <s v="18:00"/>
    <n v="20.302"/>
  </r>
  <r>
    <x v="2"/>
    <x v="1"/>
    <x v="580"/>
    <s v="06:00"/>
    <n v="20.302"/>
  </r>
  <r>
    <x v="2"/>
    <x v="1"/>
    <x v="580"/>
    <s v="10:00"/>
    <n v="20.302"/>
  </r>
  <r>
    <x v="2"/>
    <x v="1"/>
    <x v="580"/>
    <s v="14:00"/>
    <n v="17.8047"/>
  </r>
  <r>
    <x v="2"/>
    <x v="1"/>
    <x v="580"/>
    <s v="18:00"/>
    <n v="20.302"/>
  </r>
  <r>
    <x v="2"/>
    <x v="1"/>
    <x v="581"/>
    <s v="06:00"/>
    <n v="20.302"/>
  </r>
  <r>
    <x v="2"/>
    <x v="1"/>
    <x v="581"/>
    <s v="10:00"/>
    <n v="20.302"/>
  </r>
  <r>
    <x v="2"/>
    <x v="1"/>
    <x v="581"/>
    <s v="14:00"/>
    <n v="18.206299999999999"/>
  </r>
  <r>
    <x v="2"/>
    <x v="1"/>
    <x v="581"/>
    <s v="18:00"/>
    <n v="18.206299999999999"/>
  </r>
  <r>
    <x v="2"/>
    <x v="1"/>
    <x v="582"/>
    <s v="06:00"/>
    <n v="20.302"/>
  </r>
  <r>
    <x v="2"/>
    <x v="1"/>
    <x v="582"/>
    <s v="10:00"/>
    <n v="20.302"/>
  </r>
  <r>
    <x v="2"/>
    <x v="1"/>
    <x v="582"/>
    <s v="14:00"/>
    <n v="20.302"/>
  </r>
  <r>
    <x v="2"/>
    <x v="1"/>
    <x v="582"/>
    <s v="18:00"/>
    <n v="18.206299999999999"/>
  </r>
  <r>
    <x v="2"/>
    <x v="1"/>
    <x v="583"/>
    <s v="06:00"/>
    <n v="18.206299999999999"/>
  </r>
  <r>
    <x v="2"/>
    <x v="1"/>
    <x v="583"/>
    <s v="10:00"/>
    <n v="18.206299999999999"/>
  </r>
  <r>
    <x v="2"/>
    <x v="1"/>
    <x v="583"/>
    <s v="14:00"/>
    <n v="16.256499999999999"/>
  </r>
  <r>
    <x v="2"/>
    <x v="1"/>
    <x v="583"/>
    <s v="18:00"/>
    <n v="16.256499999999999"/>
  </r>
  <r>
    <x v="2"/>
    <x v="1"/>
    <x v="584"/>
    <s v="06:00"/>
    <n v="22.543600000000001"/>
  </r>
  <r>
    <x v="2"/>
    <x v="1"/>
    <x v="584"/>
    <s v="10:00"/>
    <n v="20.302"/>
  </r>
  <r>
    <x v="2"/>
    <x v="1"/>
    <x v="584"/>
    <s v="14:00"/>
    <n v="20.302"/>
  </r>
  <r>
    <x v="2"/>
    <x v="1"/>
    <x v="584"/>
    <s v="18:00"/>
    <n v="20.302"/>
  </r>
  <r>
    <x v="2"/>
    <x v="1"/>
    <x v="585"/>
    <s v="06:00"/>
    <n v="35.9392"/>
  </r>
  <r>
    <x v="2"/>
    <x v="1"/>
    <x v="585"/>
    <s v="10:00"/>
    <n v="35.9392"/>
  </r>
  <r>
    <x v="2"/>
    <x v="1"/>
    <x v="585"/>
    <s v="14:00"/>
    <n v="30.1434"/>
  </r>
  <r>
    <x v="2"/>
    <x v="1"/>
    <x v="585"/>
    <s v="18:00"/>
    <n v="30.1434"/>
  </r>
  <r>
    <x v="2"/>
    <x v="1"/>
    <x v="586"/>
    <s v="06:00"/>
    <n v="42.3185"/>
  </r>
  <r>
    <x v="2"/>
    <x v="1"/>
    <x v="586"/>
    <s v="10:00"/>
    <n v="32.968400000000003"/>
  </r>
  <r>
    <x v="2"/>
    <x v="1"/>
    <x v="586"/>
    <s v="14:00"/>
    <n v="30.1434"/>
  </r>
  <r>
    <x v="2"/>
    <x v="1"/>
    <x v="586"/>
    <s v="18:00"/>
    <n v="35.9392"/>
  </r>
  <r>
    <x v="2"/>
    <x v="1"/>
    <x v="587"/>
    <s v="06:00"/>
    <n v="79.177899999999994"/>
  </r>
  <r>
    <x v="2"/>
    <x v="1"/>
    <x v="587"/>
    <s v="10:00"/>
    <n v="81.060500000000005"/>
  </r>
  <r>
    <x v="2"/>
    <x v="1"/>
    <x v="587"/>
    <s v="14:00"/>
    <n v="79.177899999999994"/>
  </r>
  <r>
    <x v="2"/>
    <x v="1"/>
    <x v="587"/>
    <s v="18:00"/>
    <n v="81.060500000000005"/>
  </r>
  <r>
    <x v="2"/>
    <x v="1"/>
    <x v="588"/>
    <s v="06:00"/>
    <n v="78.2453"/>
  </r>
  <r>
    <x v="2"/>
    <x v="1"/>
    <x v="588"/>
    <s v="10:00"/>
    <n v="78.2453"/>
  </r>
  <r>
    <x v="2"/>
    <x v="1"/>
    <x v="588"/>
    <s v="14:00"/>
    <n v="78.2453"/>
  </r>
  <r>
    <x v="2"/>
    <x v="1"/>
    <x v="588"/>
    <s v="18:00"/>
    <n v="78.2453"/>
  </r>
  <r>
    <x v="2"/>
    <x v="1"/>
    <x v="589"/>
    <s v="06:00"/>
    <n v="60.819299999999998"/>
  </r>
  <r>
    <x v="2"/>
    <x v="1"/>
    <x v="589"/>
    <s v="10:00"/>
    <n v="56.827399999999997"/>
  </r>
  <r>
    <x v="2"/>
    <x v="1"/>
    <x v="589"/>
    <s v="14:00"/>
    <n v="56.827399999999997"/>
  </r>
  <r>
    <x v="2"/>
    <x v="1"/>
    <x v="589"/>
    <s v="18:00"/>
    <n v="49.281199999999998"/>
  </r>
  <r>
    <x v="2"/>
    <x v="1"/>
    <x v="590"/>
    <s v="06:00"/>
    <n v="32.968400000000003"/>
  </r>
  <r>
    <x v="2"/>
    <x v="1"/>
    <x v="590"/>
    <s v="10:00"/>
    <n v="32.968400000000003"/>
  </r>
  <r>
    <x v="2"/>
    <x v="1"/>
    <x v="590"/>
    <s v="14:00"/>
    <n v="32.968400000000003"/>
  </r>
  <r>
    <x v="2"/>
    <x v="1"/>
    <x v="590"/>
    <s v="18:00"/>
    <n v="32.968400000000003"/>
  </r>
  <r>
    <x v="2"/>
    <x v="1"/>
    <x v="591"/>
    <s v="06:00"/>
    <n v="30.1434"/>
  </r>
  <r>
    <x v="2"/>
    <x v="1"/>
    <x v="591"/>
    <s v="10:00"/>
    <n v="32.968400000000003"/>
  </r>
  <r>
    <x v="2"/>
    <x v="1"/>
    <x v="591"/>
    <s v="14:00"/>
    <n v="32.968400000000003"/>
  </r>
  <r>
    <x v="2"/>
    <x v="1"/>
    <x v="591"/>
    <s v="18:00"/>
    <n v="30.1434"/>
  </r>
  <r>
    <x v="2"/>
    <x v="1"/>
    <x v="592"/>
    <s v="06:00"/>
    <n v="37.168399999999998"/>
  </r>
  <r>
    <x v="2"/>
    <x v="1"/>
    <x v="592"/>
    <s v="10:00"/>
    <n v="37.168399999999998"/>
  </r>
  <r>
    <x v="2"/>
    <x v="1"/>
    <x v="592"/>
    <s v="14:00"/>
    <n v="37.168399999999998"/>
  </r>
  <r>
    <x v="2"/>
    <x v="1"/>
    <x v="592"/>
    <s v="18:00"/>
    <n v="38.420900000000003"/>
  </r>
  <r>
    <x v="2"/>
    <x v="1"/>
    <x v="593"/>
    <s v="06:00"/>
    <n v="37.791699999999999"/>
  </r>
  <r>
    <x v="2"/>
    <x v="1"/>
    <x v="593"/>
    <s v="10:00"/>
    <n v="37.791699999999999"/>
  </r>
  <r>
    <x v="2"/>
    <x v="1"/>
    <x v="593"/>
    <s v="14:00"/>
    <n v="37.791699999999999"/>
  </r>
  <r>
    <x v="2"/>
    <x v="1"/>
    <x v="593"/>
    <s v="18:00"/>
    <n v="37.168399999999998"/>
  </r>
  <r>
    <x v="2"/>
    <x v="1"/>
    <x v="594"/>
    <s v="06:00"/>
    <n v="36.550899999999999"/>
  </r>
  <r>
    <x v="2"/>
    <x v="1"/>
    <x v="594"/>
    <s v="10:00"/>
    <n v="35.9392"/>
  </r>
  <r>
    <x v="2"/>
    <x v="1"/>
    <x v="594"/>
    <s v="14:00"/>
    <n v="35.9392"/>
  </r>
  <r>
    <x v="2"/>
    <x v="1"/>
    <x v="594"/>
    <s v="18:00"/>
    <n v="35.9392"/>
  </r>
  <r>
    <x v="2"/>
    <x v="1"/>
    <x v="595"/>
    <s v="06:00"/>
    <n v="22.543600000000001"/>
  </r>
  <r>
    <x v="2"/>
    <x v="1"/>
    <x v="595"/>
    <s v="10:00"/>
    <n v="20.302"/>
  </r>
  <r>
    <x v="2"/>
    <x v="1"/>
    <x v="595"/>
    <s v="14:00"/>
    <n v="20.302"/>
  </r>
  <r>
    <x v="2"/>
    <x v="1"/>
    <x v="595"/>
    <s v="18:00"/>
    <n v="20.302"/>
  </r>
  <r>
    <x v="2"/>
    <x v="1"/>
    <x v="596"/>
    <s v="06:00"/>
    <n v="32.968400000000003"/>
  </r>
  <r>
    <x v="2"/>
    <x v="1"/>
    <x v="596"/>
    <s v="10:00"/>
    <n v="32.968400000000003"/>
  </r>
  <r>
    <x v="2"/>
    <x v="1"/>
    <x v="596"/>
    <s v="14:00"/>
    <n v="32.968400000000003"/>
  </r>
  <r>
    <x v="2"/>
    <x v="1"/>
    <x v="596"/>
    <s v="18:00"/>
    <n v="32.968400000000003"/>
  </r>
  <r>
    <x v="2"/>
    <x v="1"/>
    <x v="597"/>
    <s v="06:00"/>
    <n v="45.726900000000001"/>
  </r>
  <r>
    <x v="2"/>
    <x v="1"/>
    <x v="597"/>
    <s v="10:00"/>
    <n v="45.726900000000001"/>
  </r>
  <r>
    <x v="2"/>
    <x v="1"/>
    <x v="597"/>
    <s v="14:00"/>
    <n v="45.726900000000001"/>
  </r>
  <r>
    <x v="2"/>
    <x v="1"/>
    <x v="597"/>
    <s v="18:00"/>
    <n v="45.726900000000001"/>
  </r>
  <r>
    <x v="2"/>
    <x v="1"/>
    <x v="598"/>
    <s v="06:00"/>
    <n v="35.9392"/>
  </r>
  <r>
    <x v="2"/>
    <x v="1"/>
    <x v="598"/>
    <s v="10:00"/>
    <n v="35.9392"/>
  </r>
  <r>
    <x v="2"/>
    <x v="1"/>
    <x v="598"/>
    <s v="14:00"/>
    <n v="35.9392"/>
  </r>
  <r>
    <x v="2"/>
    <x v="1"/>
    <x v="598"/>
    <s v="18:00"/>
    <n v="35.9392"/>
  </r>
  <r>
    <x v="2"/>
    <x v="1"/>
    <x v="599"/>
    <s v="06:00"/>
    <n v="42.3185"/>
  </r>
  <r>
    <x v="2"/>
    <x v="1"/>
    <x v="599"/>
    <s v="10:00"/>
    <n v="42.988500000000002"/>
  </r>
  <r>
    <x v="2"/>
    <x v="1"/>
    <x v="599"/>
    <s v="14:00"/>
    <n v="42.3185"/>
  </r>
  <r>
    <x v="2"/>
    <x v="1"/>
    <x v="599"/>
    <s v="18:00"/>
    <n v="42.3185"/>
  </r>
  <r>
    <x v="2"/>
    <x v="1"/>
    <x v="600"/>
    <s v="06:00"/>
    <n v="56.827399999999997"/>
  </r>
  <r>
    <x v="2"/>
    <x v="1"/>
    <x v="600"/>
    <s v="10:00"/>
    <n v="56.827399999999997"/>
  </r>
  <r>
    <x v="2"/>
    <x v="1"/>
    <x v="600"/>
    <s v="14:00"/>
    <n v="55.271500000000003"/>
  </r>
  <r>
    <x v="2"/>
    <x v="1"/>
    <x v="600"/>
    <s v="18:00"/>
    <n v="56.827399999999997"/>
  </r>
  <r>
    <x v="2"/>
    <x v="1"/>
    <x v="601"/>
    <s v="06:00"/>
    <n v="41.654299999999999"/>
  </r>
  <r>
    <x v="2"/>
    <x v="1"/>
    <x v="601"/>
    <s v="10:00"/>
    <n v="40.996000000000002"/>
  </r>
  <r>
    <x v="2"/>
    <x v="1"/>
    <x v="601"/>
    <s v="14:00"/>
    <n v="40.996000000000002"/>
  </r>
  <r>
    <x v="2"/>
    <x v="1"/>
    <x v="601"/>
    <s v="18:00"/>
    <n v="40.996000000000002"/>
  </r>
  <r>
    <x v="2"/>
    <x v="1"/>
    <x v="602"/>
    <s v="06:00"/>
    <n v="42.3185"/>
  </r>
  <r>
    <x v="2"/>
    <x v="1"/>
    <x v="602"/>
    <s v="10:00"/>
    <n v="42.3185"/>
  </r>
  <r>
    <x v="2"/>
    <x v="1"/>
    <x v="602"/>
    <s v="14:00"/>
    <n v="42.3185"/>
  </r>
  <r>
    <x v="2"/>
    <x v="1"/>
    <x v="602"/>
    <s v="18:00"/>
    <n v="42.3185"/>
  </r>
  <r>
    <x v="2"/>
    <x v="2"/>
    <x v="603"/>
    <s v="06:00"/>
    <n v="42.3185"/>
  </r>
  <r>
    <x v="2"/>
    <x v="2"/>
    <x v="603"/>
    <s v="10:00"/>
    <n v="42.3185"/>
  </r>
  <r>
    <x v="2"/>
    <x v="2"/>
    <x v="603"/>
    <s v="14:00"/>
    <n v="42.3185"/>
  </r>
  <r>
    <x v="2"/>
    <x v="2"/>
    <x v="603"/>
    <s v="18:00"/>
    <n v="39.055900000000001"/>
  </r>
  <r>
    <x v="2"/>
    <x v="2"/>
    <x v="604"/>
    <s v="06:00"/>
    <n v="37.168399999999998"/>
  </r>
  <r>
    <x v="2"/>
    <x v="2"/>
    <x v="604"/>
    <s v="10:00"/>
    <n v="37.168399999999998"/>
  </r>
  <r>
    <x v="2"/>
    <x v="2"/>
    <x v="604"/>
    <s v="14:00"/>
    <n v="37.168399999999998"/>
  </r>
  <r>
    <x v="2"/>
    <x v="2"/>
    <x v="604"/>
    <s v="18:00"/>
    <n v="37.168399999999998"/>
  </r>
  <r>
    <x v="2"/>
    <x v="2"/>
    <x v="605"/>
    <s v="06:00"/>
    <n v="56.046500000000002"/>
  </r>
  <r>
    <x v="2"/>
    <x v="2"/>
    <x v="605"/>
    <s v="10:00"/>
    <n v="56.046500000000002"/>
  </r>
  <r>
    <x v="2"/>
    <x v="2"/>
    <x v="605"/>
    <s v="14:00"/>
    <n v="55.271500000000003"/>
  </r>
  <r>
    <x v="2"/>
    <x v="2"/>
    <x v="605"/>
    <s v="18:00"/>
    <n v="55.271500000000003"/>
  </r>
  <r>
    <x v="2"/>
    <x v="2"/>
    <x v="606"/>
    <s v="06:00"/>
    <n v="69.240600000000001"/>
  </r>
  <r>
    <x v="2"/>
    <x v="2"/>
    <x v="606"/>
    <s v="10:00"/>
    <n v="69.240600000000001"/>
  </r>
  <r>
    <x v="2"/>
    <x v="2"/>
    <x v="606"/>
    <s v="14:00"/>
    <n v="69.240600000000001"/>
  </r>
  <r>
    <x v="2"/>
    <x v="2"/>
    <x v="606"/>
    <s v="18:00"/>
    <n v="68.372200000000007"/>
  </r>
  <r>
    <x v="2"/>
    <x v="2"/>
    <x v="607"/>
    <s v="06:00"/>
    <n v="64.956999999999994"/>
  </r>
  <r>
    <x v="2"/>
    <x v="2"/>
    <x v="607"/>
    <s v="10:00"/>
    <n v="64.956999999999994"/>
  </r>
  <r>
    <x v="2"/>
    <x v="2"/>
    <x v="607"/>
    <s v="14:00"/>
    <n v="64.956999999999994"/>
  </r>
  <r>
    <x v="2"/>
    <x v="2"/>
    <x v="607"/>
    <s v="18:00"/>
    <n v="64.956999999999994"/>
  </r>
  <r>
    <x v="2"/>
    <x v="2"/>
    <x v="608"/>
    <s v="06:00"/>
    <n v="69.240600000000001"/>
  </r>
  <r>
    <x v="2"/>
    <x v="2"/>
    <x v="608"/>
    <s v="10:00"/>
    <n v="69.240600000000001"/>
  </r>
  <r>
    <x v="2"/>
    <x v="2"/>
    <x v="608"/>
    <s v="14:00"/>
    <n v="69.240600000000001"/>
  </r>
  <r>
    <x v="2"/>
    <x v="2"/>
    <x v="608"/>
    <s v="18:00"/>
    <n v="64.956999999999994"/>
  </r>
  <r>
    <x v="2"/>
    <x v="2"/>
    <x v="609"/>
    <s v="06:00"/>
    <n v="73.67"/>
  </r>
  <r>
    <x v="2"/>
    <x v="2"/>
    <x v="609"/>
    <s v="10:00"/>
    <n v="73.67"/>
  </r>
  <r>
    <x v="2"/>
    <x v="2"/>
    <x v="609"/>
    <s v="14:00"/>
    <n v="73.67"/>
  </r>
  <r>
    <x v="2"/>
    <x v="2"/>
    <x v="609"/>
    <s v="18:00"/>
    <n v="73.67"/>
  </r>
  <r>
    <x v="2"/>
    <x v="2"/>
    <x v="610"/>
    <s v="06:00"/>
    <n v="64.956999999999994"/>
  </r>
  <r>
    <x v="2"/>
    <x v="2"/>
    <x v="610"/>
    <s v="10:00"/>
    <n v="64.956999999999994"/>
  </r>
  <r>
    <x v="2"/>
    <x v="2"/>
    <x v="610"/>
    <s v="14:00"/>
    <n v="64.956999999999994"/>
  </r>
  <r>
    <x v="2"/>
    <x v="2"/>
    <x v="610"/>
    <s v="18:00"/>
    <n v="64.956999999999994"/>
  </r>
  <r>
    <x v="2"/>
    <x v="2"/>
    <x v="611"/>
    <s v="06:00"/>
    <n v="64.956999999999994"/>
  </r>
  <r>
    <x v="2"/>
    <x v="2"/>
    <x v="611"/>
    <s v="10:00"/>
    <n v="64.956999999999994"/>
  </r>
  <r>
    <x v="2"/>
    <x v="2"/>
    <x v="611"/>
    <s v="14:00"/>
    <n v="42.3185"/>
  </r>
  <r>
    <x v="2"/>
    <x v="2"/>
    <x v="611"/>
    <s v="18:00"/>
    <n v="42.3185"/>
  </r>
  <r>
    <x v="2"/>
    <x v="2"/>
    <x v="612"/>
    <s v="06:00"/>
    <n v="42.3185"/>
  </r>
  <r>
    <x v="2"/>
    <x v="2"/>
    <x v="612"/>
    <s v="10:00"/>
    <n v="42.3185"/>
  </r>
  <r>
    <x v="2"/>
    <x v="2"/>
    <x v="612"/>
    <s v="14:00"/>
    <n v="42.3185"/>
  </r>
  <r>
    <x v="2"/>
    <x v="2"/>
    <x v="612"/>
    <s v="18:00"/>
    <n v="42.3185"/>
  </r>
  <r>
    <x v="2"/>
    <x v="2"/>
    <x v="613"/>
    <s v="06:00"/>
    <n v="42.3185"/>
  </r>
  <r>
    <x v="2"/>
    <x v="2"/>
    <x v="613"/>
    <s v="10:00"/>
    <n v="42.3185"/>
  </r>
  <r>
    <x v="2"/>
    <x v="2"/>
    <x v="613"/>
    <s v="14:00"/>
    <n v="42.3185"/>
  </r>
  <r>
    <x v="2"/>
    <x v="2"/>
    <x v="613"/>
    <s v="18:00"/>
    <n v="42.3185"/>
  </r>
  <r>
    <x v="2"/>
    <x v="2"/>
    <x v="614"/>
    <s v="06:00"/>
    <n v="41.654299999999999"/>
  </r>
  <r>
    <x v="2"/>
    <x v="2"/>
    <x v="614"/>
    <s v="10:00"/>
    <n v="41.654299999999999"/>
  </r>
  <r>
    <x v="2"/>
    <x v="2"/>
    <x v="614"/>
    <s v="14:00"/>
    <n v="41.654299999999999"/>
  </r>
  <r>
    <x v="2"/>
    <x v="2"/>
    <x v="614"/>
    <s v="18:00"/>
    <n v="41.654299999999999"/>
  </r>
  <r>
    <x v="2"/>
    <x v="2"/>
    <x v="615"/>
    <s v="06:00"/>
    <n v="30.1434"/>
  </r>
  <r>
    <x v="2"/>
    <x v="2"/>
    <x v="615"/>
    <s v="10:00"/>
    <n v="24.931000000000001"/>
  </r>
  <r>
    <x v="2"/>
    <x v="2"/>
    <x v="615"/>
    <s v="14:00"/>
    <n v="24.931000000000001"/>
  </r>
  <r>
    <x v="2"/>
    <x v="2"/>
    <x v="615"/>
    <s v="18:00"/>
    <n v="24.931000000000001"/>
  </r>
  <r>
    <x v="2"/>
    <x v="2"/>
    <x v="616"/>
    <s v="06:00"/>
    <n v="17.018899999999999"/>
  </r>
  <r>
    <x v="2"/>
    <x v="2"/>
    <x v="616"/>
    <s v="10:00"/>
    <n v="17.018899999999999"/>
  </r>
  <r>
    <x v="2"/>
    <x v="2"/>
    <x v="616"/>
    <s v="14:00"/>
    <n v="16.256499999999999"/>
  </r>
  <r>
    <x v="2"/>
    <x v="2"/>
    <x v="616"/>
    <s v="18:00"/>
    <n v="16.256499999999999"/>
  </r>
  <r>
    <x v="2"/>
    <x v="2"/>
    <x v="617"/>
    <s v="06:00"/>
    <n v="49.281199999999998"/>
  </r>
  <r>
    <x v="2"/>
    <x v="2"/>
    <x v="617"/>
    <s v="10:00"/>
    <n v="49.281199999999998"/>
  </r>
  <r>
    <x v="2"/>
    <x v="2"/>
    <x v="617"/>
    <s v="14:00"/>
    <n v="45.726900000000001"/>
  </r>
  <r>
    <x v="2"/>
    <x v="2"/>
    <x v="617"/>
    <s v="18:00"/>
    <n v="45.726900000000001"/>
  </r>
  <r>
    <x v="2"/>
    <x v="2"/>
    <x v="618"/>
    <s v="06:00"/>
    <n v="60.819299999999998"/>
  </r>
  <r>
    <x v="2"/>
    <x v="2"/>
    <x v="618"/>
    <s v="10:00"/>
    <n v="60.819299999999998"/>
  </r>
  <r>
    <x v="2"/>
    <x v="2"/>
    <x v="618"/>
    <s v="14:00"/>
    <n v="60.819299999999998"/>
  </r>
  <r>
    <x v="2"/>
    <x v="2"/>
    <x v="618"/>
    <s v="18:00"/>
    <n v="60.819299999999998"/>
  </r>
  <r>
    <x v="2"/>
    <x v="2"/>
    <x v="619"/>
    <s v="06:00"/>
    <n v="42.3185"/>
  </r>
  <r>
    <x v="2"/>
    <x v="2"/>
    <x v="619"/>
    <s v="10:00"/>
    <n v="42.3185"/>
  </r>
  <r>
    <x v="2"/>
    <x v="2"/>
    <x v="619"/>
    <s v="14:00"/>
    <n v="40.343499999999999"/>
  </r>
  <r>
    <x v="2"/>
    <x v="2"/>
    <x v="619"/>
    <s v="18:00"/>
    <n v="39.055900000000001"/>
  </r>
  <r>
    <x v="2"/>
    <x v="2"/>
    <x v="620"/>
    <s v="06:00"/>
    <n v="52.981400000000001"/>
  </r>
  <r>
    <x v="2"/>
    <x v="2"/>
    <x v="620"/>
    <s v="10:00"/>
    <n v="52.981400000000001"/>
  </r>
  <r>
    <x v="2"/>
    <x v="2"/>
    <x v="620"/>
    <s v="14:00"/>
    <n v="52.981400000000001"/>
  </r>
  <r>
    <x v="2"/>
    <x v="2"/>
    <x v="620"/>
    <s v="18:00"/>
    <n v="49.281199999999998"/>
  </r>
  <r>
    <x v="2"/>
    <x v="2"/>
    <x v="621"/>
    <s v="06:00"/>
    <n v="75.482600000000005"/>
  </r>
  <r>
    <x v="2"/>
    <x v="2"/>
    <x v="621"/>
    <s v="10:00"/>
    <n v="75.482600000000005"/>
  </r>
  <r>
    <x v="2"/>
    <x v="2"/>
    <x v="621"/>
    <s v="14:00"/>
    <n v="75.482600000000005"/>
  </r>
  <r>
    <x v="2"/>
    <x v="2"/>
    <x v="621"/>
    <s v="18:00"/>
    <n v="73.67"/>
  </r>
  <r>
    <x v="2"/>
    <x v="2"/>
    <x v="622"/>
    <s v="06:00"/>
    <n v="73.67"/>
  </r>
  <r>
    <x v="2"/>
    <x v="2"/>
    <x v="622"/>
    <s v="10:00"/>
    <n v="73.67"/>
  </r>
  <r>
    <x v="2"/>
    <x v="2"/>
    <x v="622"/>
    <s v="14:00"/>
    <n v="73.67"/>
  </r>
  <r>
    <x v="2"/>
    <x v="2"/>
    <x v="622"/>
    <s v="18:00"/>
    <n v="73.67"/>
  </r>
  <r>
    <x v="2"/>
    <x v="2"/>
    <x v="623"/>
    <s v="06:00"/>
    <n v="49.281199999999998"/>
  </r>
  <r>
    <x v="2"/>
    <x v="2"/>
    <x v="623"/>
    <s v="10:00"/>
    <n v="49.281199999999998"/>
  </r>
  <r>
    <x v="2"/>
    <x v="2"/>
    <x v="623"/>
    <s v="14:00"/>
    <n v="49.281199999999998"/>
  </r>
  <r>
    <x v="2"/>
    <x v="2"/>
    <x v="623"/>
    <s v="18:00"/>
    <n v="49.281199999999998"/>
  </r>
  <r>
    <x v="2"/>
    <x v="2"/>
    <x v="624"/>
    <s v="06:00"/>
    <n v="42.3185"/>
  </r>
  <r>
    <x v="2"/>
    <x v="2"/>
    <x v="624"/>
    <s v="10:00"/>
    <n v="42.3185"/>
  </r>
  <r>
    <x v="2"/>
    <x v="2"/>
    <x v="624"/>
    <s v="14:00"/>
    <n v="40.996000000000002"/>
  </r>
  <r>
    <x v="2"/>
    <x v="2"/>
    <x v="624"/>
    <s v="18:00"/>
    <n v="40.996000000000002"/>
  </r>
  <r>
    <x v="2"/>
    <x v="2"/>
    <x v="625"/>
    <s v="06:00"/>
    <n v="42.3185"/>
  </r>
  <r>
    <x v="2"/>
    <x v="2"/>
    <x v="625"/>
    <s v="10:00"/>
    <n v="42.3185"/>
  </r>
  <r>
    <x v="2"/>
    <x v="2"/>
    <x v="625"/>
    <s v="14:00"/>
    <n v="42.3185"/>
  </r>
  <r>
    <x v="2"/>
    <x v="2"/>
    <x v="625"/>
    <s v="18:00"/>
    <n v="39.696800000000003"/>
  </r>
  <r>
    <x v="2"/>
    <x v="2"/>
    <x v="626"/>
    <s v="06:00"/>
    <n v="42.3185"/>
  </r>
  <r>
    <x v="2"/>
    <x v="2"/>
    <x v="626"/>
    <s v="10:00"/>
    <n v="42.3185"/>
  </r>
  <r>
    <x v="2"/>
    <x v="2"/>
    <x v="626"/>
    <s v="14:00"/>
    <n v="42.3185"/>
  </r>
  <r>
    <x v="2"/>
    <x v="2"/>
    <x v="626"/>
    <s v="18:00"/>
    <n v="42.3185"/>
  </r>
  <r>
    <x v="2"/>
    <x v="2"/>
    <x v="627"/>
    <s v="06:00"/>
    <n v="49.281199999999998"/>
  </r>
  <r>
    <x v="2"/>
    <x v="2"/>
    <x v="627"/>
    <s v="10:00"/>
    <n v="49.281199999999998"/>
  </r>
  <r>
    <x v="2"/>
    <x v="2"/>
    <x v="627"/>
    <s v="14:00"/>
    <n v="46.426099999999998"/>
  </r>
  <r>
    <x v="2"/>
    <x v="2"/>
    <x v="627"/>
    <s v="18:00"/>
    <n v="46.426099999999998"/>
  </r>
  <r>
    <x v="2"/>
    <x v="2"/>
    <x v="628"/>
    <s v="06:00"/>
    <n v="50.7438"/>
  </r>
  <r>
    <x v="2"/>
    <x v="2"/>
    <x v="628"/>
    <s v="10:00"/>
    <n v="50.7438"/>
  </r>
  <r>
    <x v="2"/>
    <x v="2"/>
    <x v="628"/>
    <s v="14:00"/>
    <n v="49.281199999999998"/>
  </r>
  <r>
    <x v="2"/>
    <x v="2"/>
    <x v="628"/>
    <s v="18:00"/>
    <n v="49.281199999999998"/>
  </r>
  <r>
    <x v="2"/>
    <x v="2"/>
    <x v="629"/>
    <s v="06:00"/>
    <n v="43.664400000000001"/>
  </r>
  <r>
    <x v="2"/>
    <x v="2"/>
    <x v="629"/>
    <s v="10:00"/>
    <n v="43.664400000000001"/>
  </r>
  <r>
    <x v="2"/>
    <x v="2"/>
    <x v="629"/>
    <s v="14:00"/>
    <n v="43.664400000000001"/>
  </r>
  <r>
    <x v="2"/>
    <x v="2"/>
    <x v="629"/>
    <s v="18:00"/>
    <n v="43.664400000000001"/>
  </r>
  <r>
    <x v="2"/>
    <x v="2"/>
    <x v="630"/>
    <s v="06:00"/>
    <n v="64.956999999999994"/>
  </r>
  <r>
    <x v="2"/>
    <x v="2"/>
    <x v="630"/>
    <s v="10:00"/>
    <n v="64.956999999999994"/>
  </r>
  <r>
    <x v="2"/>
    <x v="2"/>
    <x v="630"/>
    <s v="14:00"/>
    <n v="60.819299999999998"/>
  </r>
  <r>
    <x v="2"/>
    <x v="2"/>
    <x v="630"/>
    <s v="18:00"/>
    <n v="60.819299999999998"/>
  </r>
  <r>
    <x v="2"/>
    <x v="2"/>
    <x v="631"/>
    <s v="06:00"/>
    <n v="49.281199999999998"/>
  </r>
  <r>
    <x v="2"/>
    <x v="2"/>
    <x v="631"/>
    <s v="10:00"/>
    <n v="49.281199999999998"/>
  </r>
  <r>
    <x v="2"/>
    <x v="2"/>
    <x v="631"/>
    <s v="14:00"/>
    <n v="49.281199999999998"/>
  </r>
  <r>
    <x v="2"/>
    <x v="2"/>
    <x v="631"/>
    <s v="18:00"/>
    <n v="49.281199999999998"/>
  </r>
  <r>
    <x v="2"/>
    <x v="2"/>
    <x v="632"/>
    <s v="06:00"/>
    <n v="76.3977"/>
  </r>
  <r>
    <x v="2"/>
    <x v="2"/>
    <x v="632"/>
    <s v="10:00"/>
    <n v="73.67"/>
  </r>
  <r>
    <x v="2"/>
    <x v="2"/>
    <x v="632"/>
    <s v="14:00"/>
    <n v="73.67"/>
  </r>
  <r>
    <x v="2"/>
    <x v="2"/>
    <x v="632"/>
    <s v="18:00"/>
    <n v="73.67"/>
  </r>
  <r>
    <x v="2"/>
    <x v="2"/>
    <x v="633"/>
    <s v="06:00"/>
    <n v="50.7438"/>
  </r>
  <r>
    <x v="2"/>
    <x v="2"/>
    <x v="633"/>
    <s v="10:00"/>
    <n v="50.7438"/>
  </r>
  <r>
    <x v="2"/>
    <x v="2"/>
    <x v="633"/>
    <s v="14:00"/>
    <n v="49.281199999999998"/>
  </r>
  <r>
    <x v="2"/>
    <x v="2"/>
    <x v="633"/>
    <s v="18:00"/>
    <n v="49.281199999999998"/>
  </r>
  <r>
    <x v="2"/>
    <x v="3"/>
    <x v="634"/>
    <s v="06:00"/>
    <n v="49.281199999999998"/>
  </r>
  <r>
    <x v="2"/>
    <x v="3"/>
    <x v="634"/>
    <s v="10:00"/>
    <n v="49.281199999999998"/>
  </r>
  <r>
    <x v="2"/>
    <x v="3"/>
    <x v="634"/>
    <s v="14:00"/>
    <n v="47.841999999999999"/>
  </r>
  <r>
    <x v="2"/>
    <x v="3"/>
    <x v="634"/>
    <s v="18:00"/>
    <n v="47.841999999999999"/>
  </r>
  <r>
    <x v="2"/>
    <x v="3"/>
    <x v="635"/>
    <s v="06:00"/>
    <n v="42.3185"/>
  </r>
  <r>
    <x v="2"/>
    <x v="3"/>
    <x v="635"/>
    <s v="10:00"/>
    <n v="42.3185"/>
  </r>
  <r>
    <x v="2"/>
    <x v="3"/>
    <x v="635"/>
    <s v="14:00"/>
    <n v="35.9392"/>
  </r>
  <r>
    <x v="2"/>
    <x v="3"/>
    <x v="635"/>
    <s v="18:00"/>
    <n v="35.9392"/>
  </r>
  <r>
    <x v="2"/>
    <x v="3"/>
    <x v="636"/>
    <s v="06:00"/>
    <n v="56.827399999999997"/>
  </r>
  <r>
    <x v="2"/>
    <x v="3"/>
    <x v="636"/>
    <s v="10:00"/>
    <n v="56.827399999999997"/>
  </r>
  <r>
    <x v="2"/>
    <x v="3"/>
    <x v="636"/>
    <s v="14:00"/>
    <n v="55.271500000000003"/>
  </r>
  <r>
    <x v="2"/>
    <x v="3"/>
    <x v="636"/>
    <s v="18:00"/>
    <n v="55.271500000000003"/>
  </r>
  <r>
    <x v="2"/>
    <x v="3"/>
    <x v="637"/>
    <s v="06:00"/>
    <n v="49.281199999999998"/>
  </r>
  <r>
    <x v="2"/>
    <x v="3"/>
    <x v="637"/>
    <s v="10:00"/>
    <n v="49.281199999999998"/>
  </r>
  <r>
    <x v="2"/>
    <x v="3"/>
    <x v="637"/>
    <s v="14:00"/>
    <n v="49.281199999999998"/>
  </r>
  <r>
    <x v="2"/>
    <x v="3"/>
    <x v="637"/>
    <s v="18:00"/>
    <n v="49.281199999999998"/>
  </r>
  <r>
    <x v="2"/>
    <x v="3"/>
    <x v="638"/>
    <s v="06:00"/>
    <n v="49.281199999999998"/>
  </r>
  <r>
    <x v="2"/>
    <x v="3"/>
    <x v="638"/>
    <s v="10:00"/>
    <n v="49.281199999999998"/>
  </r>
  <r>
    <x v="2"/>
    <x v="3"/>
    <x v="638"/>
    <s v="14:00"/>
    <n v="49.281199999999998"/>
  </r>
  <r>
    <x v="2"/>
    <x v="3"/>
    <x v="638"/>
    <s v="18:00"/>
    <n v="49.281199999999998"/>
  </r>
  <r>
    <x v="2"/>
    <x v="3"/>
    <x v="639"/>
    <s v="06:00"/>
    <n v="56.827399999999997"/>
  </r>
  <r>
    <x v="2"/>
    <x v="3"/>
    <x v="639"/>
    <s v="10:00"/>
    <n v="56.827399999999997"/>
  </r>
  <r>
    <x v="2"/>
    <x v="3"/>
    <x v="639"/>
    <s v="14:00"/>
    <n v="56.827399999999997"/>
  </r>
  <r>
    <x v="2"/>
    <x v="3"/>
    <x v="639"/>
    <s v="18:00"/>
    <n v="56.827399999999997"/>
  </r>
  <r>
    <x v="2"/>
    <x v="3"/>
    <x v="640"/>
    <s v="06:00"/>
    <n v="72.772499999999994"/>
  </r>
  <r>
    <x v="2"/>
    <x v="3"/>
    <x v="640"/>
    <s v="10:00"/>
    <n v="79.177899999999994"/>
  </r>
  <r>
    <x v="2"/>
    <x v="3"/>
    <x v="640"/>
    <s v="14:00"/>
    <n v="73.67"/>
  </r>
  <r>
    <x v="2"/>
    <x v="3"/>
    <x v="640"/>
    <s v="18:00"/>
    <n v="73.67"/>
  </r>
  <r>
    <x v="2"/>
    <x v="3"/>
    <x v="641"/>
    <s v="06:00"/>
    <n v="87.833500000000001"/>
  </r>
  <r>
    <x v="2"/>
    <x v="3"/>
    <x v="641"/>
    <s v="10:00"/>
    <n v="87.833500000000001"/>
  </r>
  <r>
    <x v="2"/>
    <x v="3"/>
    <x v="641"/>
    <s v="14:00"/>
    <n v="82.966499999999996"/>
  </r>
  <r>
    <x v="2"/>
    <x v="3"/>
    <x v="641"/>
    <s v="18:00"/>
    <n v="82.966499999999996"/>
  </r>
  <r>
    <x v="2"/>
    <x v="3"/>
    <x v="642"/>
    <s v="06:00"/>
    <n v="72.772499999999994"/>
  </r>
  <r>
    <x v="2"/>
    <x v="3"/>
    <x v="642"/>
    <s v="10:00"/>
    <n v="70.114800000000002"/>
  </r>
  <r>
    <x v="2"/>
    <x v="3"/>
    <x v="642"/>
    <s v="14:00"/>
    <n v="56.827399999999997"/>
  </r>
  <r>
    <x v="2"/>
    <x v="3"/>
    <x v="642"/>
    <s v="18:00"/>
    <n v="56.827399999999997"/>
  </r>
  <r>
    <x v="2"/>
    <x v="3"/>
    <x v="643"/>
    <s v="06:00"/>
    <n v="58.406599999999997"/>
  </r>
  <r>
    <x v="2"/>
    <x v="3"/>
    <x v="643"/>
    <s v="10:00"/>
    <n v="58.406599999999997"/>
  </r>
  <r>
    <x v="2"/>
    <x v="3"/>
    <x v="643"/>
    <s v="14:00"/>
    <n v="56.827399999999997"/>
  </r>
  <r>
    <x v="2"/>
    <x v="3"/>
    <x v="643"/>
    <s v="18:00"/>
    <n v="56.827399999999997"/>
  </r>
  <r>
    <x v="2"/>
    <x v="3"/>
    <x v="644"/>
    <s v="06:00"/>
    <n v="55.271500000000003"/>
  </r>
  <r>
    <x v="2"/>
    <x v="3"/>
    <x v="644"/>
    <s v="10:00"/>
    <n v="55.271500000000003"/>
  </r>
  <r>
    <x v="2"/>
    <x v="3"/>
    <x v="644"/>
    <s v="14:00"/>
    <n v="53.738900000000001"/>
  </r>
  <r>
    <x v="2"/>
    <x v="3"/>
    <x v="644"/>
    <s v="18:00"/>
    <n v="53.738900000000001"/>
  </r>
  <r>
    <x v="2"/>
    <x v="3"/>
    <x v="645"/>
    <s v="06:00"/>
    <n v="42.3185"/>
  </r>
  <r>
    <x v="2"/>
    <x v="3"/>
    <x v="645"/>
    <s v="10:00"/>
    <n v="42.3185"/>
  </r>
  <r>
    <x v="2"/>
    <x v="3"/>
    <x v="645"/>
    <s v="14:00"/>
    <n v="42.3185"/>
  </r>
  <r>
    <x v="2"/>
    <x v="3"/>
    <x v="645"/>
    <s v="18:00"/>
    <n v="42.3185"/>
  </r>
  <r>
    <x v="2"/>
    <x v="3"/>
    <x v="646"/>
    <s v="06:00"/>
    <n v="41.654299999999999"/>
  </r>
  <r>
    <x v="2"/>
    <x v="3"/>
    <x v="646"/>
    <s v="10:00"/>
    <n v="41.654299999999999"/>
  </r>
  <r>
    <x v="2"/>
    <x v="3"/>
    <x v="646"/>
    <s v="14:00"/>
    <n v="41.654299999999999"/>
  </r>
  <r>
    <x v="2"/>
    <x v="3"/>
    <x v="646"/>
    <s v="18:00"/>
    <n v="41.654299999999999"/>
  </r>
  <r>
    <x v="2"/>
    <x v="3"/>
    <x v="647"/>
    <s v="06:00"/>
    <n v="39.055900000000001"/>
  </r>
  <r>
    <x v="2"/>
    <x v="3"/>
    <x v="647"/>
    <s v="10:00"/>
    <n v="39.055900000000001"/>
  </r>
  <r>
    <x v="2"/>
    <x v="3"/>
    <x v="647"/>
    <s v="14:00"/>
    <n v="39.055900000000001"/>
  </r>
  <r>
    <x v="2"/>
    <x v="3"/>
    <x v="647"/>
    <s v="18:00"/>
    <n v="39.055900000000001"/>
  </r>
  <r>
    <x v="2"/>
    <x v="3"/>
    <x v="648"/>
    <s v="06:00"/>
    <n v="35.9392"/>
  </r>
  <r>
    <x v="2"/>
    <x v="3"/>
    <x v="648"/>
    <s v="10:00"/>
    <n v="35.9392"/>
  </r>
  <r>
    <x v="2"/>
    <x v="3"/>
    <x v="648"/>
    <s v="14:00"/>
    <n v="35.9392"/>
  </r>
  <r>
    <x v="2"/>
    <x v="3"/>
    <x v="648"/>
    <s v="18:00"/>
    <n v="35.9392"/>
  </r>
  <r>
    <x v="2"/>
    <x v="3"/>
    <x v="649"/>
    <s v="06:00"/>
    <n v="30.1434"/>
  </r>
  <r>
    <x v="2"/>
    <x v="3"/>
    <x v="649"/>
    <s v="10:00"/>
    <n v="30.1434"/>
  </r>
  <r>
    <x v="2"/>
    <x v="3"/>
    <x v="649"/>
    <s v="14:00"/>
    <n v="27.464300000000001"/>
  </r>
  <r>
    <x v="2"/>
    <x v="3"/>
    <x v="649"/>
    <s v="18:00"/>
    <n v="27.464300000000001"/>
  </r>
  <r>
    <x v="2"/>
    <x v="3"/>
    <x v="650"/>
    <s v="06:00"/>
    <n v="24.931000000000001"/>
  </r>
  <r>
    <x v="2"/>
    <x v="3"/>
    <x v="650"/>
    <s v="10:00"/>
    <n v="24.931000000000001"/>
  </r>
  <r>
    <x v="2"/>
    <x v="3"/>
    <x v="650"/>
    <s v="14:00"/>
    <n v="24.931000000000001"/>
  </r>
  <r>
    <x v="2"/>
    <x v="3"/>
    <x v="650"/>
    <s v="18:00"/>
    <n v="24.931000000000001"/>
  </r>
  <r>
    <x v="2"/>
    <x v="3"/>
    <x v="651"/>
    <s v="06:00"/>
    <n v="22.543600000000001"/>
  </r>
  <r>
    <x v="2"/>
    <x v="3"/>
    <x v="651"/>
    <s v="10:00"/>
    <n v="22.543600000000001"/>
  </r>
  <r>
    <x v="2"/>
    <x v="3"/>
    <x v="651"/>
    <s v="14:00"/>
    <n v="16.256499999999999"/>
  </r>
  <r>
    <x v="2"/>
    <x v="3"/>
    <x v="651"/>
    <s v="18:00"/>
    <n v="16.256499999999999"/>
  </r>
  <r>
    <x v="2"/>
    <x v="3"/>
    <x v="652"/>
    <s v="06:00"/>
    <n v="16.256499999999999"/>
  </r>
  <r>
    <x v="2"/>
    <x v="3"/>
    <x v="652"/>
    <s v="10:00"/>
    <n v="16.256499999999999"/>
  </r>
  <r>
    <x v="2"/>
    <x v="3"/>
    <x v="652"/>
    <s v="14:00"/>
    <n v="16.256499999999999"/>
  </r>
  <r>
    <x v="2"/>
    <x v="3"/>
    <x v="652"/>
    <s v="18:00"/>
    <n v="16.256499999999999"/>
  </r>
  <r>
    <x v="2"/>
    <x v="3"/>
    <x v="653"/>
    <s v="06:00"/>
    <n v="20.302"/>
  </r>
  <r>
    <x v="2"/>
    <x v="3"/>
    <x v="653"/>
    <s v="10:00"/>
    <n v="20.302"/>
  </r>
  <r>
    <x v="2"/>
    <x v="3"/>
    <x v="653"/>
    <s v="14:00"/>
    <n v="20.302"/>
  </r>
  <r>
    <x v="2"/>
    <x v="3"/>
    <x v="653"/>
    <s v="18:00"/>
    <n v="20.302"/>
  </r>
  <r>
    <x v="2"/>
    <x v="3"/>
    <x v="654"/>
    <s v="06:00"/>
    <n v="16.256499999999999"/>
  </r>
  <r>
    <x v="2"/>
    <x v="3"/>
    <x v="654"/>
    <s v="10:00"/>
    <n v="16.256499999999999"/>
  </r>
  <r>
    <x v="2"/>
    <x v="3"/>
    <x v="654"/>
    <s v="14:00"/>
    <n v="16.256499999999999"/>
  </r>
  <r>
    <x v="2"/>
    <x v="3"/>
    <x v="654"/>
    <s v="18:00"/>
    <n v="16.256499999999999"/>
  </r>
  <r>
    <x v="2"/>
    <x v="3"/>
    <x v="655"/>
    <s v="06:00"/>
    <n v="16.256499999999999"/>
  </r>
  <r>
    <x v="2"/>
    <x v="3"/>
    <x v="655"/>
    <s v="10:00"/>
    <n v="16.256499999999999"/>
  </r>
  <r>
    <x v="2"/>
    <x v="3"/>
    <x v="655"/>
    <s v="14:00"/>
    <n v="16.256499999999999"/>
  </r>
  <r>
    <x v="2"/>
    <x v="3"/>
    <x v="655"/>
    <s v="18:00"/>
    <n v="16.256499999999999"/>
  </r>
  <r>
    <x v="2"/>
    <x v="3"/>
    <x v="656"/>
    <s v="06:00"/>
    <n v="17.018899999999999"/>
  </r>
  <r>
    <x v="2"/>
    <x v="3"/>
    <x v="656"/>
    <s v="10:00"/>
    <n v="17.018899999999999"/>
  </r>
  <r>
    <x v="2"/>
    <x v="3"/>
    <x v="656"/>
    <s v="14:00"/>
    <n v="17.018899999999999"/>
  </r>
  <r>
    <x v="2"/>
    <x v="3"/>
    <x v="656"/>
    <s v="18:00"/>
    <n v="16.256499999999999"/>
  </r>
  <r>
    <x v="2"/>
    <x v="3"/>
    <x v="657"/>
    <s v="06:00"/>
    <n v="12.7944"/>
  </r>
  <r>
    <x v="2"/>
    <x v="3"/>
    <x v="657"/>
    <s v="10:00"/>
    <n v="12.7944"/>
  </r>
  <r>
    <x v="2"/>
    <x v="3"/>
    <x v="657"/>
    <s v="14:00"/>
    <n v="12.7944"/>
  </r>
  <r>
    <x v="2"/>
    <x v="3"/>
    <x v="657"/>
    <s v="18:00"/>
    <n v="12.7944"/>
  </r>
  <r>
    <x v="2"/>
    <x v="3"/>
    <x v="658"/>
    <s v="06:00"/>
    <n v="9.9158000000000008"/>
  </r>
  <r>
    <x v="2"/>
    <x v="3"/>
    <x v="658"/>
    <s v="10:00"/>
    <n v="9.9158000000000008"/>
  </r>
  <r>
    <x v="2"/>
    <x v="3"/>
    <x v="658"/>
    <s v="14:00"/>
    <n v="9.9158000000000008"/>
  </r>
  <r>
    <x v="2"/>
    <x v="3"/>
    <x v="658"/>
    <s v="18:00"/>
    <n v="9.9158000000000008"/>
  </r>
  <r>
    <x v="2"/>
    <x v="3"/>
    <x v="659"/>
    <s v="06:00"/>
    <n v="7.6205999999999996"/>
  </r>
  <r>
    <x v="2"/>
    <x v="3"/>
    <x v="659"/>
    <s v="10:00"/>
    <n v="7.6205999999999996"/>
  </r>
  <r>
    <x v="2"/>
    <x v="3"/>
    <x v="659"/>
    <s v="14:00"/>
    <n v="7.6205999999999996"/>
  </r>
  <r>
    <x v="2"/>
    <x v="3"/>
    <x v="659"/>
    <s v="18:00"/>
    <n v="7.6205999999999996"/>
  </r>
  <r>
    <x v="2"/>
    <x v="3"/>
    <x v="660"/>
    <s v="06:00"/>
    <n v="6.6917999999999997"/>
  </r>
  <r>
    <x v="2"/>
    <x v="3"/>
    <x v="660"/>
    <s v="10:00"/>
    <n v="5.9088000000000003"/>
  </r>
  <r>
    <x v="2"/>
    <x v="3"/>
    <x v="660"/>
    <s v="14:00"/>
    <n v="5.9088000000000003"/>
  </r>
  <r>
    <x v="2"/>
    <x v="3"/>
    <x v="660"/>
    <s v="18:00"/>
    <n v="5.9088000000000003"/>
  </r>
  <r>
    <x v="2"/>
    <x v="3"/>
    <x v="661"/>
    <s v="06:00"/>
    <n v="5.9088000000000003"/>
  </r>
  <r>
    <x v="2"/>
    <x v="3"/>
    <x v="661"/>
    <s v="10:00"/>
    <n v="4.7805"/>
  </r>
  <r>
    <x v="2"/>
    <x v="3"/>
    <x v="661"/>
    <s v="14:00"/>
    <n v="4.7805"/>
  </r>
  <r>
    <x v="2"/>
    <x v="3"/>
    <x v="661"/>
    <s v="18:00"/>
    <n v="4.7805"/>
  </r>
  <r>
    <x v="2"/>
    <x v="3"/>
    <x v="662"/>
    <s v="06:00"/>
    <n v="4.2742000000000004"/>
  </r>
  <r>
    <x v="2"/>
    <x v="3"/>
    <x v="662"/>
    <s v="10:00"/>
    <n v="4.2742000000000004"/>
  </r>
  <r>
    <x v="2"/>
    <x v="3"/>
    <x v="662"/>
    <s v="14:00"/>
    <n v="4.2742000000000004"/>
  </r>
  <r>
    <x v="2"/>
    <x v="3"/>
    <x v="662"/>
    <s v="18:00"/>
    <n v="4.2742000000000004"/>
  </r>
  <r>
    <x v="2"/>
    <x v="3"/>
    <x v="663"/>
    <s v="06:00"/>
    <n v="4.2742000000000004"/>
  </r>
  <r>
    <x v="2"/>
    <x v="3"/>
    <x v="663"/>
    <s v="10:00"/>
    <n v="4.2742000000000004"/>
  </r>
  <r>
    <x v="2"/>
    <x v="3"/>
    <x v="663"/>
    <s v="14:00"/>
    <n v="4.2742000000000004"/>
  </r>
  <r>
    <x v="2"/>
    <x v="3"/>
    <x v="663"/>
    <s v="18:00"/>
    <n v="4.2742000000000004"/>
  </r>
  <r>
    <x v="2"/>
    <x v="7"/>
    <x v="664"/>
    <s v="06:00"/>
    <n v="4.2198000000000002"/>
  </r>
  <r>
    <x v="2"/>
    <x v="7"/>
    <x v="664"/>
    <s v="10:00"/>
    <n v="4.2742000000000004"/>
  </r>
  <r>
    <x v="2"/>
    <x v="7"/>
    <x v="664"/>
    <s v="14:00"/>
    <n v="4.2742000000000004"/>
  </r>
  <r>
    <x v="2"/>
    <x v="7"/>
    <x v="664"/>
    <s v="18:00"/>
    <n v="4.2742000000000004"/>
  </r>
  <r>
    <x v="2"/>
    <x v="7"/>
    <x v="665"/>
    <s v="06:00"/>
    <n v="4.2742000000000004"/>
  </r>
  <r>
    <x v="2"/>
    <x v="7"/>
    <x v="665"/>
    <s v="10:00"/>
    <n v="4.2742000000000004"/>
  </r>
  <r>
    <x v="2"/>
    <x v="7"/>
    <x v="665"/>
    <s v="14:00"/>
    <n v="4.2742000000000004"/>
  </r>
  <r>
    <x v="2"/>
    <x v="7"/>
    <x v="665"/>
    <s v="18:00"/>
    <n v="4.2742000000000004"/>
  </r>
  <r>
    <x v="2"/>
    <x v="7"/>
    <x v="666"/>
    <s v="06:00"/>
    <n v="4.2198000000000002"/>
  </r>
  <r>
    <x v="2"/>
    <x v="7"/>
    <x v="666"/>
    <s v="10:00"/>
    <n v="4.2742000000000004"/>
  </r>
  <r>
    <x v="2"/>
    <x v="7"/>
    <x v="666"/>
    <s v="14:00"/>
    <n v="4.2742000000000004"/>
  </r>
  <r>
    <x v="2"/>
    <x v="7"/>
    <x v="666"/>
    <s v="18:00"/>
    <n v="4.2742000000000004"/>
  </r>
  <r>
    <x v="2"/>
    <x v="7"/>
    <x v="667"/>
    <s v="06:00"/>
    <n v="4.2742000000000004"/>
  </r>
  <r>
    <x v="2"/>
    <x v="7"/>
    <x v="667"/>
    <s v="10:00"/>
    <n v="4.2355999999999998"/>
  </r>
  <r>
    <x v="2"/>
    <x v="7"/>
    <x v="667"/>
    <s v="14:00"/>
    <n v="4.2355999999999998"/>
  </r>
  <r>
    <x v="2"/>
    <x v="7"/>
    <x v="667"/>
    <s v="18:00"/>
    <n v="4.1886999999999999"/>
  </r>
  <r>
    <x v="2"/>
    <x v="7"/>
    <x v="668"/>
    <s v="06:00"/>
    <n v="4.2198000000000002"/>
  </r>
  <r>
    <x v="2"/>
    <x v="7"/>
    <x v="668"/>
    <s v="10:00"/>
    <n v="4.2198000000000002"/>
  </r>
  <r>
    <x v="2"/>
    <x v="7"/>
    <x v="668"/>
    <s v="14:00"/>
    <n v="4.2742000000000004"/>
  </r>
  <r>
    <x v="2"/>
    <x v="7"/>
    <x v="668"/>
    <s v="18:00"/>
    <n v="4.2742000000000004"/>
  </r>
  <r>
    <x v="2"/>
    <x v="7"/>
    <x v="669"/>
    <s v="06:00"/>
    <n v="4.2742000000000004"/>
  </r>
  <r>
    <x v="2"/>
    <x v="7"/>
    <x v="669"/>
    <s v="10:00"/>
    <n v="4.2742000000000004"/>
  </r>
  <r>
    <x v="2"/>
    <x v="7"/>
    <x v="669"/>
    <s v="14:00"/>
    <n v="4.3518999999999997"/>
  </r>
  <r>
    <x v="2"/>
    <x v="7"/>
    <x v="669"/>
    <s v="18:00"/>
    <n v="4.3518999999999997"/>
  </r>
  <r>
    <x v="2"/>
    <x v="7"/>
    <x v="670"/>
    <s v="06:00"/>
    <n v="4.3518999999999997"/>
  </r>
  <r>
    <x v="2"/>
    <x v="7"/>
    <x v="670"/>
    <s v="10:00"/>
    <n v="4.2742000000000004"/>
  </r>
  <r>
    <x v="2"/>
    <x v="7"/>
    <x v="670"/>
    <s v="14:00"/>
    <n v="4.2742000000000004"/>
  </r>
  <r>
    <x v="2"/>
    <x v="7"/>
    <x v="670"/>
    <s v="18:00"/>
    <n v="4.2742000000000004"/>
  </r>
  <r>
    <x v="2"/>
    <x v="7"/>
    <x v="671"/>
    <s v="06:00"/>
    <n v="4.2742000000000004"/>
  </r>
  <r>
    <x v="2"/>
    <x v="7"/>
    <x v="671"/>
    <s v="10:00"/>
    <n v="4.2742000000000004"/>
  </r>
  <r>
    <x v="2"/>
    <x v="7"/>
    <x v="671"/>
    <s v="14:00"/>
    <n v="4.2742000000000004"/>
  </r>
  <r>
    <x v="2"/>
    <x v="7"/>
    <x v="671"/>
    <s v="18:00"/>
    <n v="4.2742000000000004"/>
  </r>
  <r>
    <x v="2"/>
    <x v="7"/>
    <x v="672"/>
    <s v="06:00"/>
    <n v="4.2742000000000004"/>
  </r>
  <r>
    <x v="2"/>
    <x v="7"/>
    <x v="672"/>
    <s v="10:00"/>
    <n v="4.2742000000000004"/>
  </r>
  <r>
    <x v="2"/>
    <x v="7"/>
    <x v="672"/>
    <s v="14:00"/>
    <n v="4.2742000000000004"/>
  </r>
  <r>
    <x v="2"/>
    <x v="7"/>
    <x v="672"/>
    <s v="18:00"/>
    <n v="4.2742000000000004"/>
  </r>
  <r>
    <x v="2"/>
    <x v="7"/>
    <x v="673"/>
    <s v="06:00"/>
    <n v="4.8962000000000003"/>
  </r>
  <r>
    <x v="2"/>
    <x v="7"/>
    <x v="673"/>
    <s v="10:00"/>
    <n v="4.8962000000000003"/>
  </r>
  <r>
    <x v="2"/>
    <x v="7"/>
    <x v="673"/>
    <s v="14:00"/>
    <n v="4.8962000000000003"/>
  </r>
  <r>
    <x v="2"/>
    <x v="7"/>
    <x v="673"/>
    <s v="18:00"/>
    <n v="4.8962000000000003"/>
  </r>
  <r>
    <x v="2"/>
    <x v="7"/>
    <x v="674"/>
    <s v="06:00"/>
    <n v="4.8962000000000003"/>
  </r>
  <r>
    <x v="2"/>
    <x v="7"/>
    <x v="674"/>
    <s v="10:00"/>
    <n v="4.8962000000000003"/>
  </r>
  <r>
    <x v="2"/>
    <x v="7"/>
    <x v="674"/>
    <s v="14:00"/>
    <n v="4.8962000000000003"/>
  </r>
  <r>
    <x v="2"/>
    <x v="7"/>
    <x v="674"/>
    <s v="18:00"/>
    <n v="4.8962000000000003"/>
  </r>
  <r>
    <x v="2"/>
    <x v="7"/>
    <x v="675"/>
    <s v="06:00"/>
    <n v="4.8962000000000003"/>
  </r>
  <r>
    <x v="2"/>
    <x v="7"/>
    <x v="675"/>
    <s v="10:00"/>
    <n v="4.8962000000000003"/>
  </r>
  <r>
    <x v="2"/>
    <x v="7"/>
    <x v="675"/>
    <s v="14:00"/>
    <n v="4.8962000000000003"/>
  </r>
  <r>
    <x v="2"/>
    <x v="7"/>
    <x v="675"/>
    <s v="18:00"/>
    <n v="4.8962000000000003"/>
  </r>
  <r>
    <x v="2"/>
    <x v="7"/>
    <x v="676"/>
    <s v="06:00"/>
    <n v="4.8962000000000003"/>
  </r>
  <r>
    <x v="2"/>
    <x v="7"/>
    <x v="676"/>
    <s v="10:00"/>
    <n v="4.8962000000000003"/>
  </r>
  <r>
    <x v="2"/>
    <x v="7"/>
    <x v="676"/>
    <s v="14:00"/>
    <n v="4.8962000000000003"/>
  </r>
  <r>
    <x v="2"/>
    <x v="7"/>
    <x v="676"/>
    <s v="18:00"/>
    <n v="4.8962000000000003"/>
  </r>
  <r>
    <x v="2"/>
    <x v="7"/>
    <x v="677"/>
    <s v="06:00"/>
    <n v="4.8962000000000003"/>
  </r>
  <r>
    <x v="2"/>
    <x v="7"/>
    <x v="677"/>
    <s v="10:00"/>
    <n v="4.8962000000000003"/>
  </r>
  <r>
    <x v="2"/>
    <x v="7"/>
    <x v="677"/>
    <s v="14:00"/>
    <n v="4.8962000000000003"/>
  </r>
  <r>
    <x v="2"/>
    <x v="7"/>
    <x v="677"/>
    <s v="18:00"/>
    <n v="4.8962000000000003"/>
  </r>
  <r>
    <x v="2"/>
    <x v="7"/>
    <x v="678"/>
    <s v="06:00"/>
    <n v="4.8962000000000003"/>
  </r>
  <r>
    <x v="2"/>
    <x v="7"/>
    <x v="678"/>
    <s v="10:00"/>
    <n v="4.8962000000000003"/>
  </r>
  <r>
    <x v="2"/>
    <x v="7"/>
    <x v="678"/>
    <s v="14:00"/>
    <n v="4.8962000000000003"/>
  </r>
  <r>
    <x v="2"/>
    <x v="7"/>
    <x v="678"/>
    <s v="18:00"/>
    <n v="4.8962000000000003"/>
  </r>
  <r>
    <x v="2"/>
    <x v="7"/>
    <x v="679"/>
    <s v="06:00"/>
    <n v="4.8962000000000003"/>
  </r>
  <r>
    <x v="2"/>
    <x v="7"/>
    <x v="679"/>
    <s v="10:00"/>
    <n v="4.8962000000000003"/>
  </r>
  <r>
    <x v="2"/>
    <x v="7"/>
    <x v="679"/>
    <s v="14:00"/>
    <n v="4.8962000000000003"/>
  </r>
  <r>
    <x v="2"/>
    <x v="7"/>
    <x v="679"/>
    <s v="06:00"/>
    <n v="6.1016000000000004"/>
  </r>
  <r>
    <x v="2"/>
    <x v="7"/>
    <x v="680"/>
    <s v="10:00"/>
    <n v="6.1016000000000004"/>
  </r>
  <r>
    <x v="2"/>
    <x v="7"/>
    <x v="680"/>
    <s v="14:00"/>
    <n v="6.1016000000000004"/>
  </r>
  <r>
    <x v="2"/>
    <x v="7"/>
    <x v="680"/>
    <s v="18:00"/>
    <n v="6.1016000000000004"/>
  </r>
  <r>
    <x v="2"/>
    <x v="7"/>
    <x v="680"/>
    <s v="06:00"/>
    <n v="6.1016000000000004"/>
  </r>
  <r>
    <x v="2"/>
    <x v="7"/>
    <x v="681"/>
    <s v="10:00"/>
    <n v="6.1016000000000004"/>
  </r>
  <r>
    <x v="2"/>
    <x v="7"/>
    <x v="681"/>
    <s v="14:00"/>
    <n v="6.1016000000000004"/>
  </r>
  <r>
    <x v="2"/>
    <x v="7"/>
    <x v="681"/>
    <s v="18:00"/>
    <n v="6.1016000000000004"/>
  </r>
  <r>
    <x v="2"/>
    <x v="7"/>
    <x v="681"/>
    <s v="06:00"/>
    <n v="6.1016000000000004"/>
  </r>
  <r>
    <x v="2"/>
    <x v="7"/>
    <x v="682"/>
    <s v="10:00"/>
    <n v="6.1016000000000004"/>
  </r>
  <r>
    <x v="2"/>
    <x v="7"/>
    <x v="682"/>
    <s v="14:00"/>
    <n v="6.1016000000000004"/>
  </r>
  <r>
    <x v="2"/>
    <x v="7"/>
    <x v="682"/>
    <s v="18:00"/>
    <n v="6.1016000000000004"/>
  </r>
  <r>
    <x v="2"/>
    <x v="7"/>
    <x v="682"/>
    <s v="06:00"/>
    <n v="6.1016000000000004"/>
  </r>
  <r>
    <x v="2"/>
    <x v="7"/>
    <x v="683"/>
    <s v="10:00"/>
    <n v="6.1016000000000004"/>
  </r>
  <r>
    <x v="2"/>
    <x v="7"/>
    <x v="683"/>
    <s v="10:00"/>
    <n v="6.1016000000000004"/>
  </r>
  <r>
    <x v="2"/>
    <x v="7"/>
    <x v="683"/>
    <s v="14:00"/>
    <n v="6.1016000000000004"/>
  </r>
  <r>
    <x v="2"/>
    <x v="7"/>
    <x v="683"/>
    <s v="18:00"/>
    <n v="6.1016000000000004"/>
  </r>
  <r>
    <x v="2"/>
    <x v="7"/>
    <x v="684"/>
    <s v="06:00"/>
    <n v="6.1016000000000004"/>
  </r>
  <r>
    <x v="2"/>
    <x v="7"/>
    <x v="684"/>
    <s v="10:00"/>
    <n v="6.1016000000000004"/>
  </r>
  <r>
    <x v="2"/>
    <x v="7"/>
    <x v="684"/>
    <s v="14:00"/>
    <n v="6.1016000000000004"/>
  </r>
  <r>
    <x v="2"/>
    <x v="7"/>
    <x v="684"/>
    <s v="18:00"/>
    <n v="6.1016000000000004"/>
  </r>
  <r>
    <x v="2"/>
    <x v="7"/>
    <x v="685"/>
    <s v="06:00"/>
    <n v="6.1016000000000004"/>
  </r>
  <r>
    <x v="2"/>
    <x v="7"/>
    <x v="685"/>
    <s v="10:00"/>
    <n v="6.1016000000000004"/>
  </r>
  <r>
    <x v="2"/>
    <x v="7"/>
    <x v="685"/>
    <s v="14:00"/>
    <n v="6.1016000000000004"/>
  </r>
  <r>
    <x v="2"/>
    <x v="7"/>
    <x v="685"/>
    <s v="18:00"/>
    <n v="6.1016000000000004"/>
  </r>
  <r>
    <x v="2"/>
    <x v="7"/>
    <x v="686"/>
    <s v="06:00"/>
    <n v="6.1016000000000004"/>
  </r>
  <r>
    <x v="2"/>
    <x v="7"/>
    <x v="686"/>
    <s v="10:00"/>
    <n v="6.1016000000000004"/>
  </r>
  <r>
    <x v="2"/>
    <x v="7"/>
    <x v="686"/>
    <s v="14:00"/>
    <n v="6.1016000000000004"/>
  </r>
  <r>
    <x v="2"/>
    <x v="7"/>
    <x v="686"/>
    <s v="18:00"/>
    <n v="6.1016000000000004"/>
  </r>
  <r>
    <x v="2"/>
    <x v="7"/>
    <x v="687"/>
    <s v="06:00"/>
    <n v="6.1016000000000004"/>
  </r>
  <r>
    <x v="2"/>
    <x v="7"/>
    <x v="687"/>
    <s v="10:00"/>
    <n v="6.25"/>
  </r>
  <r>
    <x v="2"/>
    <x v="7"/>
    <x v="687"/>
    <s v="14:00"/>
    <n v="6.25"/>
  </r>
  <r>
    <x v="2"/>
    <x v="7"/>
    <x v="687"/>
    <s v="18:00"/>
    <n v="6.25"/>
  </r>
  <r>
    <x v="2"/>
    <x v="7"/>
    <x v="688"/>
    <s v="06:00"/>
    <n v="6.25"/>
  </r>
  <r>
    <x v="2"/>
    <x v="7"/>
    <x v="688"/>
    <s v="10:00"/>
    <n v="6.25"/>
  </r>
  <r>
    <x v="2"/>
    <x v="7"/>
    <x v="688"/>
    <s v="14:00"/>
    <n v="6.25"/>
  </r>
  <r>
    <x v="2"/>
    <x v="7"/>
    <x v="688"/>
    <s v="18:00"/>
    <n v="6.25"/>
  </r>
  <r>
    <x v="2"/>
    <x v="7"/>
    <x v="689"/>
    <s v="06:00"/>
    <n v="6.25"/>
  </r>
  <r>
    <x v="2"/>
    <x v="7"/>
    <x v="689"/>
    <s v="10:00"/>
    <n v="6.25"/>
  </r>
  <r>
    <x v="2"/>
    <x v="7"/>
    <x v="689"/>
    <s v="14:00"/>
    <n v="6.25"/>
  </r>
  <r>
    <x v="2"/>
    <x v="7"/>
    <x v="689"/>
    <s v="18:00"/>
    <n v="6.25"/>
  </r>
  <r>
    <x v="2"/>
    <x v="7"/>
    <x v="690"/>
    <s v="06:00"/>
    <n v="6.25"/>
  </r>
  <r>
    <x v="2"/>
    <x v="7"/>
    <x v="690"/>
    <s v="10:00"/>
    <n v="6.25"/>
  </r>
  <r>
    <x v="2"/>
    <x v="7"/>
    <x v="690"/>
    <s v="14:00"/>
    <n v="6.25"/>
  </r>
  <r>
    <x v="2"/>
    <x v="7"/>
    <x v="690"/>
    <s v="18:00"/>
    <n v="6.25"/>
  </r>
  <r>
    <x v="2"/>
    <x v="7"/>
    <x v="691"/>
    <s v="06:00"/>
    <n v="6.25"/>
  </r>
  <r>
    <x v="2"/>
    <x v="7"/>
    <x v="691"/>
    <s v="10:00"/>
    <n v="6.25"/>
  </r>
  <r>
    <x v="2"/>
    <x v="7"/>
    <x v="691"/>
    <s v="14:00"/>
    <n v="6.25"/>
  </r>
  <r>
    <x v="2"/>
    <x v="7"/>
    <x v="691"/>
    <s v="18:00"/>
    <n v="6.25"/>
  </r>
  <r>
    <x v="2"/>
    <x v="7"/>
    <x v="692"/>
    <s v="06:00"/>
    <n v="7.0247000000000002"/>
  </r>
  <r>
    <x v="2"/>
    <x v="7"/>
    <x v="692"/>
    <s v="10:00"/>
    <n v="6.9138999999999999"/>
  </r>
  <r>
    <x v="2"/>
    <x v="7"/>
    <x v="692"/>
    <s v="14:00"/>
    <n v="6.9138999999999999"/>
  </r>
  <r>
    <x v="2"/>
    <x v="7"/>
    <x v="692"/>
    <s v="18:00"/>
    <n v="6.9138999999999999"/>
  </r>
  <r>
    <x v="2"/>
    <x v="7"/>
    <x v="693"/>
    <s v="06:00"/>
    <n v="6.9138999999999999"/>
  </r>
  <r>
    <x v="2"/>
    <x v="7"/>
    <x v="693"/>
    <s v="10:00"/>
    <n v="6.9138999999999999"/>
  </r>
  <r>
    <x v="2"/>
    <x v="7"/>
    <x v="693"/>
    <s v="14:00"/>
    <n v="6.9138999999999999"/>
  </r>
  <r>
    <x v="2"/>
    <x v="7"/>
    <x v="693"/>
    <s v="18:00"/>
    <n v="6.9138999999999999"/>
  </r>
  <r>
    <x v="2"/>
    <x v="7"/>
    <x v="694"/>
    <s v="06:00"/>
    <n v="7.0247000000000002"/>
  </r>
  <r>
    <x v="2"/>
    <x v="7"/>
    <x v="694"/>
    <s v="10:00"/>
    <n v="6.9138999999999999"/>
  </r>
  <r>
    <x v="2"/>
    <x v="7"/>
    <x v="694"/>
    <s v="14:00"/>
    <n v="6.9138999999999999"/>
  </r>
  <r>
    <x v="2"/>
    <x v="7"/>
    <x v="694"/>
    <s v="18:00"/>
    <n v="6.9138999999999999"/>
  </r>
  <r>
    <x v="2"/>
    <x v="8"/>
    <x v="695"/>
    <s v="06:00"/>
    <n v="6.9138999999999999"/>
  </r>
  <r>
    <x v="2"/>
    <x v="8"/>
    <x v="695"/>
    <s v="10:00"/>
    <n v="6.9138999999999999"/>
  </r>
  <r>
    <x v="2"/>
    <x v="8"/>
    <x v="695"/>
    <s v="14:00"/>
    <n v="6.9138999999999999"/>
  </r>
  <r>
    <x v="2"/>
    <x v="8"/>
    <x v="695"/>
    <s v="18:00"/>
    <n v="6.9138999999999999"/>
  </r>
  <r>
    <x v="2"/>
    <x v="8"/>
    <x v="696"/>
    <s v="06:00"/>
    <n v="6.8383000000000003"/>
  </r>
  <r>
    <x v="2"/>
    <x v="8"/>
    <x v="696"/>
    <s v="10:00"/>
    <n v="6.9138999999999999"/>
  </r>
  <r>
    <x v="2"/>
    <x v="8"/>
    <x v="696"/>
    <s v="14:00"/>
    <n v="6.9138999999999999"/>
  </r>
  <r>
    <x v="2"/>
    <x v="8"/>
    <x v="696"/>
    <s v="18:00"/>
    <n v="6.9138999999999999"/>
  </r>
  <r>
    <x v="2"/>
    <x v="8"/>
    <x v="697"/>
    <s v="06:00"/>
    <n v="6.9138999999999999"/>
  </r>
  <r>
    <x v="2"/>
    <x v="8"/>
    <x v="697"/>
    <s v="10:00"/>
    <n v="6.9138999999999999"/>
  </r>
  <r>
    <x v="2"/>
    <x v="8"/>
    <x v="697"/>
    <s v="14:00"/>
    <n v="6.9138999999999999"/>
  </r>
  <r>
    <x v="2"/>
    <x v="8"/>
    <x v="697"/>
    <s v="18:00"/>
    <n v="6.9138999999999999"/>
  </r>
  <r>
    <x v="2"/>
    <x v="8"/>
    <x v="698"/>
    <s v="06:00"/>
    <n v="6.9138999999999999"/>
  </r>
  <r>
    <x v="2"/>
    <x v="8"/>
    <x v="698"/>
    <s v="10:00"/>
    <n v="6.9138999999999999"/>
  </r>
  <r>
    <x v="2"/>
    <x v="8"/>
    <x v="698"/>
    <s v="14:00"/>
    <n v="6.9138999999999999"/>
  </r>
  <r>
    <x v="2"/>
    <x v="8"/>
    <x v="698"/>
    <s v="18:00"/>
    <n v="6.9138999999999999"/>
  </r>
  <r>
    <x v="2"/>
    <x v="8"/>
    <x v="699"/>
    <s v="06:00"/>
    <n v="6.91"/>
  </r>
  <r>
    <x v="2"/>
    <x v="8"/>
    <x v="699"/>
    <s v="10:00"/>
    <n v="6.8"/>
  </r>
  <r>
    <x v="2"/>
    <x v="8"/>
    <x v="699"/>
    <s v="14:00"/>
    <n v="6.8"/>
  </r>
  <r>
    <x v="2"/>
    <x v="8"/>
    <x v="699"/>
    <s v="18:00"/>
    <n v="6.8"/>
  </r>
  <r>
    <x v="2"/>
    <x v="8"/>
    <x v="700"/>
    <s v="06:00"/>
    <n v="6.8"/>
  </r>
  <r>
    <x v="2"/>
    <x v="8"/>
    <x v="700"/>
    <s v="10:00"/>
    <n v="6.8"/>
  </r>
  <r>
    <x v="2"/>
    <x v="8"/>
    <x v="700"/>
    <s v="14:00"/>
    <n v="6.8"/>
  </r>
  <r>
    <x v="2"/>
    <x v="8"/>
    <x v="700"/>
    <s v="18:00"/>
    <n v="6.8"/>
  </r>
  <r>
    <x v="2"/>
    <x v="8"/>
    <x v="701"/>
    <s v="06:00"/>
    <n v="6.8"/>
  </r>
  <r>
    <x v="2"/>
    <x v="8"/>
    <x v="701"/>
    <s v="10:00"/>
    <n v="6.8"/>
  </r>
  <r>
    <x v="2"/>
    <x v="8"/>
    <x v="701"/>
    <s v="14:00"/>
    <n v="6.8"/>
  </r>
  <r>
    <x v="2"/>
    <x v="8"/>
    <x v="701"/>
    <s v="18:00"/>
    <n v="6.8"/>
  </r>
  <r>
    <x v="2"/>
    <x v="8"/>
    <x v="702"/>
    <s v="06:00"/>
    <n v="6.8"/>
  </r>
  <r>
    <x v="2"/>
    <x v="8"/>
    <x v="702"/>
    <s v="10:00"/>
    <n v="6.8"/>
  </r>
  <r>
    <x v="2"/>
    <x v="8"/>
    <x v="702"/>
    <s v="14:00"/>
    <n v="6.8"/>
  </r>
  <r>
    <x v="2"/>
    <x v="8"/>
    <x v="702"/>
    <s v="18:00"/>
    <n v="6.8"/>
  </r>
  <r>
    <x v="2"/>
    <x v="8"/>
    <x v="703"/>
    <s v="06:00"/>
    <n v="6.8"/>
  </r>
  <r>
    <x v="2"/>
    <x v="8"/>
    <x v="703"/>
    <s v="10:00"/>
    <n v="6.8"/>
  </r>
  <r>
    <x v="2"/>
    <x v="8"/>
    <x v="703"/>
    <s v="14:00"/>
    <n v="6.8"/>
  </r>
  <r>
    <x v="2"/>
    <x v="8"/>
    <x v="703"/>
    <s v="18:00"/>
    <n v="6.8"/>
  </r>
  <r>
    <x v="2"/>
    <x v="8"/>
    <x v="704"/>
    <s v="06:00"/>
    <n v="6.8"/>
  </r>
  <r>
    <x v="2"/>
    <x v="8"/>
    <x v="704"/>
    <s v="10:00"/>
    <n v="6.8"/>
  </r>
  <r>
    <x v="2"/>
    <x v="8"/>
    <x v="704"/>
    <s v="14:00"/>
    <n v="6.8"/>
  </r>
  <r>
    <x v="2"/>
    <x v="8"/>
    <x v="704"/>
    <s v="18:00"/>
    <n v="6.8"/>
  </r>
  <r>
    <x v="2"/>
    <x v="8"/>
    <x v="705"/>
    <s v="06:00"/>
    <n v="6.8"/>
  </r>
  <r>
    <x v="2"/>
    <x v="8"/>
    <x v="705"/>
    <s v="10:00"/>
    <n v="6.8"/>
  </r>
  <r>
    <x v="2"/>
    <x v="8"/>
    <x v="705"/>
    <s v="14:00"/>
    <n v="6.82"/>
  </r>
  <r>
    <x v="2"/>
    <x v="8"/>
    <x v="705"/>
    <s v="18:00"/>
    <n v="6.82"/>
  </r>
  <r>
    <x v="2"/>
    <x v="8"/>
    <x v="706"/>
    <s v="06:00"/>
    <n v="6.82"/>
  </r>
  <r>
    <x v="2"/>
    <x v="8"/>
    <x v="706"/>
    <s v="10:00"/>
    <n v="6.82"/>
  </r>
  <r>
    <x v="2"/>
    <x v="8"/>
    <x v="706"/>
    <s v="14:00"/>
    <n v="6.82"/>
  </r>
  <r>
    <x v="2"/>
    <x v="8"/>
    <x v="706"/>
    <s v="18:00"/>
    <n v="6.82"/>
  </r>
  <r>
    <x v="2"/>
    <x v="8"/>
    <x v="707"/>
    <s v="06:00"/>
    <n v="6.82"/>
  </r>
  <r>
    <x v="2"/>
    <x v="8"/>
    <x v="707"/>
    <s v="10:00"/>
    <n v="6.9890999999999996"/>
  </r>
  <r>
    <x v="2"/>
    <x v="8"/>
    <x v="707"/>
    <s v="14:00"/>
    <n v="6.9890999999999996"/>
  </r>
  <r>
    <x v="2"/>
    <x v="8"/>
    <x v="707"/>
    <s v="18:00"/>
    <n v="6.9890999999999996"/>
  </r>
  <r>
    <x v="2"/>
    <x v="8"/>
    <x v="708"/>
    <s v="06:00"/>
    <n v="6.82"/>
  </r>
  <r>
    <x v="2"/>
    <x v="8"/>
    <x v="708"/>
    <s v="10:00"/>
    <n v="6.82"/>
  </r>
  <r>
    <x v="2"/>
    <x v="8"/>
    <x v="708"/>
    <s v="14:00"/>
    <n v="6.82"/>
  </r>
  <r>
    <x v="2"/>
    <x v="8"/>
    <x v="708"/>
    <s v="18:00"/>
    <n v="6.82"/>
  </r>
  <r>
    <x v="2"/>
    <x v="8"/>
    <x v="709"/>
    <s v="06:00"/>
    <n v="6.82"/>
  </r>
  <r>
    <x v="2"/>
    <x v="8"/>
    <x v="709"/>
    <s v="10:00"/>
    <n v="6.82"/>
  </r>
  <r>
    <x v="2"/>
    <x v="8"/>
    <x v="709"/>
    <s v="14:00"/>
    <n v="6.82"/>
  </r>
  <r>
    <x v="2"/>
    <x v="8"/>
    <x v="709"/>
    <s v="18:00"/>
    <n v="6.82"/>
  </r>
  <r>
    <x v="2"/>
    <x v="8"/>
    <x v="710"/>
    <s v="06:00"/>
    <n v="6.82"/>
  </r>
  <r>
    <x v="2"/>
    <x v="8"/>
    <x v="710"/>
    <s v="10:00"/>
    <n v="6.82"/>
  </r>
  <r>
    <x v="2"/>
    <x v="8"/>
    <x v="710"/>
    <s v="14:00"/>
    <n v="6.82"/>
  </r>
  <r>
    <x v="2"/>
    <x v="8"/>
    <x v="710"/>
    <s v="18:00"/>
    <n v="6.82"/>
  </r>
  <r>
    <x v="2"/>
    <x v="8"/>
    <x v="711"/>
    <s v="06:00"/>
    <n v="6.82"/>
  </r>
  <r>
    <x v="2"/>
    <x v="8"/>
    <x v="711"/>
    <s v="10:00"/>
    <n v="6.89"/>
  </r>
  <r>
    <x v="2"/>
    <x v="8"/>
    <x v="711"/>
    <s v="14:00"/>
    <n v="6.82"/>
  </r>
  <r>
    <x v="2"/>
    <x v="8"/>
    <x v="711"/>
    <s v="18:00"/>
    <n v="6.82"/>
  </r>
  <r>
    <x v="2"/>
    <x v="8"/>
    <x v="712"/>
    <s v="06:00"/>
    <n v="6.82"/>
  </r>
  <r>
    <x v="2"/>
    <x v="8"/>
    <x v="712"/>
    <s v="10:00"/>
    <n v="6.82"/>
  </r>
  <r>
    <x v="2"/>
    <x v="8"/>
    <x v="712"/>
    <s v="14:00"/>
    <n v="6.82"/>
  </r>
  <r>
    <x v="2"/>
    <x v="8"/>
    <x v="712"/>
    <s v="18:00"/>
    <n v="6.82"/>
  </r>
  <r>
    <x v="2"/>
    <x v="8"/>
    <x v="713"/>
    <s v="06:00"/>
    <n v="6.82"/>
  </r>
  <r>
    <x v="2"/>
    <x v="8"/>
    <x v="713"/>
    <s v="10:00"/>
    <n v="6.82"/>
  </r>
  <r>
    <x v="2"/>
    <x v="8"/>
    <x v="713"/>
    <s v="14:00"/>
    <n v="6.82"/>
  </r>
  <r>
    <x v="2"/>
    <x v="8"/>
    <x v="713"/>
    <s v="18:00"/>
    <n v="6.82"/>
  </r>
  <r>
    <x v="2"/>
    <x v="8"/>
    <x v="714"/>
    <s v="06:00"/>
    <n v="6.82"/>
  </r>
  <r>
    <x v="2"/>
    <x v="8"/>
    <x v="714"/>
    <s v="10:00"/>
    <n v="6.82"/>
  </r>
  <r>
    <x v="2"/>
    <x v="8"/>
    <x v="714"/>
    <s v="14:00"/>
    <n v="6.82"/>
  </r>
  <r>
    <x v="2"/>
    <x v="8"/>
    <x v="714"/>
    <s v="18:00"/>
    <n v="6.82"/>
  </r>
  <r>
    <x v="2"/>
    <x v="8"/>
    <x v="715"/>
    <s v="06:00"/>
    <n v="6.82"/>
  </r>
  <r>
    <x v="2"/>
    <x v="8"/>
    <x v="715"/>
    <s v="10:00"/>
    <n v="6.82"/>
  </r>
  <r>
    <x v="2"/>
    <x v="8"/>
    <x v="715"/>
    <s v="14:00"/>
    <n v="6.82"/>
  </r>
  <r>
    <x v="2"/>
    <x v="8"/>
    <x v="715"/>
    <s v="18:00"/>
    <n v="6.82"/>
  </r>
  <r>
    <x v="2"/>
    <x v="8"/>
    <x v="716"/>
    <s v="06:00"/>
    <n v="6.82"/>
  </r>
  <r>
    <x v="2"/>
    <x v="8"/>
    <x v="716"/>
    <s v="10:00"/>
    <n v="6.82"/>
  </r>
  <r>
    <x v="2"/>
    <x v="8"/>
    <x v="716"/>
    <s v="14:00"/>
    <n v="6.82"/>
  </r>
  <r>
    <x v="2"/>
    <x v="8"/>
    <x v="716"/>
    <s v="18:00"/>
    <n v="6.82"/>
  </r>
  <r>
    <x v="2"/>
    <x v="8"/>
    <x v="717"/>
    <s v="06:00"/>
    <n v="6.82"/>
  </r>
  <r>
    <x v="2"/>
    <x v="8"/>
    <x v="717"/>
    <s v="10:00"/>
    <n v="6.82"/>
  </r>
  <r>
    <x v="2"/>
    <x v="8"/>
    <x v="717"/>
    <s v="14:00"/>
    <n v="6.82"/>
  </r>
  <r>
    <x v="2"/>
    <x v="8"/>
    <x v="717"/>
    <s v="18:00"/>
    <n v="6.82"/>
  </r>
  <r>
    <x v="2"/>
    <x v="8"/>
    <x v="718"/>
    <s v="06:00"/>
    <n v="6.82"/>
  </r>
  <r>
    <x v="2"/>
    <x v="8"/>
    <x v="718"/>
    <s v="10:00"/>
    <n v="6.89"/>
  </r>
  <r>
    <x v="2"/>
    <x v="8"/>
    <x v="718"/>
    <s v="14:00"/>
    <n v="6.89"/>
  </r>
  <r>
    <x v="2"/>
    <x v="8"/>
    <x v="718"/>
    <s v="18:00"/>
    <n v="6.82"/>
  </r>
  <r>
    <x v="2"/>
    <x v="8"/>
    <x v="719"/>
    <s v="06:00"/>
    <n v="6.82"/>
  </r>
  <r>
    <x v="2"/>
    <x v="8"/>
    <x v="719"/>
    <s v="10:00"/>
    <n v="6.89"/>
  </r>
  <r>
    <x v="2"/>
    <x v="8"/>
    <x v="719"/>
    <s v="14:00"/>
    <n v="6.89"/>
  </r>
  <r>
    <x v="2"/>
    <x v="8"/>
    <x v="719"/>
    <s v="18:00"/>
    <n v="6.89"/>
  </r>
  <r>
    <x v="2"/>
    <x v="8"/>
    <x v="720"/>
    <s v="06:00"/>
    <n v="6.89"/>
  </r>
  <r>
    <x v="2"/>
    <x v="8"/>
    <x v="720"/>
    <s v="10:00"/>
    <n v="6.89"/>
  </r>
  <r>
    <x v="2"/>
    <x v="8"/>
    <x v="720"/>
    <s v="14:00"/>
    <n v="6.89"/>
  </r>
  <r>
    <x v="2"/>
    <x v="8"/>
    <x v="720"/>
    <s v="18:00"/>
    <n v="6.89"/>
  </r>
  <r>
    <x v="2"/>
    <x v="8"/>
    <x v="721"/>
    <s v="06:00"/>
    <n v="6.89"/>
  </r>
  <r>
    <x v="2"/>
    <x v="8"/>
    <x v="721"/>
    <s v="10:00"/>
    <n v="6.89"/>
  </r>
  <r>
    <x v="2"/>
    <x v="8"/>
    <x v="721"/>
    <s v="14:00"/>
    <n v="6.89"/>
  </r>
  <r>
    <x v="2"/>
    <x v="8"/>
    <x v="721"/>
    <s v="18:00"/>
    <n v="6.89"/>
  </r>
  <r>
    <x v="2"/>
    <x v="8"/>
    <x v="722"/>
    <s v="06:00"/>
    <n v="6.89"/>
  </r>
  <r>
    <x v="2"/>
    <x v="8"/>
    <x v="722"/>
    <s v="10:00"/>
    <n v="6.89"/>
  </r>
  <r>
    <x v="2"/>
    <x v="8"/>
    <x v="722"/>
    <s v="14:00"/>
    <n v="6.89"/>
  </r>
  <r>
    <x v="2"/>
    <x v="8"/>
    <x v="722"/>
    <s v="18:00"/>
    <n v="6.89"/>
  </r>
  <r>
    <x v="2"/>
    <x v="8"/>
    <x v="723"/>
    <s v="06:00"/>
    <n v="6.89"/>
  </r>
  <r>
    <x v="2"/>
    <x v="8"/>
    <x v="723"/>
    <s v="10:00"/>
    <n v="6.89"/>
  </r>
  <r>
    <x v="2"/>
    <x v="8"/>
    <x v="723"/>
    <s v="14:00"/>
    <n v="6.89"/>
  </r>
  <r>
    <x v="2"/>
    <x v="8"/>
    <x v="723"/>
    <s v="18:00"/>
    <n v="6.89"/>
  </r>
  <r>
    <x v="2"/>
    <x v="8"/>
    <x v="724"/>
    <s v="06:00"/>
    <n v="6.89"/>
  </r>
  <r>
    <x v="2"/>
    <x v="8"/>
    <x v="724"/>
    <s v="10:00"/>
    <n v="6.89"/>
  </r>
  <r>
    <x v="2"/>
    <x v="8"/>
    <x v="724"/>
    <s v="14:00"/>
    <n v="6.82"/>
  </r>
  <r>
    <x v="2"/>
    <x v="8"/>
    <x v="724"/>
    <s v="18:00"/>
    <n v="6.82"/>
  </r>
  <r>
    <x v="2"/>
    <x v="9"/>
    <x v="725"/>
    <s v="06:00"/>
    <n v="6.89"/>
  </r>
  <r>
    <x v="2"/>
    <x v="9"/>
    <x v="725"/>
    <s v="10:00"/>
    <n v="6.89"/>
  </r>
  <r>
    <x v="2"/>
    <x v="9"/>
    <x v="725"/>
    <s v="14:00"/>
    <n v="6.89"/>
  </r>
  <r>
    <x v="2"/>
    <x v="9"/>
    <x v="725"/>
    <s v="18:00"/>
    <n v="6.89"/>
  </r>
  <r>
    <x v="2"/>
    <x v="9"/>
    <x v="726"/>
    <s v="06:00"/>
    <n v="6.89"/>
  </r>
  <r>
    <x v="2"/>
    <x v="9"/>
    <x v="726"/>
    <s v="10:00"/>
    <n v="6.89"/>
  </r>
  <r>
    <x v="2"/>
    <x v="9"/>
    <x v="726"/>
    <s v="14:00"/>
    <n v="6.89"/>
  </r>
  <r>
    <x v="2"/>
    <x v="9"/>
    <x v="726"/>
    <s v="18:00"/>
    <n v="6.89"/>
  </r>
  <r>
    <x v="2"/>
    <x v="9"/>
    <x v="727"/>
    <s v="06:00"/>
    <n v="6.89"/>
  </r>
  <r>
    <x v="2"/>
    <x v="9"/>
    <x v="727"/>
    <s v="10:00"/>
    <n v="6.89"/>
  </r>
  <r>
    <x v="2"/>
    <x v="9"/>
    <x v="727"/>
    <s v="14:00"/>
    <n v="6.89"/>
  </r>
  <r>
    <x v="2"/>
    <x v="9"/>
    <x v="727"/>
    <s v="18:00"/>
    <n v="6.89"/>
  </r>
  <r>
    <x v="2"/>
    <x v="9"/>
    <x v="728"/>
    <s v="06:00"/>
    <n v="6.89"/>
  </r>
  <r>
    <x v="2"/>
    <x v="9"/>
    <x v="728"/>
    <s v="10:00"/>
    <n v="6.89"/>
  </r>
  <r>
    <x v="2"/>
    <x v="9"/>
    <x v="728"/>
    <s v="14:00"/>
    <n v="6.89"/>
  </r>
  <r>
    <x v="2"/>
    <x v="9"/>
    <x v="728"/>
    <s v="18:00"/>
    <n v="6.89"/>
  </r>
  <r>
    <x v="2"/>
    <x v="9"/>
    <x v="729"/>
    <s v="06:00"/>
    <n v="6.89"/>
  </r>
  <r>
    <x v="2"/>
    <x v="9"/>
    <x v="729"/>
    <s v="10:00"/>
    <n v="6.89"/>
  </r>
  <r>
    <x v="2"/>
    <x v="9"/>
    <x v="729"/>
    <s v="14:00"/>
    <n v="6.89"/>
  </r>
  <r>
    <x v="2"/>
    <x v="9"/>
    <x v="729"/>
    <s v="18:00"/>
    <n v="6.89"/>
  </r>
  <r>
    <x v="2"/>
    <x v="9"/>
    <x v="730"/>
    <s v="06:00"/>
    <n v="6.89"/>
  </r>
  <r>
    <x v="2"/>
    <x v="9"/>
    <x v="730"/>
    <s v="10:00"/>
    <n v="6.89"/>
  </r>
  <r>
    <x v="2"/>
    <x v="9"/>
    <x v="730"/>
    <s v="14:00"/>
    <n v="6.89"/>
  </r>
  <r>
    <x v="2"/>
    <x v="9"/>
    <x v="730"/>
    <s v="18:00"/>
    <n v="6.89"/>
  </r>
  <r>
    <x v="2"/>
    <x v="9"/>
    <x v="731"/>
    <s v="06:00"/>
    <n v="6.89"/>
  </r>
  <r>
    <x v="2"/>
    <x v="9"/>
    <x v="731"/>
    <s v="10:00"/>
    <n v="6.89"/>
  </r>
  <r>
    <x v="2"/>
    <x v="9"/>
    <x v="731"/>
    <s v="14:00"/>
    <n v="6.89"/>
  </r>
  <r>
    <x v="2"/>
    <x v="9"/>
    <x v="731"/>
    <s v="18:00"/>
    <n v="6.89"/>
  </r>
  <r>
    <x v="2"/>
    <x v="9"/>
    <x v="732"/>
    <s v="06:00"/>
    <n v="6.89"/>
  </r>
  <r>
    <x v="2"/>
    <x v="9"/>
    <x v="732"/>
    <s v="10:00"/>
    <n v="6.89"/>
  </r>
  <r>
    <x v="2"/>
    <x v="9"/>
    <x v="732"/>
    <s v="14:00"/>
    <n v="6.89"/>
  </r>
  <r>
    <x v="2"/>
    <x v="9"/>
    <x v="732"/>
    <s v="18:00"/>
    <n v="6.89"/>
  </r>
  <r>
    <x v="2"/>
    <x v="9"/>
    <x v="733"/>
    <s v="06:00"/>
    <n v="6.89"/>
  </r>
  <r>
    <x v="2"/>
    <x v="9"/>
    <x v="733"/>
    <s v="10:00"/>
    <n v="6.89"/>
  </r>
  <r>
    <x v="2"/>
    <x v="9"/>
    <x v="733"/>
    <s v="14:00"/>
    <n v="6.89"/>
  </r>
  <r>
    <x v="2"/>
    <x v="9"/>
    <x v="733"/>
    <s v="18:00"/>
    <n v="6.89"/>
  </r>
  <r>
    <x v="2"/>
    <x v="9"/>
    <x v="734"/>
    <s v="06:00"/>
    <n v="6.89"/>
  </r>
  <r>
    <x v="2"/>
    <x v="9"/>
    <x v="734"/>
    <s v="10:00"/>
    <n v="6.89"/>
  </r>
  <r>
    <x v="2"/>
    <x v="9"/>
    <x v="734"/>
    <s v="14:00"/>
    <n v="6.89"/>
  </r>
  <r>
    <x v="2"/>
    <x v="9"/>
    <x v="734"/>
    <s v="18:00"/>
    <n v="6.89"/>
  </r>
  <r>
    <x v="2"/>
    <x v="9"/>
    <x v="735"/>
    <s v="06:00"/>
    <n v="6.89"/>
  </r>
  <r>
    <x v="2"/>
    <x v="9"/>
    <x v="735"/>
    <s v="10:00"/>
    <n v="6.89"/>
  </r>
  <r>
    <x v="2"/>
    <x v="9"/>
    <x v="735"/>
    <s v="14:00"/>
    <n v="6.89"/>
  </r>
  <r>
    <x v="2"/>
    <x v="9"/>
    <x v="735"/>
    <s v="18:00"/>
    <n v="6.89"/>
  </r>
  <r>
    <x v="2"/>
    <x v="9"/>
    <x v="736"/>
    <s v="06:00"/>
    <n v="6.89"/>
  </r>
  <r>
    <x v="2"/>
    <x v="9"/>
    <x v="736"/>
    <s v="10:00"/>
    <n v="6.89"/>
  </r>
  <r>
    <x v="2"/>
    <x v="9"/>
    <x v="736"/>
    <s v="14:00"/>
    <n v="6.89"/>
  </r>
  <r>
    <x v="2"/>
    <x v="9"/>
    <x v="736"/>
    <s v="18:00"/>
    <n v="6.89"/>
  </r>
  <r>
    <x v="2"/>
    <x v="9"/>
    <x v="737"/>
    <s v="06:00"/>
    <n v="6.89"/>
  </r>
  <r>
    <x v="2"/>
    <x v="9"/>
    <x v="737"/>
    <s v="10:00"/>
    <n v="6.89"/>
  </r>
  <r>
    <x v="2"/>
    <x v="9"/>
    <x v="737"/>
    <s v="14:00"/>
    <n v="6.89"/>
  </r>
  <r>
    <x v="2"/>
    <x v="9"/>
    <x v="737"/>
    <s v="18:00"/>
    <n v="6.89"/>
  </r>
  <r>
    <x v="2"/>
    <x v="9"/>
    <x v="738"/>
    <s v="06:00"/>
    <n v="6.89"/>
  </r>
  <r>
    <x v="2"/>
    <x v="9"/>
    <x v="738"/>
    <s v="10:00"/>
    <n v="6.89"/>
  </r>
  <r>
    <x v="2"/>
    <x v="9"/>
    <x v="738"/>
    <s v="14:00"/>
    <n v="6.89"/>
  </r>
  <r>
    <x v="2"/>
    <x v="9"/>
    <x v="738"/>
    <s v="18:00"/>
    <n v="6.89"/>
  </r>
  <r>
    <x v="2"/>
    <x v="9"/>
    <x v="739"/>
    <s v="06:00"/>
    <n v="6.89"/>
  </r>
  <r>
    <x v="2"/>
    <x v="9"/>
    <x v="739"/>
    <s v="10:00"/>
    <n v="6.89"/>
  </r>
  <r>
    <x v="2"/>
    <x v="9"/>
    <x v="739"/>
    <s v="14:00"/>
    <n v="6.89"/>
  </r>
  <r>
    <x v="2"/>
    <x v="9"/>
    <x v="739"/>
    <s v="18:00"/>
    <n v="6.89"/>
  </r>
  <r>
    <x v="2"/>
    <x v="9"/>
    <x v="740"/>
    <s v="06:00"/>
    <n v="6.89"/>
  </r>
  <r>
    <x v="2"/>
    <x v="9"/>
    <x v="740"/>
    <s v="10:00"/>
    <n v="6.89"/>
  </r>
  <r>
    <x v="2"/>
    <x v="9"/>
    <x v="740"/>
    <s v="14:00"/>
    <n v="6.89"/>
  </r>
  <r>
    <x v="2"/>
    <x v="9"/>
    <x v="740"/>
    <s v="18:00"/>
    <n v="6.89"/>
  </r>
  <r>
    <x v="2"/>
    <x v="9"/>
    <x v="741"/>
    <s v="06:00"/>
    <n v="6.89"/>
  </r>
  <r>
    <x v="2"/>
    <x v="9"/>
    <x v="741"/>
    <s v="10:00"/>
    <n v="6.89"/>
  </r>
  <r>
    <x v="2"/>
    <x v="9"/>
    <x v="741"/>
    <s v="14:00"/>
    <n v="6.89"/>
  </r>
  <r>
    <x v="2"/>
    <x v="9"/>
    <x v="741"/>
    <s v="18:00"/>
    <n v="6.89"/>
  </r>
  <r>
    <x v="2"/>
    <x v="9"/>
    <x v="742"/>
    <s v="06:00"/>
    <n v="6.89"/>
  </r>
  <r>
    <x v="2"/>
    <x v="9"/>
    <x v="742"/>
    <s v="10:00"/>
    <n v="6.89"/>
  </r>
  <r>
    <x v="2"/>
    <x v="9"/>
    <x v="742"/>
    <s v="14:00"/>
    <n v="6.89"/>
  </r>
  <r>
    <x v="2"/>
    <x v="9"/>
    <x v="742"/>
    <s v="18:00"/>
    <n v="6.89"/>
  </r>
  <r>
    <x v="2"/>
    <x v="9"/>
    <x v="743"/>
    <s v="06:00"/>
    <n v="6.89"/>
  </r>
  <r>
    <x v="2"/>
    <x v="9"/>
    <x v="743"/>
    <s v="10:00"/>
    <n v="6.89"/>
  </r>
  <r>
    <x v="2"/>
    <x v="9"/>
    <x v="743"/>
    <s v="14:00"/>
    <n v="6.89"/>
  </r>
  <r>
    <x v="2"/>
    <x v="9"/>
    <x v="743"/>
    <s v="18:00"/>
    <n v="6.89"/>
  </r>
  <r>
    <x v="2"/>
    <x v="9"/>
    <x v="744"/>
    <s v="06:00"/>
    <n v="6.89"/>
  </r>
  <r>
    <x v="2"/>
    <x v="9"/>
    <x v="744"/>
    <s v="10:00"/>
    <n v="6.89"/>
  </r>
  <r>
    <x v="2"/>
    <x v="9"/>
    <x v="744"/>
    <s v="14:00"/>
    <n v="6.89"/>
  </r>
  <r>
    <x v="2"/>
    <x v="9"/>
    <x v="744"/>
    <s v="18:00"/>
    <n v="6.89"/>
  </r>
  <r>
    <x v="2"/>
    <x v="9"/>
    <x v="745"/>
    <s v="06:00"/>
    <n v="6.89"/>
  </r>
  <r>
    <x v="2"/>
    <x v="9"/>
    <x v="745"/>
    <s v="10:00"/>
    <n v="6.89"/>
  </r>
  <r>
    <x v="2"/>
    <x v="9"/>
    <x v="745"/>
    <s v="14:00"/>
    <n v="6.89"/>
  </r>
  <r>
    <x v="2"/>
    <x v="9"/>
    <x v="745"/>
    <s v="18:00"/>
    <n v="6.89"/>
  </r>
  <r>
    <x v="2"/>
    <x v="9"/>
    <x v="746"/>
    <s v="06:00"/>
    <n v="6.89"/>
  </r>
  <r>
    <x v="2"/>
    <x v="9"/>
    <x v="746"/>
    <s v="10:00"/>
    <n v="6.89"/>
  </r>
  <r>
    <x v="2"/>
    <x v="9"/>
    <x v="746"/>
    <s v="14:00"/>
    <n v="6.89"/>
  </r>
  <r>
    <x v="2"/>
    <x v="9"/>
    <x v="746"/>
    <s v="18:00"/>
    <n v="6.89"/>
  </r>
  <r>
    <x v="2"/>
    <x v="9"/>
    <x v="747"/>
    <s v="06:00"/>
    <n v="6.89"/>
  </r>
  <r>
    <x v="2"/>
    <x v="9"/>
    <x v="747"/>
    <s v="10:00"/>
    <n v="6.89"/>
  </r>
  <r>
    <x v="2"/>
    <x v="9"/>
    <x v="747"/>
    <s v="14:00"/>
    <n v="6.89"/>
  </r>
  <r>
    <x v="2"/>
    <x v="9"/>
    <x v="747"/>
    <s v="18:00"/>
    <n v="6.89"/>
  </r>
  <r>
    <x v="2"/>
    <x v="9"/>
    <x v="748"/>
    <s v="06:00"/>
    <n v="6.89"/>
  </r>
  <r>
    <x v="2"/>
    <x v="9"/>
    <x v="748"/>
    <s v="10:00"/>
    <n v="6.89"/>
  </r>
  <r>
    <x v="2"/>
    <x v="9"/>
    <x v="748"/>
    <s v="14:00"/>
    <n v="6.89"/>
  </r>
  <r>
    <x v="2"/>
    <x v="9"/>
    <x v="748"/>
    <s v="18:00"/>
    <n v="6.89"/>
  </r>
  <r>
    <x v="2"/>
    <x v="9"/>
    <x v="749"/>
    <s v="06:00"/>
    <n v="6.89"/>
  </r>
  <r>
    <x v="2"/>
    <x v="9"/>
    <x v="749"/>
    <s v="10:00"/>
    <n v="6.89"/>
  </r>
  <r>
    <x v="2"/>
    <x v="9"/>
    <x v="749"/>
    <s v="14:00"/>
    <n v="6.89"/>
  </r>
  <r>
    <x v="2"/>
    <x v="9"/>
    <x v="749"/>
    <s v="18:00"/>
    <n v="6.89"/>
  </r>
  <r>
    <x v="2"/>
    <x v="9"/>
    <x v="750"/>
    <s v="06:00"/>
    <n v="6.89"/>
  </r>
  <r>
    <x v="2"/>
    <x v="9"/>
    <x v="750"/>
    <s v="10:00"/>
    <n v="6.89"/>
  </r>
  <r>
    <x v="2"/>
    <x v="9"/>
    <x v="750"/>
    <s v="14:00"/>
    <n v="6.89"/>
  </r>
  <r>
    <x v="2"/>
    <x v="9"/>
    <x v="750"/>
    <s v="18:00"/>
    <n v="6.89"/>
  </r>
  <r>
    <x v="2"/>
    <x v="9"/>
    <x v="751"/>
    <s v="06:00"/>
    <n v="6.89"/>
  </r>
  <r>
    <x v="2"/>
    <x v="9"/>
    <x v="751"/>
    <s v="10:00"/>
    <n v="6.89"/>
  </r>
  <r>
    <x v="2"/>
    <x v="9"/>
    <x v="751"/>
    <s v="14:00"/>
    <n v="6.89"/>
  </r>
  <r>
    <x v="2"/>
    <x v="9"/>
    <x v="751"/>
    <s v="18:00"/>
    <n v="6.89"/>
  </r>
  <r>
    <x v="2"/>
    <x v="9"/>
    <x v="752"/>
    <s v="06:00"/>
    <n v="6.89"/>
  </r>
  <r>
    <x v="2"/>
    <x v="9"/>
    <x v="752"/>
    <s v="10:00"/>
    <n v="6.89"/>
  </r>
  <r>
    <x v="2"/>
    <x v="9"/>
    <x v="752"/>
    <s v="14:00"/>
    <n v="6.89"/>
  </r>
  <r>
    <x v="2"/>
    <x v="9"/>
    <x v="752"/>
    <s v="18:00"/>
    <n v="6.89"/>
  </r>
  <r>
    <x v="2"/>
    <x v="9"/>
    <x v="753"/>
    <s v="06:00"/>
    <n v="6.89"/>
  </r>
  <r>
    <x v="2"/>
    <x v="9"/>
    <x v="753"/>
    <s v="10:00"/>
    <n v="6.89"/>
  </r>
  <r>
    <x v="2"/>
    <x v="9"/>
    <x v="753"/>
    <s v="14:00"/>
    <n v="6.89"/>
  </r>
  <r>
    <x v="2"/>
    <x v="9"/>
    <x v="753"/>
    <s v="18:00"/>
    <n v="6.89"/>
  </r>
  <r>
    <x v="2"/>
    <x v="9"/>
    <x v="754"/>
    <s v="06:00"/>
    <n v="6.89"/>
  </r>
  <r>
    <x v="2"/>
    <x v="9"/>
    <x v="754"/>
    <s v="10:00"/>
    <n v="6.89"/>
  </r>
  <r>
    <x v="2"/>
    <x v="9"/>
    <x v="754"/>
    <s v="14:00"/>
    <n v="6.89"/>
  </r>
  <r>
    <x v="2"/>
    <x v="9"/>
    <x v="754"/>
    <s v="18:00"/>
    <n v="6.89"/>
  </r>
  <r>
    <x v="2"/>
    <x v="9"/>
    <x v="755"/>
    <s v="06:00"/>
    <n v="6.89"/>
  </r>
  <r>
    <x v="2"/>
    <x v="9"/>
    <x v="755"/>
    <s v="10:00"/>
    <n v="6.89"/>
  </r>
  <r>
    <x v="2"/>
    <x v="9"/>
    <x v="755"/>
    <s v="14:00"/>
    <n v="6.89"/>
  </r>
  <r>
    <x v="2"/>
    <x v="9"/>
    <x v="755"/>
    <s v="18:00"/>
    <n v="6.89"/>
  </r>
  <r>
    <x v="2"/>
    <x v="10"/>
    <x v="756"/>
    <s v="06:00"/>
    <n v="6.89"/>
  </r>
  <r>
    <x v="2"/>
    <x v="10"/>
    <x v="756"/>
    <s v="10:00"/>
    <n v="6.89"/>
  </r>
  <r>
    <x v="2"/>
    <x v="10"/>
    <x v="756"/>
    <s v="14:00"/>
    <n v="6.89"/>
  </r>
  <r>
    <x v="2"/>
    <x v="10"/>
    <x v="756"/>
    <s v="18:00"/>
    <n v="6.89"/>
  </r>
  <r>
    <x v="2"/>
    <x v="10"/>
    <x v="757"/>
    <s v="06:00"/>
    <n v="6.89"/>
  </r>
  <r>
    <x v="2"/>
    <x v="10"/>
    <x v="757"/>
    <s v="10:00"/>
    <n v="6.89"/>
  </r>
  <r>
    <x v="2"/>
    <x v="10"/>
    <x v="757"/>
    <s v="14:00"/>
    <n v="6.89"/>
  </r>
  <r>
    <x v="2"/>
    <x v="10"/>
    <x v="757"/>
    <s v="18:00"/>
    <n v="6.89"/>
  </r>
  <r>
    <x v="2"/>
    <x v="10"/>
    <x v="758"/>
    <s v="06:00"/>
    <n v="6.89"/>
  </r>
  <r>
    <x v="2"/>
    <x v="10"/>
    <x v="758"/>
    <s v="10:00"/>
    <n v="6.89"/>
  </r>
  <r>
    <x v="2"/>
    <x v="10"/>
    <x v="758"/>
    <s v="14:00"/>
    <n v="6.89"/>
  </r>
  <r>
    <x v="2"/>
    <x v="10"/>
    <x v="758"/>
    <s v="18:00"/>
    <n v="6.89"/>
  </r>
  <r>
    <x v="2"/>
    <x v="10"/>
    <x v="759"/>
    <s v="06:00"/>
    <n v="6.89"/>
  </r>
  <r>
    <x v="2"/>
    <x v="10"/>
    <x v="759"/>
    <s v="10:00"/>
    <n v="6.89"/>
  </r>
  <r>
    <x v="2"/>
    <x v="10"/>
    <x v="759"/>
    <s v="14:00"/>
    <n v="6.89"/>
  </r>
  <r>
    <x v="2"/>
    <x v="10"/>
    <x v="759"/>
    <s v="18:00"/>
    <n v="6.89"/>
  </r>
  <r>
    <x v="2"/>
    <x v="10"/>
    <x v="760"/>
    <s v="06:00"/>
    <n v="6.89"/>
  </r>
  <r>
    <x v="2"/>
    <x v="10"/>
    <x v="760"/>
    <s v="10:00"/>
    <n v="6.89"/>
  </r>
  <r>
    <x v="2"/>
    <x v="10"/>
    <x v="760"/>
    <s v="14:00"/>
    <n v="6.89"/>
  </r>
  <r>
    <x v="2"/>
    <x v="10"/>
    <x v="760"/>
    <s v="18:00"/>
    <n v="6.89"/>
  </r>
  <r>
    <x v="2"/>
    <x v="10"/>
    <x v="761"/>
    <s v="06:00"/>
    <n v="6.89"/>
  </r>
  <r>
    <x v="2"/>
    <x v="10"/>
    <x v="761"/>
    <s v="10:00"/>
    <n v="6.89"/>
  </r>
  <r>
    <x v="2"/>
    <x v="10"/>
    <x v="761"/>
    <s v="14:00"/>
    <n v="6.89"/>
  </r>
  <r>
    <x v="2"/>
    <x v="10"/>
    <x v="761"/>
    <s v="18:00"/>
    <n v="6.89"/>
  </r>
  <r>
    <x v="2"/>
    <x v="10"/>
    <x v="762"/>
    <s v="06:00"/>
    <n v="6.89"/>
  </r>
  <r>
    <x v="2"/>
    <x v="10"/>
    <x v="762"/>
    <s v="10:00"/>
    <n v="6.89"/>
  </r>
  <r>
    <x v="2"/>
    <x v="10"/>
    <x v="762"/>
    <s v="14:00"/>
    <n v="6.89"/>
  </r>
  <r>
    <x v="2"/>
    <x v="10"/>
    <x v="762"/>
    <s v="18:00"/>
    <n v="6.89"/>
  </r>
  <r>
    <x v="2"/>
    <x v="10"/>
    <x v="763"/>
    <s v="06:00"/>
    <n v="6.89"/>
  </r>
  <r>
    <x v="2"/>
    <x v="10"/>
    <x v="763"/>
    <s v="10:00"/>
    <n v="6.89"/>
  </r>
  <r>
    <x v="2"/>
    <x v="10"/>
    <x v="763"/>
    <s v="14:00"/>
    <n v="6.89"/>
  </r>
  <r>
    <x v="2"/>
    <x v="10"/>
    <x v="763"/>
    <s v="18:00"/>
    <n v="6.89"/>
  </r>
  <r>
    <x v="2"/>
    <x v="10"/>
    <x v="764"/>
    <s v="06:00"/>
    <n v="6.89"/>
  </r>
  <r>
    <x v="2"/>
    <x v="10"/>
    <x v="764"/>
    <s v="10:00"/>
    <n v="6.89"/>
  </r>
  <r>
    <x v="2"/>
    <x v="10"/>
    <x v="764"/>
    <s v="14:00"/>
    <n v="6.89"/>
  </r>
  <r>
    <x v="2"/>
    <x v="10"/>
    <x v="764"/>
    <s v="18:00"/>
    <n v="6.89"/>
  </r>
  <r>
    <x v="2"/>
    <x v="10"/>
    <x v="765"/>
    <s v="06:00"/>
    <n v="6.89"/>
  </r>
  <r>
    <x v="2"/>
    <x v="10"/>
    <x v="765"/>
    <s v="10:00"/>
    <n v="6.89"/>
  </r>
  <r>
    <x v="2"/>
    <x v="10"/>
    <x v="765"/>
    <s v="14:00"/>
    <n v="6.84"/>
  </r>
  <r>
    <x v="2"/>
    <x v="10"/>
    <x v="765"/>
    <s v="18:00"/>
    <n v="6.84"/>
  </r>
  <r>
    <x v="2"/>
    <x v="10"/>
    <x v="766"/>
    <s v="06:00"/>
    <n v="6.84"/>
  </r>
  <r>
    <x v="2"/>
    <x v="10"/>
    <x v="766"/>
    <s v="10:00"/>
    <n v="6.91"/>
  </r>
  <r>
    <x v="2"/>
    <x v="10"/>
    <x v="766"/>
    <s v="14:00"/>
    <n v="6.91"/>
  </r>
  <r>
    <x v="2"/>
    <x v="10"/>
    <x v="766"/>
    <s v="18:00"/>
    <n v="6.91"/>
  </r>
  <r>
    <x v="2"/>
    <x v="10"/>
    <x v="767"/>
    <s v="06:00"/>
    <n v="6.91"/>
  </r>
  <r>
    <x v="2"/>
    <x v="10"/>
    <x v="767"/>
    <s v="10:00"/>
    <n v="6.91"/>
  </r>
  <r>
    <x v="2"/>
    <x v="10"/>
    <x v="767"/>
    <s v="14:00"/>
    <n v="6.91"/>
  </r>
  <r>
    <x v="2"/>
    <x v="10"/>
    <x v="767"/>
    <s v="18:00"/>
    <n v="6.91"/>
  </r>
  <r>
    <x v="2"/>
    <x v="10"/>
    <x v="768"/>
    <s v="06:00"/>
    <n v="6.91"/>
  </r>
  <r>
    <x v="2"/>
    <x v="10"/>
    <x v="768"/>
    <s v="10:00"/>
    <n v="6.84"/>
  </r>
  <r>
    <x v="2"/>
    <x v="10"/>
    <x v="768"/>
    <s v="14:00"/>
    <n v="6.84"/>
  </r>
  <r>
    <x v="2"/>
    <x v="10"/>
    <x v="768"/>
    <s v="18:00"/>
    <n v="6.84"/>
  </r>
  <r>
    <x v="2"/>
    <x v="10"/>
    <x v="769"/>
    <s v="06:00"/>
    <n v="6.84"/>
  </r>
  <r>
    <x v="2"/>
    <x v="10"/>
    <x v="769"/>
    <s v="10:00"/>
    <n v="6.84"/>
  </r>
  <r>
    <x v="2"/>
    <x v="10"/>
    <x v="769"/>
    <s v="14:00"/>
    <n v="6.84"/>
  </r>
  <r>
    <x v="2"/>
    <x v="10"/>
    <x v="769"/>
    <s v="18:00"/>
    <n v="6.84"/>
  </r>
  <r>
    <x v="2"/>
    <x v="10"/>
    <x v="770"/>
    <s v="06:00"/>
    <n v="6.84"/>
  </r>
  <r>
    <x v="2"/>
    <x v="10"/>
    <x v="770"/>
    <s v="10:00"/>
    <n v="6.84"/>
  </r>
  <r>
    <x v="2"/>
    <x v="10"/>
    <x v="770"/>
    <s v="14:00"/>
    <n v="6.84"/>
  </r>
  <r>
    <x v="2"/>
    <x v="10"/>
    <x v="770"/>
    <s v="18:00"/>
    <n v="6.84"/>
  </r>
  <r>
    <x v="2"/>
    <x v="10"/>
    <x v="771"/>
    <s v="06:00"/>
    <n v="6.84"/>
  </r>
  <r>
    <x v="2"/>
    <x v="10"/>
    <x v="771"/>
    <s v="10:00"/>
    <n v="6.84"/>
  </r>
  <r>
    <x v="2"/>
    <x v="10"/>
    <x v="771"/>
    <s v="14:00"/>
    <n v="6.84"/>
  </r>
  <r>
    <x v="2"/>
    <x v="10"/>
    <x v="771"/>
    <s v="18:00"/>
    <n v="6.84"/>
  </r>
  <r>
    <x v="2"/>
    <x v="10"/>
    <x v="772"/>
    <s v="06:00"/>
    <n v="6.84"/>
  </r>
  <r>
    <x v="2"/>
    <x v="10"/>
    <x v="772"/>
    <s v="10:00"/>
    <n v="6.84"/>
  </r>
  <r>
    <x v="2"/>
    <x v="10"/>
    <x v="772"/>
    <s v="14:00"/>
    <n v="6.84"/>
  </r>
  <r>
    <x v="2"/>
    <x v="10"/>
    <x v="772"/>
    <s v="18:00"/>
    <n v="6.84"/>
  </r>
  <r>
    <x v="2"/>
    <x v="10"/>
    <x v="773"/>
    <s v="06:00"/>
    <n v="6.84"/>
  </r>
  <r>
    <x v="2"/>
    <x v="10"/>
    <x v="773"/>
    <s v="10:00"/>
    <n v="6.8"/>
  </r>
  <r>
    <x v="2"/>
    <x v="10"/>
    <x v="773"/>
    <s v="14:00"/>
    <n v="6.8"/>
  </r>
  <r>
    <x v="2"/>
    <x v="10"/>
    <x v="773"/>
    <s v="18:00"/>
    <n v="6.8"/>
  </r>
  <r>
    <x v="2"/>
    <x v="10"/>
    <x v="774"/>
    <s v="06:00"/>
    <n v="6.8"/>
  </r>
  <r>
    <x v="2"/>
    <x v="10"/>
    <x v="774"/>
    <s v="10:00"/>
    <n v="6.8"/>
  </r>
  <r>
    <x v="2"/>
    <x v="10"/>
    <x v="774"/>
    <s v="14:00"/>
    <n v="6.8"/>
  </r>
  <r>
    <x v="2"/>
    <x v="10"/>
    <x v="774"/>
    <s v="18:00"/>
    <n v="6.8"/>
  </r>
  <r>
    <x v="2"/>
    <x v="10"/>
    <x v="775"/>
    <s v="06:00"/>
    <n v="6.8"/>
  </r>
  <r>
    <x v="2"/>
    <x v="10"/>
    <x v="775"/>
    <s v="10:00"/>
    <n v="6.8"/>
  </r>
  <r>
    <x v="2"/>
    <x v="10"/>
    <x v="775"/>
    <s v="14:00"/>
    <n v="6.8"/>
  </r>
  <r>
    <x v="2"/>
    <x v="10"/>
    <x v="775"/>
    <s v="18:00"/>
    <n v="6.8"/>
  </r>
  <r>
    <x v="2"/>
    <x v="10"/>
    <x v="776"/>
    <s v="06:00"/>
    <n v="6.8"/>
  </r>
  <r>
    <x v="2"/>
    <x v="10"/>
    <x v="776"/>
    <s v="10:00"/>
    <n v="6.8"/>
  </r>
  <r>
    <x v="2"/>
    <x v="10"/>
    <x v="776"/>
    <s v="14:00"/>
    <n v="6.8"/>
  </r>
  <r>
    <x v="2"/>
    <x v="10"/>
    <x v="776"/>
    <s v="18:00"/>
    <n v="6.8"/>
  </r>
  <r>
    <x v="2"/>
    <x v="10"/>
    <x v="777"/>
    <s v="06:00"/>
    <n v="6.8"/>
  </r>
  <r>
    <x v="2"/>
    <x v="10"/>
    <x v="777"/>
    <s v="10:00"/>
    <n v="10.57"/>
  </r>
  <r>
    <x v="2"/>
    <x v="10"/>
    <x v="777"/>
    <s v="14:00"/>
    <n v="10.57"/>
  </r>
  <r>
    <x v="2"/>
    <x v="10"/>
    <x v="777"/>
    <s v="18:00"/>
    <n v="10.57"/>
  </r>
  <r>
    <x v="2"/>
    <x v="10"/>
    <x v="778"/>
    <s v="06:00"/>
    <n v="10.57"/>
  </r>
  <r>
    <x v="2"/>
    <x v="10"/>
    <x v="778"/>
    <s v="10:00"/>
    <n v="10.57"/>
  </r>
  <r>
    <x v="2"/>
    <x v="10"/>
    <x v="778"/>
    <s v="14:00"/>
    <n v="10.57"/>
  </r>
  <r>
    <x v="2"/>
    <x v="10"/>
    <x v="778"/>
    <s v="18:00"/>
    <n v="10.57"/>
  </r>
  <r>
    <x v="2"/>
    <x v="10"/>
    <x v="779"/>
    <s v="06:00"/>
    <n v="10.57"/>
  </r>
  <r>
    <x v="2"/>
    <x v="10"/>
    <x v="779"/>
    <s v="10:00"/>
    <n v="10.57"/>
  </r>
  <r>
    <x v="2"/>
    <x v="10"/>
    <x v="779"/>
    <s v="14:00"/>
    <n v="10.57"/>
  </r>
  <r>
    <x v="2"/>
    <x v="10"/>
    <x v="779"/>
    <s v="18:00"/>
    <n v="10.57"/>
  </r>
  <r>
    <x v="2"/>
    <x v="10"/>
    <x v="780"/>
    <s v="06:00"/>
    <n v="10.57"/>
  </r>
  <r>
    <x v="2"/>
    <x v="10"/>
    <x v="780"/>
    <s v="10:00"/>
    <n v="10.57"/>
  </r>
  <r>
    <x v="2"/>
    <x v="10"/>
    <x v="780"/>
    <s v="14:00"/>
    <n v="10.57"/>
  </r>
  <r>
    <x v="2"/>
    <x v="10"/>
    <x v="780"/>
    <s v="18:00"/>
    <n v="10.57"/>
  </r>
  <r>
    <x v="2"/>
    <x v="10"/>
    <x v="781"/>
    <s v="06:00"/>
    <n v="10.57"/>
  </r>
  <r>
    <x v="2"/>
    <x v="10"/>
    <x v="781"/>
    <s v="10:00"/>
    <n v="10.57"/>
  </r>
  <r>
    <x v="2"/>
    <x v="10"/>
    <x v="781"/>
    <s v="14:00"/>
    <n v="10.57"/>
  </r>
  <r>
    <x v="2"/>
    <x v="10"/>
    <x v="781"/>
    <s v="18:00"/>
    <n v="10.57"/>
  </r>
  <r>
    <x v="2"/>
    <x v="10"/>
    <x v="782"/>
    <s v="06:00"/>
    <n v="10.57"/>
  </r>
  <r>
    <x v="2"/>
    <x v="10"/>
    <x v="782"/>
    <s v="10:00"/>
    <n v="10.57"/>
  </r>
  <r>
    <x v="2"/>
    <x v="10"/>
    <x v="782"/>
    <s v="14:00"/>
    <n v="10.57"/>
  </r>
  <r>
    <x v="2"/>
    <x v="10"/>
    <x v="782"/>
    <s v="18:00"/>
    <n v="10.57"/>
  </r>
  <r>
    <x v="2"/>
    <x v="10"/>
    <x v="783"/>
    <s v="06:00"/>
    <n v="10.57"/>
  </r>
  <r>
    <x v="2"/>
    <x v="10"/>
    <x v="783"/>
    <s v="10:00"/>
    <n v="10.57"/>
  </r>
  <r>
    <x v="2"/>
    <x v="10"/>
    <x v="783"/>
    <s v="14:00"/>
    <n v="10.57"/>
  </r>
  <r>
    <x v="2"/>
    <x v="10"/>
    <x v="783"/>
    <s v="18:00"/>
    <n v="10.57"/>
  </r>
  <r>
    <x v="2"/>
    <x v="10"/>
    <x v="784"/>
    <s v="06:00"/>
    <n v="10.57"/>
  </r>
  <r>
    <x v="2"/>
    <x v="10"/>
    <x v="784"/>
    <s v="10:00"/>
    <n v="10.57"/>
  </r>
  <r>
    <x v="2"/>
    <x v="10"/>
    <x v="784"/>
    <s v="14:00"/>
    <n v="10.57"/>
  </r>
  <r>
    <x v="2"/>
    <x v="10"/>
    <x v="784"/>
    <s v="18:00"/>
    <n v="10.57"/>
  </r>
  <r>
    <x v="2"/>
    <x v="10"/>
    <x v="785"/>
    <s v="06:00"/>
    <n v="10.57"/>
  </r>
  <r>
    <x v="2"/>
    <x v="10"/>
    <x v="785"/>
    <s v="10:00"/>
    <n v="19.3"/>
  </r>
  <r>
    <x v="2"/>
    <x v="10"/>
    <x v="785"/>
    <s v="14:00"/>
    <n v="17.489999999999998"/>
  </r>
  <r>
    <x v="2"/>
    <x v="10"/>
    <x v="785"/>
    <s v="18:00"/>
    <n v="17.489999999999998"/>
  </r>
  <r>
    <x v="2"/>
    <x v="10"/>
    <x v="786"/>
    <s v="06:00"/>
    <n v="17.489999999999998"/>
  </r>
  <r>
    <x v="2"/>
    <x v="10"/>
    <x v="786"/>
    <s v="10:00"/>
    <n v="17.489999999999998"/>
  </r>
  <r>
    <x v="2"/>
    <x v="10"/>
    <x v="786"/>
    <s v="14:00"/>
    <n v="17.489999999999998"/>
  </r>
  <r>
    <x v="2"/>
    <x v="10"/>
    <x v="786"/>
    <s v="18:00"/>
    <n v="17.489999999999998"/>
  </r>
  <r>
    <x v="2"/>
    <x v="11"/>
    <x v="787"/>
    <s v="06:00"/>
    <n v="17.489999999999998"/>
  </r>
  <r>
    <x v="2"/>
    <x v="11"/>
    <x v="787"/>
    <s v="10:00"/>
    <n v="17.489999999999998"/>
  </r>
  <r>
    <x v="2"/>
    <x v="11"/>
    <x v="787"/>
    <s v="14:00"/>
    <n v="17.489999999999998"/>
  </r>
  <r>
    <x v="2"/>
    <x v="11"/>
    <x v="787"/>
    <s v="18:00"/>
    <n v="17.489999999999998"/>
  </r>
  <r>
    <x v="2"/>
    <x v="11"/>
    <x v="788"/>
    <s v="06:00"/>
    <n v="17.489999999999998"/>
  </r>
  <r>
    <x v="2"/>
    <x v="11"/>
    <x v="788"/>
    <s v="10:00"/>
    <n v="17.489999999999998"/>
  </r>
  <r>
    <x v="2"/>
    <x v="11"/>
    <x v="788"/>
    <s v="14:00"/>
    <n v="17.489999999999998"/>
  </r>
  <r>
    <x v="2"/>
    <x v="11"/>
    <x v="788"/>
    <s v="18:00"/>
    <n v="17.489999999999998"/>
  </r>
  <r>
    <x v="2"/>
    <x v="11"/>
    <x v="789"/>
    <s v="06:00"/>
    <n v="17.489999999999998"/>
  </r>
  <r>
    <x v="2"/>
    <x v="11"/>
    <x v="789"/>
    <s v="10:00"/>
    <n v="17.489999999999998"/>
  </r>
  <r>
    <x v="2"/>
    <x v="11"/>
    <x v="789"/>
    <s v="14:00"/>
    <n v="17.489999999999998"/>
  </r>
  <r>
    <x v="2"/>
    <x v="11"/>
    <x v="789"/>
    <s v="18:00"/>
    <n v="17.489999999999998"/>
  </r>
  <r>
    <x v="2"/>
    <x v="11"/>
    <x v="790"/>
    <s v="06:00"/>
    <n v="17.489999999999998"/>
  </r>
  <r>
    <x v="2"/>
    <x v="11"/>
    <x v="790"/>
    <s v="10:00"/>
    <n v="17.489999999999998"/>
  </r>
  <r>
    <x v="2"/>
    <x v="11"/>
    <x v="790"/>
    <s v="14:00"/>
    <n v="17.489999999999998"/>
  </r>
  <r>
    <x v="2"/>
    <x v="11"/>
    <x v="790"/>
    <s v="18:00"/>
    <n v="17.489999999999998"/>
  </r>
  <r>
    <x v="2"/>
    <x v="11"/>
    <x v="791"/>
    <s v="06:00"/>
    <n v="17.489999999999998"/>
  </r>
  <r>
    <x v="2"/>
    <x v="11"/>
    <x v="791"/>
    <s v="10:00"/>
    <n v="17.489999999999998"/>
  </r>
  <r>
    <x v="2"/>
    <x v="11"/>
    <x v="791"/>
    <s v="14:00"/>
    <n v="17.489999999999998"/>
  </r>
  <r>
    <x v="2"/>
    <x v="11"/>
    <x v="791"/>
    <s v="18:00"/>
    <n v="17.489999999999998"/>
  </r>
  <r>
    <x v="2"/>
    <x v="11"/>
    <x v="792"/>
    <s v="06:00"/>
    <n v="17.489999999999998"/>
  </r>
  <r>
    <x v="2"/>
    <x v="11"/>
    <x v="792"/>
    <s v="10:00"/>
    <n v="17.489999999999998"/>
  </r>
  <r>
    <x v="2"/>
    <x v="11"/>
    <x v="792"/>
    <s v="14:00"/>
    <n v="17.489999999999998"/>
  </r>
  <r>
    <x v="2"/>
    <x v="11"/>
    <x v="792"/>
    <s v="18:00"/>
    <n v="17.489999999999998"/>
  </r>
  <r>
    <x v="2"/>
    <x v="11"/>
    <x v="793"/>
    <s v="06:00"/>
    <n v="17.489999999999998"/>
  </r>
  <r>
    <x v="2"/>
    <x v="11"/>
    <x v="793"/>
    <s v="10:00"/>
    <n v="17.489999999999998"/>
  </r>
  <r>
    <x v="2"/>
    <x v="11"/>
    <x v="793"/>
    <s v="14:00"/>
    <n v="17.489999999999998"/>
  </r>
  <r>
    <x v="2"/>
    <x v="11"/>
    <x v="793"/>
    <s v="18:00"/>
    <n v="17.489999999999998"/>
  </r>
  <r>
    <x v="2"/>
    <x v="11"/>
    <x v="794"/>
    <s v="06:00"/>
    <n v="17.489999999999998"/>
  </r>
  <r>
    <x v="2"/>
    <x v="11"/>
    <x v="794"/>
    <s v="10:00"/>
    <n v="17.489999999999998"/>
  </r>
  <r>
    <x v="2"/>
    <x v="11"/>
    <x v="794"/>
    <s v="14:00"/>
    <n v="17.489999999999998"/>
  </r>
  <r>
    <x v="2"/>
    <x v="11"/>
    <x v="794"/>
    <s v="18:00"/>
    <n v="17.489999999999998"/>
  </r>
  <r>
    <x v="2"/>
    <x v="11"/>
    <x v="795"/>
    <s v="06:00"/>
    <n v="17.489999999999998"/>
  </r>
  <r>
    <x v="2"/>
    <x v="11"/>
    <x v="795"/>
    <s v="10:00"/>
    <n v="17.489999999999998"/>
  </r>
  <r>
    <x v="2"/>
    <x v="11"/>
    <x v="795"/>
    <s v="14:00"/>
    <n v="17.489999999999998"/>
  </r>
  <r>
    <x v="2"/>
    <x v="11"/>
    <x v="795"/>
    <s v="18:00"/>
    <n v="17.489999999999998"/>
  </r>
  <r>
    <x v="2"/>
    <x v="11"/>
    <x v="796"/>
    <s v="06:00"/>
    <n v="17.489999999999998"/>
  </r>
  <r>
    <x v="2"/>
    <x v="11"/>
    <x v="796"/>
    <s v="10:00"/>
    <n v="17.489999999999998"/>
  </r>
  <r>
    <x v="2"/>
    <x v="11"/>
    <x v="796"/>
    <s v="14:00"/>
    <n v="17.489999999999998"/>
  </r>
  <r>
    <x v="2"/>
    <x v="11"/>
    <x v="796"/>
    <s v="18:00"/>
    <n v="17.489999999999998"/>
  </r>
  <r>
    <x v="2"/>
    <x v="11"/>
    <x v="797"/>
    <s v="06:00"/>
    <n v="17.489999999999998"/>
  </r>
  <r>
    <x v="2"/>
    <x v="11"/>
    <x v="797"/>
    <s v="10:00"/>
    <n v="17.489999999999998"/>
  </r>
  <r>
    <x v="2"/>
    <x v="11"/>
    <x v="797"/>
    <s v="14:00"/>
    <n v="17.489999999999998"/>
  </r>
  <r>
    <x v="2"/>
    <x v="11"/>
    <x v="797"/>
    <s v="18:00"/>
    <n v="17.489999999999998"/>
  </r>
  <r>
    <x v="2"/>
    <x v="11"/>
    <x v="798"/>
    <s v="06:00"/>
    <n v="17.489999999999998"/>
  </r>
  <r>
    <x v="2"/>
    <x v="11"/>
    <x v="798"/>
    <s v="10:00"/>
    <n v="17.489999999999998"/>
  </r>
  <r>
    <x v="2"/>
    <x v="11"/>
    <x v="798"/>
    <s v="14:00"/>
    <n v="17.489999999999998"/>
  </r>
  <r>
    <x v="2"/>
    <x v="11"/>
    <x v="798"/>
    <s v="18:00"/>
    <n v="17.489999999999998"/>
  </r>
  <r>
    <x v="2"/>
    <x v="11"/>
    <x v="799"/>
    <s v="06:00"/>
    <n v="17.489999999999998"/>
  </r>
  <r>
    <x v="2"/>
    <x v="11"/>
    <x v="799"/>
    <s v="10:00"/>
    <n v="17.489999999999998"/>
  </r>
  <r>
    <x v="2"/>
    <x v="11"/>
    <x v="799"/>
    <s v="14:00"/>
    <n v="17.489999999999998"/>
  </r>
  <r>
    <x v="2"/>
    <x v="11"/>
    <x v="799"/>
    <s v="18:00"/>
    <n v="17.489999999999998"/>
  </r>
  <r>
    <x v="2"/>
    <x v="11"/>
    <x v="800"/>
    <s v="06:00"/>
    <n v="17.489999999999998"/>
  </r>
  <r>
    <x v="2"/>
    <x v="11"/>
    <x v="800"/>
    <s v="10:00"/>
    <n v="17.489999999999998"/>
  </r>
  <r>
    <x v="2"/>
    <x v="11"/>
    <x v="800"/>
    <s v="14:00"/>
    <n v="17.489999999999998"/>
  </r>
  <r>
    <x v="2"/>
    <x v="11"/>
    <x v="800"/>
    <s v="18:00"/>
    <n v="17.489999999999998"/>
  </r>
  <r>
    <x v="2"/>
    <x v="11"/>
    <x v="801"/>
    <s v="06:00"/>
    <n v="17.489999999999998"/>
  </r>
  <r>
    <x v="2"/>
    <x v="11"/>
    <x v="801"/>
    <s v="10:00"/>
    <n v="17.489999999999998"/>
  </r>
  <r>
    <x v="2"/>
    <x v="11"/>
    <x v="801"/>
    <s v="14:00"/>
    <n v="17.489999999999998"/>
  </r>
  <r>
    <x v="2"/>
    <x v="11"/>
    <x v="801"/>
    <s v="18:00"/>
    <n v="17.489999999999998"/>
  </r>
  <r>
    <x v="2"/>
    <x v="11"/>
    <x v="802"/>
    <s v="06:00"/>
    <n v="17.489999999999998"/>
  </r>
  <r>
    <x v="2"/>
    <x v="11"/>
    <x v="802"/>
    <s v="10:00"/>
    <n v="17.489999999999998"/>
  </r>
  <r>
    <x v="2"/>
    <x v="11"/>
    <x v="802"/>
    <s v="14:00"/>
    <n v="17.489999999999998"/>
  </r>
  <r>
    <x v="2"/>
    <x v="11"/>
    <x v="802"/>
    <s v="18:00"/>
    <n v="17.489999999999998"/>
  </r>
  <r>
    <x v="2"/>
    <x v="11"/>
    <x v="803"/>
    <s v="06:00"/>
    <n v="17.489999999999998"/>
  </r>
  <r>
    <x v="2"/>
    <x v="11"/>
    <x v="803"/>
    <s v="10:00"/>
    <n v="17.489999999999998"/>
  </r>
  <r>
    <x v="2"/>
    <x v="11"/>
    <x v="803"/>
    <s v="14:00"/>
    <n v="17.489999999999998"/>
  </r>
  <r>
    <x v="2"/>
    <x v="11"/>
    <x v="803"/>
    <s v="18:00"/>
    <n v="17.489999999999998"/>
  </r>
  <r>
    <x v="2"/>
    <x v="11"/>
    <x v="804"/>
    <s v="06:00"/>
    <n v="17.489999999999998"/>
  </r>
  <r>
    <x v="2"/>
    <x v="11"/>
    <x v="804"/>
    <s v="10:00"/>
    <n v="17.489999999999998"/>
  </r>
  <r>
    <x v="2"/>
    <x v="11"/>
    <x v="804"/>
    <s v="14:00"/>
    <n v="17.489999999999998"/>
  </r>
  <r>
    <x v="2"/>
    <x v="11"/>
    <x v="804"/>
    <s v="18:00"/>
    <n v="17.489999999999998"/>
  </r>
  <r>
    <x v="2"/>
    <x v="11"/>
    <x v="805"/>
    <s v="06:00"/>
    <n v="17.489999999999998"/>
  </r>
  <r>
    <x v="2"/>
    <x v="11"/>
    <x v="805"/>
    <s v="10:00"/>
    <n v="17.489999999999998"/>
  </r>
  <r>
    <x v="2"/>
    <x v="11"/>
    <x v="805"/>
    <s v="14:00"/>
    <n v="17.489999999999998"/>
  </r>
  <r>
    <x v="2"/>
    <x v="11"/>
    <x v="805"/>
    <s v="18:00"/>
    <n v="17.489999999999998"/>
  </r>
  <r>
    <x v="2"/>
    <x v="11"/>
    <x v="806"/>
    <s v="06:00"/>
    <n v="17.489999999999998"/>
  </r>
  <r>
    <x v="2"/>
    <x v="11"/>
    <x v="806"/>
    <s v="10:00"/>
    <n v="17.489999999999998"/>
  </r>
  <r>
    <x v="2"/>
    <x v="11"/>
    <x v="806"/>
    <s v="14:00"/>
    <n v="17.489999999999998"/>
  </r>
  <r>
    <x v="2"/>
    <x v="11"/>
    <x v="806"/>
    <s v="18:00"/>
    <n v="17.489999999999998"/>
  </r>
  <r>
    <x v="2"/>
    <x v="11"/>
    <x v="807"/>
    <s v="06:00"/>
    <n v="17.489999999999998"/>
  </r>
  <r>
    <x v="2"/>
    <x v="11"/>
    <x v="807"/>
    <s v="10:00"/>
    <n v="17.489999999999998"/>
  </r>
  <r>
    <x v="2"/>
    <x v="11"/>
    <x v="807"/>
    <s v="14:00"/>
    <n v="17.489999999999998"/>
  </r>
  <r>
    <x v="2"/>
    <x v="11"/>
    <x v="807"/>
    <s v="18:00"/>
    <n v="17.489999999999998"/>
  </r>
  <r>
    <x v="2"/>
    <x v="11"/>
    <x v="808"/>
    <s v="06:00"/>
    <n v="17.489999999999998"/>
  </r>
  <r>
    <x v="2"/>
    <x v="11"/>
    <x v="808"/>
    <s v="10:00"/>
    <n v="17.489999999999998"/>
  </r>
  <r>
    <x v="2"/>
    <x v="11"/>
    <x v="808"/>
    <s v="14:00"/>
    <n v="17.489999999999998"/>
  </r>
  <r>
    <x v="2"/>
    <x v="11"/>
    <x v="808"/>
    <s v="18:00"/>
    <n v="17.489999999999998"/>
  </r>
  <r>
    <x v="2"/>
    <x v="11"/>
    <x v="809"/>
    <s v="06:00"/>
    <n v="17.489999999999998"/>
  </r>
  <r>
    <x v="2"/>
    <x v="11"/>
    <x v="809"/>
    <s v="10:00"/>
    <n v="17.489999999999998"/>
  </r>
  <r>
    <x v="2"/>
    <x v="11"/>
    <x v="809"/>
    <s v="14:00"/>
    <n v="17.489999999999998"/>
  </r>
  <r>
    <x v="2"/>
    <x v="11"/>
    <x v="809"/>
    <s v="18:00"/>
    <n v="17.489999999999998"/>
  </r>
  <r>
    <x v="2"/>
    <x v="11"/>
    <x v="810"/>
    <s v="06:00"/>
    <n v="17.489999999999998"/>
  </r>
  <r>
    <x v="2"/>
    <x v="11"/>
    <x v="810"/>
    <s v="10:00"/>
    <m/>
  </r>
  <r>
    <x v="2"/>
    <x v="11"/>
    <x v="810"/>
    <s v="14:00"/>
    <m/>
  </r>
  <r>
    <x v="2"/>
    <x v="11"/>
    <x v="810"/>
    <s v="18:00"/>
    <m/>
  </r>
  <r>
    <x v="2"/>
    <x v="11"/>
    <x v="811"/>
    <s v="06:00"/>
    <m/>
  </r>
  <r>
    <x v="2"/>
    <x v="11"/>
    <x v="811"/>
    <s v="10:00"/>
    <m/>
  </r>
  <r>
    <x v="2"/>
    <x v="11"/>
    <x v="811"/>
    <s v="14:00"/>
    <m/>
  </r>
  <r>
    <x v="2"/>
    <x v="11"/>
    <x v="811"/>
    <s v="18:00"/>
    <m/>
  </r>
  <r>
    <x v="2"/>
    <x v="11"/>
    <x v="812"/>
    <s v="06:00"/>
    <m/>
  </r>
  <r>
    <x v="2"/>
    <x v="11"/>
    <x v="812"/>
    <s v="10:00"/>
    <m/>
  </r>
  <r>
    <x v="2"/>
    <x v="11"/>
    <x v="812"/>
    <s v="14:00"/>
    <m/>
  </r>
  <r>
    <x v="2"/>
    <x v="11"/>
    <x v="812"/>
    <s v="18:00"/>
    <m/>
  </r>
  <r>
    <x v="2"/>
    <x v="11"/>
    <x v="813"/>
    <s v="06:00"/>
    <m/>
  </r>
  <r>
    <x v="2"/>
    <x v="11"/>
    <x v="813"/>
    <s v="10:00"/>
    <m/>
  </r>
  <r>
    <x v="2"/>
    <x v="11"/>
    <x v="813"/>
    <s v="14:00"/>
    <m/>
  </r>
  <r>
    <x v="2"/>
    <x v="11"/>
    <x v="813"/>
    <s v="18:00"/>
    <m/>
  </r>
  <r>
    <x v="2"/>
    <x v="11"/>
    <x v="814"/>
    <s v="06:00"/>
    <m/>
  </r>
  <r>
    <x v="2"/>
    <x v="11"/>
    <x v="814"/>
    <s v="10:00"/>
    <m/>
  </r>
  <r>
    <x v="2"/>
    <x v="11"/>
    <x v="814"/>
    <s v="14:00"/>
    <m/>
  </r>
  <r>
    <x v="2"/>
    <x v="11"/>
    <x v="814"/>
    <s v="18:00"/>
    <m/>
  </r>
  <r>
    <x v="2"/>
    <x v="11"/>
    <x v="815"/>
    <s v="06:00"/>
    <m/>
  </r>
  <r>
    <x v="2"/>
    <x v="11"/>
    <x v="815"/>
    <s v="10:00"/>
    <m/>
  </r>
  <r>
    <x v="2"/>
    <x v="11"/>
    <x v="815"/>
    <s v="14:00"/>
    <m/>
  </r>
  <r>
    <x v="2"/>
    <x v="11"/>
    <x v="815"/>
    <s v="18:00"/>
    <m/>
  </r>
  <r>
    <x v="2"/>
    <x v="11"/>
    <x v="816"/>
    <s v="06:00"/>
    <m/>
  </r>
  <r>
    <x v="2"/>
    <x v="11"/>
    <x v="816"/>
    <s v="10:00"/>
    <m/>
  </r>
  <r>
    <x v="2"/>
    <x v="11"/>
    <x v="816"/>
    <s v="14:00"/>
    <m/>
  </r>
  <r>
    <x v="2"/>
    <x v="11"/>
    <x v="816"/>
    <s v="18:00"/>
    <m/>
  </r>
  <r>
    <x v="2"/>
    <x v="4"/>
    <x v="817"/>
    <s v="06:00"/>
    <m/>
  </r>
  <r>
    <x v="2"/>
    <x v="4"/>
    <x v="818"/>
    <s v="10:00"/>
    <m/>
  </r>
  <r>
    <x v="2"/>
    <x v="4"/>
    <x v="819"/>
    <s v="14:00"/>
    <m/>
  </r>
  <r>
    <x v="2"/>
    <x v="4"/>
    <x v="820"/>
    <s v="18:00"/>
    <m/>
  </r>
  <r>
    <x v="2"/>
    <x v="4"/>
    <x v="821"/>
    <s v="06:00"/>
    <m/>
  </r>
  <r>
    <x v="2"/>
    <x v="4"/>
    <x v="822"/>
    <s v="06:00"/>
    <m/>
  </r>
  <r>
    <x v="2"/>
    <x v="4"/>
    <x v="822"/>
    <s v="10:00"/>
    <n v="17.489999999999998"/>
  </r>
  <r>
    <x v="2"/>
    <x v="4"/>
    <x v="822"/>
    <s v="14:00"/>
    <n v="17.489999999999998"/>
  </r>
  <r>
    <x v="2"/>
    <x v="4"/>
    <x v="822"/>
    <s v="18:00"/>
    <n v="17.489999999999998"/>
  </r>
  <r>
    <x v="2"/>
    <x v="4"/>
    <x v="823"/>
    <s v="14:00"/>
    <n v="17.489999999999998"/>
  </r>
  <r>
    <x v="2"/>
    <x v="4"/>
    <x v="824"/>
    <s v="18:00"/>
    <n v="17.489999999999998"/>
  </r>
  <r>
    <x v="2"/>
    <x v="4"/>
    <x v="825"/>
    <s v="06:00"/>
    <n v="17.489999999999998"/>
  </r>
  <r>
    <x v="2"/>
    <x v="4"/>
    <x v="826"/>
    <s v="10:00"/>
    <m/>
  </r>
  <r>
    <x v="2"/>
    <x v="4"/>
    <x v="827"/>
    <s v="14:00"/>
    <m/>
  </r>
  <r>
    <x v="2"/>
    <x v="4"/>
    <x v="828"/>
    <s v="18:00"/>
    <m/>
  </r>
  <r>
    <x v="2"/>
    <x v="4"/>
    <x v="829"/>
    <m/>
    <m/>
  </r>
  <r>
    <x v="2"/>
    <x v="4"/>
    <x v="830"/>
    <m/>
    <m/>
  </r>
  <r>
    <x v="2"/>
    <x v="4"/>
    <x v="831"/>
    <m/>
    <m/>
  </r>
  <r>
    <x v="2"/>
    <x v="4"/>
    <x v="832"/>
    <m/>
    <m/>
  </r>
  <r>
    <x v="2"/>
    <x v="4"/>
    <x v="833"/>
    <m/>
    <m/>
  </r>
  <r>
    <x v="2"/>
    <x v="4"/>
    <x v="834"/>
    <m/>
    <m/>
  </r>
  <r>
    <x v="2"/>
    <x v="4"/>
    <x v="835"/>
    <m/>
    <m/>
  </r>
  <r>
    <x v="2"/>
    <x v="4"/>
    <x v="836"/>
    <m/>
    <m/>
  </r>
  <r>
    <x v="2"/>
    <x v="4"/>
    <x v="837"/>
    <m/>
    <m/>
  </r>
  <r>
    <x v="2"/>
    <x v="4"/>
    <x v="838"/>
    <m/>
    <m/>
  </r>
  <r>
    <x v="2"/>
    <x v="4"/>
    <x v="839"/>
    <m/>
    <m/>
  </r>
  <r>
    <x v="2"/>
    <x v="4"/>
    <x v="840"/>
    <m/>
    <m/>
  </r>
  <r>
    <x v="2"/>
    <x v="4"/>
    <x v="841"/>
    <m/>
    <m/>
  </r>
  <r>
    <x v="2"/>
    <x v="4"/>
    <x v="842"/>
    <m/>
    <m/>
  </r>
  <r>
    <x v="2"/>
    <x v="4"/>
    <x v="843"/>
    <m/>
    <m/>
  </r>
  <r>
    <x v="2"/>
    <x v="4"/>
    <x v="844"/>
    <s v="06:00"/>
    <n v="14.3"/>
  </r>
  <r>
    <x v="2"/>
    <x v="4"/>
    <x v="844"/>
    <s v="10:00"/>
    <n v="14.3"/>
  </r>
  <r>
    <x v="2"/>
    <x v="4"/>
    <x v="844"/>
    <s v="14:00"/>
    <n v="14.3"/>
  </r>
  <r>
    <x v="2"/>
    <x v="4"/>
    <x v="844"/>
    <s v="18:00"/>
    <n v="14.3"/>
  </r>
  <r>
    <x v="2"/>
    <x v="4"/>
    <x v="845"/>
    <s v="06:00"/>
    <n v="14.3"/>
  </r>
  <r>
    <x v="2"/>
    <x v="4"/>
    <x v="845"/>
    <s v="10:00"/>
    <n v="14.3"/>
  </r>
  <r>
    <x v="2"/>
    <x v="4"/>
    <x v="845"/>
    <s v="14:00"/>
    <n v="14.3"/>
  </r>
  <r>
    <x v="2"/>
    <x v="4"/>
    <x v="845"/>
    <s v="18:00"/>
    <n v="14.3"/>
  </r>
  <r>
    <x v="2"/>
    <x v="4"/>
    <x v="846"/>
    <s v="06:00"/>
    <n v="14.3"/>
  </r>
  <r>
    <x v="2"/>
    <x v="4"/>
    <x v="846"/>
    <s v="10:00"/>
    <n v="12.91"/>
  </r>
  <r>
    <x v="2"/>
    <x v="4"/>
    <x v="846"/>
    <s v="14:00"/>
    <n v="12.91"/>
  </r>
  <r>
    <x v="2"/>
    <x v="4"/>
    <x v="846"/>
    <s v="18:00"/>
    <n v="12.91"/>
  </r>
  <r>
    <x v="2"/>
    <x v="4"/>
    <x v="847"/>
    <s v="06:00"/>
    <n v="12.91"/>
  </r>
  <r>
    <x v="2"/>
    <x v="4"/>
    <x v="847"/>
    <s v="10:00"/>
    <n v="12.91"/>
  </r>
  <r>
    <x v="2"/>
    <x v="4"/>
    <x v="847"/>
    <s v="14:00"/>
    <n v="12.91"/>
  </r>
  <r>
    <x v="2"/>
    <x v="4"/>
    <x v="847"/>
    <s v="18:00"/>
    <n v="12.91"/>
  </r>
  <r>
    <x v="2"/>
    <x v="5"/>
    <x v="848"/>
    <s v="06:00"/>
    <n v="12.91"/>
  </r>
  <r>
    <x v="2"/>
    <x v="5"/>
    <x v="848"/>
    <s v="10:00"/>
    <n v="12.91"/>
  </r>
  <r>
    <x v="2"/>
    <x v="5"/>
    <x v="848"/>
    <s v="14:00"/>
    <n v="10.57"/>
  </r>
  <r>
    <x v="2"/>
    <x v="5"/>
    <x v="848"/>
    <s v="18:00"/>
    <n v="10.57"/>
  </r>
  <r>
    <x v="2"/>
    <x v="5"/>
    <x v="849"/>
    <s v="06:00"/>
    <n v="10.57"/>
  </r>
  <r>
    <x v="2"/>
    <x v="5"/>
    <x v="849"/>
    <s v="10:00"/>
    <n v="10.57"/>
  </r>
  <r>
    <x v="2"/>
    <x v="5"/>
    <x v="849"/>
    <s v="14:00"/>
    <n v="10.57"/>
  </r>
  <r>
    <x v="2"/>
    <x v="5"/>
    <x v="849"/>
    <s v="18:00"/>
    <n v="10.57"/>
  </r>
  <r>
    <x v="2"/>
    <x v="5"/>
    <x v="850"/>
    <s v="06:00"/>
    <n v="12.91"/>
  </r>
  <r>
    <x v="2"/>
    <x v="5"/>
    <x v="850"/>
    <s v="10:00"/>
    <n v="12.91"/>
  </r>
  <r>
    <x v="2"/>
    <x v="5"/>
    <x v="850"/>
    <s v="14:00"/>
    <n v="12.91"/>
  </r>
  <r>
    <x v="2"/>
    <x v="5"/>
    <x v="850"/>
    <s v="18:00"/>
    <n v="12.91"/>
  </r>
  <r>
    <x v="2"/>
    <x v="5"/>
    <x v="851"/>
    <s v="06:00"/>
    <n v="12.91"/>
  </r>
  <r>
    <x v="2"/>
    <x v="5"/>
    <x v="851"/>
    <s v="10:00"/>
    <n v="12.91"/>
  </r>
  <r>
    <x v="2"/>
    <x v="5"/>
    <x v="851"/>
    <s v="14:00"/>
    <n v="12.91"/>
  </r>
  <r>
    <x v="2"/>
    <x v="5"/>
    <x v="851"/>
    <s v="18:00"/>
    <n v="12.91"/>
  </r>
  <r>
    <x v="2"/>
    <x v="5"/>
    <x v="852"/>
    <s v="06:00"/>
    <n v="12.91"/>
  </r>
  <r>
    <x v="2"/>
    <x v="5"/>
    <x v="852"/>
    <s v="10:00"/>
    <n v="12.91"/>
  </r>
  <r>
    <x v="2"/>
    <x v="5"/>
    <x v="852"/>
    <s v="14:00"/>
    <n v="12.91"/>
  </r>
  <r>
    <x v="2"/>
    <x v="5"/>
    <x v="852"/>
    <s v="18:00"/>
    <n v="12.91"/>
  </r>
  <r>
    <x v="2"/>
    <x v="5"/>
    <x v="853"/>
    <s v="06:00"/>
    <n v="12.91"/>
  </r>
  <r>
    <x v="2"/>
    <x v="5"/>
    <x v="853"/>
    <s v="10:00"/>
    <n v="12.91"/>
  </r>
  <r>
    <x v="2"/>
    <x v="5"/>
    <x v="853"/>
    <s v="14:00"/>
    <n v="12.91"/>
  </r>
  <r>
    <x v="2"/>
    <x v="5"/>
    <x v="853"/>
    <s v="18:00"/>
    <n v="12.91"/>
  </r>
  <r>
    <x v="2"/>
    <x v="5"/>
    <x v="854"/>
    <s v="06:00"/>
    <n v="12.91"/>
  </r>
  <r>
    <x v="2"/>
    <x v="5"/>
    <x v="854"/>
    <s v="10:00"/>
    <n v="12.91"/>
  </r>
  <r>
    <x v="2"/>
    <x v="5"/>
    <x v="854"/>
    <s v="14:00"/>
    <n v="12.91"/>
  </r>
  <r>
    <x v="2"/>
    <x v="5"/>
    <x v="854"/>
    <s v="18:00"/>
    <n v="12.91"/>
  </r>
  <r>
    <x v="2"/>
    <x v="5"/>
    <x v="855"/>
    <s v="06:00"/>
    <n v="12.91"/>
  </r>
  <r>
    <x v="2"/>
    <x v="5"/>
    <x v="855"/>
    <s v="10:00"/>
    <n v="12.91"/>
  </r>
  <r>
    <x v="2"/>
    <x v="5"/>
    <x v="855"/>
    <s v="14:00"/>
    <n v="12.91"/>
  </r>
  <r>
    <x v="2"/>
    <x v="5"/>
    <x v="855"/>
    <s v="18:00"/>
    <n v="12.91"/>
  </r>
  <r>
    <x v="2"/>
    <x v="5"/>
    <x v="856"/>
    <s v="06:00"/>
    <n v="12.91"/>
  </r>
  <r>
    <x v="2"/>
    <x v="5"/>
    <x v="856"/>
    <s v="10:00"/>
    <n v="12.91"/>
  </r>
  <r>
    <x v="2"/>
    <x v="5"/>
    <x v="856"/>
    <s v="14:00"/>
    <n v="12.91"/>
  </r>
  <r>
    <x v="2"/>
    <x v="5"/>
    <x v="856"/>
    <s v="18:00"/>
    <n v="12.91"/>
  </r>
  <r>
    <x v="2"/>
    <x v="5"/>
    <x v="857"/>
    <s v="06:00"/>
    <n v="12.91"/>
  </r>
  <r>
    <x v="2"/>
    <x v="5"/>
    <x v="857"/>
    <s v="10:00"/>
    <m/>
  </r>
  <r>
    <x v="2"/>
    <x v="5"/>
    <x v="857"/>
    <s v="14:00"/>
    <m/>
  </r>
  <r>
    <x v="2"/>
    <x v="5"/>
    <x v="857"/>
    <s v="18:00"/>
    <m/>
  </r>
  <r>
    <x v="2"/>
    <x v="5"/>
    <x v="858"/>
    <s v="06:00"/>
    <m/>
  </r>
  <r>
    <x v="2"/>
    <x v="5"/>
    <x v="858"/>
    <s v="10:00"/>
    <m/>
  </r>
  <r>
    <x v="2"/>
    <x v="5"/>
    <x v="858"/>
    <s v="14:00"/>
    <m/>
  </r>
  <r>
    <x v="2"/>
    <x v="5"/>
    <x v="858"/>
    <s v="18:00"/>
    <m/>
  </r>
  <r>
    <x v="2"/>
    <x v="5"/>
    <x v="859"/>
    <s v="06:00"/>
    <m/>
  </r>
  <r>
    <x v="2"/>
    <x v="5"/>
    <x v="859"/>
    <s v="10:00"/>
    <m/>
  </r>
  <r>
    <x v="2"/>
    <x v="5"/>
    <x v="859"/>
    <s v="14:00"/>
    <m/>
  </r>
  <r>
    <x v="2"/>
    <x v="5"/>
    <x v="859"/>
    <s v="18:00"/>
    <m/>
  </r>
  <r>
    <x v="2"/>
    <x v="5"/>
    <x v="860"/>
    <s v="06:00"/>
    <m/>
  </r>
  <r>
    <x v="2"/>
    <x v="5"/>
    <x v="860"/>
    <s v="10:00"/>
    <m/>
  </r>
  <r>
    <x v="2"/>
    <x v="5"/>
    <x v="860"/>
    <s v="14:00"/>
    <m/>
  </r>
  <r>
    <x v="2"/>
    <x v="5"/>
    <x v="860"/>
    <s v="18:00"/>
    <m/>
  </r>
  <r>
    <x v="2"/>
    <x v="5"/>
    <x v="861"/>
    <s v="06:00"/>
    <m/>
  </r>
  <r>
    <x v="2"/>
    <x v="5"/>
    <x v="861"/>
    <s v="10:00"/>
    <m/>
  </r>
  <r>
    <x v="2"/>
    <x v="5"/>
    <x v="861"/>
    <s v="14:00"/>
    <m/>
  </r>
  <r>
    <x v="2"/>
    <x v="5"/>
    <x v="861"/>
    <s v="18:00"/>
    <m/>
  </r>
  <r>
    <x v="2"/>
    <x v="5"/>
    <x v="862"/>
    <s v="06:00"/>
    <m/>
  </r>
  <r>
    <x v="2"/>
    <x v="5"/>
    <x v="862"/>
    <s v="10:00"/>
    <m/>
  </r>
  <r>
    <x v="2"/>
    <x v="5"/>
    <x v="862"/>
    <s v="14:00"/>
    <m/>
  </r>
  <r>
    <x v="2"/>
    <x v="5"/>
    <x v="862"/>
    <s v="18:00"/>
    <m/>
  </r>
  <r>
    <x v="2"/>
    <x v="5"/>
    <x v="863"/>
    <s v="06:00"/>
    <m/>
  </r>
  <r>
    <x v="2"/>
    <x v="5"/>
    <x v="863"/>
    <s v="10:00"/>
    <m/>
  </r>
  <r>
    <x v="2"/>
    <x v="5"/>
    <x v="863"/>
    <s v="14:00"/>
    <m/>
  </r>
  <r>
    <x v="2"/>
    <x v="5"/>
    <x v="863"/>
    <s v="18:00"/>
    <m/>
  </r>
  <r>
    <x v="2"/>
    <x v="5"/>
    <x v="864"/>
    <s v="06:00"/>
    <m/>
  </r>
  <r>
    <x v="2"/>
    <x v="5"/>
    <x v="864"/>
    <s v="10:00"/>
    <m/>
  </r>
  <r>
    <x v="2"/>
    <x v="5"/>
    <x v="864"/>
    <s v="14:00"/>
    <m/>
  </r>
  <r>
    <x v="2"/>
    <x v="5"/>
    <x v="864"/>
    <s v="18:00"/>
    <m/>
  </r>
  <r>
    <x v="2"/>
    <x v="5"/>
    <x v="865"/>
    <s v="06:00"/>
    <m/>
  </r>
  <r>
    <x v="2"/>
    <x v="5"/>
    <x v="865"/>
    <s v="10:00"/>
    <m/>
  </r>
  <r>
    <x v="2"/>
    <x v="5"/>
    <x v="865"/>
    <s v="14:00"/>
    <m/>
  </r>
  <r>
    <x v="2"/>
    <x v="5"/>
    <x v="865"/>
    <s v="18:00"/>
    <m/>
  </r>
  <r>
    <x v="2"/>
    <x v="5"/>
    <x v="866"/>
    <s v="06:00"/>
    <m/>
  </r>
  <r>
    <x v="2"/>
    <x v="5"/>
    <x v="866"/>
    <s v="10:00"/>
    <m/>
  </r>
  <r>
    <x v="2"/>
    <x v="5"/>
    <x v="866"/>
    <s v="14:00"/>
    <m/>
  </r>
  <r>
    <x v="2"/>
    <x v="5"/>
    <x v="866"/>
    <s v="18:00"/>
    <m/>
  </r>
  <r>
    <x v="2"/>
    <x v="5"/>
    <x v="867"/>
    <s v="06:00"/>
    <m/>
  </r>
  <r>
    <x v="2"/>
    <x v="5"/>
    <x v="867"/>
    <s v="10:00"/>
    <m/>
  </r>
  <r>
    <x v="2"/>
    <x v="5"/>
    <x v="867"/>
    <s v="14:00"/>
    <m/>
  </r>
  <r>
    <x v="2"/>
    <x v="5"/>
    <x v="867"/>
    <s v="18:00"/>
    <m/>
  </r>
  <r>
    <x v="2"/>
    <x v="5"/>
    <x v="868"/>
    <s v="06:00"/>
    <m/>
  </r>
  <r>
    <x v="2"/>
    <x v="5"/>
    <x v="868"/>
    <s v="10:00"/>
    <m/>
  </r>
  <r>
    <x v="2"/>
    <x v="5"/>
    <x v="868"/>
    <s v="14:00"/>
    <m/>
  </r>
  <r>
    <x v="2"/>
    <x v="5"/>
    <x v="868"/>
    <s v="18:00"/>
    <m/>
  </r>
  <r>
    <x v="2"/>
    <x v="5"/>
    <x v="869"/>
    <s v="06:00"/>
    <m/>
  </r>
  <r>
    <x v="2"/>
    <x v="5"/>
    <x v="869"/>
    <s v="10:00"/>
    <m/>
  </r>
  <r>
    <x v="2"/>
    <x v="5"/>
    <x v="869"/>
    <s v="14:00"/>
    <m/>
  </r>
  <r>
    <x v="2"/>
    <x v="5"/>
    <x v="869"/>
    <s v="18:00"/>
    <m/>
  </r>
  <r>
    <x v="2"/>
    <x v="5"/>
    <x v="870"/>
    <s v="06:00"/>
    <m/>
  </r>
  <r>
    <x v="2"/>
    <x v="5"/>
    <x v="870"/>
    <s v="10:00"/>
    <m/>
  </r>
  <r>
    <x v="2"/>
    <x v="5"/>
    <x v="870"/>
    <s v="14:00"/>
    <m/>
  </r>
  <r>
    <x v="2"/>
    <x v="5"/>
    <x v="870"/>
    <s v="18:00"/>
    <m/>
  </r>
  <r>
    <x v="2"/>
    <x v="5"/>
    <x v="871"/>
    <s v="06:00"/>
    <m/>
  </r>
  <r>
    <x v="2"/>
    <x v="5"/>
    <x v="871"/>
    <s v="10:00"/>
    <m/>
  </r>
  <r>
    <x v="2"/>
    <x v="5"/>
    <x v="871"/>
    <s v="14:00"/>
    <m/>
  </r>
  <r>
    <x v="2"/>
    <x v="5"/>
    <x v="871"/>
    <s v="18:00"/>
    <m/>
  </r>
  <r>
    <x v="2"/>
    <x v="5"/>
    <x v="872"/>
    <s v="06:00"/>
    <m/>
  </r>
  <r>
    <x v="2"/>
    <x v="5"/>
    <x v="872"/>
    <s v="10:00"/>
    <m/>
  </r>
  <r>
    <x v="2"/>
    <x v="5"/>
    <x v="872"/>
    <s v="14:00"/>
    <m/>
  </r>
  <r>
    <x v="2"/>
    <x v="5"/>
    <x v="872"/>
    <s v="18:00"/>
    <m/>
  </r>
  <r>
    <x v="2"/>
    <x v="5"/>
    <x v="873"/>
    <s v="06:00"/>
    <m/>
  </r>
  <r>
    <x v="2"/>
    <x v="5"/>
    <x v="873"/>
    <s v="10:00"/>
    <m/>
  </r>
  <r>
    <x v="2"/>
    <x v="5"/>
    <x v="873"/>
    <s v="14:00"/>
    <m/>
  </r>
  <r>
    <x v="2"/>
    <x v="5"/>
    <x v="873"/>
    <s v="18:00"/>
    <m/>
  </r>
  <r>
    <x v="2"/>
    <x v="5"/>
    <x v="874"/>
    <s v="06:00"/>
    <m/>
  </r>
  <r>
    <x v="2"/>
    <x v="5"/>
    <x v="874"/>
    <s v="10:00"/>
    <m/>
  </r>
  <r>
    <x v="2"/>
    <x v="5"/>
    <x v="874"/>
    <s v="14:00"/>
    <m/>
  </r>
  <r>
    <x v="2"/>
    <x v="5"/>
    <x v="874"/>
    <s v="18:00"/>
    <m/>
  </r>
  <r>
    <x v="2"/>
    <x v="5"/>
    <x v="875"/>
    <s v="06:00"/>
    <m/>
  </r>
  <r>
    <x v="2"/>
    <x v="5"/>
    <x v="875"/>
    <s v="10:00"/>
    <n v="14.3"/>
  </r>
  <r>
    <x v="2"/>
    <x v="5"/>
    <x v="875"/>
    <s v="14:00"/>
    <n v="14.3"/>
  </r>
  <r>
    <x v="2"/>
    <x v="5"/>
    <x v="875"/>
    <s v="18:00"/>
    <n v="14.3"/>
  </r>
  <r>
    <x v="2"/>
    <x v="5"/>
    <x v="876"/>
    <s v="06:00"/>
    <n v="14.3"/>
  </r>
  <r>
    <x v="2"/>
    <x v="5"/>
    <x v="876"/>
    <s v="10:00"/>
    <n v="14.3"/>
  </r>
  <r>
    <x v="2"/>
    <x v="5"/>
    <x v="876"/>
    <s v="14:00"/>
    <n v="14.3"/>
  </r>
  <r>
    <x v="2"/>
    <x v="5"/>
    <x v="876"/>
    <s v="18:00"/>
    <n v="14.3"/>
  </r>
  <r>
    <x v="2"/>
    <x v="5"/>
    <x v="877"/>
    <s v="06:00"/>
    <n v="14.3"/>
  </r>
  <r>
    <x v="2"/>
    <x v="5"/>
    <x v="877"/>
    <s v="10:00"/>
    <n v="14.3"/>
  </r>
  <r>
    <x v="2"/>
    <x v="5"/>
    <x v="877"/>
    <s v="14:00"/>
    <n v="14.3"/>
  </r>
  <r>
    <x v="2"/>
    <x v="5"/>
    <x v="877"/>
    <s v="18:00"/>
    <n v="14.3"/>
  </r>
  <r>
    <x v="2"/>
    <x v="6"/>
    <x v="878"/>
    <s v="06:00"/>
    <n v="14.3"/>
  </r>
  <r>
    <x v="2"/>
    <x v="6"/>
    <x v="878"/>
    <s v="10:00"/>
    <n v="14.3"/>
  </r>
  <r>
    <x v="2"/>
    <x v="6"/>
    <x v="878"/>
    <s v="14:00"/>
    <n v="15.82"/>
  </r>
  <r>
    <x v="2"/>
    <x v="6"/>
    <x v="878"/>
    <s v="18:00"/>
    <n v="15.82"/>
  </r>
  <r>
    <x v="2"/>
    <x v="6"/>
    <x v="879"/>
    <s v="06:00"/>
    <n v="15.82"/>
  </r>
  <r>
    <x v="2"/>
    <x v="6"/>
    <x v="879"/>
    <s v="10:00"/>
    <n v="15.82"/>
  </r>
  <r>
    <x v="2"/>
    <x v="6"/>
    <x v="879"/>
    <s v="14:00"/>
    <n v="15.82"/>
  </r>
  <r>
    <x v="2"/>
    <x v="6"/>
    <x v="879"/>
    <s v="18:00"/>
    <n v="15.82"/>
  </r>
  <r>
    <x v="2"/>
    <x v="6"/>
    <x v="880"/>
    <s v="06:00"/>
    <n v="15.82"/>
  </r>
  <r>
    <x v="2"/>
    <x v="6"/>
    <x v="881"/>
    <s v="10:00"/>
    <n v="15.82"/>
  </r>
  <r>
    <x v="2"/>
    <x v="6"/>
    <x v="882"/>
    <s v="14:00"/>
    <n v="15.82"/>
  </r>
  <r>
    <x v="2"/>
    <x v="6"/>
    <x v="883"/>
    <s v="18:00"/>
    <n v="15.82"/>
  </r>
  <r>
    <x v="2"/>
    <x v="6"/>
    <x v="884"/>
    <s v="18:00"/>
    <n v="15.82"/>
  </r>
  <r>
    <x v="2"/>
    <x v="6"/>
    <x v="885"/>
    <s v="18:00"/>
    <n v="15.82"/>
  </r>
  <r>
    <x v="2"/>
    <x v="6"/>
    <x v="886"/>
    <s v="18:00"/>
    <n v="15.82"/>
  </r>
  <r>
    <x v="2"/>
    <x v="6"/>
    <x v="887"/>
    <s v="18:00"/>
    <n v="15.82"/>
  </r>
  <r>
    <x v="2"/>
    <x v="6"/>
    <x v="888"/>
    <s v="18:00"/>
    <n v="15.82"/>
  </r>
  <r>
    <x v="2"/>
    <x v="6"/>
    <x v="889"/>
    <s v="18:00"/>
    <n v="15.82"/>
  </r>
  <r>
    <x v="2"/>
    <x v="6"/>
    <x v="890"/>
    <s v="18:00"/>
    <n v="15.82"/>
  </r>
  <r>
    <x v="2"/>
    <x v="6"/>
    <x v="891"/>
    <s v="18:00"/>
    <n v="15.82"/>
  </r>
  <r>
    <x v="2"/>
    <x v="6"/>
    <x v="892"/>
    <s v="18:00"/>
    <n v="15.82"/>
  </r>
  <r>
    <x v="2"/>
    <x v="6"/>
    <x v="893"/>
    <s v="18:00"/>
    <n v="15.82"/>
  </r>
  <r>
    <x v="2"/>
    <x v="6"/>
    <x v="894"/>
    <s v="18:00"/>
    <n v="15.82"/>
  </r>
  <r>
    <x v="2"/>
    <x v="6"/>
    <x v="895"/>
    <s v="18:00"/>
    <n v="15.82"/>
  </r>
  <r>
    <x v="2"/>
    <x v="6"/>
    <x v="896"/>
    <s v="18:00"/>
    <n v="15.82"/>
  </r>
  <r>
    <x v="2"/>
    <x v="6"/>
    <x v="897"/>
    <s v="18:00"/>
    <n v="9.61"/>
  </r>
  <r>
    <x v="2"/>
    <x v="6"/>
    <x v="898"/>
    <s v="18:00"/>
    <n v="9.61"/>
  </r>
  <r>
    <x v="2"/>
    <x v="6"/>
    <x v="899"/>
    <s v="18:00"/>
    <n v="9.61"/>
  </r>
  <r>
    <x v="2"/>
    <x v="6"/>
    <x v="900"/>
    <s v="18:00"/>
    <n v="9.61"/>
  </r>
  <r>
    <x v="2"/>
    <x v="6"/>
    <x v="901"/>
    <s v="18:00"/>
    <n v="9.61"/>
  </r>
  <r>
    <x v="2"/>
    <x v="6"/>
    <x v="902"/>
    <s v="18:00"/>
    <n v="9.61"/>
  </r>
  <r>
    <x v="2"/>
    <x v="6"/>
    <x v="903"/>
    <s v="18:00"/>
    <n v="9.61"/>
  </r>
  <r>
    <x v="2"/>
    <x v="6"/>
    <x v="904"/>
    <s v="18:00"/>
    <n v="9.61"/>
  </r>
  <r>
    <x v="2"/>
    <x v="6"/>
    <x v="905"/>
    <s v="18:00"/>
    <n v="9.61"/>
  </r>
  <r>
    <x v="2"/>
    <x v="6"/>
    <x v="906"/>
    <s v="18:00"/>
    <n v="9.61"/>
  </r>
  <r>
    <x v="2"/>
    <x v="6"/>
    <x v="907"/>
    <s v="18:00"/>
    <n v="9.61"/>
  </r>
  <r>
    <x v="2"/>
    <x v="6"/>
    <x v="908"/>
    <s v="18:00"/>
    <n v="9.61"/>
  </r>
  <r>
    <x v="3"/>
    <x v="0"/>
    <x v="909"/>
    <s v="18:00"/>
    <n v="9.61"/>
  </r>
  <r>
    <x v="3"/>
    <x v="0"/>
    <x v="910"/>
    <s v="18:00"/>
    <n v="8.11"/>
  </r>
  <r>
    <x v="3"/>
    <x v="0"/>
    <x v="911"/>
    <s v="18:00"/>
    <n v="8.11"/>
  </r>
  <r>
    <x v="3"/>
    <x v="0"/>
    <x v="912"/>
    <s v="18:00"/>
    <n v="8.11"/>
  </r>
  <r>
    <x v="3"/>
    <x v="0"/>
    <x v="913"/>
    <s v="18:00"/>
    <n v="8.11"/>
  </r>
  <r>
    <x v="3"/>
    <x v="0"/>
    <x v="914"/>
    <s v="18:00"/>
    <n v="10.57"/>
  </r>
  <r>
    <x v="3"/>
    <x v="0"/>
    <x v="915"/>
    <s v="18:00"/>
    <n v="10.57"/>
  </r>
  <r>
    <x v="3"/>
    <x v="0"/>
    <x v="916"/>
    <s v="18:00"/>
    <n v="10.57"/>
  </r>
  <r>
    <x v="3"/>
    <x v="0"/>
    <x v="917"/>
    <s v="18:00"/>
    <n v="10.57"/>
  </r>
  <r>
    <x v="3"/>
    <x v="0"/>
    <x v="918"/>
    <s v="18:00"/>
    <n v="10.57"/>
  </r>
  <r>
    <x v="3"/>
    <x v="0"/>
    <x v="919"/>
    <s v="18:00"/>
    <n v="10.57"/>
  </r>
  <r>
    <x v="3"/>
    <x v="0"/>
    <x v="920"/>
    <s v="18:00"/>
    <n v="20.25"/>
  </r>
  <r>
    <x v="3"/>
    <x v="0"/>
    <x v="921"/>
    <s v="18:00"/>
    <n v="22.27"/>
  </r>
  <r>
    <x v="3"/>
    <x v="0"/>
    <x v="922"/>
    <s v="18:00"/>
    <n v="41.91"/>
  </r>
  <r>
    <x v="3"/>
    <x v="0"/>
    <x v="923"/>
    <s v="18:00"/>
    <n v="51.21"/>
  </r>
  <r>
    <x v="3"/>
    <x v="0"/>
    <x v="924"/>
    <s v="18:00"/>
    <n v="41.91"/>
  </r>
  <r>
    <x v="3"/>
    <x v="0"/>
    <x v="925"/>
    <s v="18:00"/>
    <n v="80.41"/>
  </r>
  <r>
    <x v="3"/>
    <x v="0"/>
    <x v="926"/>
    <s v="18:00"/>
    <n v="80.41"/>
  </r>
  <r>
    <x v="3"/>
    <x v="0"/>
    <x v="927"/>
    <s v="18:00"/>
    <n v="80.41"/>
  </r>
  <r>
    <x v="3"/>
    <x v="0"/>
    <x v="928"/>
    <s v="18:00"/>
    <n v="80.41"/>
  </r>
  <r>
    <x v="3"/>
    <x v="0"/>
    <x v="929"/>
    <s v="18:00"/>
    <n v="17.489999999999998"/>
  </r>
  <r>
    <x v="3"/>
    <x v="0"/>
    <x v="930"/>
    <s v="18:00"/>
    <n v="10.57"/>
  </r>
  <r>
    <x v="3"/>
    <x v="0"/>
    <x v="931"/>
    <s v="18:00"/>
    <n v="10.57"/>
  </r>
  <r>
    <x v="3"/>
    <x v="0"/>
    <x v="932"/>
    <s v="18:00"/>
    <n v="10.57"/>
  </r>
  <r>
    <x v="3"/>
    <x v="0"/>
    <x v="933"/>
    <s v="18:00"/>
    <n v="7.17"/>
  </r>
  <r>
    <x v="3"/>
    <x v="0"/>
    <x v="934"/>
    <s v="18:00"/>
    <n v="10.57"/>
  </r>
  <r>
    <x v="3"/>
    <x v="0"/>
    <x v="935"/>
    <s v="18:00"/>
    <n v="10.57"/>
  </r>
  <r>
    <x v="3"/>
    <x v="0"/>
    <x v="936"/>
    <s v="18:00"/>
    <n v="7.17"/>
  </r>
  <r>
    <x v="3"/>
    <x v="0"/>
    <x v="937"/>
    <s v="18:00"/>
    <n v="7.17"/>
  </r>
  <r>
    <x v="3"/>
    <x v="0"/>
    <x v="938"/>
    <s v="18:00"/>
    <n v="7.17"/>
  </r>
  <r>
    <x v="3"/>
    <x v="0"/>
    <x v="939"/>
    <s v="18:00"/>
    <n v="0.12"/>
  </r>
  <r>
    <x v="3"/>
    <x v="1"/>
    <x v="940"/>
    <s v="18:00"/>
    <n v="0.4"/>
  </r>
  <r>
    <x v="3"/>
    <x v="1"/>
    <x v="941"/>
    <s v="18:00"/>
    <n v="0.9"/>
  </r>
  <r>
    <x v="3"/>
    <x v="1"/>
    <x v="942"/>
    <s v="18:00"/>
    <n v="0.49"/>
  </r>
  <r>
    <x v="3"/>
    <x v="1"/>
    <x v="943"/>
    <s v="18:00"/>
    <n v="0.42"/>
  </r>
  <r>
    <x v="3"/>
    <x v="1"/>
    <x v="944"/>
    <s v="18:01"/>
    <n v="0.4"/>
  </r>
  <r>
    <x v="3"/>
    <x v="1"/>
    <x v="945"/>
    <s v="18:02"/>
    <n v="0.38"/>
  </r>
  <r>
    <x v="3"/>
    <x v="1"/>
    <x v="946"/>
    <s v="18:03"/>
    <n v="0.32"/>
  </r>
  <r>
    <x v="3"/>
    <x v="1"/>
    <x v="947"/>
    <s v="18:04"/>
    <n v="0.43"/>
  </r>
  <r>
    <x v="3"/>
    <x v="1"/>
    <x v="948"/>
    <s v="18:05"/>
    <n v="0.38"/>
  </r>
  <r>
    <x v="3"/>
    <x v="1"/>
    <x v="949"/>
    <s v="18:06"/>
    <n v="0.3"/>
  </r>
  <r>
    <x v="3"/>
    <x v="1"/>
    <x v="950"/>
    <s v="18:07"/>
    <n v="0.28000000000000003"/>
  </r>
  <r>
    <x v="3"/>
    <x v="1"/>
    <x v="951"/>
    <s v="18:08"/>
    <n v="0.34"/>
  </r>
  <r>
    <x v="3"/>
    <x v="1"/>
    <x v="952"/>
    <s v="18:09"/>
    <n v="0.39"/>
  </r>
  <r>
    <x v="3"/>
    <x v="1"/>
    <x v="953"/>
    <s v="18:10"/>
    <n v="37.340000000000003"/>
  </r>
  <r>
    <x v="3"/>
    <x v="1"/>
    <x v="954"/>
    <s v="18:11"/>
    <n v="59.4"/>
  </r>
  <r>
    <x v="3"/>
    <x v="1"/>
    <x v="955"/>
    <s v="18:12"/>
    <n v="63.32"/>
  </r>
  <r>
    <x v="3"/>
    <x v="1"/>
    <x v="956"/>
    <s v="18:13"/>
    <n v="104.95"/>
  </r>
  <r>
    <x v="3"/>
    <x v="1"/>
    <x v="957"/>
    <s v="18:14"/>
    <n v="375.39"/>
  </r>
  <r>
    <x v="3"/>
    <x v="1"/>
    <x v="958"/>
    <s v="18:15"/>
    <m/>
  </r>
  <r>
    <x v="3"/>
    <x v="1"/>
    <x v="959"/>
    <s v="18:16"/>
    <m/>
  </r>
  <r>
    <x v="3"/>
    <x v="1"/>
    <x v="960"/>
    <s v="18:17"/>
    <m/>
  </r>
  <r>
    <x v="3"/>
    <x v="1"/>
    <x v="961"/>
    <s v="18:18"/>
    <m/>
  </r>
  <r>
    <x v="3"/>
    <x v="1"/>
    <x v="962"/>
    <s v="18:19"/>
    <m/>
  </r>
  <r>
    <x v="3"/>
    <x v="1"/>
    <x v="963"/>
    <s v="18:20"/>
    <m/>
  </r>
  <r>
    <x v="3"/>
    <x v="1"/>
    <x v="964"/>
    <s v="18:21"/>
    <m/>
  </r>
  <r>
    <x v="3"/>
    <x v="1"/>
    <x v="965"/>
    <s v="18:22"/>
    <m/>
  </r>
  <r>
    <x v="3"/>
    <x v="1"/>
    <x v="966"/>
    <s v="18:23"/>
    <m/>
  </r>
  <r>
    <x v="3"/>
    <x v="1"/>
    <x v="967"/>
    <s v="18:24"/>
    <m/>
  </r>
  <r>
    <x v="3"/>
    <x v="2"/>
    <x v="968"/>
    <s v="18:25"/>
    <m/>
  </r>
  <r>
    <x v="3"/>
    <x v="2"/>
    <x v="969"/>
    <s v="18:26"/>
    <m/>
  </r>
  <r>
    <x v="3"/>
    <x v="2"/>
    <x v="970"/>
    <s v="18:27"/>
    <m/>
  </r>
  <r>
    <x v="3"/>
    <x v="2"/>
    <x v="971"/>
    <s v="18:28"/>
    <m/>
  </r>
  <r>
    <x v="3"/>
    <x v="2"/>
    <x v="972"/>
    <s v="18:29"/>
    <m/>
  </r>
  <r>
    <x v="3"/>
    <x v="2"/>
    <x v="973"/>
    <s v="18:30"/>
    <m/>
  </r>
  <r>
    <x v="3"/>
    <x v="2"/>
    <x v="974"/>
    <s v="18:31"/>
    <m/>
  </r>
  <r>
    <x v="3"/>
    <x v="2"/>
    <x v="975"/>
    <s v="18:32"/>
    <m/>
  </r>
  <r>
    <x v="3"/>
    <x v="2"/>
    <x v="976"/>
    <s v="18:33"/>
    <m/>
  </r>
  <r>
    <x v="3"/>
    <x v="2"/>
    <x v="977"/>
    <s v="18:34"/>
    <m/>
  </r>
  <r>
    <x v="3"/>
    <x v="2"/>
    <x v="978"/>
    <s v="18:35"/>
    <n v="22.1"/>
  </r>
  <r>
    <x v="3"/>
    <x v="2"/>
    <x v="979"/>
    <s v="18:36"/>
    <n v="32.270000000000003"/>
  </r>
  <r>
    <x v="3"/>
    <x v="2"/>
    <x v="980"/>
    <s v="18:37"/>
    <n v="34.07"/>
  </r>
  <r>
    <x v="3"/>
    <x v="2"/>
    <x v="981"/>
    <s v="18:38"/>
    <n v="29.45"/>
  </r>
  <r>
    <x v="3"/>
    <x v="2"/>
    <x v="982"/>
    <s v="18:39"/>
    <n v="34.07"/>
  </r>
  <r>
    <x v="3"/>
    <x v="2"/>
    <x v="983"/>
    <s v="18:40"/>
    <n v="30.49"/>
  </r>
  <r>
    <x v="3"/>
    <x v="2"/>
    <x v="984"/>
    <s v="18:41"/>
    <n v="32.270000000000003"/>
  </r>
  <r>
    <x v="3"/>
    <x v="2"/>
    <x v="985"/>
    <s v="18:42"/>
    <n v="35.909999999999997"/>
  </r>
  <r>
    <x v="3"/>
    <x v="2"/>
    <x v="986"/>
    <s v="18:43"/>
    <n v="34.07"/>
  </r>
  <r>
    <x v="3"/>
    <x v="2"/>
    <x v="987"/>
    <s v="18:44"/>
    <n v="34.07"/>
  </r>
  <r>
    <x v="3"/>
    <x v="2"/>
    <x v="988"/>
    <s v="18:45"/>
    <n v="35.909999999999997"/>
  </r>
  <r>
    <x v="3"/>
    <x v="2"/>
    <x v="989"/>
    <s v="18:46"/>
    <n v="39.67"/>
  </r>
  <r>
    <x v="3"/>
    <x v="2"/>
    <x v="990"/>
    <s v="18:47"/>
    <n v="35.909999999999997"/>
  </r>
  <r>
    <x v="3"/>
    <x v="2"/>
    <x v="991"/>
    <s v="18:48"/>
    <n v="35.909999999999997"/>
  </r>
  <r>
    <x v="3"/>
    <x v="2"/>
    <x v="992"/>
    <s v="18:49"/>
    <n v="32.270000000000003"/>
  </r>
  <r>
    <x v="3"/>
    <x v="2"/>
    <x v="993"/>
    <s v="18:50"/>
    <n v="32.270000000000003"/>
  </r>
  <r>
    <x v="3"/>
    <x v="2"/>
    <x v="994"/>
    <s v="18:51"/>
    <n v="30.49"/>
  </r>
  <r>
    <x v="3"/>
    <x v="2"/>
    <x v="995"/>
    <s v="18:52"/>
    <n v="29.45"/>
  </r>
  <r>
    <x v="3"/>
    <x v="2"/>
    <x v="996"/>
    <s v="18:53"/>
    <n v="34"/>
  </r>
  <r>
    <x v="3"/>
    <x v="2"/>
    <x v="997"/>
    <s v="18:54"/>
    <n v="34.07"/>
  </r>
  <r>
    <x v="3"/>
    <x v="2"/>
    <x v="998"/>
    <s v="18:55"/>
    <n v="34.07"/>
  </r>
  <r>
    <x v="3"/>
    <x v="3"/>
    <x v="999"/>
    <s v="18:56"/>
    <n v="35.909999999999997"/>
  </r>
  <r>
    <x v="3"/>
    <x v="3"/>
    <x v="1000"/>
    <s v="18:57"/>
    <n v="39.67"/>
  </r>
  <r>
    <x v="3"/>
    <x v="3"/>
    <x v="1001"/>
    <s v="18:58"/>
    <n v="35.909999999999997"/>
  </r>
  <r>
    <x v="3"/>
    <x v="3"/>
    <x v="1002"/>
    <s v="18:59"/>
    <n v="34.07"/>
  </r>
  <r>
    <x v="3"/>
    <x v="3"/>
    <x v="1003"/>
    <s v="18:60"/>
    <n v="32.270000000000003"/>
  </r>
  <r>
    <x v="3"/>
    <x v="3"/>
    <x v="1004"/>
    <s v="18:61"/>
    <n v="28.75"/>
  </r>
  <r>
    <x v="3"/>
    <x v="3"/>
    <x v="1005"/>
    <s v="18:62"/>
    <n v="28.75"/>
  </r>
  <r>
    <x v="3"/>
    <x v="3"/>
    <x v="1006"/>
    <s v="18:63"/>
    <n v="28.75"/>
  </r>
  <r>
    <x v="3"/>
    <x v="3"/>
    <x v="1007"/>
    <s v="18:64"/>
    <n v="28.75"/>
  </r>
  <r>
    <x v="3"/>
    <x v="3"/>
    <x v="1008"/>
    <s v="18:65"/>
    <n v="28.41"/>
  </r>
  <r>
    <x v="3"/>
    <x v="3"/>
    <x v="1009"/>
    <s v="18:66"/>
    <n v="28.07"/>
  </r>
  <r>
    <x v="3"/>
    <x v="3"/>
    <x v="1010"/>
    <s v="18:67"/>
    <n v="28.07"/>
  </r>
  <r>
    <x v="3"/>
    <x v="3"/>
    <x v="1011"/>
    <s v="18:68"/>
    <n v="28.07"/>
  </r>
  <r>
    <x v="3"/>
    <x v="3"/>
    <x v="1012"/>
    <s v="18:69"/>
    <n v="27.38"/>
  </r>
  <r>
    <x v="3"/>
    <x v="3"/>
    <x v="1013"/>
    <s v="18:70"/>
    <n v="26.71"/>
  </r>
  <r>
    <x v="3"/>
    <x v="3"/>
    <x v="1014"/>
    <s v="18:71"/>
    <n v="27.38"/>
  </r>
  <r>
    <x v="3"/>
    <x v="3"/>
    <x v="1015"/>
    <s v="18:72"/>
    <n v="26.71"/>
  </r>
  <r>
    <x v="3"/>
    <x v="3"/>
    <x v="1016"/>
    <s v="18:73"/>
    <n v="26.71"/>
  </r>
  <r>
    <x v="3"/>
    <x v="3"/>
    <x v="1017"/>
    <s v="18:74"/>
    <n v="26.71"/>
  </r>
  <r>
    <x v="3"/>
    <x v="3"/>
    <x v="1018"/>
    <s v="18:75"/>
    <n v="26.71"/>
  </r>
  <r>
    <x v="3"/>
    <x v="3"/>
    <x v="1019"/>
    <s v="18:76"/>
    <n v="26.71"/>
  </r>
  <r>
    <x v="3"/>
    <x v="3"/>
    <x v="1020"/>
    <s v="18:77"/>
    <n v="26.71"/>
  </r>
  <r>
    <x v="3"/>
    <x v="3"/>
    <x v="1021"/>
    <s v="18:78"/>
    <n v="26.03"/>
  </r>
  <r>
    <x v="3"/>
    <x v="3"/>
    <x v="1022"/>
    <s v="18:79"/>
    <n v="26.03"/>
  </r>
  <r>
    <x v="3"/>
    <x v="3"/>
    <x v="1023"/>
    <s v="18:80"/>
    <n v="26.03"/>
  </r>
  <r>
    <x v="3"/>
    <x v="3"/>
    <x v="1024"/>
    <s v="18:81"/>
    <n v="23.22"/>
  </r>
  <r>
    <x v="3"/>
    <x v="3"/>
    <x v="1025"/>
    <s v="18:82"/>
    <m/>
  </r>
  <r>
    <x v="3"/>
    <x v="3"/>
    <x v="1026"/>
    <s v="18:83"/>
    <m/>
  </r>
  <r>
    <x v="3"/>
    <x v="3"/>
    <x v="1027"/>
    <s v="18:84"/>
    <m/>
  </r>
  <r>
    <x v="3"/>
    <x v="3"/>
    <x v="1028"/>
    <s v="18:8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7C2F37-4014-4225-9237-EC0456D0452C}" name="TablaDiná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FECHA" colHeaderCaption="MES">
  <location ref="AA34:AF59" firstHeaderRow="1" firstDataRow="3" firstDataCol="1" rowPageCount="1" colPageCount="1"/>
  <pivotFields count="17">
    <pivotField multipleItemSelectionAllowed="1" showAll="0"/>
    <pivotField axis="axisCol" showAll="0">
      <items count="13">
        <item n="ENE" sd="0" x="0"/>
        <item n="FEB" sd="0" x="1"/>
        <item n="MAR" sd="0" x="2"/>
        <item n="ABR" sd="0" x="3"/>
        <item n="MAY" sd="0" m="1" x="4"/>
        <item n="JUN" sd="0" m="1" x="5"/>
        <item n="JUL" sd="0" m="1" x="6"/>
        <item n="AGO" sd="0" m="1" x="7"/>
        <item n="SET" sd="0" m="1" x="8"/>
        <item n="OCT" sd="0" m="1" x="9"/>
        <item n="NOV" sd="0" m="1" x="10"/>
        <item n="DIC" sd="0" m="1" x="11"/>
        <item t="default" sd="0"/>
      </items>
    </pivotField>
    <pivotField name="AÑO" axis="axisPage" multipleItemSelectionAllowed="1" showAll="0">
      <items count="6">
        <item h="1" m="1" x="4"/>
        <item h="1" m="1" x="1"/>
        <item m="1" x="2"/>
        <item x="0"/>
        <item h="1" m="1" x="3"/>
        <item t="default"/>
      </items>
    </pivotField>
    <pivotField axis="axisCol" numFmtId="14" outline="0" showAll="0">
      <items count="434">
        <item m="1" x="129"/>
        <item m="1" x="114"/>
        <item m="1" x="238"/>
        <item m="1" x="189"/>
        <item m="1" x="324"/>
        <item m="1" x="140"/>
        <item m="1" x="276"/>
        <item m="1" x="418"/>
        <item m="1" x="222"/>
        <item m="1" x="366"/>
        <item m="1" x="177"/>
        <item m="1" x="308"/>
        <item m="1" x="125"/>
        <item m="1" x="404"/>
        <item m="1" x="209"/>
        <item m="1" x="350"/>
        <item m="1" x="163"/>
        <item m="1" x="295"/>
        <item m="1" x="109"/>
        <item m="1" x="248"/>
        <item m="1" x="390"/>
        <item m="1" x="196"/>
        <item m="1" x="334"/>
        <item m="1" x="149"/>
        <item m="1" x="283"/>
        <item m="1" x="427"/>
        <item m="1" x="232"/>
        <item m="1" x="376"/>
        <item m="1" x="183"/>
        <item m="1" x="318"/>
        <item m="1" x="134"/>
        <item m="1" x="271"/>
        <item m="1" x="345"/>
        <item m="1" x="159"/>
        <item m="1" x="293"/>
        <item m="1" x="104"/>
        <item m="1" x="243"/>
        <item m="1" x="385"/>
        <item m="1" x="193"/>
        <item m="1" x="329"/>
        <item m="1" x="144"/>
        <item m="1" x="279"/>
        <item m="1" x="422"/>
        <item m="1" x="227"/>
        <item m="1" x="371"/>
        <item m="1" x="180"/>
        <item m="1" x="313"/>
        <item m="1" x="130"/>
        <item m="1" x="267"/>
        <item m="1" x="408"/>
        <item m="1" x="214"/>
        <item m="1" x="356"/>
        <item m="1" x="168"/>
        <item m="1" x="300"/>
        <item m="1" x="115"/>
        <item m="1" x="254"/>
        <item m="1" x="396"/>
        <item m="1" x="201"/>
        <item m="1" x="340"/>
        <item m="1" x="155"/>
        <item m="1" x="309"/>
        <item m="1" x="126"/>
        <item m="1" x="263"/>
        <item m="1" x="405"/>
        <item m="1" x="210"/>
        <item m="1" x="351"/>
        <item m="1" x="164"/>
        <item m="1" x="296"/>
        <item m="1" x="110"/>
        <item m="1" x="249"/>
        <item m="1" x="391"/>
        <item m="1" x="197"/>
        <item m="1" x="335"/>
        <item m="1" x="150"/>
        <item m="1" x="284"/>
        <item m="1" x="428"/>
        <item m="1" x="233"/>
        <item m="1" x="377"/>
        <item m="1" x="184"/>
        <item m="1" x="319"/>
        <item m="1" x="135"/>
        <item m="1" x="272"/>
        <item m="1" x="413"/>
        <item m="1" x="218"/>
        <item m="1" x="361"/>
        <item m="1" x="172"/>
        <item m="1" x="304"/>
        <item m="1" x="120"/>
        <item m="1" x="258"/>
        <item m="1" x="205"/>
        <item m="1" x="280"/>
        <item m="1" x="423"/>
        <item m="1" x="228"/>
        <item m="1" x="372"/>
        <item m="1" x="181"/>
        <item m="1" x="314"/>
        <item m="1" x="131"/>
        <item m="1" x="268"/>
        <item m="1" x="409"/>
        <item m="1" x="215"/>
        <item m="1" x="357"/>
        <item m="1" x="169"/>
        <item m="1" x="116"/>
        <item m="1" x="255"/>
        <item m="1" x="397"/>
        <item m="1" x="202"/>
        <item m="1" x="341"/>
        <item m="1" x="156"/>
        <item m="1" x="288"/>
        <item m="1" x="100"/>
        <item m="1" x="239"/>
        <item m="1" x="381"/>
        <item m="1" x="190"/>
        <item m="1" x="325"/>
        <item m="1" x="141"/>
        <item m="1" x="419"/>
        <item m="1" x="223"/>
        <item m="1" x="367"/>
        <item m="1" x="392"/>
        <item m="1" x="198"/>
        <item m="1" x="151"/>
        <item m="1" x="285"/>
        <item m="1" x="429"/>
        <item m="1" x="234"/>
        <item m="1" x="378"/>
        <item m="1" x="185"/>
        <item m="1" x="320"/>
        <item m="1" x="136"/>
        <item m="1" x="273"/>
        <item m="1" x="414"/>
        <item m="1" x="219"/>
        <item m="1" x="362"/>
        <item m="1" x="173"/>
        <item m="1" x="121"/>
        <item m="1" x="259"/>
        <item m="1" x="400"/>
        <item m="1" x="206"/>
        <item m="1" x="346"/>
        <item m="1" x="160"/>
        <item m="1" x="105"/>
        <item m="1" x="244"/>
        <item m="1" x="386"/>
        <item m="1" x="194"/>
        <item m="1" x="330"/>
        <item m="1" x="145"/>
        <item m="1" x="358"/>
        <item m="1" x="170"/>
        <item m="1" x="301"/>
        <item m="1" x="117"/>
        <item m="1" x="256"/>
        <item m="1" x="342"/>
        <item m="1" x="157"/>
        <item m="1" x="289"/>
        <item m="1" x="101"/>
        <item m="1" x="240"/>
        <item m="1" x="382"/>
        <item m="1" x="326"/>
        <item m="1" x="142"/>
        <item m="1" x="277"/>
        <item m="1" x="420"/>
        <item m="1" x="224"/>
        <item m="1" x="368"/>
        <item m="1" x="310"/>
        <item m="1" x="127"/>
        <item m="1" x="264"/>
        <item m="1" x="406"/>
        <item m="1" x="211"/>
        <item m="1" x="352"/>
        <item m="1" x="297"/>
        <item m="1" x="186"/>
        <item m="1" x="321"/>
        <item m="1" x="137"/>
        <item m="1" x="274"/>
        <item m="1" x="415"/>
        <item m="1" x="363"/>
        <item m="1" x="174"/>
        <item m="1" x="305"/>
        <item m="1" x="122"/>
        <item m="1" x="260"/>
        <item m="1" x="401"/>
        <item m="1" x="347"/>
        <item m="1" x="161"/>
        <item m="1" x="294"/>
        <item m="1" x="106"/>
        <item m="1" x="245"/>
        <item m="1" x="387"/>
        <item m="1" x="331"/>
        <item m="1" x="146"/>
        <item m="1" x="424"/>
        <item m="1" x="229"/>
        <item m="1" x="373"/>
        <item m="1" x="315"/>
        <item m="1" x="269"/>
        <item m="1" x="410"/>
        <item m="1" x="158"/>
        <item m="1" x="290"/>
        <item m="1" x="102"/>
        <item m="1" x="241"/>
        <item m="1" x="383"/>
        <item m="1" x="191"/>
        <item m="1" x="327"/>
        <item m="1" x="143"/>
        <item m="1" x="278"/>
        <item m="1" x="225"/>
        <item m="1" x="369"/>
        <item m="1" x="178"/>
        <item m="1" x="311"/>
        <item m="1" x="128"/>
        <item m="1" x="265"/>
        <item m="1" x="212"/>
        <item m="1" x="353"/>
        <item m="1" x="165"/>
        <item m="1" x="298"/>
        <item m="1" x="111"/>
        <item m="1" x="250"/>
        <item m="1" x="393"/>
        <item m="1" x="199"/>
        <item m="1" x="336"/>
        <item m="1" x="152"/>
        <item m="1" x="286"/>
        <item m="1" x="430"/>
        <item m="1" x="235"/>
        <item m="1" x="123"/>
        <item m="1" x="261"/>
        <item m="1" x="402"/>
        <item m="1" x="207"/>
        <item m="1" x="348"/>
        <item m="1" x="162"/>
        <item m="1" x="107"/>
        <item m="1" x="246"/>
        <item m="1" x="388"/>
        <item m="1" x="195"/>
        <item m="1" x="332"/>
        <item m="1" x="147"/>
        <item m="1" x="281"/>
        <item m="1" x="425"/>
        <item m="1" x="230"/>
        <item m="1" x="374"/>
        <item m="1" x="182"/>
        <item m="1" x="316"/>
        <item m="1" x="132"/>
        <item m="1" x="411"/>
        <item m="1" x="216"/>
        <item m="1" x="359"/>
        <item m="1" x="171"/>
        <item m="1" x="302"/>
        <item m="1" x="118"/>
        <item m="1" x="398"/>
        <item m="1" x="203"/>
        <item m="1" x="421"/>
        <item m="1" x="226"/>
        <item m="1" x="370"/>
        <item m="1" x="179"/>
        <item m="1" x="312"/>
        <item m="1" x="266"/>
        <item m="1" x="407"/>
        <item m="1" x="213"/>
        <item m="1" x="354"/>
        <item m="1" x="166"/>
        <item m="1" x="112"/>
        <item m="1" x="251"/>
        <item m="1" x="394"/>
        <item m="1" x="200"/>
        <item m="1" x="337"/>
        <item m="1" x="153"/>
        <item m="1" x="431"/>
        <item m="1" x="236"/>
        <item m="1" x="379"/>
        <item m="1" x="187"/>
        <item m="1" x="322"/>
        <item m="1" x="138"/>
        <item m="1" x="416"/>
        <item m="1" x="220"/>
        <item m="1" x="364"/>
        <item m="1" x="175"/>
        <item m="1" x="306"/>
        <item m="1" x="389"/>
        <item m="1" x="333"/>
        <item m="1" x="148"/>
        <item m="1" x="282"/>
        <item m="1" x="426"/>
        <item m="1" x="231"/>
        <item m="1" x="375"/>
        <item m="1" x="317"/>
        <item m="1" x="133"/>
        <item m="1" x="270"/>
        <item m="1" x="412"/>
        <item m="1" x="217"/>
        <item m="1" x="360"/>
        <item m="1" x="303"/>
        <item m="1" x="119"/>
        <item m="1" x="257"/>
        <item m="1" x="399"/>
        <item m="1" x="204"/>
        <item m="1" x="343"/>
        <item m="1" x="291"/>
        <item m="1" x="103"/>
        <item m="1" x="242"/>
        <item m="1" x="384"/>
        <item m="1" x="192"/>
        <item m="1" x="328"/>
        <item m="1" x="355"/>
        <item m="1" x="167"/>
        <item m="1" x="299"/>
        <item m="1" x="113"/>
        <item m="1" x="252"/>
        <item m="1" x="395"/>
        <item m="1" x="338"/>
        <item m="1" x="154"/>
        <item m="1" x="287"/>
        <item m="1" x="432"/>
        <item m="1" x="237"/>
        <item m="1" x="380"/>
        <item m="1" x="188"/>
        <item m="1" x="323"/>
        <item m="1" x="139"/>
        <item m="1" x="275"/>
        <item m="1" x="417"/>
        <item m="1" x="221"/>
        <item m="1" x="365"/>
        <item m="1" x="176"/>
        <item m="1" x="307"/>
        <item m="1" x="124"/>
        <item m="1" x="262"/>
        <item m="1" x="403"/>
        <item m="1" x="208"/>
        <item m="1" x="349"/>
        <item m="1" x="108"/>
        <item m="1" x="247"/>
        <item x="0"/>
        <item x="1"/>
        <item x="2"/>
        <item x="3"/>
        <item x="4"/>
        <item x="5"/>
        <item x="6"/>
        <item x="7"/>
        <item x="8"/>
        <item x="9"/>
        <item x="10"/>
        <item x="11"/>
        <item x="12"/>
        <item x="13"/>
        <item x="14"/>
        <item x="15"/>
        <item x="16"/>
        <item x="17"/>
        <item x="18"/>
        <item x="19"/>
        <item x="20"/>
        <item x="21"/>
        <item x="22"/>
        <item x="23"/>
        <item m="1" x="253"/>
        <item x="24"/>
        <item x="25"/>
        <item x="26"/>
        <item x="27"/>
        <item x="28"/>
        <item x="29"/>
        <item x="30"/>
        <item x="31"/>
        <item m="1" x="339"/>
        <item x="32"/>
        <item x="33"/>
        <item x="34"/>
        <item x="35"/>
        <item x="36"/>
        <item x="37"/>
        <item x="38"/>
        <item x="39"/>
        <item x="40"/>
        <item x="41"/>
        <item x="42"/>
        <item x="43"/>
        <item x="44"/>
        <item x="45"/>
        <item x="46"/>
        <item x="47"/>
        <item x="48"/>
        <item x="49"/>
        <item x="50"/>
        <item m="1" x="344"/>
        <item x="51"/>
        <item x="52"/>
        <item x="53"/>
        <item x="54"/>
        <item x="55"/>
        <item x="56"/>
        <item x="57"/>
        <item x="58"/>
        <item x="59"/>
        <item x="60"/>
        <item x="61"/>
        <item m="1" x="292"/>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17">
        <item m="1" x="11"/>
        <item x="3"/>
        <item x="9"/>
        <item x="6"/>
        <item x="4"/>
        <item x="5"/>
        <item x="1"/>
        <item x="8"/>
        <item x="7"/>
        <item x="2"/>
        <item m="1" x="14"/>
        <item m="1" x="13"/>
        <item m="1" x="10"/>
        <item m="1" x="12"/>
        <item m="1" x="15"/>
        <item x="0"/>
        <item t="default"/>
      </items>
    </pivotField>
    <pivotField axis="axisRow" showAll="0" defaultSubtotal="0">
      <items count="6">
        <item x="1"/>
        <item x="0"/>
        <item m="1" x="5"/>
        <item m="1" x="2"/>
        <item m="1" x="4"/>
        <item m="1" x="3"/>
      </items>
    </pivotField>
    <pivotField axis="axisRow" showAll="0" defaultSubtotal="0">
      <items count="6">
        <item x="0"/>
        <item x="3"/>
        <item m="1" x="5"/>
        <item x="1"/>
        <item x="2"/>
        <item m="1" x="4"/>
      </items>
    </pivotField>
    <pivotField dataField="1" showAll="0"/>
    <pivotField showAll="0"/>
    <pivotField showAll="0"/>
    <pivotField showAll="0"/>
    <pivotField showAll="0"/>
    <pivotField numFmtId="20" showAll="0"/>
    <pivotField showAll="0"/>
    <pivotField showAll="0"/>
  </pivotFields>
  <rowFields count="3">
    <field x="8"/>
    <field x="7"/>
    <field x="6"/>
  </rowFields>
  <rowItems count="23">
    <i>
      <x/>
    </i>
    <i r="1">
      <x v="1"/>
    </i>
    <i r="2">
      <x v="9"/>
    </i>
    <i r="2">
      <x v="15"/>
    </i>
    <i>
      <x v="1"/>
    </i>
    <i r="1">
      <x/>
    </i>
    <i r="2">
      <x v="2"/>
    </i>
    <i>
      <x v="3"/>
    </i>
    <i r="1">
      <x/>
    </i>
    <i r="2">
      <x v="1"/>
    </i>
    <i r="2">
      <x v="4"/>
    </i>
    <i r="2">
      <x v="5"/>
    </i>
    <i r="2">
      <x v="6"/>
    </i>
    <i r="2">
      <x v="7"/>
    </i>
    <i r="2">
      <x v="8"/>
    </i>
    <i r="2">
      <x v="9"/>
    </i>
    <i>
      <x v="4"/>
    </i>
    <i r="1">
      <x/>
    </i>
    <i r="2">
      <x v="1"/>
    </i>
    <i r="2">
      <x v="3"/>
    </i>
    <i r="2">
      <x v="4"/>
    </i>
    <i r="2">
      <x v="8"/>
    </i>
    <i t="grand">
      <x/>
    </i>
  </rowItems>
  <colFields count="2">
    <field x="1"/>
    <field x="3"/>
  </colFields>
  <colItems count="5">
    <i>
      <x/>
    </i>
    <i>
      <x v="1"/>
    </i>
    <i>
      <x v="2"/>
    </i>
    <i>
      <x v="3"/>
    </i>
    <i t="grand">
      <x/>
    </i>
  </colItems>
  <pageFields count="1">
    <pageField fld="2" hier="-1"/>
  </pageFields>
  <dataFields count="1">
    <dataField name="Suma de VOLUMEN-m32" fld="9" baseField="0" baseItem="0"/>
  </dataFields>
  <formats count="14">
    <format dxfId="76">
      <pivotArea dataOnly="0" labelOnly="1" fieldPosition="0">
        <references count="3">
          <reference field="6" count="1">
            <x v="10"/>
          </reference>
          <reference field="7" count="1" selected="0">
            <x v="0"/>
          </reference>
          <reference field="8" count="1" selected="0">
            <x v="4"/>
          </reference>
        </references>
      </pivotArea>
    </format>
    <format dxfId="75">
      <pivotArea outline="0" collapsedLevelsAreSubtotals="1" fieldPosition="0">
        <references count="1">
          <reference field="1" count="1" selected="0">
            <x v="8"/>
          </reference>
        </references>
      </pivotArea>
    </format>
    <format dxfId="74">
      <pivotArea type="topRight" dataOnly="0" labelOnly="1" outline="0" offset="H1" fieldPosition="0"/>
    </format>
    <format dxfId="73">
      <pivotArea dataOnly="0" labelOnly="1" fieldPosition="0">
        <references count="1">
          <reference field="1" count="1">
            <x v="8"/>
          </reference>
        </references>
      </pivotArea>
    </format>
    <format dxfId="72">
      <pivotArea outline="0" collapsedLevelsAreSubtotals="1" fieldPosition="0">
        <references count="1">
          <reference field="1" count="1" selected="0">
            <x v="9"/>
          </reference>
        </references>
      </pivotArea>
    </format>
    <format dxfId="71">
      <pivotArea type="topRight" dataOnly="0" labelOnly="1" outline="0" offset="I1" fieldPosition="0"/>
    </format>
    <format dxfId="70">
      <pivotArea dataOnly="0" labelOnly="1" fieldPosition="0">
        <references count="1">
          <reference field="1" count="1">
            <x v="9"/>
          </reference>
        </references>
      </pivotArea>
    </format>
    <format dxfId="69">
      <pivotArea outline="0" collapsedLevelsAreSubtotals="1" fieldPosition="0">
        <references count="1">
          <reference field="1" count="1" selected="0">
            <x v="10"/>
          </reference>
        </references>
      </pivotArea>
    </format>
    <format dxfId="68">
      <pivotArea type="topRight" dataOnly="0" labelOnly="1" outline="0" offset="J1" fieldPosition="0"/>
    </format>
    <format dxfId="67">
      <pivotArea dataOnly="0" labelOnly="1" fieldPosition="0">
        <references count="1">
          <reference field="1" count="1">
            <x v="10"/>
          </reference>
        </references>
      </pivotArea>
    </format>
    <format dxfId="66">
      <pivotArea outline="0" collapsedLevelsAreSubtotals="1" fieldPosition="0">
        <references count="1">
          <reference field="1" count="1" selected="0">
            <x v="11"/>
          </reference>
        </references>
      </pivotArea>
    </format>
    <format dxfId="65">
      <pivotArea type="topRight" dataOnly="0" labelOnly="1" outline="0" offset="K1" fieldPosition="0"/>
    </format>
    <format dxfId="64">
      <pivotArea dataOnly="0" labelOnly="1" fieldPosition="0">
        <references count="1">
          <reference field="1" count="1">
            <x v="11"/>
          </reference>
        </references>
      </pivotArea>
    </format>
    <format dxfId="63">
      <pivotArea dataOnly="0" outline="0" fieldPosition="0">
        <references count="2">
          <reference field="1" count="1">
            <x v="6"/>
          </reference>
          <reference field="2"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7DB1F4-84FB-46D5-92F3-65E4ED98E2F1}" name="TablaDiná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VEHICULO" colHeaderCaption="FECHA">
  <location ref="AA7:AI20" firstHeaderRow="1" firstDataRow="2" firstDataCol="1" rowPageCount="2" colPageCount="1"/>
  <pivotFields count="17">
    <pivotField axis="axisPage" multipleItemSelectionAllowed="1" showAll="0" includeNewItemsInFilter="1">
      <items count="55">
        <item h="1" x="0"/>
        <item h="1" x="1"/>
        <item h="1" x="2"/>
        <item m="1" x="51"/>
        <item h="1" x="3"/>
        <item m="1" x="17"/>
        <item h="1" x="4"/>
        <item h="1" x="5"/>
        <item h="1" x="6"/>
        <item h="1" x="7"/>
        <item h="1" x="8"/>
        <item h="1" x="9"/>
        <item h="1" x="10"/>
        <item h="1" x="11"/>
        <item h="1" x="12"/>
        <item h="1" x="13"/>
        <item h="1" x="14"/>
        <item h="1" x="15"/>
        <item x="16"/>
        <item m="1" x="27"/>
        <item m="1" x="29"/>
        <item m="1" x="30"/>
        <item m="1" x="32"/>
        <item m="1" x="34"/>
        <item m="1" x="36"/>
        <item m="1" x="38"/>
        <item m="1" x="40"/>
        <item m="1" x="42"/>
        <item m="1" x="44"/>
        <item m="1" x="46"/>
        <item m="1" x="48"/>
        <item m="1" x="50"/>
        <item m="1" x="52"/>
        <item m="1" x="53"/>
        <item m="1" x="31"/>
        <item m="1" x="18"/>
        <item m="1" x="33"/>
        <item m="1" x="19"/>
        <item m="1" x="35"/>
        <item m="1" x="20"/>
        <item m="1" x="37"/>
        <item m="1" x="21"/>
        <item m="1" x="39"/>
        <item m="1" x="22"/>
        <item m="1" x="41"/>
        <item m="1" x="23"/>
        <item m="1" x="43"/>
        <item m="1" x="24"/>
        <item m="1" x="45"/>
        <item m="1" x="25"/>
        <item m="1" x="47"/>
        <item m="1" x="26"/>
        <item m="1" x="49"/>
        <item m="1" x="28"/>
        <item t="default"/>
      </items>
    </pivotField>
    <pivotField showAll="0"/>
    <pivotField axis="axisPage" multipleItemSelectionAllowed="1" showAll="0">
      <items count="6">
        <item m="1" x="2"/>
        <item h="1" m="1" x="4"/>
        <item h="1" m="1" x="1"/>
        <item x="0"/>
        <item h="1" m="1" x="3"/>
        <item t="default"/>
      </items>
    </pivotField>
    <pivotField axis="axisCol" numFmtId="14" showAll="0">
      <items count="434">
        <item m="1" x="189"/>
        <item m="1" x="324"/>
        <item m="1" x="140"/>
        <item m="1" x="276"/>
        <item m="1" x="418"/>
        <item m="1" x="222"/>
        <item m="1" x="366"/>
        <item m="1" x="177"/>
        <item m="1" x="308"/>
        <item m="1" x="125"/>
        <item m="1" x="404"/>
        <item m="1" x="209"/>
        <item m="1" x="350"/>
        <item m="1" x="163"/>
        <item m="1" x="295"/>
        <item m="1" x="109"/>
        <item m="1" x="248"/>
        <item m="1" x="390"/>
        <item m="1" x="196"/>
        <item m="1" x="129"/>
        <item m="1" x="334"/>
        <item m="1" x="149"/>
        <item m="1" x="283"/>
        <item m="1" x="427"/>
        <item m="1" x="232"/>
        <item m="1" x="376"/>
        <item m="1" x="183"/>
        <item m="1" x="318"/>
        <item m="1" x="134"/>
        <item m="1" x="271"/>
        <item m="1" x="345"/>
        <item m="1" x="238"/>
        <item m="1" x="159"/>
        <item m="1" x="293"/>
        <item m="1" x="104"/>
        <item m="1" x="243"/>
        <item m="1" x="385"/>
        <item m="1" x="193"/>
        <item m="1" x="329"/>
        <item m="1" x="144"/>
        <item m="1" x="279"/>
        <item m="1" x="422"/>
        <item m="1" x="227"/>
        <item m="1" x="371"/>
        <item m="1" x="180"/>
        <item m="1" x="313"/>
        <item m="1" x="130"/>
        <item m="1" x="267"/>
        <item m="1" x="408"/>
        <item m="1" x="214"/>
        <item m="1" x="356"/>
        <item m="1" x="168"/>
        <item m="1" x="300"/>
        <item m="1" x="115"/>
        <item m="1" x="254"/>
        <item m="1" x="396"/>
        <item m="1" x="201"/>
        <item m="1" x="340"/>
        <item m="1" x="155"/>
        <item m="1" x="309"/>
        <item m="1" x="126"/>
        <item m="1" x="263"/>
        <item m="1" x="405"/>
        <item m="1" x="210"/>
        <item m="1" x="351"/>
        <item m="1" x="164"/>
        <item m="1" x="296"/>
        <item m="1" x="110"/>
        <item m="1" x="249"/>
        <item m="1" x="391"/>
        <item m="1" x="197"/>
        <item m="1" x="335"/>
        <item m="1" x="150"/>
        <item m="1" x="284"/>
        <item m="1" x="428"/>
        <item m="1" x="233"/>
        <item m="1" x="377"/>
        <item m="1" x="184"/>
        <item m="1" x="319"/>
        <item m="1" x="135"/>
        <item m="1" x="272"/>
        <item m="1" x="413"/>
        <item m="1" x="218"/>
        <item m="1" x="361"/>
        <item m="1" x="172"/>
        <item m="1" x="304"/>
        <item m="1" x="120"/>
        <item m="1" x="258"/>
        <item m="1" x="205"/>
        <item m="1" x="280"/>
        <item m="1" x="423"/>
        <item m="1" x="228"/>
        <item m="1" x="372"/>
        <item m="1" x="181"/>
        <item m="1" x="314"/>
        <item m="1" x="131"/>
        <item m="1" x="268"/>
        <item m="1" x="409"/>
        <item m="1" x="215"/>
        <item m="1" x="357"/>
        <item m="1" x="169"/>
        <item m="1" x="116"/>
        <item m="1" x="255"/>
        <item m="1" x="397"/>
        <item m="1" x="202"/>
        <item m="1" x="341"/>
        <item m="1" x="156"/>
        <item m="1" x="288"/>
        <item m="1" x="100"/>
        <item m="1" x="239"/>
        <item m="1" x="381"/>
        <item m="1" x="190"/>
        <item m="1" x="325"/>
        <item m="1" x="141"/>
        <item m="1" x="419"/>
        <item m="1" x="223"/>
        <item m="1" x="367"/>
        <item m="1" x="392"/>
        <item m="1" x="198"/>
        <item m="1" x="151"/>
        <item m="1" x="285"/>
        <item m="1" x="429"/>
        <item m="1" x="234"/>
        <item m="1" x="378"/>
        <item m="1" x="185"/>
        <item m="1" x="320"/>
        <item m="1" x="136"/>
        <item m="1" x="273"/>
        <item m="1" x="414"/>
        <item m="1" x="219"/>
        <item m="1" x="362"/>
        <item m="1" x="173"/>
        <item m="1" x="121"/>
        <item m="1" x="259"/>
        <item m="1" x="400"/>
        <item m="1" x="206"/>
        <item m="1" x="346"/>
        <item m="1" x="160"/>
        <item m="1" x="105"/>
        <item m="1" x="244"/>
        <item m="1" x="386"/>
        <item m="1" x="194"/>
        <item m="1" x="330"/>
        <item m="1" x="145"/>
        <item m="1" x="358"/>
        <item m="1" x="170"/>
        <item m="1" x="301"/>
        <item m="1" x="117"/>
        <item m="1" x="256"/>
        <item m="1" x="342"/>
        <item m="1" x="157"/>
        <item m="1" x="289"/>
        <item m="1" x="101"/>
        <item m="1" x="240"/>
        <item m="1" x="382"/>
        <item m="1" x="326"/>
        <item m="1" x="142"/>
        <item m="1" x="277"/>
        <item m="1" x="420"/>
        <item m="1" x="224"/>
        <item m="1" x="368"/>
        <item m="1" x="310"/>
        <item m="1" x="127"/>
        <item m="1" x="264"/>
        <item m="1" x="406"/>
        <item m="1" x="211"/>
        <item m="1" x="352"/>
        <item m="1" x="297"/>
        <item m="1" x="186"/>
        <item m="1" x="321"/>
        <item m="1" x="137"/>
        <item m="1" x="274"/>
        <item m="1" x="415"/>
        <item m="1" x="363"/>
        <item m="1" x="174"/>
        <item m="1" x="305"/>
        <item m="1" x="122"/>
        <item m="1" x="260"/>
        <item m="1" x="401"/>
        <item m="1" x="347"/>
        <item m="1" x="161"/>
        <item m="1" x="294"/>
        <item m="1" x="106"/>
        <item m="1" x="245"/>
        <item m="1" x="387"/>
        <item m="1" x="331"/>
        <item m="1" x="146"/>
        <item m="1" x="424"/>
        <item m="1" x="229"/>
        <item m="1" x="373"/>
        <item m="1" x="315"/>
        <item m="1" x="269"/>
        <item m="1" x="410"/>
        <item m="1" x="158"/>
        <item m="1" x="290"/>
        <item m="1" x="102"/>
        <item m="1" x="241"/>
        <item m="1" x="383"/>
        <item m="1" x="191"/>
        <item m="1" x="327"/>
        <item m="1" x="143"/>
        <item m="1" x="278"/>
        <item m="1" x="225"/>
        <item m="1" x="369"/>
        <item m="1" x="178"/>
        <item m="1" x="311"/>
        <item m="1" x="128"/>
        <item m="1" x="265"/>
        <item m="1" x="212"/>
        <item m="1" x="353"/>
        <item m="1" x="165"/>
        <item m="1" x="298"/>
        <item m="1" x="111"/>
        <item m="1" x="250"/>
        <item m="1" x="393"/>
        <item m="1" x="199"/>
        <item m="1" x="336"/>
        <item m="1" x="152"/>
        <item m="1" x="286"/>
        <item m="1" x="430"/>
        <item m="1" x="123"/>
        <item m="1" x="261"/>
        <item m="1" x="235"/>
        <item m="1" x="402"/>
        <item m="1" x="207"/>
        <item m="1" x="348"/>
        <item m="1" x="162"/>
        <item m="1" x="107"/>
        <item m="1" x="246"/>
        <item m="1" x="388"/>
        <item m="1" x="195"/>
        <item m="1" x="332"/>
        <item m="1" x="147"/>
        <item m="1" x="281"/>
        <item m="1" x="425"/>
        <item m="1" x="230"/>
        <item m="1" x="374"/>
        <item m="1" x="182"/>
        <item m="1" x="316"/>
        <item m="1" x="132"/>
        <item m="1" x="411"/>
        <item m="1" x="216"/>
        <item m="1" x="359"/>
        <item m="1" x="171"/>
        <item m="1" x="302"/>
        <item m="1" x="118"/>
        <item m="1" x="398"/>
        <item m="1" x="203"/>
        <item m="1" x="421"/>
        <item m="1" x="226"/>
        <item m="1" x="370"/>
        <item m="1" x="179"/>
        <item m="1" x="312"/>
        <item m="1" x="266"/>
        <item m="1" x="407"/>
        <item m="1" x="213"/>
        <item m="1" x="354"/>
        <item m="1" x="166"/>
        <item m="1" x="112"/>
        <item m="1" x="251"/>
        <item m="1" x="394"/>
        <item m="1" x="200"/>
        <item m="1" x="337"/>
        <item m="1" x="153"/>
        <item m="1" x="431"/>
        <item m="1" x="236"/>
        <item m="1" x="379"/>
        <item m="1" x="187"/>
        <item m="1" x="322"/>
        <item m="1" x="138"/>
        <item m="1" x="416"/>
        <item m="1" x="220"/>
        <item m="1" x="364"/>
        <item m="1" x="175"/>
        <item m="1" x="306"/>
        <item m="1" x="389"/>
        <item m="1" x="333"/>
        <item m="1" x="148"/>
        <item m="1" x="282"/>
        <item m="1" x="426"/>
        <item m="1" x="231"/>
        <item m="1" x="375"/>
        <item m="1" x="317"/>
        <item m="1" x="133"/>
        <item m="1" x="270"/>
        <item m="1" x="412"/>
        <item m="1" x="217"/>
        <item m="1" x="360"/>
        <item m="1" x="303"/>
        <item m="1" x="119"/>
        <item m="1" x="257"/>
        <item m="1" x="399"/>
        <item m="1" x="204"/>
        <item m="1" x="343"/>
        <item m="1" x="291"/>
        <item m="1" x="103"/>
        <item m="1" x="242"/>
        <item m="1" x="384"/>
        <item m="1" x="192"/>
        <item m="1" x="328"/>
        <item m="1" x="355"/>
        <item m="1" x="167"/>
        <item m="1" x="299"/>
        <item m="1" x="113"/>
        <item m="1" x="252"/>
        <item m="1" x="395"/>
        <item m="1" x="338"/>
        <item m="1" x="154"/>
        <item m="1" x="287"/>
        <item m="1" x="432"/>
        <item m="1" x="237"/>
        <item m="1" x="380"/>
        <item m="1" x="188"/>
        <item m="1" x="323"/>
        <item m="1" x="139"/>
        <item m="1" x="275"/>
        <item m="1" x="417"/>
        <item m="1" x="221"/>
        <item m="1" x="365"/>
        <item m="1" x="176"/>
        <item m="1" x="307"/>
        <item m="1" x="124"/>
        <item m="1" x="262"/>
        <item m="1" x="403"/>
        <item m="1" x="208"/>
        <item m="1" x="349"/>
        <item m="1" x="114"/>
        <item m="1" x="108"/>
        <item m="1" x="247"/>
        <item m="1" x="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m="1" x="339"/>
        <item x="32"/>
        <item x="33"/>
        <item x="34"/>
        <item x="35"/>
        <item x="36"/>
        <item x="37"/>
        <item x="38"/>
        <item x="39"/>
        <item x="40"/>
        <item x="41"/>
        <item x="42"/>
        <item x="43"/>
        <item x="44"/>
        <item x="45"/>
        <item x="46"/>
        <item x="47"/>
        <item x="48"/>
        <item x="49"/>
        <item x="50"/>
        <item m="1" x="344"/>
        <item x="51"/>
        <item x="52"/>
        <item x="53"/>
        <item x="54"/>
        <item x="55"/>
        <item x="56"/>
        <item x="57"/>
        <item x="58"/>
        <item x="59"/>
        <item x="60"/>
        <item x="61"/>
        <item m="1" x="292"/>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12">
        <item x="1"/>
        <item x="0"/>
        <item m="1" x="7"/>
        <item m="1" x="4"/>
        <item m="1" x="2"/>
        <item m="1" x="10"/>
        <item m="1" x="9"/>
        <item m="1" x="8"/>
        <item m="1" x="6"/>
        <item m="1" x="5"/>
        <item m="1" x="3"/>
        <item t="default"/>
      </items>
    </pivotField>
    <pivotField showAll="0"/>
    <pivotField axis="axisRow" showAll="0">
      <items count="17">
        <item m="1" x="11"/>
        <item x="3"/>
        <item x="9"/>
        <item x="6"/>
        <item x="4"/>
        <item x="5"/>
        <item x="1"/>
        <item x="8"/>
        <item x="7"/>
        <item x="2"/>
        <item m="1" x="14"/>
        <item m="1" x="13"/>
        <item m="1" x="10"/>
        <item m="1" x="12"/>
        <item m="1" x="15"/>
        <item x="0"/>
        <item t="default"/>
      </items>
    </pivotField>
    <pivotField multipleItemSelectionAllowed="1" showAll="0" defaultSubtotal="0"/>
    <pivotField axis="axisRow" showAll="0" defaultSubtotal="0">
      <items count="6">
        <item x="0"/>
        <item x="3"/>
        <item m="1" x="5"/>
        <item x="1"/>
        <item x="2"/>
        <item m="1" x="4"/>
      </items>
    </pivotField>
    <pivotField dataField="1" showAll="0"/>
    <pivotField showAll="0"/>
    <pivotField showAll="0"/>
    <pivotField showAll="0"/>
    <pivotField showAll="0"/>
    <pivotField numFmtId="20" showAll="0"/>
    <pivotField showAll="0"/>
    <pivotField showAll="0"/>
  </pivotFields>
  <rowFields count="3">
    <field x="4"/>
    <field x="8"/>
    <field x="6"/>
  </rowFields>
  <rowItems count="12">
    <i>
      <x/>
    </i>
    <i r="1">
      <x v="3"/>
    </i>
    <i r="2">
      <x v="5"/>
    </i>
    <i>
      <x v="1"/>
    </i>
    <i r="1">
      <x/>
    </i>
    <i r="2">
      <x v="9"/>
    </i>
    <i r="1">
      <x v="1"/>
    </i>
    <i r="2">
      <x v="2"/>
    </i>
    <i r="1">
      <x v="3"/>
    </i>
    <i r="2">
      <x v="5"/>
    </i>
    <i r="2">
      <x v="6"/>
    </i>
    <i t="grand">
      <x/>
    </i>
  </rowItems>
  <colFields count="1">
    <field x="3"/>
  </colFields>
  <colItems count="8">
    <i>
      <x v="426"/>
    </i>
    <i>
      <x v="427"/>
    </i>
    <i>
      <x v="428"/>
    </i>
    <i>
      <x v="429"/>
    </i>
    <i>
      <x v="430"/>
    </i>
    <i>
      <x v="431"/>
    </i>
    <i>
      <x v="432"/>
    </i>
    <i t="grand">
      <x/>
    </i>
  </colItems>
  <pageFields count="2">
    <pageField fld="2" hier="-1"/>
    <pageField fld="0" hier="-1"/>
  </pageFields>
  <dataFields count="1">
    <dataField name="NUM. VIAJES" fld="9" subtotal="count" baseField="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E04A10-5FA6-4A3D-968E-447C87C22F77}" name="TablaDinámica2" cacheId="1"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chartFormat="194">
  <location ref="K52:L84" firstHeaderRow="1" firstDataRow="1" firstDataCol="1" rowPageCount="2" colPageCount="1"/>
  <pivotFields count="5">
    <pivotField axis="axisPage" multipleItemSelectionAllowed="1" showAll="0">
      <items count="6">
        <item x="0"/>
        <item h="1" x="1"/>
        <item h="1" x="2"/>
        <item h="1" m="1" x="4"/>
        <item h="1" x="3"/>
        <item t="default"/>
      </items>
    </pivotField>
    <pivotField axis="axisPage" showAll="0">
      <items count="13">
        <item x="0"/>
        <item x="1"/>
        <item x="2"/>
        <item x="3"/>
        <item x="7"/>
        <item x="8"/>
        <item x="9"/>
        <item x="10"/>
        <item x="11"/>
        <item x="4"/>
        <item x="5"/>
        <item x="6"/>
        <item t="default"/>
      </items>
    </pivotField>
    <pivotField axis="axisRow" showAll="0" sortType="ascending">
      <items count="1031">
        <item x="0"/>
        <item x="178"/>
        <item x="31"/>
        <item x="209"/>
        <item x="238"/>
        <item x="85"/>
        <item x="269"/>
        <item x="299"/>
        <item x="117"/>
        <item x="147"/>
        <item x="1"/>
        <item x="179"/>
        <item x="32"/>
        <item x="210"/>
        <item x="239"/>
        <item x="86"/>
        <item x="270"/>
        <item x="300"/>
        <item x="118"/>
        <item x="148"/>
        <item x="2"/>
        <item x="180"/>
        <item x="33"/>
        <item x="211"/>
        <item x="240"/>
        <item x="87"/>
        <item x="271"/>
        <item x="301"/>
        <item x="119"/>
        <item x="149"/>
        <item x="3"/>
        <item x="181"/>
        <item x="34"/>
        <item x="212"/>
        <item x="241"/>
        <item x="88"/>
        <item x="272"/>
        <item x="302"/>
        <item x="120"/>
        <item x="150"/>
        <item x="4"/>
        <item x="182"/>
        <item x="35"/>
        <item x="213"/>
        <item x="242"/>
        <item x="89"/>
        <item x="273"/>
        <item x="303"/>
        <item x="121"/>
        <item x="151"/>
        <item x="5"/>
        <item x="183"/>
        <item x="36"/>
        <item x="214"/>
        <item x="59"/>
        <item x="243"/>
        <item x="90"/>
        <item x="274"/>
        <item x="305"/>
        <item x="122"/>
        <item x="152"/>
        <item x="6"/>
        <item x="184"/>
        <item x="37"/>
        <item x="215"/>
        <item x="60"/>
        <item x="244"/>
        <item x="91"/>
        <item x="275"/>
        <item x="123"/>
        <item x="153"/>
        <item x="7"/>
        <item x="185"/>
        <item x="38"/>
        <item x="216"/>
        <item x="61"/>
        <item x="245"/>
        <item x="92"/>
        <item x="276"/>
        <item x="124"/>
        <item x="154"/>
        <item x="8"/>
        <item x="186"/>
        <item x="39"/>
        <item x="217"/>
        <item x="62"/>
        <item x="246"/>
        <item x="93"/>
        <item x="277"/>
        <item x="125"/>
        <item x="155"/>
        <item x="9"/>
        <item x="187"/>
        <item x="40"/>
        <item x="218"/>
        <item x="63"/>
        <item x="247"/>
        <item x="94"/>
        <item x="278"/>
        <item x="126"/>
        <item x="156"/>
        <item x="10"/>
        <item x="188"/>
        <item x="41"/>
        <item x="219"/>
        <item x="64"/>
        <item x="248"/>
        <item x="95"/>
        <item x="279"/>
        <item x="127"/>
        <item x="157"/>
        <item x="11"/>
        <item x="189"/>
        <item x="42"/>
        <item x="220"/>
        <item x="65"/>
        <item x="249"/>
        <item x="96"/>
        <item x="280"/>
        <item x="128"/>
        <item x="158"/>
        <item x="12"/>
        <item x="190"/>
        <item x="43"/>
        <item x="221"/>
        <item x="66"/>
        <item x="250"/>
        <item x="97"/>
        <item x="281"/>
        <item x="129"/>
        <item x="159"/>
        <item x="13"/>
        <item x="191"/>
        <item x="44"/>
        <item x="222"/>
        <item x="67"/>
        <item x="251"/>
        <item x="98"/>
        <item x="282"/>
        <item x="130"/>
        <item x="160"/>
        <item x="14"/>
        <item x="192"/>
        <item x="45"/>
        <item x="223"/>
        <item x="68"/>
        <item x="252"/>
        <item x="99"/>
        <item x="283"/>
        <item x="131"/>
        <item x="161"/>
        <item x="15"/>
        <item x="193"/>
        <item x="46"/>
        <item x="224"/>
        <item x="69"/>
        <item x="253"/>
        <item x="100"/>
        <item x="284"/>
        <item x="132"/>
        <item x="162"/>
        <item x="16"/>
        <item x="194"/>
        <item x="47"/>
        <item x="225"/>
        <item x="70"/>
        <item x="254"/>
        <item x="101"/>
        <item x="285"/>
        <item x="133"/>
        <item x="163"/>
        <item x="17"/>
        <item x="195"/>
        <item x="48"/>
        <item x="226"/>
        <item x="71"/>
        <item x="255"/>
        <item x="102"/>
        <item x="286"/>
        <item x="134"/>
        <item x="164"/>
        <item x="18"/>
        <item x="196"/>
        <item x="49"/>
        <item x="227"/>
        <item x="72"/>
        <item x="256"/>
        <item x="103"/>
        <item x="287"/>
        <item x="104"/>
        <item x="135"/>
        <item x="165"/>
        <item x="19"/>
        <item x="197"/>
        <item x="50"/>
        <item x="228"/>
        <item x="73"/>
        <item x="257"/>
        <item x="288"/>
        <item x="105"/>
        <item x="136"/>
        <item x="166"/>
        <item x="20"/>
        <item x="198"/>
        <item x="51"/>
        <item x="229"/>
        <item x="74"/>
        <item x="258"/>
        <item x="289"/>
        <item x="106"/>
        <item x="137"/>
        <item x="167"/>
        <item x="21"/>
        <item x="199"/>
        <item x="52"/>
        <item x="230"/>
        <item x="75"/>
        <item x="259"/>
        <item x="290"/>
        <item x="107"/>
        <item x="138"/>
        <item x="168"/>
        <item x="22"/>
        <item x="200"/>
        <item x="53"/>
        <item x="231"/>
        <item x="76"/>
        <item x="260"/>
        <item x="291"/>
        <item x="108"/>
        <item x="139"/>
        <item x="169"/>
        <item x="23"/>
        <item x="201"/>
        <item x="54"/>
        <item x="232"/>
        <item x="77"/>
        <item x="261"/>
        <item x="292"/>
        <item x="109"/>
        <item x="140"/>
        <item x="170"/>
        <item x="24"/>
        <item x="202"/>
        <item x="55"/>
        <item x="233"/>
        <item x="78"/>
        <item x="262"/>
        <item x="293"/>
        <item x="110"/>
        <item x="141"/>
        <item x="171"/>
        <item x="25"/>
        <item x="203"/>
        <item x="56"/>
        <item x="234"/>
        <item x="79"/>
        <item x="263"/>
        <item x="294"/>
        <item x="111"/>
        <item x="142"/>
        <item x="172"/>
        <item x="26"/>
        <item x="204"/>
        <item x="57"/>
        <item x="235"/>
        <item x="80"/>
        <item x="264"/>
        <item x="295"/>
        <item x="112"/>
        <item x="143"/>
        <item x="173"/>
        <item x="27"/>
        <item x="205"/>
        <item x="58"/>
        <item x="236"/>
        <item x="81"/>
        <item x="265"/>
        <item x="296"/>
        <item x="113"/>
        <item x="144"/>
        <item x="174"/>
        <item x="28"/>
        <item x="206"/>
        <item x="237"/>
        <item x="82"/>
        <item x="266"/>
        <item x="297"/>
        <item x="114"/>
        <item x="145"/>
        <item x="175"/>
        <item x="29"/>
        <item x="207"/>
        <item x="83"/>
        <item x="267"/>
        <item x="298"/>
        <item x="115"/>
        <item x="146"/>
        <item x="176"/>
        <item x="30"/>
        <item x="208"/>
        <item x="84"/>
        <item x="268"/>
        <item x="116"/>
        <item x="177"/>
        <item x="304"/>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m="1" x="1029"/>
        <item t="default"/>
      </items>
    </pivotField>
    <pivotField showAll="0"/>
    <pivotField dataField="1" numFmtId="168" showAll="0"/>
  </pivotFields>
  <rowFields count="1">
    <field x="2"/>
  </rowFields>
  <rowItems count="32">
    <i>
      <x/>
    </i>
    <i>
      <x v="10"/>
    </i>
    <i>
      <x v="20"/>
    </i>
    <i>
      <x v="30"/>
    </i>
    <i>
      <x v="40"/>
    </i>
    <i>
      <x v="50"/>
    </i>
    <i>
      <x v="61"/>
    </i>
    <i>
      <x v="71"/>
    </i>
    <i>
      <x v="81"/>
    </i>
    <i>
      <x v="91"/>
    </i>
    <i>
      <x v="101"/>
    </i>
    <i>
      <x v="111"/>
    </i>
    <i>
      <x v="121"/>
    </i>
    <i>
      <x v="131"/>
    </i>
    <i>
      <x v="141"/>
    </i>
    <i>
      <x v="151"/>
    </i>
    <i>
      <x v="161"/>
    </i>
    <i>
      <x v="171"/>
    </i>
    <i>
      <x v="181"/>
    </i>
    <i>
      <x v="192"/>
    </i>
    <i>
      <x v="202"/>
    </i>
    <i>
      <x v="212"/>
    </i>
    <i>
      <x v="222"/>
    </i>
    <i>
      <x v="232"/>
    </i>
    <i>
      <x v="242"/>
    </i>
    <i>
      <x v="252"/>
    </i>
    <i>
      <x v="262"/>
    </i>
    <i>
      <x v="272"/>
    </i>
    <i>
      <x v="282"/>
    </i>
    <i>
      <x v="291"/>
    </i>
    <i>
      <x v="299"/>
    </i>
    <i t="grand">
      <x/>
    </i>
  </rowItems>
  <colItems count="1">
    <i/>
  </colItems>
  <pageFields count="2">
    <pageField fld="0" hier="-1"/>
    <pageField fld="1" item="0" hier="-1"/>
  </pageFields>
  <dataFields count="1">
    <dataField name="Máx. de Caudal (m³/s)" fld="4" subtotal="max" baseField="2" baseItem="547" numFmtId="171"/>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3B39AD-FC39-40B6-BDE2-357B09F90A0D}" name="TablaDinámica1" cacheId="1" applyNumberFormats="0" applyBorderFormats="0" applyFontFormats="0" applyPatternFormats="0" applyAlignmentFormats="0" applyWidthHeightFormats="1" dataCaption="Valores" updatedVersion="7" minRefreshableVersion="3" showDrill="0" useAutoFormatting="1" itemPrintTitles="1" createdVersion="8" indent="0" outline="1" outlineData="1" multipleFieldFilters="0" chartFormat="3144">
  <location ref="K14:L45" firstHeaderRow="1" firstDataRow="1" firstDataCol="1" rowPageCount="2" colPageCount="1"/>
  <pivotFields count="5">
    <pivotField axis="axisPage" multipleItemSelectionAllowed="1" showAll="0">
      <items count="6">
        <item h="1" x="0"/>
        <item h="1" x="1"/>
        <item h="1" x="2"/>
        <item h="1" m="1" x="4"/>
        <item x="3"/>
        <item t="default"/>
      </items>
    </pivotField>
    <pivotField name=" " axis="axisPage" multipleItemSelectionAllowed="1" showAll="0">
      <items count="13">
        <item h="1" x="0"/>
        <item h="1" x="1"/>
        <item h="1" x="2"/>
        <item x="3"/>
        <item h="1" x="7"/>
        <item h="1" x="8"/>
        <item h="1" x="9"/>
        <item h="1" x="10"/>
        <item h="1" x="11"/>
        <item h="1" x="4"/>
        <item h="1" x="5"/>
        <item h="1" x="6"/>
        <item t="default"/>
      </items>
    </pivotField>
    <pivotField axis="axisRow" showAll="0" sortType="ascending">
      <items count="1031">
        <item x="0"/>
        <item x="178"/>
        <item x="31"/>
        <item x="209"/>
        <item x="238"/>
        <item x="85"/>
        <item x="269"/>
        <item x="299"/>
        <item x="117"/>
        <item x="147"/>
        <item x="1"/>
        <item x="179"/>
        <item x="32"/>
        <item x="210"/>
        <item x="239"/>
        <item x="86"/>
        <item x="270"/>
        <item x="300"/>
        <item x="118"/>
        <item x="148"/>
        <item x="2"/>
        <item x="180"/>
        <item x="33"/>
        <item x="211"/>
        <item x="240"/>
        <item x="87"/>
        <item x="271"/>
        <item x="301"/>
        <item x="119"/>
        <item x="149"/>
        <item x="3"/>
        <item x="181"/>
        <item x="34"/>
        <item x="212"/>
        <item x="241"/>
        <item x="88"/>
        <item x="272"/>
        <item x="302"/>
        <item x="120"/>
        <item x="150"/>
        <item x="4"/>
        <item x="182"/>
        <item x="35"/>
        <item x="213"/>
        <item x="242"/>
        <item x="89"/>
        <item x="273"/>
        <item x="303"/>
        <item x="121"/>
        <item x="151"/>
        <item x="5"/>
        <item x="183"/>
        <item x="36"/>
        <item x="214"/>
        <item x="59"/>
        <item x="243"/>
        <item x="90"/>
        <item x="274"/>
        <item x="305"/>
        <item x="122"/>
        <item x="152"/>
        <item x="6"/>
        <item x="184"/>
        <item x="37"/>
        <item x="215"/>
        <item x="60"/>
        <item x="244"/>
        <item x="91"/>
        <item x="275"/>
        <item x="123"/>
        <item x="153"/>
        <item x="7"/>
        <item x="185"/>
        <item x="38"/>
        <item x="216"/>
        <item x="61"/>
        <item x="245"/>
        <item x="92"/>
        <item x="276"/>
        <item x="124"/>
        <item x="154"/>
        <item x="8"/>
        <item x="186"/>
        <item x="39"/>
        <item x="217"/>
        <item x="62"/>
        <item x="246"/>
        <item x="93"/>
        <item x="277"/>
        <item x="125"/>
        <item x="155"/>
        <item x="9"/>
        <item x="187"/>
        <item x="40"/>
        <item x="218"/>
        <item x="63"/>
        <item x="247"/>
        <item x="94"/>
        <item x="278"/>
        <item x="126"/>
        <item x="156"/>
        <item x="10"/>
        <item x="188"/>
        <item x="41"/>
        <item x="219"/>
        <item x="64"/>
        <item x="248"/>
        <item x="95"/>
        <item x="279"/>
        <item x="127"/>
        <item x="157"/>
        <item x="11"/>
        <item x="189"/>
        <item x="42"/>
        <item x="220"/>
        <item x="65"/>
        <item x="249"/>
        <item x="96"/>
        <item x="280"/>
        <item x="128"/>
        <item x="158"/>
        <item x="12"/>
        <item x="190"/>
        <item x="43"/>
        <item x="221"/>
        <item x="66"/>
        <item x="250"/>
        <item x="97"/>
        <item x="281"/>
        <item x="129"/>
        <item x="159"/>
        <item x="13"/>
        <item x="191"/>
        <item x="44"/>
        <item x="222"/>
        <item x="67"/>
        <item x="251"/>
        <item x="98"/>
        <item x="282"/>
        <item x="130"/>
        <item x="160"/>
        <item x="14"/>
        <item x="192"/>
        <item x="45"/>
        <item x="223"/>
        <item x="68"/>
        <item x="252"/>
        <item x="99"/>
        <item x="283"/>
        <item x="131"/>
        <item x="161"/>
        <item x="15"/>
        <item x="193"/>
        <item x="46"/>
        <item x="224"/>
        <item x="69"/>
        <item x="253"/>
        <item x="100"/>
        <item x="284"/>
        <item x="132"/>
        <item x="162"/>
        <item x="16"/>
        <item x="194"/>
        <item x="47"/>
        <item x="225"/>
        <item x="70"/>
        <item x="254"/>
        <item x="101"/>
        <item x="285"/>
        <item x="133"/>
        <item x="163"/>
        <item x="17"/>
        <item x="195"/>
        <item x="48"/>
        <item x="226"/>
        <item x="71"/>
        <item x="255"/>
        <item x="102"/>
        <item x="286"/>
        <item x="134"/>
        <item x="164"/>
        <item x="18"/>
        <item x="196"/>
        <item x="49"/>
        <item x="227"/>
        <item x="72"/>
        <item x="256"/>
        <item x="103"/>
        <item x="287"/>
        <item x="104"/>
        <item x="135"/>
        <item x="165"/>
        <item x="19"/>
        <item x="197"/>
        <item x="50"/>
        <item x="228"/>
        <item x="73"/>
        <item x="257"/>
        <item x="288"/>
        <item x="105"/>
        <item x="136"/>
        <item x="166"/>
        <item x="20"/>
        <item x="198"/>
        <item x="51"/>
        <item x="229"/>
        <item x="74"/>
        <item x="258"/>
        <item x="289"/>
        <item x="106"/>
        <item x="137"/>
        <item x="167"/>
        <item x="21"/>
        <item x="199"/>
        <item x="52"/>
        <item x="230"/>
        <item x="75"/>
        <item x="259"/>
        <item x="290"/>
        <item x="107"/>
        <item x="138"/>
        <item x="168"/>
        <item x="22"/>
        <item x="200"/>
        <item x="53"/>
        <item x="231"/>
        <item x="76"/>
        <item x="260"/>
        <item x="291"/>
        <item x="108"/>
        <item x="139"/>
        <item x="169"/>
        <item x="23"/>
        <item x="201"/>
        <item x="54"/>
        <item x="232"/>
        <item x="77"/>
        <item x="261"/>
        <item x="292"/>
        <item x="109"/>
        <item x="140"/>
        <item x="170"/>
        <item x="24"/>
        <item x="202"/>
        <item x="55"/>
        <item x="233"/>
        <item x="78"/>
        <item x="262"/>
        <item x="293"/>
        <item x="110"/>
        <item x="141"/>
        <item x="171"/>
        <item x="25"/>
        <item x="203"/>
        <item x="56"/>
        <item x="234"/>
        <item x="79"/>
        <item x="263"/>
        <item x="294"/>
        <item x="111"/>
        <item x="142"/>
        <item x="172"/>
        <item x="26"/>
        <item x="204"/>
        <item x="57"/>
        <item x="235"/>
        <item x="80"/>
        <item x="264"/>
        <item x="295"/>
        <item x="112"/>
        <item x="143"/>
        <item x="173"/>
        <item x="27"/>
        <item x="205"/>
        <item x="58"/>
        <item x="236"/>
        <item x="81"/>
        <item x="265"/>
        <item x="296"/>
        <item x="113"/>
        <item x="144"/>
        <item x="174"/>
        <item x="28"/>
        <item x="206"/>
        <item x="237"/>
        <item x="82"/>
        <item x="266"/>
        <item x="297"/>
        <item x="114"/>
        <item x="145"/>
        <item x="175"/>
        <item x="29"/>
        <item x="207"/>
        <item x="83"/>
        <item x="267"/>
        <item x="298"/>
        <item x="115"/>
        <item x="146"/>
        <item x="176"/>
        <item x="30"/>
        <item x="208"/>
        <item x="84"/>
        <item x="268"/>
        <item x="116"/>
        <item x="177"/>
        <item x="304"/>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m="1" x="1029"/>
        <item t="default"/>
      </items>
    </pivotField>
    <pivotField showAll="0"/>
    <pivotField dataField="1" numFmtId="168" showAll="0"/>
  </pivotFields>
  <rowFields count="1">
    <field x="2"/>
  </rowFields>
  <rowItems count="31">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t="grand">
      <x/>
    </i>
  </rowItems>
  <colItems count="1">
    <i/>
  </colItems>
  <pageFields count="2">
    <pageField fld="0" hier="-1"/>
    <pageField fld="1" hier="-1"/>
  </pageFields>
  <dataFields count="1">
    <dataField name="Máx. de Caudal (m³/s)" fld="4" subtotal="max" baseField="2" baseItem="547" numFmtId="171"/>
  </dataFields>
  <chartFormats count="8">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157" format="1" series="1">
      <pivotArea type="data" outline="0" fieldPosition="0">
        <references count="1">
          <reference field="4294967294" count="1" selected="0">
            <x v="0"/>
          </reference>
        </references>
      </pivotArea>
    </chartFormat>
    <chartFormat chart="158" format="2" series="1">
      <pivotArea type="data" outline="0" fieldPosition="0">
        <references count="1">
          <reference field="4294967294" count="1" selected="0">
            <x v="0"/>
          </reference>
        </references>
      </pivotArea>
    </chartFormat>
    <chartFormat chart="256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E6435D2-7D51-44BE-8117-08CCE585FA87}" name="BDFUENTES" displayName="BDFUENTES" ref="B4:BO370" totalsRowCount="1" headerRowDxfId="210" dataDxfId="209">
  <autoFilter ref="B4:BO369" xr:uid="{5E6435D2-7D51-44BE-8117-08CCE585FA87}"/>
  <tableColumns count="66">
    <tableColumn id="1" xr3:uid="{C8447467-6362-4B72-99A8-105260B8FAA3}" name="Dia" totalsRowLabel="Total" dataDxfId="208" totalsRowDxfId="207"/>
    <tableColumn id="2" xr3:uid="{2A153FA3-58D1-4E46-90F8-883EB06E2E48}" name="PZ10_Caudal" dataDxfId="206" totalsRowDxfId="205"/>
    <tableColumn id="3" xr3:uid="{ED29B45A-D244-4174-AC42-253F2EF1B2A4}" name="PZ10_Horas Activo" totalsRowFunction="sum" dataDxfId="204" totalsRowDxfId="203">
      <calculatedColumnFormula>IFERROR(+G5/(C5*3.6)," ")</calculatedColumnFormula>
    </tableColumn>
    <tableColumn id="4" xr3:uid="{78D1B2ED-EDF5-4C1B-87CD-05965B6DF879}" name="PZ10 Inicio" dataDxfId="202" totalsRowDxfId="201">
      <calculatedColumnFormula>IF(F5&gt;0,F4," ")</calculatedColumnFormula>
    </tableColumn>
    <tableColumn id="5" xr3:uid="{59FB5CA3-FF36-4846-82A6-077E59BE9317}" name="PZ10 Final" dataDxfId="200" totalsRowDxfId="199"/>
    <tableColumn id="6" xr3:uid="{B2BAAA5F-47E4-462D-BF1B-28C95E52F21A}" name="PZ10 m3/día" dataDxfId="198" totalsRowDxfId="197">
      <calculatedColumnFormula>IFERROR((F5-E5)," ")</calculatedColumnFormula>
    </tableColumn>
    <tableColumn id="7" xr3:uid="{4C46D301-7AE9-4EC4-BEAF-D543DE8D9CD3}" name="PZ11 Caudal PROM" dataDxfId="196" totalsRowDxfId="195"/>
    <tableColumn id="8" xr3:uid="{C1F06619-824C-483D-A41F-C69BA6904238}" name="PZ 11 Horas Activo" totalsRowFunction="sum" dataDxfId="194" totalsRowDxfId="193">
      <calculatedColumnFormula>IFERROR(+L5/(H5*3.6)," ")</calculatedColumnFormula>
    </tableColumn>
    <tableColumn id="9" xr3:uid="{2D8E9E35-1ED5-4464-9724-D62DB57CC01F}" name="PZ 11 Inicio" dataDxfId="192" totalsRowDxfId="191">
      <calculatedColumnFormula>IF(K5&gt;0,K4," ")</calculatedColumnFormula>
    </tableColumn>
    <tableColumn id="10" xr3:uid="{4D599C4F-3448-4C47-A488-9724406F2EE9}" name="PZ 11 Final" dataDxfId="190" totalsRowDxfId="189"/>
    <tableColumn id="11" xr3:uid="{7068C355-A916-4B76-8289-AF07BA33F204}" name="PZ 11  m3/día" dataDxfId="188" totalsRowDxfId="187">
      <calculatedColumnFormula>IFERROR((K5-J5)," ")</calculatedColumnFormula>
    </tableColumn>
    <tableColumn id="12" xr3:uid="{2CB86985-2C28-4B90-900A-8B12B2A6B1D0}" name="PZ 13 Caudal PROM" dataDxfId="186" totalsRowDxfId="185"/>
    <tableColumn id="13" xr3:uid="{6677C83E-7E99-4967-AF2D-EB1645D5997B}" name="PZ 13 Horas Activo" totalsRowFunction="sum" dataDxfId="184" totalsRowDxfId="183">
      <calculatedColumnFormula>IFERROR(+Q5/(M5*3.6)," ")</calculatedColumnFormula>
    </tableColumn>
    <tableColumn id="14" xr3:uid="{DE585A66-DEE8-4680-A2E7-368459C3D19F}" name="PZ 13 Inicio" dataDxfId="182" totalsRowDxfId="181">
      <calculatedColumnFormula>IF(P5&gt;0,P4," ")</calculatedColumnFormula>
    </tableColumn>
    <tableColumn id="15" xr3:uid="{8E129835-6DB6-4A91-9B95-07851CC4DEB9}" name="PZ 13 Final" dataDxfId="180" totalsRowDxfId="179"/>
    <tableColumn id="16" xr3:uid="{D89C6B16-D2AB-4C67-B954-7A9CD5107718}" name="PZ 13 m3/día" dataDxfId="178" totalsRowDxfId="177">
      <calculatedColumnFormula>IFERROR((P5-O5)," ")</calculatedColumnFormula>
    </tableColumn>
    <tableColumn id="17" xr3:uid="{F15F25F9-7322-43A9-88CF-F6AEACC06A43}" name="PZ MED Caudal PROM" dataDxfId="176" totalsRowDxfId="175"/>
    <tableColumn id="18" xr3:uid="{11FF72BC-570C-4343-9BC7-D251232C9553}" name="PZ MED Horas Activo" totalsRowFunction="sum" dataDxfId="174" totalsRowDxfId="173">
      <calculatedColumnFormula>IFERROR(+V5/(R5*3.6)," ")</calculatedColumnFormula>
    </tableColumn>
    <tableColumn id="19" xr3:uid="{3394A4C5-9EDB-4710-8EEF-B6E5A4B3FD3E}" name="PZ MED  Inicio" dataDxfId="172" totalsRowDxfId="171">
      <calculatedColumnFormula>IF(U5&gt;0,U4," ")</calculatedColumnFormula>
    </tableColumn>
    <tableColumn id="20" xr3:uid="{393865EA-F979-41D2-A6D0-C4E2B0A09851}" name="PZ MED Final" dataDxfId="170" totalsRowDxfId="169"/>
    <tableColumn id="21" xr3:uid="{251CDF2A-8D6B-410C-8AEF-ECFB4CE57EA7}" name="PZ MED m3/día" dataDxfId="168" totalsRowDxfId="167">
      <calculatedColumnFormula>IFERROR((U5-T5)," ")</calculatedColumnFormula>
    </tableColumn>
    <tableColumn id="22" xr3:uid="{000453D2-096A-4B76-9CB3-59DF92AFC14B}" name="GF MIN Caudal PROM" dataDxfId="166" totalsRowDxfId="165">
      <calculatedColumnFormula>IFERROR((AA5/X5)/3.6," ")</calculatedColumnFormula>
    </tableColumn>
    <tableColumn id="23" xr3:uid="{47DB4AF5-0D5E-42ED-8EE3-845E7DE8DFD1}" name="GF MIN Horas Activo" totalsRowFunction="sum" dataDxfId="164" totalsRowDxfId="163"/>
    <tableColumn id="24" xr3:uid="{D7ED524D-A9A2-433D-B2D1-7CF492BF30DF}" name="GF MIN Inicio" dataDxfId="162" totalsRowDxfId="161">
      <calculatedColumnFormula>IF(Z5&gt;0,Z4," ")</calculatedColumnFormula>
    </tableColumn>
    <tableColumn id="25" xr3:uid="{CB6F618B-611F-4722-A97D-40BF2D7838D5}" name="GF MIN Final" dataDxfId="160" totalsRowDxfId="159"/>
    <tableColumn id="26" xr3:uid="{25A708FD-2F0E-4701-975A-5035372D4F2B}" name="GF MIN m3/día" dataDxfId="158" totalsRowDxfId="157">
      <calculatedColumnFormula>IFERROR(-(Z5-Y5)," ")</calculatedColumnFormula>
    </tableColumn>
    <tableColumn id="27" xr3:uid="{D7BFD751-C867-401B-83C4-B9A5805AE200}" name="PTAP1 Caudal PROM" dataDxfId="156" totalsRowDxfId="155">
      <calculatedColumnFormula>IFERROR(ROUNDDOWN(+AF5/(AC5*3.6),0)," ")</calculatedColumnFormula>
    </tableColumn>
    <tableColumn id="28" xr3:uid="{4A098871-B2CB-474E-9ED6-77BF8C805D28}" name="PTAP1 Horas Activo" totalsRowFunction="sum" dataDxfId="154" totalsRowDxfId="153"/>
    <tableColumn id="29" xr3:uid="{AB2C2C9F-8F35-4CF9-A720-69F94CE2187E}" name="PTAP1 Inicio" dataDxfId="152" totalsRowDxfId="151">
      <calculatedColumnFormula>IF(AE5&gt;0,AE4," ")</calculatedColumnFormula>
    </tableColumn>
    <tableColumn id="30" xr3:uid="{079EAF26-1AD1-4432-B845-765FDFF1FF76}" name="PTAP1 Final" dataDxfId="150" totalsRowDxfId="149"/>
    <tableColumn id="31" xr3:uid="{3708AD98-D252-4F64-93B7-39B3E06A0918}" name="PTAP1 m3/día" dataDxfId="148" totalsRowDxfId="147">
      <calculatedColumnFormula>IFERROR((AE5-AD5)," ")</calculatedColumnFormula>
    </tableColumn>
    <tableColumn id="32" xr3:uid="{F2F0E691-CA56-47E7-AA3B-256F761ABB4C}" name="GF NAR Caudal PROM" dataDxfId="146" totalsRowDxfId="145"/>
    <tableColumn id="33" xr3:uid="{AB53D042-2238-447C-862F-CB577FD97483}" name="GF NAR Horas Activo" totalsRowFunction="sum" dataDxfId="144" totalsRowDxfId="143"/>
    <tableColumn id="34" xr3:uid="{BB67C394-56B2-4075-9134-329D9B555C1F}" name="GF NAR Inicio" dataDxfId="142" totalsRowDxfId="141"/>
    <tableColumn id="35" xr3:uid="{BD43B2E0-D7D3-4CE2-8713-1F3982DB3170}" name="GF NAR Final" dataDxfId="140" totalsRowDxfId="139"/>
    <tableColumn id="36" xr3:uid="{264F2AA1-EA1C-4E9E-837E-DDB838E36156}" name="GF NAR m3/día" dataDxfId="138" totalsRowDxfId="137">
      <calculatedColumnFormula>IF(OR(AH5="",AG5=""),"",AH5*AG5*3.6)</calculatedColumnFormula>
    </tableColumn>
    <tableColumn id="37" xr3:uid="{2A491D1A-C399-48B8-AD11-29C4F5E49F95}" name="PZ CHB Caudal PROM" dataDxfId="136" totalsRowDxfId="135"/>
    <tableColumn id="38" xr3:uid="{78CC8CB1-F985-452E-9162-91D619372BC1}" name="PZ CHB Horas Activo" totalsRowFunction="custom" dataDxfId="134" totalsRowDxfId="133">
      <calculatedColumnFormula>IFERROR(+AP5/(AL5*3.6)," ")</calculatedColumnFormula>
      <totalsRowFormula>SUM(BDFUENTES[PZ CHB Horas Activo])</totalsRowFormula>
    </tableColumn>
    <tableColumn id="39" xr3:uid="{4A1B2191-2BC8-49EF-B834-23D36AFA3961}" name="PZ CHB Inicio" dataDxfId="132" totalsRowDxfId="131">
      <calculatedColumnFormula>IF(AO5&gt;0,AO4," ")</calculatedColumnFormula>
    </tableColumn>
    <tableColumn id="40" xr3:uid="{3E94497C-2437-46D5-8AC4-AAED1F363148}" name="PZ CHB Final" dataDxfId="130" totalsRowDxfId="129"/>
    <tableColumn id="41" xr3:uid="{5F99F133-900D-4035-8C82-AA29103ECEF7}" name="PZ CHB m3/día" dataDxfId="128" totalsRowDxfId="127">
      <calculatedColumnFormula>IFERROR((AO5-AN5)," ")</calculatedColumnFormula>
    </tableColumn>
    <tableColumn id="42" xr3:uid="{031AA916-04F4-415C-8E7E-0DC5D1E79620}" name="PZ CM Caudal PROM" dataDxfId="126" totalsRowDxfId="125"/>
    <tableColumn id="43" xr3:uid="{E0BB052B-063A-45EB-A4D7-89D051FCB7A3}" name="PZ CM Horas Activo" dataDxfId="124" totalsRowDxfId="123">
      <calculatedColumnFormula>IFERROR(+AU5/(AQ5*3.6)," ")</calculatedColumnFormula>
    </tableColumn>
    <tableColumn id="44" xr3:uid="{F054BA50-53E8-4399-99C9-E59E2DD9D2DB}" name="PZ CM Inicio" dataDxfId="122" totalsRowDxfId="121">
      <calculatedColumnFormula>IF(AT5&gt;0,AT4," ")</calculatedColumnFormula>
    </tableColumn>
    <tableColumn id="45" xr3:uid="{2CD47552-5B94-47BE-9007-9DCCA9126040}" name="PZ CM Final" dataDxfId="120" totalsRowDxfId="119"/>
    <tableColumn id="46" xr3:uid="{307F0E82-4AA6-49A2-9DCB-1469C8DE3F35}" name="PZ CM m3/día" dataDxfId="118" totalsRowDxfId="117">
      <calculatedColumnFormula>IFERROR((AT5-AS5)," ")</calculatedColumnFormula>
    </tableColumn>
    <tableColumn id="47" xr3:uid="{35B1C3D1-FC65-4BB1-BEFF-32C0C94C489B}" name="PZ TM Caudal PROM" dataDxfId="116" totalsRowDxfId="115"/>
    <tableColumn id="48" xr3:uid="{75D3ABE6-4695-4EEE-A1F5-D189A307BC2B}" name="PZ TM Horas Activo" totalsRowFunction="sum" dataDxfId="114" totalsRowDxfId="113"/>
    <tableColumn id="49" xr3:uid="{D5D47BD6-48F6-4775-8A4E-17109C994EF2}" name="PZ TM Inicio" dataDxfId="112" totalsRowDxfId="111">
      <calculatedColumnFormula>IF(AY5&gt;0,AY4," ")</calculatedColumnFormula>
    </tableColumn>
    <tableColumn id="50" xr3:uid="{B883D9B9-1CB9-4376-AA7A-148AD236F2B2}" name="PZ TM Final" dataDxfId="110" totalsRowDxfId="109"/>
    <tableColumn id="51" xr3:uid="{B161B4DB-2AC9-4063-B55C-C6607CCBDCC0}" name="PZ TM m3/día" dataDxfId="108" totalsRowDxfId="107">
      <calculatedColumnFormula>IFERROR((AY5-AX5)," ")</calculatedColumnFormula>
    </tableColumn>
    <tableColumn id="52" xr3:uid="{EBAE95CE-EA91-4389-9702-19B99956AF55}" name="EBAP HIJA Caudal PROM" dataDxfId="106" totalsRowDxfId="105"/>
    <tableColumn id="53" xr3:uid="{EE7BAB60-3C38-4FF6-B205-BA744CA39F7E}" name="EBAP HIJA Horas Activo" totalsRowFunction="sum" dataDxfId="104" totalsRowDxfId="103"/>
    <tableColumn id="54" xr3:uid="{C11A01E6-6AAC-417B-81F3-BC315F05CBD0}" name="EBAP HIJA Inicio" dataDxfId="102" totalsRowDxfId="101">
      <calculatedColumnFormula>IF(BD5&gt;0,BD4," ")</calculatedColumnFormula>
    </tableColumn>
    <tableColumn id="55" xr3:uid="{5850ACC9-D202-41E6-A6EC-C0470D7159B1}" name="EBAP HIJA Final" dataDxfId="100" totalsRowDxfId="99"/>
    <tableColumn id="56" xr3:uid="{E73198B7-F289-462C-9873-6F8E5F369968}" name="EBAP HIJA m3/día" dataDxfId="98" totalsRowDxfId="97">
      <calculatedColumnFormula>IFERROR((BD5-BC5)," ")</calculatedColumnFormula>
    </tableColumn>
    <tableColumn id="57" xr3:uid="{5CB4F410-7861-49F0-B063-242007E7C2AC}" name="EBAP ALAR Caudal PROM" dataDxfId="96" totalsRowDxfId="95"/>
    <tableColumn id="58" xr3:uid="{6F93767D-036F-4639-8918-791C4FF63E4E}" name="EBAP ALAR Horas Activo" totalsRowFunction="sum" dataDxfId="94" totalsRowDxfId="93"/>
    <tableColumn id="59" xr3:uid="{57A0C31A-865E-4A32-AE4B-0463EE759A1D}" name="EBAP ALAR Inicio" dataDxfId="92" totalsRowDxfId="91">
      <calculatedColumnFormula>IF(BI5&gt;0,BI4," ")</calculatedColumnFormula>
    </tableColumn>
    <tableColumn id="60" xr3:uid="{7A575D96-3614-4C86-AEED-DB9CCDDBA05E}" name="EBAP ALAR Final" dataDxfId="90" totalsRowDxfId="89"/>
    <tableColumn id="61" xr3:uid="{F96BE7D8-8C29-4480-948F-64D1B02501E6}" name="EBAP ALAR m3/día" dataDxfId="88" totalsRowDxfId="87">
      <calculatedColumnFormula>IFERROR((BI5-BH5)," ")</calculatedColumnFormula>
    </tableColumn>
    <tableColumn id="62" xr3:uid="{025C49FF-0C1F-4139-8CC2-049708A80F0D}" name="EBAP PNUE Caudal PROM57" dataDxfId="86" totalsRowDxfId="85"/>
    <tableColumn id="63" xr3:uid="{66646109-BC6B-407E-80C3-0B675AC7C5B2}" name="EBAP PNUE Horas Activo" totalsRowFunction="sum" dataDxfId="84" totalsRowDxfId="83">
      <calculatedColumnFormula>IFERROR(+BO5/(BK5*3.6)," ")</calculatedColumnFormula>
    </tableColumn>
    <tableColumn id="64" xr3:uid="{0195C069-B29A-42A5-893A-50A5D7E83A40}" name="EBAP PNUE Inicio" dataDxfId="82" totalsRowDxfId="81">
      <calculatedColumnFormula>IF(BN5&gt;0,BN4," ")</calculatedColumnFormula>
    </tableColumn>
    <tableColumn id="65" xr3:uid="{2DD0A264-91D1-4DB3-AFC6-0D9A234D68D0}" name="EBAP PNUE  Final" dataDxfId="80" totalsRowDxfId="79"/>
    <tableColumn id="66" xr3:uid="{5E44E5B3-AD73-4DE4-846C-37686F3330F1}" name="EBAP PNUE m3/día" totalsRowFunction="count" dataDxfId="78" totalsRowDxfId="77">
      <calculatedColumnFormula>IFERROR((BN5-BM5)," ")</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43CC0D-0482-415B-BC8C-23B5D5876894}" name="Tabla3" displayName="Tabla3" ref="T4:Y17" totalsRowShown="0" headerRowDxfId="62" headerRowBorderDxfId="61">
  <autoFilter ref="T4:Y17" xr:uid="{B643CC0D-0482-415B-BC8C-23B5D5876894}"/>
  <sortState xmlns:xlrd2="http://schemas.microsoft.com/office/spreadsheetml/2017/richdata2" ref="T5:W16">
    <sortCondition descending="1" ref="V4:V16"/>
  </sortState>
  <tableColumns count="6">
    <tableColumn id="1" xr3:uid="{79D34A42-B5AB-4E7D-9780-F68307CF3FE7}" name="PLACA"/>
    <tableColumn id="2" xr3:uid="{D3C2F956-2ECD-49B2-AAEB-B9E619D6CFE0}" name="TVEHICULO"/>
    <tableColumn id="3" xr3:uid="{113E22C9-B994-4137-895C-E266F34E3064}" name="GLN"/>
    <tableColumn id="4" xr3:uid="{9DBC3F3D-CB90-47AE-91BD-A2A67F091A19}" name="M3">
      <calculatedColumnFormula>ROUNDDOWN(V5*0.00378541,0)</calculatedColumnFormula>
    </tableColumn>
    <tableColumn id="5" xr3:uid="{3E55F898-D687-46E5-8B29-0E9DBA145F3A}" name="Consumo Ca(ClO)2" dataCellStyle="Millares"/>
    <tableColumn id="7" xr3:uid="{BFCF8440-1A38-430F-A7B8-2FB3623113AD}" name="PROGRAMA" dataDxfId="60" data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15F02-DEB5-4D9C-B437-83FA49511503}" name="BSURTIDOR" displayName="BSURTIDOR" ref="B2:R765" totalsRowShown="0" headerRowDxfId="59" dataDxfId="58" tableBorderDxfId="57">
  <autoFilter ref="B2:R765" xr:uid="{84815F02-DEB5-4D9C-B437-83FA49511503}"/>
  <sortState xmlns:xlrd2="http://schemas.microsoft.com/office/spreadsheetml/2017/richdata2" ref="B3:Q38">
    <sortCondition ref="B2:B38"/>
  </sortState>
  <tableColumns count="17">
    <tableColumn id="1" xr3:uid="{F370B807-AE14-4868-B4CB-6D34BC7BC036}" name="NUM SEM" dataDxfId="56">
      <calculatedColumnFormula>WEEKNUM(BSURTIDOR[[#This Row],[FECHA]])</calculatedColumnFormula>
    </tableColumn>
    <tableColumn id="13" xr3:uid="{8F836359-209A-4720-8798-771A68585854}" name="MES" dataDxfId="55">
      <calculatedColumnFormula>MONTH(BSURTIDOR[[#This Row],[FECHA]])</calculatedColumnFormula>
    </tableColumn>
    <tableColumn id="14" xr3:uid="{B83F61E1-348F-414D-9F85-DBDA81DBDF11}" name="AÑO" dataDxfId="54">
      <calculatedColumnFormula>YEAR(BSURTIDOR[[#This Row],[FECHA]])</calculatedColumnFormula>
    </tableColumn>
    <tableColumn id="2" xr3:uid="{2B385449-78D4-403B-AC83-BB9C9373AA49}" name="FECHA" dataDxfId="53" totalsRowDxfId="52"/>
    <tableColumn id="3" xr3:uid="{DE9117BE-41B5-4424-AC4E-9E0F0A55B2AA}" name="SURTIDOR" dataDxfId="51" totalsRowDxfId="50"/>
    <tableColumn id="4" xr3:uid="{FB19FC30-86DF-4BFE-B1EC-319007B9627D}" name="ITM" dataDxfId="49" totalsRowDxfId="48"/>
    <tableColumn id="5" xr3:uid="{E533F018-8176-4058-9E52-AE8F710FE930}" name="PLACA" dataDxfId="47" totalsRowDxfId="46"/>
    <tableColumn id="6" xr3:uid="{6FDD4861-084F-47AF-B90F-BCF52081F9F6}" name="TVEHICULO" dataDxfId="45" totalsRowDxfId="44">
      <calculatedColumnFormula>VLOOKUP(BDsurtidor!$H3,$T$4:$W$18,2,FALSE)</calculatedColumnFormula>
    </tableColumn>
    <tableColumn id="7" xr3:uid="{7A65F597-6B94-4C5F-B216-70E5CE102501}" name="VOLUMEN-gln" dataDxfId="43" totalsRowDxfId="42">
      <calculatedColumnFormula>VLOOKUP(BDsurtidor!$H3,$T$4:$W$25,3,FALSE)</calculatedColumnFormula>
    </tableColumn>
    <tableColumn id="8" xr3:uid="{166F9C13-8208-4D53-8FA0-4F9C9E7FEA4D}" name="VOLUMEN-m32" dataDxfId="41" totalsRowDxfId="40">
      <calculatedColumnFormula>VLOOKUP(BDsurtidor!$H3,$T$4:$W$25,4,FALSE)</calculatedColumnFormula>
    </tableColumn>
    <tableColumn id="9" xr3:uid="{B2385391-07C4-421B-9A09-7E12E7FD63CE}" name="CONSUMO CA(CLO2)" dataDxfId="39" totalsRowDxfId="38">
      <calculatedColumnFormula>VLOOKUP(BDsurtidor!$H3,$T$4:$X$25,5,FALSE)</calculatedColumnFormula>
    </tableColumn>
    <tableColumn id="15" xr3:uid="{61C5AAF0-F878-42E6-BE2B-606BAE7876BA}" name="PROGRAMA" dataDxfId="37" totalsRowDxfId="36">
      <calculatedColumnFormula>VLOOKUP(BDsurtidor!$H3,$T$4:$Y$25,6,FALSE)</calculatedColumnFormula>
    </tableColumn>
    <tableColumn id="16" xr3:uid="{4C171C88-C287-48AD-AD35-80AC4192278F}" name="HIPOCLORITO" dataDxfId="35" totalsRowDxfId="34"/>
    <tableColumn id="10" xr3:uid="{6CEE274D-72B8-4F32-A7C2-C3C6194FEB9F}" name="CLORO RESIDUAL" dataDxfId="33" totalsRowDxfId="32" dataCellStyle="Millares"/>
    <tableColumn id="11" xr3:uid="{94965AE0-C685-48F4-AF37-ADD6F9A28E3B}" name="HORA" dataDxfId="31" totalsRowDxfId="30"/>
    <tableColumn id="12" xr3:uid="{D2EA0AC6-D74D-41B4-93E5-1C6A54485C85}" name="OPERADOR" dataDxfId="29" totalsRowDxfId="28"/>
    <tableColumn id="17" xr3:uid="{FA5FA8C6-5389-49C1-8061-7360E1F964E1}" name="Columna1"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9BD828-9591-4F94-A048-8316C89A2457}" name="BDRIOSJ" displayName="BDRIOSJ" ref="B14:F3574" totalsRowShown="0" headerRowDxfId="26" headerRowBorderDxfId="25" tableBorderDxfId="24" totalsRowBorderDxfId="23">
  <autoFilter ref="B14:F3574" xr:uid="{5A7E8D88-2572-411C-834D-8C6B5CC829A0}"/>
  <sortState xmlns:xlrd2="http://schemas.microsoft.com/office/spreadsheetml/2017/richdata2" ref="B15:F2053">
    <sortCondition ref="D14:D2053"/>
  </sortState>
  <tableColumns count="5">
    <tableColumn id="4" xr3:uid="{37DFEFB9-9518-4C00-9950-084B949E7CFF}" name="AÑO" dataDxfId="22">
      <calculatedColumnFormula>YEAR(BDRIOSJ[[#This Row],[FECHA]])</calculatedColumnFormula>
    </tableColumn>
    <tableColumn id="6" xr3:uid="{00DFC0BC-932D-4444-ABD9-2D7114FB9B6C}" name="MES" dataDxfId="21">
      <calculatedColumnFormula>MONTH(BDRIOSJ[[#This Row],[FECHA]])</calculatedColumnFormula>
    </tableColumn>
    <tableColumn id="1" xr3:uid="{981284B4-55D7-4430-8113-813E1473C09C}" name="FECHA" dataDxfId="20"/>
    <tableColumn id="2" xr3:uid="{C3D923CF-D9B9-41DC-866D-E0BD0B57B1E5}" name="HORA" dataDxfId="19"/>
    <tableColumn id="3" xr3:uid="{5DDCE6A4-886B-4890-8AF5-8DDECA9FE3D8}" name="Caudal (m³/s)" dataDxfId="18" dataCellStyle="Millare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5CA229-DAA8-4482-918A-4238A241BEC7}" name="Tabla4" displayName="Tabla4" ref="B4:O15" totalsRowShown="0" headerRowDxfId="17" dataDxfId="15" headerRowBorderDxfId="16" tableBorderDxfId="14">
  <tableColumns count="14">
    <tableColumn id="1" xr3:uid="{466BA7D8-18F3-4311-9932-D0B4A900B808}" name="ITEM" dataDxfId="13"/>
    <tableColumn id="13" xr3:uid="{BA19F376-1F60-4CEC-9AE3-C9114935339E}" name="TIPO" dataDxfId="12"/>
    <tableColumn id="2" xr3:uid="{5C6CF4C2-BD4C-4344-80AF-CCBD83095E12}" name="FUENTE DE CAPTACION " dataDxfId="11"/>
    <tableColumn id="3" xr3:uid="{B835B448-EE28-4813-ADEC-8C89AC81D646}" name="MOTIVO" dataDxfId="10"/>
    <tableColumn id="4" xr3:uid="{70D0C02E-B1DB-4866-8427-D09435C4D5A7}" name="FECHA" dataDxfId="9"/>
    <tableColumn id="5" xr3:uid="{0651B434-5CE4-403A-BCF4-41E9CCD2BE90}" name="HORA" dataDxfId="8"/>
    <tableColumn id="6" xr3:uid="{D7874144-61BB-4681-BD35-D34BE917854D}" name="FECHA " dataDxfId="7"/>
    <tableColumn id="7" xr3:uid="{659DBCD4-9B97-463D-AAA7-863011F21153}" name="HORA2" dataDxfId="6"/>
    <tableColumn id="8" xr3:uid="{651784FA-7676-4A38-BBA8-FF7352FA2732}" name="TIEMPO DE CORTE (HR)" dataDxfId="5"/>
    <tableColumn id="9" xr3:uid="{0CC98AD1-2867-4560-964D-0232A0DF682A}" name="N° COMUNICADO (CORTE)" dataDxfId="4"/>
    <tableColumn id="10" xr3:uid="{084769B3-1722-471D-AA29-922D6A0CDDDA}" name="N° COMUNICADO (RESTABLECIMIENTO)" dataDxfId="3"/>
    <tableColumn id="11" xr3:uid="{53A951C6-C662-4CA8-8731-AF69F9B4549F}" name="SECTORES AFECTADOS" dataDxfId="2"/>
    <tableColumn id="37" xr3:uid="{503F848E-B3D1-498D-8A3A-DF8D47B7748A}" name="CONEXIONES AFECTADAS" dataDxfId="1"/>
    <tableColumn id="38" xr3:uid="{4387660D-15E8-4C11-8723-F56ECDD86EEC}" name="OBSERVACIONE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4.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pageSetUpPr fitToPage="1"/>
  </sheetPr>
  <dimension ref="A1:CP371"/>
  <sheetViews>
    <sheetView zoomScaleNormal="100" zoomScaleSheetLayoutView="20" workbookViewId="0">
      <pane xSplit="2" ySplit="4" topLeftCell="W100" activePane="bottomRight" state="frozen"/>
      <selection pane="topRight" activeCell="C1" sqref="C1"/>
      <selection pane="bottomLeft" activeCell="A5" sqref="A5"/>
      <selection pane="bottomRight" activeCell="AF126" sqref="AF126"/>
    </sheetView>
  </sheetViews>
  <sheetFormatPr baseColWidth="10" defaultColWidth="14.42578125" defaultRowHeight="15" customHeight="1" x14ac:dyDescent="0.25"/>
  <cols>
    <col min="1" max="1" width="10.7109375" style="4" customWidth="1"/>
    <col min="2" max="2" width="17.7109375" style="4" customWidth="1"/>
    <col min="3" max="4" width="13.28515625" style="4" customWidth="1"/>
    <col min="5" max="5" width="16" style="4" customWidth="1"/>
    <col min="6" max="6" width="15" style="4" customWidth="1"/>
    <col min="7" max="9" width="13.28515625" style="4" customWidth="1"/>
    <col min="10" max="10" width="16.7109375" style="4" customWidth="1"/>
    <col min="11" max="11" width="14.7109375" style="4" customWidth="1"/>
    <col min="12" max="19" width="13.28515625" style="4" customWidth="1"/>
    <col min="20" max="21" width="13.28515625" style="99" customWidth="1"/>
    <col min="22" max="24" width="13.28515625" style="4" customWidth="1"/>
    <col min="25" max="25" width="17.7109375" style="4" customWidth="1"/>
    <col min="26" max="26" width="17.28515625" style="4" customWidth="1"/>
    <col min="27" max="27" width="18.5703125" style="4" customWidth="1"/>
    <col min="28" max="30" width="13.28515625" style="4" customWidth="1"/>
    <col min="31" max="31" width="15.140625" style="4" customWidth="1"/>
    <col min="32" max="39" width="13.28515625" style="4" customWidth="1"/>
    <col min="40" max="40" width="15" style="4" customWidth="1"/>
    <col min="41" max="41" width="16.28515625" style="4" customWidth="1"/>
    <col min="42" max="42" width="13.28515625" style="4" customWidth="1"/>
    <col min="43" max="47" width="13.28515625" style="4" hidden="1" customWidth="1"/>
    <col min="48" max="49" width="13.28515625" style="4" customWidth="1"/>
    <col min="50" max="51" width="13.28515625" style="100" customWidth="1"/>
    <col min="52" max="55" width="13.28515625" style="4" customWidth="1"/>
    <col min="56" max="56" width="14.140625" style="4" customWidth="1"/>
    <col min="57" max="60" width="13.28515625" style="4" customWidth="1"/>
    <col min="61" max="61" width="15.140625" style="4" customWidth="1"/>
    <col min="62" max="65" width="13.28515625" style="4" customWidth="1"/>
    <col min="66" max="66" width="17" style="4" customWidth="1"/>
    <col min="67" max="67" width="13.28515625" style="4" customWidth="1"/>
    <col min="68" max="69" width="11.42578125" customWidth="1"/>
  </cols>
  <sheetData>
    <row r="1" spans="1:67" x14ac:dyDescent="0.25">
      <c r="A1" s="88"/>
      <c r="B1" s="89">
        <v>1</v>
      </c>
      <c r="C1" s="90">
        <f>+B1+1</f>
        <v>2</v>
      </c>
      <c r="D1" s="90">
        <f t="shared" ref="D1:BO1" si="0">+C1+1</f>
        <v>3</v>
      </c>
      <c r="E1" s="89">
        <f t="shared" si="0"/>
        <v>4</v>
      </c>
      <c r="F1" s="89">
        <f t="shared" si="0"/>
        <v>5</v>
      </c>
      <c r="G1" s="90">
        <f t="shared" si="0"/>
        <v>6</v>
      </c>
      <c r="H1" s="89">
        <f t="shared" si="0"/>
        <v>7</v>
      </c>
      <c r="I1" s="89">
        <f t="shared" si="0"/>
        <v>8</v>
      </c>
      <c r="J1" s="89">
        <f t="shared" si="0"/>
        <v>9</v>
      </c>
      <c r="K1" s="89">
        <f t="shared" si="0"/>
        <v>10</v>
      </c>
      <c r="L1" s="89">
        <f t="shared" si="0"/>
        <v>11</v>
      </c>
      <c r="M1" s="90">
        <f t="shared" si="0"/>
        <v>12</v>
      </c>
      <c r="N1" s="90">
        <f t="shared" si="0"/>
        <v>13</v>
      </c>
      <c r="O1" s="89">
        <f t="shared" si="0"/>
        <v>14</v>
      </c>
      <c r="P1" s="89">
        <f t="shared" si="0"/>
        <v>15</v>
      </c>
      <c r="Q1" s="90">
        <f t="shared" si="0"/>
        <v>16</v>
      </c>
      <c r="R1" s="89">
        <f t="shared" si="0"/>
        <v>17</v>
      </c>
      <c r="S1" s="89">
        <f t="shared" si="0"/>
        <v>18</v>
      </c>
      <c r="T1" s="91">
        <f t="shared" si="0"/>
        <v>19</v>
      </c>
      <c r="U1" s="91">
        <f t="shared" si="0"/>
        <v>20</v>
      </c>
      <c r="V1" s="89">
        <f t="shared" si="0"/>
        <v>21</v>
      </c>
      <c r="W1" s="90">
        <f t="shared" si="0"/>
        <v>22</v>
      </c>
      <c r="X1" s="90">
        <f t="shared" si="0"/>
        <v>23</v>
      </c>
      <c r="Y1" s="89">
        <f t="shared" si="0"/>
        <v>24</v>
      </c>
      <c r="Z1" s="89">
        <f t="shared" si="0"/>
        <v>25</v>
      </c>
      <c r="AA1" s="90">
        <f t="shared" si="0"/>
        <v>26</v>
      </c>
      <c r="AB1" s="89">
        <f>+AA1+1</f>
        <v>27</v>
      </c>
      <c r="AC1" s="89">
        <f t="shared" si="0"/>
        <v>28</v>
      </c>
      <c r="AD1" s="89">
        <f t="shared" si="0"/>
        <v>29</v>
      </c>
      <c r="AE1" s="89">
        <f t="shared" si="0"/>
        <v>30</v>
      </c>
      <c r="AF1" s="89">
        <f t="shared" si="0"/>
        <v>31</v>
      </c>
      <c r="AG1" s="89">
        <f t="shared" si="0"/>
        <v>32</v>
      </c>
      <c r="AH1" s="89">
        <f t="shared" si="0"/>
        <v>33</v>
      </c>
      <c r="AI1" s="90">
        <f t="shared" si="0"/>
        <v>34</v>
      </c>
      <c r="AJ1" s="90">
        <f t="shared" si="0"/>
        <v>35</v>
      </c>
      <c r="AK1" s="90">
        <f t="shared" si="0"/>
        <v>36</v>
      </c>
      <c r="AL1" s="89">
        <f t="shared" si="0"/>
        <v>37</v>
      </c>
      <c r="AM1" s="89">
        <f t="shared" si="0"/>
        <v>38</v>
      </c>
      <c r="AN1" s="89">
        <f t="shared" si="0"/>
        <v>39</v>
      </c>
      <c r="AO1" s="89">
        <f t="shared" si="0"/>
        <v>40</v>
      </c>
      <c r="AP1" s="89">
        <f t="shared" si="0"/>
        <v>41</v>
      </c>
      <c r="AQ1" s="90">
        <f t="shared" si="0"/>
        <v>42</v>
      </c>
      <c r="AR1" s="90">
        <f t="shared" si="0"/>
        <v>43</v>
      </c>
      <c r="AS1" s="89">
        <f t="shared" si="0"/>
        <v>44</v>
      </c>
      <c r="AT1" s="89">
        <f t="shared" si="0"/>
        <v>45</v>
      </c>
      <c r="AU1" s="90">
        <f t="shared" si="0"/>
        <v>46</v>
      </c>
      <c r="AV1" s="89">
        <f>+AU1+1</f>
        <v>47</v>
      </c>
      <c r="AW1" s="89">
        <f t="shared" si="0"/>
        <v>48</v>
      </c>
      <c r="AX1" s="92">
        <f t="shared" si="0"/>
        <v>49</v>
      </c>
      <c r="AY1" s="92">
        <f t="shared" si="0"/>
        <v>50</v>
      </c>
      <c r="AZ1" s="89">
        <f t="shared" si="0"/>
        <v>51</v>
      </c>
      <c r="BA1" s="90">
        <f t="shared" si="0"/>
        <v>52</v>
      </c>
      <c r="BB1" s="90">
        <f t="shared" si="0"/>
        <v>53</v>
      </c>
      <c r="BC1" s="89">
        <f t="shared" si="0"/>
        <v>54</v>
      </c>
      <c r="BD1" s="89">
        <f t="shared" si="0"/>
        <v>55</v>
      </c>
      <c r="BE1" s="90">
        <f t="shared" si="0"/>
        <v>56</v>
      </c>
      <c r="BF1" s="89">
        <f t="shared" si="0"/>
        <v>57</v>
      </c>
      <c r="BG1" s="89">
        <f t="shared" si="0"/>
        <v>58</v>
      </c>
      <c r="BH1" s="89">
        <f t="shared" si="0"/>
        <v>59</v>
      </c>
      <c r="BI1" s="89">
        <f t="shared" si="0"/>
        <v>60</v>
      </c>
      <c r="BJ1" s="89">
        <f t="shared" si="0"/>
        <v>61</v>
      </c>
      <c r="BK1" s="90">
        <f t="shared" si="0"/>
        <v>62</v>
      </c>
      <c r="BL1" s="90">
        <f t="shared" si="0"/>
        <v>63</v>
      </c>
      <c r="BM1" s="89">
        <f t="shared" si="0"/>
        <v>64</v>
      </c>
      <c r="BN1" s="89">
        <f t="shared" si="0"/>
        <v>65</v>
      </c>
      <c r="BO1" s="90">
        <f t="shared" si="0"/>
        <v>66</v>
      </c>
    </row>
    <row r="2" spans="1:67" ht="15.75" thickBot="1" x14ac:dyDescent="0.3">
      <c r="B2" s="89"/>
      <c r="C2" s="90"/>
      <c r="D2" s="90"/>
      <c r="E2" s="91"/>
      <c r="F2" s="91"/>
      <c r="G2" s="90"/>
      <c r="H2" s="89"/>
      <c r="I2" s="89"/>
      <c r="J2" s="91"/>
      <c r="K2" s="91"/>
      <c r="L2" s="89"/>
      <c r="M2" s="90"/>
      <c r="N2" s="90"/>
      <c r="O2" s="91"/>
      <c r="P2" s="91"/>
      <c r="Q2" s="90"/>
      <c r="R2" s="89"/>
      <c r="S2" s="89"/>
      <c r="T2" s="91"/>
      <c r="U2" s="91"/>
      <c r="V2" s="89"/>
      <c r="W2" s="90"/>
      <c r="X2" s="90"/>
      <c r="Y2" s="91"/>
      <c r="Z2" s="91"/>
      <c r="AA2" s="90"/>
      <c r="AB2" s="91"/>
      <c r="AC2" s="91"/>
      <c r="AD2" s="89"/>
      <c r="AE2" s="89"/>
      <c r="AF2" s="89"/>
      <c r="AG2" s="91"/>
      <c r="AH2" s="91"/>
      <c r="AI2" s="90"/>
      <c r="AJ2" s="90"/>
      <c r="AK2" s="90"/>
      <c r="AL2" s="89"/>
      <c r="AM2" s="89"/>
      <c r="AN2" s="91"/>
      <c r="AO2" s="91"/>
      <c r="AP2" s="89"/>
      <c r="AQ2" s="90"/>
      <c r="AR2" s="90"/>
      <c r="AS2" s="91"/>
      <c r="AT2" s="91"/>
      <c r="AU2" s="90"/>
      <c r="AV2" s="89"/>
      <c r="AW2" s="89"/>
      <c r="AX2" s="93"/>
      <c r="AY2" s="93"/>
      <c r="AZ2" s="89"/>
      <c r="BA2" s="90"/>
      <c r="BB2" s="90"/>
      <c r="BC2" s="91"/>
      <c r="BD2" s="91"/>
      <c r="BE2" s="90"/>
      <c r="BF2" s="89"/>
      <c r="BG2" s="89"/>
      <c r="BH2" s="91"/>
      <c r="BI2" s="91"/>
      <c r="BJ2" s="89"/>
      <c r="BK2" s="90"/>
      <c r="BL2" s="90"/>
      <c r="BM2" s="89"/>
      <c r="BN2" s="89"/>
      <c r="BO2" s="90"/>
    </row>
    <row r="3" spans="1:67" s="3" customFormat="1" ht="48" customHeight="1" thickBot="1" x14ac:dyDescent="0.3">
      <c r="A3" s="116"/>
      <c r="B3" s="115" t="s">
        <v>469</v>
      </c>
      <c r="C3" s="430" t="s">
        <v>0</v>
      </c>
      <c r="D3" s="430"/>
      <c r="E3" s="430"/>
      <c r="F3" s="430"/>
      <c r="G3" s="430"/>
      <c r="H3" s="430" t="s">
        <v>1</v>
      </c>
      <c r="I3" s="430"/>
      <c r="J3" s="430"/>
      <c r="K3" s="430"/>
      <c r="L3" s="430"/>
      <c r="M3" s="430" t="s">
        <v>2</v>
      </c>
      <c r="N3" s="430"/>
      <c r="O3" s="430"/>
      <c r="P3" s="430"/>
      <c r="Q3" s="430"/>
      <c r="R3" s="430" t="s">
        <v>9</v>
      </c>
      <c r="S3" s="430"/>
      <c r="T3" s="430"/>
      <c r="U3" s="430"/>
      <c r="V3" s="430"/>
      <c r="W3" s="430" t="s">
        <v>3</v>
      </c>
      <c r="X3" s="430"/>
      <c r="Y3" s="430"/>
      <c r="Z3" s="430"/>
      <c r="AA3" s="430"/>
      <c r="AB3" s="430" t="s">
        <v>4</v>
      </c>
      <c r="AC3" s="430"/>
      <c r="AD3" s="430"/>
      <c r="AE3" s="430"/>
      <c r="AF3" s="430"/>
      <c r="AG3" s="430" t="s">
        <v>5</v>
      </c>
      <c r="AH3" s="430"/>
      <c r="AI3" s="430"/>
      <c r="AJ3" s="430"/>
      <c r="AK3" s="430"/>
      <c r="AL3" s="430" t="s">
        <v>6</v>
      </c>
      <c r="AM3" s="430"/>
      <c r="AN3" s="430"/>
      <c r="AO3" s="430"/>
      <c r="AP3" s="430"/>
      <c r="AQ3" s="434" t="s">
        <v>7</v>
      </c>
      <c r="AR3" s="435"/>
      <c r="AS3" s="435"/>
      <c r="AT3" s="435"/>
      <c r="AU3" s="436"/>
      <c r="AV3" s="430" t="s">
        <v>8</v>
      </c>
      <c r="AW3" s="430"/>
      <c r="AX3" s="430"/>
      <c r="AY3" s="430"/>
      <c r="AZ3" s="430"/>
      <c r="BA3" s="432" t="s">
        <v>10</v>
      </c>
      <c r="BB3" s="432"/>
      <c r="BC3" s="432"/>
      <c r="BD3" s="432"/>
      <c r="BE3" s="433"/>
      <c r="BF3" s="431" t="s">
        <v>11</v>
      </c>
      <c r="BG3" s="432"/>
      <c r="BH3" s="432"/>
      <c r="BI3" s="432"/>
      <c r="BJ3" s="433"/>
      <c r="BK3" s="431" t="s">
        <v>12</v>
      </c>
      <c r="BL3" s="432"/>
      <c r="BM3" s="432"/>
      <c r="BN3" s="432"/>
      <c r="BO3" s="433"/>
    </row>
    <row r="4" spans="1:67" s="158" customFormat="1" ht="38.25" x14ac:dyDescent="0.25">
      <c r="A4" s="157"/>
      <c r="B4" s="159" t="s">
        <v>13</v>
      </c>
      <c r="C4" s="159" t="s">
        <v>622</v>
      </c>
      <c r="D4" s="159" t="s">
        <v>623</v>
      </c>
      <c r="E4" s="159" t="s">
        <v>624</v>
      </c>
      <c r="F4" s="159" t="s">
        <v>478</v>
      </c>
      <c r="G4" s="159" t="s">
        <v>625</v>
      </c>
      <c r="H4" s="159" t="s">
        <v>479</v>
      </c>
      <c r="I4" s="159" t="s">
        <v>480</v>
      </c>
      <c r="J4" s="159" t="s">
        <v>481</v>
      </c>
      <c r="K4" s="159" t="s">
        <v>482</v>
      </c>
      <c r="L4" s="159" t="s">
        <v>483</v>
      </c>
      <c r="M4" s="159" t="s">
        <v>484</v>
      </c>
      <c r="N4" s="159" t="s">
        <v>485</v>
      </c>
      <c r="O4" s="159" t="s">
        <v>486</v>
      </c>
      <c r="P4" s="159" t="s">
        <v>487</v>
      </c>
      <c r="Q4" s="159" t="s">
        <v>488</v>
      </c>
      <c r="R4" s="159" t="s">
        <v>489</v>
      </c>
      <c r="S4" s="159" t="s">
        <v>490</v>
      </c>
      <c r="T4" s="159" t="s">
        <v>491</v>
      </c>
      <c r="U4" s="159" t="s">
        <v>492</v>
      </c>
      <c r="V4" s="159" t="s">
        <v>493</v>
      </c>
      <c r="W4" s="159" t="s">
        <v>494</v>
      </c>
      <c r="X4" s="159" t="s">
        <v>495</v>
      </c>
      <c r="Y4" s="159" t="s">
        <v>496</v>
      </c>
      <c r="Z4" s="159" t="s">
        <v>497</v>
      </c>
      <c r="AA4" s="159" t="s">
        <v>498</v>
      </c>
      <c r="AB4" s="159" t="s">
        <v>499</v>
      </c>
      <c r="AC4" s="159" t="s">
        <v>500</v>
      </c>
      <c r="AD4" s="159" t="s">
        <v>501</v>
      </c>
      <c r="AE4" s="159" t="s">
        <v>502</v>
      </c>
      <c r="AF4" s="159" t="s">
        <v>503</v>
      </c>
      <c r="AG4" s="159" t="s">
        <v>504</v>
      </c>
      <c r="AH4" s="159" t="s">
        <v>505</v>
      </c>
      <c r="AI4" s="159" t="s">
        <v>506</v>
      </c>
      <c r="AJ4" s="159" t="s">
        <v>507</v>
      </c>
      <c r="AK4" s="159" t="s">
        <v>508</v>
      </c>
      <c r="AL4" s="159" t="s">
        <v>509</v>
      </c>
      <c r="AM4" s="159" t="s">
        <v>510</v>
      </c>
      <c r="AN4" s="159" t="s">
        <v>511</v>
      </c>
      <c r="AO4" s="159" t="s">
        <v>512</v>
      </c>
      <c r="AP4" s="159" t="s">
        <v>513</v>
      </c>
      <c r="AQ4" s="159" t="s">
        <v>514</v>
      </c>
      <c r="AR4" s="159" t="s">
        <v>515</v>
      </c>
      <c r="AS4" s="159" t="s">
        <v>516</v>
      </c>
      <c r="AT4" s="159" t="s">
        <v>517</v>
      </c>
      <c r="AU4" s="159" t="s">
        <v>518</v>
      </c>
      <c r="AV4" s="159" t="s">
        <v>519</v>
      </c>
      <c r="AW4" s="159" t="s">
        <v>520</v>
      </c>
      <c r="AX4" s="160" t="s">
        <v>521</v>
      </c>
      <c r="AY4" s="160" t="s">
        <v>522</v>
      </c>
      <c r="AZ4" s="160" t="s">
        <v>523</v>
      </c>
      <c r="BA4" s="161" t="s">
        <v>529</v>
      </c>
      <c r="BB4" s="162" t="s">
        <v>530</v>
      </c>
      <c r="BC4" s="163" t="s">
        <v>531</v>
      </c>
      <c r="BD4" s="162" t="s">
        <v>532</v>
      </c>
      <c r="BE4" s="163" t="s">
        <v>533</v>
      </c>
      <c r="BF4" s="162" t="s">
        <v>524</v>
      </c>
      <c r="BG4" s="162" t="s">
        <v>525</v>
      </c>
      <c r="BH4" s="163" t="s">
        <v>526</v>
      </c>
      <c r="BI4" s="162" t="s">
        <v>527</v>
      </c>
      <c r="BJ4" s="163" t="s">
        <v>528</v>
      </c>
      <c r="BK4" s="162" t="s">
        <v>534</v>
      </c>
      <c r="BL4" s="162" t="s">
        <v>535</v>
      </c>
      <c r="BM4" s="163" t="s">
        <v>536</v>
      </c>
      <c r="BN4" s="162" t="s">
        <v>537</v>
      </c>
      <c r="BO4" s="163" t="s">
        <v>538</v>
      </c>
    </row>
    <row r="5" spans="1:67" ht="15.75" customHeight="1" x14ac:dyDescent="0.25">
      <c r="A5" s="4">
        <f t="shared" ref="A5:A49" si="1">MONTH(B5)</f>
        <v>1</v>
      </c>
      <c r="B5" s="170">
        <v>46023</v>
      </c>
      <c r="C5" s="164">
        <v>38</v>
      </c>
      <c r="D5" s="166">
        <f t="shared" ref="D5" si="2">IFERROR(+G5/(C5*3.6)," ")</f>
        <v>13.435672514619881</v>
      </c>
      <c r="E5" s="168">
        <v>3735917</v>
      </c>
      <c r="F5" s="168">
        <v>3737755</v>
      </c>
      <c r="G5" s="166">
        <f>IFERROR((F5-E5)," ")</f>
        <v>1838</v>
      </c>
      <c r="H5" s="167">
        <v>25</v>
      </c>
      <c r="I5" s="167">
        <f>IFERROR(+L5/(H5*3.6)," ")</f>
        <v>0</v>
      </c>
      <c r="J5" s="266">
        <v>1970853</v>
      </c>
      <c r="K5" s="266">
        <v>1970853</v>
      </c>
      <c r="L5" s="167">
        <f>IFERROR((K5-J5)," ")</f>
        <v>0</v>
      </c>
      <c r="M5" s="166">
        <v>38</v>
      </c>
      <c r="N5" s="166">
        <f>IFERROR(+Q5/(M5*3.6)," ")</f>
        <v>0</v>
      </c>
      <c r="O5" s="168">
        <v>414403</v>
      </c>
      <c r="P5" s="168">
        <v>414403</v>
      </c>
      <c r="Q5" s="166">
        <f>IFERROR((P5-O5)," ")</f>
        <v>0</v>
      </c>
      <c r="R5" s="167">
        <f>+BDFUENTES[[#This Row],[PZ MED m3/día]]/3.6/BDFUENTES[[#This Row],[PZ MED Horas Activo]]</f>
        <v>29.854497354497354</v>
      </c>
      <c r="S5" s="167">
        <v>21</v>
      </c>
      <c r="T5" s="168">
        <v>227566</v>
      </c>
      <c r="U5" s="168">
        <v>229823</v>
      </c>
      <c r="V5" s="274">
        <f>IFERROR((U5-T5)," ")</f>
        <v>2257</v>
      </c>
      <c r="W5" s="273">
        <f>IFERROR((AA5/X5)/3.6," ")</f>
        <v>338.47222222222223</v>
      </c>
      <c r="X5" s="166">
        <v>24</v>
      </c>
      <c r="Y5" s="168">
        <v>622319</v>
      </c>
      <c r="Z5" s="168">
        <v>653820</v>
      </c>
      <c r="AA5" s="164">
        <f>IFERROR((Z5-Y5)," ")-2257</f>
        <v>29244</v>
      </c>
      <c r="AB5" s="168">
        <f>IFERROR(ROUNDDOWN(+AF5/(AC5*3.6),0)," ")</f>
        <v>85</v>
      </c>
      <c r="AC5" s="168">
        <v>24</v>
      </c>
      <c r="AD5" s="167">
        <v>5049069</v>
      </c>
      <c r="AE5" s="167">
        <v>5056413</v>
      </c>
      <c r="AF5" s="275">
        <f>IFERROR((AE5-AD5)," ")</f>
        <v>7344</v>
      </c>
      <c r="AG5" s="168">
        <v>20</v>
      </c>
      <c r="AH5" s="168">
        <v>24</v>
      </c>
      <c r="AI5" s="166"/>
      <c r="AJ5" s="166"/>
      <c r="AK5" s="166">
        <f>IF(OR(AH5="",AG5=""),"",AH5*AG5*3.6)</f>
        <v>1728</v>
      </c>
      <c r="AL5" s="167">
        <f>+BDFUENTES[[#This Row],[PZ CHB m3/día]]/3.6/BDFUENTES[[#This Row],[PZ CHB Horas Activo]]</f>
        <v>38.22530864197531</v>
      </c>
      <c r="AM5" s="171">
        <v>18</v>
      </c>
      <c r="AN5" s="168">
        <v>3509686</v>
      </c>
      <c r="AO5" s="168">
        <v>3512163</v>
      </c>
      <c r="AP5" s="167">
        <f>IFERROR((AO5-AN5)," ")</f>
        <v>2477</v>
      </c>
      <c r="AQ5" s="166"/>
      <c r="AR5" s="166" t="str">
        <f>IFERROR(+AU5/(AQ5*3.6)," ")</f>
        <v xml:space="preserve"> </v>
      </c>
      <c r="AS5" s="168" t="str">
        <f>IF(AT5&gt;0,#REF!," ")</f>
        <v xml:space="preserve"> </v>
      </c>
      <c r="AT5" s="168"/>
      <c r="AU5" s="166" t="str">
        <f>IFERROR((AT5-AS5)," ")</f>
        <v xml:space="preserve"> </v>
      </c>
      <c r="AV5" s="167">
        <f>+BDFUENTES[[#This Row],[PZ TM m3/día]]/3.6/BDFUENTES[[#This Row],[PZ TM Horas Activo]]</f>
        <v>11.296296296296296</v>
      </c>
      <c r="AW5" s="167">
        <v>15</v>
      </c>
      <c r="AX5" s="169">
        <v>564606</v>
      </c>
      <c r="AY5" s="169">
        <v>565216</v>
      </c>
      <c r="AZ5" s="167">
        <f>IFERROR((AY5-AX5)," ")</f>
        <v>610</v>
      </c>
      <c r="BA5" s="166">
        <v>125</v>
      </c>
      <c r="BB5" s="166">
        <f t="shared" ref="BB5:BB8" si="3">IFERROR(+BE5/(BA5*3.6)," ")</f>
        <v>4.3111111111111109</v>
      </c>
      <c r="BC5" s="168">
        <v>5867299</v>
      </c>
      <c r="BD5" s="168">
        <v>5869239</v>
      </c>
      <c r="BE5" s="166">
        <f>IFERROR((BD5-BC5)," ")</f>
        <v>1940</v>
      </c>
      <c r="BF5" s="167">
        <v>20</v>
      </c>
      <c r="BG5" s="166">
        <f t="shared" ref="BG5:BG9" si="4">IFERROR(+BJ5/(BF5*3.6)," ")</f>
        <v>17.888888888888889</v>
      </c>
      <c r="BH5" s="168">
        <v>1526369</v>
      </c>
      <c r="BI5" s="168">
        <v>1527657</v>
      </c>
      <c r="BJ5" s="167">
        <f>IFERROR((BI5-BH5)," ")</f>
        <v>1288</v>
      </c>
      <c r="BK5" s="166">
        <v>70</v>
      </c>
      <c r="BL5" s="166">
        <f t="shared" ref="BL5:BL8" si="5">IFERROR(+BO5/(BK5*3.6)," ")</f>
        <v>17.111111111111111</v>
      </c>
      <c r="BM5" s="168">
        <v>6105110</v>
      </c>
      <c r="BN5" s="168">
        <v>6109422</v>
      </c>
      <c r="BO5" s="166">
        <f>IFERROR((BN5-BM5)," ")</f>
        <v>4312</v>
      </c>
    </row>
    <row r="6" spans="1:67" ht="15.75" customHeight="1" x14ac:dyDescent="0.25">
      <c r="A6" s="4">
        <f t="shared" si="1"/>
        <v>1</v>
      </c>
      <c r="B6" s="170">
        <v>46024</v>
      </c>
      <c r="C6" s="164">
        <v>38</v>
      </c>
      <c r="D6" s="166">
        <f>IFERROR(+G6/(C6*3.6)," ")</f>
        <v>13.333333333333332</v>
      </c>
      <c r="E6" s="168">
        <f>IF(F6&gt;0,F5," ")</f>
        <v>3737755</v>
      </c>
      <c r="F6" s="168">
        <v>3739579</v>
      </c>
      <c r="G6" s="166">
        <f>IFERROR((F6-E6)," ")</f>
        <v>1824</v>
      </c>
      <c r="H6" s="167">
        <v>25</v>
      </c>
      <c r="I6" s="167">
        <f>IFERROR(+L6/(H6*3.6)," ")</f>
        <v>0</v>
      </c>
      <c r="J6" s="168">
        <f t="shared" ref="J6:J8" si="6">IF(K6&gt;0,K5," ")</f>
        <v>1970853</v>
      </c>
      <c r="K6" s="266">
        <v>1970853</v>
      </c>
      <c r="L6" s="167">
        <f>IFERROR((K6-J6)," ")</f>
        <v>0</v>
      </c>
      <c r="M6" s="166">
        <v>38</v>
      </c>
      <c r="N6" s="166">
        <f>IFERROR(+Q6/(M6*3.6)," ")</f>
        <v>0</v>
      </c>
      <c r="O6" s="168">
        <f t="shared" ref="O6:O8" si="7">IF(P6&gt;0,P5," ")</f>
        <v>414403</v>
      </c>
      <c r="P6" s="168">
        <v>414403</v>
      </c>
      <c r="Q6" s="166">
        <f>IFERROR((P6-O6)," ")</f>
        <v>0</v>
      </c>
      <c r="R6" s="167">
        <f>+BDFUENTES[[#This Row],[PZ MED m3/día]]/3.6/BDFUENTES[[#This Row],[PZ MED Horas Activo]]</f>
        <v>27.156862745098039</v>
      </c>
      <c r="S6" s="167">
        <v>17</v>
      </c>
      <c r="T6" s="168">
        <f t="shared" ref="T6:T8" si="8">IF(U6&gt;0,U5," ")</f>
        <v>229823</v>
      </c>
      <c r="U6" s="168">
        <v>231485</v>
      </c>
      <c r="V6" s="274">
        <f>IFERROR((U6-T6)," ")</f>
        <v>1662</v>
      </c>
      <c r="W6" s="273">
        <f>IFERROR((AA6/X6)/3.6," ")</f>
        <v>368.39371980676327</v>
      </c>
      <c r="X6" s="166">
        <v>23</v>
      </c>
      <c r="Y6" s="168">
        <f t="shared" ref="Y6:Y8" si="9">IF(Z6&gt;0,Z5," ")</f>
        <v>653820</v>
      </c>
      <c r="Z6" s="168">
        <v>685985</v>
      </c>
      <c r="AA6" s="164">
        <f>IFERROR((Z6-Y6)," ")-1662</f>
        <v>30503</v>
      </c>
      <c r="AB6" s="168">
        <f>IFERROR(ROUNDDOWN(+AF6/(AC6*3.6),0)," ")</f>
        <v>91</v>
      </c>
      <c r="AC6" s="168">
        <v>24</v>
      </c>
      <c r="AD6" s="171">
        <f>IF(AE6&gt;0,AE5," ")</f>
        <v>5056413</v>
      </c>
      <c r="AE6" s="167">
        <v>5064297</v>
      </c>
      <c r="AF6" s="275">
        <f>IFERROR((AE6-AD6)," ")</f>
        <v>7884</v>
      </c>
      <c r="AG6" s="168">
        <v>20</v>
      </c>
      <c r="AH6" s="168">
        <v>24</v>
      </c>
      <c r="AI6" s="166"/>
      <c r="AJ6" s="166"/>
      <c r="AK6" s="166">
        <f>IF(OR(AH6="",AG6=""),"",AH6*AG6*3.6)</f>
        <v>1728</v>
      </c>
      <c r="AL6" s="167">
        <f>+BDFUENTES[[#This Row],[PZ CHB m3/día]]/3.6/BDFUENTES[[#This Row],[PZ CHB Horas Activo]]</f>
        <v>37.810457516339866</v>
      </c>
      <c r="AM6" s="171">
        <v>17</v>
      </c>
      <c r="AN6" s="168">
        <f t="shared" ref="AN6:AN8" si="10">IF(AO6&gt;0,AO5," ")</f>
        <v>3512163</v>
      </c>
      <c r="AO6" s="168">
        <v>3514477</v>
      </c>
      <c r="AP6" s="167">
        <f>IFERROR((AO6-AN6)," ")</f>
        <v>2314</v>
      </c>
      <c r="AQ6" s="166"/>
      <c r="AR6" s="166" t="str">
        <f>IFERROR(+AU6/(AQ6*3.6)," ")</f>
        <v xml:space="preserve"> </v>
      </c>
      <c r="AS6" s="168" t="str">
        <f>IF(AT6&gt;0,#REF!," ")</f>
        <v xml:space="preserve"> </v>
      </c>
      <c r="AT6" s="168"/>
      <c r="AU6" s="166" t="str">
        <f>IFERROR((AT6-AS6)," ")</f>
        <v xml:space="preserve"> </v>
      </c>
      <c r="AV6" s="167">
        <f>+BDFUENTES[[#This Row],[PZ TM m3/día]]/3.6/BDFUENTES[[#This Row],[PZ TM Horas Activo]]</f>
        <v>10.666666666666666</v>
      </c>
      <c r="AW6" s="167">
        <v>15</v>
      </c>
      <c r="AX6" s="169">
        <f t="shared" ref="AX6:AX8" si="11">IF(AY6&gt;0,AY5," ")</f>
        <v>565216</v>
      </c>
      <c r="AY6" s="169">
        <v>565792</v>
      </c>
      <c r="AZ6" s="167">
        <f>IFERROR((AY6-AX6)," ")</f>
        <v>576</v>
      </c>
      <c r="BA6" s="166">
        <v>125</v>
      </c>
      <c r="BB6" s="166">
        <f t="shared" si="3"/>
        <v>4.1977777777777776</v>
      </c>
      <c r="BC6" s="168">
        <f t="shared" ref="BC6:BC8" si="12">IF(BD6&gt;0,BD5," ")</f>
        <v>5869239</v>
      </c>
      <c r="BD6" s="168">
        <v>5871128</v>
      </c>
      <c r="BE6" s="166">
        <f>IFERROR((BD6-BC6)," ")</f>
        <v>1889</v>
      </c>
      <c r="BF6" s="167">
        <v>20</v>
      </c>
      <c r="BG6" s="166">
        <f t="shared" si="4"/>
        <v>17.402777777777779</v>
      </c>
      <c r="BH6" s="168">
        <f t="shared" ref="BH6:BH8" si="13">IF(BI6&gt;0,BI5," ")</f>
        <v>1527657</v>
      </c>
      <c r="BI6" s="168">
        <v>1528910</v>
      </c>
      <c r="BJ6" s="167">
        <f>IFERROR((BI6-BH6)," ")</f>
        <v>1253</v>
      </c>
      <c r="BK6" s="166">
        <v>70</v>
      </c>
      <c r="BL6" s="166">
        <f t="shared" si="5"/>
        <v>13.813492063492063</v>
      </c>
      <c r="BM6" s="168">
        <f t="shared" ref="BM6:BM8" si="14">IF(BN6&gt;0,BN5," ")</f>
        <v>6109422</v>
      </c>
      <c r="BN6" s="168">
        <v>6112903</v>
      </c>
      <c r="BO6" s="166">
        <f>IFERROR((BN6-BM6)," ")</f>
        <v>3481</v>
      </c>
    </row>
    <row r="7" spans="1:67" ht="15.75" customHeight="1" x14ac:dyDescent="0.25">
      <c r="A7" s="4">
        <f t="shared" si="1"/>
        <v>1</v>
      </c>
      <c r="B7" s="170">
        <v>46025</v>
      </c>
      <c r="C7" s="164">
        <v>38</v>
      </c>
      <c r="D7" s="166">
        <f>IFERROR(+G7/(C7*3.6)," ")</f>
        <v>13.150584795321636</v>
      </c>
      <c r="E7" s="168">
        <f t="shared" ref="E7:E8" si="15">IF(F7&gt;0,F6," ")</f>
        <v>3739579</v>
      </c>
      <c r="F7" s="168">
        <v>3741378</v>
      </c>
      <c r="G7" s="166">
        <f>IFERROR((F7-E7)," ")</f>
        <v>1799</v>
      </c>
      <c r="H7" s="167">
        <v>25</v>
      </c>
      <c r="I7" s="167">
        <f>IFERROR(+L7/(H7*3.6)," ")</f>
        <v>0</v>
      </c>
      <c r="J7" s="168">
        <f t="shared" si="6"/>
        <v>1970853</v>
      </c>
      <c r="K7" s="266">
        <v>1970853</v>
      </c>
      <c r="L7" s="167">
        <f>IFERROR((K7-J7)," ")</f>
        <v>0</v>
      </c>
      <c r="M7" s="166">
        <v>38</v>
      </c>
      <c r="N7" s="166">
        <f>IFERROR(+Q7/(M7*3.6)," ")</f>
        <v>0</v>
      </c>
      <c r="O7" s="168">
        <f t="shared" si="7"/>
        <v>414403</v>
      </c>
      <c r="P7" s="168">
        <v>414403</v>
      </c>
      <c r="Q7" s="166">
        <f>IFERROR((P7-O7)," ")</f>
        <v>0</v>
      </c>
      <c r="R7" s="167">
        <f>+BDFUENTES[[#This Row],[PZ MED m3/día]]/3.6/BDFUENTES[[#This Row],[PZ MED Horas Activo]]</f>
        <v>27.631578947368421</v>
      </c>
      <c r="S7" s="167">
        <v>3.8</v>
      </c>
      <c r="T7" s="168">
        <f t="shared" si="8"/>
        <v>231485</v>
      </c>
      <c r="U7" s="168">
        <v>231863</v>
      </c>
      <c r="V7" s="274">
        <f>IFERROR((U7-T7)," ")</f>
        <v>378</v>
      </c>
      <c r="W7" s="273">
        <f>IFERROR((AA7/X7)/3.6," ")</f>
        <v>446.74768518518522</v>
      </c>
      <c r="X7" s="166">
        <v>24</v>
      </c>
      <c r="Y7" s="168">
        <f t="shared" si="9"/>
        <v>685985</v>
      </c>
      <c r="Z7" s="168">
        <v>724962</v>
      </c>
      <c r="AA7" s="164">
        <f>IFERROR((Z7-Y7)," ")-378</f>
        <v>38599</v>
      </c>
      <c r="AB7" s="168">
        <f>IFERROR(ROUNDDOWN(+AF7/(AC7*3.6),0)," ")</f>
        <v>85</v>
      </c>
      <c r="AC7" s="168">
        <v>24</v>
      </c>
      <c r="AD7" s="171">
        <f t="shared" ref="AD7:AD8" si="16">IF(AE7&gt;0,AE6," ")</f>
        <v>5064297</v>
      </c>
      <c r="AE7" s="167">
        <v>5071665</v>
      </c>
      <c r="AF7" s="275">
        <f>IFERROR((AE7-AD7)," ")</f>
        <v>7368</v>
      </c>
      <c r="AG7" s="168">
        <v>20</v>
      </c>
      <c r="AH7" s="168">
        <v>24</v>
      </c>
      <c r="AI7" s="166"/>
      <c r="AJ7" s="166"/>
      <c r="AK7" s="166">
        <f>IF(OR(AH7="",AG7=""),"",AH7*AG7*3.6)</f>
        <v>1728</v>
      </c>
      <c r="AL7" s="167">
        <f>+BDFUENTES[[#This Row],[PZ CHB m3/día]]/3.6/BDFUENTES[[#This Row],[PZ CHB Horas Activo]]</f>
        <v>36.857638888888886</v>
      </c>
      <c r="AM7" s="171">
        <v>16</v>
      </c>
      <c r="AN7" s="168">
        <f t="shared" si="10"/>
        <v>3514477</v>
      </c>
      <c r="AO7" s="168">
        <v>3516600</v>
      </c>
      <c r="AP7" s="167">
        <f>IFERROR((AO7-AN7)," ")</f>
        <v>2123</v>
      </c>
      <c r="AQ7" s="166"/>
      <c r="AR7" s="166" t="str">
        <f>IFERROR(+AU7/(AQ7*3.6)," ")</f>
        <v xml:space="preserve"> </v>
      </c>
      <c r="AS7" s="168" t="str">
        <f>IF(AT7&gt;0,#REF!," ")</f>
        <v xml:space="preserve"> </v>
      </c>
      <c r="AT7" s="168"/>
      <c r="AU7" s="166" t="str">
        <f>IFERROR((AT7-AS7)," ")</f>
        <v xml:space="preserve"> </v>
      </c>
      <c r="AV7" s="167">
        <f>+BDFUENTES[[#This Row],[PZ TM m3/día]]/3.6/BDFUENTES[[#This Row],[PZ TM Horas Activo]]</f>
        <v>11.148148148148149</v>
      </c>
      <c r="AW7" s="167">
        <v>15</v>
      </c>
      <c r="AX7" s="169">
        <f t="shared" si="11"/>
        <v>565792</v>
      </c>
      <c r="AY7" s="169">
        <v>566394</v>
      </c>
      <c r="AZ7" s="167">
        <f>IFERROR((AY7-AX7)," ")</f>
        <v>602</v>
      </c>
      <c r="BA7" s="166">
        <v>125</v>
      </c>
      <c r="BB7" s="166">
        <f t="shared" si="3"/>
        <v>3.9733333333333332</v>
      </c>
      <c r="BC7" s="168">
        <f t="shared" si="12"/>
        <v>5871128</v>
      </c>
      <c r="BD7" s="168">
        <v>5872916</v>
      </c>
      <c r="BE7" s="166">
        <f>IFERROR((BD7-BC7)," ")</f>
        <v>1788</v>
      </c>
      <c r="BF7" s="167">
        <v>20</v>
      </c>
      <c r="BG7" s="166">
        <f t="shared" si="4"/>
        <v>18.083333333333332</v>
      </c>
      <c r="BH7" s="168">
        <f t="shared" si="13"/>
        <v>1528910</v>
      </c>
      <c r="BI7" s="168">
        <v>1530212</v>
      </c>
      <c r="BJ7" s="167">
        <f>IFERROR((BI7-BH7)," ")</f>
        <v>1302</v>
      </c>
      <c r="BK7" s="166">
        <v>70</v>
      </c>
      <c r="BL7" s="166">
        <f t="shared" si="5"/>
        <v>18.503968253968253</v>
      </c>
      <c r="BM7" s="168">
        <f t="shared" si="14"/>
        <v>6112903</v>
      </c>
      <c r="BN7" s="168">
        <v>6117566</v>
      </c>
      <c r="BO7" s="166">
        <f>IFERROR((BN7-BM7)," ")</f>
        <v>4663</v>
      </c>
    </row>
    <row r="8" spans="1:67" ht="15.75" customHeight="1" x14ac:dyDescent="0.25">
      <c r="A8" s="4">
        <f t="shared" si="1"/>
        <v>1</v>
      </c>
      <c r="B8" s="170">
        <v>46026</v>
      </c>
      <c r="C8" s="273">
        <v>38</v>
      </c>
      <c r="D8" s="166">
        <f>IFERROR(+G8/(C8*3.6)," ")</f>
        <v>13.311403508771928</v>
      </c>
      <c r="E8" s="168">
        <f t="shared" si="15"/>
        <v>3741378</v>
      </c>
      <c r="F8" s="168">
        <v>3743199</v>
      </c>
      <c r="G8" s="166">
        <f>IFERROR((F8-E8)," ")</f>
        <v>1821</v>
      </c>
      <c r="H8" s="167">
        <v>25</v>
      </c>
      <c r="I8" s="167">
        <f>IFERROR(+L8/(H8*3.6)," ")</f>
        <v>0</v>
      </c>
      <c r="J8" s="168">
        <f t="shared" si="6"/>
        <v>1970853</v>
      </c>
      <c r="K8" s="266">
        <v>1970853</v>
      </c>
      <c r="L8" s="167">
        <f>IFERROR((K8-J8)," ")</f>
        <v>0</v>
      </c>
      <c r="M8" s="166">
        <v>38</v>
      </c>
      <c r="N8" s="166">
        <f>IFERROR(+Q8/(M8*3.6)," ")</f>
        <v>0</v>
      </c>
      <c r="O8" s="168">
        <f t="shared" si="7"/>
        <v>414403</v>
      </c>
      <c r="P8" s="168">
        <v>414403</v>
      </c>
      <c r="Q8" s="166">
        <f>IFERROR((P8-O8)," ")</f>
        <v>0</v>
      </c>
      <c r="R8" s="167">
        <v>0</v>
      </c>
      <c r="S8" s="167">
        <v>0</v>
      </c>
      <c r="T8" s="168">
        <f t="shared" si="8"/>
        <v>231863</v>
      </c>
      <c r="U8" s="168">
        <v>231863</v>
      </c>
      <c r="V8" s="274">
        <f>IFERROR((U8-T8)," ")</f>
        <v>0</v>
      </c>
      <c r="W8" s="273">
        <f>IFERROR((AA8/X8)/3.6," ")</f>
        <v>454.0162037037037</v>
      </c>
      <c r="X8" s="166">
        <v>24</v>
      </c>
      <c r="Y8" s="168">
        <f t="shared" si="9"/>
        <v>724962</v>
      </c>
      <c r="Z8" s="168">
        <v>764189</v>
      </c>
      <c r="AA8" s="164">
        <f>IFERROR((Z8-Y8)," ")</f>
        <v>39227</v>
      </c>
      <c r="AB8" s="168">
        <f>IFERROR(ROUNDDOWN(+AF8/(AC8*3.6),0)," ")</f>
        <v>79</v>
      </c>
      <c r="AC8" s="168">
        <v>24</v>
      </c>
      <c r="AD8" s="171">
        <f t="shared" si="16"/>
        <v>5071665</v>
      </c>
      <c r="AE8" s="167">
        <v>5078571</v>
      </c>
      <c r="AF8" s="275">
        <f>IFERROR((AE8-AD8)," ")</f>
        <v>6906</v>
      </c>
      <c r="AG8" s="168">
        <v>20</v>
      </c>
      <c r="AH8" s="168">
        <v>24</v>
      </c>
      <c r="AI8" s="166"/>
      <c r="AJ8" s="166"/>
      <c r="AK8" s="166">
        <f>IF(OR(AH8="",AG8=""),"",AH8*AG8*3.6)</f>
        <v>1728</v>
      </c>
      <c r="AL8" s="167">
        <f>+BDFUENTES[[#This Row],[PZ CHB m3/día]]/3.6/BDFUENTES[[#This Row],[PZ CHB Horas Activo]]</f>
        <v>38.83986928104575</v>
      </c>
      <c r="AM8" s="171">
        <v>17</v>
      </c>
      <c r="AN8" s="168">
        <f t="shared" si="10"/>
        <v>3516600</v>
      </c>
      <c r="AO8" s="168">
        <v>3518977</v>
      </c>
      <c r="AP8" s="167">
        <f>IFERROR((AO8-AN8)," ")</f>
        <v>2377</v>
      </c>
      <c r="AQ8" s="166"/>
      <c r="AR8" s="166" t="str">
        <f>IFERROR(+AU8/(AQ8*3.6)," ")</f>
        <v xml:space="preserve"> </v>
      </c>
      <c r="AS8" s="168" t="str">
        <f>IF(AT8&gt;0,#REF!," ")</f>
        <v xml:space="preserve"> </v>
      </c>
      <c r="AT8" s="168"/>
      <c r="AU8" s="166" t="str">
        <f>IFERROR((AT8-AS8)," ")</f>
        <v xml:space="preserve"> </v>
      </c>
      <c r="AV8" s="167">
        <f>+BDFUENTES[[#This Row],[PZ TM m3/día]]/3.6/BDFUENTES[[#This Row],[PZ TM Horas Activo]]</f>
        <v>10.074074074074074</v>
      </c>
      <c r="AW8" s="167">
        <v>15</v>
      </c>
      <c r="AX8" s="169">
        <f t="shared" si="11"/>
        <v>566394</v>
      </c>
      <c r="AY8" s="169">
        <v>566938</v>
      </c>
      <c r="AZ8" s="167">
        <f>IFERROR((AY8-AX8)," ")</f>
        <v>544</v>
      </c>
      <c r="BA8" s="166">
        <v>125</v>
      </c>
      <c r="BB8" s="166">
        <f t="shared" si="3"/>
        <v>4.0555555555555554</v>
      </c>
      <c r="BC8" s="168">
        <f t="shared" si="12"/>
        <v>5872916</v>
      </c>
      <c r="BD8" s="168">
        <v>5874741</v>
      </c>
      <c r="BE8" s="166">
        <f>IFERROR((BD8-BC8)," ")</f>
        <v>1825</v>
      </c>
      <c r="BF8" s="167">
        <v>20</v>
      </c>
      <c r="BG8" s="166">
        <f t="shared" si="4"/>
        <v>18.638888888888889</v>
      </c>
      <c r="BH8" s="168">
        <f t="shared" si="13"/>
        <v>1530212</v>
      </c>
      <c r="BI8" s="168">
        <v>1531554</v>
      </c>
      <c r="BJ8" s="167">
        <f>IFERROR((BI8-BH8)," ")</f>
        <v>1342</v>
      </c>
      <c r="BK8" s="166">
        <v>70</v>
      </c>
      <c r="BL8" s="166">
        <f t="shared" si="5"/>
        <v>16.281746031746032</v>
      </c>
      <c r="BM8" s="168">
        <f t="shared" si="14"/>
        <v>6117566</v>
      </c>
      <c r="BN8" s="168">
        <v>6121669</v>
      </c>
      <c r="BO8" s="166">
        <f>IFERROR((BN8-BM8)," ")</f>
        <v>4103</v>
      </c>
    </row>
    <row r="9" spans="1:67" s="38" customFormat="1" ht="15.75" customHeight="1" x14ac:dyDescent="0.25">
      <c r="A9" s="4">
        <f t="shared" si="1"/>
        <v>1</v>
      </c>
      <c r="B9" s="170">
        <v>46027</v>
      </c>
      <c r="C9" s="164">
        <v>38</v>
      </c>
      <c r="D9" s="166">
        <f t="shared" ref="D9:D16" si="17">IFERROR(+G9/(C9*3.6)," ")</f>
        <v>13.362573099415204</v>
      </c>
      <c r="E9" s="168">
        <f t="shared" ref="E9:E38" si="18">IF(F9&gt;0,F8," ")</f>
        <v>3743199</v>
      </c>
      <c r="F9" s="168">
        <v>3745027</v>
      </c>
      <c r="G9" s="166">
        <f t="shared" ref="G9:G38" si="19">IFERROR((F9-E9)," ")</f>
        <v>1828</v>
      </c>
      <c r="H9" s="167">
        <v>25</v>
      </c>
      <c r="I9" s="167">
        <f t="shared" ref="I9:I14" si="20">IFERROR(+L9/(H9*3.6)," ")</f>
        <v>0</v>
      </c>
      <c r="J9" s="168">
        <f t="shared" ref="J9:J14" si="21">IF(K9&gt;0,K8," ")</f>
        <v>1970853</v>
      </c>
      <c r="K9" s="266">
        <v>1970853</v>
      </c>
      <c r="L9" s="167">
        <f t="shared" ref="L9:L14" si="22">IFERROR((K9-J9)," ")</f>
        <v>0</v>
      </c>
      <c r="M9" s="166">
        <v>38</v>
      </c>
      <c r="N9" s="166">
        <f t="shared" ref="N9:N14" si="23">IFERROR(+Q9/(M9*3.6)," ")</f>
        <v>0</v>
      </c>
      <c r="O9" s="168">
        <f t="shared" ref="O9:O20" si="24">IF(P9&gt;0,P8," ")</f>
        <v>414403</v>
      </c>
      <c r="P9" s="168">
        <v>414403</v>
      </c>
      <c r="Q9" s="166">
        <f t="shared" ref="Q9:Q20" si="25">IFERROR((P9-O9)," ")</f>
        <v>0</v>
      </c>
      <c r="R9" s="167">
        <v>0</v>
      </c>
      <c r="S9" s="167">
        <v>0</v>
      </c>
      <c r="T9" s="168">
        <f t="shared" ref="T9:T30" si="26">IF(U9&gt;0,U8," ")</f>
        <v>231863</v>
      </c>
      <c r="U9" s="168">
        <v>231990</v>
      </c>
      <c r="V9" s="165">
        <f t="shared" ref="V9:V30" si="27">IFERROR((U9-T9)," ")</f>
        <v>127</v>
      </c>
      <c r="W9" s="164">
        <f t="shared" ref="W9:W36" si="28">IFERROR((AA9/X9)/3.6," ")</f>
        <v>454.91898148148147</v>
      </c>
      <c r="X9" s="166">
        <v>24</v>
      </c>
      <c r="Y9" s="168">
        <f t="shared" ref="Y9:Y28" si="29">IF(Z9&gt;0,Z8," ")</f>
        <v>764189</v>
      </c>
      <c r="Z9" s="168">
        <v>803621</v>
      </c>
      <c r="AA9" s="164">
        <f>IFERROR((Z9-Y9)," ")-127</f>
        <v>39305</v>
      </c>
      <c r="AB9" s="168">
        <f t="shared" ref="AB9:AB29" si="30">IFERROR(ROUNDDOWN(+AF9/(AC9*3.6),0)," ")</f>
        <v>77</v>
      </c>
      <c r="AC9" s="168">
        <v>24</v>
      </c>
      <c r="AD9" s="171">
        <f t="shared" ref="AD9:AD26" si="31">IF(AE9&gt;0,AE8," ")</f>
        <v>5078571</v>
      </c>
      <c r="AE9" s="168">
        <v>5085283</v>
      </c>
      <c r="AF9" s="165">
        <f t="shared" ref="AF9:AF26" si="32">IFERROR((AE9-AD9)," ")</f>
        <v>6712</v>
      </c>
      <c r="AG9" s="168">
        <v>20</v>
      </c>
      <c r="AH9" s="168">
        <v>24</v>
      </c>
      <c r="AI9" s="166"/>
      <c r="AJ9" s="166"/>
      <c r="AK9" s="166">
        <f t="shared" ref="AK9:AK14" si="33">IF(OR(AH9="",AG9=""),"",AH9*AG9*3.6)</f>
        <v>1728</v>
      </c>
      <c r="AL9" s="167">
        <f>+BDFUENTES[[#This Row],[PZ CHB m3/día]]/3.6/BDFUENTES[[#This Row],[PZ CHB Horas Activo]]</f>
        <v>38.496732026143789</v>
      </c>
      <c r="AM9" s="171">
        <v>17</v>
      </c>
      <c r="AN9" s="168">
        <f t="shared" ref="AN9:AN34" si="34">IF(AO9&gt;0,AO8," ")</f>
        <v>3518977</v>
      </c>
      <c r="AO9" s="168">
        <v>3521333</v>
      </c>
      <c r="AP9" s="167">
        <f t="shared" ref="AP9:AP34" si="35">IFERROR((AO9-AN9)," ")</f>
        <v>2356</v>
      </c>
      <c r="AQ9" s="166"/>
      <c r="AR9" s="166" t="str">
        <f t="shared" ref="AR9:AR34" si="36">IFERROR(+AU9/(AQ9*3.6)," ")</f>
        <v xml:space="preserve"> </v>
      </c>
      <c r="AS9" s="168" t="str">
        <f t="shared" ref="AS9:AS34" si="37">IF(AT9&gt;0,AT8," ")</f>
        <v xml:space="preserve"> </v>
      </c>
      <c r="AT9" s="168"/>
      <c r="AU9" s="166" t="str">
        <f t="shared" ref="AU9:AU34" si="38">IFERROR((AT9-AS9)," ")</f>
        <v xml:space="preserve"> </v>
      </c>
      <c r="AV9" s="167">
        <f>+BDFUENTES[[#This Row],[PZ TM m3/día]]/3.6/BDFUENTES[[#This Row],[PZ TM Horas Activo]]</f>
        <v>11.458333333333334</v>
      </c>
      <c r="AW9" s="167">
        <v>16</v>
      </c>
      <c r="AX9" s="169">
        <f t="shared" ref="AX9:AX33" si="39">IF(AY9&gt;0,AY8," ")</f>
        <v>566938</v>
      </c>
      <c r="AY9" s="169">
        <v>567598</v>
      </c>
      <c r="AZ9" s="167">
        <f t="shared" ref="AZ9:AZ33" si="40">IFERROR((AY9-AX9)," ")</f>
        <v>660</v>
      </c>
      <c r="BA9" s="166">
        <v>125</v>
      </c>
      <c r="BB9" s="166">
        <f t="shared" ref="BB9" si="41">IFERROR(+BE9/(BA9*3.6)," ")</f>
        <v>4.3822222222222225</v>
      </c>
      <c r="BC9" s="168">
        <f t="shared" ref="BC9:BC38" si="42">IF(BD9&gt;0,BD8," ")</f>
        <v>5874741</v>
      </c>
      <c r="BD9" s="168">
        <v>5876713</v>
      </c>
      <c r="BE9" s="166">
        <f t="shared" ref="BE9:BE38" si="43">IFERROR((BD9-BC9)," ")</f>
        <v>1972</v>
      </c>
      <c r="BF9" s="167">
        <v>20</v>
      </c>
      <c r="BG9" s="166">
        <f t="shared" si="4"/>
        <v>16.152777777777779</v>
      </c>
      <c r="BH9" s="168">
        <f t="shared" ref="BH9:BH34" si="44">IF(BI9&gt;0,BI8," ")</f>
        <v>1531554</v>
      </c>
      <c r="BI9" s="168">
        <v>1532717</v>
      </c>
      <c r="BJ9" s="167">
        <f t="shared" ref="BJ9:BJ34" si="45">IFERROR((BI9-BH9)," ")</f>
        <v>1163</v>
      </c>
      <c r="BK9" s="166">
        <v>70</v>
      </c>
      <c r="BL9" s="166">
        <f t="shared" ref="BL9:BL11" si="46">IFERROR(+BO9/(BK9*3.6)," ")</f>
        <v>19.317460317460316</v>
      </c>
      <c r="BM9" s="168">
        <f t="shared" ref="BM9:BM32" si="47">IF(BN9&gt;0,BN8," ")</f>
        <v>6121669</v>
      </c>
      <c r="BN9" s="168">
        <v>6126537</v>
      </c>
      <c r="BO9" s="166">
        <f t="shared" ref="BO9:BO32" si="48">IFERROR((BN9-BM9)," ")</f>
        <v>4868</v>
      </c>
    </row>
    <row r="10" spans="1:67" ht="15" customHeight="1" x14ac:dyDescent="0.25">
      <c r="A10" s="4">
        <f t="shared" si="1"/>
        <v>1</v>
      </c>
      <c r="B10" s="170">
        <v>46028</v>
      </c>
      <c r="C10" s="164">
        <v>38</v>
      </c>
      <c r="D10" s="166">
        <f t="shared" si="17"/>
        <v>13.421052631578947</v>
      </c>
      <c r="E10" s="168">
        <f t="shared" si="18"/>
        <v>3745027</v>
      </c>
      <c r="F10" s="168">
        <v>3746863</v>
      </c>
      <c r="G10" s="166">
        <f t="shared" si="19"/>
        <v>1836</v>
      </c>
      <c r="H10" s="167">
        <v>25</v>
      </c>
      <c r="I10" s="167">
        <f t="shared" ref="I10" si="49">IFERROR(+L10/(H10*3.6)," ")</f>
        <v>0</v>
      </c>
      <c r="J10" s="168">
        <f t="shared" ref="J10" si="50">IF(K10&gt;0,K9," ")</f>
        <v>1970853</v>
      </c>
      <c r="K10" s="266">
        <v>1970853</v>
      </c>
      <c r="L10" s="167">
        <f t="shared" ref="L10" si="51">IFERROR((K10-J10)," ")</f>
        <v>0</v>
      </c>
      <c r="M10" s="166">
        <v>38</v>
      </c>
      <c r="N10" s="166">
        <f t="shared" ref="N10" si="52">IFERROR(+Q10/(M10*3.6)," ")</f>
        <v>0</v>
      </c>
      <c r="O10" s="168">
        <f t="shared" ref="O10" si="53">IF(P10&gt;0,P9," ")</f>
        <v>414403</v>
      </c>
      <c r="P10" s="168">
        <v>414403</v>
      </c>
      <c r="Q10" s="166">
        <f t="shared" ref="Q10" si="54">IFERROR((P10-O10)," ")</f>
        <v>0</v>
      </c>
      <c r="R10" s="167">
        <v>0</v>
      </c>
      <c r="S10" s="167">
        <v>0</v>
      </c>
      <c r="T10" s="168">
        <f t="shared" ref="T10" si="55">IF(U10&gt;0,U9," ")</f>
        <v>231990</v>
      </c>
      <c r="U10" s="168">
        <v>231990</v>
      </c>
      <c r="V10" s="165">
        <f t="shared" ref="V10" si="56">IFERROR((U10-T10)," ")</f>
        <v>0</v>
      </c>
      <c r="W10" s="164">
        <f t="shared" ref="W10" si="57">IFERROR((AA10/X10)/3.6," ")</f>
        <v>416.35416666666663</v>
      </c>
      <c r="X10" s="166">
        <v>24</v>
      </c>
      <c r="Y10" s="168">
        <f t="shared" si="29"/>
        <v>803621</v>
      </c>
      <c r="Z10" s="168">
        <v>839594</v>
      </c>
      <c r="AA10" s="165">
        <f t="shared" ref="AA10:AA22" si="58">IFERROR((Z10-Y10)," ")</f>
        <v>35973</v>
      </c>
      <c r="AB10" s="168">
        <f t="shared" ref="AB10" si="59">IFERROR(ROUNDDOWN(+AF10/(AC10*3.6),0)," ")</f>
        <v>77</v>
      </c>
      <c r="AC10" s="168">
        <v>24</v>
      </c>
      <c r="AD10" s="171">
        <f t="shared" si="31"/>
        <v>5085283</v>
      </c>
      <c r="AE10" s="167">
        <v>5091948</v>
      </c>
      <c r="AF10" s="165">
        <f t="shared" si="32"/>
        <v>6665</v>
      </c>
      <c r="AG10" s="168">
        <v>20</v>
      </c>
      <c r="AH10" s="168">
        <v>24</v>
      </c>
      <c r="AI10" s="166"/>
      <c r="AJ10" s="166"/>
      <c r="AK10" s="166">
        <f t="shared" ref="AK10" si="60">IF(OR(AH10="",AG10=""),"",AH10*AG10*3.6)</f>
        <v>1728</v>
      </c>
      <c r="AL10" s="167">
        <f>+BDFUENTES[[#This Row],[PZ CHB m3/día]]/3.6/BDFUENTES[[#This Row],[PZ CHB Horas Activo]]</f>
        <v>39.526143790849673</v>
      </c>
      <c r="AM10" s="171">
        <v>17</v>
      </c>
      <c r="AN10" s="168">
        <f t="shared" si="34"/>
        <v>3521333</v>
      </c>
      <c r="AO10" s="168">
        <v>3523752</v>
      </c>
      <c r="AP10" s="167">
        <f t="shared" si="35"/>
        <v>2419</v>
      </c>
      <c r="AQ10" s="166"/>
      <c r="AR10" s="166" t="str">
        <f t="shared" si="36"/>
        <v xml:space="preserve"> </v>
      </c>
      <c r="AS10" s="168" t="str">
        <f t="shared" si="37"/>
        <v xml:space="preserve"> </v>
      </c>
      <c r="AT10" s="168"/>
      <c r="AU10" s="166" t="str">
        <f t="shared" si="38"/>
        <v xml:space="preserve"> </v>
      </c>
      <c r="AV10" s="167">
        <f>+BDFUENTES[[#This Row],[PZ TM m3/día]]/3.6/BDFUENTES[[#This Row],[PZ TM Horas Activo]]</f>
        <v>11.092592592592592</v>
      </c>
      <c r="AW10" s="167">
        <v>15</v>
      </c>
      <c r="AX10" s="169">
        <f t="shared" si="39"/>
        <v>567598</v>
      </c>
      <c r="AY10" s="169">
        <v>568197</v>
      </c>
      <c r="AZ10" s="167">
        <f t="shared" si="40"/>
        <v>599</v>
      </c>
      <c r="BA10" s="166">
        <v>125</v>
      </c>
      <c r="BB10" s="166">
        <f t="shared" ref="BB10:BB11" si="61">IFERROR(+BE10/(BA10*3.6)," ")</f>
        <v>4.264444444444444</v>
      </c>
      <c r="BC10" s="168">
        <f t="shared" si="42"/>
        <v>5876713</v>
      </c>
      <c r="BD10" s="168">
        <v>5878632</v>
      </c>
      <c r="BE10" s="166">
        <f t="shared" si="43"/>
        <v>1919</v>
      </c>
      <c r="BF10" s="167">
        <v>20</v>
      </c>
      <c r="BG10" s="166">
        <f t="shared" ref="BG10:BG11" si="62">IFERROR(+BJ10/(BF10*3.6)," ")</f>
        <v>17.375</v>
      </c>
      <c r="BH10" s="168">
        <f t="shared" si="44"/>
        <v>1532717</v>
      </c>
      <c r="BI10" s="168">
        <v>1533968</v>
      </c>
      <c r="BJ10" s="167">
        <f t="shared" si="45"/>
        <v>1251</v>
      </c>
      <c r="BK10" s="166">
        <v>70</v>
      </c>
      <c r="BL10" s="166">
        <f t="shared" ref="BL10" si="63">IFERROR(+BO10/(BK10*3.6)," ")</f>
        <v>16.662698412698411</v>
      </c>
      <c r="BM10" s="168">
        <f t="shared" si="47"/>
        <v>6126537</v>
      </c>
      <c r="BN10" s="168">
        <v>6130736</v>
      </c>
      <c r="BO10" s="166">
        <f t="shared" si="48"/>
        <v>4199</v>
      </c>
    </row>
    <row r="11" spans="1:67" ht="15" customHeight="1" x14ac:dyDescent="0.25">
      <c r="A11" s="4">
        <f t="shared" si="1"/>
        <v>1</v>
      </c>
      <c r="B11" s="170">
        <v>46029</v>
      </c>
      <c r="C11" s="164">
        <v>38</v>
      </c>
      <c r="D11" s="166">
        <f t="shared" si="17"/>
        <v>13.289473684210526</v>
      </c>
      <c r="E11" s="168">
        <f t="shared" si="18"/>
        <v>3746863</v>
      </c>
      <c r="F11" s="168">
        <v>3748681</v>
      </c>
      <c r="G11" s="166">
        <f t="shared" si="19"/>
        <v>1818</v>
      </c>
      <c r="H11" s="167">
        <v>25</v>
      </c>
      <c r="I11" s="167">
        <f t="shared" ref="I11" si="64">IFERROR(+L11/(H11*3.6)," ")</f>
        <v>0</v>
      </c>
      <c r="J11" s="168">
        <f t="shared" ref="J11" si="65">IF(K11&gt;0,K10," ")</f>
        <v>1970853</v>
      </c>
      <c r="K11" s="266">
        <v>1970853</v>
      </c>
      <c r="L11" s="167">
        <f t="shared" ref="L11" si="66">IFERROR((K11-J11)," ")</f>
        <v>0</v>
      </c>
      <c r="M11" s="166">
        <v>38</v>
      </c>
      <c r="N11" s="166">
        <f t="shared" ref="N11" si="67">IFERROR(+Q11/(M11*3.6)," ")</f>
        <v>0</v>
      </c>
      <c r="O11" s="168">
        <f t="shared" ref="O11" si="68">IF(P11&gt;0,P10," ")</f>
        <v>414403</v>
      </c>
      <c r="P11" s="168">
        <v>414403</v>
      </c>
      <c r="Q11" s="166">
        <f t="shared" ref="Q11" si="69">IFERROR((P11-O11)," ")</f>
        <v>0</v>
      </c>
      <c r="R11" s="167">
        <v>0</v>
      </c>
      <c r="S11" s="167">
        <v>0</v>
      </c>
      <c r="T11" s="168">
        <f t="shared" si="26"/>
        <v>231990</v>
      </c>
      <c r="U11" s="168">
        <v>232061</v>
      </c>
      <c r="V11" s="165">
        <v>0</v>
      </c>
      <c r="W11" s="164">
        <f t="shared" si="28"/>
        <v>432.96296296296299</v>
      </c>
      <c r="X11" s="166">
        <v>24</v>
      </c>
      <c r="Y11" s="168">
        <f t="shared" si="29"/>
        <v>839594</v>
      </c>
      <c r="Z11" s="168">
        <v>877002</v>
      </c>
      <c r="AA11" s="164">
        <f>IFERROR((Z11-Y11)," ")</f>
        <v>37408</v>
      </c>
      <c r="AB11" s="168">
        <f t="shared" si="30"/>
        <v>77</v>
      </c>
      <c r="AC11" s="168">
        <v>24</v>
      </c>
      <c r="AD11" s="171">
        <f t="shared" si="31"/>
        <v>5091948</v>
      </c>
      <c r="AE11" s="167">
        <v>5098663</v>
      </c>
      <c r="AF11" s="165">
        <f t="shared" si="32"/>
        <v>6715</v>
      </c>
      <c r="AG11" s="168">
        <v>20</v>
      </c>
      <c r="AH11" s="168">
        <v>24</v>
      </c>
      <c r="AI11" s="166"/>
      <c r="AJ11" s="166"/>
      <c r="AK11" s="166">
        <f t="shared" ref="AK11" si="70">IF(OR(AH11="",AG11=""),"",AH11*AG11*3.6)</f>
        <v>1728</v>
      </c>
      <c r="AL11" s="167">
        <f>+BDFUENTES[[#This Row],[PZ CHB m3/día]]/3.6/BDFUENTES[[#This Row],[PZ CHB Horas Activo]]</f>
        <v>39.068627450980387</v>
      </c>
      <c r="AM11" s="171">
        <v>17</v>
      </c>
      <c r="AN11" s="168">
        <f t="shared" si="34"/>
        <v>3523752</v>
      </c>
      <c r="AO11" s="168">
        <v>3526143</v>
      </c>
      <c r="AP11" s="167">
        <f t="shared" si="35"/>
        <v>2391</v>
      </c>
      <c r="AQ11" s="166"/>
      <c r="AR11" s="166" t="str">
        <f t="shared" si="36"/>
        <v xml:space="preserve"> </v>
      </c>
      <c r="AS11" s="168" t="str">
        <f t="shared" si="37"/>
        <v xml:space="preserve"> </v>
      </c>
      <c r="AT11" s="168"/>
      <c r="AU11" s="166" t="str">
        <f t="shared" si="38"/>
        <v xml:space="preserve"> </v>
      </c>
      <c r="AV11" s="167">
        <f>+BDFUENTES[[#This Row],[PZ TM m3/día]]/3.6/BDFUENTES[[#This Row],[PZ TM Horas Activo]]</f>
        <v>11.277777777777777</v>
      </c>
      <c r="AW11" s="167">
        <v>15</v>
      </c>
      <c r="AX11" s="169">
        <f t="shared" si="39"/>
        <v>568197</v>
      </c>
      <c r="AY11" s="169">
        <v>568806</v>
      </c>
      <c r="AZ11" s="167">
        <f t="shared" si="40"/>
        <v>609</v>
      </c>
      <c r="BA11" s="166">
        <v>125</v>
      </c>
      <c r="BB11" s="166">
        <f t="shared" si="61"/>
        <v>4.12</v>
      </c>
      <c r="BC11" s="168">
        <f t="shared" si="42"/>
        <v>5878632</v>
      </c>
      <c r="BD11" s="168">
        <v>5880486</v>
      </c>
      <c r="BE11" s="166">
        <f t="shared" si="43"/>
        <v>1854</v>
      </c>
      <c r="BF11" s="167">
        <v>20</v>
      </c>
      <c r="BG11" s="166">
        <f t="shared" si="62"/>
        <v>17.638888888888889</v>
      </c>
      <c r="BH11" s="168">
        <f t="shared" si="44"/>
        <v>1533968</v>
      </c>
      <c r="BI11" s="168">
        <v>1535238</v>
      </c>
      <c r="BJ11" s="167">
        <f t="shared" si="45"/>
        <v>1270</v>
      </c>
      <c r="BK11" s="166">
        <v>70</v>
      </c>
      <c r="BL11" s="166">
        <f t="shared" si="46"/>
        <v>18.936507936507937</v>
      </c>
      <c r="BM11" s="168">
        <f t="shared" si="47"/>
        <v>6130736</v>
      </c>
      <c r="BN11" s="168">
        <v>6135508</v>
      </c>
      <c r="BO11" s="166">
        <f t="shared" si="48"/>
        <v>4772</v>
      </c>
    </row>
    <row r="12" spans="1:67" ht="15" customHeight="1" x14ac:dyDescent="0.25">
      <c r="A12" s="4">
        <f t="shared" si="1"/>
        <v>1</v>
      </c>
      <c r="B12" s="170">
        <v>46030</v>
      </c>
      <c r="C12" s="164">
        <v>38</v>
      </c>
      <c r="D12" s="166">
        <f t="shared" ref="D12:D13" si="71">IFERROR(+G12/(C12*3.6)," ")</f>
        <v>13.450292397660817</v>
      </c>
      <c r="E12" s="168">
        <f t="shared" si="18"/>
        <v>3748681</v>
      </c>
      <c r="F12" s="168">
        <v>3750521</v>
      </c>
      <c r="G12" s="166">
        <f t="shared" si="19"/>
        <v>1840</v>
      </c>
      <c r="H12" s="167">
        <v>25</v>
      </c>
      <c r="I12" s="167">
        <f t="shared" ref="I12" si="72">IFERROR(+L12/(H12*3.6)," ")</f>
        <v>0</v>
      </c>
      <c r="J12" s="168">
        <f t="shared" ref="J12" si="73">IF(K12&gt;0,K11," ")</f>
        <v>1970853</v>
      </c>
      <c r="K12" s="266">
        <v>1970853</v>
      </c>
      <c r="L12" s="167">
        <f t="shared" ref="L12" si="74">IFERROR((K12-J12)," ")</f>
        <v>0</v>
      </c>
      <c r="M12" s="166">
        <v>38</v>
      </c>
      <c r="N12" s="166">
        <f t="shared" ref="N12" si="75">IFERROR(+Q12/(M12*3.6)," ")</f>
        <v>0</v>
      </c>
      <c r="O12" s="168">
        <f t="shared" ref="O12" si="76">IF(P12&gt;0,P11," ")</f>
        <v>414403</v>
      </c>
      <c r="P12" s="168">
        <v>414403</v>
      </c>
      <c r="Q12" s="166">
        <f t="shared" ref="Q12" si="77">IFERROR((P12-O12)," ")</f>
        <v>0</v>
      </c>
      <c r="R12" s="167">
        <v>0</v>
      </c>
      <c r="S12" s="167">
        <v>0</v>
      </c>
      <c r="T12" s="168">
        <f t="shared" si="26"/>
        <v>232061</v>
      </c>
      <c r="U12" s="168">
        <v>232133</v>
      </c>
      <c r="V12" s="165">
        <v>0</v>
      </c>
      <c r="W12" s="164">
        <f t="shared" ref="W12" si="78">IFERROR((AA12/X12)/3.6," ")</f>
        <v>463.61262980509275</v>
      </c>
      <c r="X12" s="166">
        <v>24</v>
      </c>
      <c r="Y12" s="168">
        <f t="shared" si="29"/>
        <v>877002</v>
      </c>
      <c r="Z12" s="168">
        <v>917058.13121516001</v>
      </c>
      <c r="AA12" s="164">
        <f>IFERROR((Z12-Y12)," ")</f>
        <v>40056.131215160014</v>
      </c>
      <c r="AB12" s="168">
        <f t="shared" ref="AB12" si="79">IFERROR(ROUNDDOWN(+AF12/(AC12*3.6),0)," ")</f>
        <v>79</v>
      </c>
      <c r="AC12" s="168">
        <v>24</v>
      </c>
      <c r="AD12" s="171">
        <f t="shared" si="31"/>
        <v>5098663</v>
      </c>
      <c r="AE12" s="167">
        <v>5105497</v>
      </c>
      <c r="AF12" s="165">
        <f t="shared" si="32"/>
        <v>6834</v>
      </c>
      <c r="AG12" s="168">
        <v>20</v>
      </c>
      <c r="AH12" s="168">
        <v>24</v>
      </c>
      <c r="AI12" s="166"/>
      <c r="AJ12" s="166"/>
      <c r="AK12" s="166">
        <f t="shared" ref="AK12" si="80">IF(OR(AH12="",AG12=""),"",AH12*AG12*3.6)</f>
        <v>1728</v>
      </c>
      <c r="AL12" s="167">
        <f>+BDFUENTES[[#This Row],[PZ CHB m3/día]]/3.6/BDFUENTES[[#This Row],[PZ CHB Horas Activo]]</f>
        <v>39.243827160493829</v>
      </c>
      <c r="AM12" s="171">
        <v>18</v>
      </c>
      <c r="AN12" s="168">
        <f t="shared" si="34"/>
        <v>3526143</v>
      </c>
      <c r="AO12" s="168">
        <v>3528686</v>
      </c>
      <c r="AP12" s="167">
        <f t="shared" si="35"/>
        <v>2543</v>
      </c>
      <c r="AQ12" s="166"/>
      <c r="AR12" s="166" t="str">
        <f t="shared" si="36"/>
        <v xml:space="preserve"> </v>
      </c>
      <c r="AS12" s="168" t="str">
        <f t="shared" si="37"/>
        <v xml:space="preserve"> </v>
      </c>
      <c r="AT12" s="168"/>
      <c r="AU12" s="166" t="str">
        <f t="shared" si="38"/>
        <v xml:space="preserve"> </v>
      </c>
      <c r="AV12" s="167">
        <f>+BDFUENTES[[#This Row],[PZ TM m3/día]]/3.6/BDFUENTES[[#This Row],[PZ TM Horas Activo]]</f>
        <v>11.333333333333334</v>
      </c>
      <c r="AW12" s="167">
        <v>15</v>
      </c>
      <c r="AX12" s="169">
        <f t="shared" si="39"/>
        <v>568806</v>
      </c>
      <c r="AY12" s="169">
        <v>569418</v>
      </c>
      <c r="AZ12" s="167">
        <f t="shared" si="40"/>
        <v>612</v>
      </c>
      <c r="BA12" s="166">
        <v>125</v>
      </c>
      <c r="BB12" s="166">
        <f t="shared" ref="BB12:BB14" si="81">IFERROR(+BE12/(BA12*3.6)," ")</f>
        <v>4.2866666666666671</v>
      </c>
      <c r="BC12" s="168">
        <f t="shared" si="42"/>
        <v>5880486</v>
      </c>
      <c r="BD12" s="168">
        <v>5882415</v>
      </c>
      <c r="BE12" s="166">
        <f t="shared" si="43"/>
        <v>1929</v>
      </c>
      <c r="BF12" s="167">
        <v>20</v>
      </c>
      <c r="BG12" s="166">
        <f t="shared" ref="BG12:BG14" si="82">IFERROR(+BJ12/(BF12*3.6)," ")</f>
        <v>17.902777777777779</v>
      </c>
      <c r="BH12" s="168">
        <f t="shared" si="44"/>
        <v>1535238</v>
      </c>
      <c r="BI12" s="168">
        <v>1536527</v>
      </c>
      <c r="BJ12" s="167">
        <f t="shared" si="45"/>
        <v>1289</v>
      </c>
      <c r="BK12" s="166">
        <v>70</v>
      </c>
      <c r="BL12" s="166">
        <f t="shared" ref="BL12:BL14" si="83">IFERROR(+BO12/(BK12*3.6)," ")</f>
        <v>17.075396825396826</v>
      </c>
      <c r="BM12" s="168">
        <f t="shared" si="47"/>
        <v>6135508</v>
      </c>
      <c r="BN12" s="168">
        <v>6139811</v>
      </c>
      <c r="BO12" s="166">
        <f t="shared" si="48"/>
        <v>4303</v>
      </c>
    </row>
    <row r="13" spans="1:67" ht="15" customHeight="1" x14ac:dyDescent="0.25">
      <c r="A13" s="4">
        <f t="shared" si="1"/>
        <v>1</v>
      </c>
      <c r="B13" s="170">
        <v>46031</v>
      </c>
      <c r="C13" s="164">
        <v>38</v>
      </c>
      <c r="D13" s="166">
        <f t="shared" si="71"/>
        <v>13.267543859649122</v>
      </c>
      <c r="E13" s="168">
        <f t="shared" si="18"/>
        <v>3750521</v>
      </c>
      <c r="F13" s="168">
        <v>3752336</v>
      </c>
      <c r="G13" s="166">
        <f t="shared" si="19"/>
        <v>1815</v>
      </c>
      <c r="H13" s="167">
        <v>25</v>
      </c>
      <c r="I13" s="167">
        <f t="shared" si="20"/>
        <v>0</v>
      </c>
      <c r="J13" s="168">
        <f t="shared" si="21"/>
        <v>1970853</v>
      </c>
      <c r="K13" s="266">
        <v>1970853</v>
      </c>
      <c r="L13" s="167">
        <f t="shared" si="22"/>
        <v>0</v>
      </c>
      <c r="M13" s="166">
        <v>38</v>
      </c>
      <c r="N13" s="166">
        <f t="shared" si="23"/>
        <v>0</v>
      </c>
      <c r="O13" s="168">
        <f t="shared" si="24"/>
        <v>414403</v>
      </c>
      <c r="P13" s="168">
        <v>414403</v>
      </c>
      <c r="Q13" s="166">
        <f t="shared" si="25"/>
        <v>0</v>
      </c>
      <c r="R13" s="167">
        <v>0</v>
      </c>
      <c r="S13" s="167">
        <v>0</v>
      </c>
      <c r="T13" s="168">
        <f t="shared" si="26"/>
        <v>232133</v>
      </c>
      <c r="U13" s="168">
        <v>232172</v>
      </c>
      <c r="V13" s="165">
        <v>0</v>
      </c>
      <c r="W13" s="164">
        <f t="shared" si="28"/>
        <v>431.3642220467591</v>
      </c>
      <c r="X13" s="166">
        <v>24</v>
      </c>
      <c r="Y13" s="168">
        <f t="shared" si="29"/>
        <v>917058.13121516001</v>
      </c>
      <c r="Z13" s="168">
        <v>954328</v>
      </c>
      <c r="AA13" s="164">
        <f>IFERROR((Z13-Y13)," ")</f>
        <v>37269.868784839986</v>
      </c>
      <c r="AB13" s="168">
        <f t="shared" si="30"/>
        <v>83</v>
      </c>
      <c r="AC13" s="168">
        <v>24</v>
      </c>
      <c r="AD13" s="171">
        <f t="shared" si="31"/>
        <v>5105497</v>
      </c>
      <c r="AE13" s="167">
        <v>5112705</v>
      </c>
      <c r="AF13" s="165">
        <f t="shared" si="32"/>
        <v>7208</v>
      </c>
      <c r="AG13" s="168">
        <v>20</v>
      </c>
      <c r="AH13" s="168">
        <v>24</v>
      </c>
      <c r="AI13" s="166"/>
      <c r="AJ13" s="166"/>
      <c r="AK13" s="166">
        <f t="shared" si="33"/>
        <v>1728</v>
      </c>
      <c r="AL13" s="167">
        <f>+BDFUENTES[[#This Row],[PZ CHB m3/día]]/3.6/BDFUENTES[[#This Row],[PZ CHB Horas Activo]]</f>
        <v>38.56481481481481</v>
      </c>
      <c r="AM13" s="171">
        <v>18</v>
      </c>
      <c r="AN13" s="168">
        <f t="shared" si="34"/>
        <v>3528686</v>
      </c>
      <c r="AO13" s="168">
        <v>3531185</v>
      </c>
      <c r="AP13" s="167">
        <f t="shared" si="35"/>
        <v>2499</v>
      </c>
      <c r="AQ13" s="166"/>
      <c r="AR13" s="166" t="str">
        <f t="shared" si="36"/>
        <v xml:space="preserve"> </v>
      </c>
      <c r="AS13" s="168" t="str">
        <f t="shared" si="37"/>
        <v xml:space="preserve"> </v>
      </c>
      <c r="AT13" s="168"/>
      <c r="AU13" s="166" t="str">
        <f t="shared" si="38"/>
        <v xml:space="preserve"> </v>
      </c>
      <c r="AV13" s="167">
        <f>+BDFUENTES[[#This Row],[PZ TM m3/día]]/3.6/BDFUENTES[[#This Row],[PZ TM Horas Activo]]</f>
        <v>11.777777777777777</v>
      </c>
      <c r="AW13" s="167">
        <v>15</v>
      </c>
      <c r="AX13" s="169">
        <f t="shared" si="39"/>
        <v>569418</v>
      </c>
      <c r="AY13" s="169">
        <v>570054</v>
      </c>
      <c r="AZ13" s="167">
        <f t="shared" si="40"/>
        <v>636</v>
      </c>
      <c r="BA13" s="166">
        <v>125</v>
      </c>
      <c r="BB13" s="166">
        <f t="shared" si="81"/>
        <v>4.0955555555555554</v>
      </c>
      <c r="BC13" s="168">
        <f t="shared" si="42"/>
        <v>5882415</v>
      </c>
      <c r="BD13" s="168">
        <v>5884258</v>
      </c>
      <c r="BE13" s="166">
        <f t="shared" si="43"/>
        <v>1843</v>
      </c>
      <c r="BF13" s="167">
        <v>20</v>
      </c>
      <c r="BG13" s="166">
        <f t="shared" si="82"/>
        <v>15.694444444444445</v>
      </c>
      <c r="BH13" s="168">
        <f t="shared" si="44"/>
        <v>1536527</v>
      </c>
      <c r="BI13" s="168">
        <f>1537801-20*3.6*2</f>
        <v>1537657</v>
      </c>
      <c r="BJ13" s="167">
        <f t="shared" si="45"/>
        <v>1130</v>
      </c>
      <c r="BK13" s="166">
        <v>70</v>
      </c>
      <c r="BL13" s="166">
        <f t="shared" si="83"/>
        <v>19.25</v>
      </c>
      <c r="BM13" s="168">
        <f t="shared" si="47"/>
        <v>6139811</v>
      </c>
      <c r="BN13" s="168">
        <v>6144662</v>
      </c>
      <c r="BO13" s="166">
        <f t="shared" si="48"/>
        <v>4851</v>
      </c>
    </row>
    <row r="14" spans="1:67" ht="15" customHeight="1" x14ac:dyDescent="0.25">
      <c r="A14" s="4">
        <f t="shared" si="1"/>
        <v>1</v>
      </c>
      <c r="B14" s="170">
        <v>46032</v>
      </c>
      <c r="C14" s="164">
        <v>38</v>
      </c>
      <c r="D14" s="166">
        <f t="shared" ref="D14" si="84">IFERROR(+G14/(C14*3.6)," ")</f>
        <v>19.064327485380115</v>
      </c>
      <c r="E14" s="168">
        <f t="shared" si="18"/>
        <v>3752336</v>
      </c>
      <c r="F14" s="168">
        <v>3754944</v>
      </c>
      <c r="G14" s="166">
        <f t="shared" si="19"/>
        <v>2608</v>
      </c>
      <c r="H14" s="167">
        <v>25</v>
      </c>
      <c r="I14" s="167">
        <f t="shared" si="20"/>
        <v>0</v>
      </c>
      <c r="J14" s="168">
        <f t="shared" si="21"/>
        <v>1970853</v>
      </c>
      <c r="K14" s="266">
        <v>1970853</v>
      </c>
      <c r="L14" s="167">
        <f t="shared" si="22"/>
        <v>0</v>
      </c>
      <c r="M14" s="166">
        <v>38</v>
      </c>
      <c r="N14" s="166">
        <f t="shared" si="23"/>
        <v>0</v>
      </c>
      <c r="O14" s="168">
        <f t="shared" si="24"/>
        <v>414403</v>
      </c>
      <c r="P14" s="168">
        <v>414403</v>
      </c>
      <c r="Q14" s="166">
        <f t="shared" si="25"/>
        <v>0</v>
      </c>
      <c r="R14" s="167">
        <f>+BDFUENTES[[#This Row],[PZ MED m3/día]]/3.6/BDFUENTES[[#This Row],[PZ MED Horas Activo]]</f>
        <v>27.972222222222221</v>
      </c>
      <c r="S14" s="167">
        <v>10</v>
      </c>
      <c r="T14" s="168">
        <f t="shared" si="26"/>
        <v>232172</v>
      </c>
      <c r="U14" s="168">
        <v>233179</v>
      </c>
      <c r="V14" s="165">
        <f t="shared" si="27"/>
        <v>1007</v>
      </c>
      <c r="W14" s="164">
        <f t="shared" ref="W14" si="85">IFERROR((AA14/X14)/3.6," ")</f>
        <v>383.72685185185185</v>
      </c>
      <c r="X14" s="166">
        <v>24</v>
      </c>
      <c r="Y14" s="168">
        <f t="shared" si="29"/>
        <v>954328</v>
      </c>
      <c r="Z14" s="168">
        <v>988489</v>
      </c>
      <c r="AA14" s="164">
        <f>IFERROR((Z14-Y14)," ")-1007</f>
        <v>33154</v>
      </c>
      <c r="AB14" s="168">
        <f t="shared" si="30"/>
        <v>58</v>
      </c>
      <c r="AC14" s="168">
        <v>24</v>
      </c>
      <c r="AD14" s="171">
        <f t="shared" si="31"/>
        <v>5112705</v>
      </c>
      <c r="AE14" s="167">
        <v>5117791</v>
      </c>
      <c r="AF14" s="165">
        <f t="shared" si="32"/>
        <v>5086</v>
      </c>
      <c r="AG14" s="168">
        <v>20</v>
      </c>
      <c r="AH14" s="168">
        <v>24</v>
      </c>
      <c r="AI14" s="166"/>
      <c r="AJ14" s="166"/>
      <c r="AK14" s="166">
        <f t="shared" si="33"/>
        <v>1728</v>
      </c>
      <c r="AL14" s="167">
        <f>+BDFUENTES[[#This Row],[PZ CHB m3/día]]/3.6/BDFUENTES[[#This Row],[PZ CHB Horas Activo]]</f>
        <v>38.22530864197531</v>
      </c>
      <c r="AM14" s="171">
        <v>18</v>
      </c>
      <c r="AN14" s="168">
        <f t="shared" si="34"/>
        <v>3531185</v>
      </c>
      <c r="AO14" s="168">
        <v>3533662</v>
      </c>
      <c r="AP14" s="167">
        <f t="shared" si="35"/>
        <v>2477</v>
      </c>
      <c r="AQ14" s="166"/>
      <c r="AR14" s="166" t="str">
        <f t="shared" si="36"/>
        <v xml:space="preserve"> </v>
      </c>
      <c r="AS14" s="168" t="str">
        <f t="shared" si="37"/>
        <v xml:space="preserve"> </v>
      </c>
      <c r="AT14" s="168"/>
      <c r="AU14" s="166" t="str">
        <f t="shared" si="38"/>
        <v xml:space="preserve"> </v>
      </c>
      <c r="AV14" s="167">
        <f>+BDFUENTES[[#This Row],[PZ TM m3/día]]/3.6/BDFUENTES[[#This Row],[PZ TM Horas Activo]]</f>
        <v>11.222222222222223</v>
      </c>
      <c r="AW14" s="167">
        <v>15</v>
      </c>
      <c r="AX14" s="169">
        <f t="shared" si="39"/>
        <v>570054</v>
      </c>
      <c r="AY14" s="169">
        <v>570660</v>
      </c>
      <c r="AZ14" s="167">
        <f t="shared" si="40"/>
        <v>606</v>
      </c>
      <c r="BA14" s="166">
        <v>125</v>
      </c>
      <c r="BB14" s="166">
        <f t="shared" si="81"/>
        <v>5.9466666666666663</v>
      </c>
      <c r="BC14" s="168">
        <f t="shared" si="42"/>
        <v>5884258</v>
      </c>
      <c r="BD14" s="168">
        <v>5886934</v>
      </c>
      <c r="BE14" s="166">
        <f t="shared" si="43"/>
        <v>2676</v>
      </c>
      <c r="BF14" s="167">
        <v>20</v>
      </c>
      <c r="BG14" s="166">
        <f t="shared" si="82"/>
        <v>18.388888888888889</v>
      </c>
      <c r="BH14" s="168">
        <f t="shared" si="44"/>
        <v>1537657</v>
      </c>
      <c r="BI14" s="168">
        <v>1538981</v>
      </c>
      <c r="BJ14" s="167">
        <f t="shared" si="45"/>
        <v>1324</v>
      </c>
      <c r="BK14" s="166">
        <v>70</v>
      </c>
      <c r="BL14" s="166">
        <f t="shared" si="83"/>
        <v>17.146825396825395</v>
      </c>
      <c r="BM14" s="168">
        <f t="shared" si="47"/>
        <v>6144662</v>
      </c>
      <c r="BN14" s="168">
        <v>6148983</v>
      </c>
      <c r="BO14" s="166">
        <f t="shared" si="48"/>
        <v>4321</v>
      </c>
    </row>
    <row r="15" spans="1:67" ht="15" customHeight="1" x14ac:dyDescent="0.25">
      <c r="A15" s="4">
        <f t="shared" si="1"/>
        <v>1</v>
      </c>
      <c r="B15" s="170">
        <v>46033</v>
      </c>
      <c r="C15" s="164">
        <v>38</v>
      </c>
      <c r="D15" s="166">
        <f t="shared" ref="D15" si="86">IFERROR(+G15/(C15*3.6)," ")</f>
        <v>13.311403508771928</v>
      </c>
      <c r="E15" s="168">
        <f t="shared" si="18"/>
        <v>3754944</v>
      </c>
      <c r="F15" s="168">
        <v>3756765</v>
      </c>
      <c r="G15" s="166">
        <f t="shared" si="19"/>
        <v>1821</v>
      </c>
      <c r="H15" s="167">
        <v>25</v>
      </c>
      <c r="I15" s="167">
        <f t="shared" ref="I15" si="87">IFERROR(+L15/(H15*3.6)," ")</f>
        <v>0</v>
      </c>
      <c r="J15" s="168">
        <f t="shared" ref="J15" si="88">IF(K15&gt;0,K14," ")</f>
        <v>1970853</v>
      </c>
      <c r="K15" s="266">
        <v>1970853</v>
      </c>
      <c r="L15" s="167">
        <f t="shared" ref="L15" si="89">IFERROR((K15-J15)," ")</f>
        <v>0</v>
      </c>
      <c r="M15" s="166">
        <v>38</v>
      </c>
      <c r="N15" s="166">
        <f t="shared" ref="N15" si="90">IFERROR(+Q15/(M15*3.6)," ")</f>
        <v>0</v>
      </c>
      <c r="O15" s="168">
        <f t="shared" ref="O15" si="91">IF(P15&gt;0,P14," ")</f>
        <v>414403</v>
      </c>
      <c r="P15" s="168">
        <v>414403</v>
      </c>
      <c r="Q15" s="166">
        <f t="shared" ref="Q15" si="92">IFERROR((P15-O15)," ")</f>
        <v>0</v>
      </c>
      <c r="R15" s="167">
        <f>+BDFUENTES[[#This Row],[PZ MED m3/día]]/3.6/BDFUENTES[[#This Row],[PZ MED Horas Activo]]</f>
        <v>29.411764705882351</v>
      </c>
      <c r="S15" s="167">
        <v>17</v>
      </c>
      <c r="T15" s="168">
        <f t="shared" si="26"/>
        <v>233179</v>
      </c>
      <c r="U15" s="168">
        <v>234979</v>
      </c>
      <c r="V15" s="284">
        <f t="shared" si="27"/>
        <v>1800</v>
      </c>
      <c r="W15" s="164">
        <f t="shared" ref="W15" si="93">IFERROR((AA15/X15)/3.6," ")</f>
        <v>360.19675925925924</v>
      </c>
      <c r="X15" s="166">
        <v>24</v>
      </c>
      <c r="Y15" s="168">
        <f t="shared" si="29"/>
        <v>988489</v>
      </c>
      <c r="Z15" s="168">
        <v>1021410</v>
      </c>
      <c r="AA15" s="164">
        <f>IFERROR((Z15-Y15)," ")-1800</f>
        <v>31121</v>
      </c>
      <c r="AB15" s="168">
        <f t="shared" ref="AB15" si="94">IFERROR(ROUNDDOWN(+AF15/(AC15*3.6),0)," ")</f>
        <v>73</v>
      </c>
      <c r="AC15" s="168">
        <v>24</v>
      </c>
      <c r="AD15" s="171">
        <f t="shared" si="31"/>
        <v>5117791</v>
      </c>
      <c r="AE15" s="167">
        <v>5124148</v>
      </c>
      <c r="AF15" s="165">
        <f t="shared" si="32"/>
        <v>6357</v>
      </c>
      <c r="AG15" s="168">
        <v>20</v>
      </c>
      <c r="AH15" s="168">
        <v>24</v>
      </c>
      <c r="AI15" s="166"/>
      <c r="AJ15" s="166"/>
      <c r="AK15" s="166">
        <f t="shared" ref="AK15" si="95">IF(OR(AH15="",AG15=""),"",AH15*AG15*3.6)</f>
        <v>1728</v>
      </c>
      <c r="AL15" s="167">
        <f>+BDFUENTES[[#This Row],[PZ CHB m3/día]]/3.6/BDFUENTES[[#This Row],[PZ CHB Horas Activo]]</f>
        <v>38.011695906432749</v>
      </c>
      <c r="AM15" s="171">
        <v>19</v>
      </c>
      <c r="AN15" s="168">
        <f t="shared" si="34"/>
        <v>3533662</v>
      </c>
      <c r="AO15" s="168">
        <v>3536262</v>
      </c>
      <c r="AP15" s="167">
        <f t="shared" si="35"/>
        <v>2600</v>
      </c>
      <c r="AQ15" s="166"/>
      <c r="AR15" s="166" t="str">
        <f t="shared" si="36"/>
        <v xml:space="preserve"> </v>
      </c>
      <c r="AS15" s="168" t="str">
        <f t="shared" si="37"/>
        <v xml:space="preserve"> </v>
      </c>
      <c r="AT15" s="168"/>
      <c r="AU15" s="166" t="str">
        <f t="shared" si="38"/>
        <v xml:space="preserve"> </v>
      </c>
      <c r="AV15" s="167">
        <f>+BDFUENTES[[#This Row],[PZ TM m3/día]]/3.6/BDFUENTES[[#This Row],[PZ TM Horas Activo]]</f>
        <v>11.25925925925926</v>
      </c>
      <c r="AW15" s="167">
        <v>15</v>
      </c>
      <c r="AX15" s="169">
        <f t="shared" si="39"/>
        <v>570660</v>
      </c>
      <c r="AY15" s="169">
        <v>571268</v>
      </c>
      <c r="AZ15" s="167">
        <f t="shared" si="40"/>
        <v>608</v>
      </c>
      <c r="BA15" s="166">
        <v>125</v>
      </c>
      <c r="BB15" s="166">
        <f t="shared" ref="BB15" si="96">IFERROR(+BE15/(BA15*3.6)," ")</f>
        <v>4.1222222222222218</v>
      </c>
      <c r="BC15" s="168">
        <f t="shared" ref="BC15" si="97">IF(BD15&gt;0,BD14," ")</f>
        <v>5886934</v>
      </c>
      <c r="BD15" s="168">
        <v>5888789</v>
      </c>
      <c r="BE15" s="166">
        <f t="shared" ref="BE15" si="98">IFERROR((BD15-BC15)," ")</f>
        <v>1855</v>
      </c>
      <c r="BF15" s="167">
        <v>20</v>
      </c>
      <c r="BG15" s="166">
        <f t="shared" ref="BG15" si="99">IFERROR(+BJ15/(BF15*3.6)," ")</f>
        <v>17.583333333333332</v>
      </c>
      <c r="BH15" s="168">
        <f t="shared" si="44"/>
        <v>1538981</v>
      </c>
      <c r="BI15" s="168">
        <v>1540247</v>
      </c>
      <c r="BJ15" s="167">
        <f t="shared" si="45"/>
        <v>1266</v>
      </c>
      <c r="BK15" s="166">
        <v>70</v>
      </c>
      <c r="BL15" s="166">
        <f t="shared" ref="BL15" si="100">IFERROR(+BO15/(BK15*3.6)," ")</f>
        <v>18.50793650793651</v>
      </c>
      <c r="BM15" s="168">
        <f t="shared" si="47"/>
        <v>6148983</v>
      </c>
      <c r="BN15" s="168">
        <v>6153647</v>
      </c>
      <c r="BO15" s="166">
        <f t="shared" si="48"/>
        <v>4664</v>
      </c>
    </row>
    <row r="16" spans="1:67" ht="15" customHeight="1" x14ac:dyDescent="0.25">
      <c r="A16" s="4">
        <f t="shared" si="1"/>
        <v>1</v>
      </c>
      <c r="B16" s="170">
        <v>46034</v>
      </c>
      <c r="C16" s="164">
        <v>38</v>
      </c>
      <c r="D16" s="166">
        <f t="shared" si="17"/>
        <v>13.486842105263158</v>
      </c>
      <c r="E16" s="168">
        <f t="shared" si="18"/>
        <v>3756765</v>
      </c>
      <c r="F16" s="168">
        <v>3758610</v>
      </c>
      <c r="G16" s="166">
        <f t="shared" si="19"/>
        <v>1845</v>
      </c>
      <c r="H16" s="167">
        <v>25</v>
      </c>
      <c r="I16" s="167">
        <f t="shared" ref="I16" si="101">IFERROR(+L16/(H16*3.6)," ")</f>
        <v>0</v>
      </c>
      <c r="J16" s="168">
        <f t="shared" ref="J16" si="102">IF(K16&gt;0,K15," ")</f>
        <v>1970853</v>
      </c>
      <c r="K16" s="266">
        <v>1970853</v>
      </c>
      <c r="L16" s="167">
        <f t="shared" ref="L16" si="103">IFERROR((K16-J16)," ")</f>
        <v>0</v>
      </c>
      <c r="M16" s="166">
        <v>38</v>
      </c>
      <c r="N16" s="166">
        <f t="shared" ref="N16" si="104">IFERROR(+Q16/(M16*3.6)," ")</f>
        <v>0</v>
      </c>
      <c r="O16" s="168">
        <f t="shared" ref="O16" si="105">IF(P16&gt;0,P15," ")</f>
        <v>414403</v>
      </c>
      <c r="P16" s="168">
        <v>414403</v>
      </c>
      <c r="Q16" s="166">
        <f t="shared" ref="Q16" si="106">IFERROR((P16-O16)," ")</f>
        <v>0</v>
      </c>
      <c r="R16" s="167">
        <f>+BDFUENTES[[#This Row],[PZ MED m3/día]]/3.6/BDFUENTES[[#This Row],[PZ MED Horas Activo]]</f>
        <v>28.402777777777779</v>
      </c>
      <c r="S16" s="167">
        <v>20</v>
      </c>
      <c r="T16" s="168">
        <f t="shared" si="26"/>
        <v>234979</v>
      </c>
      <c r="U16" s="168">
        <v>237024</v>
      </c>
      <c r="V16" s="165">
        <f t="shared" si="27"/>
        <v>2045</v>
      </c>
      <c r="W16" s="164">
        <f t="shared" ref="W16" si="107">IFERROR((AA16/X16)/3.6," ")</f>
        <v>359.74568892222118</v>
      </c>
      <c r="X16" s="166">
        <v>22</v>
      </c>
      <c r="Y16" s="168">
        <f t="shared" si="29"/>
        <v>1021410</v>
      </c>
      <c r="Z16" s="168">
        <v>1051946.8585626399</v>
      </c>
      <c r="AA16" s="164">
        <f>IFERROR((Z16-Y16)," ")-2045</f>
        <v>28491.858562639914</v>
      </c>
      <c r="AB16" s="168">
        <f t="shared" ref="AB16" si="108">IFERROR(ROUNDDOWN(+AF16/(AC16*3.6),0)," ")</f>
        <v>76</v>
      </c>
      <c r="AC16" s="168">
        <v>24</v>
      </c>
      <c r="AD16" s="171">
        <f t="shared" si="31"/>
        <v>5124148</v>
      </c>
      <c r="AE16" s="167">
        <v>5130715</v>
      </c>
      <c r="AF16" s="165">
        <f t="shared" si="32"/>
        <v>6567</v>
      </c>
      <c r="AG16" s="168">
        <v>20</v>
      </c>
      <c r="AH16" s="168">
        <v>24</v>
      </c>
      <c r="AI16" s="166"/>
      <c r="AJ16" s="166"/>
      <c r="AK16" s="166">
        <f t="shared" ref="AK16" si="109">IF(OR(AH16="",AG16=""),"",AH16*AG16*3.6)</f>
        <v>1728</v>
      </c>
      <c r="AL16" s="167">
        <f>+BDFUENTES[[#This Row],[PZ CHB m3/día]]/3.6/BDFUENTES[[#This Row],[PZ CHB Horas Activo]]</f>
        <v>39.444444444444443</v>
      </c>
      <c r="AM16" s="171">
        <v>17</v>
      </c>
      <c r="AN16" s="168">
        <f t="shared" si="34"/>
        <v>3536262</v>
      </c>
      <c r="AO16" s="168">
        <v>3538676</v>
      </c>
      <c r="AP16" s="167">
        <f t="shared" si="35"/>
        <v>2414</v>
      </c>
      <c r="AQ16" s="166"/>
      <c r="AR16" s="166" t="str">
        <f t="shared" si="36"/>
        <v xml:space="preserve"> </v>
      </c>
      <c r="AS16" s="168" t="str">
        <f t="shared" si="37"/>
        <v xml:space="preserve"> </v>
      </c>
      <c r="AT16" s="168"/>
      <c r="AU16" s="166" t="str">
        <f t="shared" si="38"/>
        <v xml:space="preserve"> </v>
      </c>
      <c r="AV16" s="167">
        <f>+BDFUENTES[[#This Row],[PZ TM m3/día]]/3.6/BDFUENTES[[#This Row],[PZ TM Horas Activo]]</f>
        <v>11.592592592592592</v>
      </c>
      <c r="AW16" s="167">
        <v>15</v>
      </c>
      <c r="AX16" s="169">
        <f t="shared" si="39"/>
        <v>571268</v>
      </c>
      <c r="AY16" s="169">
        <v>571894</v>
      </c>
      <c r="AZ16" s="167">
        <f t="shared" si="40"/>
        <v>626</v>
      </c>
      <c r="BA16" s="166">
        <v>125</v>
      </c>
      <c r="BB16" s="166">
        <f t="shared" ref="BB16" si="110">IFERROR(+BE16/(BA16*3.6)," ")</f>
        <v>4.2022222222222219</v>
      </c>
      <c r="BC16" s="168">
        <f t="shared" ref="BC16" si="111">IF(BD16&gt;0,BD15," ")</f>
        <v>5888789</v>
      </c>
      <c r="BD16" s="168">
        <v>5890680</v>
      </c>
      <c r="BE16" s="166">
        <f t="shared" ref="BE16" si="112">IFERROR((BD16-BC16)," ")</f>
        <v>1891</v>
      </c>
      <c r="BF16" s="167">
        <v>20</v>
      </c>
      <c r="BG16" s="166">
        <f t="shared" ref="BG16" si="113">IFERROR(+BJ16/(BF16*3.6)," ")</f>
        <v>13.25</v>
      </c>
      <c r="BH16" s="168">
        <f t="shared" si="44"/>
        <v>1540247</v>
      </c>
      <c r="BI16" s="168">
        <v>1541201</v>
      </c>
      <c r="BJ16" s="167">
        <f t="shared" si="45"/>
        <v>954</v>
      </c>
      <c r="BK16" s="166">
        <v>70</v>
      </c>
      <c r="BL16" s="166">
        <f t="shared" ref="BL16" si="114">IFERROR(+BO16/(BK16*3.6)," ")</f>
        <v>14.888888888888889</v>
      </c>
      <c r="BM16" s="168">
        <f t="shared" si="47"/>
        <v>6153647</v>
      </c>
      <c r="BN16" s="168">
        <v>6157399</v>
      </c>
      <c r="BO16" s="166">
        <f t="shared" si="48"/>
        <v>3752</v>
      </c>
    </row>
    <row r="17" spans="1:67" ht="15" customHeight="1" x14ac:dyDescent="0.25">
      <c r="A17" s="4">
        <f t="shared" si="1"/>
        <v>1</v>
      </c>
      <c r="B17" s="170">
        <v>46035</v>
      </c>
      <c r="C17" s="164">
        <v>38</v>
      </c>
      <c r="D17" s="166">
        <f t="shared" ref="D17" si="115">IFERROR(+G17/(C17*3.6)," ")</f>
        <v>13.450292397660817</v>
      </c>
      <c r="E17" s="168">
        <f t="shared" si="18"/>
        <v>3758610</v>
      </c>
      <c r="F17" s="168">
        <v>3760450</v>
      </c>
      <c r="G17" s="166">
        <f t="shared" si="19"/>
        <v>1840</v>
      </c>
      <c r="H17" s="167">
        <v>25</v>
      </c>
      <c r="I17" s="167">
        <f t="shared" ref="I17" si="116">IFERROR(+L17/(H17*3.6)," ")</f>
        <v>0</v>
      </c>
      <c r="J17" s="168">
        <f t="shared" ref="J17" si="117">IF(K17&gt;0,K16," ")</f>
        <v>1970853</v>
      </c>
      <c r="K17" s="266">
        <v>1970853</v>
      </c>
      <c r="L17" s="167">
        <f t="shared" ref="L17" si="118">IFERROR((K17-J17)," ")</f>
        <v>0</v>
      </c>
      <c r="M17" s="166">
        <v>38</v>
      </c>
      <c r="N17" s="166">
        <f t="shared" ref="N17" si="119">IFERROR(+Q17/(M17*3.6)," ")</f>
        <v>0</v>
      </c>
      <c r="O17" s="168">
        <f t="shared" ref="O17" si="120">IF(P17&gt;0,P16," ")</f>
        <v>414403</v>
      </c>
      <c r="P17" s="168">
        <v>414403</v>
      </c>
      <c r="Q17" s="166">
        <f t="shared" ref="Q17" si="121">IFERROR((P17-O17)," ")</f>
        <v>0</v>
      </c>
      <c r="R17" s="167">
        <f>+BDFUENTES[[#This Row],[PZ MED m3/día]]/3.6/BDFUENTES[[#This Row],[PZ MED Horas Activo]]</f>
        <v>28.425925925925924</v>
      </c>
      <c r="S17" s="167">
        <v>18</v>
      </c>
      <c r="T17" s="168">
        <f t="shared" si="26"/>
        <v>237024</v>
      </c>
      <c r="U17" s="168">
        <v>238866</v>
      </c>
      <c r="V17" s="165">
        <f t="shared" si="27"/>
        <v>1842</v>
      </c>
      <c r="W17" s="164">
        <f t="shared" ref="W17" si="122">IFERROR((AA17/X17)/3.6," ")</f>
        <v>199.41700150138922</v>
      </c>
      <c r="X17" s="166">
        <v>24</v>
      </c>
      <c r="Y17" s="168">
        <f t="shared" si="29"/>
        <v>1051946.8585626399</v>
      </c>
      <c r="Z17" s="168">
        <v>1071018.4874923599</v>
      </c>
      <c r="AA17" s="164">
        <f>IFERROR((Z17-Y17)," ")-1842</f>
        <v>17229.628929720027</v>
      </c>
      <c r="AB17" s="168">
        <f t="shared" ref="AB17" si="123">IFERROR(ROUNDDOWN(+AF17/(AC17*3.6),0)," ")</f>
        <v>65</v>
      </c>
      <c r="AC17" s="168">
        <v>24</v>
      </c>
      <c r="AD17" s="171">
        <f t="shared" si="31"/>
        <v>5130715</v>
      </c>
      <c r="AE17" s="167">
        <v>5136358</v>
      </c>
      <c r="AF17" s="165">
        <f t="shared" si="32"/>
        <v>5643</v>
      </c>
      <c r="AG17" s="168">
        <v>20</v>
      </c>
      <c r="AH17" s="168">
        <v>24</v>
      </c>
      <c r="AI17" s="166"/>
      <c r="AJ17" s="166"/>
      <c r="AK17" s="166">
        <f t="shared" ref="AK17" si="124">IF(OR(AH17="",AG17=""),"",AH17*AG17*3.6)</f>
        <v>1728</v>
      </c>
      <c r="AL17" s="167">
        <f>+BDFUENTES[[#This Row],[PZ CHB m3/día]]/3.6/BDFUENTES[[#This Row],[PZ CHB Horas Activo]]</f>
        <v>38.395061728395063</v>
      </c>
      <c r="AM17" s="171">
        <v>18</v>
      </c>
      <c r="AN17" s="168">
        <f t="shared" si="34"/>
        <v>3538676</v>
      </c>
      <c r="AO17" s="168">
        <v>3541164</v>
      </c>
      <c r="AP17" s="167">
        <f t="shared" si="35"/>
        <v>2488</v>
      </c>
      <c r="AQ17" s="166"/>
      <c r="AR17" s="166" t="str">
        <f t="shared" si="36"/>
        <v xml:space="preserve"> </v>
      </c>
      <c r="AS17" s="168" t="str">
        <f t="shared" si="37"/>
        <v xml:space="preserve"> </v>
      </c>
      <c r="AT17" s="168"/>
      <c r="AU17" s="166" t="str">
        <f t="shared" si="38"/>
        <v xml:space="preserve"> </v>
      </c>
      <c r="AV17" s="167">
        <f>+BDFUENTES[[#This Row],[PZ TM m3/día]]/3.6/BDFUENTES[[#This Row],[PZ TM Horas Activo]]</f>
        <v>11.351851851851851</v>
      </c>
      <c r="AW17" s="167">
        <v>15</v>
      </c>
      <c r="AX17" s="169">
        <f t="shared" si="39"/>
        <v>571894</v>
      </c>
      <c r="AY17" s="169">
        <v>572507</v>
      </c>
      <c r="AZ17" s="167">
        <f t="shared" si="40"/>
        <v>613</v>
      </c>
      <c r="BA17" s="166">
        <v>125</v>
      </c>
      <c r="BB17" s="166">
        <f t="shared" ref="BB17" si="125">IFERROR(+BE17/(BA17*3.6)," ")</f>
        <v>4.2044444444444444</v>
      </c>
      <c r="BC17" s="168">
        <f t="shared" si="42"/>
        <v>5890680</v>
      </c>
      <c r="BD17" s="168">
        <v>5892572</v>
      </c>
      <c r="BE17" s="166">
        <f t="shared" si="43"/>
        <v>1892</v>
      </c>
      <c r="BF17" s="167">
        <v>20</v>
      </c>
      <c r="BG17" s="166">
        <f t="shared" ref="BG17" si="126">IFERROR(+BJ17/(BF17*3.6)," ")</f>
        <v>17.347222222222221</v>
      </c>
      <c r="BH17" s="168">
        <f t="shared" si="44"/>
        <v>1541201</v>
      </c>
      <c r="BI17" s="168">
        <v>1542450</v>
      </c>
      <c r="BJ17" s="167">
        <f t="shared" si="45"/>
        <v>1249</v>
      </c>
      <c r="BK17" s="166">
        <v>70</v>
      </c>
      <c r="BL17" s="166">
        <f t="shared" ref="BL17" si="127">IFERROR(+BO17/(BK17*3.6)," ")</f>
        <v>6.7658730158730158</v>
      </c>
      <c r="BM17" s="168">
        <f t="shared" si="47"/>
        <v>6157399</v>
      </c>
      <c r="BN17" s="168">
        <v>6159104</v>
      </c>
      <c r="BO17" s="166">
        <f t="shared" si="48"/>
        <v>1705</v>
      </c>
    </row>
    <row r="18" spans="1:67" ht="15" customHeight="1" x14ac:dyDescent="0.25">
      <c r="A18" s="4">
        <f t="shared" si="1"/>
        <v>1</v>
      </c>
      <c r="B18" s="170">
        <v>46036</v>
      </c>
      <c r="C18" s="164">
        <v>38</v>
      </c>
      <c r="D18" s="166">
        <f t="shared" ref="D18" si="128">IFERROR(+G18/(C18*3.6)," ")</f>
        <v>13.245614035087717</v>
      </c>
      <c r="E18" s="168">
        <f t="shared" si="18"/>
        <v>3760450</v>
      </c>
      <c r="F18" s="168">
        <v>3762262</v>
      </c>
      <c r="G18" s="166">
        <f t="shared" si="19"/>
        <v>1812</v>
      </c>
      <c r="H18" s="167">
        <v>25</v>
      </c>
      <c r="I18" s="167">
        <f t="shared" ref="I18" si="129">IFERROR(+L18/(H18*3.6)," ")</f>
        <v>0</v>
      </c>
      <c r="J18" s="168">
        <f t="shared" ref="J18" si="130">IF(K18&gt;0,K17," ")</f>
        <v>1970853</v>
      </c>
      <c r="K18" s="266">
        <v>1970853</v>
      </c>
      <c r="L18" s="167">
        <f t="shared" ref="L18" si="131">IFERROR((K18-J18)," ")</f>
        <v>0</v>
      </c>
      <c r="M18" s="166">
        <v>38</v>
      </c>
      <c r="N18" s="166">
        <f t="shared" ref="N18" si="132">IFERROR(+Q18/(M18*3.6)," ")</f>
        <v>0</v>
      </c>
      <c r="O18" s="168">
        <f t="shared" ref="O18" si="133">IF(P18&gt;0,P17," ")</f>
        <v>414403</v>
      </c>
      <c r="P18" s="168">
        <v>414403</v>
      </c>
      <c r="Q18" s="166">
        <f t="shared" ref="Q18" si="134">IFERROR((P18-O18)," ")</f>
        <v>0</v>
      </c>
      <c r="R18" s="167">
        <f>+BDFUENTES[[#This Row],[PZ MED m3/día]]/3.6/BDFUENTES[[#This Row],[PZ MED Horas Activo]]</f>
        <v>27.401960784313726</v>
      </c>
      <c r="S18" s="167">
        <v>17</v>
      </c>
      <c r="T18" s="168">
        <f t="shared" si="26"/>
        <v>238866</v>
      </c>
      <c r="U18" s="168">
        <v>240543</v>
      </c>
      <c r="V18" s="165">
        <f t="shared" si="27"/>
        <v>1677</v>
      </c>
      <c r="W18" s="164">
        <f t="shared" ref="W18" si="135">IFERROR((AA18/X18)/3.6," ")</f>
        <v>281.48113412175951</v>
      </c>
      <c r="X18" s="166">
        <v>24</v>
      </c>
      <c r="Y18" s="168">
        <f t="shared" si="29"/>
        <v>1071018.4874923599</v>
      </c>
      <c r="Z18" s="168">
        <v>1097015.45748048</v>
      </c>
      <c r="AA18" s="164">
        <f>IFERROR((Z18-Y18)," ")-1677</f>
        <v>24319.969988120021</v>
      </c>
      <c r="AB18" s="168">
        <f t="shared" ref="AB18" si="136">IFERROR(ROUNDDOWN(+AF18/(AC18*3.6),0)," ")</f>
        <v>65</v>
      </c>
      <c r="AC18" s="168">
        <v>24</v>
      </c>
      <c r="AD18" s="171">
        <f t="shared" si="31"/>
        <v>5136358</v>
      </c>
      <c r="AE18" s="167">
        <v>5141977</v>
      </c>
      <c r="AF18" s="165">
        <f t="shared" si="32"/>
        <v>5619</v>
      </c>
      <c r="AG18" s="168">
        <v>20</v>
      </c>
      <c r="AH18" s="168">
        <v>24</v>
      </c>
      <c r="AI18" s="166"/>
      <c r="AJ18" s="166"/>
      <c r="AK18" s="166">
        <f t="shared" ref="AK18" si="137">IF(OR(AH18="",AG18=""),"",AH18*AG18*3.6)</f>
        <v>1728</v>
      </c>
      <c r="AL18" s="167">
        <f>+BDFUENTES[[#This Row],[PZ CHB m3/día]]/3.6/BDFUENTES[[#This Row],[PZ CHB Horas Activo]]</f>
        <v>38.117283950617285</v>
      </c>
      <c r="AM18" s="171">
        <v>18</v>
      </c>
      <c r="AN18" s="168">
        <f t="shared" si="34"/>
        <v>3541164</v>
      </c>
      <c r="AO18" s="168">
        <v>3543634</v>
      </c>
      <c r="AP18" s="167">
        <f t="shared" si="35"/>
        <v>2470</v>
      </c>
      <c r="AQ18" s="166"/>
      <c r="AR18" s="166" t="str">
        <f t="shared" si="36"/>
        <v xml:space="preserve"> </v>
      </c>
      <c r="AS18" s="168" t="str">
        <f t="shared" si="37"/>
        <v xml:space="preserve"> </v>
      </c>
      <c r="AT18" s="168"/>
      <c r="AU18" s="166" t="str">
        <f t="shared" si="38"/>
        <v xml:space="preserve"> </v>
      </c>
      <c r="AV18" s="167">
        <f>+BDFUENTES[[#This Row],[PZ TM m3/día]]/3.6/BDFUENTES[[#This Row],[PZ TM Horas Activo]]</f>
        <v>10.555555555555555</v>
      </c>
      <c r="AW18" s="167">
        <v>14</v>
      </c>
      <c r="AX18" s="169">
        <f t="shared" ref="AX18" si="138">IF(AY18&gt;0,AY17," ")</f>
        <v>572507</v>
      </c>
      <c r="AY18" s="169">
        <v>573039</v>
      </c>
      <c r="AZ18" s="167">
        <f t="shared" ref="AZ18" si="139">IFERROR((AY18-AX18)," ")</f>
        <v>532</v>
      </c>
      <c r="BA18" s="166">
        <v>125</v>
      </c>
      <c r="BB18" s="166">
        <f t="shared" ref="BB18" si="140">IFERROR(+BE18/(BA18*3.6)," ")</f>
        <v>4.32</v>
      </c>
      <c r="BC18" s="168">
        <f t="shared" si="42"/>
        <v>5892572</v>
      </c>
      <c r="BD18" s="168">
        <v>5894516</v>
      </c>
      <c r="BE18" s="166">
        <f t="shared" si="43"/>
        <v>1944</v>
      </c>
      <c r="BF18" s="167">
        <v>20</v>
      </c>
      <c r="BG18" s="166">
        <f t="shared" ref="BG18" si="141">IFERROR(+BJ18/(BF18*3.6)," ")</f>
        <v>17.652777777777779</v>
      </c>
      <c r="BH18" s="168">
        <f t="shared" si="44"/>
        <v>1542450</v>
      </c>
      <c r="BI18" s="168">
        <v>1543721</v>
      </c>
      <c r="BJ18" s="167">
        <f t="shared" si="45"/>
        <v>1271</v>
      </c>
      <c r="BK18" s="166">
        <v>70</v>
      </c>
      <c r="BL18" s="166">
        <f t="shared" ref="BL18" si="142">IFERROR(+BO18/(BK18*3.6)," ")</f>
        <v>12.103174603174603</v>
      </c>
      <c r="BM18" s="168">
        <f t="shared" si="47"/>
        <v>6159104</v>
      </c>
      <c r="BN18" s="168">
        <v>6162154</v>
      </c>
      <c r="BO18" s="166">
        <f t="shared" si="48"/>
        <v>3050</v>
      </c>
    </row>
    <row r="19" spans="1:67" ht="15" customHeight="1" x14ac:dyDescent="0.25">
      <c r="A19" s="4">
        <f t="shared" si="1"/>
        <v>1</v>
      </c>
      <c r="B19" s="170">
        <v>46037</v>
      </c>
      <c r="C19" s="164">
        <v>38</v>
      </c>
      <c r="D19" s="166">
        <f t="shared" ref="D19" si="143">IFERROR(+G19/(C19*3.6)," ")</f>
        <v>13.114035087719298</v>
      </c>
      <c r="E19" s="168">
        <f t="shared" si="18"/>
        <v>3762262</v>
      </c>
      <c r="F19" s="168">
        <v>3764056</v>
      </c>
      <c r="G19" s="166">
        <f t="shared" si="19"/>
        <v>1794</v>
      </c>
      <c r="H19" s="167">
        <v>25</v>
      </c>
      <c r="I19" s="167">
        <f t="shared" ref="I19" si="144">IFERROR(+L19/(H19*3.6)," ")</f>
        <v>0</v>
      </c>
      <c r="J19" s="168">
        <f t="shared" ref="J19" si="145">IF(K19&gt;0,K18," ")</f>
        <v>1970853</v>
      </c>
      <c r="K19" s="266">
        <v>1970853</v>
      </c>
      <c r="L19" s="167">
        <f t="shared" ref="L19" si="146">IFERROR((K19-J19)," ")</f>
        <v>0</v>
      </c>
      <c r="M19" s="166">
        <v>38</v>
      </c>
      <c r="N19" s="166">
        <f t="shared" ref="N19" si="147">IFERROR(+Q19/(M19*3.6)," ")</f>
        <v>1.8494152046783625</v>
      </c>
      <c r="O19" s="168">
        <f t="shared" ref="O19" si="148">IF(P19&gt;0,P18," ")</f>
        <v>414403</v>
      </c>
      <c r="P19" s="168">
        <v>414656</v>
      </c>
      <c r="Q19" s="166">
        <f t="shared" ref="Q19" si="149">IFERROR((P19-O19)," ")</f>
        <v>253</v>
      </c>
      <c r="R19" s="167">
        <f>+BDFUENTES[[#This Row],[PZ MED m3/día]]/3.6/BDFUENTES[[#This Row],[PZ MED Horas Activo]]</f>
        <v>27.222222222222221</v>
      </c>
      <c r="S19" s="167">
        <v>13</v>
      </c>
      <c r="T19" s="168">
        <f t="shared" si="26"/>
        <v>240543</v>
      </c>
      <c r="U19" s="168">
        <v>241817</v>
      </c>
      <c r="V19" s="165">
        <f t="shared" si="27"/>
        <v>1274</v>
      </c>
      <c r="W19" s="164">
        <f t="shared" ref="W19" si="150">IFERROR((AA19/X19)/3.6," ")</f>
        <v>268.50750242963034</v>
      </c>
      <c r="X19" s="166">
        <v>24</v>
      </c>
      <c r="Y19" s="168">
        <f t="shared" si="29"/>
        <v>1097015.45748048</v>
      </c>
      <c r="Z19" s="168">
        <v>1121488.5056904</v>
      </c>
      <c r="AA19" s="164">
        <f>IFERROR((Z19-Y19)," ")-1274</f>
        <v>23199.04820992006</v>
      </c>
      <c r="AB19" s="168">
        <f t="shared" ref="AB19" si="151">IFERROR(ROUNDDOWN(+AF19/(AC19*3.6),0)," ")</f>
        <v>61</v>
      </c>
      <c r="AC19" s="168">
        <v>24</v>
      </c>
      <c r="AD19" s="171">
        <f t="shared" si="31"/>
        <v>5141977</v>
      </c>
      <c r="AE19" s="167">
        <v>5147251</v>
      </c>
      <c r="AF19" s="165">
        <f t="shared" si="32"/>
        <v>5274</v>
      </c>
      <c r="AG19" s="168">
        <v>20</v>
      </c>
      <c r="AH19" s="168">
        <v>24</v>
      </c>
      <c r="AI19" s="166"/>
      <c r="AJ19" s="166"/>
      <c r="AK19" s="166">
        <f t="shared" ref="AK19" si="152">IF(OR(AH19="",AG19=""),"",AH19*AG19*3.6)</f>
        <v>1728</v>
      </c>
      <c r="AL19" s="167">
        <f>+BDFUENTES[[#This Row],[PZ CHB m3/día]]/3.6/BDFUENTES[[#This Row],[PZ CHB Horas Activo]]</f>
        <v>37.962962962962962</v>
      </c>
      <c r="AM19" s="171">
        <v>18</v>
      </c>
      <c r="AN19" s="168">
        <f t="shared" si="34"/>
        <v>3543634</v>
      </c>
      <c r="AO19" s="168">
        <v>3546094</v>
      </c>
      <c r="AP19" s="167">
        <f t="shared" si="35"/>
        <v>2460</v>
      </c>
      <c r="AQ19" s="166"/>
      <c r="AR19" s="166" t="str">
        <f t="shared" si="36"/>
        <v xml:space="preserve"> </v>
      </c>
      <c r="AS19" s="168" t="str">
        <f t="shared" si="37"/>
        <v xml:space="preserve"> </v>
      </c>
      <c r="AT19" s="168"/>
      <c r="AU19" s="166" t="str">
        <f t="shared" si="38"/>
        <v xml:space="preserve"> </v>
      </c>
      <c r="AV19" s="167">
        <f>+BDFUENTES[[#This Row],[PZ TM m3/día]]/3.6/BDFUENTES[[#This Row],[PZ TM Horas Activo]]</f>
        <v>11.611111111111111</v>
      </c>
      <c r="AW19" s="167">
        <v>15</v>
      </c>
      <c r="AX19" s="169">
        <f t="shared" si="39"/>
        <v>573039</v>
      </c>
      <c r="AY19" s="169">
        <v>573666</v>
      </c>
      <c r="AZ19" s="167">
        <f t="shared" si="40"/>
        <v>627</v>
      </c>
      <c r="BA19" s="166">
        <v>125</v>
      </c>
      <c r="BB19" s="166">
        <f t="shared" ref="BB19" si="153">IFERROR(+BE19/(BA19*3.6)," ")</f>
        <v>4.72</v>
      </c>
      <c r="BC19" s="168">
        <f t="shared" si="42"/>
        <v>5894516</v>
      </c>
      <c r="BD19" s="168">
        <v>5896640</v>
      </c>
      <c r="BE19" s="166">
        <f t="shared" si="43"/>
        <v>2124</v>
      </c>
      <c r="BF19" s="167">
        <v>20</v>
      </c>
      <c r="BG19" s="166">
        <f t="shared" ref="BG19:BG20" si="154">IFERROR(+BJ19/(BF19*3.6)," ")</f>
        <v>17.972222222222221</v>
      </c>
      <c r="BH19" s="168">
        <f t="shared" si="44"/>
        <v>1543721</v>
      </c>
      <c r="BI19" s="168">
        <v>1545015</v>
      </c>
      <c r="BJ19" s="167">
        <f t="shared" si="45"/>
        <v>1294</v>
      </c>
      <c r="BK19" s="166">
        <v>70</v>
      </c>
      <c r="BL19" s="166">
        <f t="shared" ref="BL19" si="155">IFERROR(+BO19/(BK19*3.6)," ")</f>
        <v>11.392857142857142</v>
      </c>
      <c r="BM19" s="168">
        <f t="shared" si="47"/>
        <v>6162154</v>
      </c>
      <c r="BN19" s="168">
        <v>6165025</v>
      </c>
      <c r="BO19" s="166">
        <f t="shared" si="48"/>
        <v>2871</v>
      </c>
    </row>
    <row r="20" spans="1:67" ht="15" customHeight="1" x14ac:dyDescent="0.25">
      <c r="A20" s="4">
        <f t="shared" si="1"/>
        <v>1</v>
      </c>
      <c r="B20" s="170">
        <v>46038</v>
      </c>
      <c r="C20" s="164">
        <v>38</v>
      </c>
      <c r="D20" s="166">
        <f t="shared" ref="D20" si="156">IFERROR(+G20/(C20*3.6)," ")</f>
        <v>13.428362573099415</v>
      </c>
      <c r="E20" s="168">
        <f t="shared" si="18"/>
        <v>3764056</v>
      </c>
      <c r="F20" s="168">
        <v>3765893</v>
      </c>
      <c r="G20" s="166">
        <f t="shared" si="19"/>
        <v>1837</v>
      </c>
      <c r="H20" s="167">
        <v>25</v>
      </c>
      <c r="I20" s="167">
        <f t="shared" ref="I20:I21" si="157">IFERROR(+L20/(H20*3.6)," ")</f>
        <v>0</v>
      </c>
      <c r="J20" s="168">
        <f t="shared" ref="J20:J21" si="158">IF(K20&gt;0,K19," ")</f>
        <v>1970853</v>
      </c>
      <c r="K20" s="266">
        <v>1970853</v>
      </c>
      <c r="L20" s="167">
        <f t="shared" ref="L20:L21" si="159">IFERROR((K20-J20)," ")</f>
        <v>0</v>
      </c>
      <c r="M20" s="166">
        <v>38</v>
      </c>
      <c r="N20" s="166">
        <f t="shared" ref="N20" si="160">IFERROR(+Q20/(M20*3.6)," ")</f>
        <v>0</v>
      </c>
      <c r="O20" s="168">
        <f t="shared" si="24"/>
        <v>414656</v>
      </c>
      <c r="P20" s="168">
        <v>414656</v>
      </c>
      <c r="Q20" s="166">
        <f t="shared" si="25"/>
        <v>0</v>
      </c>
      <c r="R20" s="167">
        <f>+BDFUENTES[[#This Row],[PZ MED m3/día]]/3.6/BDFUENTES[[#This Row],[PZ MED Horas Activo]]</f>
        <v>28.300653594771241</v>
      </c>
      <c r="S20" s="167">
        <v>17</v>
      </c>
      <c r="T20" s="168">
        <f t="shared" si="26"/>
        <v>241817</v>
      </c>
      <c r="U20" s="168">
        <v>243549</v>
      </c>
      <c r="V20" s="165">
        <f t="shared" si="27"/>
        <v>1732</v>
      </c>
      <c r="W20" s="164">
        <f t="shared" si="28"/>
        <v>305.31822117592566</v>
      </c>
      <c r="X20" s="166">
        <v>24</v>
      </c>
      <c r="Y20" s="168">
        <f t="shared" si="29"/>
        <v>1121488.5056904</v>
      </c>
      <c r="Z20" s="168">
        <v>1149600</v>
      </c>
      <c r="AA20" s="164">
        <f>IFERROR((Z20-Y20)," ")-1732</f>
        <v>26379.494309599977</v>
      </c>
      <c r="AB20" s="168">
        <f t="shared" ref="AB20:AB22" si="161">IFERROR(ROUNDDOWN(+AF20/(AC20*3.6),0)," ")</f>
        <v>58</v>
      </c>
      <c r="AC20" s="168">
        <v>24</v>
      </c>
      <c r="AD20" s="171">
        <f t="shared" si="31"/>
        <v>5147251</v>
      </c>
      <c r="AE20" s="167">
        <v>5152286</v>
      </c>
      <c r="AF20" s="165">
        <f t="shared" si="32"/>
        <v>5035</v>
      </c>
      <c r="AG20" s="168">
        <v>20</v>
      </c>
      <c r="AH20" s="168">
        <v>24</v>
      </c>
      <c r="AI20" s="166"/>
      <c r="AJ20" s="166"/>
      <c r="AK20" s="166">
        <f t="shared" ref="AK20:AK21" si="162">IF(OR(AH20="",AG20=""),"",AH20*AG20*3.6)</f>
        <v>1728</v>
      </c>
      <c r="AL20" s="167">
        <f>+BDFUENTES[[#This Row],[PZ CHB m3/día]]/3.6/BDFUENTES[[#This Row],[PZ CHB Horas Activo]]</f>
        <v>38.728070175438596</v>
      </c>
      <c r="AM20" s="171">
        <v>19</v>
      </c>
      <c r="AN20" s="168">
        <f t="shared" si="34"/>
        <v>3546094</v>
      </c>
      <c r="AO20" s="168">
        <v>3548743</v>
      </c>
      <c r="AP20" s="167">
        <f t="shared" si="35"/>
        <v>2649</v>
      </c>
      <c r="AQ20" s="166"/>
      <c r="AR20" s="166" t="str">
        <f t="shared" si="36"/>
        <v xml:space="preserve"> </v>
      </c>
      <c r="AS20" s="168" t="str">
        <f t="shared" si="37"/>
        <v xml:space="preserve"> </v>
      </c>
      <c r="AT20" s="168"/>
      <c r="AU20" s="166" t="str">
        <f t="shared" si="38"/>
        <v xml:space="preserve"> </v>
      </c>
      <c r="AV20" s="167">
        <f>+BDFUENTES[[#This Row],[PZ TM m3/día]]/3.6/BDFUENTES[[#This Row],[PZ TM Horas Activo]]</f>
        <v>11.648148148148149</v>
      </c>
      <c r="AW20" s="167">
        <v>15</v>
      </c>
      <c r="AX20" s="169">
        <f t="shared" si="39"/>
        <v>573666</v>
      </c>
      <c r="AY20" s="169">
        <v>574295</v>
      </c>
      <c r="AZ20" s="167">
        <f t="shared" si="40"/>
        <v>629</v>
      </c>
      <c r="BA20" s="166">
        <v>125</v>
      </c>
      <c r="BB20" s="166">
        <f t="shared" ref="BB20" si="163">IFERROR(+BE20/(BA20*3.6)," ")</f>
        <v>4.5111111111111111</v>
      </c>
      <c r="BC20" s="168">
        <f t="shared" si="42"/>
        <v>5896640</v>
      </c>
      <c r="BD20" s="168">
        <v>5898670</v>
      </c>
      <c r="BE20" s="166">
        <f t="shared" si="43"/>
        <v>2030</v>
      </c>
      <c r="BF20" s="167">
        <v>20</v>
      </c>
      <c r="BG20" s="166">
        <f t="shared" si="154"/>
        <v>17.041666666666668</v>
      </c>
      <c r="BH20" s="168">
        <f t="shared" si="44"/>
        <v>1545015</v>
      </c>
      <c r="BI20" s="168">
        <v>1546242</v>
      </c>
      <c r="BJ20" s="167">
        <f t="shared" si="45"/>
        <v>1227</v>
      </c>
      <c r="BK20" s="166">
        <v>70</v>
      </c>
      <c r="BL20" s="166">
        <f>IFERROR(+BO20/(BK20*3.6)," ")</f>
        <v>11.734126984126984</v>
      </c>
      <c r="BM20" s="168">
        <f t="shared" si="47"/>
        <v>6165025</v>
      </c>
      <c r="BN20" s="168">
        <v>6167982</v>
      </c>
      <c r="BO20" s="166">
        <f t="shared" si="48"/>
        <v>2957</v>
      </c>
    </row>
    <row r="21" spans="1:67" ht="15" customHeight="1" x14ac:dyDescent="0.25">
      <c r="A21" s="4">
        <f t="shared" si="1"/>
        <v>1</v>
      </c>
      <c r="B21" s="170">
        <v>46039</v>
      </c>
      <c r="C21" s="164">
        <v>38</v>
      </c>
      <c r="D21" s="166">
        <f t="shared" ref="D21" si="164">IFERROR(+G21/(C21*3.6)," ")</f>
        <v>13.450292397660817</v>
      </c>
      <c r="E21" s="168">
        <f t="shared" si="18"/>
        <v>3765893</v>
      </c>
      <c r="F21" s="168">
        <v>3767733</v>
      </c>
      <c r="G21" s="166">
        <f t="shared" si="19"/>
        <v>1840</v>
      </c>
      <c r="H21" s="167">
        <v>25</v>
      </c>
      <c r="I21" s="167">
        <f t="shared" si="157"/>
        <v>0</v>
      </c>
      <c r="J21" s="168">
        <f t="shared" si="158"/>
        <v>1970853</v>
      </c>
      <c r="K21" s="266">
        <v>1970853</v>
      </c>
      <c r="L21" s="167">
        <f t="shared" si="159"/>
        <v>0</v>
      </c>
      <c r="M21" s="166">
        <v>38</v>
      </c>
      <c r="N21" s="166">
        <f t="shared" ref="N21" si="165">IFERROR(+Q21/(M21*3.6)," ")</f>
        <v>0</v>
      </c>
      <c r="O21" s="168">
        <f t="shared" ref="O21" si="166">IF(P21&gt;0,P20," ")</f>
        <v>414656</v>
      </c>
      <c r="P21" s="168">
        <v>414656</v>
      </c>
      <c r="Q21" s="166">
        <f t="shared" ref="Q21" si="167">IFERROR((P21-O21)," ")</f>
        <v>0</v>
      </c>
      <c r="R21" s="167">
        <f>+BDFUENTES[[#This Row],[PZ MED m3/día]]/3.6/BDFUENTES[[#This Row],[PZ MED Horas Activo]]</f>
        <v>28.347953216374268</v>
      </c>
      <c r="S21" s="167">
        <v>19</v>
      </c>
      <c r="T21" s="168">
        <f t="shared" si="26"/>
        <v>243549</v>
      </c>
      <c r="U21" s="168">
        <v>245488</v>
      </c>
      <c r="V21" s="165">
        <f t="shared" si="27"/>
        <v>1939</v>
      </c>
      <c r="W21" s="164">
        <f t="shared" si="28"/>
        <v>323.27546296296299</v>
      </c>
      <c r="X21" s="166">
        <v>24</v>
      </c>
      <c r="Y21" s="168">
        <f t="shared" si="29"/>
        <v>1149600</v>
      </c>
      <c r="Z21" s="168">
        <v>1179470</v>
      </c>
      <c r="AA21" s="164">
        <f>IFERROR((Z21-Y21)," ")-1939</f>
        <v>27931</v>
      </c>
      <c r="AB21" s="168">
        <f t="shared" si="161"/>
        <v>57</v>
      </c>
      <c r="AC21" s="168">
        <v>23</v>
      </c>
      <c r="AD21" s="171">
        <f t="shared" si="31"/>
        <v>5152286</v>
      </c>
      <c r="AE21" s="167">
        <v>5157086</v>
      </c>
      <c r="AF21" s="165">
        <f t="shared" si="32"/>
        <v>4800</v>
      </c>
      <c r="AG21" s="168">
        <v>20</v>
      </c>
      <c r="AH21" s="168">
        <v>24</v>
      </c>
      <c r="AI21" s="166"/>
      <c r="AJ21" s="166"/>
      <c r="AK21" s="166">
        <f t="shared" si="162"/>
        <v>1728</v>
      </c>
      <c r="AL21" s="167">
        <f>+BDFUENTES[[#This Row],[PZ CHB m3/día]]/3.6/BDFUENTES[[#This Row],[PZ CHB Horas Activo]]</f>
        <v>37.947530864197532</v>
      </c>
      <c r="AM21" s="171">
        <v>18</v>
      </c>
      <c r="AN21" s="168">
        <f t="shared" si="34"/>
        <v>3548743</v>
      </c>
      <c r="AO21" s="168">
        <v>3551202</v>
      </c>
      <c r="AP21" s="167">
        <f t="shared" si="35"/>
        <v>2459</v>
      </c>
      <c r="AQ21" s="166"/>
      <c r="AR21" s="166" t="str">
        <f t="shared" si="36"/>
        <v xml:space="preserve"> </v>
      </c>
      <c r="AS21" s="168" t="str">
        <f t="shared" si="37"/>
        <v xml:space="preserve"> </v>
      </c>
      <c r="AT21" s="168"/>
      <c r="AU21" s="166" t="str">
        <f t="shared" si="38"/>
        <v xml:space="preserve"> </v>
      </c>
      <c r="AV21" s="167">
        <f>+BDFUENTES[[#This Row],[PZ TM m3/día]]/3.6/BDFUENTES[[#This Row],[PZ TM Horas Activo]]</f>
        <v>11.5</v>
      </c>
      <c r="AW21" s="167">
        <v>15</v>
      </c>
      <c r="AX21" s="169">
        <f t="shared" si="39"/>
        <v>574295</v>
      </c>
      <c r="AY21" s="169">
        <v>574916</v>
      </c>
      <c r="AZ21" s="167">
        <f t="shared" si="40"/>
        <v>621</v>
      </c>
      <c r="BA21" s="166">
        <v>125</v>
      </c>
      <c r="BB21" s="166">
        <f t="shared" ref="BB21" si="168">IFERROR(+BE21/(BA21*3.6)," ")</f>
        <v>4.0777777777777775</v>
      </c>
      <c r="BC21" s="168">
        <f t="shared" si="42"/>
        <v>5898670</v>
      </c>
      <c r="BD21" s="168">
        <v>5900505</v>
      </c>
      <c r="BE21" s="166">
        <f t="shared" si="43"/>
        <v>1835</v>
      </c>
      <c r="BF21" s="167">
        <v>20</v>
      </c>
      <c r="BG21" s="166">
        <f t="shared" ref="BG21" si="169">IFERROR(+BJ21/(BF21*3.6)," ")</f>
        <v>16.791666666666668</v>
      </c>
      <c r="BH21" s="168">
        <f t="shared" si="44"/>
        <v>1546242</v>
      </c>
      <c r="BI21" s="168">
        <v>1547451</v>
      </c>
      <c r="BJ21" s="167">
        <f t="shared" si="45"/>
        <v>1209</v>
      </c>
      <c r="BK21" s="166">
        <v>70</v>
      </c>
      <c r="BL21" s="166">
        <f t="shared" ref="BL21:BL22" si="170">IFERROR(+BO21/(BK21*3.6)," ")</f>
        <v>16.658730158730158</v>
      </c>
      <c r="BM21" s="168">
        <f t="shared" si="47"/>
        <v>6167982</v>
      </c>
      <c r="BN21" s="168">
        <v>6172180</v>
      </c>
      <c r="BO21" s="166">
        <f t="shared" si="48"/>
        <v>4198</v>
      </c>
    </row>
    <row r="22" spans="1:67" ht="15" customHeight="1" x14ac:dyDescent="0.25">
      <c r="A22" s="4">
        <f t="shared" si="1"/>
        <v>1</v>
      </c>
      <c r="B22" s="170">
        <v>46040</v>
      </c>
      <c r="C22" s="164">
        <v>38</v>
      </c>
      <c r="D22" s="166">
        <f t="shared" ref="D22" si="171">IFERROR(+G22/(C22*3.6)," ")</f>
        <v>13.230994152046783</v>
      </c>
      <c r="E22" s="168">
        <f t="shared" si="18"/>
        <v>3767733</v>
      </c>
      <c r="F22" s="168">
        <v>3769543</v>
      </c>
      <c r="G22" s="166">
        <f t="shared" si="19"/>
        <v>1810</v>
      </c>
      <c r="H22" s="167">
        <v>25</v>
      </c>
      <c r="I22" s="167">
        <f t="shared" ref="I22" si="172">IFERROR(+L22/(H22*3.6)," ")</f>
        <v>0</v>
      </c>
      <c r="J22" s="168">
        <f t="shared" ref="J22" si="173">IF(K22&gt;0,K21," ")</f>
        <v>1970853</v>
      </c>
      <c r="K22" s="266">
        <v>1970853</v>
      </c>
      <c r="L22" s="167">
        <f t="shared" ref="L22" si="174">IFERROR((K22-J22)," ")</f>
        <v>0</v>
      </c>
      <c r="M22" s="166">
        <v>38</v>
      </c>
      <c r="N22" s="166">
        <f t="shared" ref="N22" si="175">IFERROR(+Q22/(M22*3.6)," ")</f>
        <v>0</v>
      </c>
      <c r="O22" s="168">
        <f t="shared" ref="O22" si="176">IF(P22&gt;0,P21," ")</f>
        <v>414656</v>
      </c>
      <c r="P22" s="168">
        <v>414656</v>
      </c>
      <c r="Q22" s="166">
        <f t="shared" ref="Q22" si="177">IFERROR((P22-O22)," ")</f>
        <v>0</v>
      </c>
      <c r="R22" s="167">
        <f>+BDFUENTES[[#This Row],[PZ MED m3/día]]/3.6/BDFUENTES[[#This Row],[PZ MED Horas Activo]]</f>
        <v>27.777777777777779</v>
      </c>
      <c r="S22" s="167">
        <v>0.01</v>
      </c>
      <c r="T22" s="168">
        <f t="shared" si="26"/>
        <v>245488</v>
      </c>
      <c r="U22" s="168">
        <v>245489</v>
      </c>
      <c r="V22" s="165">
        <f t="shared" si="27"/>
        <v>1</v>
      </c>
      <c r="W22" s="164">
        <f t="shared" ref="W22" si="178">IFERROR((AA22/X22)/3.6," ")</f>
        <v>372.53877614536947</v>
      </c>
      <c r="X22" s="166">
        <v>24</v>
      </c>
      <c r="Y22" s="168">
        <f t="shared" si="29"/>
        <v>1179470</v>
      </c>
      <c r="Z22" s="168">
        <v>1211657.3502589599</v>
      </c>
      <c r="AA22" s="164">
        <f t="shared" si="58"/>
        <v>32187.350258959923</v>
      </c>
      <c r="AB22" s="168">
        <f t="shared" si="161"/>
        <v>60</v>
      </c>
      <c r="AC22" s="168">
        <v>19</v>
      </c>
      <c r="AD22" s="171">
        <f t="shared" si="31"/>
        <v>5157086</v>
      </c>
      <c r="AE22" s="167">
        <v>5161200</v>
      </c>
      <c r="AF22" s="165">
        <f t="shared" si="32"/>
        <v>4114</v>
      </c>
      <c r="AG22" s="168">
        <v>20</v>
      </c>
      <c r="AH22" s="168">
        <v>24</v>
      </c>
      <c r="AI22" s="166"/>
      <c r="AJ22" s="166"/>
      <c r="AK22" s="166">
        <f t="shared" ref="AK22" si="179">IF(OR(AH22="",AG22=""),"",AH22*AG22*3.6)</f>
        <v>1728</v>
      </c>
      <c r="AL22" s="167">
        <f>+BDFUENTES[[#This Row],[PZ CHB m3/día]]/3.6/BDFUENTES[[#This Row],[PZ CHB Horas Activo]]</f>
        <v>38.56481481481481</v>
      </c>
      <c r="AM22" s="171">
        <v>18</v>
      </c>
      <c r="AN22" s="168">
        <f t="shared" si="34"/>
        <v>3551202</v>
      </c>
      <c r="AO22" s="168">
        <v>3553701</v>
      </c>
      <c r="AP22" s="167">
        <f t="shared" si="35"/>
        <v>2499</v>
      </c>
      <c r="AQ22" s="166"/>
      <c r="AR22" s="166" t="str">
        <f t="shared" si="36"/>
        <v xml:space="preserve"> </v>
      </c>
      <c r="AS22" s="168" t="str">
        <f t="shared" si="37"/>
        <v xml:space="preserve"> </v>
      </c>
      <c r="AT22" s="168"/>
      <c r="AU22" s="166" t="str">
        <f t="shared" si="38"/>
        <v xml:space="preserve"> </v>
      </c>
      <c r="AV22" s="167">
        <f>+BDFUENTES[[#This Row],[PZ TM m3/día]]/3.6/BDFUENTES[[#This Row],[PZ TM Horas Activo]]</f>
        <v>11.148148148148149</v>
      </c>
      <c r="AW22" s="167">
        <v>15</v>
      </c>
      <c r="AX22" s="169">
        <f t="shared" si="39"/>
        <v>574916</v>
      </c>
      <c r="AY22" s="169">
        <v>575518</v>
      </c>
      <c r="AZ22" s="167">
        <f t="shared" si="40"/>
        <v>602</v>
      </c>
      <c r="BA22" s="166">
        <v>125</v>
      </c>
      <c r="BB22" s="166">
        <f t="shared" ref="BB22" si="180">IFERROR(+BE22/(BA22*3.6)," ")</f>
        <v>4.137777777777778</v>
      </c>
      <c r="BC22" s="168">
        <f t="shared" si="42"/>
        <v>5900505</v>
      </c>
      <c r="BD22" s="168">
        <v>5902367</v>
      </c>
      <c r="BE22" s="166">
        <f t="shared" si="43"/>
        <v>1862</v>
      </c>
      <c r="BF22" s="167">
        <v>20</v>
      </c>
      <c r="BG22" s="166">
        <f t="shared" ref="BG22" si="181">IFERROR(+BJ22/(BF22*3.6)," ")</f>
        <v>16.208333333333332</v>
      </c>
      <c r="BH22" s="168">
        <f t="shared" si="44"/>
        <v>1547451</v>
      </c>
      <c r="BI22" s="168">
        <v>1548618</v>
      </c>
      <c r="BJ22" s="167">
        <f t="shared" si="45"/>
        <v>1167</v>
      </c>
      <c r="BK22" s="166">
        <v>70</v>
      </c>
      <c r="BL22" s="166">
        <f t="shared" si="170"/>
        <v>14.507936507936508</v>
      </c>
      <c r="BM22" s="168">
        <f t="shared" si="47"/>
        <v>6172180</v>
      </c>
      <c r="BN22" s="168">
        <v>6175836</v>
      </c>
      <c r="BO22" s="166">
        <f t="shared" si="48"/>
        <v>3656</v>
      </c>
    </row>
    <row r="23" spans="1:67" ht="15" customHeight="1" x14ac:dyDescent="0.25">
      <c r="A23" s="4">
        <f t="shared" si="1"/>
        <v>1</v>
      </c>
      <c r="B23" s="170">
        <v>46041</v>
      </c>
      <c r="C23" s="164">
        <v>38</v>
      </c>
      <c r="D23" s="166">
        <f t="shared" ref="D23" si="182">IFERROR(+G23/(C23*3.6)," ")</f>
        <v>13.377192982456139</v>
      </c>
      <c r="E23" s="168">
        <f t="shared" si="18"/>
        <v>3769543</v>
      </c>
      <c r="F23" s="168">
        <v>3771373</v>
      </c>
      <c r="G23" s="166">
        <f t="shared" si="19"/>
        <v>1830</v>
      </c>
      <c r="H23" s="167">
        <v>25</v>
      </c>
      <c r="I23" s="167">
        <f t="shared" ref="I23" si="183">IFERROR(+L23/(H23*3.6)," ")</f>
        <v>0</v>
      </c>
      <c r="J23" s="168">
        <f t="shared" ref="J23" si="184">IF(K23&gt;0,K22," ")</f>
        <v>1970853</v>
      </c>
      <c r="K23" s="266">
        <v>1970853</v>
      </c>
      <c r="L23" s="167">
        <f t="shared" ref="L23" si="185">IFERROR((K23-J23)," ")</f>
        <v>0</v>
      </c>
      <c r="M23" s="166">
        <v>38</v>
      </c>
      <c r="N23" s="166">
        <f t="shared" ref="N23" si="186">IFERROR(+Q23/(M23*3.6)," ")</f>
        <v>0</v>
      </c>
      <c r="O23" s="168">
        <f t="shared" ref="O23" si="187">IF(P23&gt;0,P22," ")</f>
        <v>414656</v>
      </c>
      <c r="P23" s="168">
        <v>414656</v>
      </c>
      <c r="Q23" s="166">
        <f t="shared" ref="Q23" si="188">IFERROR((P23-O23)," ")</f>
        <v>0</v>
      </c>
      <c r="R23" s="167">
        <f>+BDFUENTES[[#This Row],[PZ MED m3/día]]/3.6/BDFUENTES[[#This Row],[PZ MED Horas Activo]]</f>
        <v>27.700617283950617</v>
      </c>
      <c r="S23" s="167">
        <v>18</v>
      </c>
      <c r="T23" s="168">
        <f t="shared" si="26"/>
        <v>245489</v>
      </c>
      <c r="U23" s="168">
        <v>247284</v>
      </c>
      <c r="V23" s="165">
        <f t="shared" si="27"/>
        <v>1795</v>
      </c>
      <c r="W23" s="164">
        <f t="shared" si="28"/>
        <v>265.97974237314901</v>
      </c>
      <c r="X23" s="166">
        <v>24</v>
      </c>
      <c r="Y23" s="168">
        <f t="shared" si="29"/>
        <v>1211657.3502589599</v>
      </c>
      <c r="Z23" s="168">
        <v>1236433</v>
      </c>
      <c r="AA23" s="164">
        <f>IFERROR((Z23-Y23)," ")-1795</f>
        <v>22980.649741040077</v>
      </c>
      <c r="AB23" s="168">
        <f t="shared" ref="AB23" si="189">IFERROR(ROUNDDOWN(+AF23/(AC23*3.6),0)," ")</f>
        <v>58</v>
      </c>
      <c r="AC23" s="168">
        <v>15</v>
      </c>
      <c r="AD23" s="171">
        <f t="shared" si="31"/>
        <v>5161200</v>
      </c>
      <c r="AE23" s="167">
        <v>5164362</v>
      </c>
      <c r="AF23" s="165">
        <f t="shared" si="32"/>
        <v>3162</v>
      </c>
      <c r="AG23" s="168">
        <v>20</v>
      </c>
      <c r="AH23" s="168">
        <v>24</v>
      </c>
      <c r="AI23" s="166"/>
      <c r="AJ23" s="166"/>
      <c r="AK23" s="166">
        <f t="shared" ref="AK23" si="190">IF(OR(AH23="",AG23=""),"",AH23*AG23*3.6)</f>
        <v>1728</v>
      </c>
      <c r="AL23" s="167">
        <f>+BDFUENTES[[#This Row],[PZ CHB m3/día]]/3.6/BDFUENTES[[#This Row],[PZ CHB Horas Activo]]</f>
        <v>38.302469135802468</v>
      </c>
      <c r="AM23" s="171">
        <v>18</v>
      </c>
      <c r="AN23" s="168">
        <f t="shared" si="34"/>
        <v>3553701</v>
      </c>
      <c r="AO23" s="168">
        <v>3556183</v>
      </c>
      <c r="AP23" s="167">
        <f t="shared" si="35"/>
        <v>2482</v>
      </c>
      <c r="AQ23" s="166"/>
      <c r="AR23" s="166" t="str">
        <f t="shared" si="36"/>
        <v xml:space="preserve"> </v>
      </c>
      <c r="AS23" s="168" t="str">
        <f t="shared" si="37"/>
        <v xml:space="preserve"> </v>
      </c>
      <c r="AT23" s="168"/>
      <c r="AU23" s="166" t="str">
        <f t="shared" si="38"/>
        <v xml:space="preserve"> </v>
      </c>
      <c r="AV23" s="167">
        <f>+BDFUENTES[[#This Row],[PZ TM m3/día]]/3.6/BDFUENTES[[#This Row],[PZ TM Horas Activo]]</f>
        <v>11.28968253968254</v>
      </c>
      <c r="AW23" s="167">
        <v>14</v>
      </c>
      <c r="AX23" s="169">
        <f t="shared" si="39"/>
        <v>575518</v>
      </c>
      <c r="AY23" s="169">
        <v>576087</v>
      </c>
      <c r="AZ23" s="167">
        <f t="shared" si="40"/>
        <v>569</v>
      </c>
      <c r="BA23" s="166">
        <v>125</v>
      </c>
      <c r="BB23" s="166">
        <f t="shared" ref="BB23" si="191">IFERROR(+BE23/(BA23*3.6)," ")</f>
        <v>4.1688888888888886</v>
      </c>
      <c r="BC23" s="168">
        <f t="shared" si="42"/>
        <v>5902367</v>
      </c>
      <c r="BD23" s="168">
        <v>5904243</v>
      </c>
      <c r="BE23" s="166">
        <f t="shared" si="43"/>
        <v>1876</v>
      </c>
      <c r="BF23" s="167">
        <v>20</v>
      </c>
      <c r="BG23" s="166">
        <f t="shared" ref="BG23" si="192">IFERROR(+BJ23/(BF23*3.6)," ")</f>
        <v>16.222222222222221</v>
      </c>
      <c r="BH23" s="168">
        <f t="shared" si="44"/>
        <v>1548618</v>
      </c>
      <c r="BI23" s="168">
        <v>1549786</v>
      </c>
      <c r="BJ23" s="167">
        <f t="shared" si="45"/>
        <v>1168</v>
      </c>
      <c r="BK23" s="166">
        <v>70</v>
      </c>
      <c r="BL23" s="166">
        <f t="shared" ref="BL23:BL24" si="193">IFERROR(+BO23/(BK23*3.6)," ")</f>
        <v>5.0515873015873014</v>
      </c>
      <c r="BM23" s="168">
        <f t="shared" si="47"/>
        <v>6175836</v>
      </c>
      <c r="BN23" s="168">
        <v>6177109</v>
      </c>
      <c r="BO23" s="166">
        <f t="shared" si="48"/>
        <v>1273</v>
      </c>
    </row>
    <row r="24" spans="1:67" ht="15" customHeight="1" x14ac:dyDescent="0.25">
      <c r="A24" s="4">
        <f t="shared" si="1"/>
        <v>1</v>
      </c>
      <c r="B24" s="170">
        <v>46042</v>
      </c>
      <c r="C24" s="164">
        <v>38</v>
      </c>
      <c r="D24" s="166">
        <f t="shared" ref="D24" si="194">IFERROR(+G24/(C24*3.6)," ")</f>
        <v>13.464912280701753</v>
      </c>
      <c r="E24" s="168">
        <f t="shared" si="18"/>
        <v>3771373</v>
      </c>
      <c r="F24" s="168">
        <v>3773215</v>
      </c>
      <c r="G24" s="166">
        <f t="shared" si="19"/>
        <v>1842</v>
      </c>
      <c r="H24" s="167">
        <v>25</v>
      </c>
      <c r="I24" s="167">
        <f t="shared" ref="I24" si="195">IFERROR(+L24/(H24*3.6)," ")</f>
        <v>0</v>
      </c>
      <c r="J24" s="168">
        <f t="shared" ref="J24" si="196">IF(K24&gt;0,K23," ")</f>
        <v>1970853</v>
      </c>
      <c r="K24" s="266">
        <v>1970853</v>
      </c>
      <c r="L24" s="167">
        <f t="shared" ref="L24" si="197">IFERROR((K24-J24)," ")</f>
        <v>0</v>
      </c>
      <c r="M24" s="166">
        <v>38</v>
      </c>
      <c r="N24" s="166">
        <f t="shared" ref="N24" si="198">IFERROR(+Q24/(M24*3.6)," ")</f>
        <v>0</v>
      </c>
      <c r="O24" s="168">
        <f t="shared" ref="O24" si="199">IF(P24&gt;0,P23," ")</f>
        <v>414656</v>
      </c>
      <c r="P24" s="168">
        <v>414656</v>
      </c>
      <c r="Q24" s="166">
        <f t="shared" ref="Q24" si="200">IFERROR((P24-O24)," ")</f>
        <v>0</v>
      </c>
      <c r="R24" s="167">
        <f>+BDFUENTES[[#This Row],[PZ MED m3/día]]/3.6/BDFUENTES[[#This Row],[PZ MED Horas Activo]]</f>
        <v>28.494152046783626</v>
      </c>
      <c r="S24" s="167">
        <v>19</v>
      </c>
      <c r="T24" s="168">
        <f t="shared" si="26"/>
        <v>247284</v>
      </c>
      <c r="U24" s="168">
        <v>249233</v>
      </c>
      <c r="V24" s="165">
        <f t="shared" si="27"/>
        <v>1949</v>
      </c>
      <c r="W24" s="164">
        <f t="shared" ref="W24" si="201">IFERROR((AA24/X24)/3.6," ")</f>
        <v>339.37073513611085</v>
      </c>
      <c r="X24" s="166">
        <v>24</v>
      </c>
      <c r="Y24" s="168">
        <f t="shared" si="29"/>
        <v>1236433</v>
      </c>
      <c r="Z24" s="168">
        <v>1267703.63151576</v>
      </c>
      <c r="AA24" s="164">
        <f>IFERROR((Z24-Y24)," ")-1949</f>
        <v>29321.631515759975</v>
      </c>
      <c r="AB24" s="168">
        <f t="shared" ref="AB24" si="202">IFERROR(ROUNDDOWN(+AF24/(AC24*3.6),0)," ")</f>
        <v>52</v>
      </c>
      <c r="AC24" s="168">
        <v>23.3</v>
      </c>
      <c r="AD24" s="171">
        <f t="shared" si="31"/>
        <v>5164362</v>
      </c>
      <c r="AE24" s="167">
        <v>5168753</v>
      </c>
      <c r="AF24" s="165">
        <f t="shared" si="32"/>
        <v>4391</v>
      </c>
      <c r="AG24" s="168">
        <v>20</v>
      </c>
      <c r="AH24" s="168">
        <v>24</v>
      </c>
      <c r="AI24" s="166"/>
      <c r="AJ24" s="166"/>
      <c r="AK24" s="166">
        <f t="shared" ref="AK24" si="203">IF(OR(AH24="",AG24=""),"",AH24*AG24*3.6)</f>
        <v>1728</v>
      </c>
      <c r="AL24" s="167">
        <f>+BDFUENTES[[#This Row],[PZ CHB m3/día]]/3.6/BDFUENTES[[#This Row],[PZ CHB Horas Activo]]</f>
        <v>38.796296296296298</v>
      </c>
      <c r="AM24" s="171">
        <v>18</v>
      </c>
      <c r="AN24" s="168">
        <f t="shared" si="34"/>
        <v>3556183</v>
      </c>
      <c r="AO24" s="168">
        <v>3558697</v>
      </c>
      <c r="AP24" s="167">
        <f t="shared" si="35"/>
        <v>2514</v>
      </c>
      <c r="AQ24" s="166"/>
      <c r="AR24" s="166" t="str">
        <f t="shared" si="36"/>
        <v xml:space="preserve"> </v>
      </c>
      <c r="AS24" s="168" t="str">
        <f t="shared" si="37"/>
        <v xml:space="preserve"> </v>
      </c>
      <c r="AT24" s="168"/>
      <c r="AU24" s="166" t="str">
        <f t="shared" si="38"/>
        <v xml:space="preserve"> </v>
      </c>
      <c r="AV24" s="167">
        <f>+BDFUENTES[[#This Row],[PZ TM m3/día]]/3.6/BDFUENTES[[#This Row],[PZ TM Horas Activo]]</f>
        <v>11.777777777777777</v>
      </c>
      <c r="AW24" s="167">
        <v>15</v>
      </c>
      <c r="AX24" s="169">
        <f t="shared" si="39"/>
        <v>576087</v>
      </c>
      <c r="AY24" s="169">
        <v>576723</v>
      </c>
      <c r="AZ24" s="167">
        <f t="shared" si="40"/>
        <v>636</v>
      </c>
      <c r="BA24" s="166">
        <v>125</v>
      </c>
      <c r="BB24" s="166">
        <f t="shared" ref="BB24" si="204">IFERROR(+BE24/(BA24*3.6)," ")</f>
        <v>4.0888888888888886</v>
      </c>
      <c r="BC24" s="168">
        <f t="shared" si="42"/>
        <v>5904243</v>
      </c>
      <c r="BD24" s="168">
        <v>5906083</v>
      </c>
      <c r="BE24" s="166">
        <f t="shared" si="43"/>
        <v>1840</v>
      </c>
      <c r="BF24" s="167">
        <v>20</v>
      </c>
      <c r="BG24" s="166">
        <f t="shared" ref="BG24" si="205">IFERROR(+BJ24/(BF24*3.6)," ")</f>
        <v>8.3472222222222214</v>
      </c>
      <c r="BH24" s="168">
        <f t="shared" si="44"/>
        <v>1549786</v>
      </c>
      <c r="BI24" s="168">
        <v>1550387</v>
      </c>
      <c r="BJ24" s="167">
        <f t="shared" si="45"/>
        <v>601</v>
      </c>
      <c r="BK24" s="166">
        <v>70</v>
      </c>
      <c r="BL24" s="166">
        <f t="shared" si="193"/>
        <v>17.123015873015873</v>
      </c>
      <c r="BM24" s="168">
        <f t="shared" si="47"/>
        <v>6177109</v>
      </c>
      <c r="BN24" s="168">
        <v>6181424</v>
      </c>
      <c r="BO24" s="166">
        <f t="shared" si="48"/>
        <v>4315</v>
      </c>
    </row>
    <row r="25" spans="1:67" ht="15" customHeight="1" x14ac:dyDescent="0.25">
      <c r="A25" s="4">
        <f t="shared" si="1"/>
        <v>1</v>
      </c>
      <c r="B25" s="170">
        <v>46043</v>
      </c>
      <c r="C25" s="164">
        <v>38</v>
      </c>
      <c r="D25" s="166">
        <f t="shared" ref="D25" si="206">IFERROR(+G25/(C25*3.6)," ")</f>
        <v>13.267543859649122</v>
      </c>
      <c r="E25" s="168">
        <f t="shared" si="18"/>
        <v>3773215</v>
      </c>
      <c r="F25" s="168">
        <v>3775030</v>
      </c>
      <c r="G25" s="166">
        <f t="shared" si="19"/>
        <v>1815</v>
      </c>
      <c r="H25" s="167">
        <v>25</v>
      </c>
      <c r="I25" s="167">
        <f t="shared" ref="I25" si="207">IFERROR(+L25/(H25*3.6)," ")</f>
        <v>0</v>
      </c>
      <c r="J25" s="168">
        <f t="shared" ref="J25" si="208">IF(K25&gt;0,K24," ")</f>
        <v>1970853</v>
      </c>
      <c r="K25" s="266">
        <v>1970853</v>
      </c>
      <c r="L25" s="167">
        <f t="shared" ref="L25" si="209">IFERROR((K25-J25)," ")</f>
        <v>0</v>
      </c>
      <c r="M25" s="166">
        <v>38</v>
      </c>
      <c r="N25" s="166">
        <f t="shared" ref="N25" si="210">IFERROR(+Q25/(M25*3.6)," ")</f>
        <v>0</v>
      </c>
      <c r="O25" s="168">
        <f t="shared" ref="O25" si="211">IF(P25&gt;0,P24," ")</f>
        <v>414656</v>
      </c>
      <c r="P25" s="168">
        <v>414656</v>
      </c>
      <c r="Q25" s="166">
        <f t="shared" ref="Q25" si="212">IFERROR((P25-O25)," ")</f>
        <v>0</v>
      </c>
      <c r="R25" s="167">
        <f>+BDFUENTES[[#This Row],[PZ MED m3/día]]/3.6/BDFUENTES[[#This Row],[PZ MED Horas Activo]]</f>
        <v>28.777777777777779</v>
      </c>
      <c r="S25" s="167">
        <v>20</v>
      </c>
      <c r="T25" s="168">
        <f t="shared" si="26"/>
        <v>249233</v>
      </c>
      <c r="U25" s="168">
        <v>251305</v>
      </c>
      <c r="V25" s="165">
        <f t="shared" si="27"/>
        <v>2072</v>
      </c>
      <c r="W25" s="164">
        <f t="shared" ref="W25" si="213">IFERROR((AA25/X25)/3.6," ")</f>
        <v>389.44394203981642</v>
      </c>
      <c r="X25" s="166">
        <v>24</v>
      </c>
      <c r="Y25" s="168">
        <f t="shared" ref="Y25" si="214">IF(Z25&gt;0,Z24," ")</f>
        <v>1267703.63151576</v>
      </c>
      <c r="Z25" s="168">
        <v>1303300.5881080001</v>
      </c>
      <c r="AA25" s="164">
        <f>IFERROR((Z25-Y25)," ")-1949</f>
        <v>33647.956592240138</v>
      </c>
      <c r="AB25" s="168">
        <f t="shared" ref="AB25" si="215">IFERROR(ROUNDDOWN(+AF25/(AC25*3.6),0)," ")</f>
        <v>69</v>
      </c>
      <c r="AC25" s="168">
        <v>13</v>
      </c>
      <c r="AD25" s="171">
        <f t="shared" si="31"/>
        <v>5168753</v>
      </c>
      <c r="AE25" s="167">
        <v>5171997</v>
      </c>
      <c r="AF25" s="165">
        <f t="shared" si="32"/>
        <v>3244</v>
      </c>
      <c r="AG25" s="168">
        <v>20</v>
      </c>
      <c r="AH25" s="168">
        <v>24</v>
      </c>
      <c r="AI25" s="166"/>
      <c r="AJ25" s="166"/>
      <c r="AK25" s="166">
        <f t="shared" ref="AK25" si="216">IF(OR(AH25="",AG25=""),"",AH25*AG25*3.6)</f>
        <v>1728</v>
      </c>
      <c r="AL25" s="167">
        <f>+BDFUENTES[[#This Row],[PZ CHB m3/día]]/3.6/BDFUENTES[[#This Row],[PZ CHB Horas Activo]]</f>
        <v>38.348765432098759</v>
      </c>
      <c r="AM25" s="171">
        <v>18</v>
      </c>
      <c r="AN25" s="168">
        <f t="shared" si="34"/>
        <v>3558697</v>
      </c>
      <c r="AO25" s="168">
        <v>3561182</v>
      </c>
      <c r="AP25" s="167">
        <f t="shared" si="35"/>
        <v>2485</v>
      </c>
      <c r="AQ25" s="166"/>
      <c r="AR25" s="166" t="str">
        <f t="shared" si="36"/>
        <v xml:space="preserve"> </v>
      </c>
      <c r="AS25" s="168" t="str">
        <f t="shared" si="37"/>
        <v xml:space="preserve"> </v>
      </c>
      <c r="AT25" s="168"/>
      <c r="AU25" s="166" t="str">
        <f t="shared" si="38"/>
        <v xml:space="preserve"> </v>
      </c>
      <c r="AV25" s="167">
        <f>+BDFUENTES[[#This Row],[PZ TM m3/día]]/3.6/BDFUENTES[[#This Row],[PZ TM Horas Activo]]</f>
        <v>11.444444444444445</v>
      </c>
      <c r="AW25" s="167">
        <v>15</v>
      </c>
      <c r="AX25" s="169">
        <f t="shared" si="39"/>
        <v>576723</v>
      </c>
      <c r="AY25" s="169">
        <v>577341</v>
      </c>
      <c r="AZ25" s="167">
        <f t="shared" si="40"/>
        <v>618</v>
      </c>
      <c r="BA25" s="166">
        <v>125</v>
      </c>
      <c r="BB25" s="166">
        <f t="shared" ref="BB25" si="217">IFERROR(+BE25/(BA25*3.6)," ")</f>
        <v>4.1866666666666665</v>
      </c>
      <c r="BC25" s="168">
        <f t="shared" si="42"/>
        <v>5906083</v>
      </c>
      <c r="BD25" s="168">
        <v>5907967</v>
      </c>
      <c r="BE25" s="166">
        <f t="shared" si="43"/>
        <v>1884</v>
      </c>
      <c r="BF25" s="167">
        <v>20</v>
      </c>
      <c r="BG25" s="166">
        <f t="shared" ref="BG25" si="218">IFERROR(+BJ25/(BF25*3.6)," ")</f>
        <v>13.569444444444445</v>
      </c>
      <c r="BH25" s="168">
        <f t="shared" si="44"/>
        <v>1550387</v>
      </c>
      <c r="BI25" s="168">
        <v>1551364</v>
      </c>
      <c r="BJ25" s="167">
        <f t="shared" si="45"/>
        <v>977</v>
      </c>
      <c r="BK25" s="166">
        <v>70</v>
      </c>
      <c r="BL25" s="166">
        <f t="shared" ref="BL25" si="219">IFERROR(+BO25/(BK25*3.6)," ")</f>
        <v>18.833333333333332</v>
      </c>
      <c r="BM25" s="168">
        <f t="shared" si="47"/>
        <v>6181424</v>
      </c>
      <c r="BN25" s="168">
        <v>6186170</v>
      </c>
      <c r="BO25" s="166">
        <f t="shared" si="48"/>
        <v>4746</v>
      </c>
    </row>
    <row r="26" spans="1:67" ht="15" customHeight="1" x14ac:dyDescent="0.25">
      <c r="A26" s="4">
        <f t="shared" si="1"/>
        <v>1</v>
      </c>
      <c r="B26" s="170">
        <v>46044</v>
      </c>
      <c r="C26" s="164">
        <v>38</v>
      </c>
      <c r="D26" s="166">
        <f t="shared" ref="D26" si="220">IFERROR(+G26/(C26*3.6)," ")</f>
        <v>13.296783625730994</v>
      </c>
      <c r="E26" s="168">
        <f t="shared" si="18"/>
        <v>3775030</v>
      </c>
      <c r="F26" s="168">
        <v>3776849</v>
      </c>
      <c r="G26" s="166">
        <f t="shared" si="19"/>
        <v>1819</v>
      </c>
      <c r="H26" s="167">
        <v>25</v>
      </c>
      <c r="I26" s="167">
        <f t="shared" ref="I26" si="221">IFERROR(+L26/(H26*3.6)," ")</f>
        <v>0</v>
      </c>
      <c r="J26" s="168">
        <f t="shared" ref="J26" si="222">IF(K26&gt;0,K25," ")</f>
        <v>1970853</v>
      </c>
      <c r="K26" s="266">
        <v>1970853</v>
      </c>
      <c r="L26" s="167">
        <f t="shared" ref="L26" si="223">IFERROR((K26-J26)," ")</f>
        <v>0</v>
      </c>
      <c r="M26" s="166">
        <v>38</v>
      </c>
      <c r="N26" s="166">
        <f t="shared" ref="N26" si="224">IFERROR(+Q26/(M26*3.6)," ")</f>
        <v>0</v>
      </c>
      <c r="O26" s="168">
        <f t="shared" ref="O26" si="225">IF(P26&gt;0,P25," ")</f>
        <v>414656</v>
      </c>
      <c r="P26" s="168">
        <v>414656</v>
      </c>
      <c r="Q26" s="166">
        <f t="shared" ref="Q26" si="226">IFERROR((P26-O26)," ")</f>
        <v>0</v>
      </c>
      <c r="R26" s="167">
        <f>+BDFUENTES[[#This Row],[PZ MED m3/día]]/3.6/BDFUENTES[[#This Row],[PZ MED Horas Activo]]</f>
        <v>28.533950617283949</v>
      </c>
      <c r="S26" s="167">
        <v>18</v>
      </c>
      <c r="T26" s="168">
        <f t="shared" si="26"/>
        <v>251305</v>
      </c>
      <c r="U26" s="168">
        <v>253154</v>
      </c>
      <c r="V26" s="165">
        <f t="shared" si="27"/>
        <v>1849</v>
      </c>
      <c r="W26" s="164">
        <f t="shared" si="28"/>
        <v>372.71310060185056</v>
      </c>
      <c r="X26" s="166">
        <v>24</v>
      </c>
      <c r="Y26" s="168">
        <f t="shared" ref="Y26" si="227">IF(Z26&gt;0,Z25," ")</f>
        <v>1303300.5881080001</v>
      </c>
      <c r="Z26" s="168">
        <v>1337352</v>
      </c>
      <c r="AA26" s="164">
        <f>IFERROR((Z26-Y26)," ")-1849</f>
        <v>32202.411891999887</v>
      </c>
      <c r="AB26" s="168">
        <f t="shared" ref="AB26" si="228">IFERROR(ROUNDDOWN(+AF26/(AC26*3.6),0)," ")</f>
        <v>63</v>
      </c>
      <c r="AC26" s="168">
        <v>24</v>
      </c>
      <c r="AD26" s="171">
        <f t="shared" si="31"/>
        <v>5171997</v>
      </c>
      <c r="AE26" s="167">
        <v>5177487</v>
      </c>
      <c r="AF26" s="165">
        <f t="shared" si="32"/>
        <v>5490</v>
      </c>
      <c r="AG26" s="168">
        <v>20</v>
      </c>
      <c r="AH26" s="168">
        <v>24</v>
      </c>
      <c r="AI26" s="166"/>
      <c r="AJ26" s="166"/>
      <c r="AK26" s="166">
        <f t="shared" ref="AK26" si="229">IF(OR(AH26="",AG26=""),"",AH26*AG26*3.6)</f>
        <v>1728</v>
      </c>
      <c r="AL26" s="167">
        <f>+BDFUENTES[[#This Row],[PZ CHB m3/día]]/3.6/BDFUENTES[[#This Row],[PZ CHB Horas Activo]]</f>
        <v>38.830409356725141</v>
      </c>
      <c r="AM26" s="171">
        <v>19</v>
      </c>
      <c r="AN26" s="168">
        <f t="shared" si="34"/>
        <v>3561182</v>
      </c>
      <c r="AO26" s="168">
        <v>3563838</v>
      </c>
      <c r="AP26" s="167">
        <f t="shared" si="35"/>
        <v>2656</v>
      </c>
      <c r="AQ26" s="166"/>
      <c r="AR26" s="166" t="str">
        <f t="shared" si="36"/>
        <v xml:space="preserve"> </v>
      </c>
      <c r="AS26" s="168" t="str">
        <f t="shared" si="37"/>
        <v xml:space="preserve"> </v>
      </c>
      <c r="AT26" s="168"/>
      <c r="AU26" s="166" t="str">
        <f t="shared" si="38"/>
        <v xml:space="preserve"> </v>
      </c>
      <c r="AV26" s="167">
        <f>+BDFUENTES[[#This Row],[PZ TM m3/día]]/3.6/BDFUENTES[[#This Row],[PZ TM Horas Activo]]</f>
        <v>11.685185185185185</v>
      </c>
      <c r="AW26" s="167">
        <v>15</v>
      </c>
      <c r="AX26" s="169">
        <f t="shared" si="39"/>
        <v>577341</v>
      </c>
      <c r="AY26" s="169">
        <v>577972</v>
      </c>
      <c r="AZ26" s="167">
        <f t="shared" si="40"/>
        <v>631</v>
      </c>
      <c r="BA26" s="166">
        <v>125</v>
      </c>
      <c r="BB26" s="166">
        <f t="shared" ref="BB26" si="230">IFERROR(+BE26/(BA26*3.6)," ")</f>
        <v>4.16</v>
      </c>
      <c r="BC26" s="168">
        <f t="shared" si="42"/>
        <v>5907967</v>
      </c>
      <c r="BD26" s="168">
        <v>5909839</v>
      </c>
      <c r="BE26" s="166">
        <f t="shared" si="43"/>
        <v>1872</v>
      </c>
      <c r="BF26" s="167">
        <v>20</v>
      </c>
      <c r="BG26" s="166">
        <f t="shared" ref="BG26:BG27" si="231">IFERROR(+BJ26/(BF26*3.6)," ")</f>
        <v>17.333333333333332</v>
      </c>
      <c r="BH26" s="168">
        <f t="shared" si="44"/>
        <v>1551364</v>
      </c>
      <c r="BI26" s="168">
        <v>1552612</v>
      </c>
      <c r="BJ26" s="167">
        <f t="shared" si="45"/>
        <v>1248</v>
      </c>
      <c r="BK26" s="166">
        <v>70</v>
      </c>
      <c r="BL26" s="166">
        <f t="shared" ref="BL26" si="232">IFERROR(+BO26/(BK26*3.6)," ")</f>
        <v>16.69047619047619</v>
      </c>
      <c r="BM26" s="168">
        <f t="shared" si="47"/>
        <v>6186170</v>
      </c>
      <c r="BN26" s="168">
        <v>6190376</v>
      </c>
      <c r="BO26" s="166">
        <f t="shared" si="48"/>
        <v>4206</v>
      </c>
    </row>
    <row r="27" spans="1:67" ht="15" customHeight="1" x14ac:dyDescent="0.25">
      <c r="A27" s="4">
        <f t="shared" si="1"/>
        <v>1</v>
      </c>
      <c r="B27" s="170">
        <v>46045</v>
      </c>
      <c r="C27" s="164">
        <v>38</v>
      </c>
      <c r="D27" s="166">
        <f t="shared" ref="D27" si="233">IFERROR(+G27/(C27*3.6)," ")</f>
        <v>13.282163742690058</v>
      </c>
      <c r="E27" s="168">
        <f t="shared" si="18"/>
        <v>3776849</v>
      </c>
      <c r="F27" s="168">
        <v>3778666</v>
      </c>
      <c r="G27" s="166">
        <f t="shared" si="19"/>
        <v>1817</v>
      </c>
      <c r="H27" s="167">
        <v>25</v>
      </c>
      <c r="I27" s="167">
        <f t="shared" ref="I27" si="234">IFERROR(+L27/(H27*3.6)," ")</f>
        <v>0</v>
      </c>
      <c r="J27" s="168">
        <f t="shared" ref="J27" si="235">IF(K27&gt;0,K26," ")</f>
        <v>1970853</v>
      </c>
      <c r="K27" s="266">
        <v>1970853</v>
      </c>
      <c r="L27" s="167">
        <f t="shared" ref="L27" si="236">IFERROR((K27-J27)," ")</f>
        <v>0</v>
      </c>
      <c r="M27" s="166">
        <v>38</v>
      </c>
      <c r="N27" s="166">
        <f t="shared" ref="N27" si="237">IFERROR(+Q27/(M27*3.6)," ")</f>
        <v>0</v>
      </c>
      <c r="O27" s="168">
        <f t="shared" ref="O27" si="238">IF(P27&gt;0,P26," ")</f>
        <v>414656</v>
      </c>
      <c r="P27" s="168">
        <v>414656</v>
      </c>
      <c r="Q27" s="166">
        <f t="shared" ref="Q27" si="239">IFERROR((P27-O27)," ")</f>
        <v>0</v>
      </c>
      <c r="R27" s="167">
        <f>+BDFUENTES[[#This Row],[PZ MED m3/día]]/3.6/BDFUENTES[[#This Row],[PZ MED Horas Activo]]</f>
        <v>28.024691358024693</v>
      </c>
      <c r="S27" s="167">
        <v>18</v>
      </c>
      <c r="T27" s="168">
        <f t="shared" si="26"/>
        <v>253154</v>
      </c>
      <c r="U27" s="168">
        <v>254970</v>
      </c>
      <c r="V27" s="165">
        <f t="shared" si="27"/>
        <v>1816</v>
      </c>
      <c r="W27" s="164">
        <f t="shared" ref="W27" si="240">IFERROR((AA27/X27)/3.6," ")</f>
        <v>367.15863069814753</v>
      </c>
      <c r="X27" s="166">
        <v>24</v>
      </c>
      <c r="Y27" s="168">
        <f t="shared" si="29"/>
        <v>1337352</v>
      </c>
      <c r="Z27" s="168">
        <v>1370890.5056923199</v>
      </c>
      <c r="AA27" s="164">
        <f>IFERROR((Z27-Y27)," ")-1816</f>
        <v>31722.505692319945</v>
      </c>
      <c r="AB27" s="168">
        <f t="shared" ref="AB27" si="241">IFERROR(ROUNDDOWN(+AF27/(AC27*3.6),0)," ")</f>
        <v>67</v>
      </c>
      <c r="AC27" s="168">
        <v>24</v>
      </c>
      <c r="AD27" s="171">
        <f t="shared" ref="AD27" si="242">IF(AE27&gt;0,AE26," ")</f>
        <v>5177487</v>
      </c>
      <c r="AE27" s="167">
        <v>5183284</v>
      </c>
      <c r="AF27" s="165">
        <f t="shared" ref="AF27" si="243">IFERROR((AE27-AD27)," ")</f>
        <v>5797</v>
      </c>
      <c r="AG27" s="168">
        <v>20</v>
      </c>
      <c r="AH27" s="168">
        <v>24</v>
      </c>
      <c r="AI27" s="166"/>
      <c r="AJ27" s="166"/>
      <c r="AK27" s="166">
        <f t="shared" ref="AK27" si="244">IF(OR(AH27="",AG27=""),"",AH27*AG27*3.6)</f>
        <v>1728</v>
      </c>
      <c r="AL27" s="167">
        <f>+BDFUENTES[[#This Row],[PZ CHB m3/día]]/3.6/BDFUENTES[[#This Row],[PZ CHB Horas Activo]]</f>
        <v>38.00925925925926</v>
      </c>
      <c r="AM27" s="171">
        <v>18</v>
      </c>
      <c r="AN27" s="168">
        <f t="shared" si="34"/>
        <v>3563838</v>
      </c>
      <c r="AO27" s="168">
        <v>3566301</v>
      </c>
      <c r="AP27" s="167">
        <f t="shared" si="35"/>
        <v>2463</v>
      </c>
      <c r="AQ27" s="166"/>
      <c r="AR27" s="166" t="str">
        <f t="shared" si="36"/>
        <v xml:space="preserve"> </v>
      </c>
      <c r="AS27" s="168" t="str">
        <f t="shared" si="37"/>
        <v xml:space="preserve"> </v>
      </c>
      <c r="AT27" s="168"/>
      <c r="AU27" s="166" t="str">
        <f t="shared" si="38"/>
        <v xml:space="preserve"> </v>
      </c>
      <c r="AV27" s="167">
        <f>+BDFUENTES[[#This Row],[PZ TM m3/día]]/3.6/BDFUENTES[[#This Row],[PZ TM Horas Activo]]</f>
        <v>11.574074074074074</v>
      </c>
      <c r="AW27" s="167">
        <v>15</v>
      </c>
      <c r="AX27" s="169">
        <f t="shared" si="39"/>
        <v>577972</v>
      </c>
      <c r="AY27" s="169">
        <v>578597</v>
      </c>
      <c r="AZ27" s="167">
        <f t="shared" si="40"/>
        <v>625</v>
      </c>
      <c r="BA27" s="166">
        <v>125</v>
      </c>
      <c r="BB27" s="166">
        <f t="shared" ref="BB27" si="245">IFERROR(+BE27/(BA27*3.6)," ")</f>
        <v>4.235555555555556</v>
      </c>
      <c r="BC27" s="168">
        <f t="shared" si="42"/>
        <v>5909839</v>
      </c>
      <c r="BD27" s="168">
        <v>5911745</v>
      </c>
      <c r="BE27" s="166">
        <f t="shared" si="43"/>
        <v>1906</v>
      </c>
      <c r="BF27" s="167">
        <v>20</v>
      </c>
      <c r="BG27" s="166">
        <f t="shared" si="231"/>
        <v>4.3472222222222223</v>
      </c>
      <c r="BH27" s="168">
        <f t="shared" si="44"/>
        <v>1552612</v>
      </c>
      <c r="BI27" s="168">
        <v>1552925</v>
      </c>
      <c r="BJ27" s="167">
        <f t="shared" si="45"/>
        <v>313</v>
      </c>
      <c r="BK27" s="166">
        <v>70</v>
      </c>
      <c r="BL27" s="166">
        <f t="shared" ref="BL27" si="246">IFERROR(+BO27/(BK27*3.6)," ")</f>
        <v>16.019841269841269</v>
      </c>
      <c r="BM27" s="168">
        <f t="shared" si="47"/>
        <v>6190376</v>
      </c>
      <c r="BN27" s="168">
        <v>6194413</v>
      </c>
      <c r="BO27" s="166">
        <f t="shared" si="48"/>
        <v>4037</v>
      </c>
    </row>
    <row r="28" spans="1:67" ht="15" customHeight="1" x14ac:dyDescent="0.25">
      <c r="A28" s="4">
        <f t="shared" si="1"/>
        <v>1</v>
      </c>
      <c r="B28" s="170">
        <v>46046</v>
      </c>
      <c r="C28" s="164">
        <v>38</v>
      </c>
      <c r="D28" s="166">
        <f t="shared" ref="D28" si="247">IFERROR(+G28/(C28*3.6)," ")</f>
        <v>13.428362573099415</v>
      </c>
      <c r="E28" s="168">
        <f t="shared" si="18"/>
        <v>3778666</v>
      </c>
      <c r="F28" s="168">
        <v>3780503</v>
      </c>
      <c r="G28" s="166">
        <f t="shared" si="19"/>
        <v>1837</v>
      </c>
      <c r="H28" s="167">
        <v>25</v>
      </c>
      <c r="I28" s="167">
        <f t="shared" ref="I28" si="248">IFERROR(+L28/(H28*3.6)," ")</f>
        <v>0</v>
      </c>
      <c r="J28" s="168">
        <f t="shared" ref="J28" si="249">IF(K28&gt;0,K27," ")</f>
        <v>1970853</v>
      </c>
      <c r="K28" s="266">
        <v>1970853</v>
      </c>
      <c r="L28" s="167">
        <f t="shared" ref="L28" si="250">IFERROR((K28-J28)," ")</f>
        <v>0</v>
      </c>
      <c r="M28" s="166">
        <v>38</v>
      </c>
      <c r="N28" s="166">
        <f t="shared" ref="N28" si="251">IFERROR(+Q28/(M28*3.6)," ")</f>
        <v>0</v>
      </c>
      <c r="O28" s="168">
        <f t="shared" ref="O28" si="252">IF(P28&gt;0,P27," ")</f>
        <v>414656</v>
      </c>
      <c r="P28" s="168">
        <v>414656</v>
      </c>
      <c r="Q28" s="166">
        <f t="shared" ref="Q28" si="253">IFERROR((P28-O28)," ")</f>
        <v>0</v>
      </c>
      <c r="R28" s="167">
        <f>+BDFUENTES[[#This Row],[PZ MED m3/día]]/3.6/BDFUENTES[[#This Row],[PZ MED Horas Activo]]</f>
        <v>29.548611111111111</v>
      </c>
      <c r="S28" s="167">
        <v>24</v>
      </c>
      <c r="T28" s="168">
        <f t="shared" si="26"/>
        <v>254970</v>
      </c>
      <c r="U28" s="308">
        <v>257523</v>
      </c>
      <c r="V28" s="165">
        <f t="shared" si="27"/>
        <v>2553</v>
      </c>
      <c r="W28" s="164">
        <f t="shared" ref="W28" si="254">IFERROR((AA28/X28)/3.6," ")</f>
        <v>370.32631258889052</v>
      </c>
      <c r="X28" s="166">
        <v>24</v>
      </c>
      <c r="Y28" s="168">
        <f t="shared" si="29"/>
        <v>1370890.5056923199</v>
      </c>
      <c r="Z28" s="168">
        <v>1405439.6991000001</v>
      </c>
      <c r="AA28" s="164">
        <f>IFERROR((Z28-Y28)," ")-2553</f>
        <v>31996.193407680141</v>
      </c>
      <c r="AB28" s="168">
        <f t="shared" ref="AB28" si="255">IFERROR(ROUNDDOWN(+AF28/(AC28*3.6),0)," ")</f>
        <v>69</v>
      </c>
      <c r="AC28" s="168">
        <v>24</v>
      </c>
      <c r="AD28" s="171">
        <f t="shared" ref="AD28:AD29" si="256">IF(AE28&gt;0,AE27," ")</f>
        <v>5183284</v>
      </c>
      <c r="AE28" s="167">
        <v>5189330</v>
      </c>
      <c r="AF28" s="165">
        <f t="shared" ref="AF28:AF29" si="257">IFERROR((AE28-AD28)," ")</f>
        <v>6046</v>
      </c>
      <c r="AG28" s="168">
        <v>20</v>
      </c>
      <c r="AH28" s="168">
        <v>24</v>
      </c>
      <c r="AI28" s="166"/>
      <c r="AJ28" s="166"/>
      <c r="AK28" s="166">
        <f t="shared" ref="AK28" si="258">IF(OR(AH28="",AG28=""),"",AH28*AG28*3.6)</f>
        <v>1728</v>
      </c>
      <c r="AL28" s="167">
        <f>+BDFUENTES[[#This Row],[PZ CHB m3/día]]/3.6/BDFUENTES[[#This Row],[PZ CHB Horas Activo]]</f>
        <v>39.058641975308639</v>
      </c>
      <c r="AM28" s="171">
        <v>18</v>
      </c>
      <c r="AN28" s="168">
        <f t="shared" si="34"/>
        <v>3566301</v>
      </c>
      <c r="AO28" s="168">
        <v>3568832</v>
      </c>
      <c r="AP28" s="167">
        <f t="shared" si="35"/>
        <v>2531</v>
      </c>
      <c r="AQ28" s="166"/>
      <c r="AR28" s="166" t="str">
        <f t="shared" si="36"/>
        <v xml:space="preserve"> </v>
      </c>
      <c r="AS28" s="168" t="str">
        <f t="shared" si="37"/>
        <v xml:space="preserve"> </v>
      </c>
      <c r="AT28" s="168"/>
      <c r="AU28" s="166" t="str">
        <f t="shared" si="38"/>
        <v xml:space="preserve"> </v>
      </c>
      <c r="AV28" s="167">
        <f>+BDFUENTES[[#This Row],[PZ TM m3/día]]/3.6/BDFUENTES[[#This Row],[PZ TM Horas Activo]]</f>
        <v>11.351851851851851</v>
      </c>
      <c r="AW28" s="167">
        <v>15</v>
      </c>
      <c r="AX28" s="169">
        <f t="shared" si="39"/>
        <v>578597</v>
      </c>
      <c r="AY28" s="169">
        <v>579210</v>
      </c>
      <c r="AZ28" s="167">
        <f t="shared" si="40"/>
        <v>613</v>
      </c>
      <c r="BA28" s="166">
        <v>125</v>
      </c>
      <c r="BB28" s="166">
        <f t="shared" ref="BB28" si="259">IFERROR(+BE28/(BA28*3.6)," ")</f>
        <v>4.1822222222222223</v>
      </c>
      <c r="BC28" s="168">
        <f t="shared" si="42"/>
        <v>5911745</v>
      </c>
      <c r="BD28" s="168">
        <v>5913627</v>
      </c>
      <c r="BE28" s="166">
        <f t="shared" si="43"/>
        <v>1882</v>
      </c>
      <c r="BF28" s="167">
        <v>20</v>
      </c>
      <c r="BG28" s="166">
        <f t="shared" ref="BG28" si="260">IFERROR(+BJ28/(BF28*3.6)," ")</f>
        <v>18.527777777777779</v>
      </c>
      <c r="BH28" s="168">
        <f t="shared" si="44"/>
        <v>1552925</v>
      </c>
      <c r="BI28" s="168">
        <v>1554259</v>
      </c>
      <c r="BJ28" s="167">
        <f t="shared" si="45"/>
        <v>1334</v>
      </c>
      <c r="BK28" s="166">
        <v>70</v>
      </c>
      <c r="BL28" s="166">
        <f t="shared" ref="BL28" si="261">IFERROR(+BO28/(BK28*3.6)," ")</f>
        <v>10.329365079365079</v>
      </c>
      <c r="BM28" s="168">
        <f t="shared" si="47"/>
        <v>6194413</v>
      </c>
      <c r="BN28" s="168">
        <v>6197016</v>
      </c>
      <c r="BO28" s="166">
        <f t="shared" si="48"/>
        <v>2603</v>
      </c>
    </row>
    <row r="29" spans="1:67" ht="15" customHeight="1" x14ac:dyDescent="0.25">
      <c r="A29" s="4">
        <f t="shared" si="1"/>
        <v>1</v>
      </c>
      <c r="B29" s="170">
        <v>46047</v>
      </c>
      <c r="C29" s="164">
        <v>38</v>
      </c>
      <c r="D29" s="166">
        <f t="shared" ref="D29" si="262">IFERROR(+G29/(C29*3.6)," ")</f>
        <v>13.318713450292396</v>
      </c>
      <c r="E29" s="168">
        <f t="shared" si="18"/>
        <v>3780503</v>
      </c>
      <c r="F29" s="168">
        <v>3782325</v>
      </c>
      <c r="G29" s="166">
        <f t="shared" si="19"/>
        <v>1822</v>
      </c>
      <c r="H29" s="167">
        <v>25</v>
      </c>
      <c r="I29" s="167">
        <f t="shared" ref="I29" si="263">IFERROR(+L29/(H29*3.6)," ")</f>
        <v>0</v>
      </c>
      <c r="J29" s="168">
        <f t="shared" ref="J29" si="264">IF(K29&gt;0,K28," ")</f>
        <v>1970853</v>
      </c>
      <c r="K29" s="266">
        <v>1970853</v>
      </c>
      <c r="L29" s="167">
        <f t="shared" ref="L29" si="265">IFERROR((K29-J29)," ")</f>
        <v>0</v>
      </c>
      <c r="M29" s="166">
        <v>38</v>
      </c>
      <c r="N29" s="166">
        <f t="shared" ref="N29" si="266">IFERROR(+Q29/(M29*3.6)," ")</f>
        <v>0</v>
      </c>
      <c r="O29" s="168">
        <f t="shared" ref="O29" si="267">IF(P29&gt;0,P28," ")</f>
        <v>414656</v>
      </c>
      <c r="P29" s="168">
        <v>414656</v>
      </c>
      <c r="Q29" s="166">
        <f t="shared" ref="Q29" si="268">IFERROR((P29-O29)," ")</f>
        <v>0</v>
      </c>
      <c r="R29" s="167">
        <f>+BDFUENTES[[#This Row],[PZ MED m3/día]]/3.6/BDFUENTES[[#This Row],[PZ MED Horas Activo]]</f>
        <v>28.18287037037037</v>
      </c>
      <c r="S29" s="167">
        <v>24</v>
      </c>
      <c r="T29" s="168">
        <f t="shared" ref="T29" si="269">IF(U29&gt;0,U28," ")</f>
        <v>257523</v>
      </c>
      <c r="U29" s="168">
        <v>259958</v>
      </c>
      <c r="V29" s="165">
        <f t="shared" ref="V29" si="270">IFERROR((U29-T29)," ")</f>
        <v>2435</v>
      </c>
      <c r="W29" s="164">
        <f t="shared" ref="W29" si="271">IFERROR((AA29/X29)/3.6," ")</f>
        <v>342.43403819444342</v>
      </c>
      <c r="X29" s="166">
        <v>24</v>
      </c>
      <c r="Y29" s="168">
        <f t="shared" ref="Y29" si="272">IF(Z29&gt;0,Z28," ")</f>
        <v>1405439.6991000001</v>
      </c>
      <c r="Z29" s="308">
        <v>1437461</v>
      </c>
      <c r="AA29" s="164">
        <f>IFERROR((Z29-Y29)," ")-2435</f>
        <v>29586.300899999915</v>
      </c>
      <c r="AB29" s="168">
        <f t="shared" si="30"/>
        <v>77</v>
      </c>
      <c r="AC29" s="168">
        <v>24</v>
      </c>
      <c r="AD29" s="171">
        <f t="shared" si="256"/>
        <v>5189330</v>
      </c>
      <c r="AE29" s="167">
        <v>5195998</v>
      </c>
      <c r="AF29" s="165">
        <f t="shared" si="257"/>
        <v>6668</v>
      </c>
      <c r="AG29" s="168">
        <v>20</v>
      </c>
      <c r="AH29" s="168">
        <v>24</v>
      </c>
      <c r="AI29" s="166"/>
      <c r="AJ29" s="166"/>
      <c r="AK29" s="166">
        <f t="shared" ref="AK29" si="273">IF(OR(AH29="",AG29=""),"",AH29*AG29*3.6)</f>
        <v>1728</v>
      </c>
      <c r="AL29" s="167">
        <f>+BDFUENTES[[#This Row],[PZ CHB m3/día]]/3.6/BDFUENTES[[#This Row],[PZ CHB Horas Activo]]</f>
        <v>37.947530864197532</v>
      </c>
      <c r="AM29" s="171">
        <v>18</v>
      </c>
      <c r="AN29" s="168">
        <f t="shared" si="34"/>
        <v>3568832</v>
      </c>
      <c r="AO29" s="168">
        <v>3571291</v>
      </c>
      <c r="AP29" s="167">
        <f t="shared" si="35"/>
        <v>2459</v>
      </c>
      <c r="AQ29" s="166"/>
      <c r="AR29" s="166" t="str">
        <f t="shared" si="36"/>
        <v xml:space="preserve"> </v>
      </c>
      <c r="AS29" s="168" t="str">
        <f t="shared" si="37"/>
        <v xml:space="preserve"> </v>
      </c>
      <c r="AT29" s="168"/>
      <c r="AU29" s="166" t="str">
        <f t="shared" si="38"/>
        <v xml:space="preserve"> </v>
      </c>
      <c r="AV29" s="167">
        <f>+BDFUENTES[[#This Row],[PZ TM m3/día]]/3.6/BDFUENTES[[#This Row],[PZ TM Horas Activo]]</f>
        <v>11.166666666666666</v>
      </c>
      <c r="AW29" s="167">
        <v>15</v>
      </c>
      <c r="AX29" s="169">
        <f t="shared" si="39"/>
        <v>579210</v>
      </c>
      <c r="AY29" s="169">
        <v>579813</v>
      </c>
      <c r="AZ29" s="167">
        <f t="shared" si="40"/>
        <v>603</v>
      </c>
      <c r="BA29" s="166">
        <v>125</v>
      </c>
      <c r="BB29" s="166">
        <f t="shared" ref="BB29" si="274">IFERROR(+BE29/(BA29*3.6)," ")</f>
        <v>4.0244444444444447</v>
      </c>
      <c r="BC29" s="168">
        <f t="shared" si="42"/>
        <v>5913627</v>
      </c>
      <c r="BD29" s="168">
        <v>5915438</v>
      </c>
      <c r="BE29" s="166">
        <f t="shared" si="43"/>
        <v>1811</v>
      </c>
      <c r="BF29" s="167">
        <v>20</v>
      </c>
      <c r="BG29" s="166">
        <f t="shared" ref="BG29" si="275">IFERROR(+BJ29/(BF29*3.6)," ")</f>
        <v>16.486111111111111</v>
      </c>
      <c r="BH29" s="168">
        <f t="shared" si="44"/>
        <v>1554259</v>
      </c>
      <c r="BI29" s="168">
        <v>1555446</v>
      </c>
      <c r="BJ29" s="167">
        <f t="shared" si="45"/>
        <v>1187</v>
      </c>
      <c r="BK29" s="166">
        <v>70</v>
      </c>
      <c r="BL29" s="166">
        <f t="shared" ref="BL29" si="276">IFERROR(+BO29/(BK29*3.6)," ")</f>
        <v>18.543650793650794</v>
      </c>
      <c r="BM29" s="168">
        <f t="shared" si="47"/>
        <v>6197016</v>
      </c>
      <c r="BN29" s="168">
        <v>6201689</v>
      </c>
      <c r="BO29" s="166">
        <f t="shared" si="48"/>
        <v>4673</v>
      </c>
    </row>
    <row r="30" spans="1:67" ht="15" customHeight="1" x14ac:dyDescent="0.25">
      <c r="A30" s="4">
        <f t="shared" si="1"/>
        <v>1</v>
      </c>
      <c r="B30" s="170">
        <v>46048</v>
      </c>
      <c r="C30" s="164">
        <v>38</v>
      </c>
      <c r="D30" s="166">
        <f t="shared" ref="D30" si="277">IFERROR(+G30/(C30*3.6)," ")</f>
        <v>12.872807017543858</v>
      </c>
      <c r="E30" s="168">
        <f t="shared" si="18"/>
        <v>3782325</v>
      </c>
      <c r="F30" s="168">
        <v>3784086</v>
      </c>
      <c r="G30" s="166">
        <f t="shared" si="19"/>
        <v>1761</v>
      </c>
      <c r="H30" s="167">
        <v>25</v>
      </c>
      <c r="I30" s="167">
        <f t="shared" ref="I30" si="278">IFERROR(+L30/(H30*3.6)," ")</f>
        <v>0</v>
      </c>
      <c r="J30" s="168">
        <f t="shared" ref="J30" si="279">IF(K30&gt;0,K29," ")</f>
        <v>1970853</v>
      </c>
      <c r="K30" s="266">
        <v>1970853</v>
      </c>
      <c r="L30" s="167">
        <f t="shared" ref="L30" si="280">IFERROR((K30-J30)," ")</f>
        <v>0</v>
      </c>
      <c r="M30" s="166">
        <v>38</v>
      </c>
      <c r="N30" s="166">
        <f t="shared" ref="N30" si="281">IFERROR(+Q30/(M30*3.6)," ")</f>
        <v>0</v>
      </c>
      <c r="O30" s="168">
        <f t="shared" ref="O30" si="282">IF(P30&gt;0,P29," ")</f>
        <v>414656</v>
      </c>
      <c r="P30" s="168">
        <v>414656</v>
      </c>
      <c r="Q30" s="166">
        <f t="shared" ref="Q30" si="283">IFERROR((P30-O30)," ")</f>
        <v>0</v>
      </c>
      <c r="R30" s="167">
        <f>+BDFUENTES[[#This Row],[PZ MED m3/día]]/3.6/BDFUENTES[[#This Row],[PZ MED Horas Activo]]</f>
        <v>28.179012345679013</v>
      </c>
      <c r="S30" s="167">
        <v>18</v>
      </c>
      <c r="T30" s="168">
        <f t="shared" si="26"/>
        <v>259958</v>
      </c>
      <c r="U30" s="168">
        <v>261784</v>
      </c>
      <c r="V30" s="165">
        <f t="shared" si="27"/>
        <v>1826</v>
      </c>
      <c r="W30" s="164">
        <f t="shared" ref="W30" si="284">IFERROR((AA30/X30)/3.6," ")</f>
        <v>354.83057249212936</v>
      </c>
      <c r="X30" s="166">
        <v>24</v>
      </c>
      <c r="Y30" s="168">
        <f t="shared" ref="Y30" si="285">IF(Z30&gt;0,Z29," ")</f>
        <v>1437461</v>
      </c>
      <c r="Z30" s="168">
        <v>1469944.36146332</v>
      </c>
      <c r="AA30" s="164">
        <f>IFERROR((Z30-Y30)," ")-1826</f>
        <v>30657.361463319976</v>
      </c>
      <c r="AB30" s="168">
        <f t="shared" ref="AB30" si="286">IFERROR(ROUNDDOWN(+AF30/(AC30*3.6),0)," ")</f>
        <v>69</v>
      </c>
      <c r="AC30" s="168">
        <v>24</v>
      </c>
      <c r="AD30" s="171">
        <f t="shared" ref="AD30" si="287">IF(AE30&gt;0,AE29," ")</f>
        <v>5195998</v>
      </c>
      <c r="AE30" s="167">
        <v>5202017</v>
      </c>
      <c r="AF30" s="165">
        <f t="shared" ref="AF30" si="288">IFERROR((AE30-AD30)," ")</f>
        <v>6019</v>
      </c>
      <c r="AG30" s="168">
        <v>20</v>
      </c>
      <c r="AH30" s="168">
        <v>24</v>
      </c>
      <c r="AI30" s="166"/>
      <c r="AJ30" s="166"/>
      <c r="AK30" s="166">
        <f t="shared" ref="AK30" si="289">IF(OR(AH30="",AG30=""),"",AH30*AG30*3.6)</f>
        <v>1728</v>
      </c>
      <c r="AL30" s="167">
        <f>+BDFUENTES[[#This Row],[PZ CHB m3/día]]/3.6/BDFUENTES[[#This Row],[PZ CHB Horas Activo]]</f>
        <v>38.472222222222221</v>
      </c>
      <c r="AM30" s="171">
        <v>18</v>
      </c>
      <c r="AN30" s="168">
        <f t="shared" si="34"/>
        <v>3571291</v>
      </c>
      <c r="AO30" s="168">
        <v>3573784</v>
      </c>
      <c r="AP30" s="167">
        <f t="shared" si="35"/>
        <v>2493</v>
      </c>
      <c r="AQ30" s="166"/>
      <c r="AR30" s="166" t="str">
        <f t="shared" si="36"/>
        <v xml:space="preserve"> </v>
      </c>
      <c r="AS30" s="168" t="str">
        <f t="shared" si="37"/>
        <v xml:space="preserve"> </v>
      </c>
      <c r="AT30" s="168"/>
      <c r="AU30" s="166" t="str">
        <f t="shared" si="38"/>
        <v xml:space="preserve"> </v>
      </c>
      <c r="AV30" s="167">
        <f>+BDFUENTES[[#This Row],[PZ TM m3/día]]/3.6/BDFUENTES[[#This Row],[PZ TM Horas Activo]]</f>
        <v>11.726190476190476</v>
      </c>
      <c r="AW30" s="167">
        <v>14</v>
      </c>
      <c r="AX30" s="169">
        <f t="shared" si="39"/>
        <v>579813</v>
      </c>
      <c r="AY30" s="169">
        <v>580404</v>
      </c>
      <c r="AZ30" s="167">
        <f t="shared" si="40"/>
        <v>591</v>
      </c>
      <c r="BA30" s="166">
        <v>125</v>
      </c>
      <c r="BB30" s="166">
        <f t="shared" ref="BB30" si="290">IFERROR(+BE30/(BA30*3.6)," ")</f>
        <v>4.1044444444444448</v>
      </c>
      <c r="BC30" s="168">
        <f t="shared" si="42"/>
        <v>5915438</v>
      </c>
      <c r="BD30" s="168">
        <v>5917285</v>
      </c>
      <c r="BE30" s="166">
        <f t="shared" si="43"/>
        <v>1847</v>
      </c>
      <c r="BF30" s="167">
        <v>20</v>
      </c>
      <c r="BG30" s="166">
        <f t="shared" ref="BG30" si="291">IFERROR(+BJ30/(BF30*3.6)," ")</f>
        <v>8.4027777777777786</v>
      </c>
      <c r="BH30" s="168">
        <f t="shared" si="44"/>
        <v>1555446</v>
      </c>
      <c r="BI30" s="168">
        <v>1556051</v>
      </c>
      <c r="BJ30" s="167">
        <f t="shared" si="45"/>
        <v>605</v>
      </c>
      <c r="BK30" s="166">
        <v>70</v>
      </c>
      <c r="BL30" s="166">
        <f t="shared" ref="BL30" si="292">IFERROR(+BO30/(BK30*3.6)," ")</f>
        <v>14.738095238095237</v>
      </c>
      <c r="BM30" s="168">
        <f t="shared" si="47"/>
        <v>6201689</v>
      </c>
      <c r="BN30" s="168">
        <v>6205403</v>
      </c>
      <c r="BO30" s="166">
        <f t="shared" si="48"/>
        <v>3714</v>
      </c>
    </row>
    <row r="31" spans="1:67" ht="15" customHeight="1" x14ac:dyDescent="0.25">
      <c r="A31" s="4">
        <f t="shared" si="1"/>
        <v>1</v>
      </c>
      <c r="B31" s="170">
        <v>46049</v>
      </c>
      <c r="C31" s="164">
        <v>38</v>
      </c>
      <c r="D31" s="166">
        <f t="shared" ref="D31" si="293">IFERROR(+G31/(C31*3.6)," ")</f>
        <v>13.589181286549707</v>
      </c>
      <c r="E31" s="168">
        <f t="shared" si="18"/>
        <v>3784086</v>
      </c>
      <c r="F31" s="168">
        <v>3785945</v>
      </c>
      <c r="G31" s="166">
        <f t="shared" si="19"/>
        <v>1859</v>
      </c>
      <c r="H31" s="167">
        <v>25</v>
      </c>
      <c r="I31" s="167">
        <f t="shared" ref="I31" si="294">IFERROR(+L31/(H31*3.6)," ")</f>
        <v>0</v>
      </c>
      <c r="J31" s="168">
        <f t="shared" ref="J31" si="295">IF(K31&gt;0,K30," ")</f>
        <v>1970853</v>
      </c>
      <c r="K31" s="266">
        <v>1970853</v>
      </c>
      <c r="L31" s="167">
        <f t="shared" ref="L31" si="296">IFERROR((K31-J31)," ")</f>
        <v>0</v>
      </c>
      <c r="M31" s="166">
        <v>38</v>
      </c>
      <c r="N31" s="166">
        <f t="shared" ref="N31" si="297">IFERROR(+Q31/(M31*3.6)," ")</f>
        <v>0</v>
      </c>
      <c r="O31" s="168">
        <f t="shared" ref="O31" si="298">IF(P31&gt;0,P30," ")</f>
        <v>414656</v>
      </c>
      <c r="P31" s="168">
        <v>414656</v>
      </c>
      <c r="Q31" s="166">
        <f t="shared" ref="Q31" si="299">IFERROR((P31-O31)," ")</f>
        <v>0</v>
      </c>
      <c r="R31" s="167">
        <f>+BDFUENTES[[#This Row],[PZ MED m3/día]]/3.6/BDFUENTES[[#This Row],[PZ MED Horas Activo]]</f>
        <v>29.152777777777779</v>
      </c>
      <c r="S31" s="167">
        <v>20</v>
      </c>
      <c r="T31" s="168">
        <f t="shared" ref="T31" si="300">IF(U31&gt;0,U30," ")</f>
        <v>261784</v>
      </c>
      <c r="U31" s="168">
        <v>263883</v>
      </c>
      <c r="V31" s="165">
        <f t="shared" ref="V31" si="301">IFERROR((U31-T31)," ")</f>
        <v>2099</v>
      </c>
      <c r="W31" s="164">
        <f t="shared" ref="W31" si="302">IFERROR((AA31/X31)/3.6," ")</f>
        <v>342.56479073749989</v>
      </c>
      <c r="X31" s="166">
        <v>24</v>
      </c>
      <c r="Y31" s="168">
        <f t="shared" ref="Y31" si="303">IF(Z31&gt;0,Z30," ")</f>
        <v>1469944.36146332</v>
      </c>
      <c r="Z31" s="168">
        <v>1501640.95938304</v>
      </c>
      <c r="AA31" s="164">
        <f>IFERROR((Z31-Y31)," ")-2099</f>
        <v>29597.597919719992</v>
      </c>
      <c r="AB31" s="168">
        <f t="shared" ref="AB31" si="304">IFERROR(ROUNDDOWN(+AF31/(AC31*3.6),0)," ")</f>
        <v>73</v>
      </c>
      <c r="AC31" s="168">
        <v>24</v>
      </c>
      <c r="AD31" s="171">
        <f t="shared" ref="AD31" si="305">IF(AE31&gt;0,AE30," ")</f>
        <v>5202017</v>
      </c>
      <c r="AE31" s="167">
        <v>5208378</v>
      </c>
      <c r="AF31" s="165">
        <f t="shared" ref="AF31" si="306">IFERROR((AE31-AD31)," ")</f>
        <v>6361</v>
      </c>
      <c r="AG31" s="168">
        <v>20</v>
      </c>
      <c r="AH31" s="168">
        <v>24</v>
      </c>
      <c r="AI31" s="166"/>
      <c r="AJ31" s="166"/>
      <c r="AK31" s="166">
        <f t="shared" ref="AK31" si="307">IF(OR(AH31="",AG31=""),"",AH31*AG31*3.6)</f>
        <v>1728</v>
      </c>
      <c r="AL31" s="167">
        <f>+BDFUENTES[[#This Row],[PZ CHB m3/día]]/3.6/BDFUENTES[[#This Row],[PZ CHB Horas Activo]]</f>
        <v>38.132716049382715</v>
      </c>
      <c r="AM31" s="171">
        <v>18</v>
      </c>
      <c r="AN31" s="168">
        <f t="shared" si="34"/>
        <v>3573784</v>
      </c>
      <c r="AO31" s="168">
        <v>3576255</v>
      </c>
      <c r="AP31" s="167">
        <f t="shared" si="35"/>
        <v>2471</v>
      </c>
      <c r="AQ31" s="166"/>
      <c r="AR31" s="166" t="str">
        <f t="shared" si="36"/>
        <v xml:space="preserve"> </v>
      </c>
      <c r="AS31" s="168" t="str">
        <f t="shared" si="37"/>
        <v xml:space="preserve"> </v>
      </c>
      <c r="AT31" s="168"/>
      <c r="AU31" s="166" t="str">
        <f t="shared" si="38"/>
        <v xml:space="preserve"> </v>
      </c>
      <c r="AV31" s="167">
        <f>+BDFUENTES[[#This Row],[PZ TM m3/día]]/3.6/BDFUENTES[[#This Row],[PZ TM Horas Activo]]</f>
        <v>11.351851851851851</v>
      </c>
      <c r="AW31" s="167">
        <v>15</v>
      </c>
      <c r="AX31" s="169">
        <f t="shared" si="39"/>
        <v>580404</v>
      </c>
      <c r="AY31" s="169">
        <v>581017</v>
      </c>
      <c r="AZ31" s="167">
        <f t="shared" si="40"/>
        <v>613</v>
      </c>
      <c r="BA31" s="166">
        <v>125</v>
      </c>
      <c r="BB31" s="166">
        <f t="shared" ref="BB31:BB32" si="308">IFERROR(+BE31/(BA31*3.6)," ")</f>
        <v>4.1399999999999997</v>
      </c>
      <c r="BC31" s="168">
        <f t="shared" si="42"/>
        <v>5917285</v>
      </c>
      <c r="BD31" s="168">
        <v>5919148</v>
      </c>
      <c r="BE31" s="166">
        <f t="shared" si="43"/>
        <v>1863</v>
      </c>
      <c r="BF31" s="167">
        <v>20</v>
      </c>
      <c r="BG31" s="166">
        <f t="shared" ref="BG31" si="309">IFERROR(+BJ31/(BF31*3.6)," ")</f>
        <v>16.888888888888889</v>
      </c>
      <c r="BH31" s="168">
        <f t="shared" si="44"/>
        <v>1556051</v>
      </c>
      <c r="BI31" s="168">
        <v>1557267</v>
      </c>
      <c r="BJ31" s="167">
        <f t="shared" si="45"/>
        <v>1216</v>
      </c>
      <c r="BK31" s="166">
        <v>70</v>
      </c>
      <c r="BL31" s="166">
        <f t="shared" ref="BL31" si="310">IFERROR(+BO31/(BK31*3.6)," ")</f>
        <v>18.166666666666668</v>
      </c>
      <c r="BM31" s="168">
        <f t="shared" si="47"/>
        <v>6205403</v>
      </c>
      <c r="BN31" s="168">
        <v>6209981</v>
      </c>
      <c r="BO31" s="166">
        <f t="shared" si="48"/>
        <v>4578</v>
      </c>
    </row>
    <row r="32" spans="1:67" ht="15" customHeight="1" x14ac:dyDescent="0.25">
      <c r="A32" s="4">
        <f t="shared" si="1"/>
        <v>1</v>
      </c>
      <c r="B32" s="170">
        <v>46050</v>
      </c>
      <c r="C32" s="164">
        <v>38</v>
      </c>
      <c r="D32" s="166">
        <f t="shared" ref="D32" si="311">IFERROR(+G32/(C32*3.6)," ")</f>
        <v>13.055555555555555</v>
      </c>
      <c r="E32" s="168">
        <f t="shared" si="18"/>
        <v>3785945</v>
      </c>
      <c r="F32" s="168">
        <v>3787731</v>
      </c>
      <c r="G32" s="166">
        <f t="shared" si="19"/>
        <v>1786</v>
      </c>
      <c r="H32" s="167">
        <v>25</v>
      </c>
      <c r="I32" s="167">
        <f t="shared" ref="I32" si="312">IFERROR(+L32/(H32*3.6)," ")</f>
        <v>0</v>
      </c>
      <c r="J32" s="168">
        <f t="shared" ref="J32" si="313">IF(K32&gt;0,K31," ")</f>
        <v>1970853</v>
      </c>
      <c r="K32" s="266">
        <v>1970853</v>
      </c>
      <c r="L32" s="167">
        <f t="shared" ref="L32" si="314">IFERROR((K32-J32)," ")</f>
        <v>0</v>
      </c>
      <c r="M32" s="166">
        <v>38</v>
      </c>
      <c r="N32" s="166">
        <f t="shared" ref="N32" si="315">IFERROR(+Q32/(M32*3.6)," ")</f>
        <v>0</v>
      </c>
      <c r="O32" s="168">
        <f t="shared" ref="O32" si="316">IF(P32&gt;0,P31," ")</f>
        <v>414656</v>
      </c>
      <c r="P32" s="168">
        <v>414656</v>
      </c>
      <c r="Q32" s="166">
        <f t="shared" ref="Q32" si="317">IFERROR((P32-O32)," ")</f>
        <v>0</v>
      </c>
      <c r="R32" s="167">
        <f>+BDFUENTES[[#This Row],[PZ MED m3/día]]/3.6/BDFUENTES[[#This Row],[PZ MED Horas Activo]]</f>
        <v>28.12169312169312</v>
      </c>
      <c r="S32" s="167">
        <v>21</v>
      </c>
      <c r="T32" s="168">
        <f t="shared" ref="T32" si="318">IF(U32&gt;0,U31," ")</f>
        <v>263883</v>
      </c>
      <c r="U32" s="168">
        <v>266009</v>
      </c>
      <c r="V32" s="165">
        <f t="shared" ref="V32" si="319">IFERROR((U32-T32)," ")</f>
        <v>2126</v>
      </c>
      <c r="W32" s="164">
        <f t="shared" ref="W32" si="320">IFERROR((AA32/X32)/3.6," ")</f>
        <v>325.28793953194474</v>
      </c>
      <c r="X32" s="166">
        <v>24</v>
      </c>
      <c r="Y32" s="168">
        <f t="shared" ref="Y32" si="321">IF(Z32&gt;0,Z31," ")</f>
        <v>1501640.95938304</v>
      </c>
      <c r="Z32" s="168">
        <v>1531871.8373586</v>
      </c>
      <c r="AA32" s="164">
        <f>IFERROR((Z32-Y32)," ")-2126</f>
        <v>28104.877975560026</v>
      </c>
      <c r="AB32" s="168">
        <f t="shared" ref="AB32" si="322">IFERROR(ROUNDDOWN(+AF32/(AC32*3.6),0)," ")</f>
        <v>71</v>
      </c>
      <c r="AC32" s="168">
        <v>24</v>
      </c>
      <c r="AD32" s="171">
        <f t="shared" ref="AD32" si="323">IF(AE32&gt;0,AE31," ")</f>
        <v>5208378</v>
      </c>
      <c r="AE32" s="167">
        <v>5214545</v>
      </c>
      <c r="AF32" s="165">
        <f t="shared" ref="AF32" si="324">IFERROR((AE32-AD32)," ")</f>
        <v>6167</v>
      </c>
      <c r="AG32" s="168">
        <v>20</v>
      </c>
      <c r="AH32" s="168">
        <v>24</v>
      </c>
      <c r="AI32" s="166"/>
      <c r="AJ32" s="166"/>
      <c r="AK32" s="166">
        <f t="shared" ref="AK32" si="325">IF(OR(AH32="",AG32=""),"",AH32*AG32*3.6)</f>
        <v>1728</v>
      </c>
      <c r="AL32" s="167">
        <f>+BDFUENTES[[#This Row],[PZ CHB m3/día]]/3.6/BDFUENTES[[#This Row],[PZ CHB Horas Activo]]</f>
        <v>39.351851851851855</v>
      </c>
      <c r="AM32" s="171">
        <v>18</v>
      </c>
      <c r="AN32" s="168">
        <f t="shared" si="34"/>
        <v>3576255</v>
      </c>
      <c r="AO32" s="168">
        <v>3578805</v>
      </c>
      <c r="AP32" s="167">
        <f t="shared" si="35"/>
        <v>2550</v>
      </c>
      <c r="AQ32" s="166"/>
      <c r="AR32" s="166" t="str">
        <f t="shared" si="36"/>
        <v xml:space="preserve"> </v>
      </c>
      <c r="AS32" s="168" t="str">
        <f t="shared" si="37"/>
        <v xml:space="preserve"> </v>
      </c>
      <c r="AT32" s="168"/>
      <c r="AU32" s="166" t="str">
        <f t="shared" si="38"/>
        <v xml:space="preserve"> </v>
      </c>
      <c r="AV32" s="167">
        <f>+BDFUENTES[[#This Row],[PZ TM m3/día]]/3.6/BDFUENTES[[#This Row],[PZ TM Horas Activo]]</f>
        <v>11.203703703703702</v>
      </c>
      <c r="AW32" s="167">
        <v>15</v>
      </c>
      <c r="AX32" s="169">
        <f t="shared" si="39"/>
        <v>581017</v>
      </c>
      <c r="AY32" s="169">
        <v>581622</v>
      </c>
      <c r="AZ32" s="167">
        <f t="shared" si="40"/>
        <v>605</v>
      </c>
      <c r="BA32" s="166">
        <v>125</v>
      </c>
      <c r="BB32" s="166">
        <f t="shared" si="308"/>
        <v>4.1288888888888886</v>
      </c>
      <c r="BC32" s="168">
        <f t="shared" si="42"/>
        <v>5919148</v>
      </c>
      <c r="BD32" s="168">
        <v>5921006</v>
      </c>
      <c r="BE32" s="166">
        <f t="shared" si="43"/>
        <v>1858</v>
      </c>
      <c r="BF32" s="167">
        <v>20</v>
      </c>
      <c r="BG32" s="166">
        <f t="shared" ref="BG32" si="326">IFERROR(+BJ32/(BF32*3.6)," ")</f>
        <v>17.541666666666668</v>
      </c>
      <c r="BH32" s="168">
        <f t="shared" si="44"/>
        <v>1557267</v>
      </c>
      <c r="BI32" s="168">
        <v>1558530</v>
      </c>
      <c r="BJ32" s="167">
        <f t="shared" si="45"/>
        <v>1263</v>
      </c>
      <c r="BK32" s="166">
        <v>70</v>
      </c>
      <c r="BL32" s="166">
        <f t="shared" ref="BL32" si="327">IFERROR(+BO32/(BK32*3.6)," ")</f>
        <v>14.261904761904763</v>
      </c>
      <c r="BM32" s="168">
        <f t="shared" si="47"/>
        <v>6209981</v>
      </c>
      <c r="BN32" s="168">
        <v>6213575</v>
      </c>
      <c r="BO32" s="166">
        <f t="shared" si="48"/>
        <v>3594</v>
      </c>
    </row>
    <row r="33" spans="1:94" ht="15" customHeight="1" x14ac:dyDescent="0.25">
      <c r="A33" s="4">
        <f t="shared" si="1"/>
        <v>1</v>
      </c>
      <c r="B33" s="170">
        <v>46051</v>
      </c>
      <c r="C33" s="164">
        <v>38</v>
      </c>
      <c r="D33" s="166">
        <f t="shared" ref="D33" si="328">IFERROR(+G33/(C33*3.6)," ")</f>
        <v>13.50877192982456</v>
      </c>
      <c r="E33" s="168">
        <f t="shared" si="18"/>
        <v>3787731</v>
      </c>
      <c r="F33" s="168">
        <v>3789579</v>
      </c>
      <c r="G33" s="166">
        <f t="shared" si="19"/>
        <v>1848</v>
      </c>
      <c r="H33" s="167">
        <v>25</v>
      </c>
      <c r="I33" s="167">
        <f t="shared" ref="I33" si="329">IFERROR(+L33/(H33*3.6)," ")</f>
        <v>0</v>
      </c>
      <c r="J33" s="168">
        <f t="shared" ref="J33" si="330">IF(K33&gt;0,K32," ")</f>
        <v>1970853</v>
      </c>
      <c r="K33" s="266">
        <v>1970853</v>
      </c>
      <c r="L33" s="167">
        <f t="shared" ref="L33" si="331">IFERROR((K33-J33)," ")</f>
        <v>0</v>
      </c>
      <c r="M33" s="166">
        <v>38</v>
      </c>
      <c r="N33" s="166">
        <f t="shared" ref="N33" si="332">IFERROR(+Q33/(M33*3.6)," ")</f>
        <v>0</v>
      </c>
      <c r="O33" s="168">
        <f t="shared" ref="O33" si="333">IF(P33&gt;0,P32," ")</f>
        <v>414656</v>
      </c>
      <c r="P33" s="168">
        <v>414656</v>
      </c>
      <c r="Q33" s="166">
        <f t="shared" ref="Q33" si="334">IFERROR((P33-O33)," ")</f>
        <v>0</v>
      </c>
      <c r="R33" s="167">
        <f>+BDFUENTES[[#This Row],[PZ MED m3/día]]/3.6/BDFUENTES[[#This Row],[PZ MED Horas Activo]]</f>
        <v>28.913043478260871</v>
      </c>
      <c r="S33" s="167">
        <v>23</v>
      </c>
      <c r="T33" s="168">
        <f t="shared" ref="T33" si="335">IF(U33&gt;0,U32," ")</f>
        <v>266009</v>
      </c>
      <c r="U33" s="168">
        <v>268403</v>
      </c>
      <c r="V33" s="165">
        <f t="shared" ref="V33" si="336">IFERROR((U33-T33)," ")</f>
        <v>2394</v>
      </c>
      <c r="W33" s="164">
        <f t="shared" ref="W33" si="337">IFERROR((AA33/X33)/3.6," ")</f>
        <v>333.46313938935327</v>
      </c>
      <c r="X33" s="166">
        <v>24</v>
      </c>
      <c r="Y33" s="168">
        <f t="shared" ref="Y33" si="338">IF(Z33&gt;0,Z32," ")</f>
        <v>1531871.8373586</v>
      </c>
      <c r="Z33" s="168">
        <v>1563077.0526018401</v>
      </c>
      <c r="AA33" s="164">
        <f>IFERROR((Z33-Y33)," ")-2394</f>
        <v>28811.21524324012</v>
      </c>
      <c r="AB33" s="168">
        <f t="shared" ref="AB33" si="339">IFERROR(ROUNDDOWN(+AF33/(AC33*3.6),0)," ")</f>
        <v>76</v>
      </c>
      <c r="AC33" s="168">
        <v>24</v>
      </c>
      <c r="AD33" s="171">
        <f t="shared" ref="AD33" si="340">IF(AE33&gt;0,AE32," ")</f>
        <v>5214545</v>
      </c>
      <c r="AE33" s="167">
        <v>5221151</v>
      </c>
      <c r="AF33" s="165">
        <f t="shared" ref="AF33" si="341">IFERROR((AE33-AD33)," ")</f>
        <v>6606</v>
      </c>
      <c r="AG33" s="168">
        <v>20</v>
      </c>
      <c r="AH33" s="168">
        <v>24</v>
      </c>
      <c r="AI33" s="166"/>
      <c r="AJ33" s="166"/>
      <c r="AK33" s="166">
        <f t="shared" ref="AK33" si="342">IF(OR(AH33="",AG33=""),"",AH33*AG33*3.6)</f>
        <v>1728</v>
      </c>
      <c r="AL33" s="167">
        <f>+BDFUENTES[[#This Row],[PZ CHB m3/día]]/3.6/BDFUENTES[[#This Row],[PZ CHB Horas Activo]]</f>
        <v>38.796296296296298</v>
      </c>
      <c r="AM33" s="171">
        <v>18</v>
      </c>
      <c r="AN33" s="168">
        <f t="shared" si="34"/>
        <v>3578805</v>
      </c>
      <c r="AO33" s="168">
        <v>3581319</v>
      </c>
      <c r="AP33" s="167">
        <f t="shared" si="35"/>
        <v>2514</v>
      </c>
      <c r="AQ33" s="166"/>
      <c r="AR33" s="166" t="str">
        <f t="shared" si="36"/>
        <v xml:space="preserve"> </v>
      </c>
      <c r="AS33" s="168" t="str">
        <f t="shared" si="37"/>
        <v xml:space="preserve"> </v>
      </c>
      <c r="AT33" s="168"/>
      <c r="AU33" s="166" t="str">
        <f t="shared" si="38"/>
        <v xml:space="preserve"> </v>
      </c>
      <c r="AV33" s="167">
        <f>+BDFUENTES[[#This Row],[PZ TM m3/día]]/3.6/BDFUENTES[[#This Row],[PZ TM Horas Activo]]</f>
        <v>11.185185185185185</v>
      </c>
      <c r="AW33" s="167">
        <v>15</v>
      </c>
      <c r="AX33" s="169">
        <f t="shared" si="39"/>
        <v>581622</v>
      </c>
      <c r="AY33" s="169">
        <v>582226</v>
      </c>
      <c r="AZ33" s="167">
        <f t="shared" si="40"/>
        <v>604</v>
      </c>
      <c r="BA33" s="166">
        <v>125</v>
      </c>
      <c r="BB33" s="166">
        <f t="shared" ref="BB33" si="343">IFERROR(+BE33/(BA33*3.6)," ")</f>
        <v>4.1444444444444448</v>
      </c>
      <c r="BC33" s="168">
        <f t="shared" si="42"/>
        <v>5921006</v>
      </c>
      <c r="BD33" s="168">
        <v>5922871</v>
      </c>
      <c r="BE33" s="166">
        <f t="shared" si="43"/>
        <v>1865</v>
      </c>
      <c r="BF33" s="167">
        <v>20</v>
      </c>
      <c r="BG33" s="166">
        <f t="shared" ref="BG33" si="344">IFERROR(+BJ33/(BF33*3.6)," ")</f>
        <v>17.444444444444443</v>
      </c>
      <c r="BH33" s="168">
        <f t="shared" si="44"/>
        <v>1558530</v>
      </c>
      <c r="BI33" s="168">
        <v>1559786</v>
      </c>
      <c r="BJ33" s="167">
        <f t="shared" si="45"/>
        <v>1256</v>
      </c>
      <c r="BK33" s="166">
        <v>70</v>
      </c>
      <c r="BL33" s="166">
        <f t="shared" ref="BL33" si="345">IFERROR(+BO33/(BK33*3.6)," ")</f>
        <v>17.246031746031747</v>
      </c>
      <c r="BM33" s="168">
        <f t="shared" ref="BM33" si="346">IF(BN33&gt;0,BN32," ")</f>
        <v>6213575</v>
      </c>
      <c r="BN33" s="168">
        <v>6217921</v>
      </c>
      <c r="BO33" s="166">
        <f t="shared" ref="BO33" si="347">IFERROR((BN33-BM33)," ")</f>
        <v>4346</v>
      </c>
    </row>
    <row r="34" spans="1:94" ht="15" customHeight="1" x14ac:dyDescent="0.25">
      <c r="A34" s="4">
        <f t="shared" si="1"/>
        <v>1</v>
      </c>
      <c r="B34" s="170">
        <v>46052</v>
      </c>
      <c r="C34" s="164">
        <v>38</v>
      </c>
      <c r="D34" s="166">
        <f t="shared" ref="D34" si="348">IFERROR(+G34/(C34*3.6)," ")</f>
        <v>13.406432748538011</v>
      </c>
      <c r="E34" s="168">
        <f t="shared" si="18"/>
        <v>3789579</v>
      </c>
      <c r="F34" s="168">
        <v>3791413</v>
      </c>
      <c r="G34" s="166">
        <f t="shared" si="19"/>
        <v>1834</v>
      </c>
      <c r="H34" s="167">
        <v>25</v>
      </c>
      <c r="I34" s="167">
        <f t="shared" ref="I34" si="349">IFERROR(+L34/(H34*3.6)," ")</f>
        <v>0</v>
      </c>
      <c r="J34" s="168">
        <f t="shared" ref="J34" si="350">IF(K34&gt;0,K33," ")</f>
        <v>1970853</v>
      </c>
      <c r="K34" s="266">
        <v>1970853</v>
      </c>
      <c r="L34" s="167">
        <f t="shared" ref="L34" si="351">IFERROR((K34-J34)," ")</f>
        <v>0</v>
      </c>
      <c r="M34" s="166">
        <v>38</v>
      </c>
      <c r="N34" s="166">
        <f t="shared" ref="N34" si="352">IFERROR(+Q34/(M34*3.6)," ")</f>
        <v>0</v>
      </c>
      <c r="O34" s="168">
        <f t="shared" ref="O34" si="353">IF(P34&gt;0,P33," ")</f>
        <v>414656</v>
      </c>
      <c r="P34" s="168">
        <v>414656</v>
      </c>
      <c r="Q34" s="166">
        <f t="shared" ref="Q34" si="354">IFERROR((P34-O34)," ")</f>
        <v>0</v>
      </c>
      <c r="R34" s="167">
        <f>+BDFUENTES[[#This Row],[PZ MED m3/día]]/3.6/BDFUENTES[[#This Row],[PZ MED Horas Activo]]</f>
        <v>22.592592592592592</v>
      </c>
      <c r="S34" s="167">
        <v>24</v>
      </c>
      <c r="T34" s="168">
        <f t="shared" ref="T34" si="355">IF(U34&gt;0,U33," ")</f>
        <v>268403</v>
      </c>
      <c r="U34" s="168">
        <v>270355</v>
      </c>
      <c r="V34" s="165">
        <f t="shared" ref="V34" si="356">IFERROR((U34-T34)," ")</f>
        <v>1952</v>
      </c>
      <c r="W34" s="164">
        <f t="shared" ref="W34" si="357">IFERROR((AA34/X34)/3.6," ")</f>
        <v>347.4063263675904</v>
      </c>
      <c r="X34" s="166">
        <v>24</v>
      </c>
      <c r="Y34" s="168">
        <f t="shared" ref="Y34" si="358">IF(Z34&gt;0,Z33," ")</f>
        <v>1563077.0526018401</v>
      </c>
      <c r="Z34" s="168">
        <f>1596473-(340*3.6*1.1667)</f>
        <v>1595044.9591999999</v>
      </c>
      <c r="AA34" s="164">
        <f>IFERROR((Z34-Y34)," ")-1952</f>
        <v>30015.906598159811</v>
      </c>
      <c r="AB34" s="168">
        <f t="shared" ref="AB34" si="359">IFERROR(ROUNDDOWN(+AF34/(AC34*3.6),0)," ")</f>
        <v>75</v>
      </c>
      <c r="AC34" s="168">
        <v>24</v>
      </c>
      <c r="AD34" s="171">
        <f t="shared" ref="AD34" si="360">IF(AE34&gt;0,AE33," ")</f>
        <v>5221151</v>
      </c>
      <c r="AE34" s="167">
        <v>5227701</v>
      </c>
      <c r="AF34" s="165">
        <f t="shared" ref="AF34" si="361">IFERROR((AE34-AD34)," ")</f>
        <v>6550</v>
      </c>
      <c r="AG34" s="168">
        <v>20</v>
      </c>
      <c r="AH34" s="168">
        <v>24</v>
      </c>
      <c r="AI34" s="166"/>
      <c r="AJ34" s="166"/>
      <c r="AK34" s="166">
        <f t="shared" ref="AK34" si="362">IF(OR(AH34="",AG34=""),"",AH34*AG34*3.6)</f>
        <v>1728</v>
      </c>
      <c r="AL34" s="167">
        <f>+BDFUENTES[[#This Row],[PZ CHB m3/día]]/3.6/BDFUENTES[[#This Row],[PZ CHB Horas Activo]]</f>
        <v>38.441358024691361</v>
      </c>
      <c r="AM34" s="171">
        <v>18</v>
      </c>
      <c r="AN34" s="168">
        <f t="shared" si="34"/>
        <v>3581319</v>
      </c>
      <c r="AO34" s="168">
        <v>3583810</v>
      </c>
      <c r="AP34" s="167">
        <f t="shared" si="35"/>
        <v>2491</v>
      </c>
      <c r="AQ34" s="166"/>
      <c r="AR34" s="166" t="str">
        <f t="shared" si="36"/>
        <v xml:space="preserve"> </v>
      </c>
      <c r="AS34" s="168" t="str">
        <f t="shared" si="37"/>
        <v xml:space="preserve"> </v>
      </c>
      <c r="AT34" s="168"/>
      <c r="AU34" s="166" t="str">
        <f t="shared" si="38"/>
        <v xml:space="preserve"> </v>
      </c>
      <c r="AV34" s="167">
        <f>+BDFUENTES[[#This Row],[PZ TM m3/día]]/3.6/BDFUENTES[[#This Row],[PZ TM Horas Activo]]</f>
        <v>11.626984126984127</v>
      </c>
      <c r="AW34" s="167">
        <v>14</v>
      </c>
      <c r="AX34" s="169">
        <f t="shared" ref="AX34" si="363">IF(AY34&gt;0,AY33," ")</f>
        <v>582226</v>
      </c>
      <c r="AY34" s="169">
        <v>582812</v>
      </c>
      <c r="AZ34" s="167">
        <f t="shared" ref="AZ34" si="364">IFERROR((AY34-AX34)," ")</f>
        <v>586</v>
      </c>
      <c r="BA34" s="166">
        <v>125</v>
      </c>
      <c r="BB34" s="166">
        <f t="shared" ref="BB34" si="365">IFERROR(+BE34/(BA34*3.6)," ")</f>
        <v>4.1444444444444448</v>
      </c>
      <c r="BC34" s="168">
        <f t="shared" si="42"/>
        <v>5922871</v>
      </c>
      <c r="BD34" s="168">
        <v>5924736</v>
      </c>
      <c r="BE34" s="166">
        <f t="shared" si="43"/>
        <v>1865</v>
      </c>
      <c r="BF34" s="167">
        <v>20</v>
      </c>
      <c r="BG34" s="166">
        <f t="shared" ref="BG34" si="366">IFERROR(+BJ34/(BF34*3.6)," ")</f>
        <v>16.597222222222221</v>
      </c>
      <c r="BH34" s="168">
        <f t="shared" si="44"/>
        <v>1559786</v>
      </c>
      <c r="BI34" s="168">
        <v>1560981</v>
      </c>
      <c r="BJ34" s="167">
        <f t="shared" si="45"/>
        <v>1195</v>
      </c>
      <c r="BK34" s="166">
        <v>70</v>
      </c>
      <c r="BL34" s="166">
        <f t="shared" ref="BL34" si="367">IFERROR(+BO34/(BK34*3.6)," ")</f>
        <v>15.904761904761905</v>
      </c>
      <c r="BM34" s="168">
        <f t="shared" ref="BM34" si="368">IF(BN34&gt;0,BN33," ")</f>
        <v>6217921</v>
      </c>
      <c r="BN34" s="168">
        <v>6221929</v>
      </c>
      <c r="BO34" s="166">
        <f t="shared" ref="BO34" si="369">IFERROR((BN34-BM34)," ")</f>
        <v>4008</v>
      </c>
    </row>
    <row r="35" spans="1:94" ht="15" customHeight="1" x14ac:dyDescent="0.25">
      <c r="A35" s="4">
        <f t="shared" si="1"/>
        <v>1</v>
      </c>
      <c r="B35" s="170">
        <v>46053</v>
      </c>
      <c r="C35" s="164">
        <v>38</v>
      </c>
      <c r="D35" s="166">
        <f t="shared" ref="D35" si="370">IFERROR(+G35/(C35*3.6)," ")</f>
        <v>13.377192982456139</v>
      </c>
      <c r="E35" s="168">
        <f t="shared" si="18"/>
        <v>3791413</v>
      </c>
      <c r="F35" s="168">
        <v>3793243</v>
      </c>
      <c r="G35" s="166">
        <f t="shared" si="19"/>
        <v>1830</v>
      </c>
      <c r="H35" s="167">
        <v>25</v>
      </c>
      <c r="I35" s="167">
        <f t="shared" ref="I35" si="371">IFERROR(+L35/(H35*3.6)," ")</f>
        <v>0</v>
      </c>
      <c r="J35" s="168">
        <f t="shared" ref="J35" si="372">IF(K35&gt;0,K34," ")</f>
        <v>1970853</v>
      </c>
      <c r="K35" s="266">
        <v>1970853</v>
      </c>
      <c r="L35" s="167">
        <f t="shared" ref="L35" si="373">IFERROR((K35-J35)," ")</f>
        <v>0</v>
      </c>
      <c r="M35" s="166">
        <v>38</v>
      </c>
      <c r="N35" s="166">
        <f t="shared" ref="N35" si="374">IFERROR(+Q35/(M35*3.6)," ")</f>
        <v>0</v>
      </c>
      <c r="O35" s="168">
        <f t="shared" ref="O35" si="375">IF(P35&gt;0,P34," ")</f>
        <v>414656</v>
      </c>
      <c r="P35" s="168">
        <v>414656</v>
      </c>
      <c r="Q35" s="166">
        <f t="shared" ref="Q35" si="376">IFERROR((P35-O35)," ")</f>
        <v>0</v>
      </c>
      <c r="R35" s="167">
        <f>+BDFUENTES[[#This Row],[PZ MED m3/día]]/3.6/BDFUENTES[[#This Row],[PZ MED Horas Activo]]</f>
        <v>24.965277777777775</v>
      </c>
      <c r="S35" s="167">
        <v>24</v>
      </c>
      <c r="T35" s="168">
        <f t="shared" ref="T35" si="377">IF(U35&gt;0,U34," ")</f>
        <v>270355</v>
      </c>
      <c r="U35" s="168">
        <v>272512</v>
      </c>
      <c r="V35" s="165">
        <f t="shared" ref="V35" si="378">IFERROR((U35-T35)," ")</f>
        <v>2157</v>
      </c>
      <c r="W35" s="164">
        <f t="shared" ref="W35" si="379">IFERROR((AA35/X35)/3.6," ")</f>
        <v>333.90206956898277</v>
      </c>
      <c r="X35" s="166">
        <v>24</v>
      </c>
      <c r="Y35" s="168">
        <f t="shared" ref="Y35" si="380">IF(Z35&gt;0,Z34," ")</f>
        <v>1595044.9591999999</v>
      </c>
      <c r="Z35" s="168">
        <v>1626051.09801076</v>
      </c>
      <c r="AA35" s="164">
        <f>IFERROR((Z35-Y35)," ")-2157</f>
        <v>28849.138810760109</v>
      </c>
      <c r="AB35" s="168">
        <f t="shared" ref="AB35" si="381">IFERROR(ROUNDDOWN(+AF35/(AC35*3.6),0)," ")</f>
        <v>75</v>
      </c>
      <c r="AC35" s="168">
        <v>24</v>
      </c>
      <c r="AD35" s="171">
        <f t="shared" ref="AD35" si="382">IF(AE35&gt;0,AE34," ")</f>
        <v>5227701</v>
      </c>
      <c r="AE35" s="167">
        <v>5234193</v>
      </c>
      <c r="AF35" s="165">
        <f t="shared" ref="AF35" si="383">IFERROR((AE35-AD35)," ")</f>
        <v>6492</v>
      </c>
      <c r="AG35" s="168">
        <v>20</v>
      </c>
      <c r="AH35" s="168">
        <v>24</v>
      </c>
      <c r="AI35" s="166"/>
      <c r="AJ35" s="166"/>
      <c r="AK35" s="166">
        <f t="shared" ref="AK35" si="384">IF(OR(AH35="",AG35=""),"",AH35*AG35*3.6)</f>
        <v>1728</v>
      </c>
      <c r="AL35" s="167">
        <f>+BDFUENTES[[#This Row],[PZ CHB m3/día]]/3.6/BDFUENTES[[#This Row],[PZ CHB Horas Activo]]</f>
        <v>38.101851851851855</v>
      </c>
      <c r="AM35" s="171">
        <v>18</v>
      </c>
      <c r="AN35" s="168">
        <f t="shared" ref="AN35" si="385">IF(AO35&gt;0,AO34," ")</f>
        <v>3583810</v>
      </c>
      <c r="AO35" s="168">
        <v>3586279</v>
      </c>
      <c r="AP35" s="167">
        <f t="shared" ref="AP35" si="386">IFERROR((AO35-AN35)," ")</f>
        <v>2469</v>
      </c>
      <c r="AQ35" s="166"/>
      <c r="AR35" s="166" t="str">
        <f t="shared" ref="AR35" si="387">IFERROR(+AU35/(AQ35*3.6)," ")</f>
        <v xml:space="preserve"> </v>
      </c>
      <c r="AS35" s="168" t="str">
        <f t="shared" ref="AS35" si="388">IF(AT35&gt;0,AT34," ")</f>
        <v xml:space="preserve"> </v>
      </c>
      <c r="AT35" s="168"/>
      <c r="AU35" s="166" t="str">
        <f t="shared" ref="AU35" si="389">IFERROR((AT35-AS35)," ")</f>
        <v xml:space="preserve"> </v>
      </c>
      <c r="AV35" s="167">
        <f>+BDFUENTES[[#This Row],[PZ TM m3/día]]/3.6/BDFUENTES[[#This Row],[PZ TM Horas Activo]]</f>
        <v>11.924603174603174</v>
      </c>
      <c r="AW35" s="167">
        <v>14</v>
      </c>
      <c r="AX35" s="169">
        <f t="shared" ref="AX35" si="390">IF(AY35&gt;0,AY34," ")</f>
        <v>582812</v>
      </c>
      <c r="AY35" s="169">
        <v>583413</v>
      </c>
      <c r="AZ35" s="167">
        <f t="shared" ref="AZ35" si="391">IFERROR((AY35-AX35)," ")</f>
        <v>601</v>
      </c>
      <c r="BA35" s="166">
        <v>125</v>
      </c>
      <c r="BB35" s="166">
        <f t="shared" ref="BB35" si="392">IFERROR(+BE35/(BA35*3.6)," ")</f>
        <v>4.2888888888888888</v>
      </c>
      <c r="BC35" s="168">
        <f t="shared" ref="BC35" si="393">IF(BD35&gt;0,BD34," ")</f>
        <v>5924736</v>
      </c>
      <c r="BD35" s="168">
        <v>5926666</v>
      </c>
      <c r="BE35" s="166">
        <f t="shared" ref="BE35" si="394">IFERROR((BD35-BC35)," ")</f>
        <v>1930</v>
      </c>
      <c r="BF35" s="167">
        <v>20</v>
      </c>
      <c r="BG35" s="166">
        <f t="shared" ref="BG35" si="395">IFERROR(+BJ35/(BF35*3.6)," ")</f>
        <v>16.333333333333332</v>
      </c>
      <c r="BH35" s="168">
        <f t="shared" ref="BH35" si="396">IF(BI35&gt;0,BI34," ")</f>
        <v>1560981</v>
      </c>
      <c r="BI35" s="168">
        <v>1562157</v>
      </c>
      <c r="BJ35" s="167">
        <f t="shared" ref="BJ35" si="397">IFERROR((BI35-BH35)," ")</f>
        <v>1176</v>
      </c>
      <c r="BK35" s="166">
        <v>70</v>
      </c>
      <c r="BL35" s="166">
        <f t="shared" ref="BL35" si="398">IFERROR(+BO35/(BK35*3.6)," ")</f>
        <v>20.988095238095237</v>
      </c>
      <c r="BM35" s="168">
        <f t="shared" ref="BM35" si="399">IF(BN35&gt;0,BN34," ")</f>
        <v>6221929</v>
      </c>
      <c r="BN35" s="168">
        <v>6227218</v>
      </c>
      <c r="BO35" s="166">
        <f t="shared" ref="BO35" si="400">IFERROR((BN35-BM35)," ")</f>
        <v>5289</v>
      </c>
    </row>
    <row r="36" spans="1:94" ht="15" customHeight="1" x14ac:dyDescent="0.25">
      <c r="A36" s="4">
        <f t="shared" si="1"/>
        <v>2</v>
      </c>
      <c r="B36" s="170">
        <v>46054</v>
      </c>
      <c r="C36" s="164">
        <v>38</v>
      </c>
      <c r="D36" s="166">
        <f t="shared" ref="D36" si="401">IFERROR(+G36/(C36*3.6)," ")</f>
        <v>13.296783625730994</v>
      </c>
      <c r="E36" s="168">
        <f t="shared" ref="E36" si="402">IF(F36&gt;0,F35," ")</f>
        <v>3793243</v>
      </c>
      <c r="F36" s="168">
        <v>3795062</v>
      </c>
      <c r="G36" s="166">
        <f t="shared" ref="G36" si="403">IFERROR((F36-E36)," ")</f>
        <v>1819</v>
      </c>
      <c r="H36" s="167">
        <v>25</v>
      </c>
      <c r="I36" s="167">
        <f t="shared" ref="I36" si="404">IFERROR(+L36/(H36*3.6)," ")</f>
        <v>0</v>
      </c>
      <c r="J36" s="168">
        <f t="shared" ref="J36" si="405">IF(K36&gt;0,K35," ")</f>
        <v>1970853</v>
      </c>
      <c r="K36" s="266">
        <v>1970853</v>
      </c>
      <c r="L36" s="167">
        <f t="shared" ref="L36" si="406">IFERROR((K36-J36)," ")</f>
        <v>0</v>
      </c>
      <c r="M36" s="166">
        <v>38</v>
      </c>
      <c r="N36" s="166">
        <f t="shared" ref="N36" si="407">IFERROR(+Q36/(M36*3.6)," ")</f>
        <v>0</v>
      </c>
      <c r="O36" s="168">
        <f t="shared" ref="O36" si="408">IF(P36&gt;0,P35," ")</f>
        <v>414656</v>
      </c>
      <c r="P36" s="168">
        <v>414656</v>
      </c>
      <c r="Q36" s="166">
        <f t="shared" ref="Q36" si="409">IFERROR((P36-O36)," ")</f>
        <v>0</v>
      </c>
      <c r="R36" s="167">
        <f>+BDFUENTES[[#This Row],[PZ MED m3/día]]/3.6/BDFUENTES[[#This Row],[PZ MED Horas Activo]]</f>
        <v>28.888888888888886</v>
      </c>
      <c r="S36" s="167">
        <v>5</v>
      </c>
      <c r="T36" s="168">
        <f t="shared" ref="T36" si="410">IF(U36&gt;0,U35," ")</f>
        <v>272512</v>
      </c>
      <c r="U36" s="168">
        <v>273032</v>
      </c>
      <c r="V36" s="165">
        <f t="shared" ref="V36" si="411">IFERROR((U36-T36)," ")</f>
        <v>520</v>
      </c>
      <c r="W36" s="164">
        <f t="shared" si="28"/>
        <v>342.46477071388784</v>
      </c>
      <c r="X36" s="166">
        <v>24</v>
      </c>
      <c r="Y36" s="168">
        <f t="shared" ref="Y36" si="412">IF(Z36&gt;0,Z35," ")</f>
        <v>1626051.09801076</v>
      </c>
      <c r="Z36" s="168">
        <v>1656160.0542004399</v>
      </c>
      <c r="AA36" s="164">
        <f>IFERROR((Z36-Y36)," ")-520</f>
        <v>29588.956189679913</v>
      </c>
      <c r="AB36" s="168">
        <f t="shared" ref="AB36" si="413">IFERROR(ROUNDDOWN(+AF36/(AC36*3.6),0)," ")</f>
        <v>76</v>
      </c>
      <c r="AC36" s="168">
        <v>11</v>
      </c>
      <c r="AD36" s="171">
        <f t="shared" ref="AD36" si="414">IF(AE36&gt;0,AE35," ")</f>
        <v>5234193</v>
      </c>
      <c r="AE36" s="167">
        <v>5237236</v>
      </c>
      <c r="AF36" s="165">
        <f t="shared" ref="AF36" si="415">IFERROR((AE36-AD36)," ")</f>
        <v>3043</v>
      </c>
      <c r="AG36" s="168">
        <v>20</v>
      </c>
      <c r="AH36" s="168">
        <v>24</v>
      </c>
      <c r="AI36" s="166"/>
      <c r="AJ36" s="166"/>
      <c r="AK36" s="166">
        <f t="shared" ref="AK36" si="416">IF(OR(AH36="",AG36=""),"",AH36*AG36*3.6)</f>
        <v>1728</v>
      </c>
      <c r="AL36" s="167">
        <f>+BDFUENTES[[#This Row],[PZ CHB m3/día]]/3.6/BDFUENTES[[#This Row],[PZ CHB Horas Activo]]</f>
        <v>39.012345679012341</v>
      </c>
      <c r="AM36" s="171">
        <v>18</v>
      </c>
      <c r="AN36" s="168">
        <f t="shared" ref="AN36" si="417">IF(AO36&gt;0,AO35," ")</f>
        <v>3586279</v>
      </c>
      <c r="AO36" s="168">
        <v>3588807</v>
      </c>
      <c r="AP36" s="167">
        <f t="shared" ref="AP36" si="418">IFERROR((AO36-AN36)," ")</f>
        <v>2528</v>
      </c>
      <c r="AQ36" s="166"/>
      <c r="AR36" s="166" t="str">
        <f t="shared" ref="AR36" si="419">IFERROR(+AU36/(AQ36*3.6)," ")</f>
        <v xml:space="preserve"> </v>
      </c>
      <c r="AS36" s="168" t="str">
        <f t="shared" ref="AS36" si="420">IF(AT36&gt;0,AT35," ")</f>
        <v xml:space="preserve"> </v>
      </c>
      <c r="AT36" s="168"/>
      <c r="AU36" s="166" t="str">
        <f t="shared" ref="AU36" si="421">IFERROR((AT36-AS36)," ")</f>
        <v xml:space="preserve"> </v>
      </c>
      <c r="AV36" s="167">
        <f>+BDFUENTES[[#This Row],[PZ TM m3/día]]/3.6/BDFUENTES[[#This Row],[PZ TM Horas Activo]]</f>
        <v>10.03968253968254</v>
      </c>
      <c r="AW36" s="167">
        <v>14</v>
      </c>
      <c r="AX36" s="169">
        <f t="shared" ref="AX36" si="422">IF(AY36&gt;0,AY35," ")</f>
        <v>583413</v>
      </c>
      <c r="AY36" s="169">
        <v>583919</v>
      </c>
      <c r="AZ36" s="167">
        <f t="shared" ref="AZ36" si="423">IFERROR((AY36-AX36)," ")</f>
        <v>506</v>
      </c>
      <c r="BA36" s="166">
        <v>125</v>
      </c>
      <c r="BB36" s="166">
        <f t="shared" ref="BB36" si="424">IFERROR(+BE36/(BA36*3.6)," ")</f>
        <v>4.1844444444444449</v>
      </c>
      <c r="BC36" s="168">
        <f t="shared" ref="BC36" si="425">IF(BD36&gt;0,BD35," ")</f>
        <v>5926666</v>
      </c>
      <c r="BD36" s="168">
        <v>5928549</v>
      </c>
      <c r="BE36" s="166">
        <f t="shared" ref="BE36" si="426">IFERROR((BD36-BC36)," ")</f>
        <v>1883</v>
      </c>
      <c r="BF36" s="167">
        <v>20</v>
      </c>
      <c r="BG36" s="166">
        <f t="shared" ref="BG36" si="427">IFERROR(+BJ36/(BF36*3.6)," ")</f>
        <v>15.555555555555555</v>
      </c>
      <c r="BH36" s="168">
        <f t="shared" ref="BH36" si="428">IF(BI36&gt;0,BI35," ")</f>
        <v>1562157</v>
      </c>
      <c r="BI36" s="168">
        <v>1563277</v>
      </c>
      <c r="BJ36" s="167">
        <f t="shared" ref="BJ36" si="429">IFERROR((BI36-BH36)," ")</f>
        <v>1120</v>
      </c>
      <c r="BK36" s="166">
        <v>70</v>
      </c>
      <c r="BL36" s="166">
        <f t="shared" ref="BL36" si="430">IFERROR(+BO36/(BK36*3.6)," ")</f>
        <v>10.765873015873016</v>
      </c>
      <c r="BM36" s="168">
        <f t="shared" ref="BM36" si="431">IF(BN36&gt;0,BN35," ")</f>
        <v>6227218</v>
      </c>
      <c r="BN36" s="168">
        <v>6229931</v>
      </c>
      <c r="BO36" s="166">
        <f t="shared" ref="BO36" si="432">IFERROR((BN36-BM36)," ")</f>
        <v>2713</v>
      </c>
    </row>
    <row r="37" spans="1:94" ht="15" customHeight="1" x14ac:dyDescent="0.25">
      <c r="A37" s="4">
        <f t="shared" si="1"/>
        <v>2</v>
      </c>
      <c r="B37" s="170">
        <v>46055</v>
      </c>
      <c r="C37" s="164">
        <v>38</v>
      </c>
      <c r="D37" s="166">
        <f t="shared" ref="D37" si="433">IFERROR(+G37/(C37*3.6)," ")</f>
        <v>1.6666666666666665</v>
      </c>
      <c r="E37" s="168">
        <f t="shared" si="18"/>
        <v>3795062</v>
      </c>
      <c r="F37" s="168">
        <v>3795290</v>
      </c>
      <c r="G37" s="166">
        <f t="shared" si="19"/>
        <v>228</v>
      </c>
      <c r="H37" s="167">
        <v>25</v>
      </c>
      <c r="I37" s="167">
        <f t="shared" ref="I37" si="434">IFERROR(+L37/(H37*3.6)," ")</f>
        <v>0</v>
      </c>
      <c r="J37" s="168">
        <f t="shared" ref="J37" si="435">IF(K37&gt;0,K36," ")</f>
        <v>1970853</v>
      </c>
      <c r="K37" s="266">
        <v>1970853</v>
      </c>
      <c r="L37" s="167">
        <f t="shared" ref="L37" si="436">IFERROR((K37-J37)," ")</f>
        <v>0</v>
      </c>
      <c r="M37" s="166">
        <v>38</v>
      </c>
      <c r="N37" s="166">
        <f t="shared" ref="N37" si="437">IFERROR(+Q37/(M37*3.6)," ")</f>
        <v>0</v>
      </c>
      <c r="O37" s="168">
        <f t="shared" ref="O37" si="438">IF(P37&gt;0,P36," ")</f>
        <v>414656</v>
      </c>
      <c r="P37" s="168">
        <v>414656</v>
      </c>
      <c r="Q37" s="166">
        <f t="shared" ref="Q37" si="439">IFERROR((P37-O37)," ")</f>
        <v>0</v>
      </c>
      <c r="R37" s="167">
        <f>+BDFUENTES[[#This Row],[PZ MED m3/día]]/3.6/BDFUENTES[[#This Row],[PZ MED Horas Activo]]</f>
        <v>3.0555555555555554</v>
      </c>
      <c r="S37" s="167">
        <v>1</v>
      </c>
      <c r="T37" s="168">
        <f t="shared" ref="T37" si="440">IF(U37&gt;0,U36," ")</f>
        <v>273032</v>
      </c>
      <c r="U37" s="168">
        <v>273043</v>
      </c>
      <c r="V37" s="165">
        <f t="shared" ref="V37" si="441">IFERROR((U37-T37)," ")</f>
        <v>11</v>
      </c>
      <c r="W37" s="164">
        <f t="shared" ref="W37" si="442">IFERROR((AA37/X37)/3.6," ")</f>
        <v>416.75745863809772</v>
      </c>
      <c r="X37" s="166">
        <f>24-10</f>
        <v>14</v>
      </c>
      <c r="Y37" s="168">
        <f t="shared" ref="Y37" si="443">IF(Z37&gt;0,Z36," ")</f>
        <v>1656160.0542004399</v>
      </c>
      <c r="Z37" s="168">
        <v>1677175.6301158001</v>
      </c>
      <c r="AA37" s="164">
        <f>IFERROR((Z37-Y37)," ")-11</f>
        <v>21004.575915360125</v>
      </c>
      <c r="AB37" s="168">
        <f t="shared" ref="AB37" si="444">IFERROR(ROUNDDOWN(+AF37/(AC37*3.6),0)," ")</f>
        <v>60</v>
      </c>
      <c r="AC37" s="168">
        <v>7</v>
      </c>
      <c r="AD37" s="171">
        <f t="shared" ref="AD37" si="445">IF(AE37&gt;0,AE36," ")</f>
        <v>5237236</v>
      </c>
      <c r="AE37" s="167">
        <v>5238751</v>
      </c>
      <c r="AF37" s="165">
        <f t="shared" ref="AF37" si="446">IFERROR((AE37-AD37)," ")</f>
        <v>1515</v>
      </c>
      <c r="AG37" s="168">
        <v>20</v>
      </c>
      <c r="AH37" s="168">
        <v>24</v>
      </c>
      <c r="AI37" s="166"/>
      <c r="AJ37" s="166"/>
      <c r="AK37" s="166">
        <f t="shared" ref="AK37" si="447">IF(OR(AH37="",AG37=""),"",AH37*AG37*3.6)</f>
        <v>1728</v>
      </c>
      <c r="AL37" s="167">
        <f>+BDFUENTES[[#This Row],[PZ CHB m3/día]]/3.6/BDFUENTES[[#This Row],[PZ CHB Horas Activo]]</f>
        <v>38.011695906432749</v>
      </c>
      <c r="AM37" s="171">
        <v>19</v>
      </c>
      <c r="AN37" s="168">
        <f t="shared" ref="AN37" si="448">IF(AO37&gt;0,AO36," ")</f>
        <v>3588807</v>
      </c>
      <c r="AO37" s="168">
        <v>3591407</v>
      </c>
      <c r="AP37" s="167">
        <f t="shared" ref="AP37" si="449">IFERROR((AO37-AN37)," ")</f>
        <v>2600</v>
      </c>
      <c r="AQ37" s="166"/>
      <c r="AR37" s="166" t="str">
        <f t="shared" ref="AR37" si="450">IFERROR(+AU37/(AQ37*3.6)," ")</f>
        <v xml:space="preserve"> </v>
      </c>
      <c r="AS37" s="168" t="str">
        <f t="shared" ref="AS37" si="451">IF(AT37&gt;0,AT36," ")</f>
        <v xml:space="preserve"> </v>
      </c>
      <c r="AT37" s="168"/>
      <c r="AU37" s="166" t="str">
        <f t="shared" ref="AU37" si="452">IFERROR((AT37-AS37)," ")</f>
        <v xml:space="preserve"> </v>
      </c>
      <c r="AV37" s="167">
        <f>+BDFUENTES[[#This Row],[PZ TM m3/día]]/3.6/BDFUENTES[[#This Row],[PZ TM Horas Activo]]</f>
        <v>11.765873015873016</v>
      </c>
      <c r="AW37" s="167">
        <v>14</v>
      </c>
      <c r="AX37" s="169">
        <f t="shared" ref="AX37" si="453">IF(AY37&gt;0,AY36," ")</f>
        <v>583919</v>
      </c>
      <c r="AY37" s="169">
        <v>584512</v>
      </c>
      <c r="AZ37" s="167">
        <f t="shared" ref="AZ37" si="454">IFERROR((AY37-AX37)," ")</f>
        <v>593</v>
      </c>
      <c r="BA37" s="166">
        <v>125</v>
      </c>
      <c r="BB37" s="166">
        <f t="shared" ref="BB37" si="455">IFERROR(+BE37/(BA37*3.6)," ")</f>
        <v>0.2</v>
      </c>
      <c r="BC37" s="168">
        <f t="shared" ref="BC37" si="456">IF(BD37&gt;0,BD36," ")</f>
        <v>5928549</v>
      </c>
      <c r="BD37" s="168">
        <v>5928639</v>
      </c>
      <c r="BE37" s="166">
        <f t="shared" ref="BE37" si="457">IFERROR((BD37-BC37)," ")</f>
        <v>90</v>
      </c>
      <c r="BF37" s="167">
        <v>20</v>
      </c>
      <c r="BG37" s="166">
        <f t="shared" ref="BG37" si="458">IFERROR(+BJ37/(BF37*3.6)," ")</f>
        <v>10.125</v>
      </c>
      <c r="BH37" s="168">
        <f t="shared" ref="BH37" si="459">IF(BI37&gt;0,BI36," ")</f>
        <v>1563277</v>
      </c>
      <c r="BI37" s="168">
        <v>1564006</v>
      </c>
      <c r="BJ37" s="167">
        <f t="shared" ref="BJ37" si="460">IFERROR((BI37-BH37)," ")</f>
        <v>729</v>
      </c>
      <c r="BK37" s="166">
        <v>70</v>
      </c>
      <c r="BL37" s="166">
        <f t="shared" ref="BL37" si="461">IFERROR(+BO37/(BK37*3.6)," ")</f>
        <v>9.7182539682539684</v>
      </c>
      <c r="BM37" s="168">
        <f t="shared" ref="BM37" si="462">IF(BN37&gt;0,BN36," ")</f>
        <v>6229931</v>
      </c>
      <c r="BN37" s="168">
        <v>6232380</v>
      </c>
      <c r="BO37" s="166">
        <f t="shared" ref="BO37" si="463">IFERROR((BN37-BM37)," ")</f>
        <v>2449</v>
      </c>
    </row>
    <row r="38" spans="1:94" ht="15" customHeight="1" x14ac:dyDescent="0.25">
      <c r="A38" s="4">
        <f t="shared" si="1"/>
        <v>2</v>
      </c>
      <c r="B38" s="170">
        <v>46056</v>
      </c>
      <c r="C38" s="164">
        <v>38</v>
      </c>
      <c r="D38" s="166">
        <f t="shared" ref="D38" si="464">IFERROR(+G38/(C38*3.6)," ")</f>
        <v>1.3377192982456139</v>
      </c>
      <c r="E38" s="168">
        <f t="shared" si="18"/>
        <v>3795290</v>
      </c>
      <c r="F38" s="168">
        <v>3795473</v>
      </c>
      <c r="G38" s="166">
        <f t="shared" si="19"/>
        <v>183</v>
      </c>
      <c r="H38" s="167">
        <v>25</v>
      </c>
      <c r="I38" s="167">
        <f t="shared" ref="I38" si="465">IFERROR(+L38/(H38*3.6)," ")</f>
        <v>0</v>
      </c>
      <c r="J38" s="168">
        <f t="shared" ref="J38" si="466">IF(K38&gt;0,K37," ")</f>
        <v>1970853</v>
      </c>
      <c r="K38" s="266">
        <v>1970853</v>
      </c>
      <c r="L38" s="167">
        <f t="shared" ref="L38" si="467">IFERROR((K38-J38)," ")</f>
        <v>0</v>
      </c>
      <c r="M38" s="166">
        <v>38</v>
      </c>
      <c r="N38" s="166">
        <f t="shared" ref="N38" si="468">IFERROR(+Q38/(M38*3.6)," ")</f>
        <v>0</v>
      </c>
      <c r="O38" s="168">
        <f t="shared" ref="O38" si="469">IF(P38&gt;0,P37," ")</f>
        <v>414656</v>
      </c>
      <c r="P38" s="168">
        <v>414656</v>
      </c>
      <c r="Q38" s="166">
        <f t="shared" ref="Q38" si="470">IFERROR((P38-O38)," ")</f>
        <v>0</v>
      </c>
      <c r="R38" s="167">
        <f>+BDFUENTES[[#This Row],[PZ MED m3/día]]/3.6/BDFUENTES[[#This Row],[PZ MED Horas Activo]]</f>
        <v>27.976190476190474</v>
      </c>
      <c r="S38" s="167">
        <v>7</v>
      </c>
      <c r="T38" s="168">
        <f t="shared" ref="T38" si="471">IF(U38&gt;0,U37," ")</f>
        <v>273043</v>
      </c>
      <c r="U38" s="168">
        <v>273748</v>
      </c>
      <c r="V38" s="165">
        <f t="shared" ref="V38" si="472">IFERROR((U38-T38)," ")</f>
        <v>705</v>
      </c>
      <c r="W38" s="164">
        <f t="shared" ref="W38" si="473">IFERROR((AA38/X38)/3.6," ")</f>
        <v>433.9798607837966</v>
      </c>
      <c r="X38" s="166">
        <v>24</v>
      </c>
      <c r="Y38" s="168">
        <f t="shared" ref="Y38" si="474">IF(Z38&gt;0,Z37," ")</f>
        <v>1677175.6301158001</v>
      </c>
      <c r="Z38" s="168">
        <v>1714682.4900875201</v>
      </c>
      <c r="AA38" s="164">
        <f>IFERROR((Z38-Y38)," ")-11</f>
        <v>37495.859971720027</v>
      </c>
      <c r="AB38" s="168">
        <f t="shared" ref="AB38" si="475">IFERROR(ROUNDDOWN(+AF38/(AC38*3.6),0)," ")</f>
        <v>63</v>
      </c>
      <c r="AC38" s="168">
        <v>6</v>
      </c>
      <c r="AD38" s="171">
        <f t="shared" ref="AD38" si="476">IF(AE38&gt;0,AE37," ")</f>
        <v>5238751</v>
      </c>
      <c r="AE38" s="167">
        <v>5240123</v>
      </c>
      <c r="AF38" s="165">
        <f t="shared" ref="AF38" si="477">IFERROR((AE38-AD38)," ")</f>
        <v>1372</v>
      </c>
      <c r="AG38" s="168">
        <v>40</v>
      </c>
      <c r="AH38" s="168">
        <v>24</v>
      </c>
      <c r="AI38" s="166"/>
      <c r="AJ38" s="166"/>
      <c r="AK38" s="166">
        <f t="shared" ref="AK38" si="478">IF(OR(AH38="",AG38=""),"",AH38*AG38*3.6)</f>
        <v>3456</v>
      </c>
      <c r="AL38" s="167">
        <f>+BDFUENTES[[#This Row],[PZ CHB m3/día]]/3.6/BDFUENTES[[#This Row],[PZ CHB Horas Activo]]</f>
        <v>37.777777777777779</v>
      </c>
      <c r="AM38" s="171">
        <v>18</v>
      </c>
      <c r="AN38" s="168">
        <f t="shared" ref="AN38" si="479">IF(AO38&gt;0,AO37," ")</f>
        <v>3591407</v>
      </c>
      <c r="AO38" s="168">
        <v>3593855</v>
      </c>
      <c r="AP38" s="167">
        <f t="shared" ref="AP38" si="480">IFERROR((AO38-AN38)," ")</f>
        <v>2448</v>
      </c>
      <c r="AQ38" s="166"/>
      <c r="AR38" s="166" t="str">
        <f t="shared" ref="AR38" si="481">IFERROR(+AU38/(AQ38*3.6)," ")</f>
        <v xml:space="preserve"> </v>
      </c>
      <c r="AS38" s="168" t="str">
        <f t="shared" ref="AS38" si="482">IF(AT38&gt;0,AT37," ")</f>
        <v xml:space="preserve"> </v>
      </c>
      <c r="AT38" s="168"/>
      <c r="AU38" s="166" t="str">
        <f t="shared" ref="AU38" si="483">IFERROR((AT38-AS38)," ")</f>
        <v xml:space="preserve"> </v>
      </c>
      <c r="AV38" s="167">
        <f>+BDFUENTES[[#This Row],[PZ TM m3/día]]/3.6/BDFUENTES[[#This Row],[PZ TM Horas Activo]]</f>
        <v>11.222222222222223</v>
      </c>
      <c r="AW38" s="167">
        <v>15</v>
      </c>
      <c r="AX38" s="169">
        <f t="shared" ref="AX38" si="484">IF(AY38&gt;0,AY37," ")</f>
        <v>584512</v>
      </c>
      <c r="AY38" s="169">
        <v>585118</v>
      </c>
      <c r="AZ38" s="167">
        <f t="shared" ref="AZ38" si="485">IFERROR((AY38-AX38)," ")</f>
        <v>606</v>
      </c>
      <c r="BA38" s="166">
        <v>125</v>
      </c>
      <c r="BB38" s="166">
        <f t="shared" ref="BB38" si="486">IFERROR(+BE38/(BA38*3.6)," ")</f>
        <v>0.40888888888888891</v>
      </c>
      <c r="BC38" s="168">
        <f t="shared" si="42"/>
        <v>5928639</v>
      </c>
      <c r="BD38" s="168">
        <v>5928823</v>
      </c>
      <c r="BE38" s="166">
        <f t="shared" si="43"/>
        <v>184</v>
      </c>
      <c r="BF38" s="167">
        <v>20</v>
      </c>
      <c r="BG38" s="166">
        <f t="shared" ref="BG38" si="487">IFERROR(+BJ38/(BF38*3.6)," ")</f>
        <v>7.9444444444444446</v>
      </c>
      <c r="BH38" s="168">
        <f t="shared" ref="BH38" si="488">IF(BI38&gt;0,BI37," ")</f>
        <v>1564006</v>
      </c>
      <c r="BI38" s="168">
        <v>1564578</v>
      </c>
      <c r="BJ38" s="167">
        <f t="shared" ref="BJ38" si="489">IFERROR((BI38-BH38)," ")</f>
        <v>572</v>
      </c>
      <c r="BK38" s="166">
        <v>70</v>
      </c>
      <c r="BL38" s="166">
        <f t="shared" ref="BL38" si="490">IFERROR(+BO38/(BK38*3.6)," ")</f>
        <v>14.992063492063492</v>
      </c>
      <c r="BM38" s="168">
        <f t="shared" ref="BM38" si="491">IF(BN38&gt;0,BN37," ")</f>
        <v>6232380</v>
      </c>
      <c r="BN38" s="168">
        <v>6236158</v>
      </c>
      <c r="BO38" s="166">
        <f t="shared" ref="BO38" si="492">IFERROR((BN38-BM38)," ")</f>
        <v>3778</v>
      </c>
    </row>
    <row r="39" spans="1:94" ht="15" customHeight="1" x14ac:dyDescent="0.25">
      <c r="A39" s="4">
        <f t="shared" si="1"/>
        <v>2</v>
      </c>
      <c r="B39" s="170">
        <v>46057</v>
      </c>
      <c r="C39" s="164">
        <v>38</v>
      </c>
      <c r="D39" s="166">
        <f t="shared" ref="D39" si="493">IFERROR(+G39/(C39*3.6)," ")</f>
        <v>10.957602339181285</v>
      </c>
      <c r="E39" s="168">
        <f t="shared" ref="E39" si="494">IF(F39&gt;0,F38," ")</f>
        <v>3795473</v>
      </c>
      <c r="F39" s="168">
        <v>3796972</v>
      </c>
      <c r="G39" s="166">
        <f t="shared" ref="G39" si="495">IFERROR((F39-E39)," ")</f>
        <v>1499</v>
      </c>
      <c r="H39" s="167">
        <v>25</v>
      </c>
      <c r="I39" s="167">
        <f t="shared" ref="I39" si="496">IFERROR(+L39/(H39*3.6)," ")</f>
        <v>0</v>
      </c>
      <c r="J39" s="168">
        <f t="shared" ref="J39" si="497">IF(K39&gt;0,K38," ")</f>
        <v>1970853</v>
      </c>
      <c r="K39" s="266">
        <v>1970853</v>
      </c>
      <c r="L39" s="167">
        <f t="shared" ref="L39" si="498">IFERROR((K39-J39)," ")</f>
        <v>0</v>
      </c>
      <c r="M39" s="166">
        <v>38</v>
      </c>
      <c r="N39" s="166">
        <f t="shared" ref="N39" si="499">IFERROR(+Q39/(M39*3.6)," ")</f>
        <v>0</v>
      </c>
      <c r="O39" s="168">
        <f t="shared" ref="O39" si="500">IF(P39&gt;0,P38," ")</f>
        <v>414656</v>
      </c>
      <c r="P39" s="168">
        <v>414656</v>
      </c>
      <c r="Q39" s="166">
        <f t="shared" ref="Q39" si="501">IFERROR((P39-O39)," ")</f>
        <v>0</v>
      </c>
      <c r="R39" s="167">
        <f>+BDFUENTES[[#This Row],[PZ MED m3/día]]/3.6/BDFUENTES[[#This Row],[PZ MED Horas Activo]]</f>
        <v>29.035087719298243</v>
      </c>
      <c r="S39" s="167">
        <v>19</v>
      </c>
      <c r="T39" s="168">
        <f t="shared" ref="T39" si="502">IF(U39&gt;0,U38," ")</f>
        <v>273748</v>
      </c>
      <c r="U39" s="168">
        <v>275734</v>
      </c>
      <c r="V39" s="165">
        <f t="shared" ref="V39" si="503">IFERROR((U39-T39)," ")</f>
        <v>1986</v>
      </c>
      <c r="W39" s="164">
        <f t="shared" ref="W39" si="504">IFERROR((AA39/X39)/3.6," ")</f>
        <v>416.00557380509224</v>
      </c>
      <c r="X39" s="166">
        <v>24</v>
      </c>
      <c r="Y39" s="168">
        <f t="shared" ref="Y39" si="505">IF(Z39&gt;0,Z38," ")</f>
        <v>1714682.4900875201</v>
      </c>
      <c r="Z39" s="168">
        <v>1752611.3716642801</v>
      </c>
      <c r="AA39" s="164">
        <f>IFERROR((Z39-Y39)," ")-BDFUENTES[[#This Row],[PZ MED m3/día]]</f>
        <v>35942.881576759974</v>
      </c>
      <c r="AB39" s="168">
        <f t="shared" ref="AB39" si="506">IFERROR(ROUNDDOWN(+AF39/(AC39*3.6),0)," ")</f>
        <v>56</v>
      </c>
      <c r="AC39" s="168">
        <v>10</v>
      </c>
      <c r="AD39" s="171">
        <f t="shared" ref="AD39" si="507">IF(AE39&gt;0,AE38," ")</f>
        <v>5240123</v>
      </c>
      <c r="AE39" s="167">
        <v>5242148</v>
      </c>
      <c r="AF39" s="165">
        <f t="shared" ref="AF39" si="508">IFERROR((AE39-AD39)," ")</f>
        <v>2025</v>
      </c>
      <c r="AG39" s="168">
        <v>40</v>
      </c>
      <c r="AH39" s="168">
        <v>24</v>
      </c>
      <c r="AI39" s="166"/>
      <c r="AJ39" s="166"/>
      <c r="AK39" s="166">
        <f t="shared" ref="AK39" si="509">IF(OR(AH39="",AG39=""),"",AH39*AG39*3.6)</f>
        <v>3456</v>
      </c>
      <c r="AL39" s="167">
        <f>+BDFUENTES[[#This Row],[PZ CHB m3/día]]/3.6/BDFUENTES[[#This Row],[PZ CHB Horas Activo]]</f>
        <v>38.075396825396822</v>
      </c>
      <c r="AM39" s="171">
        <v>14</v>
      </c>
      <c r="AN39" s="168">
        <f t="shared" ref="AN39" si="510">IF(AO39&gt;0,AO38," ")</f>
        <v>3593855</v>
      </c>
      <c r="AO39" s="168">
        <v>3595774</v>
      </c>
      <c r="AP39" s="167">
        <f t="shared" ref="AP39" si="511">IFERROR((AO39-AN39)," ")</f>
        <v>1919</v>
      </c>
      <c r="AQ39" s="166"/>
      <c r="AR39" s="166" t="str">
        <f t="shared" ref="AR39" si="512">IFERROR(+AU39/(AQ39*3.6)," ")</f>
        <v xml:space="preserve"> </v>
      </c>
      <c r="AS39" s="168" t="str">
        <f t="shared" ref="AS39" si="513">IF(AT39&gt;0,AT38," ")</f>
        <v xml:space="preserve"> </v>
      </c>
      <c r="AT39" s="168"/>
      <c r="AU39" s="166" t="str">
        <f t="shared" ref="AU39" si="514">IFERROR((AT39-AS39)," ")</f>
        <v xml:space="preserve"> </v>
      </c>
      <c r="AV39" s="167">
        <f>+BDFUENTES[[#This Row],[PZ TM m3/día]]/3.6/BDFUENTES[[#This Row],[PZ TM Horas Activo]]</f>
        <v>11.515151515151514</v>
      </c>
      <c r="AW39" s="167">
        <v>11</v>
      </c>
      <c r="AX39" s="169">
        <f t="shared" ref="AX39" si="515">IF(AY39&gt;0,AY38," ")</f>
        <v>585118</v>
      </c>
      <c r="AY39" s="169">
        <v>585574</v>
      </c>
      <c r="AZ39" s="167">
        <f t="shared" ref="AZ39" si="516">IFERROR((AY39-AX39)," ")</f>
        <v>456</v>
      </c>
      <c r="BA39" s="166">
        <v>125</v>
      </c>
      <c r="BB39" s="166">
        <f t="shared" ref="BB39" si="517">IFERROR(+BE39/(BA39*3.6)," ")</f>
        <v>3.4222222222222221</v>
      </c>
      <c r="BC39" s="168">
        <f t="shared" ref="BC39" si="518">IF(BD39&gt;0,BD38," ")</f>
        <v>5928823</v>
      </c>
      <c r="BD39" s="168">
        <v>5930363</v>
      </c>
      <c r="BE39" s="166">
        <f t="shared" ref="BE39" si="519">IFERROR((BD39-BC39)," ")</f>
        <v>1540</v>
      </c>
      <c r="BF39" s="167">
        <v>20</v>
      </c>
      <c r="BG39" s="166">
        <f t="shared" ref="BG39:BG40" si="520">IFERROR(+BJ39/(BF39*3.6)," ")</f>
        <v>18.416666666666668</v>
      </c>
      <c r="BH39" s="168">
        <f t="shared" ref="BH39" si="521">IF(BI39&gt;0,BI38," ")</f>
        <v>1564578</v>
      </c>
      <c r="BI39" s="168">
        <v>1565904</v>
      </c>
      <c r="BJ39" s="167">
        <f t="shared" ref="BJ39" si="522">IFERROR((BI39-BH39)," ")</f>
        <v>1326</v>
      </c>
      <c r="BK39" s="166">
        <v>70</v>
      </c>
      <c r="BL39" s="166">
        <f t="shared" ref="BL39:BL40" si="523">IFERROR(+BO39/(BK39*3.6)," ")</f>
        <v>18.789682539682541</v>
      </c>
      <c r="BM39" s="168">
        <f t="shared" ref="BM39" si="524">IF(BN39&gt;0,BN38," ")</f>
        <v>6236158</v>
      </c>
      <c r="BN39" s="168">
        <v>6240893</v>
      </c>
      <c r="BO39" s="166">
        <f t="shared" ref="BO39" si="525">IFERROR((BN39-BM39)," ")</f>
        <v>4735</v>
      </c>
    </row>
    <row r="40" spans="1:94" ht="15" customHeight="1" x14ac:dyDescent="0.25">
      <c r="A40" s="4">
        <f t="shared" si="1"/>
        <v>2</v>
      </c>
      <c r="B40" s="170">
        <v>46058</v>
      </c>
      <c r="C40" s="164">
        <v>38</v>
      </c>
      <c r="D40" s="166">
        <f t="shared" ref="D40" si="526">IFERROR(+G40/(C40*3.6)," ")</f>
        <v>13.267543859649122</v>
      </c>
      <c r="E40" s="168">
        <f t="shared" ref="E40:E100" si="527">IF(F40&gt;0,F39," ")</f>
        <v>3796972</v>
      </c>
      <c r="F40" s="168">
        <v>3798787</v>
      </c>
      <c r="G40" s="166">
        <f t="shared" ref="G40:G97" si="528">IFERROR((F40-E40)," ")</f>
        <v>1815</v>
      </c>
      <c r="H40" s="167">
        <v>25</v>
      </c>
      <c r="I40" s="167">
        <f t="shared" ref="I40" si="529">IFERROR(+L40/(H40*3.6)," ")</f>
        <v>0</v>
      </c>
      <c r="J40" s="168">
        <f t="shared" ref="J40" si="530">IF(K40&gt;0,K39," ")</f>
        <v>1970853</v>
      </c>
      <c r="K40" s="266">
        <v>1970853</v>
      </c>
      <c r="L40" s="167">
        <f t="shared" ref="L40" si="531">IFERROR((K40-J40)," ")</f>
        <v>0</v>
      </c>
      <c r="M40" s="166">
        <v>38</v>
      </c>
      <c r="N40" s="166">
        <f t="shared" ref="N40" si="532">IFERROR(+Q40/(M40*3.6)," ")</f>
        <v>0</v>
      </c>
      <c r="O40" s="168">
        <f t="shared" ref="O40" si="533">IF(P40&gt;0,P39," ")</f>
        <v>414656</v>
      </c>
      <c r="P40" s="168">
        <v>414656</v>
      </c>
      <c r="Q40" s="166">
        <f t="shared" ref="Q40" si="534">IFERROR((P40-O40)," ")</f>
        <v>0</v>
      </c>
      <c r="R40" s="167">
        <f>+BDFUENTES[[#This Row],[PZ MED m3/día]]/3.6/BDFUENTES[[#This Row],[PZ MED Horas Activo]]</f>
        <v>27.803030303030301</v>
      </c>
      <c r="S40" s="167">
        <v>22</v>
      </c>
      <c r="T40" s="168">
        <f t="shared" ref="T40" si="535">IF(U40&gt;0,U39," ")</f>
        <v>275734</v>
      </c>
      <c r="U40" s="168">
        <v>277936</v>
      </c>
      <c r="V40" s="165">
        <f t="shared" ref="V40" si="536">IFERROR((U40-T40)," ")</f>
        <v>2202</v>
      </c>
      <c r="W40" s="164">
        <f t="shared" ref="W40" si="537">IFERROR((AA40/X40)/3.6," ")</f>
        <v>397.52313426203693</v>
      </c>
      <c r="X40" s="166">
        <v>24</v>
      </c>
      <c r="Y40" s="168">
        <f t="shared" ref="Y40" si="538">IF(Z40&gt;0,Z39," ")</f>
        <v>1752611.3716642801</v>
      </c>
      <c r="Z40" s="168">
        <v>1789159.3704645201</v>
      </c>
      <c r="AA40" s="164">
        <f>IFERROR((Z40-Y40)," ")-BDFUENTES[[#This Row],[PZ MED m3/día]]</f>
        <v>34345.998800239991</v>
      </c>
      <c r="AB40" s="168">
        <f t="shared" ref="AB40" si="539">IFERROR(ROUNDDOWN(+AF40/(AC40*3.6),0)," ")</f>
        <v>58</v>
      </c>
      <c r="AC40" s="168">
        <v>20</v>
      </c>
      <c r="AD40" s="171">
        <f t="shared" ref="AD40" si="540">IF(AE40&gt;0,AE39," ")</f>
        <v>5242148</v>
      </c>
      <c r="AE40" s="167">
        <v>5246324</v>
      </c>
      <c r="AF40" s="165">
        <f t="shared" ref="AF40" si="541">IFERROR((AE40-AD40)," ")</f>
        <v>4176</v>
      </c>
      <c r="AG40" s="168">
        <v>40</v>
      </c>
      <c r="AH40" s="168">
        <v>24</v>
      </c>
      <c r="AI40" s="166"/>
      <c r="AJ40" s="166"/>
      <c r="AK40" s="166">
        <f t="shared" ref="AK40" si="542">IF(OR(AH40="",AG40=""),"",AH40*AG40*3.6)</f>
        <v>3456</v>
      </c>
      <c r="AL40" s="167">
        <f>+BDFUENTES[[#This Row],[PZ CHB m3/día]]/3.6/BDFUENTES[[#This Row],[PZ CHB Horas Activo]]</f>
        <v>38.518518518518519</v>
      </c>
      <c r="AM40" s="171">
        <v>18</v>
      </c>
      <c r="AN40" s="168">
        <f t="shared" ref="AN40" si="543">IF(AO40&gt;0,AO39," ")</f>
        <v>3595774</v>
      </c>
      <c r="AO40" s="168">
        <v>3598270</v>
      </c>
      <c r="AP40" s="167">
        <f t="shared" ref="AP40" si="544">IFERROR((AO40-AN40)," ")</f>
        <v>2496</v>
      </c>
      <c r="AQ40" s="166"/>
      <c r="AR40" s="166" t="str">
        <f t="shared" ref="AR40" si="545">IFERROR(+AU40/(AQ40*3.6)," ")</f>
        <v xml:space="preserve"> </v>
      </c>
      <c r="AS40" s="168" t="str">
        <f t="shared" ref="AS40" si="546">IF(AT40&gt;0,AT39," ")</f>
        <v xml:space="preserve"> </v>
      </c>
      <c r="AT40" s="168"/>
      <c r="AU40" s="166" t="str">
        <f t="shared" ref="AU40" si="547">IFERROR((AT40-AS40)," ")</f>
        <v xml:space="preserve"> </v>
      </c>
      <c r="AV40" s="167">
        <f>+BDFUENTES[[#This Row],[PZ TM m3/día]]/3.6/BDFUENTES[[#This Row],[PZ TM Horas Activo]]</f>
        <v>11.296296296296296</v>
      </c>
      <c r="AW40" s="167">
        <v>15</v>
      </c>
      <c r="AX40" s="169">
        <f t="shared" ref="AX40" si="548">IF(AY40&gt;0,AY39," ")</f>
        <v>585574</v>
      </c>
      <c r="AY40" s="169">
        <v>586184</v>
      </c>
      <c r="AZ40" s="167">
        <f t="shared" ref="AZ40" si="549">IFERROR((AY40-AX40)," ")</f>
        <v>610</v>
      </c>
      <c r="BA40" s="166">
        <v>125</v>
      </c>
      <c r="BB40" s="166">
        <f t="shared" ref="BB40" si="550">IFERROR(+BE40/(BA40*3.6)," ")</f>
        <v>4.2555555555555555</v>
      </c>
      <c r="BC40" s="168">
        <f t="shared" ref="BC40:BC46" si="551">IF(BD40&gt;0,BD39," ")</f>
        <v>5930363</v>
      </c>
      <c r="BD40" s="168">
        <v>5932278</v>
      </c>
      <c r="BE40" s="166">
        <f t="shared" ref="BE40:BE94" si="552">IFERROR((BD40-BC40)," ")</f>
        <v>1915</v>
      </c>
      <c r="BF40" s="167">
        <v>20</v>
      </c>
      <c r="BG40" s="166">
        <f t="shared" si="520"/>
        <v>16.569444444444443</v>
      </c>
      <c r="BH40" s="168">
        <f t="shared" ref="BH40:BH94" si="553">IF(BI40&gt;0,BI39," ")</f>
        <v>1565904</v>
      </c>
      <c r="BI40" s="168">
        <v>1567097</v>
      </c>
      <c r="BJ40" s="167">
        <f t="shared" ref="BJ40:BJ94" si="554">IFERROR((BI40-BH40)," ")</f>
        <v>1193</v>
      </c>
      <c r="BK40" s="166">
        <v>70</v>
      </c>
      <c r="BL40" s="166">
        <f t="shared" si="523"/>
        <v>19.853174603174605</v>
      </c>
      <c r="BM40" s="168">
        <f t="shared" ref="BM40:BM94" si="555">IF(BN40&gt;0,BN39," ")</f>
        <v>6240893</v>
      </c>
      <c r="BN40" s="168">
        <v>6245896</v>
      </c>
      <c r="BO40" s="166">
        <f t="shared" ref="BO40:BO94" si="556">IFERROR((BN40-BM40)," ")</f>
        <v>5003</v>
      </c>
    </row>
    <row r="41" spans="1:94" ht="15" customHeight="1" x14ac:dyDescent="0.25">
      <c r="A41" s="4">
        <f t="shared" si="1"/>
        <v>2</v>
      </c>
      <c r="B41" s="170">
        <v>46059</v>
      </c>
      <c r="C41" s="164">
        <v>38</v>
      </c>
      <c r="D41" s="166">
        <f t="shared" ref="D41" si="557">IFERROR(+G41/(C41*3.6)," ")</f>
        <v>17.397660818713447</v>
      </c>
      <c r="E41" s="168">
        <f t="shared" ref="E41" si="558">IF(F41&gt;0,F40," ")</f>
        <v>3798787</v>
      </c>
      <c r="F41" s="168">
        <v>3801167</v>
      </c>
      <c r="G41" s="166">
        <f t="shared" ref="G41" si="559">IFERROR((F41-E41)," ")</f>
        <v>2380</v>
      </c>
      <c r="H41" s="167">
        <v>25</v>
      </c>
      <c r="I41" s="167">
        <f t="shared" ref="I41" si="560">IFERROR(+L41/(H41*3.6)," ")</f>
        <v>0</v>
      </c>
      <c r="J41" s="168">
        <f t="shared" ref="J41" si="561">IF(K41&gt;0,K40," ")</f>
        <v>1970853</v>
      </c>
      <c r="K41" s="266">
        <v>1970853</v>
      </c>
      <c r="L41" s="167">
        <f t="shared" ref="L41" si="562">IFERROR((K41-J41)," ")</f>
        <v>0</v>
      </c>
      <c r="M41" s="166">
        <v>38</v>
      </c>
      <c r="N41" s="166">
        <f t="shared" ref="N41" si="563">IFERROR(+Q41/(M41*3.6)," ")</f>
        <v>0</v>
      </c>
      <c r="O41" s="168">
        <f t="shared" ref="O41" si="564">IF(P41&gt;0,P40," ")</f>
        <v>414656</v>
      </c>
      <c r="P41" s="168">
        <v>414656</v>
      </c>
      <c r="Q41" s="166">
        <f t="shared" ref="Q41" si="565">IFERROR((P41-O41)," ")</f>
        <v>0</v>
      </c>
      <c r="R41" s="167">
        <f>+BDFUENTES[[#This Row],[PZ MED m3/día]]/3.6/BDFUENTES[[#This Row],[PZ MED Horas Activo]]</f>
        <v>28.641975308641975</v>
      </c>
      <c r="S41" s="167">
        <v>18</v>
      </c>
      <c r="T41" s="168">
        <f t="shared" ref="T41" si="566">IF(U41&gt;0,U40," ")</f>
        <v>277936</v>
      </c>
      <c r="U41" s="168">
        <v>279792</v>
      </c>
      <c r="V41" s="165">
        <f t="shared" ref="V41" si="567">IFERROR((U41-T41)," ")</f>
        <v>1856</v>
      </c>
      <c r="W41" s="164">
        <f t="shared" ref="W41" si="568">IFERROR((AA41/X41)/3.6," ")</f>
        <v>378.76088181481464</v>
      </c>
      <c r="X41" s="166">
        <v>24</v>
      </c>
      <c r="Y41" s="168">
        <f t="shared" ref="Y41" si="569">IF(Z41&gt;0,Z40," ")</f>
        <v>1789159.3704645201</v>
      </c>
      <c r="Z41" s="168">
        <v>1823740.31065332</v>
      </c>
      <c r="AA41" s="164">
        <f>IFERROR((Z41-Y41)," ")-BDFUENTES[[#This Row],[PZ MED m3/día]]</f>
        <v>32724.940188799985</v>
      </c>
      <c r="AB41" s="168">
        <f t="shared" ref="AB41" si="570">IFERROR(ROUNDDOWN(+AF41/(AC41*3.6),0)," ")</f>
        <v>60</v>
      </c>
      <c r="AC41" s="168">
        <v>24</v>
      </c>
      <c r="AD41" s="171">
        <f t="shared" ref="AD41" si="571">IF(AE41&gt;0,AE40," ")</f>
        <v>5246324</v>
      </c>
      <c r="AE41" s="167">
        <v>5251581</v>
      </c>
      <c r="AF41" s="165">
        <f t="shared" ref="AF41" si="572">IFERROR((AE41-AD41)," ")</f>
        <v>5257</v>
      </c>
      <c r="AG41" s="168">
        <v>40</v>
      </c>
      <c r="AH41" s="168">
        <v>24</v>
      </c>
      <c r="AI41" s="166"/>
      <c r="AJ41" s="166"/>
      <c r="AK41" s="166">
        <f t="shared" ref="AK41" si="573">IF(OR(AH41="",AG41=""),"",AH41*AG41*3.6)</f>
        <v>3456</v>
      </c>
      <c r="AL41" s="167">
        <f>+BDFUENTES[[#This Row],[PZ CHB m3/día]]/3.6/BDFUENTES[[#This Row],[PZ CHB Horas Activo]]</f>
        <v>38.648148148148145</v>
      </c>
      <c r="AM41" s="171">
        <v>15</v>
      </c>
      <c r="AN41" s="168">
        <f t="shared" ref="AN41:AN94" si="574">IF(AO41&gt;0,AO40," ")</f>
        <v>3598270</v>
      </c>
      <c r="AO41" s="168">
        <v>3600357</v>
      </c>
      <c r="AP41" s="167">
        <f t="shared" ref="AP41:AP94" si="575">IFERROR((AO41-AN41)," ")</f>
        <v>2087</v>
      </c>
      <c r="AQ41" s="166"/>
      <c r="AR41" s="166" t="str">
        <f t="shared" ref="AR41:AR100" si="576">IFERROR(+AU41/(AQ41*3.6)," ")</f>
        <v xml:space="preserve"> </v>
      </c>
      <c r="AS41" s="168" t="str">
        <f t="shared" ref="AS41:AS100" si="577">IF(AT41&gt;0,AT40," ")</f>
        <v xml:space="preserve"> </v>
      </c>
      <c r="AT41" s="168"/>
      <c r="AU41" s="166" t="str">
        <f t="shared" ref="AU41:AU100" si="578">IFERROR((AT41-AS41)," ")</f>
        <v xml:space="preserve"> </v>
      </c>
      <c r="AV41" s="167">
        <f>+BDFUENTES[[#This Row],[PZ TM m3/día]]/3.6/BDFUENTES[[#This Row],[PZ TM Horas Activo]]</f>
        <v>11.820987654320987</v>
      </c>
      <c r="AW41" s="167">
        <v>9</v>
      </c>
      <c r="AX41" s="169">
        <f t="shared" ref="AX41:AX96" si="579">IF(AY41&gt;0,AY40," ")</f>
        <v>586184</v>
      </c>
      <c r="AY41" s="169">
        <v>586567</v>
      </c>
      <c r="AZ41" s="167">
        <f t="shared" ref="AZ41:AZ95" si="580">IFERROR((AY41-AX41)," ")</f>
        <v>383</v>
      </c>
      <c r="BA41" s="166">
        <v>125</v>
      </c>
      <c r="BB41" s="166">
        <f t="shared" ref="BB41" si="581">IFERROR(+BE41/(BA41*3.6)," ")</f>
        <v>5.4244444444444442</v>
      </c>
      <c r="BC41" s="168">
        <f t="shared" si="551"/>
        <v>5932278</v>
      </c>
      <c r="BD41" s="168">
        <v>5934719</v>
      </c>
      <c r="BE41" s="166">
        <f t="shared" si="552"/>
        <v>2441</v>
      </c>
      <c r="BF41" s="167">
        <v>20</v>
      </c>
      <c r="BG41" s="166">
        <f t="shared" ref="BG41" si="582">IFERROR(+BJ41/(BF41*3.6)," ")</f>
        <v>16.652777777777779</v>
      </c>
      <c r="BH41" s="168">
        <f t="shared" ref="BH41" si="583">IF(BI41&gt;0,BI40," ")</f>
        <v>1567097</v>
      </c>
      <c r="BI41" s="168">
        <v>1568296</v>
      </c>
      <c r="BJ41" s="167">
        <f t="shared" ref="BJ41" si="584">IFERROR((BI41-BH41)," ")</f>
        <v>1199</v>
      </c>
      <c r="BK41" s="166">
        <v>70</v>
      </c>
      <c r="BL41" s="166">
        <f t="shared" ref="BL41" si="585">IFERROR(+BO41/(BK41*3.6)," ")</f>
        <v>20.115079365079364</v>
      </c>
      <c r="BM41" s="168">
        <f t="shared" si="555"/>
        <v>6245896</v>
      </c>
      <c r="BN41" s="168">
        <v>6250965</v>
      </c>
      <c r="BO41" s="166">
        <f t="shared" si="556"/>
        <v>5069</v>
      </c>
    </row>
    <row r="42" spans="1:94" ht="15" customHeight="1" x14ac:dyDescent="0.25">
      <c r="A42" s="4">
        <f t="shared" si="1"/>
        <v>2</v>
      </c>
      <c r="B42" s="170">
        <v>46060</v>
      </c>
      <c r="C42" s="164">
        <v>38</v>
      </c>
      <c r="D42" s="166">
        <f t="shared" ref="D42" si="586">IFERROR(+G42/(C42*3.6)," ")</f>
        <v>17.251461988304094</v>
      </c>
      <c r="E42" s="168">
        <f t="shared" ref="E42" si="587">IF(F42&gt;0,F41," ")</f>
        <v>3801167</v>
      </c>
      <c r="F42" s="168">
        <v>3803527</v>
      </c>
      <c r="G42" s="166">
        <f t="shared" ref="G42" si="588">IFERROR((F42-E42)," ")</f>
        <v>2360</v>
      </c>
      <c r="H42" s="167">
        <v>25</v>
      </c>
      <c r="I42" s="167">
        <f t="shared" ref="I42" si="589">IFERROR(+L42/(H42*3.6)," ")</f>
        <v>0</v>
      </c>
      <c r="J42" s="168">
        <f t="shared" ref="J42" si="590">IF(K42&gt;0,K41," ")</f>
        <v>1970853</v>
      </c>
      <c r="K42" s="266">
        <v>1970853</v>
      </c>
      <c r="L42" s="167">
        <f t="shared" ref="L42" si="591">IFERROR((K42-J42)," ")</f>
        <v>0</v>
      </c>
      <c r="M42" s="166">
        <v>38</v>
      </c>
      <c r="N42" s="166">
        <f t="shared" ref="N42" si="592">IFERROR(+Q42/(M42*3.6)," ")</f>
        <v>0</v>
      </c>
      <c r="O42" s="168">
        <f t="shared" ref="O42" si="593">IF(P42&gt;0,P41," ")</f>
        <v>414656</v>
      </c>
      <c r="P42" s="168">
        <v>414656</v>
      </c>
      <c r="Q42" s="166">
        <f t="shared" ref="Q42" si="594">IFERROR((P42-O42)," ")</f>
        <v>0</v>
      </c>
      <c r="R42" s="167">
        <f>+BDFUENTES[[#This Row],[PZ MED m3/día]]/3.6/BDFUENTES[[#This Row],[PZ MED Horas Activo]]</f>
        <v>31.466049382716051</v>
      </c>
      <c r="S42" s="167">
        <v>18</v>
      </c>
      <c r="T42" s="168">
        <f t="shared" ref="T42" si="595">IF(U42&gt;0,U41," ")</f>
        <v>279792</v>
      </c>
      <c r="U42" s="168">
        <v>281831</v>
      </c>
      <c r="V42" s="165">
        <f t="shared" ref="V42" si="596">IFERROR((U42-T42)," ")</f>
        <v>2039</v>
      </c>
      <c r="W42" s="164">
        <f t="shared" ref="W42" si="597">IFERROR((AA42/X42)/3.6," ")</f>
        <v>362.84280698796294</v>
      </c>
      <c r="X42" s="166">
        <v>24</v>
      </c>
      <c r="Y42" s="168">
        <f t="shared" ref="Y42" si="598">IF(Z42&gt;0,Z41," ")</f>
        <v>1823740.31065332</v>
      </c>
      <c r="Z42" s="168">
        <v>1857128.92917708</v>
      </c>
      <c r="AA42" s="164">
        <f>IFERROR((Z42-Y42)," ")-BDFUENTES[[#This Row],[PZ MED m3/día]]</f>
        <v>31349.61852376</v>
      </c>
      <c r="AB42" s="168">
        <f t="shared" ref="AB42" si="599">IFERROR(ROUNDDOWN(+AF42/(AC42*3.6),0)," ")</f>
        <v>62</v>
      </c>
      <c r="AC42" s="168">
        <v>24</v>
      </c>
      <c r="AD42" s="171">
        <f t="shared" ref="AD42:AD100" si="600">IF(AE42&gt;0,AE41," ")</f>
        <v>5251581</v>
      </c>
      <c r="AE42" s="167">
        <v>5256952</v>
      </c>
      <c r="AF42" s="165">
        <f t="shared" ref="AF42:AF97" si="601">IFERROR((AE42-AD42)," ")</f>
        <v>5371</v>
      </c>
      <c r="AG42" s="168">
        <v>40</v>
      </c>
      <c r="AH42" s="168">
        <v>24</v>
      </c>
      <c r="AI42" s="166"/>
      <c r="AJ42" s="166"/>
      <c r="AK42" s="166">
        <f t="shared" ref="AK42" si="602">IF(OR(AH42="",AG42=""),"",AH42*AG42*3.6)</f>
        <v>3456</v>
      </c>
      <c r="AL42" s="167">
        <f>+BDFUENTES[[#This Row],[PZ CHB m3/día]]/3.6/BDFUENTES[[#This Row],[PZ CHB Horas Activo]]</f>
        <v>38.873456790123456</v>
      </c>
      <c r="AM42" s="171">
        <v>18</v>
      </c>
      <c r="AN42" s="168">
        <f t="shared" ref="AN42" si="603">IF(AO42&gt;0,AO41," ")</f>
        <v>3600357</v>
      </c>
      <c r="AO42" s="168">
        <v>3602876</v>
      </c>
      <c r="AP42" s="167">
        <f t="shared" ref="AP42" si="604">IFERROR((AO42-AN42)," ")</f>
        <v>2519</v>
      </c>
      <c r="AQ42" s="166"/>
      <c r="AR42" s="166" t="str">
        <f t="shared" ref="AR42" si="605">IFERROR(+AU42/(AQ42*3.6)," ")</f>
        <v xml:space="preserve"> </v>
      </c>
      <c r="AS42" s="168" t="str">
        <f t="shared" ref="AS42" si="606">IF(AT42&gt;0,AT41," ")</f>
        <v xml:space="preserve"> </v>
      </c>
      <c r="AT42" s="168"/>
      <c r="AU42" s="166" t="str">
        <f t="shared" ref="AU42" si="607">IFERROR((AT42-AS42)," ")</f>
        <v xml:space="preserve"> </v>
      </c>
      <c r="AV42" s="167">
        <f>+BDFUENTES[[#This Row],[PZ TM m3/día]]/3.6/BDFUENTES[[#This Row],[PZ TM Horas Activo]]</f>
        <v>11.462962962962962</v>
      </c>
      <c r="AW42" s="167">
        <v>15</v>
      </c>
      <c r="AX42" s="169">
        <f t="shared" si="579"/>
        <v>586567</v>
      </c>
      <c r="AY42" s="169">
        <v>587186</v>
      </c>
      <c r="AZ42" s="167">
        <f t="shared" si="580"/>
        <v>619</v>
      </c>
      <c r="BA42" s="166">
        <v>125</v>
      </c>
      <c r="BB42" s="166">
        <f t="shared" ref="BB42" si="608">IFERROR(+BE42/(BA42*3.6)," ")</f>
        <v>5.4577777777777774</v>
      </c>
      <c r="BC42" s="168">
        <f t="shared" ref="BC42" si="609">IF(BD42&gt;0,BD41," ")</f>
        <v>5934719</v>
      </c>
      <c r="BD42" s="168">
        <v>5937175</v>
      </c>
      <c r="BE42" s="166">
        <f t="shared" ref="BE42" si="610">IFERROR((BD42-BC42)," ")</f>
        <v>2456</v>
      </c>
      <c r="BF42" s="167">
        <v>20</v>
      </c>
      <c r="BG42" s="166">
        <f t="shared" ref="BG42" si="611">IFERROR(+BJ42/(BF42*3.6)," ")</f>
        <v>17.083333333333332</v>
      </c>
      <c r="BH42" s="168">
        <f t="shared" ref="BH42" si="612">IF(BI42&gt;0,BI41," ")</f>
        <v>1568296</v>
      </c>
      <c r="BI42" s="168">
        <v>1569526</v>
      </c>
      <c r="BJ42" s="167">
        <f t="shared" ref="BJ42" si="613">IFERROR((BI42-BH42)," ")</f>
        <v>1230</v>
      </c>
      <c r="BK42" s="166">
        <v>70</v>
      </c>
      <c r="BL42" s="166">
        <f t="shared" ref="BL42" si="614">IFERROR(+BO42/(BK42*3.6)," ")</f>
        <v>19.412698412698411</v>
      </c>
      <c r="BM42" s="168">
        <f t="shared" ref="BM42" si="615">IF(BN42&gt;0,BN41," ")</f>
        <v>6250965</v>
      </c>
      <c r="BN42" s="168">
        <v>6255857</v>
      </c>
      <c r="BO42" s="166">
        <f t="shared" ref="BO42" si="616">IFERROR((BN42-BM42)," ")</f>
        <v>4892</v>
      </c>
    </row>
    <row r="43" spans="1:94" ht="15" customHeight="1" x14ac:dyDescent="0.25">
      <c r="A43" s="4">
        <f t="shared" si="1"/>
        <v>2</v>
      </c>
      <c r="B43" s="170">
        <v>46061</v>
      </c>
      <c r="C43" s="164">
        <v>38</v>
      </c>
      <c r="D43" s="166">
        <f t="shared" ref="D43" si="617">IFERROR(+G43/(C43*3.6)," ")</f>
        <v>16.842105263157894</v>
      </c>
      <c r="E43" s="168">
        <f t="shared" ref="E43" si="618">IF(F43&gt;0,F42," ")</f>
        <v>3803527</v>
      </c>
      <c r="F43" s="168">
        <v>3805831</v>
      </c>
      <c r="G43" s="166">
        <f t="shared" ref="G43" si="619">IFERROR((F43-E43)," ")</f>
        <v>2304</v>
      </c>
      <c r="H43" s="167">
        <v>25</v>
      </c>
      <c r="I43" s="167">
        <f t="shared" ref="I43" si="620">IFERROR(+L43/(H43*3.6)," ")</f>
        <v>0</v>
      </c>
      <c r="J43" s="168">
        <f t="shared" ref="J43" si="621">IF(K43&gt;0,K42," ")</f>
        <v>1970853</v>
      </c>
      <c r="K43" s="266">
        <v>1970853</v>
      </c>
      <c r="L43" s="167">
        <f t="shared" ref="L43" si="622">IFERROR((K43-J43)," ")</f>
        <v>0</v>
      </c>
      <c r="M43" s="166">
        <v>38</v>
      </c>
      <c r="N43" s="166">
        <f t="shared" ref="N43" si="623">IFERROR(+Q43/(M43*3.6)," ")</f>
        <v>0</v>
      </c>
      <c r="O43" s="168">
        <f t="shared" ref="O43" si="624">IF(P43&gt;0,P42," ")</f>
        <v>414656</v>
      </c>
      <c r="P43" s="168">
        <v>414656</v>
      </c>
      <c r="Q43" s="166">
        <f t="shared" ref="Q43" si="625">IFERROR((P43-O43)," ")</f>
        <v>0</v>
      </c>
      <c r="R43" s="167">
        <f>+BDFUENTES[[#This Row],[PZ MED m3/día]]/3.6/BDFUENTES[[#This Row],[PZ MED Horas Activo]]</f>
        <v>28.811728395061728</v>
      </c>
      <c r="S43" s="167">
        <v>18</v>
      </c>
      <c r="T43" s="168">
        <f t="shared" ref="T43" si="626">IF(U43&gt;0,U42," ")</f>
        <v>281831</v>
      </c>
      <c r="U43" s="168">
        <v>283698</v>
      </c>
      <c r="V43" s="165">
        <f t="shared" ref="V43" si="627">IFERROR((U43-T43)," ")</f>
        <v>1867</v>
      </c>
      <c r="W43" s="164">
        <f t="shared" ref="W43" si="628">IFERROR((AA43/X43)/3.6," ")</f>
        <v>370.28036162360945</v>
      </c>
      <c r="X43" s="166">
        <v>24</v>
      </c>
      <c r="Y43" s="168">
        <f t="shared" ref="Y43" si="629">IF(Z43&gt;0,Z42," ")</f>
        <v>1857128.92917708</v>
      </c>
      <c r="Z43" s="168">
        <v>1890988.1524213599</v>
      </c>
      <c r="AA43" s="164">
        <f>IFERROR((Z43-Y43)," ")-BDFUENTES[[#This Row],[PZ MED m3/día]]</f>
        <v>31992.223244279856</v>
      </c>
      <c r="AB43" s="168">
        <f t="shared" ref="AB43" si="630">IFERROR(ROUNDDOWN(+AF43/(AC43*3.6),0)," ")</f>
        <v>61</v>
      </c>
      <c r="AC43" s="168">
        <v>24</v>
      </c>
      <c r="AD43" s="171">
        <f t="shared" ref="AD43" si="631">IF(AE43&gt;0,AE42," ")</f>
        <v>5256952</v>
      </c>
      <c r="AE43" s="167">
        <v>5262255</v>
      </c>
      <c r="AF43" s="165">
        <f t="shared" ref="AF43" si="632">IFERROR((AE43-AD43)," ")</f>
        <v>5303</v>
      </c>
      <c r="AG43" s="168">
        <v>40</v>
      </c>
      <c r="AH43" s="168">
        <v>24</v>
      </c>
      <c r="AI43" s="166"/>
      <c r="AJ43" s="166"/>
      <c r="AK43" s="166">
        <f t="shared" ref="AK43" si="633">IF(OR(AH43="",AG43=""),"",AH43*AG43*3.6)</f>
        <v>3456</v>
      </c>
      <c r="AL43" s="167">
        <f>+BDFUENTES[[#This Row],[PZ CHB m3/día]]/3.6/BDFUENTES[[#This Row],[PZ CHB Horas Activo]]</f>
        <v>38.114035087719294</v>
      </c>
      <c r="AM43" s="171">
        <v>19</v>
      </c>
      <c r="AN43" s="168">
        <f t="shared" ref="AN43" si="634">IF(AO43&gt;0,AO42," ")</f>
        <v>3602876</v>
      </c>
      <c r="AO43" s="168">
        <v>3605483</v>
      </c>
      <c r="AP43" s="167">
        <f t="shared" ref="AP43" si="635">IFERROR((AO43-AN43)," ")</f>
        <v>2607</v>
      </c>
      <c r="AQ43" s="166"/>
      <c r="AR43" s="166" t="str">
        <f t="shared" ref="AR43" si="636">IFERROR(+AU43/(AQ43*3.6)," ")</f>
        <v xml:space="preserve"> </v>
      </c>
      <c r="AS43" s="168" t="str">
        <f t="shared" ref="AS43" si="637">IF(AT43&gt;0,AT42," ")</f>
        <v xml:space="preserve"> </v>
      </c>
      <c r="AT43" s="168"/>
      <c r="AU43" s="166" t="str">
        <f t="shared" ref="AU43" si="638">IFERROR((AT43-AS43)," ")</f>
        <v xml:space="preserve"> </v>
      </c>
      <c r="AV43" s="167">
        <f>+BDFUENTES[[#This Row],[PZ TM m3/día]]/3.6/BDFUENTES[[#This Row],[PZ TM Horas Activo]]</f>
        <v>11.5625</v>
      </c>
      <c r="AW43" s="167">
        <v>16</v>
      </c>
      <c r="AX43" s="169">
        <f t="shared" ref="AX43" si="639">IF(AY43&gt;0,AY42," ")</f>
        <v>587186</v>
      </c>
      <c r="AY43" s="169">
        <v>587852</v>
      </c>
      <c r="AZ43" s="167">
        <f t="shared" ref="AZ43" si="640">IFERROR((AY43-AX43)," ")</f>
        <v>666</v>
      </c>
      <c r="BA43" s="166">
        <v>125</v>
      </c>
      <c r="BB43" s="166">
        <f t="shared" ref="BB43" si="641">IFERROR(+BE43/(BA43*3.6)," ")</f>
        <v>5.1466666666666665</v>
      </c>
      <c r="BC43" s="168">
        <f t="shared" ref="BC43" si="642">IF(BD43&gt;0,BD42," ")</f>
        <v>5937175</v>
      </c>
      <c r="BD43" s="168">
        <v>5939491</v>
      </c>
      <c r="BE43" s="166">
        <f t="shared" ref="BE43" si="643">IFERROR((BD43-BC43)," ")</f>
        <v>2316</v>
      </c>
      <c r="BF43" s="167">
        <v>20</v>
      </c>
      <c r="BG43" s="166">
        <f t="shared" ref="BG43" si="644">IFERROR(+BJ43/(BF43*3.6)," ")</f>
        <v>17.555555555555557</v>
      </c>
      <c r="BH43" s="168">
        <f t="shared" ref="BH43" si="645">IF(BI43&gt;0,BI42," ")</f>
        <v>1569526</v>
      </c>
      <c r="BI43" s="168">
        <v>1570790</v>
      </c>
      <c r="BJ43" s="167">
        <f t="shared" ref="BJ43" si="646">IFERROR((BI43-BH43)," ")</f>
        <v>1264</v>
      </c>
      <c r="BK43" s="166">
        <v>70</v>
      </c>
      <c r="BL43" s="166">
        <f t="shared" ref="BL43" si="647">IFERROR(+BO43/(BK43*3.6)," ")</f>
        <v>20.154761904761905</v>
      </c>
      <c r="BM43" s="168">
        <f t="shared" ref="BM43" si="648">IF(BN43&gt;0,BN42," ")</f>
        <v>6255857</v>
      </c>
      <c r="BN43" s="168">
        <v>6260936</v>
      </c>
      <c r="BO43" s="166">
        <f t="shared" ref="BO43" si="649">IFERROR((BN43-BM43)," ")</f>
        <v>5079</v>
      </c>
    </row>
    <row r="44" spans="1:94" ht="15" customHeight="1" x14ac:dyDescent="0.3">
      <c r="A44" s="4">
        <f t="shared" si="1"/>
        <v>2</v>
      </c>
      <c r="B44" s="170">
        <v>46062</v>
      </c>
      <c r="C44" s="164">
        <v>38</v>
      </c>
      <c r="D44" s="166">
        <f t="shared" ref="D44" si="650">IFERROR(+G44/(C44*3.6)," ")</f>
        <v>17.171052631578945</v>
      </c>
      <c r="E44" s="168">
        <f t="shared" ref="E44" si="651">IF(F44&gt;0,F43," ")</f>
        <v>3805831</v>
      </c>
      <c r="F44" s="168">
        <v>3808180</v>
      </c>
      <c r="G44" s="166">
        <f t="shared" ref="G44" si="652">IFERROR((F44-E44)," ")</f>
        <v>2349</v>
      </c>
      <c r="H44" s="167">
        <v>25</v>
      </c>
      <c r="I44" s="167">
        <f t="shared" ref="I44" si="653">IFERROR(+L44/(H44*3.6)," ")</f>
        <v>0</v>
      </c>
      <c r="J44" s="168">
        <f t="shared" ref="J44" si="654">IF(K44&gt;0,K43," ")</f>
        <v>1970853</v>
      </c>
      <c r="K44" s="266">
        <v>1970853</v>
      </c>
      <c r="L44" s="167">
        <f t="shared" ref="L44" si="655">IFERROR((K44-J44)," ")</f>
        <v>0</v>
      </c>
      <c r="M44" s="166">
        <v>38</v>
      </c>
      <c r="N44" s="166">
        <f t="shared" ref="N44" si="656">IFERROR(+Q44/(M44*3.6)," ")</f>
        <v>0</v>
      </c>
      <c r="O44" s="168">
        <f t="shared" ref="O44" si="657">IF(P44&gt;0,P43," ")</f>
        <v>414656</v>
      </c>
      <c r="P44" s="168">
        <v>414656</v>
      </c>
      <c r="Q44" s="166">
        <f t="shared" ref="Q44" si="658">IFERROR((P44-O44)," ")</f>
        <v>0</v>
      </c>
      <c r="R44" s="167">
        <f>+BDFUENTES[[#This Row],[PZ MED m3/día]]/3.6/BDFUENTES[[#This Row],[PZ MED Horas Activo]]</f>
        <v>25.89506172839506</v>
      </c>
      <c r="S44" s="167">
        <v>18</v>
      </c>
      <c r="T44" s="168">
        <f t="shared" ref="T44" si="659">IF(U44&gt;0,U43," ")</f>
        <v>283698</v>
      </c>
      <c r="U44" s="168">
        <v>285376</v>
      </c>
      <c r="V44" s="165">
        <f t="shared" ref="V44" si="660">IFERROR((U44-T44)," ")</f>
        <v>1678</v>
      </c>
      <c r="W44" s="164">
        <f t="shared" ref="W44" si="661">IFERROR((AA44/X44)/3.6," ")</f>
        <v>350.18739165694569</v>
      </c>
      <c r="X44" s="166">
        <v>24</v>
      </c>
      <c r="Y44" s="168">
        <f t="shared" ref="Y44" si="662">IF(Z44&gt;0,Z43," ")</f>
        <v>1890988.1524213599</v>
      </c>
      <c r="Z44" s="168">
        <v>1922922.34306052</v>
      </c>
      <c r="AA44" s="164">
        <f>IFERROR((Z44-Y44)," ")-BDFUENTES[[#This Row],[PZ MED m3/día]]</f>
        <v>30256.190639160108</v>
      </c>
      <c r="AB44" s="168">
        <f t="shared" ref="AB44" si="663">IFERROR(ROUNDDOWN(+AF44/(AC44*3.6),0)," ")</f>
        <v>58</v>
      </c>
      <c r="AC44" s="168">
        <v>24</v>
      </c>
      <c r="AD44" s="171">
        <f t="shared" ref="AD44" si="664">IF(AE44&gt;0,AE43," ")</f>
        <v>5262255</v>
      </c>
      <c r="AE44" s="167">
        <v>5267268</v>
      </c>
      <c r="AF44" s="165">
        <f t="shared" ref="AF44" si="665">IFERROR((AE44-AD44)," ")</f>
        <v>5013</v>
      </c>
      <c r="AG44" s="168">
        <v>40</v>
      </c>
      <c r="AH44" s="168">
        <v>24</v>
      </c>
      <c r="AI44" s="166"/>
      <c r="AJ44" s="166"/>
      <c r="AK44" s="166">
        <f t="shared" ref="AK44" si="666">IF(OR(AH44="",AG44=""),"",AH44*AG44*3.6)</f>
        <v>3456</v>
      </c>
      <c r="AL44" s="167">
        <f>+BDFUENTES[[#This Row],[PZ CHB m3/día]]/3.6/BDFUENTES[[#This Row],[PZ CHB Horas Activo]]</f>
        <v>39.27469135802469</v>
      </c>
      <c r="AM44" s="171">
        <v>18</v>
      </c>
      <c r="AN44" s="168">
        <f t="shared" ref="AN44" si="667">IF(AO44&gt;0,AO43," ")</f>
        <v>3605483</v>
      </c>
      <c r="AO44" s="168">
        <v>3608028</v>
      </c>
      <c r="AP44" s="167">
        <f t="shared" ref="AP44" si="668">IFERROR((AO44-AN44)," ")</f>
        <v>2545</v>
      </c>
      <c r="AQ44" s="166"/>
      <c r="AR44" s="166" t="str">
        <f t="shared" ref="AR44" si="669">IFERROR(+AU44/(AQ44*3.6)," ")</f>
        <v xml:space="preserve"> </v>
      </c>
      <c r="AS44" s="168" t="str">
        <f t="shared" ref="AS44" si="670">IF(AT44&gt;0,AT43," ")</f>
        <v xml:space="preserve"> </v>
      </c>
      <c r="AT44" s="168"/>
      <c r="AU44" s="166" t="str">
        <f t="shared" ref="AU44" si="671">IFERROR((AT44-AS44)," ")</f>
        <v xml:space="preserve"> </v>
      </c>
      <c r="AV44" s="167">
        <f>+BDFUENTES[[#This Row],[PZ TM m3/día]]/3.6/BDFUENTES[[#This Row],[PZ TM Horas Activo]]</f>
        <v>11.518518518518517</v>
      </c>
      <c r="AW44" s="167">
        <v>15</v>
      </c>
      <c r="AX44" s="169">
        <f t="shared" ref="AX44" si="672">IF(AY44&gt;0,AY43," ")</f>
        <v>587852</v>
      </c>
      <c r="AY44" s="169">
        <v>588474</v>
      </c>
      <c r="AZ44" s="167">
        <f t="shared" ref="AZ44" si="673">IFERROR((AY44-AX44)," ")</f>
        <v>622</v>
      </c>
      <c r="BA44" s="166">
        <v>125</v>
      </c>
      <c r="BB44" s="166">
        <f t="shared" ref="BB44:BB46" si="674">IFERROR(+BE44/(BA44*3.6)," ")</f>
        <v>5.5555555555555554</v>
      </c>
      <c r="BC44" s="168">
        <f t="shared" ref="BC44" si="675">IF(BD44&gt;0,BD43," ")</f>
        <v>5939491</v>
      </c>
      <c r="BD44" s="168">
        <v>5941991</v>
      </c>
      <c r="BE44" s="166">
        <f t="shared" ref="BE44" si="676">IFERROR((BD44-BC44)," ")</f>
        <v>2500</v>
      </c>
      <c r="BF44" s="167">
        <v>20</v>
      </c>
      <c r="BG44" s="166">
        <f t="shared" ref="BG44:BG46" si="677">IFERROR(+BJ44/(BF44*3.6)," ")</f>
        <v>16.75</v>
      </c>
      <c r="BH44" s="168">
        <f t="shared" ref="BH44" si="678">IF(BI44&gt;0,BI43," ")</f>
        <v>1570790</v>
      </c>
      <c r="BI44" s="168">
        <v>1571996</v>
      </c>
      <c r="BJ44" s="167">
        <f t="shared" ref="BJ44" si="679">IFERROR((BI44-BH44)," ")</f>
        <v>1206</v>
      </c>
      <c r="BK44" s="166">
        <v>70</v>
      </c>
      <c r="BL44" s="166">
        <f t="shared" ref="BL44:BL46" si="680">IFERROR(+BO44/(BK44*3.6)," ")</f>
        <v>17.49206349206349</v>
      </c>
      <c r="BM44" s="168">
        <f t="shared" ref="BM44" si="681">IF(BN44&gt;0,BN43," ")</f>
        <v>6260936</v>
      </c>
      <c r="BN44" s="168">
        <v>6265344</v>
      </c>
      <c r="BO44" s="166">
        <f t="shared" ref="BO44" si="682">IFERROR((BN44-BM44)," ")</f>
        <v>4408</v>
      </c>
      <c r="BS44" s="35" t="s">
        <v>74</v>
      </c>
      <c r="BT44" s="35"/>
      <c r="BU44" s="35"/>
      <c r="BV44" s="429">
        <v>46059</v>
      </c>
      <c r="BW44" s="429"/>
      <c r="BX44" s="429"/>
      <c r="BY44" s="237"/>
      <c r="BZ44" s="35" t="s">
        <v>580</v>
      </c>
      <c r="CA44" s="237"/>
      <c r="CC44" s="35"/>
      <c r="CM44" s="35" t="s">
        <v>579</v>
      </c>
      <c r="CN44" s="35"/>
      <c r="CO44" s="35">
        <f>WEEKNUM(BV44)</f>
        <v>6</v>
      </c>
      <c r="CP44" s="237"/>
    </row>
    <row r="45" spans="1:94" ht="15" customHeight="1" x14ac:dyDescent="0.25">
      <c r="A45" s="4">
        <f t="shared" si="1"/>
        <v>2</v>
      </c>
      <c r="B45" s="170">
        <v>46063</v>
      </c>
      <c r="C45" s="164">
        <v>38</v>
      </c>
      <c r="D45" s="166">
        <f t="shared" ref="D45:D94" si="683">IFERROR(+G45/(C45*3.6)," ")</f>
        <v>17.141812865497073</v>
      </c>
      <c r="E45" s="168">
        <f t="shared" si="527"/>
        <v>3808180</v>
      </c>
      <c r="F45" s="168">
        <v>3810525</v>
      </c>
      <c r="G45" s="166">
        <f t="shared" si="528"/>
        <v>2345</v>
      </c>
      <c r="H45" s="167">
        <v>25</v>
      </c>
      <c r="I45" s="167">
        <f t="shared" ref="I45:I93" si="684">IFERROR(+L45/(H45*3.6)," ")</f>
        <v>0</v>
      </c>
      <c r="J45" s="168">
        <f t="shared" ref="J45:J94" si="685">IF(K45&gt;0,K44," ")</f>
        <v>1970853</v>
      </c>
      <c r="K45" s="266">
        <v>1970853</v>
      </c>
      <c r="L45" s="167">
        <f t="shared" ref="L45:L94" si="686">IFERROR((K45-J45)," ")</f>
        <v>0</v>
      </c>
      <c r="M45" s="166">
        <v>38</v>
      </c>
      <c r="N45" s="166">
        <f t="shared" ref="N45:N94" si="687">IFERROR(+Q45/(M45*3.6)," ")</f>
        <v>0</v>
      </c>
      <c r="O45" s="168">
        <f t="shared" ref="O45:O94" si="688">IF(P45&gt;0,P44," ")</f>
        <v>414656</v>
      </c>
      <c r="P45" s="168">
        <v>414656</v>
      </c>
      <c r="Q45" s="166">
        <f t="shared" ref="Q45:Q94" si="689">IFERROR((P45-O45)," ")</f>
        <v>0</v>
      </c>
      <c r="R45" s="167">
        <f>+BDFUENTES[[#This Row],[PZ MED m3/día]]/3.6/BDFUENTES[[#This Row],[PZ MED Horas Activo]]</f>
        <v>28.76543209876543</v>
      </c>
      <c r="S45" s="167">
        <v>18</v>
      </c>
      <c r="T45" s="168">
        <f t="shared" ref="T45:T101" si="690">IF(U45&gt;0,U44," ")</f>
        <v>285376</v>
      </c>
      <c r="U45" s="168">
        <v>287240</v>
      </c>
      <c r="V45" s="165">
        <f t="shared" ref="V45:V97" si="691">IFERROR((U45-T45)," ")</f>
        <v>1864</v>
      </c>
      <c r="W45" s="164">
        <f t="shared" ref="W45" si="692">IFERROR((AA45/X45)/3.6," ")</f>
        <v>336.79311325092618</v>
      </c>
      <c r="X45" s="166">
        <v>24</v>
      </c>
      <c r="Y45" s="168">
        <f t="shared" ref="Y45" si="693">IF(Z45&gt;0,Z44," ")</f>
        <v>1922922.34306052</v>
      </c>
      <c r="Z45" s="168">
        <v>1953885.2680454</v>
      </c>
      <c r="AA45" s="164">
        <f>IFERROR((Z45-Y45)," ")-BDFUENTES[[#This Row],[PZ MED m3/día]]</f>
        <v>29098.924984880025</v>
      </c>
      <c r="AB45" s="168">
        <f t="shared" ref="AB45:AB100" si="694">IFERROR(ROUNDDOWN(+AF45/(AC45*3.6),0)," ")</f>
        <v>60</v>
      </c>
      <c r="AC45" s="168">
        <v>24</v>
      </c>
      <c r="AD45" s="171">
        <f t="shared" si="600"/>
        <v>5267268</v>
      </c>
      <c r="AE45" s="167">
        <v>5272504</v>
      </c>
      <c r="AF45" s="165">
        <f t="shared" si="601"/>
        <v>5236</v>
      </c>
      <c r="AG45" s="168">
        <v>40</v>
      </c>
      <c r="AH45" s="168">
        <v>24</v>
      </c>
      <c r="AI45" s="166"/>
      <c r="AJ45" s="166"/>
      <c r="AK45" s="166">
        <f t="shared" ref="AK45:AK95" si="695">IF(OR(AH45="",AG45=""),"",AH45*AG45*3.6)</f>
        <v>3456</v>
      </c>
      <c r="AL45" s="167">
        <f>+BDFUENTES[[#This Row],[PZ CHB m3/día]]/3.6/BDFUENTES[[#This Row],[PZ CHB Horas Activo]]</f>
        <v>38.24074074074074</v>
      </c>
      <c r="AM45" s="171">
        <v>18</v>
      </c>
      <c r="AN45" s="168">
        <f t="shared" si="574"/>
        <v>3608028</v>
      </c>
      <c r="AO45" s="168">
        <v>3610506</v>
      </c>
      <c r="AP45" s="167">
        <f t="shared" si="575"/>
        <v>2478</v>
      </c>
      <c r="AQ45" s="166"/>
      <c r="AR45" s="166" t="str">
        <f t="shared" si="576"/>
        <v xml:space="preserve"> </v>
      </c>
      <c r="AS45" s="168" t="str">
        <f t="shared" si="577"/>
        <v xml:space="preserve"> </v>
      </c>
      <c r="AT45" s="168"/>
      <c r="AU45" s="166" t="str">
        <f t="shared" si="578"/>
        <v xml:space="preserve"> </v>
      </c>
      <c r="AV45" s="167">
        <f>+BDFUENTES[[#This Row],[PZ TM m3/día]]/3.6/BDFUENTES[[#This Row],[PZ TM Horas Activo]]</f>
        <v>11.481481481481483</v>
      </c>
      <c r="AW45" s="167">
        <v>15</v>
      </c>
      <c r="AX45" s="169">
        <f t="shared" si="579"/>
        <v>588474</v>
      </c>
      <c r="AY45" s="169">
        <v>589094</v>
      </c>
      <c r="AZ45" s="167">
        <f t="shared" si="580"/>
        <v>620</v>
      </c>
      <c r="BA45" s="166">
        <v>125</v>
      </c>
      <c r="BB45" s="166">
        <f t="shared" si="674"/>
        <v>5.3444444444444441</v>
      </c>
      <c r="BC45" s="168">
        <f t="shared" si="551"/>
        <v>5941991</v>
      </c>
      <c r="BD45" s="168">
        <v>5944396</v>
      </c>
      <c r="BE45" s="166">
        <f t="shared" si="552"/>
        <v>2405</v>
      </c>
      <c r="BF45" s="167">
        <v>20</v>
      </c>
      <c r="BG45" s="166">
        <f t="shared" si="677"/>
        <v>18.111111111111111</v>
      </c>
      <c r="BH45" s="168">
        <f t="shared" si="553"/>
        <v>1571996</v>
      </c>
      <c r="BI45" s="168">
        <v>1573300</v>
      </c>
      <c r="BJ45" s="167">
        <f t="shared" si="554"/>
        <v>1304</v>
      </c>
      <c r="BK45" s="166">
        <v>70</v>
      </c>
      <c r="BL45" s="166">
        <f t="shared" si="680"/>
        <v>19.75793650793651</v>
      </c>
      <c r="BM45" s="168">
        <f t="shared" si="555"/>
        <v>6265344</v>
      </c>
      <c r="BN45" s="168">
        <v>6270323</v>
      </c>
      <c r="BO45" s="166">
        <f t="shared" si="556"/>
        <v>4979</v>
      </c>
      <c r="BV45" s="256"/>
    </row>
    <row r="46" spans="1:94" ht="15" customHeight="1" x14ac:dyDescent="0.25">
      <c r="A46" s="4">
        <f t="shared" si="1"/>
        <v>2</v>
      </c>
      <c r="B46" s="170">
        <v>46064</v>
      </c>
      <c r="C46" s="164">
        <v>38</v>
      </c>
      <c r="D46" s="166">
        <f t="shared" si="683"/>
        <v>16.959064327485379</v>
      </c>
      <c r="E46" s="168">
        <f t="shared" si="527"/>
        <v>3810525</v>
      </c>
      <c r="F46" s="168">
        <v>3812845</v>
      </c>
      <c r="G46" s="166">
        <f t="shared" si="528"/>
        <v>2320</v>
      </c>
      <c r="H46" s="167">
        <v>25</v>
      </c>
      <c r="I46" s="167">
        <f t="shared" si="684"/>
        <v>0</v>
      </c>
      <c r="J46" s="168">
        <f t="shared" si="685"/>
        <v>1970853</v>
      </c>
      <c r="K46" s="266">
        <v>1970853</v>
      </c>
      <c r="L46" s="167">
        <f t="shared" si="686"/>
        <v>0</v>
      </c>
      <c r="M46" s="166">
        <v>38</v>
      </c>
      <c r="N46" s="166">
        <f t="shared" si="687"/>
        <v>0</v>
      </c>
      <c r="O46" s="168">
        <f t="shared" si="688"/>
        <v>414656</v>
      </c>
      <c r="P46" s="168">
        <v>414656</v>
      </c>
      <c r="Q46" s="166">
        <f t="shared" si="689"/>
        <v>0</v>
      </c>
      <c r="R46" s="167">
        <f>+BDFUENTES[[#This Row],[PZ MED m3/día]]/3.6/BDFUENTES[[#This Row],[PZ MED Horas Activo]]</f>
        <v>28.099415204678365</v>
      </c>
      <c r="S46" s="167">
        <v>19</v>
      </c>
      <c r="T46" s="168">
        <f t="shared" si="690"/>
        <v>287240</v>
      </c>
      <c r="U46" s="168">
        <v>289162</v>
      </c>
      <c r="V46" s="165">
        <f t="shared" si="691"/>
        <v>1922</v>
      </c>
      <c r="W46" s="164">
        <f t="shared" ref="W46" si="696">IFERROR((AA46/X46)/3.6," ")</f>
        <v>335.11205482036866</v>
      </c>
      <c r="X46" s="166">
        <v>24</v>
      </c>
      <c r="Y46" s="168">
        <f t="shared" ref="Y46" si="697">IF(Z46&gt;0,Z45," ")</f>
        <v>1953885.2680454</v>
      </c>
      <c r="Z46" s="168">
        <v>1984760.9495818799</v>
      </c>
      <c r="AA46" s="164">
        <f>IFERROR((Z46-Y46)," ")-BDFUENTES[[#This Row],[PZ MED m3/día]]</f>
        <v>28953.681536479853</v>
      </c>
      <c r="AB46" s="168">
        <f t="shared" ref="AB46" si="698">IFERROR(ROUNDDOWN(+AF46/(AC46*3.6),0)," ")</f>
        <v>62</v>
      </c>
      <c r="AC46" s="168">
        <v>24</v>
      </c>
      <c r="AD46" s="171">
        <f t="shared" ref="AD46" si="699">IF(AE46&gt;0,AE45," ")</f>
        <v>5272504</v>
      </c>
      <c r="AE46" s="167">
        <v>5277939</v>
      </c>
      <c r="AF46" s="165">
        <f t="shared" ref="AF46" si="700">IFERROR((AE46-AD46)," ")</f>
        <v>5435</v>
      </c>
      <c r="AG46" s="168">
        <v>40</v>
      </c>
      <c r="AH46" s="168">
        <v>24</v>
      </c>
      <c r="AI46" s="166"/>
      <c r="AJ46" s="166"/>
      <c r="AK46" s="166">
        <f t="shared" si="695"/>
        <v>3456</v>
      </c>
      <c r="AL46" s="167">
        <f>+BDFUENTES[[#This Row],[PZ CHB m3/día]]/3.6/BDFUENTES[[#This Row],[PZ CHB Horas Activo]]</f>
        <v>38.873456790123456</v>
      </c>
      <c r="AM46" s="171">
        <v>18</v>
      </c>
      <c r="AN46" s="168">
        <f t="shared" si="574"/>
        <v>3610506</v>
      </c>
      <c r="AO46" s="168">
        <v>3613025</v>
      </c>
      <c r="AP46" s="167">
        <f t="shared" si="575"/>
        <v>2519</v>
      </c>
      <c r="AQ46" s="166"/>
      <c r="AR46" s="166" t="str">
        <f t="shared" si="576"/>
        <v xml:space="preserve"> </v>
      </c>
      <c r="AS46" s="168" t="str">
        <f t="shared" si="577"/>
        <v xml:space="preserve"> </v>
      </c>
      <c r="AT46" s="168"/>
      <c r="AU46" s="166" t="str">
        <f t="shared" si="578"/>
        <v xml:space="preserve"> </v>
      </c>
      <c r="AV46" s="167">
        <f>+BDFUENTES[[#This Row],[PZ TM m3/día]]/3.6/BDFUENTES[[#This Row],[PZ TM Horas Activo]]</f>
        <v>11.051587301587302</v>
      </c>
      <c r="AW46" s="167">
        <v>14</v>
      </c>
      <c r="AX46" s="169">
        <f t="shared" si="579"/>
        <v>589094</v>
      </c>
      <c r="AY46" s="169">
        <v>589651</v>
      </c>
      <c r="AZ46" s="167">
        <f t="shared" si="580"/>
        <v>557</v>
      </c>
      <c r="BA46" s="166">
        <v>125</v>
      </c>
      <c r="BB46" s="166">
        <f t="shared" si="674"/>
        <v>5.1555555555555559</v>
      </c>
      <c r="BC46" s="168">
        <f t="shared" si="551"/>
        <v>5944396</v>
      </c>
      <c r="BD46" s="168">
        <v>5946716</v>
      </c>
      <c r="BE46" s="166">
        <f t="shared" si="552"/>
        <v>2320</v>
      </c>
      <c r="BF46" s="167">
        <v>20</v>
      </c>
      <c r="BG46" s="166">
        <f t="shared" si="677"/>
        <v>17.791666666666668</v>
      </c>
      <c r="BH46" s="168">
        <f t="shared" si="553"/>
        <v>1573300</v>
      </c>
      <c r="BI46" s="168">
        <v>1574581</v>
      </c>
      <c r="BJ46" s="167">
        <f t="shared" si="554"/>
        <v>1281</v>
      </c>
      <c r="BK46" s="166">
        <v>70</v>
      </c>
      <c r="BL46" s="166">
        <f t="shared" si="680"/>
        <v>17.853174603174605</v>
      </c>
      <c r="BM46" s="168">
        <f t="shared" si="555"/>
        <v>6270323</v>
      </c>
      <c r="BN46" s="168">
        <v>6274822</v>
      </c>
      <c r="BO46" s="166">
        <f t="shared" si="556"/>
        <v>4499</v>
      </c>
    </row>
    <row r="47" spans="1:94" ht="15" customHeight="1" x14ac:dyDescent="0.25">
      <c r="A47" s="4">
        <f t="shared" si="1"/>
        <v>2</v>
      </c>
      <c r="B47" s="170">
        <v>46065</v>
      </c>
      <c r="C47" s="164">
        <v>38</v>
      </c>
      <c r="D47" s="166">
        <f t="shared" ref="D47" si="701">IFERROR(+G47/(C47*3.6)," ")</f>
        <v>17.061403508771928</v>
      </c>
      <c r="E47" s="168">
        <f t="shared" ref="E47" si="702">IF(F47&gt;0,F46," ")</f>
        <v>3812845</v>
      </c>
      <c r="F47" s="168">
        <v>3815179</v>
      </c>
      <c r="G47" s="166">
        <f t="shared" ref="G47" si="703">IFERROR((F47-E47)," ")</f>
        <v>2334</v>
      </c>
      <c r="H47" s="167">
        <v>25</v>
      </c>
      <c r="I47" s="167">
        <f t="shared" ref="I47" si="704">IFERROR(+L47/(H47*3.6)," ")</f>
        <v>0</v>
      </c>
      <c r="J47" s="168">
        <f t="shared" ref="J47" si="705">IF(K47&gt;0,K46," ")</f>
        <v>1970853</v>
      </c>
      <c r="K47" s="266">
        <v>1970853</v>
      </c>
      <c r="L47" s="167">
        <f t="shared" ref="L47" si="706">IFERROR((K47-J47)," ")</f>
        <v>0</v>
      </c>
      <c r="M47" s="166">
        <v>38</v>
      </c>
      <c r="N47" s="166">
        <f t="shared" ref="N47" si="707">IFERROR(+Q47/(M47*3.6)," ")</f>
        <v>0</v>
      </c>
      <c r="O47" s="168">
        <f t="shared" ref="O47" si="708">IF(P47&gt;0,P46," ")</f>
        <v>414656</v>
      </c>
      <c r="P47" s="168">
        <v>414656</v>
      </c>
      <c r="Q47" s="166">
        <f t="shared" ref="Q47" si="709">IFERROR((P47-O47)," ")</f>
        <v>0</v>
      </c>
      <c r="R47" s="167">
        <f>+BDFUENTES[[#This Row],[PZ MED m3/día]]/3.6/BDFUENTES[[#This Row],[PZ MED Horas Activo]]</f>
        <v>29.753086419753085</v>
      </c>
      <c r="S47" s="167">
        <v>18</v>
      </c>
      <c r="T47" s="168">
        <f t="shared" ref="T47" si="710">IF(U47&gt;0,U46," ")</f>
        <v>289162</v>
      </c>
      <c r="U47" s="168">
        <v>291090</v>
      </c>
      <c r="V47" s="165">
        <f t="shared" ref="V47" si="711">IFERROR((U47-T47)," ")</f>
        <v>1928</v>
      </c>
      <c r="W47" s="164">
        <f t="shared" ref="W47" si="712">IFERROR((AA47/X47)/3.6," ")</f>
        <v>339.72399108981739</v>
      </c>
      <c r="X47" s="166">
        <v>24</v>
      </c>
      <c r="Y47" s="168">
        <f t="shared" ref="Y47" si="713">IF(Z47&gt;0,Z46," ")</f>
        <v>1984760.9495818799</v>
      </c>
      <c r="Z47" s="168">
        <v>2016041.1024120401</v>
      </c>
      <c r="AA47" s="164">
        <f>IFERROR((Z47-Y47)," ")-BDFUENTES[[#This Row],[PZ MED m3/día]]</f>
        <v>29352.152830160223</v>
      </c>
      <c r="AB47" s="168">
        <f t="shared" ref="AB47" si="714">IFERROR(ROUNDDOWN(+AF47/(AC47*3.6),0)," ")</f>
        <v>59</v>
      </c>
      <c r="AC47" s="168">
        <v>24</v>
      </c>
      <c r="AD47" s="171">
        <f t="shared" ref="AD47" si="715">IF(AE47&gt;0,AE46," ")</f>
        <v>5277939</v>
      </c>
      <c r="AE47" s="167">
        <v>5283119</v>
      </c>
      <c r="AF47" s="165">
        <f t="shared" ref="AF47" si="716">IFERROR((AE47-AD47)," ")</f>
        <v>5180</v>
      </c>
      <c r="AG47" s="168">
        <v>40</v>
      </c>
      <c r="AH47" s="168">
        <v>24</v>
      </c>
      <c r="AI47" s="166"/>
      <c r="AJ47" s="166"/>
      <c r="AK47" s="166">
        <f t="shared" ref="AK47" si="717">IF(OR(AH47="",AG47=""),"",AH47*AG47*3.6)</f>
        <v>3456</v>
      </c>
      <c r="AL47" s="167">
        <f>+BDFUENTES[[#This Row],[PZ CHB m3/día]]/3.6/BDFUENTES[[#This Row],[PZ CHB Horas Activo]]</f>
        <v>39.340277777777779</v>
      </c>
      <c r="AM47" s="171">
        <v>16</v>
      </c>
      <c r="AN47" s="168">
        <f t="shared" ref="AN47" si="718">IF(AO47&gt;0,AO46," ")</f>
        <v>3613025</v>
      </c>
      <c r="AO47" s="168">
        <v>3615291</v>
      </c>
      <c r="AP47" s="167">
        <f t="shared" ref="AP47" si="719">IFERROR((AO47-AN47)," ")</f>
        <v>2266</v>
      </c>
      <c r="AQ47" s="166"/>
      <c r="AR47" s="166" t="str">
        <f t="shared" ref="AR47" si="720">IFERROR(+AU47/(AQ47*3.6)," ")</f>
        <v xml:space="preserve"> </v>
      </c>
      <c r="AS47" s="168" t="str">
        <f t="shared" ref="AS47" si="721">IF(AT47&gt;0,AT46," ")</f>
        <v xml:space="preserve"> </v>
      </c>
      <c r="AT47" s="168"/>
      <c r="AU47" s="166" t="str">
        <f t="shared" ref="AU47" si="722">IFERROR((AT47-AS47)," ")</f>
        <v xml:space="preserve"> </v>
      </c>
      <c r="AV47" s="167">
        <f>+BDFUENTES[[#This Row],[PZ TM m3/día]]/3.6/BDFUENTES[[#This Row],[PZ TM Horas Activo]]</f>
        <v>11.388888888888889</v>
      </c>
      <c r="AW47" s="167">
        <v>15</v>
      </c>
      <c r="AX47" s="169">
        <f t="shared" ref="AX47" si="723">IF(AY47&gt;0,AY46," ")</f>
        <v>589651</v>
      </c>
      <c r="AY47" s="169">
        <v>590266</v>
      </c>
      <c r="AZ47" s="167">
        <f t="shared" ref="AZ47" si="724">IFERROR((AY47-AX47)," ")</f>
        <v>615</v>
      </c>
      <c r="BA47" s="166">
        <v>125</v>
      </c>
      <c r="BB47" s="166">
        <f t="shared" ref="BB47" si="725">IFERROR(+BE47/(BA47*3.6)," ")</f>
        <v>5.4911111111111115</v>
      </c>
      <c r="BC47" s="168">
        <f t="shared" ref="BC47" si="726">IF(BD47&gt;0,BD46," ")</f>
        <v>5946716</v>
      </c>
      <c r="BD47" s="168">
        <v>5949187</v>
      </c>
      <c r="BE47" s="166">
        <f t="shared" ref="BE47" si="727">IFERROR((BD47-BC47)," ")</f>
        <v>2471</v>
      </c>
      <c r="BF47" s="167">
        <v>20</v>
      </c>
      <c r="BG47" s="166">
        <f t="shared" ref="BG47" si="728">IFERROR(+BJ47/(BF47*3.6)," ")</f>
        <v>16.958333333333332</v>
      </c>
      <c r="BH47" s="168">
        <f t="shared" ref="BH47" si="729">IF(BI47&gt;0,BI46," ")</f>
        <v>1574581</v>
      </c>
      <c r="BI47" s="168">
        <v>1575802</v>
      </c>
      <c r="BJ47" s="167">
        <f t="shared" ref="BJ47" si="730">IFERROR((BI47-BH47)," ")</f>
        <v>1221</v>
      </c>
      <c r="BK47" s="166">
        <v>70</v>
      </c>
      <c r="BL47" s="166">
        <f t="shared" ref="BL47" si="731">IFERROR(+BO47/(BK47*3.6)," ")</f>
        <v>19.623015873015873</v>
      </c>
      <c r="BM47" s="168">
        <f t="shared" ref="BM47" si="732">IF(BN47&gt;0,BN46," ")</f>
        <v>6274822</v>
      </c>
      <c r="BN47" s="168">
        <v>6279767</v>
      </c>
      <c r="BO47" s="166">
        <f t="shared" ref="BO47" si="733">IFERROR((BN47-BM47)," ")</f>
        <v>4945</v>
      </c>
    </row>
    <row r="48" spans="1:94" ht="15" customHeight="1" x14ac:dyDescent="0.25">
      <c r="A48" s="4">
        <f t="shared" si="1"/>
        <v>2</v>
      </c>
      <c r="B48" s="170">
        <v>46066</v>
      </c>
      <c r="C48" s="164">
        <v>38</v>
      </c>
      <c r="D48" s="166">
        <f t="shared" ref="D48" si="734">IFERROR(+G48/(C48*3.6)," ")</f>
        <v>16.966374269005847</v>
      </c>
      <c r="E48" s="168">
        <f t="shared" ref="E48" si="735">IF(F48&gt;0,F47," ")</f>
        <v>3815179</v>
      </c>
      <c r="F48" s="168">
        <v>3817500</v>
      </c>
      <c r="G48" s="166">
        <f t="shared" ref="G48" si="736">IFERROR((F48-E48)," ")</f>
        <v>2321</v>
      </c>
      <c r="H48" s="167">
        <v>25</v>
      </c>
      <c r="I48" s="167">
        <f t="shared" ref="I48" si="737">IFERROR(+L48/(H48*3.6)," ")</f>
        <v>0</v>
      </c>
      <c r="J48" s="168">
        <f t="shared" ref="J48" si="738">IF(K48&gt;0,K47," ")</f>
        <v>1970853</v>
      </c>
      <c r="K48" s="266">
        <v>1970853</v>
      </c>
      <c r="L48" s="167">
        <f t="shared" ref="L48" si="739">IFERROR((K48-J48)," ")</f>
        <v>0</v>
      </c>
      <c r="M48" s="166">
        <v>38</v>
      </c>
      <c r="N48" s="166">
        <f t="shared" ref="N48" si="740">IFERROR(+Q48/(M48*3.6)," ")</f>
        <v>0</v>
      </c>
      <c r="O48" s="168">
        <f t="shared" ref="O48" si="741">IF(P48&gt;0,P47," ")</f>
        <v>414656</v>
      </c>
      <c r="P48" s="168">
        <v>414656</v>
      </c>
      <c r="Q48" s="166">
        <f t="shared" ref="Q48" si="742">IFERROR((P48-O48)," ")</f>
        <v>0</v>
      </c>
      <c r="R48" s="167">
        <f>+BDFUENTES[[#This Row],[PZ MED m3/día]]/3.6/BDFUENTES[[#This Row],[PZ MED Horas Activo]]</f>
        <v>28.757309941520468</v>
      </c>
      <c r="S48" s="167">
        <v>19</v>
      </c>
      <c r="T48" s="168">
        <f t="shared" ref="T48" si="743">IF(U48&gt;0,U47," ")</f>
        <v>291090</v>
      </c>
      <c r="U48" s="168">
        <v>293057</v>
      </c>
      <c r="V48" s="165">
        <f t="shared" ref="V48" si="744">IFERROR((U48-T48)," ")</f>
        <v>1967</v>
      </c>
      <c r="W48" s="164">
        <f t="shared" ref="W48" si="745">IFERROR((AA48/X48)/3.6," ")</f>
        <v>355.62146919536946</v>
      </c>
      <c r="X48" s="166">
        <v>24</v>
      </c>
      <c r="Y48" s="168">
        <f t="shared" ref="Y48" si="746">IF(Z48&gt;0,Z47," ")</f>
        <v>2016041.1024120401</v>
      </c>
      <c r="Z48" s="168">
        <v>2048733.79735052</v>
      </c>
      <c r="AA48" s="164">
        <f>IFERROR((Z48-Y48)," ")-BDFUENTES[[#This Row],[PZ MED m3/día]]</f>
        <v>30725.694938479923</v>
      </c>
      <c r="AB48" s="168">
        <f t="shared" ref="AB48" si="747">IFERROR(ROUNDDOWN(+AF48/(AC48*3.6),0)," ")</f>
        <v>61</v>
      </c>
      <c r="AC48" s="168">
        <v>24</v>
      </c>
      <c r="AD48" s="171">
        <f t="shared" ref="AD48" si="748">IF(AE48&gt;0,AE47," ")</f>
        <v>5283119</v>
      </c>
      <c r="AE48" s="167">
        <v>5288403</v>
      </c>
      <c r="AF48" s="165">
        <f t="shared" ref="AF48" si="749">IFERROR((AE48-AD48)," ")</f>
        <v>5284</v>
      </c>
      <c r="AG48" s="168">
        <v>40</v>
      </c>
      <c r="AH48" s="168">
        <v>24</v>
      </c>
      <c r="AI48" s="166"/>
      <c r="AJ48" s="166"/>
      <c r="AK48" s="166">
        <f t="shared" ref="AK48" si="750">IF(OR(AH48="",AG48=""),"",AH48*AG48*3.6)</f>
        <v>3456</v>
      </c>
      <c r="AL48" s="167">
        <f>+BDFUENTES[[#This Row],[PZ CHB m3/día]]/3.6/BDFUENTES[[#This Row],[PZ CHB Horas Activo]]</f>
        <v>37.341269841269835</v>
      </c>
      <c r="AM48" s="171">
        <v>14</v>
      </c>
      <c r="AN48" s="168">
        <f t="shared" ref="AN48" si="751">IF(AO48&gt;0,AO47," ")</f>
        <v>3615291</v>
      </c>
      <c r="AO48" s="168">
        <v>3617173</v>
      </c>
      <c r="AP48" s="167">
        <f t="shared" ref="AP48" si="752">IFERROR((AO48-AN48)," ")</f>
        <v>1882</v>
      </c>
      <c r="AQ48" s="166"/>
      <c r="AR48" s="166" t="str">
        <f t="shared" si="576"/>
        <v xml:space="preserve"> </v>
      </c>
      <c r="AS48" s="168" t="str">
        <f t="shared" si="577"/>
        <v xml:space="preserve"> </v>
      </c>
      <c r="AT48" s="168"/>
      <c r="AU48" s="166" t="str">
        <f t="shared" si="578"/>
        <v xml:space="preserve"> </v>
      </c>
      <c r="AV48" s="167">
        <f>+BDFUENTES[[#This Row],[PZ TM m3/día]]/3.6/BDFUENTES[[#This Row],[PZ TM Horas Activo]]</f>
        <v>11.444444444444445</v>
      </c>
      <c r="AW48" s="167">
        <v>15</v>
      </c>
      <c r="AX48" s="169">
        <f t="shared" ref="AX48" si="753">IF(AY48&gt;0,AY47," ")</f>
        <v>590266</v>
      </c>
      <c r="AY48" s="169">
        <v>590884</v>
      </c>
      <c r="AZ48" s="167">
        <f t="shared" ref="AZ48" si="754">IFERROR((AY48-AX48)," ")</f>
        <v>618</v>
      </c>
      <c r="BA48" s="166">
        <v>125</v>
      </c>
      <c r="BB48" s="166">
        <f t="shared" ref="BB48" si="755">IFERROR(+BE48/(BA48*3.6)," ")</f>
        <v>5.0444444444444443</v>
      </c>
      <c r="BC48" s="168">
        <f t="shared" ref="BC48" si="756">IF(BD48&gt;0,BD47," ")</f>
        <v>5949187</v>
      </c>
      <c r="BD48" s="168">
        <v>5951457</v>
      </c>
      <c r="BE48" s="166">
        <f t="shared" ref="BE48" si="757">IFERROR((BD48-BC48)," ")</f>
        <v>2270</v>
      </c>
      <c r="BF48" s="167">
        <v>20</v>
      </c>
      <c r="BG48" s="166">
        <f t="shared" ref="BG48" si="758">IFERROR(+BJ48/(BF48*3.6)," ")</f>
        <v>17.791666666666668</v>
      </c>
      <c r="BH48" s="168">
        <f t="shared" ref="BH48" si="759">IF(BI48&gt;0,BI47," ")</f>
        <v>1575802</v>
      </c>
      <c r="BI48" s="168">
        <v>1577083</v>
      </c>
      <c r="BJ48" s="167">
        <f t="shared" ref="BJ48" si="760">IFERROR((BI48-BH48)," ")</f>
        <v>1281</v>
      </c>
      <c r="BK48" s="166">
        <v>70</v>
      </c>
      <c r="BL48" s="166">
        <f t="shared" ref="BL48" si="761">IFERROR(+BO48/(BK48*3.6)," ")</f>
        <v>17.511904761904763</v>
      </c>
      <c r="BM48" s="168">
        <f t="shared" ref="BM48" si="762">IF(BN48&gt;0,BN47," ")</f>
        <v>6279767</v>
      </c>
      <c r="BN48" s="168">
        <v>6284180</v>
      </c>
      <c r="BO48" s="166">
        <f t="shared" ref="BO48" si="763">IFERROR((BN48-BM48)," ")</f>
        <v>4413</v>
      </c>
    </row>
    <row r="49" spans="1:67" ht="15" customHeight="1" x14ac:dyDescent="0.25">
      <c r="A49" s="4">
        <f t="shared" si="1"/>
        <v>2</v>
      </c>
      <c r="B49" s="170">
        <v>46067</v>
      </c>
      <c r="C49" s="164">
        <v>38</v>
      </c>
      <c r="D49" s="166">
        <f t="shared" ref="D49" si="764">IFERROR(+G49/(C49*3.6)," ")</f>
        <v>17.309941520467834</v>
      </c>
      <c r="E49" s="168">
        <f t="shared" ref="E49" si="765">IF(F49&gt;0,F48," ")</f>
        <v>3817500</v>
      </c>
      <c r="F49" s="168">
        <v>3819868</v>
      </c>
      <c r="G49" s="166">
        <f t="shared" ref="G49" si="766">IFERROR((F49-E49)," ")</f>
        <v>2368</v>
      </c>
      <c r="H49" s="167">
        <v>25</v>
      </c>
      <c r="I49" s="167">
        <f t="shared" ref="I49" si="767">IFERROR(+L49/(H49*3.6)," ")</f>
        <v>0</v>
      </c>
      <c r="J49" s="168">
        <f t="shared" ref="J49" si="768">IF(K49&gt;0,K48," ")</f>
        <v>1970853</v>
      </c>
      <c r="K49" s="266">
        <v>1970853</v>
      </c>
      <c r="L49" s="167">
        <f t="shared" ref="L49" si="769">IFERROR((K49-J49)," ")</f>
        <v>0</v>
      </c>
      <c r="M49" s="166">
        <v>38</v>
      </c>
      <c r="N49" s="166">
        <f t="shared" ref="N49" si="770">IFERROR(+Q49/(M49*3.6)," ")</f>
        <v>0</v>
      </c>
      <c r="O49" s="168">
        <f t="shared" ref="O49" si="771">IF(P49&gt;0,P48," ")</f>
        <v>414656</v>
      </c>
      <c r="P49" s="168">
        <v>414656</v>
      </c>
      <c r="Q49" s="166">
        <f t="shared" ref="Q49" si="772">IFERROR((P49-O49)," ")</f>
        <v>0</v>
      </c>
      <c r="R49" s="167">
        <f>+BDFUENTES[[#This Row],[PZ MED m3/día]]/3.6/BDFUENTES[[#This Row],[PZ MED Horas Activo]]</f>
        <v>29.532163742690056</v>
      </c>
      <c r="S49" s="167">
        <v>19</v>
      </c>
      <c r="T49" s="168">
        <f t="shared" ref="T49" si="773">IF(U49&gt;0,U48," ")</f>
        <v>293057</v>
      </c>
      <c r="U49" s="168">
        <v>295077</v>
      </c>
      <c r="V49" s="165">
        <f t="shared" ref="V49" si="774">IFERROR((U49-T49)," ")</f>
        <v>2020</v>
      </c>
      <c r="W49" s="164">
        <f t="shared" ref="W49" si="775">IFERROR((AA49/X49)/3.6," ")</f>
        <v>411.11221548472207</v>
      </c>
      <c r="X49" s="166">
        <v>24</v>
      </c>
      <c r="Y49" s="168">
        <f t="shared" ref="Y49" si="776">IF(Z49&gt;0,Z48," ")</f>
        <v>2048733.79735052</v>
      </c>
      <c r="Z49" s="168">
        <v>2086273.8927684</v>
      </c>
      <c r="AA49" s="164">
        <f>IFERROR((Z49-Y49)," ")-BDFUENTES[[#This Row],[PZ MED m3/día]]</f>
        <v>35520.095417879988</v>
      </c>
      <c r="AB49" s="168">
        <f t="shared" ref="AB49" si="777">IFERROR(ROUNDDOWN(+AF49/(AC49*3.6),0)," ")</f>
        <v>60</v>
      </c>
      <c r="AC49" s="168">
        <v>24</v>
      </c>
      <c r="AD49" s="171">
        <f t="shared" ref="AD49" si="778">IF(AE49&gt;0,AE48," ")</f>
        <v>5288403</v>
      </c>
      <c r="AE49" s="167">
        <v>5293669</v>
      </c>
      <c r="AF49" s="165">
        <f t="shared" ref="AF49" si="779">IFERROR((AE49-AD49)," ")</f>
        <v>5266</v>
      </c>
      <c r="AG49" s="168">
        <v>40</v>
      </c>
      <c r="AH49" s="168">
        <v>24</v>
      </c>
      <c r="AI49" s="166"/>
      <c r="AJ49" s="166"/>
      <c r="AK49" s="166">
        <f t="shared" ref="AK49" si="780">IF(OR(AH49="",AG49=""),"",AH49*AG49*3.6)</f>
        <v>3456</v>
      </c>
      <c r="AL49" s="167">
        <f>+BDFUENTES[[#This Row],[PZ CHB m3/día]]/3.6/BDFUENTES[[#This Row],[PZ CHB Horas Activo]]</f>
        <v>38.070175438596493</v>
      </c>
      <c r="AM49" s="171">
        <v>19</v>
      </c>
      <c r="AN49" s="168">
        <f t="shared" ref="AN49" si="781">IF(AO49&gt;0,AO48," ")</f>
        <v>3617173</v>
      </c>
      <c r="AO49" s="168">
        <v>3619777</v>
      </c>
      <c r="AP49" s="167">
        <f t="shared" ref="AP49" si="782">IFERROR((AO49-AN49)," ")</f>
        <v>2604</v>
      </c>
      <c r="AQ49" s="166"/>
      <c r="AR49" s="166" t="str">
        <f t="shared" ref="AR49" si="783">IFERROR(+AU49/(AQ49*3.6)," ")</f>
        <v xml:space="preserve"> </v>
      </c>
      <c r="AS49" s="168" t="str">
        <f t="shared" ref="AS49" si="784">IF(AT49&gt;0,AT48," ")</f>
        <v xml:space="preserve"> </v>
      </c>
      <c r="AT49" s="168"/>
      <c r="AU49" s="166" t="str">
        <f t="shared" ref="AU49" si="785">IFERROR((AT49-AS49)," ")</f>
        <v xml:space="preserve"> </v>
      </c>
      <c r="AV49" s="167">
        <f>+BDFUENTES[[#This Row],[PZ TM m3/día]]/3.6/BDFUENTES[[#This Row],[PZ TM Horas Activo]]</f>
        <v>11.712962962962962</v>
      </c>
      <c r="AW49" s="167">
        <v>12</v>
      </c>
      <c r="AX49" s="169">
        <f t="shared" ref="AX49" si="786">IF(AY49&gt;0,AY48," ")</f>
        <v>590884</v>
      </c>
      <c r="AY49" s="169">
        <v>591390</v>
      </c>
      <c r="AZ49" s="167">
        <f t="shared" ref="AZ49" si="787">IFERROR((AY49-AX49)," ")</f>
        <v>506</v>
      </c>
      <c r="BA49" s="166">
        <v>125</v>
      </c>
      <c r="BB49" s="166">
        <f t="shared" ref="BB49" si="788">IFERROR(+BE49/(BA49*3.6)," ")</f>
        <v>5.5333333333333332</v>
      </c>
      <c r="BC49" s="168">
        <f t="shared" ref="BC49" si="789">IF(BD49&gt;0,BD48," ")</f>
        <v>5951457</v>
      </c>
      <c r="BD49" s="168">
        <v>5953947</v>
      </c>
      <c r="BE49" s="166">
        <f t="shared" ref="BE49" si="790">IFERROR((BD49-BC49)," ")</f>
        <v>2490</v>
      </c>
      <c r="BF49" s="167">
        <v>20</v>
      </c>
      <c r="BG49" s="166">
        <f t="shared" ref="BG49" si="791">IFERROR(+BJ49/(BF49*3.6)," ")</f>
        <v>18.652777777777779</v>
      </c>
      <c r="BH49" s="168">
        <f t="shared" ref="BH49" si="792">IF(BI49&gt;0,BI48," ")</f>
        <v>1577083</v>
      </c>
      <c r="BI49" s="168">
        <v>1578426</v>
      </c>
      <c r="BJ49" s="167">
        <f t="shared" ref="BJ49" si="793">IFERROR((BI49-BH49)," ")</f>
        <v>1343</v>
      </c>
      <c r="BK49" s="166">
        <v>70</v>
      </c>
      <c r="BL49" s="166">
        <f t="shared" ref="BL49" si="794">IFERROR(+BO49/(BK49*3.6)," ")</f>
        <v>20.55952380952381</v>
      </c>
      <c r="BM49" s="168">
        <f t="shared" ref="BM49" si="795">IF(BN49&gt;0,BN48," ")</f>
        <v>6284180</v>
      </c>
      <c r="BN49" s="168">
        <v>6289361</v>
      </c>
      <c r="BO49" s="166">
        <f t="shared" ref="BO49" si="796">IFERROR((BN49-BM49)," ")</f>
        <v>5181</v>
      </c>
    </row>
    <row r="50" spans="1:67" ht="15" customHeight="1" x14ac:dyDescent="0.25">
      <c r="B50" s="170">
        <v>46068</v>
      </c>
      <c r="C50" s="164">
        <v>38</v>
      </c>
      <c r="D50" s="166">
        <f t="shared" ref="D50" si="797">IFERROR(+G50/(C50*3.6)," ")</f>
        <v>16.900584795321635</v>
      </c>
      <c r="E50" s="168">
        <f t="shared" ref="E50" si="798">IF(F50&gt;0,F49," ")</f>
        <v>3819868</v>
      </c>
      <c r="F50" s="168">
        <v>3822180</v>
      </c>
      <c r="G50" s="166">
        <f t="shared" ref="G50" si="799">IFERROR((F50-E50)," ")</f>
        <v>2312</v>
      </c>
      <c r="H50" s="167">
        <v>25</v>
      </c>
      <c r="I50" s="167">
        <f t="shared" ref="I50" si="800">IFERROR(+L50/(H50*3.6)," ")</f>
        <v>0</v>
      </c>
      <c r="J50" s="168">
        <f t="shared" ref="J50" si="801">IF(K50&gt;0,K49," ")</f>
        <v>1970853</v>
      </c>
      <c r="K50" s="266">
        <v>1970853</v>
      </c>
      <c r="L50" s="167">
        <f t="shared" ref="L50" si="802">IFERROR((K50-J50)," ")</f>
        <v>0</v>
      </c>
      <c r="M50" s="166">
        <v>38</v>
      </c>
      <c r="N50" s="166">
        <f t="shared" ref="N50" si="803">IFERROR(+Q50/(M50*3.6)," ")</f>
        <v>0</v>
      </c>
      <c r="O50" s="168">
        <f t="shared" ref="O50" si="804">IF(P50&gt;0,P49," ")</f>
        <v>414656</v>
      </c>
      <c r="P50" s="168">
        <v>414656</v>
      </c>
      <c r="Q50" s="166">
        <f t="shared" ref="Q50" si="805">IFERROR((P50-O50)," ")</f>
        <v>0</v>
      </c>
      <c r="R50" s="167">
        <f>+BDFUENTES[[#This Row],[PZ MED m3/día]]/3.6/BDFUENTES[[#This Row],[PZ MED Horas Activo]]</f>
        <v>0</v>
      </c>
      <c r="S50" s="167">
        <v>19</v>
      </c>
      <c r="T50" s="168">
        <f t="shared" ref="T50" si="806">IF(U50&gt;0,U49," ")</f>
        <v>295077</v>
      </c>
      <c r="U50" s="168">
        <v>295077</v>
      </c>
      <c r="V50" s="165">
        <f t="shared" ref="V50" si="807">IFERROR((U50-T50)," ")</f>
        <v>0</v>
      </c>
      <c r="W50" s="164">
        <f t="shared" ref="W50" si="808">IFERROR((AA50/X50)/3.6," ")</f>
        <v>466.58838016527795</v>
      </c>
      <c r="X50" s="166">
        <v>24</v>
      </c>
      <c r="Y50" s="168">
        <f t="shared" ref="Y50" si="809">IF(Z50&gt;0,Z49," ")</f>
        <v>2086273.8927684</v>
      </c>
      <c r="Z50" s="168">
        <v>2126587.12881468</v>
      </c>
      <c r="AA50" s="164">
        <f>IFERROR((Z50-Y50)," ")-BDFUENTES[[#This Row],[PZ MED m3/día]]</f>
        <v>40313.236046280013</v>
      </c>
      <c r="AB50" s="168">
        <f t="shared" ref="AB50" si="810">IFERROR(ROUNDDOWN(+AF50/(AC50*3.6),0)," ")</f>
        <v>53</v>
      </c>
      <c r="AC50" s="168">
        <v>17</v>
      </c>
      <c r="AD50" s="171">
        <f t="shared" ref="AD50" si="811">IF(AE50&gt;0,AE49," ")</f>
        <v>5293669</v>
      </c>
      <c r="AE50" s="167">
        <v>5296951</v>
      </c>
      <c r="AF50" s="165">
        <f t="shared" ref="AF50" si="812">IFERROR((AE50-AD50)," ")</f>
        <v>3282</v>
      </c>
      <c r="AG50" s="168">
        <v>40</v>
      </c>
      <c r="AH50" s="168">
        <v>24</v>
      </c>
      <c r="AI50" s="166"/>
      <c r="AJ50" s="166"/>
      <c r="AK50" s="166">
        <f t="shared" ref="AK50" si="813">IF(OR(AH50="",AG50=""),"",AH50*AG50*3.6)</f>
        <v>3456</v>
      </c>
      <c r="AL50" s="167">
        <f>+BDFUENTES[[#This Row],[PZ CHB m3/día]]/3.6/BDFUENTES[[#This Row],[PZ CHB Horas Activo]]</f>
        <v>38.966049382716051</v>
      </c>
      <c r="AM50" s="171">
        <v>18</v>
      </c>
      <c r="AN50" s="168">
        <f t="shared" ref="AN50" si="814">IF(AO50&gt;0,AO49," ")</f>
        <v>3619777</v>
      </c>
      <c r="AO50" s="168">
        <v>3622302</v>
      </c>
      <c r="AP50" s="167">
        <f t="shared" ref="AP50" si="815">IFERROR((AO50-AN50)," ")</f>
        <v>2525</v>
      </c>
      <c r="AQ50" s="166"/>
      <c r="AR50" s="166" t="str">
        <f t="shared" ref="AR50" si="816">IFERROR(+AU50/(AQ50*3.6)," ")</f>
        <v xml:space="preserve"> </v>
      </c>
      <c r="AS50" s="168" t="str">
        <f t="shared" ref="AS50" si="817">IF(AT50&gt;0,AT49," ")</f>
        <v xml:space="preserve"> </v>
      </c>
      <c r="AT50" s="168"/>
      <c r="AU50" s="166" t="str">
        <f t="shared" ref="AU50" si="818">IFERROR((AT50-AS50)," ")</f>
        <v xml:space="preserve"> </v>
      </c>
      <c r="AV50" s="167">
        <f>+BDFUENTES[[#This Row],[PZ TM m3/día]]/3.6/BDFUENTES[[#This Row],[PZ TM Horas Activo]]</f>
        <v>11.425925925925926</v>
      </c>
      <c r="AW50" s="167">
        <v>15</v>
      </c>
      <c r="AX50" s="169">
        <f t="shared" ref="AX50" si="819">IF(AY50&gt;0,AY49," ")</f>
        <v>591390</v>
      </c>
      <c r="AY50" s="169">
        <v>592007</v>
      </c>
      <c r="AZ50" s="167">
        <f t="shared" ref="AZ50" si="820">IFERROR((AY50-AX50)," ")</f>
        <v>617</v>
      </c>
      <c r="BA50" s="166">
        <v>125</v>
      </c>
      <c r="BB50" s="166">
        <f t="shared" ref="BB50" si="821">IFERROR(+BE50/(BA50*3.6)," ")</f>
        <v>5.275555555555556</v>
      </c>
      <c r="BC50" s="168">
        <f t="shared" ref="BC50" si="822">IF(BD50&gt;0,BD49," ")</f>
        <v>5953947</v>
      </c>
      <c r="BD50" s="168">
        <v>5956321</v>
      </c>
      <c r="BE50" s="166">
        <f t="shared" ref="BE50" si="823">IFERROR((BD50-BC50)," ")</f>
        <v>2374</v>
      </c>
      <c r="BF50" s="167">
        <v>20</v>
      </c>
      <c r="BG50" s="166">
        <f t="shared" ref="BG50" si="824">IFERROR(+BJ50/(BF50*3.6)," ")</f>
        <v>17.486111111111111</v>
      </c>
      <c r="BH50" s="168">
        <f t="shared" ref="BH50" si="825">IF(BI50&gt;0,BI49," ")</f>
        <v>1578426</v>
      </c>
      <c r="BI50" s="168">
        <v>1579685</v>
      </c>
      <c r="BJ50" s="167">
        <f t="shared" ref="BJ50" si="826">IFERROR((BI50-BH50)," ")</f>
        <v>1259</v>
      </c>
      <c r="BK50" s="166">
        <v>70</v>
      </c>
      <c r="BL50" s="166">
        <f t="shared" ref="BL50" si="827">IFERROR(+BO50/(BK50*3.6)," ")</f>
        <v>12.75</v>
      </c>
      <c r="BM50" s="168">
        <f t="shared" ref="BM50" si="828">IF(BN50&gt;0,BN49," ")</f>
        <v>6289361</v>
      </c>
      <c r="BN50" s="168">
        <v>6292574</v>
      </c>
      <c r="BO50" s="166">
        <f t="shared" ref="BO50" si="829">IFERROR((BN50-BM50)," ")</f>
        <v>3213</v>
      </c>
    </row>
    <row r="51" spans="1:67" ht="15" customHeight="1" x14ac:dyDescent="0.25">
      <c r="B51" s="170">
        <v>46069</v>
      </c>
      <c r="C51" s="164">
        <v>38</v>
      </c>
      <c r="D51" s="166">
        <f t="shared" ref="D51" si="830">IFERROR(+G51/(C51*3.6)," ")</f>
        <v>17.200292397660817</v>
      </c>
      <c r="E51" s="168">
        <f t="shared" si="527"/>
        <v>3822180</v>
      </c>
      <c r="F51" s="168">
        <v>3824533</v>
      </c>
      <c r="G51" s="166">
        <f t="shared" si="528"/>
        <v>2353</v>
      </c>
      <c r="H51" s="167">
        <v>25</v>
      </c>
      <c r="I51" s="167">
        <f t="shared" ref="I51" si="831">IFERROR(+L51/(H51*3.6)," ")</f>
        <v>0</v>
      </c>
      <c r="J51" s="168">
        <f t="shared" ref="J51" si="832">IF(K51&gt;0,K50," ")</f>
        <v>1970853</v>
      </c>
      <c r="K51" s="266">
        <v>1970853</v>
      </c>
      <c r="L51" s="167">
        <f t="shared" ref="L51" si="833">IFERROR((K51-J51)," ")</f>
        <v>0</v>
      </c>
      <c r="M51" s="166">
        <v>38</v>
      </c>
      <c r="N51" s="166">
        <f t="shared" ref="N51" si="834">IFERROR(+Q51/(M51*3.6)," ")</f>
        <v>0</v>
      </c>
      <c r="O51" s="168">
        <f t="shared" ref="O51" si="835">IF(P51&gt;0,P50," ")</f>
        <v>414656</v>
      </c>
      <c r="P51" s="168">
        <v>414656</v>
      </c>
      <c r="Q51" s="166">
        <f t="shared" ref="Q51" si="836">IFERROR((P51-O51)," ")</f>
        <v>0</v>
      </c>
      <c r="R51" s="167">
        <f>+BDFUENTES[[#This Row],[PZ MED m3/día]]/3.6/BDFUENTES[[#This Row],[PZ MED Horas Activo]]</f>
        <v>2.0175438596491229</v>
      </c>
      <c r="S51" s="167">
        <v>19</v>
      </c>
      <c r="T51" s="168">
        <f t="shared" ref="T51" si="837">IF(U51&gt;0,U50," ")</f>
        <v>295077</v>
      </c>
      <c r="U51" s="168">
        <v>295215</v>
      </c>
      <c r="V51" s="165">
        <f t="shared" ref="V51" si="838">IFERROR((U51-T51)," ")</f>
        <v>138</v>
      </c>
      <c r="W51" s="164">
        <f t="shared" ref="W51" si="839">IFERROR((AA51/X51)/3.6," ")</f>
        <v>458.13869255740963</v>
      </c>
      <c r="X51" s="166">
        <v>24</v>
      </c>
      <c r="Y51" s="168">
        <f t="shared" ref="Y51" si="840">IF(Z51&gt;0,Z50," ")</f>
        <v>2126587.12881468</v>
      </c>
      <c r="Z51" s="168">
        <v>2166308.3118516402</v>
      </c>
      <c r="AA51" s="164">
        <f>IFERROR((Z51-Y51)," ")-BDFUENTES[[#This Row],[PZ MED m3/día]]</f>
        <v>39583.183036960196</v>
      </c>
      <c r="AB51" s="168">
        <f t="shared" ref="AB51" si="841">IFERROR(ROUNDDOWN(+AF51/(AC51*3.6),0)," ")</f>
        <v>55</v>
      </c>
      <c r="AC51" s="168">
        <v>17</v>
      </c>
      <c r="AD51" s="171">
        <f t="shared" ref="AD51" si="842">IF(AE51&gt;0,AE50," ")</f>
        <v>5296951</v>
      </c>
      <c r="AE51" s="167">
        <v>5300351</v>
      </c>
      <c r="AF51" s="165">
        <f t="shared" ref="AF51" si="843">IFERROR((AE51-AD51)," ")</f>
        <v>3400</v>
      </c>
      <c r="AG51" s="168">
        <v>40</v>
      </c>
      <c r="AH51" s="168">
        <v>24</v>
      </c>
      <c r="AI51" s="166"/>
      <c r="AJ51" s="166"/>
      <c r="AK51" s="166">
        <f t="shared" ref="AK51" si="844">IF(OR(AH51="",AG51=""),"",AH51*AG51*3.6)</f>
        <v>3456</v>
      </c>
      <c r="AL51" s="167">
        <f>+BDFUENTES[[#This Row],[PZ CHB m3/día]]/3.6/BDFUENTES[[#This Row],[PZ CHB Horas Activo]]</f>
        <v>39.938271604938272</v>
      </c>
      <c r="AM51" s="171">
        <v>18</v>
      </c>
      <c r="AN51" s="168">
        <f t="shared" ref="AN51" si="845">IF(AO51&gt;0,AO50," ")</f>
        <v>3622302</v>
      </c>
      <c r="AO51" s="168">
        <v>3624890</v>
      </c>
      <c r="AP51" s="167">
        <f t="shared" ref="AP51" si="846">IFERROR((AO51-AN51)," ")</f>
        <v>2588</v>
      </c>
      <c r="AQ51" s="166"/>
      <c r="AR51" s="166" t="str">
        <f t="shared" ref="AR51" si="847">IFERROR(+AU51/(AQ51*3.6)," ")</f>
        <v xml:space="preserve"> </v>
      </c>
      <c r="AS51" s="168" t="str">
        <f t="shared" ref="AS51" si="848">IF(AT51&gt;0,AT50," ")</f>
        <v xml:space="preserve"> </v>
      </c>
      <c r="AT51" s="168"/>
      <c r="AU51" s="166" t="str">
        <f t="shared" ref="AU51" si="849">IFERROR((AT51-AS51)," ")</f>
        <v xml:space="preserve"> </v>
      </c>
      <c r="AV51" s="167">
        <f>+BDFUENTES[[#This Row],[PZ TM m3/día]]/3.6/BDFUENTES[[#This Row],[PZ TM Horas Activo]]</f>
        <v>11.555555555555555</v>
      </c>
      <c r="AW51" s="167">
        <v>15</v>
      </c>
      <c r="AX51" s="169">
        <f t="shared" ref="AX51" si="850">IF(AY51&gt;0,AY50," ")</f>
        <v>592007</v>
      </c>
      <c r="AY51" s="169">
        <v>592631</v>
      </c>
      <c r="AZ51" s="167">
        <f t="shared" ref="AZ51" si="851">IFERROR((AY51-AX51)," ")</f>
        <v>624</v>
      </c>
      <c r="BA51" s="166">
        <v>125</v>
      </c>
      <c r="BB51" s="166">
        <f t="shared" ref="BB51" si="852">IFERROR(+BE51/(BA51*3.6)," ")</f>
        <v>5.0244444444444447</v>
      </c>
      <c r="BC51" s="168">
        <f t="shared" ref="BC51" si="853">IF(BD51&gt;0,BD50," ")</f>
        <v>5956321</v>
      </c>
      <c r="BD51" s="168">
        <v>5958582</v>
      </c>
      <c r="BE51" s="166">
        <f t="shared" ref="BE51" si="854">IFERROR((BD51-BC51)," ")</f>
        <v>2261</v>
      </c>
      <c r="BF51" s="167">
        <v>20</v>
      </c>
      <c r="BG51" s="166">
        <f t="shared" ref="BG51" si="855">IFERROR(+BJ51/(BF51*3.6)," ")</f>
        <v>11.305555555555555</v>
      </c>
      <c r="BH51" s="168">
        <f t="shared" ref="BH51" si="856">IF(BI51&gt;0,BI50," ")</f>
        <v>1579685</v>
      </c>
      <c r="BI51" s="168">
        <v>1580499</v>
      </c>
      <c r="BJ51" s="167">
        <f t="shared" ref="BJ51" si="857">IFERROR((BI51-BH51)," ")</f>
        <v>814</v>
      </c>
      <c r="BK51" s="166">
        <v>70</v>
      </c>
      <c r="BL51" s="166">
        <f t="shared" ref="BL51" si="858">IFERROR(+BO51/(BK51*3.6)," ")</f>
        <v>19.107142857142858</v>
      </c>
      <c r="BM51" s="168">
        <f t="shared" ref="BM51" si="859">IF(BN51&gt;0,BN50," ")</f>
        <v>6292574</v>
      </c>
      <c r="BN51" s="168">
        <v>6297389</v>
      </c>
      <c r="BO51" s="166">
        <f t="shared" ref="BO51" si="860">IFERROR((BN51-BM51)," ")</f>
        <v>4815</v>
      </c>
    </row>
    <row r="52" spans="1:67" ht="15" customHeight="1" x14ac:dyDescent="0.25">
      <c r="B52" s="170">
        <v>46070</v>
      </c>
      <c r="C52" s="164">
        <v>38</v>
      </c>
      <c r="D52" s="166">
        <f t="shared" ref="D52" si="861">IFERROR(+G52/(C52*3.6)," ")</f>
        <v>17.178362573099413</v>
      </c>
      <c r="E52" s="168">
        <f t="shared" ref="E52" si="862">IF(F52&gt;0,F51," ")</f>
        <v>3824533</v>
      </c>
      <c r="F52" s="168">
        <v>3826883</v>
      </c>
      <c r="G52" s="166">
        <f t="shared" ref="G52" si="863">IFERROR((F52-E52)," ")</f>
        <v>2350</v>
      </c>
      <c r="H52" s="167">
        <v>25</v>
      </c>
      <c r="I52" s="167">
        <f t="shared" ref="I52" si="864">IFERROR(+L52/(H52*3.6)," ")</f>
        <v>0</v>
      </c>
      <c r="J52" s="168">
        <f t="shared" ref="J52" si="865">IF(K52&gt;0,K51," ")</f>
        <v>1970853</v>
      </c>
      <c r="K52" s="266">
        <v>1970853</v>
      </c>
      <c r="L52" s="167">
        <f t="shared" ref="L52" si="866">IFERROR((K52-J52)," ")</f>
        <v>0</v>
      </c>
      <c r="M52" s="166">
        <v>38</v>
      </c>
      <c r="N52" s="166">
        <f t="shared" ref="N52" si="867">IFERROR(+Q52/(M52*3.6)," ")</f>
        <v>0</v>
      </c>
      <c r="O52" s="168">
        <f t="shared" ref="O52" si="868">IF(P52&gt;0,P51," ")</f>
        <v>414656</v>
      </c>
      <c r="P52" s="168">
        <v>414656</v>
      </c>
      <c r="Q52" s="166">
        <f t="shared" ref="Q52" si="869">IFERROR((P52-O52)," ")</f>
        <v>0</v>
      </c>
      <c r="R52" s="167">
        <f>+BDFUENTES[[#This Row],[PZ MED m3/día]]/3.6/BDFUENTES[[#This Row],[PZ MED Horas Activo]]</f>
        <v>29.43287037037037</v>
      </c>
      <c r="S52" s="167">
        <v>24</v>
      </c>
      <c r="T52" s="168">
        <f t="shared" ref="T52" si="870">IF(U52&gt;0,U51," ")</f>
        <v>295215</v>
      </c>
      <c r="U52" s="168">
        <v>297758</v>
      </c>
      <c r="V52" s="165">
        <f t="shared" ref="V52" si="871">IFERROR((U52-T52)," ")</f>
        <v>2543</v>
      </c>
      <c r="W52" s="164">
        <f t="shared" ref="W52" si="872">IFERROR((AA52/X52)/3.6," ")</f>
        <v>246.74055182268299</v>
      </c>
      <c r="X52" s="166">
        <v>24</v>
      </c>
      <c r="Y52" s="168">
        <f t="shared" ref="Y52" si="873">IF(Z52&gt;0,Z51," ")</f>
        <v>2166308.3118516402</v>
      </c>
      <c r="Z52" s="168">
        <v>2190169.69552912</v>
      </c>
      <c r="AA52" s="164">
        <f>IFERROR((Z52-Y52)," ")-BDFUENTES[[#This Row],[PZ MED m3/día]]</f>
        <v>21318.383677479811</v>
      </c>
      <c r="AB52" s="168">
        <f t="shared" ref="AB52" si="874">IFERROR(ROUNDDOWN(+AF52/(AC52*3.6),0)," ")</f>
        <v>60</v>
      </c>
      <c r="AC52" s="168">
        <v>5</v>
      </c>
      <c r="AD52" s="171">
        <f t="shared" ref="AD52" si="875">IF(AE52&gt;0,AE51," ")</f>
        <v>5300351</v>
      </c>
      <c r="AE52" s="167">
        <v>5301448</v>
      </c>
      <c r="AF52" s="165">
        <f t="shared" ref="AF52" si="876">IFERROR((AE52-AD52)," ")</f>
        <v>1097</v>
      </c>
      <c r="AG52" s="168">
        <v>40</v>
      </c>
      <c r="AH52" s="168">
        <v>24</v>
      </c>
      <c r="AI52" s="166"/>
      <c r="AJ52" s="166"/>
      <c r="AK52" s="166">
        <f t="shared" ref="AK52" si="877">IF(OR(AH52="",AG52=""),"",AH52*AG52*3.6)</f>
        <v>3456</v>
      </c>
      <c r="AL52" s="167">
        <f>+BDFUENTES[[#This Row],[PZ CHB m3/día]]/3.6/BDFUENTES[[#This Row],[PZ CHB Horas Activo]]</f>
        <v>37.824074074074076</v>
      </c>
      <c r="AM52" s="171">
        <v>18</v>
      </c>
      <c r="AN52" s="168">
        <f t="shared" ref="AN52" si="878">IF(AO52&gt;0,AO51," ")</f>
        <v>3624890</v>
      </c>
      <c r="AO52" s="168">
        <v>3627341</v>
      </c>
      <c r="AP52" s="167">
        <f t="shared" ref="AP52" si="879">IFERROR((AO52-AN52)," ")</f>
        <v>2451</v>
      </c>
      <c r="AQ52" s="166"/>
      <c r="AR52" s="166" t="str">
        <f t="shared" ref="AR52" si="880">IFERROR(+AU52/(AQ52*3.6)," ")</f>
        <v xml:space="preserve"> </v>
      </c>
      <c r="AS52" s="168" t="str">
        <f t="shared" ref="AS52" si="881">IF(AT52&gt;0,AT51," ")</f>
        <v xml:space="preserve"> </v>
      </c>
      <c r="AT52" s="168"/>
      <c r="AU52" s="166" t="str">
        <f t="shared" ref="AU52" si="882">IFERROR((AT52-AS52)," ")</f>
        <v xml:space="preserve"> </v>
      </c>
      <c r="AV52" s="167">
        <f>+BDFUENTES[[#This Row],[PZ TM m3/día]]/3.6/BDFUENTES[[#This Row],[PZ TM Horas Activo]]</f>
        <v>11.648148148148149</v>
      </c>
      <c r="AW52" s="167">
        <v>15</v>
      </c>
      <c r="AX52" s="169">
        <f t="shared" ref="AX52" si="883">IF(AY52&gt;0,AY51," ")</f>
        <v>592631</v>
      </c>
      <c r="AY52" s="169">
        <v>593260</v>
      </c>
      <c r="AZ52" s="167">
        <f t="shared" ref="AZ52" si="884">IFERROR((AY52-AX52)," ")</f>
        <v>629</v>
      </c>
      <c r="BA52" s="166">
        <v>125</v>
      </c>
      <c r="BB52" s="166">
        <f t="shared" ref="BB52" si="885">IFERROR(+BE52/(BA52*3.6)," ")</f>
        <v>5.0422222222222226</v>
      </c>
      <c r="BC52" s="168">
        <f t="shared" ref="BC52" si="886">IF(BD52&gt;0,BD51," ")</f>
        <v>5958582</v>
      </c>
      <c r="BD52" s="168">
        <v>5960851</v>
      </c>
      <c r="BE52" s="166">
        <f t="shared" ref="BE52" si="887">IFERROR((BD52-BC52)," ")</f>
        <v>2269</v>
      </c>
      <c r="BF52" s="167">
        <v>20</v>
      </c>
      <c r="BG52" s="166">
        <f t="shared" ref="BG52" si="888">IFERROR(+BJ52/(BF52*3.6)," ")</f>
        <v>14.888888888888889</v>
      </c>
      <c r="BH52" s="168">
        <f t="shared" ref="BH52" si="889">IF(BI52&gt;0,BI51," ")</f>
        <v>1580499</v>
      </c>
      <c r="BI52" s="168">
        <v>1581571</v>
      </c>
      <c r="BJ52" s="167">
        <f t="shared" ref="BJ52" si="890">IFERROR((BI52-BH52)," ")</f>
        <v>1072</v>
      </c>
      <c r="BK52" s="166">
        <v>70</v>
      </c>
      <c r="BL52" s="166">
        <f t="shared" ref="BL52" si="891">IFERROR(+BO52/(BK52*3.6)," ")</f>
        <v>9.912698412698413</v>
      </c>
      <c r="BM52" s="168">
        <f t="shared" ref="BM52" si="892">IF(BN52&gt;0,BN51," ")</f>
        <v>6297389</v>
      </c>
      <c r="BN52" s="168">
        <v>6299887</v>
      </c>
      <c r="BO52" s="166">
        <f t="shared" ref="BO52" si="893">IFERROR((BN52-BM52)," ")</f>
        <v>2498</v>
      </c>
    </row>
    <row r="53" spans="1:67" ht="15" customHeight="1" x14ac:dyDescent="0.25">
      <c r="B53" s="170">
        <v>46071</v>
      </c>
      <c r="C53" s="164">
        <v>38</v>
      </c>
      <c r="D53" s="166">
        <f t="shared" ref="D53" si="894">IFERROR(+G53/(C53*3.6)," ")</f>
        <v>16.805555555555554</v>
      </c>
      <c r="E53" s="168">
        <f t="shared" ref="E53" si="895">IF(F53&gt;0,F52," ")</f>
        <v>3826883</v>
      </c>
      <c r="F53" s="168">
        <v>3829182</v>
      </c>
      <c r="G53" s="166">
        <f t="shared" ref="G53" si="896">IFERROR((F53-E53)," ")</f>
        <v>2299</v>
      </c>
      <c r="H53" s="167">
        <v>25</v>
      </c>
      <c r="I53" s="167">
        <f t="shared" ref="I53" si="897">IFERROR(+L53/(H53*3.6)," ")</f>
        <v>0</v>
      </c>
      <c r="J53" s="168">
        <f t="shared" ref="J53" si="898">IF(K53&gt;0,K52," ")</f>
        <v>1970853</v>
      </c>
      <c r="K53" s="266">
        <v>1970853</v>
      </c>
      <c r="L53" s="167">
        <f t="shared" ref="L53" si="899">IFERROR((K53-J53)," ")</f>
        <v>0</v>
      </c>
      <c r="M53" s="166">
        <v>38</v>
      </c>
      <c r="N53" s="166">
        <f t="shared" ref="N53" si="900">IFERROR(+Q53/(M53*3.6)," ")</f>
        <v>0</v>
      </c>
      <c r="O53" s="168">
        <f t="shared" ref="O53" si="901">IF(P53&gt;0,P52," ")</f>
        <v>414656</v>
      </c>
      <c r="P53" s="168">
        <v>414656</v>
      </c>
      <c r="Q53" s="166">
        <f t="shared" ref="Q53" si="902">IFERROR((P53-O53)," ")</f>
        <v>0</v>
      </c>
      <c r="R53" s="167">
        <f>+BDFUENTES[[#This Row],[PZ MED m3/día]]/3.6/BDFUENTES[[#This Row],[PZ MED Horas Activo]]</f>
        <v>27.592592592592592</v>
      </c>
      <c r="S53" s="167">
        <v>3</v>
      </c>
      <c r="T53" s="168">
        <f t="shared" ref="T53" si="903">IF(U53&gt;0,U52," ")</f>
        <v>297758</v>
      </c>
      <c r="U53" s="168">
        <v>298056</v>
      </c>
      <c r="V53" s="165">
        <f t="shared" ref="V53" si="904">IFERROR((U53-T53)," ")</f>
        <v>298</v>
      </c>
      <c r="W53" s="164">
        <f t="shared" ref="W53" si="905">IFERROR((AA53/X53)/3.6," ")</f>
        <v>139.63246359351885</v>
      </c>
      <c r="X53" s="166">
        <v>24</v>
      </c>
      <c r="Y53" s="168">
        <f t="shared" ref="Y53" si="906">IF(Z53&gt;0,Z52," ")</f>
        <v>2190169.69552912</v>
      </c>
      <c r="Z53" s="168">
        <v>2202531.9403836001</v>
      </c>
      <c r="AA53" s="164">
        <f>IFERROR((Z53-Y53)," ")-BDFUENTES[[#This Row],[PZ MED m3/día]]</f>
        <v>12064.244854480028</v>
      </c>
      <c r="AB53" s="168" t="str">
        <f t="shared" ref="AB53:AB54" si="907">IFERROR(ROUNDDOWN(+AF53/(AC53*3.6),0)," ")</f>
        <v xml:space="preserve"> </v>
      </c>
      <c r="AC53" s="168" t="s">
        <v>727</v>
      </c>
      <c r="AD53" s="171">
        <f t="shared" ref="AD53" si="908">IF(AE53&gt;0,AE52," ")</f>
        <v>5301448</v>
      </c>
      <c r="AE53" s="167">
        <v>5301489</v>
      </c>
      <c r="AF53" s="165">
        <f t="shared" ref="AF53" si="909">IFERROR((AE53-AD53)," ")</f>
        <v>41</v>
      </c>
      <c r="AG53" s="168">
        <v>40</v>
      </c>
      <c r="AH53" s="168">
        <v>24</v>
      </c>
      <c r="AI53" s="166"/>
      <c r="AJ53" s="166"/>
      <c r="AK53" s="166">
        <f t="shared" ref="AK53" si="910">IF(OR(AH53="",AG53=""),"",AH53*AG53*3.6)</f>
        <v>3456</v>
      </c>
      <c r="AL53" s="167">
        <f>+BDFUENTES[[#This Row],[PZ CHB m3/día]]/3.6/BDFUENTES[[#This Row],[PZ CHB Horas Activo]]</f>
        <v>38.796296296296298</v>
      </c>
      <c r="AM53" s="171">
        <v>18</v>
      </c>
      <c r="AN53" s="168">
        <f t="shared" ref="AN53" si="911">IF(AO53&gt;0,AO52," ")</f>
        <v>3627341</v>
      </c>
      <c r="AO53" s="168">
        <v>3629855</v>
      </c>
      <c r="AP53" s="167">
        <f t="shared" ref="AP53" si="912">IFERROR((AO53-AN53)," ")</f>
        <v>2514</v>
      </c>
      <c r="AQ53" s="166"/>
      <c r="AR53" s="166" t="str">
        <f t="shared" ref="AR53" si="913">IFERROR(+AU53/(AQ53*3.6)," ")</f>
        <v xml:space="preserve"> </v>
      </c>
      <c r="AS53" s="168" t="str">
        <f t="shared" ref="AS53" si="914">IF(AT53&gt;0,AT52," ")</f>
        <v xml:space="preserve"> </v>
      </c>
      <c r="AT53" s="168"/>
      <c r="AU53" s="166" t="str">
        <f t="shared" ref="AU53" si="915">IFERROR((AT53-AS53)," ")</f>
        <v xml:space="preserve"> </v>
      </c>
      <c r="AV53" s="167">
        <f>+BDFUENTES[[#This Row],[PZ TM m3/día]]/3.6/BDFUENTES[[#This Row],[PZ TM Horas Activo]]</f>
        <v>11.518518518518517</v>
      </c>
      <c r="AW53" s="167">
        <v>15</v>
      </c>
      <c r="AX53" s="169">
        <f t="shared" ref="AX53" si="916">IF(AY53&gt;0,AY52," ")</f>
        <v>593260</v>
      </c>
      <c r="AY53" s="169">
        <v>593882</v>
      </c>
      <c r="AZ53" s="167">
        <f t="shared" ref="AZ53" si="917">IFERROR((AY53-AX53)," ")</f>
        <v>622</v>
      </c>
      <c r="BA53" s="166">
        <v>125</v>
      </c>
      <c r="BB53" s="166">
        <f t="shared" ref="BB53" si="918">IFERROR(+BE53/(BA53*3.6)," ")</f>
        <v>4.9466666666666663</v>
      </c>
      <c r="BC53" s="168">
        <f t="shared" ref="BC53" si="919">IF(BD53&gt;0,BD52," ")</f>
        <v>5960851</v>
      </c>
      <c r="BD53" s="168">
        <v>5963077</v>
      </c>
      <c r="BE53" s="166">
        <f t="shared" ref="BE53" si="920">IFERROR((BD53-BC53)," ")</f>
        <v>2226</v>
      </c>
      <c r="BF53" s="167">
        <v>20</v>
      </c>
      <c r="BG53" s="166">
        <f t="shared" ref="BG53" si="921">IFERROR(+BJ53/(BF53*3.6)," ")</f>
        <v>16.041666666666668</v>
      </c>
      <c r="BH53" s="168">
        <f t="shared" ref="BH53" si="922">IF(BI53&gt;0,BI52," ")</f>
        <v>1581571</v>
      </c>
      <c r="BI53" s="168">
        <v>1582726</v>
      </c>
      <c r="BJ53" s="167">
        <f t="shared" ref="BJ53" si="923">IFERROR((BI53-BH53)," ")</f>
        <v>1155</v>
      </c>
      <c r="BK53" s="166">
        <v>70</v>
      </c>
      <c r="BL53" s="166">
        <f t="shared" ref="BL53" si="924">IFERROR(+BO53/(BK53*3.6)," ")</f>
        <v>3.0476190476190474</v>
      </c>
      <c r="BM53" s="168">
        <f t="shared" ref="BM53" si="925">IF(BN53&gt;0,BN52," ")</f>
        <v>6299887</v>
      </c>
      <c r="BN53" s="168">
        <v>6300655</v>
      </c>
      <c r="BO53" s="166">
        <f t="shared" ref="BO53" si="926">IFERROR((BN53-BM53)," ")</f>
        <v>768</v>
      </c>
    </row>
    <row r="54" spans="1:67" ht="15" customHeight="1" x14ac:dyDescent="0.25">
      <c r="B54" s="170">
        <v>46072</v>
      </c>
      <c r="C54" s="164">
        <v>38</v>
      </c>
      <c r="D54" s="166">
        <f t="shared" ref="D54" si="927">IFERROR(+G54/(C54*3.6)," ")</f>
        <v>20.153508771929822</v>
      </c>
      <c r="E54" s="168">
        <f t="shared" ref="E54" si="928">IF(F54&gt;0,F53," ")</f>
        <v>3829182</v>
      </c>
      <c r="F54" s="168">
        <v>3831939</v>
      </c>
      <c r="G54" s="166">
        <f t="shared" ref="G54" si="929">IFERROR((F54-E54)," ")</f>
        <v>2757</v>
      </c>
      <c r="H54" s="167">
        <v>25</v>
      </c>
      <c r="I54" s="167">
        <f t="shared" ref="I54" si="930">IFERROR(+L54/(H54*3.6)," ")</f>
        <v>0</v>
      </c>
      <c r="J54" s="168">
        <f t="shared" ref="J54" si="931">IF(K54&gt;0,K53," ")</f>
        <v>1970853</v>
      </c>
      <c r="K54" s="266">
        <v>1970853</v>
      </c>
      <c r="L54" s="167">
        <f t="shared" ref="L54" si="932">IFERROR((K54-J54)," ")</f>
        <v>0</v>
      </c>
      <c r="M54" s="166">
        <v>38</v>
      </c>
      <c r="N54" s="166">
        <f t="shared" ref="N54" si="933">IFERROR(+Q54/(M54*3.6)," ")</f>
        <v>0</v>
      </c>
      <c r="O54" s="168">
        <f t="shared" ref="O54" si="934">IF(P54&gt;0,P53," ")</f>
        <v>414656</v>
      </c>
      <c r="P54" s="168">
        <v>414656</v>
      </c>
      <c r="Q54" s="166">
        <f t="shared" ref="Q54" si="935">IFERROR((P54-O54)," ")</f>
        <v>0</v>
      </c>
      <c r="R54" s="167">
        <f>+BDFUENTES[[#This Row],[PZ MED m3/día]]/3.6/BDFUENTES[[#This Row],[PZ MED Horas Activo]]</f>
        <v>29.135802469135804</v>
      </c>
      <c r="S54" s="167">
        <v>18</v>
      </c>
      <c r="T54" s="168">
        <f t="shared" ref="T54" si="936">IF(U54&gt;0,U53," ")</f>
        <v>298056</v>
      </c>
      <c r="U54" s="168">
        <v>299944</v>
      </c>
      <c r="V54" s="165">
        <f t="shared" ref="V54" si="937">IFERROR((U54-T54)," ")</f>
        <v>1888</v>
      </c>
      <c r="W54" s="164">
        <f t="shared" ref="W54" si="938">IFERROR((AA54/X54)/3.6," ")</f>
        <v>275.94513806481564</v>
      </c>
      <c r="X54" s="166">
        <v>24</v>
      </c>
      <c r="Y54" s="168">
        <f t="shared" ref="Y54" si="939">IF(Z54&gt;0,Z53," ")</f>
        <v>2202531.9403836001</v>
      </c>
      <c r="Z54" s="168">
        <v>2228261.6003124001</v>
      </c>
      <c r="AA54" s="164">
        <f>IFERROR((Z54-Y54)," ")-BDFUENTES[[#This Row],[PZ MED m3/día]]</f>
        <v>23841.659928800073</v>
      </c>
      <c r="AB54" s="168">
        <f t="shared" si="907"/>
        <v>60</v>
      </c>
      <c r="AC54" s="168">
        <v>7</v>
      </c>
      <c r="AD54" s="171">
        <f t="shared" ref="AD54" si="940">IF(AE54&gt;0,AE53," ")</f>
        <v>5301489</v>
      </c>
      <c r="AE54" s="167">
        <v>5303018</v>
      </c>
      <c r="AF54" s="165">
        <f t="shared" ref="AF54" si="941">IFERROR((AE54-AD54)," ")</f>
        <v>1529</v>
      </c>
      <c r="AG54" s="168">
        <v>40</v>
      </c>
      <c r="AH54" s="168">
        <v>24</v>
      </c>
      <c r="AI54" s="166"/>
      <c r="AJ54" s="166"/>
      <c r="AK54" s="166">
        <f t="shared" ref="AK54" si="942">IF(OR(AH54="",AG54=""),"",AH54*AG54*3.6)</f>
        <v>3456</v>
      </c>
      <c r="AL54" s="167">
        <f>+BDFUENTES[[#This Row],[PZ CHB m3/día]]/3.6/BDFUENTES[[#This Row],[PZ CHB Horas Activo]]</f>
        <v>38.260233918128655</v>
      </c>
      <c r="AM54" s="171">
        <v>19</v>
      </c>
      <c r="AN54" s="168">
        <f t="shared" ref="AN54" si="943">IF(AO54&gt;0,AO53," ")</f>
        <v>3629855</v>
      </c>
      <c r="AO54" s="168">
        <v>3632472</v>
      </c>
      <c r="AP54" s="167">
        <f t="shared" ref="AP54" si="944">IFERROR((AO54-AN54)," ")</f>
        <v>2617</v>
      </c>
      <c r="AQ54" s="166"/>
      <c r="AR54" s="166" t="str">
        <f t="shared" ref="AR54" si="945">IFERROR(+AU54/(AQ54*3.6)," ")</f>
        <v xml:space="preserve"> </v>
      </c>
      <c r="AS54" s="168" t="str">
        <f t="shared" ref="AS54" si="946">IF(AT54&gt;0,AT53," ")</f>
        <v xml:space="preserve"> </v>
      </c>
      <c r="AT54" s="168"/>
      <c r="AU54" s="166" t="str">
        <f t="shared" ref="AU54" si="947">IFERROR((AT54-AS54)," ")</f>
        <v xml:space="preserve"> </v>
      </c>
      <c r="AV54" s="167">
        <f>+BDFUENTES[[#This Row],[PZ TM m3/día]]/3.6/BDFUENTES[[#This Row],[PZ TM Horas Activo]]</f>
        <v>11.30952380952381</v>
      </c>
      <c r="AW54" s="167">
        <v>14</v>
      </c>
      <c r="AX54" s="169">
        <f t="shared" ref="AX54" si="948">IF(AY54&gt;0,AY53," ")</f>
        <v>593882</v>
      </c>
      <c r="AY54" s="169">
        <v>594452</v>
      </c>
      <c r="AZ54" s="167">
        <f t="shared" ref="AZ54" si="949">IFERROR((AY54-AX54)," ")</f>
        <v>570</v>
      </c>
      <c r="BA54" s="166">
        <v>125</v>
      </c>
      <c r="BB54" s="166">
        <f t="shared" ref="BB54" si="950">IFERROR(+BE54/(BA54*3.6)," ")</f>
        <v>5.8422222222222224</v>
      </c>
      <c r="BC54" s="168">
        <f t="shared" ref="BC54" si="951">IF(BD54&gt;0,BD53," ")</f>
        <v>5963077</v>
      </c>
      <c r="BD54" s="168">
        <v>5965706</v>
      </c>
      <c r="BE54" s="166">
        <f t="shared" ref="BE54" si="952">IFERROR((BD54-BC54)," ")</f>
        <v>2629</v>
      </c>
      <c r="BF54" s="167">
        <v>20</v>
      </c>
      <c r="BG54" s="166">
        <f t="shared" ref="BG54" si="953">IFERROR(+BJ54/(BF54*3.6)," ")</f>
        <v>9.1111111111111107</v>
      </c>
      <c r="BH54" s="168">
        <f t="shared" ref="BH54" si="954">IF(BI54&gt;0,BI53," ")</f>
        <v>1582726</v>
      </c>
      <c r="BI54" s="168">
        <v>1583382</v>
      </c>
      <c r="BJ54" s="167">
        <f t="shared" ref="BJ54" si="955">IFERROR((BI54-BH54)," ")</f>
        <v>656</v>
      </c>
      <c r="BK54" s="166">
        <v>70</v>
      </c>
      <c r="BL54" s="166">
        <f t="shared" ref="BL54" si="956">IFERROR(+BO54/(BK54*3.6)," ")</f>
        <v>9.825396825396826</v>
      </c>
      <c r="BM54" s="168">
        <f t="shared" ref="BM54" si="957">IF(BN54&gt;0,BN53," ")</f>
        <v>6300655</v>
      </c>
      <c r="BN54" s="168">
        <v>6303131</v>
      </c>
      <c r="BO54" s="166">
        <f t="shared" ref="BO54" si="958">IFERROR((BN54-BM54)," ")</f>
        <v>2476</v>
      </c>
    </row>
    <row r="55" spans="1:67" ht="15" customHeight="1" x14ac:dyDescent="0.25">
      <c r="B55" s="170">
        <v>46073</v>
      </c>
      <c r="C55" s="164">
        <v>38</v>
      </c>
      <c r="D55" s="166">
        <f t="shared" ref="D55" si="959">IFERROR(+G55/(C55*3.6)," ")</f>
        <v>16.864035087719298</v>
      </c>
      <c r="E55" s="168">
        <f t="shared" ref="E55" si="960">IF(F55&gt;0,F54," ")</f>
        <v>3831939</v>
      </c>
      <c r="F55" s="168">
        <v>3834246</v>
      </c>
      <c r="G55" s="166">
        <f t="shared" ref="G55" si="961">IFERROR((F55-E55)," ")</f>
        <v>2307</v>
      </c>
      <c r="H55" s="167">
        <v>25</v>
      </c>
      <c r="I55" s="167">
        <f t="shared" ref="I55" si="962">IFERROR(+L55/(H55*3.6)," ")</f>
        <v>0</v>
      </c>
      <c r="J55" s="168">
        <f t="shared" ref="J55" si="963">IF(K55&gt;0,K54," ")</f>
        <v>1970853</v>
      </c>
      <c r="K55" s="266">
        <v>1970853</v>
      </c>
      <c r="L55" s="167">
        <f t="shared" ref="L55" si="964">IFERROR((K55-J55)," ")</f>
        <v>0</v>
      </c>
      <c r="M55" s="166">
        <v>38</v>
      </c>
      <c r="N55" s="166">
        <f t="shared" ref="N55" si="965">IFERROR(+Q55/(M55*3.6)," ")</f>
        <v>0</v>
      </c>
      <c r="O55" s="168">
        <f t="shared" ref="O55" si="966">IF(P55&gt;0,P54," ")</f>
        <v>414656</v>
      </c>
      <c r="P55" s="168">
        <v>414656</v>
      </c>
      <c r="Q55" s="166">
        <f t="shared" ref="Q55" si="967">IFERROR((P55-O55)," ")</f>
        <v>0</v>
      </c>
      <c r="R55" s="167">
        <f>+BDFUENTES[[#This Row],[PZ MED m3/día]]/3.6/BDFUENTES[[#This Row],[PZ MED Horas Activo]]</f>
        <v>29.189814814814813</v>
      </c>
      <c r="S55" s="167">
        <v>12</v>
      </c>
      <c r="T55" s="168">
        <f t="shared" ref="T55" si="968">IF(U55&gt;0,U54," ")</f>
        <v>299944</v>
      </c>
      <c r="U55" s="168">
        <v>301205</v>
      </c>
      <c r="V55" s="165">
        <f t="shared" ref="V55" si="969">IFERROR((U55-T55)," ")</f>
        <v>1261</v>
      </c>
      <c r="W55" s="164">
        <f t="shared" ref="W55" si="970">IFERROR((AA55/X55)/3.6," ")</f>
        <v>377.52873953981583</v>
      </c>
      <c r="X55" s="166">
        <v>24</v>
      </c>
      <c r="Y55" s="168">
        <f t="shared" ref="Y55" si="971">IF(Z55&gt;0,Z54," ")</f>
        <v>2228261.6003124001</v>
      </c>
      <c r="Z55" s="168">
        <v>2262141.0834086402</v>
      </c>
      <c r="AA55" s="164">
        <f>IFERROR((Z55-Y55)," ")-BDFUENTES[[#This Row],[PZ MED m3/día]]</f>
        <v>32618.483096240088</v>
      </c>
      <c r="AB55" s="168">
        <f t="shared" ref="AB55" si="972">IFERROR(ROUNDDOWN(+AF55/(AC55*3.6),0)," ")</f>
        <v>60</v>
      </c>
      <c r="AC55" s="168">
        <v>21</v>
      </c>
      <c r="AD55" s="171">
        <f t="shared" ref="AD55" si="973">IF(AE55&gt;0,AE54," ")</f>
        <v>5303018</v>
      </c>
      <c r="AE55" s="167">
        <f>AE54+(AB54*3.6*21)</f>
        <v>5307554</v>
      </c>
      <c r="AF55" s="165">
        <f t="shared" ref="AF55" si="974">IFERROR((AE55-AD55)," ")</f>
        <v>4536</v>
      </c>
      <c r="AG55" s="168">
        <v>40</v>
      </c>
      <c r="AH55" s="168">
        <v>24</v>
      </c>
      <c r="AI55" s="166"/>
      <c r="AJ55" s="166"/>
      <c r="AK55" s="166">
        <f t="shared" ref="AK55" si="975">IF(OR(AH55="",AG55=""),"",AH55*AG55*3.6)</f>
        <v>3456</v>
      </c>
      <c r="AL55" s="167">
        <f>+BDFUENTES[[#This Row],[PZ CHB m3/día]]/3.6/BDFUENTES[[#This Row],[PZ CHB Horas Activo]]</f>
        <v>39.043209876543209</v>
      </c>
      <c r="AM55" s="171">
        <v>18</v>
      </c>
      <c r="AN55" s="168">
        <f t="shared" ref="AN55" si="976">IF(AO55&gt;0,AO54," ")</f>
        <v>3632472</v>
      </c>
      <c r="AO55" s="168">
        <v>3635002</v>
      </c>
      <c r="AP55" s="167">
        <f t="shared" ref="AP55" si="977">IFERROR((AO55-AN55)," ")</f>
        <v>2530</v>
      </c>
      <c r="AQ55" s="166"/>
      <c r="AR55" s="166" t="str">
        <f t="shared" ref="AR55" si="978">IFERROR(+AU55/(AQ55*3.6)," ")</f>
        <v xml:space="preserve"> </v>
      </c>
      <c r="AS55" s="168" t="str">
        <f t="shared" ref="AS55" si="979">IF(AT55&gt;0,AT54," ")</f>
        <v xml:space="preserve"> </v>
      </c>
      <c r="AT55" s="168"/>
      <c r="AU55" s="166" t="str">
        <f t="shared" ref="AU55" si="980">IFERROR((AT55-AS55)," ")</f>
        <v xml:space="preserve"> </v>
      </c>
      <c r="AV55" s="167">
        <f>+BDFUENTES[[#This Row],[PZ TM m3/día]]/3.6/BDFUENTES[[#This Row],[PZ TM Horas Activo]]</f>
        <v>11.222222222222223</v>
      </c>
      <c r="AW55" s="167">
        <v>15</v>
      </c>
      <c r="AX55" s="169">
        <f t="shared" ref="AX55" si="981">IF(AY55&gt;0,AY54," ")</f>
        <v>594452</v>
      </c>
      <c r="AY55" s="169">
        <v>595058</v>
      </c>
      <c r="AZ55" s="167">
        <f t="shared" ref="AZ55" si="982">IFERROR((AY55-AX55)," ")</f>
        <v>606</v>
      </c>
      <c r="BA55" s="166">
        <v>125</v>
      </c>
      <c r="BB55" s="166">
        <f t="shared" ref="BB55" si="983">IFERROR(+BE55/(BA55*3.6)," ")</f>
        <v>4.746666666666667</v>
      </c>
      <c r="BC55" s="168">
        <f t="shared" ref="BC55" si="984">IF(BD55&gt;0,BD54," ")</f>
        <v>5965706</v>
      </c>
      <c r="BD55" s="168">
        <v>5967842</v>
      </c>
      <c r="BE55" s="166">
        <f t="shared" ref="BE55" si="985">IFERROR((BD55-BC55)," ")</f>
        <v>2136</v>
      </c>
      <c r="BF55" s="167">
        <v>20</v>
      </c>
      <c r="BG55" s="166">
        <f t="shared" ref="BG55" si="986">IFERROR(+BJ55/(BF55*3.6)," ")</f>
        <v>17.902777777777779</v>
      </c>
      <c r="BH55" s="168">
        <f t="shared" ref="BH55" si="987">IF(BI55&gt;0,BI54," ")</f>
        <v>1583382</v>
      </c>
      <c r="BI55" s="168">
        <v>1584671</v>
      </c>
      <c r="BJ55" s="167">
        <f t="shared" ref="BJ55" si="988">IFERROR((BI55-BH55)," ")</f>
        <v>1289</v>
      </c>
      <c r="BK55" s="166">
        <v>70</v>
      </c>
      <c r="BL55" s="166">
        <f t="shared" ref="BL55" si="989">IFERROR(+BO55/(BK55*3.6)," ")</f>
        <v>20.226190476190474</v>
      </c>
      <c r="BM55" s="168">
        <f t="shared" ref="BM55" si="990">IF(BN55&gt;0,BN54," ")</f>
        <v>6303131</v>
      </c>
      <c r="BN55" s="168">
        <v>6308228</v>
      </c>
      <c r="BO55" s="166">
        <f t="shared" ref="BO55" si="991">IFERROR((BN55-BM55)," ")</f>
        <v>5097</v>
      </c>
    </row>
    <row r="56" spans="1:67" ht="15" customHeight="1" x14ac:dyDescent="0.25">
      <c r="B56" s="170">
        <v>46074</v>
      </c>
      <c r="C56" s="164">
        <v>38</v>
      </c>
      <c r="D56" s="166">
        <f t="shared" ref="D56" si="992">IFERROR(+G56/(C56*3.6)," ")</f>
        <v>4.3421052631578947</v>
      </c>
      <c r="E56" s="168">
        <f t="shared" ref="E56" si="993">IF(F56&gt;0,F55," ")</f>
        <v>3834246</v>
      </c>
      <c r="F56" s="168">
        <v>3834840</v>
      </c>
      <c r="G56" s="166">
        <f t="shared" ref="G56" si="994">IFERROR((F56-E56)," ")</f>
        <v>594</v>
      </c>
      <c r="H56" s="167">
        <v>25</v>
      </c>
      <c r="I56" s="167">
        <f t="shared" ref="I56" si="995">IFERROR(+L56/(H56*3.6)," ")</f>
        <v>0</v>
      </c>
      <c r="J56" s="168">
        <f t="shared" ref="J56" si="996">IF(K56&gt;0,K55," ")</f>
        <v>1970853</v>
      </c>
      <c r="K56" s="266">
        <v>1970853</v>
      </c>
      <c r="L56" s="167">
        <f t="shared" ref="L56" si="997">IFERROR((K56-J56)," ")</f>
        <v>0</v>
      </c>
      <c r="M56" s="166">
        <v>38</v>
      </c>
      <c r="N56" s="166">
        <f t="shared" ref="N56" si="998">IFERROR(+Q56/(M56*3.6)," ")</f>
        <v>0</v>
      </c>
      <c r="O56" s="168">
        <f t="shared" ref="O56" si="999">IF(P56&gt;0,P55," ")</f>
        <v>414656</v>
      </c>
      <c r="P56" s="168">
        <v>414656</v>
      </c>
      <c r="Q56" s="166">
        <f t="shared" ref="Q56" si="1000">IFERROR((P56-O56)," ")</f>
        <v>0</v>
      </c>
      <c r="R56" s="167">
        <f>+BDFUENTES[[#This Row],[PZ MED m3/día]]/3.6/BDFUENTES[[#This Row],[PZ MED Horas Activo]]</f>
        <v>0</v>
      </c>
      <c r="S56" s="167">
        <v>12</v>
      </c>
      <c r="T56" s="168">
        <f t="shared" ref="T56" si="1001">IF(U56&gt;0,U55," ")</f>
        <v>301205</v>
      </c>
      <c r="U56" s="168">
        <v>301205</v>
      </c>
      <c r="V56" s="165">
        <f t="shared" ref="V56" si="1002">IFERROR((U56-T56)," ")</f>
        <v>0</v>
      </c>
      <c r="W56" s="164">
        <f t="shared" ref="W56" si="1003">IFERROR((AA56/X56)/3.6," ")</f>
        <v>425.21282957129489</v>
      </c>
      <c r="X56" s="166">
        <v>24</v>
      </c>
      <c r="Y56" s="168">
        <f t="shared" ref="Y56" si="1004">IF(Z56&gt;0,Z55," ")</f>
        <v>2262141.0834086402</v>
      </c>
      <c r="Z56" s="168">
        <v>2298879.4718836001</v>
      </c>
      <c r="AA56" s="164">
        <f>IFERROR((Z56-Y56)," ")-BDFUENTES[[#This Row],[PZ MED m3/día]]</f>
        <v>36738.38847495988</v>
      </c>
      <c r="AB56" s="168">
        <f t="shared" ref="AB56" si="1005">IFERROR(ROUNDDOWN(+AF56/(AC56*3.6),0)," ")</f>
        <v>60</v>
      </c>
      <c r="AC56" s="168">
        <v>20</v>
      </c>
      <c r="AD56" s="171">
        <f t="shared" ref="AD56" si="1006">IF(AE56&gt;0,AE55," ")</f>
        <v>5307554</v>
      </c>
      <c r="AE56" s="167">
        <f>AE55+(AB55*3.6*20)</f>
        <v>5311874</v>
      </c>
      <c r="AF56" s="165">
        <f t="shared" ref="AF56" si="1007">IFERROR((AE56-AD56)," ")</f>
        <v>4320</v>
      </c>
      <c r="AG56" s="168">
        <v>40</v>
      </c>
      <c r="AH56" s="168">
        <v>24</v>
      </c>
      <c r="AI56" s="166"/>
      <c r="AJ56" s="166"/>
      <c r="AK56" s="166">
        <f t="shared" ref="AK56" si="1008">IF(OR(AH56="",AG56=""),"",AH56*AG56*3.6)</f>
        <v>3456</v>
      </c>
      <c r="AL56" s="167">
        <f>+BDFUENTES[[#This Row],[PZ CHB m3/día]]/3.6/BDFUENTES[[#This Row],[PZ CHB Horas Activo]]</f>
        <v>39.830246913580247</v>
      </c>
      <c r="AM56" s="171">
        <v>18</v>
      </c>
      <c r="AN56" s="168">
        <f t="shared" ref="AN56" si="1009">IF(AO56&gt;0,AO55," ")</f>
        <v>3635002</v>
      </c>
      <c r="AO56" s="168">
        <v>3637583</v>
      </c>
      <c r="AP56" s="167">
        <f t="shared" ref="AP56" si="1010">IFERROR((AO56-AN56)," ")</f>
        <v>2581</v>
      </c>
      <c r="AQ56" s="166"/>
      <c r="AR56" s="166" t="str">
        <f t="shared" ref="AR56" si="1011">IFERROR(+AU56/(AQ56*3.6)," ")</f>
        <v xml:space="preserve"> </v>
      </c>
      <c r="AS56" s="168" t="str">
        <f t="shared" ref="AS56" si="1012">IF(AT56&gt;0,AT55," ")</f>
        <v xml:space="preserve"> </v>
      </c>
      <c r="AT56" s="168"/>
      <c r="AU56" s="166" t="str">
        <f t="shared" ref="AU56" si="1013">IFERROR((AT56-AS56)," ")</f>
        <v xml:space="preserve"> </v>
      </c>
      <c r="AV56" s="167">
        <f>+BDFUENTES[[#This Row],[PZ TM m3/día]]/3.6/BDFUENTES[[#This Row],[PZ TM Horas Activo]]</f>
        <v>11.089743589743589</v>
      </c>
      <c r="AW56" s="167">
        <v>13</v>
      </c>
      <c r="AX56" s="169">
        <f t="shared" ref="AX56" si="1014">IF(AY56&gt;0,AY55," ")</f>
        <v>595058</v>
      </c>
      <c r="AY56" s="169">
        <v>595577</v>
      </c>
      <c r="AZ56" s="167">
        <f t="shared" ref="AZ56" si="1015">IFERROR((AY56-AX56)," ")</f>
        <v>519</v>
      </c>
      <c r="BA56" s="166">
        <v>125</v>
      </c>
      <c r="BB56" s="166">
        <f t="shared" ref="BB56" si="1016">IFERROR(+BE56/(BA56*3.6)," ")</f>
        <v>0.95111111111111113</v>
      </c>
      <c r="BC56" s="168">
        <f t="shared" ref="BC56" si="1017">IF(BD56&gt;0,BD55," ")</f>
        <v>5967842</v>
      </c>
      <c r="BD56" s="168">
        <v>5968270</v>
      </c>
      <c r="BE56" s="166">
        <f t="shared" ref="BE56" si="1018">IFERROR((BD56-BC56)," ")</f>
        <v>428</v>
      </c>
      <c r="BF56" s="167">
        <v>20</v>
      </c>
      <c r="BG56" s="166">
        <f t="shared" ref="BG56" si="1019">IFERROR(+BJ56/(BF56*3.6)," ")</f>
        <v>18.666666666666668</v>
      </c>
      <c r="BH56" s="168">
        <f t="shared" ref="BH56" si="1020">IF(BI56&gt;0,BI55," ")</f>
        <v>1584671</v>
      </c>
      <c r="BI56" s="168">
        <v>1586015</v>
      </c>
      <c r="BJ56" s="167">
        <f t="shared" ref="BJ56" si="1021">IFERROR((BI56-BH56)," ")</f>
        <v>1344</v>
      </c>
      <c r="BK56" s="166">
        <v>70</v>
      </c>
      <c r="BL56" s="166">
        <f t="shared" ref="BL56" si="1022">IFERROR(+BO56/(BK56*3.6)," ")</f>
        <v>16.543650793650794</v>
      </c>
      <c r="BM56" s="168">
        <f t="shared" ref="BM56" si="1023">IF(BN56&gt;0,BN55," ")</f>
        <v>6308228</v>
      </c>
      <c r="BN56" s="168">
        <v>6312397</v>
      </c>
      <c r="BO56" s="166">
        <f t="shared" ref="BO56" si="1024">IFERROR((BN56-BM56)," ")</f>
        <v>4169</v>
      </c>
    </row>
    <row r="57" spans="1:67" ht="15" customHeight="1" x14ac:dyDescent="0.25">
      <c r="B57" s="170">
        <v>46075</v>
      </c>
      <c r="C57" s="164">
        <v>38</v>
      </c>
      <c r="D57" s="166">
        <f t="shared" ref="D57" si="1025">IFERROR(+G57/(C57*3.6)," ")</f>
        <v>1.3084795321637426</v>
      </c>
      <c r="E57" s="168">
        <f t="shared" ref="E57" si="1026">IF(F57&gt;0,F56," ")</f>
        <v>3834840</v>
      </c>
      <c r="F57" s="168">
        <v>3835019</v>
      </c>
      <c r="G57" s="166">
        <f t="shared" ref="G57" si="1027">IFERROR((F57-E57)," ")</f>
        <v>179</v>
      </c>
      <c r="H57" s="167">
        <v>25</v>
      </c>
      <c r="I57" s="167">
        <f t="shared" ref="I57" si="1028">IFERROR(+L57/(H57*3.6)," ")</f>
        <v>0</v>
      </c>
      <c r="J57" s="168">
        <f t="shared" ref="J57" si="1029">IF(K57&gt;0,K56," ")</f>
        <v>1970853</v>
      </c>
      <c r="K57" s="266">
        <v>1970853</v>
      </c>
      <c r="L57" s="167">
        <f t="shared" ref="L57" si="1030">IFERROR((K57-J57)," ")</f>
        <v>0</v>
      </c>
      <c r="M57" s="166">
        <v>38</v>
      </c>
      <c r="N57" s="166">
        <f t="shared" ref="N57" si="1031">IFERROR(+Q57/(M57*3.6)," ")</f>
        <v>0</v>
      </c>
      <c r="O57" s="168">
        <f t="shared" ref="O57" si="1032">IF(P57&gt;0,P56," ")</f>
        <v>414656</v>
      </c>
      <c r="P57" s="168">
        <v>414656</v>
      </c>
      <c r="Q57" s="166">
        <f t="shared" ref="Q57" si="1033">IFERROR((P57-O57)," ")</f>
        <v>0</v>
      </c>
      <c r="R57" s="167">
        <f>+BDFUENTES[[#This Row],[PZ MED m3/día]]/3.6/BDFUENTES[[#This Row],[PZ MED Horas Activo]]</f>
        <v>28.034188034188034</v>
      </c>
      <c r="S57" s="167">
        <v>13</v>
      </c>
      <c r="T57" s="168">
        <f t="shared" ref="T57" si="1034">IF(U57&gt;0,U56," ")</f>
        <v>301205</v>
      </c>
      <c r="U57" s="168">
        <v>302517</v>
      </c>
      <c r="V57" s="165">
        <f t="shared" ref="V57" si="1035">IFERROR((U57-T57)," ")</f>
        <v>1312</v>
      </c>
      <c r="W57" s="164">
        <f t="shared" ref="W57" si="1036">IFERROR((AA57/X57)/3.6," ")</f>
        <v>433.52176917407496</v>
      </c>
      <c r="X57" s="166">
        <v>24</v>
      </c>
      <c r="Y57" s="168">
        <f t="shared" ref="Y57" si="1037">IF(Z57&gt;0,Z56," ")</f>
        <v>2298879.4718836001</v>
      </c>
      <c r="Z57" s="168">
        <v>2337647.7527402402</v>
      </c>
      <c r="AA57" s="164">
        <f>IFERROR((Z57-Y57)," ")-BDFUENTES[[#This Row],[PZ MED m3/día]]</f>
        <v>37456.280856640078</v>
      </c>
      <c r="AB57" s="168">
        <f t="shared" ref="AB57" si="1038">IFERROR(ROUNDDOWN(+AF57/(AC57*3.6),0)," ")</f>
        <v>60</v>
      </c>
      <c r="AC57" s="168">
        <v>16</v>
      </c>
      <c r="AD57" s="171">
        <f t="shared" ref="AD57" si="1039">IF(AE57&gt;0,AE56," ")</f>
        <v>5311874</v>
      </c>
      <c r="AE57" s="167">
        <f>AE56+(AB56*3.6*16)</f>
        <v>5315330</v>
      </c>
      <c r="AF57" s="165">
        <f t="shared" ref="AF57" si="1040">IFERROR((AE57-AD57)," ")</f>
        <v>3456</v>
      </c>
      <c r="AG57" s="168">
        <v>40</v>
      </c>
      <c r="AH57" s="168">
        <v>24</v>
      </c>
      <c r="AI57" s="166"/>
      <c r="AJ57" s="166"/>
      <c r="AK57" s="166">
        <f t="shared" ref="AK57" si="1041">IF(OR(AH57="",AG57=""),"",AH57*AG57*3.6)</f>
        <v>3456</v>
      </c>
      <c r="AL57" s="167">
        <f>+BDFUENTES[[#This Row],[PZ CHB m3/día]]/3.6/BDFUENTES[[#This Row],[PZ CHB Horas Activo]]</f>
        <v>38.741830065359473</v>
      </c>
      <c r="AM57" s="171">
        <v>17</v>
      </c>
      <c r="AN57" s="168">
        <f t="shared" ref="AN57" si="1042">IF(AO57&gt;0,AO56," ")</f>
        <v>3637583</v>
      </c>
      <c r="AO57" s="168">
        <v>3639954</v>
      </c>
      <c r="AP57" s="167">
        <f t="shared" ref="AP57" si="1043">IFERROR((AO57-AN57)," ")</f>
        <v>2371</v>
      </c>
      <c r="AQ57" s="166"/>
      <c r="AR57" s="166" t="str">
        <f t="shared" ref="AR57" si="1044">IFERROR(+AU57/(AQ57*3.6)," ")</f>
        <v xml:space="preserve"> </v>
      </c>
      <c r="AS57" s="168" t="str">
        <f t="shared" ref="AS57" si="1045">IF(AT57&gt;0,AT56," ")</f>
        <v xml:space="preserve"> </v>
      </c>
      <c r="AT57" s="168"/>
      <c r="AU57" s="166" t="str">
        <f t="shared" ref="AU57" si="1046">IFERROR((AT57-AS57)," ")</f>
        <v xml:space="preserve"> </v>
      </c>
      <c r="AV57" s="167">
        <f>+BDFUENTES[[#This Row],[PZ TM m3/día]]/3.6/BDFUENTES[[#This Row],[PZ TM Horas Activo]]</f>
        <v>11.703703703703702</v>
      </c>
      <c r="AW57" s="167">
        <v>15</v>
      </c>
      <c r="AX57" s="169">
        <f t="shared" ref="AX57" si="1047">IF(AY57&gt;0,AY56," ")</f>
        <v>595577</v>
      </c>
      <c r="AY57" s="169">
        <v>596209</v>
      </c>
      <c r="AZ57" s="167">
        <f t="shared" ref="AZ57" si="1048">IFERROR((AY57-AX57)," ")</f>
        <v>632</v>
      </c>
      <c r="BA57" s="166">
        <v>125</v>
      </c>
      <c r="BB57" s="166">
        <f t="shared" ref="BB57" si="1049">IFERROR(+BE57/(BA57*3.6)," ")</f>
        <v>0.21333333333333335</v>
      </c>
      <c r="BC57" s="168">
        <f t="shared" ref="BC57" si="1050">IF(BD57&gt;0,BD56," ")</f>
        <v>5968270</v>
      </c>
      <c r="BD57" s="168">
        <v>5968366</v>
      </c>
      <c r="BE57" s="166">
        <f t="shared" ref="BE57" si="1051">IFERROR((BD57-BC57)," ")</f>
        <v>96</v>
      </c>
      <c r="BF57" s="167">
        <v>20</v>
      </c>
      <c r="BG57" s="166">
        <f t="shared" ref="BG57" si="1052">IFERROR(+BJ57/(BF57*3.6)," ")</f>
        <v>16.263888888888889</v>
      </c>
      <c r="BH57" s="168">
        <f t="shared" ref="BH57" si="1053">IF(BI57&gt;0,BI56," ")</f>
        <v>1586015</v>
      </c>
      <c r="BI57" s="168">
        <v>1587186</v>
      </c>
      <c r="BJ57" s="167">
        <f t="shared" ref="BJ57" si="1054">IFERROR((BI57-BH57)," ")</f>
        <v>1171</v>
      </c>
      <c r="BK57" s="166">
        <v>70</v>
      </c>
      <c r="BL57" s="166">
        <f t="shared" ref="BL57" si="1055">IFERROR(+BO57/(BK57*3.6)," ")</f>
        <v>19</v>
      </c>
      <c r="BM57" s="168">
        <f t="shared" ref="BM57" si="1056">IF(BN57&gt;0,BN56," ")</f>
        <v>6312397</v>
      </c>
      <c r="BN57" s="168">
        <v>6317185</v>
      </c>
      <c r="BO57" s="166">
        <f t="shared" ref="BO57" si="1057">IFERROR((BN57-BM57)," ")</f>
        <v>4788</v>
      </c>
    </row>
    <row r="58" spans="1:67" ht="15" customHeight="1" x14ac:dyDescent="0.25">
      <c r="B58" s="170">
        <v>46076</v>
      </c>
      <c r="C58" s="164">
        <v>38</v>
      </c>
      <c r="D58" s="166">
        <f t="shared" ref="D58" si="1058">IFERROR(+G58/(C58*3.6)," ")</f>
        <v>10.175438596491228</v>
      </c>
      <c r="E58" s="168">
        <f t="shared" ref="E58" si="1059">IF(F58&gt;0,F57," ")</f>
        <v>3835019</v>
      </c>
      <c r="F58" s="168">
        <v>3836411</v>
      </c>
      <c r="G58" s="166">
        <f t="shared" ref="G58" si="1060">IFERROR((F58-E58)," ")</f>
        <v>1392</v>
      </c>
      <c r="H58" s="167">
        <v>25</v>
      </c>
      <c r="I58" s="167">
        <f t="shared" ref="I58" si="1061">IFERROR(+L58/(H58*3.6)," ")</f>
        <v>0</v>
      </c>
      <c r="J58" s="168">
        <f t="shared" ref="J58" si="1062">IF(K58&gt;0,K57," ")</f>
        <v>1970853</v>
      </c>
      <c r="K58" s="266">
        <v>1970853</v>
      </c>
      <c r="L58" s="167">
        <f t="shared" ref="L58" si="1063">IFERROR((K58-J58)," ")</f>
        <v>0</v>
      </c>
      <c r="M58" s="166">
        <v>38</v>
      </c>
      <c r="N58" s="166">
        <f t="shared" ref="N58" si="1064">IFERROR(+Q58/(M58*3.6)," ")</f>
        <v>0</v>
      </c>
      <c r="O58" s="168">
        <f t="shared" ref="O58" si="1065">IF(P58&gt;0,P57," ")</f>
        <v>414656</v>
      </c>
      <c r="P58" s="168">
        <v>414656</v>
      </c>
      <c r="Q58" s="166">
        <f t="shared" ref="Q58" si="1066">IFERROR((P58-O58)," ")</f>
        <v>0</v>
      </c>
      <c r="R58" s="167">
        <f>+BDFUENTES[[#This Row],[PZ MED m3/día]]/3.6/BDFUENTES[[#This Row],[PZ MED Horas Activo]]</f>
        <v>29.922839506172838</v>
      </c>
      <c r="S58" s="167">
        <v>18</v>
      </c>
      <c r="T58" s="168">
        <f t="shared" ref="T58" si="1067">IF(U58&gt;0,U57," ")</f>
        <v>302517</v>
      </c>
      <c r="U58" s="168">
        <v>304456</v>
      </c>
      <c r="V58" s="165">
        <f t="shared" ref="V58" si="1068">IFERROR((U58-T58)," ")</f>
        <v>1939</v>
      </c>
      <c r="W58" s="164">
        <f t="shared" ref="W58" si="1069">IFERROR((AA58/X58)/3.6," ")</f>
        <v>319.32600995092395</v>
      </c>
      <c r="X58" s="166">
        <v>24</v>
      </c>
      <c r="Y58" s="168">
        <f t="shared" ref="Y58" si="1070">IF(Z58&gt;0,Z57," ")</f>
        <v>2337647.7527402402</v>
      </c>
      <c r="Z58" s="168">
        <v>2367176.52</v>
      </c>
      <c r="AA58" s="164">
        <f>IFERROR((Z58-Y58)," ")-BDFUENTES[[#This Row],[PZ MED m3/día]]</f>
        <v>27589.767259759828</v>
      </c>
      <c r="AB58" s="168">
        <f t="shared" ref="AB58:AB59" si="1071">IFERROR(ROUNDDOWN(+AF58/(AC58*3.6),0)," ")</f>
        <v>60</v>
      </c>
      <c r="AC58" s="168">
        <v>15</v>
      </c>
      <c r="AD58" s="171">
        <f t="shared" ref="AD58" si="1072">IF(AE58&gt;0,AE57," ")</f>
        <v>5315330</v>
      </c>
      <c r="AE58" s="167">
        <v>5318588</v>
      </c>
      <c r="AF58" s="165">
        <f t="shared" si="601"/>
        <v>3258</v>
      </c>
      <c r="AG58" s="168">
        <v>40</v>
      </c>
      <c r="AH58" s="168">
        <v>24</v>
      </c>
      <c r="AI58" s="166"/>
      <c r="AJ58" s="166"/>
      <c r="AK58" s="166">
        <f t="shared" ref="AK58" si="1073">IF(OR(AH58="",AG58=""),"",AH58*AG58*3.6)</f>
        <v>3456</v>
      </c>
      <c r="AL58" s="167">
        <f>+BDFUENTES[[#This Row],[PZ CHB m3/día]]/3.6/BDFUENTES[[#This Row],[PZ CHB Horas Activo]]</f>
        <v>38.873456790123456</v>
      </c>
      <c r="AM58" s="171">
        <v>18</v>
      </c>
      <c r="AN58" s="168">
        <f t="shared" ref="AN58" si="1074">IF(AO58&gt;0,AO57," ")</f>
        <v>3639954</v>
      </c>
      <c r="AO58" s="168">
        <v>3642473</v>
      </c>
      <c r="AP58" s="167">
        <f t="shared" ref="AP58" si="1075">IFERROR((AO58-AN58)," ")</f>
        <v>2519</v>
      </c>
      <c r="AQ58" s="166"/>
      <c r="AR58" s="166" t="str">
        <f t="shared" ref="AR58" si="1076">IFERROR(+AU58/(AQ58*3.6)," ")</f>
        <v xml:space="preserve"> </v>
      </c>
      <c r="AS58" s="168" t="str">
        <f t="shared" ref="AS58" si="1077">IF(AT58&gt;0,AT57," ")</f>
        <v xml:space="preserve"> </v>
      </c>
      <c r="AT58" s="168"/>
      <c r="AU58" s="166" t="str">
        <f t="shared" ref="AU58" si="1078">IFERROR((AT58-AS58)," ")</f>
        <v xml:space="preserve"> </v>
      </c>
      <c r="AV58" s="167">
        <f>+BDFUENTES[[#This Row],[PZ TM m3/día]]/3.6/BDFUENTES[[#This Row],[PZ TM Horas Activo]]</f>
        <v>11.222222222222223</v>
      </c>
      <c r="AW58" s="167">
        <v>15</v>
      </c>
      <c r="AX58" s="169">
        <f t="shared" ref="AX58" si="1079">IF(AY58&gt;0,AY57," ")</f>
        <v>596209</v>
      </c>
      <c r="AY58" s="169">
        <v>596815</v>
      </c>
      <c r="AZ58" s="167">
        <f t="shared" ref="AZ58" si="1080">IFERROR((AY58-AX58)," ")</f>
        <v>606</v>
      </c>
      <c r="BA58" s="166">
        <v>125</v>
      </c>
      <c r="BB58" s="166">
        <f t="shared" ref="BB58" si="1081">IFERROR(+BE58/(BA58*3.6)," ")</f>
        <v>3.0711111111111111</v>
      </c>
      <c r="BC58" s="168">
        <f t="shared" ref="BC58" si="1082">IF(BD58&gt;0,BD57," ")</f>
        <v>5968366</v>
      </c>
      <c r="BD58" s="168">
        <v>5969748</v>
      </c>
      <c r="BE58" s="166">
        <f t="shared" ref="BE58" si="1083">IFERROR((BD58-BC58)," ")</f>
        <v>1382</v>
      </c>
      <c r="BF58" s="167">
        <v>20</v>
      </c>
      <c r="BG58" s="166">
        <f t="shared" ref="BG58" si="1084">IFERROR(+BJ58/(BF58*3.6)," ")</f>
        <v>16.986111111111111</v>
      </c>
      <c r="BH58" s="168">
        <f t="shared" ref="BH58" si="1085">IF(BI58&gt;0,BI57," ")</f>
        <v>1587186</v>
      </c>
      <c r="BI58" s="168">
        <v>1588409</v>
      </c>
      <c r="BJ58" s="167">
        <f t="shared" ref="BJ58" si="1086">IFERROR((BI58-BH58)," ")</f>
        <v>1223</v>
      </c>
      <c r="BK58" s="166">
        <v>70</v>
      </c>
      <c r="BL58" s="166">
        <f t="shared" ref="BL58" si="1087">IFERROR(+BO58/(BK58*3.6)," ")</f>
        <v>11.718253968253968</v>
      </c>
      <c r="BM58" s="168">
        <f t="shared" ref="BM58" si="1088">IF(BN58&gt;0,BN57," ")</f>
        <v>6317185</v>
      </c>
      <c r="BN58" s="168">
        <v>6320138</v>
      </c>
      <c r="BO58" s="166">
        <f t="shared" ref="BO58" si="1089">IFERROR((BN58-BM58)," ")</f>
        <v>2953</v>
      </c>
    </row>
    <row r="59" spans="1:67" ht="15" customHeight="1" x14ac:dyDescent="0.25">
      <c r="B59" s="170">
        <v>46077</v>
      </c>
      <c r="C59" s="164">
        <v>38</v>
      </c>
      <c r="D59" s="166">
        <f t="shared" ref="D59" si="1090">IFERROR(+G59/(C59*3.6)," ")</f>
        <v>17.295321637426898</v>
      </c>
      <c r="E59" s="168">
        <f t="shared" ref="E59" si="1091">IF(F59&gt;0,F58," ")</f>
        <v>3836411</v>
      </c>
      <c r="F59" s="168">
        <v>3838777</v>
      </c>
      <c r="G59" s="166">
        <f t="shared" ref="G59" si="1092">IFERROR((F59-E59)," ")</f>
        <v>2366</v>
      </c>
      <c r="H59" s="167">
        <v>25</v>
      </c>
      <c r="I59" s="167">
        <f t="shared" ref="I59" si="1093">IFERROR(+L59/(H59*3.6)," ")</f>
        <v>0</v>
      </c>
      <c r="J59" s="168">
        <f t="shared" ref="J59" si="1094">IF(K59&gt;0,K58," ")</f>
        <v>1970853</v>
      </c>
      <c r="K59" s="266">
        <v>1970853</v>
      </c>
      <c r="L59" s="167">
        <f t="shared" ref="L59" si="1095">IFERROR((K59-J59)," ")</f>
        <v>0</v>
      </c>
      <c r="M59" s="166">
        <v>38</v>
      </c>
      <c r="N59" s="166">
        <f t="shared" ref="N59" si="1096">IFERROR(+Q59/(M59*3.6)," ")</f>
        <v>0</v>
      </c>
      <c r="O59" s="168">
        <f t="shared" ref="O59" si="1097">IF(P59&gt;0,P58," ")</f>
        <v>414656</v>
      </c>
      <c r="P59" s="168">
        <v>414656</v>
      </c>
      <c r="Q59" s="166">
        <f t="shared" ref="Q59" si="1098">IFERROR((P59-O59)," ")</f>
        <v>0</v>
      </c>
      <c r="R59" s="167">
        <f>+BDFUENTES[[#This Row],[PZ MED m3/día]]/3.6/BDFUENTES[[#This Row],[PZ MED Horas Activo]]</f>
        <v>29.415204678362574</v>
      </c>
      <c r="S59" s="167">
        <v>19</v>
      </c>
      <c r="T59" s="168">
        <f t="shared" ref="T59" si="1099">IF(U59&gt;0,U58," ")</f>
        <v>304456</v>
      </c>
      <c r="U59" s="168">
        <v>306468</v>
      </c>
      <c r="V59" s="165">
        <f t="shared" ref="V59" si="1100">IFERROR((U59-T59)," ")</f>
        <v>2012</v>
      </c>
      <c r="W59" s="164">
        <f t="shared" ref="W59" si="1101">IFERROR((AA59/X59)/3.6," ")</f>
        <v>349.09722222222223</v>
      </c>
      <c r="X59" s="166">
        <v>24</v>
      </c>
      <c r="Y59" s="168">
        <f t="shared" ref="Y59" si="1102">IF(Z59&gt;0,Z58," ")</f>
        <v>2367176.52</v>
      </c>
      <c r="Z59" s="168">
        <v>2399350.52</v>
      </c>
      <c r="AA59" s="164">
        <f>IFERROR((Z59-Y59)," ")-BDFUENTES[[#This Row],[PZ MED m3/día]]</f>
        <v>30162</v>
      </c>
      <c r="AB59" s="168">
        <f t="shared" si="1071"/>
        <v>60</v>
      </c>
      <c r="AC59" s="168">
        <v>19</v>
      </c>
      <c r="AD59" s="171">
        <f t="shared" ref="AD59" si="1103">IF(AE59&gt;0,AE58," ")</f>
        <v>5318588</v>
      </c>
      <c r="AE59" s="167">
        <v>5322703</v>
      </c>
      <c r="AF59" s="165">
        <f t="shared" ref="AF59" si="1104">IFERROR((AE59-AD59)," ")</f>
        <v>4115</v>
      </c>
      <c r="AG59" s="168">
        <v>60</v>
      </c>
      <c r="AH59" s="168">
        <v>24</v>
      </c>
      <c r="AI59" s="166"/>
      <c r="AJ59" s="166"/>
      <c r="AK59" s="166">
        <f t="shared" ref="AK59" si="1105">IF(OR(AH59="",AG59=""),"",AH59*AG59*3.6)</f>
        <v>5184</v>
      </c>
      <c r="AL59" s="167">
        <f>+BDFUENTES[[#This Row],[PZ CHB m3/día]]/3.6/BDFUENTES[[#This Row],[PZ CHB Horas Activo]]</f>
        <v>39.243827160493829</v>
      </c>
      <c r="AM59" s="171">
        <v>18</v>
      </c>
      <c r="AN59" s="168">
        <f t="shared" ref="AN59" si="1106">IF(AO59&gt;0,AO58," ")</f>
        <v>3642473</v>
      </c>
      <c r="AO59" s="168">
        <v>3645016</v>
      </c>
      <c r="AP59" s="167">
        <f t="shared" ref="AP59" si="1107">IFERROR((AO59-AN59)," ")</f>
        <v>2543</v>
      </c>
      <c r="AQ59" s="166"/>
      <c r="AR59" s="166" t="str">
        <f t="shared" ref="AR59" si="1108">IFERROR(+AU59/(AQ59*3.6)," ")</f>
        <v xml:space="preserve"> </v>
      </c>
      <c r="AS59" s="168" t="str">
        <f t="shared" ref="AS59" si="1109">IF(AT59&gt;0,AT58," ")</f>
        <v xml:space="preserve"> </v>
      </c>
      <c r="AT59" s="168"/>
      <c r="AU59" s="166" t="str">
        <f t="shared" ref="AU59" si="1110">IFERROR((AT59-AS59)," ")</f>
        <v xml:space="preserve"> </v>
      </c>
      <c r="AV59" s="167">
        <f>+BDFUENTES[[#This Row],[PZ TM m3/día]]/3.6/BDFUENTES[[#This Row],[PZ TM Horas Activo]]</f>
        <v>11.703703703703702</v>
      </c>
      <c r="AW59" s="167">
        <v>15</v>
      </c>
      <c r="AX59" s="169">
        <f t="shared" ref="AX59" si="1111">IF(AY59&gt;0,AY58," ")</f>
        <v>596815</v>
      </c>
      <c r="AY59" s="169">
        <v>597447</v>
      </c>
      <c r="AZ59" s="167">
        <f t="shared" ref="AZ59" si="1112">IFERROR((AY59-AX59)," ")</f>
        <v>632</v>
      </c>
      <c r="BA59" s="166">
        <v>125</v>
      </c>
      <c r="BB59" s="166">
        <f t="shared" ref="BB59" si="1113">IFERROR(+BE59/(BA59*3.6)," ")</f>
        <v>5.3755555555555556</v>
      </c>
      <c r="BC59" s="168">
        <f t="shared" ref="BC59" si="1114">IF(BD59&gt;0,BD58," ")</f>
        <v>5969748</v>
      </c>
      <c r="BD59" s="168">
        <v>5972167</v>
      </c>
      <c r="BE59" s="166">
        <f t="shared" ref="BE59" si="1115">IFERROR((BD59-BC59)," ")</f>
        <v>2419</v>
      </c>
      <c r="BF59" s="167">
        <v>20</v>
      </c>
      <c r="BG59" s="166">
        <f t="shared" ref="BG59" si="1116">IFERROR(+BJ59/(BF59*3.6)," ")</f>
        <v>16.944444444444443</v>
      </c>
      <c r="BH59" s="168">
        <f t="shared" ref="BH59" si="1117">IF(BI59&gt;0,BI58," ")</f>
        <v>1588409</v>
      </c>
      <c r="BI59" s="168">
        <v>1589629</v>
      </c>
      <c r="BJ59" s="167">
        <f t="shared" ref="BJ59" si="1118">IFERROR((BI59-BH59)," ")</f>
        <v>1220</v>
      </c>
      <c r="BK59" s="166">
        <v>70</v>
      </c>
      <c r="BL59" s="166">
        <f t="shared" ref="BL59" si="1119">IFERROR(+BO59/(BK59*3.6)," ")</f>
        <v>18.031746031746032</v>
      </c>
      <c r="BM59" s="168">
        <f t="shared" ref="BM59" si="1120">IF(BN59&gt;0,BN58," ")</f>
        <v>6320138</v>
      </c>
      <c r="BN59" s="168">
        <v>6324682</v>
      </c>
      <c r="BO59" s="166">
        <f t="shared" ref="BO59" si="1121">IFERROR((BN59-BM59)," ")</f>
        <v>4544</v>
      </c>
    </row>
    <row r="60" spans="1:67" ht="15" customHeight="1" x14ac:dyDescent="0.25">
      <c r="B60" s="170">
        <v>46078</v>
      </c>
      <c r="C60" s="164">
        <v>38</v>
      </c>
      <c r="D60" s="166">
        <f t="shared" ref="D60" si="1122">IFERROR(+G60/(C60*3.6)," ")</f>
        <v>16.988304093567251</v>
      </c>
      <c r="E60" s="168">
        <f t="shared" ref="E60" si="1123">IF(F60&gt;0,F59," ")</f>
        <v>3838777</v>
      </c>
      <c r="F60" s="168">
        <v>3841101</v>
      </c>
      <c r="G60" s="166">
        <f t="shared" ref="G60" si="1124">IFERROR((F60-E60)," ")</f>
        <v>2324</v>
      </c>
      <c r="H60" s="167">
        <v>25</v>
      </c>
      <c r="I60" s="167">
        <f t="shared" ref="I60" si="1125">IFERROR(+L60/(H60*3.6)," ")</f>
        <v>0</v>
      </c>
      <c r="J60" s="168">
        <f t="shared" ref="J60" si="1126">IF(K60&gt;0,K59," ")</f>
        <v>1970853</v>
      </c>
      <c r="K60" s="266">
        <v>1970853</v>
      </c>
      <c r="L60" s="167">
        <f t="shared" ref="L60" si="1127">IFERROR((K60-J60)," ")</f>
        <v>0</v>
      </c>
      <c r="M60" s="166">
        <v>38</v>
      </c>
      <c r="N60" s="166">
        <f t="shared" ref="N60" si="1128">IFERROR(+Q60/(M60*3.6)," ")</f>
        <v>0</v>
      </c>
      <c r="O60" s="168">
        <f t="shared" ref="O60" si="1129">IF(P60&gt;0,P59," ")</f>
        <v>414656</v>
      </c>
      <c r="P60" s="168">
        <v>414656</v>
      </c>
      <c r="Q60" s="166">
        <f t="shared" ref="Q60" si="1130">IFERROR((P60-O60)," ")</f>
        <v>0</v>
      </c>
      <c r="R60" s="167">
        <f>+BDFUENTES[[#This Row],[PZ MED m3/día]]/3.6/BDFUENTES[[#This Row],[PZ MED Horas Activo]]</f>
        <v>29.675925925925924</v>
      </c>
      <c r="S60" s="167">
        <v>18</v>
      </c>
      <c r="T60" s="168">
        <f t="shared" ref="T60" si="1131">IF(U60&gt;0,U59," ")</f>
        <v>306468</v>
      </c>
      <c r="U60" s="168">
        <v>308391</v>
      </c>
      <c r="V60" s="165">
        <f t="shared" ref="V60" si="1132">IFERROR((U60-T60)," ")</f>
        <v>1923</v>
      </c>
      <c r="W60" s="164">
        <f t="shared" ref="W60" si="1133">IFERROR((AA60/X60)/3.6," ")</f>
        <v>427.25694444444446</v>
      </c>
      <c r="X60" s="166">
        <v>24</v>
      </c>
      <c r="Y60" s="168">
        <f t="shared" ref="Y60" si="1134">IF(Z60&gt;0,Z59," ")</f>
        <v>2399350.52</v>
      </c>
      <c r="Z60" s="168">
        <v>2438188.52</v>
      </c>
      <c r="AA60" s="164">
        <f>IFERROR((Z60-Y60)," ")-BDFUENTES[[#This Row],[PZ MED m3/día]]</f>
        <v>36915</v>
      </c>
      <c r="AB60" s="168">
        <f t="shared" ref="AB60" si="1135">IFERROR(ROUNDDOWN(+AF60/(AC60*3.6),0)," ")</f>
        <v>60</v>
      </c>
      <c r="AC60" s="168">
        <v>24</v>
      </c>
      <c r="AD60" s="171">
        <f t="shared" ref="AD60" si="1136">IF(AE60&gt;0,AE59," ")</f>
        <v>5322703</v>
      </c>
      <c r="AE60" s="167">
        <v>5327889</v>
      </c>
      <c r="AF60" s="165">
        <f t="shared" ref="AF60" si="1137">IFERROR((AE60-AD60)," ")</f>
        <v>5186</v>
      </c>
      <c r="AG60" s="168">
        <v>60</v>
      </c>
      <c r="AH60" s="168">
        <v>24</v>
      </c>
      <c r="AI60" s="166"/>
      <c r="AJ60" s="166"/>
      <c r="AK60" s="166">
        <f t="shared" ref="AK60" si="1138">IF(OR(AH60="",AG60=""),"",AH60*AG60*3.6)</f>
        <v>5184</v>
      </c>
      <c r="AL60" s="167">
        <f>+BDFUENTES[[#This Row],[PZ CHB m3/día]]/3.6/BDFUENTES[[#This Row],[PZ CHB Horas Activo]]</f>
        <v>38.919753086419753</v>
      </c>
      <c r="AM60" s="171">
        <v>18</v>
      </c>
      <c r="AN60" s="168">
        <f t="shared" ref="AN60" si="1139">IF(AO60&gt;0,AO59," ")</f>
        <v>3645016</v>
      </c>
      <c r="AO60" s="168">
        <v>3647538</v>
      </c>
      <c r="AP60" s="167">
        <f t="shared" ref="AP60" si="1140">IFERROR((AO60-AN60)," ")</f>
        <v>2522</v>
      </c>
      <c r="AQ60" s="166"/>
      <c r="AR60" s="166" t="str">
        <f t="shared" ref="AR60" si="1141">IFERROR(+AU60/(AQ60*3.6)," ")</f>
        <v xml:space="preserve"> </v>
      </c>
      <c r="AS60" s="168" t="str">
        <f t="shared" ref="AS60" si="1142">IF(AT60&gt;0,AT59," ")</f>
        <v xml:space="preserve"> </v>
      </c>
      <c r="AT60" s="168"/>
      <c r="AU60" s="166" t="str">
        <f t="shared" ref="AU60" si="1143">IFERROR((AT60-AS60)," ")</f>
        <v xml:space="preserve"> </v>
      </c>
      <c r="AV60" s="167">
        <f>+BDFUENTES[[#This Row],[PZ TM m3/día]]/3.6/BDFUENTES[[#This Row],[PZ TM Horas Activo]]</f>
        <v>11.333333333333334</v>
      </c>
      <c r="AW60" s="167">
        <v>15</v>
      </c>
      <c r="AX60" s="169">
        <f t="shared" ref="AX60" si="1144">IF(AY60&gt;0,AY59," ")</f>
        <v>597447</v>
      </c>
      <c r="AY60" s="169">
        <v>598059</v>
      </c>
      <c r="AZ60" s="167">
        <f t="shared" ref="AZ60" si="1145">IFERROR((AY60-AX60)," ")</f>
        <v>612</v>
      </c>
      <c r="BA60" s="166">
        <v>125</v>
      </c>
      <c r="BB60" s="166">
        <f t="shared" ref="BB60" si="1146">IFERROR(+BE60/(BA60*3.6)," ")</f>
        <v>5.0911111111111111</v>
      </c>
      <c r="BC60" s="168">
        <f t="shared" ref="BC60" si="1147">IF(BD60&gt;0,BD59," ")</f>
        <v>5972167</v>
      </c>
      <c r="BD60" s="168">
        <v>5974458</v>
      </c>
      <c r="BE60" s="166">
        <f t="shared" ref="BE60" si="1148">IFERROR((BD60-BC60)," ")</f>
        <v>2291</v>
      </c>
      <c r="BF60" s="167">
        <v>20</v>
      </c>
      <c r="BG60" s="166">
        <f t="shared" ref="BG60" si="1149">IFERROR(+BJ60/(BF60*3.6)," ")</f>
        <v>18.041666666666668</v>
      </c>
      <c r="BH60" s="168">
        <f t="shared" ref="BH60" si="1150">IF(BI60&gt;0,BI59," ")</f>
        <v>1589629</v>
      </c>
      <c r="BI60" s="168">
        <v>1590928</v>
      </c>
      <c r="BJ60" s="167">
        <f t="shared" ref="BJ60" si="1151">IFERROR((BI60-BH60)," ")</f>
        <v>1299</v>
      </c>
      <c r="BK60" s="166">
        <v>70</v>
      </c>
      <c r="BL60" s="166">
        <f t="shared" ref="BL60" si="1152">IFERROR(+BO60/(BK60*3.6)," ")</f>
        <v>16.170634920634921</v>
      </c>
      <c r="BM60" s="168">
        <f t="shared" ref="BM60" si="1153">IF(BN60&gt;0,BN59," ")</f>
        <v>6324682</v>
      </c>
      <c r="BN60" s="168">
        <v>6328757</v>
      </c>
      <c r="BO60" s="166">
        <f t="shared" ref="BO60" si="1154">IFERROR((BN60-BM60)," ")</f>
        <v>4075</v>
      </c>
    </row>
    <row r="61" spans="1:67" ht="15" customHeight="1" x14ac:dyDescent="0.25">
      <c r="B61" s="170">
        <v>46079</v>
      </c>
      <c r="C61" s="164">
        <v>38</v>
      </c>
      <c r="D61" s="166">
        <f t="shared" ref="D61" si="1155">IFERROR(+G61/(C61*3.6)," ")</f>
        <v>17.032163742690056</v>
      </c>
      <c r="E61" s="168">
        <f t="shared" ref="E61" si="1156">IF(F61&gt;0,F60," ")</f>
        <v>3841101</v>
      </c>
      <c r="F61" s="168">
        <v>3843431</v>
      </c>
      <c r="G61" s="166">
        <f t="shared" ref="G61" si="1157">IFERROR((F61-E61)," ")</f>
        <v>2330</v>
      </c>
      <c r="H61" s="167">
        <v>25</v>
      </c>
      <c r="I61" s="167">
        <f t="shared" ref="I61" si="1158">IFERROR(+L61/(H61*3.6)," ")</f>
        <v>0</v>
      </c>
      <c r="J61" s="168">
        <f t="shared" ref="J61" si="1159">IF(K61&gt;0,K60," ")</f>
        <v>1970853</v>
      </c>
      <c r="K61" s="266">
        <v>1970853</v>
      </c>
      <c r="L61" s="167">
        <f t="shared" ref="L61" si="1160">IFERROR((K61-J61)," ")</f>
        <v>0</v>
      </c>
      <c r="M61" s="166">
        <v>38</v>
      </c>
      <c r="N61" s="166">
        <f t="shared" ref="N61" si="1161">IFERROR(+Q61/(M61*3.6)," ")</f>
        <v>0</v>
      </c>
      <c r="O61" s="168">
        <f t="shared" ref="O61" si="1162">IF(P61&gt;0,P60," ")</f>
        <v>414656</v>
      </c>
      <c r="P61" s="168">
        <v>414656</v>
      </c>
      <c r="Q61" s="166">
        <f t="shared" ref="Q61" si="1163">IFERROR((P61-O61)," ")</f>
        <v>0</v>
      </c>
      <c r="R61" s="167">
        <f>+BDFUENTES[[#This Row],[PZ MED m3/día]]/3.6/BDFUENTES[[#This Row],[PZ MED Horas Activo]]</f>
        <v>27.561728395061728</v>
      </c>
      <c r="S61" s="167">
        <v>18</v>
      </c>
      <c r="T61" s="168">
        <f t="shared" ref="T61" si="1164">IF(U61&gt;0,U60," ")</f>
        <v>308391</v>
      </c>
      <c r="U61" s="168">
        <v>310177</v>
      </c>
      <c r="V61" s="165">
        <f t="shared" ref="V61" si="1165">IFERROR((U61-T61)," ")</f>
        <v>1786</v>
      </c>
      <c r="W61" s="164">
        <f t="shared" ref="W61" si="1166">IFERROR((AA61/X61)/3.6," ")</f>
        <v>434.04203865046532</v>
      </c>
      <c r="X61" s="166">
        <v>24</v>
      </c>
      <c r="Y61" s="168">
        <f t="shared" ref="Y61" si="1167">IF(Z61&gt;0,Z60," ")</f>
        <v>2438188.52</v>
      </c>
      <c r="Z61" s="168">
        <v>2477475.7521394002</v>
      </c>
      <c r="AA61" s="164">
        <f>IFERROR((Z61-Y61)," ")-BDFUENTES[[#This Row],[PZ MED m3/día]]</f>
        <v>37501.232139400207</v>
      </c>
      <c r="AB61" s="168">
        <f t="shared" ref="AB61" si="1168">IFERROR(ROUNDDOWN(+AF61/(AC61*3.6),0)," ")</f>
        <v>60</v>
      </c>
      <c r="AC61" s="168">
        <v>24</v>
      </c>
      <c r="AD61" s="171">
        <f t="shared" ref="AD61" si="1169">IF(AE61&gt;0,AE60," ")</f>
        <v>5327889</v>
      </c>
      <c r="AE61" s="167">
        <v>5333109</v>
      </c>
      <c r="AF61" s="165">
        <f t="shared" ref="AF61" si="1170">IFERROR((AE61-AD61)," ")</f>
        <v>5220</v>
      </c>
      <c r="AG61" s="168">
        <v>60</v>
      </c>
      <c r="AH61" s="168">
        <v>24</v>
      </c>
      <c r="AI61" s="166"/>
      <c r="AJ61" s="166"/>
      <c r="AK61" s="166">
        <f t="shared" ref="AK61" si="1171">IF(OR(AH61="",AG61=""),"",AH61*AG61*3.6)</f>
        <v>5184</v>
      </c>
      <c r="AL61" s="167">
        <f>+BDFUENTES[[#This Row],[PZ CHB m3/día]]/3.6/BDFUENTES[[#This Row],[PZ CHB Horas Activo]]</f>
        <v>39.058641975308639</v>
      </c>
      <c r="AM61" s="171">
        <v>18</v>
      </c>
      <c r="AN61" s="168">
        <f t="shared" ref="AN61" si="1172">IF(AO61&gt;0,AO60," ")</f>
        <v>3647538</v>
      </c>
      <c r="AO61" s="168">
        <v>3650069</v>
      </c>
      <c r="AP61" s="167">
        <f t="shared" ref="AP61" si="1173">IFERROR((AO61-AN61)," ")</f>
        <v>2531</v>
      </c>
      <c r="AQ61" s="166"/>
      <c r="AR61" s="166" t="str">
        <f t="shared" ref="AR61" si="1174">IFERROR(+AU61/(AQ61*3.6)," ")</f>
        <v xml:space="preserve"> </v>
      </c>
      <c r="AS61" s="168" t="str">
        <f t="shared" ref="AS61" si="1175">IF(AT61&gt;0,AT60," ")</f>
        <v xml:space="preserve"> </v>
      </c>
      <c r="AT61" s="168"/>
      <c r="AU61" s="166" t="str">
        <f t="shared" ref="AU61" si="1176">IFERROR((AT61-AS61)," ")</f>
        <v xml:space="preserve"> </v>
      </c>
      <c r="AV61" s="167">
        <f>+BDFUENTES[[#This Row],[PZ TM m3/día]]/3.6/BDFUENTES[[#This Row],[PZ TM Horas Activo]]</f>
        <v>11.537037037037036</v>
      </c>
      <c r="AW61" s="167">
        <v>15</v>
      </c>
      <c r="AX61" s="169">
        <f t="shared" ref="AX61" si="1177">IF(AY61&gt;0,AY60," ")</f>
        <v>598059</v>
      </c>
      <c r="AY61" s="169">
        <v>598682</v>
      </c>
      <c r="AZ61" s="167">
        <f t="shared" ref="AZ61" si="1178">IFERROR((AY61-AX61)," ")</f>
        <v>623</v>
      </c>
      <c r="BA61" s="166">
        <v>125</v>
      </c>
      <c r="BB61" s="166">
        <f t="shared" ref="BB61" si="1179">IFERROR(+BE61/(BA61*3.6)," ")</f>
        <v>5.3577777777777778</v>
      </c>
      <c r="BC61" s="168">
        <f t="shared" ref="BC61" si="1180">IF(BD61&gt;0,BD60," ")</f>
        <v>5974458</v>
      </c>
      <c r="BD61" s="168">
        <v>5976869</v>
      </c>
      <c r="BE61" s="166">
        <f t="shared" ref="BE61" si="1181">IFERROR((BD61-BC61)," ")</f>
        <v>2411</v>
      </c>
      <c r="BF61" s="167">
        <v>20</v>
      </c>
      <c r="BG61" s="166">
        <f t="shared" ref="BG61" si="1182">IFERROR(+BJ61/(BF61*3.6)," ")</f>
        <v>17.736111111111111</v>
      </c>
      <c r="BH61" s="168">
        <f t="shared" ref="BH61" si="1183">IF(BI61&gt;0,BI60," ")</f>
        <v>1590928</v>
      </c>
      <c r="BI61" s="168">
        <v>1592205</v>
      </c>
      <c r="BJ61" s="167">
        <f t="shared" ref="BJ61" si="1184">IFERROR((BI61-BH61)," ")</f>
        <v>1277</v>
      </c>
      <c r="BK61" s="166">
        <v>70</v>
      </c>
      <c r="BL61" s="166">
        <f t="shared" ref="BL61" si="1185">IFERROR(+BO61/(BK61*3.6)," ")</f>
        <v>20.075396825396826</v>
      </c>
      <c r="BM61" s="168">
        <f t="shared" ref="BM61" si="1186">IF(BN61&gt;0,BN60," ")</f>
        <v>6328757</v>
      </c>
      <c r="BN61" s="168">
        <v>6333816</v>
      </c>
      <c r="BO61" s="166">
        <f t="shared" ref="BO61" si="1187">IFERROR((BN61-BM61)," ")</f>
        <v>5059</v>
      </c>
    </row>
    <row r="62" spans="1:67" ht="15" customHeight="1" x14ac:dyDescent="0.25">
      <c r="B62" s="170">
        <v>46080</v>
      </c>
      <c r="C62" s="164">
        <v>38</v>
      </c>
      <c r="D62" s="166">
        <f t="shared" ref="D62" si="1188">IFERROR(+G62/(C62*3.6)," ")</f>
        <v>17.441520467836256</v>
      </c>
      <c r="E62" s="168">
        <f t="shared" ref="E62" si="1189">IF(F62&gt;0,F61," ")</f>
        <v>3843431</v>
      </c>
      <c r="F62" s="168">
        <v>3845817</v>
      </c>
      <c r="G62" s="166">
        <f t="shared" ref="G62" si="1190">IFERROR((F62-E62)," ")</f>
        <v>2386</v>
      </c>
      <c r="H62" s="167">
        <v>25</v>
      </c>
      <c r="I62" s="167">
        <f t="shared" ref="I62" si="1191">IFERROR(+L62/(H62*3.6)," ")</f>
        <v>0</v>
      </c>
      <c r="J62" s="168">
        <f t="shared" ref="J62" si="1192">IF(K62&gt;0,K61," ")</f>
        <v>1970853</v>
      </c>
      <c r="K62" s="266">
        <v>1970853</v>
      </c>
      <c r="L62" s="167">
        <f t="shared" ref="L62" si="1193">IFERROR((K62-J62)," ")</f>
        <v>0</v>
      </c>
      <c r="M62" s="166">
        <v>38</v>
      </c>
      <c r="N62" s="166">
        <f t="shared" ref="N62" si="1194">IFERROR(+Q62/(M62*3.6)," ")</f>
        <v>0</v>
      </c>
      <c r="O62" s="168">
        <f t="shared" ref="O62" si="1195">IF(P62&gt;0,P61," ")</f>
        <v>414656</v>
      </c>
      <c r="P62" s="168">
        <v>414656</v>
      </c>
      <c r="Q62" s="166">
        <f t="shared" ref="Q62" si="1196">IFERROR((P62-O62)," ")</f>
        <v>0</v>
      </c>
      <c r="R62" s="167">
        <f>+BDFUENTES[[#This Row],[PZ MED m3/día]]/3.6/BDFUENTES[[#This Row],[PZ MED Horas Activo]]</f>
        <v>28.194444444444443</v>
      </c>
      <c r="S62" s="167">
        <v>18</v>
      </c>
      <c r="T62" s="168">
        <f t="shared" ref="T62" si="1197">IF(U62&gt;0,U61," ")</f>
        <v>310177</v>
      </c>
      <c r="U62" s="168">
        <v>312004</v>
      </c>
      <c r="V62" s="165">
        <f t="shared" ref="V62" si="1198">IFERROR((U62-T62)," ")</f>
        <v>1827</v>
      </c>
      <c r="W62" s="164">
        <f t="shared" ref="W62" si="1199">IFERROR((AA62/X62)/3.6," ")</f>
        <v>399.6305302749991</v>
      </c>
      <c r="X62" s="166">
        <v>24</v>
      </c>
      <c r="Y62" s="168">
        <f t="shared" ref="Y62" si="1200">IF(Z62&gt;0,Z61," ")</f>
        <v>2477475.7521394002</v>
      </c>
      <c r="Z62" s="168">
        <v>2513830.8299551602</v>
      </c>
      <c r="AA62" s="164">
        <f>IFERROR((Z62-Y62)," ")-BDFUENTES[[#This Row],[PZ MED m3/día]]</f>
        <v>34528.077815759927</v>
      </c>
      <c r="AB62" s="168">
        <f t="shared" ref="AB62" si="1201">IFERROR(ROUNDDOWN(+AF62/(AC62*3.6),0)," ")</f>
        <v>57</v>
      </c>
      <c r="AC62" s="168">
        <v>24</v>
      </c>
      <c r="AD62" s="171">
        <f t="shared" ref="AD62" si="1202">IF(AE62&gt;0,AE61," ")</f>
        <v>5333109</v>
      </c>
      <c r="AE62" s="167">
        <v>5338058</v>
      </c>
      <c r="AF62" s="165">
        <f t="shared" ref="AF62" si="1203">IFERROR((AE62-AD62)," ")</f>
        <v>4949</v>
      </c>
      <c r="AG62" s="168">
        <v>60</v>
      </c>
      <c r="AH62" s="168">
        <v>24</v>
      </c>
      <c r="AI62" s="166"/>
      <c r="AJ62" s="166"/>
      <c r="AK62" s="166">
        <f t="shared" ref="AK62" si="1204">IF(OR(AH62="",AG62=""),"",AH62*AG62*3.6)</f>
        <v>5184</v>
      </c>
      <c r="AL62" s="167">
        <f>+BDFUENTES[[#This Row],[PZ CHB m3/día]]/3.6/BDFUENTES[[#This Row],[PZ CHB Horas Activo]]</f>
        <v>39.503968253968253</v>
      </c>
      <c r="AM62" s="171">
        <v>14</v>
      </c>
      <c r="AN62" s="168">
        <f t="shared" ref="AN62" si="1205">IF(AO62&gt;0,AO61," ")</f>
        <v>3650069</v>
      </c>
      <c r="AO62" s="168">
        <v>3652060</v>
      </c>
      <c r="AP62" s="167">
        <f t="shared" ref="AP62" si="1206">IFERROR((AO62-AN62)," ")</f>
        <v>1991</v>
      </c>
      <c r="AQ62" s="166"/>
      <c r="AR62" s="166" t="str">
        <f t="shared" ref="AR62" si="1207">IFERROR(+AU62/(AQ62*3.6)," ")</f>
        <v xml:space="preserve"> </v>
      </c>
      <c r="AS62" s="168" t="str">
        <f t="shared" ref="AS62" si="1208">IF(AT62&gt;0,AT61," ")</f>
        <v xml:space="preserve"> </v>
      </c>
      <c r="AT62" s="168"/>
      <c r="AU62" s="166" t="str">
        <f t="shared" ref="AU62" si="1209">IFERROR((AT62-AS62)," ")</f>
        <v xml:space="preserve"> </v>
      </c>
      <c r="AV62" s="167">
        <f>+BDFUENTES[[#This Row],[PZ TM m3/día]]/3.6/BDFUENTES[[#This Row],[PZ TM Horas Activo]]</f>
        <v>11.645299145299145</v>
      </c>
      <c r="AW62" s="167">
        <v>13</v>
      </c>
      <c r="AX62" s="169">
        <f t="shared" ref="AX62" si="1210">IF(AY62&gt;0,AY61," ")</f>
        <v>598682</v>
      </c>
      <c r="AY62" s="169">
        <v>599227</v>
      </c>
      <c r="AZ62" s="167">
        <f t="shared" ref="AZ62" si="1211">IFERROR((AY62-AX62)," ")</f>
        <v>545</v>
      </c>
      <c r="BA62" s="166">
        <v>125</v>
      </c>
      <c r="BB62" s="166">
        <f t="shared" ref="BB62" si="1212">IFERROR(+BE62/(BA62*3.6)," ")</f>
        <v>5.2577777777777781</v>
      </c>
      <c r="BC62" s="168">
        <f t="shared" ref="BC62" si="1213">IF(BD62&gt;0,BD61," ")</f>
        <v>5976869</v>
      </c>
      <c r="BD62" s="168">
        <v>5979235</v>
      </c>
      <c r="BE62" s="166">
        <f t="shared" ref="BE62" si="1214">IFERROR((BD62-BC62)," ")</f>
        <v>2366</v>
      </c>
      <c r="BF62" s="167">
        <v>20</v>
      </c>
      <c r="BG62" s="166">
        <f t="shared" ref="BG62" si="1215">IFERROR(+BJ62/(BF62*3.6)," ")</f>
        <v>16.694444444444443</v>
      </c>
      <c r="BH62" s="168">
        <f t="shared" ref="BH62" si="1216">IF(BI62&gt;0,BI61," ")</f>
        <v>1592205</v>
      </c>
      <c r="BI62" s="168">
        <v>1593407</v>
      </c>
      <c r="BJ62" s="167">
        <f t="shared" ref="BJ62" si="1217">IFERROR((BI62-BH62)," ")</f>
        <v>1202</v>
      </c>
      <c r="BK62" s="166">
        <v>70</v>
      </c>
      <c r="BL62" s="166">
        <f t="shared" ref="BL62" si="1218">IFERROR(+BO62/(BK62*3.6)," ")</f>
        <v>17.658730158730158</v>
      </c>
      <c r="BM62" s="168">
        <f t="shared" ref="BM62" si="1219">IF(BN62&gt;0,BN61," ")</f>
        <v>6333816</v>
      </c>
      <c r="BN62" s="168">
        <v>6338266</v>
      </c>
      <c r="BO62" s="166">
        <f t="shared" ref="BO62" si="1220">IFERROR((BN62-BM62)," ")</f>
        <v>4450</v>
      </c>
    </row>
    <row r="63" spans="1:67" ht="15" customHeight="1" x14ac:dyDescent="0.25">
      <c r="B63" s="170">
        <v>46081</v>
      </c>
      <c r="C63" s="164">
        <v>38</v>
      </c>
      <c r="D63" s="166">
        <f t="shared" ref="D63" si="1221">IFERROR(+G63/(C63*3.6)," ")</f>
        <v>17.280701754385962</v>
      </c>
      <c r="E63" s="168">
        <f t="shared" ref="E63" si="1222">IF(F63&gt;0,F62," ")</f>
        <v>3845817</v>
      </c>
      <c r="F63" s="168">
        <v>3848181</v>
      </c>
      <c r="G63" s="166">
        <f t="shared" ref="G63" si="1223">IFERROR((F63-E63)," ")</f>
        <v>2364</v>
      </c>
      <c r="H63" s="167">
        <v>25</v>
      </c>
      <c r="I63" s="167">
        <f t="shared" ref="I63" si="1224">IFERROR(+L63/(H63*3.6)," ")</f>
        <v>0</v>
      </c>
      <c r="J63" s="168">
        <f t="shared" ref="J63" si="1225">IF(K63&gt;0,K62," ")</f>
        <v>1970853</v>
      </c>
      <c r="K63" s="266">
        <v>1970853</v>
      </c>
      <c r="L63" s="167">
        <f t="shared" ref="L63" si="1226">IFERROR((K63-J63)," ")</f>
        <v>0</v>
      </c>
      <c r="M63" s="166">
        <v>38</v>
      </c>
      <c r="N63" s="166">
        <f t="shared" ref="N63" si="1227">IFERROR(+Q63/(M63*3.6)," ")</f>
        <v>0</v>
      </c>
      <c r="O63" s="168">
        <f t="shared" ref="O63" si="1228">IF(P63&gt;0,P62," ")</f>
        <v>414656</v>
      </c>
      <c r="P63" s="168">
        <v>414656</v>
      </c>
      <c r="Q63" s="166">
        <f t="shared" ref="Q63" si="1229">IFERROR((P63-O63)," ")</f>
        <v>0</v>
      </c>
      <c r="R63" s="167">
        <f>+BDFUENTES[[#This Row],[PZ MED m3/día]]/3.6/BDFUENTES[[#This Row],[PZ MED Horas Activo]]</f>
        <v>0</v>
      </c>
      <c r="S63" s="167">
        <v>18</v>
      </c>
      <c r="T63" s="168">
        <f t="shared" ref="T63" si="1230">IF(U63&gt;0,U62," ")</f>
        <v>312004</v>
      </c>
      <c r="U63" s="168">
        <v>312004</v>
      </c>
      <c r="V63" s="165">
        <f t="shared" ref="V63" si="1231">IFERROR((U63-T63)," ")</f>
        <v>0</v>
      </c>
      <c r="W63" s="164">
        <f t="shared" ref="W63" si="1232">IFERROR((AA63/X63)/3.6," ")</f>
        <v>444.39638622361122</v>
      </c>
      <c r="X63" s="166">
        <v>24</v>
      </c>
      <c r="Y63" s="168">
        <f t="shared" ref="Y63" si="1233">IF(Z63&gt;0,Z62," ")</f>
        <v>2513830.8299551602</v>
      </c>
      <c r="Z63" s="168">
        <v>2552226.6777248802</v>
      </c>
      <c r="AA63" s="164">
        <f>IFERROR((Z63-Y63)," ")-BDFUENTES[[#This Row],[PZ MED m3/día]]</f>
        <v>38395.847769720014</v>
      </c>
      <c r="AB63" s="168">
        <f t="shared" ref="AB63" si="1234">IFERROR(ROUNDDOWN(+AF63/(AC63*3.6),0)," ")</f>
        <v>60</v>
      </c>
      <c r="AC63" s="168">
        <v>20</v>
      </c>
      <c r="AD63" s="171">
        <f t="shared" ref="AD63" si="1235">IF(AE63&gt;0,AE62," ")</f>
        <v>5338058</v>
      </c>
      <c r="AE63" s="167">
        <v>5342395</v>
      </c>
      <c r="AF63" s="165">
        <f t="shared" ref="AF63" si="1236">IFERROR((AE63-AD63)," ")</f>
        <v>4337</v>
      </c>
      <c r="AG63" s="168">
        <v>60</v>
      </c>
      <c r="AH63" s="168">
        <v>24</v>
      </c>
      <c r="AI63" s="166"/>
      <c r="AJ63" s="166"/>
      <c r="AK63" s="166">
        <f t="shared" ref="AK63" si="1237">IF(OR(AH63="",AG63=""),"",AH63*AG63*3.6)</f>
        <v>5184</v>
      </c>
      <c r="AL63" s="167">
        <f>+BDFUENTES[[#This Row],[PZ CHB m3/día]]/3.6/BDFUENTES[[#This Row],[PZ CHB Horas Activo]]</f>
        <v>37.982456140350877</v>
      </c>
      <c r="AM63" s="171">
        <v>19</v>
      </c>
      <c r="AN63" s="168">
        <f t="shared" ref="AN63" si="1238">IF(AO63&gt;0,AO62," ")</f>
        <v>3652060</v>
      </c>
      <c r="AO63" s="168">
        <v>3654658</v>
      </c>
      <c r="AP63" s="167">
        <f t="shared" ref="AP63" si="1239">IFERROR((AO63-AN63)," ")</f>
        <v>2598</v>
      </c>
      <c r="AQ63" s="166"/>
      <c r="AR63" s="166" t="str">
        <f t="shared" ref="AR63" si="1240">IFERROR(+AU63/(AQ63*3.6)," ")</f>
        <v xml:space="preserve"> </v>
      </c>
      <c r="AS63" s="168" t="str">
        <f t="shared" ref="AS63" si="1241">IF(AT63&gt;0,AT62," ")</f>
        <v xml:space="preserve"> </v>
      </c>
      <c r="AT63" s="168"/>
      <c r="AU63" s="166" t="str">
        <f t="shared" ref="AU63" si="1242">IFERROR((AT63-AS63)," ")</f>
        <v xml:space="preserve"> </v>
      </c>
      <c r="AV63" s="167">
        <f>+BDFUENTES[[#This Row],[PZ TM m3/día]]/3.6/BDFUENTES[[#This Row],[PZ TM Horas Activo]]</f>
        <v>11.607142857142858</v>
      </c>
      <c r="AW63" s="167">
        <v>14</v>
      </c>
      <c r="AX63" s="169">
        <f t="shared" ref="AX63" si="1243">IF(AY63&gt;0,AY62," ")</f>
        <v>599227</v>
      </c>
      <c r="AY63" s="169">
        <v>599812</v>
      </c>
      <c r="AZ63" s="167">
        <f t="shared" ref="AZ63" si="1244">IFERROR((AY63-AX63)," ")</f>
        <v>585</v>
      </c>
      <c r="BA63" s="166">
        <v>125</v>
      </c>
      <c r="BB63" s="166">
        <f t="shared" ref="BB63" si="1245">IFERROR(+BE63/(BA63*3.6)," ")</f>
        <v>5.3111111111111109</v>
      </c>
      <c r="BC63" s="168">
        <f t="shared" ref="BC63" si="1246">IF(BD63&gt;0,BD62," ")</f>
        <v>5979235</v>
      </c>
      <c r="BD63" s="168">
        <v>5981625</v>
      </c>
      <c r="BE63" s="166">
        <f t="shared" ref="BE63" si="1247">IFERROR((BD63-BC63)," ")</f>
        <v>2390</v>
      </c>
      <c r="BF63" s="167">
        <v>20</v>
      </c>
      <c r="BG63" s="166">
        <f t="shared" ref="BG63" si="1248">IFERROR(+BJ63/(BF63*3.6)," ")</f>
        <v>17.805555555555557</v>
      </c>
      <c r="BH63" s="168">
        <f t="shared" ref="BH63" si="1249">IF(BI63&gt;0,BI62," ")</f>
        <v>1593407</v>
      </c>
      <c r="BI63" s="168">
        <v>1594689</v>
      </c>
      <c r="BJ63" s="167">
        <f t="shared" ref="BJ63" si="1250">IFERROR((BI63-BH63)," ")</f>
        <v>1282</v>
      </c>
      <c r="BK63" s="166">
        <v>70</v>
      </c>
      <c r="BL63" s="166">
        <f t="shared" ref="BL63" si="1251">IFERROR(+BO63/(BK63*3.6)," ")</f>
        <v>20.595238095238095</v>
      </c>
      <c r="BM63" s="168">
        <f t="shared" ref="BM63" si="1252">IF(BN63&gt;0,BN62," ")</f>
        <v>6338266</v>
      </c>
      <c r="BN63" s="168">
        <v>6343456</v>
      </c>
      <c r="BO63" s="166">
        <f t="shared" ref="BO63" si="1253">IFERROR((BN63-BM63)," ")</f>
        <v>5190</v>
      </c>
    </row>
    <row r="64" spans="1:67" ht="15" customHeight="1" x14ac:dyDescent="0.25">
      <c r="B64" s="170">
        <v>46082</v>
      </c>
      <c r="C64" s="164">
        <v>38</v>
      </c>
      <c r="D64" s="166">
        <f t="shared" ref="D64" si="1254">IFERROR(+G64/(C64*3.6)," ")</f>
        <v>17.01754385964912</v>
      </c>
      <c r="E64" s="168">
        <f t="shared" ref="E64" si="1255">IF(F64&gt;0,F63," ")</f>
        <v>3848181</v>
      </c>
      <c r="F64" s="168">
        <v>3850509</v>
      </c>
      <c r="G64" s="166">
        <f t="shared" ref="G64" si="1256">IFERROR((F64-E64)," ")</f>
        <v>2328</v>
      </c>
      <c r="H64" s="167">
        <v>25</v>
      </c>
      <c r="I64" s="167">
        <f t="shared" ref="I64" si="1257">IFERROR(+L64/(H64*3.6)," ")</f>
        <v>0</v>
      </c>
      <c r="J64" s="168">
        <f t="shared" ref="J64" si="1258">IF(K64&gt;0,K63," ")</f>
        <v>1970853</v>
      </c>
      <c r="K64" s="266">
        <v>1970853</v>
      </c>
      <c r="L64" s="167">
        <f t="shared" ref="L64" si="1259">IFERROR((K64-J64)," ")</f>
        <v>0</v>
      </c>
      <c r="M64" s="166">
        <v>38</v>
      </c>
      <c r="N64" s="166">
        <f t="shared" ref="N64" si="1260">IFERROR(+Q64/(M64*3.6)," ")</f>
        <v>0</v>
      </c>
      <c r="O64" s="168">
        <f t="shared" ref="O64" si="1261">IF(P64&gt;0,P63," ")</f>
        <v>414656</v>
      </c>
      <c r="P64" s="168">
        <v>414656</v>
      </c>
      <c r="Q64" s="166">
        <f t="shared" ref="Q64" si="1262">IFERROR((P64-O64)," ")</f>
        <v>0</v>
      </c>
      <c r="R64" s="167">
        <f>+BDFUENTES[[#This Row],[PZ MED m3/día]]/3.6/BDFUENTES[[#This Row],[PZ MED Horas Activo]]</f>
        <v>0</v>
      </c>
      <c r="S64" s="167">
        <v>18</v>
      </c>
      <c r="T64" s="168">
        <f t="shared" ref="T64" si="1263">IF(U64&gt;0,U63," ")</f>
        <v>312004</v>
      </c>
      <c r="U64" s="168">
        <v>312004</v>
      </c>
      <c r="V64" s="165">
        <f t="shared" ref="V64" si="1264">IFERROR((U64-T64)," ")</f>
        <v>0</v>
      </c>
      <c r="W64" s="164">
        <f t="shared" ref="W64" si="1265">IFERROR((AA64/X64)/3.6," ")</f>
        <v>434.23640978750041</v>
      </c>
      <c r="X64" s="166">
        <v>24</v>
      </c>
      <c r="Y64" s="168">
        <f t="shared" ref="Y64" si="1266">IF(Z64&gt;0,Z63," ")</f>
        <v>2552226.6777248802</v>
      </c>
      <c r="Z64" s="168">
        <v>2589744.7035305202</v>
      </c>
      <c r="AA64" s="164">
        <f>IFERROR((Z64-Y64)," ")-BDFUENTES[[#This Row],[PZ MED m3/día]]</f>
        <v>37518.025805640034</v>
      </c>
      <c r="AB64" s="168">
        <f t="shared" ref="AB64" si="1267">IFERROR(ROUNDDOWN(+AF64/(AC64*3.6),0)," ")</f>
        <v>73</v>
      </c>
      <c r="AC64" s="168">
        <v>20</v>
      </c>
      <c r="AD64" s="171">
        <f t="shared" ref="AD64" si="1268">IF(AE64&gt;0,AE63," ")</f>
        <v>5342395</v>
      </c>
      <c r="AE64" s="167">
        <v>5347687</v>
      </c>
      <c r="AF64" s="165">
        <f t="shared" ref="AF64" si="1269">IFERROR((AE64-AD64)," ")</f>
        <v>5292</v>
      </c>
      <c r="AG64" s="168">
        <v>60</v>
      </c>
      <c r="AH64" s="168">
        <v>24</v>
      </c>
      <c r="AI64" s="166"/>
      <c r="AJ64" s="166"/>
      <c r="AK64" s="166">
        <f t="shared" ref="AK64" si="1270">IF(OR(AH64="",AG64=""),"",AH64*AG64*3.6)</f>
        <v>5184</v>
      </c>
      <c r="AL64" s="167">
        <f>+BDFUENTES[[#This Row],[PZ CHB m3/día]]/3.6/BDFUENTES[[#This Row],[PZ CHB Horas Activo]]</f>
        <v>37.032163742690059</v>
      </c>
      <c r="AM64" s="171">
        <v>19</v>
      </c>
      <c r="AN64" s="168">
        <f t="shared" ref="AN64" si="1271">IF(AO64&gt;0,AO63," ")</f>
        <v>3654658</v>
      </c>
      <c r="AO64" s="168">
        <v>3657191</v>
      </c>
      <c r="AP64" s="167">
        <f t="shared" ref="AP64" si="1272">IFERROR((AO64-AN64)," ")</f>
        <v>2533</v>
      </c>
      <c r="AQ64" s="166"/>
      <c r="AR64" s="166" t="str">
        <f t="shared" ref="AR64" si="1273">IFERROR(+AU64/(AQ64*3.6)," ")</f>
        <v xml:space="preserve"> </v>
      </c>
      <c r="AS64" s="168" t="str">
        <f t="shared" ref="AS64" si="1274">IF(AT64&gt;0,AT63," ")</f>
        <v xml:space="preserve"> </v>
      </c>
      <c r="AT64" s="168"/>
      <c r="AU64" s="166" t="str">
        <f t="shared" ref="AU64" si="1275">IFERROR((AT64-AS64)," ")</f>
        <v xml:space="preserve"> </v>
      </c>
      <c r="AV64" s="167">
        <f>+BDFUENTES[[#This Row],[PZ TM m3/día]]/3.6/BDFUENTES[[#This Row],[PZ TM Horas Activo]]</f>
        <v>11.222222222222223</v>
      </c>
      <c r="AW64" s="167">
        <v>15</v>
      </c>
      <c r="AX64" s="169">
        <f t="shared" ref="AX64" si="1276">IF(AY64&gt;0,AY63," ")</f>
        <v>599812</v>
      </c>
      <c r="AY64" s="169">
        <v>600418</v>
      </c>
      <c r="AZ64" s="167">
        <f t="shared" ref="AZ64" si="1277">IFERROR((AY64-AX64)," ")</f>
        <v>606</v>
      </c>
      <c r="BA64" s="166">
        <v>125</v>
      </c>
      <c r="BB64" s="166">
        <f t="shared" ref="BB64" si="1278">IFERROR(+BE64/(BA64*3.6)," ")</f>
        <v>5.0177777777777779</v>
      </c>
      <c r="BC64" s="168">
        <f t="shared" ref="BC64" si="1279">IF(BD64&gt;0,BD63," ")</f>
        <v>5981625</v>
      </c>
      <c r="BD64" s="168">
        <v>5983883</v>
      </c>
      <c r="BE64" s="166">
        <f t="shared" ref="BE64" si="1280">IFERROR((BD64-BC64)," ")</f>
        <v>2258</v>
      </c>
      <c r="BF64" s="167">
        <v>20</v>
      </c>
      <c r="BG64" s="166">
        <f t="shared" ref="BG64" si="1281">IFERROR(+BJ64/(BF64*3.6)," ")</f>
        <v>17.736111111111111</v>
      </c>
      <c r="BH64" s="168">
        <f t="shared" ref="BH64" si="1282">IF(BI64&gt;0,BI63," ")</f>
        <v>1594689</v>
      </c>
      <c r="BI64" s="168">
        <v>1595966</v>
      </c>
      <c r="BJ64" s="167">
        <f t="shared" ref="BJ64" si="1283">IFERROR((BI64-BH64)," ")</f>
        <v>1277</v>
      </c>
      <c r="BK64" s="166">
        <v>70</v>
      </c>
      <c r="BL64" s="166">
        <f t="shared" ref="BL64" si="1284">IFERROR(+BO64/(BK64*3.6)," ")</f>
        <v>16.325396825396826</v>
      </c>
      <c r="BM64" s="168">
        <f t="shared" ref="BM64" si="1285">IF(BN64&gt;0,BN63," ")</f>
        <v>6343456</v>
      </c>
      <c r="BN64" s="168">
        <v>6347570</v>
      </c>
      <c r="BO64" s="166">
        <f t="shared" ref="BO64" si="1286">IFERROR((BN64-BM64)," ")</f>
        <v>4114</v>
      </c>
    </row>
    <row r="65" spans="2:67" ht="15" customHeight="1" x14ac:dyDescent="0.25">
      <c r="B65" s="170">
        <v>46083</v>
      </c>
      <c r="C65" s="164">
        <v>38</v>
      </c>
      <c r="D65" s="166">
        <f t="shared" ref="D65" si="1287">IFERROR(+G65/(C65*3.6)," ")</f>
        <v>0.19005847953216373</v>
      </c>
      <c r="E65" s="168">
        <f t="shared" ref="E65" si="1288">IF(F65&gt;0,F64," ")</f>
        <v>3850509</v>
      </c>
      <c r="F65" s="168">
        <v>3850535</v>
      </c>
      <c r="G65" s="166">
        <f t="shared" ref="G65" si="1289">IFERROR((F65-E65)," ")</f>
        <v>26</v>
      </c>
      <c r="H65" s="167">
        <v>25</v>
      </c>
      <c r="I65" s="167">
        <f t="shared" ref="I65" si="1290">IFERROR(+L65/(H65*3.6)," ")</f>
        <v>0</v>
      </c>
      <c r="J65" s="168">
        <f t="shared" ref="J65" si="1291">IF(K65&gt;0,K64," ")</f>
        <v>1970853</v>
      </c>
      <c r="K65" s="266">
        <v>1970853</v>
      </c>
      <c r="L65" s="167">
        <f t="shared" ref="L65" si="1292">IFERROR((K65-J65)," ")</f>
        <v>0</v>
      </c>
      <c r="M65" s="166">
        <v>38</v>
      </c>
      <c r="N65" s="166">
        <f t="shared" ref="N65" si="1293">IFERROR(+Q65/(M65*3.6)," ")</f>
        <v>0</v>
      </c>
      <c r="O65" s="168">
        <f t="shared" ref="O65" si="1294">IF(P65&gt;0,P64," ")</f>
        <v>414656</v>
      </c>
      <c r="P65" s="168">
        <v>414656</v>
      </c>
      <c r="Q65" s="166">
        <f t="shared" ref="Q65" si="1295">IFERROR((P65-O65)," ")</f>
        <v>0</v>
      </c>
      <c r="R65" s="167">
        <f>+BDFUENTES[[#This Row],[PZ MED m3/día]]/3.6/BDFUENTES[[#This Row],[PZ MED Horas Activo]]</f>
        <v>29.398148148148149</v>
      </c>
      <c r="S65" s="167">
        <v>1.2</v>
      </c>
      <c r="T65" s="168">
        <f t="shared" ref="T65" si="1296">IF(U65&gt;0,U64," ")</f>
        <v>312004</v>
      </c>
      <c r="U65" s="168">
        <v>312131</v>
      </c>
      <c r="V65" s="165">
        <f t="shared" ref="V65" si="1297">IFERROR((U65-T65)," ")</f>
        <v>127</v>
      </c>
      <c r="W65" s="164">
        <f t="shared" ref="W65" si="1298">IFERROR((AA65/X65)/3.6," ")</f>
        <v>337.130474708333</v>
      </c>
      <c r="X65" s="166">
        <v>24</v>
      </c>
      <c r="Y65" s="168">
        <f t="shared" ref="Y65" si="1299">IF(Z65&gt;0,Z64," ")</f>
        <v>2589744.7035305202</v>
      </c>
      <c r="Z65" s="168">
        <v>2618999.7765453202</v>
      </c>
      <c r="AA65" s="164">
        <f>IFERROR((Z65-Y65)," ")-BDFUENTES[[#This Row],[PZ MED m3/día]]</f>
        <v>29128.073014799971</v>
      </c>
      <c r="AB65" s="168">
        <f t="shared" ref="AB65" si="1300">IFERROR(ROUNDDOWN(+AF65/(AC65*3.6),0)," ")</f>
        <v>59</v>
      </c>
      <c r="AC65" s="168">
        <v>24</v>
      </c>
      <c r="AD65" s="171">
        <f t="shared" ref="AD65" si="1301">IF(AE65&gt;0,AE64," ")</f>
        <v>5347687</v>
      </c>
      <c r="AE65" s="167">
        <v>5352787</v>
      </c>
      <c r="AF65" s="165">
        <f t="shared" ref="AF65" si="1302">IFERROR((AE65-AD65)," ")</f>
        <v>5100</v>
      </c>
      <c r="AG65" s="168">
        <v>60</v>
      </c>
      <c r="AH65" s="168">
        <v>24</v>
      </c>
      <c r="AI65" s="166"/>
      <c r="AJ65" s="166"/>
      <c r="AK65" s="166">
        <f t="shared" ref="AK65" si="1303">IF(OR(AH65="",AG65=""),"",AH65*AG65*3.6)</f>
        <v>5184</v>
      </c>
      <c r="AL65" s="167">
        <f>+BDFUENTES[[#This Row],[PZ CHB m3/día]]/3.6/BDFUENTES[[#This Row],[PZ CHB Horas Activo]]</f>
        <v>37.207602339181285</v>
      </c>
      <c r="AM65" s="171">
        <v>19</v>
      </c>
      <c r="AN65" s="168">
        <f t="shared" ref="AN65" si="1304">IF(AO65&gt;0,AO64," ")</f>
        <v>3657191</v>
      </c>
      <c r="AO65" s="168">
        <v>3659736</v>
      </c>
      <c r="AP65" s="167">
        <f t="shared" ref="AP65" si="1305">IFERROR((AO65-AN65)," ")</f>
        <v>2545</v>
      </c>
      <c r="AQ65" s="166"/>
      <c r="AR65" s="166" t="str">
        <f t="shared" ref="AR65" si="1306">IFERROR(+AU65/(AQ65*3.6)," ")</f>
        <v xml:space="preserve"> </v>
      </c>
      <c r="AS65" s="168" t="str">
        <f t="shared" ref="AS65" si="1307">IF(AT65&gt;0,AT64," ")</f>
        <v xml:space="preserve"> </v>
      </c>
      <c r="AT65" s="168"/>
      <c r="AU65" s="166" t="str">
        <f t="shared" ref="AU65" si="1308">IFERROR((AT65-AS65)," ")</f>
        <v xml:space="preserve"> </v>
      </c>
      <c r="AV65" s="167">
        <f>+BDFUENTES[[#This Row],[PZ TM m3/día]]/3.6/BDFUENTES[[#This Row],[PZ TM Horas Activo]]</f>
        <v>11.423611111111111</v>
      </c>
      <c r="AW65" s="167">
        <v>16</v>
      </c>
      <c r="AX65" s="169">
        <f t="shared" ref="AX65" si="1309">IF(AY65&gt;0,AY64," ")</f>
        <v>600418</v>
      </c>
      <c r="AY65" s="169">
        <v>601076</v>
      </c>
      <c r="AZ65" s="167">
        <f t="shared" ref="AZ65" si="1310">IFERROR((AY65-AX65)," ")</f>
        <v>658</v>
      </c>
      <c r="BA65" s="166">
        <v>125</v>
      </c>
      <c r="BB65" s="166">
        <f t="shared" ref="BB65" si="1311">IFERROR(+BE65/(BA65*3.6)," ")</f>
        <v>9.555555555555556E-2</v>
      </c>
      <c r="BC65" s="168">
        <f t="shared" ref="BC65" si="1312">IF(BD65&gt;0,BD64," ")</f>
        <v>5983883</v>
      </c>
      <c r="BD65" s="168">
        <v>5983926</v>
      </c>
      <c r="BE65" s="166">
        <f t="shared" ref="BE65" si="1313">IFERROR((BD65-BC65)," ")</f>
        <v>43</v>
      </c>
      <c r="BF65" s="167">
        <v>20</v>
      </c>
      <c r="BG65" s="166">
        <f t="shared" ref="BG65" si="1314">IFERROR(+BJ65/(BF65*3.6)," ")</f>
        <v>16.930555555555557</v>
      </c>
      <c r="BH65" s="168">
        <f t="shared" ref="BH65" si="1315">IF(BI65&gt;0,BI64," ")</f>
        <v>1595966</v>
      </c>
      <c r="BI65" s="168">
        <v>1597185</v>
      </c>
      <c r="BJ65" s="167">
        <f t="shared" ref="BJ65" si="1316">IFERROR((BI65-BH65)," ")</f>
        <v>1219</v>
      </c>
      <c r="BK65" s="166">
        <v>70</v>
      </c>
      <c r="BL65" s="166">
        <f t="shared" ref="BL65" si="1317">IFERROR(+BO65/(BK65*3.6)," ")</f>
        <v>14.182539682539682</v>
      </c>
      <c r="BM65" s="168">
        <f t="shared" ref="BM65" si="1318">IF(BN65&gt;0,BN64," ")</f>
        <v>6347570</v>
      </c>
      <c r="BN65" s="168">
        <v>6351144</v>
      </c>
      <c r="BO65" s="166">
        <f t="shared" ref="BO65" si="1319">IFERROR((BN65-BM65)," ")</f>
        <v>3574</v>
      </c>
    </row>
    <row r="66" spans="2:67" ht="15" customHeight="1" x14ac:dyDescent="0.25">
      <c r="B66" s="170">
        <v>46084</v>
      </c>
      <c r="C66" s="164">
        <v>38</v>
      </c>
      <c r="D66" s="166">
        <f t="shared" ref="D66" si="1320">IFERROR(+G66/(C66*3.6)," ")</f>
        <v>0</v>
      </c>
      <c r="E66" s="168">
        <f t="shared" ref="E66" si="1321">IF(F66&gt;0,F65," ")</f>
        <v>3850535</v>
      </c>
      <c r="F66" s="168">
        <v>3850535</v>
      </c>
      <c r="G66" s="166">
        <f t="shared" ref="G66" si="1322">IFERROR((F66-E66)," ")</f>
        <v>0</v>
      </c>
      <c r="H66" s="167">
        <v>25</v>
      </c>
      <c r="I66" s="167">
        <f t="shared" ref="I66" si="1323">IFERROR(+L66/(H66*3.6)," ")</f>
        <v>0</v>
      </c>
      <c r="J66" s="168">
        <f t="shared" ref="J66" si="1324">IF(K66&gt;0,K65," ")</f>
        <v>1970853</v>
      </c>
      <c r="K66" s="266">
        <v>1970853</v>
      </c>
      <c r="L66" s="167">
        <f t="shared" ref="L66" si="1325">IFERROR((K66-J66)," ")</f>
        <v>0</v>
      </c>
      <c r="M66" s="166">
        <v>38</v>
      </c>
      <c r="N66" s="166">
        <f t="shared" ref="N66" si="1326">IFERROR(+Q66/(M66*3.6)," ")</f>
        <v>0</v>
      </c>
      <c r="O66" s="168">
        <f t="shared" ref="O66" si="1327">IF(P66&gt;0,P65," ")</f>
        <v>414656</v>
      </c>
      <c r="P66" s="168">
        <v>414656</v>
      </c>
      <c r="Q66" s="166">
        <f t="shared" ref="Q66" si="1328">IFERROR((P66-O66)," ")</f>
        <v>0</v>
      </c>
      <c r="R66" s="167">
        <f>+BDFUENTES[[#This Row],[PZ MED m3/día]]/3.6/BDFUENTES[[#This Row],[PZ MED Horas Activo]]</f>
        <v>30.555555555555557</v>
      </c>
      <c r="S66" s="167">
        <v>9</v>
      </c>
      <c r="T66" s="168">
        <f t="shared" ref="T66" si="1329">IF(U66&gt;0,U65," ")</f>
        <v>312131</v>
      </c>
      <c r="U66" s="168">
        <v>313121</v>
      </c>
      <c r="V66" s="165">
        <f t="shared" ref="V66" si="1330">IFERROR((U66-T66)," ")</f>
        <v>990</v>
      </c>
      <c r="W66" s="164">
        <f t="shared" ref="W66" si="1331">IFERROR((AA66/X66)/3.6," ")</f>
        <v>411.56057137407413</v>
      </c>
      <c r="X66" s="166">
        <v>24</v>
      </c>
      <c r="Y66" s="168">
        <f t="shared" ref="Y66" si="1332">IF(Z66&gt;0,Z65," ")</f>
        <v>2618999.7765453202</v>
      </c>
      <c r="Z66" s="168">
        <v>2655548.6099120402</v>
      </c>
      <c r="AA66" s="164">
        <f>IFERROR((Z66-Y66)," ")-BDFUENTES[[#This Row],[PZ MED m3/día]]</f>
        <v>35558.833366720006</v>
      </c>
      <c r="AB66" s="168">
        <f t="shared" ref="AB66" si="1333">IFERROR(ROUNDDOWN(+AF66/(AC66*3.6),0)," ")</f>
        <v>61</v>
      </c>
      <c r="AC66" s="168">
        <v>24</v>
      </c>
      <c r="AD66" s="171">
        <f t="shared" ref="AD66" si="1334">IF(AE66&gt;0,AE65," ")</f>
        <v>5352787</v>
      </c>
      <c r="AE66" s="167">
        <v>5358134</v>
      </c>
      <c r="AF66" s="165">
        <f t="shared" ref="AF66" si="1335">IFERROR((AE66-AD66)," ")</f>
        <v>5347</v>
      </c>
      <c r="AG66" s="168">
        <v>60</v>
      </c>
      <c r="AH66" s="168">
        <v>24</v>
      </c>
      <c r="AI66" s="166"/>
      <c r="AJ66" s="166"/>
      <c r="AK66" s="166">
        <f t="shared" ref="AK66" si="1336">IF(OR(AH66="",AG66=""),"",AH66*AG66*3.6)</f>
        <v>5184</v>
      </c>
      <c r="AL66" s="167">
        <f>+BDFUENTES[[#This Row],[PZ CHB m3/día]]/3.6/BDFUENTES[[#This Row],[PZ CHB Horas Activo]]</f>
        <v>38.688271604938272</v>
      </c>
      <c r="AM66" s="171">
        <v>18</v>
      </c>
      <c r="AN66" s="168">
        <f t="shared" ref="AN66" si="1337">IF(AO66&gt;0,AO65," ")</f>
        <v>3659736</v>
      </c>
      <c r="AO66" s="168">
        <v>3662243</v>
      </c>
      <c r="AP66" s="167">
        <f t="shared" ref="AP66" si="1338">IFERROR((AO66-AN66)," ")</f>
        <v>2507</v>
      </c>
      <c r="AQ66" s="166"/>
      <c r="AR66" s="166" t="str">
        <f t="shared" ref="AR66" si="1339">IFERROR(+AU66/(AQ66*3.6)," ")</f>
        <v xml:space="preserve"> </v>
      </c>
      <c r="AS66" s="168" t="str">
        <f t="shared" ref="AS66" si="1340">IF(AT66&gt;0,AT65," ")</f>
        <v xml:space="preserve"> </v>
      </c>
      <c r="AT66" s="168"/>
      <c r="AU66" s="166" t="str">
        <f t="shared" ref="AU66" si="1341">IFERROR((AT66-AS66)," ")</f>
        <v xml:space="preserve"> </v>
      </c>
      <c r="AV66" s="167">
        <f>+BDFUENTES[[#This Row],[PZ TM m3/día]]/3.6/BDFUENTES[[#This Row],[PZ TM Horas Activo]]</f>
        <v>11.371527777777777</v>
      </c>
      <c r="AW66" s="167">
        <v>16</v>
      </c>
      <c r="AX66" s="169">
        <f t="shared" ref="AX66" si="1342">IF(AY66&gt;0,AY65," ")</f>
        <v>601076</v>
      </c>
      <c r="AY66" s="169">
        <v>601731</v>
      </c>
      <c r="AZ66" s="167">
        <f t="shared" ref="AZ66" si="1343">IFERROR((AY66-AX66)," ")</f>
        <v>655</v>
      </c>
      <c r="BA66" s="166">
        <v>125</v>
      </c>
      <c r="BB66" s="166">
        <f t="shared" ref="BB66" si="1344">IFERROR(+BE66/(BA66*3.6)," ")</f>
        <v>0</v>
      </c>
      <c r="BC66" s="168">
        <f t="shared" ref="BC66" si="1345">IF(BD66&gt;0,BD65," ")</f>
        <v>5983926</v>
      </c>
      <c r="BD66" s="168">
        <v>5983926</v>
      </c>
      <c r="BE66" s="166">
        <f t="shared" ref="BE66" si="1346">IFERROR((BD66-BC66)," ")</f>
        <v>0</v>
      </c>
      <c r="BF66" s="167">
        <v>20</v>
      </c>
      <c r="BG66" s="166">
        <f t="shared" ref="BG66" si="1347">IFERROR(+BJ66/(BF66*3.6)," ")</f>
        <v>17.319444444444443</v>
      </c>
      <c r="BH66" s="168">
        <f t="shared" ref="BH66" si="1348">IF(BI66&gt;0,BI65," ")</f>
        <v>1597185</v>
      </c>
      <c r="BI66" s="168">
        <v>1598432</v>
      </c>
      <c r="BJ66" s="167">
        <f t="shared" ref="BJ66" si="1349">IFERROR((BI66-BH66)," ")</f>
        <v>1247</v>
      </c>
      <c r="BK66" s="166">
        <v>70</v>
      </c>
      <c r="BL66" s="166">
        <f t="shared" ref="BL66" si="1350">IFERROR(+BO66/(BK66*3.6)," ")</f>
        <v>17.5</v>
      </c>
      <c r="BM66" s="168">
        <f t="shared" ref="BM66" si="1351">IF(BN66&gt;0,BN65," ")</f>
        <v>6351144</v>
      </c>
      <c r="BN66" s="168">
        <v>6355554</v>
      </c>
      <c r="BO66" s="166">
        <f t="shared" ref="BO66" si="1352">IFERROR((BN66-BM66)," ")</f>
        <v>4410</v>
      </c>
    </row>
    <row r="67" spans="2:67" ht="15" customHeight="1" x14ac:dyDescent="0.25">
      <c r="B67" s="170">
        <v>46085</v>
      </c>
      <c r="C67" s="164">
        <v>38</v>
      </c>
      <c r="D67" s="166">
        <f t="shared" ref="D67" si="1353">IFERROR(+G67/(C67*3.6)," ")</f>
        <v>6.7032163742690054</v>
      </c>
      <c r="E67" s="168">
        <f t="shared" ref="E67" si="1354">IF(F67&gt;0,F66," ")</f>
        <v>3850535</v>
      </c>
      <c r="F67" s="168">
        <v>3851452</v>
      </c>
      <c r="G67" s="166">
        <f t="shared" ref="G67" si="1355">IFERROR((F67-E67)," ")</f>
        <v>917</v>
      </c>
      <c r="H67" s="167">
        <v>25</v>
      </c>
      <c r="I67" s="167">
        <f t="shared" ref="I67" si="1356">IFERROR(+L67/(H67*3.6)," ")</f>
        <v>0</v>
      </c>
      <c r="J67" s="168">
        <f t="shared" ref="J67" si="1357">IF(K67&gt;0,K66," ")</f>
        <v>1970853</v>
      </c>
      <c r="K67" s="266">
        <v>1970853</v>
      </c>
      <c r="L67" s="167">
        <f t="shared" ref="L67" si="1358">IFERROR((K67-J67)," ")</f>
        <v>0</v>
      </c>
      <c r="M67" s="166">
        <v>38</v>
      </c>
      <c r="N67" s="166">
        <f t="shared" ref="N67" si="1359">IFERROR(+Q67/(M67*3.6)," ")</f>
        <v>0</v>
      </c>
      <c r="O67" s="168">
        <f t="shared" ref="O67" si="1360">IF(P67&gt;0,P66," ")</f>
        <v>414656</v>
      </c>
      <c r="P67" s="168">
        <v>414656</v>
      </c>
      <c r="Q67" s="166">
        <f t="shared" ref="Q67" si="1361">IFERROR((P67-O67)," ")</f>
        <v>0</v>
      </c>
      <c r="R67" s="167">
        <f>+BDFUENTES[[#This Row],[PZ MED m3/día]]/3.6/BDFUENTES[[#This Row],[PZ MED Horas Activo]]</f>
        <v>29.058641975308642</v>
      </c>
      <c r="S67" s="167">
        <v>18</v>
      </c>
      <c r="T67" s="168">
        <f t="shared" ref="T67" si="1362">IF(U67&gt;0,U66," ")</f>
        <v>313121</v>
      </c>
      <c r="U67" s="168">
        <v>315004</v>
      </c>
      <c r="V67" s="165">
        <f t="shared" ref="V67" si="1363">IFERROR((U67-T67)," ")</f>
        <v>1883</v>
      </c>
      <c r="W67" s="164">
        <f t="shared" ref="W67" si="1364">IFERROR((AA67/X67)/3.6," ")</f>
        <v>368.12488527731381</v>
      </c>
      <c r="X67" s="166">
        <v>24</v>
      </c>
      <c r="Y67" s="168">
        <f t="shared" ref="Y67" si="1365">IF(Z67&gt;0,Z66," ")</f>
        <v>2655548.6099120402</v>
      </c>
      <c r="Z67" s="168">
        <v>2689237.6</v>
      </c>
      <c r="AA67" s="164">
        <f>IFERROR((Z67-Y67)," ")-BDFUENTES[[#This Row],[PZ MED m3/día]]</f>
        <v>31805.990087959915</v>
      </c>
      <c r="AB67" s="168">
        <f t="shared" ref="AB67" si="1366">IFERROR(ROUNDDOWN(+AF67/(AC67*3.6),0)," ")</f>
        <v>68</v>
      </c>
      <c r="AC67" s="168">
        <v>24</v>
      </c>
      <c r="AD67" s="171">
        <f t="shared" ref="AD67" si="1367">IF(AE67&gt;0,AE66," ")</f>
        <v>5358134</v>
      </c>
      <c r="AE67" s="167">
        <v>5364075</v>
      </c>
      <c r="AF67" s="165">
        <f t="shared" ref="AF67" si="1368">IFERROR((AE67-AD67)," ")</f>
        <v>5941</v>
      </c>
      <c r="AG67" s="168">
        <v>60</v>
      </c>
      <c r="AH67" s="168">
        <v>24</v>
      </c>
      <c r="AI67" s="166"/>
      <c r="AJ67" s="166"/>
      <c r="AK67" s="166">
        <f t="shared" ref="AK67" si="1369">IF(OR(AH67="",AG67=""),"",AH67*AG67*3.6)</f>
        <v>5184</v>
      </c>
      <c r="AL67" s="167">
        <f>+BDFUENTES[[#This Row],[PZ CHB m3/día]]/3.6/BDFUENTES[[#This Row],[PZ CHB Horas Activo]]</f>
        <v>38.157894736842103</v>
      </c>
      <c r="AM67" s="171">
        <v>19</v>
      </c>
      <c r="AN67" s="168">
        <f t="shared" ref="AN67" si="1370">IF(AO67&gt;0,AO66," ")</f>
        <v>3662243</v>
      </c>
      <c r="AO67" s="168">
        <v>3664853</v>
      </c>
      <c r="AP67" s="167">
        <f t="shared" ref="AP67" si="1371">IFERROR((AO67-AN67)," ")</f>
        <v>2610</v>
      </c>
      <c r="AQ67" s="166"/>
      <c r="AR67" s="166" t="str">
        <f t="shared" ref="AR67" si="1372">IFERROR(+AU67/(AQ67*3.6)," ")</f>
        <v xml:space="preserve"> </v>
      </c>
      <c r="AS67" s="168" t="str">
        <f t="shared" ref="AS67" si="1373">IF(AT67&gt;0,AT66," ")</f>
        <v xml:space="preserve"> </v>
      </c>
      <c r="AT67" s="168"/>
      <c r="AU67" s="166" t="str">
        <f t="shared" ref="AU67" si="1374">IFERROR((AT67-AS67)," ")</f>
        <v xml:space="preserve"> </v>
      </c>
      <c r="AV67" s="167">
        <f>+BDFUENTES[[#This Row],[PZ TM m3/día]]/3.6/BDFUENTES[[#This Row],[PZ TM Horas Activo]]</f>
        <v>11.510416666666666</v>
      </c>
      <c r="AW67" s="167">
        <v>16</v>
      </c>
      <c r="AX67" s="169">
        <f t="shared" ref="AX67" si="1375">IF(AY67&gt;0,AY66," ")</f>
        <v>601731</v>
      </c>
      <c r="AY67" s="169">
        <v>602394</v>
      </c>
      <c r="AZ67" s="167">
        <f t="shared" ref="AZ67" si="1376">IFERROR((AY67-AX67)," ")</f>
        <v>663</v>
      </c>
      <c r="BA67" s="166">
        <v>125</v>
      </c>
      <c r="BB67" s="166">
        <f t="shared" ref="BB67" si="1377">IFERROR(+BE67/(BA67*3.6)," ")</f>
        <v>2.3355555555555556</v>
      </c>
      <c r="BC67" s="168">
        <f t="shared" ref="BC67" si="1378">IF(BD67&gt;0,BD66," ")</f>
        <v>5983926</v>
      </c>
      <c r="BD67" s="168">
        <v>5984977</v>
      </c>
      <c r="BE67" s="166">
        <f t="shared" ref="BE67" si="1379">IFERROR((BD67-BC67)," ")</f>
        <v>1051</v>
      </c>
      <c r="BF67" s="167">
        <v>20</v>
      </c>
      <c r="BG67" s="166">
        <f t="shared" ref="BG67" si="1380">IFERROR(+BJ67/(BF67*3.6)," ")</f>
        <v>17.166666666666668</v>
      </c>
      <c r="BH67" s="168">
        <f t="shared" ref="BH67" si="1381">IF(BI67&gt;0,BI66," ")</f>
        <v>1598432</v>
      </c>
      <c r="BI67" s="168">
        <v>1599668</v>
      </c>
      <c r="BJ67" s="167">
        <f t="shared" ref="BJ67" si="1382">IFERROR((BI67-BH67)," ")</f>
        <v>1236</v>
      </c>
      <c r="BK67" s="166">
        <v>70</v>
      </c>
      <c r="BL67" s="166">
        <f t="shared" ref="BL67" si="1383">IFERROR(+BO67/(BK67*3.6)," ")</f>
        <v>20.230158730158731</v>
      </c>
      <c r="BM67" s="168">
        <f t="shared" ref="BM67" si="1384">IF(BN67&gt;0,BN66," ")</f>
        <v>6355554</v>
      </c>
      <c r="BN67" s="168">
        <v>6360652</v>
      </c>
      <c r="BO67" s="166">
        <f t="shared" ref="BO67" si="1385">IFERROR((BN67-BM67)," ")</f>
        <v>5098</v>
      </c>
    </row>
    <row r="68" spans="2:67" ht="15" customHeight="1" x14ac:dyDescent="0.25">
      <c r="B68" s="170">
        <v>46086</v>
      </c>
      <c r="C68" s="164">
        <v>38</v>
      </c>
      <c r="D68" s="166">
        <f t="shared" ref="D68" si="1386">IFERROR(+G68/(C68*3.6)," ")</f>
        <v>17.609649122807017</v>
      </c>
      <c r="E68" s="168">
        <f t="shared" ref="E68" si="1387">IF(F68&gt;0,F67," ")</f>
        <v>3851452</v>
      </c>
      <c r="F68" s="168">
        <v>3853861</v>
      </c>
      <c r="G68" s="166">
        <f t="shared" ref="G68" si="1388">IFERROR((F68-E68)," ")</f>
        <v>2409</v>
      </c>
      <c r="H68" s="167">
        <v>25</v>
      </c>
      <c r="I68" s="167">
        <f t="shared" ref="I68" si="1389">IFERROR(+L68/(H68*3.6)," ")</f>
        <v>0</v>
      </c>
      <c r="J68" s="168">
        <f t="shared" ref="J68" si="1390">IF(K68&gt;0,K67," ")</f>
        <v>1970853</v>
      </c>
      <c r="K68" s="266">
        <v>1970853</v>
      </c>
      <c r="L68" s="167">
        <f t="shared" ref="L68" si="1391">IFERROR((K68-J68)," ")</f>
        <v>0</v>
      </c>
      <c r="M68" s="166">
        <v>38</v>
      </c>
      <c r="N68" s="166">
        <f t="shared" ref="N68" si="1392">IFERROR(+Q68/(M68*3.6)," ")</f>
        <v>0</v>
      </c>
      <c r="O68" s="168">
        <f t="shared" ref="O68" si="1393">IF(P68&gt;0,P67," ")</f>
        <v>414656</v>
      </c>
      <c r="P68" s="168">
        <v>414656</v>
      </c>
      <c r="Q68" s="166">
        <f t="shared" ref="Q68" si="1394">IFERROR((P68-O68)," ")</f>
        <v>0</v>
      </c>
      <c r="R68" s="167">
        <f>+BDFUENTES[[#This Row],[PZ MED m3/día]]/3.6/BDFUENTES[[#This Row],[PZ MED Horas Activo]]</f>
        <v>28.742690058479532</v>
      </c>
      <c r="S68" s="167">
        <v>19</v>
      </c>
      <c r="T68" s="168">
        <f t="shared" ref="T68" si="1395">IF(U68&gt;0,U67," ")</f>
        <v>315004</v>
      </c>
      <c r="U68" s="168">
        <v>316970</v>
      </c>
      <c r="V68" s="165">
        <f t="shared" ref="V68" si="1396">IFERROR((U68-T68)," ")</f>
        <v>1966</v>
      </c>
      <c r="W68" s="164">
        <f t="shared" ref="W68" si="1397">IFERROR((AA68/X68)/3.6," ")</f>
        <v>429.61960806851965</v>
      </c>
      <c r="X68" s="166">
        <v>24</v>
      </c>
      <c r="Y68" s="168">
        <f t="shared" ref="Y68" si="1398">IF(Z68&gt;0,Z67," ")</f>
        <v>2689237.6</v>
      </c>
      <c r="Z68" s="168">
        <v>2728322.7341371202</v>
      </c>
      <c r="AA68" s="164">
        <f>IFERROR((Z68-Y68)," ")-BDFUENTES[[#This Row],[PZ MED m3/día]]</f>
        <v>37119.134137120098</v>
      </c>
      <c r="AB68" s="168">
        <f t="shared" ref="AB68" si="1399">IFERROR(ROUNDDOWN(+AF68/(AC68*3.6),0)," ")</f>
        <v>60</v>
      </c>
      <c r="AC68" s="168">
        <v>24</v>
      </c>
      <c r="AD68" s="171">
        <f t="shared" ref="AD68" si="1400">IF(AE68&gt;0,AE67," ")</f>
        <v>5364075</v>
      </c>
      <c r="AE68" s="167">
        <v>5369291</v>
      </c>
      <c r="AF68" s="165">
        <f t="shared" ref="AF68" si="1401">IFERROR((AE68-AD68)," ")</f>
        <v>5216</v>
      </c>
      <c r="AG68" s="168">
        <v>60</v>
      </c>
      <c r="AH68" s="168">
        <v>24</v>
      </c>
      <c r="AI68" s="166"/>
      <c r="AJ68" s="166"/>
      <c r="AK68" s="166">
        <f t="shared" ref="AK68" si="1402">IF(OR(AH68="",AG68=""),"",AH68*AG68*3.6)</f>
        <v>5184</v>
      </c>
      <c r="AL68" s="167">
        <f>+BDFUENTES[[#This Row],[PZ CHB m3/día]]/3.6/BDFUENTES[[#This Row],[PZ CHB Horas Activo]]</f>
        <v>38.626543209876537</v>
      </c>
      <c r="AM68" s="171">
        <v>18</v>
      </c>
      <c r="AN68" s="168">
        <f t="shared" ref="AN68" si="1403">IF(AO68&gt;0,AO67," ")</f>
        <v>3664853</v>
      </c>
      <c r="AO68" s="168">
        <v>3667356</v>
      </c>
      <c r="AP68" s="167">
        <f t="shared" ref="AP68" si="1404">IFERROR((AO68-AN68)," ")</f>
        <v>2503</v>
      </c>
      <c r="AQ68" s="166"/>
      <c r="AR68" s="166" t="str">
        <f t="shared" ref="AR68" si="1405">IFERROR(+AU68/(AQ68*3.6)," ")</f>
        <v xml:space="preserve"> </v>
      </c>
      <c r="AS68" s="168" t="str">
        <f t="shared" ref="AS68" si="1406">IF(AT68&gt;0,AT67," ")</f>
        <v xml:space="preserve"> </v>
      </c>
      <c r="AT68" s="168"/>
      <c r="AU68" s="166" t="str">
        <f t="shared" ref="AU68" si="1407">IFERROR((AT68-AS68)," ")</f>
        <v xml:space="preserve"> </v>
      </c>
      <c r="AV68" s="167">
        <f>+BDFUENTES[[#This Row],[PZ TM m3/día]]/3.6/BDFUENTES[[#This Row],[PZ TM Horas Activo]]</f>
        <v>11.354166666666666</v>
      </c>
      <c r="AW68" s="167">
        <v>16</v>
      </c>
      <c r="AX68" s="169">
        <f t="shared" ref="AX68" si="1408">IF(AY68&gt;0,AY67," ")</f>
        <v>602394</v>
      </c>
      <c r="AY68" s="169">
        <v>603048</v>
      </c>
      <c r="AZ68" s="167">
        <f t="shared" ref="AZ68" si="1409">IFERROR((AY68-AX68)," ")</f>
        <v>654</v>
      </c>
      <c r="BA68" s="166">
        <v>125</v>
      </c>
      <c r="BB68" s="166">
        <f t="shared" ref="BB68" si="1410">IFERROR(+BE68/(BA68*3.6)," ")</f>
        <v>5.5244444444444447</v>
      </c>
      <c r="BC68" s="168">
        <f t="shared" ref="BC68" si="1411">IF(BD68&gt;0,BD67," ")</f>
        <v>5984977</v>
      </c>
      <c r="BD68" s="168">
        <v>5987463</v>
      </c>
      <c r="BE68" s="166">
        <f t="shared" ref="BE68" si="1412">IFERROR((BD68-BC68)," ")</f>
        <v>2486</v>
      </c>
      <c r="BF68" s="167">
        <v>20</v>
      </c>
      <c r="BG68" s="166">
        <f t="shared" ref="BG68" si="1413">IFERROR(+BJ68/(BF68*3.6)," ")</f>
        <v>17.652777777777779</v>
      </c>
      <c r="BH68" s="168">
        <f t="shared" ref="BH68" si="1414">IF(BI68&gt;0,BI67," ")</f>
        <v>1599668</v>
      </c>
      <c r="BI68" s="168">
        <v>1600939</v>
      </c>
      <c r="BJ68" s="167">
        <f t="shared" ref="BJ68" si="1415">IFERROR((BI68-BH68)," ")</f>
        <v>1271</v>
      </c>
      <c r="BK68" s="166">
        <v>70</v>
      </c>
      <c r="BL68" s="166">
        <f t="shared" ref="BL68" si="1416">IFERROR(+BO68/(BK68*3.6)," ")</f>
        <v>18.138888888888889</v>
      </c>
      <c r="BM68" s="168">
        <f t="shared" ref="BM68" si="1417">IF(BN68&gt;0,BN67," ")</f>
        <v>6360652</v>
      </c>
      <c r="BN68" s="168">
        <v>6365223</v>
      </c>
      <c r="BO68" s="166">
        <f t="shared" ref="BO68" si="1418">IFERROR((BN68-BM68)," ")</f>
        <v>4571</v>
      </c>
    </row>
    <row r="69" spans="2:67" ht="15" customHeight="1" x14ac:dyDescent="0.25">
      <c r="B69" s="170">
        <v>46087</v>
      </c>
      <c r="C69" s="164">
        <v>38</v>
      </c>
      <c r="D69" s="166">
        <f t="shared" ref="D69" si="1419">IFERROR(+G69/(C69*3.6)," ")</f>
        <v>17.302631578947366</v>
      </c>
      <c r="E69" s="168">
        <f t="shared" ref="E69" si="1420">IF(F69&gt;0,F68," ")</f>
        <v>3853861</v>
      </c>
      <c r="F69" s="168">
        <v>3856228</v>
      </c>
      <c r="G69" s="166">
        <f t="shared" ref="G69" si="1421">IFERROR((F69-E69)," ")</f>
        <v>2367</v>
      </c>
      <c r="H69" s="167">
        <v>25</v>
      </c>
      <c r="I69" s="167">
        <f t="shared" ref="I69" si="1422">IFERROR(+L69/(H69*3.6)," ")</f>
        <v>0</v>
      </c>
      <c r="J69" s="168">
        <f t="shared" ref="J69" si="1423">IF(K69&gt;0,K68," ")</f>
        <v>1970853</v>
      </c>
      <c r="K69" s="266">
        <v>1970853</v>
      </c>
      <c r="L69" s="167">
        <f t="shared" ref="L69" si="1424">IFERROR((K69-J69)," ")</f>
        <v>0</v>
      </c>
      <c r="M69" s="166">
        <v>38</v>
      </c>
      <c r="N69" s="166">
        <f t="shared" ref="N69" si="1425">IFERROR(+Q69/(M69*3.6)," ")</f>
        <v>0</v>
      </c>
      <c r="O69" s="168">
        <f t="shared" ref="O69" si="1426">IF(P69&gt;0,P68," ")</f>
        <v>414656</v>
      </c>
      <c r="P69" s="168">
        <v>414656</v>
      </c>
      <c r="Q69" s="166">
        <f t="shared" ref="Q69" si="1427">IFERROR((P69-O69)," ")</f>
        <v>0</v>
      </c>
      <c r="R69" s="167">
        <f>+BDFUENTES[[#This Row],[PZ MED m3/día]]/3.6/BDFUENTES[[#This Row],[PZ MED Horas Activo]]</f>
        <v>28.861111111111107</v>
      </c>
      <c r="S69" s="167">
        <v>20</v>
      </c>
      <c r="T69" s="168">
        <f t="shared" ref="T69" si="1428">IF(U69&gt;0,U68," ")</f>
        <v>316970</v>
      </c>
      <c r="U69" s="168">
        <v>319048</v>
      </c>
      <c r="V69" s="165">
        <f t="shared" ref="V69" si="1429">IFERROR((U69-T69)," ")</f>
        <v>2078</v>
      </c>
      <c r="W69" s="164">
        <f t="shared" ref="W69" si="1430">IFERROR((AA69/X69)/3.6," ")</f>
        <v>387.10266822175646</v>
      </c>
      <c r="X69" s="166">
        <v>24</v>
      </c>
      <c r="Y69" s="168">
        <f t="shared" ref="Y69" si="1431">IF(Z69&gt;0,Z68," ")</f>
        <v>2728322.7341371202</v>
      </c>
      <c r="Z69" s="168">
        <v>2763846.4046714799</v>
      </c>
      <c r="AA69" s="164">
        <f>IFERROR((Z69-Y69)," ")-BDFUENTES[[#This Row],[PZ MED m3/día]]</f>
        <v>33445.670534359757</v>
      </c>
      <c r="AB69" s="168">
        <f t="shared" ref="AB69" si="1432">IFERROR(ROUNDDOWN(+AF69/(AC69*3.6),0)," ")</f>
        <v>68</v>
      </c>
      <c r="AC69" s="168">
        <v>24</v>
      </c>
      <c r="AD69" s="171">
        <f t="shared" ref="AD69" si="1433">IF(AE69&gt;0,AE68," ")</f>
        <v>5369291</v>
      </c>
      <c r="AE69" s="167">
        <v>5375232</v>
      </c>
      <c r="AF69" s="165">
        <f t="shared" ref="AF69:AF71" si="1434">IFERROR((AE69-AD69)," ")</f>
        <v>5941</v>
      </c>
      <c r="AG69" s="168">
        <v>60</v>
      </c>
      <c r="AH69" s="168">
        <v>24</v>
      </c>
      <c r="AI69" s="166"/>
      <c r="AJ69" s="166"/>
      <c r="AK69" s="166">
        <f t="shared" ref="AK69" si="1435">IF(OR(AH69="",AG69=""),"",AH69*AG69*3.6)</f>
        <v>5184</v>
      </c>
      <c r="AL69" s="167">
        <f>+BDFUENTES[[#This Row],[PZ CHB m3/día]]/3.6/BDFUENTES[[#This Row],[PZ CHB Horas Activo]]</f>
        <v>38.163580246913583</v>
      </c>
      <c r="AM69" s="171">
        <v>18</v>
      </c>
      <c r="AN69" s="168">
        <f t="shared" ref="AN69" si="1436">IF(AO69&gt;0,AO68," ")</f>
        <v>3667356</v>
      </c>
      <c r="AO69" s="168">
        <v>3669829</v>
      </c>
      <c r="AP69" s="167">
        <f t="shared" ref="AP69" si="1437">IFERROR((AO69-AN69)," ")</f>
        <v>2473</v>
      </c>
      <c r="AQ69" s="166"/>
      <c r="AR69" s="166" t="str">
        <f t="shared" ref="AR69" si="1438">IFERROR(+AU69/(AQ69*3.6)," ")</f>
        <v xml:space="preserve"> </v>
      </c>
      <c r="AS69" s="168" t="str">
        <f t="shared" ref="AS69" si="1439">IF(AT69&gt;0,AT68," ")</f>
        <v xml:space="preserve"> </v>
      </c>
      <c r="AT69" s="168"/>
      <c r="AU69" s="166" t="str">
        <f t="shared" ref="AU69" si="1440">IFERROR((AT69-AS69)," ")</f>
        <v xml:space="preserve"> </v>
      </c>
      <c r="AV69" s="167">
        <f>+BDFUENTES[[#This Row],[PZ TM m3/día]]/3.6/BDFUENTES[[#This Row],[PZ TM Horas Activo]]</f>
        <v>11.407407407407408</v>
      </c>
      <c r="AW69" s="167">
        <v>15</v>
      </c>
      <c r="AX69" s="169">
        <f t="shared" ref="AX69" si="1441">IF(AY69&gt;0,AY68," ")</f>
        <v>603048</v>
      </c>
      <c r="AY69" s="169">
        <v>603664</v>
      </c>
      <c r="AZ69" s="167">
        <f t="shared" ref="AZ69" si="1442">IFERROR((AY69-AX69)," ")</f>
        <v>616</v>
      </c>
      <c r="BA69" s="166">
        <v>125</v>
      </c>
      <c r="BB69" s="166">
        <f t="shared" ref="BB69" si="1443">IFERROR(+BE69/(BA69*3.6)," ")</f>
        <v>5.0533333333333337</v>
      </c>
      <c r="BC69" s="168">
        <f t="shared" ref="BC69" si="1444">IF(BD69&gt;0,BD68," ")</f>
        <v>5987463</v>
      </c>
      <c r="BD69" s="168">
        <v>5989737</v>
      </c>
      <c r="BE69" s="166">
        <f t="shared" ref="BE69" si="1445">IFERROR((BD69-BC69)," ")</f>
        <v>2274</v>
      </c>
      <c r="BF69" s="167">
        <v>20</v>
      </c>
      <c r="BG69" s="166">
        <f t="shared" ref="BG69" si="1446">IFERROR(+BJ69/(BF69*3.6)," ")</f>
        <v>17.236111111111111</v>
      </c>
      <c r="BH69" s="168">
        <f t="shared" ref="BH69" si="1447">IF(BI69&gt;0,BI68," ")</f>
        <v>1600939</v>
      </c>
      <c r="BI69" s="168">
        <v>1602180</v>
      </c>
      <c r="BJ69" s="167">
        <f t="shared" ref="BJ69" si="1448">IFERROR((BI69-BH69)," ")</f>
        <v>1241</v>
      </c>
      <c r="BK69" s="166">
        <v>70</v>
      </c>
      <c r="BL69" s="166">
        <f t="shared" ref="BL69" si="1449">IFERROR(+BO69/(BK69*3.6)," ")</f>
        <v>21.051587301587301</v>
      </c>
      <c r="BM69" s="168">
        <f t="shared" ref="BM69" si="1450">IF(BN69&gt;0,BN68," ")</f>
        <v>6365223</v>
      </c>
      <c r="BN69" s="168">
        <v>6370528</v>
      </c>
      <c r="BO69" s="166">
        <f t="shared" ref="BO69" si="1451">IFERROR((BN69-BM69)," ")</f>
        <v>5305</v>
      </c>
    </row>
    <row r="70" spans="2:67" ht="15" customHeight="1" x14ac:dyDescent="0.25">
      <c r="B70" s="170">
        <v>46088</v>
      </c>
      <c r="C70" s="164">
        <v>38</v>
      </c>
      <c r="D70" s="166">
        <f t="shared" ref="D70:D71" si="1452">IFERROR(+G70/(C70*3.6)," ")</f>
        <v>16.907894736842103</v>
      </c>
      <c r="E70" s="168">
        <f t="shared" ref="E70:E71" si="1453">IF(F70&gt;0,F69," ")</f>
        <v>3856228</v>
      </c>
      <c r="F70" s="168">
        <v>3858541</v>
      </c>
      <c r="G70" s="166">
        <f t="shared" ref="G70:G71" si="1454">IFERROR((F70-E70)," ")</f>
        <v>2313</v>
      </c>
      <c r="H70" s="167">
        <v>25</v>
      </c>
      <c r="I70" s="167">
        <f t="shared" ref="I70:I71" si="1455">IFERROR(+L70/(H70*3.6)," ")</f>
        <v>0</v>
      </c>
      <c r="J70" s="168">
        <f t="shared" ref="J70:J71" si="1456">IF(K70&gt;0,K69," ")</f>
        <v>1970853</v>
      </c>
      <c r="K70" s="266">
        <v>1970853</v>
      </c>
      <c r="L70" s="167">
        <f t="shared" ref="L70:L71" si="1457">IFERROR((K70-J70)," ")</f>
        <v>0</v>
      </c>
      <c r="M70" s="166">
        <v>38</v>
      </c>
      <c r="N70" s="166">
        <f t="shared" ref="N70:N71" si="1458">IFERROR(+Q70/(M70*3.6)," ")</f>
        <v>0</v>
      </c>
      <c r="O70" s="168">
        <f t="shared" ref="O70:O71" si="1459">IF(P70&gt;0,P69," ")</f>
        <v>414656</v>
      </c>
      <c r="P70" s="168">
        <v>414656</v>
      </c>
      <c r="Q70" s="166">
        <f t="shared" ref="Q70:Q71" si="1460">IFERROR((P70-O70)," ")</f>
        <v>0</v>
      </c>
      <c r="R70" s="167">
        <f>+BDFUENTES[[#This Row],[PZ MED m3/día]]/3.6/BDFUENTES[[#This Row],[PZ MED Horas Activo]]</f>
        <v>28.859649122807021</v>
      </c>
      <c r="S70" s="167">
        <v>19</v>
      </c>
      <c r="T70" s="168">
        <f t="shared" ref="T70:T71" si="1461">IF(U70&gt;0,U69," ")</f>
        <v>319048</v>
      </c>
      <c r="U70" s="168">
        <v>321022</v>
      </c>
      <c r="V70" s="165">
        <f t="shared" ref="V70:V71" si="1462">IFERROR((U70-T70)," ")</f>
        <v>1974</v>
      </c>
      <c r="W70" s="164">
        <f t="shared" ref="W70:W71" si="1463">IFERROR((AA70/X70)/3.6," ")</f>
        <v>391.7587197986129</v>
      </c>
      <c r="X70" s="166">
        <v>24</v>
      </c>
      <c r="Y70" s="168">
        <f t="shared" ref="Y70:Y71" si="1464">IF(Z70&gt;0,Z69," ")</f>
        <v>2763846.4046714799</v>
      </c>
      <c r="Z70" s="168">
        <v>2799668.3580620801</v>
      </c>
      <c r="AA70" s="164">
        <f>IFERROR((Z70-Y70)," ")-BDFUENTES[[#This Row],[PZ MED m3/día]]</f>
        <v>33847.95339060016</v>
      </c>
      <c r="AB70" s="168">
        <f t="shared" ref="AB70:AB71" si="1465">IFERROR(ROUNDDOWN(+AF70/(AC70*3.6),0)," ")</f>
        <v>67</v>
      </c>
      <c r="AC70" s="168">
        <v>24</v>
      </c>
      <c r="AD70" s="171">
        <f t="shared" ref="AD70:AD71" si="1466">IF(AE70&gt;0,AE69," ")</f>
        <v>5375232</v>
      </c>
      <c r="AE70" s="167">
        <v>5381032</v>
      </c>
      <c r="AF70" s="165">
        <f t="shared" si="1434"/>
        <v>5800</v>
      </c>
      <c r="AG70" s="168">
        <v>60</v>
      </c>
      <c r="AH70" s="168">
        <v>24</v>
      </c>
      <c r="AI70" s="166"/>
      <c r="AJ70" s="166"/>
      <c r="AK70" s="166">
        <f t="shared" ref="AK70:AK71" si="1467">IF(OR(AH70="",AG70=""),"",AH70*AG70*3.6)</f>
        <v>5184</v>
      </c>
      <c r="AL70" s="167">
        <f>+BDFUENTES[[#This Row],[PZ CHB m3/día]]/3.6/BDFUENTES[[#This Row],[PZ CHB Horas Activo]]</f>
        <v>36.646825396825399</v>
      </c>
      <c r="AM70" s="171">
        <v>14</v>
      </c>
      <c r="AN70" s="168">
        <f t="shared" ref="AN70:AN71" si="1468">IF(AO70&gt;0,AO69," ")</f>
        <v>3669829</v>
      </c>
      <c r="AO70" s="168">
        <v>3671676</v>
      </c>
      <c r="AP70" s="167">
        <f t="shared" ref="AP70:AP71" si="1469">IFERROR((AO70-AN70)," ")</f>
        <v>1847</v>
      </c>
      <c r="AQ70" s="166"/>
      <c r="AR70" s="166" t="str">
        <f t="shared" ref="AR70:AR71" si="1470">IFERROR(+AU70/(AQ70*3.6)," ")</f>
        <v xml:space="preserve"> </v>
      </c>
      <c r="AS70" s="168" t="str">
        <f t="shared" ref="AS70:AS71" si="1471">IF(AT70&gt;0,AT69," ")</f>
        <v xml:space="preserve"> </v>
      </c>
      <c r="AT70" s="168"/>
      <c r="AU70" s="166" t="str">
        <f t="shared" ref="AU70:AU71" si="1472">IFERROR((AT70-AS70)," ")</f>
        <v xml:space="preserve"> </v>
      </c>
      <c r="AV70" s="167">
        <f>+BDFUENTES[[#This Row],[PZ TM m3/día]]/3.6/BDFUENTES[[#This Row],[PZ TM Horas Activo]]</f>
        <v>11.435185185185185</v>
      </c>
      <c r="AW70" s="167">
        <v>12</v>
      </c>
      <c r="AX70" s="169">
        <f t="shared" ref="AX70:AX71" si="1473">IF(AY70&gt;0,AY69," ")</f>
        <v>603664</v>
      </c>
      <c r="AY70" s="169">
        <v>604158</v>
      </c>
      <c r="AZ70" s="167">
        <f t="shared" ref="AZ70:AZ71" si="1474">IFERROR((AY70-AX70)," ")</f>
        <v>494</v>
      </c>
      <c r="BA70" s="166">
        <v>125</v>
      </c>
      <c r="BB70" s="166">
        <f t="shared" ref="BB70:BB71" si="1475">IFERROR(+BE70/(BA70*3.6)," ")</f>
        <v>5.5177777777777779</v>
      </c>
      <c r="BC70" s="168">
        <f t="shared" ref="BC70:BC71" si="1476">IF(BD70&gt;0,BD69," ")</f>
        <v>5989737</v>
      </c>
      <c r="BD70" s="168">
        <v>5992220</v>
      </c>
      <c r="BE70" s="166">
        <f t="shared" ref="BE70:BE71" si="1477">IFERROR((BD70-BC70)," ")</f>
        <v>2483</v>
      </c>
      <c r="BF70" s="167">
        <v>20</v>
      </c>
      <c r="BG70" s="166">
        <f t="shared" ref="BG70:BG71" si="1478">IFERROR(+BJ70/(BF70*3.6)," ")</f>
        <v>18.5</v>
      </c>
      <c r="BH70" s="168">
        <f t="shared" ref="BH70:BH71" si="1479">IF(BI70&gt;0,BI69," ")</f>
        <v>1602180</v>
      </c>
      <c r="BI70" s="168">
        <v>1603512</v>
      </c>
      <c r="BJ70" s="167">
        <f t="shared" ref="BJ70:BJ71" si="1480">IFERROR((BI70-BH70)," ")</f>
        <v>1332</v>
      </c>
      <c r="BK70" s="166">
        <v>70</v>
      </c>
      <c r="BL70" s="166">
        <f t="shared" ref="BL70:BL71" si="1481">IFERROR(+BO70/(BK70*3.6)," ")</f>
        <v>17.615079365079364</v>
      </c>
      <c r="BM70" s="168">
        <f t="shared" ref="BM70:BM71" si="1482">IF(BN70&gt;0,BN69," ")</f>
        <v>6370528</v>
      </c>
      <c r="BN70" s="168">
        <v>6374967</v>
      </c>
      <c r="BO70" s="166">
        <f t="shared" ref="BO70:BO71" si="1483">IFERROR((BN70-BM70)," ")</f>
        <v>4439</v>
      </c>
    </row>
    <row r="71" spans="2:67" ht="15" customHeight="1" x14ac:dyDescent="0.25">
      <c r="B71" s="170">
        <v>46089</v>
      </c>
      <c r="C71" s="164">
        <v>38</v>
      </c>
      <c r="D71" s="166">
        <f t="shared" si="1452"/>
        <v>17.339181286549707</v>
      </c>
      <c r="E71" s="168">
        <f t="shared" si="1453"/>
        <v>3858541</v>
      </c>
      <c r="F71" s="168">
        <v>3860913</v>
      </c>
      <c r="G71" s="166">
        <f t="shared" si="1454"/>
        <v>2372</v>
      </c>
      <c r="H71" s="167">
        <v>25</v>
      </c>
      <c r="I71" s="167">
        <f t="shared" si="1455"/>
        <v>0</v>
      </c>
      <c r="J71" s="168">
        <f t="shared" si="1456"/>
        <v>1970853</v>
      </c>
      <c r="K71" s="266">
        <v>1970853</v>
      </c>
      <c r="L71" s="167">
        <f t="shared" si="1457"/>
        <v>0</v>
      </c>
      <c r="M71" s="166">
        <v>38</v>
      </c>
      <c r="N71" s="166">
        <f t="shared" si="1458"/>
        <v>0</v>
      </c>
      <c r="O71" s="168">
        <f t="shared" si="1459"/>
        <v>414656</v>
      </c>
      <c r="P71" s="168">
        <v>414656</v>
      </c>
      <c r="Q71" s="166">
        <f t="shared" si="1460"/>
        <v>0</v>
      </c>
      <c r="R71" s="167">
        <f>+BDFUENTES[[#This Row],[PZ MED m3/día]]/3.6/BDFUENTES[[#This Row],[PZ MED Horas Activo]]</f>
        <v>28.435672514619881</v>
      </c>
      <c r="S71" s="167">
        <v>19</v>
      </c>
      <c r="T71" s="168">
        <f t="shared" si="1461"/>
        <v>321022</v>
      </c>
      <c r="U71" s="168">
        <v>322967</v>
      </c>
      <c r="V71" s="165">
        <f t="shared" si="1462"/>
        <v>1945</v>
      </c>
      <c r="W71" s="164">
        <f t="shared" si="1463"/>
        <v>391.06863354074045</v>
      </c>
      <c r="X71" s="166">
        <v>24</v>
      </c>
      <c r="Y71" s="168">
        <f t="shared" si="1464"/>
        <v>2799668.3580620801</v>
      </c>
      <c r="Z71" s="168">
        <f>2832336+(425.79*3.6*2)</f>
        <v>2835401.6880000001</v>
      </c>
      <c r="AA71" s="164">
        <f>IFERROR((Z71-Y71)," ")-BDFUENTES[[#This Row],[PZ MED m3/día]]</f>
        <v>33788.329937919974</v>
      </c>
      <c r="AB71" s="168">
        <f t="shared" si="1465"/>
        <v>64</v>
      </c>
      <c r="AC71" s="168">
        <v>24</v>
      </c>
      <c r="AD71" s="171">
        <f t="shared" si="1466"/>
        <v>5381032</v>
      </c>
      <c r="AE71" s="167">
        <v>5386564</v>
      </c>
      <c r="AF71" s="165">
        <f t="shared" si="1434"/>
        <v>5532</v>
      </c>
      <c r="AG71" s="168">
        <v>60</v>
      </c>
      <c r="AH71" s="168">
        <v>24</v>
      </c>
      <c r="AI71" s="166"/>
      <c r="AJ71" s="166"/>
      <c r="AK71" s="166">
        <f t="shared" si="1467"/>
        <v>5184</v>
      </c>
      <c r="AL71" s="167">
        <f>+BDFUENTES[[#This Row],[PZ CHB m3/día]]/3.6/BDFUENTES[[#This Row],[PZ CHB Horas Activo]]</f>
        <v>39.783950617283949</v>
      </c>
      <c r="AM71" s="171">
        <v>18</v>
      </c>
      <c r="AN71" s="168">
        <f t="shared" si="1468"/>
        <v>3671676</v>
      </c>
      <c r="AO71" s="168">
        <v>3674254</v>
      </c>
      <c r="AP71" s="167">
        <f t="shared" si="1469"/>
        <v>2578</v>
      </c>
      <c r="AQ71" s="166"/>
      <c r="AR71" s="166" t="str">
        <f t="shared" si="1470"/>
        <v xml:space="preserve"> </v>
      </c>
      <c r="AS71" s="168" t="str">
        <f t="shared" si="1471"/>
        <v xml:space="preserve"> </v>
      </c>
      <c r="AT71" s="168"/>
      <c r="AU71" s="166" t="str">
        <f t="shared" si="1472"/>
        <v xml:space="preserve"> </v>
      </c>
      <c r="AV71" s="167">
        <f>+BDFUENTES[[#This Row],[PZ TM m3/día]]/3.6/BDFUENTES[[#This Row],[PZ TM Horas Activo]]</f>
        <v>11.538461538461538</v>
      </c>
      <c r="AW71" s="167">
        <v>13</v>
      </c>
      <c r="AX71" s="169">
        <f t="shared" si="1473"/>
        <v>604158</v>
      </c>
      <c r="AY71" s="169">
        <v>604698</v>
      </c>
      <c r="AZ71" s="167">
        <f t="shared" si="1474"/>
        <v>540</v>
      </c>
      <c r="BA71" s="166">
        <v>125</v>
      </c>
      <c r="BB71" s="166">
        <f t="shared" si="1475"/>
        <v>5.34</v>
      </c>
      <c r="BC71" s="168">
        <f t="shared" si="1476"/>
        <v>5992220</v>
      </c>
      <c r="BD71" s="168">
        <v>5994623</v>
      </c>
      <c r="BE71" s="166">
        <f t="shared" si="1477"/>
        <v>2403</v>
      </c>
      <c r="BF71" s="167">
        <v>20</v>
      </c>
      <c r="BG71" s="166">
        <f t="shared" si="1478"/>
        <v>17.597222222222221</v>
      </c>
      <c r="BH71" s="168">
        <f t="shared" si="1479"/>
        <v>1603512</v>
      </c>
      <c r="BI71" s="168">
        <v>1604779</v>
      </c>
      <c r="BJ71" s="167">
        <f t="shared" si="1480"/>
        <v>1267</v>
      </c>
      <c r="BK71" s="166">
        <v>70</v>
      </c>
      <c r="BL71" s="166">
        <f t="shared" si="1481"/>
        <v>17.083333333333332</v>
      </c>
      <c r="BM71" s="168">
        <f t="shared" si="1482"/>
        <v>6374967</v>
      </c>
      <c r="BN71" s="168">
        <v>6379272</v>
      </c>
      <c r="BO71" s="166">
        <f t="shared" si="1483"/>
        <v>4305</v>
      </c>
    </row>
    <row r="72" spans="2:67" ht="15" customHeight="1" x14ac:dyDescent="0.25">
      <c r="B72" s="170">
        <v>46090</v>
      </c>
      <c r="C72" s="164">
        <v>38</v>
      </c>
      <c r="D72" s="166">
        <f t="shared" ref="D72" si="1484">IFERROR(+G72/(C72*3.6)," ")</f>
        <v>17.032163742690056</v>
      </c>
      <c r="E72" s="168">
        <f t="shared" ref="E72" si="1485">IF(F72&gt;0,F71," ")</f>
        <v>3860913</v>
      </c>
      <c r="F72" s="168">
        <v>3863243</v>
      </c>
      <c r="G72" s="166">
        <f t="shared" ref="G72" si="1486">IFERROR((F72-E72)," ")</f>
        <v>2330</v>
      </c>
      <c r="H72" s="167">
        <v>25</v>
      </c>
      <c r="I72" s="167">
        <f t="shared" ref="I72" si="1487">IFERROR(+L72/(H72*3.6)," ")</f>
        <v>0</v>
      </c>
      <c r="J72" s="168">
        <f t="shared" ref="J72" si="1488">IF(K72&gt;0,K71," ")</f>
        <v>1970853</v>
      </c>
      <c r="K72" s="266">
        <v>1970853</v>
      </c>
      <c r="L72" s="167">
        <f t="shared" ref="L72" si="1489">IFERROR((K72-J72)," ")</f>
        <v>0</v>
      </c>
      <c r="M72" s="166">
        <v>38</v>
      </c>
      <c r="N72" s="166">
        <f t="shared" ref="N72" si="1490">IFERROR(+Q72/(M72*3.6)," ")</f>
        <v>0</v>
      </c>
      <c r="O72" s="168">
        <f t="shared" ref="O72" si="1491">IF(P72&gt;0,P71," ")</f>
        <v>414656</v>
      </c>
      <c r="P72" s="168">
        <v>414656</v>
      </c>
      <c r="Q72" s="166">
        <f t="shared" ref="Q72" si="1492">IFERROR((P72-O72)," ")</f>
        <v>0</v>
      </c>
      <c r="R72" s="167">
        <f>+BDFUENTES[[#This Row],[PZ MED m3/día]]/3.6/BDFUENTES[[#This Row],[PZ MED Horas Activo]]</f>
        <v>28.888888888888889</v>
      </c>
      <c r="S72" s="167">
        <v>16</v>
      </c>
      <c r="T72" s="168">
        <f t="shared" ref="T72" si="1493">IF(U72&gt;0,U71," ")</f>
        <v>322967</v>
      </c>
      <c r="U72" s="168">
        <v>324631</v>
      </c>
      <c r="V72" s="165">
        <f t="shared" ref="V72" si="1494">IFERROR((U72-T72)," ")</f>
        <v>1664</v>
      </c>
      <c r="W72" s="164">
        <f t="shared" ref="W72" si="1495">IFERROR((AA72/X72)/3.6," ")</f>
        <v>391.64019063379749</v>
      </c>
      <c r="X72" s="166">
        <v>24</v>
      </c>
      <c r="Y72" s="168">
        <f t="shared" ref="Y72" si="1496">IF(Z72&gt;0,Z71," ")</f>
        <v>2835401.6880000001</v>
      </c>
      <c r="Z72" s="168">
        <v>2870903.4004707602</v>
      </c>
      <c r="AA72" s="164">
        <f>IFERROR((Z72-Y72)," ")-BDFUENTES[[#This Row],[PZ MED m3/día]]</f>
        <v>33837.712470760103</v>
      </c>
      <c r="AB72" s="168">
        <f t="shared" ref="AB72" si="1497">IFERROR(ROUNDDOWN(+AF72/(AC72*3.6),0)," ")</f>
        <v>68</v>
      </c>
      <c r="AC72" s="168">
        <v>24</v>
      </c>
      <c r="AD72" s="171">
        <f t="shared" ref="AD72" si="1498">IF(AE72&gt;0,AE71," ")</f>
        <v>5386564</v>
      </c>
      <c r="AE72" s="167">
        <v>5392487</v>
      </c>
      <c r="AF72" s="165">
        <f t="shared" ref="AF72" si="1499">IFERROR((AE72-AD72)," ")</f>
        <v>5923</v>
      </c>
      <c r="AG72" s="168">
        <v>60</v>
      </c>
      <c r="AH72" s="168">
        <v>24</v>
      </c>
      <c r="AI72" s="166"/>
      <c r="AJ72" s="166"/>
      <c r="AK72" s="166">
        <f t="shared" ref="AK72" si="1500">IF(OR(AH72="",AG72=""),"",AH72*AG72*3.6)</f>
        <v>5184</v>
      </c>
      <c r="AL72" s="167">
        <f>+BDFUENTES[[#This Row],[PZ CHB m3/día]]/3.6/BDFUENTES[[#This Row],[PZ CHB Horas Activo]]</f>
        <v>38.842592592592588</v>
      </c>
      <c r="AM72" s="171">
        <v>18</v>
      </c>
      <c r="AN72" s="168">
        <f t="shared" ref="AN72" si="1501">IF(AO72&gt;0,AO71," ")</f>
        <v>3674254</v>
      </c>
      <c r="AO72" s="168">
        <v>3676771</v>
      </c>
      <c r="AP72" s="167">
        <f t="shared" ref="AP72" si="1502">IFERROR((AO72-AN72)," ")</f>
        <v>2517</v>
      </c>
      <c r="AQ72" s="166"/>
      <c r="AR72" s="166" t="str">
        <f t="shared" ref="AR72" si="1503">IFERROR(+AU72/(AQ72*3.6)," ")</f>
        <v xml:space="preserve"> </v>
      </c>
      <c r="AS72" s="168" t="str">
        <f t="shared" ref="AS72" si="1504">IF(AT72&gt;0,AT71," ")</f>
        <v xml:space="preserve"> </v>
      </c>
      <c r="AT72" s="168"/>
      <c r="AU72" s="166" t="str">
        <f t="shared" ref="AU72" si="1505">IFERROR((AT72-AS72)," ")</f>
        <v xml:space="preserve"> </v>
      </c>
      <c r="AV72" s="167">
        <f>+BDFUENTES[[#This Row],[PZ TM m3/día]]/3.6/BDFUENTES[[#This Row],[PZ TM Horas Activo]]</f>
        <v>11.462962962962962</v>
      </c>
      <c r="AW72" s="167">
        <v>15</v>
      </c>
      <c r="AX72" s="169">
        <f t="shared" ref="AX72" si="1506">IF(AY72&gt;0,AY71," ")</f>
        <v>604698</v>
      </c>
      <c r="AY72" s="169">
        <v>605317</v>
      </c>
      <c r="AZ72" s="167">
        <f t="shared" ref="AZ72" si="1507">IFERROR((AY72-AX72)," ")</f>
        <v>619</v>
      </c>
      <c r="BA72" s="166">
        <v>125</v>
      </c>
      <c r="BB72" s="166">
        <f t="shared" ref="BB72" si="1508">IFERROR(+BE72/(BA72*3.6)," ")</f>
        <v>5.3355555555555556</v>
      </c>
      <c r="BC72" s="168">
        <f t="shared" ref="BC72" si="1509">IF(BD72&gt;0,BD71," ")</f>
        <v>5994623</v>
      </c>
      <c r="BD72" s="168">
        <v>5997024</v>
      </c>
      <c r="BE72" s="166">
        <f t="shared" ref="BE72" si="1510">IFERROR((BD72-BC72)," ")</f>
        <v>2401</v>
      </c>
      <c r="BF72" s="167">
        <v>20</v>
      </c>
      <c r="BG72" s="166">
        <f t="shared" ref="BG72" si="1511">IFERROR(+BJ72/(BF72*3.6)," ")</f>
        <v>15.361111111111111</v>
      </c>
      <c r="BH72" s="168">
        <f t="shared" ref="BH72" si="1512">IF(BI72&gt;0,BI71," ")</f>
        <v>1604779</v>
      </c>
      <c r="BI72" s="168">
        <v>1605885</v>
      </c>
      <c r="BJ72" s="167">
        <f t="shared" ref="BJ72" si="1513">IFERROR((BI72-BH72)," ")</f>
        <v>1106</v>
      </c>
      <c r="BK72" s="166">
        <v>70</v>
      </c>
      <c r="BL72" s="166">
        <f t="shared" ref="BL72" si="1514">IFERROR(+BO72/(BK72*3.6)," ")</f>
        <v>17.841269841269842</v>
      </c>
      <c r="BM72" s="168">
        <f t="shared" ref="BM72" si="1515">IF(BN72&gt;0,BN71," ")</f>
        <v>6379272</v>
      </c>
      <c r="BN72" s="168">
        <v>6383768</v>
      </c>
      <c r="BO72" s="166">
        <f t="shared" ref="BO72" si="1516">IFERROR((BN72-BM72)," ")</f>
        <v>4496</v>
      </c>
    </row>
    <row r="73" spans="2:67" ht="15" customHeight="1" x14ac:dyDescent="0.25">
      <c r="B73" s="170">
        <v>46091</v>
      </c>
      <c r="C73" s="164">
        <v>38</v>
      </c>
      <c r="D73" s="166">
        <f t="shared" ref="D73" si="1517">IFERROR(+G73/(C73*3.6)," ")</f>
        <v>17.434210526315788</v>
      </c>
      <c r="E73" s="168">
        <f t="shared" ref="E73" si="1518">IF(F73&gt;0,F72," ")</f>
        <v>3863243</v>
      </c>
      <c r="F73" s="168">
        <v>3865628</v>
      </c>
      <c r="G73" s="166">
        <f t="shared" ref="G73" si="1519">IFERROR((F73-E73)," ")</f>
        <v>2385</v>
      </c>
      <c r="H73" s="167">
        <v>25</v>
      </c>
      <c r="I73" s="167">
        <f t="shared" ref="I73" si="1520">IFERROR(+L73/(H73*3.6)," ")</f>
        <v>0</v>
      </c>
      <c r="J73" s="168">
        <f t="shared" ref="J73" si="1521">IF(K73&gt;0,K72," ")</f>
        <v>1970853</v>
      </c>
      <c r="K73" s="266">
        <v>1970853</v>
      </c>
      <c r="L73" s="167">
        <f t="shared" ref="L73" si="1522">IFERROR((K73-J73)," ")</f>
        <v>0</v>
      </c>
      <c r="M73" s="166">
        <v>38</v>
      </c>
      <c r="N73" s="166">
        <f t="shared" ref="N73" si="1523">IFERROR(+Q73/(M73*3.6)," ")</f>
        <v>0</v>
      </c>
      <c r="O73" s="168">
        <f t="shared" ref="O73" si="1524">IF(P73&gt;0,P72," ")</f>
        <v>414656</v>
      </c>
      <c r="P73" s="168">
        <v>414656</v>
      </c>
      <c r="Q73" s="166">
        <f t="shared" ref="Q73" si="1525">IFERROR((P73-O73)," ")</f>
        <v>0</v>
      </c>
      <c r="R73" s="167">
        <f>+BDFUENTES[[#This Row],[PZ MED m3/día]]/3.6/BDFUENTES[[#This Row],[PZ MED Horas Activo]]</f>
        <v>28.966049382716051</v>
      </c>
      <c r="S73" s="167">
        <v>18</v>
      </c>
      <c r="T73" s="168">
        <f t="shared" ref="T73" si="1526">IF(U73&gt;0,U72," ")</f>
        <v>324631</v>
      </c>
      <c r="U73" s="168">
        <v>326508</v>
      </c>
      <c r="V73" s="165">
        <f t="shared" si="691"/>
        <v>1877</v>
      </c>
      <c r="W73" s="164">
        <f t="shared" ref="W73" si="1527">IFERROR((AA73/X73)/3.6," ")</f>
        <v>383.14429089490591</v>
      </c>
      <c r="X73" s="166">
        <v>24</v>
      </c>
      <c r="Y73" s="168">
        <f t="shared" ref="Y73" si="1528">IF(Z73&gt;0,Z72," ")</f>
        <v>2870903.4004707602</v>
      </c>
      <c r="Z73" s="168">
        <v>2905884.0672040801</v>
      </c>
      <c r="AA73" s="164">
        <f>IFERROR((Z73-Y73)," ")-BDFUENTES[[#This Row],[PZ MED m3/día]]</f>
        <v>33103.666733319871</v>
      </c>
      <c r="AB73" s="168">
        <f t="shared" ref="AB73" si="1529">IFERROR(ROUNDDOWN(+AF73/(AC73*3.6),0)," ")</f>
        <v>70</v>
      </c>
      <c r="AC73" s="168">
        <v>24</v>
      </c>
      <c r="AD73" s="171">
        <f t="shared" ref="AD73" si="1530">IF(AE73&gt;0,AE72," ")</f>
        <v>5392487</v>
      </c>
      <c r="AE73" s="167">
        <v>5398592</v>
      </c>
      <c r="AF73" s="165">
        <f t="shared" ref="AF73" si="1531">IFERROR((AE73-AD73)," ")</f>
        <v>6105</v>
      </c>
      <c r="AG73" s="168">
        <v>60</v>
      </c>
      <c r="AH73" s="168">
        <v>24</v>
      </c>
      <c r="AI73" s="166"/>
      <c r="AJ73" s="166"/>
      <c r="AK73" s="166">
        <f t="shared" ref="AK73" si="1532">IF(OR(AH73="",AG73=""),"",AH73*AG73*3.6)</f>
        <v>5184</v>
      </c>
      <c r="AL73" s="167">
        <f>+BDFUENTES[[#This Row],[PZ CHB m3/día]]/3.6/BDFUENTES[[#This Row],[PZ CHB Horas Activo]]</f>
        <v>39.444444444444443</v>
      </c>
      <c r="AM73" s="171">
        <v>18</v>
      </c>
      <c r="AN73" s="168">
        <f t="shared" ref="AN73" si="1533">IF(AO73&gt;0,AO72," ")</f>
        <v>3676771</v>
      </c>
      <c r="AO73" s="168">
        <v>3679327</v>
      </c>
      <c r="AP73" s="167">
        <f t="shared" ref="AP73" si="1534">IFERROR((AO73-AN73)," ")</f>
        <v>2556</v>
      </c>
      <c r="AQ73" s="166"/>
      <c r="AR73" s="166" t="str">
        <f t="shared" ref="AR73" si="1535">IFERROR(+AU73/(AQ73*3.6)," ")</f>
        <v xml:space="preserve"> </v>
      </c>
      <c r="AS73" s="168" t="str">
        <f t="shared" ref="AS73" si="1536">IF(AT73&gt;0,AT72," ")</f>
        <v xml:space="preserve"> </v>
      </c>
      <c r="AT73" s="168"/>
      <c r="AU73" s="166" t="str">
        <f t="shared" ref="AU73" si="1537">IFERROR((AT73-AS73)," ")</f>
        <v xml:space="preserve"> </v>
      </c>
      <c r="AV73" s="167">
        <f>+BDFUENTES[[#This Row],[PZ TM m3/día]]/3.6/BDFUENTES[[#This Row],[PZ TM Horas Activo]]</f>
        <v>11.25</v>
      </c>
      <c r="AW73" s="167">
        <v>16</v>
      </c>
      <c r="AX73" s="169">
        <f t="shared" ref="AX73" si="1538">IF(AY73&gt;0,AY72," ")</f>
        <v>605317</v>
      </c>
      <c r="AY73" s="169">
        <v>605965</v>
      </c>
      <c r="AZ73" s="167">
        <f t="shared" ref="AZ73" si="1539">IFERROR((AY73-AX73)," ")</f>
        <v>648</v>
      </c>
      <c r="BA73" s="166">
        <v>125</v>
      </c>
      <c r="BB73" s="166">
        <f t="shared" ref="BB73" si="1540">IFERROR(+BE73/(BA73*3.6)," ")</f>
        <v>5.3488888888888892</v>
      </c>
      <c r="BC73" s="168">
        <f t="shared" ref="BC73" si="1541">IF(BD73&gt;0,BD72," ")</f>
        <v>5997024</v>
      </c>
      <c r="BD73" s="168">
        <v>5999431</v>
      </c>
      <c r="BE73" s="166">
        <f t="shared" ref="BE73" si="1542">IFERROR((BD73-BC73)," ")</f>
        <v>2407</v>
      </c>
      <c r="BF73" s="167">
        <v>20</v>
      </c>
      <c r="BG73" s="166">
        <f t="shared" ref="BG73" si="1543">IFERROR(+BJ73/(BF73*3.6)," ")</f>
        <v>17.180555555555557</v>
      </c>
      <c r="BH73" s="168">
        <f t="shared" ref="BH73" si="1544">IF(BI73&gt;0,BI72," ")</f>
        <v>1605885</v>
      </c>
      <c r="BI73" s="168">
        <v>1607122</v>
      </c>
      <c r="BJ73" s="167">
        <f t="shared" ref="BJ73" si="1545">IFERROR((BI73-BH73)," ")</f>
        <v>1237</v>
      </c>
      <c r="BK73" s="166">
        <v>70</v>
      </c>
      <c r="BL73" s="166">
        <f t="shared" ref="BL73" si="1546">IFERROR(+BO73/(BK73*3.6)," ")</f>
        <v>20.797619047619047</v>
      </c>
      <c r="BM73" s="168">
        <f t="shared" ref="BM73" si="1547">IF(BN73&gt;0,BN72," ")</f>
        <v>6383768</v>
      </c>
      <c r="BN73" s="168">
        <v>6389009</v>
      </c>
      <c r="BO73" s="166">
        <f t="shared" ref="BO73" si="1548">IFERROR((BN73-BM73)," ")</f>
        <v>5241</v>
      </c>
    </row>
    <row r="74" spans="2:67" ht="15" customHeight="1" x14ac:dyDescent="0.25">
      <c r="B74" s="170">
        <v>46092</v>
      </c>
      <c r="C74" s="164">
        <v>38</v>
      </c>
      <c r="D74" s="166">
        <f t="shared" ref="D74" si="1549">IFERROR(+G74/(C74*3.6)," ")</f>
        <v>16.937134502923975</v>
      </c>
      <c r="E74" s="168">
        <f t="shared" ref="E74" si="1550">IF(F74&gt;0,F73," ")</f>
        <v>3865628</v>
      </c>
      <c r="F74" s="168">
        <v>3867945</v>
      </c>
      <c r="G74" s="166">
        <f t="shared" ref="G74" si="1551">IFERROR((F74-E74)," ")</f>
        <v>2317</v>
      </c>
      <c r="H74" s="167">
        <v>25</v>
      </c>
      <c r="I74" s="167">
        <f t="shared" ref="I74" si="1552">IFERROR(+L74/(H74*3.6)," ")</f>
        <v>0</v>
      </c>
      <c r="J74" s="168">
        <f t="shared" ref="J74" si="1553">IF(K74&gt;0,K73," ")</f>
        <v>1970853</v>
      </c>
      <c r="K74" s="266">
        <v>1970853</v>
      </c>
      <c r="L74" s="167">
        <f t="shared" ref="L74" si="1554">IFERROR((K74-J74)," ")</f>
        <v>0</v>
      </c>
      <c r="M74" s="166">
        <v>38</v>
      </c>
      <c r="N74" s="166">
        <f t="shared" ref="N74" si="1555">IFERROR(+Q74/(M74*3.6)," ")</f>
        <v>0</v>
      </c>
      <c r="O74" s="168">
        <f t="shared" ref="O74" si="1556">IF(P74&gt;0,P73," ")</f>
        <v>414656</v>
      </c>
      <c r="P74" s="168">
        <v>414656</v>
      </c>
      <c r="Q74" s="166">
        <f t="shared" ref="Q74" si="1557">IFERROR((P74-O74)," ")</f>
        <v>0</v>
      </c>
      <c r="R74" s="167">
        <f>+BDFUENTES[[#This Row],[PZ MED m3/día]]/3.6/BDFUENTES[[#This Row],[PZ MED Horas Activo]]</f>
        <v>29.29012345679012</v>
      </c>
      <c r="S74" s="167">
        <v>18</v>
      </c>
      <c r="T74" s="168">
        <f t="shared" ref="T74" si="1558">IF(U74&gt;0,U73," ")</f>
        <v>326508</v>
      </c>
      <c r="U74" s="168">
        <v>328406</v>
      </c>
      <c r="V74" s="165">
        <f t="shared" ref="V74" si="1559">IFERROR((U74-T74)," ")</f>
        <v>1898</v>
      </c>
      <c r="W74" s="164">
        <f t="shared" ref="W74" si="1560">IFERROR((AA74/X74)/3.6," ")</f>
        <v>378.05350422314842</v>
      </c>
      <c r="X74" s="166">
        <v>24</v>
      </c>
      <c r="Y74" s="168">
        <f t="shared" ref="Y74" si="1561">IF(Z74&gt;0,Z73," ")</f>
        <v>2905884.0672040801</v>
      </c>
      <c r="Z74" s="168">
        <v>2940445.8899689601</v>
      </c>
      <c r="AA74" s="164">
        <f>IFERROR((Z74-Y74)," ")-BDFUENTES[[#This Row],[PZ MED m3/día]]</f>
        <v>32663.822764880024</v>
      </c>
      <c r="AB74" s="168">
        <f t="shared" ref="AB74" si="1562">IFERROR(ROUNDDOWN(+AF74/(AC74*3.6),0)," ")</f>
        <v>67</v>
      </c>
      <c r="AC74" s="168">
        <v>24</v>
      </c>
      <c r="AD74" s="171">
        <f t="shared" ref="AD74" si="1563">IF(AE74&gt;0,AE73," ")</f>
        <v>5398592</v>
      </c>
      <c r="AE74" s="167">
        <v>5404388</v>
      </c>
      <c r="AF74" s="165">
        <f t="shared" ref="AF74" si="1564">IFERROR((AE74-AD74)," ")</f>
        <v>5796</v>
      </c>
      <c r="AG74" s="168">
        <v>60</v>
      </c>
      <c r="AH74" s="168">
        <v>24</v>
      </c>
      <c r="AI74" s="166"/>
      <c r="AJ74" s="166"/>
      <c r="AK74" s="166">
        <f t="shared" ref="AK74" si="1565">IF(OR(AH74="",AG74=""),"",AH74*AG74*3.6)</f>
        <v>5184</v>
      </c>
      <c r="AL74" s="167">
        <f>+BDFUENTES[[#This Row],[PZ CHB m3/día]]/3.6/BDFUENTES[[#This Row],[PZ CHB Horas Activo]]</f>
        <v>39.459876543209873</v>
      </c>
      <c r="AM74" s="171">
        <v>18</v>
      </c>
      <c r="AN74" s="168">
        <f t="shared" ref="AN74" si="1566">IF(AO74&gt;0,AO73," ")</f>
        <v>3679327</v>
      </c>
      <c r="AO74" s="168">
        <v>3681884</v>
      </c>
      <c r="AP74" s="167">
        <f t="shared" ref="AP74" si="1567">IFERROR((AO74-AN74)," ")</f>
        <v>2557</v>
      </c>
      <c r="AQ74" s="166"/>
      <c r="AR74" s="166" t="str">
        <f t="shared" ref="AR74" si="1568">IFERROR(+AU74/(AQ74*3.6)," ")</f>
        <v xml:space="preserve"> </v>
      </c>
      <c r="AS74" s="168" t="str">
        <f t="shared" ref="AS74" si="1569">IF(AT74&gt;0,AT73," ")</f>
        <v xml:space="preserve"> </v>
      </c>
      <c r="AT74" s="168"/>
      <c r="AU74" s="166" t="str">
        <f t="shared" ref="AU74" si="1570">IFERROR((AT74-AS74)," ")</f>
        <v xml:space="preserve"> </v>
      </c>
      <c r="AV74" s="167">
        <f>+BDFUENTES[[#This Row],[PZ TM m3/día]]/3.6/BDFUENTES[[#This Row],[PZ TM Horas Activo]]</f>
        <v>11.550925925925926</v>
      </c>
      <c r="AW74" s="167">
        <v>24</v>
      </c>
      <c r="AX74" s="169">
        <f t="shared" ref="AX74" si="1571">IF(AY74&gt;0,AY73," ")</f>
        <v>605965</v>
      </c>
      <c r="AY74" s="169">
        <v>606963</v>
      </c>
      <c r="AZ74" s="167">
        <f t="shared" ref="AZ74" si="1572">IFERROR((AY74-AX74)," ")</f>
        <v>998</v>
      </c>
      <c r="BA74" s="166">
        <v>125</v>
      </c>
      <c r="BB74" s="166">
        <f t="shared" ref="BB74" si="1573">IFERROR(+BE74/(BA74*3.6)," ")</f>
        <v>5.2911111111111113</v>
      </c>
      <c r="BC74" s="168">
        <f t="shared" ref="BC74" si="1574">IF(BD74&gt;0,BD73," ")</f>
        <v>5999431</v>
      </c>
      <c r="BD74" s="168">
        <v>6001812</v>
      </c>
      <c r="BE74" s="166">
        <f t="shared" ref="BE74" si="1575">IFERROR((BD74-BC74)," ")</f>
        <v>2381</v>
      </c>
      <c r="BF74" s="167">
        <v>20</v>
      </c>
      <c r="BG74" s="166">
        <f t="shared" ref="BG74" si="1576">IFERROR(+BJ74/(BF74*3.6)," ")</f>
        <v>17.125</v>
      </c>
      <c r="BH74" s="168">
        <f t="shared" ref="BH74" si="1577">IF(BI74&gt;0,BI73," ")</f>
        <v>1607122</v>
      </c>
      <c r="BI74" s="168">
        <v>1608355</v>
      </c>
      <c r="BJ74" s="167">
        <f t="shared" ref="BJ74" si="1578">IFERROR((BI74-BH74)," ")</f>
        <v>1233</v>
      </c>
      <c r="BK74" s="166">
        <v>70</v>
      </c>
      <c r="BL74" s="166">
        <f t="shared" ref="BL74" si="1579">IFERROR(+BO74/(BK74*3.6)," ")</f>
        <v>18.178571428571427</v>
      </c>
      <c r="BM74" s="168">
        <f t="shared" ref="BM74" si="1580">IF(BN74&gt;0,BN73," ")</f>
        <v>6389009</v>
      </c>
      <c r="BN74" s="168">
        <v>6393590</v>
      </c>
      <c r="BO74" s="166">
        <f t="shared" ref="BO74" si="1581">IFERROR((BN74-BM74)," ")</f>
        <v>4581</v>
      </c>
    </row>
    <row r="75" spans="2:67" ht="15" customHeight="1" x14ac:dyDescent="0.25">
      <c r="B75" s="170">
        <v>46093</v>
      </c>
      <c r="C75" s="164">
        <v>38</v>
      </c>
      <c r="D75" s="166">
        <f t="shared" ref="D75:D76" si="1582">IFERROR(+G75/(C75*3.6)," ")</f>
        <v>17.309941520467834</v>
      </c>
      <c r="E75" s="168">
        <f t="shared" ref="E75:E76" si="1583">IF(F75&gt;0,F74," ")</f>
        <v>3867945</v>
      </c>
      <c r="F75" s="168">
        <v>3870313</v>
      </c>
      <c r="G75" s="166">
        <f t="shared" ref="G75:G76" si="1584">IFERROR((F75-E75)," ")</f>
        <v>2368</v>
      </c>
      <c r="H75" s="167">
        <v>25</v>
      </c>
      <c r="I75" s="167">
        <f t="shared" ref="I75:I76" si="1585">IFERROR(+L75/(H75*3.6)," ")</f>
        <v>0</v>
      </c>
      <c r="J75" s="168">
        <f t="shared" ref="J75:J76" si="1586">IF(K75&gt;0,K74," ")</f>
        <v>1970853</v>
      </c>
      <c r="K75" s="266">
        <v>1970853</v>
      </c>
      <c r="L75" s="167">
        <f t="shared" ref="L75:L76" si="1587">IFERROR((K75-J75)," ")</f>
        <v>0</v>
      </c>
      <c r="M75" s="166">
        <v>38</v>
      </c>
      <c r="N75" s="166">
        <f t="shared" ref="N75:N76" si="1588">IFERROR(+Q75/(M75*3.6)," ")</f>
        <v>0</v>
      </c>
      <c r="O75" s="168">
        <f t="shared" ref="O75:O76" si="1589">IF(P75&gt;0,P74," ")</f>
        <v>414656</v>
      </c>
      <c r="P75" s="168">
        <v>414656</v>
      </c>
      <c r="Q75" s="166">
        <f t="shared" ref="Q75:Q76" si="1590">IFERROR((P75-O75)," ")</f>
        <v>0</v>
      </c>
      <c r="R75" s="167">
        <f>+BDFUENTES[[#This Row],[PZ MED m3/día]]/3.6/BDFUENTES[[#This Row],[PZ MED Horas Activo]]</f>
        <v>28.576388888888889</v>
      </c>
      <c r="S75" s="167">
        <v>16</v>
      </c>
      <c r="T75" s="168">
        <f t="shared" ref="T75:T76" si="1591">IF(U75&gt;0,U74," ")</f>
        <v>328406</v>
      </c>
      <c r="U75" s="168">
        <v>330052</v>
      </c>
      <c r="V75" s="165">
        <f t="shared" ref="V75:V76" si="1592">IFERROR((U75-T75)," ")</f>
        <v>1646</v>
      </c>
      <c r="W75" s="164">
        <f t="shared" ref="W75:W77" si="1593">IFERROR((AA75/X75)/3.6," ")</f>
        <v>396.18703601527761</v>
      </c>
      <c r="X75" s="166">
        <v>24</v>
      </c>
      <c r="Y75" s="168">
        <f t="shared" ref="Y75:Y76" si="1594">IF(Z75&gt;0,Z74," ")</f>
        <v>2940445.8899689601</v>
      </c>
      <c r="Z75" s="168">
        <v>2976322.4498806801</v>
      </c>
      <c r="AA75" s="164">
        <f>IFERROR((Z75-Y75)," ")-BDFUENTES[[#This Row],[PZ MED m3/día]]</f>
        <v>34230.559911719989</v>
      </c>
      <c r="AB75" s="168">
        <f t="shared" ref="AB75:AB76" si="1595">IFERROR(ROUNDDOWN(+AF75/(AC75*3.6),0)," ")</f>
        <v>60</v>
      </c>
      <c r="AC75" s="168">
        <v>24</v>
      </c>
      <c r="AD75" s="171">
        <f t="shared" ref="AD75:AD76" si="1596">IF(AE75&gt;0,AE74," ")</f>
        <v>5404388</v>
      </c>
      <c r="AE75" s="167">
        <v>5409606</v>
      </c>
      <c r="AF75" s="165">
        <f t="shared" ref="AF75:AF76" si="1597">IFERROR((AE75-AD75)," ")</f>
        <v>5218</v>
      </c>
      <c r="AG75" s="168">
        <v>60</v>
      </c>
      <c r="AH75" s="168">
        <v>24</v>
      </c>
      <c r="AI75" s="166"/>
      <c r="AJ75" s="166"/>
      <c r="AK75" s="166">
        <f t="shared" ref="AK75:AK76" si="1598">IF(OR(AH75="",AG75=""),"",AH75*AG75*3.6)</f>
        <v>5184</v>
      </c>
      <c r="AL75" s="167">
        <f>+BDFUENTES[[#This Row],[PZ CHB m3/día]]/3.6/BDFUENTES[[#This Row],[PZ CHB Horas Activo]]</f>
        <v>38.538011695906427</v>
      </c>
      <c r="AM75" s="171">
        <v>19</v>
      </c>
      <c r="AN75" s="168">
        <f t="shared" ref="AN75:AN76" si="1599">IF(AO75&gt;0,AO74," ")</f>
        <v>3681884</v>
      </c>
      <c r="AO75" s="168">
        <v>3684520</v>
      </c>
      <c r="AP75" s="167">
        <f t="shared" ref="AP75:AP76" si="1600">IFERROR((AO75-AN75)," ")</f>
        <v>2636</v>
      </c>
      <c r="AQ75" s="166"/>
      <c r="AR75" s="166" t="str">
        <f t="shared" ref="AR75:AR76" si="1601">IFERROR(+AU75/(AQ75*3.6)," ")</f>
        <v xml:space="preserve"> </v>
      </c>
      <c r="AS75" s="168" t="str">
        <f t="shared" ref="AS75:AS76" si="1602">IF(AT75&gt;0,AT74," ")</f>
        <v xml:space="preserve"> </v>
      </c>
      <c r="AT75" s="168"/>
      <c r="AU75" s="166" t="str">
        <f t="shared" ref="AU75:AU76" si="1603">IFERROR((AT75-AS75)," ")</f>
        <v xml:space="preserve"> </v>
      </c>
      <c r="AV75" s="167">
        <f>+BDFUENTES[[#This Row],[PZ TM m3/día]]/3.6/BDFUENTES[[#This Row],[PZ TM Horas Activo]]</f>
        <v>11.645299145299145</v>
      </c>
      <c r="AW75" s="167">
        <v>13</v>
      </c>
      <c r="AX75" s="169">
        <f t="shared" ref="AX75:AX76" si="1604">IF(AY75&gt;0,AY74," ")</f>
        <v>606963</v>
      </c>
      <c r="AY75" s="169">
        <v>607508</v>
      </c>
      <c r="AZ75" s="167">
        <f t="shared" ref="AZ75:AZ76" si="1605">IFERROR((AY75-AX75)," ")</f>
        <v>545</v>
      </c>
      <c r="BA75" s="166">
        <v>125</v>
      </c>
      <c r="BB75" s="166">
        <f t="shared" ref="BB75:BB76" si="1606">IFERROR(+BE75/(BA75*3.6)," ")</f>
        <v>5.72</v>
      </c>
      <c r="BC75" s="168">
        <f t="shared" ref="BC75:BC76" si="1607">IF(BD75&gt;0,BD74," ")</f>
        <v>6001812</v>
      </c>
      <c r="BD75" s="168">
        <v>6004386</v>
      </c>
      <c r="BE75" s="166">
        <f t="shared" ref="BE75:BE76" si="1608">IFERROR((BD75-BC75)," ")</f>
        <v>2574</v>
      </c>
      <c r="BF75" s="167">
        <v>20</v>
      </c>
      <c r="BG75" s="166">
        <f t="shared" ref="BG75:BG76" si="1609">IFERROR(+BJ75/(BF75*3.6)," ")</f>
        <v>17.222222222222221</v>
      </c>
      <c r="BH75" s="168">
        <f t="shared" ref="BH75:BH76" si="1610">IF(BI75&gt;0,BI74," ")</f>
        <v>1608355</v>
      </c>
      <c r="BI75" s="168">
        <v>1609595</v>
      </c>
      <c r="BJ75" s="167">
        <f t="shared" ref="BJ75:BJ76" si="1611">IFERROR((BI75-BH75)," ")</f>
        <v>1240</v>
      </c>
      <c r="BK75" s="166">
        <v>70</v>
      </c>
      <c r="BL75" s="166">
        <f t="shared" ref="BL75:BL76" si="1612">IFERROR(+BO75/(BK75*3.6)," ")</f>
        <v>21.265873015873016</v>
      </c>
      <c r="BM75" s="168">
        <f t="shared" ref="BM75:BM76" si="1613">IF(BN75&gt;0,BN74," ")</f>
        <v>6393590</v>
      </c>
      <c r="BN75" s="168">
        <v>6398949</v>
      </c>
      <c r="BO75" s="166">
        <f t="shared" ref="BO75:BO76" si="1614">IFERROR((BN75-BM75)," ")</f>
        <v>5359</v>
      </c>
    </row>
    <row r="76" spans="2:67" ht="15" customHeight="1" x14ac:dyDescent="0.25">
      <c r="B76" s="170">
        <v>46094</v>
      </c>
      <c r="C76" s="164">
        <v>38</v>
      </c>
      <c r="D76" s="166">
        <f t="shared" si="1582"/>
        <v>17.0906432748538</v>
      </c>
      <c r="E76" s="168">
        <f t="shared" si="1583"/>
        <v>3870313</v>
      </c>
      <c r="F76" s="168">
        <v>3872651</v>
      </c>
      <c r="G76" s="166">
        <f t="shared" si="1584"/>
        <v>2338</v>
      </c>
      <c r="H76" s="167">
        <v>25</v>
      </c>
      <c r="I76" s="167">
        <f t="shared" si="1585"/>
        <v>0</v>
      </c>
      <c r="J76" s="168">
        <f t="shared" si="1586"/>
        <v>1970853</v>
      </c>
      <c r="K76" s="266">
        <v>1970853</v>
      </c>
      <c r="L76" s="167">
        <f t="shared" si="1587"/>
        <v>0</v>
      </c>
      <c r="M76" s="166">
        <v>38</v>
      </c>
      <c r="N76" s="166">
        <f t="shared" si="1588"/>
        <v>0</v>
      </c>
      <c r="O76" s="168">
        <f t="shared" si="1589"/>
        <v>414656</v>
      </c>
      <c r="P76" s="168">
        <v>414656</v>
      </c>
      <c r="Q76" s="166">
        <f t="shared" si="1590"/>
        <v>0</v>
      </c>
      <c r="R76" s="167">
        <f>+BDFUENTES[[#This Row],[PZ MED m3/día]]/3.6/BDFUENTES[[#This Row],[PZ MED Horas Activo]]</f>
        <v>27.901234567901234</v>
      </c>
      <c r="S76" s="167">
        <v>18</v>
      </c>
      <c r="T76" s="168">
        <f t="shared" si="1591"/>
        <v>330052</v>
      </c>
      <c r="U76" s="168">
        <v>331860</v>
      </c>
      <c r="V76" s="165">
        <f t="shared" si="1592"/>
        <v>1808</v>
      </c>
      <c r="W76" s="164">
        <f t="shared" si="1593"/>
        <v>392.97509733379462</v>
      </c>
      <c r="X76" s="166">
        <v>24</v>
      </c>
      <c r="Y76" s="168">
        <f t="shared" si="1594"/>
        <v>2976322.4498806801</v>
      </c>
      <c r="Z76" s="168">
        <v>3012083.4982903199</v>
      </c>
      <c r="AA76" s="164">
        <f>IFERROR((Z76-Y76)," ")-BDFUENTES[[#This Row],[PZ MED m3/día]]</f>
        <v>33953.048409639858</v>
      </c>
      <c r="AB76" s="168">
        <f t="shared" si="1595"/>
        <v>62</v>
      </c>
      <c r="AC76" s="168">
        <v>24</v>
      </c>
      <c r="AD76" s="171">
        <f t="shared" si="1596"/>
        <v>5409606</v>
      </c>
      <c r="AE76" s="167">
        <v>5414981</v>
      </c>
      <c r="AF76" s="165">
        <f t="shared" si="1597"/>
        <v>5375</v>
      </c>
      <c r="AG76" s="168">
        <v>60</v>
      </c>
      <c r="AH76" s="168">
        <v>24</v>
      </c>
      <c r="AI76" s="166"/>
      <c r="AJ76" s="166"/>
      <c r="AK76" s="166">
        <f t="shared" si="1598"/>
        <v>5184</v>
      </c>
      <c r="AL76" s="167">
        <f>+BDFUENTES[[#This Row],[PZ CHB m3/día]]/3.6/BDFUENTES[[#This Row],[PZ CHB Horas Activo]]</f>
        <v>38.93518518518519</v>
      </c>
      <c r="AM76" s="171">
        <v>18</v>
      </c>
      <c r="AN76" s="168">
        <f t="shared" si="1599"/>
        <v>3684520</v>
      </c>
      <c r="AO76" s="168">
        <v>3687043</v>
      </c>
      <c r="AP76" s="167">
        <f t="shared" si="1600"/>
        <v>2523</v>
      </c>
      <c r="AQ76" s="166"/>
      <c r="AR76" s="166" t="str">
        <f t="shared" si="1601"/>
        <v xml:space="preserve"> </v>
      </c>
      <c r="AS76" s="168" t="str">
        <f t="shared" si="1602"/>
        <v xml:space="preserve"> </v>
      </c>
      <c r="AT76" s="168"/>
      <c r="AU76" s="166" t="str">
        <f t="shared" si="1603"/>
        <v xml:space="preserve"> </v>
      </c>
      <c r="AV76" s="167">
        <f>+BDFUENTES[[#This Row],[PZ TM m3/día]]/3.6/BDFUENTES[[#This Row],[PZ TM Horas Activo]]</f>
        <v>11.65032679738562</v>
      </c>
      <c r="AW76" s="167">
        <v>17</v>
      </c>
      <c r="AX76" s="169">
        <f t="shared" si="1604"/>
        <v>607508</v>
      </c>
      <c r="AY76" s="169">
        <v>608221</v>
      </c>
      <c r="AZ76" s="167">
        <f t="shared" si="1605"/>
        <v>713</v>
      </c>
      <c r="BA76" s="166">
        <v>125</v>
      </c>
      <c r="BB76" s="166">
        <f t="shared" si="1606"/>
        <v>5.0511111111111111</v>
      </c>
      <c r="BC76" s="168">
        <f t="shared" si="1607"/>
        <v>6004386</v>
      </c>
      <c r="BD76" s="168">
        <v>6006659</v>
      </c>
      <c r="BE76" s="166">
        <f t="shared" si="1608"/>
        <v>2273</v>
      </c>
      <c r="BF76" s="167">
        <v>20</v>
      </c>
      <c r="BG76" s="166">
        <f t="shared" si="1609"/>
        <v>17.513888888888889</v>
      </c>
      <c r="BH76" s="168">
        <f t="shared" si="1610"/>
        <v>1609595</v>
      </c>
      <c r="BI76" s="168">
        <v>1610856</v>
      </c>
      <c r="BJ76" s="167">
        <f t="shared" si="1611"/>
        <v>1261</v>
      </c>
      <c r="BK76" s="166">
        <v>70</v>
      </c>
      <c r="BL76" s="166">
        <f t="shared" si="1612"/>
        <v>17.980158730158731</v>
      </c>
      <c r="BM76" s="168">
        <f t="shared" si="1613"/>
        <v>6398949</v>
      </c>
      <c r="BN76" s="168">
        <v>6403480</v>
      </c>
      <c r="BO76" s="166">
        <f t="shared" si="1614"/>
        <v>4531</v>
      </c>
    </row>
    <row r="77" spans="2:67" ht="15" customHeight="1" x14ac:dyDescent="0.25">
      <c r="B77" s="170">
        <v>46095</v>
      </c>
      <c r="C77" s="164">
        <v>38</v>
      </c>
      <c r="D77" s="166">
        <f t="shared" ref="D77" si="1615">IFERROR(+G77/(C77*3.6)," ")</f>
        <v>17.397660818713447</v>
      </c>
      <c r="E77" s="168">
        <f t="shared" ref="E77" si="1616">IF(F77&gt;0,F76," ")</f>
        <v>3872651</v>
      </c>
      <c r="F77" s="168">
        <v>3875031</v>
      </c>
      <c r="G77" s="166">
        <f t="shared" ref="G77" si="1617">IFERROR((F77-E77)," ")</f>
        <v>2380</v>
      </c>
      <c r="H77" s="167">
        <v>25</v>
      </c>
      <c r="I77" s="167">
        <f t="shared" ref="I77" si="1618">IFERROR(+L77/(H77*3.6)," ")</f>
        <v>0</v>
      </c>
      <c r="J77" s="168">
        <f t="shared" ref="J77" si="1619">IF(K77&gt;0,K76," ")</f>
        <v>1970853</v>
      </c>
      <c r="K77" s="266">
        <v>1970853</v>
      </c>
      <c r="L77" s="167">
        <f t="shared" ref="L77" si="1620">IFERROR((K77-J77)," ")</f>
        <v>0</v>
      </c>
      <c r="M77" s="166">
        <v>38</v>
      </c>
      <c r="N77" s="166">
        <f t="shared" ref="N77" si="1621">IFERROR(+Q77/(M77*3.6)," ")</f>
        <v>0</v>
      </c>
      <c r="O77" s="168">
        <f t="shared" ref="O77" si="1622">IF(P77&gt;0,P76," ")</f>
        <v>414656</v>
      </c>
      <c r="P77" s="168">
        <v>414656</v>
      </c>
      <c r="Q77" s="166">
        <f t="shared" ref="Q77" si="1623">IFERROR((P77-O77)," ")</f>
        <v>0</v>
      </c>
      <c r="R77" s="167">
        <f>+BDFUENTES[[#This Row],[PZ MED m3/día]]/3.6/BDFUENTES[[#This Row],[PZ MED Horas Activo]]</f>
        <v>28.76543209876543</v>
      </c>
      <c r="S77" s="167">
        <v>18</v>
      </c>
      <c r="T77" s="168">
        <f t="shared" ref="T77" si="1624">IF(U77&gt;0,U76," ")</f>
        <v>331860</v>
      </c>
      <c r="U77" s="168">
        <v>333724</v>
      </c>
      <c r="V77" s="165">
        <f t="shared" ref="V77" si="1625">IFERROR((U77-T77)," ")</f>
        <v>1864</v>
      </c>
      <c r="W77" s="164">
        <f t="shared" si="1593"/>
        <v>379.74740550231348</v>
      </c>
      <c r="X77" s="166">
        <v>24</v>
      </c>
      <c r="Y77" s="168">
        <f t="shared" ref="Y77" si="1626">IF(Z77&gt;0,Z76," ")</f>
        <v>3012083.4982903199</v>
      </c>
      <c r="Z77" s="168">
        <v>3046757.6741257198</v>
      </c>
      <c r="AA77" s="164">
        <f>IFERROR((Z77-Y77)," ")-BDFUENTES[[#This Row],[PZ MED m3/día]]</f>
        <v>32810.175835399888</v>
      </c>
      <c r="AB77" s="168">
        <f t="shared" ref="AB77" si="1627">IFERROR(ROUNDDOWN(+AF77/(AC77*3.6),0)," ")</f>
        <v>63</v>
      </c>
      <c r="AC77" s="168">
        <v>24</v>
      </c>
      <c r="AD77" s="171">
        <f t="shared" ref="AD77" si="1628">IF(AE77&gt;0,AE76," ")</f>
        <v>5414981</v>
      </c>
      <c r="AE77" s="167">
        <v>5420475</v>
      </c>
      <c r="AF77" s="165">
        <f t="shared" ref="AF77" si="1629">IFERROR((AE77-AD77)," ")</f>
        <v>5494</v>
      </c>
      <c r="AG77" s="168">
        <v>60</v>
      </c>
      <c r="AH77" s="168">
        <v>24</v>
      </c>
      <c r="AI77" s="166"/>
      <c r="AJ77" s="166"/>
      <c r="AK77" s="166">
        <f t="shared" ref="AK77" si="1630">IF(OR(AH77="",AG77=""),"",AH77*AG77*3.6)</f>
        <v>5184</v>
      </c>
      <c r="AL77" s="167">
        <f>+BDFUENTES[[#This Row],[PZ CHB m3/día]]/3.6/BDFUENTES[[#This Row],[PZ CHB Horas Activo]]</f>
        <v>39.444444444444443</v>
      </c>
      <c r="AM77" s="171">
        <v>18</v>
      </c>
      <c r="AN77" s="168">
        <f t="shared" ref="AN77" si="1631">IF(AO77&gt;0,AO76," ")</f>
        <v>3687043</v>
      </c>
      <c r="AO77" s="168">
        <v>3689599</v>
      </c>
      <c r="AP77" s="167">
        <f t="shared" ref="AP77" si="1632">IFERROR((AO77-AN77)," ")</f>
        <v>2556</v>
      </c>
      <c r="AQ77" s="166"/>
      <c r="AR77" s="166" t="str">
        <f t="shared" ref="AR77" si="1633">IFERROR(+AU77/(AQ77*3.6)," ")</f>
        <v xml:space="preserve"> </v>
      </c>
      <c r="AS77" s="168" t="str">
        <f t="shared" ref="AS77" si="1634">IF(AT77&gt;0,AT76," ")</f>
        <v xml:space="preserve"> </v>
      </c>
      <c r="AT77" s="168"/>
      <c r="AU77" s="166" t="str">
        <f t="shared" ref="AU77" si="1635">IFERROR((AT77-AS77)," ")</f>
        <v xml:space="preserve"> </v>
      </c>
      <c r="AV77" s="167">
        <f>+BDFUENTES[[#This Row],[PZ TM m3/día]]/3.6/BDFUENTES[[#This Row],[PZ TM Horas Activo]]</f>
        <v>11.284722222222221</v>
      </c>
      <c r="AW77" s="167">
        <v>16</v>
      </c>
      <c r="AX77" s="169">
        <f t="shared" ref="AX77" si="1636">IF(AY77&gt;0,AY76," ")</f>
        <v>608221</v>
      </c>
      <c r="AY77" s="169">
        <v>608871</v>
      </c>
      <c r="AZ77" s="167">
        <f t="shared" ref="AZ77" si="1637">IFERROR((AY77-AX77)," ")</f>
        <v>650</v>
      </c>
      <c r="BA77" s="166">
        <v>125</v>
      </c>
      <c r="BB77" s="166">
        <f t="shared" ref="BB77" si="1638">IFERROR(+BE77/(BA77*3.6)," ")</f>
        <v>5.5422222222222226</v>
      </c>
      <c r="BC77" s="168">
        <f t="shared" ref="BC77" si="1639">IF(BD77&gt;0,BD76," ")</f>
        <v>6006659</v>
      </c>
      <c r="BD77" s="168">
        <v>6009153</v>
      </c>
      <c r="BE77" s="166">
        <f t="shared" ref="BE77" si="1640">IFERROR((BD77-BC77)," ")</f>
        <v>2494</v>
      </c>
      <c r="BF77" s="167">
        <v>20</v>
      </c>
      <c r="BG77" s="166">
        <f t="shared" ref="BG77" si="1641">IFERROR(+BJ77/(BF77*3.6)," ")</f>
        <v>18.361111111111111</v>
      </c>
      <c r="BH77" s="168">
        <f t="shared" ref="BH77" si="1642">IF(BI77&gt;0,BI76," ")</f>
        <v>1610856</v>
      </c>
      <c r="BI77" s="168">
        <v>1612178</v>
      </c>
      <c r="BJ77" s="167">
        <f t="shared" ref="BJ77" si="1643">IFERROR((BI77-BH77)," ")</f>
        <v>1322</v>
      </c>
      <c r="BK77" s="166">
        <v>70</v>
      </c>
      <c r="BL77" s="166">
        <f t="shared" ref="BL77" si="1644">IFERROR(+BO77/(BK77*3.6)," ")</f>
        <v>20.797619047619047</v>
      </c>
      <c r="BM77" s="168">
        <f t="shared" ref="BM77" si="1645">IF(BN77&gt;0,BN76," ")</f>
        <v>6403480</v>
      </c>
      <c r="BN77" s="168">
        <v>6408721</v>
      </c>
      <c r="BO77" s="166">
        <f t="shared" ref="BO77" si="1646">IFERROR((BN77-BM77)," ")</f>
        <v>5241</v>
      </c>
    </row>
    <row r="78" spans="2:67" ht="15" customHeight="1" x14ac:dyDescent="0.25">
      <c r="B78" s="170">
        <v>46096</v>
      </c>
      <c r="C78" s="164">
        <v>38</v>
      </c>
      <c r="D78" s="166">
        <f t="shared" ref="D78" si="1647">IFERROR(+G78/(C78*3.6)," ")</f>
        <v>17.105263157894736</v>
      </c>
      <c r="E78" s="168">
        <f t="shared" ref="E78" si="1648">IF(F78&gt;0,F77," ")</f>
        <v>3875031</v>
      </c>
      <c r="F78" s="168">
        <v>3877371</v>
      </c>
      <c r="G78" s="166">
        <f t="shared" ref="G78" si="1649">IFERROR((F78-E78)," ")</f>
        <v>2340</v>
      </c>
      <c r="H78" s="167">
        <v>25</v>
      </c>
      <c r="I78" s="167">
        <f t="shared" ref="I78" si="1650">IFERROR(+L78/(H78*3.6)," ")</f>
        <v>0</v>
      </c>
      <c r="J78" s="168">
        <f t="shared" ref="J78" si="1651">IF(K78&gt;0,K77," ")</f>
        <v>1970853</v>
      </c>
      <c r="K78" s="266">
        <v>1970853</v>
      </c>
      <c r="L78" s="167">
        <f t="shared" ref="L78" si="1652">IFERROR((K78-J78)," ")</f>
        <v>0</v>
      </c>
      <c r="M78" s="166">
        <v>38</v>
      </c>
      <c r="N78" s="166">
        <f t="shared" ref="N78" si="1653">IFERROR(+Q78/(M78*3.6)," ")</f>
        <v>0</v>
      </c>
      <c r="O78" s="168">
        <f t="shared" ref="O78" si="1654">IF(P78&gt;0,P77," ")</f>
        <v>414656</v>
      </c>
      <c r="P78" s="168">
        <v>414656</v>
      </c>
      <c r="Q78" s="166">
        <f t="shared" ref="Q78" si="1655">IFERROR((P78-O78)," ")</f>
        <v>0</v>
      </c>
      <c r="R78" s="167">
        <f>+BDFUENTES[[#This Row],[PZ MED m3/día]]/3.6/BDFUENTES[[#This Row],[PZ MED Horas Activo]]</f>
        <v>27.299382716049379</v>
      </c>
      <c r="S78" s="167">
        <v>18</v>
      </c>
      <c r="T78" s="168">
        <f t="shared" ref="T78" si="1656">IF(U78&gt;0,U77," ")</f>
        <v>333724</v>
      </c>
      <c r="U78" s="168">
        <v>335493</v>
      </c>
      <c r="V78" s="165">
        <f t="shared" ref="V78" si="1657">IFERROR((U78-T78)," ")</f>
        <v>1769</v>
      </c>
      <c r="W78" s="164">
        <f t="shared" ref="W78" si="1658">IFERROR((AA78/X78)/3.6," ")</f>
        <v>378.17553095231739</v>
      </c>
      <c r="X78" s="166">
        <v>24</v>
      </c>
      <c r="Y78" s="168">
        <f t="shared" ref="Y78" si="1659">IF(Z78&gt;0,Z77," ")</f>
        <v>3046757.6741257198</v>
      </c>
      <c r="Z78" s="168">
        <f>3082540.6-(3.6*1*372.1)</f>
        <v>3081201.04</v>
      </c>
      <c r="AA78" s="164">
        <f>IFERROR((Z78-Y78)," ")-BDFUENTES[[#This Row],[PZ MED m3/día]]</f>
        <v>32674.365874280222</v>
      </c>
      <c r="AB78" s="168">
        <f t="shared" ref="AB78" si="1660">IFERROR(ROUNDDOWN(+AF78/(AC78*3.6),0)," ")</f>
        <v>61</v>
      </c>
      <c r="AC78" s="168">
        <v>24</v>
      </c>
      <c r="AD78" s="171">
        <f t="shared" ref="AD78" si="1661">IF(AE78&gt;0,AE77," ")</f>
        <v>5420475</v>
      </c>
      <c r="AE78" s="167">
        <v>5425816</v>
      </c>
      <c r="AF78" s="165">
        <f t="shared" ref="AF78" si="1662">IFERROR((AE78-AD78)," ")</f>
        <v>5341</v>
      </c>
      <c r="AG78" s="168">
        <v>60</v>
      </c>
      <c r="AH78" s="168">
        <v>24</v>
      </c>
      <c r="AI78" s="166"/>
      <c r="AJ78" s="166"/>
      <c r="AK78" s="166">
        <f t="shared" ref="AK78" si="1663">IF(OR(AH78="",AG78=""),"",AH78*AG78*3.6)</f>
        <v>5184</v>
      </c>
      <c r="AL78" s="167">
        <f>+BDFUENTES[[#This Row],[PZ CHB m3/día]]/3.6/BDFUENTES[[#This Row],[PZ CHB Horas Activo]]</f>
        <v>39.336419753086417</v>
      </c>
      <c r="AM78" s="171">
        <v>18</v>
      </c>
      <c r="AN78" s="168">
        <f t="shared" ref="AN78" si="1664">IF(AO78&gt;0,AO77," ")</f>
        <v>3689599</v>
      </c>
      <c r="AO78" s="168">
        <v>3692148</v>
      </c>
      <c r="AP78" s="167">
        <f t="shared" ref="AP78" si="1665">IFERROR((AO78-AN78)," ")</f>
        <v>2549</v>
      </c>
      <c r="AQ78" s="166"/>
      <c r="AR78" s="166" t="str">
        <f t="shared" ref="AR78" si="1666">IFERROR(+AU78/(AQ78*3.6)," ")</f>
        <v xml:space="preserve"> </v>
      </c>
      <c r="AS78" s="168" t="str">
        <f t="shared" ref="AS78" si="1667">IF(AT78&gt;0,AT77," ")</f>
        <v xml:space="preserve"> </v>
      </c>
      <c r="AT78" s="168"/>
      <c r="AU78" s="166" t="str">
        <f t="shared" ref="AU78" si="1668">IFERROR((AT78-AS78)," ")</f>
        <v xml:space="preserve"> </v>
      </c>
      <c r="AV78" s="167">
        <f>+BDFUENTES[[#This Row],[PZ TM m3/día]]/3.6/BDFUENTES[[#This Row],[PZ TM Horas Activo]]</f>
        <v>11.059027777777777</v>
      </c>
      <c r="AW78" s="167">
        <v>16</v>
      </c>
      <c r="AX78" s="169">
        <f t="shared" ref="AX78" si="1669">IF(AY78&gt;0,AY77," ")</f>
        <v>608871</v>
      </c>
      <c r="AY78" s="169">
        <v>609508</v>
      </c>
      <c r="AZ78" s="167">
        <f t="shared" ref="AZ78" si="1670">IFERROR((AY78-AX78)," ")</f>
        <v>637</v>
      </c>
      <c r="BA78" s="166">
        <v>125</v>
      </c>
      <c r="BB78" s="166">
        <f t="shared" ref="BB78" si="1671">IFERROR(+BE78/(BA78*3.6)," ")</f>
        <v>5.3022222222222224</v>
      </c>
      <c r="BC78" s="168">
        <f t="shared" ref="BC78" si="1672">IF(BD78&gt;0,BD77," ")</f>
        <v>6009153</v>
      </c>
      <c r="BD78" s="168">
        <v>6011539</v>
      </c>
      <c r="BE78" s="166">
        <f t="shared" ref="BE78" si="1673">IFERROR((BD78-BC78)," ")</f>
        <v>2386</v>
      </c>
      <c r="BF78" s="167">
        <v>20</v>
      </c>
      <c r="BG78" s="166">
        <f t="shared" ref="BG78" si="1674">IFERROR(+BJ78/(BF78*3.6)," ")</f>
        <v>17.277777777777779</v>
      </c>
      <c r="BH78" s="168">
        <f t="shared" ref="BH78" si="1675">IF(BI78&gt;0,BI77," ")</f>
        <v>1612178</v>
      </c>
      <c r="BI78" s="168">
        <v>1613422</v>
      </c>
      <c r="BJ78" s="167">
        <f t="shared" ref="BJ78" si="1676">IFERROR((BI78-BH78)," ")</f>
        <v>1244</v>
      </c>
      <c r="BK78" s="166">
        <v>70</v>
      </c>
      <c r="BL78" s="166">
        <f t="shared" ref="BL78" si="1677">IFERROR(+BO78/(BK78*3.6)," ")</f>
        <v>17.226190476190474</v>
      </c>
      <c r="BM78" s="168">
        <f t="shared" ref="BM78" si="1678">IF(BN78&gt;0,BN77," ")</f>
        <v>6408721</v>
      </c>
      <c r="BN78" s="168">
        <v>6413062</v>
      </c>
      <c r="BO78" s="166">
        <f t="shared" ref="BO78" si="1679">IFERROR((BN78-BM78)," ")</f>
        <v>4341</v>
      </c>
    </row>
    <row r="79" spans="2:67" ht="15" customHeight="1" x14ac:dyDescent="0.25">
      <c r="B79" s="170">
        <v>46097</v>
      </c>
      <c r="C79" s="164">
        <v>38</v>
      </c>
      <c r="D79" s="166">
        <f t="shared" ref="D79:D84" si="1680">IFERROR(+G79/(C79*3.6)," ")</f>
        <v>17.543859649122805</v>
      </c>
      <c r="E79" s="168">
        <f t="shared" ref="E79:E84" si="1681">IF(F79&gt;0,F78," ")</f>
        <v>3877371</v>
      </c>
      <c r="F79" s="168">
        <v>3879771</v>
      </c>
      <c r="G79" s="166">
        <f t="shared" ref="G79:G84" si="1682">IFERROR((F79-E79)," ")</f>
        <v>2400</v>
      </c>
      <c r="H79" s="167">
        <v>25</v>
      </c>
      <c r="I79" s="167">
        <f t="shared" ref="I79:I84" si="1683">IFERROR(+L79/(H79*3.6)," ")</f>
        <v>0</v>
      </c>
      <c r="J79" s="168">
        <f t="shared" ref="J79:J84" si="1684">IF(K79&gt;0,K78," ")</f>
        <v>1970853</v>
      </c>
      <c r="K79" s="266">
        <v>1970853</v>
      </c>
      <c r="L79" s="167">
        <f t="shared" ref="L79:L84" si="1685">IFERROR((K79-J79)," ")</f>
        <v>0</v>
      </c>
      <c r="M79" s="166">
        <v>38</v>
      </c>
      <c r="N79" s="166">
        <f t="shared" ref="N79:N84" si="1686">IFERROR(+Q79/(M79*3.6)," ")</f>
        <v>0</v>
      </c>
      <c r="O79" s="168">
        <f t="shared" ref="O79:O84" si="1687">IF(P79&gt;0,P78," ")</f>
        <v>414656</v>
      </c>
      <c r="P79" s="168">
        <v>414656</v>
      </c>
      <c r="Q79" s="166">
        <f t="shared" ref="Q79:Q84" si="1688">IFERROR((P79-O79)," ")</f>
        <v>0</v>
      </c>
      <c r="R79" s="167">
        <f>+BDFUENTES[[#This Row],[PZ MED m3/día]]/3.6/BDFUENTES[[#This Row],[PZ MED Horas Activo]]</f>
        <v>29.083333333333332</v>
      </c>
      <c r="S79" s="167">
        <v>20</v>
      </c>
      <c r="T79" s="168">
        <f t="shared" ref="T79" si="1689">IF(U79&gt;0,U78," ")</f>
        <v>335493</v>
      </c>
      <c r="U79" s="168">
        <v>337587</v>
      </c>
      <c r="V79" s="165">
        <f t="shared" ref="V79" si="1690">IFERROR((U79-T79)," ")</f>
        <v>2094</v>
      </c>
      <c r="W79" s="164">
        <f t="shared" ref="W79" si="1691">IFERROR((AA79/X79)/3.6," ")</f>
        <v>361.49305555555554</v>
      </c>
      <c r="X79" s="166">
        <v>24</v>
      </c>
      <c r="Y79" s="168">
        <f t="shared" ref="Y79" si="1692">IF(Z79&gt;0,Z78," ")</f>
        <v>3081201.04</v>
      </c>
      <c r="Z79" s="168">
        <f>3115867.6-(3.6*1*372.1)</f>
        <v>3114528.04</v>
      </c>
      <c r="AA79" s="164">
        <f>IFERROR((Z79-Y79)," ")-BDFUENTES[[#This Row],[PZ MED m3/día]]</f>
        <v>31233</v>
      </c>
      <c r="AB79" s="168">
        <f t="shared" ref="AB79" si="1693">IFERROR(ROUNDDOWN(+AF79/(AC79*3.6),0)," ")</f>
        <v>64</v>
      </c>
      <c r="AC79" s="168">
        <v>24</v>
      </c>
      <c r="AD79" s="171">
        <f t="shared" ref="AD79" si="1694">IF(AE79&gt;0,AE78," ")</f>
        <v>5425816</v>
      </c>
      <c r="AE79" s="167">
        <v>5431420</v>
      </c>
      <c r="AF79" s="165">
        <f t="shared" ref="AF79" si="1695">IFERROR((AE79-AD79)," ")</f>
        <v>5604</v>
      </c>
      <c r="AG79" s="168">
        <v>60</v>
      </c>
      <c r="AH79" s="168">
        <v>24</v>
      </c>
      <c r="AI79" s="166"/>
      <c r="AJ79" s="166"/>
      <c r="AK79" s="166">
        <f t="shared" ref="AK79" si="1696">IF(OR(AH79="",AG79=""),"",AH79*AG79*3.6)</f>
        <v>5184</v>
      </c>
      <c r="AL79" s="167">
        <f>+BDFUENTES[[#This Row],[PZ CHB m3/día]]/3.6/BDFUENTES[[#This Row],[PZ CHB Horas Activo]]</f>
        <v>38.117283950617285</v>
      </c>
      <c r="AM79" s="171">
        <v>18</v>
      </c>
      <c r="AN79" s="168">
        <f t="shared" ref="AN79" si="1697">IF(AO79&gt;0,AO78," ")</f>
        <v>3692148</v>
      </c>
      <c r="AO79" s="168">
        <v>3694618</v>
      </c>
      <c r="AP79" s="167">
        <f t="shared" ref="AP79" si="1698">IFERROR((AO79-AN79)," ")</f>
        <v>2470</v>
      </c>
      <c r="AQ79" s="166"/>
      <c r="AR79" s="166" t="str">
        <f t="shared" ref="AR79" si="1699">IFERROR(+AU79/(AQ79*3.6)," ")</f>
        <v xml:space="preserve"> </v>
      </c>
      <c r="AS79" s="168" t="str">
        <f t="shared" ref="AS79" si="1700">IF(AT79&gt;0,AT78," ")</f>
        <v xml:space="preserve"> </v>
      </c>
      <c r="AT79" s="168"/>
      <c r="AU79" s="166" t="str">
        <f t="shared" ref="AU79" si="1701">IFERROR((AT79-AS79)," ")</f>
        <v xml:space="preserve"> </v>
      </c>
      <c r="AV79" s="167">
        <f>+BDFUENTES[[#This Row],[PZ TM m3/día]]/3.6/BDFUENTES[[#This Row],[PZ TM Horas Activo]]</f>
        <v>11.40625</v>
      </c>
      <c r="AW79" s="167">
        <v>16</v>
      </c>
      <c r="AX79" s="169">
        <f t="shared" ref="AX79" si="1702">IF(AY79&gt;0,AY78," ")</f>
        <v>609508</v>
      </c>
      <c r="AY79" s="169">
        <v>610165</v>
      </c>
      <c r="AZ79" s="167">
        <f t="shared" ref="AZ79" si="1703">IFERROR((AY79-AX79)," ")</f>
        <v>657</v>
      </c>
      <c r="BA79" s="166">
        <v>125</v>
      </c>
      <c r="BB79" s="166">
        <f t="shared" ref="BB79" si="1704">IFERROR(+BE79/(BA79*3.6)," ")</f>
        <v>5.3133333333333335</v>
      </c>
      <c r="BC79" s="168">
        <f t="shared" ref="BC79" si="1705">IF(BD79&gt;0,BD78," ")</f>
        <v>6011539</v>
      </c>
      <c r="BD79" s="168">
        <v>6013930</v>
      </c>
      <c r="BE79" s="166">
        <f t="shared" ref="BE79" si="1706">IFERROR((BD79-BC79)," ")</f>
        <v>2391</v>
      </c>
      <c r="BF79" s="167">
        <v>20</v>
      </c>
      <c r="BG79" s="166">
        <f t="shared" ref="BG79" si="1707">IFERROR(+BJ79/(BF79*3.6)," ")</f>
        <v>16.597222222222221</v>
      </c>
      <c r="BH79" s="168">
        <f t="shared" ref="BH79" si="1708">IF(BI79&gt;0,BI78," ")</f>
        <v>1613422</v>
      </c>
      <c r="BI79" s="168">
        <v>1614617</v>
      </c>
      <c r="BJ79" s="167">
        <f t="shared" ref="BJ79" si="1709">IFERROR((BI79-BH79)," ")</f>
        <v>1195</v>
      </c>
      <c r="BK79" s="166">
        <v>70</v>
      </c>
      <c r="BL79" s="166">
        <f t="shared" ref="BL79" si="1710">IFERROR(+BO79/(BK79*3.6)," ")</f>
        <v>15.968253968253968</v>
      </c>
      <c r="BM79" s="168">
        <f t="shared" ref="BM79" si="1711">IF(BN79&gt;0,BN78," ")</f>
        <v>6413062</v>
      </c>
      <c r="BN79" s="168">
        <v>6417086</v>
      </c>
      <c r="BO79" s="166">
        <f t="shared" ref="BO79" si="1712">IFERROR((BN79-BM79)," ")</f>
        <v>4024</v>
      </c>
    </row>
    <row r="80" spans="2:67" ht="15" customHeight="1" x14ac:dyDescent="0.25">
      <c r="B80" s="170">
        <v>46098</v>
      </c>
      <c r="C80" s="164">
        <v>38</v>
      </c>
      <c r="D80" s="166">
        <f t="shared" si="1680"/>
        <v>17.507309941520468</v>
      </c>
      <c r="E80" s="168">
        <f t="shared" si="1681"/>
        <v>3879771</v>
      </c>
      <c r="F80" s="168">
        <v>3882166</v>
      </c>
      <c r="G80" s="166">
        <f t="shared" si="1682"/>
        <v>2395</v>
      </c>
      <c r="H80" s="167">
        <v>25</v>
      </c>
      <c r="I80" s="167">
        <f t="shared" si="1683"/>
        <v>0</v>
      </c>
      <c r="J80" s="168">
        <f t="shared" si="1684"/>
        <v>1970853</v>
      </c>
      <c r="K80" s="266">
        <v>1970853</v>
      </c>
      <c r="L80" s="167">
        <f t="shared" si="1685"/>
        <v>0</v>
      </c>
      <c r="M80" s="166">
        <v>38</v>
      </c>
      <c r="N80" s="166">
        <f t="shared" si="1686"/>
        <v>0</v>
      </c>
      <c r="O80" s="168">
        <f t="shared" si="1687"/>
        <v>414656</v>
      </c>
      <c r="P80" s="168">
        <v>414656</v>
      </c>
      <c r="Q80" s="166">
        <f t="shared" si="1688"/>
        <v>0</v>
      </c>
      <c r="R80" s="167">
        <f>+BDFUENTES[[#This Row],[PZ MED m3/día]]/3.6/BDFUENTES[[#This Row],[PZ MED Horas Activo]]</f>
        <v>28.888888888888889</v>
      </c>
      <c r="S80" s="167">
        <v>19</v>
      </c>
      <c r="T80" s="168">
        <f t="shared" ref="T80" si="1713">IF(U80&gt;0,U79," ")</f>
        <v>337587</v>
      </c>
      <c r="U80" s="168">
        <v>339563</v>
      </c>
      <c r="V80" s="165">
        <f t="shared" ref="V80" si="1714">IFERROR((U80-T80)," ")</f>
        <v>1976</v>
      </c>
      <c r="W80" s="164">
        <f t="shared" ref="W80" si="1715">IFERROR((AA80/X80)/3.6," ")</f>
        <v>362.28803398379739</v>
      </c>
      <c r="X80" s="166">
        <v>24</v>
      </c>
      <c r="Y80" s="168">
        <f t="shared" ref="Y80" si="1716">IF(Z80&gt;0,Z79," ")</f>
        <v>3114528.04</v>
      </c>
      <c r="Z80" s="168">
        <v>3147805.7261362001</v>
      </c>
      <c r="AA80" s="164">
        <f>IFERROR((Z80-Y80)," ")-BDFUENTES[[#This Row],[PZ MED m3/día]]</f>
        <v>31301.686136200093</v>
      </c>
      <c r="AB80" s="168">
        <f t="shared" ref="AB80" si="1717">IFERROR(ROUNDDOWN(+AF80/(AC80*3.6),0)," ")</f>
        <v>63</v>
      </c>
      <c r="AC80" s="168">
        <v>24</v>
      </c>
      <c r="AD80" s="171">
        <f t="shared" ref="AD80" si="1718">IF(AE80&gt;0,AE79," ")</f>
        <v>5431420</v>
      </c>
      <c r="AE80" s="167">
        <v>5436903</v>
      </c>
      <c r="AF80" s="165">
        <f t="shared" si="601"/>
        <v>5483</v>
      </c>
      <c r="AG80" s="168">
        <v>60</v>
      </c>
      <c r="AH80" s="168">
        <v>24</v>
      </c>
      <c r="AI80" s="166"/>
      <c r="AJ80" s="166"/>
      <c r="AK80" s="166">
        <f t="shared" ref="AK80" si="1719">IF(OR(AH80="",AG80=""),"",AH80*AG80*3.6)</f>
        <v>5184</v>
      </c>
      <c r="AL80" s="167">
        <f>+BDFUENTES[[#This Row],[PZ CHB m3/día]]/3.6/BDFUENTES[[#This Row],[PZ CHB Horas Activo]]</f>
        <v>39.675925925925924</v>
      </c>
      <c r="AM80" s="171">
        <v>18</v>
      </c>
      <c r="AN80" s="168">
        <f t="shared" ref="AN80" si="1720">IF(AO80&gt;0,AO79," ")</f>
        <v>3694618</v>
      </c>
      <c r="AO80" s="168">
        <v>3697189</v>
      </c>
      <c r="AP80" s="167">
        <f t="shared" ref="AP80" si="1721">IFERROR((AO80-AN80)," ")</f>
        <v>2571</v>
      </c>
      <c r="AQ80" s="166"/>
      <c r="AR80" s="166" t="str">
        <f t="shared" ref="AR80" si="1722">IFERROR(+AU80/(AQ80*3.6)," ")</f>
        <v xml:space="preserve"> </v>
      </c>
      <c r="AS80" s="168" t="str">
        <f t="shared" ref="AS80" si="1723">IF(AT80&gt;0,AT79," ")</f>
        <v xml:space="preserve"> </v>
      </c>
      <c r="AT80" s="168"/>
      <c r="AU80" s="166" t="str">
        <f t="shared" ref="AU80" si="1724">IFERROR((AT80-AS80)," ")</f>
        <v xml:space="preserve"> </v>
      </c>
      <c r="AV80" s="167">
        <f>+BDFUENTES[[#This Row],[PZ TM m3/día]]/3.6/BDFUENTES[[#This Row],[PZ TM Horas Activo]]</f>
        <v>11.024305555555555</v>
      </c>
      <c r="AW80" s="167">
        <v>16</v>
      </c>
      <c r="AX80" s="169">
        <f t="shared" ref="AX80" si="1725">IF(AY80&gt;0,AY79," ")</f>
        <v>610165</v>
      </c>
      <c r="AY80" s="169">
        <v>610800</v>
      </c>
      <c r="AZ80" s="167">
        <f t="shared" ref="AZ80" si="1726">IFERROR((AY80-AX80)," ")</f>
        <v>635</v>
      </c>
      <c r="BA80" s="166">
        <v>125</v>
      </c>
      <c r="BB80" s="166">
        <f t="shared" ref="BB80" si="1727">IFERROR(+BE80/(BA80*3.6)," ")</f>
        <v>5.4733333333333336</v>
      </c>
      <c r="BC80" s="168">
        <f t="shared" ref="BC80" si="1728">IF(BD80&gt;0,BD79," ")</f>
        <v>6013930</v>
      </c>
      <c r="BD80" s="168">
        <v>6016393</v>
      </c>
      <c r="BE80" s="166">
        <f t="shared" ref="BE80" si="1729">IFERROR((BD80-BC80)," ")</f>
        <v>2463</v>
      </c>
      <c r="BF80" s="167">
        <v>20</v>
      </c>
      <c r="BG80" s="166">
        <f t="shared" ref="BG80" si="1730">IFERROR(+BJ80/(BF80*3.6)," ")</f>
        <v>16.930555555555557</v>
      </c>
      <c r="BH80" s="168">
        <f t="shared" ref="BH80" si="1731">IF(BI80&gt;0,BI79," ")</f>
        <v>1614617</v>
      </c>
      <c r="BI80" s="168">
        <v>1615836</v>
      </c>
      <c r="BJ80" s="167">
        <f t="shared" ref="BJ80" si="1732">IFERROR((BI80-BH80)," ")</f>
        <v>1219</v>
      </c>
      <c r="BK80" s="166">
        <v>70</v>
      </c>
      <c r="BL80" s="166">
        <f t="shared" ref="BL80" si="1733">IFERROR(+BO80/(BK80*3.6)," ")</f>
        <v>17.845238095238095</v>
      </c>
      <c r="BM80" s="168">
        <f t="shared" ref="BM80" si="1734">IF(BN80&gt;0,BN79," ")</f>
        <v>6417086</v>
      </c>
      <c r="BN80" s="168">
        <v>6421583</v>
      </c>
      <c r="BO80" s="166">
        <f t="shared" ref="BO80" si="1735">IFERROR((BN80-BM80)," ")</f>
        <v>4497</v>
      </c>
    </row>
    <row r="81" spans="2:67" ht="15" customHeight="1" x14ac:dyDescent="0.25">
      <c r="B81" s="170">
        <v>46099</v>
      </c>
      <c r="C81" s="164">
        <v>38</v>
      </c>
      <c r="D81" s="166">
        <f t="shared" si="1680"/>
        <v>17.119883040935672</v>
      </c>
      <c r="E81" s="168">
        <f t="shared" si="1681"/>
        <v>3882166</v>
      </c>
      <c r="F81" s="168">
        <v>3884508</v>
      </c>
      <c r="G81" s="166">
        <f t="shared" si="1682"/>
        <v>2342</v>
      </c>
      <c r="H81" s="167">
        <v>25</v>
      </c>
      <c r="I81" s="167">
        <f t="shared" si="1683"/>
        <v>0</v>
      </c>
      <c r="J81" s="168">
        <f t="shared" si="1684"/>
        <v>1970853</v>
      </c>
      <c r="K81" s="266">
        <v>1970853</v>
      </c>
      <c r="L81" s="167">
        <f t="shared" si="1685"/>
        <v>0</v>
      </c>
      <c r="M81" s="166">
        <v>38</v>
      </c>
      <c r="N81" s="166">
        <f t="shared" si="1686"/>
        <v>0</v>
      </c>
      <c r="O81" s="168">
        <f t="shared" si="1687"/>
        <v>414656</v>
      </c>
      <c r="P81" s="168">
        <v>414656</v>
      </c>
      <c r="Q81" s="166">
        <f t="shared" si="1688"/>
        <v>0</v>
      </c>
      <c r="R81" s="167">
        <f>+BDFUENTES[[#This Row],[PZ MED m3/día]]/3.6/BDFUENTES[[#This Row],[PZ MED Horas Activo]]</f>
        <v>28.53801169590643</v>
      </c>
      <c r="S81" s="167">
        <v>19</v>
      </c>
      <c r="T81" s="168">
        <f t="shared" ref="T81" si="1736">IF(U81&gt;0,U80," ")</f>
        <v>339563</v>
      </c>
      <c r="U81" s="168">
        <v>341515</v>
      </c>
      <c r="V81" s="165">
        <f t="shared" ref="V81" si="1737">IFERROR((U81-T81)," ")</f>
        <v>1952</v>
      </c>
      <c r="W81" s="164">
        <f t="shared" ref="W81" si="1738">IFERROR((AA81/X81)/3.6," ")</f>
        <v>389.23588651898035</v>
      </c>
      <c r="X81" s="166">
        <v>24</v>
      </c>
      <c r="Y81" s="168">
        <f t="shared" ref="Y81" si="1739">IF(Z81&gt;0,Z80," ")</f>
        <v>3147805.7261362001</v>
      </c>
      <c r="Z81" s="168">
        <v>3183387.70673144</v>
      </c>
      <c r="AA81" s="164">
        <f>IFERROR((Z81-Y81)," ")-BDFUENTES[[#This Row],[PZ MED m3/día]]</f>
        <v>33629.980595239904</v>
      </c>
      <c r="AB81" s="168">
        <f t="shared" ref="AB81" si="1740">IFERROR(ROUNDDOWN(+AF81/(AC81*3.6),0)," ")</f>
        <v>58</v>
      </c>
      <c r="AC81" s="168">
        <v>24</v>
      </c>
      <c r="AD81" s="171">
        <f t="shared" ref="AD81" si="1741">IF(AE81&gt;0,AE80," ")</f>
        <v>5436903</v>
      </c>
      <c r="AE81" s="167">
        <v>5441946</v>
      </c>
      <c r="AF81" s="165">
        <f t="shared" ref="AF81" si="1742">IFERROR((AE81-AD81)," ")</f>
        <v>5043</v>
      </c>
      <c r="AG81" s="168">
        <v>60</v>
      </c>
      <c r="AH81" s="168">
        <v>24</v>
      </c>
      <c r="AI81" s="166"/>
      <c r="AJ81" s="166"/>
      <c r="AK81" s="166">
        <f t="shared" ref="AK81" si="1743">IF(OR(AH81="",AG81=""),"",AH81*AG81*3.6)</f>
        <v>5184</v>
      </c>
      <c r="AL81" s="167">
        <f>+BDFUENTES[[#This Row],[PZ CHB m3/día]]/3.6/BDFUENTES[[#This Row],[PZ CHB Horas Activo]]</f>
        <v>39.058641975308639</v>
      </c>
      <c r="AM81" s="171">
        <v>18</v>
      </c>
      <c r="AN81" s="168">
        <f t="shared" ref="AN81" si="1744">IF(AO81&gt;0,AO80," ")</f>
        <v>3697189</v>
      </c>
      <c r="AO81" s="168">
        <v>3699720</v>
      </c>
      <c r="AP81" s="167">
        <f t="shared" ref="AP81" si="1745">IFERROR((AO81-AN81)," ")</f>
        <v>2531</v>
      </c>
      <c r="AQ81" s="166"/>
      <c r="AR81" s="166" t="str">
        <f t="shared" ref="AR81" si="1746">IFERROR(+AU81/(AQ81*3.6)," ")</f>
        <v xml:space="preserve"> </v>
      </c>
      <c r="AS81" s="168" t="str">
        <f t="shared" ref="AS81" si="1747">IF(AT81&gt;0,AT80," ")</f>
        <v xml:space="preserve"> </v>
      </c>
      <c r="AT81" s="168"/>
      <c r="AU81" s="166" t="str">
        <f t="shared" ref="AU81" si="1748">IFERROR((AT81-AS81)," ")</f>
        <v xml:space="preserve"> </v>
      </c>
      <c r="AV81" s="167">
        <f>+BDFUENTES[[#This Row],[PZ TM m3/día]]/3.6/BDFUENTES[[#This Row],[PZ TM Horas Activo]]</f>
        <v>11.611111111111111</v>
      </c>
      <c r="AW81" s="167">
        <v>15</v>
      </c>
      <c r="AX81" s="169">
        <f t="shared" ref="AX81" si="1749">IF(AY81&gt;0,AY80," ")</f>
        <v>610800</v>
      </c>
      <c r="AY81" s="169">
        <v>611427</v>
      </c>
      <c r="AZ81" s="167">
        <f t="shared" ref="AZ81" si="1750">IFERROR((AY81-AX81)," ")</f>
        <v>627</v>
      </c>
      <c r="BA81" s="166">
        <v>125</v>
      </c>
      <c r="BB81" s="166">
        <f t="shared" ref="BB81" si="1751">IFERROR(+BE81/(BA81*3.6)," ")</f>
        <v>5.52</v>
      </c>
      <c r="BC81" s="168">
        <f t="shared" ref="BC81" si="1752">IF(BD81&gt;0,BD80," ")</f>
        <v>6016393</v>
      </c>
      <c r="BD81" s="168">
        <v>6018877</v>
      </c>
      <c r="BE81" s="166">
        <f t="shared" ref="BE81" si="1753">IFERROR((BD81-BC81)," ")</f>
        <v>2484</v>
      </c>
      <c r="BF81" s="167">
        <v>20</v>
      </c>
      <c r="BG81" s="166">
        <f t="shared" ref="BG81" si="1754">IFERROR(+BJ81/(BF81*3.6)," ")</f>
        <v>17.444444444444443</v>
      </c>
      <c r="BH81" s="168">
        <f t="shared" ref="BH81" si="1755">IF(BI81&gt;0,BI80," ")</f>
        <v>1615836</v>
      </c>
      <c r="BI81" s="168">
        <v>1617092</v>
      </c>
      <c r="BJ81" s="167">
        <f t="shared" ref="BJ81" si="1756">IFERROR((BI81-BH81)," ")</f>
        <v>1256</v>
      </c>
      <c r="BK81" s="166">
        <v>70</v>
      </c>
      <c r="BL81" s="166">
        <f t="shared" ref="BL81" si="1757">IFERROR(+BO81/(BK81*3.6)," ")</f>
        <v>21.686507936507937</v>
      </c>
      <c r="BM81" s="168">
        <f t="shared" ref="BM81" si="1758">IF(BN81&gt;0,BN80," ")</f>
        <v>6421583</v>
      </c>
      <c r="BN81" s="168">
        <v>6427048</v>
      </c>
      <c r="BO81" s="166">
        <f t="shared" ref="BO81" si="1759">IFERROR((BN81-BM81)," ")</f>
        <v>5465</v>
      </c>
    </row>
    <row r="82" spans="2:67" ht="15" customHeight="1" x14ac:dyDescent="0.25">
      <c r="B82" s="170">
        <v>46100</v>
      </c>
      <c r="C82" s="164">
        <v>38</v>
      </c>
      <c r="D82" s="166">
        <f t="shared" si="1680"/>
        <v>17.543859649122805</v>
      </c>
      <c r="E82" s="168">
        <f t="shared" si="1681"/>
        <v>3884508</v>
      </c>
      <c r="F82" s="168">
        <v>3886908</v>
      </c>
      <c r="G82" s="166">
        <f t="shared" si="1682"/>
        <v>2400</v>
      </c>
      <c r="H82" s="167">
        <v>25</v>
      </c>
      <c r="I82" s="167">
        <f t="shared" si="1683"/>
        <v>0</v>
      </c>
      <c r="J82" s="168">
        <f t="shared" si="1684"/>
        <v>1970853</v>
      </c>
      <c r="K82" s="266">
        <v>1970853</v>
      </c>
      <c r="L82" s="167">
        <f t="shared" si="1685"/>
        <v>0</v>
      </c>
      <c r="M82" s="166">
        <v>38</v>
      </c>
      <c r="N82" s="166">
        <f t="shared" si="1686"/>
        <v>0</v>
      </c>
      <c r="O82" s="168">
        <f t="shared" si="1687"/>
        <v>414656</v>
      </c>
      <c r="P82" s="168">
        <v>414656</v>
      </c>
      <c r="Q82" s="166">
        <f t="shared" si="1688"/>
        <v>0</v>
      </c>
      <c r="R82" s="167">
        <f>+BDFUENTES[[#This Row],[PZ MED m3/día]]/3.6/BDFUENTES[[#This Row],[PZ MED Horas Activo]]</f>
        <v>29.361111111111107</v>
      </c>
      <c r="S82" s="167">
        <v>20</v>
      </c>
      <c r="T82" s="168">
        <f t="shared" ref="T82" si="1760">IF(U82&gt;0,U81," ")</f>
        <v>341515</v>
      </c>
      <c r="U82" s="168">
        <v>343629</v>
      </c>
      <c r="V82" s="165">
        <f t="shared" ref="V82" si="1761">IFERROR((U82-T82)," ")</f>
        <v>2114</v>
      </c>
      <c r="W82" s="164">
        <f t="shared" ref="W82" si="1762">IFERROR((AA82/X82)/3.6," ")</f>
        <v>391.45106104305512</v>
      </c>
      <c r="X82" s="166">
        <v>24</v>
      </c>
      <c r="Y82" s="168">
        <f t="shared" ref="Y82" si="1763">IF(Z82&gt;0,Z81," ")</f>
        <v>3183387.70673144</v>
      </c>
      <c r="Z82" s="168">
        <v>3219323.07840556</v>
      </c>
      <c r="AA82" s="164">
        <f>IFERROR((Z82-Y82)," ")-BDFUENTES[[#This Row],[PZ MED m3/día]]</f>
        <v>33821.371674119961</v>
      </c>
      <c r="AB82" s="168">
        <f t="shared" ref="AB82" si="1764">IFERROR(ROUNDDOWN(+AF82/(AC82*3.6),0)," ")</f>
        <v>63</v>
      </c>
      <c r="AC82" s="168">
        <v>24</v>
      </c>
      <c r="AD82" s="171">
        <f t="shared" ref="AD82" si="1765">IF(AE82&gt;0,AE81," ")</f>
        <v>5441946</v>
      </c>
      <c r="AE82" s="167">
        <v>5447424</v>
      </c>
      <c r="AF82" s="165">
        <f t="shared" ref="AF82" si="1766">IFERROR((AE82-AD82)," ")</f>
        <v>5478</v>
      </c>
      <c r="AG82" s="168">
        <v>60</v>
      </c>
      <c r="AH82" s="168">
        <v>24</v>
      </c>
      <c r="AI82" s="166"/>
      <c r="AJ82" s="166"/>
      <c r="AK82" s="166">
        <f t="shared" ref="AK82" si="1767">IF(OR(AH82="",AG82=""),"",AH82*AG82*3.6)</f>
        <v>5184</v>
      </c>
      <c r="AL82" s="167">
        <f>+BDFUENTES[[#This Row],[PZ CHB m3/día]]/3.6/BDFUENTES[[#This Row],[PZ CHB Horas Activo]]</f>
        <v>39.567901234567898</v>
      </c>
      <c r="AM82" s="171">
        <v>18</v>
      </c>
      <c r="AN82" s="168">
        <f t="shared" ref="AN82" si="1768">IF(AO82&gt;0,AO81," ")</f>
        <v>3699720</v>
      </c>
      <c r="AO82" s="168">
        <v>3702284</v>
      </c>
      <c r="AP82" s="167">
        <f t="shared" ref="AP82" si="1769">IFERROR((AO82-AN82)," ")</f>
        <v>2564</v>
      </c>
      <c r="AQ82" s="166"/>
      <c r="AR82" s="166" t="str">
        <f t="shared" ref="AR82" si="1770">IFERROR(+AU82/(AQ82*3.6)," ")</f>
        <v xml:space="preserve"> </v>
      </c>
      <c r="AS82" s="168" t="str">
        <f t="shared" ref="AS82" si="1771">IF(AT82&gt;0,AT81," ")</f>
        <v xml:space="preserve"> </v>
      </c>
      <c r="AT82" s="168"/>
      <c r="AU82" s="166" t="str">
        <f t="shared" ref="AU82" si="1772">IFERROR((AT82-AS82)," ")</f>
        <v xml:space="preserve"> </v>
      </c>
      <c r="AV82" s="167">
        <f>+BDFUENTES[[#This Row],[PZ TM m3/día]]/3.6/BDFUENTES[[#This Row],[PZ TM Horas Activo]]</f>
        <v>11.431623931623932</v>
      </c>
      <c r="AW82" s="167">
        <v>13</v>
      </c>
      <c r="AX82" s="169">
        <f t="shared" ref="AX82" si="1773">IF(AY82&gt;0,AY81," ")</f>
        <v>611427</v>
      </c>
      <c r="AY82" s="169">
        <v>611962</v>
      </c>
      <c r="AZ82" s="167">
        <f t="shared" ref="AZ82" si="1774">IFERROR((AY82-AX82)," ")</f>
        <v>535</v>
      </c>
      <c r="BA82" s="166">
        <v>125</v>
      </c>
      <c r="BB82" s="166">
        <f t="shared" ref="BB82" si="1775">IFERROR(+BE82/(BA82*3.6)," ")</f>
        <v>5.6044444444444448</v>
      </c>
      <c r="BC82" s="168">
        <f t="shared" ref="BC82" si="1776">IF(BD82&gt;0,BD81," ")</f>
        <v>6018877</v>
      </c>
      <c r="BD82" s="168">
        <v>6021399</v>
      </c>
      <c r="BE82" s="166">
        <f t="shared" ref="BE82" si="1777">IFERROR((BD82-BC82)," ")</f>
        <v>2522</v>
      </c>
      <c r="BF82" s="167">
        <v>20</v>
      </c>
      <c r="BG82" s="166">
        <f t="shared" ref="BG82" si="1778">IFERROR(+BJ82/(BF82*3.6)," ")</f>
        <v>17.291666666666668</v>
      </c>
      <c r="BH82" s="168">
        <f t="shared" ref="BH82" si="1779">IF(BI82&gt;0,BI81," ")</f>
        <v>1617092</v>
      </c>
      <c r="BI82" s="168">
        <v>1618337</v>
      </c>
      <c r="BJ82" s="167">
        <f t="shared" ref="BJ82" si="1780">IFERROR((BI82-BH82)," ")</f>
        <v>1245</v>
      </c>
      <c r="BK82" s="166">
        <v>70</v>
      </c>
      <c r="BL82" s="166">
        <f t="shared" ref="BL82" si="1781">IFERROR(+BO82/(BK82*3.6)," ")</f>
        <v>18.349206349206348</v>
      </c>
      <c r="BM82" s="168">
        <f t="shared" ref="BM82" si="1782">IF(BN82&gt;0,BN81," ")</f>
        <v>6427048</v>
      </c>
      <c r="BN82" s="168">
        <v>6431672</v>
      </c>
      <c r="BO82" s="166">
        <f t="shared" ref="BO82" si="1783">IFERROR((BN82-BM82)," ")</f>
        <v>4624</v>
      </c>
    </row>
    <row r="83" spans="2:67" ht="15" customHeight="1" x14ac:dyDescent="0.25">
      <c r="B83" s="170">
        <v>46101</v>
      </c>
      <c r="C83" s="164">
        <v>38</v>
      </c>
      <c r="D83" s="166">
        <f t="shared" si="1680"/>
        <v>15.906432748538011</v>
      </c>
      <c r="E83" s="168">
        <f t="shared" si="1681"/>
        <v>3886908</v>
      </c>
      <c r="F83" s="168">
        <v>3889084</v>
      </c>
      <c r="G83" s="166">
        <f t="shared" si="1682"/>
        <v>2176</v>
      </c>
      <c r="H83" s="167">
        <v>25</v>
      </c>
      <c r="I83" s="167">
        <f t="shared" si="1683"/>
        <v>0</v>
      </c>
      <c r="J83" s="168">
        <f t="shared" si="1684"/>
        <v>1970853</v>
      </c>
      <c r="K83" s="266">
        <v>1970853</v>
      </c>
      <c r="L83" s="167">
        <f t="shared" si="1685"/>
        <v>0</v>
      </c>
      <c r="M83" s="166">
        <v>38</v>
      </c>
      <c r="N83" s="166">
        <f t="shared" si="1686"/>
        <v>0</v>
      </c>
      <c r="O83" s="168">
        <f t="shared" si="1687"/>
        <v>414656</v>
      </c>
      <c r="P83" s="168">
        <v>414656</v>
      </c>
      <c r="Q83" s="166">
        <f t="shared" si="1688"/>
        <v>0</v>
      </c>
      <c r="R83" s="167">
        <f>+BDFUENTES[[#This Row],[PZ MED m3/día]]/3.6/BDFUENTES[[#This Row],[PZ MED Horas Activo]]</f>
        <v>28.919753086419753</v>
      </c>
      <c r="S83" s="167">
        <v>18</v>
      </c>
      <c r="T83" s="168">
        <f t="shared" ref="T83" si="1784">IF(U83&gt;0,U82," ")</f>
        <v>343629</v>
      </c>
      <c r="U83" s="168">
        <v>345503</v>
      </c>
      <c r="V83" s="165">
        <f t="shared" ref="V83" si="1785">IFERROR((U83-T83)," ")</f>
        <v>1874</v>
      </c>
      <c r="W83" s="164">
        <f t="shared" ref="W83" si="1786">IFERROR((AA83/X83)/3.6," ")</f>
        <v>390.21350335879509</v>
      </c>
      <c r="X83" s="166">
        <v>24</v>
      </c>
      <c r="Y83" s="168">
        <f t="shared" ref="Y83" si="1787">IF(Z83&gt;0,Z82," ")</f>
        <v>3219323.07840556</v>
      </c>
      <c r="Z83" s="168">
        <v>3254911.5250957599</v>
      </c>
      <c r="AA83" s="164">
        <f>IFERROR((Z83-Y83)," ")-BDFUENTES[[#This Row],[PZ MED m3/día]]</f>
        <v>33714.446690199897</v>
      </c>
      <c r="AB83" s="168">
        <f t="shared" ref="AB83" si="1788">IFERROR(ROUNDDOWN(+AF83/(AC83*3.6),0)," ")</f>
        <v>63</v>
      </c>
      <c r="AC83" s="168">
        <v>24</v>
      </c>
      <c r="AD83" s="171">
        <f t="shared" ref="AD83" si="1789">IF(AE83&gt;0,AE82," ")</f>
        <v>5447424</v>
      </c>
      <c r="AE83" s="167">
        <v>5452879</v>
      </c>
      <c r="AF83" s="165">
        <f t="shared" ref="AF83" si="1790">IFERROR((AE83-AD83)," ")</f>
        <v>5455</v>
      </c>
      <c r="AG83" s="168">
        <v>60</v>
      </c>
      <c r="AH83" s="168">
        <v>24</v>
      </c>
      <c r="AI83" s="166"/>
      <c r="AJ83" s="166"/>
      <c r="AK83" s="166">
        <f t="shared" ref="AK83" si="1791">IF(OR(AH83="",AG83=""),"",AH83*AG83*3.6)</f>
        <v>5184</v>
      </c>
      <c r="AL83" s="167">
        <f>+BDFUENTES[[#This Row],[PZ CHB m3/día]]/3.6/BDFUENTES[[#This Row],[PZ CHB Horas Activo]]</f>
        <v>37.938596491228076</v>
      </c>
      <c r="AM83" s="171">
        <v>19</v>
      </c>
      <c r="AN83" s="168">
        <f t="shared" ref="AN83" si="1792">IF(AO83&gt;0,AO82," ")</f>
        <v>3702284</v>
      </c>
      <c r="AO83" s="168">
        <v>3704879</v>
      </c>
      <c r="AP83" s="167">
        <f t="shared" ref="AP83" si="1793">IFERROR((AO83-AN83)," ")</f>
        <v>2595</v>
      </c>
      <c r="AQ83" s="166"/>
      <c r="AR83" s="166" t="str">
        <f t="shared" ref="AR83" si="1794">IFERROR(+AU83/(AQ83*3.6)," ")</f>
        <v xml:space="preserve"> </v>
      </c>
      <c r="AS83" s="168" t="str">
        <f t="shared" ref="AS83" si="1795">IF(AT83&gt;0,AT82," ")</f>
        <v xml:space="preserve"> </v>
      </c>
      <c r="AT83" s="168"/>
      <c r="AU83" s="166" t="str">
        <f t="shared" ref="AU83" si="1796">IFERROR((AT83-AS83)," ")</f>
        <v xml:space="preserve"> </v>
      </c>
      <c r="AV83" s="167">
        <f>+BDFUENTES[[#This Row],[PZ TM m3/día]]/3.6/BDFUENTES[[#This Row],[PZ TM Horas Activo]]</f>
        <v>11.74074074074074</v>
      </c>
      <c r="AW83" s="167">
        <v>15</v>
      </c>
      <c r="AX83" s="169">
        <f t="shared" ref="AX83" si="1797">IF(AY83&gt;0,AY82," ")</f>
        <v>611962</v>
      </c>
      <c r="AY83" s="169">
        <v>612596</v>
      </c>
      <c r="AZ83" s="167">
        <f t="shared" ref="AZ83" si="1798">IFERROR((AY83-AX83)," ")</f>
        <v>634</v>
      </c>
      <c r="BA83" s="166">
        <v>125</v>
      </c>
      <c r="BB83" s="166">
        <f t="shared" ref="BB83" si="1799">IFERROR(+BE83/(BA83*3.6)," ")</f>
        <v>4.8311111111111114</v>
      </c>
      <c r="BC83" s="168">
        <f t="shared" ref="BC83" si="1800">IF(BD83&gt;0,BD82," ")</f>
        <v>6021399</v>
      </c>
      <c r="BD83" s="168">
        <v>6023573</v>
      </c>
      <c r="BE83" s="166">
        <f t="shared" ref="BE83" si="1801">IFERROR((BD83-BC83)," ")</f>
        <v>2174</v>
      </c>
      <c r="BF83" s="167">
        <v>20</v>
      </c>
      <c r="BG83" s="166">
        <f t="shared" ref="BG83" si="1802">IFERROR(+BJ83/(BF83*3.6)," ")</f>
        <v>17.291666666666668</v>
      </c>
      <c r="BH83" s="168">
        <f t="shared" ref="BH83" si="1803">IF(BI83&gt;0,BI82," ")</f>
        <v>1618337</v>
      </c>
      <c r="BI83" s="168">
        <v>1619582</v>
      </c>
      <c r="BJ83" s="167">
        <f t="shared" ref="BJ83" si="1804">IFERROR((BI83-BH83)," ")</f>
        <v>1245</v>
      </c>
      <c r="BK83" s="166">
        <v>70</v>
      </c>
      <c r="BL83" s="166">
        <f t="shared" ref="BL83" si="1805">IFERROR(+BO83/(BK83*3.6)," ")</f>
        <v>21.932539682539684</v>
      </c>
      <c r="BM83" s="168">
        <f t="shared" ref="BM83" si="1806">IF(BN83&gt;0,BN82," ")</f>
        <v>6431672</v>
      </c>
      <c r="BN83" s="168">
        <v>6437199</v>
      </c>
      <c r="BO83" s="166">
        <f t="shared" ref="BO83" si="1807">IFERROR((BN83-BM83)," ")</f>
        <v>5527</v>
      </c>
    </row>
    <row r="84" spans="2:67" ht="15" customHeight="1" x14ac:dyDescent="0.25">
      <c r="B84" s="170">
        <v>46102</v>
      </c>
      <c r="C84" s="164">
        <v>38</v>
      </c>
      <c r="D84" s="166">
        <f t="shared" si="1680"/>
        <v>3.019005847953216</v>
      </c>
      <c r="E84" s="168">
        <f t="shared" si="1681"/>
        <v>3889084</v>
      </c>
      <c r="F84" s="168">
        <v>3889497</v>
      </c>
      <c r="G84" s="166">
        <f t="shared" si="1682"/>
        <v>413</v>
      </c>
      <c r="H84" s="167">
        <v>25</v>
      </c>
      <c r="I84" s="167">
        <f t="shared" si="1683"/>
        <v>0</v>
      </c>
      <c r="J84" s="168">
        <f t="shared" si="1684"/>
        <v>1970853</v>
      </c>
      <c r="K84" s="266">
        <v>1970853</v>
      </c>
      <c r="L84" s="167">
        <f t="shared" si="1685"/>
        <v>0</v>
      </c>
      <c r="M84" s="166">
        <v>38</v>
      </c>
      <c r="N84" s="166">
        <f t="shared" si="1686"/>
        <v>0</v>
      </c>
      <c r="O84" s="168">
        <f t="shared" si="1687"/>
        <v>414656</v>
      </c>
      <c r="P84" s="168">
        <v>414656</v>
      </c>
      <c r="Q84" s="166">
        <f t="shared" si="1688"/>
        <v>0</v>
      </c>
      <c r="R84" s="167">
        <f>+BDFUENTES[[#This Row],[PZ MED m3/día]]/3.6/BDFUENTES[[#This Row],[PZ MED Horas Activo]]</f>
        <v>29.475308641975307</v>
      </c>
      <c r="S84" s="167">
        <v>18</v>
      </c>
      <c r="T84" s="168">
        <f t="shared" ref="T84" si="1808">IF(U84&gt;0,U83," ")</f>
        <v>345503</v>
      </c>
      <c r="U84" s="168">
        <v>347413</v>
      </c>
      <c r="V84" s="165">
        <f t="shared" ref="V84" si="1809">IFERROR((U84-T84)," ")</f>
        <v>1910</v>
      </c>
      <c r="W84" s="164">
        <f t="shared" ref="W84" si="1810">IFERROR((AA84/X84)/3.6," ")</f>
        <v>380.65300791712986</v>
      </c>
      <c r="X84" s="166">
        <v>24</v>
      </c>
      <c r="Y84" s="168">
        <f t="shared" ref="Y84" si="1811">IF(Z84&gt;0,Z83," ")</f>
        <v>3254911.5250957599</v>
      </c>
      <c r="Z84" s="168">
        <v>3289709.9449797999</v>
      </c>
      <c r="AA84" s="164">
        <f>IFERROR((Z84-Y84)," ")-BDFUENTES[[#This Row],[PZ MED m3/día]]</f>
        <v>32888.41988404002</v>
      </c>
      <c r="AB84" s="168">
        <f t="shared" ref="AB84" si="1812">IFERROR(ROUNDDOWN(+AF84/(AC84*3.6),0)," ")</f>
        <v>64</v>
      </c>
      <c r="AC84" s="168">
        <v>24</v>
      </c>
      <c r="AD84" s="171">
        <f t="shared" ref="AD84" si="1813">IF(AE84&gt;0,AE83," ")</f>
        <v>5452879</v>
      </c>
      <c r="AE84" s="167">
        <v>5458455</v>
      </c>
      <c r="AF84" s="165">
        <f t="shared" ref="AF84" si="1814">IFERROR((AE84-AD84)," ")</f>
        <v>5576</v>
      </c>
      <c r="AG84" s="168">
        <v>60</v>
      </c>
      <c r="AH84" s="168">
        <v>24</v>
      </c>
      <c r="AI84" s="166"/>
      <c r="AJ84" s="166"/>
      <c r="AK84" s="166">
        <f t="shared" ref="AK84" si="1815">IF(OR(AH84="",AG84=""),"",AH84*AG84*3.6)</f>
        <v>5184</v>
      </c>
      <c r="AL84" s="167">
        <f>+BDFUENTES[[#This Row],[PZ CHB m3/día]]/3.6/BDFUENTES[[#This Row],[PZ CHB Horas Activo]]</f>
        <v>38.245614035087719</v>
      </c>
      <c r="AM84" s="171">
        <v>19</v>
      </c>
      <c r="AN84" s="168">
        <f t="shared" ref="AN84" si="1816">IF(AO84&gt;0,AO83," ")</f>
        <v>3704879</v>
      </c>
      <c r="AO84" s="168">
        <v>3707495</v>
      </c>
      <c r="AP84" s="167">
        <f t="shared" ref="AP84" si="1817">IFERROR((AO84-AN84)," ")</f>
        <v>2616</v>
      </c>
      <c r="AQ84" s="166"/>
      <c r="AR84" s="166" t="str">
        <f t="shared" ref="AR84" si="1818">IFERROR(+AU84/(AQ84*3.6)," ")</f>
        <v xml:space="preserve"> </v>
      </c>
      <c r="AS84" s="168" t="str">
        <f t="shared" ref="AS84" si="1819">IF(AT84&gt;0,AT83," ")</f>
        <v xml:space="preserve"> </v>
      </c>
      <c r="AT84" s="168"/>
      <c r="AU84" s="166" t="str">
        <f t="shared" ref="AU84" si="1820">IFERROR((AT84-AS84)," ")</f>
        <v xml:space="preserve"> </v>
      </c>
      <c r="AV84" s="167">
        <f>+BDFUENTES[[#This Row],[PZ TM m3/día]]/3.6/BDFUENTES[[#This Row],[PZ TM Horas Activo]]</f>
        <v>11.458333333333334</v>
      </c>
      <c r="AW84" s="167">
        <v>16</v>
      </c>
      <c r="AX84" s="169">
        <f t="shared" ref="AX84" si="1821">IF(AY84&gt;0,AY83," ")</f>
        <v>612596</v>
      </c>
      <c r="AY84" s="169">
        <v>613256</v>
      </c>
      <c r="AZ84" s="167">
        <f t="shared" ref="AZ84" si="1822">IFERROR((AY84-AX84)," ")</f>
        <v>660</v>
      </c>
      <c r="BA84" s="166">
        <v>125</v>
      </c>
      <c r="BB84" s="166">
        <f t="shared" ref="BB84" si="1823">IFERROR(+BE84/(BA84*3.6)," ")</f>
        <v>0.56666666666666665</v>
      </c>
      <c r="BC84" s="168">
        <f t="shared" ref="BC84" si="1824">IF(BD84&gt;0,BD83," ")</f>
        <v>6023573</v>
      </c>
      <c r="BD84" s="168">
        <v>6023828</v>
      </c>
      <c r="BE84" s="166">
        <f t="shared" ref="BE84" si="1825">IFERROR((BD84-BC84)," ")</f>
        <v>255</v>
      </c>
      <c r="BF84" s="167">
        <v>20</v>
      </c>
      <c r="BG84" s="166">
        <f t="shared" ref="BG84" si="1826">IFERROR(+BJ84/(BF84*3.6)," ")</f>
        <v>14.916666666666666</v>
      </c>
      <c r="BH84" s="168">
        <f t="shared" ref="BH84" si="1827">IF(BI84&gt;0,BI83," ")</f>
        <v>1619582</v>
      </c>
      <c r="BI84" s="168">
        <v>1620656</v>
      </c>
      <c r="BJ84" s="167">
        <f t="shared" ref="BJ84" si="1828">IFERROR((BI84-BH84)," ")</f>
        <v>1074</v>
      </c>
      <c r="BK84" s="166">
        <v>70</v>
      </c>
      <c r="BL84" s="166">
        <f t="shared" ref="BL84" si="1829">IFERROR(+BO84/(BK84*3.6)," ")</f>
        <v>17.924603174603174</v>
      </c>
      <c r="BM84" s="168">
        <f t="shared" ref="BM84" si="1830">IF(BN84&gt;0,BN83," ")</f>
        <v>6437199</v>
      </c>
      <c r="BN84" s="168">
        <v>6441716</v>
      </c>
      <c r="BO84" s="166">
        <f t="shared" ref="BO84" si="1831">IFERROR((BN84-BM84)," ")</f>
        <v>4517</v>
      </c>
    </row>
    <row r="85" spans="2:67" ht="15" customHeight="1" x14ac:dyDescent="0.25">
      <c r="B85" s="170">
        <v>46103</v>
      </c>
      <c r="C85" s="164">
        <v>38</v>
      </c>
      <c r="D85" s="166">
        <f t="shared" ref="D85" si="1832">IFERROR(+G85/(C85*3.6)," ")</f>
        <v>0</v>
      </c>
      <c r="E85" s="168">
        <f t="shared" ref="E85" si="1833">IF(F85&gt;0,F84," ")</f>
        <v>3889497</v>
      </c>
      <c r="F85" s="168">
        <v>3889497</v>
      </c>
      <c r="G85" s="166">
        <f t="shared" ref="G85" si="1834">IFERROR((F85-E85)," ")</f>
        <v>0</v>
      </c>
      <c r="H85" s="167">
        <v>25</v>
      </c>
      <c r="I85" s="167">
        <f t="shared" ref="I85" si="1835">IFERROR(+L85/(H85*3.6)," ")</f>
        <v>0</v>
      </c>
      <c r="J85" s="168">
        <f t="shared" ref="J85" si="1836">IF(K85&gt;0,K84," ")</f>
        <v>1970853</v>
      </c>
      <c r="K85" s="266">
        <v>1970853</v>
      </c>
      <c r="L85" s="167">
        <f t="shared" ref="L85" si="1837">IFERROR((K85-J85)," ")</f>
        <v>0</v>
      </c>
      <c r="M85" s="166">
        <v>38</v>
      </c>
      <c r="N85" s="166">
        <f t="shared" ref="N85" si="1838">IFERROR(+Q85/(M85*3.6)," ")</f>
        <v>0</v>
      </c>
      <c r="O85" s="168">
        <f t="shared" ref="O85" si="1839">IF(P85&gt;0,P84," ")</f>
        <v>414656</v>
      </c>
      <c r="P85" s="168">
        <v>414656</v>
      </c>
      <c r="Q85" s="166">
        <f t="shared" ref="Q85" si="1840">IFERROR((P85-O85)," ")</f>
        <v>0</v>
      </c>
      <c r="R85" s="167">
        <f>+BDFUENTES[[#This Row],[PZ MED m3/día]]/3.6/BDFUENTES[[#This Row],[PZ MED Horas Activo]]</f>
        <v>25.055555555555554</v>
      </c>
      <c r="S85" s="167">
        <v>5</v>
      </c>
      <c r="T85" s="168">
        <f t="shared" ref="T85" si="1841">IF(U85&gt;0,U84," ")</f>
        <v>347413</v>
      </c>
      <c r="U85" s="168">
        <v>347864</v>
      </c>
      <c r="V85" s="165">
        <f t="shared" ref="V85" si="1842">IFERROR((U85-T85)," ")</f>
        <v>451</v>
      </c>
      <c r="W85" s="164">
        <f t="shared" ref="W85" si="1843">IFERROR((AA85/X85)/3.6," ")</f>
        <v>365.85313591388746</v>
      </c>
      <c r="X85" s="166">
        <v>24</v>
      </c>
      <c r="Y85" s="168">
        <f t="shared" ref="Y85" si="1844">IF(Z85&gt;0,Z84," ")</f>
        <v>3289709.9449797999</v>
      </c>
      <c r="Z85" s="168">
        <v>3321770.6559227598</v>
      </c>
      <c r="AA85" s="164">
        <f>IFERROR((Z85-Y85)," ")-BDFUENTES[[#This Row],[PZ MED m3/día]]</f>
        <v>31609.710942959879</v>
      </c>
      <c r="AB85" s="168">
        <f t="shared" ref="AB85" si="1845">IFERROR(ROUNDDOWN(+AF85/(AC85*3.6),0)," ")</f>
        <v>63</v>
      </c>
      <c r="AC85" s="168">
        <v>19</v>
      </c>
      <c r="AD85" s="171">
        <f t="shared" ref="AD85" si="1846">IF(AE85&gt;0,AE84," ")</f>
        <v>5458455</v>
      </c>
      <c r="AE85" s="167">
        <v>5462781</v>
      </c>
      <c r="AF85" s="165">
        <f t="shared" ref="AF85" si="1847">IFERROR((AE85-AD85)," ")</f>
        <v>4326</v>
      </c>
      <c r="AG85" s="168">
        <v>60</v>
      </c>
      <c r="AH85" s="168">
        <v>24</v>
      </c>
      <c r="AI85" s="166"/>
      <c r="AJ85" s="166"/>
      <c r="AK85" s="166">
        <f t="shared" ref="AK85" si="1848">IF(OR(AH85="",AG85=""),"",AH85*AG85*3.6)</f>
        <v>5184</v>
      </c>
      <c r="AL85" s="167">
        <f>+BDFUENTES[[#This Row],[PZ CHB m3/día]]/3.6/BDFUENTES[[#This Row],[PZ CHB Horas Activo]]</f>
        <v>38.811728395061728</v>
      </c>
      <c r="AM85" s="171">
        <v>18</v>
      </c>
      <c r="AN85" s="168">
        <f t="shared" ref="AN85" si="1849">IF(AO85&gt;0,AO84," ")</f>
        <v>3707495</v>
      </c>
      <c r="AO85" s="168">
        <v>3710010</v>
      </c>
      <c r="AP85" s="167">
        <f t="shared" ref="AP85" si="1850">IFERROR((AO85-AN85)," ")</f>
        <v>2515</v>
      </c>
      <c r="AQ85" s="166"/>
      <c r="AR85" s="166" t="str">
        <f t="shared" ref="AR85" si="1851">IFERROR(+AU85/(AQ85*3.6)," ")</f>
        <v xml:space="preserve"> </v>
      </c>
      <c r="AS85" s="168" t="str">
        <f t="shared" ref="AS85" si="1852">IF(AT85&gt;0,AT84," ")</f>
        <v xml:space="preserve"> </v>
      </c>
      <c r="AT85" s="168"/>
      <c r="AU85" s="166" t="str">
        <f t="shared" ref="AU85" si="1853">IFERROR((AT85-AS85)," ")</f>
        <v xml:space="preserve"> </v>
      </c>
      <c r="AV85" s="167">
        <f>+BDFUENTES[[#This Row],[PZ TM m3/día]]/3.6/BDFUENTES[[#This Row],[PZ TM Horas Activo]]</f>
        <v>11.354166666666666</v>
      </c>
      <c r="AW85" s="167">
        <v>16</v>
      </c>
      <c r="AX85" s="169">
        <f t="shared" ref="AX85" si="1854">IF(AY85&gt;0,AY84," ")</f>
        <v>613256</v>
      </c>
      <c r="AY85" s="169">
        <v>613910</v>
      </c>
      <c r="AZ85" s="167">
        <f t="shared" ref="AZ85" si="1855">IFERROR((AY85-AX85)," ")</f>
        <v>654</v>
      </c>
      <c r="BA85" s="166">
        <v>125</v>
      </c>
      <c r="BB85" s="166">
        <f t="shared" ref="BB85" si="1856">IFERROR(+BE85/(BA85*3.6)," ")</f>
        <v>3.5555555555555556E-2</v>
      </c>
      <c r="BC85" s="168">
        <f t="shared" ref="BC85" si="1857">IF(BD85&gt;0,BD84," ")</f>
        <v>6023828</v>
      </c>
      <c r="BD85" s="168">
        <v>6023844</v>
      </c>
      <c r="BE85" s="166">
        <f t="shared" ref="BE85" si="1858">IFERROR((BD85-BC85)," ")</f>
        <v>16</v>
      </c>
      <c r="BF85" s="167">
        <v>20</v>
      </c>
      <c r="BG85" s="166">
        <f t="shared" ref="BG85" si="1859">IFERROR(+BJ85/(BF85*3.6)," ")</f>
        <v>7.9027777777777777</v>
      </c>
      <c r="BH85" s="168">
        <f t="shared" ref="BH85" si="1860">IF(BI85&gt;0,BI84," ")</f>
        <v>1620656</v>
      </c>
      <c r="BI85" s="168">
        <v>1621225</v>
      </c>
      <c r="BJ85" s="167">
        <f t="shared" ref="BJ85" si="1861">IFERROR((BI85-BH85)," ")</f>
        <v>569</v>
      </c>
      <c r="BK85" s="166">
        <v>70</v>
      </c>
      <c r="BL85" s="166">
        <f t="shared" ref="BL85" si="1862">IFERROR(+BO85/(BK85*3.6)," ")</f>
        <v>6.4404761904761907</v>
      </c>
      <c r="BM85" s="168">
        <f t="shared" ref="BM85" si="1863">IF(BN85&gt;0,BN84," ")</f>
        <v>6441716</v>
      </c>
      <c r="BN85" s="168">
        <v>6443339</v>
      </c>
      <c r="BO85" s="166">
        <f t="shared" ref="BO85" si="1864">IFERROR((BN85-BM85)," ")</f>
        <v>1623</v>
      </c>
    </row>
    <row r="86" spans="2:67" ht="15" customHeight="1" x14ac:dyDescent="0.25">
      <c r="B86" s="170">
        <v>46104</v>
      </c>
      <c r="C86" s="164">
        <v>38</v>
      </c>
      <c r="D86" s="166">
        <f t="shared" ref="D86" si="1865">IFERROR(+G86/(C86*3.6)," ")</f>
        <v>8.4210526315789469</v>
      </c>
      <c r="E86" s="168">
        <f t="shared" ref="E86" si="1866">IF(F86&gt;0,F85," ")</f>
        <v>3889497</v>
      </c>
      <c r="F86" s="168">
        <v>3890649</v>
      </c>
      <c r="G86" s="166">
        <f t="shared" ref="G86" si="1867">IFERROR((F86-E86)," ")</f>
        <v>1152</v>
      </c>
      <c r="H86" s="167">
        <v>25</v>
      </c>
      <c r="I86" s="167">
        <f t="shared" ref="I86" si="1868">IFERROR(+L86/(H86*3.6)," ")</f>
        <v>0</v>
      </c>
      <c r="J86" s="168">
        <f t="shared" ref="J86" si="1869">IF(K86&gt;0,K85," ")</f>
        <v>1970853</v>
      </c>
      <c r="K86" s="266">
        <v>1970853</v>
      </c>
      <c r="L86" s="167">
        <f t="shared" ref="L86" si="1870">IFERROR((K86-J86)," ")</f>
        <v>0</v>
      </c>
      <c r="M86" s="166">
        <v>38</v>
      </c>
      <c r="N86" s="166">
        <f t="shared" ref="N86" si="1871">IFERROR(+Q86/(M86*3.6)," ")</f>
        <v>0</v>
      </c>
      <c r="O86" s="168">
        <f t="shared" ref="O86" si="1872">IF(P86&gt;0,P85," ")</f>
        <v>414656</v>
      </c>
      <c r="P86" s="168">
        <v>414656</v>
      </c>
      <c r="Q86" s="166">
        <f t="shared" ref="Q86" si="1873">IFERROR((P86-O86)," ")</f>
        <v>0</v>
      </c>
      <c r="R86" s="167">
        <f>+BDFUENTES[[#This Row],[PZ MED m3/día]]/3.6/BDFUENTES[[#This Row],[PZ MED Horas Activo]]</f>
        <v>27.669753086419753</v>
      </c>
      <c r="S86" s="167">
        <v>18</v>
      </c>
      <c r="T86" s="168">
        <f t="shared" ref="T86" si="1874">IF(U86&gt;0,U85," ")</f>
        <v>347864</v>
      </c>
      <c r="U86" s="168">
        <v>349657</v>
      </c>
      <c r="V86" s="165">
        <f t="shared" ref="V86" si="1875">IFERROR((U86-T86)," ")</f>
        <v>1793</v>
      </c>
      <c r="W86" s="164">
        <f t="shared" ref="W86" si="1876">IFERROR((AA86/X86)/3.6," ")</f>
        <v>361.25780248380141</v>
      </c>
      <c r="X86" s="166">
        <v>24</v>
      </c>
      <c r="Y86" s="168">
        <f t="shared" ref="Y86" si="1877">IF(Z86&gt;0,Z85," ")</f>
        <v>3321770.6559227598</v>
      </c>
      <c r="Z86" s="168">
        <v>3354776.3300573602</v>
      </c>
      <c r="AA86" s="164">
        <f>IFERROR((Z86-Y86)," ")-BDFUENTES[[#This Row],[PZ MED m3/día]]</f>
        <v>31212.674134600442</v>
      </c>
      <c r="AB86" s="168">
        <f t="shared" ref="AB86" si="1878">IFERROR(ROUNDDOWN(+AF86/(AC86*3.6),0)," ")</f>
        <v>58</v>
      </c>
      <c r="AC86" s="168">
        <v>7</v>
      </c>
      <c r="AD86" s="171">
        <f t="shared" ref="AD86" si="1879">IF(AE86&gt;0,AE85," ")</f>
        <v>5462781</v>
      </c>
      <c r="AE86" s="167">
        <v>5464263</v>
      </c>
      <c r="AF86" s="165">
        <f t="shared" ref="AF86" si="1880">IFERROR((AE86-AD86)," ")</f>
        <v>1482</v>
      </c>
      <c r="AG86" s="168">
        <v>60</v>
      </c>
      <c r="AH86" s="168">
        <v>24</v>
      </c>
      <c r="AI86" s="166"/>
      <c r="AJ86" s="166"/>
      <c r="AK86" s="166">
        <f t="shared" ref="AK86" si="1881">IF(OR(AH86="",AG86=""),"",AH86*AG86*3.6)</f>
        <v>5184</v>
      </c>
      <c r="AL86" s="167">
        <f>+BDFUENTES[[#This Row],[PZ CHB m3/día]]/3.6/BDFUENTES[[#This Row],[PZ CHB Horas Activo]]</f>
        <v>38.919753086419753</v>
      </c>
      <c r="AM86" s="171">
        <v>18</v>
      </c>
      <c r="AN86" s="168">
        <f t="shared" ref="AN86" si="1882">IF(AO86&gt;0,AO85," ")</f>
        <v>3710010</v>
      </c>
      <c r="AO86" s="168">
        <v>3712532</v>
      </c>
      <c r="AP86" s="167">
        <f t="shared" ref="AP86" si="1883">IFERROR((AO86-AN86)," ")</f>
        <v>2522</v>
      </c>
      <c r="AQ86" s="166"/>
      <c r="AR86" s="166" t="str">
        <f t="shared" ref="AR86" si="1884">IFERROR(+AU86/(AQ86*3.6)," ")</f>
        <v xml:space="preserve"> </v>
      </c>
      <c r="AS86" s="168" t="str">
        <f t="shared" ref="AS86" si="1885">IF(AT86&gt;0,AT85," ")</f>
        <v xml:space="preserve"> </v>
      </c>
      <c r="AT86" s="168"/>
      <c r="AU86" s="166" t="str">
        <f t="shared" ref="AU86" si="1886">IFERROR((AT86-AS86)," ")</f>
        <v xml:space="preserve"> </v>
      </c>
      <c r="AV86" s="167">
        <f>+BDFUENTES[[#This Row],[PZ TM m3/día]]/3.6/BDFUENTES[[#This Row],[PZ TM Horas Activo]]</f>
        <v>11.24074074074074</v>
      </c>
      <c r="AW86" s="167">
        <v>15</v>
      </c>
      <c r="AX86" s="169">
        <f t="shared" ref="AX86" si="1887">IF(AY86&gt;0,AY85," ")</f>
        <v>613910</v>
      </c>
      <c r="AY86" s="169">
        <v>614517</v>
      </c>
      <c r="AZ86" s="167">
        <f t="shared" ref="AZ86" si="1888">IFERROR((AY86-AX86)," ")</f>
        <v>607</v>
      </c>
      <c r="BA86" s="166">
        <v>125</v>
      </c>
      <c r="BB86" s="166">
        <f t="shared" ref="BB86" si="1889">IFERROR(+BE86/(BA86*3.6)," ")</f>
        <v>2.7022222222222223</v>
      </c>
      <c r="BC86" s="168">
        <f t="shared" ref="BC86" si="1890">IF(BD86&gt;0,BD85," ")</f>
        <v>6023844</v>
      </c>
      <c r="BD86" s="168">
        <v>6025060</v>
      </c>
      <c r="BE86" s="166">
        <f t="shared" ref="BE86" si="1891">IFERROR((BD86-BC86)," ")</f>
        <v>1216</v>
      </c>
      <c r="BF86" s="167">
        <v>20</v>
      </c>
      <c r="BG86" s="166">
        <f t="shared" ref="BG86" si="1892">IFERROR(+BJ86/(BF86*3.6)," ")</f>
        <v>4.9305555555555554</v>
      </c>
      <c r="BH86" s="168">
        <f t="shared" ref="BH86" si="1893">IF(BI86&gt;0,BI85," ")</f>
        <v>1621225</v>
      </c>
      <c r="BI86" s="168">
        <v>1621580</v>
      </c>
      <c r="BJ86" s="167">
        <f t="shared" ref="BJ86" si="1894">IFERROR((BI86-BH86)," ")</f>
        <v>355</v>
      </c>
      <c r="BK86" s="166">
        <v>70</v>
      </c>
      <c r="BL86" s="166">
        <f t="shared" ref="BL86" si="1895">IFERROR(+BO86/(BK86*3.6)," ")</f>
        <v>14.972222222222221</v>
      </c>
      <c r="BM86" s="168">
        <f t="shared" ref="BM86" si="1896">IF(BN86&gt;0,BN85," ")</f>
        <v>6443339</v>
      </c>
      <c r="BN86" s="168">
        <v>6447112</v>
      </c>
      <c r="BO86" s="166">
        <f t="shared" ref="BO86" si="1897">IFERROR((BN86-BM86)," ")</f>
        <v>3773</v>
      </c>
    </row>
    <row r="87" spans="2:67" ht="15" customHeight="1" x14ac:dyDescent="0.25">
      <c r="B87" s="170">
        <v>46105</v>
      </c>
      <c r="C87" s="164">
        <v>38</v>
      </c>
      <c r="D87" s="166">
        <f t="shared" ref="D87" si="1898">IFERROR(+G87/(C87*3.6)," ")</f>
        <v>16.666666666666664</v>
      </c>
      <c r="E87" s="168">
        <f t="shared" ref="E87" si="1899">IF(F87&gt;0,F86," ")</f>
        <v>3890649</v>
      </c>
      <c r="F87" s="168">
        <v>3892929</v>
      </c>
      <c r="G87" s="166">
        <f t="shared" ref="G87" si="1900">IFERROR((F87-E87)," ")</f>
        <v>2280</v>
      </c>
      <c r="H87" s="167">
        <v>25</v>
      </c>
      <c r="I87" s="167">
        <f t="shared" ref="I87" si="1901">IFERROR(+L87/(H87*3.6)," ")</f>
        <v>0</v>
      </c>
      <c r="J87" s="168">
        <f t="shared" ref="J87" si="1902">IF(K87&gt;0,K86," ")</f>
        <v>1970853</v>
      </c>
      <c r="K87" s="266">
        <v>1970853</v>
      </c>
      <c r="L87" s="167">
        <f t="shared" ref="L87" si="1903">IFERROR((K87-J87)," ")</f>
        <v>0</v>
      </c>
      <c r="M87" s="166">
        <v>38</v>
      </c>
      <c r="N87" s="166">
        <f t="shared" ref="N87" si="1904">IFERROR(+Q87/(M87*3.6)," ")</f>
        <v>0</v>
      </c>
      <c r="O87" s="168">
        <f t="shared" ref="O87" si="1905">IF(P87&gt;0,P86," ")</f>
        <v>414656</v>
      </c>
      <c r="P87" s="168">
        <v>414656</v>
      </c>
      <c r="Q87" s="166">
        <f t="shared" ref="Q87" si="1906">IFERROR((P87-O87)," ")</f>
        <v>0</v>
      </c>
      <c r="R87" s="167">
        <f>+BDFUENTES[[#This Row],[PZ MED m3/día]]/3.6/BDFUENTES[[#This Row],[PZ MED Horas Activo]]</f>
        <v>28.757309941520468</v>
      </c>
      <c r="S87" s="167">
        <v>19</v>
      </c>
      <c r="T87" s="168">
        <f t="shared" ref="T87" si="1907">IF(U87&gt;0,U86," ")</f>
        <v>349657</v>
      </c>
      <c r="U87" s="168">
        <v>351624</v>
      </c>
      <c r="V87" s="165">
        <f t="shared" ref="V87" si="1908">IFERROR((U87-T87)," ")</f>
        <v>1967</v>
      </c>
      <c r="W87" s="164">
        <f t="shared" ref="W87" si="1909">IFERROR((AA87/X87)/3.6," ")</f>
        <v>359.59362242546001</v>
      </c>
      <c r="X87" s="166">
        <v>24</v>
      </c>
      <c r="Y87" s="168">
        <f t="shared" ref="Y87" si="1910">IF(Z87&gt;0,Z86," ")</f>
        <v>3354776.3300573602</v>
      </c>
      <c r="Z87" s="168">
        <v>3387812.21903492</v>
      </c>
      <c r="AA87" s="164">
        <f>IFERROR((Z87-Y87)," ")-BDFUENTES[[#This Row],[PZ MED m3/día]]</f>
        <v>31068.888977559749</v>
      </c>
      <c r="AB87" s="168">
        <f t="shared" ref="AB87" si="1911">IFERROR(ROUNDDOWN(+AF87/(AC87*3.6),0)," ")</f>
        <v>66</v>
      </c>
      <c r="AC87" s="168">
        <v>9</v>
      </c>
      <c r="AD87" s="171">
        <f t="shared" ref="AD87" si="1912">IF(AE87&gt;0,AE86," ")</f>
        <v>5464263</v>
      </c>
      <c r="AE87" s="167">
        <v>5466417</v>
      </c>
      <c r="AF87" s="165">
        <f t="shared" ref="AF87" si="1913">IFERROR((AE87-AD87)," ")</f>
        <v>2154</v>
      </c>
      <c r="AG87" s="168">
        <v>60</v>
      </c>
      <c r="AH87" s="168">
        <v>24</v>
      </c>
      <c r="AI87" s="166"/>
      <c r="AJ87" s="166"/>
      <c r="AK87" s="166">
        <f t="shared" ref="AK87" si="1914">IF(OR(AH87="",AG87=""),"",AH87*AG87*3.6)</f>
        <v>5184</v>
      </c>
      <c r="AL87" s="167">
        <f>+BDFUENTES[[#This Row],[PZ CHB m3/día]]/3.6/BDFUENTES[[#This Row],[PZ CHB Horas Activo]]</f>
        <v>39.084967320261441</v>
      </c>
      <c r="AM87" s="171">
        <v>17</v>
      </c>
      <c r="AN87" s="168">
        <f t="shared" ref="AN87" si="1915">IF(AO87&gt;0,AO86," ")</f>
        <v>3712532</v>
      </c>
      <c r="AO87" s="168">
        <v>3714924</v>
      </c>
      <c r="AP87" s="167">
        <f t="shared" ref="AP87" si="1916">IFERROR((AO87-AN87)," ")</f>
        <v>2392</v>
      </c>
      <c r="AQ87" s="166"/>
      <c r="AR87" s="166" t="str">
        <f t="shared" ref="AR87" si="1917">IFERROR(+AU87/(AQ87*3.6)," ")</f>
        <v xml:space="preserve"> </v>
      </c>
      <c r="AS87" s="168" t="str">
        <f t="shared" ref="AS87" si="1918">IF(AT87&gt;0,AT86," ")</f>
        <v xml:space="preserve"> </v>
      </c>
      <c r="AT87" s="168"/>
      <c r="AU87" s="166" t="str">
        <f t="shared" ref="AU87" si="1919">IFERROR((AT87-AS87)," ")</f>
        <v xml:space="preserve"> </v>
      </c>
      <c r="AV87" s="167">
        <f>+BDFUENTES[[#This Row],[PZ TM m3/día]]/3.6/BDFUENTES[[#This Row],[PZ TM Horas Activo]]</f>
        <v>11.722222222222223</v>
      </c>
      <c r="AW87" s="167">
        <v>15</v>
      </c>
      <c r="AX87" s="169">
        <f t="shared" ref="AX87" si="1920">IF(AY87&gt;0,AY86," ")</f>
        <v>614517</v>
      </c>
      <c r="AY87" s="169">
        <v>615150</v>
      </c>
      <c r="AZ87" s="167">
        <f t="shared" ref="AZ87" si="1921">IFERROR((AY87-AX87)," ")</f>
        <v>633</v>
      </c>
      <c r="BA87" s="166">
        <v>125</v>
      </c>
      <c r="BB87" s="166">
        <f t="shared" ref="BB87" si="1922">IFERROR(+BE87/(BA87*3.6)," ")</f>
        <v>5.2044444444444444</v>
      </c>
      <c r="BC87" s="168">
        <f t="shared" ref="BC87" si="1923">IF(BD87&gt;0,BD86," ")</f>
        <v>6025060</v>
      </c>
      <c r="BD87" s="168">
        <v>6027402</v>
      </c>
      <c r="BE87" s="166">
        <f t="shared" ref="BE87" si="1924">IFERROR((BD87-BC87)," ")</f>
        <v>2342</v>
      </c>
      <c r="BF87" s="167">
        <v>20</v>
      </c>
      <c r="BG87" s="166">
        <f t="shared" ref="BG87" si="1925">IFERROR(+BJ87/(BF87*3.6)," ")</f>
        <v>17.611111111111111</v>
      </c>
      <c r="BH87" s="168">
        <f t="shared" ref="BH87" si="1926">IF(BI87&gt;0,BI86," ")</f>
        <v>1621580</v>
      </c>
      <c r="BI87" s="168">
        <v>1622848</v>
      </c>
      <c r="BJ87" s="167">
        <f t="shared" ref="BJ87" si="1927">IFERROR((BI87-BH87)," ")</f>
        <v>1268</v>
      </c>
      <c r="BK87" s="166">
        <v>70</v>
      </c>
      <c r="BL87" s="166">
        <f t="shared" ref="BL87" si="1928">IFERROR(+BO87/(BK87*3.6)," ")</f>
        <v>10.916666666666666</v>
      </c>
      <c r="BM87" s="168">
        <f t="shared" ref="BM87" si="1929">IF(BN87&gt;0,BN86," ")</f>
        <v>6447112</v>
      </c>
      <c r="BN87" s="168">
        <v>6449863</v>
      </c>
      <c r="BO87" s="166">
        <f t="shared" ref="BO87" si="1930">IFERROR((BN87-BM87)," ")</f>
        <v>2751</v>
      </c>
    </row>
    <row r="88" spans="2:67" ht="15" customHeight="1" x14ac:dyDescent="0.25">
      <c r="B88" s="170">
        <v>46106</v>
      </c>
      <c r="C88" s="164">
        <v>38</v>
      </c>
      <c r="D88" s="166">
        <f t="shared" ref="D88" si="1931">IFERROR(+G88/(C88*3.6)," ")</f>
        <v>17.317251461988302</v>
      </c>
      <c r="E88" s="168">
        <f t="shared" ref="E88" si="1932">IF(F88&gt;0,F87," ")</f>
        <v>3892929</v>
      </c>
      <c r="F88" s="168">
        <v>3895298</v>
      </c>
      <c r="G88" s="166">
        <f t="shared" ref="G88" si="1933">IFERROR((F88-E88)," ")</f>
        <v>2369</v>
      </c>
      <c r="H88" s="167">
        <v>25</v>
      </c>
      <c r="I88" s="167">
        <f t="shared" ref="I88" si="1934">IFERROR(+L88/(H88*3.6)," ")</f>
        <v>0</v>
      </c>
      <c r="J88" s="168">
        <f t="shared" ref="J88" si="1935">IF(K88&gt;0,K87," ")</f>
        <v>1970853</v>
      </c>
      <c r="K88" s="266">
        <v>1970853</v>
      </c>
      <c r="L88" s="167">
        <f t="shared" ref="L88" si="1936">IFERROR((K88-J88)," ")</f>
        <v>0</v>
      </c>
      <c r="M88" s="166">
        <v>38</v>
      </c>
      <c r="N88" s="166">
        <f t="shared" ref="N88" si="1937">IFERROR(+Q88/(M88*3.6)," ")</f>
        <v>0</v>
      </c>
      <c r="O88" s="168">
        <f t="shared" ref="O88" si="1938">IF(P88&gt;0,P87," ")</f>
        <v>414656</v>
      </c>
      <c r="P88" s="168">
        <v>414656</v>
      </c>
      <c r="Q88" s="166">
        <f t="shared" ref="Q88" si="1939">IFERROR((P88-O88)," ")</f>
        <v>0</v>
      </c>
      <c r="R88" s="167">
        <f>+BDFUENTES[[#This Row],[PZ MED m3/día]]/3.6/BDFUENTES[[#This Row],[PZ MED Horas Activo]]</f>
        <v>28.791666666666668</v>
      </c>
      <c r="S88" s="167">
        <v>20</v>
      </c>
      <c r="T88" s="168">
        <f t="shared" ref="T88" si="1940">IF(U88&gt;0,U87," ")</f>
        <v>351624</v>
      </c>
      <c r="U88" s="168">
        <v>353697</v>
      </c>
      <c r="V88" s="165">
        <f t="shared" ref="V88" si="1941">IFERROR((U88-T88)," ")</f>
        <v>2073</v>
      </c>
      <c r="W88" s="164">
        <f t="shared" ref="W88" si="1942">IFERROR((AA88/X88)/3.6," ")</f>
        <v>346.21438408240834</v>
      </c>
      <c r="X88" s="166">
        <v>24</v>
      </c>
      <c r="Y88" s="168">
        <f t="shared" ref="Y88" si="1943">IF(Z88&gt;0,Z87," ")</f>
        <v>3387812.21903492</v>
      </c>
      <c r="Z88" s="168">
        <v>3419798.1418196401</v>
      </c>
      <c r="AA88" s="164">
        <f>IFERROR((Z88-Y88)," ")-BDFUENTES[[#This Row],[PZ MED m3/día]]</f>
        <v>29912.922784720082</v>
      </c>
      <c r="AB88" s="168">
        <f t="shared" ref="AB88" si="1944">IFERROR(ROUNDDOWN(+AF88/(AC88*3.6),0)," ")</f>
        <v>65</v>
      </c>
      <c r="AC88" s="168">
        <v>24</v>
      </c>
      <c r="AD88" s="171">
        <f t="shared" ref="AD88" si="1945">IF(AE88&gt;0,AE87," ")</f>
        <v>5466417</v>
      </c>
      <c r="AE88" s="167">
        <v>5472051</v>
      </c>
      <c r="AF88" s="165">
        <f t="shared" ref="AF88" si="1946">IFERROR((AE88-AD88)," ")</f>
        <v>5634</v>
      </c>
      <c r="AG88" s="168">
        <v>60</v>
      </c>
      <c r="AH88" s="168">
        <v>24</v>
      </c>
      <c r="AI88" s="166"/>
      <c r="AJ88" s="166"/>
      <c r="AK88" s="166">
        <f t="shared" ref="AK88" si="1947">IF(OR(AH88="",AG88=""),"",AH88*AG88*3.6)</f>
        <v>5184</v>
      </c>
      <c r="AL88" s="167">
        <f>+BDFUENTES[[#This Row],[PZ CHB m3/día]]/3.6/BDFUENTES[[#This Row],[PZ CHB Horas Activo]]</f>
        <v>38.78086419753086</v>
      </c>
      <c r="AM88" s="171">
        <v>18</v>
      </c>
      <c r="AN88" s="168">
        <f t="shared" ref="AN88" si="1948">IF(AO88&gt;0,AO87," ")</f>
        <v>3714924</v>
      </c>
      <c r="AO88" s="168">
        <v>3717437</v>
      </c>
      <c r="AP88" s="167">
        <f t="shared" ref="AP88" si="1949">IFERROR((AO88-AN88)," ")</f>
        <v>2513</v>
      </c>
      <c r="AQ88" s="166"/>
      <c r="AR88" s="166" t="str">
        <f t="shared" ref="AR88" si="1950">IFERROR(+AU88/(AQ88*3.6)," ")</f>
        <v xml:space="preserve"> </v>
      </c>
      <c r="AS88" s="168" t="str">
        <f t="shared" ref="AS88" si="1951">IF(AT88&gt;0,AT87," ")</f>
        <v xml:space="preserve"> </v>
      </c>
      <c r="AT88" s="168"/>
      <c r="AU88" s="166" t="str">
        <f t="shared" ref="AU88" si="1952">IFERROR((AT88-AS88)," ")</f>
        <v xml:space="preserve"> </v>
      </c>
      <c r="AV88" s="167">
        <f>+BDFUENTES[[#This Row],[PZ TM m3/día]]/3.6/BDFUENTES[[#This Row],[PZ TM Horas Activo]]</f>
        <v>11.071428571428571</v>
      </c>
      <c r="AW88" s="167">
        <v>14</v>
      </c>
      <c r="AX88" s="169">
        <f t="shared" ref="AX88" si="1953">IF(AY88&gt;0,AY87," ")</f>
        <v>615150</v>
      </c>
      <c r="AY88" s="169">
        <v>615708</v>
      </c>
      <c r="AZ88" s="167">
        <f t="shared" ref="AZ88" si="1954">IFERROR((AY88-AX88)," ")</f>
        <v>558</v>
      </c>
      <c r="BA88" s="166">
        <v>125</v>
      </c>
      <c r="BB88" s="166">
        <f t="shared" ref="BB88" si="1955">IFERROR(+BE88/(BA88*3.6)," ")</f>
        <v>5.54</v>
      </c>
      <c r="BC88" s="168">
        <f t="shared" ref="BC88" si="1956">IF(BD88&gt;0,BD87," ")</f>
        <v>6027402</v>
      </c>
      <c r="BD88" s="168">
        <v>6029895</v>
      </c>
      <c r="BE88" s="166">
        <f t="shared" ref="BE88" si="1957">IFERROR((BD88-BC88)," ")</f>
        <v>2493</v>
      </c>
      <c r="BF88" s="167">
        <v>20</v>
      </c>
      <c r="BG88" s="166">
        <f t="shared" ref="BG88" si="1958">IFERROR(+BJ88/(BF88*3.6)," ")</f>
        <v>17.430555555555557</v>
      </c>
      <c r="BH88" s="168">
        <f t="shared" ref="BH88" si="1959">IF(BI88&gt;0,BI87," ")</f>
        <v>1622848</v>
      </c>
      <c r="BI88" s="168">
        <v>1624103</v>
      </c>
      <c r="BJ88" s="167">
        <f t="shared" ref="BJ88" si="1960">IFERROR((BI88-BH88)," ")</f>
        <v>1255</v>
      </c>
      <c r="BK88" s="166">
        <v>70</v>
      </c>
      <c r="BL88" s="166">
        <f t="shared" ref="BL88" si="1961">IFERROR(+BO88/(BK88*3.6)," ")</f>
        <v>17.420634920634921</v>
      </c>
      <c r="BM88" s="168">
        <f t="shared" ref="BM88" si="1962">IF(BN88&gt;0,BN87," ")</f>
        <v>6449863</v>
      </c>
      <c r="BN88" s="168">
        <v>6454253</v>
      </c>
      <c r="BO88" s="166">
        <f t="shared" ref="BO88" si="1963">IFERROR((BN88-BM88)," ")</f>
        <v>4390</v>
      </c>
    </row>
    <row r="89" spans="2:67" ht="15" customHeight="1" x14ac:dyDescent="0.25">
      <c r="B89" s="170">
        <v>46107</v>
      </c>
      <c r="C89" s="164">
        <v>38</v>
      </c>
      <c r="D89" s="166">
        <f t="shared" ref="D89" si="1964">IFERROR(+G89/(C89*3.6)," ")</f>
        <v>17.595029239766081</v>
      </c>
      <c r="E89" s="168">
        <f t="shared" ref="E89" si="1965">IF(F89&gt;0,F88," ")</f>
        <v>3895298</v>
      </c>
      <c r="F89" s="168">
        <v>3897705</v>
      </c>
      <c r="G89" s="166">
        <f t="shared" ref="G89" si="1966">IFERROR((F89-E89)," ")</f>
        <v>2407</v>
      </c>
      <c r="H89" s="167">
        <v>25</v>
      </c>
      <c r="I89" s="167">
        <f t="shared" ref="I89" si="1967">IFERROR(+L89/(H89*3.6)," ")</f>
        <v>0</v>
      </c>
      <c r="J89" s="168">
        <f t="shared" ref="J89" si="1968">IF(K89&gt;0,K88," ")</f>
        <v>1970853</v>
      </c>
      <c r="K89" s="266">
        <v>1970853</v>
      </c>
      <c r="L89" s="167">
        <f t="shared" ref="L89" si="1969">IFERROR((K89-J89)," ")</f>
        <v>0</v>
      </c>
      <c r="M89" s="166">
        <v>38</v>
      </c>
      <c r="N89" s="166">
        <f t="shared" ref="N89" si="1970">IFERROR(+Q89/(M89*3.6)," ")</f>
        <v>0</v>
      </c>
      <c r="O89" s="168">
        <f t="shared" ref="O89" si="1971">IF(P89&gt;0,P88," ")</f>
        <v>414656</v>
      </c>
      <c r="P89" s="168">
        <v>414656</v>
      </c>
      <c r="Q89" s="166">
        <f t="shared" ref="Q89" si="1972">IFERROR((P89-O89)," ")</f>
        <v>0</v>
      </c>
      <c r="R89" s="167">
        <f>+BDFUENTES[[#This Row],[PZ MED m3/día]]/3.6/BDFUENTES[[#This Row],[PZ MED Horas Activo]]</f>
        <v>29.5</v>
      </c>
      <c r="S89" s="167">
        <v>10</v>
      </c>
      <c r="T89" s="168">
        <f t="shared" ref="T89" si="1973">IF(U89&gt;0,U88," ")</f>
        <v>353697</v>
      </c>
      <c r="U89" s="168">
        <v>354759</v>
      </c>
      <c r="V89" s="165">
        <f t="shared" ref="V89" si="1974">IFERROR((U89-T89)," ")</f>
        <v>1062</v>
      </c>
      <c r="W89" s="164">
        <f t="shared" ref="W89" si="1975">IFERROR((AA89/X89)/3.6," ")</f>
        <v>326.47544156262563</v>
      </c>
      <c r="X89" s="166">
        <v>11</v>
      </c>
      <c r="Y89" s="168">
        <f t="shared" ref="Y89" si="1976">IF(Z89&gt;0,Z88," ")</f>
        <v>3419798.1418196401</v>
      </c>
      <c r="Z89" s="168">
        <v>3433788.56930552</v>
      </c>
      <c r="AA89" s="164">
        <f>IFERROR((Z89-Y89)," ")-BDFUENTES[[#This Row],[PZ MED m3/día]]</f>
        <v>12928.427485879976</v>
      </c>
      <c r="AB89" s="168">
        <f t="shared" ref="AB89" si="1977">IFERROR(ROUNDDOWN(+AF89/(AC89*3.6),0)," ")</f>
        <v>61</v>
      </c>
      <c r="AC89" s="168">
        <v>16</v>
      </c>
      <c r="AD89" s="171">
        <f t="shared" ref="AD89" si="1978">IF(AE89&gt;0,AE88," ")</f>
        <v>5472051</v>
      </c>
      <c r="AE89" s="167">
        <v>5475620</v>
      </c>
      <c r="AF89" s="165">
        <f t="shared" ref="AF89" si="1979">IFERROR((AE89-AD89)," ")</f>
        <v>3569</v>
      </c>
      <c r="AG89" s="168">
        <v>60</v>
      </c>
      <c r="AH89" s="168">
        <v>24</v>
      </c>
      <c r="AI89" s="166"/>
      <c r="AJ89" s="166"/>
      <c r="AK89" s="166">
        <f t="shared" ref="AK89" si="1980">IF(OR(AH89="",AG89=""),"",AH89*AG89*3.6)</f>
        <v>5184</v>
      </c>
      <c r="AL89" s="167">
        <f>+BDFUENTES[[#This Row],[PZ CHB m3/día]]/3.6/BDFUENTES[[#This Row],[PZ CHB Horas Activo]]</f>
        <v>38.626543209876537</v>
      </c>
      <c r="AM89" s="171">
        <v>18</v>
      </c>
      <c r="AN89" s="168">
        <f t="shared" ref="AN89" si="1981">IF(AO89&gt;0,AO88," ")</f>
        <v>3717437</v>
      </c>
      <c r="AO89" s="168">
        <v>3719940</v>
      </c>
      <c r="AP89" s="167">
        <f t="shared" ref="AP89" si="1982">IFERROR((AO89-AN89)," ")</f>
        <v>2503</v>
      </c>
      <c r="AQ89" s="166"/>
      <c r="AR89" s="166" t="str">
        <f t="shared" ref="AR89" si="1983">IFERROR(+AU89/(AQ89*3.6)," ")</f>
        <v xml:space="preserve"> </v>
      </c>
      <c r="AS89" s="168" t="str">
        <f t="shared" ref="AS89" si="1984">IF(AT89&gt;0,AT88," ")</f>
        <v xml:space="preserve"> </v>
      </c>
      <c r="AT89" s="168"/>
      <c r="AU89" s="166" t="str">
        <f t="shared" ref="AU89" si="1985">IFERROR((AT89-AS89)," ")</f>
        <v xml:space="preserve"> </v>
      </c>
      <c r="AV89" s="167">
        <f>+BDFUENTES[[#This Row],[PZ TM m3/día]]/3.6/BDFUENTES[[#This Row],[PZ TM Horas Activo]]</f>
        <v>11.904761904761903</v>
      </c>
      <c r="AW89" s="167">
        <v>14</v>
      </c>
      <c r="AX89" s="169">
        <f t="shared" ref="AX89" si="1986">IF(AY89&gt;0,AY88," ")</f>
        <v>615708</v>
      </c>
      <c r="AY89" s="169">
        <v>616308</v>
      </c>
      <c r="AZ89" s="167">
        <f t="shared" ref="AZ89" si="1987">IFERROR((AY89-AX89)," ")</f>
        <v>600</v>
      </c>
      <c r="BA89" s="166">
        <v>125</v>
      </c>
      <c r="BB89" s="166">
        <f t="shared" ref="BB89" si="1988">IFERROR(+BE89/(BA89*3.6)," ")</f>
        <v>5.4955555555555557</v>
      </c>
      <c r="BC89" s="168">
        <f t="shared" ref="BC89" si="1989">IF(BD89&gt;0,BD88," ")</f>
        <v>6029895</v>
      </c>
      <c r="BD89" s="168">
        <v>6032368</v>
      </c>
      <c r="BE89" s="166">
        <f t="shared" ref="BE89" si="1990">IFERROR((BD89-BC89)," ")</f>
        <v>2473</v>
      </c>
      <c r="BF89" s="167">
        <v>20</v>
      </c>
      <c r="BG89" s="166">
        <f t="shared" ref="BG89" si="1991">IFERROR(+BJ89/(BF89*3.6)," ")</f>
        <v>16.930555555555557</v>
      </c>
      <c r="BH89" s="168">
        <f t="shared" ref="BH89" si="1992">IF(BI89&gt;0,BI88," ")</f>
        <v>1624103</v>
      </c>
      <c r="BI89" s="168">
        <v>1625322</v>
      </c>
      <c r="BJ89" s="167">
        <f t="shared" ref="BJ89" si="1993">IFERROR((BI89-BH89)," ")</f>
        <v>1219</v>
      </c>
      <c r="BK89" s="166">
        <v>70</v>
      </c>
      <c r="BL89" s="166">
        <f t="shared" ref="BL89" si="1994">IFERROR(+BO89/(BK89*3.6)," ")</f>
        <v>8.9444444444444446</v>
      </c>
      <c r="BM89" s="168">
        <f t="shared" ref="BM89" si="1995">IF(BN89&gt;0,BN88," ")</f>
        <v>6454253</v>
      </c>
      <c r="BN89" s="168">
        <v>6456507</v>
      </c>
      <c r="BO89" s="166">
        <f t="shared" ref="BO89" si="1996">IFERROR((BN89-BM89)," ")</f>
        <v>2254</v>
      </c>
    </row>
    <row r="90" spans="2:67" ht="15" customHeight="1" x14ac:dyDescent="0.25">
      <c r="B90" s="170">
        <v>46108</v>
      </c>
      <c r="C90" s="164">
        <v>38</v>
      </c>
      <c r="D90" s="166">
        <f t="shared" ref="D90" si="1997">IFERROR(+G90/(C90*3.6)," ")</f>
        <v>17.353801169590643</v>
      </c>
      <c r="E90" s="168">
        <f t="shared" ref="E90" si="1998">IF(F90&gt;0,F89," ")</f>
        <v>3897705</v>
      </c>
      <c r="F90" s="168">
        <v>3900079</v>
      </c>
      <c r="G90" s="166">
        <f t="shared" ref="G90" si="1999">IFERROR((F90-E90)," ")</f>
        <v>2374</v>
      </c>
      <c r="H90" s="167">
        <v>25</v>
      </c>
      <c r="I90" s="167">
        <f t="shared" ref="I90" si="2000">IFERROR(+L90/(H90*3.6)," ")</f>
        <v>0</v>
      </c>
      <c r="J90" s="168">
        <f t="shared" ref="J90" si="2001">IF(K90&gt;0,K89," ")</f>
        <v>1970853</v>
      </c>
      <c r="K90" s="266">
        <v>1970853</v>
      </c>
      <c r="L90" s="167">
        <f t="shared" ref="L90" si="2002">IFERROR((K90-J90)," ")</f>
        <v>0</v>
      </c>
      <c r="M90" s="166">
        <v>38</v>
      </c>
      <c r="N90" s="166">
        <f t="shared" ref="N90" si="2003">IFERROR(+Q90/(M90*3.6)," ")</f>
        <v>0</v>
      </c>
      <c r="O90" s="168">
        <f t="shared" ref="O90" si="2004">IF(P90&gt;0,P89," ")</f>
        <v>414656</v>
      </c>
      <c r="P90" s="168">
        <v>414656</v>
      </c>
      <c r="Q90" s="166">
        <f t="shared" ref="Q90" si="2005">IFERROR((P90-O90)," ")</f>
        <v>0</v>
      </c>
      <c r="R90" s="167">
        <f>+BDFUENTES[[#This Row],[PZ MED m3/día]]/3.6/BDFUENTES[[#This Row],[PZ MED Horas Activo]]</f>
        <v>29.830246913580247</v>
      </c>
      <c r="S90" s="167">
        <v>18</v>
      </c>
      <c r="T90" s="168">
        <f t="shared" ref="T90" si="2006">IF(U90&gt;0,U89," ")</f>
        <v>354759</v>
      </c>
      <c r="U90" s="168">
        <v>356692</v>
      </c>
      <c r="V90" s="165">
        <f t="shared" ref="V90" si="2007">IFERROR((U90-T90)," ")</f>
        <v>1933</v>
      </c>
      <c r="W90" s="164">
        <f t="shared" ref="W90:W100" si="2008">IFERROR((AA90/X90)/3.6," ")</f>
        <v>319.03165123425958</v>
      </c>
      <c r="X90" s="166">
        <v>24</v>
      </c>
      <c r="Y90" s="168">
        <f t="shared" ref="Y90" si="2009">IF(Z90&gt;0,Z89," ")</f>
        <v>3433788.56930552</v>
      </c>
      <c r="Z90" s="168">
        <v>3463285.9039721601</v>
      </c>
      <c r="AA90" s="164">
        <f>IFERROR((Z90-Y90)," ")-BDFUENTES[[#This Row],[PZ MED m3/día]]</f>
        <v>27564.334666640032</v>
      </c>
      <c r="AB90" s="168">
        <f t="shared" ref="AB90" si="2010">IFERROR(ROUNDDOWN(+AF90/(AC90*3.6),0)," ")</f>
        <v>69</v>
      </c>
      <c r="AC90" s="168">
        <v>24</v>
      </c>
      <c r="AD90" s="171">
        <f t="shared" ref="AD90" si="2011">IF(AE90&gt;0,AE89," ")</f>
        <v>5475620</v>
      </c>
      <c r="AE90" s="167">
        <v>5481598</v>
      </c>
      <c r="AF90" s="165">
        <f t="shared" ref="AF90" si="2012">IFERROR((AE90-AD90)," ")</f>
        <v>5978</v>
      </c>
      <c r="AG90" s="168">
        <v>60</v>
      </c>
      <c r="AH90" s="168">
        <v>24</v>
      </c>
      <c r="AI90" s="166"/>
      <c r="AJ90" s="166"/>
      <c r="AK90" s="166">
        <f t="shared" ref="AK90" si="2013">IF(OR(AH90="",AG90=""),"",AH90*AG90*3.6)</f>
        <v>5184</v>
      </c>
      <c r="AL90" s="167">
        <f>+BDFUENTES[[#This Row],[PZ CHB m3/día]]/3.6/BDFUENTES[[#This Row],[PZ CHB Horas Activo]]</f>
        <v>37.901234567901234</v>
      </c>
      <c r="AM90" s="171">
        <v>18</v>
      </c>
      <c r="AN90" s="168">
        <f t="shared" ref="AN90" si="2014">IF(AO90&gt;0,AO89," ")</f>
        <v>3719940</v>
      </c>
      <c r="AO90" s="168">
        <v>3722396</v>
      </c>
      <c r="AP90" s="167">
        <f t="shared" ref="AP90" si="2015">IFERROR((AO90-AN90)," ")</f>
        <v>2456</v>
      </c>
      <c r="AQ90" s="166"/>
      <c r="AR90" s="166" t="str">
        <f t="shared" ref="AR90" si="2016">IFERROR(+AU90/(AQ90*3.6)," ")</f>
        <v xml:space="preserve"> </v>
      </c>
      <c r="AS90" s="168" t="str">
        <f t="shared" ref="AS90" si="2017">IF(AT90&gt;0,AT89," ")</f>
        <v xml:space="preserve"> </v>
      </c>
      <c r="AT90" s="168"/>
      <c r="AU90" s="166" t="str">
        <f t="shared" ref="AU90" si="2018">IFERROR((AT90-AS90)," ")</f>
        <v xml:space="preserve"> </v>
      </c>
      <c r="AV90" s="167">
        <f>+BDFUENTES[[#This Row],[PZ TM m3/día]]/3.6/BDFUENTES[[#This Row],[PZ TM Horas Activo]]</f>
        <v>11.388888888888889</v>
      </c>
      <c r="AW90" s="167">
        <v>15</v>
      </c>
      <c r="AX90" s="169">
        <f t="shared" ref="AX90" si="2019">IF(AY90&gt;0,AY89," ")</f>
        <v>616308</v>
      </c>
      <c r="AY90" s="169">
        <v>616923</v>
      </c>
      <c r="AZ90" s="167">
        <f t="shared" ref="AZ90" si="2020">IFERROR((AY90-AX90)," ")</f>
        <v>615</v>
      </c>
      <c r="BA90" s="166">
        <v>125</v>
      </c>
      <c r="BB90" s="166">
        <f t="shared" ref="BB90" si="2021">IFERROR(+BE90/(BA90*3.6)," ")</f>
        <v>5.431111111111111</v>
      </c>
      <c r="BC90" s="168">
        <f t="shared" ref="BC90" si="2022">IF(BD90&gt;0,BD89," ")</f>
        <v>6032368</v>
      </c>
      <c r="BD90" s="168">
        <v>6034812</v>
      </c>
      <c r="BE90" s="166">
        <f t="shared" ref="BE90" si="2023">IFERROR((BD90-BC90)," ")</f>
        <v>2444</v>
      </c>
      <c r="BF90" s="167">
        <v>20</v>
      </c>
      <c r="BG90" s="166">
        <f t="shared" ref="BG90" si="2024">IFERROR(+BJ90/(BF90*3.6)," ")</f>
        <v>16.736111111111111</v>
      </c>
      <c r="BH90" s="168">
        <f t="shared" ref="BH90" si="2025">IF(BI90&gt;0,BI89," ")</f>
        <v>1625322</v>
      </c>
      <c r="BI90" s="168">
        <v>1626527</v>
      </c>
      <c r="BJ90" s="167">
        <f t="shared" ref="BJ90" si="2026">IFERROR((BI90-BH90)," ")</f>
        <v>1205</v>
      </c>
      <c r="BK90" s="166">
        <v>70</v>
      </c>
      <c r="BL90" s="166">
        <f t="shared" ref="BL90" si="2027">IFERROR(+BO90/(BK90*3.6)," ")</f>
        <v>17.503968253968253</v>
      </c>
      <c r="BM90" s="168">
        <f t="shared" ref="BM90" si="2028">IF(BN90&gt;0,BN89," ")</f>
        <v>6456507</v>
      </c>
      <c r="BN90" s="168">
        <v>6460918</v>
      </c>
      <c r="BO90" s="166">
        <f t="shared" ref="BO90" si="2029">IFERROR((BN90-BM90)," ")</f>
        <v>4411</v>
      </c>
    </row>
    <row r="91" spans="2:67" ht="15" customHeight="1" x14ac:dyDescent="0.25">
      <c r="B91" s="170">
        <v>46109</v>
      </c>
      <c r="C91" s="164">
        <v>38</v>
      </c>
      <c r="D91" s="166">
        <f t="shared" ref="D91" si="2030">IFERROR(+G91/(C91*3.6)," ")</f>
        <v>17.309941520467834</v>
      </c>
      <c r="E91" s="168">
        <f t="shared" ref="E91" si="2031">IF(F91&gt;0,F90," ")</f>
        <v>3900079</v>
      </c>
      <c r="F91" s="168">
        <v>3902447</v>
      </c>
      <c r="G91" s="166">
        <f t="shared" ref="G91" si="2032">IFERROR((F91-E91)," ")</f>
        <v>2368</v>
      </c>
      <c r="H91" s="167">
        <v>25</v>
      </c>
      <c r="I91" s="167">
        <f t="shared" ref="I91" si="2033">IFERROR(+L91/(H91*3.6)," ")</f>
        <v>0</v>
      </c>
      <c r="J91" s="168">
        <f t="shared" ref="J91" si="2034">IF(K91&gt;0,K90," ")</f>
        <v>1970853</v>
      </c>
      <c r="K91" s="266">
        <v>1970853</v>
      </c>
      <c r="L91" s="167">
        <f t="shared" ref="L91" si="2035">IFERROR((K91-J91)," ")</f>
        <v>0</v>
      </c>
      <c r="M91" s="166">
        <v>38</v>
      </c>
      <c r="N91" s="166">
        <f t="shared" ref="N91" si="2036">IFERROR(+Q91/(M91*3.6)," ")</f>
        <v>0</v>
      </c>
      <c r="O91" s="168">
        <f t="shared" ref="O91" si="2037">IF(P91&gt;0,P90," ")</f>
        <v>414656</v>
      </c>
      <c r="P91" s="168">
        <v>414656</v>
      </c>
      <c r="Q91" s="166">
        <f t="shared" ref="Q91" si="2038">IFERROR((P91-O91)," ")</f>
        <v>0</v>
      </c>
      <c r="R91" s="167">
        <f>+BDFUENTES[[#This Row],[PZ MED m3/día]]/3.6/BDFUENTES[[#This Row],[PZ MED Horas Activo]]</f>
        <v>28.950617283950617</v>
      </c>
      <c r="S91" s="167">
        <v>18</v>
      </c>
      <c r="T91" s="168">
        <f t="shared" ref="T91" si="2039">IF(U91&gt;0,U90," ")</f>
        <v>356692</v>
      </c>
      <c r="U91" s="168">
        <v>358568</v>
      </c>
      <c r="V91" s="165">
        <f t="shared" ref="V91" si="2040">IFERROR((U91-T91)," ")</f>
        <v>1876</v>
      </c>
      <c r="W91" s="164">
        <f t="shared" si="2008"/>
        <v>349.17604818425997</v>
      </c>
      <c r="X91" s="166">
        <v>24</v>
      </c>
      <c r="Y91" s="168">
        <f t="shared" ref="Y91:Y101" si="2041">IF(Z91&gt;0,Z90," ")</f>
        <v>3463285.9039721601</v>
      </c>
      <c r="Z91" s="168">
        <v>3495330.7145352801</v>
      </c>
      <c r="AA91" s="164">
        <f>IFERROR((Z91-Y91)," ")-BDFUENTES[[#This Row],[PZ MED m3/día]]</f>
        <v>30168.81056312006</v>
      </c>
      <c r="AB91" s="168">
        <f t="shared" ref="AB91" si="2042">IFERROR(ROUNDDOWN(+AF91/(AC91*3.6),0)," ")</f>
        <v>70</v>
      </c>
      <c r="AC91" s="168">
        <v>24</v>
      </c>
      <c r="AD91" s="171">
        <f t="shared" ref="AD91" si="2043">IF(AE91&gt;0,AE90," ")</f>
        <v>5481598</v>
      </c>
      <c r="AE91" s="167">
        <v>5487648</v>
      </c>
      <c r="AF91" s="165">
        <f t="shared" ref="AF91" si="2044">IFERROR((AE91-AD91)," ")</f>
        <v>6050</v>
      </c>
      <c r="AG91" s="168">
        <v>60</v>
      </c>
      <c r="AH91" s="168">
        <v>24</v>
      </c>
      <c r="AI91" s="166"/>
      <c r="AJ91" s="166"/>
      <c r="AK91" s="166">
        <f t="shared" ref="AK91" si="2045">IF(OR(AH91="",AG91=""),"",AH91*AG91*3.6)</f>
        <v>5184</v>
      </c>
      <c r="AL91" s="167">
        <f>+BDFUENTES[[#This Row],[PZ CHB m3/día]]/3.6/BDFUENTES[[#This Row],[PZ CHB Horas Activo]]</f>
        <v>38.070175438596493</v>
      </c>
      <c r="AM91" s="171">
        <v>19</v>
      </c>
      <c r="AN91" s="168">
        <f t="shared" ref="AN91" si="2046">IF(AO91&gt;0,AO90," ")</f>
        <v>3722396</v>
      </c>
      <c r="AO91" s="168">
        <v>3725000</v>
      </c>
      <c r="AP91" s="167">
        <f t="shared" ref="AP91" si="2047">IFERROR((AO91-AN91)," ")</f>
        <v>2604</v>
      </c>
      <c r="AQ91" s="166"/>
      <c r="AR91" s="166" t="str">
        <f t="shared" ref="AR91" si="2048">IFERROR(+AU91/(AQ91*3.6)," ")</f>
        <v xml:space="preserve"> </v>
      </c>
      <c r="AS91" s="168" t="str">
        <f t="shared" ref="AS91" si="2049">IF(AT91&gt;0,AT90," ")</f>
        <v xml:space="preserve"> </v>
      </c>
      <c r="AT91" s="168"/>
      <c r="AU91" s="166" t="str">
        <f t="shared" ref="AU91" si="2050">IFERROR((AT91-AS91)," ")</f>
        <v xml:space="preserve"> </v>
      </c>
      <c r="AV91" s="167">
        <f>+BDFUENTES[[#This Row],[PZ TM m3/día]]/3.6/BDFUENTES[[#This Row],[PZ TM Horas Activo]]</f>
        <v>11.351851851851851</v>
      </c>
      <c r="AW91" s="167">
        <v>15</v>
      </c>
      <c r="AX91" s="169">
        <f t="shared" ref="AX91" si="2051">IF(AY91&gt;0,AY90," ")</f>
        <v>616923</v>
      </c>
      <c r="AY91" s="169">
        <v>617536</v>
      </c>
      <c r="AZ91" s="167">
        <f t="shared" ref="AZ91" si="2052">IFERROR((AY91-AX91)," ")</f>
        <v>613</v>
      </c>
      <c r="BA91" s="166">
        <v>125</v>
      </c>
      <c r="BB91" s="166">
        <f t="shared" ref="BB91:BB94" si="2053">IFERROR(+BE91/(BA91*3.6)," ")</f>
        <v>5.2222222222222223</v>
      </c>
      <c r="BC91" s="168">
        <f t="shared" ref="BC91" si="2054">IF(BD91&gt;0,BD90," ")</f>
        <v>6034812</v>
      </c>
      <c r="BD91" s="168">
        <v>6037162</v>
      </c>
      <c r="BE91" s="166">
        <f t="shared" ref="BE91" si="2055">IFERROR((BD91-BC91)," ")</f>
        <v>2350</v>
      </c>
      <c r="BF91" s="167">
        <v>20</v>
      </c>
      <c r="BG91" s="166">
        <f t="shared" ref="BG91:BG93" si="2056">IFERROR(+BJ91/(BF91*3.6)," ")</f>
        <v>17.597222222222221</v>
      </c>
      <c r="BH91" s="168">
        <f t="shared" ref="BH91" si="2057">IF(BI91&gt;0,BI90," ")</f>
        <v>1626527</v>
      </c>
      <c r="BI91" s="168">
        <v>1627794</v>
      </c>
      <c r="BJ91" s="167">
        <f t="shared" ref="BJ91" si="2058">IFERROR((BI91-BH91)," ")</f>
        <v>1267</v>
      </c>
      <c r="BK91" s="166">
        <v>70</v>
      </c>
      <c r="BL91" s="166">
        <f t="shared" ref="BL91" si="2059">IFERROR(+BO91/(BK91*3.6)," ")</f>
        <v>13.115079365079366</v>
      </c>
      <c r="BM91" s="168">
        <f t="shared" ref="BM91" si="2060">IF(BN91&gt;0,BN90," ")</f>
        <v>6460918</v>
      </c>
      <c r="BN91" s="168">
        <v>6464223</v>
      </c>
      <c r="BO91" s="166">
        <f t="shared" ref="BO91" si="2061">IFERROR((BN91-BM91)," ")</f>
        <v>3305</v>
      </c>
    </row>
    <row r="92" spans="2:67" ht="15" customHeight="1" x14ac:dyDescent="0.25">
      <c r="B92" s="170">
        <v>46110</v>
      </c>
      <c r="C92" s="164">
        <v>38</v>
      </c>
      <c r="D92" s="166">
        <f t="shared" si="683"/>
        <v>17.46345029239766</v>
      </c>
      <c r="E92" s="168">
        <f t="shared" si="527"/>
        <v>3902447</v>
      </c>
      <c r="F92" s="168">
        <v>3904836</v>
      </c>
      <c r="G92" s="166">
        <f t="shared" si="528"/>
        <v>2389</v>
      </c>
      <c r="H92" s="167">
        <v>25</v>
      </c>
      <c r="I92" s="167">
        <f t="shared" si="684"/>
        <v>0</v>
      </c>
      <c r="J92" s="168">
        <f t="shared" si="685"/>
        <v>1970853</v>
      </c>
      <c r="K92" s="266">
        <v>1970853</v>
      </c>
      <c r="L92" s="167">
        <f t="shared" si="686"/>
        <v>0</v>
      </c>
      <c r="M92" s="166">
        <v>38</v>
      </c>
      <c r="N92" s="166">
        <f t="shared" si="687"/>
        <v>0</v>
      </c>
      <c r="O92" s="168">
        <f t="shared" si="688"/>
        <v>414656</v>
      </c>
      <c r="P92" s="168">
        <v>414656</v>
      </c>
      <c r="Q92" s="166">
        <f t="shared" si="689"/>
        <v>0</v>
      </c>
      <c r="R92" s="167">
        <f>+BDFUENTES[[#This Row],[PZ MED m3/día]]/3.6/BDFUENTES[[#This Row],[PZ MED Horas Activo]]</f>
        <v>26.96078431372549</v>
      </c>
      <c r="S92" s="167">
        <v>17</v>
      </c>
      <c r="T92" s="168">
        <f t="shared" si="690"/>
        <v>358568</v>
      </c>
      <c r="U92" s="168">
        <v>360218</v>
      </c>
      <c r="V92" s="165">
        <f t="shared" si="691"/>
        <v>1650</v>
      </c>
      <c r="W92" s="164">
        <f t="shared" si="2008"/>
        <v>386.56580398981328</v>
      </c>
      <c r="X92" s="166">
        <v>24</v>
      </c>
      <c r="Y92" s="168">
        <f t="shared" ref="Y92:Y102" si="2062">IF(Z92&gt;0,Z91," ")</f>
        <v>3495330.7145352801</v>
      </c>
      <c r="Z92" s="168">
        <v>3530380</v>
      </c>
      <c r="AA92" s="164">
        <f>IFERROR((Z92-Y92)," ")-BDFUENTES[[#This Row],[PZ MED m3/día]]</f>
        <v>33399.285464719869</v>
      </c>
      <c r="AB92" s="168">
        <f t="shared" si="694"/>
        <v>66</v>
      </c>
      <c r="AC92" s="168">
        <v>24</v>
      </c>
      <c r="AD92" s="171">
        <f t="shared" si="600"/>
        <v>5487648</v>
      </c>
      <c r="AE92" s="167">
        <v>5493408</v>
      </c>
      <c r="AF92" s="165">
        <f t="shared" si="601"/>
        <v>5760</v>
      </c>
      <c r="AG92" s="168">
        <v>40</v>
      </c>
      <c r="AH92" s="168">
        <v>24</v>
      </c>
      <c r="AI92" s="166"/>
      <c r="AJ92" s="166"/>
      <c r="AK92" s="166">
        <f t="shared" si="695"/>
        <v>3456</v>
      </c>
      <c r="AL92" s="167">
        <f>+BDFUENTES[[#This Row],[PZ CHB m3/día]]/3.6/BDFUENTES[[#This Row],[PZ CHB Horas Activo]]</f>
        <v>38.393393393393389</v>
      </c>
      <c r="AM92" s="171">
        <v>18.5</v>
      </c>
      <c r="AN92" s="168">
        <f t="shared" si="574"/>
        <v>3725000</v>
      </c>
      <c r="AO92" s="168">
        <v>3727557</v>
      </c>
      <c r="AP92" s="167">
        <f t="shared" si="575"/>
        <v>2557</v>
      </c>
      <c r="AQ92" s="166"/>
      <c r="AR92" s="166" t="str">
        <f t="shared" si="576"/>
        <v xml:space="preserve"> </v>
      </c>
      <c r="AS92" s="168" t="str">
        <f t="shared" si="577"/>
        <v xml:space="preserve"> </v>
      </c>
      <c r="AT92" s="168"/>
      <c r="AU92" s="166" t="str">
        <f t="shared" si="578"/>
        <v xml:space="preserve"> </v>
      </c>
      <c r="AV92" s="167">
        <f>+BDFUENTES[[#This Row],[PZ TM m3/día]]/3.6/BDFUENTES[[#This Row],[PZ TM Horas Activo]]</f>
        <v>11.166666666666666</v>
      </c>
      <c r="AW92" s="167">
        <v>15</v>
      </c>
      <c r="AX92" s="169">
        <f t="shared" si="579"/>
        <v>617536</v>
      </c>
      <c r="AY92" s="169">
        <v>618139</v>
      </c>
      <c r="AZ92" s="167">
        <f t="shared" si="580"/>
        <v>603</v>
      </c>
      <c r="BA92" s="166">
        <v>125</v>
      </c>
      <c r="BB92" s="166">
        <f t="shared" si="2053"/>
        <v>5.4911111111111115</v>
      </c>
      <c r="BC92" s="168">
        <f>IF(BD92&gt;0,BD91," ")</f>
        <v>6037162</v>
      </c>
      <c r="BD92" s="168">
        <v>6039633</v>
      </c>
      <c r="BE92" s="166">
        <f>IFERROR((BD92-BC92)," ")</f>
        <v>2471</v>
      </c>
      <c r="BF92" s="167">
        <v>20</v>
      </c>
      <c r="BG92" s="166">
        <f t="shared" si="2056"/>
        <v>17.736111111111111</v>
      </c>
      <c r="BH92" s="168">
        <f t="shared" si="553"/>
        <v>1627794</v>
      </c>
      <c r="BI92" s="168">
        <v>1629071</v>
      </c>
      <c r="BJ92" s="167">
        <f t="shared" si="554"/>
        <v>1277</v>
      </c>
      <c r="BK92" s="166">
        <v>70</v>
      </c>
      <c r="BL92" s="166">
        <f t="shared" ref="BL92:BL93" si="2063">IFERROR(+BO92/(BK92*3.6)," ")</f>
        <v>19.083333333333332</v>
      </c>
      <c r="BM92" s="168">
        <f t="shared" si="555"/>
        <v>6464223</v>
      </c>
      <c r="BN92" s="168">
        <v>6469032</v>
      </c>
      <c r="BO92" s="166">
        <f t="shared" si="556"/>
        <v>4809</v>
      </c>
    </row>
    <row r="93" spans="2:67" ht="15" customHeight="1" x14ac:dyDescent="0.25">
      <c r="B93" s="170">
        <v>46111</v>
      </c>
      <c r="C93" s="164">
        <v>38</v>
      </c>
      <c r="D93" s="166">
        <f t="shared" si="683"/>
        <v>17.295321637426898</v>
      </c>
      <c r="E93" s="168">
        <f t="shared" si="527"/>
        <v>3904836</v>
      </c>
      <c r="F93" s="168">
        <v>3907202</v>
      </c>
      <c r="G93" s="166">
        <f t="shared" si="528"/>
        <v>2366</v>
      </c>
      <c r="H93" s="167">
        <v>25</v>
      </c>
      <c r="I93" s="167">
        <f t="shared" si="684"/>
        <v>0</v>
      </c>
      <c r="J93" s="168">
        <f t="shared" si="685"/>
        <v>1970853</v>
      </c>
      <c r="K93" s="266">
        <v>1970853</v>
      </c>
      <c r="L93" s="167">
        <f t="shared" si="686"/>
        <v>0</v>
      </c>
      <c r="M93" s="166">
        <v>38</v>
      </c>
      <c r="N93" s="166">
        <f t="shared" si="687"/>
        <v>0</v>
      </c>
      <c r="O93" s="168">
        <f t="shared" si="688"/>
        <v>414656</v>
      </c>
      <c r="P93" s="168">
        <v>414656</v>
      </c>
      <c r="Q93" s="166">
        <f t="shared" si="689"/>
        <v>0</v>
      </c>
      <c r="R93" s="167">
        <f>+BDFUENTES[[#This Row],[PZ MED m3/día]]/3.6/BDFUENTES[[#This Row],[PZ MED Horas Activo]]</f>
        <v>29.707602339181289</v>
      </c>
      <c r="S93" s="167">
        <v>19</v>
      </c>
      <c r="T93" s="168">
        <f t="shared" si="690"/>
        <v>360218</v>
      </c>
      <c r="U93" s="168">
        <v>362250</v>
      </c>
      <c r="V93" s="165">
        <f t="shared" si="691"/>
        <v>2032</v>
      </c>
      <c r="W93" s="164">
        <f t="shared" si="2008"/>
        <v>352.06018518518522</v>
      </c>
      <c r="X93" s="166">
        <v>24</v>
      </c>
      <c r="Y93" s="168">
        <f t="shared" si="2041"/>
        <v>3530380</v>
      </c>
      <c r="Z93" s="168">
        <v>3562830</v>
      </c>
      <c r="AA93" s="164">
        <f>IFERROR((Z93-Y93)," ")-BDFUENTES[[#This Row],[PZ MED m3/día]]</f>
        <v>30418</v>
      </c>
      <c r="AB93" s="168">
        <f t="shared" si="694"/>
        <v>64</v>
      </c>
      <c r="AC93" s="168">
        <v>24</v>
      </c>
      <c r="AD93" s="171">
        <f t="shared" si="600"/>
        <v>5493408</v>
      </c>
      <c r="AE93" s="167">
        <v>5498962</v>
      </c>
      <c r="AF93" s="165">
        <f t="shared" si="601"/>
        <v>5554</v>
      </c>
      <c r="AG93" s="168">
        <v>40</v>
      </c>
      <c r="AH93" s="168">
        <v>24</v>
      </c>
      <c r="AI93" s="166"/>
      <c r="AJ93" s="166"/>
      <c r="AK93" s="166">
        <f t="shared" si="695"/>
        <v>3456</v>
      </c>
      <c r="AL93" s="167">
        <f>+BDFUENTES[[#This Row],[PZ CHB m3/día]]/3.6/BDFUENTES[[#This Row],[PZ CHB Horas Activo]]</f>
        <v>37.484567901234563</v>
      </c>
      <c r="AM93" s="171">
        <v>18</v>
      </c>
      <c r="AN93" s="168">
        <f t="shared" si="574"/>
        <v>3727557</v>
      </c>
      <c r="AO93" s="168">
        <v>3729986</v>
      </c>
      <c r="AP93" s="167">
        <f t="shared" si="575"/>
        <v>2429</v>
      </c>
      <c r="AQ93" s="166"/>
      <c r="AR93" s="166" t="str">
        <f t="shared" si="576"/>
        <v xml:space="preserve"> </v>
      </c>
      <c r="AS93" s="168" t="str">
        <f t="shared" si="577"/>
        <v xml:space="preserve"> </v>
      </c>
      <c r="AT93" s="168"/>
      <c r="AU93" s="166" t="str">
        <f t="shared" si="578"/>
        <v xml:space="preserve"> </v>
      </c>
      <c r="AV93" s="167">
        <f>+BDFUENTES[[#This Row],[PZ TM m3/día]]/3.6/BDFUENTES[[#This Row],[PZ TM Horas Activo]]</f>
        <v>11.185185185185185</v>
      </c>
      <c r="AW93" s="167">
        <v>15</v>
      </c>
      <c r="AX93" s="169">
        <f t="shared" si="579"/>
        <v>618139</v>
      </c>
      <c r="AY93" s="169">
        <v>618743</v>
      </c>
      <c r="AZ93" s="167">
        <f t="shared" si="580"/>
        <v>604</v>
      </c>
      <c r="BA93" s="166">
        <v>125</v>
      </c>
      <c r="BB93" s="166">
        <f t="shared" si="2053"/>
        <v>5.5844444444444443</v>
      </c>
      <c r="BC93" s="168">
        <f>IF(BD93&gt;0,BD92," ")</f>
        <v>6039633</v>
      </c>
      <c r="BD93" s="168">
        <v>6042146</v>
      </c>
      <c r="BE93" s="166">
        <f>IFERROR((BD93-BC93)," ")</f>
        <v>2513</v>
      </c>
      <c r="BF93" s="167">
        <v>20</v>
      </c>
      <c r="BG93" s="166">
        <f t="shared" si="2056"/>
        <v>16.916666666666668</v>
      </c>
      <c r="BH93" s="168">
        <f t="shared" si="553"/>
        <v>1629071</v>
      </c>
      <c r="BI93" s="168">
        <v>1630289</v>
      </c>
      <c r="BJ93" s="167">
        <f t="shared" si="554"/>
        <v>1218</v>
      </c>
      <c r="BK93" s="166">
        <v>70</v>
      </c>
      <c r="BL93" s="166">
        <f t="shared" si="2063"/>
        <v>19.452380952380953</v>
      </c>
      <c r="BM93" s="168">
        <f t="shared" si="555"/>
        <v>6469032</v>
      </c>
      <c r="BN93" s="168">
        <v>6473934</v>
      </c>
      <c r="BO93" s="166">
        <f t="shared" si="556"/>
        <v>4902</v>
      </c>
    </row>
    <row r="94" spans="2:67" ht="15" customHeight="1" x14ac:dyDescent="0.25">
      <c r="B94" s="170">
        <v>46112</v>
      </c>
      <c r="C94" s="164">
        <v>38</v>
      </c>
      <c r="D94" s="166">
        <f t="shared" si="683"/>
        <v>17.339181286549707</v>
      </c>
      <c r="E94" s="168">
        <f t="shared" si="527"/>
        <v>3907202</v>
      </c>
      <c r="F94" s="168">
        <v>3909574</v>
      </c>
      <c r="G94" s="166">
        <f t="shared" si="528"/>
        <v>2372</v>
      </c>
      <c r="H94" s="167">
        <v>25</v>
      </c>
      <c r="I94" s="167">
        <f t="shared" ref="I94:I100" si="2064">IFERROR(+L94/(H94*3.6)," ")</f>
        <v>0</v>
      </c>
      <c r="J94" s="168">
        <f t="shared" si="685"/>
        <v>1970853</v>
      </c>
      <c r="K94" s="266">
        <v>1970853</v>
      </c>
      <c r="L94" s="167">
        <f t="shared" si="686"/>
        <v>0</v>
      </c>
      <c r="M94" s="166">
        <v>38</v>
      </c>
      <c r="N94" s="166">
        <f t="shared" si="687"/>
        <v>0</v>
      </c>
      <c r="O94" s="168">
        <f t="shared" si="688"/>
        <v>414656</v>
      </c>
      <c r="P94" s="168">
        <v>414656</v>
      </c>
      <c r="Q94" s="166">
        <f t="shared" si="689"/>
        <v>0</v>
      </c>
      <c r="R94" s="167">
        <f>+BDFUENTES[[#This Row],[PZ MED m3/día]]/3.6/BDFUENTES[[#This Row],[PZ MED Horas Activo]]</f>
        <v>30.013227513227509</v>
      </c>
      <c r="S94" s="167">
        <v>21</v>
      </c>
      <c r="T94" s="168">
        <f t="shared" si="690"/>
        <v>362250</v>
      </c>
      <c r="U94" s="168">
        <v>364519</v>
      </c>
      <c r="V94" s="165">
        <f t="shared" si="691"/>
        <v>2269</v>
      </c>
      <c r="W94" s="164">
        <f t="shared" si="2008"/>
        <v>376.28472222222223</v>
      </c>
      <c r="X94" s="166">
        <v>24</v>
      </c>
      <c r="Y94" s="168">
        <f t="shared" si="2062"/>
        <v>3562830</v>
      </c>
      <c r="Z94" s="168">
        <v>3597610</v>
      </c>
      <c r="AA94" s="164">
        <f>IFERROR((Z94-Y94)," ")-BDFUENTES[[#This Row],[PZ MED m3/día]]</f>
        <v>32511</v>
      </c>
      <c r="AB94" s="168">
        <f t="shared" si="694"/>
        <v>65</v>
      </c>
      <c r="AC94" s="168">
        <v>24</v>
      </c>
      <c r="AD94" s="171">
        <f t="shared" si="600"/>
        <v>5498962</v>
      </c>
      <c r="AE94" s="167">
        <v>5504610</v>
      </c>
      <c r="AF94" s="165">
        <f t="shared" si="601"/>
        <v>5648</v>
      </c>
      <c r="AG94" s="168">
        <v>40</v>
      </c>
      <c r="AH94" s="168">
        <v>24</v>
      </c>
      <c r="AI94" s="166"/>
      <c r="AJ94" s="166"/>
      <c r="AK94" s="166">
        <f t="shared" si="695"/>
        <v>3456</v>
      </c>
      <c r="AL94" s="167">
        <f>+BDFUENTES[[#This Row],[PZ CHB m3/día]]/3.6/BDFUENTES[[#This Row],[PZ CHB Horas Activo]]</f>
        <v>38.093093093093088</v>
      </c>
      <c r="AM94" s="171">
        <v>18.5</v>
      </c>
      <c r="AN94" s="168">
        <f t="shared" si="574"/>
        <v>3729986</v>
      </c>
      <c r="AO94" s="168">
        <v>3732523</v>
      </c>
      <c r="AP94" s="167">
        <f t="shared" si="575"/>
        <v>2537</v>
      </c>
      <c r="AQ94" s="166"/>
      <c r="AR94" s="166" t="str">
        <f t="shared" si="576"/>
        <v xml:space="preserve"> </v>
      </c>
      <c r="AS94" s="168" t="str">
        <f t="shared" si="577"/>
        <v xml:space="preserve"> </v>
      </c>
      <c r="AT94" s="168"/>
      <c r="AU94" s="166" t="str">
        <f t="shared" si="578"/>
        <v xml:space="preserve"> </v>
      </c>
      <c r="AV94" s="167">
        <f>+BDFUENTES[[#This Row],[PZ TM m3/día]]/3.6/BDFUENTES[[#This Row],[PZ TM Horas Activo]]</f>
        <v>11.425925925925926</v>
      </c>
      <c r="AW94" s="167">
        <v>15</v>
      </c>
      <c r="AX94" s="169">
        <f t="shared" si="579"/>
        <v>618743</v>
      </c>
      <c r="AY94" s="169">
        <v>619360</v>
      </c>
      <c r="AZ94" s="167">
        <f t="shared" si="580"/>
        <v>617</v>
      </c>
      <c r="BA94" s="166">
        <v>125</v>
      </c>
      <c r="BB94" s="166">
        <f t="shared" si="2053"/>
        <v>4.9800000000000004</v>
      </c>
      <c r="BC94" s="168">
        <f>IF(BD94&gt;0,BD93," ")</f>
        <v>6042146</v>
      </c>
      <c r="BD94" s="168">
        <v>6044387</v>
      </c>
      <c r="BE94" s="166">
        <f t="shared" si="552"/>
        <v>2241</v>
      </c>
      <c r="BF94" s="167">
        <v>20</v>
      </c>
      <c r="BG94" s="166">
        <f t="shared" ref="BG94" si="2065">IFERROR(+BJ94/(BF94*3.6)," ")</f>
        <v>17.263888888888889</v>
      </c>
      <c r="BH94" s="168">
        <f t="shared" si="553"/>
        <v>1630289</v>
      </c>
      <c r="BI94" s="168">
        <v>1631532</v>
      </c>
      <c r="BJ94" s="167">
        <f t="shared" si="554"/>
        <v>1243</v>
      </c>
      <c r="BK94" s="166">
        <v>70</v>
      </c>
      <c r="BL94" s="166">
        <f t="shared" ref="BL94" si="2066">IFERROR(+BO94/(BK94*3.6)," ")</f>
        <v>17.896825396825395</v>
      </c>
      <c r="BM94" s="168">
        <f t="shared" si="555"/>
        <v>6473934</v>
      </c>
      <c r="BN94" s="168">
        <v>6478444</v>
      </c>
      <c r="BO94" s="166">
        <f t="shared" si="556"/>
        <v>4510</v>
      </c>
    </row>
    <row r="95" spans="2:67" ht="15" customHeight="1" x14ac:dyDescent="0.25">
      <c r="B95" s="170">
        <v>46113</v>
      </c>
      <c r="C95" s="164">
        <v>38</v>
      </c>
      <c r="D95" s="166">
        <v>15.89</v>
      </c>
      <c r="E95" s="168">
        <f t="shared" si="527"/>
        <v>3909574</v>
      </c>
      <c r="F95" s="168">
        <v>3911936</v>
      </c>
      <c r="G95" s="166">
        <f t="shared" si="528"/>
        <v>2362</v>
      </c>
      <c r="H95" s="167">
        <v>25</v>
      </c>
      <c r="I95" s="167">
        <f t="shared" si="2064"/>
        <v>0</v>
      </c>
      <c r="J95" s="168">
        <f t="shared" ref="J95:J100" si="2067">IF(K95&gt;0,K94," ")</f>
        <v>1970853</v>
      </c>
      <c r="K95" s="266">
        <v>1970853</v>
      </c>
      <c r="L95" s="167">
        <f t="shared" ref="L95:L100" si="2068">IFERROR((K95-J95)," ")</f>
        <v>0</v>
      </c>
      <c r="M95" s="166">
        <v>38</v>
      </c>
      <c r="N95" s="166">
        <f t="shared" ref="N95:N100" si="2069">IFERROR(+Q95/(M95*3.6)," ")</f>
        <v>0</v>
      </c>
      <c r="O95" s="168">
        <f t="shared" ref="O95:O100" si="2070">IF(P95&gt;0,P94," ")</f>
        <v>414656</v>
      </c>
      <c r="P95" s="168">
        <v>414656</v>
      </c>
      <c r="Q95" s="166">
        <f t="shared" ref="Q95:Q100" si="2071">IFERROR((P95-O95)," ")</f>
        <v>0</v>
      </c>
      <c r="R95" s="167">
        <v>24.27</v>
      </c>
      <c r="S95" s="167">
        <v>19</v>
      </c>
      <c r="T95" s="168">
        <f t="shared" si="690"/>
        <v>364519</v>
      </c>
      <c r="U95" s="168">
        <v>366290</v>
      </c>
      <c r="V95" s="165">
        <f t="shared" si="691"/>
        <v>1771</v>
      </c>
      <c r="W95" s="164">
        <f t="shared" si="2008"/>
        <v>372.61574074074076</v>
      </c>
      <c r="X95" s="166">
        <v>24</v>
      </c>
      <c r="Y95" s="168">
        <f t="shared" si="2041"/>
        <v>3597610</v>
      </c>
      <c r="Z95" s="168">
        <v>3631575</v>
      </c>
      <c r="AA95" s="164">
        <f>IFERROR((Z95-Y95)," ")-BDFUENTES[[#This Row],[PZ MED m3/día]]</f>
        <v>32194</v>
      </c>
      <c r="AB95" s="168">
        <f t="shared" si="694"/>
        <v>62</v>
      </c>
      <c r="AC95" s="168">
        <v>24</v>
      </c>
      <c r="AD95" s="171">
        <f t="shared" si="600"/>
        <v>5504610</v>
      </c>
      <c r="AE95" s="167">
        <v>5509992</v>
      </c>
      <c r="AF95" s="165">
        <f t="shared" si="601"/>
        <v>5382</v>
      </c>
      <c r="AG95" s="168">
        <v>40</v>
      </c>
      <c r="AH95" s="168">
        <v>24</v>
      </c>
      <c r="AI95" s="166"/>
      <c r="AJ95" s="166"/>
      <c r="AK95" s="166">
        <f t="shared" si="695"/>
        <v>3456</v>
      </c>
      <c r="AL95" s="167">
        <f>+BDFUENTES[[#This Row],[PZ CHB m3/día]]/3.6/BDFUENTES[[#This Row],[PZ CHB Horas Activo]]</f>
        <v>38.869047619047613</v>
      </c>
      <c r="AM95" s="171">
        <v>14</v>
      </c>
      <c r="AN95" s="168">
        <f t="shared" ref="AN95:AN100" si="2072">IF(AO95&gt;0,AO94," ")</f>
        <v>3732523</v>
      </c>
      <c r="AO95" s="168">
        <v>3734482</v>
      </c>
      <c r="AP95" s="167">
        <f t="shared" ref="AP95:AP100" si="2073">IFERROR((AO95-AN95)," ")</f>
        <v>1959</v>
      </c>
      <c r="AQ95" s="166"/>
      <c r="AR95" s="166" t="str">
        <f t="shared" si="576"/>
        <v xml:space="preserve"> </v>
      </c>
      <c r="AS95" s="168" t="str">
        <f t="shared" si="577"/>
        <v xml:space="preserve"> </v>
      </c>
      <c r="AT95" s="168"/>
      <c r="AU95" s="166" t="str">
        <f t="shared" si="578"/>
        <v xml:space="preserve"> </v>
      </c>
      <c r="AV95" s="167">
        <f>+BDFUENTES[[#This Row],[PZ TM m3/día]]/3.6/BDFUENTES[[#This Row],[PZ TM Horas Activo]]</f>
        <v>11.597222222222221</v>
      </c>
      <c r="AW95" s="167">
        <v>16</v>
      </c>
      <c r="AX95" s="169">
        <f t="shared" si="579"/>
        <v>619360</v>
      </c>
      <c r="AY95" s="169">
        <v>620028</v>
      </c>
      <c r="AZ95" s="167">
        <f t="shared" si="580"/>
        <v>668</v>
      </c>
      <c r="BA95" s="166">
        <v>125</v>
      </c>
      <c r="BB95" s="166">
        <f t="shared" ref="BB95:BB100" si="2074">IFERROR(+BE95/(BA95*3.6)," ")</f>
        <v>5.5355555555555558</v>
      </c>
      <c r="BC95" s="168">
        <f t="shared" ref="BC95:BC100" si="2075">IF(BD95&gt;0,BD94," ")</f>
        <v>6044387</v>
      </c>
      <c r="BD95" s="168">
        <v>6046878</v>
      </c>
      <c r="BE95" s="166">
        <f t="shared" ref="BE95:BE100" si="2076">IFERROR((BD95-BC95)," ")</f>
        <v>2491</v>
      </c>
      <c r="BF95" s="167">
        <v>20</v>
      </c>
      <c r="BG95" s="166">
        <f t="shared" ref="BG95:BG97" si="2077">IFERROR(+BJ95/(BF95*3.6)," ")</f>
        <v>16.930555555555557</v>
      </c>
      <c r="BH95" s="168">
        <f t="shared" ref="BH95:BH100" si="2078">IF(BI95&gt;0,BI94," ")</f>
        <v>1631532</v>
      </c>
      <c r="BI95" s="168">
        <v>1632751</v>
      </c>
      <c r="BJ95" s="167">
        <f t="shared" ref="BJ95:BJ97" si="2079">IFERROR((BI95-BH95)," ")</f>
        <v>1219</v>
      </c>
      <c r="BK95" s="166">
        <v>70</v>
      </c>
      <c r="BL95" s="166">
        <f t="shared" ref="BL95:BL100" si="2080">IFERROR(+BO95/(BK95*3.6)," ")</f>
        <v>18.281746031746032</v>
      </c>
      <c r="BM95" s="168">
        <f t="shared" ref="BM95:BM100" si="2081">IF(BN95&gt;0,BN94," ")</f>
        <v>6478444</v>
      </c>
      <c r="BN95" s="168">
        <v>6483051</v>
      </c>
      <c r="BO95" s="166">
        <f t="shared" ref="BO95:BO100" si="2082">IFERROR((BN95-BM95)," ")</f>
        <v>4607</v>
      </c>
    </row>
    <row r="96" spans="2:67" ht="15" customHeight="1" x14ac:dyDescent="0.25">
      <c r="B96" s="170">
        <v>46114</v>
      </c>
      <c r="C96" s="164">
        <v>38</v>
      </c>
      <c r="D96" s="166">
        <v>15.96</v>
      </c>
      <c r="E96" s="168">
        <f t="shared" si="527"/>
        <v>3911936</v>
      </c>
      <c r="F96" s="168">
        <v>3914340</v>
      </c>
      <c r="G96" s="166">
        <f t="shared" si="528"/>
        <v>2404</v>
      </c>
      <c r="H96" s="167">
        <v>25</v>
      </c>
      <c r="I96" s="167">
        <f t="shared" si="2064"/>
        <v>0</v>
      </c>
      <c r="J96" s="168">
        <f t="shared" si="2067"/>
        <v>1970853</v>
      </c>
      <c r="K96" s="266">
        <v>1970853</v>
      </c>
      <c r="L96" s="167">
        <f t="shared" si="2068"/>
        <v>0</v>
      </c>
      <c r="M96" s="166">
        <v>38</v>
      </c>
      <c r="N96" s="166">
        <f t="shared" si="2069"/>
        <v>0</v>
      </c>
      <c r="O96" s="168">
        <f t="shared" si="2070"/>
        <v>414656</v>
      </c>
      <c r="P96" s="168">
        <v>414656</v>
      </c>
      <c r="Q96" s="166">
        <f t="shared" si="2071"/>
        <v>0</v>
      </c>
      <c r="R96" s="167">
        <v>23.9</v>
      </c>
      <c r="S96" s="167">
        <v>19</v>
      </c>
      <c r="T96" s="168">
        <f t="shared" si="690"/>
        <v>366290</v>
      </c>
      <c r="U96" s="168">
        <v>367976</v>
      </c>
      <c r="V96" s="165">
        <f t="shared" si="691"/>
        <v>1686</v>
      </c>
      <c r="W96" s="164">
        <f t="shared" si="2008"/>
        <v>374.33352623456608</v>
      </c>
      <c r="X96" s="166">
        <v>24</v>
      </c>
      <c r="Y96" s="168">
        <f t="shared" si="2062"/>
        <v>3631575</v>
      </c>
      <c r="Z96" s="168">
        <f>3664262+(3.6*W95*1)</f>
        <v>3665603.4166666665</v>
      </c>
      <c r="AA96" s="164">
        <f>IFERROR((Z96-Y96)," ")-BDFUENTES[[#This Row],[PZ MED m3/día]]</f>
        <v>32342.416666666511</v>
      </c>
      <c r="AB96" s="168">
        <f t="shared" si="694"/>
        <v>63</v>
      </c>
      <c r="AC96" s="168">
        <v>17</v>
      </c>
      <c r="AD96" s="171">
        <f t="shared" si="600"/>
        <v>5509992</v>
      </c>
      <c r="AE96" s="167">
        <v>5513902</v>
      </c>
      <c r="AF96" s="165">
        <f t="shared" si="601"/>
        <v>3910</v>
      </c>
      <c r="AG96" s="168">
        <v>40</v>
      </c>
      <c r="AH96" s="168">
        <v>24</v>
      </c>
      <c r="AI96" s="166"/>
      <c r="AJ96" s="166"/>
      <c r="AK96" s="166">
        <f t="shared" ref="AK96:AK100" si="2083">IF(OR(AH96="",AG96=""),"",AH96*AG96*3.6)</f>
        <v>3456</v>
      </c>
      <c r="AL96" s="167">
        <f>+BDFUENTES[[#This Row],[PZ CHB m3/día]]/3.6/BDFUENTES[[#This Row],[PZ CHB Horas Activo]]</f>
        <v>37.833333333333336</v>
      </c>
      <c r="AM96" s="171">
        <v>15</v>
      </c>
      <c r="AN96" s="168">
        <f t="shared" si="2072"/>
        <v>3734482</v>
      </c>
      <c r="AO96" s="168">
        <v>3736525</v>
      </c>
      <c r="AP96" s="167">
        <f t="shared" si="2073"/>
        <v>2043</v>
      </c>
      <c r="AQ96" s="166"/>
      <c r="AR96" s="166" t="str">
        <f t="shared" si="576"/>
        <v xml:space="preserve"> </v>
      </c>
      <c r="AS96" s="168" t="str">
        <f t="shared" si="577"/>
        <v xml:space="preserve"> </v>
      </c>
      <c r="AT96" s="168"/>
      <c r="AU96" s="166" t="str">
        <f t="shared" si="578"/>
        <v xml:space="preserve"> </v>
      </c>
      <c r="AV96" s="167">
        <f>+BDFUENTES[[#This Row],[PZ TM m3/día]]/3.6/BDFUENTES[[#This Row],[PZ TM Horas Activo]]</f>
        <v>11.567460317460316</v>
      </c>
      <c r="AW96" s="167">
        <v>14</v>
      </c>
      <c r="AX96" s="169">
        <f t="shared" si="579"/>
        <v>620028</v>
      </c>
      <c r="AY96" s="169">
        <v>620611</v>
      </c>
      <c r="AZ96" s="167">
        <f t="shared" ref="AZ96" si="2084">IFERROR((AY96-AX96)," ")</f>
        <v>583</v>
      </c>
      <c r="BA96" s="166">
        <v>125</v>
      </c>
      <c r="BB96" s="166">
        <f t="shared" si="2074"/>
        <v>5.5111111111111111</v>
      </c>
      <c r="BC96" s="168">
        <f t="shared" si="2075"/>
        <v>6046878</v>
      </c>
      <c r="BD96" s="168">
        <v>6049358</v>
      </c>
      <c r="BE96" s="166">
        <f t="shared" si="2076"/>
        <v>2480</v>
      </c>
      <c r="BF96" s="167">
        <v>20</v>
      </c>
      <c r="BG96" s="166">
        <f t="shared" si="2077"/>
        <v>17.972222222222221</v>
      </c>
      <c r="BH96" s="168">
        <f t="shared" si="2078"/>
        <v>1632751</v>
      </c>
      <c r="BI96" s="168">
        <v>1634045</v>
      </c>
      <c r="BJ96" s="167">
        <f t="shared" si="2079"/>
        <v>1294</v>
      </c>
      <c r="BK96" s="166">
        <v>70</v>
      </c>
      <c r="BL96" s="166">
        <f t="shared" si="2080"/>
        <v>16.49206349206349</v>
      </c>
      <c r="BM96" s="168">
        <f t="shared" si="2081"/>
        <v>6483051</v>
      </c>
      <c r="BN96" s="168">
        <v>6487207</v>
      </c>
      <c r="BO96" s="166">
        <f t="shared" si="2082"/>
        <v>4156</v>
      </c>
    </row>
    <row r="97" spans="2:67" ht="15" customHeight="1" x14ac:dyDescent="0.25">
      <c r="B97" s="170">
        <v>46115</v>
      </c>
      <c r="C97" s="164">
        <v>38</v>
      </c>
      <c r="D97" s="166">
        <v>16.03</v>
      </c>
      <c r="E97" s="168">
        <f t="shared" si="527"/>
        <v>3914340</v>
      </c>
      <c r="F97" s="168">
        <v>3916697</v>
      </c>
      <c r="G97" s="166">
        <f t="shared" si="528"/>
        <v>2357</v>
      </c>
      <c r="H97" s="167">
        <v>25</v>
      </c>
      <c r="I97" s="167">
        <f t="shared" si="2064"/>
        <v>0</v>
      </c>
      <c r="J97" s="168">
        <f t="shared" si="2067"/>
        <v>1970853</v>
      </c>
      <c r="K97" s="266">
        <v>1970853</v>
      </c>
      <c r="L97" s="167">
        <f t="shared" si="2068"/>
        <v>0</v>
      </c>
      <c r="M97" s="166">
        <v>38</v>
      </c>
      <c r="N97" s="166">
        <f t="shared" si="2069"/>
        <v>0</v>
      </c>
      <c r="O97" s="168">
        <f t="shared" si="2070"/>
        <v>414656</v>
      </c>
      <c r="P97" s="168">
        <v>414656</v>
      </c>
      <c r="Q97" s="166">
        <f t="shared" si="2071"/>
        <v>0</v>
      </c>
      <c r="R97" s="409">
        <f>+BDFUENTES[[#This Row],[PZ MED m3/día]]/3.6/BDFUENTES[[#This Row],[PZ MED Horas Activo]]</f>
        <v>0</v>
      </c>
      <c r="S97" s="409">
        <v>12</v>
      </c>
      <c r="T97" s="168">
        <f t="shared" si="690"/>
        <v>367976</v>
      </c>
      <c r="U97" s="168">
        <v>367976</v>
      </c>
      <c r="V97" s="410">
        <f t="shared" si="691"/>
        <v>0</v>
      </c>
      <c r="W97" s="164">
        <f t="shared" si="2008"/>
        <v>454.13869598765609</v>
      </c>
      <c r="X97" s="166">
        <v>24</v>
      </c>
      <c r="Y97" s="168">
        <f t="shared" si="2041"/>
        <v>3665603.4166666665</v>
      </c>
      <c r="Z97" s="168">
        <v>3704841</v>
      </c>
      <c r="AA97" s="164">
        <f>IFERROR((Z97-Y97)," ")-BDFUENTES[[#This Row],[PZ MED m3/día]]</f>
        <v>39237.583333333489</v>
      </c>
      <c r="AB97" s="168">
        <f t="shared" si="694"/>
        <v>63</v>
      </c>
      <c r="AC97" s="168">
        <v>20</v>
      </c>
      <c r="AD97" s="171">
        <f t="shared" si="600"/>
        <v>5513902</v>
      </c>
      <c r="AE97" s="167">
        <v>5518452</v>
      </c>
      <c r="AF97" s="165">
        <f t="shared" si="601"/>
        <v>4550</v>
      </c>
      <c r="AG97" s="168">
        <v>40</v>
      </c>
      <c r="AH97" s="168">
        <v>24</v>
      </c>
      <c r="AI97" s="166"/>
      <c r="AJ97" s="166"/>
      <c r="AK97" s="166">
        <f t="shared" si="2083"/>
        <v>3456</v>
      </c>
      <c r="AL97" s="167">
        <f>+BDFUENTES[[#This Row],[PZ CHB m3/día]]/3.6/BDFUENTES[[#This Row],[PZ CHB Horas Activo]]</f>
        <v>39.012345679012341</v>
      </c>
      <c r="AM97" s="171">
        <v>18</v>
      </c>
      <c r="AN97" s="168">
        <f t="shared" si="2072"/>
        <v>3736525</v>
      </c>
      <c r="AO97" s="168">
        <v>3739053</v>
      </c>
      <c r="AP97" s="167">
        <f t="shared" si="2073"/>
        <v>2528</v>
      </c>
      <c r="AQ97" s="166"/>
      <c r="AR97" s="166" t="str">
        <f t="shared" si="576"/>
        <v xml:space="preserve"> </v>
      </c>
      <c r="AS97" s="168" t="str">
        <f t="shared" si="577"/>
        <v xml:space="preserve"> </v>
      </c>
      <c r="AT97" s="168"/>
      <c r="AU97" s="166" t="str">
        <f t="shared" si="578"/>
        <v xml:space="preserve"> </v>
      </c>
      <c r="AV97" s="167">
        <f>+BDFUENTES[[#This Row],[PZ TM m3/día]]/3.6/BDFUENTES[[#This Row],[PZ TM Horas Activo]]</f>
        <v>11.369047619047619</v>
      </c>
      <c r="AW97" s="167">
        <v>14</v>
      </c>
      <c r="AX97" s="169">
        <f t="shared" ref="AX97:AX104" si="2085">IF(AY97&gt;0,AY96," ")</f>
        <v>620611</v>
      </c>
      <c r="AY97" s="169">
        <v>621184</v>
      </c>
      <c r="AZ97" s="167">
        <f t="shared" ref="AZ97:AZ100" si="2086">IFERROR((AY97-AX97)," ")</f>
        <v>573</v>
      </c>
      <c r="BA97" s="166">
        <v>125</v>
      </c>
      <c r="BB97" s="166">
        <f t="shared" si="2074"/>
        <v>5.402222222222222</v>
      </c>
      <c r="BC97" s="168">
        <f t="shared" si="2075"/>
        <v>6049358</v>
      </c>
      <c r="BD97" s="168">
        <v>6051789</v>
      </c>
      <c r="BE97" s="166">
        <f t="shared" si="2076"/>
        <v>2431</v>
      </c>
      <c r="BF97" s="167">
        <v>20</v>
      </c>
      <c r="BG97" s="166">
        <f t="shared" si="2077"/>
        <v>17.361111111111111</v>
      </c>
      <c r="BH97" s="168">
        <f t="shared" si="2078"/>
        <v>1634045</v>
      </c>
      <c r="BI97" s="168">
        <v>1635295</v>
      </c>
      <c r="BJ97" s="167">
        <f t="shared" si="2079"/>
        <v>1250</v>
      </c>
      <c r="BK97" s="166">
        <v>70</v>
      </c>
      <c r="BL97" s="166">
        <f t="shared" si="2080"/>
        <v>18.480158730158731</v>
      </c>
      <c r="BM97" s="168">
        <f t="shared" si="2081"/>
        <v>6487207</v>
      </c>
      <c r="BN97" s="168">
        <v>6491864</v>
      </c>
      <c r="BO97" s="166">
        <f t="shared" si="2082"/>
        <v>4657</v>
      </c>
    </row>
    <row r="98" spans="2:67" ht="15" customHeight="1" x14ac:dyDescent="0.25">
      <c r="B98" s="170">
        <v>46116</v>
      </c>
      <c r="C98" s="164">
        <v>38</v>
      </c>
      <c r="D98" s="166">
        <v>16.100000000000001</v>
      </c>
      <c r="E98" s="168">
        <f t="shared" si="527"/>
        <v>3916697</v>
      </c>
      <c r="F98" s="168">
        <v>3919092</v>
      </c>
      <c r="G98" s="166">
        <f t="shared" ref="G98:G100" si="2087">IFERROR((F98-E98)," ")</f>
        <v>2395</v>
      </c>
      <c r="H98" s="167">
        <v>25</v>
      </c>
      <c r="I98" s="167">
        <f t="shared" si="2064"/>
        <v>0</v>
      </c>
      <c r="J98" s="168">
        <f t="shared" si="2067"/>
        <v>1970853</v>
      </c>
      <c r="K98" s="266">
        <v>1970853</v>
      </c>
      <c r="L98" s="167">
        <f t="shared" si="2068"/>
        <v>0</v>
      </c>
      <c r="M98" s="166">
        <v>38</v>
      </c>
      <c r="N98" s="166">
        <f t="shared" si="2069"/>
        <v>0</v>
      </c>
      <c r="O98" s="168">
        <f t="shared" si="2070"/>
        <v>414656</v>
      </c>
      <c r="P98" s="168">
        <v>414656</v>
      </c>
      <c r="Q98" s="166">
        <f t="shared" si="2071"/>
        <v>0</v>
      </c>
      <c r="R98" s="167">
        <f>+BDFUENTES[[#This Row],[PZ MED m3/día]]/3.6/BDFUENTES[[#This Row],[PZ MED Horas Activo]]</f>
        <v>0</v>
      </c>
      <c r="S98" s="167">
        <v>12</v>
      </c>
      <c r="T98" s="168">
        <f t="shared" si="690"/>
        <v>367976</v>
      </c>
      <c r="U98" s="168">
        <v>367976</v>
      </c>
      <c r="V98" s="165">
        <f t="shared" ref="V98:V100" si="2088">IFERROR((U98-T98)," ")</f>
        <v>0</v>
      </c>
      <c r="W98" s="164">
        <f t="shared" si="2008"/>
        <v>444.17824074074076</v>
      </c>
      <c r="X98" s="166">
        <v>24</v>
      </c>
      <c r="Y98" s="168">
        <f t="shared" si="2062"/>
        <v>3704841</v>
      </c>
      <c r="Z98" s="168">
        <v>3743218</v>
      </c>
      <c r="AA98" s="164">
        <f>IFERROR((Z98-Y98)," ")-BDFUENTES[[#This Row],[PZ MED m3/día]]</f>
        <v>38377</v>
      </c>
      <c r="AB98" s="168">
        <v>0</v>
      </c>
      <c r="AC98" s="168">
        <v>0</v>
      </c>
      <c r="AD98" s="171">
        <f t="shared" si="600"/>
        <v>5518452</v>
      </c>
      <c r="AE98" s="167">
        <v>5518546</v>
      </c>
      <c r="AF98" s="165">
        <f t="shared" ref="AF98:AF100" si="2089">IFERROR((AE98-AD98)," ")</f>
        <v>94</v>
      </c>
      <c r="AG98" s="168">
        <v>40</v>
      </c>
      <c r="AH98" s="168">
        <v>24</v>
      </c>
      <c r="AI98" s="166"/>
      <c r="AJ98" s="166"/>
      <c r="AK98" s="166">
        <f t="shared" si="2083"/>
        <v>3456</v>
      </c>
      <c r="AL98" s="167">
        <f>+BDFUENTES[[#This Row],[PZ CHB m3/día]]/3.6/BDFUENTES[[#This Row],[PZ CHB Horas Activo]]</f>
        <v>39.027777777777779</v>
      </c>
      <c r="AM98" s="171">
        <v>18</v>
      </c>
      <c r="AN98" s="168">
        <f t="shared" si="2072"/>
        <v>3739053</v>
      </c>
      <c r="AO98" s="168">
        <v>3741582</v>
      </c>
      <c r="AP98" s="167">
        <f t="shared" si="2073"/>
        <v>2529</v>
      </c>
      <c r="AQ98" s="166"/>
      <c r="AR98" s="166" t="str">
        <f t="shared" si="576"/>
        <v xml:space="preserve"> </v>
      </c>
      <c r="AS98" s="168" t="str">
        <f t="shared" si="577"/>
        <v xml:space="preserve"> </v>
      </c>
      <c r="AT98" s="168"/>
      <c r="AU98" s="166" t="str">
        <f t="shared" si="578"/>
        <v xml:space="preserve"> </v>
      </c>
      <c r="AV98" s="167">
        <f>+BDFUENTES[[#This Row],[PZ TM m3/día]]/3.6/BDFUENTES[[#This Row],[PZ TM Horas Activo]]</f>
        <v>11.753472222222221</v>
      </c>
      <c r="AW98" s="167">
        <v>16</v>
      </c>
      <c r="AX98" s="169">
        <f t="shared" si="2085"/>
        <v>621184</v>
      </c>
      <c r="AY98" s="169">
        <v>621861</v>
      </c>
      <c r="AZ98" s="167">
        <f t="shared" si="2086"/>
        <v>677</v>
      </c>
      <c r="BA98" s="166">
        <v>125</v>
      </c>
      <c r="BB98" s="166">
        <f t="shared" si="2074"/>
        <v>5.2955555555555556</v>
      </c>
      <c r="BC98" s="168">
        <f t="shared" si="2075"/>
        <v>6051789</v>
      </c>
      <c r="BD98" s="168">
        <v>6054172</v>
      </c>
      <c r="BE98" s="166">
        <f t="shared" si="2076"/>
        <v>2383</v>
      </c>
      <c r="BF98" s="167">
        <v>20</v>
      </c>
      <c r="BG98" s="166">
        <f t="shared" ref="BG98:BG100" si="2090">IFERROR(+BJ98/(BF98*3.6)," ")</f>
        <v>0</v>
      </c>
      <c r="BH98" s="168">
        <f t="shared" si="2078"/>
        <v>1635295</v>
      </c>
      <c r="BI98" s="168">
        <v>1635295</v>
      </c>
      <c r="BJ98" s="167">
        <f t="shared" ref="BJ98:BJ100" si="2091">IFERROR((BI98-BH98)," ")</f>
        <v>0</v>
      </c>
      <c r="BK98" s="166">
        <v>70</v>
      </c>
      <c r="BL98" s="166">
        <f t="shared" si="2080"/>
        <v>18.734126984126984</v>
      </c>
      <c r="BM98" s="168">
        <f t="shared" si="2081"/>
        <v>6491864</v>
      </c>
      <c r="BN98" s="168">
        <v>6496585</v>
      </c>
      <c r="BO98" s="166">
        <f t="shared" si="2082"/>
        <v>4721</v>
      </c>
    </row>
    <row r="99" spans="2:67" ht="15" customHeight="1" x14ac:dyDescent="0.25">
      <c r="B99" s="170">
        <v>46117</v>
      </c>
      <c r="C99" s="164">
        <v>38</v>
      </c>
      <c r="D99" s="166">
        <v>16.170000000000002</v>
      </c>
      <c r="E99" s="168">
        <f t="shared" si="527"/>
        <v>3919092</v>
      </c>
      <c r="F99" s="168">
        <v>3921475</v>
      </c>
      <c r="G99" s="166">
        <f t="shared" si="2087"/>
        <v>2383</v>
      </c>
      <c r="H99" s="167">
        <v>25</v>
      </c>
      <c r="I99" s="167">
        <f t="shared" si="2064"/>
        <v>0</v>
      </c>
      <c r="J99" s="168">
        <f t="shared" si="2067"/>
        <v>1970853</v>
      </c>
      <c r="K99" s="266">
        <v>1970853</v>
      </c>
      <c r="L99" s="167">
        <f t="shared" si="2068"/>
        <v>0</v>
      </c>
      <c r="M99" s="166">
        <v>38</v>
      </c>
      <c r="N99" s="166">
        <f t="shared" si="2069"/>
        <v>0</v>
      </c>
      <c r="O99" s="168">
        <f t="shared" si="2070"/>
        <v>414656</v>
      </c>
      <c r="P99" s="168">
        <v>414656</v>
      </c>
      <c r="Q99" s="166">
        <f t="shared" si="2071"/>
        <v>0</v>
      </c>
      <c r="R99" s="167">
        <f>+BDFUENTES[[#This Row],[PZ MED m3/día]]/3.6/BDFUENTES[[#This Row],[PZ MED Horas Activo]]</f>
        <v>0</v>
      </c>
      <c r="S99" s="167">
        <v>12</v>
      </c>
      <c r="T99" s="168">
        <f t="shared" si="690"/>
        <v>367976</v>
      </c>
      <c r="U99" s="168">
        <v>367976</v>
      </c>
      <c r="V99" s="165">
        <f t="shared" si="2088"/>
        <v>0</v>
      </c>
      <c r="W99" s="164">
        <f t="shared" si="2008"/>
        <v>452.89351851851853</v>
      </c>
      <c r="X99" s="166">
        <v>24</v>
      </c>
      <c r="Y99" s="168">
        <f t="shared" si="2041"/>
        <v>3743218</v>
      </c>
      <c r="Z99" s="168">
        <v>3782348</v>
      </c>
      <c r="AA99" s="164">
        <f>IFERROR((Z99-Y99)," ")-BDFUENTES[[#This Row],[PZ MED m3/día]]</f>
        <v>39130</v>
      </c>
      <c r="AB99" s="168">
        <v>0</v>
      </c>
      <c r="AC99" s="168">
        <v>0</v>
      </c>
      <c r="AD99" s="171">
        <f t="shared" si="600"/>
        <v>5518546</v>
      </c>
      <c r="AE99" s="167">
        <v>5518633</v>
      </c>
      <c r="AF99" s="165">
        <f t="shared" si="2089"/>
        <v>87</v>
      </c>
      <c r="AG99" s="168">
        <v>40</v>
      </c>
      <c r="AH99" s="168">
        <v>24</v>
      </c>
      <c r="AI99" s="166"/>
      <c r="AJ99" s="166"/>
      <c r="AK99" s="166">
        <f t="shared" si="2083"/>
        <v>3456</v>
      </c>
      <c r="AL99" s="167">
        <f>+BDFUENTES[[#This Row],[PZ CHB m3/día]]/3.6/BDFUENTES[[#This Row],[PZ CHB Horas Activo]]</f>
        <v>38.444444444444443</v>
      </c>
      <c r="AM99" s="171">
        <v>10</v>
      </c>
      <c r="AN99" s="168">
        <f t="shared" si="2072"/>
        <v>3741582</v>
      </c>
      <c r="AO99" s="168">
        <v>3742966</v>
      </c>
      <c r="AP99" s="167">
        <f t="shared" si="2073"/>
        <v>1384</v>
      </c>
      <c r="AQ99" s="166"/>
      <c r="AR99" s="166" t="str">
        <f t="shared" si="576"/>
        <v xml:space="preserve"> </v>
      </c>
      <c r="AS99" s="168" t="str">
        <f t="shared" si="577"/>
        <v xml:space="preserve"> </v>
      </c>
      <c r="AT99" s="168"/>
      <c r="AU99" s="166" t="str">
        <f t="shared" si="578"/>
        <v xml:space="preserve"> </v>
      </c>
      <c r="AV99" s="167">
        <f>+BDFUENTES[[#This Row],[PZ TM m3/día]]/3.6/BDFUENTES[[#This Row],[PZ TM Horas Activo]]</f>
        <v>11.486928104575163</v>
      </c>
      <c r="AW99" s="167">
        <v>17</v>
      </c>
      <c r="AX99" s="169">
        <f t="shared" si="2085"/>
        <v>621861</v>
      </c>
      <c r="AY99" s="169">
        <v>622564</v>
      </c>
      <c r="AZ99" s="167">
        <f t="shared" si="2086"/>
        <v>703</v>
      </c>
      <c r="BA99" s="166">
        <v>125</v>
      </c>
      <c r="BB99" s="166">
        <f t="shared" si="2074"/>
        <v>5.3488888888888892</v>
      </c>
      <c r="BC99" s="168">
        <f t="shared" si="2075"/>
        <v>6054172</v>
      </c>
      <c r="BD99" s="168">
        <v>6056579</v>
      </c>
      <c r="BE99" s="166">
        <f t="shared" si="2076"/>
        <v>2407</v>
      </c>
      <c r="BF99" s="167">
        <v>20</v>
      </c>
      <c r="BG99" s="166">
        <f t="shared" si="2090"/>
        <v>5.5694444444444446</v>
      </c>
      <c r="BH99" s="168">
        <f t="shared" si="2078"/>
        <v>1635295</v>
      </c>
      <c r="BI99" s="168">
        <v>1635696</v>
      </c>
      <c r="BJ99" s="167">
        <f t="shared" si="2091"/>
        <v>401</v>
      </c>
      <c r="BK99" s="166">
        <v>70</v>
      </c>
      <c r="BL99" s="166">
        <f t="shared" si="2080"/>
        <v>19.579365079365079</v>
      </c>
      <c r="BM99" s="168">
        <f t="shared" si="2081"/>
        <v>6496585</v>
      </c>
      <c r="BN99" s="168">
        <v>6501519</v>
      </c>
      <c r="BO99" s="166">
        <f t="shared" si="2082"/>
        <v>4934</v>
      </c>
    </row>
    <row r="100" spans="2:67" ht="15" customHeight="1" x14ac:dyDescent="0.25">
      <c r="B100" s="170">
        <v>46118</v>
      </c>
      <c r="C100" s="164">
        <v>38</v>
      </c>
      <c r="D100" s="166">
        <v>16.239999999999998</v>
      </c>
      <c r="E100" s="168">
        <f t="shared" si="527"/>
        <v>3921475</v>
      </c>
      <c r="F100" s="168">
        <v>3923889</v>
      </c>
      <c r="G100" s="166">
        <f t="shared" si="2087"/>
        <v>2414</v>
      </c>
      <c r="H100" s="167">
        <v>25</v>
      </c>
      <c r="I100" s="167">
        <f t="shared" si="2064"/>
        <v>0</v>
      </c>
      <c r="J100" s="168">
        <f t="shared" si="2067"/>
        <v>1970853</v>
      </c>
      <c r="K100" s="266">
        <v>1970853</v>
      </c>
      <c r="L100" s="167">
        <f t="shared" si="2068"/>
        <v>0</v>
      </c>
      <c r="M100" s="166">
        <v>38</v>
      </c>
      <c r="N100" s="166">
        <f t="shared" si="2069"/>
        <v>0</v>
      </c>
      <c r="O100" s="168">
        <f t="shared" si="2070"/>
        <v>414656</v>
      </c>
      <c r="P100" s="168">
        <v>414656</v>
      </c>
      <c r="Q100" s="166">
        <f t="shared" si="2071"/>
        <v>0</v>
      </c>
      <c r="R100" s="167">
        <f>+BDFUENTES[[#This Row],[PZ MED m3/día]]/3.6/BDFUENTES[[#This Row],[PZ MED Horas Activo]]</f>
        <v>29.826388888888889</v>
      </c>
      <c r="S100" s="167">
        <v>24</v>
      </c>
      <c r="T100" s="168">
        <f t="shared" si="690"/>
        <v>367976</v>
      </c>
      <c r="U100" s="168">
        <v>370553</v>
      </c>
      <c r="V100" s="165">
        <f t="shared" si="2088"/>
        <v>2577</v>
      </c>
      <c r="W100" s="164">
        <f t="shared" si="2008"/>
        <v>420.46296296296299</v>
      </c>
      <c r="X100" s="166">
        <v>24</v>
      </c>
      <c r="Y100" s="168">
        <f t="shared" si="2062"/>
        <v>3782348</v>
      </c>
      <c r="Z100" s="168">
        <v>3821253</v>
      </c>
      <c r="AA100" s="164">
        <f>IFERROR((Z100-Y100)," ")-BDFUENTES[[#This Row],[PZ MED m3/día]]</f>
        <v>36328</v>
      </c>
      <c r="AB100" s="168">
        <f t="shared" si="694"/>
        <v>57</v>
      </c>
      <c r="AC100" s="168">
        <v>6</v>
      </c>
      <c r="AD100" s="171">
        <f t="shared" si="600"/>
        <v>5518633</v>
      </c>
      <c r="AE100" s="167">
        <v>5519871</v>
      </c>
      <c r="AF100" s="165">
        <f t="shared" si="2089"/>
        <v>1238</v>
      </c>
      <c r="AG100" s="168">
        <v>40</v>
      </c>
      <c r="AH100" s="168">
        <v>24</v>
      </c>
      <c r="AI100" s="166"/>
      <c r="AJ100" s="166"/>
      <c r="AK100" s="166">
        <f t="shared" si="2083"/>
        <v>3456</v>
      </c>
      <c r="AL100" s="167">
        <f>+BDFUENTES[[#This Row],[PZ CHB m3/día]]/3.6/BDFUENTES[[#This Row],[PZ CHB Horas Activo]]</f>
        <v>37.149122807017548</v>
      </c>
      <c r="AM100" s="171">
        <v>19</v>
      </c>
      <c r="AN100" s="168">
        <f t="shared" si="2072"/>
        <v>3742966</v>
      </c>
      <c r="AO100" s="168">
        <v>3745507</v>
      </c>
      <c r="AP100" s="167">
        <f t="shared" si="2073"/>
        <v>2541</v>
      </c>
      <c r="AQ100" s="166"/>
      <c r="AR100" s="166" t="str">
        <f t="shared" si="576"/>
        <v xml:space="preserve"> </v>
      </c>
      <c r="AS100" s="168" t="str">
        <f t="shared" si="577"/>
        <v xml:space="preserve"> </v>
      </c>
      <c r="AT100" s="168"/>
      <c r="AU100" s="166" t="str">
        <f t="shared" si="578"/>
        <v xml:space="preserve"> </v>
      </c>
      <c r="AV100" s="167">
        <f>+BDFUENTES[[#This Row],[PZ TM m3/día]]/3.6/BDFUENTES[[#This Row],[PZ TM Horas Activo]]</f>
        <v>11.018518518518517</v>
      </c>
      <c r="AW100" s="167">
        <v>18</v>
      </c>
      <c r="AX100" s="169">
        <f t="shared" si="2085"/>
        <v>622564</v>
      </c>
      <c r="AY100" s="169">
        <v>623278</v>
      </c>
      <c r="AZ100" s="167">
        <f t="shared" si="2086"/>
        <v>714</v>
      </c>
      <c r="BA100" s="166">
        <v>125</v>
      </c>
      <c r="BB100" s="166">
        <f t="shared" si="2074"/>
        <v>5.5222222222222221</v>
      </c>
      <c r="BC100" s="168">
        <f t="shared" si="2075"/>
        <v>6056579</v>
      </c>
      <c r="BD100" s="168">
        <v>6059064</v>
      </c>
      <c r="BE100" s="166">
        <f t="shared" si="2076"/>
        <v>2485</v>
      </c>
      <c r="BF100" s="167">
        <v>20</v>
      </c>
      <c r="BG100" s="166">
        <f t="shared" si="2090"/>
        <v>19.111111111111111</v>
      </c>
      <c r="BH100" s="168">
        <f t="shared" si="2078"/>
        <v>1635696</v>
      </c>
      <c r="BI100" s="168">
        <v>1637072</v>
      </c>
      <c r="BJ100" s="167">
        <f t="shared" si="2091"/>
        <v>1376</v>
      </c>
      <c r="BK100" s="166">
        <v>70</v>
      </c>
      <c r="BL100" s="166">
        <f t="shared" si="2080"/>
        <v>19.047619047619047</v>
      </c>
      <c r="BM100" s="168">
        <f t="shared" si="2081"/>
        <v>6501519</v>
      </c>
      <c r="BN100" s="168">
        <v>6506319</v>
      </c>
      <c r="BO100" s="166">
        <f t="shared" si="2082"/>
        <v>4800</v>
      </c>
    </row>
    <row r="101" spans="2:67" ht="15" customHeight="1" x14ac:dyDescent="0.25">
      <c r="B101" s="170">
        <v>46119</v>
      </c>
      <c r="C101" s="164">
        <v>38</v>
      </c>
      <c r="D101" s="166">
        <v>16.309999999999999</v>
      </c>
      <c r="E101" s="168">
        <f t="shared" ref="E101" si="2092">IF(F101&gt;0,F100," ")</f>
        <v>3923889</v>
      </c>
      <c r="F101" s="168">
        <v>3926206</v>
      </c>
      <c r="G101" s="166">
        <f t="shared" ref="G101" si="2093">IFERROR((F101-E101)," ")</f>
        <v>2317</v>
      </c>
      <c r="H101" s="167">
        <v>25</v>
      </c>
      <c r="I101" s="167">
        <f t="shared" ref="I101" si="2094">IFERROR(+L101/(H101*3.6)," ")</f>
        <v>0</v>
      </c>
      <c r="J101" s="168">
        <f t="shared" ref="J101" si="2095">IF(K101&gt;0,K100," ")</f>
        <v>1970853</v>
      </c>
      <c r="K101" s="266">
        <v>1970853</v>
      </c>
      <c r="L101" s="167">
        <f t="shared" ref="L101" si="2096">IFERROR((K101-J101)," ")</f>
        <v>0</v>
      </c>
      <c r="M101" s="166">
        <v>38</v>
      </c>
      <c r="N101" s="166">
        <f t="shared" ref="N101" si="2097">IFERROR(+Q101/(M101*3.6)," ")</f>
        <v>0</v>
      </c>
      <c r="O101" s="168">
        <f t="shared" ref="O101" si="2098">IF(P101&gt;0,P100," ")</f>
        <v>414656</v>
      </c>
      <c r="P101" s="168">
        <v>414656</v>
      </c>
      <c r="Q101" s="166">
        <f t="shared" ref="Q101" si="2099">IFERROR((P101-O101)," ")</f>
        <v>0</v>
      </c>
      <c r="R101" s="167">
        <f>+BDFUENTES[[#This Row],[PZ MED m3/día]]/3.6/BDFUENTES[[#This Row],[PZ MED Horas Activo]]</f>
        <v>27.604166666666664</v>
      </c>
      <c r="S101" s="167">
        <v>8</v>
      </c>
      <c r="T101" s="168">
        <f t="shared" si="690"/>
        <v>370553</v>
      </c>
      <c r="U101" s="168">
        <v>371348</v>
      </c>
      <c r="V101" s="165">
        <f t="shared" ref="V101" si="2100">IFERROR((U101-T101)," ")</f>
        <v>795</v>
      </c>
      <c r="W101" s="164">
        <f t="shared" ref="W101" si="2101">IFERROR((AA101/X101)/3.6," ")</f>
        <v>442.40740740740739</v>
      </c>
      <c r="X101" s="166">
        <v>24</v>
      </c>
      <c r="Y101" s="168">
        <f t="shared" si="2041"/>
        <v>3821253</v>
      </c>
      <c r="Z101" s="168">
        <v>3860272</v>
      </c>
      <c r="AA101" s="164">
        <f>IFERROR((Z101-Y101)," ")-BDFUENTES[[#This Row],[PZ MED m3/día]]</f>
        <v>38224</v>
      </c>
      <c r="AB101" s="168">
        <f t="shared" ref="AB101" si="2102">IFERROR(ROUNDDOWN(+AF101/(AC101*3.6),0)," ")</f>
        <v>62</v>
      </c>
      <c r="AC101" s="168">
        <v>24</v>
      </c>
      <c r="AD101" s="171">
        <f t="shared" ref="AD101" si="2103">IF(AE101&gt;0,AE100," ")</f>
        <v>5519871</v>
      </c>
      <c r="AE101" s="167">
        <v>5525233.4000000004</v>
      </c>
      <c r="AF101" s="165">
        <f t="shared" ref="AF101" si="2104">IFERROR((AE101-AD101)," ")</f>
        <v>5362.4000000003725</v>
      </c>
      <c r="AG101" s="168">
        <v>40</v>
      </c>
      <c r="AH101" s="168">
        <v>24</v>
      </c>
      <c r="AI101" s="166"/>
      <c r="AJ101" s="166"/>
      <c r="AK101" s="166">
        <f t="shared" ref="AK101" si="2105">IF(OR(AH101="",AG101=""),"",AH101*AG101*3.6)</f>
        <v>3456</v>
      </c>
      <c r="AL101" s="167">
        <f>+BDFUENTES[[#This Row],[PZ CHB m3/día]]/3.6/BDFUENTES[[#This Row],[PZ CHB Horas Activo]]</f>
        <v>38.482905982905983</v>
      </c>
      <c r="AM101" s="171">
        <v>13</v>
      </c>
      <c r="AN101" s="168">
        <f t="shared" ref="AN101" si="2106">IF(AO101&gt;0,AO100," ")</f>
        <v>3745507</v>
      </c>
      <c r="AO101" s="168">
        <v>3747308</v>
      </c>
      <c r="AP101" s="167">
        <f t="shared" ref="AP101" si="2107">IFERROR((AO101-AN101)," ")</f>
        <v>1801</v>
      </c>
      <c r="AQ101" s="166"/>
      <c r="AR101" s="166" t="str">
        <f t="shared" ref="AR101" si="2108">IFERROR(+AU101/(AQ101*3.6)," ")</f>
        <v xml:space="preserve"> </v>
      </c>
      <c r="AS101" s="168" t="str">
        <f t="shared" ref="AS101" si="2109">IF(AT101&gt;0,AT100," ")</f>
        <v xml:space="preserve"> </v>
      </c>
      <c r="AT101" s="168"/>
      <c r="AU101" s="166" t="str">
        <f t="shared" ref="AU101" si="2110">IFERROR((AT101-AS101)," ")</f>
        <v xml:space="preserve"> </v>
      </c>
      <c r="AV101" s="167">
        <f>+BDFUENTES[[#This Row],[PZ TM m3/día]]/3.6/BDFUENTES[[#This Row],[PZ TM Horas Activo]]</f>
        <v>11.944444444444443</v>
      </c>
      <c r="AW101" s="167">
        <v>21</v>
      </c>
      <c r="AX101" s="169">
        <f t="shared" si="2085"/>
        <v>623278</v>
      </c>
      <c r="AY101" s="169">
        <v>624181</v>
      </c>
      <c r="AZ101" s="167">
        <f t="shared" ref="AZ101" si="2111">IFERROR((AY101-AX101)," ")</f>
        <v>903</v>
      </c>
      <c r="BA101" s="166">
        <v>125</v>
      </c>
      <c r="BB101" s="166">
        <f t="shared" ref="BB101" si="2112">IFERROR(+BE101/(BA101*3.6)," ")</f>
        <v>5.3066666666666666</v>
      </c>
      <c r="BC101" s="168">
        <f t="shared" ref="BC101" si="2113">IF(BD101&gt;0,BD100," ")</f>
        <v>6059064</v>
      </c>
      <c r="BD101" s="168">
        <v>6061452</v>
      </c>
      <c r="BE101" s="166">
        <f t="shared" ref="BE101" si="2114">IFERROR((BD101-BC101)," ")</f>
        <v>2388</v>
      </c>
      <c r="BF101" s="167">
        <v>20</v>
      </c>
      <c r="BG101" s="166">
        <f t="shared" ref="BG101" si="2115">IFERROR(+BJ101/(BF101*3.6)," ")</f>
        <v>16.333333333333332</v>
      </c>
      <c r="BH101" s="168">
        <f t="shared" ref="BH101" si="2116">IF(BI101&gt;0,BI100," ")</f>
        <v>1637072</v>
      </c>
      <c r="BI101" s="168">
        <v>1638248</v>
      </c>
      <c r="BJ101" s="167">
        <f t="shared" ref="BJ101" si="2117">IFERROR((BI101-BH101)," ")</f>
        <v>1176</v>
      </c>
      <c r="BK101" s="166">
        <v>70</v>
      </c>
      <c r="BL101" s="166">
        <f t="shared" ref="BL101" si="2118">IFERROR(+BO101/(BK101*3.6)," ")</f>
        <v>18.079365079365079</v>
      </c>
      <c r="BM101" s="168">
        <f t="shared" ref="BM101" si="2119">IF(BN101&gt;0,BN100," ")</f>
        <v>6506319</v>
      </c>
      <c r="BN101" s="168">
        <v>6510875</v>
      </c>
      <c r="BO101" s="166">
        <f t="shared" ref="BO101" si="2120">IFERROR((BN101-BM101)," ")</f>
        <v>4556</v>
      </c>
    </row>
    <row r="102" spans="2:67" ht="15" customHeight="1" x14ac:dyDescent="0.25">
      <c r="B102" s="170">
        <v>46120</v>
      </c>
      <c r="C102" s="164">
        <v>38</v>
      </c>
      <c r="D102" s="166">
        <v>16.38</v>
      </c>
      <c r="E102" s="168">
        <f t="shared" ref="E102" si="2121">IF(F102&gt;0,F101," ")</f>
        <v>3926206</v>
      </c>
      <c r="F102" s="168">
        <v>3928574</v>
      </c>
      <c r="G102" s="166">
        <f t="shared" ref="G102" si="2122">IFERROR((F102-E102)," ")</f>
        <v>2368</v>
      </c>
      <c r="H102" s="167">
        <v>25</v>
      </c>
      <c r="I102" s="167">
        <f t="shared" ref="I102" si="2123">IFERROR(+L102/(H102*3.6)," ")</f>
        <v>0</v>
      </c>
      <c r="J102" s="168">
        <f t="shared" ref="J102" si="2124">IF(K102&gt;0,K101," ")</f>
        <v>1970853</v>
      </c>
      <c r="K102" s="266">
        <v>1970853</v>
      </c>
      <c r="L102" s="167">
        <f t="shared" ref="L102" si="2125">IFERROR((K102-J102)," ")</f>
        <v>0</v>
      </c>
      <c r="M102" s="166">
        <v>38</v>
      </c>
      <c r="N102" s="166">
        <f t="shared" ref="N102" si="2126">IFERROR(+Q102/(M102*3.6)," ")</f>
        <v>0</v>
      </c>
      <c r="O102" s="168">
        <f t="shared" ref="O102" si="2127">IF(P102&gt;0,P101," ")</f>
        <v>414656</v>
      </c>
      <c r="P102" s="168">
        <v>414656</v>
      </c>
      <c r="Q102" s="166">
        <f t="shared" ref="Q102" si="2128">IFERROR((P102-O102)," ")</f>
        <v>0</v>
      </c>
      <c r="R102" s="167">
        <v>0</v>
      </c>
      <c r="S102" s="167">
        <v>0</v>
      </c>
      <c r="T102" s="168">
        <f t="shared" ref="T102" si="2129">IF(U102&gt;0,U101," ")</f>
        <v>371348</v>
      </c>
      <c r="U102" s="168">
        <v>371385</v>
      </c>
      <c r="V102" s="165">
        <f t="shared" ref="V102" si="2130">IFERROR((U102-T102)," ")</f>
        <v>37</v>
      </c>
      <c r="W102" s="164">
        <f t="shared" ref="W102" si="2131">IFERROR((AA102/X102)/3.6," ")</f>
        <v>431.21759259259477</v>
      </c>
      <c r="X102" s="166">
        <v>24</v>
      </c>
      <c r="Y102" s="168">
        <f t="shared" si="2062"/>
        <v>3860272</v>
      </c>
      <c r="Z102" s="168">
        <f>3898324-(3.6*421*0.5)</f>
        <v>3897566.2</v>
      </c>
      <c r="AA102" s="164">
        <f>IFERROR((Z102-Y102)," ")-BDFUENTES[[#This Row],[PZ MED m3/día]]</f>
        <v>37257.200000000186</v>
      </c>
      <c r="AB102" s="168">
        <f t="shared" ref="AB102" si="2132">IFERROR(ROUNDDOWN(+AF102/(AC102*3.6),0)," ")</f>
        <v>64</v>
      </c>
      <c r="AC102" s="168">
        <v>24</v>
      </c>
      <c r="AD102" s="171">
        <f t="shared" ref="AD102" si="2133">IF(AE102&gt;0,AE101," ")</f>
        <v>5525233.4000000004</v>
      </c>
      <c r="AE102" s="167">
        <v>5530843</v>
      </c>
      <c r="AF102" s="165">
        <f t="shared" ref="AF102" si="2134">IFERROR((AE102-AD102)," ")</f>
        <v>5609.5999999996275</v>
      </c>
      <c r="AG102" s="168">
        <v>40</v>
      </c>
      <c r="AH102" s="168">
        <v>24</v>
      </c>
      <c r="AI102" s="166"/>
      <c r="AJ102" s="166"/>
      <c r="AK102" s="166">
        <f t="shared" ref="AK102" si="2135">IF(OR(AH102="",AG102=""),"",AH102*AG102*3.6)</f>
        <v>3456</v>
      </c>
      <c r="AL102" s="167">
        <f>+BDFUENTES[[#This Row],[PZ CHB m3/día]]/3.6/BDFUENTES[[#This Row],[PZ CHB Horas Activo]]</f>
        <v>37.57309941520468</v>
      </c>
      <c r="AM102" s="171">
        <v>19</v>
      </c>
      <c r="AN102" s="168">
        <f t="shared" ref="AN102" si="2136">IF(AO102&gt;0,AO101," ")</f>
        <v>3747308</v>
      </c>
      <c r="AO102" s="168">
        <v>3749878</v>
      </c>
      <c r="AP102" s="167">
        <f t="shared" ref="AP102" si="2137">IFERROR((AO102-AN102)," ")</f>
        <v>2570</v>
      </c>
      <c r="AQ102" s="166"/>
      <c r="AR102" s="166" t="str">
        <f t="shared" ref="AR102" si="2138">IFERROR(+AU102/(AQ102*3.6)," ")</f>
        <v xml:space="preserve"> </v>
      </c>
      <c r="AS102" s="168" t="str">
        <f t="shared" ref="AS102" si="2139">IF(AT102&gt;0,AT101," ")</f>
        <v xml:space="preserve"> </v>
      </c>
      <c r="AT102" s="168"/>
      <c r="AU102" s="166" t="str">
        <f t="shared" ref="AU102" si="2140">IFERROR((AT102-AS102)," ")</f>
        <v xml:space="preserve"> </v>
      </c>
      <c r="AV102" s="167">
        <f>+BDFUENTES[[#This Row],[PZ TM m3/día]]/3.6/BDFUENTES[[#This Row],[PZ TM Horas Activo]]</f>
        <v>11.587301587301587</v>
      </c>
      <c r="AW102" s="167">
        <v>14</v>
      </c>
      <c r="AX102" s="169">
        <f t="shared" si="2085"/>
        <v>624181</v>
      </c>
      <c r="AY102" s="169">
        <v>624765</v>
      </c>
      <c r="AZ102" s="167">
        <f t="shared" ref="AZ102" si="2141">IFERROR((AY102-AX102)," ")</f>
        <v>584</v>
      </c>
      <c r="BA102" s="166">
        <v>125</v>
      </c>
      <c r="BB102" s="166">
        <f t="shared" ref="BB102" si="2142">IFERROR(+BE102/(BA102*3.6)," ")</f>
        <v>5.5133333333333336</v>
      </c>
      <c r="BC102" s="168">
        <f t="shared" ref="BC102" si="2143">IF(BD102&gt;0,BD101," ")</f>
        <v>6061452</v>
      </c>
      <c r="BD102" s="168">
        <v>6063933</v>
      </c>
      <c r="BE102" s="166">
        <f t="shared" ref="BE102" si="2144">IFERROR((BD102-BC102)," ")</f>
        <v>2481</v>
      </c>
      <c r="BF102" s="167">
        <v>20</v>
      </c>
      <c r="BG102" s="166">
        <f t="shared" ref="BG102" si="2145">IFERROR(+BJ102/(BF102*3.6)," ")</f>
        <v>17.569444444444443</v>
      </c>
      <c r="BH102" s="168">
        <f t="shared" ref="BH102" si="2146">IF(BI102&gt;0,BI101," ")</f>
        <v>1638248</v>
      </c>
      <c r="BI102" s="168">
        <v>1639513</v>
      </c>
      <c r="BJ102" s="167">
        <f t="shared" ref="BJ102" si="2147">IFERROR((BI102-BH102)," ")</f>
        <v>1265</v>
      </c>
      <c r="BK102" s="166">
        <v>70</v>
      </c>
      <c r="BL102" s="166">
        <f t="shared" ref="BL102" si="2148">IFERROR(+BO102/(BK102*3.6)," ")</f>
        <v>17.920634920634921</v>
      </c>
      <c r="BM102" s="168">
        <f t="shared" ref="BM102" si="2149">IF(BN102&gt;0,BN101," ")</f>
        <v>6510875</v>
      </c>
      <c r="BN102" s="168">
        <v>6515391</v>
      </c>
      <c r="BO102" s="166">
        <f t="shared" ref="BO102" si="2150">IFERROR((BN102-BM102)," ")</f>
        <v>4516</v>
      </c>
    </row>
    <row r="103" spans="2:67" ht="15" customHeight="1" x14ac:dyDescent="0.25">
      <c r="B103" s="170">
        <v>46121</v>
      </c>
      <c r="C103" s="164">
        <v>38</v>
      </c>
      <c r="D103" s="166">
        <v>16.45</v>
      </c>
      <c r="E103" s="168">
        <f t="shared" ref="E103" si="2151">IF(F103&gt;0,F102," ")</f>
        <v>3928574</v>
      </c>
      <c r="F103" s="168">
        <v>3930988</v>
      </c>
      <c r="G103" s="166">
        <f t="shared" ref="G103" si="2152">IFERROR((F103-E103)," ")</f>
        <v>2414</v>
      </c>
      <c r="H103" s="167">
        <v>25</v>
      </c>
      <c r="I103" s="167">
        <f t="shared" ref="I103" si="2153">IFERROR(+L103/(H103*3.6)," ")</f>
        <v>0</v>
      </c>
      <c r="J103" s="168">
        <f t="shared" ref="J103" si="2154">IF(K103&gt;0,K102," ")</f>
        <v>1970853</v>
      </c>
      <c r="K103" s="266">
        <v>1970853</v>
      </c>
      <c r="L103" s="167">
        <f t="shared" ref="L103" si="2155">IFERROR((K103-J103)," ")</f>
        <v>0</v>
      </c>
      <c r="M103" s="166">
        <v>38</v>
      </c>
      <c r="N103" s="166">
        <f t="shared" ref="N103" si="2156">IFERROR(+Q103/(M103*3.6)," ")</f>
        <v>0</v>
      </c>
      <c r="O103" s="168">
        <f t="shared" ref="O103" si="2157">IF(P103&gt;0,P102," ")</f>
        <v>414656</v>
      </c>
      <c r="P103" s="168">
        <v>414656</v>
      </c>
      <c r="Q103" s="166">
        <f t="shared" ref="Q103" si="2158">IFERROR((P103-O103)," ")</f>
        <v>0</v>
      </c>
      <c r="R103" s="167">
        <v>0</v>
      </c>
      <c r="S103" s="167">
        <v>0</v>
      </c>
      <c r="T103" s="168">
        <f t="shared" ref="T103" si="2159">IF(U103&gt;0,U102," ")</f>
        <v>371385</v>
      </c>
      <c r="U103" s="168">
        <v>371385</v>
      </c>
      <c r="V103" s="165">
        <f t="shared" ref="V103" si="2160">IFERROR((U103-T103)," ")</f>
        <v>0</v>
      </c>
      <c r="W103" s="164">
        <f t="shared" ref="W103" si="2161">IFERROR((AA103/X103)/3.6," ")</f>
        <v>446.29166666666231</v>
      </c>
      <c r="X103" s="166">
        <v>24</v>
      </c>
      <c r="Y103" s="168">
        <f t="shared" ref="Y103" si="2162">IF(Z103&gt;0,Z102," ")</f>
        <v>3897566.2</v>
      </c>
      <c r="Z103" s="168">
        <f>3936979-(3.6*474*0.5)</f>
        <v>3936125.8</v>
      </c>
      <c r="AA103" s="164">
        <f>IFERROR((Z103-Y103)," ")-BDFUENTES[[#This Row],[PZ MED m3/día]]</f>
        <v>38559.599999999627</v>
      </c>
      <c r="AB103" s="168">
        <f t="shared" ref="AB103" si="2163">IFERROR(ROUNDDOWN(+AF103/(AC103*3.6),0)," ")</f>
        <v>68</v>
      </c>
      <c r="AC103" s="168">
        <v>24</v>
      </c>
      <c r="AD103" s="171">
        <f t="shared" ref="AD103" si="2164">IF(AE103&gt;0,AE102," ")</f>
        <v>5530843</v>
      </c>
      <c r="AE103" s="167">
        <v>5536734</v>
      </c>
      <c r="AF103" s="165">
        <f t="shared" ref="AF103" si="2165">IFERROR((AE103-AD103)," ")</f>
        <v>5891</v>
      </c>
      <c r="AG103" s="168">
        <v>40</v>
      </c>
      <c r="AH103" s="168">
        <v>24</v>
      </c>
      <c r="AI103" s="166"/>
      <c r="AJ103" s="166"/>
      <c r="AK103" s="166">
        <f t="shared" ref="AK103" si="2166">IF(OR(AH103="",AG103=""),"",AH103*AG103*3.6)</f>
        <v>3456</v>
      </c>
      <c r="AL103" s="167">
        <f>+BDFUENTES[[#This Row],[PZ CHB m3/día]]/3.6/BDFUENTES[[#This Row],[PZ CHB Horas Activo]]</f>
        <v>38.213213213213216</v>
      </c>
      <c r="AM103" s="171">
        <v>18.5</v>
      </c>
      <c r="AN103" s="168">
        <f t="shared" ref="AN103" si="2167">IF(AO103&gt;0,AO102," ")</f>
        <v>3749878</v>
      </c>
      <c r="AO103" s="168">
        <v>3752423</v>
      </c>
      <c r="AP103" s="167">
        <f t="shared" ref="AP103" si="2168">IFERROR((AO103-AN103)," ")</f>
        <v>2545</v>
      </c>
      <c r="AQ103" s="166"/>
      <c r="AR103" s="166" t="str">
        <f t="shared" ref="AR103" si="2169">IFERROR(+AU103/(AQ103*3.6)," ")</f>
        <v xml:space="preserve"> </v>
      </c>
      <c r="AS103" s="168" t="str">
        <f t="shared" ref="AS103" si="2170">IF(AT103&gt;0,AT102," ")</f>
        <v xml:space="preserve"> </v>
      </c>
      <c r="AT103" s="168"/>
      <c r="AU103" s="166" t="str">
        <f t="shared" ref="AU103" si="2171">IFERROR((AT103-AS103)," ")</f>
        <v xml:space="preserve"> </v>
      </c>
      <c r="AV103" s="167">
        <f>+BDFUENTES[[#This Row],[PZ TM m3/día]]/3.6/BDFUENTES[[#This Row],[PZ TM Horas Activo]]</f>
        <v>11.441798941798941</v>
      </c>
      <c r="AW103" s="167">
        <v>21</v>
      </c>
      <c r="AX103" s="169">
        <f t="shared" si="2085"/>
        <v>624765</v>
      </c>
      <c r="AY103" s="169">
        <v>625630</v>
      </c>
      <c r="AZ103" s="167">
        <f t="shared" ref="AZ103" si="2172">IFERROR((AY103-AX103)," ")</f>
        <v>865</v>
      </c>
      <c r="BA103" s="166">
        <v>125</v>
      </c>
      <c r="BB103" s="166">
        <f t="shared" ref="BB103" si="2173">IFERROR(+BE103/(BA103*3.6)," ")</f>
        <v>5.5644444444444447</v>
      </c>
      <c r="BC103" s="168">
        <f t="shared" ref="BC103" si="2174">IF(BD103&gt;0,BD102," ")</f>
        <v>6063933</v>
      </c>
      <c r="BD103" s="168">
        <v>6066437</v>
      </c>
      <c r="BE103" s="166">
        <f t="shared" ref="BE103" si="2175">IFERROR((BD103-BC103)," ")</f>
        <v>2504</v>
      </c>
      <c r="BF103" s="167">
        <v>20</v>
      </c>
      <c r="BG103" s="166">
        <f t="shared" ref="BG103" si="2176">IFERROR(+BJ103/(BF103*3.6)," ")</f>
        <v>17.416666666666668</v>
      </c>
      <c r="BH103" s="168">
        <f t="shared" ref="BH103" si="2177">IF(BI103&gt;0,BI102," ")</f>
        <v>1639513</v>
      </c>
      <c r="BI103" s="168">
        <v>1640767</v>
      </c>
      <c r="BJ103" s="167">
        <f t="shared" ref="BJ103" si="2178">IFERROR((BI103-BH103)," ")</f>
        <v>1254</v>
      </c>
      <c r="BK103" s="166">
        <v>70</v>
      </c>
      <c r="BL103" s="166">
        <f t="shared" ref="BL103" si="2179">IFERROR(+BO103/(BK103*3.6)," ")</f>
        <v>19.325396825396826</v>
      </c>
      <c r="BM103" s="168">
        <f t="shared" ref="BM103" si="2180">IF(BN103&gt;0,BN102," ")</f>
        <v>6515391</v>
      </c>
      <c r="BN103" s="168">
        <v>6520261</v>
      </c>
      <c r="BO103" s="166">
        <f t="shared" ref="BO103" si="2181">IFERROR((BN103-BM103)," ")</f>
        <v>4870</v>
      </c>
    </row>
    <row r="104" spans="2:67" ht="15" customHeight="1" x14ac:dyDescent="0.25">
      <c r="B104" s="170">
        <v>46122</v>
      </c>
      <c r="C104" s="164">
        <v>38</v>
      </c>
      <c r="D104" s="166">
        <v>16.52</v>
      </c>
      <c r="E104" s="168">
        <f t="shared" ref="E104" si="2182">IF(F104&gt;0,F103," ")</f>
        <v>3930988</v>
      </c>
      <c r="F104" s="168">
        <v>3933374</v>
      </c>
      <c r="G104" s="166">
        <f t="shared" ref="G104" si="2183">IFERROR((F104-E104)," ")</f>
        <v>2386</v>
      </c>
      <c r="H104" s="167">
        <v>25</v>
      </c>
      <c r="I104" s="167">
        <f t="shared" ref="I104" si="2184">IFERROR(+L104/(H104*3.6)," ")</f>
        <v>0</v>
      </c>
      <c r="J104" s="168">
        <f t="shared" ref="J104" si="2185">IF(K104&gt;0,K103," ")</f>
        <v>1970853</v>
      </c>
      <c r="K104" s="266">
        <v>1970853</v>
      </c>
      <c r="L104" s="167">
        <f t="shared" ref="L104" si="2186">IFERROR((K104-J104)," ")</f>
        <v>0</v>
      </c>
      <c r="M104" s="166">
        <v>38</v>
      </c>
      <c r="N104" s="166">
        <f t="shared" ref="N104" si="2187">IFERROR(+Q104/(M104*3.6)," ")</f>
        <v>0</v>
      </c>
      <c r="O104" s="168">
        <f t="shared" ref="O104" si="2188">IF(P104&gt;0,P103," ")</f>
        <v>414656</v>
      </c>
      <c r="P104" s="168">
        <v>414656</v>
      </c>
      <c r="Q104" s="166">
        <f t="shared" ref="Q104" si="2189">IFERROR((P104-O104)," ")</f>
        <v>0</v>
      </c>
      <c r="R104" s="167">
        <v>0</v>
      </c>
      <c r="S104" s="167">
        <v>0</v>
      </c>
      <c r="T104" s="168">
        <f t="shared" ref="T104" si="2190">IF(U104&gt;0,U103," ")</f>
        <v>371385</v>
      </c>
      <c r="U104" s="168">
        <v>371385</v>
      </c>
      <c r="V104" s="165">
        <f t="shared" ref="V104" si="2191">IFERROR((U104-T104)," ")</f>
        <v>0</v>
      </c>
      <c r="W104" s="164">
        <f t="shared" ref="W104" si="2192">IFERROR((AA104/X104)/3.6," ")</f>
        <v>466.52974748472508</v>
      </c>
      <c r="X104" s="166">
        <v>24</v>
      </c>
      <c r="Y104" s="168">
        <f t="shared" ref="Y104" si="2193">IF(Z104&gt;0,Z103," ")</f>
        <v>3936125.8</v>
      </c>
      <c r="Z104" s="168">
        <v>3976433.9701826801</v>
      </c>
      <c r="AA104" s="164">
        <f>IFERROR((Z104-Y104)," ")-BDFUENTES[[#This Row],[PZ MED m3/día]]</f>
        <v>40308.170182680245</v>
      </c>
      <c r="AB104" s="168">
        <f t="shared" ref="AB104" si="2194">IFERROR(ROUNDDOWN(+AF104/(AC104*3.6),0)," ")</f>
        <v>70</v>
      </c>
      <c r="AC104" s="168">
        <v>24</v>
      </c>
      <c r="AD104" s="171">
        <f t="shared" ref="AD104" si="2195">IF(AE104&gt;0,AE103," ")</f>
        <v>5536734</v>
      </c>
      <c r="AE104" s="167">
        <v>5542849</v>
      </c>
      <c r="AF104" s="165">
        <f t="shared" ref="AF104" si="2196">IFERROR((AE104-AD104)," ")</f>
        <v>6115</v>
      </c>
      <c r="AG104" s="168">
        <v>40</v>
      </c>
      <c r="AH104" s="168">
        <v>24</v>
      </c>
      <c r="AI104" s="166"/>
      <c r="AJ104" s="166"/>
      <c r="AK104" s="166">
        <f t="shared" ref="AK104" si="2197">IF(OR(AH104="",AG104=""),"",AH104*AG104*3.6)</f>
        <v>3456</v>
      </c>
      <c r="AL104" s="167">
        <f>+BDFUENTES[[#This Row],[PZ CHB m3/día]]/3.6/BDFUENTES[[#This Row],[PZ CHB Horas Activo]]</f>
        <v>38.858024691358025</v>
      </c>
      <c r="AM104" s="171">
        <v>18</v>
      </c>
      <c r="AN104" s="168">
        <f t="shared" ref="AN104" si="2198">IF(AO104&gt;0,AO103," ")</f>
        <v>3752423</v>
      </c>
      <c r="AO104" s="168">
        <v>3754941</v>
      </c>
      <c r="AP104" s="167">
        <f t="shared" ref="AP104" si="2199">IFERROR((AO104-AN104)," ")</f>
        <v>2518</v>
      </c>
      <c r="AQ104" s="166"/>
      <c r="AR104" s="166" t="str">
        <f t="shared" ref="AR104" si="2200">IFERROR(+AU104/(AQ104*3.6)," ")</f>
        <v xml:space="preserve"> </v>
      </c>
      <c r="AS104" s="168" t="str">
        <f t="shared" ref="AS104" si="2201">IF(AT104&gt;0,AT103," ")</f>
        <v xml:space="preserve"> </v>
      </c>
      <c r="AT104" s="168"/>
      <c r="AU104" s="166" t="str">
        <f t="shared" ref="AU104" si="2202">IFERROR((AT104-AS104)," ")</f>
        <v xml:space="preserve"> </v>
      </c>
      <c r="AV104" s="167">
        <f>+BDFUENTES[[#This Row],[PZ TM m3/día]]/3.6/BDFUENTES[[#This Row],[PZ TM Horas Activo]]</f>
        <v>11.71875</v>
      </c>
      <c r="AW104" s="167">
        <v>16</v>
      </c>
      <c r="AX104" s="169">
        <f t="shared" si="2085"/>
        <v>625630</v>
      </c>
      <c r="AY104" s="169">
        <v>626305</v>
      </c>
      <c r="AZ104" s="167">
        <f t="shared" ref="AZ104" si="2203">IFERROR((AY104-AX104)," ")</f>
        <v>675</v>
      </c>
      <c r="BA104" s="166">
        <v>125</v>
      </c>
      <c r="BB104" s="166">
        <f t="shared" ref="BB104" si="2204">IFERROR(+BE104/(BA104*3.6)," ")</f>
        <v>5.4444444444444446</v>
      </c>
      <c r="BC104" s="168">
        <f t="shared" ref="BC104" si="2205">IF(BD104&gt;0,BD103," ")</f>
        <v>6066437</v>
      </c>
      <c r="BD104" s="168">
        <v>6068887</v>
      </c>
      <c r="BE104" s="166">
        <f t="shared" ref="BE104" si="2206">IFERROR((BD104-BC104)," ")</f>
        <v>2450</v>
      </c>
      <c r="BF104" s="167">
        <v>20</v>
      </c>
      <c r="BG104" s="166">
        <f t="shared" ref="BG104" si="2207">IFERROR(+BJ104/(BF104*3.6)," ")</f>
        <v>18.194444444444443</v>
      </c>
      <c r="BH104" s="168">
        <f t="shared" ref="BH104" si="2208">IF(BI104&gt;0,BI103," ")</f>
        <v>1640767</v>
      </c>
      <c r="BI104" s="168">
        <v>1642077</v>
      </c>
      <c r="BJ104" s="167">
        <f t="shared" ref="BJ104" si="2209">IFERROR((BI104-BH104)," ")</f>
        <v>1310</v>
      </c>
      <c r="BK104" s="166">
        <v>70</v>
      </c>
      <c r="BL104" s="166">
        <f t="shared" ref="BL104" si="2210">IFERROR(+BO104/(BK104*3.6)," ")</f>
        <v>17.61904761904762</v>
      </c>
      <c r="BM104" s="168">
        <f t="shared" ref="BM104" si="2211">IF(BN104&gt;0,BN103," ")</f>
        <v>6520261</v>
      </c>
      <c r="BN104" s="168">
        <v>6524701</v>
      </c>
      <c r="BO104" s="166">
        <f t="shared" ref="BO104" si="2212">IFERROR((BN104-BM104)," ")</f>
        <v>4440</v>
      </c>
    </row>
    <row r="105" spans="2:67" ht="15" customHeight="1" x14ac:dyDescent="0.25">
      <c r="B105" s="170">
        <v>46123</v>
      </c>
      <c r="C105" s="164">
        <v>38</v>
      </c>
      <c r="D105" s="166">
        <v>16.59</v>
      </c>
      <c r="E105" s="168">
        <f t="shared" ref="E105" si="2213">IF(F105&gt;0,F104," ")</f>
        <v>3933374</v>
      </c>
      <c r="F105" s="414">
        <v>3935786</v>
      </c>
      <c r="G105" s="166">
        <f t="shared" ref="G105" si="2214">IFERROR((F105-E105)," ")</f>
        <v>2412</v>
      </c>
      <c r="H105" s="167">
        <v>25</v>
      </c>
      <c r="I105" s="167">
        <f t="shared" ref="I105" si="2215">IFERROR(+L105/(H105*3.6)," ")</f>
        <v>0</v>
      </c>
      <c r="J105" s="168">
        <f t="shared" ref="J105" si="2216">IF(K105&gt;0,K104," ")</f>
        <v>1970853</v>
      </c>
      <c r="K105" s="266">
        <v>1970853</v>
      </c>
      <c r="L105" s="167">
        <f t="shared" ref="L105" si="2217">IFERROR((K105-J105)," ")</f>
        <v>0</v>
      </c>
      <c r="M105" s="166">
        <v>38</v>
      </c>
      <c r="N105" s="166">
        <f t="shared" ref="N105" si="2218">IFERROR(+Q105/(M105*3.6)," ")</f>
        <v>0</v>
      </c>
      <c r="O105" s="168">
        <f t="shared" ref="O105" si="2219">IF(P105&gt;0,P104," ")</f>
        <v>414656</v>
      </c>
      <c r="P105" s="168">
        <v>414656</v>
      </c>
      <c r="Q105" s="166">
        <f t="shared" ref="Q105" si="2220">IFERROR((P105-O105)," ")</f>
        <v>0</v>
      </c>
      <c r="R105" s="167">
        <v>0</v>
      </c>
      <c r="S105" s="167">
        <v>0</v>
      </c>
      <c r="T105" s="168">
        <f t="shared" ref="T105" si="2221">IF(U105&gt;0,U104," ")</f>
        <v>371385</v>
      </c>
      <c r="U105" s="168">
        <v>371385</v>
      </c>
      <c r="V105" s="165">
        <f t="shared" ref="V105" si="2222">IFERROR((U105-T105)," ")</f>
        <v>0</v>
      </c>
      <c r="W105" s="164">
        <f t="shared" ref="W105" si="2223">IFERROR((AA105/X105)/3.6," ")</f>
        <v>472.67395621898078</v>
      </c>
      <c r="X105" s="166">
        <v>24</v>
      </c>
      <c r="Y105" s="168">
        <f t="shared" ref="Y105" si="2224">IF(Z105&gt;0,Z104," ")</f>
        <v>3976433.9701826801</v>
      </c>
      <c r="Z105" s="168">
        <v>4017273</v>
      </c>
      <c r="AA105" s="164">
        <f>IFERROR((Z105-Y105)," ")-BDFUENTES[[#This Row],[PZ MED m3/día]]</f>
        <v>40839.029817319941</v>
      </c>
      <c r="AB105" s="168">
        <f t="shared" ref="AB105" si="2225">IFERROR(ROUNDDOWN(+AF105/(AC105*3.6),0)," ")</f>
        <v>62</v>
      </c>
      <c r="AC105" s="168">
        <v>24</v>
      </c>
      <c r="AD105" s="171">
        <f t="shared" ref="AD105" si="2226">IF(AE105&gt;0,AE104," ")</f>
        <v>5542849</v>
      </c>
      <c r="AE105" s="167">
        <v>5548248</v>
      </c>
      <c r="AF105" s="165">
        <f t="shared" ref="AF105" si="2227">IFERROR((AE105-AD105)," ")</f>
        <v>5399</v>
      </c>
      <c r="AG105" s="168">
        <v>40</v>
      </c>
      <c r="AH105" s="168">
        <v>24</v>
      </c>
      <c r="AI105" s="166"/>
      <c r="AJ105" s="166"/>
      <c r="AK105" s="166">
        <f t="shared" ref="AK105" si="2228">IF(OR(AH105="",AG105=""),"",AH105*AG105*3.6)</f>
        <v>3456</v>
      </c>
      <c r="AL105" s="167">
        <f>+BDFUENTES[[#This Row],[PZ CHB m3/día]]/3.6/BDFUENTES[[#This Row],[PZ CHB Horas Activo]]</f>
        <v>38.086419753086417</v>
      </c>
      <c r="AM105" s="171">
        <v>18</v>
      </c>
      <c r="AN105" s="168">
        <f t="shared" ref="AN105" si="2229">IF(AO105&gt;0,AO104," ")</f>
        <v>3754941</v>
      </c>
      <c r="AO105" s="414">
        <v>3757409</v>
      </c>
      <c r="AP105" s="167">
        <f t="shared" ref="AP105" si="2230">IFERROR((AO105-AN105)," ")</f>
        <v>2468</v>
      </c>
      <c r="AQ105" s="166"/>
      <c r="AR105" s="166" t="str">
        <f t="shared" ref="AR105" si="2231">IFERROR(+AU105/(AQ105*3.6)," ")</f>
        <v xml:space="preserve"> </v>
      </c>
      <c r="AS105" s="168" t="str">
        <f t="shared" ref="AS105" si="2232">IF(AT105&gt;0,AT104," ")</f>
        <v xml:space="preserve"> </v>
      </c>
      <c r="AT105" s="168"/>
      <c r="AU105" s="166" t="str">
        <f t="shared" ref="AU105" si="2233">IFERROR((AT105-AS105)," ")</f>
        <v xml:space="preserve"> </v>
      </c>
      <c r="AV105" s="167">
        <f>+BDFUENTES[[#This Row],[PZ TM m3/día]]/3.6/BDFUENTES[[#This Row],[PZ TM Horas Activo]]</f>
        <v>11.684027777777777</v>
      </c>
      <c r="AW105" s="167">
        <v>16</v>
      </c>
      <c r="AX105" s="169">
        <f t="shared" ref="AX105" si="2234">IF(AY105&gt;0,AY104," ")</f>
        <v>626305</v>
      </c>
      <c r="AY105" s="415">
        <v>626978</v>
      </c>
      <c r="AZ105" s="167">
        <f t="shared" ref="AZ105" si="2235">IFERROR((AY105-AX105)," ")</f>
        <v>673</v>
      </c>
      <c r="BA105" s="166">
        <v>125</v>
      </c>
      <c r="BB105" s="166">
        <f t="shared" ref="BB105" si="2236">IFERROR(+BE105/(BA105*3.6)," ")</f>
        <v>5.3755555555555556</v>
      </c>
      <c r="BC105" s="168">
        <f t="shared" ref="BC105" si="2237">IF(BD105&gt;0,BD104," ")</f>
        <v>6068887</v>
      </c>
      <c r="BD105" s="414">
        <v>6071306</v>
      </c>
      <c r="BE105" s="166">
        <f t="shared" ref="BE105" si="2238">IFERROR((BD105-BC105)," ")</f>
        <v>2419</v>
      </c>
      <c r="BF105" s="167">
        <v>20</v>
      </c>
      <c r="BG105" s="166">
        <f t="shared" ref="BG105" si="2239">IFERROR(+BJ105/(BF105*3.6)," ")</f>
        <v>18.388888888888889</v>
      </c>
      <c r="BH105" s="168">
        <f t="shared" ref="BH105" si="2240">IF(BI105&gt;0,BI104," ")</f>
        <v>1642077</v>
      </c>
      <c r="BI105" s="414">
        <v>1643401</v>
      </c>
      <c r="BJ105" s="167">
        <f t="shared" ref="BJ105" si="2241">IFERROR((BI105-BH105)," ")</f>
        <v>1324</v>
      </c>
      <c r="BK105" s="166">
        <v>70</v>
      </c>
      <c r="BL105" s="166">
        <f t="shared" ref="BL105" si="2242">IFERROR(+BO105/(BK105*3.6)," ")</f>
        <v>18.531746031746032</v>
      </c>
      <c r="BM105" s="168">
        <f t="shared" ref="BM105" si="2243">IF(BN105&gt;0,BN104," ")</f>
        <v>6524701</v>
      </c>
      <c r="BN105" s="414">
        <v>6529371</v>
      </c>
      <c r="BO105" s="166">
        <f t="shared" ref="BO105" si="2244">IFERROR((BN105-BM105)," ")</f>
        <v>4670</v>
      </c>
    </row>
    <row r="106" spans="2:67" ht="15" customHeight="1" x14ac:dyDescent="0.25">
      <c r="B106" s="170">
        <v>46124</v>
      </c>
      <c r="C106" s="164">
        <v>38</v>
      </c>
      <c r="D106" s="166">
        <v>16.66</v>
      </c>
      <c r="E106" s="168">
        <f t="shared" ref="E106" si="2245">IF(F106&gt;0,F105," ")</f>
        <v>3935786</v>
      </c>
      <c r="F106" s="414">
        <v>3937709</v>
      </c>
      <c r="G106" s="166">
        <f t="shared" ref="G106" si="2246">IFERROR((F106-E106)," ")</f>
        <v>1923</v>
      </c>
      <c r="H106" s="167">
        <v>25</v>
      </c>
      <c r="I106" s="167">
        <f t="shared" ref="I106" si="2247">IFERROR(+L106/(H106*3.6)," ")</f>
        <v>0</v>
      </c>
      <c r="J106" s="168">
        <f t="shared" ref="J106" si="2248">IF(K106&gt;0,K105," ")</f>
        <v>1970853</v>
      </c>
      <c r="K106" s="266">
        <v>1970853</v>
      </c>
      <c r="L106" s="167">
        <f t="shared" ref="L106" si="2249">IFERROR((K106-J106)," ")</f>
        <v>0</v>
      </c>
      <c r="M106" s="166">
        <v>38</v>
      </c>
      <c r="N106" s="166">
        <f t="shared" ref="N106" si="2250">IFERROR(+Q106/(M106*3.6)," ")</f>
        <v>0</v>
      </c>
      <c r="O106" s="168">
        <f t="shared" ref="O106" si="2251">IF(P106&gt;0,P105," ")</f>
        <v>414656</v>
      </c>
      <c r="P106" s="168">
        <v>414656</v>
      </c>
      <c r="Q106" s="166">
        <f t="shared" ref="Q106" si="2252">IFERROR((P106-O106)," ")</f>
        <v>0</v>
      </c>
      <c r="R106" s="167">
        <v>0</v>
      </c>
      <c r="S106" s="167">
        <v>0</v>
      </c>
      <c r="T106" s="168">
        <f t="shared" ref="T106" si="2253">IF(U106&gt;0,U105," ")</f>
        <v>371385</v>
      </c>
      <c r="U106" s="168">
        <v>371385</v>
      </c>
      <c r="V106" s="165">
        <f t="shared" ref="V106" si="2254">IFERROR((U106-T106)," ")</f>
        <v>0</v>
      </c>
      <c r="W106" s="164">
        <f t="shared" ref="W106" si="2255">IFERROR((AA106/X106)/3.6," ")</f>
        <v>466.59953703703923</v>
      </c>
      <c r="X106" s="166">
        <v>24</v>
      </c>
      <c r="Y106" s="168">
        <f t="shared" ref="Y106" si="2256">IF(Z106&gt;0,Z105," ")</f>
        <v>4017273</v>
      </c>
      <c r="Z106" s="168">
        <f>4052468+(474*3.6*3)</f>
        <v>4057587.2</v>
      </c>
      <c r="AA106" s="164">
        <f>IFERROR((Z106-Y106)," ")-BDFUENTES[[#This Row],[PZ MED m3/día]]</f>
        <v>40314.200000000186</v>
      </c>
      <c r="AB106" s="168">
        <f t="shared" ref="AB106" si="2257">IFERROR(ROUNDDOWN(+AF106/(AC106*3.6),0)," ")</f>
        <v>70</v>
      </c>
      <c r="AC106" s="168">
        <v>24</v>
      </c>
      <c r="AD106" s="171">
        <f t="shared" ref="AD106" si="2258">IF(AE106&gt;0,AE105," ")</f>
        <v>5548248</v>
      </c>
      <c r="AE106" s="167">
        <v>5554347</v>
      </c>
      <c r="AF106" s="165">
        <f t="shared" ref="AF106" si="2259">IFERROR((AE106-AD106)," ")</f>
        <v>6099</v>
      </c>
      <c r="AG106" s="168">
        <v>40</v>
      </c>
      <c r="AH106" s="168">
        <v>24</v>
      </c>
      <c r="AI106" s="166"/>
      <c r="AJ106" s="166"/>
      <c r="AK106" s="166">
        <f t="shared" ref="AK106" si="2260">IF(OR(AH106="",AG106=""),"",AH106*AG106*3.6)</f>
        <v>3456</v>
      </c>
      <c r="AL106" s="167">
        <f>+BDFUENTES[[#This Row],[PZ CHB m3/día]]/3.6/BDFUENTES[[#This Row],[PZ CHB Horas Activo]]</f>
        <v>39.058641975308639</v>
      </c>
      <c r="AM106" s="171">
        <v>18</v>
      </c>
      <c r="AN106" s="168">
        <f t="shared" ref="AN106" si="2261">IF(AO106&gt;0,AO105," ")</f>
        <v>3757409</v>
      </c>
      <c r="AO106" s="414">
        <v>3759940</v>
      </c>
      <c r="AP106" s="167">
        <f t="shared" ref="AP106" si="2262">IFERROR((AO106-AN106)," ")</f>
        <v>2531</v>
      </c>
      <c r="AQ106" s="166"/>
      <c r="AR106" s="166" t="str">
        <f t="shared" ref="AR106" si="2263">IFERROR(+AU106/(AQ106*3.6)," ")</f>
        <v xml:space="preserve"> </v>
      </c>
      <c r="AS106" s="168" t="str">
        <f t="shared" ref="AS106" si="2264">IF(AT106&gt;0,AT105," ")</f>
        <v xml:space="preserve"> </v>
      </c>
      <c r="AT106" s="168"/>
      <c r="AU106" s="166" t="str">
        <f t="shared" ref="AU106" si="2265">IFERROR((AT106-AS106)," ")</f>
        <v xml:space="preserve"> </v>
      </c>
      <c r="AV106" s="167">
        <f>+BDFUENTES[[#This Row],[PZ TM m3/día]]/3.6/BDFUENTES[[#This Row],[PZ TM Horas Activo]]</f>
        <v>11.290849673202613</v>
      </c>
      <c r="AW106" s="167">
        <v>17</v>
      </c>
      <c r="AX106" s="169">
        <f t="shared" ref="AX106" si="2266">IF(AY106&gt;0,AY105," ")</f>
        <v>626978</v>
      </c>
      <c r="AY106" s="415">
        <v>627669</v>
      </c>
      <c r="AZ106" s="167">
        <f t="shared" ref="AZ106" si="2267">IFERROR((AY106-AX106)," ")</f>
        <v>691</v>
      </c>
      <c r="BA106" s="166">
        <v>125</v>
      </c>
      <c r="BB106" s="166">
        <f t="shared" ref="BB106" si="2268">IFERROR(+BE106/(BA106*3.6)," ")</f>
        <v>4.2955555555555556</v>
      </c>
      <c r="BC106" s="168">
        <f t="shared" ref="BC106" si="2269">IF(BD106&gt;0,BD105," ")</f>
        <v>6071306</v>
      </c>
      <c r="BD106" s="414">
        <v>6073239</v>
      </c>
      <c r="BE106" s="166">
        <f t="shared" ref="BE106" si="2270">IFERROR((BD106-BC106)," ")</f>
        <v>1933</v>
      </c>
      <c r="BF106" s="167">
        <v>20</v>
      </c>
      <c r="BG106" s="166">
        <f t="shared" ref="BG106" si="2271">IFERROR(+BJ106/(BF106*3.6)," ")</f>
        <v>17.652777777777779</v>
      </c>
      <c r="BH106" s="168">
        <f t="shared" ref="BH106" si="2272">IF(BI106&gt;0,BI105," ")</f>
        <v>1643401</v>
      </c>
      <c r="BI106" s="414">
        <v>1644672</v>
      </c>
      <c r="BJ106" s="167">
        <f t="shared" ref="BJ106" si="2273">IFERROR((BI106-BH106)," ")</f>
        <v>1271</v>
      </c>
      <c r="BK106" s="166">
        <v>70</v>
      </c>
      <c r="BL106" s="166">
        <f t="shared" ref="BL106" si="2274">IFERROR(+BO106/(BK106*3.6)," ")</f>
        <v>16.638888888888889</v>
      </c>
      <c r="BM106" s="168">
        <f t="shared" ref="BM106" si="2275">IF(BN106&gt;0,BN105," ")</f>
        <v>6529371</v>
      </c>
      <c r="BN106" s="414">
        <v>6533564</v>
      </c>
      <c r="BO106" s="166">
        <f t="shared" ref="BO106" si="2276">IFERROR((BN106-BM106)," ")</f>
        <v>4193</v>
      </c>
    </row>
    <row r="107" spans="2:67" ht="15" customHeight="1" x14ac:dyDescent="0.25">
      <c r="B107" s="170">
        <v>46125</v>
      </c>
      <c r="C107" s="164">
        <v>38</v>
      </c>
      <c r="D107" s="166">
        <v>16.73</v>
      </c>
      <c r="E107" s="168">
        <f t="shared" ref="E107" si="2277">IF(F107&gt;0,F106," ")</f>
        <v>3937709</v>
      </c>
      <c r="F107" s="414">
        <v>3939630</v>
      </c>
      <c r="G107" s="166">
        <f t="shared" ref="G107" si="2278">IFERROR((F107-E107)," ")</f>
        <v>1921</v>
      </c>
      <c r="H107" s="167">
        <v>25</v>
      </c>
      <c r="I107" s="167">
        <f t="shared" ref="I107" si="2279">IFERROR(+L107/(H107*3.6)," ")</f>
        <v>0</v>
      </c>
      <c r="J107" s="168">
        <f t="shared" ref="J107" si="2280">IF(K107&gt;0,K106," ")</f>
        <v>1970853</v>
      </c>
      <c r="K107" s="266">
        <v>1970853</v>
      </c>
      <c r="L107" s="167">
        <f t="shared" ref="L107" si="2281">IFERROR((K107-J107)," ")</f>
        <v>0</v>
      </c>
      <c r="M107" s="166">
        <v>38</v>
      </c>
      <c r="N107" s="166">
        <f t="shared" ref="N107" si="2282">IFERROR(+Q107/(M107*3.6)," ")</f>
        <v>0</v>
      </c>
      <c r="O107" s="168">
        <f t="shared" ref="O107" si="2283">IF(P107&gt;0,P106," ")</f>
        <v>414656</v>
      </c>
      <c r="P107" s="168">
        <v>414656</v>
      </c>
      <c r="Q107" s="166">
        <f t="shared" ref="Q107" si="2284">IFERROR((P107-O107)," ")</f>
        <v>0</v>
      </c>
      <c r="R107" s="167">
        <v>0</v>
      </c>
      <c r="S107" s="167">
        <v>0</v>
      </c>
      <c r="T107" s="168">
        <f t="shared" ref="T107" si="2285">IF(U107&gt;0,U106," ")</f>
        <v>371385</v>
      </c>
      <c r="U107" s="168">
        <v>371791</v>
      </c>
      <c r="V107" s="165">
        <f t="shared" ref="V107" si="2286">IFERROR((U107-T107)," ")</f>
        <v>406</v>
      </c>
      <c r="W107" s="164">
        <f t="shared" ref="W107" si="2287">IFERROR((AA107/X107)/3.6," ")</f>
        <v>469.31791947175816</v>
      </c>
      <c r="X107" s="166">
        <v>24</v>
      </c>
      <c r="Y107" s="168">
        <f t="shared" ref="Y107" si="2288">IF(Z107&gt;0,Z106," ")</f>
        <v>4057587.2</v>
      </c>
      <c r="Z107" s="168">
        <v>4098542.2682423601</v>
      </c>
      <c r="AA107" s="164">
        <f>IFERROR((Z107-Y107)," ")-BDFUENTES[[#This Row],[PZ MED m3/día]]</f>
        <v>40549.068242359906</v>
      </c>
      <c r="AB107" s="168">
        <f t="shared" ref="AB107" si="2289">IFERROR(ROUNDDOWN(+AF107/(AC107*3.6),0)," ")</f>
        <v>62</v>
      </c>
      <c r="AC107" s="168">
        <v>24</v>
      </c>
      <c r="AD107" s="171">
        <f t="shared" ref="AD107" si="2290">IF(AE107&gt;0,AE106," ")</f>
        <v>5554347</v>
      </c>
      <c r="AE107" s="167">
        <v>5559736</v>
      </c>
      <c r="AF107" s="165">
        <f t="shared" ref="AF107" si="2291">IFERROR((AE107-AD107)," ")</f>
        <v>5389</v>
      </c>
      <c r="AG107" s="168">
        <v>40</v>
      </c>
      <c r="AH107" s="168">
        <v>24</v>
      </c>
      <c r="AI107" s="166"/>
      <c r="AJ107" s="166"/>
      <c r="AK107" s="166">
        <f t="shared" ref="AK107" si="2292">IF(OR(AH107="",AG107=""),"",AH107*AG107*3.6)</f>
        <v>3456</v>
      </c>
      <c r="AL107" s="167">
        <f>+BDFUENTES[[#This Row],[PZ CHB m3/día]]/3.6/BDFUENTES[[#This Row],[PZ CHB Horas Activo]]</f>
        <v>39.660493827160494</v>
      </c>
      <c r="AM107" s="171">
        <v>18</v>
      </c>
      <c r="AN107" s="168">
        <f t="shared" ref="AN107" si="2293">IF(AO107&gt;0,AO106," ")</f>
        <v>3759940</v>
      </c>
      <c r="AO107" s="414">
        <v>3762510</v>
      </c>
      <c r="AP107" s="167">
        <f t="shared" ref="AP107" si="2294">IFERROR((AO107-AN107)," ")</f>
        <v>2570</v>
      </c>
      <c r="AQ107" s="166"/>
      <c r="AR107" s="166" t="str">
        <f t="shared" ref="AR107" si="2295">IFERROR(+AU107/(AQ107*3.6)," ")</f>
        <v xml:space="preserve"> </v>
      </c>
      <c r="AS107" s="168" t="str">
        <f t="shared" ref="AS107" si="2296">IF(AT107&gt;0,AT106," ")</f>
        <v xml:space="preserve"> </v>
      </c>
      <c r="AT107" s="168"/>
      <c r="AU107" s="166" t="str">
        <f t="shared" ref="AU107" si="2297">IFERROR((AT107-AS107)," ")</f>
        <v xml:space="preserve"> </v>
      </c>
      <c r="AV107" s="167">
        <f>+BDFUENTES[[#This Row],[PZ TM m3/día]]/3.6/BDFUENTES[[#This Row],[PZ TM Horas Activo]]</f>
        <v>11.830065359477125</v>
      </c>
      <c r="AW107" s="167">
        <v>17</v>
      </c>
      <c r="AX107" s="169">
        <f t="shared" ref="AX107" si="2298">IF(AY107&gt;0,AY106," ")</f>
        <v>627669</v>
      </c>
      <c r="AY107" s="415">
        <v>628393</v>
      </c>
      <c r="AZ107" s="167">
        <f t="shared" ref="AZ107" si="2299">IFERROR((AY107-AX107)," ")</f>
        <v>724</v>
      </c>
      <c r="BA107" s="166">
        <v>125</v>
      </c>
      <c r="BB107" s="166">
        <f t="shared" ref="BB107" si="2300">IFERROR(+BE107/(BA107*3.6)," ")</f>
        <v>4.3822222222222225</v>
      </c>
      <c r="BC107" s="168">
        <f t="shared" ref="BC107" si="2301">IF(BD107&gt;0,BD106," ")</f>
        <v>6073239</v>
      </c>
      <c r="BD107" s="414">
        <v>6075211</v>
      </c>
      <c r="BE107" s="166">
        <f t="shared" ref="BE107" si="2302">IFERROR((BD107-BC107)," ")</f>
        <v>1972</v>
      </c>
      <c r="BF107" s="167">
        <v>20</v>
      </c>
      <c r="BG107" s="166">
        <f t="shared" ref="BG107" si="2303">IFERROR(+BJ107/(BF107*3.6)," ")</f>
        <v>14.277777777777779</v>
      </c>
      <c r="BH107" s="168">
        <f t="shared" ref="BH107" si="2304">IF(BI107&gt;0,BI106," ")</f>
        <v>1644672</v>
      </c>
      <c r="BI107" s="414">
        <v>1645700</v>
      </c>
      <c r="BJ107" s="167">
        <f t="shared" ref="BJ107" si="2305">IFERROR((BI107-BH107)," ")</f>
        <v>1028</v>
      </c>
      <c r="BK107" s="166">
        <v>70</v>
      </c>
      <c r="BL107" s="166">
        <f t="shared" ref="BL107" si="2306">IFERROR(+BO107/(BK107*3.6)," ")</f>
        <v>16.980158730158731</v>
      </c>
      <c r="BM107" s="168">
        <f t="shared" ref="BM107" si="2307">IF(BN107&gt;0,BN106," ")</f>
        <v>6533564</v>
      </c>
      <c r="BN107" s="414">
        <v>6537843</v>
      </c>
      <c r="BO107" s="166">
        <f t="shared" ref="BO107" si="2308">IFERROR((BN107-BM107)," ")</f>
        <v>4279</v>
      </c>
    </row>
    <row r="108" spans="2:67" ht="15" customHeight="1" x14ac:dyDescent="0.25">
      <c r="B108" s="170">
        <v>46126</v>
      </c>
      <c r="C108" s="164">
        <v>38</v>
      </c>
      <c r="D108" s="166">
        <v>16.73</v>
      </c>
      <c r="E108" s="168">
        <f t="shared" ref="E108" si="2309">IF(F108&gt;0,F107," ")</f>
        <v>3939630</v>
      </c>
      <c r="F108" s="414">
        <v>3939630</v>
      </c>
      <c r="G108" s="166">
        <f t="shared" ref="G108" si="2310">IFERROR((F108-E108)," ")</f>
        <v>0</v>
      </c>
      <c r="H108" s="167">
        <v>25</v>
      </c>
      <c r="I108" s="167">
        <f t="shared" ref="I108" si="2311">IFERROR(+L108/(H108*3.6)," ")</f>
        <v>0</v>
      </c>
      <c r="J108" s="168">
        <f t="shared" ref="J108" si="2312">IF(K108&gt;0,K107," ")</f>
        <v>1970853</v>
      </c>
      <c r="K108" s="266">
        <v>1970853</v>
      </c>
      <c r="L108" s="167">
        <f t="shared" ref="L108" si="2313">IFERROR((K108-J108)," ")</f>
        <v>0</v>
      </c>
      <c r="M108" s="166">
        <v>38</v>
      </c>
      <c r="N108" s="166">
        <f t="shared" ref="N108" si="2314">IFERROR(+Q108/(M108*3.6)," ")</f>
        <v>0</v>
      </c>
      <c r="O108" s="168">
        <f t="shared" ref="O108" si="2315">IF(P108&gt;0,P107," ")</f>
        <v>414656</v>
      </c>
      <c r="P108" s="168">
        <v>414656</v>
      </c>
      <c r="Q108" s="166">
        <f t="shared" ref="Q108" si="2316">IFERROR((P108-O108)," ")</f>
        <v>0</v>
      </c>
      <c r="R108" s="167">
        <v>0</v>
      </c>
      <c r="S108" s="167">
        <v>0</v>
      </c>
      <c r="T108" s="168">
        <f t="shared" ref="T108" si="2317">IF(U108&gt;0,U107," ")</f>
        <v>371791</v>
      </c>
      <c r="U108" s="168">
        <v>371791</v>
      </c>
      <c r="V108" s="165">
        <f t="shared" ref="V108" si="2318">IFERROR((U108-T108)," ")</f>
        <v>0</v>
      </c>
      <c r="W108" s="164">
        <f t="shared" ref="W108" si="2319">IFERROR((AA108/X108)/3.6," ")</f>
        <v>470.72955331759181</v>
      </c>
      <c r="X108" s="166">
        <v>24</v>
      </c>
      <c r="Y108" s="168">
        <f t="shared" ref="Y108" si="2320">IF(Z108&gt;0,Z107," ")</f>
        <v>4098542.2682423601</v>
      </c>
      <c r="Z108" s="168">
        <v>4139213.301649</v>
      </c>
      <c r="AA108" s="164">
        <f>IFERROR((Z108-Y108)," ")-BDFUENTES[[#This Row],[PZ MED m3/día]]</f>
        <v>40671.033406639937</v>
      </c>
      <c r="AB108" s="168">
        <f t="shared" ref="AB108" si="2321">IFERROR(ROUNDDOWN(+AF108/(AC108*3.6),0)," ")</f>
        <v>62</v>
      </c>
      <c r="AC108" s="168">
        <v>24</v>
      </c>
      <c r="AD108" s="171">
        <f t="shared" ref="AD108" si="2322">IF(AE108&gt;0,AE107," ")</f>
        <v>5559736</v>
      </c>
      <c r="AE108" s="167">
        <v>5565130</v>
      </c>
      <c r="AF108" s="165">
        <f t="shared" ref="AF108" si="2323">IFERROR((AE108-AD108)," ")</f>
        <v>5394</v>
      </c>
      <c r="AG108" s="168">
        <v>40</v>
      </c>
      <c r="AH108" s="168">
        <v>24</v>
      </c>
      <c r="AI108" s="166"/>
      <c r="AJ108" s="166"/>
      <c r="AK108" s="166">
        <f t="shared" ref="AK108" si="2324">IF(OR(AH108="",AG108=""),"",AH108*AG108*3.6)</f>
        <v>3456</v>
      </c>
      <c r="AL108" s="167">
        <f>+BDFUENTES[[#This Row],[PZ CHB m3/día]]/3.6/BDFUENTES[[#This Row],[PZ CHB Horas Activo]]</f>
        <v>22.206790123456791</v>
      </c>
      <c r="AM108" s="171">
        <v>18</v>
      </c>
      <c r="AN108" s="168">
        <f t="shared" ref="AN108" si="2325">IF(AO108&gt;0,AO107," ")</f>
        <v>3762510</v>
      </c>
      <c r="AO108" s="414">
        <v>3763949</v>
      </c>
      <c r="AP108" s="167">
        <f t="shared" ref="AP108" si="2326">IFERROR((AO108-AN108)," ")</f>
        <v>1439</v>
      </c>
      <c r="AQ108" s="166"/>
      <c r="AR108" s="166" t="str">
        <f t="shared" ref="AR108" si="2327">IFERROR(+AU108/(AQ108*3.6)," ")</f>
        <v xml:space="preserve"> </v>
      </c>
      <c r="AS108" s="168" t="str">
        <f t="shared" ref="AS108" si="2328">IF(AT108&gt;0,AT107," ")</f>
        <v xml:space="preserve"> </v>
      </c>
      <c r="AT108" s="168"/>
      <c r="AU108" s="166" t="str">
        <f t="shared" ref="AU108" si="2329">IFERROR((AT108-AS108)," ")</f>
        <v xml:space="preserve"> </v>
      </c>
      <c r="AV108" s="167">
        <f>+BDFUENTES[[#This Row],[PZ TM m3/día]]/3.6/BDFUENTES[[#This Row],[PZ TM Horas Activo]]</f>
        <v>0</v>
      </c>
      <c r="AW108" s="167">
        <v>17</v>
      </c>
      <c r="AX108" s="169">
        <f t="shared" ref="AX108" si="2330">IF(AY108&gt;0,AY107," ")</f>
        <v>628393</v>
      </c>
      <c r="AY108" s="415">
        <v>628393</v>
      </c>
      <c r="AZ108" s="167">
        <f t="shared" ref="AZ108" si="2331">IFERROR((AY108-AX108)," ")</f>
        <v>0</v>
      </c>
      <c r="BA108" s="166">
        <v>125</v>
      </c>
      <c r="BB108" s="166">
        <f t="shared" ref="BB108" si="2332">IFERROR(+BE108/(BA108*3.6)," ")</f>
        <v>0</v>
      </c>
      <c r="BC108" s="168">
        <f t="shared" ref="BC108" si="2333">IF(BD108&gt;0,BD107," ")</f>
        <v>6075211</v>
      </c>
      <c r="BD108" s="414">
        <v>6075211</v>
      </c>
      <c r="BE108" s="166">
        <f t="shared" ref="BE108" si="2334">IFERROR((BD108-BC108)," ")</f>
        <v>0</v>
      </c>
      <c r="BF108" s="167">
        <v>20</v>
      </c>
      <c r="BG108" s="166">
        <f t="shared" ref="BG108" si="2335">IFERROR(+BJ108/(BF108*3.6)," ")</f>
        <v>17</v>
      </c>
      <c r="BH108" s="168">
        <f t="shared" ref="BH108" si="2336">IF(BI108&gt;0,BI107," ")</f>
        <v>1645700</v>
      </c>
      <c r="BI108" s="414">
        <v>1646924</v>
      </c>
      <c r="BJ108" s="167">
        <f t="shared" ref="BJ108" si="2337">IFERROR((BI108-BH108)," ")</f>
        <v>1224</v>
      </c>
      <c r="BK108" s="166">
        <v>70</v>
      </c>
      <c r="BL108" s="166">
        <f t="shared" ref="BL108" si="2338">IFERROR(+BO108/(BK108*3.6)," ")</f>
        <v>18.178571428571427</v>
      </c>
      <c r="BM108" s="168">
        <f t="shared" ref="BM108" si="2339">IF(BN108&gt;0,BN107," ")</f>
        <v>6537843</v>
      </c>
      <c r="BN108" s="414">
        <v>6542424</v>
      </c>
      <c r="BO108" s="166">
        <f t="shared" ref="BO108" si="2340">IFERROR((BN108-BM108)," ")</f>
        <v>4581</v>
      </c>
    </row>
    <row r="109" spans="2:67" ht="15" customHeight="1" x14ac:dyDescent="0.25">
      <c r="B109" s="170">
        <v>46127</v>
      </c>
      <c r="C109" s="164">
        <v>38</v>
      </c>
      <c r="D109" s="166">
        <v>16.73</v>
      </c>
      <c r="E109" s="168">
        <f t="shared" ref="E109" si="2341">IF(F109&gt;0,F108," ")</f>
        <v>3939630</v>
      </c>
      <c r="F109" s="414">
        <v>3939630</v>
      </c>
      <c r="G109" s="166">
        <f t="shared" ref="G109" si="2342">IFERROR((F109-E109)," ")</f>
        <v>0</v>
      </c>
      <c r="H109" s="167">
        <v>25</v>
      </c>
      <c r="I109" s="167">
        <f t="shared" ref="I109" si="2343">IFERROR(+L109/(H109*3.6)," ")</f>
        <v>0</v>
      </c>
      <c r="J109" s="168">
        <f t="shared" ref="J109" si="2344">IF(K109&gt;0,K108," ")</f>
        <v>1970853</v>
      </c>
      <c r="K109" s="266">
        <v>1970853</v>
      </c>
      <c r="L109" s="167">
        <f t="shared" ref="L109" si="2345">IFERROR((K109-J109)," ")</f>
        <v>0</v>
      </c>
      <c r="M109" s="166">
        <v>38</v>
      </c>
      <c r="N109" s="166">
        <f t="shared" ref="N109" si="2346">IFERROR(+Q109/(M109*3.6)," ")</f>
        <v>0</v>
      </c>
      <c r="O109" s="168">
        <f t="shared" ref="O109" si="2347">IF(P109&gt;0,P108," ")</f>
        <v>414656</v>
      </c>
      <c r="P109" s="168">
        <v>414656</v>
      </c>
      <c r="Q109" s="166">
        <f t="shared" ref="Q109" si="2348">IFERROR((P109-O109)," ")</f>
        <v>0</v>
      </c>
      <c r="R109" s="167">
        <v>0</v>
      </c>
      <c r="S109" s="167">
        <v>0</v>
      </c>
      <c r="T109" s="168">
        <f t="shared" ref="T109" si="2349">IF(U109&gt;0,U108," ")</f>
        <v>371791</v>
      </c>
      <c r="U109" s="168">
        <v>371891</v>
      </c>
      <c r="V109" s="165">
        <f t="shared" ref="V109" si="2350">IFERROR((U109-T109)," ")</f>
        <v>100</v>
      </c>
      <c r="W109" s="164">
        <f t="shared" ref="W109" si="2351">IFERROR((AA109/X109)/3.6," ")</f>
        <v>467.24187906249961</v>
      </c>
      <c r="X109" s="166">
        <v>24</v>
      </c>
      <c r="Y109" s="168">
        <f t="shared" ref="Y109" si="2352">IF(Z109&gt;0,Z108," ")</f>
        <v>4139213.301649</v>
      </c>
      <c r="Z109" s="168">
        <v>4179683</v>
      </c>
      <c r="AA109" s="164">
        <f>IFERROR((Z109-Y109)," ")-BDFUENTES[[#This Row],[PZ MED m3/día]]</f>
        <v>40369.69835099997</v>
      </c>
      <c r="AB109" s="168">
        <f t="shared" ref="AB109" si="2353">IFERROR(ROUNDDOWN(+AF109/(AC109*3.6),0)," ")</f>
        <v>65</v>
      </c>
      <c r="AC109" s="168">
        <v>24</v>
      </c>
      <c r="AD109" s="171">
        <f t="shared" ref="AD109" si="2354">IF(AE109&gt;0,AE108," ")</f>
        <v>5565130</v>
      </c>
      <c r="AE109" s="167">
        <v>5570767</v>
      </c>
      <c r="AF109" s="165">
        <f t="shared" ref="AF109" si="2355">IFERROR((AE109-AD109)," ")</f>
        <v>5637</v>
      </c>
      <c r="AG109" s="168">
        <v>40</v>
      </c>
      <c r="AH109" s="168">
        <v>24</v>
      </c>
      <c r="AI109" s="166"/>
      <c r="AJ109" s="166"/>
      <c r="AK109" s="166">
        <f t="shared" ref="AK109" si="2356">IF(OR(AH109="",AG109=""),"",AH109*AG109*3.6)</f>
        <v>3456</v>
      </c>
      <c r="AL109" s="167">
        <f>+BDFUENTES[[#This Row],[PZ CHB m3/día]]/3.6/BDFUENTES[[#This Row],[PZ CHB Horas Activo]]</f>
        <v>38.76543209876543</v>
      </c>
      <c r="AM109" s="171">
        <v>18</v>
      </c>
      <c r="AN109" s="168">
        <f t="shared" ref="AN109" si="2357">IF(AO109&gt;0,AO108," ")</f>
        <v>3763949</v>
      </c>
      <c r="AO109" s="414">
        <v>3766461</v>
      </c>
      <c r="AP109" s="167">
        <f t="shared" ref="AP109" si="2358">IFERROR((AO109-AN109)," ")</f>
        <v>2512</v>
      </c>
      <c r="AQ109" s="166"/>
      <c r="AR109" s="166" t="str">
        <f t="shared" ref="AR109" si="2359">IFERROR(+AU109/(AQ109*3.6)," ")</f>
        <v xml:space="preserve"> </v>
      </c>
      <c r="AS109" s="168" t="str">
        <f t="shared" ref="AS109" si="2360">IF(AT109&gt;0,AT108," ")</f>
        <v xml:space="preserve"> </v>
      </c>
      <c r="AT109" s="168"/>
      <c r="AU109" s="166" t="str">
        <f t="shared" ref="AU109" si="2361">IFERROR((AT109-AS109)," ")</f>
        <v xml:space="preserve"> </v>
      </c>
      <c r="AV109" s="167">
        <f>+BDFUENTES[[#This Row],[PZ TM m3/día]]/3.6/BDFUENTES[[#This Row],[PZ TM Horas Activo]]</f>
        <v>0</v>
      </c>
      <c r="AW109" s="167">
        <v>17</v>
      </c>
      <c r="AX109" s="169">
        <f t="shared" ref="AX109" si="2362">IF(AY109&gt;0,AY108," ")</f>
        <v>628393</v>
      </c>
      <c r="AY109" s="415">
        <v>628393</v>
      </c>
      <c r="AZ109" s="167">
        <f t="shared" ref="AZ109" si="2363">IFERROR((AY109-AX109)," ")</f>
        <v>0</v>
      </c>
      <c r="BA109" s="166">
        <v>125</v>
      </c>
      <c r="BB109" s="166">
        <f t="shared" ref="BB109" si="2364">IFERROR(+BE109/(BA109*3.6)," ")</f>
        <v>0</v>
      </c>
      <c r="BC109" s="168">
        <f t="shared" ref="BC109" si="2365">IF(BD109&gt;0,BD108," ")</f>
        <v>6075211</v>
      </c>
      <c r="BD109" s="414">
        <v>6075211</v>
      </c>
      <c r="BE109" s="166">
        <f t="shared" ref="BE109" si="2366">IFERROR((BD109-BC109)," ")</f>
        <v>0</v>
      </c>
      <c r="BF109" s="167">
        <v>20</v>
      </c>
      <c r="BG109" s="166">
        <f t="shared" ref="BG109" si="2367">IFERROR(+BJ109/(BF109*3.6)," ")</f>
        <v>17.180555555555557</v>
      </c>
      <c r="BH109" s="168">
        <f t="shared" ref="BH109" si="2368">IF(BI109&gt;0,BI108," ")</f>
        <v>1646924</v>
      </c>
      <c r="BI109" s="414">
        <v>1648161</v>
      </c>
      <c r="BJ109" s="167">
        <f t="shared" ref="BJ109" si="2369">IFERROR((BI109-BH109)," ")</f>
        <v>1237</v>
      </c>
      <c r="BK109" s="166">
        <v>70</v>
      </c>
      <c r="BL109" s="166">
        <f t="shared" ref="BL109" si="2370">IFERROR(+BO109/(BK109*3.6)," ")</f>
        <v>17.115079365079364</v>
      </c>
      <c r="BM109" s="168">
        <f t="shared" ref="BM109" si="2371">IF(BN109&gt;0,BN108," ")</f>
        <v>6542424</v>
      </c>
      <c r="BN109" s="414">
        <v>6546737</v>
      </c>
      <c r="BO109" s="166">
        <f t="shared" ref="BO109" si="2372">IFERROR((BN109-BM109)," ")</f>
        <v>4313</v>
      </c>
    </row>
    <row r="110" spans="2:67" ht="15" customHeight="1" x14ac:dyDescent="0.25">
      <c r="B110" s="170">
        <v>46128</v>
      </c>
      <c r="C110" s="164">
        <v>38</v>
      </c>
      <c r="D110" s="166">
        <v>16.73</v>
      </c>
      <c r="E110" s="168">
        <f t="shared" ref="E110" si="2373">IF(F110&gt;0,F109," ")</f>
        <v>3939630</v>
      </c>
      <c r="F110" s="414">
        <v>3939630</v>
      </c>
      <c r="G110" s="166">
        <f t="shared" ref="G110" si="2374">IFERROR((F110-E110)," ")</f>
        <v>0</v>
      </c>
      <c r="H110" s="167">
        <v>25</v>
      </c>
      <c r="I110" s="167">
        <f t="shared" ref="I110" si="2375">IFERROR(+L110/(H110*3.6)," ")</f>
        <v>0</v>
      </c>
      <c r="J110" s="168">
        <f t="shared" ref="J110" si="2376">IF(K110&gt;0,K109," ")</f>
        <v>1970853</v>
      </c>
      <c r="K110" s="266">
        <v>1970853</v>
      </c>
      <c r="L110" s="167">
        <f t="shared" ref="L110" si="2377">IFERROR((K110-J110)," ")</f>
        <v>0</v>
      </c>
      <c r="M110" s="166">
        <v>38</v>
      </c>
      <c r="N110" s="166">
        <f t="shared" ref="N110" si="2378">IFERROR(+Q110/(M110*3.6)," ")</f>
        <v>0</v>
      </c>
      <c r="O110" s="168">
        <f t="shared" ref="O110" si="2379">IF(P110&gt;0,P109," ")</f>
        <v>414656</v>
      </c>
      <c r="P110" s="168">
        <v>414656</v>
      </c>
      <c r="Q110" s="166">
        <f t="shared" ref="Q110" si="2380">IFERROR((P110-O110)," ")</f>
        <v>0</v>
      </c>
      <c r="R110" s="167">
        <v>0</v>
      </c>
      <c r="S110" s="167">
        <v>0</v>
      </c>
      <c r="T110" s="168">
        <f t="shared" ref="T110" si="2381">IF(U110&gt;0,U109," ")</f>
        <v>371891</v>
      </c>
      <c r="U110" s="168">
        <v>371891</v>
      </c>
      <c r="V110" s="165">
        <f t="shared" ref="V110" si="2382">IFERROR((U110-T110)," ")</f>
        <v>0</v>
      </c>
      <c r="W110" s="164">
        <f t="shared" ref="W110" si="2383">IFERROR((AA110/X110)/3.6," ")</f>
        <v>464.18935185185143</v>
      </c>
      <c r="X110" s="166">
        <v>24</v>
      </c>
      <c r="Y110" s="168">
        <f t="shared" ref="Y110" si="2384">IF(Z110&gt;0,Z109," ")</f>
        <v>4179683</v>
      </c>
      <c r="Z110" s="168">
        <f>4221495-(3.6*473.9*1)</f>
        <v>4219788.96</v>
      </c>
      <c r="AA110" s="164">
        <f>IFERROR((Z110-Y110)," ")-BDFUENTES[[#This Row],[PZ MED m3/día]]</f>
        <v>40105.959999999963</v>
      </c>
      <c r="AB110" s="168">
        <f t="shared" ref="AB110" si="2385">IFERROR(ROUNDDOWN(+AF110/(AC110*3.6),0)," ")</f>
        <v>62</v>
      </c>
      <c r="AC110" s="168">
        <v>24</v>
      </c>
      <c r="AD110" s="171">
        <f t="shared" ref="AD110" si="2386">IF(AE110&gt;0,AE109," ")</f>
        <v>5570767</v>
      </c>
      <c r="AE110" s="167">
        <v>5576182</v>
      </c>
      <c r="AF110" s="165">
        <f t="shared" ref="AF110:AF167" si="2387">IFERROR((AE110-AD110)," ")</f>
        <v>5415</v>
      </c>
      <c r="AG110" s="168">
        <v>40</v>
      </c>
      <c r="AH110" s="168">
        <v>24</v>
      </c>
      <c r="AI110" s="166"/>
      <c r="AJ110" s="166"/>
      <c r="AK110" s="166">
        <f t="shared" ref="AK110" si="2388">IF(OR(AH110="",AG110=""),"",AH110*AG110*3.6)</f>
        <v>3456</v>
      </c>
      <c r="AL110" s="167">
        <f>+BDFUENTES[[#This Row],[PZ CHB m3/día]]/3.6/BDFUENTES[[#This Row],[PZ CHB Horas Activo]]</f>
        <v>37.422839506172835</v>
      </c>
      <c r="AM110" s="171">
        <v>18</v>
      </c>
      <c r="AN110" s="168">
        <f t="shared" ref="AN110" si="2389">IF(AO110&gt;0,AO109," ")</f>
        <v>3766461</v>
      </c>
      <c r="AO110" s="414">
        <v>3768886</v>
      </c>
      <c r="AP110" s="167">
        <f t="shared" ref="AP110" si="2390">IFERROR((AO110-AN110)," ")</f>
        <v>2425</v>
      </c>
      <c r="AQ110" s="166"/>
      <c r="AR110" s="166" t="str">
        <f t="shared" ref="AR110" si="2391">IFERROR(+AU110/(AQ110*3.6)," ")</f>
        <v xml:space="preserve"> </v>
      </c>
      <c r="AS110" s="168" t="str">
        <f t="shared" ref="AS110" si="2392">IF(AT110&gt;0,AT109," ")</f>
        <v xml:space="preserve"> </v>
      </c>
      <c r="AT110" s="168"/>
      <c r="AU110" s="166" t="str">
        <f t="shared" ref="AU110" si="2393">IFERROR((AT110-AS110)," ")</f>
        <v xml:space="preserve"> </v>
      </c>
      <c r="AV110" s="167">
        <f>+BDFUENTES[[#This Row],[PZ TM m3/día]]/3.6/BDFUENTES[[#This Row],[PZ TM Horas Activo]]</f>
        <v>0</v>
      </c>
      <c r="AW110" s="167">
        <v>17</v>
      </c>
      <c r="AX110" s="169">
        <f t="shared" ref="AX110" si="2394">IF(AY110&gt;0,AY109," ")</f>
        <v>628393</v>
      </c>
      <c r="AY110" s="415">
        <v>628393</v>
      </c>
      <c r="AZ110" s="167">
        <f t="shared" ref="AZ110" si="2395">IFERROR((AY110-AX110)," ")</f>
        <v>0</v>
      </c>
      <c r="BA110" s="166">
        <v>125</v>
      </c>
      <c r="BB110" s="166">
        <f t="shared" ref="BB110" si="2396">IFERROR(+BE110/(BA110*3.6)," ")</f>
        <v>0</v>
      </c>
      <c r="BC110" s="168">
        <f t="shared" ref="BC110" si="2397">IF(BD110&gt;0,BD109," ")</f>
        <v>6075211</v>
      </c>
      <c r="BD110" s="414">
        <v>6075211</v>
      </c>
      <c r="BE110" s="166">
        <f t="shared" ref="BE110" si="2398">IFERROR((BD110-BC110)," ")</f>
        <v>0</v>
      </c>
      <c r="BF110" s="167">
        <v>20</v>
      </c>
      <c r="BG110" s="166">
        <f t="shared" ref="BG110" si="2399">IFERROR(+BJ110/(BF110*3.6)," ")</f>
        <v>17.277777777777779</v>
      </c>
      <c r="BH110" s="168">
        <f t="shared" ref="BH110" si="2400">IF(BI110&gt;0,BI109," ")</f>
        <v>1648161</v>
      </c>
      <c r="BI110" s="414">
        <v>1649405</v>
      </c>
      <c r="BJ110" s="167">
        <f t="shared" ref="BJ110" si="2401">IFERROR((BI110-BH110)," ")</f>
        <v>1244</v>
      </c>
      <c r="BK110" s="166">
        <v>70</v>
      </c>
      <c r="BL110" s="166">
        <f t="shared" ref="BL110" si="2402">IFERROR(+BO110/(BK110*3.6)," ")</f>
        <v>17.444444444444443</v>
      </c>
      <c r="BM110" s="168">
        <f t="shared" ref="BM110" si="2403">IF(BN110&gt;0,BN109," ")</f>
        <v>6546737</v>
      </c>
      <c r="BN110" s="414">
        <v>6551133</v>
      </c>
      <c r="BO110" s="166">
        <f t="shared" ref="BO110" si="2404">IFERROR((BN110-BM110)," ")</f>
        <v>4396</v>
      </c>
    </row>
    <row r="111" spans="2:67" ht="15" customHeight="1" x14ac:dyDescent="0.25">
      <c r="B111" s="170">
        <v>46129</v>
      </c>
      <c r="C111" s="164">
        <v>38</v>
      </c>
      <c r="D111" s="166">
        <v>16.73</v>
      </c>
      <c r="E111" s="168">
        <f t="shared" ref="E111" si="2405">IF(F111&gt;0,F110," ")</f>
        <v>3939630</v>
      </c>
      <c r="F111" s="414">
        <v>3939630</v>
      </c>
      <c r="G111" s="166">
        <f t="shared" ref="G111" si="2406">IFERROR((F111-E111)," ")</f>
        <v>0</v>
      </c>
      <c r="H111" s="167">
        <v>25</v>
      </c>
      <c r="I111" s="167">
        <f t="shared" ref="I111" si="2407">IFERROR(+L111/(H111*3.6)," ")</f>
        <v>0</v>
      </c>
      <c r="J111" s="168">
        <f t="shared" ref="J111" si="2408">IF(K111&gt;0,K110," ")</f>
        <v>1970853</v>
      </c>
      <c r="K111" s="266">
        <v>1970853</v>
      </c>
      <c r="L111" s="167">
        <f t="shared" ref="L111" si="2409">IFERROR((K111-J111)," ")</f>
        <v>0</v>
      </c>
      <c r="M111" s="166">
        <v>38</v>
      </c>
      <c r="N111" s="166">
        <f t="shared" ref="N111" si="2410">IFERROR(+Q111/(M111*3.6)," ")</f>
        <v>0</v>
      </c>
      <c r="O111" s="168">
        <f t="shared" ref="O111" si="2411">IF(P111&gt;0,P110," ")</f>
        <v>414656</v>
      </c>
      <c r="P111" s="168">
        <v>414656</v>
      </c>
      <c r="Q111" s="166">
        <f t="shared" ref="Q111" si="2412">IFERROR((P111-O111)," ")</f>
        <v>0</v>
      </c>
      <c r="R111" s="167">
        <v>0</v>
      </c>
      <c r="S111" s="167">
        <v>0</v>
      </c>
      <c r="T111" s="168">
        <f t="shared" ref="T111" si="2413">IF(U111&gt;0,U110," ")</f>
        <v>371891</v>
      </c>
      <c r="U111" s="168">
        <v>371944</v>
      </c>
      <c r="V111" s="165">
        <f t="shared" ref="V111" si="2414">IFERROR((U111-T111)," ")</f>
        <v>53</v>
      </c>
      <c r="W111" s="164">
        <f t="shared" ref="W111" si="2415">IFERROR((AA111/X111)/3.6," ")</f>
        <v>478.06551102500327</v>
      </c>
      <c r="X111" s="166">
        <v>24</v>
      </c>
      <c r="Y111" s="168">
        <f t="shared" ref="Y111" si="2416">IF(Z111&gt;0,Z110," ")</f>
        <v>4219788.96</v>
      </c>
      <c r="Z111" s="168">
        <v>4261146.8201525602</v>
      </c>
      <c r="AA111" s="164">
        <f>IFERROR((Z111-Y111)," ")-BDFUENTES[[#This Row],[PZ MED m3/día]]</f>
        <v>41304.860152560286</v>
      </c>
      <c r="AB111" s="168">
        <f t="shared" ref="AB111" si="2417">IFERROR(ROUNDDOWN(+AF111/(AC111*3.6),0)," ")</f>
        <v>66</v>
      </c>
      <c r="AC111" s="168">
        <v>24</v>
      </c>
      <c r="AD111" s="171">
        <f t="shared" ref="AD111" si="2418">IF(AE111&gt;0,AE110," ")</f>
        <v>5576182</v>
      </c>
      <c r="AE111" s="167">
        <v>5581894</v>
      </c>
      <c r="AF111" s="165">
        <f t="shared" ref="AF111" si="2419">IFERROR((AE111-AD111)," ")</f>
        <v>5712</v>
      </c>
      <c r="AG111" s="168">
        <v>40</v>
      </c>
      <c r="AH111" s="168">
        <v>24</v>
      </c>
      <c r="AI111" s="166"/>
      <c r="AJ111" s="166"/>
      <c r="AK111" s="166">
        <f t="shared" ref="AK111" si="2420">IF(OR(AH111="",AG111=""),"",AH111*AG111*3.6)</f>
        <v>3456</v>
      </c>
      <c r="AL111" s="167">
        <f>+BDFUENTES[[#This Row],[PZ CHB m3/día]]/3.6/BDFUENTES[[#This Row],[PZ CHB Horas Activo]]</f>
        <v>39.29012345679012</v>
      </c>
      <c r="AM111" s="171">
        <v>18</v>
      </c>
      <c r="AN111" s="168">
        <f t="shared" ref="AN111" si="2421">IF(AO111&gt;0,AO110," ")</f>
        <v>3768886</v>
      </c>
      <c r="AO111" s="414">
        <v>3771432</v>
      </c>
      <c r="AP111" s="167">
        <f t="shared" ref="AP111" si="2422">IFERROR((AO111-AN111)," ")</f>
        <v>2546</v>
      </c>
      <c r="AQ111" s="166"/>
      <c r="AR111" s="166" t="str">
        <f t="shared" ref="AR111" si="2423">IFERROR(+AU111/(AQ111*3.6)," ")</f>
        <v xml:space="preserve"> </v>
      </c>
      <c r="AS111" s="168" t="str">
        <f t="shared" ref="AS111" si="2424">IF(AT111&gt;0,AT110," ")</f>
        <v xml:space="preserve"> </v>
      </c>
      <c r="AT111" s="168"/>
      <c r="AU111" s="166" t="str">
        <f t="shared" ref="AU111" si="2425">IFERROR((AT111-AS111)," ")</f>
        <v xml:space="preserve"> </v>
      </c>
      <c r="AV111" s="167">
        <f>+BDFUENTES[[#This Row],[PZ TM m3/día]]/3.6/BDFUENTES[[#This Row],[PZ TM Horas Activo]]</f>
        <v>0</v>
      </c>
      <c r="AW111" s="167">
        <v>17</v>
      </c>
      <c r="AX111" s="169">
        <f t="shared" ref="AX111" si="2426">IF(AY111&gt;0,AY110," ")</f>
        <v>628393</v>
      </c>
      <c r="AY111" s="415">
        <v>628393</v>
      </c>
      <c r="AZ111" s="167">
        <f t="shared" ref="AZ111" si="2427">IFERROR((AY111-AX111)," ")</f>
        <v>0</v>
      </c>
      <c r="BA111" s="166">
        <v>125</v>
      </c>
      <c r="BB111" s="166">
        <f t="shared" ref="BB111" si="2428">IFERROR(+BE111/(BA111*3.6)," ")</f>
        <v>0</v>
      </c>
      <c r="BC111" s="168">
        <f t="shared" ref="BC111" si="2429">IF(BD111&gt;0,BD110," ")</f>
        <v>6075211</v>
      </c>
      <c r="BD111" s="414">
        <v>6075211</v>
      </c>
      <c r="BE111" s="166">
        <f t="shared" ref="BE111" si="2430">IFERROR((BD111-BC111)," ")</f>
        <v>0</v>
      </c>
      <c r="BF111" s="167">
        <v>20</v>
      </c>
      <c r="BG111" s="166">
        <f t="shared" ref="BG111" si="2431">IFERROR(+BJ111/(BF111*3.6)," ")</f>
        <v>17.208333333333332</v>
      </c>
      <c r="BH111" s="168">
        <f t="shared" ref="BH111" si="2432">IF(BI111&gt;0,BI110," ")</f>
        <v>1649405</v>
      </c>
      <c r="BI111" s="414">
        <v>1650644</v>
      </c>
      <c r="BJ111" s="167">
        <f t="shared" ref="BJ111" si="2433">IFERROR((BI111-BH111)," ")</f>
        <v>1239</v>
      </c>
      <c r="BK111" s="166">
        <v>70</v>
      </c>
      <c r="BL111" s="166">
        <f t="shared" ref="BL111" si="2434">IFERROR(+BO111/(BK111*3.6)," ")</f>
        <v>18.706349206349206</v>
      </c>
      <c r="BM111" s="168">
        <f t="shared" ref="BM111" si="2435">IF(BN111&gt;0,BN110," ")</f>
        <v>6551133</v>
      </c>
      <c r="BN111" s="414">
        <v>6555847</v>
      </c>
      <c r="BO111" s="166">
        <f t="shared" ref="BO111" si="2436">IFERROR((BN111-BM111)," ")</f>
        <v>4714</v>
      </c>
    </row>
    <row r="112" spans="2:67" ht="15" customHeight="1" x14ac:dyDescent="0.25">
      <c r="B112" s="170">
        <v>46130</v>
      </c>
      <c r="C112" s="164">
        <v>38</v>
      </c>
      <c r="D112" s="166">
        <v>16.73</v>
      </c>
      <c r="E112" s="168">
        <f t="shared" ref="E112" si="2437">IF(F112&gt;0,F111," ")</f>
        <v>3939630</v>
      </c>
      <c r="F112" s="414">
        <v>3939747</v>
      </c>
      <c r="G112" s="166">
        <f t="shared" ref="G112" si="2438">IFERROR((F112-E112)," ")</f>
        <v>117</v>
      </c>
      <c r="H112" s="167">
        <v>25</v>
      </c>
      <c r="I112" s="167">
        <f t="shared" ref="I112" si="2439">IFERROR(+L112/(H112*3.6)," ")</f>
        <v>0</v>
      </c>
      <c r="J112" s="168">
        <f t="shared" ref="J112" si="2440">IF(K112&gt;0,K111," ")</f>
        <v>1970853</v>
      </c>
      <c r="K112" s="266">
        <v>1970853</v>
      </c>
      <c r="L112" s="167">
        <f t="shared" ref="L112" si="2441">IFERROR((K112-J112)," ")</f>
        <v>0</v>
      </c>
      <c r="M112" s="166">
        <v>38</v>
      </c>
      <c r="N112" s="166">
        <f t="shared" ref="N112" si="2442">IFERROR(+Q112/(M112*3.6)," ")</f>
        <v>0</v>
      </c>
      <c r="O112" s="168">
        <f t="shared" ref="O112" si="2443">IF(P112&gt;0,P111," ")</f>
        <v>414656</v>
      </c>
      <c r="P112" s="168">
        <v>414656</v>
      </c>
      <c r="Q112" s="166">
        <f t="shared" ref="Q112" si="2444">IFERROR((P112-O112)," ")</f>
        <v>0</v>
      </c>
      <c r="R112" s="167">
        <v>0</v>
      </c>
      <c r="S112" s="167">
        <v>0</v>
      </c>
      <c r="T112" s="168">
        <f t="shared" ref="T112" si="2445">IF(U112&gt;0,U111," ")</f>
        <v>371944</v>
      </c>
      <c r="U112" s="168">
        <v>371944</v>
      </c>
      <c r="V112" s="165">
        <f t="shared" ref="V112" si="2446">IFERROR((U112-T112)," ")</f>
        <v>0</v>
      </c>
      <c r="W112" s="164">
        <f t="shared" ref="W112" si="2447">IFERROR((AA112/X112)/3.6," ")</f>
        <v>473.66059554767736</v>
      </c>
      <c r="X112" s="166">
        <v>24</v>
      </c>
      <c r="Y112" s="168">
        <f t="shared" ref="Y112" si="2448">IF(Z112&gt;0,Z111," ")</f>
        <v>4261146.8201525602</v>
      </c>
      <c r="Z112" s="168">
        <v>4302071.0956078796</v>
      </c>
      <c r="AA112" s="164">
        <f>IFERROR((Z112-Y112)," ")-BDFUENTES[[#This Row],[PZ MED m3/día]]</f>
        <v>40924.275455319323</v>
      </c>
      <c r="AB112" s="168">
        <f t="shared" ref="AB112" si="2449">IFERROR(ROUNDDOWN(+AF112/(AC112*3.6),0)," ")</f>
        <v>63</v>
      </c>
      <c r="AC112" s="168">
        <v>24</v>
      </c>
      <c r="AD112" s="171">
        <f t="shared" ref="AD112" si="2450">IF(AE112&gt;0,AE111," ")</f>
        <v>5581894</v>
      </c>
      <c r="AE112" s="167">
        <v>5587350</v>
      </c>
      <c r="AF112" s="165">
        <f t="shared" si="2387"/>
        <v>5456</v>
      </c>
      <c r="AG112" s="168">
        <v>40</v>
      </c>
      <c r="AH112" s="168">
        <v>24</v>
      </c>
      <c r="AI112" s="166"/>
      <c r="AJ112" s="166"/>
      <c r="AK112" s="166">
        <f t="shared" ref="AK112" si="2451">IF(OR(AH112="",AG112=""),"",AH112*AG112*3.6)</f>
        <v>3456</v>
      </c>
      <c r="AL112" s="167">
        <f>+BDFUENTES[[#This Row],[PZ CHB m3/día]]/3.6/BDFUENTES[[#This Row],[PZ CHB Horas Activo]]</f>
        <v>39.429012345679013</v>
      </c>
      <c r="AM112" s="171">
        <v>18</v>
      </c>
      <c r="AN112" s="168">
        <f t="shared" ref="AN112" si="2452">IF(AO112&gt;0,AO111," ")</f>
        <v>3771432</v>
      </c>
      <c r="AO112" s="414">
        <v>3773987</v>
      </c>
      <c r="AP112" s="167">
        <f t="shared" ref="AP112" si="2453">IFERROR((AO112-AN112)," ")</f>
        <v>2555</v>
      </c>
      <c r="AQ112" s="166"/>
      <c r="AR112" s="166" t="str">
        <f t="shared" ref="AR112" si="2454">IFERROR(+AU112/(AQ112*3.6)," ")</f>
        <v xml:space="preserve"> </v>
      </c>
      <c r="AS112" s="168" t="str">
        <f t="shared" ref="AS112" si="2455">IF(AT112&gt;0,AT111," ")</f>
        <v xml:space="preserve"> </v>
      </c>
      <c r="AT112" s="168"/>
      <c r="AU112" s="166" t="str">
        <f t="shared" ref="AU112" si="2456">IFERROR((AT112-AS112)," ")</f>
        <v xml:space="preserve"> </v>
      </c>
      <c r="AV112" s="167">
        <f>+BDFUENTES[[#This Row],[PZ TM m3/día]]/3.6/BDFUENTES[[#This Row],[PZ TM Horas Activo]]</f>
        <v>0</v>
      </c>
      <c r="AW112" s="167">
        <v>17</v>
      </c>
      <c r="AX112" s="169">
        <f t="shared" ref="AX112" si="2457">IF(AY112&gt;0,AY111," ")</f>
        <v>628393</v>
      </c>
      <c r="AY112" s="415">
        <v>628393</v>
      </c>
      <c r="AZ112" s="167">
        <f t="shared" ref="AZ112" si="2458">IFERROR((AY112-AX112)," ")</f>
        <v>0</v>
      </c>
      <c r="BA112" s="166">
        <v>125</v>
      </c>
      <c r="BB112" s="166">
        <f t="shared" ref="BB112" si="2459">IFERROR(+BE112/(BA112*3.6)," ")</f>
        <v>0</v>
      </c>
      <c r="BC112" s="168">
        <f t="shared" ref="BC112" si="2460">IF(BD112&gt;0,BD111," ")</f>
        <v>6075211</v>
      </c>
      <c r="BD112" s="414">
        <v>6075211</v>
      </c>
      <c r="BE112" s="166">
        <f t="shared" ref="BE112" si="2461">IFERROR((BD112-BC112)," ")</f>
        <v>0</v>
      </c>
      <c r="BF112" s="167">
        <v>20</v>
      </c>
      <c r="BG112" s="166">
        <f t="shared" ref="BG112" si="2462">IFERROR(+BJ112/(BF112*3.6)," ")</f>
        <v>18.583333333333332</v>
      </c>
      <c r="BH112" s="168">
        <f t="shared" ref="BH112" si="2463">IF(BI112&gt;0,BI111," ")</f>
        <v>1650644</v>
      </c>
      <c r="BI112" s="414">
        <v>1651982</v>
      </c>
      <c r="BJ112" s="167">
        <f t="shared" ref="BJ112" si="2464">IFERROR((BI112-BH112)," ")</f>
        <v>1338</v>
      </c>
      <c r="BK112" s="166">
        <v>70</v>
      </c>
      <c r="BL112" s="166">
        <f t="shared" ref="BL112" si="2465">IFERROR(+BO112/(BK112*3.6)," ")</f>
        <v>18.091269841269842</v>
      </c>
      <c r="BM112" s="168">
        <f t="shared" ref="BM112" si="2466">IF(BN112&gt;0,BN111," ")</f>
        <v>6555847</v>
      </c>
      <c r="BN112" s="414">
        <v>6560406</v>
      </c>
      <c r="BO112" s="166">
        <f t="shared" ref="BO112" si="2467">IFERROR((BN112-BM112)," ")</f>
        <v>4559</v>
      </c>
    </row>
    <row r="113" spans="2:67" ht="15" customHeight="1" x14ac:dyDescent="0.25">
      <c r="B113" s="170">
        <v>46131</v>
      </c>
      <c r="C113" s="164">
        <v>38</v>
      </c>
      <c r="D113" s="166">
        <v>16.73</v>
      </c>
      <c r="E113" s="168">
        <f t="shared" ref="E113" si="2468">IF(F113&gt;0,F112," ")</f>
        <v>3939747</v>
      </c>
      <c r="F113" s="414">
        <v>3939747</v>
      </c>
      <c r="G113" s="166">
        <f t="shared" ref="G113" si="2469">IFERROR((F113-E113)," ")</f>
        <v>0</v>
      </c>
      <c r="H113" s="167">
        <v>25</v>
      </c>
      <c r="I113" s="167">
        <f t="shared" ref="I113" si="2470">IFERROR(+L113/(H113*3.6)," ")</f>
        <v>0</v>
      </c>
      <c r="J113" s="168">
        <f t="shared" ref="J113" si="2471">IF(K113&gt;0,K112," ")</f>
        <v>1970853</v>
      </c>
      <c r="K113" s="266">
        <v>1970853</v>
      </c>
      <c r="L113" s="167">
        <f t="shared" ref="L113" si="2472">IFERROR((K113-J113)," ")</f>
        <v>0</v>
      </c>
      <c r="M113" s="166">
        <v>38</v>
      </c>
      <c r="N113" s="166">
        <f t="shared" ref="N113" si="2473">IFERROR(+Q113/(M113*3.6)," ")</f>
        <v>0</v>
      </c>
      <c r="O113" s="168">
        <f t="shared" ref="O113" si="2474">IF(P113&gt;0,P112," ")</f>
        <v>414656</v>
      </c>
      <c r="P113" s="168">
        <v>414656</v>
      </c>
      <c r="Q113" s="166">
        <f t="shared" ref="Q113" si="2475">IFERROR((P113-O113)," ")</f>
        <v>0</v>
      </c>
      <c r="R113" s="167">
        <v>0</v>
      </c>
      <c r="S113" s="167">
        <v>0</v>
      </c>
      <c r="T113" s="168">
        <f t="shared" ref="T113:T114" si="2476">IF(U113&gt;0,U112," ")</f>
        <v>371944</v>
      </c>
      <c r="U113" s="168">
        <v>371944</v>
      </c>
      <c r="V113" s="165">
        <f t="shared" ref="V113:V114" si="2477">IFERROR((U113-T113)," ")</f>
        <v>0</v>
      </c>
      <c r="W113" s="164">
        <f t="shared" ref="W113" si="2478">IFERROR((AA113/X113)/3.6," ")</f>
        <v>467.50487828935513</v>
      </c>
      <c r="X113" s="166">
        <v>24</v>
      </c>
      <c r="Y113" s="168">
        <f t="shared" ref="Y113" si="2479">IF(Z113&gt;0,Z112," ")</f>
        <v>4302071.0956078796</v>
      </c>
      <c r="Z113" s="168">
        <v>4342463.5170920799</v>
      </c>
      <c r="AA113" s="164">
        <f>IFERROR((Z113-Y113)," ")-BDFUENTES[[#This Row],[PZ MED m3/día]]</f>
        <v>40392.421484200284</v>
      </c>
      <c r="AB113" s="168">
        <f t="shared" ref="AB113" si="2480">IFERROR(ROUNDDOWN(+AF113/(AC113*3.6),0)," ")</f>
        <v>65</v>
      </c>
      <c r="AC113" s="168">
        <v>24</v>
      </c>
      <c r="AD113" s="171">
        <f t="shared" ref="AD113" si="2481">IF(AE113&gt;0,AE112," ")</f>
        <v>5587350</v>
      </c>
      <c r="AE113" s="167">
        <v>5592974</v>
      </c>
      <c r="AF113" s="165">
        <f t="shared" ref="AF113" si="2482">IFERROR((AE113-AD113)," ")</f>
        <v>5624</v>
      </c>
      <c r="AG113" s="168">
        <v>40</v>
      </c>
      <c r="AH113" s="168">
        <v>24</v>
      </c>
      <c r="AI113" s="166"/>
      <c r="AJ113" s="166"/>
      <c r="AK113" s="166">
        <f t="shared" ref="AK113" si="2483">IF(OR(AH113="",AG113=""),"",AH113*AG113*3.6)</f>
        <v>3456</v>
      </c>
      <c r="AL113" s="167">
        <f>+BDFUENTES[[#This Row],[PZ CHB m3/día]]/3.6/BDFUENTES[[#This Row],[PZ CHB Horas Activo]]</f>
        <v>39.305555555555557</v>
      </c>
      <c r="AM113" s="171">
        <v>18</v>
      </c>
      <c r="AN113" s="168">
        <f t="shared" ref="AN113" si="2484">IF(AO113&gt;0,AO112," ")</f>
        <v>3773987</v>
      </c>
      <c r="AO113" s="414">
        <v>3776534</v>
      </c>
      <c r="AP113" s="167">
        <f t="shared" ref="AP113" si="2485">IFERROR((AO113-AN113)," ")</f>
        <v>2547</v>
      </c>
      <c r="AQ113" s="166"/>
      <c r="AR113" s="166" t="str">
        <f t="shared" ref="AR113" si="2486">IFERROR(+AU113/(AQ113*3.6)," ")</f>
        <v xml:space="preserve"> </v>
      </c>
      <c r="AS113" s="168" t="str">
        <f t="shared" ref="AS113" si="2487">IF(AT113&gt;0,AT112," ")</f>
        <v xml:space="preserve"> </v>
      </c>
      <c r="AT113" s="168"/>
      <c r="AU113" s="166" t="str">
        <f t="shared" ref="AU113" si="2488">IFERROR((AT113-AS113)," ")</f>
        <v xml:space="preserve"> </v>
      </c>
      <c r="AV113" s="167">
        <f>+BDFUENTES[[#This Row],[PZ TM m3/día]]/3.6/BDFUENTES[[#This Row],[PZ TM Horas Activo]]</f>
        <v>0</v>
      </c>
      <c r="AW113" s="167">
        <v>17</v>
      </c>
      <c r="AX113" s="169">
        <f t="shared" ref="AX113" si="2489">IF(AY113&gt;0,AY112," ")</f>
        <v>628393</v>
      </c>
      <c r="AY113" s="415">
        <v>628393</v>
      </c>
      <c r="AZ113" s="167">
        <f t="shared" ref="AZ113" si="2490">IFERROR((AY113-AX113)," ")</f>
        <v>0</v>
      </c>
      <c r="BA113" s="166">
        <v>125</v>
      </c>
      <c r="BB113" s="166">
        <f t="shared" ref="BB113" si="2491">IFERROR(+BE113/(BA113*3.6)," ")</f>
        <v>0</v>
      </c>
      <c r="BC113" s="168">
        <f t="shared" ref="BC113" si="2492">IF(BD113&gt;0,BD112," ")</f>
        <v>6075211</v>
      </c>
      <c r="BD113" s="414">
        <v>6075211</v>
      </c>
      <c r="BE113" s="166">
        <f t="shared" ref="BE113" si="2493">IFERROR((BD113-BC113)," ")</f>
        <v>0</v>
      </c>
      <c r="BF113" s="167">
        <v>20</v>
      </c>
      <c r="BG113" s="166">
        <f t="shared" ref="BG113" si="2494">IFERROR(+BJ113/(BF113*3.6)," ")</f>
        <v>18.055555555555557</v>
      </c>
      <c r="BH113" s="168">
        <f t="shared" ref="BH113" si="2495">IF(BI113&gt;0,BI112," ")</f>
        <v>1651982</v>
      </c>
      <c r="BI113" s="414">
        <v>1653282</v>
      </c>
      <c r="BJ113" s="167">
        <f t="shared" ref="BJ113" si="2496">IFERROR((BI113-BH113)," ")</f>
        <v>1300</v>
      </c>
      <c r="BK113" s="166">
        <v>70</v>
      </c>
      <c r="BL113" s="166">
        <f t="shared" ref="BL113" si="2497">IFERROR(+BO113/(BK113*3.6)," ")</f>
        <v>17.067460317460316</v>
      </c>
      <c r="BM113" s="168">
        <f t="shared" ref="BM113" si="2498">IF(BN113&gt;0,BN112," ")</f>
        <v>6560406</v>
      </c>
      <c r="BN113" s="414">
        <v>6564707</v>
      </c>
      <c r="BO113" s="166">
        <f t="shared" ref="BO113" si="2499">IFERROR((BN113-BM113)," ")</f>
        <v>4301</v>
      </c>
    </row>
    <row r="114" spans="2:67" ht="15" customHeight="1" x14ac:dyDescent="0.25">
      <c r="B114" s="170">
        <v>46132</v>
      </c>
      <c r="C114" s="164">
        <v>38</v>
      </c>
      <c r="D114" s="166">
        <v>16.73</v>
      </c>
      <c r="E114" s="168">
        <f t="shared" ref="E114" si="2500">IF(F114&gt;0,F113," ")</f>
        <v>3939747</v>
      </c>
      <c r="F114" s="414">
        <v>3939747</v>
      </c>
      <c r="G114" s="166">
        <f t="shared" ref="G114" si="2501">IFERROR((F114-E114)," ")</f>
        <v>0</v>
      </c>
      <c r="H114" s="167">
        <v>25</v>
      </c>
      <c r="I114" s="167">
        <f t="shared" ref="I114" si="2502">IFERROR(+L114/(H114*3.6)," ")</f>
        <v>0</v>
      </c>
      <c r="J114" s="168">
        <f t="shared" ref="J114" si="2503">IF(K114&gt;0,K113," ")</f>
        <v>1970853</v>
      </c>
      <c r="K114" s="266">
        <v>1970853</v>
      </c>
      <c r="L114" s="167">
        <f t="shared" ref="L114" si="2504">IFERROR((K114-J114)," ")</f>
        <v>0</v>
      </c>
      <c r="M114" s="166">
        <v>38</v>
      </c>
      <c r="N114" s="166">
        <f t="shared" ref="N114" si="2505">IFERROR(+Q114/(M114*3.6)," ")</f>
        <v>0</v>
      </c>
      <c r="O114" s="168">
        <f t="shared" ref="O114" si="2506">IF(P114&gt;0,P113," ")</f>
        <v>414656</v>
      </c>
      <c r="P114" s="168">
        <v>414656</v>
      </c>
      <c r="Q114" s="166">
        <f t="shared" ref="Q114" si="2507">IFERROR((P114-O114)," ")</f>
        <v>0</v>
      </c>
      <c r="R114" s="167">
        <v>0</v>
      </c>
      <c r="S114" s="167">
        <v>0</v>
      </c>
      <c r="T114" s="168">
        <f t="shared" si="2476"/>
        <v>371944</v>
      </c>
      <c r="U114" s="168">
        <v>371944</v>
      </c>
      <c r="V114" s="165">
        <f t="shared" si="2477"/>
        <v>0</v>
      </c>
      <c r="W114" s="164">
        <f t="shared" ref="W114" si="2508">IFERROR((AA114/X114)/3.6," ")</f>
        <v>482.8065151379646</v>
      </c>
      <c r="X114" s="166">
        <v>24</v>
      </c>
      <c r="Y114" s="168">
        <f t="shared" ref="Y114" si="2509">IF(Z114&gt;0,Z113," ")</f>
        <v>4342463.5170920799</v>
      </c>
      <c r="Z114" s="168">
        <v>4384178</v>
      </c>
      <c r="AA114" s="164">
        <f>IFERROR((Z114-Y114)," ")-BDFUENTES[[#This Row],[PZ MED m3/día]]</f>
        <v>41714.482907920144</v>
      </c>
      <c r="AB114" s="168">
        <f t="shared" ref="AB114" si="2510">IFERROR(ROUNDDOWN(+AF114/(AC114*3.6),0)," ")</f>
        <v>64</v>
      </c>
      <c r="AC114" s="168">
        <v>24</v>
      </c>
      <c r="AD114" s="171">
        <f t="shared" ref="AD114" si="2511">IF(AE114&gt;0,AE113," ")</f>
        <v>5592974</v>
      </c>
      <c r="AE114" s="167">
        <v>5598573</v>
      </c>
      <c r="AF114" s="165">
        <f t="shared" ref="AF114" si="2512">IFERROR((AE114-AD114)," ")</f>
        <v>5599</v>
      </c>
      <c r="AG114" s="168">
        <v>40</v>
      </c>
      <c r="AH114" s="168">
        <v>24</v>
      </c>
      <c r="AI114" s="166"/>
      <c r="AJ114" s="166"/>
      <c r="AK114" s="166">
        <f t="shared" ref="AK114" si="2513">IF(OR(AH114="",AG114=""),"",AH114*AG114*3.6)</f>
        <v>3456</v>
      </c>
      <c r="AL114" s="167">
        <f>+BDFUENTES[[#This Row],[PZ CHB m3/día]]/3.6/BDFUENTES[[#This Row],[PZ CHB Horas Activo]]</f>
        <v>37.923976608187132</v>
      </c>
      <c r="AM114" s="171">
        <v>19</v>
      </c>
      <c r="AN114" s="168">
        <f t="shared" ref="AN114" si="2514">IF(AO114&gt;0,AO113," ")</f>
        <v>3776534</v>
      </c>
      <c r="AO114" s="414">
        <v>3779128</v>
      </c>
      <c r="AP114" s="167">
        <f t="shared" ref="AP114" si="2515">IFERROR((AO114-AN114)," ")</f>
        <v>2594</v>
      </c>
      <c r="AQ114" s="166"/>
      <c r="AR114" s="166" t="str">
        <f t="shared" ref="AR114" si="2516">IFERROR(+AU114/(AQ114*3.6)," ")</f>
        <v xml:space="preserve"> </v>
      </c>
      <c r="AS114" s="168" t="str">
        <f t="shared" ref="AS114" si="2517">IF(AT114&gt;0,AT113," ")</f>
        <v xml:space="preserve"> </v>
      </c>
      <c r="AT114" s="168"/>
      <c r="AU114" s="166" t="str">
        <f t="shared" ref="AU114" si="2518">IFERROR((AT114-AS114)," ")</f>
        <v xml:space="preserve"> </v>
      </c>
      <c r="AV114" s="167">
        <f>+BDFUENTES[[#This Row],[PZ TM m3/día]]/3.6/BDFUENTES[[#This Row],[PZ TM Horas Activo]]</f>
        <v>6.4705882352941178</v>
      </c>
      <c r="AW114" s="167">
        <v>17</v>
      </c>
      <c r="AX114" s="169">
        <f t="shared" ref="AX114" si="2519">IF(AY114&gt;0,AY113," ")</f>
        <v>628393</v>
      </c>
      <c r="AY114" s="415">
        <v>628789</v>
      </c>
      <c r="AZ114" s="167">
        <f t="shared" ref="AZ114" si="2520">IFERROR((AY114-AX114)," ")</f>
        <v>396</v>
      </c>
      <c r="BA114" s="166">
        <v>125</v>
      </c>
      <c r="BB114" s="166">
        <f t="shared" ref="BB114" si="2521">IFERROR(+BE114/(BA114*3.6)," ")</f>
        <v>0</v>
      </c>
      <c r="BC114" s="168">
        <f t="shared" ref="BC114" si="2522">IF(BD114&gt;0,BD113," ")</f>
        <v>6075211</v>
      </c>
      <c r="BD114" s="414">
        <v>6075211</v>
      </c>
      <c r="BE114" s="166">
        <f t="shared" ref="BE114" si="2523">IFERROR((BD114-BC114)," ")</f>
        <v>0</v>
      </c>
      <c r="BF114" s="167">
        <v>20</v>
      </c>
      <c r="BG114" s="166">
        <f t="shared" ref="BG114" si="2524">IFERROR(+BJ114/(BF114*3.6)," ")</f>
        <v>17.569444444444443</v>
      </c>
      <c r="BH114" s="168">
        <f t="shared" ref="BH114" si="2525">IF(BI114&gt;0,BI113," ")</f>
        <v>1653282</v>
      </c>
      <c r="BI114" s="414">
        <v>1654547</v>
      </c>
      <c r="BJ114" s="167">
        <f t="shared" ref="BJ114" si="2526">IFERROR((BI114-BH114)," ")</f>
        <v>1265</v>
      </c>
      <c r="BK114" s="166">
        <v>70</v>
      </c>
      <c r="BL114" s="166">
        <f t="shared" ref="BL114" si="2527">IFERROR(+BO114/(BK114*3.6)," ")</f>
        <v>16.873015873015873</v>
      </c>
      <c r="BM114" s="168">
        <f t="shared" ref="BM114" si="2528">IF(BN114&gt;0,BN113," ")</f>
        <v>6564707</v>
      </c>
      <c r="BN114" s="414">
        <v>6568959</v>
      </c>
      <c r="BO114" s="166">
        <f t="shared" ref="BO114" si="2529">IFERROR((BN114-BM114)," ")</f>
        <v>4252</v>
      </c>
    </row>
    <row r="115" spans="2:67" ht="15" customHeight="1" x14ac:dyDescent="0.25">
      <c r="B115" s="170">
        <v>46133</v>
      </c>
      <c r="C115" s="164">
        <v>38</v>
      </c>
      <c r="D115" s="166">
        <f t="shared" ref="D115:D117" si="2530">IFERROR(+G115/(C115*3.6)," ")</f>
        <v>2.4634502923976607</v>
      </c>
      <c r="E115" s="168">
        <f t="shared" ref="E115" si="2531">IF(F115&gt;0,F114," ")</f>
        <v>3939747</v>
      </c>
      <c r="F115" s="414">
        <v>3940084</v>
      </c>
      <c r="G115" s="166">
        <f t="shared" ref="G115" si="2532">IFERROR((F115-E115)," ")</f>
        <v>337</v>
      </c>
      <c r="H115" s="167">
        <v>25</v>
      </c>
      <c r="I115" s="167">
        <f t="shared" ref="I115" si="2533">IFERROR(+L115/(H115*3.6)," ")</f>
        <v>0</v>
      </c>
      <c r="J115" s="168">
        <f t="shared" ref="J115" si="2534">IF(K115&gt;0,K114," ")</f>
        <v>1970853</v>
      </c>
      <c r="K115" s="266">
        <v>1970853</v>
      </c>
      <c r="L115" s="167">
        <f t="shared" ref="L115" si="2535">IFERROR((K115-J115)," ")</f>
        <v>0</v>
      </c>
      <c r="M115" s="166">
        <v>38</v>
      </c>
      <c r="N115" s="166">
        <f t="shared" ref="N115" si="2536">IFERROR(+Q115/(M115*3.6)," ")</f>
        <v>0</v>
      </c>
      <c r="O115" s="168">
        <f t="shared" ref="O115" si="2537">IF(P115&gt;0,P114," ")</f>
        <v>414656</v>
      </c>
      <c r="P115" s="168">
        <v>414656</v>
      </c>
      <c r="Q115" s="166">
        <f t="shared" ref="Q115" si="2538">IFERROR((P115-O115)," ")</f>
        <v>0</v>
      </c>
      <c r="R115" s="167">
        <f>+BDFUENTES[[#This Row],[PZ MED m3/día]]/3.6/BDFUENTES[[#This Row],[PZ MED Horas Activo]]</f>
        <v>27.013888888888889</v>
      </c>
      <c r="S115" s="167">
        <v>12</v>
      </c>
      <c r="T115" s="168">
        <f t="shared" ref="T115" si="2539">IF(U115&gt;0,U114," ")</f>
        <v>371944</v>
      </c>
      <c r="U115" s="168">
        <v>373111</v>
      </c>
      <c r="V115" s="165">
        <f t="shared" ref="V115" si="2540">IFERROR((U115-T115)," ")</f>
        <v>1167</v>
      </c>
      <c r="W115" s="164">
        <f t="shared" ref="W115" si="2541">IFERROR((AA115/X115)/3.6," ")</f>
        <v>455.42824074074076</v>
      </c>
      <c r="X115" s="166">
        <v>24</v>
      </c>
      <c r="Y115" s="168">
        <f t="shared" ref="Y115" si="2542">IF(Z115&gt;0,Z114," ")</f>
        <v>4384178</v>
      </c>
      <c r="Z115" s="168">
        <f>4426404-(475*3.6*1)</f>
        <v>4424694</v>
      </c>
      <c r="AA115" s="164">
        <f>IFERROR((Z115-Y115)," ")-BDFUENTES[[#This Row],[PZ MED m3/día]]</f>
        <v>39349</v>
      </c>
      <c r="AB115" s="168">
        <f t="shared" ref="AB115" si="2543">IFERROR(ROUNDDOWN(+AF115/(AC115*3.6),0)," ")</f>
        <v>54</v>
      </c>
      <c r="AC115" s="168">
        <v>24</v>
      </c>
      <c r="AD115" s="171">
        <f t="shared" ref="AD115" si="2544">IF(AE115&gt;0,AE114," ")</f>
        <v>5598573</v>
      </c>
      <c r="AE115" s="167">
        <v>5603254</v>
      </c>
      <c r="AF115" s="165">
        <f t="shared" ref="AF115" si="2545">IFERROR((AE115-AD115)," ")</f>
        <v>4681</v>
      </c>
      <c r="AG115" s="168">
        <v>40</v>
      </c>
      <c r="AH115" s="168">
        <v>24</v>
      </c>
      <c r="AI115" s="166"/>
      <c r="AJ115" s="166"/>
      <c r="AK115" s="166">
        <f t="shared" ref="AK115" si="2546">IF(OR(AH115="",AG115=""),"",AH115*AG115*3.6)</f>
        <v>3456</v>
      </c>
      <c r="AL115" s="167">
        <f>+BDFUENTES[[#This Row],[PZ CHB m3/día]]/3.6/BDFUENTES[[#This Row],[PZ CHB Horas Activo]]</f>
        <v>38.04012345679012</v>
      </c>
      <c r="AM115" s="171">
        <v>18</v>
      </c>
      <c r="AN115" s="168">
        <f t="shared" ref="AN115" si="2547">IF(AO115&gt;0,AO114," ")</f>
        <v>3779128</v>
      </c>
      <c r="AO115" s="414">
        <v>3781593</v>
      </c>
      <c r="AP115" s="167">
        <f t="shared" ref="AP115" si="2548">IFERROR((AO115-AN115)," ")</f>
        <v>2465</v>
      </c>
      <c r="AQ115" s="166"/>
      <c r="AR115" s="166" t="str">
        <f t="shared" ref="AR115" si="2549">IFERROR(+AU115/(AQ115*3.6)," ")</f>
        <v xml:space="preserve"> </v>
      </c>
      <c r="AS115" s="168" t="str">
        <f t="shared" ref="AS115" si="2550">IF(AT115&gt;0,AT114," ")</f>
        <v xml:space="preserve"> </v>
      </c>
      <c r="AT115" s="168"/>
      <c r="AU115" s="166" t="str">
        <f t="shared" ref="AU115" si="2551">IFERROR((AT115-AS115)," ")</f>
        <v xml:space="preserve"> </v>
      </c>
      <c r="AV115" s="167">
        <f>+BDFUENTES[[#This Row],[PZ TM m3/día]]/3.6/BDFUENTES[[#This Row],[PZ TM Horas Activo]]</f>
        <v>11.725146198830409</v>
      </c>
      <c r="AW115" s="167">
        <v>19</v>
      </c>
      <c r="AX115" s="169">
        <f t="shared" ref="AX115" si="2552">IF(AY115&gt;0,AY114," ")</f>
        <v>628789</v>
      </c>
      <c r="AY115" s="415">
        <v>629591</v>
      </c>
      <c r="AZ115" s="167">
        <f t="shared" ref="AZ115" si="2553">IFERROR((AY115-AX115)," ")</f>
        <v>802</v>
      </c>
      <c r="BA115" s="166">
        <v>125</v>
      </c>
      <c r="BB115" s="166">
        <f t="shared" ref="BB115" si="2554">IFERROR(+BE115/(BA115*3.6)," ")</f>
        <v>0</v>
      </c>
      <c r="BC115" s="168">
        <f t="shared" ref="BC115" si="2555">IF(BD115&gt;0,BD114," ")</f>
        <v>6075211</v>
      </c>
      <c r="BD115" s="414">
        <v>6075211</v>
      </c>
      <c r="BE115" s="166">
        <f t="shared" ref="BE115" si="2556">IFERROR((BD115-BC115)," ")</f>
        <v>0</v>
      </c>
      <c r="BF115" s="167">
        <v>20</v>
      </c>
      <c r="BG115" s="166">
        <f t="shared" ref="BG115" si="2557">IFERROR(+BJ115/(BF115*3.6)," ")</f>
        <v>9.8611111111111107</v>
      </c>
      <c r="BH115" s="168">
        <f t="shared" ref="BH115" si="2558">IF(BI115&gt;0,BI114," ")</f>
        <v>1654547</v>
      </c>
      <c r="BI115" s="414">
        <v>1655257</v>
      </c>
      <c r="BJ115" s="167">
        <f t="shared" ref="BJ115" si="2559">IFERROR((BI115-BH115)," ")</f>
        <v>710</v>
      </c>
      <c r="BK115" s="166">
        <v>70</v>
      </c>
      <c r="BL115" s="166">
        <f t="shared" ref="BL115" si="2560">IFERROR(+BO115/(BK115*3.6)," ")</f>
        <v>18.38095238095238</v>
      </c>
      <c r="BM115" s="168">
        <f t="shared" ref="BM115" si="2561">IF(BN115&gt;0,BN114," ")</f>
        <v>6568959</v>
      </c>
      <c r="BN115" s="414">
        <v>6573591</v>
      </c>
      <c r="BO115" s="166">
        <f t="shared" ref="BO115" si="2562">IFERROR((BN115-BM115)," ")</f>
        <v>4632</v>
      </c>
    </row>
    <row r="116" spans="2:67" ht="15" customHeight="1" x14ac:dyDescent="0.25">
      <c r="B116" s="170">
        <v>46134</v>
      </c>
      <c r="C116" s="164">
        <v>38</v>
      </c>
      <c r="D116" s="166">
        <f t="shared" si="2530"/>
        <v>16.864035087719298</v>
      </c>
      <c r="E116" s="168">
        <f t="shared" ref="E116" si="2563">IF(F116&gt;0,F115," ")</f>
        <v>3940084</v>
      </c>
      <c r="F116" s="414">
        <v>3942391</v>
      </c>
      <c r="G116" s="166">
        <f t="shared" ref="G116" si="2564">IFERROR((F116-E116)," ")</f>
        <v>2307</v>
      </c>
      <c r="H116" s="167">
        <v>25</v>
      </c>
      <c r="I116" s="167">
        <f t="shared" ref="I116" si="2565">IFERROR(+L116/(H116*3.6)," ")</f>
        <v>0</v>
      </c>
      <c r="J116" s="168">
        <f t="shared" ref="J116" si="2566">IF(K116&gt;0,K115," ")</f>
        <v>1970853</v>
      </c>
      <c r="K116" s="266">
        <v>1970853</v>
      </c>
      <c r="L116" s="167">
        <f t="shared" ref="L116" si="2567">IFERROR((K116-J116)," ")</f>
        <v>0</v>
      </c>
      <c r="M116" s="166">
        <v>38</v>
      </c>
      <c r="N116" s="166">
        <f t="shared" ref="N116" si="2568">IFERROR(+Q116/(M116*3.6)," ")</f>
        <v>0</v>
      </c>
      <c r="O116" s="168">
        <f t="shared" ref="O116" si="2569">IF(P116&gt;0,P115," ")</f>
        <v>414656</v>
      </c>
      <c r="P116" s="168">
        <v>414656</v>
      </c>
      <c r="Q116" s="166">
        <f t="shared" ref="Q116" si="2570">IFERROR((P116-O116)," ")</f>
        <v>0</v>
      </c>
      <c r="R116" s="167">
        <f>+BDFUENTES[[#This Row],[PZ MED m3/día]]/3.6/BDFUENTES[[#This Row],[PZ MED Horas Activo]]</f>
        <v>28.194444444444443</v>
      </c>
      <c r="S116" s="167">
        <v>8</v>
      </c>
      <c r="T116" s="168">
        <f t="shared" ref="T116" si="2571">IF(U116&gt;0,U115," ")</f>
        <v>373111</v>
      </c>
      <c r="U116" s="168">
        <v>373923</v>
      </c>
      <c r="V116" s="165">
        <f t="shared" ref="V116" si="2572">IFERROR((U116-T116)," ")</f>
        <v>812</v>
      </c>
      <c r="W116" s="164">
        <f t="shared" ref="W116" si="2573">IFERROR((AA116/X116)/3.6," ")</f>
        <v>473.03240740740739</v>
      </c>
      <c r="X116" s="166">
        <v>24</v>
      </c>
      <c r="Y116" s="168">
        <f t="shared" ref="Y116" si="2574">IF(Z116&gt;0,Z115," ")</f>
        <v>4424694</v>
      </c>
      <c r="Z116" s="168">
        <f>4467231-(475*3.6*0.5)</f>
        <v>4466376</v>
      </c>
      <c r="AA116" s="164">
        <f>IFERROR((Z116-Y116)," ")-BDFUENTES[[#This Row],[PZ MED m3/día]]</f>
        <v>40870</v>
      </c>
      <c r="AB116" s="168">
        <f t="shared" ref="AB116" si="2575">IFERROR(ROUNDDOWN(+AF116/(AC116*3.6),0)," ")</f>
        <v>67</v>
      </c>
      <c r="AC116" s="168">
        <v>24</v>
      </c>
      <c r="AD116" s="171">
        <f t="shared" ref="AD116" si="2576">IF(AE116&gt;0,AE115," ")</f>
        <v>5603254</v>
      </c>
      <c r="AE116" s="167">
        <v>5609091</v>
      </c>
      <c r="AF116" s="165">
        <f t="shared" ref="AF116" si="2577">IFERROR((AE116-AD116)," ")</f>
        <v>5837</v>
      </c>
      <c r="AG116" s="168">
        <v>40</v>
      </c>
      <c r="AH116" s="168">
        <v>24</v>
      </c>
      <c r="AI116" s="166"/>
      <c r="AJ116" s="166"/>
      <c r="AK116" s="166">
        <f t="shared" ref="AK116" si="2578">IF(OR(AH116="",AG116=""),"",AH116*AG116*3.6)</f>
        <v>3456</v>
      </c>
      <c r="AL116" s="167">
        <f>+BDFUENTES[[#This Row],[PZ CHB m3/día]]/3.6/BDFUENTES[[#This Row],[PZ CHB Horas Activo]]</f>
        <v>38.084795321637422</v>
      </c>
      <c r="AM116" s="171">
        <v>19</v>
      </c>
      <c r="AN116" s="168">
        <f t="shared" ref="AN116" si="2579">IF(AO116&gt;0,AO115," ")</f>
        <v>3781593</v>
      </c>
      <c r="AO116" s="414">
        <v>3784198</v>
      </c>
      <c r="AP116" s="167">
        <f t="shared" ref="AP116" si="2580">IFERROR((AO116-AN116)," ")</f>
        <v>2605</v>
      </c>
      <c r="AQ116" s="166"/>
      <c r="AR116" s="166" t="str">
        <f t="shared" ref="AR116" si="2581">IFERROR(+AU116/(AQ116*3.6)," ")</f>
        <v xml:space="preserve"> </v>
      </c>
      <c r="AS116" s="168" t="str">
        <f t="shared" ref="AS116" si="2582">IF(AT116&gt;0,AT115," ")</f>
        <v xml:space="preserve"> </v>
      </c>
      <c r="AT116" s="168"/>
      <c r="AU116" s="166" t="str">
        <f t="shared" ref="AU116" si="2583">IFERROR((AT116-AS116)," ")</f>
        <v xml:space="preserve"> </v>
      </c>
      <c r="AV116" s="167">
        <f>+BDFUENTES[[#This Row],[PZ TM m3/día]]/3.6/BDFUENTES[[#This Row],[PZ TM Horas Activo]]</f>
        <v>11.527777777777779</v>
      </c>
      <c r="AW116" s="167">
        <v>18</v>
      </c>
      <c r="AX116" s="169">
        <f t="shared" ref="AX116" si="2584">IF(AY116&gt;0,AY115," ")</f>
        <v>629591</v>
      </c>
      <c r="AY116" s="415">
        <v>630338</v>
      </c>
      <c r="AZ116" s="167">
        <f t="shared" ref="AZ116" si="2585">IFERROR((AY116-AX116)," ")</f>
        <v>747</v>
      </c>
      <c r="BA116" s="166">
        <v>125</v>
      </c>
      <c r="BB116" s="166">
        <f t="shared" ref="BB116" si="2586">IFERROR(+BE116/(BA116*3.6)," ")</f>
        <v>5.6044444444444448</v>
      </c>
      <c r="BC116" s="168">
        <f t="shared" ref="BC116" si="2587">IF(BD116&gt;0,BD115," ")</f>
        <v>6075211</v>
      </c>
      <c r="BD116" s="414">
        <v>6077733</v>
      </c>
      <c r="BE116" s="166">
        <f t="shared" ref="BE116" si="2588">IFERROR((BD116-BC116)," ")</f>
        <v>2522</v>
      </c>
      <c r="BF116" s="167">
        <v>20</v>
      </c>
      <c r="BG116" s="166">
        <f t="shared" ref="BG116" si="2589">IFERROR(+BJ116/(BF116*3.6)," ")</f>
        <v>17.763888888888889</v>
      </c>
      <c r="BH116" s="168">
        <f t="shared" ref="BH116" si="2590">IF(BI116&gt;0,BI115," ")</f>
        <v>1655257</v>
      </c>
      <c r="BI116" s="414">
        <v>1656536</v>
      </c>
      <c r="BJ116" s="167">
        <f t="shared" ref="BJ116" si="2591">IFERROR((BI116-BH116)," ")</f>
        <v>1279</v>
      </c>
      <c r="BK116" s="166">
        <v>70</v>
      </c>
      <c r="BL116" s="166">
        <f t="shared" ref="BL116" si="2592">IFERROR(+BO116/(BK116*3.6)," ")</f>
        <v>17.924603174603174</v>
      </c>
      <c r="BM116" s="168">
        <f t="shared" ref="BM116" si="2593">IF(BN116&gt;0,BN115," ")</f>
        <v>6573591</v>
      </c>
      <c r="BN116" s="414">
        <v>6578108</v>
      </c>
      <c r="BO116" s="166">
        <f t="shared" ref="BO116" si="2594">IFERROR((BN116-BM116)," ")</f>
        <v>4517</v>
      </c>
    </row>
    <row r="117" spans="2:67" ht="15" customHeight="1" x14ac:dyDescent="0.25">
      <c r="B117" s="170">
        <v>46135</v>
      </c>
      <c r="C117" s="164">
        <v>38</v>
      </c>
      <c r="D117" s="166">
        <f t="shared" si="2530"/>
        <v>17.865497076023392</v>
      </c>
      <c r="E117" s="168">
        <f t="shared" ref="E117" si="2595">IF(F117&gt;0,F116," ")</f>
        <v>3942391</v>
      </c>
      <c r="F117" s="414">
        <v>3944835</v>
      </c>
      <c r="G117" s="166">
        <f t="shared" ref="G117" si="2596">IFERROR((F117-E117)," ")</f>
        <v>2444</v>
      </c>
      <c r="H117" s="167">
        <v>25</v>
      </c>
      <c r="I117" s="167">
        <f t="shared" ref="I117" si="2597">IFERROR(+L117/(H117*3.6)," ")</f>
        <v>0</v>
      </c>
      <c r="J117" s="168">
        <f t="shared" ref="J117" si="2598">IF(K117&gt;0,K116," ")</f>
        <v>1970853</v>
      </c>
      <c r="K117" s="266">
        <v>1970853</v>
      </c>
      <c r="L117" s="167">
        <f t="shared" ref="L117" si="2599">IFERROR((K117-J117)," ")</f>
        <v>0</v>
      </c>
      <c r="M117" s="166">
        <v>38</v>
      </c>
      <c r="N117" s="166">
        <f t="shared" ref="N117" si="2600">IFERROR(+Q117/(M117*3.6)," ")</f>
        <v>0</v>
      </c>
      <c r="O117" s="168">
        <f t="shared" ref="O117" si="2601">IF(P117&gt;0,P116," ")</f>
        <v>414656</v>
      </c>
      <c r="P117" s="168">
        <v>414656</v>
      </c>
      <c r="Q117" s="166">
        <f t="shared" ref="Q117" si="2602">IFERROR((P117-O117)," ")</f>
        <v>0</v>
      </c>
      <c r="R117" s="167">
        <f>+BDFUENTES[[#This Row],[PZ MED m3/día]]/3.6/BDFUENTES[[#This Row],[PZ MED Horas Activo]]</f>
        <v>26.805555555555554</v>
      </c>
      <c r="S117" s="167">
        <v>4</v>
      </c>
      <c r="T117" s="168">
        <f t="shared" ref="T117" si="2603">IF(U117&gt;0,U116," ")</f>
        <v>373923</v>
      </c>
      <c r="U117" s="168">
        <v>374309</v>
      </c>
      <c r="V117" s="165">
        <f t="shared" ref="V117" si="2604">IFERROR((U117-T117)," ")</f>
        <v>386</v>
      </c>
      <c r="W117" s="164">
        <f t="shared" ref="W117" si="2605">IFERROR((AA117/X117)/3.6," ")</f>
        <v>471.97850694444412</v>
      </c>
      <c r="X117" s="166">
        <v>24</v>
      </c>
      <c r="Y117" s="168">
        <f t="shared" ref="Y117" si="2606">IF(Z117&gt;0,Z116," ")</f>
        <v>4466376</v>
      </c>
      <c r="Z117" s="168">
        <f>4507826-(475*3.6*0.1667)</f>
        <v>4507540.943</v>
      </c>
      <c r="AA117" s="164">
        <f>IFERROR((Z117-Y117)," ")-BDFUENTES[[#This Row],[PZ MED m3/día]]</f>
        <v>40778.94299999997</v>
      </c>
      <c r="AB117" s="168">
        <f t="shared" ref="AB117" si="2607">IFERROR(ROUNDDOWN(+AF117/(AC117*3.6),0)," ")</f>
        <v>76</v>
      </c>
      <c r="AC117" s="168">
        <v>24</v>
      </c>
      <c r="AD117" s="171">
        <f t="shared" ref="AD117" si="2608">IF(AE117&gt;0,AE116," ")</f>
        <v>5609091</v>
      </c>
      <c r="AE117" s="167">
        <v>5615696</v>
      </c>
      <c r="AF117" s="165">
        <f t="shared" ref="AF117" si="2609">IFERROR((AE117-AD117)," ")</f>
        <v>6605</v>
      </c>
      <c r="AG117" s="168">
        <v>40</v>
      </c>
      <c r="AH117" s="168">
        <v>24</v>
      </c>
      <c r="AI117" s="166"/>
      <c r="AJ117" s="166"/>
      <c r="AK117" s="166">
        <f t="shared" ref="AK117" si="2610">IF(OR(AH117="",AG117=""),"",AH117*AG117*3.6)</f>
        <v>3456</v>
      </c>
      <c r="AL117" s="167">
        <f>+BDFUENTES[[#This Row],[PZ CHB m3/día]]/3.6/BDFUENTES[[#This Row],[PZ CHB Horas Activo]]</f>
        <v>38.626543209876537</v>
      </c>
      <c r="AM117" s="171">
        <v>18</v>
      </c>
      <c r="AN117" s="168">
        <f t="shared" ref="AN117" si="2611">IF(AO117&gt;0,AO116," ")</f>
        <v>3784198</v>
      </c>
      <c r="AO117" s="414">
        <v>3786701</v>
      </c>
      <c r="AP117" s="167">
        <f t="shared" ref="AP117" si="2612">IFERROR((AO117-AN117)," ")</f>
        <v>2503</v>
      </c>
      <c r="AQ117" s="166"/>
      <c r="AR117" s="166" t="str">
        <f t="shared" ref="AR117" si="2613">IFERROR(+AU117/(AQ117*3.6)," ")</f>
        <v xml:space="preserve"> </v>
      </c>
      <c r="AS117" s="168" t="str">
        <f t="shared" ref="AS117" si="2614">IF(AT117&gt;0,AT116," ")</f>
        <v xml:space="preserve"> </v>
      </c>
      <c r="AT117" s="168"/>
      <c r="AU117" s="166" t="str">
        <f t="shared" ref="AU117" si="2615">IFERROR((AT117-AS117)," ")</f>
        <v xml:space="preserve"> </v>
      </c>
      <c r="AV117" s="167">
        <f>+BDFUENTES[[#This Row],[PZ TM m3/día]]/3.6/BDFUENTES[[#This Row],[PZ TM Horas Activo]]</f>
        <v>11.358024691358024</v>
      </c>
      <c r="AW117" s="167">
        <v>18</v>
      </c>
      <c r="AX117" s="169">
        <f t="shared" ref="AX117" si="2616">IF(AY117&gt;0,AY116," ")</f>
        <v>630338</v>
      </c>
      <c r="AY117" s="415">
        <v>631074</v>
      </c>
      <c r="AZ117" s="167">
        <f t="shared" ref="AZ117" si="2617">IFERROR((AY117-AX117)," ")</f>
        <v>736</v>
      </c>
      <c r="BA117" s="166">
        <v>125</v>
      </c>
      <c r="BB117" s="166">
        <f t="shared" ref="BB117" si="2618">IFERROR(+BE117/(BA117*3.6)," ")</f>
        <v>5.5488888888888885</v>
      </c>
      <c r="BC117" s="168">
        <f t="shared" ref="BC117" si="2619">IF(BD117&gt;0,BD116," ")</f>
        <v>6077733</v>
      </c>
      <c r="BD117" s="414">
        <v>6080230</v>
      </c>
      <c r="BE117" s="166">
        <f t="shared" ref="BE117" si="2620">IFERROR((BD117-BC117)," ")</f>
        <v>2497</v>
      </c>
      <c r="BF117" s="167">
        <v>20</v>
      </c>
      <c r="BG117" s="166">
        <f t="shared" ref="BG117" si="2621">IFERROR(+BJ117/(BF117*3.6)," ")</f>
        <v>17.430555555555557</v>
      </c>
      <c r="BH117" s="168">
        <f t="shared" ref="BH117" si="2622">IF(BI117&gt;0,BI116," ")</f>
        <v>1656536</v>
      </c>
      <c r="BI117" s="414">
        <v>1657791</v>
      </c>
      <c r="BJ117" s="167">
        <f t="shared" ref="BJ117" si="2623">IFERROR((BI117-BH117)," ")</f>
        <v>1255</v>
      </c>
      <c r="BK117" s="166">
        <v>70</v>
      </c>
      <c r="BL117" s="166">
        <f t="shared" ref="BL117" si="2624">IFERROR(+BO117/(BK117*3.6)," ")</f>
        <v>18.452380952380953</v>
      </c>
      <c r="BM117" s="168">
        <f t="shared" ref="BM117" si="2625">IF(BN117&gt;0,BN116," ")</f>
        <v>6578108</v>
      </c>
      <c r="BN117" s="414">
        <v>6582758</v>
      </c>
      <c r="BO117" s="166">
        <f t="shared" ref="BO117" si="2626">IFERROR((BN117-BM117)," ")</f>
        <v>4650</v>
      </c>
    </row>
    <row r="118" spans="2:67" ht="15" customHeight="1" x14ac:dyDescent="0.25">
      <c r="B118" s="170">
        <v>46136</v>
      </c>
      <c r="C118" s="164">
        <v>38</v>
      </c>
      <c r="D118" s="166">
        <f t="shared" ref="D118" si="2627">IFERROR(+G118/(C118*3.6)," ")</f>
        <v>17.741228070175438</v>
      </c>
      <c r="E118" s="168">
        <f t="shared" ref="E118" si="2628">IF(F118&gt;0,F117," ")</f>
        <v>3944835</v>
      </c>
      <c r="F118" s="414">
        <v>3947262</v>
      </c>
      <c r="G118" s="166">
        <f t="shared" ref="G118" si="2629">IFERROR((F118-E118)," ")</f>
        <v>2427</v>
      </c>
      <c r="H118" s="167">
        <v>25</v>
      </c>
      <c r="I118" s="167">
        <f t="shared" ref="I118" si="2630">IFERROR(+L118/(H118*3.6)," ")</f>
        <v>0</v>
      </c>
      <c r="J118" s="168">
        <f t="shared" ref="J118" si="2631">IF(K118&gt;0,K117," ")</f>
        <v>1970853</v>
      </c>
      <c r="K118" s="266">
        <v>1970853</v>
      </c>
      <c r="L118" s="167">
        <f t="shared" ref="L118" si="2632">IFERROR((K118-J118)," ")</f>
        <v>0</v>
      </c>
      <c r="M118" s="166">
        <v>38</v>
      </c>
      <c r="N118" s="166">
        <f t="shared" ref="N118" si="2633">IFERROR(+Q118/(M118*3.6)," ")</f>
        <v>0</v>
      </c>
      <c r="O118" s="168">
        <f t="shared" ref="O118" si="2634">IF(P118&gt;0,P117," ")</f>
        <v>414656</v>
      </c>
      <c r="P118" s="168">
        <v>414656</v>
      </c>
      <c r="Q118" s="166">
        <f t="shared" ref="Q118" si="2635">IFERROR((P118-O118)," ")</f>
        <v>0</v>
      </c>
      <c r="R118" s="167">
        <f>+BDFUENTES[[#This Row],[PZ MED m3/día]]/3.6/BDFUENTES[[#This Row],[PZ MED Horas Activo]]</f>
        <v>0</v>
      </c>
      <c r="S118" s="167">
        <v>4</v>
      </c>
      <c r="T118" s="168">
        <f t="shared" ref="T118" si="2636">IF(U118&gt;0,U117," ")</f>
        <v>374309</v>
      </c>
      <c r="U118" s="168">
        <v>374309</v>
      </c>
      <c r="V118" s="165">
        <f t="shared" ref="V118" si="2637">IFERROR((U118-T118)," ")</f>
        <v>0</v>
      </c>
      <c r="W118" s="164">
        <f t="shared" ref="W118" si="2638">IFERROR((AA118/X118)/3.6," ")</f>
        <v>475.05853009259295</v>
      </c>
      <c r="X118" s="166">
        <v>24</v>
      </c>
      <c r="Y118" s="168">
        <f t="shared" ref="Y118" si="2639">IF(Z118&gt;0,Z117," ")</f>
        <v>4507540.943</v>
      </c>
      <c r="Z118" s="168">
        <v>4548586</v>
      </c>
      <c r="AA118" s="164">
        <f>IFERROR((Z118-Y118)," ")-BDFUENTES[[#This Row],[PZ MED m3/día]]</f>
        <v>41045.05700000003</v>
      </c>
      <c r="AB118" s="168">
        <f t="shared" ref="AB118" si="2640">IFERROR(ROUNDDOWN(+AF118/(AC118*3.6),0)," ")</f>
        <v>79</v>
      </c>
      <c r="AC118" s="168">
        <v>24</v>
      </c>
      <c r="AD118" s="171">
        <f t="shared" ref="AD118" si="2641">IF(AE118&gt;0,AE117," ")</f>
        <v>5615696</v>
      </c>
      <c r="AE118" s="167">
        <v>5622593</v>
      </c>
      <c r="AF118" s="165">
        <f t="shared" ref="AF118" si="2642">IFERROR((AE118-AD118)," ")</f>
        <v>6897</v>
      </c>
      <c r="AG118" s="168">
        <v>40</v>
      </c>
      <c r="AH118" s="168">
        <v>24</v>
      </c>
      <c r="AI118" s="166"/>
      <c r="AJ118" s="166"/>
      <c r="AK118" s="166">
        <f t="shared" ref="AK118" si="2643">IF(OR(AH118="",AG118=""),"",AH118*AG118*3.6)</f>
        <v>3456</v>
      </c>
      <c r="AL118" s="167">
        <f>+BDFUENTES[[#This Row],[PZ CHB m3/día]]/3.6/BDFUENTES[[#This Row],[PZ CHB Horas Activo]]</f>
        <v>37.587719298245609</v>
      </c>
      <c r="AM118" s="171">
        <v>19</v>
      </c>
      <c r="AN118" s="168">
        <f t="shared" ref="AN118" si="2644">IF(AO118&gt;0,AO117," ")</f>
        <v>3786701</v>
      </c>
      <c r="AO118" s="414">
        <v>3789272</v>
      </c>
      <c r="AP118" s="167">
        <f t="shared" ref="AP118" si="2645">IFERROR((AO118-AN118)," ")</f>
        <v>2571</v>
      </c>
      <c r="AQ118" s="166"/>
      <c r="AR118" s="166" t="str">
        <f t="shared" ref="AR118" si="2646">IFERROR(+AU118/(AQ118*3.6)," ")</f>
        <v xml:space="preserve"> </v>
      </c>
      <c r="AS118" s="168" t="str">
        <f t="shared" ref="AS118" si="2647">IF(AT118&gt;0,AT117," ")</f>
        <v xml:space="preserve"> </v>
      </c>
      <c r="AT118" s="168"/>
      <c r="AU118" s="166" t="str">
        <f t="shared" ref="AU118" si="2648">IFERROR((AT118-AS118)," ")</f>
        <v xml:space="preserve"> </v>
      </c>
      <c r="AV118" s="167">
        <f>+BDFUENTES[[#This Row],[PZ TM m3/día]]/3.6/BDFUENTES[[#This Row],[PZ TM Horas Activo]]</f>
        <v>11.25</v>
      </c>
      <c r="AW118" s="167">
        <v>18</v>
      </c>
      <c r="AX118" s="169">
        <f t="shared" ref="AX118" si="2649">IF(AY118&gt;0,AY117," ")</f>
        <v>631074</v>
      </c>
      <c r="AY118" s="415">
        <v>631803</v>
      </c>
      <c r="AZ118" s="167">
        <f t="shared" ref="AZ118" si="2650">IFERROR((AY118-AX118)," ")</f>
        <v>729</v>
      </c>
      <c r="BA118" s="166">
        <v>125</v>
      </c>
      <c r="BB118" s="166">
        <f t="shared" ref="BB118" si="2651">IFERROR(+BE118/(BA118*3.6)," ")</f>
        <v>5.0888888888888886</v>
      </c>
      <c r="BC118" s="168">
        <f t="shared" ref="BC118" si="2652">IF(BD118&gt;0,BD117," ")</f>
        <v>6080230</v>
      </c>
      <c r="BD118" s="414">
        <v>6082520</v>
      </c>
      <c r="BE118" s="166">
        <f t="shared" ref="BE118" si="2653">IFERROR((BD118-BC118)," ")</f>
        <v>2290</v>
      </c>
      <c r="BF118" s="167">
        <v>20</v>
      </c>
      <c r="BG118" s="166">
        <f t="shared" ref="BG118" si="2654">IFERROR(+BJ118/(BF118*3.6)," ")</f>
        <v>18.236111111111111</v>
      </c>
      <c r="BH118" s="168">
        <f t="shared" ref="BH118" si="2655">IF(BI118&gt;0,BI117," ")</f>
        <v>1657791</v>
      </c>
      <c r="BI118" s="414">
        <v>1659104</v>
      </c>
      <c r="BJ118" s="167">
        <f t="shared" ref="BJ118" si="2656">IFERROR((BI118-BH118)," ")</f>
        <v>1313</v>
      </c>
      <c r="BK118" s="166">
        <v>70</v>
      </c>
      <c r="BL118" s="166">
        <f t="shared" ref="BL118" si="2657">IFERROR(+BO118/(BK118*3.6)," ")</f>
        <v>19.277777777777779</v>
      </c>
      <c r="BM118" s="168">
        <f t="shared" ref="BM118" si="2658">IF(BN118&gt;0,BN117," ")</f>
        <v>6582758</v>
      </c>
      <c r="BN118" s="414">
        <v>6587616</v>
      </c>
      <c r="BO118" s="166">
        <f t="shared" ref="BO118" si="2659">IFERROR((BN118-BM118)," ")</f>
        <v>4858</v>
      </c>
    </row>
    <row r="119" spans="2:67" ht="15" customHeight="1" x14ac:dyDescent="0.25">
      <c r="B119" s="170">
        <v>46137</v>
      </c>
      <c r="C119" s="164">
        <v>38</v>
      </c>
      <c r="D119" s="166">
        <f t="shared" ref="D119" si="2660">IFERROR(+G119/(C119*3.6)," ")</f>
        <v>14.55409356725146</v>
      </c>
      <c r="E119" s="168">
        <f t="shared" ref="E119" si="2661">IF(F119&gt;0,F118," ")</f>
        <v>3947262</v>
      </c>
      <c r="F119" s="414">
        <v>3949253</v>
      </c>
      <c r="G119" s="166">
        <f t="shared" ref="G119" si="2662">IFERROR((F119-E119)," ")</f>
        <v>1991</v>
      </c>
      <c r="H119" s="167">
        <v>25</v>
      </c>
      <c r="I119" s="167">
        <f t="shared" ref="I119" si="2663">IFERROR(+L119/(H119*3.6)," ")</f>
        <v>0</v>
      </c>
      <c r="J119" s="168">
        <f t="shared" ref="J119" si="2664">IF(K119&gt;0,K118," ")</f>
        <v>1970853</v>
      </c>
      <c r="K119" s="266">
        <v>1970853</v>
      </c>
      <c r="L119" s="167">
        <f t="shared" ref="L119" si="2665">IFERROR((K119-J119)," ")</f>
        <v>0</v>
      </c>
      <c r="M119" s="166">
        <v>38</v>
      </c>
      <c r="N119" s="166">
        <f t="shared" ref="N119" si="2666">IFERROR(+Q119/(M119*3.6)," ")</f>
        <v>0</v>
      </c>
      <c r="O119" s="168">
        <f t="shared" ref="O119" si="2667">IF(P119&gt;0,P118," ")</f>
        <v>414656</v>
      </c>
      <c r="P119" s="168">
        <v>414656</v>
      </c>
      <c r="Q119" s="166">
        <f t="shared" ref="Q119" si="2668">IFERROR((P119-O119)," ")</f>
        <v>0</v>
      </c>
      <c r="R119" s="167">
        <f>+BDFUENTES[[#This Row],[PZ MED m3/día]]/3.6/BDFUENTES[[#This Row],[PZ MED Horas Activo]]</f>
        <v>0</v>
      </c>
      <c r="S119" s="167">
        <v>4</v>
      </c>
      <c r="T119" s="168">
        <f t="shared" ref="T119" si="2669">IF(U119&gt;0,U118," ")</f>
        <v>374309</v>
      </c>
      <c r="U119" s="168">
        <v>374309</v>
      </c>
      <c r="V119" s="165">
        <f t="shared" ref="V119" si="2670">IFERROR((U119-T119)," ")</f>
        <v>0</v>
      </c>
      <c r="W119" s="164">
        <f t="shared" ref="W119" si="2671">IFERROR((AA119/X119)/3.6," ")</f>
        <v>475.36574074073644</v>
      </c>
      <c r="X119" s="166">
        <v>24</v>
      </c>
      <c r="Y119" s="168">
        <f t="shared" ref="Y119" si="2672">IF(Z119&gt;0,Z118," ")</f>
        <v>4548586</v>
      </c>
      <c r="Z119" s="168">
        <f>4587944+(476*3.6*1)</f>
        <v>4589657.5999999996</v>
      </c>
      <c r="AA119" s="164">
        <f>IFERROR((Z119-Y119)," ")-BDFUENTES[[#This Row],[PZ MED m3/día]]</f>
        <v>41071.599999999627</v>
      </c>
      <c r="AB119" s="168">
        <f t="shared" ref="AB119" si="2673">IFERROR(ROUNDDOWN(+AF119/(AC119*3.6),0)," ")</f>
        <v>65</v>
      </c>
      <c r="AC119" s="168">
        <v>24</v>
      </c>
      <c r="AD119" s="171">
        <f t="shared" ref="AD119" si="2674">IF(AE119&gt;0,AE118," ")</f>
        <v>5622593</v>
      </c>
      <c r="AE119" s="167">
        <f>AE118+(65*3.6*24)</f>
        <v>5628209</v>
      </c>
      <c r="AF119" s="165">
        <f t="shared" ref="AF119" si="2675">IFERROR((AE119-AD119)," ")</f>
        <v>5616</v>
      </c>
      <c r="AG119" s="168">
        <v>40</v>
      </c>
      <c r="AH119" s="168">
        <v>24</v>
      </c>
      <c r="AI119" s="166"/>
      <c r="AJ119" s="166"/>
      <c r="AK119" s="166">
        <f t="shared" ref="AK119" si="2676">IF(OR(AH119="",AG119=""),"",AH119*AG119*3.6)</f>
        <v>3456</v>
      </c>
      <c r="AL119" s="167">
        <f>+BDFUENTES[[#This Row],[PZ CHB m3/día]]/3.6/BDFUENTES[[#This Row],[PZ CHB Horas Activo]]</f>
        <v>37.076023391812868</v>
      </c>
      <c r="AM119" s="171">
        <v>19</v>
      </c>
      <c r="AN119" s="168">
        <f t="shared" ref="AN119" si="2677">IF(AO119&gt;0,AO118," ")</f>
        <v>3789272</v>
      </c>
      <c r="AO119" s="414">
        <v>3791808</v>
      </c>
      <c r="AP119" s="167">
        <f t="shared" ref="AP119" si="2678">IFERROR((AO119-AN119)," ")</f>
        <v>2536</v>
      </c>
      <c r="AQ119" s="166"/>
      <c r="AR119" s="166" t="str">
        <f t="shared" ref="AR119" si="2679">IFERROR(+AU119/(AQ119*3.6)," ")</f>
        <v xml:space="preserve"> </v>
      </c>
      <c r="AS119" s="168" t="str">
        <f t="shared" ref="AS119" si="2680">IF(AT119&gt;0,AT118," ")</f>
        <v xml:space="preserve"> </v>
      </c>
      <c r="AT119" s="168"/>
      <c r="AU119" s="166" t="str">
        <f t="shared" ref="AU119" si="2681">IFERROR((AT119-AS119)," ")</f>
        <v xml:space="preserve"> </v>
      </c>
      <c r="AV119" s="167">
        <f>+BDFUENTES[[#This Row],[PZ TM m3/día]]/3.6/BDFUENTES[[#This Row],[PZ TM Horas Activo]]</f>
        <v>9.6759259259259256</v>
      </c>
      <c r="AW119" s="167">
        <v>18</v>
      </c>
      <c r="AX119" s="169">
        <f t="shared" ref="AX119" si="2682">IF(AY119&gt;0,AY118," ")</f>
        <v>631803</v>
      </c>
      <c r="AY119" s="415">
        <v>632430</v>
      </c>
      <c r="AZ119" s="167">
        <f t="shared" ref="AZ119" si="2683">IFERROR((AY119-AX119)," ")</f>
        <v>627</v>
      </c>
      <c r="BA119" s="166">
        <v>125</v>
      </c>
      <c r="BB119" s="166">
        <f t="shared" ref="BB119" si="2684">IFERROR(+BE119/(BA119*3.6)," ")</f>
        <v>4.9577777777777774</v>
      </c>
      <c r="BC119" s="168">
        <f t="shared" ref="BC119" si="2685">IF(BD119&gt;0,BD118," ")</f>
        <v>6082520</v>
      </c>
      <c r="BD119" s="414">
        <v>6084751</v>
      </c>
      <c r="BE119" s="166">
        <f t="shared" ref="BE119" si="2686">IFERROR((BD119-BC119)," ")</f>
        <v>2231</v>
      </c>
      <c r="BF119" s="167">
        <v>20</v>
      </c>
      <c r="BG119" s="166">
        <f t="shared" ref="BG119" si="2687">IFERROR(+BJ119/(BF119*3.6)," ")</f>
        <v>18.125</v>
      </c>
      <c r="BH119" s="168">
        <f t="shared" ref="BH119" si="2688">IF(BI119&gt;0,BI118," ")</f>
        <v>1659104</v>
      </c>
      <c r="BI119" s="414">
        <v>1660409</v>
      </c>
      <c r="BJ119" s="167">
        <f t="shared" ref="BJ119" si="2689">IFERROR((BI119-BH119)," ")</f>
        <v>1305</v>
      </c>
      <c r="BK119" s="166">
        <v>70</v>
      </c>
      <c r="BL119" s="166">
        <f t="shared" ref="BL119" si="2690">IFERROR(+BO119/(BK119*3.6)," ")</f>
        <v>19.198412698412699</v>
      </c>
      <c r="BM119" s="168">
        <f t="shared" ref="BM119" si="2691">IF(BN119&gt;0,BN118," ")</f>
        <v>6587616</v>
      </c>
      <c r="BN119" s="414">
        <v>6592454</v>
      </c>
      <c r="BO119" s="166">
        <f t="shared" ref="BO119" si="2692">IFERROR((BN119-BM119)," ")</f>
        <v>4838</v>
      </c>
    </row>
    <row r="120" spans="2:67" ht="15" customHeight="1" x14ac:dyDescent="0.25">
      <c r="B120" s="170">
        <v>46138</v>
      </c>
      <c r="C120" s="164">
        <v>38</v>
      </c>
      <c r="D120" s="166">
        <f t="shared" ref="D120" si="2693">IFERROR(+G120/(C120*3.6)," ")</f>
        <v>17.580409356725145</v>
      </c>
      <c r="E120" s="168">
        <f t="shared" ref="E120" si="2694">IF(F120&gt;0,F119," ")</f>
        <v>3949253</v>
      </c>
      <c r="F120" s="414">
        <v>3951658</v>
      </c>
      <c r="G120" s="166">
        <f t="shared" ref="G120" si="2695">IFERROR((F120-E120)," ")</f>
        <v>2405</v>
      </c>
      <c r="H120" s="167">
        <v>25</v>
      </c>
      <c r="I120" s="167">
        <f t="shared" ref="I120" si="2696">IFERROR(+L120/(H120*3.6)," ")</f>
        <v>0</v>
      </c>
      <c r="J120" s="168">
        <f t="shared" ref="J120" si="2697">IF(K120&gt;0,K119," ")</f>
        <v>1970853</v>
      </c>
      <c r="K120" s="266">
        <v>1970853</v>
      </c>
      <c r="L120" s="167">
        <f t="shared" ref="L120" si="2698">IFERROR((K120-J120)," ")</f>
        <v>0</v>
      </c>
      <c r="M120" s="166">
        <v>38</v>
      </c>
      <c r="N120" s="166">
        <f t="shared" ref="N120" si="2699">IFERROR(+Q120/(M120*3.6)," ")</f>
        <v>0</v>
      </c>
      <c r="O120" s="168">
        <f t="shared" ref="O120" si="2700">IF(P120&gt;0,P119," ")</f>
        <v>414656</v>
      </c>
      <c r="P120" s="168">
        <v>414656</v>
      </c>
      <c r="Q120" s="166">
        <f t="shared" ref="Q120" si="2701">IFERROR((P120-O120)," ")</f>
        <v>0</v>
      </c>
      <c r="R120" s="167">
        <f>+BDFUENTES[[#This Row],[PZ MED m3/día]]/3.6/BDFUENTES[[#This Row],[PZ MED Horas Activo]]</f>
        <v>0</v>
      </c>
      <c r="S120" s="167">
        <v>4</v>
      </c>
      <c r="T120" s="168">
        <f t="shared" ref="T120" si="2702">IF(U120&gt;0,U119," ")</f>
        <v>374309</v>
      </c>
      <c r="U120" s="168">
        <v>374309</v>
      </c>
      <c r="V120" s="165">
        <f t="shared" ref="V120" si="2703">IFERROR((U120-T120)," ")</f>
        <v>0</v>
      </c>
      <c r="W120" s="164">
        <f t="shared" ref="W120" si="2704">IFERROR((AA120/X120)/3.6," ")</f>
        <v>453.5810185185228</v>
      </c>
      <c r="X120" s="166">
        <v>24</v>
      </c>
      <c r="Y120" s="168">
        <f t="shared" ref="Y120" si="2705">IF(Z120&gt;0,Z119," ")</f>
        <v>4589657.5999999996</v>
      </c>
      <c r="Z120" s="168">
        <f>4625715+(435*3.6*2)</f>
        <v>4628847</v>
      </c>
      <c r="AA120" s="164">
        <f>IFERROR((Z120-Y120)," ")-BDFUENTES[[#This Row],[PZ MED m3/día]]</f>
        <v>39189.400000000373</v>
      </c>
      <c r="AB120" s="168">
        <f t="shared" ref="AB120" si="2706">IFERROR(ROUNDDOWN(+AF120/(AC120*3.6),0)," ")</f>
        <v>74</v>
      </c>
      <c r="AC120" s="168">
        <v>24</v>
      </c>
      <c r="AD120" s="171">
        <f t="shared" ref="AD120" si="2707">IF(AE120&gt;0,AE119," ")</f>
        <v>5628209</v>
      </c>
      <c r="AE120" s="167">
        <v>5634687</v>
      </c>
      <c r="AF120" s="165">
        <f t="shared" ref="AF120" si="2708">IFERROR((AE120-AD120)," ")</f>
        <v>6478</v>
      </c>
      <c r="AG120" s="168">
        <v>40</v>
      </c>
      <c r="AH120" s="168">
        <v>24</v>
      </c>
      <c r="AI120" s="166"/>
      <c r="AJ120" s="166"/>
      <c r="AK120" s="166">
        <f t="shared" ref="AK120" si="2709">IF(OR(AH120="",AG120=""),"",AH120*AG120*3.6)</f>
        <v>3456</v>
      </c>
      <c r="AL120" s="167">
        <f>+BDFUENTES[[#This Row],[PZ CHB m3/día]]/3.6/BDFUENTES[[#This Row],[PZ CHB Horas Activo]]</f>
        <v>38.78086419753086</v>
      </c>
      <c r="AM120" s="171">
        <v>18</v>
      </c>
      <c r="AN120" s="168">
        <f t="shared" ref="AN120" si="2710">IF(AO120&gt;0,AO119," ")</f>
        <v>3791808</v>
      </c>
      <c r="AO120" s="414">
        <v>3794321</v>
      </c>
      <c r="AP120" s="167">
        <f t="shared" ref="AP120" si="2711">IFERROR((AO120-AN120)," ")</f>
        <v>2513</v>
      </c>
      <c r="AQ120" s="166"/>
      <c r="AR120" s="166" t="str">
        <f t="shared" ref="AR120" si="2712">IFERROR(+AU120/(AQ120*3.6)," ")</f>
        <v xml:space="preserve"> </v>
      </c>
      <c r="AS120" s="168" t="str">
        <f t="shared" ref="AS120" si="2713">IF(AT120&gt;0,AT119," ")</f>
        <v xml:space="preserve"> </v>
      </c>
      <c r="AT120" s="168"/>
      <c r="AU120" s="166" t="str">
        <f t="shared" ref="AU120" si="2714">IFERROR((AT120-AS120)," ")</f>
        <v xml:space="preserve"> </v>
      </c>
      <c r="AV120" s="167">
        <f>+BDFUENTES[[#This Row],[PZ TM m3/día]]/3.6/BDFUENTES[[#This Row],[PZ TM Horas Activo]]</f>
        <v>11.045751633986928</v>
      </c>
      <c r="AW120" s="167">
        <v>17</v>
      </c>
      <c r="AX120" s="169">
        <f t="shared" ref="AX120" si="2715">IF(AY120&gt;0,AY119," ")</f>
        <v>632430</v>
      </c>
      <c r="AY120" s="415">
        <v>633106</v>
      </c>
      <c r="AZ120" s="167">
        <f t="shared" ref="AZ120" si="2716">IFERROR((AY120-AX120)," ")</f>
        <v>676</v>
      </c>
      <c r="BA120" s="166">
        <v>125</v>
      </c>
      <c r="BB120" s="166">
        <f t="shared" ref="BB120" si="2717">IFERROR(+BE120/(BA120*3.6)," ")</f>
        <v>5.2088888888888887</v>
      </c>
      <c r="BC120" s="168">
        <f t="shared" ref="BC120" si="2718">IF(BD120&gt;0,BD119," ")</f>
        <v>6084751</v>
      </c>
      <c r="BD120" s="414">
        <v>6087095</v>
      </c>
      <c r="BE120" s="166">
        <f t="shared" ref="BE120" si="2719">IFERROR((BD120-BC120)," ")</f>
        <v>2344</v>
      </c>
      <c r="BF120" s="167">
        <v>20</v>
      </c>
      <c r="BG120" s="166">
        <f t="shared" ref="BG120" si="2720">IFERROR(+BJ120/(BF120*3.6)," ")</f>
        <v>17.902777777777779</v>
      </c>
      <c r="BH120" s="168">
        <f t="shared" ref="BH120" si="2721">IF(BI120&gt;0,BI119," ")</f>
        <v>1660409</v>
      </c>
      <c r="BI120" s="414">
        <v>1661698</v>
      </c>
      <c r="BJ120" s="167">
        <f t="shared" ref="BJ120" si="2722">IFERROR((BI120-BH120)," ")</f>
        <v>1289</v>
      </c>
      <c r="BK120" s="166">
        <v>70</v>
      </c>
      <c r="BL120" s="166">
        <f t="shared" ref="BL120" si="2723">IFERROR(+BO120/(BK120*3.6)," ")</f>
        <v>16.924603174603174</v>
      </c>
      <c r="BM120" s="168">
        <f t="shared" ref="BM120" si="2724">IF(BN120&gt;0,BN119," ")</f>
        <v>6592454</v>
      </c>
      <c r="BN120" s="414">
        <v>6596719</v>
      </c>
      <c r="BO120" s="166">
        <f t="shared" ref="BO120" si="2725">IFERROR((BN120-BM120)," ")</f>
        <v>4265</v>
      </c>
    </row>
    <row r="121" spans="2:67" ht="15" customHeight="1" x14ac:dyDescent="0.25">
      <c r="B121" s="170">
        <v>46139</v>
      </c>
      <c r="C121" s="164"/>
      <c r="D121" s="166" t="str">
        <f t="shared" ref="D121:D167" si="2726">IFERROR(+G121/(C121*3.6)," ")</f>
        <v xml:space="preserve"> </v>
      </c>
      <c r="E121" s="168" t="str">
        <f t="shared" ref="E121:E167" si="2727">IF(F121&gt;0,F120," ")</f>
        <v xml:space="preserve"> </v>
      </c>
      <c r="F121" s="168"/>
      <c r="G121" s="166" t="str">
        <f t="shared" ref="G121:G167" si="2728">IFERROR((F121-E121)," ")</f>
        <v xml:space="preserve"> </v>
      </c>
      <c r="H121" s="167"/>
      <c r="I121" s="167" t="str">
        <f t="shared" ref="I121:I167" si="2729">IFERROR(+L121/(H121*3.6)," ")</f>
        <v xml:space="preserve"> </v>
      </c>
      <c r="J121" s="168" t="str">
        <f t="shared" ref="J121:J167" si="2730">IF(K121&gt;0,K120," ")</f>
        <v xml:space="preserve"> </v>
      </c>
      <c r="K121" s="168"/>
      <c r="L121" s="167" t="str">
        <f t="shared" ref="L121:L167" si="2731">IFERROR((K121-J121)," ")</f>
        <v xml:space="preserve"> </v>
      </c>
      <c r="M121" s="166"/>
      <c r="N121" s="166" t="str">
        <f t="shared" ref="N121:N167" si="2732">IFERROR(+Q121/(M121*3.6)," ")</f>
        <v xml:space="preserve"> </v>
      </c>
      <c r="O121" s="168" t="str">
        <f t="shared" ref="O121:O167" si="2733">IF(P121&gt;0,P120," ")</f>
        <v xml:space="preserve"> </v>
      </c>
      <c r="P121" s="168"/>
      <c r="Q121" s="166" t="str">
        <f t="shared" ref="Q121:Q167" si="2734">IFERROR((P121-O121)," ")</f>
        <v xml:space="preserve"> </v>
      </c>
      <c r="R121" s="167">
        <f ca="1">+BDFUENTES[[#This Row],[PZ MED m3/día]]/3.6/BDFUENTES[[#This Row],[PZ MED Horas Activo]]</f>
        <v>0</v>
      </c>
      <c r="S121" s="167" t="str">
        <f t="shared" ref="S121:S167" ca="1" si="2735">IFERROR(+V121/(R121*3.6)," ")</f>
        <v xml:space="preserve"> </v>
      </c>
      <c r="T121" s="168" t="str">
        <f t="shared" ref="T121:T167" si="2736">IF(U121&gt;0,U120," ")</f>
        <v xml:space="preserve"> </v>
      </c>
      <c r="U121" s="168"/>
      <c r="V121" s="165" t="str">
        <f t="shared" ref="V121:V167" si="2737">IFERROR((U121-T121)," ")</f>
        <v xml:space="preserve"> </v>
      </c>
      <c r="W121" s="164" t="str">
        <f t="shared" ref="W121:W167" si="2738">IFERROR((AA121/X121)/3.6," ")</f>
        <v xml:space="preserve"> </v>
      </c>
      <c r="X121" s="166"/>
      <c r="Y121" s="168" t="str">
        <f t="shared" ref="Y121:Y167" si="2739">IF(Z121&gt;0,Z120," ")</f>
        <v xml:space="preserve"> </v>
      </c>
      <c r="Z121" s="168"/>
      <c r="AA121" s="166" t="str">
        <f t="shared" ref="AA121:AA167" si="2740">IFERROR(-(Z121-Y121)," ")</f>
        <v xml:space="preserve"> </v>
      </c>
      <c r="AB121" s="168" t="str">
        <f t="shared" ref="AB121:AB167" si="2741">IFERROR(ROUNDDOWN(+AF121/(AC121*3.6),0)," ")</f>
        <v xml:space="preserve"> </v>
      </c>
      <c r="AC121" s="168"/>
      <c r="AD121" s="171" t="str">
        <f t="shared" ref="AD121:AD167" si="2742">IF(AE121&gt;0,AE120," ")</f>
        <v xml:space="preserve"> </v>
      </c>
      <c r="AE121" s="167"/>
      <c r="AF121" s="165" t="str">
        <f t="shared" si="2387"/>
        <v xml:space="preserve"> </v>
      </c>
      <c r="AG121" s="168"/>
      <c r="AH121" s="168"/>
      <c r="AI121" s="166"/>
      <c r="AJ121" s="166"/>
      <c r="AK121" s="166" t="str">
        <f t="shared" ref="AK121:AK167" si="2743">IF(OR(AH121="",AG121=""),"",AH121*AG121*3.6)</f>
        <v/>
      </c>
      <c r="AL121" s="167"/>
      <c r="AM121" s="171" t="str">
        <f t="shared" ref="AM121:AM167" si="2744">IFERROR(+AP121/(AL121*3.6)," ")</f>
        <v xml:space="preserve"> </v>
      </c>
      <c r="AN121" s="168" t="str">
        <f t="shared" ref="AN121:AN167" si="2745">IF(AO121&gt;0,AO120," ")</f>
        <v xml:space="preserve"> </v>
      </c>
      <c r="AO121" s="168"/>
      <c r="AP121" s="167" t="str">
        <f t="shared" ref="AP121:AP167" si="2746">IFERROR((AO121-AN121)," ")</f>
        <v xml:space="preserve"> </v>
      </c>
      <c r="AQ121" s="166"/>
      <c r="AR121" s="166" t="str">
        <f t="shared" ref="AR121:AR167" si="2747">IFERROR(+AU121/(AQ121*3.6)," ")</f>
        <v xml:space="preserve"> </v>
      </c>
      <c r="AS121" s="168" t="str">
        <f t="shared" ref="AS121:AS167" si="2748">IF(AT121&gt;0,AT120," ")</f>
        <v xml:space="preserve"> </v>
      </c>
      <c r="AT121" s="168"/>
      <c r="AU121" s="166" t="str">
        <f t="shared" ref="AU121:AU167" si="2749">IFERROR((AT121-AS121)," ")</f>
        <v xml:space="preserve"> </v>
      </c>
      <c r="AV121" s="167"/>
      <c r="AW121" s="167"/>
      <c r="AX121" s="169" t="str">
        <f t="shared" ref="AX121:AX167" si="2750">IF(AY121&gt;0,AY120," ")</f>
        <v xml:space="preserve"> </v>
      </c>
      <c r="AY121" s="169"/>
      <c r="AZ121" s="167" t="str">
        <f t="shared" ref="AZ121:AZ167" si="2751">IFERROR((AY121-AX121)," ")</f>
        <v xml:space="preserve"> </v>
      </c>
      <c r="BA121" s="166"/>
      <c r="BB121" s="166"/>
      <c r="BC121" s="168" t="str">
        <f t="shared" ref="BC121:BC167" si="2752">IF(BD121&gt;0,BD120," ")</f>
        <v xml:space="preserve"> </v>
      </c>
      <c r="BD121" s="168"/>
      <c r="BE121" s="166" t="str">
        <f t="shared" ref="BE121:BE167" si="2753">IFERROR((BD121-BC121)," ")</f>
        <v xml:space="preserve"> </v>
      </c>
      <c r="BF121" s="167"/>
      <c r="BG121" s="167"/>
      <c r="BH121" s="168" t="str">
        <f t="shared" ref="BH121:BH167" si="2754">IF(BI121&gt;0,BI120," ")</f>
        <v xml:space="preserve"> </v>
      </c>
      <c r="BI121" s="168"/>
      <c r="BJ121" s="167" t="str">
        <f t="shared" ref="BJ121:BJ167" si="2755">IFERROR((BI121-BH121)," ")</f>
        <v xml:space="preserve"> </v>
      </c>
      <c r="BK121" s="166"/>
      <c r="BL121" s="166" t="str">
        <f t="shared" ref="BL121:BL167" si="2756">IFERROR(+BO121/(BK121*3.6)," ")</f>
        <v xml:space="preserve"> </v>
      </c>
      <c r="BM121" s="168" t="str">
        <f t="shared" ref="BM121:BM167" si="2757">IF(BN121&gt;0,BN120," ")</f>
        <v xml:space="preserve"> </v>
      </c>
      <c r="BN121" s="168"/>
      <c r="BO121" s="166" t="str">
        <f t="shared" ref="BO121:BO167" si="2758">IFERROR((BN121-BM121)," ")</f>
        <v xml:space="preserve"> </v>
      </c>
    </row>
    <row r="122" spans="2:67" ht="15" customHeight="1" x14ac:dyDescent="0.25">
      <c r="B122" s="170">
        <v>46140</v>
      </c>
      <c r="C122" s="164"/>
      <c r="D122" s="166" t="str">
        <f t="shared" si="2726"/>
        <v xml:space="preserve"> </v>
      </c>
      <c r="E122" s="168" t="str">
        <f t="shared" si="2727"/>
        <v xml:space="preserve"> </v>
      </c>
      <c r="F122" s="168"/>
      <c r="G122" s="166" t="str">
        <f t="shared" si="2728"/>
        <v xml:space="preserve"> </v>
      </c>
      <c r="H122" s="167"/>
      <c r="I122" s="167" t="str">
        <f t="shared" si="2729"/>
        <v xml:space="preserve"> </v>
      </c>
      <c r="J122" s="168" t="str">
        <f t="shared" si="2730"/>
        <v xml:space="preserve"> </v>
      </c>
      <c r="K122" s="168"/>
      <c r="L122" s="167" t="str">
        <f t="shared" si="2731"/>
        <v xml:space="preserve"> </v>
      </c>
      <c r="M122" s="166"/>
      <c r="N122" s="166" t="str">
        <f t="shared" si="2732"/>
        <v xml:space="preserve"> </v>
      </c>
      <c r="O122" s="168" t="str">
        <f t="shared" si="2733"/>
        <v xml:space="preserve"> </v>
      </c>
      <c r="P122" s="168"/>
      <c r="Q122" s="166" t="str">
        <f t="shared" si="2734"/>
        <v xml:space="preserve"> </v>
      </c>
      <c r="R122" s="167">
        <f ca="1">+BDFUENTES[[#This Row],[PZ MED m3/día]]/3.6/BDFUENTES[[#This Row],[PZ MED Horas Activo]]</f>
        <v>0</v>
      </c>
      <c r="S122" s="167" t="str">
        <f t="shared" ca="1" si="2735"/>
        <v xml:space="preserve"> </v>
      </c>
      <c r="T122" s="168" t="str">
        <f t="shared" si="2736"/>
        <v xml:space="preserve"> </v>
      </c>
      <c r="U122" s="168"/>
      <c r="V122" s="165" t="str">
        <f t="shared" si="2737"/>
        <v xml:space="preserve"> </v>
      </c>
      <c r="W122" s="164" t="str">
        <f t="shared" si="2738"/>
        <v xml:space="preserve"> </v>
      </c>
      <c r="X122" s="166"/>
      <c r="Y122" s="168" t="str">
        <f t="shared" si="2739"/>
        <v xml:space="preserve"> </v>
      </c>
      <c r="Z122" s="168"/>
      <c r="AA122" s="166" t="str">
        <f t="shared" si="2740"/>
        <v xml:space="preserve"> </v>
      </c>
      <c r="AB122" s="168" t="str">
        <f t="shared" si="2741"/>
        <v xml:space="preserve"> </v>
      </c>
      <c r="AC122" s="168"/>
      <c r="AD122" s="171" t="str">
        <f t="shared" si="2742"/>
        <v xml:space="preserve"> </v>
      </c>
      <c r="AE122" s="167"/>
      <c r="AF122" s="165" t="str">
        <f t="shared" si="2387"/>
        <v xml:space="preserve"> </v>
      </c>
      <c r="AG122" s="168"/>
      <c r="AH122" s="168"/>
      <c r="AI122" s="166"/>
      <c r="AJ122" s="166"/>
      <c r="AK122" s="166" t="str">
        <f t="shared" si="2743"/>
        <v/>
      </c>
      <c r="AL122" s="167"/>
      <c r="AM122" s="171" t="str">
        <f t="shared" si="2744"/>
        <v xml:space="preserve"> </v>
      </c>
      <c r="AN122" s="168" t="str">
        <f t="shared" si="2745"/>
        <v xml:space="preserve"> </v>
      </c>
      <c r="AO122" s="168"/>
      <c r="AP122" s="167" t="str">
        <f t="shared" si="2746"/>
        <v xml:space="preserve"> </v>
      </c>
      <c r="AQ122" s="166"/>
      <c r="AR122" s="166" t="str">
        <f t="shared" si="2747"/>
        <v xml:space="preserve"> </v>
      </c>
      <c r="AS122" s="168" t="str">
        <f t="shared" si="2748"/>
        <v xml:space="preserve"> </v>
      </c>
      <c r="AT122" s="168"/>
      <c r="AU122" s="166" t="str">
        <f t="shared" si="2749"/>
        <v xml:space="preserve"> </v>
      </c>
      <c r="AV122" s="167"/>
      <c r="AW122" s="167"/>
      <c r="AX122" s="169" t="str">
        <f t="shared" si="2750"/>
        <v xml:space="preserve"> </v>
      </c>
      <c r="AY122" s="169"/>
      <c r="AZ122" s="167" t="str">
        <f t="shared" si="2751"/>
        <v xml:space="preserve"> </v>
      </c>
      <c r="BA122" s="166"/>
      <c r="BB122" s="166"/>
      <c r="BC122" s="168" t="str">
        <f t="shared" si="2752"/>
        <v xml:space="preserve"> </v>
      </c>
      <c r="BD122" s="168"/>
      <c r="BE122" s="166" t="str">
        <f t="shared" si="2753"/>
        <v xml:space="preserve"> </v>
      </c>
      <c r="BF122" s="167"/>
      <c r="BG122" s="167"/>
      <c r="BH122" s="168" t="str">
        <f t="shared" si="2754"/>
        <v xml:space="preserve"> </v>
      </c>
      <c r="BI122" s="168"/>
      <c r="BJ122" s="167" t="str">
        <f t="shared" si="2755"/>
        <v xml:space="preserve"> </v>
      </c>
      <c r="BK122" s="166"/>
      <c r="BL122" s="166" t="str">
        <f t="shared" si="2756"/>
        <v xml:space="preserve"> </v>
      </c>
      <c r="BM122" s="168" t="str">
        <f t="shared" si="2757"/>
        <v xml:space="preserve"> </v>
      </c>
      <c r="BN122" s="168"/>
      <c r="BO122" s="166" t="str">
        <f t="shared" si="2758"/>
        <v xml:space="preserve"> </v>
      </c>
    </row>
    <row r="123" spans="2:67" ht="15" customHeight="1" x14ac:dyDescent="0.25">
      <c r="B123" s="170">
        <v>46141</v>
      </c>
      <c r="C123" s="164"/>
      <c r="D123" s="166" t="str">
        <f t="shared" si="2726"/>
        <v xml:space="preserve"> </v>
      </c>
      <c r="E123" s="168" t="str">
        <f t="shared" si="2727"/>
        <v xml:space="preserve"> </v>
      </c>
      <c r="F123" s="168"/>
      <c r="G123" s="166" t="str">
        <f t="shared" si="2728"/>
        <v xml:space="preserve"> </v>
      </c>
      <c r="H123" s="167"/>
      <c r="I123" s="167" t="str">
        <f t="shared" si="2729"/>
        <v xml:space="preserve"> </v>
      </c>
      <c r="J123" s="168" t="str">
        <f t="shared" si="2730"/>
        <v xml:space="preserve"> </v>
      </c>
      <c r="K123" s="168"/>
      <c r="L123" s="167" t="str">
        <f t="shared" si="2731"/>
        <v xml:space="preserve"> </v>
      </c>
      <c r="M123" s="166"/>
      <c r="N123" s="166" t="str">
        <f t="shared" si="2732"/>
        <v xml:space="preserve"> </v>
      </c>
      <c r="O123" s="168" t="str">
        <f t="shared" si="2733"/>
        <v xml:space="preserve"> </v>
      </c>
      <c r="P123" s="168"/>
      <c r="Q123" s="166" t="str">
        <f t="shared" si="2734"/>
        <v xml:space="preserve"> </v>
      </c>
      <c r="R123" s="167">
        <f ca="1">+BDFUENTES[[#This Row],[PZ MED m3/día]]/3.6/BDFUENTES[[#This Row],[PZ MED Horas Activo]]</f>
        <v>0</v>
      </c>
      <c r="S123" s="167" t="str">
        <f t="shared" ca="1" si="2735"/>
        <v xml:space="preserve"> </v>
      </c>
      <c r="T123" s="168" t="str">
        <f t="shared" si="2736"/>
        <v xml:space="preserve"> </v>
      </c>
      <c r="U123" s="168"/>
      <c r="V123" s="165" t="str">
        <f t="shared" si="2737"/>
        <v xml:space="preserve"> </v>
      </c>
      <c r="W123" s="164" t="str">
        <f t="shared" si="2738"/>
        <v xml:space="preserve"> </v>
      </c>
      <c r="X123" s="166"/>
      <c r="Y123" s="168" t="str">
        <f t="shared" si="2739"/>
        <v xml:space="preserve"> </v>
      </c>
      <c r="Z123" s="168"/>
      <c r="AA123" s="166" t="str">
        <f t="shared" si="2740"/>
        <v xml:space="preserve"> </v>
      </c>
      <c r="AB123" s="168" t="str">
        <f t="shared" si="2741"/>
        <v xml:space="preserve"> </v>
      </c>
      <c r="AC123" s="168"/>
      <c r="AD123" s="171" t="str">
        <f t="shared" si="2742"/>
        <v xml:space="preserve"> </v>
      </c>
      <c r="AE123" s="167"/>
      <c r="AF123" s="165" t="str">
        <f t="shared" si="2387"/>
        <v xml:space="preserve"> </v>
      </c>
      <c r="AG123" s="168"/>
      <c r="AH123" s="168"/>
      <c r="AI123" s="166"/>
      <c r="AJ123" s="166"/>
      <c r="AK123" s="166" t="str">
        <f t="shared" si="2743"/>
        <v/>
      </c>
      <c r="AL123" s="167"/>
      <c r="AM123" s="171" t="str">
        <f t="shared" si="2744"/>
        <v xml:space="preserve"> </v>
      </c>
      <c r="AN123" s="168" t="str">
        <f t="shared" si="2745"/>
        <v xml:space="preserve"> </v>
      </c>
      <c r="AO123" s="168"/>
      <c r="AP123" s="167" t="str">
        <f t="shared" si="2746"/>
        <v xml:space="preserve"> </v>
      </c>
      <c r="AQ123" s="166"/>
      <c r="AR123" s="166" t="str">
        <f t="shared" si="2747"/>
        <v xml:space="preserve"> </v>
      </c>
      <c r="AS123" s="168" t="str">
        <f t="shared" si="2748"/>
        <v xml:space="preserve"> </v>
      </c>
      <c r="AT123" s="168"/>
      <c r="AU123" s="166" t="str">
        <f t="shared" si="2749"/>
        <v xml:space="preserve"> </v>
      </c>
      <c r="AV123" s="167"/>
      <c r="AW123" s="167"/>
      <c r="AX123" s="169" t="str">
        <f t="shared" si="2750"/>
        <v xml:space="preserve"> </v>
      </c>
      <c r="AY123" s="169"/>
      <c r="AZ123" s="167" t="str">
        <f t="shared" si="2751"/>
        <v xml:space="preserve"> </v>
      </c>
      <c r="BA123" s="166"/>
      <c r="BB123" s="166"/>
      <c r="BC123" s="168" t="str">
        <f t="shared" si="2752"/>
        <v xml:space="preserve"> </v>
      </c>
      <c r="BD123" s="168"/>
      <c r="BE123" s="166" t="str">
        <f t="shared" si="2753"/>
        <v xml:space="preserve"> </v>
      </c>
      <c r="BF123" s="167"/>
      <c r="BG123" s="167"/>
      <c r="BH123" s="168" t="str">
        <f t="shared" si="2754"/>
        <v xml:space="preserve"> </v>
      </c>
      <c r="BI123" s="168"/>
      <c r="BJ123" s="167" t="str">
        <f t="shared" si="2755"/>
        <v xml:space="preserve"> </v>
      </c>
      <c r="BK123" s="166"/>
      <c r="BL123" s="166" t="str">
        <f t="shared" si="2756"/>
        <v xml:space="preserve"> </v>
      </c>
      <c r="BM123" s="168" t="str">
        <f t="shared" si="2757"/>
        <v xml:space="preserve"> </v>
      </c>
      <c r="BN123" s="168"/>
      <c r="BO123" s="166" t="str">
        <f t="shared" si="2758"/>
        <v xml:space="preserve"> </v>
      </c>
    </row>
    <row r="124" spans="2:67" ht="15" customHeight="1" x14ac:dyDescent="0.25">
      <c r="B124" s="170">
        <v>46142</v>
      </c>
      <c r="C124" s="164"/>
      <c r="D124" s="166" t="str">
        <f t="shared" si="2726"/>
        <v xml:space="preserve"> </v>
      </c>
      <c r="E124" s="168" t="str">
        <f t="shared" si="2727"/>
        <v xml:space="preserve"> </v>
      </c>
      <c r="F124" s="168"/>
      <c r="G124" s="166" t="str">
        <f t="shared" si="2728"/>
        <v xml:space="preserve"> </v>
      </c>
      <c r="H124" s="167"/>
      <c r="I124" s="167" t="str">
        <f t="shared" si="2729"/>
        <v xml:space="preserve"> </v>
      </c>
      <c r="J124" s="168" t="str">
        <f t="shared" si="2730"/>
        <v xml:space="preserve"> </v>
      </c>
      <c r="K124" s="168"/>
      <c r="L124" s="167" t="str">
        <f t="shared" si="2731"/>
        <v xml:space="preserve"> </v>
      </c>
      <c r="M124" s="166"/>
      <c r="N124" s="166" t="str">
        <f t="shared" si="2732"/>
        <v xml:space="preserve"> </v>
      </c>
      <c r="O124" s="168" t="str">
        <f t="shared" si="2733"/>
        <v xml:space="preserve"> </v>
      </c>
      <c r="P124" s="168"/>
      <c r="Q124" s="166" t="str">
        <f t="shared" si="2734"/>
        <v xml:space="preserve"> </v>
      </c>
      <c r="R124" s="167">
        <f ca="1">+BDFUENTES[[#This Row],[PZ MED m3/día]]/3.6/BDFUENTES[[#This Row],[PZ MED Horas Activo]]</f>
        <v>0</v>
      </c>
      <c r="S124" s="167" t="str">
        <f t="shared" ca="1" si="2735"/>
        <v xml:space="preserve"> </v>
      </c>
      <c r="T124" s="168" t="str">
        <f t="shared" si="2736"/>
        <v xml:space="preserve"> </v>
      </c>
      <c r="U124" s="168"/>
      <c r="V124" s="165" t="str">
        <f t="shared" si="2737"/>
        <v xml:space="preserve"> </v>
      </c>
      <c r="W124" s="164" t="str">
        <f t="shared" si="2738"/>
        <v xml:space="preserve"> </v>
      </c>
      <c r="X124" s="166"/>
      <c r="Y124" s="168" t="str">
        <f t="shared" si="2739"/>
        <v xml:space="preserve"> </v>
      </c>
      <c r="Z124" s="168"/>
      <c r="AA124" s="166" t="str">
        <f t="shared" si="2740"/>
        <v xml:space="preserve"> </v>
      </c>
      <c r="AB124" s="168" t="str">
        <f t="shared" si="2741"/>
        <v xml:space="preserve"> </v>
      </c>
      <c r="AC124" s="168"/>
      <c r="AD124" s="171" t="str">
        <f t="shared" si="2742"/>
        <v xml:space="preserve"> </v>
      </c>
      <c r="AE124" s="167"/>
      <c r="AF124" s="165" t="str">
        <f t="shared" si="2387"/>
        <v xml:space="preserve"> </v>
      </c>
      <c r="AG124" s="168"/>
      <c r="AH124" s="168"/>
      <c r="AI124" s="166"/>
      <c r="AJ124" s="166"/>
      <c r="AK124" s="166" t="str">
        <f t="shared" si="2743"/>
        <v/>
      </c>
      <c r="AL124" s="167"/>
      <c r="AM124" s="171" t="str">
        <f t="shared" si="2744"/>
        <v xml:space="preserve"> </v>
      </c>
      <c r="AN124" s="168" t="str">
        <f t="shared" si="2745"/>
        <v xml:space="preserve"> </v>
      </c>
      <c r="AO124" s="168"/>
      <c r="AP124" s="167" t="str">
        <f t="shared" si="2746"/>
        <v xml:space="preserve"> </v>
      </c>
      <c r="AQ124" s="166"/>
      <c r="AR124" s="166" t="str">
        <f t="shared" si="2747"/>
        <v xml:space="preserve"> </v>
      </c>
      <c r="AS124" s="168" t="str">
        <f t="shared" si="2748"/>
        <v xml:space="preserve"> </v>
      </c>
      <c r="AT124" s="168"/>
      <c r="AU124" s="166" t="str">
        <f t="shared" si="2749"/>
        <v xml:space="preserve"> </v>
      </c>
      <c r="AV124" s="167"/>
      <c r="AW124" s="167"/>
      <c r="AX124" s="169" t="str">
        <f t="shared" si="2750"/>
        <v xml:space="preserve"> </v>
      </c>
      <c r="AY124" s="169"/>
      <c r="AZ124" s="167" t="str">
        <f t="shared" si="2751"/>
        <v xml:space="preserve"> </v>
      </c>
      <c r="BA124" s="166"/>
      <c r="BB124" s="166"/>
      <c r="BC124" s="168" t="str">
        <f t="shared" si="2752"/>
        <v xml:space="preserve"> </v>
      </c>
      <c r="BD124" s="168"/>
      <c r="BE124" s="166" t="str">
        <f t="shared" si="2753"/>
        <v xml:space="preserve"> </v>
      </c>
      <c r="BF124" s="167"/>
      <c r="BG124" s="167"/>
      <c r="BH124" s="168" t="str">
        <f t="shared" si="2754"/>
        <v xml:space="preserve"> </v>
      </c>
      <c r="BI124" s="168"/>
      <c r="BJ124" s="167" t="str">
        <f t="shared" si="2755"/>
        <v xml:space="preserve"> </v>
      </c>
      <c r="BK124" s="166"/>
      <c r="BL124" s="166" t="str">
        <f t="shared" si="2756"/>
        <v xml:space="preserve"> </v>
      </c>
      <c r="BM124" s="168" t="str">
        <f t="shared" si="2757"/>
        <v xml:space="preserve"> </v>
      </c>
      <c r="BN124" s="168"/>
      <c r="BO124" s="166" t="str">
        <f t="shared" si="2758"/>
        <v xml:space="preserve"> </v>
      </c>
    </row>
    <row r="125" spans="2:67" ht="15" customHeight="1" x14ac:dyDescent="0.25">
      <c r="B125" s="170">
        <v>46143</v>
      </c>
      <c r="C125" s="164"/>
      <c r="D125" s="166" t="str">
        <f t="shared" si="2726"/>
        <v xml:space="preserve"> </v>
      </c>
      <c r="E125" s="168" t="str">
        <f t="shared" si="2727"/>
        <v xml:space="preserve"> </v>
      </c>
      <c r="F125" s="168"/>
      <c r="G125" s="166" t="str">
        <f t="shared" si="2728"/>
        <v xml:space="preserve"> </v>
      </c>
      <c r="H125" s="167"/>
      <c r="I125" s="167" t="str">
        <f t="shared" si="2729"/>
        <v xml:space="preserve"> </v>
      </c>
      <c r="J125" s="168" t="str">
        <f t="shared" si="2730"/>
        <v xml:space="preserve"> </v>
      </c>
      <c r="K125" s="168"/>
      <c r="L125" s="167" t="str">
        <f t="shared" si="2731"/>
        <v xml:space="preserve"> </v>
      </c>
      <c r="M125" s="166"/>
      <c r="N125" s="166" t="str">
        <f t="shared" si="2732"/>
        <v xml:space="preserve"> </v>
      </c>
      <c r="O125" s="168" t="str">
        <f t="shared" si="2733"/>
        <v xml:space="preserve"> </v>
      </c>
      <c r="P125" s="168"/>
      <c r="Q125" s="166" t="str">
        <f t="shared" si="2734"/>
        <v xml:space="preserve"> </v>
      </c>
      <c r="R125" s="167">
        <f ca="1">+BDFUENTES[[#This Row],[PZ MED m3/día]]/3.6/BDFUENTES[[#This Row],[PZ MED Horas Activo]]</f>
        <v>0</v>
      </c>
      <c r="S125" s="167" t="str">
        <f t="shared" ca="1" si="2735"/>
        <v xml:space="preserve"> </v>
      </c>
      <c r="T125" s="168" t="str">
        <f t="shared" si="2736"/>
        <v xml:space="preserve"> </v>
      </c>
      <c r="U125" s="168"/>
      <c r="V125" s="165" t="str">
        <f t="shared" si="2737"/>
        <v xml:space="preserve"> </v>
      </c>
      <c r="W125" s="164" t="str">
        <f t="shared" si="2738"/>
        <v xml:space="preserve"> </v>
      </c>
      <c r="X125" s="166"/>
      <c r="Y125" s="168" t="str">
        <f t="shared" si="2739"/>
        <v xml:space="preserve"> </v>
      </c>
      <c r="Z125" s="168"/>
      <c r="AA125" s="166" t="str">
        <f t="shared" si="2740"/>
        <v xml:space="preserve"> </v>
      </c>
      <c r="AB125" s="168" t="str">
        <f t="shared" si="2741"/>
        <v xml:space="preserve"> </v>
      </c>
      <c r="AC125" s="168"/>
      <c r="AD125" s="171" t="str">
        <f t="shared" si="2742"/>
        <v xml:space="preserve"> </v>
      </c>
      <c r="AE125" s="167"/>
      <c r="AF125" s="165" t="str">
        <f t="shared" si="2387"/>
        <v xml:space="preserve"> </v>
      </c>
      <c r="AG125" s="168"/>
      <c r="AH125" s="168"/>
      <c r="AI125" s="166"/>
      <c r="AJ125" s="166"/>
      <c r="AK125" s="166" t="str">
        <f t="shared" si="2743"/>
        <v/>
      </c>
      <c r="AL125" s="167"/>
      <c r="AM125" s="171" t="str">
        <f t="shared" si="2744"/>
        <v xml:space="preserve"> </v>
      </c>
      <c r="AN125" s="168" t="str">
        <f t="shared" si="2745"/>
        <v xml:space="preserve"> </v>
      </c>
      <c r="AO125" s="168"/>
      <c r="AP125" s="167" t="str">
        <f t="shared" si="2746"/>
        <v xml:space="preserve"> </v>
      </c>
      <c r="AQ125" s="166"/>
      <c r="AR125" s="166" t="str">
        <f t="shared" si="2747"/>
        <v xml:space="preserve"> </v>
      </c>
      <c r="AS125" s="168" t="str">
        <f t="shared" si="2748"/>
        <v xml:space="preserve"> </v>
      </c>
      <c r="AT125" s="168"/>
      <c r="AU125" s="166" t="str">
        <f t="shared" si="2749"/>
        <v xml:space="preserve"> </v>
      </c>
      <c r="AV125" s="167"/>
      <c r="AW125" s="167"/>
      <c r="AX125" s="169" t="str">
        <f t="shared" si="2750"/>
        <v xml:space="preserve"> </v>
      </c>
      <c r="AY125" s="169"/>
      <c r="AZ125" s="167" t="str">
        <f t="shared" si="2751"/>
        <v xml:space="preserve"> </v>
      </c>
      <c r="BA125" s="166"/>
      <c r="BB125" s="166"/>
      <c r="BC125" s="168" t="str">
        <f t="shared" si="2752"/>
        <v xml:space="preserve"> </v>
      </c>
      <c r="BD125" s="168"/>
      <c r="BE125" s="166" t="str">
        <f t="shared" si="2753"/>
        <v xml:space="preserve"> </v>
      </c>
      <c r="BF125" s="167"/>
      <c r="BG125" s="167"/>
      <c r="BH125" s="168" t="str">
        <f t="shared" si="2754"/>
        <v xml:space="preserve"> </v>
      </c>
      <c r="BI125" s="168"/>
      <c r="BJ125" s="167" t="str">
        <f t="shared" si="2755"/>
        <v xml:space="preserve"> </v>
      </c>
      <c r="BK125" s="166"/>
      <c r="BL125" s="166" t="str">
        <f t="shared" si="2756"/>
        <v xml:space="preserve"> </v>
      </c>
      <c r="BM125" s="168" t="str">
        <f t="shared" si="2757"/>
        <v xml:space="preserve"> </v>
      </c>
      <c r="BN125" s="168"/>
      <c r="BO125" s="166" t="str">
        <f t="shared" si="2758"/>
        <v xml:space="preserve"> </v>
      </c>
    </row>
    <row r="126" spans="2:67" ht="15" customHeight="1" x14ac:dyDescent="0.25">
      <c r="B126" s="170">
        <v>46144</v>
      </c>
      <c r="C126" s="164"/>
      <c r="D126" s="166" t="str">
        <f t="shared" si="2726"/>
        <v xml:space="preserve"> </v>
      </c>
      <c r="E126" s="168" t="str">
        <f t="shared" si="2727"/>
        <v xml:space="preserve"> </v>
      </c>
      <c r="F126" s="168"/>
      <c r="G126" s="166" t="str">
        <f t="shared" si="2728"/>
        <v xml:space="preserve"> </v>
      </c>
      <c r="H126" s="167"/>
      <c r="I126" s="167" t="str">
        <f t="shared" si="2729"/>
        <v xml:space="preserve"> </v>
      </c>
      <c r="J126" s="168" t="str">
        <f t="shared" si="2730"/>
        <v xml:space="preserve"> </v>
      </c>
      <c r="K126" s="168"/>
      <c r="L126" s="167" t="str">
        <f t="shared" si="2731"/>
        <v xml:space="preserve"> </v>
      </c>
      <c r="M126" s="166"/>
      <c r="N126" s="166" t="str">
        <f t="shared" si="2732"/>
        <v xml:space="preserve"> </v>
      </c>
      <c r="O126" s="168" t="str">
        <f t="shared" si="2733"/>
        <v xml:space="preserve"> </v>
      </c>
      <c r="P126" s="168"/>
      <c r="Q126" s="166" t="str">
        <f t="shared" si="2734"/>
        <v xml:space="preserve"> </v>
      </c>
      <c r="R126" s="167">
        <f ca="1">+BDFUENTES[[#This Row],[PZ MED m3/día]]/3.6/BDFUENTES[[#This Row],[PZ MED Horas Activo]]</f>
        <v>0</v>
      </c>
      <c r="S126" s="167" t="str">
        <f t="shared" ca="1" si="2735"/>
        <v xml:space="preserve"> </v>
      </c>
      <c r="T126" s="168" t="str">
        <f t="shared" si="2736"/>
        <v xml:space="preserve"> </v>
      </c>
      <c r="U126" s="168"/>
      <c r="V126" s="165" t="str">
        <f t="shared" si="2737"/>
        <v xml:space="preserve"> </v>
      </c>
      <c r="W126" s="164" t="str">
        <f t="shared" si="2738"/>
        <v xml:space="preserve"> </v>
      </c>
      <c r="X126" s="166"/>
      <c r="Y126" s="168" t="str">
        <f t="shared" si="2739"/>
        <v xml:space="preserve"> </v>
      </c>
      <c r="Z126" s="168"/>
      <c r="AA126" s="166" t="str">
        <f t="shared" si="2740"/>
        <v xml:space="preserve"> </v>
      </c>
      <c r="AB126" s="168" t="str">
        <f t="shared" si="2741"/>
        <v xml:space="preserve"> </v>
      </c>
      <c r="AC126" s="168"/>
      <c r="AD126" s="171" t="str">
        <f t="shared" si="2742"/>
        <v xml:space="preserve"> </v>
      </c>
      <c r="AE126" s="167"/>
      <c r="AF126" s="165" t="str">
        <f t="shared" si="2387"/>
        <v xml:space="preserve"> </v>
      </c>
      <c r="AG126" s="168"/>
      <c r="AH126" s="168"/>
      <c r="AI126" s="166"/>
      <c r="AJ126" s="166"/>
      <c r="AK126" s="166" t="str">
        <f t="shared" si="2743"/>
        <v/>
      </c>
      <c r="AL126" s="167"/>
      <c r="AM126" s="171" t="str">
        <f t="shared" si="2744"/>
        <v xml:space="preserve"> </v>
      </c>
      <c r="AN126" s="168" t="str">
        <f t="shared" si="2745"/>
        <v xml:space="preserve"> </v>
      </c>
      <c r="AO126" s="168"/>
      <c r="AP126" s="167" t="str">
        <f t="shared" si="2746"/>
        <v xml:space="preserve"> </v>
      </c>
      <c r="AQ126" s="166"/>
      <c r="AR126" s="166" t="str">
        <f t="shared" si="2747"/>
        <v xml:space="preserve"> </v>
      </c>
      <c r="AS126" s="168" t="str">
        <f t="shared" si="2748"/>
        <v xml:space="preserve"> </v>
      </c>
      <c r="AT126" s="168"/>
      <c r="AU126" s="166" t="str">
        <f t="shared" si="2749"/>
        <v xml:space="preserve"> </v>
      </c>
      <c r="AV126" s="167"/>
      <c r="AW126" s="167"/>
      <c r="AX126" s="169" t="str">
        <f t="shared" si="2750"/>
        <v xml:space="preserve"> </v>
      </c>
      <c r="AY126" s="169"/>
      <c r="AZ126" s="167" t="str">
        <f t="shared" si="2751"/>
        <v xml:space="preserve"> </v>
      </c>
      <c r="BA126" s="166"/>
      <c r="BB126" s="166"/>
      <c r="BC126" s="168" t="str">
        <f t="shared" si="2752"/>
        <v xml:space="preserve"> </v>
      </c>
      <c r="BD126" s="168"/>
      <c r="BE126" s="166" t="str">
        <f t="shared" si="2753"/>
        <v xml:space="preserve"> </v>
      </c>
      <c r="BF126" s="167"/>
      <c r="BG126" s="167"/>
      <c r="BH126" s="168" t="str">
        <f t="shared" si="2754"/>
        <v xml:space="preserve"> </v>
      </c>
      <c r="BI126" s="168"/>
      <c r="BJ126" s="167" t="str">
        <f t="shared" si="2755"/>
        <v xml:space="preserve"> </v>
      </c>
      <c r="BK126" s="166"/>
      <c r="BL126" s="166" t="str">
        <f t="shared" si="2756"/>
        <v xml:space="preserve"> </v>
      </c>
      <c r="BM126" s="168" t="str">
        <f t="shared" si="2757"/>
        <v xml:space="preserve"> </v>
      </c>
      <c r="BN126" s="168"/>
      <c r="BO126" s="166" t="str">
        <f t="shared" si="2758"/>
        <v xml:space="preserve"> </v>
      </c>
    </row>
    <row r="127" spans="2:67" ht="15" customHeight="1" x14ac:dyDescent="0.25">
      <c r="B127" s="170">
        <v>46145</v>
      </c>
      <c r="C127" s="164"/>
      <c r="D127" s="166" t="str">
        <f t="shared" si="2726"/>
        <v xml:space="preserve"> </v>
      </c>
      <c r="E127" s="168" t="str">
        <f t="shared" si="2727"/>
        <v xml:space="preserve"> </v>
      </c>
      <c r="F127" s="168"/>
      <c r="G127" s="166" t="str">
        <f t="shared" si="2728"/>
        <v xml:space="preserve"> </v>
      </c>
      <c r="H127" s="167"/>
      <c r="I127" s="167" t="str">
        <f t="shared" si="2729"/>
        <v xml:space="preserve"> </v>
      </c>
      <c r="J127" s="168" t="str">
        <f t="shared" si="2730"/>
        <v xml:space="preserve"> </v>
      </c>
      <c r="K127" s="168"/>
      <c r="L127" s="167" t="str">
        <f t="shared" si="2731"/>
        <v xml:space="preserve"> </v>
      </c>
      <c r="M127" s="166"/>
      <c r="N127" s="166" t="str">
        <f t="shared" si="2732"/>
        <v xml:space="preserve"> </v>
      </c>
      <c r="O127" s="168" t="str">
        <f t="shared" si="2733"/>
        <v xml:space="preserve"> </v>
      </c>
      <c r="P127" s="168"/>
      <c r="Q127" s="166" t="str">
        <f t="shared" si="2734"/>
        <v xml:space="preserve"> </v>
      </c>
      <c r="R127" s="167">
        <f ca="1">+BDFUENTES[[#This Row],[PZ MED m3/día]]/3.6/BDFUENTES[[#This Row],[PZ MED Horas Activo]]</f>
        <v>0</v>
      </c>
      <c r="S127" s="167" t="str">
        <f t="shared" ca="1" si="2735"/>
        <v xml:space="preserve"> </v>
      </c>
      <c r="T127" s="168" t="str">
        <f t="shared" si="2736"/>
        <v xml:space="preserve"> </v>
      </c>
      <c r="U127" s="168"/>
      <c r="V127" s="165" t="str">
        <f t="shared" si="2737"/>
        <v xml:space="preserve"> </v>
      </c>
      <c r="W127" s="164" t="str">
        <f t="shared" si="2738"/>
        <v xml:space="preserve"> </v>
      </c>
      <c r="X127" s="166"/>
      <c r="Y127" s="168" t="str">
        <f t="shared" si="2739"/>
        <v xml:space="preserve"> </v>
      </c>
      <c r="Z127" s="168"/>
      <c r="AA127" s="166" t="str">
        <f t="shared" si="2740"/>
        <v xml:space="preserve"> </v>
      </c>
      <c r="AB127" s="168" t="str">
        <f t="shared" si="2741"/>
        <v xml:space="preserve"> </v>
      </c>
      <c r="AC127" s="168"/>
      <c r="AD127" s="171" t="str">
        <f t="shared" si="2742"/>
        <v xml:space="preserve"> </v>
      </c>
      <c r="AE127" s="167"/>
      <c r="AF127" s="165" t="str">
        <f t="shared" si="2387"/>
        <v xml:space="preserve"> </v>
      </c>
      <c r="AG127" s="168"/>
      <c r="AH127" s="168"/>
      <c r="AI127" s="166"/>
      <c r="AJ127" s="166"/>
      <c r="AK127" s="166" t="str">
        <f t="shared" si="2743"/>
        <v/>
      </c>
      <c r="AL127" s="167"/>
      <c r="AM127" s="171" t="str">
        <f t="shared" si="2744"/>
        <v xml:space="preserve"> </v>
      </c>
      <c r="AN127" s="168" t="str">
        <f t="shared" si="2745"/>
        <v xml:space="preserve"> </v>
      </c>
      <c r="AO127" s="168"/>
      <c r="AP127" s="167" t="str">
        <f t="shared" si="2746"/>
        <v xml:space="preserve"> </v>
      </c>
      <c r="AQ127" s="166"/>
      <c r="AR127" s="166" t="str">
        <f t="shared" si="2747"/>
        <v xml:space="preserve"> </v>
      </c>
      <c r="AS127" s="168" t="str">
        <f t="shared" si="2748"/>
        <v xml:space="preserve"> </v>
      </c>
      <c r="AT127" s="168"/>
      <c r="AU127" s="166" t="str">
        <f t="shared" si="2749"/>
        <v xml:space="preserve"> </v>
      </c>
      <c r="AV127" s="167"/>
      <c r="AW127" s="167"/>
      <c r="AX127" s="169" t="str">
        <f t="shared" si="2750"/>
        <v xml:space="preserve"> </v>
      </c>
      <c r="AY127" s="169"/>
      <c r="AZ127" s="167" t="str">
        <f t="shared" si="2751"/>
        <v xml:space="preserve"> </v>
      </c>
      <c r="BA127" s="166"/>
      <c r="BB127" s="166"/>
      <c r="BC127" s="168" t="str">
        <f t="shared" si="2752"/>
        <v xml:space="preserve"> </v>
      </c>
      <c r="BD127" s="168"/>
      <c r="BE127" s="166" t="str">
        <f t="shared" si="2753"/>
        <v xml:space="preserve"> </v>
      </c>
      <c r="BF127" s="167"/>
      <c r="BG127" s="167"/>
      <c r="BH127" s="168" t="str">
        <f t="shared" si="2754"/>
        <v xml:space="preserve"> </v>
      </c>
      <c r="BI127" s="168"/>
      <c r="BJ127" s="167" t="str">
        <f t="shared" si="2755"/>
        <v xml:space="preserve"> </v>
      </c>
      <c r="BK127" s="166"/>
      <c r="BL127" s="166" t="str">
        <f t="shared" si="2756"/>
        <v xml:space="preserve"> </v>
      </c>
      <c r="BM127" s="168" t="str">
        <f t="shared" si="2757"/>
        <v xml:space="preserve"> </v>
      </c>
      <c r="BN127" s="168"/>
      <c r="BO127" s="166" t="str">
        <f t="shared" si="2758"/>
        <v xml:space="preserve"> </v>
      </c>
    </row>
    <row r="128" spans="2:67" ht="15" customHeight="1" x14ac:dyDescent="0.25">
      <c r="B128" s="170">
        <v>46146</v>
      </c>
      <c r="C128" s="164"/>
      <c r="D128" s="166" t="str">
        <f t="shared" si="2726"/>
        <v xml:space="preserve"> </v>
      </c>
      <c r="E128" s="168" t="str">
        <f t="shared" si="2727"/>
        <v xml:space="preserve"> </v>
      </c>
      <c r="F128" s="168"/>
      <c r="G128" s="166" t="str">
        <f t="shared" si="2728"/>
        <v xml:space="preserve"> </v>
      </c>
      <c r="H128" s="167"/>
      <c r="I128" s="167" t="str">
        <f t="shared" si="2729"/>
        <v xml:space="preserve"> </v>
      </c>
      <c r="J128" s="168" t="str">
        <f t="shared" si="2730"/>
        <v xml:space="preserve"> </v>
      </c>
      <c r="K128" s="168"/>
      <c r="L128" s="167" t="str">
        <f t="shared" si="2731"/>
        <v xml:space="preserve"> </v>
      </c>
      <c r="M128" s="166"/>
      <c r="N128" s="166" t="str">
        <f t="shared" si="2732"/>
        <v xml:space="preserve"> </v>
      </c>
      <c r="O128" s="168" t="str">
        <f t="shared" si="2733"/>
        <v xml:space="preserve"> </v>
      </c>
      <c r="P128" s="168"/>
      <c r="Q128" s="166" t="str">
        <f t="shared" si="2734"/>
        <v xml:space="preserve"> </v>
      </c>
      <c r="R128" s="167">
        <f ca="1">+BDFUENTES[[#This Row],[PZ MED m3/día]]/3.6/BDFUENTES[[#This Row],[PZ MED Horas Activo]]</f>
        <v>0</v>
      </c>
      <c r="S128" s="167" t="str">
        <f t="shared" ca="1" si="2735"/>
        <v xml:space="preserve"> </v>
      </c>
      <c r="T128" s="168" t="str">
        <f t="shared" si="2736"/>
        <v xml:space="preserve"> </v>
      </c>
      <c r="U128" s="168"/>
      <c r="V128" s="165" t="str">
        <f t="shared" si="2737"/>
        <v xml:space="preserve"> </v>
      </c>
      <c r="W128" s="164" t="str">
        <f t="shared" si="2738"/>
        <v xml:space="preserve"> </v>
      </c>
      <c r="X128" s="166"/>
      <c r="Y128" s="168" t="str">
        <f t="shared" si="2739"/>
        <v xml:space="preserve"> </v>
      </c>
      <c r="Z128" s="168"/>
      <c r="AA128" s="166" t="str">
        <f t="shared" si="2740"/>
        <v xml:space="preserve"> </v>
      </c>
      <c r="AB128" s="168" t="str">
        <f t="shared" si="2741"/>
        <v xml:space="preserve"> </v>
      </c>
      <c r="AC128" s="168"/>
      <c r="AD128" s="171" t="str">
        <f t="shared" si="2742"/>
        <v xml:space="preserve"> </v>
      </c>
      <c r="AE128" s="167"/>
      <c r="AF128" s="165" t="str">
        <f t="shared" si="2387"/>
        <v xml:space="preserve"> </v>
      </c>
      <c r="AG128" s="168"/>
      <c r="AH128" s="168"/>
      <c r="AI128" s="166"/>
      <c r="AJ128" s="166"/>
      <c r="AK128" s="166" t="str">
        <f t="shared" si="2743"/>
        <v/>
      </c>
      <c r="AL128" s="167"/>
      <c r="AM128" s="171" t="str">
        <f t="shared" si="2744"/>
        <v xml:space="preserve"> </v>
      </c>
      <c r="AN128" s="168" t="str">
        <f t="shared" si="2745"/>
        <v xml:space="preserve"> </v>
      </c>
      <c r="AO128" s="168"/>
      <c r="AP128" s="167" t="str">
        <f t="shared" si="2746"/>
        <v xml:space="preserve"> </v>
      </c>
      <c r="AQ128" s="166"/>
      <c r="AR128" s="166" t="str">
        <f t="shared" si="2747"/>
        <v xml:space="preserve"> </v>
      </c>
      <c r="AS128" s="168" t="str">
        <f t="shared" si="2748"/>
        <v xml:space="preserve"> </v>
      </c>
      <c r="AT128" s="168"/>
      <c r="AU128" s="166" t="str">
        <f t="shared" si="2749"/>
        <v xml:space="preserve"> </v>
      </c>
      <c r="AV128" s="167"/>
      <c r="AW128" s="167"/>
      <c r="AX128" s="169" t="str">
        <f t="shared" si="2750"/>
        <v xml:space="preserve"> </v>
      </c>
      <c r="AY128" s="169"/>
      <c r="AZ128" s="167" t="str">
        <f t="shared" si="2751"/>
        <v xml:space="preserve"> </v>
      </c>
      <c r="BA128" s="166"/>
      <c r="BB128" s="166"/>
      <c r="BC128" s="168" t="str">
        <f t="shared" si="2752"/>
        <v xml:space="preserve"> </v>
      </c>
      <c r="BD128" s="168"/>
      <c r="BE128" s="166" t="str">
        <f t="shared" si="2753"/>
        <v xml:space="preserve"> </v>
      </c>
      <c r="BF128" s="167"/>
      <c r="BG128" s="167"/>
      <c r="BH128" s="168" t="str">
        <f t="shared" si="2754"/>
        <v xml:space="preserve"> </v>
      </c>
      <c r="BI128" s="168"/>
      <c r="BJ128" s="167" t="str">
        <f t="shared" si="2755"/>
        <v xml:space="preserve"> </v>
      </c>
      <c r="BK128" s="166"/>
      <c r="BL128" s="166" t="str">
        <f t="shared" si="2756"/>
        <v xml:space="preserve"> </v>
      </c>
      <c r="BM128" s="168" t="str">
        <f t="shared" si="2757"/>
        <v xml:space="preserve"> </v>
      </c>
      <c r="BN128" s="168"/>
      <c r="BO128" s="166" t="str">
        <f t="shared" si="2758"/>
        <v xml:space="preserve"> </v>
      </c>
    </row>
    <row r="129" spans="2:67" ht="15" customHeight="1" x14ac:dyDescent="0.25">
      <c r="B129" s="170">
        <v>46147</v>
      </c>
      <c r="C129" s="164"/>
      <c r="D129" s="166" t="str">
        <f t="shared" si="2726"/>
        <v xml:space="preserve"> </v>
      </c>
      <c r="E129" s="168" t="str">
        <f t="shared" si="2727"/>
        <v xml:space="preserve"> </v>
      </c>
      <c r="F129" s="168"/>
      <c r="G129" s="166" t="str">
        <f t="shared" si="2728"/>
        <v xml:space="preserve"> </v>
      </c>
      <c r="H129" s="167"/>
      <c r="I129" s="167" t="str">
        <f t="shared" si="2729"/>
        <v xml:space="preserve"> </v>
      </c>
      <c r="J129" s="168" t="str">
        <f t="shared" si="2730"/>
        <v xml:space="preserve"> </v>
      </c>
      <c r="K129" s="168"/>
      <c r="L129" s="167" t="str">
        <f t="shared" si="2731"/>
        <v xml:space="preserve"> </v>
      </c>
      <c r="M129" s="166"/>
      <c r="N129" s="166" t="str">
        <f t="shared" si="2732"/>
        <v xml:space="preserve"> </v>
      </c>
      <c r="O129" s="168" t="str">
        <f t="shared" si="2733"/>
        <v xml:space="preserve"> </v>
      </c>
      <c r="P129" s="168"/>
      <c r="Q129" s="166" t="str">
        <f t="shared" si="2734"/>
        <v xml:space="preserve"> </v>
      </c>
      <c r="R129" s="167">
        <f ca="1">+BDFUENTES[[#This Row],[PZ MED m3/día]]/3.6/BDFUENTES[[#This Row],[PZ MED Horas Activo]]</f>
        <v>0</v>
      </c>
      <c r="S129" s="167" t="str">
        <f t="shared" ca="1" si="2735"/>
        <v xml:space="preserve"> </v>
      </c>
      <c r="T129" s="168" t="str">
        <f t="shared" si="2736"/>
        <v xml:space="preserve"> </v>
      </c>
      <c r="U129" s="168"/>
      <c r="V129" s="165" t="str">
        <f t="shared" si="2737"/>
        <v xml:space="preserve"> </v>
      </c>
      <c r="W129" s="164" t="str">
        <f t="shared" si="2738"/>
        <v xml:space="preserve"> </v>
      </c>
      <c r="X129" s="166"/>
      <c r="Y129" s="168" t="str">
        <f t="shared" si="2739"/>
        <v xml:space="preserve"> </v>
      </c>
      <c r="Z129" s="168"/>
      <c r="AA129" s="166" t="str">
        <f t="shared" si="2740"/>
        <v xml:space="preserve"> </v>
      </c>
      <c r="AB129" s="168" t="str">
        <f t="shared" si="2741"/>
        <v xml:space="preserve"> </v>
      </c>
      <c r="AC129" s="168"/>
      <c r="AD129" s="171" t="str">
        <f t="shared" si="2742"/>
        <v xml:space="preserve"> </v>
      </c>
      <c r="AE129" s="167"/>
      <c r="AF129" s="165" t="str">
        <f t="shared" si="2387"/>
        <v xml:space="preserve"> </v>
      </c>
      <c r="AG129" s="168"/>
      <c r="AH129" s="168"/>
      <c r="AI129" s="166"/>
      <c r="AJ129" s="166"/>
      <c r="AK129" s="166" t="str">
        <f t="shared" si="2743"/>
        <v/>
      </c>
      <c r="AL129" s="167"/>
      <c r="AM129" s="171" t="str">
        <f t="shared" si="2744"/>
        <v xml:space="preserve"> </v>
      </c>
      <c r="AN129" s="168" t="str">
        <f t="shared" si="2745"/>
        <v xml:space="preserve"> </v>
      </c>
      <c r="AO129" s="168"/>
      <c r="AP129" s="167" t="str">
        <f t="shared" si="2746"/>
        <v xml:space="preserve"> </v>
      </c>
      <c r="AQ129" s="166"/>
      <c r="AR129" s="166" t="str">
        <f t="shared" si="2747"/>
        <v xml:space="preserve"> </v>
      </c>
      <c r="AS129" s="168" t="str">
        <f t="shared" si="2748"/>
        <v xml:space="preserve"> </v>
      </c>
      <c r="AT129" s="168"/>
      <c r="AU129" s="166" t="str">
        <f t="shared" si="2749"/>
        <v xml:space="preserve"> </v>
      </c>
      <c r="AV129" s="167"/>
      <c r="AW129" s="167"/>
      <c r="AX129" s="169" t="str">
        <f t="shared" si="2750"/>
        <v xml:space="preserve"> </v>
      </c>
      <c r="AY129" s="169"/>
      <c r="AZ129" s="167" t="str">
        <f t="shared" si="2751"/>
        <v xml:space="preserve"> </v>
      </c>
      <c r="BA129" s="166"/>
      <c r="BB129" s="166"/>
      <c r="BC129" s="168" t="str">
        <f t="shared" si="2752"/>
        <v xml:space="preserve"> </v>
      </c>
      <c r="BD129" s="168"/>
      <c r="BE129" s="166" t="str">
        <f t="shared" si="2753"/>
        <v xml:space="preserve"> </v>
      </c>
      <c r="BF129" s="167"/>
      <c r="BG129" s="167"/>
      <c r="BH129" s="168" t="str">
        <f t="shared" si="2754"/>
        <v xml:space="preserve"> </v>
      </c>
      <c r="BI129" s="168"/>
      <c r="BJ129" s="167" t="str">
        <f t="shared" si="2755"/>
        <v xml:space="preserve"> </v>
      </c>
      <c r="BK129" s="166"/>
      <c r="BL129" s="166" t="str">
        <f t="shared" si="2756"/>
        <v xml:space="preserve"> </v>
      </c>
      <c r="BM129" s="168" t="str">
        <f t="shared" si="2757"/>
        <v xml:space="preserve"> </v>
      </c>
      <c r="BN129" s="168"/>
      <c r="BO129" s="166" t="str">
        <f t="shared" si="2758"/>
        <v xml:space="preserve"> </v>
      </c>
    </row>
    <row r="130" spans="2:67" ht="15" customHeight="1" x14ac:dyDescent="0.25">
      <c r="B130" s="170">
        <v>46148</v>
      </c>
      <c r="C130" s="164"/>
      <c r="D130" s="166" t="str">
        <f t="shared" si="2726"/>
        <v xml:space="preserve"> </v>
      </c>
      <c r="E130" s="168" t="str">
        <f t="shared" si="2727"/>
        <v xml:space="preserve"> </v>
      </c>
      <c r="F130" s="168"/>
      <c r="G130" s="166" t="str">
        <f t="shared" si="2728"/>
        <v xml:space="preserve"> </v>
      </c>
      <c r="H130" s="167"/>
      <c r="I130" s="167" t="str">
        <f t="shared" si="2729"/>
        <v xml:space="preserve"> </v>
      </c>
      <c r="J130" s="168" t="str">
        <f t="shared" si="2730"/>
        <v xml:space="preserve"> </v>
      </c>
      <c r="K130" s="168"/>
      <c r="L130" s="167" t="str">
        <f t="shared" si="2731"/>
        <v xml:space="preserve"> </v>
      </c>
      <c r="M130" s="166"/>
      <c r="N130" s="166" t="str">
        <f t="shared" si="2732"/>
        <v xml:space="preserve"> </v>
      </c>
      <c r="O130" s="168" t="str">
        <f t="shared" si="2733"/>
        <v xml:space="preserve"> </v>
      </c>
      <c r="P130" s="168"/>
      <c r="Q130" s="166" t="str">
        <f t="shared" si="2734"/>
        <v xml:space="preserve"> </v>
      </c>
      <c r="R130" s="167">
        <f ca="1">+BDFUENTES[[#This Row],[PZ MED m3/día]]/3.6/BDFUENTES[[#This Row],[PZ MED Horas Activo]]</f>
        <v>0</v>
      </c>
      <c r="S130" s="167" t="str">
        <f t="shared" ca="1" si="2735"/>
        <v xml:space="preserve"> </v>
      </c>
      <c r="T130" s="168" t="str">
        <f t="shared" si="2736"/>
        <v xml:space="preserve"> </v>
      </c>
      <c r="U130" s="168"/>
      <c r="V130" s="165" t="str">
        <f t="shared" si="2737"/>
        <v xml:space="preserve"> </v>
      </c>
      <c r="W130" s="164" t="str">
        <f t="shared" si="2738"/>
        <v xml:space="preserve"> </v>
      </c>
      <c r="X130" s="166"/>
      <c r="Y130" s="168" t="str">
        <f t="shared" si="2739"/>
        <v xml:space="preserve"> </v>
      </c>
      <c r="Z130" s="168"/>
      <c r="AA130" s="166" t="str">
        <f t="shared" si="2740"/>
        <v xml:space="preserve"> </v>
      </c>
      <c r="AB130" s="168" t="str">
        <f t="shared" si="2741"/>
        <v xml:space="preserve"> </v>
      </c>
      <c r="AC130" s="168"/>
      <c r="AD130" s="171" t="str">
        <f t="shared" si="2742"/>
        <v xml:space="preserve"> </v>
      </c>
      <c r="AE130" s="167"/>
      <c r="AF130" s="165" t="str">
        <f t="shared" si="2387"/>
        <v xml:space="preserve"> </v>
      </c>
      <c r="AG130" s="168"/>
      <c r="AH130" s="168"/>
      <c r="AI130" s="166"/>
      <c r="AJ130" s="166"/>
      <c r="AK130" s="166" t="str">
        <f t="shared" si="2743"/>
        <v/>
      </c>
      <c r="AL130" s="167"/>
      <c r="AM130" s="171" t="str">
        <f t="shared" si="2744"/>
        <v xml:space="preserve"> </v>
      </c>
      <c r="AN130" s="168" t="str">
        <f t="shared" si="2745"/>
        <v xml:space="preserve"> </v>
      </c>
      <c r="AO130" s="168"/>
      <c r="AP130" s="167" t="str">
        <f t="shared" si="2746"/>
        <v xml:space="preserve"> </v>
      </c>
      <c r="AQ130" s="166"/>
      <c r="AR130" s="166" t="str">
        <f t="shared" si="2747"/>
        <v xml:space="preserve"> </v>
      </c>
      <c r="AS130" s="168" t="str">
        <f t="shared" si="2748"/>
        <v xml:space="preserve"> </v>
      </c>
      <c r="AT130" s="168"/>
      <c r="AU130" s="166" t="str">
        <f t="shared" si="2749"/>
        <v xml:space="preserve"> </v>
      </c>
      <c r="AV130" s="167"/>
      <c r="AW130" s="167"/>
      <c r="AX130" s="169" t="str">
        <f t="shared" si="2750"/>
        <v xml:space="preserve"> </v>
      </c>
      <c r="AY130" s="169"/>
      <c r="AZ130" s="167" t="str">
        <f t="shared" si="2751"/>
        <v xml:space="preserve"> </v>
      </c>
      <c r="BA130" s="166"/>
      <c r="BB130" s="166"/>
      <c r="BC130" s="168" t="str">
        <f t="shared" si="2752"/>
        <v xml:space="preserve"> </v>
      </c>
      <c r="BD130" s="168"/>
      <c r="BE130" s="166" t="str">
        <f t="shared" si="2753"/>
        <v xml:space="preserve"> </v>
      </c>
      <c r="BF130" s="167"/>
      <c r="BG130" s="167"/>
      <c r="BH130" s="168" t="str">
        <f t="shared" si="2754"/>
        <v xml:space="preserve"> </v>
      </c>
      <c r="BI130" s="168"/>
      <c r="BJ130" s="167" t="str">
        <f t="shared" si="2755"/>
        <v xml:space="preserve"> </v>
      </c>
      <c r="BK130" s="166"/>
      <c r="BL130" s="166" t="str">
        <f t="shared" si="2756"/>
        <v xml:space="preserve"> </v>
      </c>
      <c r="BM130" s="168" t="str">
        <f t="shared" si="2757"/>
        <v xml:space="preserve"> </v>
      </c>
      <c r="BN130" s="168"/>
      <c r="BO130" s="166" t="str">
        <f t="shared" si="2758"/>
        <v xml:space="preserve"> </v>
      </c>
    </row>
    <row r="131" spans="2:67" ht="15" customHeight="1" x14ac:dyDescent="0.25">
      <c r="B131" s="170">
        <v>46149</v>
      </c>
      <c r="C131" s="164"/>
      <c r="D131" s="166" t="str">
        <f t="shared" si="2726"/>
        <v xml:space="preserve"> </v>
      </c>
      <c r="E131" s="168" t="str">
        <f t="shared" si="2727"/>
        <v xml:space="preserve"> </v>
      </c>
      <c r="F131" s="168"/>
      <c r="G131" s="166" t="str">
        <f t="shared" si="2728"/>
        <v xml:space="preserve"> </v>
      </c>
      <c r="H131" s="167"/>
      <c r="I131" s="167" t="str">
        <f t="shared" si="2729"/>
        <v xml:space="preserve"> </v>
      </c>
      <c r="J131" s="168" t="str">
        <f t="shared" si="2730"/>
        <v xml:space="preserve"> </v>
      </c>
      <c r="K131" s="168"/>
      <c r="L131" s="167" t="str">
        <f t="shared" si="2731"/>
        <v xml:space="preserve"> </v>
      </c>
      <c r="M131" s="166"/>
      <c r="N131" s="166" t="str">
        <f t="shared" si="2732"/>
        <v xml:space="preserve"> </v>
      </c>
      <c r="O131" s="168" t="str">
        <f t="shared" si="2733"/>
        <v xml:space="preserve"> </v>
      </c>
      <c r="P131" s="168"/>
      <c r="Q131" s="166" t="str">
        <f t="shared" si="2734"/>
        <v xml:space="preserve"> </v>
      </c>
      <c r="R131" s="167">
        <f ca="1">+BDFUENTES[[#This Row],[PZ MED m3/día]]/3.6/BDFUENTES[[#This Row],[PZ MED Horas Activo]]</f>
        <v>0</v>
      </c>
      <c r="S131" s="167" t="str">
        <f t="shared" ca="1" si="2735"/>
        <v xml:space="preserve"> </v>
      </c>
      <c r="T131" s="168" t="str">
        <f t="shared" si="2736"/>
        <v xml:space="preserve"> </v>
      </c>
      <c r="U131" s="168"/>
      <c r="V131" s="165" t="str">
        <f t="shared" si="2737"/>
        <v xml:space="preserve"> </v>
      </c>
      <c r="W131" s="164" t="str">
        <f t="shared" si="2738"/>
        <v xml:space="preserve"> </v>
      </c>
      <c r="X131" s="166"/>
      <c r="Y131" s="168" t="str">
        <f t="shared" si="2739"/>
        <v xml:space="preserve"> </v>
      </c>
      <c r="Z131" s="168"/>
      <c r="AA131" s="166" t="str">
        <f t="shared" si="2740"/>
        <v xml:space="preserve"> </v>
      </c>
      <c r="AB131" s="168" t="str">
        <f t="shared" si="2741"/>
        <v xml:space="preserve"> </v>
      </c>
      <c r="AC131" s="168"/>
      <c r="AD131" s="171" t="str">
        <f t="shared" si="2742"/>
        <v xml:space="preserve"> </v>
      </c>
      <c r="AE131" s="167"/>
      <c r="AF131" s="165" t="str">
        <f t="shared" si="2387"/>
        <v xml:space="preserve"> </v>
      </c>
      <c r="AG131" s="168"/>
      <c r="AH131" s="168"/>
      <c r="AI131" s="166"/>
      <c r="AJ131" s="166"/>
      <c r="AK131" s="166" t="str">
        <f t="shared" si="2743"/>
        <v/>
      </c>
      <c r="AL131" s="167"/>
      <c r="AM131" s="171" t="str">
        <f t="shared" si="2744"/>
        <v xml:space="preserve"> </v>
      </c>
      <c r="AN131" s="168" t="str">
        <f t="shared" si="2745"/>
        <v xml:space="preserve"> </v>
      </c>
      <c r="AO131" s="168"/>
      <c r="AP131" s="167" t="str">
        <f t="shared" si="2746"/>
        <v xml:space="preserve"> </v>
      </c>
      <c r="AQ131" s="166"/>
      <c r="AR131" s="166" t="str">
        <f t="shared" si="2747"/>
        <v xml:space="preserve"> </v>
      </c>
      <c r="AS131" s="168" t="str">
        <f t="shared" si="2748"/>
        <v xml:space="preserve"> </v>
      </c>
      <c r="AT131" s="168"/>
      <c r="AU131" s="166" t="str">
        <f t="shared" si="2749"/>
        <v xml:space="preserve"> </v>
      </c>
      <c r="AV131" s="167"/>
      <c r="AW131" s="167"/>
      <c r="AX131" s="169" t="str">
        <f t="shared" si="2750"/>
        <v xml:space="preserve"> </v>
      </c>
      <c r="AY131" s="169"/>
      <c r="AZ131" s="167" t="str">
        <f t="shared" si="2751"/>
        <v xml:space="preserve"> </v>
      </c>
      <c r="BA131" s="166"/>
      <c r="BB131" s="166"/>
      <c r="BC131" s="168" t="str">
        <f t="shared" si="2752"/>
        <v xml:space="preserve"> </v>
      </c>
      <c r="BD131" s="168"/>
      <c r="BE131" s="166" t="str">
        <f t="shared" si="2753"/>
        <v xml:space="preserve"> </v>
      </c>
      <c r="BF131" s="167"/>
      <c r="BG131" s="167"/>
      <c r="BH131" s="168" t="str">
        <f t="shared" si="2754"/>
        <v xml:space="preserve"> </v>
      </c>
      <c r="BI131" s="168"/>
      <c r="BJ131" s="167" t="str">
        <f t="shared" si="2755"/>
        <v xml:space="preserve"> </v>
      </c>
      <c r="BK131" s="166"/>
      <c r="BL131" s="166" t="str">
        <f t="shared" si="2756"/>
        <v xml:space="preserve"> </v>
      </c>
      <c r="BM131" s="168" t="str">
        <f t="shared" si="2757"/>
        <v xml:space="preserve"> </v>
      </c>
      <c r="BN131" s="168"/>
      <c r="BO131" s="166" t="str">
        <f t="shared" si="2758"/>
        <v xml:space="preserve"> </v>
      </c>
    </row>
    <row r="132" spans="2:67" ht="15" customHeight="1" x14ac:dyDescent="0.25">
      <c r="B132" s="170">
        <v>46150</v>
      </c>
      <c r="C132" s="164"/>
      <c r="D132" s="166" t="str">
        <f t="shared" si="2726"/>
        <v xml:space="preserve"> </v>
      </c>
      <c r="E132" s="168" t="str">
        <f t="shared" si="2727"/>
        <v xml:space="preserve"> </v>
      </c>
      <c r="F132" s="168"/>
      <c r="G132" s="166" t="str">
        <f t="shared" si="2728"/>
        <v xml:space="preserve"> </v>
      </c>
      <c r="H132" s="167"/>
      <c r="I132" s="167" t="str">
        <f t="shared" si="2729"/>
        <v xml:space="preserve"> </v>
      </c>
      <c r="J132" s="168" t="str">
        <f t="shared" si="2730"/>
        <v xml:space="preserve"> </v>
      </c>
      <c r="K132" s="168"/>
      <c r="L132" s="167" t="str">
        <f t="shared" si="2731"/>
        <v xml:space="preserve"> </v>
      </c>
      <c r="M132" s="166"/>
      <c r="N132" s="166" t="str">
        <f t="shared" si="2732"/>
        <v xml:space="preserve"> </v>
      </c>
      <c r="O132" s="168" t="str">
        <f t="shared" si="2733"/>
        <v xml:space="preserve"> </v>
      </c>
      <c r="P132" s="168"/>
      <c r="Q132" s="166" t="str">
        <f t="shared" si="2734"/>
        <v xml:space="preserve"> </v>
      </c>
      <c r="R132" s="167">
        <f ca="1">+BDFUENTES[[#This Row],[PZ MED m3/día]]/3.6/BDFUENTES[[#This Row],[PZ MED Horas Activo]]</f>
        <v>0</v>
      </c>
      <c r="S132" s="167" t="str">
        <f t="shared" ca="1" si="2735"/>
        <v xml:space="preserve"> </v>
      </c>
      <c r="T132" s="168" t="str">
        <f t="shared" si="2736"/>
        <v xml:space="preserve"> </v>
      </c>
      <c r="U132" s="168"/>
      <c r="V132" s="165" t="str">
        <f t="shared" si="2737"/>
        <v xml:space="preserve"> </v>
      </c>
      <c r="W132" s="164" t="str">
        <f t="shared" si="2738"/>
        <v xml:space="preserve"> </v>
      </c>
      <c r="X132" s="166"/>
      <c r="Y132" s="168" t="str">
        <f t="shared" si="2739"/>
        <v xml:space="preserve"> </v>
      </c>
      <c r="Z132" s="168"/>
      <c r="AA132" s="166" t="str">
        <f t="shared" si="2740"/>
        <v xml:space="preserve"> </v>
      </c>
      <c r="AB132" s="168" t="str">
        <f t="shared" si="2741"/>
        <v xml:space="preserve"> </v>
      </c>
      <c r="AC132" s="168"/>
      <c r="AD132" s="171" t="str">
        <f t="shared" si="2742"/>
        <v xml:space="preserve"> </v>
      </c>
      <c r="AE132" s="167"/>
      <c r="AF132" s="165" t="str">
        <f t="shared" si="2387"/>
        <v xml:space="preserve"> </v>
      </c>
      <c r="AG132" s="168"/>
      <c r="AH132" s="168"/>
      <c r="AI132" s="166"/>
      <c r="AJ132" s="166"/>
      <c r="AK132" s="166" t="str">
        <f t="shared" si="2743"/>
        <v/>
      </c>
      <c r="AL132" s="167"/>
      <c r="AM132" s="171" t="str">
        <f t="shared" si="2744"/>
        <v xml:space="preserve"> </v>
      </c>
      <c r="AN132" s="168" t="str">
        <f t="shared" si="2745"/>
        <v xml:space="preserve"> </v>
      </c>
      <c r="AO132" s="168"/>
      <c r="AP132" s="167" t="str">
        <f t="shared" si="2746"/>
        <v xml:space="preserve"> </v>
      </c>
      <c r="AQ132" s="166"/>
      <c r="AR132" s="166" t="str">
        <f t="shared" si="2747"/>
        <v xml:space="preserve"> </v>
      </c>
      <c r="AS132" s="168" t="str">
        <f t="shared" si="2748"/>
        <v xml:space="preserve"> </v>
      </c>
      <c r="AT132" s="168"/>
      <c r="AU132" s="166" t="str">
        <f t="shared" si="2749"/>
        <v xml:space="preserve"> </v>
      </c>
      <c r="AV132" s="167"/>
      <c r="AW132" s="167"/>
      <c r="AX132" s="169" t="str">
        <f t="shared" si="2750"/>
        <v xml:space="preserve"> </v>
      </c>
      <c r="AY132" s="169"/>
      <c r="AZ132" s="167" t="str">
        <f t="shared" si="2751"/>
        <v xml:space="preserve"> </v>
      </c>
      <c r="BA132" s="166"/>
      <c r="BB132" s="166"/>
      <c r="BC132" s="168" t="str">
        <f t="shared" si="2752"/>
        <v xml:space="preserve"> </v>
      </c>
      <c r="BD132" s="168"/>
      <c r="BE132" s="166" t="str">
        <f t="shared" si="2753"/>
        <v xml:space="preserve"> </v>
      </c>
      <c r="BF132" s="167"/>
      <c r="BG132" s="167"/>
      <c r="BH132" s="168" t="str">
        <f t="shared" si="2754"/>
        <v xml:space="preserve"> </v>
      </c>
      <c r="BI132" s="168"/>
      <c r="BJ132" s="167" t="str">
        <f t="shared" si="2755"/>
        <v xml:space="preserve"> </v>
      </c>
      <c r="BK132" s="166"/>
      <c r="BL132" s="166" t="str">
        <f t="shared" si="2756"/>
        <v xml:space="preserve"> </v>
      </c>
      <c r="BM132" s="168" t="str">
        <f t="shared" si="2757"/>
        <v xml:space="preserve"> </v>
      </c>
      <c r="BN132" s="168"/>
      <c r="BO132" s="166" t="str">
        <f t="shared" si="2758"/>
        <v xml:space="preserve"> </v>
      </c>
    </row>
    <row r="133" spans="2:67" ht="15" customHeight="1" x14ac:dyDescent="0.25">
      <c r="B133" s="170">
        <v>46151</v>
      </c>
      <c r="C133" s="164"/>
      <c r="D133" s="166" t="str">
        <f t="shared" si="2726"/>
        <v xml:space="preserve"> </v>
      </c>
      <c r="E133" s="168" t="str">
        <f t="shared" si="2727"/>
        <v xml:space="preserve"> </v>
      </c>
      <c r="F133" s="168"/>
      <c r="G133" s="166" t="str">
        <f t="shared" si="2728"/>
        <v xml:space="preserve"> </v>
      </c>
      <c r="H133" s="167"/>
      <c r="I133" s="167" t="str">
        <f t="shared" si="2729"/>
        <v xml:space="preserve"> </v>
      </c>
      <c r="J133" s="168" t="str">
        <f t="shared" si="2730"/>
        <v xml:space="preserve"> </v>
      </c>
      <c r="K133" s="168"/>
      <c r="L133" s="167" t="str">
        <f t="shared" si="2731"/>
        <v xml:space="preserve"> </v>
      </c>
      <c r="M133" s="166"/>
      <c r="N133" s="166" t="str">
        <f t="shared" si="2732"/>
        <v xml:space="preserve"> </v>
      </c>
      <c r="O133" s="168" t="str">
        <f t="shared" si="2733"/>
        <v xml:space="preserve"> </v>
      </c>
      <c r="P133" s="168"/>
      <c r="Q133" s="166" t="str">
        <f t="shared" si="2734"/>
        <v xml:space="preserve"> </v>
      </c>
      <c r="R133" s="167">
        <f ca="1">+BDFUENTES[[#This Row],[PZ MED m3/día]]/3.6/BDFUENTES[[#This Row],[PZ MED Horas Activo]]</f>
        <v>0</v>
      </c>
      <c r="S133" s="167" t="str">
        <f t="shared" ca="1" si="2735"/>
        <v xml:space="preserve"> </v>
      </c>
      <c r="T133" s="168" t="str">
        <f t="shared" si="2736"/>
        <v xml:space="preserve"> </v>
      </c>
      <c r="U133" s="168"/>
      <c r="V133" s="165" t="str">
        <f t="shared" si="2737"/>
        <v xml:space="preserve"> </v>
      </c>
      <c r="W133" s="164" t="str">
        <f t="shared" si="2738"/>
        <v xml:space="preserve"> </v>
      </c>
      <c r="X133" s="166"/>
      <c r="Y133" s="168" t="str">
        <f t="shared" si="2739"/>
        <v xml:space="preserve"> </v>
      </c>
      <c r="Z133" s="168"/>
      <c r="AA133" s="166" t="str">
        <f t="shared" si="2740"/>
        <v xml:space="preserve"> </v>
      </c>
      <c r="AB133" s="168" t="str">
        <f t="shared" si="2741"/>
        <v xml:space="preserve"> </v>
      </c>
      <c r="AC133" s="168"/>
      <c r="AD133" s="171" t="str">
        <f t="shared" si="2742"/>
        <v xml:space="preserve"> </v>
      </c>
      <c r="AE133" s="167"/>
      <c r="AF133" s="165" t="str">
        <f t="shared" si="2387"/>
        <v xml:space="preserve"> </v>
      </c>
      <c r="AG133" s="168"/>
      <c r="AH133" s="168"/>
      <c r="AI133" s="166"/>
      <c r="AJ133" s="166"/>
      <c r="AK133" s="166" t="str">
        <f t="shared" si="2743"/>
        <v/>
      </c>
      <c r="AL133" s="167"/>
      <c r="AM133" s="171" t="str">
        <f t="shared" si="2744"/>
        <v xml:space="preserve"> </v>
      </c>
      <c r="AN133" s="168" t="str">
        <f t="shared" si="2745"/>
        <v xml:space="preserve"> </v>
      </c>
      <c r="AO133" s="168"/>
      <c r="AP133" s="167" t="str">
        <f t="shared" si="2746"/>
        <v xml:space="preserve"> </v>
      </c>
      <c r="AQ133" s="166"/>
      <c r="AR133" s="166" t="str">
        <f t="shared" si="2747"/>
        <v xml:space="preserve"> </v>
      </c>
      <c r="AS133" s="168" t="str">
        <f t="shared" si="2748"/>
        <v xml:space="preserve"> </v>
      </c>
      <c r="AT133" s="168"/>
      <c r="AU133" s="166" t="str">
        <f t="shared" si="2749"/>
        <v xml:space="preserve"> </v>
      </c>
      <c r="AV133" s="167"/>
      <c r="AW133" s="167"/>
      <c r="AX133" s="169" t="str">
        <f t="shared" si="2750"/>
        <v xml:space="preserve"> </v>
      </c>
      <c r="AY133" s="169"/>
      <c r="AZ133" s="167" t="str">
        <f t="shared" si="2751"/>
        <v xml:space="preserve"> </v>
      </c>
      <c r="BA133" s="166"/>
      <c r="BB133" s="166"/>
      <c r="BC133" s="168" t="str">
        <f t="shared" si="2752"/>
        <v xml:space="preserve"> </v>
      </c>
      <c r="BD133" s="168"/>
      <c r="BE133" s="166" t="str">
        <f t="shared" si="2753"/>
        <v xml:space="preserve"> </v>
      </c>
      <c r="BF133" s="167"/>
      <c r="BG133" s="167"/>
      <c r="BH133" s="168" t="str">
        <f t="shared" si="2754"/>
        <v xml:space="preserve"> </v>
      </c>
      <c r="BI133" s="168"/>
      <c r="BJ133" s="167" t="str">
        <f t="shared" si="2755"/>
        <v xml:space="preserve"> </v>
      </c>
      <c r="BK133" s="166"/>
      <c r="BL133" s="166" t="str">
        <f t="shared" si="2756"/>
        <v xml:space="preserve"> </v>
      </c>
      <c r="BM133" s="168" t="str">
        <f t="shared" si="2757"/>
        <v xml:space="preserve"> </v>
      </c>
      <c r="BN133" s="168"/>
      <c r="BO133" s="166" t="str">
        <f t="shared" si="2758"/>
        <v xml:space="preserve"> </v>
      </c>
    </row>
    <row r="134" spans="2:67" ht="15" customHeight="1" x14ac:dyDescent="0.25">
      <c r="B134" s="170">
        <v>46152</v>
      </c>
      <c r="C134" s="164"/>
      <c r="D134" s="166" t="str">
        <f t="shared" si="2726"/>
        <v xml:space="preserve"> </v>
      </c>
      <c r="E134" s="168" t="str">
        <f t="shared" si="2727"/>
        <v xml:space="preserve"> </v>
      </c>
      <c r="F134" s="168"/>
      <c r="G134" s="166" t="str">
        <f t="shared" si="2728"/>
        <v xml:space="preserve"> </v>
      </c>
      <c r="H134" s="167"/>
      <c r="I134" s="167" t="str">
        <f t="shared" si="2729"/>
        <v xml:space="preserve"> </v>
      </c>
      <c r="J134" s="168" t="str">
        <f t="shared" si="2730"/>
        <v xml:space="preserve"> </v>
      </c>
      <c r="K134" s="168"/>
      <c r="L134" s="167" t="str">
        <f t="shared" si="2731"/>
        <v xml:space="preserve"> </v>
      </c>
      <c r="M134" s="166"/>
      <c r="N134" s="166" t="str">
        <f t="shared" si="2732"/>
        <v xml:space="preserve"> </v>
      </c>
      <c r="O134" s="168" t="str">
        <f t="shared" si="2733"/>
        <v xml:space="preserve"> </v>
      </c>
      <c r="P134" s="168"/>
      <c r="Q134" s="166" t="str">
        <f t="shared" si="2734"/>
        <v xml:space="preserve"> </v>
      </c>
      <c r="R134" s="167">
        <f ca="1">+BDFUENTES[[#This Row],[PZ MED m3/día]]/3.6/BDFUENTES[[#This Row],[PZ MED Horas Activo]]</f>
        <v>0</v>
      </c>
      <c r="S134" s="167" t="str">
        <f t="shared" ca="1" si="2735"/>
        <v xml:space="preserve"> </v>
      </c>
      <c r="T134" s="168" t="str">
        <f t="shared" si="2736"/>
        <v xml:space="preserve"> </v>
      </c>
      <c r="U134" s="168"/>
      <c r="V134" s="165" t="str">
        <f t="shared" si="2737"/>
        <v xml:space="preserve"> </v>
      </c>
      <c r="W134" s="164" t="str">
        <f t="shared" si="2738"/>
        <v xml:space="preserve"> </v>
      </c>
      <c r="X134" s="166"/>
      <c r="Y134" s="168" t="str">
        <f t="shared" si="2739"/>
        <v xml:space="preserve"> </v>
      </c>
      <c r="Z134" s="168"/>
      <c r="AA134" s="166" t="str">
        <f t="shared" si="2740"/>
        <v xml:space="preserve"> </v>
      </c>
      <c r="AB134" s="168" t="str">
        <f t="shared" si="2741"/>
        <v xml:space="preserve"> </v>
      </c>
      <c r="AC134" s="168"/>
      <c r="AD134" s="171" t="str">
        <f t="shared" si="2742"/>
        <v xml:space="preserve"> </v>
      </c>
      <c r="AE134" s="167"/>
      <c r="AF134" s="165" t="str">
        <f t="shared" si="2387"/>
        <v xml:space="preserve"> </v>
      </c>
      <c r="AG134" s="168"/>
      <c r="AH134" s="168"/>
      <c r="AI134" s="166"/>
      <c r="AJ134" s="166"/>
      <c r="AK134" s="166" t="str">
        <f t="shared" si="2743"/>
        <v/>
      </c>
      <c r="AL134" s="167"/>
      <c r="AM134" s="171" t="str">
        <f t="shared" si="2744"/>
        <v xml:space="preserve"> </v>
      </c>
      <c r="AN134" s="168" t="str">
        <f t="shared" si="2745"/>
        <v xml:space="preserve"> </v>
      </c>
      <c r="AO134" s="168"/>
      <c r="AP134" s="167" t="str">
        <f t="shared" si="2746"/>
        <v xml:space="preserve"> </v>
      </c>
      <c r="AQ134" s="166"/>
      <c r="AR134" s="166" t="str">
        <f t="shared" si="2747"/>
        <v xml:space="preserve"> </v>
      </c>
      <c r="AS134" s="168" t="str">
        <f t="shared" si="2748"/>
        <v xml:space="preserve"> </v>
      </c>
      <c r="AT134" s="168"/>
      <c r="AU134" s="166" t="str">
        <f t="shared" si="2749"/>
        <v xml:space="preserve"> </v>
      </c>
      <c r="AV134" s="167"/>
      <c r="AW134" s="167"/>
      <c r="AX134" s="169" t="str">
        <f t="shared" si="2750"/>
        <v xml:space="preserve"> </v>
      </c>
      <c r="AY134" s="169"/>
      <c r="AZ134" s="167" t="str">
        <f t="shared" si="2751"/>
        <v xml:space="preserve"> </v>
      </c>
      <c r="BA134" s="166"/>
      <c r="BB134" s="166"/>
      <c r="BC134" s="168" t="str">
        <f t="shared" si="2752"/>
        <v xml:space="preserve"> </v>
      </c>
      <c r="BD134" s="168"/>
      <c r="BE134" s="166" t="str">
        <f t="shared" si="2753"/>
        <v xml:space="preserve"> </v>
      </c>
      <c r="BF134" s="167"/>
      <c r="BG134" s="167"/>
      <c r="BH134" s="168" t="str">
        <f t="shared" si="2754"/>
        <v xml:space="preserve"> </v>
      </c>
      <c r="BI134" s="168"/>
      <c r="BJ134" s="167" t="str">
        <f t="shared" si="2755"/>
        <v xml:space="preserve"> </v>
      </c>
      <c r="BK134" s="166"/>
      <c r="BL134" s="166" t="str">
        <f t="shared" si="2756"/>
        <v xml:space="preserve"> </v>
      </c>
      <c r="BM134" s="168" t="str">
        <f t="shared" si="2757"/>
        <v xml:space="preserve"> </v>
      </c>
      <c r="BN134" s="168"/>
      <c r="BO134" s="166" t="str">
        <f t="shared" si="2758"/>
        <v xml:space="preserve"> </v>
      </c>
    </row>
    <row r="135" spans="2:67" ht="15" customHeight="1" x14ac:dyDescent="0.25">
      <c r="B135" s="170">
        <v>46153</v>
      </c>
      <c r="C135" s="164"/>
      <c r="D135" s="166" t="str">
        <f t="shared" si="2726"/>
        <v xml:space="preserve"> </v>
      </c>
      <c r="E135" s="168" t="str">
        <f t="shared" si="2727"/>
        <v xml:space="preserve"> </v>
      </c>
      <c r="F135" s="168"/>
      <c r="G135" s="166" t="str">
        <f t="shared" si="2728"/>
        <v xml:space="preserve"> </v>
      </c>
      <c r="H135" s="167"/>
      <c r="I135" s="167" t="str">
        <f t="shared" si="2729"/>
        <v xml:space="preserve"> </v>
      </c>
      <c r="J135" s="168" t="str">
        <f t="shared" si="2730"/>
        <v xml:space="preserve"> </v>
      </c>
      <c r="K135" s="168"/>
      <c r="L135" s="167" t="str">
        <f t="shared" si="2731"/>
        <v xml:space="preserve"> </v>
      </c>
      <c r="M135" s="166"/>
      <c r="N135" s="166" t="str">
        <f t="shared" si="2732"/>
        <v xml:space="preserve"> </v>
      </c>
      <c r="O135" s="168" t="str">
        <f t="shared" si="2733"/>
        <v xml:space="preserve"> </v>
      </c>
      <c r="P135" s="168"/>
      <c r="Q135" s="166" t="str">
        <f t="shared" si="2734"/>
        <v xml:space="preserve"> </v>
      </c>
      <c r="R135" s="167">
        <f ca="1">+BDFUENTES[[#This Row],[PZ MED m3/día]]/3.6/BDFUENTES[[#This Row],[PZ MED Horas Activo]]</f>
        <v>0</v>
      </c>
      <c r="S135" s="167" t="str">
        <f t="shared" ca="1" si="2735"/>
        <v xml:space="preserve"> </v>
      </c>
      <c r="T135" s="168" t="str">
        <f t="shared" si="2736"/>
        <v xml:space="preserve"> </v>
      </c>
      <c r="U135" s="168"/>
      <c r="V135" s="165" t="str">
        <f t="shared" si="2737"/>
        <v xml:space="preserve"> </v>
      </c>
      <c r="W135" s="164" t="str">
        <f t="shared" si="2738"/>
        <v xml:space="preserve"> </v>
      </c>
      <c r="X135" s="166"/>
      <c r="Y135" s="168" t="str">
        <f t="shared" si="2739"/>
        <v xml:space="preserve"> </v>
      </c>
      <c r="Z135" s="168"/>
      <c r="AA135" s="166" t="str">
        <f t="shared" si="2740"/>
        <v xml:space="preserve"> </v>
      </c>
      <c r="AB135" s="168" t="str">
        <f t="shared" si="2741"/>
        <v xml:space="preserve"> </v>
      </c>
      <c r="AC135" s="168"/>
      <c r="AD135" s="171" t="str">
        <f t="shared" si="2742"/>
        <v xml:space="preserve"> </v>
      </c>
      <c r="AE135" s="167"/>
      <c r="AF135" s="165" t="str">
        <f t="shared" si="2387"/>
        <v xml:space="preserve"> </v>
      </c>
      <c r="AG135" s="168"/>
      <c r="AH135" s="168"/>
      <c r="AI135" s="166"/>
      <c r="AJ135" s="166"/>
      <c r="AK135" s="166" t="str">
        <f t="shared" si="2743"/>
        <v/>
      </c>
      <c r="AL135" s="167"/>
      <c r="AM135" s="171" t="str">
        <f t="shared" si="2744"/>
        <v xml:space="preserve"> </v>
      </c>
      <c r="AN135" s="168" t="str">
        <f t="shared" si="2745"/>
        <v xml:space="preserve"> </v>
      </c>
      <c r="AO135" s="168"/>
      <c r="AP135" s="167" t="str">
        <f t="shared" si="2746"/>
        <v xml:space="preserve"> </v>
      </c>
      <c r="AQ135" s="166"/>
      <c r="AR135" s="166" t="str">
        <f t="shared" si="2747"/>
        <v xml:space="preserve"> </v>
      </c>
      <c r="AS135" s="168" t="str">
        <f t="shared" si="2748"/>
        <v xml:space="preserve"> </v>
      </c>
      <c r="AT135" s="168"/>
      <c r="AU135" s="166" t="str">
        <f t="shared" si="2749"/>
        <v xml:space="preserve"> </v>
      </c>
      <c r="AV135" s="167"/>
      <c r="AW135" s="167"/>
      <c r="AX135" s="169" t="str">
        <f t="shared" si="2750"/>
        <v xml:space="preserve"> </v>
      </c>
      <c r="AY135" s="169"/>
      <c r="AZ135" s="167" t="str">
        <f t="shared" si="2751"/>
        <v xml:space="preserve"> </v>
      </c>
      <c r="BA135" s="166"/>
      <c r="BB135" s="166"/>
      <c r="BC135" s="168" t="str">
        <f t="shared" si="2752"/>
        <v xml:space="preserve"> </v>
      </c>
      <c r="BD135" s="168"/>
      <c r="BE135" s="166" t="str">
        <f t="shared" si="2753"/>
        <v xml:space="preserve"> </v>
      </c>
      <c r="BF135" s="167"/>
      <c r="BG135" s="167"/>
      <c r="BH135" s="168" t="str">
        <f t="shared" si="2754"/>
        <v xml:space="preserve"> </v>
      </c>
      <c r="BI135" s="168"/>
      <c r="BJ135" s="167" t="str">
        <f t="shared" si="2755"/>
        <v xml:space="preserve"> </v>
      </c>
      <c r="BK135" s="166"/>
      <c r="BL135" s="166" t="str">
        <f t="shared" si="2756"/>
        <v xml:space="preserve"> </v>
      </c>
      <c r="BM135" s="168" t="str">
        <f t="shared" si="2757"/>
        <v xml:space="preserve"> </v>
      </c>
      <c r="BN135" s="168"/>
      <c r="BO135" s="166" t="str">
        <f t="shared" si="2758"/>
        <v xml:space="preserve"> </v>
      </c>
    </row>
    <row r="136" spans="2:67" ht="15" customHeight="1" x14ac:dyDescent="0.25">
      <c r="B136" s="170">
        <v>46154</v>
      </c>
      <c r="C136" s="164"/>
      <c r="D136" s="166" t="str">
        <f t="shared" si="2726"/>
        <v xml:space="preserve"> </v>
      </c>
      <c r="E136" s="168" t="str">
        <f t="shared" si="2727"/>
        <v xml:space="preserve"> </v>
      </c>
      <c r="F136" s="168"/>
      <c r="G136" s="166" t="str">
        <f t="shared" si="2728"/>
        <v xml:space="preserve"> </v>
      </c>
      <c r="H136" s="167"/>
      <c r="I136" s="167" t="str">
        <f t="shared" si="2729"/>
        <v xml:space="preserve"> </v>
      </c>
      <c r="J136" s="168" t="str">
        <f t="shared" si="2730"/>
        <v xml:space="preserve"> </v>
      </c>
      <c r="K136" s="168"/>
      <c r="L136" s="167" t="str">
        <f t="shared" si="2731"/>
        <v xml:space="preserve"> </v>
      </c>
      <c r="M136" s="166"/>
      <c r="N136" s="166" t="str">
        <f t="shared" si="2732"/>
        <v xml:space="preserve"> </v>
      </c>
      <c r="O136" s="168" t="str">
        <f t="shared" si="2733"/>
        <v xml:space="preserve"> </v>
      </c>
      <c r="P136" s="168"/>
      <c r="Q136" s="166" t="str">
        <f t="shared" si="2734"/>
        <v xml:space="preserve"> </v>
      </c>
      <c r="R136" s="167">
        <f ca="1">+BDFUENTES[[#This Row],[PZ MED m3/día]]/3.6/BDFUENTES[[#This Row],[PZ MED Horas Activo]]</f>
        <v>0</v>
      </c>
      <c r="S136" s="167" t="str">
        <f t="shared" ca="1" si="2735"/>
        <v xml:space="preserve"> </v>
      </c>
      <c r="T136" s="168" t="str">
        <f t="shared" si="2736"/>
        <v xml:space="preserve"> </v>
      </c>
      <c r="U136" s="168"/>
      <c r="V136" s="165" t="str">
        <f t="shared" si="2737"/>
        <v xml:space="preserve"> </v>
      </c>
      <c r="W136" s="164" t="str">
        <f t="shared" si="2738"/>
        <v xml:space="preserve"> </v>
      </c>
      <c r="X136" s="166"/>
      <c r="Y136" s="168" t="str">
        <f t="shared" si="2739"/>
        <v xml:space="preserve"> </v>
      </c>
      <c r="Z136" s="168"/>
      <c r="AA136" s="166" t="str">
        <f t="shared" si="2740"/>
        <v xml:space="preserve"> </v>
      </c>
      <c r="AB136" s="168" t="str">
        <f t="shared" si="2741"/>
        <v xml:space="preserve"> </v>
      </c>
      <c r="AC136" s="168"/>
      <c r="AD136" s="171" t="str">
        <f t="shared" si="2742"/>
        <v xml:space="preserve"> </v>
      </c>
      <c r="AE136" s="167"/>
      <c r="AF136" s="165" t="str">
        <f t="shared" si="2387"/>
        <v xml:space="preserve"> </v>
      </c>
      <c r="AG136" s="168"/>
      <c r="AH136" s="168"/>
      <c r="AI136" s="166"/>
      <c r="AJ136" s="166"/>
      <c r="AK136" s="166" t="str">
        <f t="shared" si="2743"/>
        <v/>
      </c>
      <c r="AL136" s="167"/>
      <c r="AM136" s="171" t="str">
        <f t="shared" si="2744"/>
        <v xml:space="preserve"> </v>
      </c>
      <c r="AN136" s="168" t="str">
        <f t="shared" si="2745"/>
        <v xml:space="preserve"> </v>
      </c>
      <c r="AO136" s="168"/>
      <c r="AP136" s="167" t="str">
        <f t="shared" si="2746"/>
        <v xml:space="preserve"> </v>
      </c>
      <c r="AQ136" s="166"/>
      <c r="AR136" s="166" t="str">
        <f t="shared" si="2747"/>
        <v xml:space="preserve"> </v>
      </c>
      <c r="AS136" s="168" t="str">
        <f t="shared" si="2748"/>
        <v xml:space="preserve"> </v>
      </c>
      <c r="AT136" s="168"/>
      <c r="AU136" s="166" t="str">
        <f t="shared" si="2749"/>
        <v xml:space="preserve"> </v>
      </c>
      <c r="AV136" s="167"/>
      <c r="AW136" s="167"/>
      <c r="AX136" s="169" t="str">
        <f t="shared" si="2750"/>
        <v xml:space="preserve"> </v>
      </c>
      <c r="AY136" s="169"/>
      <c r="AZ136" s="167" t="str">
        <f t="shared" si="2751"/>
        <v xml:space="preserve"> </v>
      </c>
      <c r="BA136" s="166"/>
      <c r="BB136" s="166"/>
      <c r="BC136" s="168" t="str">
        <f t="shared" si="2752"/>
        <v xml:space="preserve"> </v>
      </c>
      <c r="BD136" s="168"/>
      <c r="BE136" s="166" t="str">
        <f t="shared" si="2753"/>
        <v xml:space="preserve"> </v>
      </c>
      <c r="BF136" s="167"/>
      <c r="BG136" s="167"/>
      <c r="BH136" s="168" t="str">
        <f t="shared" si="2754"/>
        <v xml:space="preserve"> </v>
      </c>
      <c r="BI136" s="168"/>
      <c r="BJ136" s="167" t="str">
        <f t="shared" si="2755"/>
        <v xml:space="preserve"> </v>
      </c>
      <c r="BK136" s="166"/>
      <c r="BL136" s="166" t="str">
        <f t="shared" si="2756"/>
        <v xml:space="preserve"> </v>
      </c>
      <c r="BM136" s="168" t="str">
        <f t="shared" si="2757"/>
        <v xml:space="preserve"> </v>
      </c>
      <c r="BN136" s="168"/>
      <c r="BO136" s="166" t="str">
        <f t="shared" si="2758"/>
        <v xml:space="preserve"> </v>
      </c>
    </row>
    <row r="137" spans="2:67" ht="15" customHeight="1" x14ac:dyDescent="0.25">
      <c r="B137" s="170">
        <v>46155</v>
      </c>
      <c r="C137" s="164"/>
      <c r="D137" s="166" t="str">
        <f t="shared" si="2726"/>
        <v xml:space="preserve"> </v>
      </c>
      <c r="E137" s="168" t="str">
        <f t="shared" si="2727"/>
        <v xml:space="preserve"> </v>
      </c>
      <c r="F137" s="168"/>
      <c r="G137" s="166" t="str">
        <f t="shared" si="2728"/>
        <v xml:space="preserve"> </v>
      </c>
      <c r="H137" s="167"/>
      <c r="I137" s="167" t="str">
        <f t="shared" si="2729"/>
        <v xml:space="preserve"> </v>
      </c>
      <c r="J137" s="168" t="str">
        <f t="shared" si="2730"/>
        <v xml:space="preserve"> </v>
      </c>
      <c r="K137" s="168"/>
      <c r="L137" s="167" t="str">
        <f t="shared" si="2731"/>
        <v xml:space="preserve"> </v>
      </c>
      <c r="M137" s="166"/>
      <c r="N137" s="166" t="str">
        <f t="shared" si="2732"/>
        <v xml:space="preserve"> </v>
      </c>
      <c r="O137" s="168" t="str">
        <f t="shared" si="2733"/>
        <v xml:space="preserve"> </v>
      </c>
      <c r="P137" s="168"/>
      <c r="Q137" s="166" t="str">
        <f t="shared" si="2734"/>
        <v xml:space="preserve"> </v>
      </c>
      <c r="R137" s="167">
        <f ca="1">+BDFUENTES[[#This Row],[PZ MED m3/día]]/3.6/BDFUENTES[[#This Row],[PZ MED Horas Activo]]</f>
        <v>0</v>
      </c>
      <c r="S137" s="167" t="str">
        <f t="shared" ca="1" si="2735"/>
        <v xml:space="preserve"> </v>
      </c>
      <c r="T137" s="168" t="str">
        <f t="shared" si="2736"/>
        <v xml:space="preserve"> </v>
      </c>
      <c r="U137" s="168"/>
      <c r="V137" s="165" t="str">
        <f t="shared" si="2737"/>
        <v xml:space="preserve"> </v>
      </c>
      <c r="W137" s="164" t="str">
        <f t="shared" si="2738"/>
        <v xml:space="preserve"> </v>
      </c>
      <c r="X137" s="166"/>
      <c r="Y137" s="168" t="str">
        <f t="shared" si="2739"/>
        <v xml:space="preserve"> </v>
      </c>
      <c r="Z137" s="168"/>
      <c r="AA137" s="166" t="str">
        <f t="shared" si="2740"/>
        <v xml:space="preserve"> </v>
      </c>
      <c r="AB137" s="168" t="str">
        <f t="shared" si="2741"/>
        <v xml:space="preserve"> </v>
      </c>
      <c r="AC137" s="168"/>
      <c r="AD137" s="171" t="str">
        <f t="shared" si="2742"/>
        <v xml:space="preserve"> </v>
      </c>
      <c r="AE137" s="167"/>
      <c r="AF137" s="165" t="str">
        <f t="shared" si="2387"/>
        <v xml:space="preserve"> </v>
      </c>
      <c r="AG137" s="168"/>
      <c r="AH137" s="168"/>
      <c r="AI137" s="166"/>
      <c r="AJ137" s="166"/>
      <c r="AK137" s="166" t="str">
        <f t="shared" si="2743"/>
        <v/>
      </c>
      <c r="AL137" s="167"/>
      <c r="AM137" s="171" t="str">
        <f t="shared" si="2744"/>
        <v xml:space="preserve"> </v>
      </c>
      <c r="AN137" s="168" t="str">
        <f t="shared" si="2745"/>
        <v xml:space="preserve"> </v>
      </c>
      <c r="AO137" s="168"/>
      <c r="AP137" s="167" t="str">
        <f t="shared" si="2746"/>
        <v xml:space="preserve"> </v>
      </c>
      <c r="AQ137" s="166"/>
      <c r="AR137" s="166" t="str">
        <f t="shared" si="2747"/>
        <v xml:space="preserve"> </v>
      </c>
      <c r="AS137" s="168" t="str">
        <f t="shared" si="2748"/>
        <v xml:space="preserve"> </v>
      </c>
      <c r="AT137" s="168"/>
      <c r="AU137" s="166" t="str">
        <f t="shared" si="2749"/>
        <v xml:space="preserve"> </v>
      </c>
      <c r="AV137" s="167"/>
      <c r="AW137" s="167"/>
      <c r="AX137" s="169" t="str">
        <f t="shared" si="2750"/>
        <v xml:space="preserve"> </v>
      </c>
      <c r="AY137" s="169"/>
      <c r="AZ137" s="167" t="str">
        <f t="shared" si="2751"/>
        <v xml:space="preserve"> </v>
      </c>
      <c r="BA137" s="166"/>
      <c r="BB137" s="166"/>
      <c r="BC137" s="168" t="str">
        <f t="shared" si="2752"/>
        <v xml:space="preserve"> </v>
      </c>
      <c r="BD137" s="168"/>
      <c r="BE137" s="166" t="str">
        <f t="shared" si="2753"/>
        <v xml:space="preserve"> </v>
      </c>
      <c r="BF137" s="167"/>
      <c r="BG137" s="167"/>
      <c r="BH137" s="168" t="str">
        <f t="shared" si="2754"/>
        <v xml:space="preserve"> </v>
      </c>
      <c r="BI137" s="168"/>
      <c r="BJ137" s="167" t="str">
        <f t="shared" si="2755"/>
        <v xml:space="preserve"> </v>
      </c>
      <c r="BK137" s="166"/>
      <c r="BL137" s="166" t="str">
        <f t="shared" si="2756"/>
        <v xml:space="preserve"> </v>
      </c>
      <c r="BM137" s="168" t="str">
        <f t="shared" si="2757"/>
        <v xml:space="preserve"> </v>
      </c>
      <c r="BN137" s="168"/>
      <c r="BO137" s="166" t="str">
        <f t="shared" si="2758"/>
        <v xml:space="preserve"> </v>
      </c>
    </row>
    <row r="138" spans="2:67" ht="15" customHeight="1" x14ac:dyDescent="0.25">
      <c r="B138" s="170">
        <v>46156</v>
      </c>
      <c r="C138" s="164"/>
      <c r="D138" s="166" t="str">
        <f t="shared" si="2726"/>
        <v xml:space="preserve"> </v>
      </c>
      <c r="E138" s="168" t="str">
        <f t="shared" si="2727"/>
        <v xml:space="preserve"> </v>
      </c>
      <c r="F138" s="168"/>
      <c r="G138" s="166" t="str">
        <f t="shared" si="2728"/>
        <v xml:space="preserve"> </v>
      </c>
      <c r="H138" s="167"/>
      <c r="I138" s="167" t="str">
        <f t="shared" si="2729"/>
        <v xml:space="preserve"> </v>
      </c>
      <c r="J138" s="168" t="str">
        <f t="shared" si="2730"/>
        <v xml:space="preserve"> </v>
      </c>
      <c r="K138" s="168"/>
      <c r="L138" s="167" t="str">
        <f t="shared" si="2731"/>
        <v xml:space="preserve"> </v>
      </c>
      <c r="M138" s="166"/>
      <c r="N138" s="166" t="str">
        <f t="shared" si="2732"/>
        <v xml:space="preserve"> </v>
      </c>
      <c r="O138" s="168" t="str">
        <f t="shared" si="2733"/>
        <v xml:space="preserve"> </v>
      </c>
      <c r="P138" s="168"/>
      <c r="Q138" s="166" t="str">
        <f t="shared" si="2734"/>
        <v xml:space="preserve"> </v>
      </c>
      <c r="R138" s="167">
        <f ca="1">+BDFUENTES[[#This Row],[PZ MED m3/día]]/3.6/BDFUENTES[[#This Row],[PZ MED Horas Activo]]</f>
        <v>0</v>
      </c>
      <c r="S138" s="167" t="str">
        <f t="shared" ca="1" si="2735"/>
        <v xml:space="preserve"> </v>
      </c>
      <c r="T138" s="168" t="str">
        <f t="shared" si="2736"/>
        <v xml:space="preserve"> </v>
      </c>
      <c r="U138" s="168"/>
      <c r="V138" s="165" t="str">
        <f t="shared" si="2737"/>
        <v xml:space="preserve"> </v>
      </c>
      <c r="W138" s="164" t="str">
        <f t="shared" si="2738"/>
        <v xml:space="preserve"> </v>
      </c>
      <c r="X138" s="166"/>
      <c r="Y138" s="168" t="str">
        <f t="shared" si="2739"/>
        <v xml:space="preserve"> </v>
      </c>
      <c r="Z138" s="168"/>
      <c r="AA138" s="166" t="str">
        <f t="shared" si="2740"/>
        <v xml:space="preserve"> </v>
      </c>
      <c r="AB138" s="168" t="str">
        <f t="shared" si="2741"/>
        <v xml:space="preserve"> </v>
      </c>
      <c r="AC138" s="168"/>
      <c r="AD138" s="171" t="str">
        <f t="shared" si="2742"/>
        <v xml:space="preserve"> </v>
      </c>
      <c r="AE138" s="167"/>
      <c r="AF138" s="165" t="str">
        <f t="shared" si="2387"/>
        <v xml:space="preserve"> </v>
      </c>
      <c r="AG138" s="168"/>
      <c r="AH138" s="168"/>
      <c r="AI138" s="166"/>
      <c r="AJ138" s="166"/>
      <c r="AK138" s="166" t="str">
        <f t="shared" si="2743"/>
        <v/>
      </c>
      <c r="AL138" s="167"/>
      <c r="AM138" s="171" t="str">
        <f t="shared" si="2744"/>
        <v xml:space="preserve"> </v>
      </c>
      <c r="AN138" s="168" t="str">
        <f t="shared" si="2745"/>
        <v xml:space="preserve"> </v>
      </c>
      <c r="AO138" s="168"/>
      <c r="AP138" s="167" t="str">
        <f t="shared" si="2746"/>
        <v xml:space="preserve"> </v>
      </c>
      <c r="AQ138" s="166"/>
      <c r="AR138" s="166" t="str">
        <f t="shared" si="2747"/>
        <v xml:space="preserve"> </v>
      </c>
      <c r="AS138" s="168" t="str">
        <f t="shared" si="2748"/>
        <v xml:space="preserve"> </v>
      </c>
      <c r="AT138" s="168"/>
      <c r="AU138" s="166" t="str">
        <f t="shared" si="2749"/>
        <v xml:space="preserve"> </v>
      </c>
      <c r="AV138" s="167"/>
      <c r="AW138" s="167"/>
      <c r="AX138" s="169" t="str">
        <f t="shared" si="2750"/>
        <v xml:space="preserve"> </v>
      </c>
      <c r="AY138" s="169"/>
      <c r="AZ138" s="167" t="str">
        <f t="shared" si="2751"/>
        <v xml:space="preserve"> </v>
      </c>
      <c r="BA138" s="166"/>
      <c r="BB138" s="166"/>
      <c r="BC138" s="168" t="str">
        <f t="shared" si="2752"/>
        <v xml:space="preserve"> </v>
      </c>
      <c r="BD138" s="168"/>
      <c r="BE138" s="166" t="str">
        <f t="shared" si="2753"/>
        <v xml:space="preserve"> </v>
      </c>
      <c r="BF138" s="167"/>
      <c r="BG138" s="167"/>
      <c r="BH138" s="168" t="str">
        <f t="shared" si="2754"/>
        <v xml:space="preserve"> </v>
      </c>
      <c r="BI138" s="168"/>
      <c r="BJ138" s="167" t="str">
        <f t="shared" si="2755"/>
        <v xml:space="preserve"> </v>
      </c>
      <c r="BK138" s="166"/>
      <c r="BL138" s="166" t="str">
        <f t="shared" si="2756"/>
        <v xml:space="preserve"> </v>
      </c>
      <c r="BM138" s="168" t="str">
        <f t="shared" si="2757"/>
        <v xml:space="preserve"> </v>
      </c>
      <c r="BN138" s="168"/>
      <c r="BO138" s="166" t="str">
        <f t="shared" si="2758"/>
        <v xml:space="preserve"> </v>
      </c>
    </row>
    <row r="139" spans="2:67" ht="15" customHeight="1" x14ac:dyDescent="0.25">
      <c r="B139" s="170">
        <v>46157</v>
      </c>
      <c r="C139" s="164"/>
      <c r="D139" s="166" t="str">
        <f t="shared" si="2726"/>
        <v xml:space="preserve"> </v>
      </c>
      <c r="E139" s="168" t="str">
        <f t="shared" si="2727"/>
        <v xml:space="preserve"> </v>
      </c>
      <c r="F139" s="168"/>
      <c r="G139" s="166" t="str">
        <f t="shared" si="2728"/>
        <v xml:space="preserve"> </v>
      </c>
      <c r="H139" s="167"/>
      <c r="I139" s="167" t="str">
        <f t="shared" si="2729"/>
        <v xml:space="preserve"> </v>
      </c>
      <c r="J139" s="168" t="str">
        <f t="shared" si="2730"/>
        <v xml:space="preserve"> </v>
      </c>
      <c r="K139" s="168"/>
      <c r="L139" s="167" t="str">
        <f t="shared" si="2731"/>
        <v xml:space="preserve"> </v>
      </c>
      <c r="M139" s="166"/>
      <c r="N139" s="166" t="str">
        <f t="shared" si="2732"/>
        <v xml:space="preserve"> </v>
      </c>
      <c r="O139" s="168" t="str">
        <f t="shared" si="2733"/>
        <v xml:space="preserve"> </v>
      </c>
      <c r="P139" s="168"/>
      <c r="Q139" s="166" t="str">
        <f t="shared" si="2734"/>
        <v xml:space="preserve"> </v>
      </c>
      <c r="R139" s="167">
        <f ca="1">+BDFUENTES[[#This Row],[PZ MED m3/día]]/3.6/BDFUENTES[[#This Row],[PZ MED Horas Activo]]</f>
        <v>0</v>
      </c>
      <c r="S139" s="167" t="str">
        <f t="shared" ca="1" si="2735"/>
        <v xml:space="preserve"> </v>
      </c>
      <c r="T139" s="168" t="str">
        <f t="shared" si="2736"/>
        <v xml:space="preserve"> </v>
      </c>
      <c r="U139" s="168"/>
      <c r="V139" s="165" t="str">
        <f t="shared" si="2737"/>
        <v xml:space="preserve"> </v>
      </c>
      <c r="W139" s="164" t="str">
        <f t="shared" si="2738"/>
        <v xml:space="preserve"> </v>
      </c>
      <c r="X139" s="166"/>
      <c r="Y139" s="168" t="str">
        <f t="shared" si="2739"/>
        <v xml:space="preserve"> </v>
      </c>
      <c r="Z139" s="168"/>
      <c r="AA139" s="166" t="str">
        <f t="shared" si="2740"/>
        <v xml:space="preserve"> </v>
      </c>
      <c r="AB139" s="168" t="str">
        <f t="shared" si="2741"/>
        <v xml:space="preserve"> </v>
      </c>
      <c r="AC139" s="168"/>
      <c r="AD139" s="171" t="str">
        <f t="shared" si="2742"/>
        <v xml:space="preserve"> </v>
      </c>
      <c r="AE139" s="167"/>
      <c r="AF139" s="165" t="str">
        <f t="shared" si="2387"/>
        <v xml:space="preserve"> </v>
      </c>
      <c r="AG139" s="168"/>
      <c r="AH139" s="168"/>
      <c r="AI139" s="166"/>
      <c r="AJ139" s="166"/>
      <c r="AK139" s="166" t="str">
        <f t="shared" si="2743"/>
        <v/>
      </c>
      <c r="AL139" s="167"/>
      <c r="AM139" s="171" t="str">
        <f t="shared" si="2744"/>
        <v xml:space="preserve"> </v>
      </c>
      <c r="AN139" s="168" t="str">
        <f t="shared" si="2745"/>
        <v xml:space="preserve"> </v>
      </c>
      <c r="AO139" s="168"/>
      <c r="AP139" s="167" t="str">
        <f t="shared" si="2746"/>
        <v xml:space="preserve"> </v>
      </c>
      <c r="AQ139" s="166"/>
      <c r="AR139" s="166" t="str">
        <f t="shared" si="2747"/>
        <v xml:space="preserve"> </v>
      </c>
      <c r="AS139" s="168" t="str">
        <f t="shared" si="2748"/>
        <v xml:space="preserve"> </v>
      </c>
      <c r="AT139" s="168"/>
      <c r="AU139" s="166" t="str">
        <f t="shared" si="2749"/>
        <v xml:space="preserve"> </v>
      </c>
      <c r="AV139" s="167"/>
      <c r="AW139" s="167"/>
      <c r="AX139" s="169" t="str">
        <f t="shared" si="2750"/>
        <v xml:space="preserve"> </v>
      </c>
      <c r="AY139" s="169"/>
      <c r="AZ139" s="167" t="str">
        <f t="shared" si="2751"/>
        <v xml:space="preserve"> </v>
      </c>
      <c r="BA139" s="166"/>
      <c r="BB139" s="166"/>
      <c r="BC139" s="168" t="str">
        <f t="shared" si="2752"/>
        <v xml:space="preserve"> </v>
      </c>
      <c r="BD139" s="168"/>
      <c r="BE139" s="166" t="str">
        <f t="shared" si="2753"/>
        <v xml:space="preserve"> </v>
      </c>
      <c r="BF139" s="167"/>
      <c r="BG139" s="167"/>
      <c r="BH139" s="168" t="str">
        <f t="shared" si="2754"/>
        <v xml:space="preserve"> </v>
      </c>
      <c r="BI139" s="168"/>
      <c r="BJ139" s="167" t="str">
        <f t="shared" si="2755"/>
        <v xml:space="preserve"> </v>
      </c>
      <c r="BK139" s="166"/>
      <c r="BL139" s="166" t="str">
        <f t="shared" si="2756"/>
        <v xml:space="preserve"> </v>
      </c>
      <c r="BM139" s="168" t="str">
        <f t="shared" si="2757"/>
        <v xml:space="preserve"> </v>
      </c>
      <c r="BN139" s="168"/>
      <c r="BO139" s="166" t="str">
        <f t="shared" si="2758"/>
        <v xml:space="preserve"> </v>
      </c>
    </row>
    <row r="140" spans="2:67" ht="15" customHeight="1" x14ac:dyDescent="0.25">
      <c r="B140" s="170">
        <v>46158</v>
      </c>
      <c r="C140" s="164"/>
      <c r="D140" s="166" t="str">
        <f t="shared" si="2726"/>
        <v xml:space="preserve"> </v>
      </c>
      <c r="E140" s="168" t="str">
        <f t="shared" si="2727"/>
        <v xml:space="preserve"> </v>
      </c>
      <c r="F140" s="168"/>
      <c r="G140" s="166" t="str">
        <f t="shared" si="2728"/>
        <v xml:space="preserve"> </v>
      </c>
      <c r="H140" s="167"/>
      <c r="I140" s="167" t="str">
        <f t="shared" si="2729"/>
        <v xml:space="preserve"> </v>
      </c>
      <c r="J140" s="168" t="str">
        <f t="shared" si="2730"/>
        <v xml:space="preserve"> </v>
      </c>
      <c r="K140" s="168"/>
      <c r="L140" s="167" t="str">
        <f t="shared" si="2731"/>
        <v xml:space="preserve"> </v>
      </c>
      <c r="M140" s="166"/>
      <c r="N140" s="166" t="str">
        <f t="shared" si="2732"/>
        <v xml:space="preserve"> </v>
      </c>
      <c r="O140" s="168" t="str">
        <f t="shared" si="2733"/>
        <v xml:space="preserve"> </v>
      </c>
      <c r="P140" s="168"/>
      <c r="Q140" s="166" t="str">
        <f t="shared" si="2734"/>
        <v xml:space="preserve"> </v>
      </c>
      <c r="R140" s="167">
        <f ca="1">+BDFUENTES[[#This Row],[PZ MED m3/día]]/3.6/BDFUENTES[[#This Row],[PZ MED Horas Activo]]</f>
        <v>0</v>
      </c>
      <c r="S140" s="167" t="str">
        <f t="shared" ca="1" si="2735"/>
        <v xml:space="preserve"> </v>
      </c>
      <c r="T140" s="168" t="str">
        <f t="shared" si="2736"/>
        <v xml:space="preserve"> </v>
      </c>
      <c r="U140" s="168"/>
      <c r="V140" s="165" t="str">
        <f t="shared" si="2737"/>
        <v xml:space="preserve"> </v>
      </c>
      <c r="W140" s="164" t="str">
        <f t="shared" si="2738"/>
        <v xml:space="preserve"> </v>
      </c>
      <c r="X140" s="166"/>
      <c r="Y140" s="168" t="str">
        <f t="shared" si="2739"/>
        <v xml:space="preserve"> </v>
      </c>
      <c r="Z140" s="168"/>
      <c r="AA140" s="166" t="str">
        <f t="shared" si="2740"/>
        <v xml:space="preserve"> </v>
      </c>
      <c r="AB140" s="168" t="str">
        <f t="shared" si="2741"/>
        <v xml:space="preserve"> </v>
      </c>
      <c r="AC140" s="168"/>
      <c r="AD140" s="171" t="str">
        <f t="shared" si="2742"/>
        <v xml:space="preserve"> </v>
      </c>
      <c r="AE140" s="167"/>
      <c r="AF140" s="165" t="str">
        <f t="shared" si="2387"/>
        <v xml:space="preserve"> </v>
      </c>
      <c r="AG140" s="168"/>
      <c r="AH140" s="168"/>
      <c r="AI140" s="166"/>
      <c r="AJ140" s="166"/>
      <c r="AK140" s="166" t="str">
        <f t="shared" si="2743"/>
        <v/>
      </c>
      <c r="AL140" s="167"/>
      <c r="AM140" s="171" t="str">
        <f t="shared" si="2744"/>
        <v xml:space="preserve"> </v>
      </c>
      <c r="AN140" s="168" t="str">
        <f t="shared" si="2745"/>
        <v xml:space="preserve"> </v>
      </c>
      <c r="AO140" s="168"/>
      <c r="AP140" s="167" t="str">
        <f t="shared" si="2746"/>
        <v xml:space="preserve"> </v>
      </c>
      <c r="AQ140" s="166"/>
      <c r="AR140" s="166" t="str">
        <f t="shared" si="2747"/>
        <v xml:space="preserve"> </v>
      </c>
      <c r="AS140" s="168" t="str">
        <f t="shared" si="2748"/>
        <v xml:space="preserve"> </v>
      </c>
      <c r="AT140" s="168"/>
      <c r="AU140" s="166" t="str">
        <f t="shared" si="2749"/>
        <v xml:space="preserve"> </v>
      </c>
      <c r="AV140" s="167"/>
      <c r="AW140" s="167"/>
      <c r="AX140" s="169" t="str">
        <f t="shared" si="2750"/>
        <v xml:space="preserve"> </v>
      </c>
      <c r="AY140" s="169"/>
      <c r="AZ140" s="167" t="str">
        <f t="shared" si="2751"/>
        <v xml:space="preserve"> </v>
      </c>
      <c r="BA140" s="166"/>
      <c r="BB140" s="166"/>
      <c r="BC140" s="168" t="str">
        <f t="shared" si="2752"/>
        <v xml:space="preserve"> </v>
      </c>
      <c r="BD140" s="168"/>
      <c r="BE140" s="166" t="str">
        <f t="shared" si="2753"/>
        <v xml:space="preserve"> </v>
      </c>
      <c r="BF140" s="167"/>
      <c r="BG140" s="167"/>
      <c r="BH140" s="168" t="str">
        <f t="shared" si="2754"/>
        <v xml:space="preserve"> </v>
      </c>
      <c r="BI140" s="168"/>
      <c r="BJ140" s="167" t="str">
        <f t="shared" si="2755"/>
        <v xml:space="preserve"> </v>
      </c>
      <c r="BK140" s="166"/>
      <c r="BL140" s="166" t="str">
        <f t="shared" si="2756"/>
        <v xml:space="preserve"> </v>
      </c>
      <c r="BM140" s="168" t="str">
        <f t="shared" si="2757"/>
        <v xml:space="preserve"> </v>
      </c>
      <c r="BN140" s="168"/>
      <c r="BO140" s="166" t="str">
        <f t="shared" si="2758"/>
        <v xml:space="preserve"> </v>
      </c>
    </row>
    <row r="141" spans="2:67" ht="15" customHeight="1" x14ac:dyDescent="0.25">
      <c r="B141" s="170">
        <v>46159</v>
      </c>
      <c r="C141" s="164"/>
      <c r="D141" s="166" t="str">
        <f t="shared" si="2726"/>
        <v xml:space="preserve"> </v>
      </c>
      <c r="E141" s="168" t="str">
        <f t="shared" si="2727"/>
        <v xml:space="preserve"> </v>
      </c>
      <c r="F141" s="168"/>
      <c r="G141" s="166" t="str">
        <f t="shared" si="2728"/>
        <v xml:space="preserve"> </v>
      </c>
      <c r="H141" s="167"/>
      <c r="I141" s="167" t="str">
        <f t="shared" si="2729"/>
        <v xml:space="preserve"> </v>
      </c>
      <c r="J141" s="168" t="str">
        <f t="shared" si="2730"/>
        <v xml:space="preserve"> </v>
      </c>
      <c r="K141" s="168"/>
      <c r="L141" s="167" t="str">
        <f t="shared" si="2731"/>
        <v xml:space="preserve"> </v>
      </c>
      <c r="M141" s="166"/>
      <c r="N141" s="166" t="str">
        <f t="shared" si="2732"/>
        <v xml:space="preserve"> </v>
      </c>
      <c r="O141" s="168" t="str">
        <f t="shared" si="2733"/>
        <v xml:space="preserve"> </v>
      </c>
      <c r="P141" s="168"/>
      <c r="Q141" s="166" t="str">
        <f t="shared" si="2734"/>
        <v xml:space="preserve"> </v>
      </c>
      <c r="R141" s="167">
        <f ca="1">+BDFUENTES[[#This Row],[PZ MED m3/día]]/3.6/BDFUENTES[[#This Row],[PZ MED Horas Activo]]</f>
        <v>0</v>
      </c>
      <c r="S141" s="167" t="str">
        <f t="shared" ca="1" si="2735"/>
        <v xml:space="preserve"> </v>
      </c>
      <c r="T141" s="168" t="str">
        <f t="shared" si="2736"/>
        <v xml:space="preserve"> </v>
      </c>
      <c r="U141" s="168"/>
      <c r="V141" s="165" t="str">
        <f t="shared" si="2737"/>
        <v xml:space="preserve"> </v>
      </c>
      <c r="W141" s="164" t="str">
        <f t="shared" si="2738"/>
        <v xml:space="preserve"> </v>
      </c>
      <c r="X141" s="166"/>
      <c r="Y141" s="168" t="str">
        <f t="shared" si="2739"/>
        <v xml:space="preserve"> </v>
      </c>
      <c r="Z141" s="168"/>
      <c r="AA141" s="166" t="str">
        <f t="shared" si="2740"/>
        <v xml:space="preserve"> </v>
      </c>
      <c r="AB141" s="168" t="str">
        <f t="shared" si="2741"/>
        <v xml:space="preserve"> </v>
      </c>
      <c r="AC141" s="168"/>
      <c r="AD141" s="171" t="str">
        <f t="shared" si="2742"/>
        <v xml:space="preserve"> </v>
      </c>
      <c r="AE141" s="167"/>
      <c r="AF141" s="165" t="str">
        <f t="shared" si="2387"/>
        <v xml:space="preserve"> </v>
      </c>
      <c r="AG141" s="168"/>
      <c r="AH141" s="168"/>
      <c r="AI141" s="166"/>
      <c r="AJ141" s="166"/>
      <c r="AK141" s="166" t="str">
        <f t="shared" si="2743"/>
        <v/>
      </c>
      <c r="AL141" s="167"/>
      <c r="AM141" s="171" t="str">
        <f t="shared" si="2744"/>
        <v xml:space="preserve"> </v>
      </c>
      <c r="AN141" s="168" t="str">
        <f t="shared" si="2745"/>
        <v xml:space="preserve"> </v>
      </c>
      <c r="AO141" s="168"/>
      <c r="AP141" s="167" t="str">
        <f t="shared" si="2746"/>
        <v xml:space="preserve"> </v>
      </c>
      <c r="AQ141" s="166"/>
      <c r="AR141" s="166" t="str">
        <f t="shared" si="2747"/>
        <v xml:space="preserve"> </v>
      </c>
      <c r="AS141" s="168" t="str">
        <f t="shared" si="2748"/>
        <v xml:space="preserve"> </v>
      </c>
      <c r="AT141" s="168"/>
      <c r="AU141" s="166" t="str">
        <f t="shared" si="2749"/>
        <v xml:space="preserve"> </v>
      </c>
      <c r="AV141" s="167"/>
      <c r="AW141" s="167"/>
      <c r="AX141" s="169" t="str">
        <f t="shared" si="2750"/>
        <v xml:space="preserve"> </v>
      </c>
      <c r="AY141" s="169"/>
      <c r="AZ141" s="167" t="str">
        <f t="shared" si="2751"/>
        <v xml:space="preserve"> </v>
      </c>
      <c r="BA141" s="166"/>
      <c r="BB141" s="166"/>
      <c r="BC141" s="168" t="str">
        <f t="shared" si="2752"/>
        <v xml:space="preserve"> </v>
      </c>
      <c r="BD141" s="168"/>
      <c r="BE141" s="166" t="str">
        <f t="shared" si="2753"/>
        <v xml:space="preserve"> </v>
      </c>
      <c r="BF141" s="167"/>
      <c r="BG141" s="167"/>
      <c r="BH141" s="168" t="str">
        <f t="shared" si="2754"/>
        <v xml:space="preserve"> </v>
      </c>
      <c r="BI141" s="168"/>
      <c r="BJ141" s="167" t="str">
        <f t="shared" si="2755"/>
        <v xml:space="preserve"> </v>
      </c>
      <c r="BK141" s="166"/>
      <c r="BL141" s="166" t="str">
        <f t="shared" si="2756"/>
        <v xml:space="preserve"> </v>
      </c>
      <c r="BM141" s="168" t="str">
        <f t="shared" si="2757"/>
        <v xml:space="preserve"> </v>
      </c>
      <c r="BN141" s="168"/>
      <c r="BO141" s="166" t="str">
        <f t="shared" si="2758"/>
        <v xml:space="preserve"> </v>
      </c>
    </row>
    <row r="142" spans="2:67" ht="15" customHeight="1" x14ac:dyDescent="0.25">
      <c r="B142" s="170">
        <v>46160</v>
      </c>
      <c r="C142" s="164"/>
      <c r="D142" s="166" t="str">
        <f t="shared" si="2726"/>
        <v xml:space="preserve"> </v>
      </c>
      <c r="E142" s="168" t="str">
        <f t="shared" si="2727"/>
        <v xml:space="preserve"> </v>
      </c>
      <c r="F142" s="168"/>
      <c r="G142" s="166" t="str">
        <f t="shared" si="2728"/>
        <v xml:space="preserve"> </v>
      </c>
      <c r="H142" s="167"/>
      <c r="I142" s="167" t="str">
        <f t="shared" si="2729"/>
        <v xml:space="preserve"> </v>
      </c>
      <c r="J142" s="168" t="str">
        <f t="shared" si="2730"/>
        <v xml:space="preserve"> </v>
      </c>
      <c r="K142" s="168"/>
      <c r="L142" s="167" t="str">
        <f t="shared" si="2731"/>
        <v xml:space="preserve"> </v>
      </c>
      <c r="M142" s="166"/>
      <c r="N142" s="166" t="str">
        <f t="shared" si="2732"/>
        <v xml:space="preserve"> </v>
      </c>
      <c r="O142" s="168" t="str">
        <f t="shared" si="2733"/>
        <v xml:space="preserve"> </v>
      </c>
      <c r="P142" s="168"/>
      <c r="Q142" s="166" t="str">
        <f t="shared" si="2734"/>
        <v xml:space="preserve"> </v>
      </c>
      <c r="R142" s="167">
        <f ca="1">+BDFUENTES[[#This Row],[PZ MED m3/día]]/3.6/BDFUENTES[[#This Row],[PZ MED Horas Activo]]</f>
        <v>0</v>
      </c>
      <c r="S142" s="167" t="str">
        <f t="shared" ca="1" si="2735"/>
        <v xml:space="preserve"> </v>
      </c>
      <c r="T142" s="168" t="str">
        <f t="shared" si="2736"/>
        <v xml:space="preserve"> </v>
      </c>
      <c r="U142" s="168"/>
      <c r="V142" s="165" t="str">
        <f t="shared" si="2737"/>
        <v xml:space="preserve"> </v>
      </c>
      <c r="W142" s="164" t="str">
        <f t="shared" si="2738"/>
        <v xml:space="preserve"> </v>
      </c>
      <c r="X142" s="166"/>
      <c r="Y142" s="168" t="str">
        <f t="shared" si="2739"/>
        <v xml:space="preserve"> </v>
      </c>
      <c r="Z142" s="168"/>
      <c r="AA142" s="166" t="str">
        <f t="shared" si="2740"/>
        <v xml:space="preserve"> </v>
      </c>
      <c r="AB142" s="168" t="str">
        <f t="shared" si="2741"/>
        <v xml:space="preserve"> </v>
      </c>
      <c r="AC142" s="168"/>
      <c r="AD142" s="171" t="str">
        <f t="shared" si="2742"/>
        <v xml:space="preserve"> </v>
      </c>
      <c r="AE142" s="167"/>
      <c r="AF142" s="165" t="str">
        <f t="shared" si="2387"/>
        <v xml:space="preserve"> </v>
      </c>
      <c r="AG142" s="168"/>
      <c r="AH142" s="168"/>
      <c r="AI142" s="166"/>
      <c r="AJ142" s="166"/>
      <c r="AK142" s="166" t="str">
        <f t="shared" si="2743"/>
        <v/>
      </c>
      <c r="AL142" s="167"/>
      <c r="AM142" s="171" t="str">
        <f t="shared" si="2744"/>
        <v xml:space="preserve"> </v>
      </c>
      <c r="AN142" s="168" t="str">
        <f t="shared" si="2745"/>
        <v xml:space="preserve"> </v>
      </c>
      <c r="AO142" s="168"/>
      <c r="AP142" s="167" t="str">
        <f t="shared" si="2746"/>
        <v xml:space="preserve"> </v>
      </c>
      <c r="AQ142" s="166"/>
      <c r="AR142" s="166" t="str">
        <f t="shared" si="2747"/>
        <v xml:space="preserve"> </v>
      </c>
      <c r="AS142" s="168" t="str">
        <f t="shared" si="2748"/>
        <v xml:space="preserve"> </v>
      </c>
      <c r="AT142" s="168"/>
      <c r="AU142" s="166" t="str">
        <f t="shared" si="2749"/>
        <v xml:space="preserve"> </v>
      </c>
      <c r="AV142" s="167"/>
      <c r="AW142" s="167"/>
      <c r="AX142" s="169" t="str">
        <f t="shared" si="2750"/>
        <v xml:space="preserve"> </v>
      </c>
      <c r="AY142" s="169"/>
      <c r="AZ142" s="167" t="str">
        <f t="shared" si="2751"/>
        <v xml:space="preserve"> </v>
      </c>
      <c r="BA142" s="166"/>
      <c r="BB142" s="166"/>
      <c r="BC142" s="168" t="str">
        <f t="shared" si="2752"/>
        <v xml:space="preserve"> </v>
      </c>
      <c r="BD142" s="168"/>
      <c r="BE142" s="166" t="str">
        <f t="shared" si="2753"/>
        <v xml:space="preserve"> </v>
      </c>
      <c r="BF142" s="167"/>
      <c r="BG142" s="167"/>
      <c r="BH142" s="168" t="str">
        <f t="shared" si="2754"/>
        <v xml:space="preserve"> </v>
      </c>
      <c r="BI142" s="168"/>
      <c r="BJ142" s="167" t="str">
        <f t="shared" si="2755"/>
        <v xml:space="preserve"> </v>
      </c>
      <c r="BK142" s="166"/>
      <c r="BL142" s="166" t="str">
        <f t="shared" si="2756"/>
        <v xml:space="preserve"> </v>
      </c>
      <c r="BM142" s="168" t="str">
        <f t="shared" si="2757"/>
        <v xml:space="preserve"> </v>
      </c>
      <c r="BN142" s="168"/>
      <c r="BO142" s="166" t="str">
        <f t="shared" si="2758"/>
        <v xml:space="preserve"> </v>
      </c>
    </row>
    <row r="143" spans="2:67" ht="15" customHeight="1" x14ac:dyDescent="0.25">
      <c r="B143" s="170">
        <v>46161</v>
      </c>
      <c r="C143" s="164"/>
      <c r="D143" s="166" t="str">
        <f t="shared" si="2726"/>
        <v xml:space="preserve"> </v>
      </c>
      <c r="E143" s="168" t="str">
        <f t="shared" si="2727"/>
        <v xml:space="preserve"> </v>
      </c>
      <c r="F143" s="168"/>
      <c r="G143" s="166" t="str">
        <f t="shared" si="2728"/>
        <v xml:space="preserve"> </v>
      </c>
      <c r="H143" s="167"/>
      <c r="I143" s="167" t="str">
        <f t="shared" si="2729"/>
        <v xml:space="preserve"> </v>
      </c>
      <c r="J143" s="168" t="str">
        <f t="shared" si="2730"/>
        <v xml:space="preserve"> </v>
      </c>
      <c r="K143" s="168"/>
      <c r="L143" s="167" t="str">
        <f t="shared" si="2731"/>
        <v xml:space="preserve"> </v>
      </c>
      <c r="M143" s="166"/>
      <c r="N143" s="166" t="str">
        <f t="shared" si="2732"/>
        <v xml:space="preserve"> </v>
      </c>
      <c r="O143" s="168" t="str">
        <f t="shared" si="2733"/>
        <v xml:space="preserve"> </v>
      </c>
      <c r="P143" s="168"/>
      <c r="Q143" s="166" t="str">
        <f t="shared" si="2734"/>
        <v xml:space="preserve"> </v>
      </c>
      <c r="R143" s="167">
        <f ca="1">+BDFUENTES[[#This Row],[PZ MED m3/día]]/3.6/BDFUENTES[[#This Row],[PZ MED Horas Activo]]</f>
        <v>0</v>
      </c>
      <c r="S143" s="167" t="str">
        <f t="shared" ca="1" si="2735"/>
        <v xml:space="preserve"> </v>
      </c>
      <c r="T143" s="168" t="str">
        <f t="shared" si="2736"/>
        <v xml:space="preserve"> </v>
      </c>
      <c r="U143" s="168"/>
      <c r="V143" s="165" t="str">
        <f t="shared" si="2737"/>
        <v xml:space="preserve"> </v>
      </c>
      <c r="W143" s="164" t="str">
        <f t="shared" si="2738"/>
        <v xml:space="preserve"> </v>
      </c>
      <c r="X143" s="166"/>
      <c r="Y143" s="168" t="str">
        <f t="shared" si="2739"/>
        <v xml:space="preserve"> </v>
      </c>
      <c r="Z143" s="168"/>
      <c r="AA143" s="166" t="str">
        <f t="shared" si="2740"/>
        <v xml:space="preserve"> </v>
      </c>
      <c r="AB143" s="168" t="str">
        <f t="shared" si="2741"/>
        <v xml:space="preserve"> </v>
      </c>
      <c r="AC143" s="168"/>
      <c r="AD143" s="171" t="str">
        <f t="shared" si="2742"/>
        <v xml:space="preserve"> </v>
      </c>
      <c r="AE143" s="167"/>
      <c r="AF143" s="165" t="str">
        <f t="shared" si="2387"/>
        <v xml:space="preserve"> </v>
      </c>
      <c r="AG143" s="168"/>
      <c r="AH143" s="168"/>
      <c r="AI143" s="166"/>
      <c r="AJ143" s="166"/>
      <c r="AK143" s="166" t="str">
        <f t="shared" si="2743"/>
        <v/>
      </c>
      <c r="AL143" s="167"/>
      <c r="AM143" s="171" t="str">
        <f t="shared" si="2744"/>
        <v xml:space="preserve"> </v>
      </c>
      <c r="AN143" s="168" t="str">
        <f t="shared" si="2745"/>
        <v xml:space="preserve"> </v>
      </c>
      <c r="AO143" s="168"/>
      <c r="AP143" s="167" t="str">
        <f t="shared" si="2746"/>
        <v xml:space="preserve"> </v>
      </c>
      <c r="AQ143" s="166"/>
      <c r="AR143" s="166" t="str">
        <f t="shared" si="2747"/>
        <v xml:space="preserve"> </v>
      </c>
      <c r="AS143" s="168" t="str">
        <f t="shared" si="2748"/>
        <v xml:space="preserve"> </v>
      </c>
      <c r="AT143" s="168"/>
      <c r="AU143" s="166" t="str">
        <f t="shared" si="2749"/>
        <v xml:space="preserve"> </v>
      </c>
      <c r="AV143" s="167"/>
      <c r="AW143" s="167"/>
      <c r="AX143" s="169" t="str">
        <f t="shared" si="2750"/>
        <v xml:space="preserve"> </v>
      </c>
      <c r="AY143" s="169"/>
      <c r="AZ143" s="167" t="str">
        <f t="shared" si="2751"/>
        <v xml:space="preserve"> </v>
      </c>
      <c r="BA143" s="166"/>
      <c r="BB143" s="166"/>
      <c r="BC143" s="168" t="str">
        <f t="shared" si="2752"/>
        <v xml:space="preserve"> </v>
      </c>
      <c r="BD143" s="168"/>
      <c r="BE143" s="166" t="str">
        <f t="shared" si="2753"/>
        <v xml:space="preserve"> </v>
      </c>
      <c r="BF143" s="167"/>
      <c r="BG143" s="167"/>
      <c r="BH143" s="168" t="str">
        <f t="shared" si="2754"/>
        <v xml:space="preserve"> </v>
      </c>
      <c r="BI143" s="168"/>
      <c r="BJ143" s="167" t="str">
        <f t="shared" si="2755"/>
        <v xml:space="preserve"> </v>
      </c>
      <c r="BK143" s="166"/>
      <c r="BL143" s="166" t="str">
        <f t="shared" si="2756"/>
        <v xml:space="preserve"> </v>
      </c>
      <c r="BM143" s="168" t="str">
        <f t="shared" si="2757"/>
        <v xml:space="preserve"> </v>
      </c>
      <c r="BN143" s="168"/>
      <c r="BO143" s="166" t="str">
        <f t="shared" si="2758"/>
        <v xml:space="preserve"> </v>
      </c>
    </row>
    <row r="144" spans="2:67" ht="15" customHeight="1" x14ac:dyDescent="0.25">
      <c r="B144" s="170">
        <v>46162</v>
      </c>
      <c r="C144" s="164"/>
      <c r="D144" s="166" t="str">
        <f t="shared" si="2726"/>
        <v xml:space="preserve"> </v>
      </c>
      <c r="E144" s="168" t="str">
        <f t="shared" si="2727"/>
        <v xml:space="preserve"> </v>
      </c>
      <c r="F144" s="168"/>
      <c r="G144" s="166" t="str">
        <f t="shared" si="2728"/>
        <v xml:space="preserve"> </v>
      </c>
      <c r="H144" s="167"/>
      <c r="I144" s="167" t="str">
        <f t="shared" si="2729"/>
        <v xml:space="preserve"> </v>
      </c>
      <c r="J144" s="168" t="str">
        <f t="shared" si="2730"/>
        <v xml:space="preserve"> </v>
      </c>
      <c r="K144" s="168"/>
      <c r="L144" s="167" t="str">
        <f t="shared" si="2731"/>
        <v xml:space="preserve"> </v>
      </c>
      <c r="M144" s="166"/>
      <c r="N144" s="166" t="str">
        <f t="shared" si="2732"/>
        <v xml:space="preserve"> </v>
      </c>
      <c r="O144" s="168" t="str">
        <f t="shared" si="2733"/>
        <v xml:space="preserve"> </v>
      </c>
      <c r="P144" s="168"/>
      <c r="Q144" s="166" t="str">
        <f t="shared" si="2734"/>
        <v xml:space="preserve"> </v>
      </c>
      <c r="R144" s="167">
        <f ca="1">+BDFUENTES[[#This Row],[PZ MED m3/día]]/3.6/BDFUENTES[[#This Row],[PZ MED Horas Activo]]</f>
        <v>0</v>
      </c>
      <c r="S144" s="167" t="str">
        <f t="shared" ca="1" si="2735"/>
        <v xml:space="preserve"> </v>
      </c>
      <c r="T144" s="168" t="str">
        <f t="shared" si="2736"/>
        <v xml:space="preserve"> </v>
      </c>
      <c r="U144" s="168"/>
      <c r="V144" s="165" t="str">
        <f t="shared" si="2737"/>
        <v xml:space="preserve"> </v>
      </c>
      <c r="W144" s="164" t="str">
        <f t="shared" si="2738"/>
        <v xml:space="preserve"> </v>
      </c>
      <c r="X144" s="166"/>
      <c r="Y144" s="168" t="str">
        <f t="shared" si="2739"/>
        <v xml:space="preserve"> </v>
      </c>
      <c r="Z144" s="168"/>
      <c r="AA144" s="166" t="str">
        <f t="shared" si="2740"/>
        <v xml:space="preserve"> </v>
      </c>
      <c r="AB144" s="168" t="str">
        <f t="shared" si="2741"/>
        <v xml:space="preserve"> </v>
      </c>
      <c r="AC144" s="168"/>
      <c r="AD144" s="171" t="str">
        <f t="shared" si="2742"/>
        <v xml:space="preserve"> </v>
      </c>
      <c r="AE144" s="167"/>
      <c r="AF144" s="165" t="str">
        <f t="shared" si="2387"/>
        <v xml:space="preserve"> </v>
      </c>
      <c r="AG144" s="168"/>
      <c r="AH144" s="168"/>
      <c r="AI144" s="166"/>
      <c r="AJ144" s="166"/>
      <c r="AK144" s="166" t="str">
        <f t="shared" si="2743"/>
        <v/>
      </c>
      <c r="AL144" s="167"/>
      <c r="AM144" s="171" t="str">
        <f t="shared" si="2744"/>
        <v xml:space="preserve"> </v>
      </c>
      <c r="AN144" s="168" t="str">
        <f t="shared" si="2745"/>
        <v xml:space="preserve"> </v>
      </c>
      <c r="AO144" s="168"/>
      <c r="AP144" s="167" t="str">
        <f t="shared" si="2746"/>
        <v xml:space="preserve"> </v>
      </c>
      <c r="AQ144" s="166"/>
      <c r="AR144" s="166" t="str">
        <f t="shared" si="2747"/>
        <v xml:space="preserve"> </v>
      </c>
      <c r="AS144" s="168" t="str">
        <f t="shared" si="2748"/>
        <v xml:space="preserve"> </v>
      </c>
      <c r="AT144" s="168"/>
      <c r="AU144" s="166" t="str">
        <f t="shared" si="2749"/>
        <v xml:space="preserve"> </v>
      </c>
      <c r="AV144" s="167"/>
      <c r="AW144" s="167"/>
      <c r="AX144" s="169" t="str">
        <f t="shared" si="2750"/>
        <v xml:space="preserve"> </v>
      </c>
      <c r="AY144" s="169"/>
      <c r="AZ144" s="167" t="str">
        <f t="shared" si="2751"/>
        <v xml:space="preserve"> </v>
      </c>
      <c r="BA144" s="166"/>
      <c r="BB144" s="166"/>
      <c r="BC144" s="168" t="str">
        <f t="shared" si="2752"/>
        <v xml:space="preserve"> </v>
      </c>
      <c r="BD144" s="168"/>
      <c r="BE144" s="166" t="str">
        <f t="shared" si="2753"/>
        <v xml:space="preserve"> </v>
      </c>
      <c r="BF144" s="167"/>
      <c r="BG144" s="167"/>
      <c r="BH144" s="168" t="str">
        <f t="shared" si="2754"/>
        <v xml:space="preserve"> </v>
      </c>
      <c r="BI144" s="168"/>
      <c r="BJ144" s="167" t="str">
        <f t="shared" si="2755"/>
        <v xml:space="preserve"> </v>
      </c>
      <c r="BK144" s="166"/>
      <c r="BL144" s="166" t="str">
        <f t="shared" si="2756"/>
        <v xml:space="preserve"> </v>
      </c>
      <c r="BM144" s="168" t="str">
        <f t="shared" si="2757"/>
        <v xml:space="preserve"> </v>
      </c>
      <c r="BN144" s="168"/>
      <c r="BO144" s="166" t="str">
        <f t="shared" si="2758"/>
        <v xml:space="preserve"> </v>
      </c>
    </row>
    <row r="145" spans="2:67" ht="15" customHeight="1" x14ac:dyDescent="0.25">
      <c r="B145" s="170">
        <v>46163</v>
      </c>
      <c r="C145" s="164"/>
      <c r="D145" s="166" t="str">
        <f t="shared" si="2726"/>
        <v xml:space="preserve"> </v>
      </c>
      <c r="E145" s="168" t="str">
        <f t="shared" si="2727"/>
        <v xml:space="preserve"> </v>
      </c>
      <c r="F145" s="168"/>
      <c r="G145" s="166" t="str">
        <f t="shared" si="2728"/>
        <v xml:space="preserve"> </v>
      </c>
      <c r="H145" s="167"/>
      <c r="I145" s="167" t="str">
        <f t="shared" si="2729"/>
        <v xml:space="preserve"> </v>
      </c>
      <c r="J145" s="168" t="str">
        <f t="shared" si="2730"/>
        <v xml:space="preserve"> </v>
      </c>
      <c r="K145" s="168"/>
      <c r="L145" s="167" t="str">
        <f t="shared" si="2731"/>
        <v xml:space="preserve"> </v>
      </c>
      <c r="M145" s="166"/>
      <c r="N145" s="166" t="str">
        <f t="shared" si="2732"/>
        <v xml:space="preserve"> </v>
      </c>
      <c r="O145" s="168" t="str">
        <f t="shared" si="2733"/>
        <v xml:space="preserve"> </v>
      </c>
      <c r="P145" s="168"/>
      <c r="Q145" s="166" t="str">
        <f t="shared" si="2734"/>
        <v xml:space="preserve"> </v>
      </c>
      <c r="R145" s="167">
        <f ca="1">+BDFUENTES[[#This Row],[PZ MED m3/día]]/3.6/BDFUENTES[[#This Row],[PZ MED Horas Activo]]</f>
        <v>0</v>
      </c>
      <c r="S145" s="167" t="str">
        <f t="shared" ca="1" si="2735"/>
        <v xml:space="preserve"> </v>
      </c>
      <c r="T145" s="168" t="str">
        <f t="shared" si="2736"/>
        <v xml:space="preserve"> </v>
      </c>
      <c r="U145" s="168"/>
      <c r="V145" s="165" t="str">
        <f t="shared" si="2737"/>
        <v xml:space="preserve"> </v>
      </c>
      <c r="W145" s="164" t="str">
        <f t="shared" si="2738"/>
        <v xml:space="preserve"> </v>
      </c>
      <c r="X145" s="166"/>
      <c r="Y145" s="168" t="str">
        <f t="shared" si="2739"/>
        <v xml:space="preserve"> </v>
      </c>
      <c r="Z145" s="168"/>
      <c r="AA145" s="166" t="str">
        <f t="shared" si="2740"/>
        <v xml:space="preserve"> </v>
      </c>
      <c r="AB145" s="168" t="str">
        <f t="shared" si="2741"/>
        <v xml:space="preserve"> </v>
      </c>
      <c r="AC145" s="168"/>
      <c r="AD145" s="171" t="str">
        <f t="shared" si="2742"/>
        <v xml:space="preserve"> </v>
      </c>
      <c r="AE145" s="167"/>
      <c r="AF145" s="165" t="str">
        <f t="shared" si="2387"/>
        <v xml:space="preserve"> </v>
      </c>
      <c r="AG145" s="168"/>
      <c r="AH145" s="168"/>
      <c r="AI145" s="166"/>
      <c r="AJ145" s="166"/>
      <c r="AK145" s="166" t="str">
        <f t="shared" si="2743"/>
        <v/>
      </c>
      <c r="AL145" s="167"/>
      <c r="AM145" s="171" t="str">
        <f t="shared" si="2744"/>
        <v xml:space="preserve"> </v>
      </c>
      <c r="AN145" s="168" t="str">
        <f t="shared" si="2745"/>
        <v xml:space="preserve"> </v>
      </c>
      <c r="AO145" s="168"/>
      <c r="AP145" s="167" t="str">
        <f t="shared" si="2746"/>
        <v xml:space="preserve"> </v>
      </c>
      <c r="AQ145" s="166"/>
      <c r="AR145" s="166" t="str">
        <f t="shared" si="2747"/>
        <v xml:space="preserve"> </v>
      </c>
      <c r="AS145" s="168" t="str">
        <f t="shared" si="2748"/>
        <v xml:space="preserve"> </v>
      </c>
      <c r="AT145" s="168"/>
      <c r="AU145" s="166" t="str">
        <f t="shared" si="2749"/>
        <v xml:space="preserve"> </v>
      </c>
      <c r="AV145" s="167"/>
      <c r="AW145" s="167"/>
      <c r="AX145" s="169" t="str">
        <f t="shared" si="2750"/>
        <v xml:space="preserve"> </v>
      </c>
      <c r="AY145" s="169"/>
      <c r="AZ145" s="167" t="str">
        <f t="shared" si="2751"/>
        <v xml:space="preserve"> </v>
      </c>
      <c r="BA145" s="166"/>
      <c r="BB145" s="166"/>
      <c r="BC145" s="168" t="str">
        <f t="shared" si="2752"/>
        <v xml:space="preserve"> </v>
      </c>
      <c r="BD145" s="168"/>
      <c r="BE145" s="166" t="str">
        <f t="shared" si="2753"/>
        <v xml:space="preserve"> </v>
      </c>
      <c r="BF145" s="167"/>
      <c r="BG145" s="167"/>
      <c r="BH145" s="168" t="str">
        <f t="shared" si="2754"/>
        <v xml:space="preserve"> </v>
      </c>
      <c r="BI145" s="168"/>
      <c r="BJ145" s="167" t="str">
        <f t="shared" si="2755"/>
        <v xml:space="preserve"> </v>
      </c>
      <c r="BK145" s="166"/>
      <c r="BL145" s="166" t="str">
        <f t="shared" si="2756"/>
        <v xml:space="preserve"> </v>
      </c>
      <c r="BM145" s="168" t="str">
        <f t="shared" si="2757"/>
        <v xml:space="preserve"> </v>
      </c>
      <c r="BN145" s="168"/>
      <c r="BO145" s="166" t="str">
        <f t="shared" si="2758"/>
        <v xml:space="preserve"> </v>
      </c>
    </row>
    <row r="146" spans="2:67" ht="15" customHeight="1" x14ac:dyDescent="0.25">
      <c r="B146" s="170">
        <v>46164</v>
      </c>
      <c r="C146" s="164"/>
      <c r="D146" s="166" t="str">
        <f t="shared" si="2726"/>
        <v xml:space="preserve"> </v>
      </c>
      <c r="E146" s="168" t="str">
        <f t="shared" si="2727"/>
        <v xml:space="preserve"> </v>
      </c>
      <c r="F146" s="168"/>
      <c r="G146" s="166" t="str">
        <f t="shared" si="2728"/>
        <v xml:space="preserve"> </v>
      </c>
      <c r="H146" s="167"/>
      <c r="I146" s="167" t="str">
        <f t="shared" si="2729"/>
        <v xml:space="preserve"> </v>
      </c>
      <c r="J146" s="168" t="str">
        <f t="shared" si="2730"/>
        <v xml:space="preserve"> </v>
      </c>
      <c r="K146" s="168"/>
      <c r="L146" s="167" t="str">
        <f t="shared" si="2731"/>
        <v xml:space="preserve"> </v>
      </c>
      <c r="M146" s="166"/>
      <c r="N146" s="166" t="str">
        <f t="shared" si="2732"/>
        <v xml:space="preserve"> </v>
      </c>
      <c r="O146" s="168" t="str">
        <f t="shared" si="2733"/>
        <v xml:space="preserve"> </v>
      </c>
      <c r="P146" s="168"/>
      <c r="Q146" s="166" t="str">
        <f t="shared" si="2734"/>
        <v xml:space="preserve"> </v>
      </c>
      <c r="R146" s="167">
        <f ca="1">+BDFUENTES[[#This Row],[PZ MED m3/día]]/3.6/BDFUENTES[[#This Row],[PZ MED Horas Activo]]</f>
        <v>0</v>
      </c>
      <c r="S146" s="167" t="str">
        <f t="shared" ca="1" si="2735"/>
        <v xml:space="preserve"> </v>
      </c>
      <c r="T146" s="168" t="str">
        <f t="shared" si="2736"/>
        <v xml:space="preserve"> </v>
      </c>
      <c r="U146" s="168"/>
      <c r="V146" s="165" t="str">
        <f t="shared" si="2737"/>
        <v xml:space="preserve"> </v>
      </c>
      <c r="W146" s="164" t="str">
        <f t="shared" si="2738"/>
        <v xml:space="preserve"> </v>
      </c>
      <c r="X146" s="166"/>
      <c r="Y146" s="168" t="str">
        <f t="shared" si="2739"/>
        <v xml:space="preserve"> </v>
      </c>
      <c r="Z146" s="168"/>
      <c r="AA146" s="166" t="str">
        <f t="shared" si="2740"/>
        <v xml:space="preserve"> </v>
      </c>
      <c r="AB146" s="168" t="str">
        <f t="shared" si="2741"/>
        <v xml:space="preserve"> </v>
      </c>
      <c r="AC146" s="168"/>
      <c r="AD146" s="171" t="str">
        <f t="shared" si="2742"/>
        <v xml:space="preserve"> </v>
      </c>
      <c r="AE146" s="167"/>
      <c r="AF146" s="165" t="str">
        <f t="shared" si="2387"/>
        <v xml:space="preserve"> </v>
      </c>
      <c r="AG146" s="168"/>
      <c r="AH146" s="168"/>
      <c r="AI146" s="166"/>
      <c r="AJ146" s="166"/>
      <c r="AK146" s="166" t="str">
        <f t="shared" si="2743"/>
        <v/>
      </c>
      <c r="AL146" s="167"/>
      <c r="AM146" s="171" t="str">
        <f t="shared" si="2744"/>
        <v xml:space="preserve"> </v>
      </c>
      <c r="AN146" s="168" t="str">
        <f t="shared" si="2745"/>
        <v xml:space="preserve"> </v>
      </c>
      <c r="AO146" s="168"/>
      <c r="AP146" s="167" t="str">
        <f t="shared" si="2746"/>
        <v xml:space="preserve"> </v>
      </c>
      <c r="AQ146" s="166"/>
      <c r="AR146" s="166" t="str">
        <f t="shared" si="2747"/>
        <v xml:space="preserve"> </v>
      </c>
      <c r="AS146" s="168" t="str">
        <f t="shared" si="2748"/>
        <v xml:space="preserve"> </v>
      </c>
      <c r="AT146" s="168"/>
      <c r="AU146" s="166" t="str">
        <f t="shared" si="2749"/>
        <v xml:space="preserve"> </v>
      </c>
      <c r="AV146" s="167"/>
      <c r="AW146" s="167"/>
      <c r="AX146" s="169" t="str">
        <f t="shared" si="2750"/>
        <v xml:space="preserve"> </v>
      </c>
      <c r="AY146" s="169"/>
      <c r="AZ146" s="167" t="str">
        <f t="shared" si="2751"/>
        <v xml:space="preserve"> </v>
      </c>
      <c r="BA146" s="166"/>
      <c r="BB146" s="166"/>
      <c r="BC146" s="168" t="str">
        <f t="shared" si="2752"/>
        <v xml:space="preserve"> </v>
      </c>
      <c r="BD146" s="168"/>
      <c r="BE146" s="166" t="str">
        <f t="shared" si="2753"/>
        <v xml:space="preserve"> </v>
      </c>
      <c r="BF146" s="167"/>
      <c r="BG146" s="167"/>
      <c r="BH146" s="168" t="str">
        <f t="shared" si="2754"/>
        <v xml:space="preserve"> </v>
      </c>
      <c r="BI146" s="168"/>
      <c r="BJ146" s="167" t="str">
        <f t="shared" si="2755"/>
        <v xml:space="preserve"> </v>
      </c>
      <c r="BK146" s="166"/>
      <c r="BL146" s="166" t="str">
        <f t="shared" si="2756"/>
        <v xml:space="preserve"> </v>
      </c>
      <c r="BM146" s="168" t="str">
        <f t="shared" si="2757"/>
        <v xml:space="preserve"> </v>
      </c>
      <c r="BN146" s="168"/>
      <c r="BO146" s="166" t="str">
        <f t="shared" si="2758"/>
        <v xml:space="preserve"> </v>
      </c>
    </row>
    <row r="147" spans="2:67" ht="15" customHeight="1" x14ac:dyDescent="0.25">
      <c r="B147" s="170">
        <v>46165</v>
      </c>
      <c r="C147" s="164"/>
      <c r="D147" s="166" t="str">
        <f t="shared" si="2726"/>
        <v xml:space="preserve"> </v>
      </c>
      <c r="E147" s="168" t="str">
        <f t="shared" si="2727"/>
        <v xml:space="preserve"> </v>
      </c>
      <c r="F147" s="168"/>
      <c r="G147" s="166" t="str">
        <f t="shared" si="2728"/>
        <v xml:space="preserve"> </v>
      </c>
      <c r="H147" s="167"/>
      <c r="I147" s="167" t="str">
        <f t="shared" si="2729"/>
        <v xml:space="preserve"> </v>
      </c>
      <c r="J147" s="168" t="str">
        <f t="shared" si="2730"/>
        <v xml:space="preserve"> </v>
      </c>
      <c r="K147" s="168"/>
      <c r="L147" s="167" t="str">
        <f t="shared" si="2731"/>
        <v xml:space="preserve"> </v>
      </c>
      <c r="M147" s="166"/>
      <c r="N147" s="166" t="str">
        <f t="shared" si="2732"/>
        <v xml:space="preserve"> </v>
      </c>
      <c r="O147" s="168" t="str">
        <f t="shared" si="2733"/>
        <v xml:space="preserve"> </v>
      </c>
      <c r="P147" s="168"/>
      <c r="Q147" s="166" t="str">
        <f t="shared" si="2734"/>
        <v xml:space="preserve"> </v>
      </c>
      <c r="R147" s="167">
        <f ca="1">+BDFUENTES[[#This Row],[PZ MED m3/día]]/3.6/BDFUENTES[[#This Row],[PZ MED Horas Activo]]</f>
        <v>0</v>
      </c>
      <c r="S147" s="167" t="str">
        <f t="shared" ca="1" si="2735"/>
        <v xml:space="preserve"> </v>
      </c>
      <c r="T147" s="168" t="str">
        <f t="shared" si="2736"/>
        <v xml:space="preserve"> </v>
      </c>
      <c r="U147" s="168"/>
      <c r="V147" s="165" t="str">
        <f t="shared" si="2737"/>
        <v xml:space="preserve"> </v>
      </c>
      <c r="W147" s="164" t="str">
        <f t="shared" si="2738"/>
        <v xml:space="preserve"> </v>
      </c>
      <c r="X147" s="166"/>
      <c r="Y147" s="168" t="str">
        <f t="shared" si="2739"/>
        <v xml:space="preserve"> </v>
      </c>
      <c r="Z147" s="168"/>
      <c r="AA147" s="166" t="str">
        <f t="shared" si="2740"/>
        <v xml:space="preserve"> </v>
      </c>
      <c r="AB147" s="168" t="str">
        <f t="shared" si="2741"/>
        <v xml:space="preserve"> </v>
      </c>
      <c r="AC147" s="168"/>
      <c r="AD147" s="171" t="str">
        <f t="shared" si="2742"/>
        <v xml:space="preserve"> </v>
      </c>
      <c r="AE147" s="167"/>
      <c r="AF147" s="165" t="str">
        <f t="shared" si="2387"/>
        <v xml:space="preserve"> </v>
      </c>
      <c r="AG147" s="168"/>
      <c r="AH147" s="168"/>
      <c r="AI147" s="166"/>
      <c r="AJ147" s="166"/>
      <c r="AK147" s="166" t="str">
        <f t="shared" si="2743"/>
        <v/>
      </c>
      <c r="AL147" s="167"/>
      <c r="AM147" s="171" t="str">
        <f t="shared" si="2744"/>
        <v xml:space="preserve"> </v>
      </c>
      <c r="AN147" s="168" t="str">
        <f t="shared" si="2745"/>
        <v xml:space="preserve"> </v>
      </c>
      <c r="AO147" s="168"/>
      <c r="AP147" s="167" t="str">
        <f t="shared" si="2746"/>
        <v xml:space="preserve"> </v>
      </c>
      <c r="AQ147" s="166"/>
      <c r="AR147" s="166" t="str">
        <f t="shared" si="2747"/>
        <v xml:space="preserve"> </v>
      </c>
      <c r="AS147" s="168" t="str">
        <f t="shared" si="2748"/>
        <v xml:space="preserve"> </v>
      </c>
      <c r="AT147" s="168"/>
      <c r="AU147" s="166" t="str">
        <f t="shared" si="2749"/>
        <v xml:space="preserve"> </v>
      </c>
      <c r="AV147" s="167"/>
      <c r="AW147" s="167"/>
      <c r="AX147" s="169" t="str">
        <f t="shared" si="2750"/>
        <v xml:space="preserve"> </v>
      </c>
      <c r="AY147" s="169"/>
      <c r="AZ147" s="167" t="str">
        <f t="shared" si="2751"/>
        <v xml:space="preserve"> </v>
      </c>
      <c r="BA147" s="166"/>
      <c r="BB147" s="166"/>
      <c r="BC147" s="168" t="str">
        <f t="shared" si="2752"/>
        <v xml:space="preserve"> </v>
      </c>
      <c r="BD147" s="168"/>
      <c r="BE147" s="166" t="str">
        <f t="shared" si="2753"/>
        <v xml:space="preserve"> </v>
      </c>
      <c r="BF147" s="167"/>
      <c r="BG147" s="167"/>
      <c r="BH147" s="168" t="str">
        <f t="shared" si="2754"/>
        <v xml:space="preserve"> </v>
      </c>
      <c r="BI147" s="168"/>
      <c r="BJ147" s="167" t="str">
        <f t="shared" si="2755"/>
        <v xml:space="preserve"> </v>
      </c>
      <c r="BK147" s="166"/>
      <c r="BL147" s="166" t="str">
        <f t="shared" si="2756"/>
        <v xml:space="preserve"> </v>
      </c>
      <c r="BM147" s="168" t="str">
        <f t="shared" si="2757"/>
        <v xml:space="preserve"> </v>
      </c>
      <c r="BN147" s="168"/>
      <c r="BO147" s="166" t="str">
        <f t="shared" si="2758"/>
        <v xml:space="preserve"> </v>
      </c>
    </row>
    <row r="148" spans="2:67" ht="15" customHeight="1" x14ac:dyDescent="0.25">
      <c r="B148" s="170">
        <v>46166</v>
      </c>
      <c r="C148" s="164"/>
      <c r="D148" s="166" t="str">
        <f t="shared" si="2726"/>
        <v xml:space="preserve"> </v>
      </c>
      <c r="E148" s="168" t="str">
        <f t="shared" si="2727"/>
        <v xml:space="preserve"> </v>
      </c>
      <c r="F148" s="168"/>
      <c r="G148" s="166" t="str">
        <f t="shared" si="2728"/>
        <v xml:space="preserve"> </v>
      </c>
      <c r="H148" s="167"/>
      <c r="I148" s="167" t="str">
        <f t="shared" si="2729"/>
        <v xml:space="preserve"> </v>
      </c>
      <c r="J148" s="168" t="str">
        <f t="shared" si="2730"/>
        <v xml:space="preserve"> </v>
      </c>
      <c r="K148" s="168"/>
      <c r="L148" s="167" t="str">
        <f t="shared" si="2731"/>
        <v xml:space="preserve"> </v>
      </c>
      <c r="M148" s="166"/>
      <c r="N148" s="166" t="str">
        <f t="shared" si="2732"/>
        <v xml:space="preserve"> </v>
      </c>
      <c r="O148" s="168" t="str">
        <f t="shared" si="2733"/>
        <v xml:space="preserve"> </v>
      </c>
      <c r="P148" s="168"/>
      <c r="Q148" s="166" t="str">
        <f t="shared" si="2734"/>
        <v xml:space="preserve"> </v>
      </c>
      <c r="R148" s="167">
        <f ca="1">+BDFUENTES[[#This Row],[PZ MED m3/día]]/3.6/BDFUENTES[[#This Row],[PZ MED Horas Activo]]</f>
        <v>0</v>
      </c>
      <c r="S148" s="167" t="str">
        <f t="shared" ca="1" si="2735"/>
        <v xml:space="preserve"> </v>
      </c>
      <c r="T148" s="168" t="str">
        <f t="shared" si="2736"/>
        <v xml:space="preserve"> </v>
      </c>
      <c r="U148" s="168"/>
      <c r="V148" s="165" t="str">
        <f t="shared" si="2737"/>
        <v xml:space="preserve"> </v>
      </c>
      <c r="W148" s="164" t="str">
        <f t="shared" si="2738"/>
        <v xml:space="preserve"> </v>
      </c>
      <c r="X148" s="166"/>
      <c r="Y148" s="168" t="str">
        <f t="shared" si="2739"/>
        <v xml:space="preserve"> </v>
      </c>
      <c r="Z148" s="168"/>
      <c r="AA148" s="166" t="str">
        <f t="shared" si="2740"/>
        <v xml:space="preserve"> </v>
      </c>
      <c r="AB148" s="168" t="str">
        <f t="shared" si="2741"/>
        <v xml:space="preserve"> </v>
      </c>
      <c r="AC148" s="168"/>
      <c r="AD148" s="171" t="str">
        <f t="shared" si="2742"/>
        <v xml:space="preserve"> </v>
      </c>
      <c r="AE148" s="167"/>
      <c r="AF148" s="165" t="str">
        <f t="shared" si="2387"/>
        <v xml:space="preserve"> </v>
      </c>
      <c r="AG148" s="168"/>
      <c r="AH148" s="168"/>
      <c r="AI148" s="166"/>
      <c r="AJ148" s="166"/>
      <c r="AK148" s="166" t="str">
        <f t="shared" si="2743"/>
        <v/>
      </c>
      <c r="AL148" s="167"/>
      <c r="AM148" s="171" t="str">
        <f t="shared" si="2744"/>
        <v xml:space="preserve"> </v>
      </c>
      <c r="AN148" s="168" t="str">
        <f t="shared" si="2745"/>
        <v xml:space="preserve"> </v>
      </c>
      <c r="AO148" s="168"/>
      <c r="AP148" s="167" t="str">
        <f t="shared" si="2746"/>
        <v xml:space="preserve"> </v>
      </c>
      <c r="AQ148" s="166"/>
      <c r="AR148" s="166" t="str">
        <f t="shared" si="2747"/>
        <v xml:space="preserve"> </v>
      </c>
      <c r="AS148" s="168" t="str">
        <f t="shared" si="2748"/>
        <v xml:space="preserve"> </v>
      </c>
      <c r="AT148" s="168"/>
      <c r="AU148" s="166" t="str">
        <f t="shared" si="2749"/>
        <v xml:space="preserve"> </v>
      </c>
      <c r="AV148" s="167"/>
      <c r="AW148" s="167"/>
      <c r="AX148" s="169" t="str">
        <f t="shared" si="2750"/>
        <v xml:space="preserve"> </v>
      </c>
      <c r="AY148" s="169"/>
      <c r="AZ148" s="167" t="str">
        <f t="shared" si="2751"/>
        <v xml:space="preserve"> </v>
      </c>
      <c r="BA148" s="166"/>
      <c r="BB148" s="166"/>
      <c r="BC148" s="168" t="str">
        <f t="shared" si="2752"/>
        <v xml:space="preserve"> </v>
      </c>
      <c r="BD148" s="168"/>
      <c r="BE148" s="166" t="str">
        <f t="shared" si="2753"/>
        <v xml:space="preserve"> </v>
      </c>
      <c r="BF148" s="167"/>
      <c r="BG148" s="167"/>
      <c r="BH148" s="168" t="str">
        <f t="shared" si="2754"/>
        <v xml:space="preserve"> </v>
      </c>
      <c r="BI148" s="168"/>
      <c r="BJ148" s="167" t="str">
        <f t="shared" si="2755"/>
        <v xml:space="preserve"> </v>
      </c>
      <c r="BK148" s="166"/>
      <c r="BL148" s="166" t="str">
        <f t="shared" si="2756"/>
        <v xml:space="preserve"> </v>
      </c>
      <c r="BM148" s="168" t="str">
        <f t="shared" si="2757"/>
        <v xml:space="preserve"> </v>
      </c>
      <c r="BN148" s="168"/>
      <c r="BO148" s="166" t="str">
        <f t="shared" si="2758"/>
        <v xml:space="preserve"> </v>
      </c>
    </row>
    <row r="149" spans="2:67" ht="15" customHeight="1" x14ac:dyDescent="0.25">
      <c r="B149" s="170">
        <v>46167</v>
      </c>
      <c r="C149" s="164"/>
      <c r="D149" s="166" t="str">
        <f t="shared" si="2726"/>
        <v xml:space="preserve"> </v>
      </c>
      <c r="E149" s="168" t="str">
        <f t="shared" si="2727"/>
        <v xml:space="preserve"> </v>
      </c>
      <c r="F149" s="168"/>
      <c r="G149" s="166" t="str">
        <f t="shared" si="2728"/>
        <v xml:space="preserve"> </v>
      </c>
      <c r="H149" s="167"/>
      <c r="I149" s="167" t="str">
        <f t="shared" si="2729"/>
        <v xml:space="preserve"> </v>
      </c>
      <c r="J149" s="168" t="str">
        <f t="shared" si="2730"/>
        <v xml:space="preserve"> </v>
      </c>
      <c r="K149" s="168"/>
      <c r="L149" s="167" t="str">
        <f t="shared" si="2731"/>
        <v xml:space="preserve"> </v>
      </c>
      <c r="M149" s="166"/>
      <c r="N149" s="166" t="str">
        <f t="shared" si="2732"/>
        <v xml:space="preserve"> </v>
      </c>
      <c r="O149" s="168" t="str">
        <f t="shared" si="2733"/>
        <v xml:space="preserve"> </v>
      </c>
      <c r="P149" s="168"/>
      <c r="Q149" s="166" t="str">
        <f t="shared" si="2734"/>
        <v xml:space="preserve"> </v>
      </c>
      <c r="R149" s="167">
        <f ca="1">+BDFUENTES[[#This Row],[PZ MED m3/día]]/3.6/BDFUENTES[[#This Row],[PZ MED Horas Activo]]</f>
        <v>0</v>
      </c>
      <c r="S149" s="167" t="str">
        <f t="shared" ca="1" si="2735"/>
        <v xml:space="preserve"> </v>
      </c>
      <c r="T149" s="168" t="str">
        <f t="shared" si="2736"/>
        <v xml:space="preserve"> </v>
      </c>
      <c r="U149" s="168"/>
      <c r="V149" s="165" t="str">
        <f t="shared" si="2737"/>
        <v xml:space="preserve"> </v>
      </c>
      <c r="W149" s="164" t="str">
        <f t="shared" si="2738"/>
        <v xml:space="preserve"> </v>
      </c>
      <c r="X149" s="166"/>
      <c r="Y149" s="168" t="str">
        <f t="shared" si="2739"/>
        <v xml:space="preserve"> </v>
      </c>
      <c r="Z149" s="168"/>
      <c r="AA149" s="166" t="str">
        <f t="shared" si="2740"/>
        <v xml:space="preserve"> </v>
      </c>
      <c r="AB149" s="168" t="str">
        <f t="shared" si="2741"/>
        <v xml:space="preserve"> </v>
      </c>
      <c r="AC149" s="168"/>
      <c r="AD149" s="171" t="str">
        <f t="shared" si="2742"/>
        <v xml:space="preserve"> </v>
      </c>
      <c r="AE149" s="167"/>
      <c r="AF149" s="165" t="str">
        <f t="shared" si="2387"/>
        <v xml:space="preserve"> </v>
      </c>
      <c r="AG149" s="168"/>
      <c r="AH149" s="168"/>
      <c r="AI149" s="166"/>
      <c r="AJ149" s="166"/>
      <c r="AK149" s="166" t="str">
        <f t="shared" si="2743"/>
        <v/>
      </c>
      <c r="AL149" s="167"/>
      <c r="AM149" s="171" t="str">
        <f t="shared" si="2744"/>
        <v xml:space="preserve"> </v>
      </c>
      <c r="AN149" s="168" t="str">
        <f t="shared" si="2745"/>
        <v xml:space="preserve"> </v>
      </c>
      <c r="AO149" s="168"/>
      <c r="AP149" s="167" t="str">
        <f t="shared" si="2746"/>
        <v xml:space="preserve"> </v>
      </c>
      <c r="AQ149" s="166"/>
      <c r="AR149" s="166" t="str">
        <f t="shared" si="2747"/>
        <v xml:space="preserve"> </v>
      </c>
      <c r="AS149" s="168" t="str">
        <f t="shared" si="2748"/>
        <v xml:space="preserve"> </v>
      </c>
      <c r="AT149" s="168"/>
      <c r="AU149" s="166" t="str">
        <f t="shared" si="2749"/>
        <v xml:space="preserve"> </v>
      </c>
      <c r="AV149" s="167"/>
      <c r="AW149" s="167"/>
      <c r="AX149" s="169" t="str">
        <f t="shared" si="2750"/>
        <v xml:space="preserve"> </v>
      </c>
      <c r="AY149" s="169"/>
      <c r="AZ149" s="167" t="str">
        <f t="shared" si="2751"/>
        <v xml:space="preserve"> </v>
      </c>
      <c r="BA149" s="166"/>
      <c r="BB149" s="166"/>
      <c r="BC149" s="168" t="str">
        <f t="shared" si="2752"/>
        <v xml:space="preserve"> </v>
      </c>
      <c r="BD149" s="168"/>
      <c r="BE149" s="166" t="str">
        <f t="shared" si="2753"/>
        <v xml:space="preserve"> </v>
      </c>
      <c r="BF149" s="167"/>
      <c r="BG149" s="167"/>
      <c r="BH149" s="168" t="str">
        <f t="shared" si="2754"/>
        <v xml:space="preserve"> </v>
      </c>
      <c r="BI149" s="168"/>
      <c r="BJ149" s="167" t="str">
        <f t="shared" si="2755"/>
        <v xml:space="preserve"> </v>
      </c>
      <c r="BK149" s="166"/>
      <c r="BL149" s="166" t="str">
        <f t="shared" si="2756"/>
        <v xml:space="preserve"> </v>
      </c>
      <c r="BM149" s="168" t="str">
        <f t="shared" si="2757"/>
        <v xml:space="preserve"> </v>
      </c>
      <c r="BN149" s="168"/>
      <c r="BO149" s="166" t="str">
        <f t="shared" si="2758"/>
        <v xml:space="preserve"> </v>
      </c>
    </row>
    <row r="150" spans="2:67" ht="15" customHeight="1" x14ac:dyDescent="0.25">
      <c r="B150" s="170">
        <v>46168</v>
      </c>
      <c r="C150" s="164"/>
      <c r="D150" s="166" t="str">
        <f t="shared" si="2726"/>
        <v xml:space="preserve"> </v>
      </c>
      <c r="E150" s="168" t="str">
        <f t="shared" si="2727"/>
        <v xml:space="preserve"> </v>
      </c>
      <c r="F150" s="168"/>
      <c r="G150" s="166" t="str">
        <f t="shared" si="2728"/>
        <v xml:space="preserve"> </v>
      </c>
      <c r="H150" s="167"/>
      <c r="I150" s="167" t="str">
        <f t="shared" si="2729"/>
        <v xml:space="preserve"> </v>
      </c>
      <c r="J150" s="168" t="str">
        <f t="shared" si="2730"/>
        <v xml:space="preserve"> </v>
      </c>
      <c r="K150" s="168"/>
      <c r="L150" s="167" t="str">
        <f t="shared" si="2731"/>
        <v xml:space="preserve"> </v>
      </c>
      <c r="M150" s="166"/>
      <c r="N150" s="166" t="str">
        <f t="shared" si="2732"/>
        <v xml:space="preserve"> </v>
      </c>
      <c r="O150" s="168" t="str">
        <f t="shared" si="2733"/>
        <v xml:space="preserve"> </v>
      </c>
      <c r="P150" s="168"/>
      <c r="Q150" s="166" t="str">
        <f t="shared" si="2734"/>
        <v xml:space="preserve"> </v>
      </c>
      <c r="R150" s="167">
        <f ca="1">+BDFUENTES[[#This Row],[PZ MED m3/día]]/3.6/BDFUENTES[[#This Row],[PZ MED Horas Activo]]</f>
        <v>0</v>
      </c>
      <c r="S150" s="167" t="str">
        <f t="shared" ca="1" si="2735"/>
        <v xml:space="preserve"> </v>
      </c>
      <c r="T150" s="168" t="str">
        <f t="shared" si="2736"/>
        <v xml:space="preserve"> </v>
      </c>
      <c r="U150" s="168"/>
      <c r="V150" s="165" t="str">
        <f t="shared" si="2737"/>
        <v xml:space="preserve"> </v>
      </c>
      <c r="W150" s="164" t="str">
        <f t="shared" si="2738"/>
        <v xml:space="preserve"> </v>
      </c>
      <c r="X150" s="166"/>
      <c r="Y150" s="168" t="str">
        <f t="shared" si="2739"/>
        <v xml:space="preserve"> </v>
      </c>
      <c r="Z150" s="168"/>
      <c r="AA150" s="166" t="str">
        <f t="shared" si="2740"/>
        <v xml:space="preserve"> </v>
      </c>
      <c r="AB150" s="168" t="str">
        <f t="shared" si="2741"/>
        <v xml:space="preserve"> </v>
      </c>
      <c r="AC150" s="168"/>
      <c r="AD150" s="171" t="str">
        <f t="shared" si="2742"/>
        <v xml:space="preserve"> </v>
      </c>
      <c r="AE150" s="167"/>
      <c r="AF150" s="165" t="str">
        <f t="shared" si="2387"/>
        <v xml:space="preserve"> </v>
      </c>
      <c r="AG150" s="168"/>
      <c r="AH150" s="168"/>
      <c r="AI150" s="166"/>
      <c r="AJ150" s="166"/>
      <c r="AK150" s="166" t="str">
        <f t="shared" si="2743"/>
        <v/>
      </c>
      <c r="AL150" s="167"/>
      <c r="AM150" s="171" t="str">
        <f t="shared" si="2744"/>
        <v xml:space="preserve"> </v>
      </c>
      <c r="AN150" s="168" t="str">
        <f t="shared" si="2745"/>
        <v xml:space="preserve"> </v>
      </c>
      <c r="AO150" s="168"/>
      <c r="AP150" s="167" t="str">
        <f t="shared" si="2746"/>
        <v xml:space="preserve"> </v>
      </c>
      <c r="AQ150" s="166"/>
      <c r="AR150" s="166" t="str">
        <f t="shared" si="2747"/>
        <v xml:space="preserve"> </v>
      </c>
      <c r="AS150" s="168" t="str">
        <f t="shared" si="2748"/>
        <v xml:space="preserve"> </v>
      </c>
      <c r="AT150" s="168"/>
      <c r="AU150" s="166" t="str">
        <f t="shared" si="2749"/>
        <v xml:space="preserve"> </v>
      </c>
      <c r="AV150" s="167"/>
      <c r="AW150" s="167"/>
      <c r="AX150" s="169" t="str">
        <f t="shared" si="2750"/>
        <v xml:space="preserve"> </v>
      </c>
      <c r="AY150" s="169"/>
      <c r="AZ150" s="167" t="str">
        <f t="shared" si="2751"/>
        <v xml:space="preserve"> </v>
      </c>
      <c r="BA150" s="166"/>
      <c r="BB150" s="166"/>
      <c r="BC150" s="168" t="str">
        <f t="shared" si="2752"/>
        <v xml:space="preserve"> </v>
      </c>
      <c r="BD150" s="168"/>
      <c r="BE150" s="166" t="str">
        <f t="shared" si="2753"/>
        <v xml:space="preserve"> </v>
      </c>
      <c r="BF150" s="167"/>
      <c r="BG150" s="167"/>
      <c r="BH150" s="168" t="str">
        <f t="shared" si="2754"/>
        <v xml:space="preserve"> </v>
      </c>
      <c r="BI150" s="168"/>
      <c r="BJ150" s="167" t="str">
        <f t="shared" si="2755"/>
        <v xml:space="preserve"> </v>
      </c>
      <c r="BK150" s="166"/>
      <c r="BL150" s="166" t="str">
        <f t="shared" si="2756"/>
        <v xml:space="preserve"> </v>
      </c>
      <c r="BM150" s="168" t="str">
        <f t="shared" si="2757"/>
        <v xml:space="preserve"> </v>
      </c>
      <c r="BN150" s="168"/>
      <c r="BO150" s="166" t="str">
        <f t="shared" si="2758"/>
        <v xml:space="preserve"> </v>
      </c>
    </row>
    <row r="151" spans="2:67" ht="15" customHeight="1" x14ac:dyDescent="0.25">
      <c r="B151" s="170">
        <v>46169</v>
      </c>
      <c r="C151" s="164"/>
      <c r="D151" s="166" t="str">
        <f t="shared" si="2726"/>
        <v xml:space="preserve"> </v>
      </c>
      <c r="E151" s="168" t="str">
        <f t="shared" si="2727"/>
        <v xml:space="preserve"> </v>
      </c>
      <c r="F151" s="168"/>
      <c r="G151" s="166" t="str">
        <f t="shared" si="2728"/>
        <v xml:space="preserve"> </v>
      </c>
      <c r="H151" s="167"/>
      <c r="I151" s="167" t="str">
        <f t="shared" si="2729"/>
        <v xml:space="preserve"> </v>
      </c>
      <c r="J151" s="168" t="str">
        <f t="shared" si="2730"/>
        <v xml:space="preserve"> </v>
      </c>
      <c r="K151" s="168"/>
      <c r="L151" s="167" t="str">
        <f t="shared" si="2731"/>
        <v xml:space="preserve"> </v>
      </c>
      <c r="M151" s="166"/>
      <c r="N151" s="166" t="str">
        <f t="shared" si="2732"/>
        <v xml:space="preserve"> </v>
      </c>
      <c r="O151" s="168" t="str">
        <f t="shared" si="2733"/>
        <v xml:space="preserve"> </v>
      </c>
      <c r="P151" s="168"/>
      <c r="Q151" s="166" t="str">
        <f t="shared" si="2734"/>
        <v xml:space="preserve"> </v>
      </c>
      <c r="R151" s="167">
        <f ca="1">+BDFUENTES[[#This Row],[PZ MED m3/día]]/3.6/BDFUENTES[[#This Row],[PZ MED Horas Activo]]</f>
        <v>0</v>
      </c>
      <c r="S151" s="167" t="str">
        <f t="shared" ca="1" si="2735"/>
        <v xml:space="preserve"> </v>
      </c>
      <c r="T151" s="168" t="str">
        <f t="shared" si="2736"/>
        <v xml:space="preserve"> </v>
      </c>
      <c r="U151" s="168"/>
      <c r="V151" s="165" t="str">
        <f t="shared" si="2737"/>
        <v xml:space="preserve"> </v>
      </c>
      <c r="W151" s="164" t="str">
        <f t="shared" si="2738"/>
        <v xml:space="preserve"> </v>
      </c>
      <c r="X151" s="166"/>
      <c r="Y151" s="168" t="str">
        <f t="shared" si="2739"/>
        <v xml:space="preserve"> </v>
      </c>
      <c r="Z151" s="168"/>
      <c r="AA151" s="166" t="str">
        <f t="shared" si="2740"/>
        <v xml:space="preserve"> </v>
      </c>
      <c r="AB151" s="168" t="str">
        <f t="shared" si="2741"/>
        <v xml:space="preserve"> </v>
      </c>
      <c r="AC151" s="168"/>
      <c r="AD151" s="171" t="str">
        <f t="shared" si="2742"/>
        <v xml:space="preserve"> </v>
      </c>
      <c r="AE151" s="167"/>
      <c r="AF151" s="165" t="str">
        <f t="shared" si="2387"/>
        <v xml:space="preserve"> </v>
      </c>
      <c r="AG151" s="168"/>
      <c r="AH151" s="168"/>
      <c r="AI151" s="166"/>
      <c r="AJ151" s="166"/>
      <c r="AK151" s="166" t="str">
        <f t="shared" si="2743"/>
        <v/>
      </c>
      <c r="AL151" s="167"/>
      <c r="AM151" s="171" t="str">
        <f t="shared" si="2744"/>
        <v xml:space="preserve"> </v>
      </c>
      <c r="AN151" s="168" t="str">
        <f t="shared" si="2745"/>
        <v xml:space="preserve"> </v>
      </c>
      <c r="AO151" s="168"/>
      <c r="AP151" s="167" t="str">
        <f t="shared" si="2746"/>
        <v xml:space="preserve"> </v>
      </c>
      <c r="AQ151" s="166"/>
      <c r="AR151" s="166" t="str">
        <f t="shared" si="2747"/>
        <v xml:space="preserve"> </v>
      </c>
      <c r="AS151" s="168" t="str">
        <f t="shared" si="2748"/>
        <v xml:space="preserve"> </v>
      </c>
      <c r="AT151" s="168"/>
      <c r="AU151" s="166" t="str">
        <f t="shared" si="2749"/>
        <v xml:space="preserve"> </v>
      </c>
      <c r="AV151" s="167"/>
      <c r="AW151" s="167"/>
      <c r="AX151" s="169" t="str">
        <f t="shared" si="2750"/>
        <v xml:space="preserve"> </v>
      </c>
      <c r="AY151" s="169"/>
      <c r="AZ151" s="167" t="str">
        <f t="shared" si="2751"/>
        <v xml:space="preserve"> </v>
      </c>
      <c r="BA151" s="166"/>
      <c r="BB151" s="166"/>
      <c r="BC151" s="168" t="str">
        <f t="shared" si="2752"/>
        <v xml:space="preserve"> </v>
      </c>
      <c r="BD151" s="168"/>
      <c r="BE151" s="166" t="str">
        <f t="shared" si="2753"/>
        <v xml:space="preserve"> </v>
      </c>
      <c r="BF151" s="167"/>
      <c r="BG151" s="167"/>
      <c r="BH151" s="168" t="str">
        <f t="shared" si="2754"/>
        <v xml:space="preserve"> </v>
      </c>
      <c r="BI151" s="168"/>
      <c r="BJ151" s="167" t="str">
        <f t="shared" si="2755"/>
        <v xml:space="preserve"> </v>
      </c>
      <c r="BK151" s="166"/>
      <c r="BL151" s="166" t="str">
        <f t="shared" si="2756"/>
        <v xml:space="preserve"> </v>
      </c>
      <c r="BM151" s="168" t="str">
        <f t="shared" si="2757"/>
        <v xml:space="preserve"> </v>
      </c>
      <c r="BN151" s="168"/>
      <c r="BO151" s="166" t="str">
        <f t="shared" si="2758"/>
        <v xml:space="preserve"> </v>
      </c>
    </row>
    <row r="152" spans="2:67" ht="15" customHeight="1" x14ac:dyDescent="0.25">
      <c r="B152" s="170">
        <v>46170</v>
      </c>
      <c r="C152" s="164"/>
      <c r="D152" s="166" t="str">
        <f t="shared" si="2726"/>
        <v xml:space="preserve"> </v>
      </c>
      <c r="E152" s="168" t="str">
        <f t="shared" si="2727"/>
        <v xml:space="preserve"> </v>
      </c>
      <c r="F152" s="168"/>
      <c r="G152" s="166" t="str">
        <f t="shared" si="2728"/>
        <v xml:space="preserve"> </v>
      </c>
      <c r="H152" s="167"/>
      <c r="I152" s="167" t="str">
        <f t="shared" si="2729"/>
        <v xml:space="preserve"> </v>
      </c>
      <c r="J152" s="168" t="str">
        <f t="shared" si="2730"/>
        <v xml:space="preserve"> </v>
      </c>
      <c r="K152" s="168"/>
      <c r="L152" s="167" t="str">
        <f t="shared" si="2731"/>
        <v xml:space="preserve"> </v>
      </c>
      <c r="M152" s="166"/>
      <c r="N152" s="166" t="str">
        <f t="shared" si="2732"/>
        <v xml:space="preserve"> </v>
      </c>
      <c r="O152" s="168" t="str">
        <f t="shared" si="2733"/>
        <v xml:space="preserve"> </v>
      </c>
      <c r="P152" s="168"/>
      <c r="Q152" s="166" t="str">
        <f t="shared" si="2734"/>
        <v xml:space="preserve"> </v>
      </c>
      <c r="R152" s="167">
        <f ca="1">+BDFUENTES[[#This Row],[PZ MED m3/día]]/3.6/BDFUENTES[[#This Row],[PZ MED Horas Activo]]</f>
        <v>0</v>
      </c>
      <c r="S152" s="167" t="str">
        <f t="shared" ca="1" si="2735"/>
        <v xml:space="preserve"> </v>
      </c>
      <c r="T152" s="168" t="str">
        <f t="shared" si="2736"/>
        <v xml:space="preserve"> </v>
      </c>
      <c r="U152" s="168"/>
      <c r="V152" s="165" t="str">
        <f t="shared" si="2737"/>
        <v xml:space="preserve"> </v>
      </c>
      <c r="W152" s="164" t="str">
        <f t="shared" si="2738"/>
        <v xml:space="preserve"> </v>
      </c>
      <c r="X152" s="166"/>
      <c r="Y152" s="168" t="str">
        <f t="shared" si="2739"/>
        <v xml:space="preserve"> </v>
      </c>
      <c r="Z152" s="168"/>
      <c r="AA152" s="166" t="str">
        <f t="shared" si="2740"/>
        <v xml:space="preserve"> </v>
      </c>
      <c r="AB152" s="168" t="str">
        <f t="shared" si="2741"/>
        <v xml:space="preserve"> </v>
      </c>
      <c r="AC152" s="168"/>
      <c r="AD152" s="171" t="str">
        <f t="shared" si="2742"/>
        <v xml:space="preserve"> </v>
      </c>
      <c r="AE152" s="167"/>
      <c r="AF152" s="165" t="str">
        <f t="shared" si="2387"/>
        <v xml:space="preserve"> </v>
      </c>
      <c r="AG152" s="168"/>
      <c r="AH152" s="168"/>
      <c r="AI152" s="166"/>
      <c r="AJ152" s="166"/>
      <c r="AK152" s="166" t="str">
        <f t="shared" si="2743"/>
        <v/>
      </c>
      <c r="AL152" s="167"/>
      <c r="AM152" s="171" t="str">
        <f t="shared" si="2744"/>
        <v xml:space="preserve"> </v>
      </c>
      <c r="AN152" s="168" t="str">
        <f t="shared" si="2745"/>
        <v xml:space="preserve"> </v>
      </c>
      <c r="AO152" s="168"/>
      <c r="AP152" s="167" t="str">
        <f t="shared" si="2746"/>
        <v xml:space="preserve"> </v>
      </c>
      <c r="AQ152" s="166"/>
      <c r="AR152" s="166" t="str">
        <f t="shared" si="2747"/>
        <v xml:space="preserve"> </v>
      </c>
      <c r="AS152" s="168" t="str">
        <f t="shared" si="2748"/>
        <v xml:space="preserve"> </v>
      </c>
      <c r="AT152" s="168"/>
      <c r="AU152" s="166" t="str">
        <f t="shared" si="2749"/>
        <v xml:space="preserve"> </v>
      </c>
      <c r="AV152" s="167"/>
      <c r="AW152" s="167"/>
      <c r="AX152" s="169" t="str">
        <f t="shared" si="2750"/>
        <v xml:space="preserve"> </v>
      </c>
      <c r="AY152" s="169"/>
      <c r="AZ152" s="167" t="str">
        <f t="shared" si="2751"/>
        <v xml:space="preserve"> </v>
      </c>
      <c r="BA152" s="166"/>
      <c r="BB152" s="166"/>
      <c r="BC152" s="168" t="str">
        <f t="shared" si="2752"/>
        <v xml:space="preserve"> </v>
      </c>
      <c r="BD152" s="168"/>
      <c r="BE152" s="166" t="str">
        <f t="shared" si="2753"/>
        <v xml:space="preserve"> </v>
      </c>
      <c r="BF152" s="167"/>
      <c r="BG152" s="167"/>
      <c r="BH152" s="168" t="str">
        <f t="shared" si="2754"/>
        <v xml:space="preserve"> </v>
      </c>
      <c r="BI152" s="168"/>
      <c r="BJ152" s="167" t="str">
        <f t="shared" si="2755"/>
        <v xml:space="preserve"> </v>
      </c>
      <c r="BK152" s="166"/>
      <c r="BL152" s="166" t="str">
        <f t="shared" si="2756"/>
        <v xml:space="preserve"> </v>
      </c>
      <c r="BM152" s="168" t="str">
        <f t="shared" si="2757"/>
        <v xml:space="preserve"> </v>
      </c>
      <c r="BN152" s="168"/>
      <c r="BO152" s="166" t="str">
        <f t="shared" si="2758"/>
        <v xml:space="preserve"> </v>
      </c>
    </row>
    <row r="153" spans="2:67" ht="15" customHeight="1" x14ac:dyDescent="0.25">
      <c r="B153" s="170">
        <v>46171</v>
      </c>
      <c r="C153" s="164"/>
      <c r="D153" s="166" t="str">
        <f t="shared" si="2726"/>
        <v xml:space="preserve"> </v>
      </c>
      <c r="E153" s="168" t="str">
        <f t="shared" si="2727"/>
        <v xml:space="preserve"> </v>
      </c>
      <c r="F153" s="168"/>
      <c r="G153" s="166" t="str">
        <f t="shared" si="2728"/>
        <v xml:space="preserve"> </v>
      </c>
      <c r="H153" s="167"/>
      <c r="I153" s="167" t="str">
        <f t="shared" si="2729"/>
        <v xml:space="preserve"> </v>
      </c>
      <c r="J153" s="168" t="str">
        <f t="shared" si="2730"/>
        <v xml:space="preserve"> </v>
      </c>
      <c r="K153" s="168"/>
      <c r="L153" s="167" t="str">
        <f t="shared" si="2731"/>
        <v xml:space="preserve"> </v>
      </c>
      <c r="M153" s="166"/>
      <c r="N153" s="166" t="str">
        <f t="shared" si="2732"/>
        <v xml:space="preserve"> </v>
      </c>
      <c r="O153" s="168" t="str">
        <f t="shared" si="2733"/>
        <v xml:space="preserve"> </v>
      </c>
      <c r="P153" s="168"/>
      <c r="Q153" s="166" t="str">
        <f t="shared" si="2734"/>
        <v xml:space="preserve"> </v>
      </c>
      <c r="R153" s="167">
        <f ca="1">+BDFUENTES[[#This Row],[PZ MED m3/día]]/3.6/BDFUENTES[[#This Row],[PZ MED Horas Activo]]</f>
        <v>0</v>
      </c>
      <c r="S153" s="167" t="str">
        <f t="shared" ca="1" si="2735"/>
        <v xml:space="preserve"> </v>
      </c>
      <c r="T153" s="168" t="str">
        <f t="shared" si="2736"/>
        <v xml:space="preserve"> </v>
      </c>
      <c r="U153" s="168"/>
      <c r="V153" s="165" t="str">
        <f t="shared" si="2737"/>
        <v xml:space="preserve"> </v>
      </c>
      <c r="W153" s="164" t="str">
        <f t="shared" si="2738"/>
        <v xml:space="preserve"> </v>
      </c>
      <c r="X153" s="166"/>
      <c r="Y153" s="168" t="str">
        <f t="shared" si="2739"/>
        <v xml:space="preserve"> </v>
      </c>
      <c r="Z153" s="168"/>
      <c r="AA153" s="166" t="str">
        <f t="shared" si="2740"/>
        <v xml:space="preserve"> </v>
      </c>
      <c r="AB153" s="168" t="str">
        <f t="shared" si="2741"/>
        <v xml:space="preserve"> </v>
      </c>
      <c r="AC153" s="168"/>
      <c r="AD153" s="171" t="str">
        <f t="shared" si="2742"/>
        <v xml:space="preserve"> </v>
      </c>
      <c r="AE153" s="167"/>
      <c r="AF153" s="165" t="str">
        <f t="shared" si="2387"/>
        <v xml:space="preserve"> </v>
      </c>
      <c r="AG153" s="168"/>
      <c r="AH153" s="168"/>
      <c r="AI153" s="166"/>
      <c r="AJ153" s="166"/>
      <c r="AK153" s="166" t="str">
        <f t="shared" si="2743"/>
        <v/>
      </c>
      <c r="AL153" s="167"/>
      <c r="AM153" s="171" t="str">
        <f t="shared" si="2744"/>
        <v xml:space="preserve"> </v>
      </c>
      <c r="AN153" s="168" t="str">
        <f t="shared" si="2745"/>
        <v xml:space="preserve"> </v>
      </c>
      <c r="AO153" s="168"/>
      <c r="AP153" s="167" t="str">
        <f t="shared" si="2746"/>
        <v xml:space="preserve"> </v>
      </c>
      <c r="AQ153" s="166"/>
      <c r="AR153" s="166" t="str">
        <f t="shared" si="2747"/>
        <v xml:space="preserve"> </v>
      </c>
      <c r="AS153" s="168" t="str">
        <f t="shared" si="2748"/>
        <v xml:space="preserve"> </v>
      </c>
      <c r="AT153" s="168"/>
      <c r="AU153" s="166" t="str">
        <f t="shared" si="2749"/>
        <v xml:space="preserve"> </v>
      </c>
      <c r="AV153" s="167"/>
      <c r="AW153" s="167"/>
      <c r="AX153" s="169" t="str">
        <f t="shared" si="2750"/>
        <v xml:space="preserve"> </v>
      </c>
      <c r="AY153" s="169"/>
      <c r="AZ153" s="167" t="str">
        <f t="shared" si="2751"/>
        <v xml:space="preserve"> </v>
      </c>
      <c r="BA153" s="166"/>
      <c r="BB153" s="166"/>
      <c r="BC153" s="168" t="str">
        <f t="shared" si="2752"/>
        <v xml:space="preserve"> </v>
      </c>
      <c r="BD153" s="168"/>
      <c r="BE153" s="166" t="str">
        <f t="shared" si="2753"/>
        <v xml:space="preserve"> </v>
      </c>
      <c r="BF153" s="167"/>
      <c r="BG153" s="167"/>
      <c r="BH153" s="168" t="str">
        <f t="shared" si="2754"/>
        <v xml:space="preserve"> </v>
      </c>
      <c r="BI153" s="168"/>
      <c r="BJ153" s="167" t="str">
        <f t="shared" si="2755"/>
        <v xml:space="preserve"> </v>
      </c>
      <c r="BK153" s="166"/>
      <c r="BL153" s="166" t="str">
        <f t="shared" si="2756"/>
        <v xml:space="preserve"> </v>
      </c>
      <c r="BM153" s="168" t="str">
        <f t="shared" si="2757"/>
        <v xml:space="preserve"> </v>
      </c>
      <c r="BN153" s="168"/>
      <c r="BO153" s="166" t="str">
        <f t="shared" si="2758"/>
        <v xml:space="preserve"> </v>
      </c>
    </row>
    <row r="154" spans="2:67" ht="15" customHeight="1" x14ac:dyDescent="0.25">
      <c r="B154" s="170">
        <v>46172</v>
      </c>
      <c r="C154" s="164"/>
      <c r="D154" s="166" t="str">
        <f t="shared" si="2726"/>
        <v xml:space="preserve"> </v>
      </c>
      <c r="E154" s="168" t="str">
        <f t="shared" si="2727"/>
        <v xml:space="preserve"> </v>
      </c>
      <c r="F154" s="168"/>
      <c r="G154" s="166" t="str">
        <f t="shared" si="2728"/>
        <v xml:space="preserve"> </v>
      </c>
      <c r="H154" s="167"/>
      <c r="I154" s="167" t="str">
        <f t="shared" si="2729"/>
        <v xml:space="preserve"> </v>
      </c>
      <c r="J154" s="168" t="str">
        <f t="shared" si="2730"/>
        <v xml:space="preserve"> </v>
      </c>
      <c r="K154" s="168"/>
      <c r="L154" s="167" t="str">
        <f t="shared" si="2731"/>
        <v xml:space="preserve"> </v>
      </c>
      <c r="M154" s="166"/>
      <c r="N154" s="166" t="str">
        <f t="shared" si="2732"/>
        <v xml:space="preserve"> </v>
      </c>
      <c r="O154" s="168" t="str">
        <f t="shared" si="2733"/>
        <v xml:space="preserve"> </v>
      </c>
      <c r="P154" s="168"/>
      <c r="Q154" s="166" t="str">
        <f t="shared" si="2734"/>
        <v xml:space="preserve"> </v>
      </c>
      <c r="R154" s="167">
        <f ca="1">+BDFUENTES[[#This Row],[PZ MED m3/día]]/3.6/BDFUENTES[[#This Row],[PZ MED Horas Activo]]</f>
        <v>0</v>
      </c>
      <c r="S154" s="167" t="str">
        <f t="shared" ca="1" si="2735"/>
        <v xml:space="preserve"> </v>
      </c>
      <c r="T154" s="168" t="str">
        <f t="shared" si="2736"/>
        <v xml:space="preserve"> </v>
      </c>
      <c r="U154" s="168"/>
      <c r="V154" s="165" t="str">
        <f t="shared" si="2737"/>
        <v xml:space="preserve"> </v>
      </c>
      <c r="W154" s="164" t="str">
        <f t="shared" si="2738"/>
        <v xml:space="preserve"> </v>
      </c>
      <c r="X154" s="166"/>
      <c r="Y154" s="168" t="str">
        <f t="shared" si="2739"/>
        <v xml:space="preserve"> </v>
      </c>
      <c r="Z154" s="168"/>
      <c r="AA154" s="166" t="str">
        <f t="shared" si="2740"/>
        <v xml:space="preserve"> </v>
      </c>
      <c r="AB154" s="168" t="str">
        <f t="shared" si="2741"/>
        <v xml:space="preserve"> </v>
      </c>
      <c r="AC154" s="168"/>
      <c r="AD154" s="171" t="str">
        <f t="shared" si="2742"/>
        <v xml:space="preserve"> </v>
      </c>
      <c r="AE154" s="167"/>
      <c r="AF154" s="165" t="str">
        <f t="shared" si="2387"/>
        <v xml:space="preserve"> </v>
      </c>
      <c r="AG154" s="168"/>
      <c r="AH154" s="168"/>
      <c r="AI154" s="166"/>
      <c r="AJ154" s="166"/>
      <c r="AK154" s="166" t="str">
        <f t="shared" si="2743"/>
        <v/>
      </c>
      <c r="AL154" s="167"/>
      <c r="AM154" s="171" t="str">
        <f t="shared" si="2744"/>
        <v xml:space="preserve"> </v>
      </c>
      <c r="AN154" s="168" t="str">
        <f t="shared" si="2745"/>
        <v xml:space="preserve"> </v>
      </c>
      <c r="AO154" s="168"/>
      <c r="AP154" s="167" t="str">
        <f t="shared" si="2746"/>
        <v xml:space="preserve"> </v>
      </c>
      <c r="AQ154" s="166"/>
      <c r="AR154" s="166" t="str">
        <f t="shared" si="2747"/>
        <v xml:space="preserve"> </v>
      </c>
      <c r="AS154" s="168" t="str">
        <f t="shared" si="2748"/>
        <v xml:space="preserve"> </v>
      </c>
      <c r="AT154" s="168"/>
      <c r="AU154" s="166" t="str">
        <f t="shared" si="2749"/>
        <v xml:space="preserve"> </v>
      </c>
      <c r="AV154" s="167"/>
      <c r="AW154" s="167"/>
      <c r="AX154" s="169" t="str">
        <f t="shared" si="2750"/>
        <v xml:space="preserve"> </v>
      </c>
      <c r="AY154" s="169"/>
      <c r="AZ154" s="167" t="str">
        <f t="shared" si="2751"/>
        <v xml:space="preserve"> </v>
      </c>
      <c r="BA154" s="166"/>
      <c r="BB154" s="166"/>
      <c r="BC154" s="168" t="str">
        <f t="shared" si="2752"/>
        <v xml:space="preserve"> </v>
      </c>
      <c r="BD154" s="168"/>
      <c r="BE154" s="166" t="str">
        <f t="shared" si="2753"/>
        <v xml:space="preserve"> </v>
      </c>
      <c r="BF154" s="167"/>
      <c r="BG154" s="167"/>
      <c r="BH154" s="168" t="str">
        <f t="shared" si="2754"/>
        <v xml:space="preserve"> </v>
      </c>
      <c r="BI154" s="168"/>
      <c r="BJ154" s="167" t="str">
        <f t="shared" si="2755"/>
        <v xml:space="preserve"> </v>
      </c>
      <c r="BK154" s="166"/>
      <c r="BL154" s="166" t="str">
        <f t="shared" si="2756"/>
        <v xml:space="preserve"> </v>
      </c>
      <c r="BM154" s="168" t="str">
        <f t="shared" si="2757"/>
        <v xml:space="preserve"> </v>
      </c>
      <c r="BN154" s="168"/>
      <c r="BO154" s="166" t="str">
        <f t="shared" si="2758"/>
        <v xml:space="preserve"> </v>
      </c>
    </row>
    <row r="155" spans="2:67" ht="15" customHeight="1" x14ac:dyDescent="0.25">
      <c r="B155" s="170">
        <v>46173</v>
      </c>
      <c r="C155" s="164"/>
      <c r="D155" s="166" t="str">
        <f t="shared" si="2726"/>
        <v xml:space="preserve"> </v>
      </c>
      <c r="E155" s="168" t="str">
        <f t="shared" si="2727"/>
        <v xml:space="preserve"> </v>
      </c>
      <c r="F155" s="168"/>
      <c r="G155" s="166" t="str">
        <f t="shared" si="2728"/>
        <v xml:space="preserve"> </v>
      </c>
      <c r="H155" s="167"/>
      <c r="I155" s="167" t="str">
        <f t="shared" si="2729"/>
        <v xml:space="preserve"> </v>
      </c>
      <c r="J155" s="168" t="str">
        <f t="shared" si="2730"/>
        <v xml:space="preserve"> </v>
      </c>
      <c r="K155" s="168"/>
      <c r="L155" s="167" t="str">
        <f t="shared" si="2731"/>
        <v xml:space="preserve"> </v>
      </c>
      <c r="M155" s="166"/>
      <c r="N155" s="166" t="str">
        <f t="shared" si="2732"/>
        <v xml:space="preserve"> </v>
      </c>
      <c r="O155" s="168" t="str">
        <f t="shared" si="2733"/>
        <v xml:space="preserve"> </v>
      </c>
      <c r="P155" s="168"/>
      <c r="Q155" s="166" t="str">
        <f t="shared" si="2734"/>
        <v xml:space="preserve"> </v>
      </c>
      <c r="R155" s="167">
        <f ca="1">+BDFUENTES[[#This Row],[PZ MED m3/día]]/3.6/BDFUENTES[[#This Row],[PZ MED Horas Activo]]</f>
        <v>0</v>
      </c>
      <c r="S155" s="167" t="str">
        <f t="shared" ca="1" si="2735"/>
        <v xml:space="preserve"> </v>
      </c>
      <c r="T155" s="168" t="str">
        <f t="shared" si="2736"/>
        <v xml:space="preserve"> </v>
      </c>
      <c r="U155" s="168"/>
      <c r="V155" s="165" t="str">
        <f t="shared" si="2737"/>
        <v xml:space="preserve"> </v>
      </c>
      <c r="W155" s="164" t="str">
        <f t="shared" si="2738"/>
        <v xml:space="preserve"> </v>
      </c>
      <c r="X155" s="166"/>
      <c r="Y155" s="168" t="str">
        <f t="shared" si="2739"/>
        <v xml:space="preserve"> </v>
      </c>
      <c r="Z155" s="168"/>
      <c r="AA155" s="166" t="str">
        <f t="shared" si="2740"/>
        <v xml:space="preserve"> </v>
      </c>
      <c r="AB155" s="168" t="str">
        <f t="shared" si="2741"/>
        <v xml:space="preserve"> </v>
      </c>
      <c r="AC155" s="168"/>
      <c r="AD155" s="171" t="str">
        <f t="shared" si="2742"/>
        <v xml:space="preserve"> </v>
      </c>
      <c r="AE155" s="167"/>
      <c r="AF155" s="165" t="str">
        <f t="shared" si="2387"/>
        <v xml:space="preserve"> </v>
      </c>
      <c r="AG155" s="168"/>
      <c r="AH155" s="168"/>
      <c r="AI155" s="166"/>
      <c r="AJ155" s="166"/>
      <c r="AK155" s="166" t="str">
        <f t="shared" si="2743"/>
        <v/>
      </c>
      <c r="AL155" s="167"/>
      <c r="AM155" s="171" t="str">
        <f t="shared" si="2744"/>
        <v xml:space="preserve"> </v>
      </c>
      <c r="AN155" s="168" t="str">
        <f t="shared" si="2745"/>
        <v xml:space="preserve"> </v>
      </c>
      <c r="AO155" s="168"/>
      <c r="AP155" s="167" t="str">
        <f t="shared" si="2746"/>
        <v xml:space="preserve"> </v>
      </c>
      <c r="AQ155" s="166"/>
      <c r="AR155" s="166" t="str">
        <f t="shared" si="2747"/>
        <v xml:space="preserve"> </v>
      </c>
      <c r="AS155" s="168" t="str">
        <f t="shared" si="2748"/>
        <v xml:space="preserve"> </v>
      </c>
      <c r="AT155" s="168"/>
      <c r="AU155" s="166" t="str">
        <f t="shared" si="2749"/>
        <v xml:space="preserve"> </v>
      </c>
      <c r="AV155" s="167"/>
      <c r="AW155" s="167"/>
      <c r="AX155" s="169" t="str">
        <f t="shared" si="2750"/>
        <v xml:space="preserve"> </v>
      </c>
      <c r="AY155" s="169"/>
      <c r="AZ155" s="167" t="str">
        <f t="shared" si="2751"/>
        <v xml:space="preserve"> </v>
      </c>
      <c r="BA155" s="166"/>
      <c r="BB155" s="166"/>
      <c r="BC155" s="168" t="str">
        <f t="shared" si="2752"/>
        <v xml:space="preserve"> </v>
      </c>
      <c r="BD155" s="168"/>
      <c r="BE155" s="166" t="str">
        <f t="shared" si="2753"/>
        <v xml:space="preserve"> </v>
      </c>
      <c r="BF155" s="167"/>
      <c r="BG155" s="167"/>
      <c r="BH155" s="168" t="str">
        <f t="shared" si="2754"/>
        <v xml:space="preserve"> </v>
      </c>
      <c r="BI155" s="168"/>
      <c r="BJ155" s="167" t="str">
        <f t="shared" si="2755"/>
        <v xml:space="preserve"> </v>
      </c>
      <c r="BK155" s="166"/>
      <c r="BL155" s="166" t="str">
        <f t="shared" si="2756"/>
        <v xml:space="preserve"> </v>
      </c>
      <c r="BM155" s="168" t="str">
        <f t="shared" si="2757"/>
        <v xml:space="preserve"> </v>
      </c>
      <c r="BN155" s="168"/>
      <c r="BO155" s="166" t="str">
        <f t="shared" si="2758"/>
        <v xml:space="preserve"> </v>
      </c>
    </row>
    <row r="156" spans="2:67" ht="15" customHeight="1" x14ac:dyDescent="0.25">
      <c r="B156" s="170">
        <v>46174</v>
      </c>
      <c r="C156" s="164"/>
      <c r="D156" s="166" t="str">
        <f t="shared" si="2726"/>
        <v xml:space="preserve"> </v>
      </c>
      <c r="E156" s="168" t="str">
        <f t="shared" si="2727"/>
        <v xml:space="preserve"> </v>
      </c>
      <c r="F156" s="168"/>
      <c r="G156" s="166" t="str">
        <f t="shared" si="2728"/>
        <v xml:space="preserve"> </v>
      </c>
      <c r="H156" s="167"/>
      <c r="I156" s="167" t="str">
        <f t="shared" si="2729"/>
        <v xml:space="preserve"> </v>
      </c>
      <c r="J156" s="168" t="str">
        <f t="shared" si="2730"/>
        <v xml:space="preserve"> </v>
      </c>
      <c r="K156" s="168"/>
      <c r="L156" s="167" t="str">
        <f t="shared" si="2731"/>
        <v xml:space="preserve"> </v>
      </c>
      <c r="M156" s="166"/>
      <c r="N156" s="166" t="str">
        <f t="shared" si="2732"/>
        <v xml:space="preserve"> </v>
      </c>
      <c r="O156" s="168" t="str">
        <f t="shared" si="2733"/>
        <v xml:space="preserve"> </v>
      </c>
      <c r="P156" s="168"/>
      <c r="Q156" s="166" t="str">
        <f t="shared" si="2734"/>
        <v xml:space="preserve"> </v>
      </c>
      <c r="R156" s="167">
        <f ca="1">+BDFUENTES[[#This Row],[PZ MED m3/día]]/3.6/BDFUENTES[[#This Row],[PZ MED Horas Activo]]</f>
        <v>0</v>
      </c>
      <c r="S156" s="167" t="str">
        <f t="shared" ca="1" si="2735"/>
        <v xml:space="preserve"> </v>
      </c>
      <c r="T156" s="168" t="str">
        <f t="shared" si="2736"/>
        <v xml:space="preserve"> </v>
      </c>
      <c r="U156" s="168"/>
      <c r="V156" s="165" t="str">
        <f t="shared" si="2737"/>
        <v xml:space="preserve"> </v>
      </c>
      <c r="W156" s="164" t="str">
        <f t="shared" si="2738"/>
        <v xml:space="preserve"> </v>
      </c>
      <c r="X156" s="166"/>
      <c r="Y156" s="168" t="str">
        <f t="shared" si="2739"/>
        <v xml:space="preserve"> </v>
      </c>
      <c r="Z156" s="168"/>
      <c r="AA156" s="166" t="str">
        <f t="shared" si="2740"/>
        <v xml:space="preserve"> </v>
      </c>
      <c r="AB156" s="168" t="str">
        <f t="shared" si="2741"/>
        <v xml:space="preserve"> </v>
      </c>
      <c r="AC156" s="168"/>
      <c r="AD156" s="171" t="str">
        <f t="shared" si="2742"/>
        <v xml:space="preserve"> </v>
      </c>
      <c r="AE156" s="167"/>
      <c r="AF156" s="165" t="str">
        <f t="shared" si="2387"/>
        <v xml:space="preserve"> </v>
      </c>
      <c r="AG156" s="168"/>
      <c r="AH156" s="168"/>
      <c r="AI156" s="166"/>
      <c r="AJ156" s="166"/>
      <c r="AK156" s="166" t="str">
        <f t="shared" si="2743"/>
        <v/>
      </c>
      <c r="AL156" s="167"/>
      <c r="AM156" s="171" t="str">
        <f t="shared" si="2744"/>
        <v xml:space="preserve"> </v>
      </c>
      <c r="AN156" s="168" t="str">
        <f t="shared" si="2745"/>
        <v xml:space="preserve"> </v>
      </c>
      <c r="AO156" s="168"/>
      <c r="AP156" s="167" t="str">
        <f t="shared" si="2746"/>
        <v xml:space="preserve"> </v>
      </c>
      <c r="AQ156" s="166"/>
      <c r="AR156" s="166" t="str">
        <f t="shared" si="2747"/>
        <v xml:space="preserve"> </v>
      </c>
      <c r="AS156" s="168" t="str">
        <f t="shared" si="2748"/>
        <v xml:space="preserve"> </v>
      </c>
      <c r="AT156" s="168"/>
      <c r="AU156" s="166" t="str">
        <f t="shared" si="2749"/>
        <v xml:space="preserve"> </v>
      </c>
      <c r="AV156" s="167"/>
      <c r="AW156" s="167"/>
      <c r="AX156" s="169" t="str">
        <f t="shared" si="2750"/>
        <v xml:space="preserve"> </v>
      </c>
      <c r="AY156" s="169"/>
      <c r="AZ156" s="167" t="str">
        <f t="shared" si="2751"/>
        <v xml:space="preserve"> </v>
      </c>
      <c r="BA156" s="166"/>
      <c r="BB156" s="166"/>
      <c r="BC156" s="168" t="str">
        <f t="shared" si="2752"/>
        <v xml:space="preserve"> </v>
      </c>
      <c r="BD156" s="168"/>
      <c r="BE156" s="166" t="str">
        <f t="shared" si="2753"/>
        <v xml:space="preserve"> </v>
      </c>
      <c r="BF156" s="167"/>
      <c r="BG156" s="167"/>
      <c r="BH156" s="168" t="str">
        <f t="shared" si="2754"/>
        <v xml:space="preserve"> </v>
      </c>
      <c r="BI156" s="168"/>
      <c r="BJ156" s="167" t="str">
        <f t="shared" si="2755"/>
        <v xml:space="preserve"> </v>
      </c>
      <c r="BK156" s="166"/>
      <c r="BL156" s="166" t="str">
        <f t="shared" si="2756"/>
        <v xml:space="preserve"> </v>
      </c>
      <c r="BM156" s="168" t="str">
        <f t="shared" si="2757"/>
        <v xml:space="preserve"> </v>
      </c>
      <c r="BN156" s="168"/>
      <c r="BO156" s="166" t="str">
        <f t="shared" si="2758"/>
        <v xml:space="preserve"> </v>
      </c>
    </row>
    <row r="157" spans="2:67" ht="15" customHeight="1" x14ac:dyDescent="0.25">
      <c r="B157" s="170">
        <v>46175</v>
      </c>
      <c r="C157" s="164"/>
      <c r="D157" s="166" t="str">
        <f t="shared" si="2726"/>
        <v xml:space="preserve"> </v>
      </c>
      <c r="E157" s="168" t="str">
        <f t="shared" si="2727"/>
        <v xml:space="preserve"> </v>
      </c>
      <c r="F157" s="168"/>
      <c r="G157" s="166" t="str">
        <f t="shared" si="2728"/>
        <v xml:space="preserve"> </v>
      </c>
      <c r="H157" s="167"/>
      <c r="I157" s="167" t="str">
        <f t="shared" si="2729"/>
        <v xml:space="preserve"> </v>
      </c>
      <c r="J157" s="168" t="str">
        <f t="shared" si="2730"/>
        <v xml:space="preserve"> </v>
      </c>
      <c r="K157" s="168"/>
      <c r="L157" s="167" t="str">
        <f t="shared" si="2731"/>
        <v xml:space="preserve"> </v>
      </c>
      <c r="M157" s="166"/>
      <c r="N157" s="166" t="str">
        <f t="shared" si="2732"/>
        <v xml:space="preserve"> </v>
      </c>
      <c r="O157" s="168" t="str">
        <f t="shared" si="2733"/>
        <v xml:space="preserve"> </v>
      </c>
      <c r="P157" s="168"/>
      <c r="Q157" s="166" t="str">
        <f t="shared" si="2734"/>
        <v xml:space="preserve"> </v>
      </c>
      <c r="R157" s="167">
        <f ca="1">+BDFUENTES[[#This Row],[PZ MED m3/día]]/3.6/BDFUENTES[[#This Row],[PZ MED Horas Activo]]</f>
        <v>0</v>
      </c>
      <c r="S157" s="167" t="str">
        <f t="shared" ca="1" si="2735"/>
        <v xml:space="preserve"> </v>
      </c>
      <c r="T157" s="168" t="str">
        <f t="shared" si="2736"/>
        <v xml:space="preserve"> </v>
      </c>
      <c r="U157" s="168"/>
      <c r="V157" s="165" t="str">
        <f t="shared" si="2737"/>
        <v xml:space="preserve"> </v>
      </c>
      <c r="W157" s="164" t="str">
        <f t="shared" si="2738"/>
        <v xml:space="preserve"> </v>
      </c>
      <c r="X157" s="166"/>
      <c r="Y157" s="168" t="str">
        <f t="shared" si="2739"/>
        <v xml:space="preserve"> </v>
      </c>
      <c r="Z157" s="168"/>
      <c r="AA157" s="166" t="str">
        <f t="shared" si="2740"/>
        <v xml:space="preserve"> </v>
      </c>
      <c r="AB157" s="168" t="str">
        <f t="shared" si="2741"/>
        <v xml:space="preserve"> </v>
      </c>
      <c r="AC157" s="168"/>
      <c r="AD157" s="171" t="str">
        <f t="shared" si="2742"/>
        <v xml:space="preserve"> </v>
      </c>
      <c r="AE157" s="167"/>
      <c r="AF157" s="165" t="str">
        <f t="shared" si="2387"/>
        <v xml:space="preserve"> </v>
      </c>
      <c r="AG157" s="168"/>
      <c r="AH157" s="168"/>
      <c r="AI157" s="166"/>
      <c r="AJ157" s="166"/>
      <c r="AK157" s="166" t="str">
        <f t="shared" si="2743"/>
        <v/>
      </c>
      <c r="AL157" s="167"/>
      <c r="AM157" s="171" t="str">
        <f t="shared" si="2744"/>
        <v xml:space="preserve"> </v>
      </c>
      <c r="AN157" s="168" t="str">
        <f t="shared" si="2745"/>
        <v xml:space="preserve"> </v>
      </c>
      <c r="AO157" s="168"/>
      <c r="AP157" s="167" t="str">
        <f t="shared" si="2746"/>
        <v xml:space="preserve"> </v>
      </c>
      <c r="AQ157" s="166"/>
      <c r="AR157" s="166" t="str">
        <f t="shared" si="2747"/>
        <v xml:space="preserve"> </v>
      </c>
      <c r="AS157" s="168" t="str">
        <f t="shared" si="2748"/>
        <v xml:space="preserve"> </v>
      </c>
      <c r="AT157" s="168"/>
      <c r="AU157" s="166" t="str">
        <f t="shared" si="2749"/>
        <v xml:space="preserve"> </v>
      </c>
      <c r="AV157" s="167"/>
      <c r="AW157" s="167"/>
      <c r="AX157" s="169" t="str">
        <f t="shared" si="2750"/>
        <v xml:space="preserve"> </v>
      </c>
      <c r="AY157" s="169"/>
      <c r="AZ157" s="167" t="str">
        <f t="shared" si="2751"/>
        <v xml:space="preserve"> </v>
      </c>
      <c r="BA157" s="166"/>
      <c r="BB157" s="166"/>
      <c r="BC157" s="168" t="str">
        <f t="shared" si="2752"/>
        <v xml:space="preserve"> </v>
      </c>
      <c r="BD157" s="168"/>
      <c r="BE157" s="166" t="str">
        <f t="shared" si="2753"/>
        <v xml:space="preserve"> </v>
      </c>
      <c r="BF157" s="167"/>
      <c r="BG157" s="167"/>
      <c r="BH157" s="168" t="str">
        <f t="shared" si="2754"/>
        <v xml:space="preserve"> </v>
      </c>
      <c r="BI157" s="168"/>
      <c r="BJ157" s="167" t="str">
        <f t="shared" si="2755"/>
        <v xml:space="preserve"> </v>
      </c>
      <c r="BK157" s="166"/>
      <c r="BL157" s="166" t="str">
        <f t="shared" si="2756"/>
        <v xml:space="preserve"> </v>
      </c>
      <c r="BM157" s="168" t="str">
        <f t="shared" si="2757"/>
        <v xml:space="preserve"> </v>
      </c>
      <c r="BN157" s="168"/>
      <c r="BO157" s="166" t="str">
        <f t="shared" si="2758"/>
        <v xml:space="preserve"> </v>
      </c>
    </row>
    <row r="158" spans="2:67" ht="15" customHeight="1" x14ac:dyDescent="0.25">
      <c r="B158" s="170">
        <v>46176</v>
      </c>
      <c r="C158" s="164"/>
      <c r="D158" s="166" t="str">
        <f t="shared" si="2726"/>
        <v xml:space="preserve"> </v>
      </c>
      <c r="E158" s="168" t="str">
        <f t="shared" si="2727"/>
        <v xml:space="preserve"> </v>
      </c>
      <c r="F158" s="168"/>
      <c r="G158" s="166" t="str">
        <f t="shared" si="2728"/>
        <v xml:space="preserve"> </v>
      </c>
      <c r="H158" s="167"/>
      <c r="I158" s="167" t="str">
        <f t="shared" si="2729"/>
        <v xml:space="preserve"> </v>
      </c>
      <c r="J158" s="168" t="str">
        <f t="shared" si="2730"/>
        <v xml:space="preserve"> </v>
      </c>
      <c r="K158" s="168"/>
      <c r="L158" s="167" t="str">
        <f t="shared" si="2731"/>
        <v xml:space="preserve"> </v>
      </c>
      <c r="M158" s="166"/>
      <c r="N158" s="166" t="str">
        <f t="shared" si="2732"/>
        <v xml:space="preserve"> </v>
      </c>
      <c r="O158" s="168" t="str">
        <f t="shared" si="2733"/>
        <v xml:space="preserve"> </v>
      </c>
      <c r="P158" s="168"/>
      <c r="Q158" s="166" t="str">
        <f t="shared" si="2734"/>
        <v xml:space="preserve"> </v>
      </c>
      <c r="R158" s="167">
        <f ca="1">+BDFUENTES[[#This Row],[PZ MED m3/día]]/3.6/BDFUENTES[[#This Row],[PZ MED Horas Activo]]</f>
        <v>0</v>
      </c>
      <c r="S158" s="167" t="str">
        <f t="shared" ca="1" si="2735"/>
        <v xml:space="preserve"> </v>
      </c>
      <c r="T158" s="168" t="str">
        <f t="shared" si="2736"/>
        <v xml:space="preserve"> </v>
      </c>
      <c r="U158" s="168"/>
      <c r="V158" s="165" t="str">
        <f t="shared" si="2737"/>
        <v xml:space="preserve"> </v>
      </c>
      <c r="W158" s="164" t="str">
        <f t="shared" si="2738"/>
        <v xml:space="preserve"> </v>
      </c>
      <c r="X158" s="166"/>
      <c r="Y158" s="168" t="str">
        <f t="shared" si="2739"/>
        <v xml:space="preserve"> </v>
      </c>
      <c r="Z158" s="168"/>
      <c r="AA158" s="166" t="str">
        <f t="shared" si="2740"/>
        <v xml:space="preserve"> </v>
      </c>
      <c r="AB158" s="168" t="str">
        <f t="shared" si="2741"/>
        <v xml:space="preserve"> </v>
      </c>
      <c r="AC158" s="168"/>
      <c r="AD158" s="171" t="str">
        <f t="shared" si="2742"/>
        <v xml:space="preserve"> </v>
      </c>
      <c r="AE158" s="167"/>
      <c r="AF158" s="165" t="str">
        <f t="shared" si="2387"/>
        <v xml:space="preserve"> </v>
      </c>
      <c r="AG158" s="168"/>
      <c r="AH158" s="168"/>
      <c r="AI158" s="166"/>
      <c r="AJ158" s="166"/>
      <c r="AK158" s="166" t="str">
        <f t="shared" si="2743"/>
        <v/>
      </c>
      <c r="AL158" s="167"/>
      <c r="AM158" s="171" t="str">
        <f t="shared" si="2744"/>
        <v xml:space="preserve"> </v>
      </c>
      <c r="AN158" s="168" t="str">
        <f t="shared" si="2745"/>
        <v xml:space="preserve"> </v>
      </c>
      <c r="AO158" s="168"/>
      <c r="AP158" s="167" t="str">
        <f t="shared" si="2746"/>
        <v xml:space="preserve"> </v>
      </c>
      <c r="AQ158" s="166"/>
      <c r="AR158" s="166" t="str">
        <f t="shared" si="2747"/>
        <v xml:space="preserve"> </v>
      </c>
      <c r="AS158" s="168" t="str">
        <f t="shared" si="2748"/>
        <v xml:space="preserve"> </v>
      </c>
      <c r="AT158" s="168"/>
      <c r="AU158" s="166" t="str">
        <f t="shared" si="2749"/>
        <v xml:space="preserve"> </v>
      </c>
      <c r="AV158" s="167"/>
      <c r="AW158" s="167"/>
      <c r="AX158" s="169" t="str">
        <f t="shared" si="2750"/>
        <v xml:space="preserve"> </v>
      </c>
      <c r="AY158" s="169"/>
      <c r="AZ158" s="167" t="str">
        <f t="shared" si="2751"/>
        <v xml:space="preserve"> </v>
      </c>
      <c r="BA158" s="166"/>
      <c r="BB158" s="166"/>
      <c r="BC158" s="168" t="str">
        <f t="shared" si="2752"/>
        <v xml:space="preserve"> </v>
      </c>
      <c r="BD158" s="168"/>
      <c r="BE158" s="166" t="str">
        <f t="shared" si="2753"/>
        <v xml:space="preserve"> </v>
      </c>
      <c r="BF158" s="167"/>
      <c r="BG158" s="167"/>
      <c r="BH158" s="168" t="str">
        <f t="shared" si="2754"/>
        <v xml:space="preserve"> </v>
      </c>
      <c r="BI158" s="168"/>
      <c r="BJ158" s="167" t="str">
        <f t="shared" si="2755"/>
        <v xml:space="preserve"> </v>
      </c>
      <c r="BK158" s="166"/>
      <c r="BL158" s="166" t="str">
        <f t="shared" si="2756"/>
        <v xml:space="preserve"> </v>
      </c>
      <c r="BM158" s="168" t="str">
        <f t="shared" si="2757"/>
        <v xml:space="preserve"> </v>
      </c>
      <c r="BN158" s="168"/>
      <c r="BO158" s="166" t="str">
        <f t="shared" si="2758"/>
        <v xml:space="preserve"> </v>
      </c>
    </row>
    <row r="159" spans="2:67" ht="15" customHeight="1" x14ac:dyDescent="0.25">
      <c r="B159" s="170">
        <v>46177</v>
      </c>
      <c r="C159" s="164"/>
      <c r="D159" s="166" t="str">
        <f t="shared" si="2726"/>
        <v xml:space="preserve"> </v>
      </c>
      <c r="E159" s="168" t="str">
        <f t="shared" si="2727"/>
        <v xml:space="preserve"> </v>
      </c>
      <c r="F159" s="168"/>
      <c r="G159" s="166" t="str">
        <f t="shared" si="2728"/>
        <v xml:space="preserve"> </v>
      </c>
      <c r="H159" s="167"/>
      <c r="I159" s="167" t="str">
        <f t="shared" si="2729"/>
        <v xml:space="preserve"> </v>
      </c>
      <c r="J159" s="168" t="str">
        <f t="shared" si="2730"/>
        <v xml:space="preserve"> </v>
      </c>
      <c r="K159" s="168"/>
      <c r="L159" s="167" t="str">
        <f t="shared" si="2731"/>
        <v xml:space="preserve"> </v>
      </c>
      <c r="M159" s="166"/>
      <c r="N159" s="166" t="str">
        <f t="shared" si="2732"/>
        <v xml:space="preserve"> </v>
      </c>
      <c r="O159" s="168" t="str">
        <f t="shared" si="2733"/>
        <v xml:space="preserve"> </v>
      </c>
      <c r="P159" s="168"/>
      <c r="Q159" s="166" t="str">
        <f t="shared" si="2734"/>
        <v xml:space="preserve"> </v>
      </c>
      <c r="R159" s="167">
        <f ca="1">+BDFUENTES[[#This Row],[PZ MED m3/día]]/3.6/BDFUENTES[[#This Row],[PZ MED Horas Activo]]</f>
        <v>0</v>
      </c>
      <c r="S159" s="167" t="str">
        <f t="shared" ca="1" si="2735"/>
        <v xml:space="preserve"> </v>
      </c>
      <c r="T159" s="168" t="str">
        <f t="shared" si="2736"/>
        <v xml:space="preserve"> </v>
      </c>
      <c r="U159" s="168"/>
      <c r="V159" s="165" t="str">
        <f t="shared" si="2737"/>
        <v xml:space="preserve"> </v>
      </c>
      <c r="W159" s="164" t="str">
        <f t="shared" si="2738"/>
        <v xml:space="preserve"> </v>
      </c>
      <c r="X159" s="166"/>
      <c r="Y159" s="168" t="str">
        <f t="shared" si="2739"/>
        <v xml:space="preserve"> </v>
      </c>
      <c r="Z159" s="168"/>
      <c r="AA159" s="166" t="str">
        <f t="shared" si="2740"/>
        <v xml:space="preserve"> </v>
      </c>
      <c r="AB159" s="168" t="str">
        <f t="shared" si="2741"/>
        <v xml:space="preserve"> </v>
      </c>
      <c r="AC159" s="168"/>
      <c r="AD159" s="171" t="str">
        <f t="shared" si="2742"/>
        <v xml:space="preserve"> </v>
      </c>
      <c r="AE159" s="167"/>
      <c r="AF159" s="165" t="str">
        <f t="shared" si="2387"/>
        <v xml:space="preserve"> </v>
      </c>
      <c r="AG159" s="168"/>
      <c r="AH159" s="168"/>
      <c r="AI159" s="166"/>
      <c r="AJ159" s="166"/>
      <c r="AK159" s="166" t="str">
        <f t="shared" si="2743"/>
        <v/>
      </c>
      <c r="AL159" s="167"/>
      <c r="AM159" s="171" t="str">
        <f t="shared" si="2744"/>
        <v xml:space="preserve"> </v>
      </c>
      <c r="AN159" s="168" t="str">
        <f t="shared" si="2745"/>
        <v xml:space="preserve"> </v>
      </c>
      <c r="AO159" s="168"/>
      <c r="AP159" s="167" t="str">
        <f t="shared" si="2746"/>
        <v xml:space="preserve"> </v>
      </c>
      <c r="AQ159" s="166"/>
      <c r="AR159" s="166" t="str">
        <f t="shared" si="2747"/>
        <v xml:space="preserve"> </v>
      </c>
      <c r="AS159" s="168" t="str">
        <f t="shared" si="2748"/>
        <v xml:space="preserve"> </v>
      </c>
      <c r="AT159" s="168"/>
      <c r="AU159" s="166" t="str">
        <f t="shared" si="2749"/>
        <v xml:space="preserve"> </v>
      </c>
      <c r="AV159" s="167"/>
      <c r="AW159" s="167"/>
      <c r="AX159" s="169" t="str">
        <f t="shared" si="2750"/>
        <v xml:space="preserve"> </v>
      </c>
      <c r="AY159" s="169"/>
      <c r="AZ159" s="167" t="str">
        <f t="shared" si="2751"/>
        <v xml:space="preserve"> </v>
      </c>
      <c r="BA159" s="166"/>
      <c r="BB159" s="166"/>
      <c r="BC159" s="168" t="str">
        <f t="shared" si="2752"/>
        <v xml:space="preserve"> </v>
      </c>
      <c r="BD159" s="168"/>
      <c r="BE159" s="166" t="str">
        <f t="shared" si="2753"/>
        <v xml:space="preserve"> </v>
      </c>
      <c r="BF159" s="167"/>
      <c r="BG159" s="167"/>
      <c r="BH159" s="168" t="str">
        <f t="shared" si="2754"/>
        <v xml:space="preserve"> </v>
      </c>
      <c r="BI159" s="168"/>
      <c r="BJ159" s="167" t="str">
        <f t="shared" si="2755"/>
        <v xml:space="preserve"> </v>
      </c>
      <c r="BK159" s="166"/>
      <c r="BL159" s="166" t="str">
        <f t="shared" si="2756"/>
        <v xml:space="preserve"> </v>
      </c>
      <c r="BM159" s="168" t="str">
        <f t="shared" si="2757"/>
        <v xml:space="preserve"> </v>
      </c>
      <c r="BN159" s="168"/>
      <c r="BO159" s="166" t="str">
        <f t="shared" si="2758"/>
        <v xml:space="preserve"> </v>
      </c>
    </row>
    <row r="160" spans="2:67" ht="15" customHeight="1" x14ac:dyDescent="0.25">
      <c r="B160" s="170">
        <v>46178</v>
      </c>
      <c r="C160" s="164"/>
      <c r="D160" s="166" t="str">
        <f t="shared" si="2726"/>
        <v xml:space="preserve"> </v>
      </c>
      <c r="E160" s="168" t="str">
        <f t="shared" si="2727"/>
        <v xml:space="preserve"> </v>
      </c>
      <c r="F160" s="168"/>
      <c r="G160" s="166" t="str">
        <f t="shared" si="2728"/>
        <v xml:space="preserve"> </v>
      </c>
      <c r="H160" s="167"/>
      <c r="I160" s="167" t="str">
        <f t="shared" si="2729"/>
        <v xml:space="preserve"> </v>
      </c>
      <c r="J160" s="168" t="str">
        <f t="shared" si="2730"/>
        <v xml:space="preserve"> </v>
      </c>
      <c r="K160" s="168"/>
      <c r="L160" s="167" t="str">
        <f t="shared" si="2731"/>
        <v xml:space="preserve"> </v>
      </c>
      <c r="M160" s="166"/>
      <c r="N160" s="166" t="str">
        <f t="shared" si="2732"/>
        <v xml:space="preserve"> </v>
      </c>
      <c r="O160" s="168" t="str">
        <f t="shared" si="2733"/>
        <v xml:space="preserve"> </v>
      </c>
      <c r="P160" s="168"/>
      <c r="Q160" s="166" t="str">
        <f t="shared" si="2734"/>
        <v xml:space="preserve"> </v>
      </c>
      <c r="R160" s="167">
        <f ca="1">+BDFUENTES[[#This Row],[PZ MED m3/día]]/3.6/BDFUENTES[[#This Row],[PZ MED Horas Activo]]</f>
        <v>0</v>
      </c>
      <c r="S160" s="167" t="str">
        <f t="shared" ca="1" si="2735"/>
        <v xml:space="preserve"> </v>
      </c>
      <c r="T160" s="168" t="str">
        <f t="shared" si="2736"/>
        <v xml:space="preserve"> </v>
      </c>
      <c r="U160" s="168"/>
      <c r="V160" s="165" t="str">
        <f t="shared" si="2737"/>
        <v xml:space="preserve"> </v>
      </c>
      <c r="W160" s="164" t="str">
        <f t="shared" si="2738"/>
        <v xml:space="preserve"> </v>
      </c>
      <c r="X160" s="166"/>
      <c r="Y160" s="168" t="str">
        <f t="shared" si="2739"/>
        <v xml:space="preserve"> </v>
      </c>
      <c r="Z160" s="168"/>
      <c r="AA160" s="166" t="str">
        <f t="shared" si="2740"/>
        <v xml:space="preserve"> </v>
      </c>
      <c r="AB160" s="168" t="str">
        <f t="shared" si="2741"/>
        <v xml:space="preserve"> </v>
      </c>
      <c r="AC160" s="168"/>
      <c r="AD160" s="171" t="str">
        <f t="shared" si="2742"/>
        <v xml:space="preserve"> </v>
      </c>
      <c r="AE160" s="167"/>
      <c r="AF160" s="165" t="str">
        <f t="shared" si="2387"/>
        <v xml:space="preserve"> </v>
      </c>
      <c r="AG160" s="168"/>
      <c r="AH160" s="168"/>
      <c r="AI160" s="166"/>
      <c r="AJ160" s="166"/>
      <c r="AK160" s="166" t="str">
        <f t="shared" si="2743"/>
        <v/>
      </c>
      <c r="AL160" s="167"/>
      <c r="AM160" s="171" t="str">
        <f t="shared" si="2744"/>
        <v xml:space="preserve"> </v>
      </c>
      <c r="AN160" s="168" t="str">
        <f t="shared" si="2745"/>
        <v xml:space="preserve"> </v>
      </c>
      <c r="AO160" s="168"/>
      <c r="AP160" s="167" t="str">
        <f t="shared" si="2746"/>
        <v xml:space="preserve"> </v>
      </c>
      <c r="AQ160" s="166"/>
      <c r="AR160" s="166" t="str">
        <f t="shared" si="2747"/>
        <v xml:space="preserve"> </v>
      </c>
      <c r="AS160" s="168" t="str">
        <f t="shared" si="2748"/>
        <v xml:space="preserve"> </v>
      </c>
      <c r="AT160" s="168"/>
      <c r="AU160" s="166" t="str">
        <f t="shared" si="2749"/>
        <v xml:space="preserve"> </v>
      </c>
      <c r="AV160" s="167"/>
      <c r="AW160" s="167"/>
      <c r="AX160" s="169" t="str">
        <f t="shared" si="2750"/>
        <v xml:space="preserve"> </v>
      </c>
      <c r="AY160" s="169"/>
      <c r="AZ160" s="167" t="str">
        <f t="shared" si="2751"/>
        <v xml:space="preserve"> </v>
      </c>
      <c r="BA160" s="166"/>
      <c r="BB160" s="166"/>
      <c r="BC160" s="168" t="str">
        <f t="shared" si="2752"/>
        <v xml:space="preserve"> </v>
      </c>
      <c r="BD160" s="168"/>
      <c r="BE160" s="166" t="str">
        <f t="shared" si="2753"/>
        <v xml:space="preserve"> </v>
      </c>
      <c r="BF160" s="167"/>
      <c r="BG160" s="167"/>
      <c r="BH160" s="168" t="str">
        <f t="shared" si="2754"/>
        <v xml:space="preserve"> </v>
      </c>
      <c r="BI160" s="168"/>
      <c r="BJ160" s="167" t="str">
        <f t="shared" si="2755"/>
        <v xml:space="preserve"> </v>
      </c>
      <c r="BK160" s="166"/>
      <c r="BL160" s="166" t="str">
        <f t="shared" si="2756"/>
        <v xml:space="preserve"> </v>
      </c>
      <c r="BM160" s="168" t="str">
        <f t="shared" si="2757"/>
        <v xml:space="preserve"> </v>
      </c>
      <c r="BN160" s="168"/>
      <c r="BO160" s="166" t="str">
        <f t="shared" si="2758"/>
        <v xml:space="preserve"> </v>
      </c>
    </row>
    <row r="161" spans="2:67" ht="15" customHeight="1" x14ac:dyDescent="0.25">
      <c r="B161" s="170">
        <v>46179</v>
      </c>
      <c r="C161" s="164"/>
      <c r="D161" s="166" t="str">
        <f t="shared" si="2726"/>
        <v xml:space="preserve"> </v>
      </c>
      <c r="E161" s="168" t="str">
        <f t="shared" si="2727"/>
        <v xml:space="preserve"> </v>
      </c>
      <c r="F161" s="168"/>
      <c r="G161" s="166" t="str">
        <f t="shared" si="2728"/>
        <v xml:space="preserve"> </v>
      </c>
      <c r="H161" s="167"/>
      <c r="I161" s="167" t="str">
        <f t="shared" si="2729"/>
        <v xml:space="preserve"> </v>
      </c>
      <c r="J161" s="168" t="str">
        <f t="shared" si="2730"/>
        <v xml:space="preserve"> </v>
      </c>
      <c r="K161" s="168"/>
      <c r="L161" s="167" t="str">
        <f t="shared" si="2731"/>
        <v xml:space="preserve"> </v>
      </c>
      <c r="M161" s="166"/>
      <c r="N161" s="166" t="str">
        <f t="shared" si="2732"/>
        <v xml:space="preserve"> </v>
      </c>
      <c r="O161" s="168" t="str">
        <f t="shared" si="2733"/>
        <v xml:space="preserve"> </v>
      </c>
      <c r="P161" s="168"/>
      <c r="Q161" s="166" t="str">
        <f t="shared" si="2734"/>
        <v xml:space="preserve"> </v>
      </c>
      <c r="R161" s="167">
        <f ca="1">+BDFUENTES[[#This Row],[PZ MED m3/día]]/3.6/BDFUENTES[[#This Row],[PZ MED Horas Activo]]</f>
        <v>0</v>
      </c>
      <c r="S161" s="167" t="str">
        <f t="shared" ca="1" si="2735"/>
        <v xml:space="preserve"> </v>
      </c>
      <c r="T161" s="168" t="str">
        <f t="shared" si="2736"/>
        <v xml:space="preserve"> </v>
      </c>
      <c r="U161" s="168"/>
      <c r="V161" s="165" t="str">
        <f t="shared" si="2737"/>
        <v xml:space="preserve"> </v>
      </c>
      <c r="W161" s="164" t="str">
        <f t="shared" si="2738"/>
        <v xml:space="preserve"> </v>
      </c>
      <c r="X161" s="166"/>
      <c r="Y161" s="168" t="str">
        <f t="shared" si="2739"/>
        <v xml:space="preserve"> </v>
      </c>
      <c r="Z161" s="168"/>
      <c r="AA161" s="166" t="str">
        <f t="shared" si="2740"/>
        <v xml:space="preserve"> </v>
      </c>
      <c r="AB161" s="168" t="str">
        <f t="shared" si="2741"/>
        <v xml:space="preserve"> </v>
      </c>
      <c r="AC161" s="168"/>
      <c r="AD161" s="171" t="str">
        <f t="shared" si="2742"/>
        <v xml:space="preserve"> </v>
      </c>
      <c r="AE161" s="167"/>
      <c r="AF161" s="165" t="str">
        <f t="shared" si="2387"/>
        <v xml:space="preserve"> </v>
      </c>
      <c r="AG161" s="168"/>
      <c r="AH161" s="168"/>
      <c r="AI161" s="166"/>
      <c r="AJ161" s="166"/>
      <c r="AK161" s="166" t="str">
        <f t="shared" si="2743"/>
        <v/>
      </c>
      <c r="AL161" s="167"/>
      <c r="AM161" s="171" t="str">
        <f t="shared" si="2744"/>
        <v xml:space="preserve"> </v>
      </c>
      <c r="AN161" s="168" t="str">
        <f t="shared" si="2745"/>
        <v xml:space="preserve"> </v>
      </c>
      <c r="AO161" s="168"/>
      <c r="AP161" s="167" t="str">
        <f t="shared" si="2746"/>
        <v xml:space="preserve"> </v>
      </c>
      <c r="AQ161" s="166"/>
      <c r="AR161" s="166" t="str">
        <f t="shared" si="2747"/>
        <v xml:space="preserve"> </v>
      </c>
      <c r="AS161" s="168" t="str">
        <f t="shared" si="2748"/>
        <v xml:space="preserve"> </v>
      </c>
      <c r="AT161" s="168"/>
      <c r="AU161" s="166" t="str">
        <f t="shared" si="2749"/>
        <v xml:space="preserve"> </v>
      </c>
      <c r="AV161" s="167"/>
      <c r="AW161" s="167"/>
      <c r="AX161" s="169" t="str">
        <f t="shared" si="2750"/>
        <v xml:space="preserve"> </v>
      </c>
      <c r="AY161" s="169"/>
      <c r="AZ161" s="167" t="str">
        <f t="shared" si="2751"/>
        <v xml:space="preserve"> </v>
      </c>
      <c r="BA161" s="166"/>
      <c r="BB161" s="166"/>
      <c r="BC161" s="168" t="str">
        <f t="shared" si="2752"/>
        <v xml:space="preserve"> </v>
      </c>
      <c r="BD161" s="168"/>
      <c r="BE161" s="166" t="str">
        <f t="shared" si="2753"/>
        <v xml:space="preserve"> </v>
      </c>
      <c r="BF161" s="167"/>
      <c r="BG161" s="167"/>
      <c r="BH161" s="168" t="str">
        <f t="shared" si="2754"/>
        <v xml:space="preserve"> </v>
      </c>
      <c r="BI161" s="168"/>
      <c r="BJ161" s="167" t="str">
        <f t="shared" si="2755"/>
        <v xml:space="preserve"> </v>
      </c>
      <c r="BK161" s="166"/>
      <c r="BL161" s="166" t="str">
        <f t="shared" si="2756"/>
        <v xml:space="preserve"> </v>
      </c>
      <c r="BM161" s="168" t="str">
        <f t="shared" si="2757"/>
        <v xml:space="preserve"> </v>
      </c>
      <c r="BN161" s="168"/>
      <c r="BO161" s="166" t="str">
        <f t="shared" si="2758"/>
        <v xml:space="preserve"> </v>
      </c>
    </row>
    <row r="162" spans="2:67" ht="15" customHeight="1" x14ac:dyDescent="0.25">
      <c r="B162" s="170">
        <v>46180</v>
      </c>
      <c r="C162" s="164"/>
      <c r="D162" s="166" t="str">
        <f t="shared" si="2726"/>
        <v xml:space="preserve"> </v>
      </c>
      <c r="E162" s="168" t="str">
        <f t="shared" si="2727"/>
        <v xml:space="preserve"> </v>
      </c>
      <c r="F162" s="168"/>
      <c r="G162" s="166" t="str">
        <f t="shared" si="2728"/>
        <v xml:space="preserve"> </v>
      </c>
      <c r="H162" s="167"/>
      <c r="I162" s="167" t="str">
        <f t="shared" si="2729"/>
        <v xml:space="preserve"> </v>
      </c>
      <c r="J162" s="168" t="str">
        <f t="shared" si="2730"/>
        <v xml:space="preserve"> </v>
      </c>
      <c r="K162" s="168"/>
      <c r="L162" s="167" t="str">
        <f t="shared" si="2731"/>
        <v xml:space="preserve"> </v>
      </c>
      <c r="M162" s="166"/>
      <c r="N162" s="166" t="str">
        <f t="shared" si="2732"/>
        <v xml:space="preserve"> </v>
      </c>
      <c r="O162" s="168" t="str">
        <f t="shared" si="2733"/>
        <v xml:space="preserve"> </v>
      </c>
      <c r="P162" s="168"/>
      <c r="Q162" s="166" t="str">
        <f t="shared" si="2734"/>
        <v xml:space="preserve"> </v>
      </c>
      <c r="R162" s="167">
        <f ca="1">+BDFUENTES[[#This Row],[PZ MED m3/día]]/3.6/BDFUENTES[[#This Row],[PZ MED Horas Activo]]</f>
        <v>0</v>
      </c>
      <c r="S162" s="167" t="str">
        <f t="shared" ca="1" si="2735"/>
        <v xml:space="preserve"> </v>
      </c>
      <c r="T162" s="168" t="str">
        <f t="shared" si="2736"/>
        <v xml:space="preserve"> </v>
      </c>
      <c r="U162" s="168"/>
      <c r="V162" s="165" t="str">
        <f t="shared" si="2737"/>
        <v xml:space="preserve"> </v>
      </c>
      <c r="W162" s="164" t="str">
        <f t="shared" si="2738"/>
        <v xml:space="preserve"> </v>
      </c>
      <c r="X162" s="166"/>
      <c r="Y162" s="168" t="str">
        <f t="shared" si="2739"/>
        <v xml:space="preserve"> </v>
      </c>
      <c r="Z162" s="168"/>
      <c r="AA162" s="166" t="str">
        <f t="shared" si="2740"/>
        <v xml:space="preserve"> </v>
      </c>
      <c r="AB162" s="168" t="str">
        <f t="shared" si="2741"/>
        <v xml:space="preserve"> </v>
      </c>
      <c r="AC162" s="168"/>
      <c r="AD162" s="171" t="str">
        <f t="shared" si="2742"/>
        <v xml:space="preserve"> </v>
      </c>
      <c r="AE162" s="167"/>
      <c r="AF162" s="165" t="str">
        <f t="shared" si="2387"/>
        <v xml:space="preserve"> </v>
      </c>
      <c r="AG162" s="168"/>
      <c r="AH162" s="168"/>
      <c r="AI162" s="166"/>
      <c r="AJ162" s="166"/>
      <c r="AK162" s="166" t="str">
        <f t="shared" si="2743"/>
        <v/>
      </c>
      <c r="AL162" s="167"/>
      <c r="AM162" s="171" t="str">
        <f t="shared" si="2744"/>
        <v xml:space="preserve"> </v>
      </c>
      <c r="AN162" s="168" t="str">
        <f t="shared" si="2745"/>
        <v xml:space="preserve"> </v>
      </c>
      <c r="AO162" s="168"/>
      <c r="AP162" s="167" t="str">
        <f t="shared" si="2746"/>
        <v xml:space="preserve"> </v>
      </c>
      <c r="AQ162" s="166"/>
      <c r="AR162" s="166" t="str">
        <f t="shared" si="2747"/>
        <v xml:space="preserve"> </v>
      </c>
      <c r="AS162" s="168" t="str">
        <f t="shared" si="2748"/>
        <v xml:space="preserve"> </v>
      </c>
      <c r="AT162" s="168"/>
      <c r="AU162" s="166" t="str">
        <f t="shared" si="2749"/>
        <v xml:space="preserve"> </v>
      </c>
      <c r="AV162" s="167"/>
      <c r="AW162" s="167"/>
      <c r="AX162" s="169" t="str">
        <f t="shared" si="2750"/>
        <v xml:space="preserve"> </v>
      </c>
      <c r="AY162" s="169"/>
      <c r="AZ162" s="167" t="str">
        <f t="shared" si="2751"/>
        <v xml:space="preserve"> </v>
      </c>
      <c r="BA162" s="166"/>
      <c r="BB162" s="166"/>
      <c r="BC162" s="168" t="str">
        <f t="shared" si="2752"/>
        <v xml:space="preserve"> </v>
      </c>
      <c r="BD162" s="168"/>
      <c r="BE162" s="166" t="str">
        <f t="shared" si="2753"/>
        <v xml:space="preserve"> </v>
      </c>
      <c r="BF162" s="167"/>
      <c r="BG162" s="167"/>
      <c r="BH162" s="168" t="str">
        <f t="shared" si="2754"/>
        <v xml:space="preserve"> </v>
      </c>
      <c r="BI162" s="168"/>
      <c r="BJ162" s="167" t="str">
        <f t="shared" si="2755"/>
        <v xml:space="preserve"> </v>
      </c>
      <c r="BK162" s="166"/>
      <c r="BL162" s="166" t="str">
        <f t="shared" si="2756"/>
        <v xml:space="preserve"> </v>
      </c>
      <c r="BM162" s="168" t="str">
        <f t="shared" si="2757"/>
        <v xml:space="preserve"> </v>
      </c>
      <c r="BN162" s="168"/>
      <c r="BO162" s="166" t="str">
        <f t="shared" si="2758"/>
        <v xml:space="preserve"> </v>
      </c>
    </row>
    <row r="163" spans="2:67" ht="15" customHeight="1" x14ac:dyDescent="0.25">
      <c r="B163" s="170">
        <v>46181</v>
      </c>
      <c r="C163" s="164"/>
      <c r="D163" s="166" t="str">
        <f t="shared" si="2726"/>
        <v xml:space="preserve"> </v>
      </c>
      <c r="E163" s="168" t="str">
        <f t="shared" si="2727"/>
        <v xml:space="preserve"> </v>
      </c>
      <c r="F163" s="168"/>
      <c r="G163" s="166" t="str">
        <f t="shared" si="2728"/>
        <v xml:space="preserve"> </v>
      </c>
      <c r="H163" s="167"/>
      <c r="I163" s="167" t="str">
        <f t="shared" si="2729"/>
        <v xml:space="preserve"> </v>
      </c>
      <c r="J163" s="168" t="str">
        <f t="shared" si="2730"/>
        <v xml:space="preserve"> </v>
      </c>
      <c r="K163" s="168"/>
      <c r="L163" s="167" t="str">
        <f t="shared" si="2731"/>
        <v xml:space="preserve"> </v>
      </c>
      <c r="M163" s="166"/>
      <c r="N163" s="166" t="str">
        <f t="shared" si="2732"/>
        <v xml:space="preserve"> </v>
      </c>
      <c r="O163" s="168" t="str">
        <f t="shared" si="2733"/>
        <v xml:space="preserve"> </v>
      </c>
      <c r="P163" s="168"/>
      <c r="Q163" s="166" t="str">
        <f t="shared" si="2734"/>
        <v xml:space="preserve"> </v>
      </c>
      <c r="R163" s="167">
        <f ca="1">+BDFUENTES[[#This Row],[PZ MED m3/día]]/3.6/BDFUENTES[[#This Row],[PZ MED Horas Activo]]</f>
        <v>0</v>
      </c>
      <c r="S163" s="167" t="str">
        <f t="shared" ca="1" si="2735"/>
        <v xml:space="preserve"> </v>
      </c>
      <c r="T163" s="168" t="str">
        <f t="shared" si="2736"/>
        <v xml:space="preserve"> </v>
      </c>
      <c r="U163" s="168"/>
      <c r="V163" s="165" t="str">
        <f t="shared" si="2737"/>
        <v xml:space="preserve"> </v>
      </c>
      <c r="W163" s="164" t="str">
        <f t="shared" si="2738"/>
        <v xml:space="preserve"> </v>
      </c>
      <c r="X163" s="166"/>
      <c r="Y163" s="168" t="str">
        <f t="shared" si="2739"/>
        <v xml:space="preserve"> </v>
      </c>
      <c r="Z163" s="168"/>
      <c r="AA163" s="166" t="str">
        <f t="shared" si="2740"/>
        <v xml:space="preserve"> </v>
      </c>
      <c r="AB163" s="168" t="str">
        <f t="shared" si="2741"/>
        <v xml:space="preserve"> </v>
      </c>
      <c r="AC163" s="168"/>
      <c r="AD163" s="171" t="str">
        <f t="shared" si="2742"/>
        <v xml:space="preserve"> </v>
      </c>
      <c r="AE163" s="167"/>
      <c r="AF163" s="165" t="str">
        <f t="shared" si="2387"/>
        <v xml:space="preserve"> </v>
      </c>
      <c r="AG163" s="168"/>
      <c r="AH163" s="168"/>
      <c r="AI163" s="166"/>
      <c r="AJ163" s="166"/>
      <c r="AK163" s="166" t="str">
        <f t="shared" si="2743"/>
        <v/>
      </c>
      <c r="AL163" s="167"/>
      <c r="AM163" s="171" t="str">
        <f t="shared" si="2744"/>
        <v xml:space="preserve"> </v>
      </c>
      <c r="AN163" s="168" t="str">
        <f t="shared" si="2745"/>
        <v xml:space="preserve"> </v>
      </c>
      <c r="AO163" s="168"/>
      <c r="AP163" s="167" t="str">
        <f t="shared" si="2746"/>
        <v xml:space="preserve"> </v>
      </c>
      <c r="AQ163" s="166"/>
      <c r="AR163" s="166" t="str">
        <f t="shared" si="2747"/>
        <v xml:space="preserve"> </v>
      </c>
      <c r="AS163" s="168" t="str">
        <f t="shared" si="2748"/>
        <v xml:space="preserve"> </v>
      </c>
      <c r="AT163" s="168"/>
      <c r="AU163" s="166" t="str">
        <f t="shared" si="2749"/>
        <v xml:space="preserve"> </v>
      </c>
      <c r="AV163" s="167"/>
      <c r="AW163" s="167"/>
      <c r="AX163" s="169" t="str">
        <f t="shared" si="2750"/>
        <v xml:space="preserve"> </v>
      </c>
      <c r="AY163" s="169"/>
      <c r="AZ163" s="167" t="str">
        <f t="shared" si="2751"/>
        <v xml:space="preserve"> </v>
      </c>
      <c r="BA163" s="166"/>
      <c r="BB163" s="166"/>
      <c r="BC163" s="168" t="str">
        <f t="shared" si="2752"/>
        <v xml:space="preserve"> </v>
      </c>
      <c r="BD163" s="168"/>
      <c r="BE163" s="166" t="str">
        <f t="shared" si="2753"/>
        <v xml:space="preserve"> </v>
      </c>
      <c r="BF163" s="167"/>
      <c r="BG163" s="167"/>
      <c r="BH163" s="168" t="str">
        <f t="shared" si="2754"/>
        <v xml:space="preserve"> </v>
      </c>
      <c r="BI163" s="168"/>
      <c r="BJ163" s="167" t="str">
        <f t="shared" si="2755"/>
        <v xml:space="preserve"> </v>
      </c>
      <c r="BK163" s="166"/>
      <c r="BL163" s="166" t="str">
        <f t="shared" si="2756"/>
        <v xml:space="preserve"> </v>
      </c>
      <c r="BM163" s="168" t="str">
        <f t="shared" si="2757"/>
        <v xml:space="preserve"> </v>
      </c>
      <c r="BN163" s="168"/>
      <c r="BO163" s="166" t="str">
        <f t="shared" si="2758"/>
        <v xml:space="preserve"> </v>
      </c>
    </row>
    <row r="164" spans="2:67" ht="15" customHeight="1" x14ac:dyDescent="0.25">
      <c r="B164" s="170">
        <v>46182</v>
      </c>
      <c r="C164" s="164"/>
      <c r="D164" s="166" t="str">
        <f t="shared" si="2726"/>
        <v xml:space="preserve"> </v>
      </c>
      <c r="E164" s="168" t="str">
        <f t="shared" si="2727"/>
        <v xml:space="preserve"> </v>
      </c>
      <c r="F164" s="168"/>
      <c r="G164" s="166" t="str">
        <f t="shared" si="2728"/>
        <v xml:space="preserve"> </v>
      </c>
      <c r="H164" s="167"/>
      <c r="I164" s="167" t="str">
        <f t="shared" si="2729"/>
        <v xml:space="preserve"> </v>
      </c>
      <c r="J164" s="168" t="str">
        <f t="shared" si="2730"/>
        <v xml:space="preserve"> </v>
      </c>
      <c r="K164" s="168"/>
      <c r="L164" s="167" t="str">
        <f t="shared" si="2731"/>
        <v xml:space="preserve"> </v>
      </c>
      <c r="M164" s="166"/>
      <c r="N164" s="166" t="str">
        <f t="shared" si="2732"/>
        <v xml:space="preserve"> </v>
      </c>
      <c r="O164" s="168" t="str">
        <f t="shared" si="2733"/>
        <v xml:space="preserve"> </v>
      </c>
      <c r="P164" s="168"/>
      <c r="Q164" s="166" t="str">
        <f t="shared" si="2734"/>
        <v xml:space="preserve"> </v>
      </c>
      <c r="R164" s="167">
        <f ca="1">+BDFUENTES[[#This Row],[PZ MED m3/día]]/3.6/BDFUENTES[[#This Row],[PZ MED Horas Activo]]</f>
        <v>0</v>
      </c>
      <c r="S164" s="167" t="str">
        <f t="shared" ca="1" si="2735"/>
        <v xml:space="preserve"> </v>
      </c>
      <c r="T164" s="168" t="str">
        <f t="shared" si="2736"/>
        <v xml:space="preserve"> </v>
      </c>
      <c r="U164" s="168"/>
      <c r="V164" s="165" t="str">
        <f t="shared" si="2737"/>
        <v xml:space="preserve"> </v>
      </c>
      <c r="W164" s="164" t="str">
        <f t="shared" si="2738"/>
        <v xml:space="preserve"> </v>
      </c>
      <c r="X164" s="166"/>
      <c r="Y164" s="168" t="str">
        <f t="shared" si="2739"/>
        <v xml:space="preserve"> </v>
      </c>
      <c r="Z164" s="168"/>
      <c r="AA164" s="166" t="str">
        <f t="shared" si="2740"/>
        <v xml:space="preserve"> </v>
      </c>
      <c r="AB164" s="168" t="str">
        <f t="shared" si="2741"/>
        <v xml:space="preserve"> </v>
      </c>
      <c r="AC164" s="168"/>
      <c r="AD164" s="171" t="str">
        <f t="shared" si="2742"/>
        <v xml:space="preserve"> </v>
      </c>
      <c r="AE164" s="167"/>
      <c r="AF164" s="165" t="str">
        <f t="shared" si="2387"/>
        <v xml:space="preserve"> </v>
      </c>
      <c r="AG164" s="168"/>
      <c r="AH164" s="168"/>
      <c r="AI164" s="166"/>
      <c r="AJ164" s="166"/>
      <c r="AK164" s="166" t="str">
        <f t="shared" si="2743"/>
        <v/>
      </c>
      <c r="AL164" s="167"/>
      <c r="AM164" s="171" t="str">
        <f t="shared" si="2744"/>
        <v xml:space="preserve"> </v>
      </c>
      <c r="AN164" s="168" t="str">
        <f t="shared" si="2745"/>
        <v xml:space="preserve"> </v>
      </c>
      <c r="AO164" s="168"/>
      <c r="AP164" s="167" t="str">
        <f t="shared" si="2746"/>
        <v xml:space="preserve"> </v>
      </c>
      <c r="AQ164" s="166"/>
      <c r="AR164" s="166" t="str">
        <f t="shared" si="2747"/>
        <v xml:space="preserve"> </v>
      </c>
      <c r="AS164" s="168" t="str">
        <f t="shared" si="2748"/>
        <v xml:space="preserve"> </v>
      </c>
      <c r="AT164" s="168"/>
      <c r="AU164" s="166" t="str">
        <f t="shared" si="2749"/>
        <v xml:space="preserve"> </v>
      </c>
      <c r="AV164" s="167"/>
      <c r="AW164" s="167"/>
      <c r="AX164" s="169" t="str">
        <f t="shared" si="2750"/>
        <v xml:space="preserve"> </v>
      </c>
      <c r="AY164" s="169"/>
      <c r="AZ164" s="167" t="str">
        <f t="shared" si="2751"/>
        <v xml:space="preserve"> </v>
      </c>
      <c r="BA164" s="166"/>
      <c r="BB164" s="166"/>
      <c r="BC164" s="168" t="str">
        <f t="shared" si="2752"/>
        <v xml:space="preserve"> </v>
      </c>
      <c r="BD164" s="168"/>
      <c r="BE164" s="166" t="str">
        <f t="shared" si="2753"/>
        <v xml:space="preserve"> </v>
      </c>
      <c r="BF164" s="167"/>
      <c r="BG164" s="167"/>
      <c r="BH164" s="168" t="str">
        <f t="shared" si="2754"/>
        <v xml:space="preserve"> </v>
      </c>
      <c r="BI164" s="168"/>
      <c r="BJ164" s="167" t="str">
        <f t="shared" si="2755"/>
        <v xml:space="preserve"> </v>
      </c>
      <c r="BK164" s="166"/>
      <c r="BL164" s="166" t="str">
        <f t="shared" si="2756"/>
        <v xml:space="preserve"> </v>
      </c>
      <c r="BM164" s="168" t="str">
        <f t="shared" si="2757"/>
        <v xml:space="preserve"> </v>
      </c>
      <c r="BN164" s="168"/>
      <c r="BO164" s="166" t="str">
        <f t="shared" si="2758"/>
        <v xml:space="preserve"> </v>
      </c>
    </row>
    <row r="165" spans="2:67" ht="15" customHeight="1" x14ac:dyDescent="0.25">
      <c r="B165" s="170">
        <v>46183</v>
      </c>
      <c r="C165" s="164"/>
      <c r="D165" s="166" t="str">
        <f t="shared" si="2726"/>
        <v xml:space="preserve"> </v>
      </c>
      <c r="E165" s="168" t="str">
        <f t="shared" si="2727"/>
        <v xml:space="preserve"> </v>
      </c>
      <c r="F165" s="168"/>
      <c r="G165" s="166" t="str">
        <f t="shared" si="2728"/>
        <v xml:space="preserve"> </v>
      </c>
      <c r="H165" s="167"/>
      <c r="I165" s="167" t="str">
        <f t="shared" si="2729"/>
        <v xml:space="preserve"> </v>
      </c>
      <c r="J165" s="168" t="str">
        <f t="shared" si="2730"/>
        <v xml:space="preserve"> </v>
      </c>
      <c r="K165" s="168"/>
      <c r="L165" s="167" t="str">
        <f t="shared" si="2731"/>
        <v xml:space="preserve"> </v>
      </c>
      <c r="M165" s="166"/>
      <c r="N165" s="166" t="str">
        <f t="shared" si="2732"/>
        <v xml:space="preserve"> </v>
      </c>
      <c r="O165" s="168" t="str">
        <f t="shared" si="2733"/>
        <v xml:space="preserve"> </v>
      </c>
      <c r="P165" s="168"/>
      <c r="Q165" s="166" t="str">
        <f t="shared" si="2734"/>
        <v xml:space="preserve"> </v>
      </c>
      <c r="R165" s="167">
        <f ca="1">+BDFUENTES[[#This Row],[PZ MED m3/día]]/3.6/BDFUENTES[[#This Row],[PZ MED Horas Activo]]</f>
        <v>0</v>
      </c>
      <c r="S165" s="167" t="str">
        <f t="shared" ca="1" si="2735"/>
        <v xml:space="preserve"> </v>
      </c>
      <c r="T165" s="168" t="str">
        <f t="shared" si="2736"/>
        <v xml:space="preserve"> </v>
      </c>
      <c r="U165" s="168"/>
      <c r="V165" s="165" t="str">
        <f t="shared" si="2737"/>
        <v xml:space="preserve"> </v>
      </c>
      <c r="W165" s="164" t="str">
        <f t="shared" si="2738"/>
        <v xml:space="preserve"> </v>
      </c>
      <c r="X165" s="166"/>
      <c r="Y165" s="168" t="str">
        <f t="shared" si="2739"/>
        <v xml:space="preserve"> </v>
      </c>
      <c r="Z165" s="168"/>
      <c r="AA165" s="166" t="str">
        <f t="shared" si="2740"/>
        <v xml:space="preserve"> </v>
      </c>
      <c r="AB165" s="168" t="str">
        <f t="shared" si="2741"/>
        <v xml:space="preserve"> </v>
      </c>
      <c r="AC165" s="168"/>
      <c r="AD165" s="171" t="str">
        <f t="shared" si="2742"/>
        <v xml:space="preserve"> </v>
      </c>
      <c r="AE165" s="167"/>
      <c r="AF165" s="165" t="str">
        <f t="shared" si="2387"/>
        <v xml:space="preserve"> </v>
      </c>
      <c r="AG165" s="168"/>
      <c r="AH165" s="168"/>
      <c r="AI165" s="166"/>
      <c r="AJ165" s="166"/>
      <c r="AK165" s="166" t="str">
        <f t="shared" si="2743"/>
        <v/>
      </c>
      <c r="AL165" s="167"/>
      <c r="AM165" s="171" t="str">
        <f t="shared" si="2744"/>
        <v xml:space="preserve"> </v>
      </c>
      <c r="AN165" s="168" t="str">
        <f t="shared" si="2745"/>
        <v xml:space="preserve"> </v>
      </c>
      <c r="AO165" s="168"/>
      <c r="AP165" s="167" t="str">
        <f t="shared" si="2746"/>
        <v xml:space="preserve"> </v>
      </c>
      <c r="AQ165" s="166"/>
      <c r="AR165" s="166" t="str">
        <f t="shared" si="2747"/>
        <v xml:space="preserve"> </v>
      </c>
      <c r="AS165" s="168" t="str">
        <f t="shared" si="2748"/>
        <v xml:space="preserve"> </v>
      </c>
      <c r="AT165" s="168"/>
      <c r="AU165" s="166" t="str">
        <f t="shared" si="2749"/>
        <v xml:space="preserve"> </v>
      </c>
      <c r="AV165" s="167"/>
      <c r="AW165" s="167"/>
      <c r="AX165" s="169" t="str">
        <f t="shared" si="2750"/>
        <v xml:space="preserve"> </v>
      </c>
      <c r="AY165" s="169"/>
      <c r="AZ165" s="167" t="str">
        <f t="shared" si="2751"/>
        <v xml:space="preserve"> </v>
      </c>
      <c r="BA165" s="166"/>
      <c r="BB165" s="166"/>
      <c r="BC165" s="168" t="str">
        <f t="shared" si="2752"/>
        <v xml:space="preserve"> </v>
      </c>
      <c r="BD165" s="168"/>
      <c r="BE165" s="166" t="str">
        <f t="shared" si="2753"/>
        <v xml:space="preserve"> </v>
      </c>
      <c r="BF165" s="167"/>
      <c r="BG165" s="167"/>
      <c r="BH165" s="168" t="str">
        <f t="shared" si="2754"/>
        <v xml:space="preserve"> </v>
      </c>
      <c r="BI165" s="168"/>
      <c r="BJ165" s="167" t="str">
        <f t="shared" si="2755"/>
        <v xml:space="preserve"> </v>
      </c>
      <c r="BK165" s="166"/>
      <c r="BL165" s="166" t="str">
        <f t="shared" si="2756"/>
        <v xml:space="preserve"> </v>
      </c>
      <c r="BM165" s="168" t="str">
        <f t="shared" si="2757"/>
        <v xml:space="preserve"> </v>
      </c>
      <c r="BN165" s="168"/>
      <c r="BO165" s="166" t="str">
        <f t="shared" si="2758"/>
        <v xml:space="preserve"> </v>
      </c>
    </row>
    <row r="166" spans="2:67" ht="15" customHeight="1" x14ac:dyDescent="0.25">
      <c r="B166" s="170">
        <v>46184</v>
      </c>
      <c r="C166" s="164"/>
      <c r="D166" s="166" t="str">
        <f t="shared" si="2726"/>
        <v xml:space="preserve"> </v>
      </c>
      <c r="E166" s="168" t="str">
        <f t="shared" si="2727"/>
        <v xml:space="preserve"> </v>
      </c>
      <c r="F166" s="168"/>
      <c r="G166" s="166" t="str">
        <f t="shared" si="2728"/>
        <v xml:space="preserve"> </v>
      </c>
      <c r="H166" s="167"/>
      <c r="I166" s="167" t="str">
        <f t="shared" si="2729"/>
        <v xml:space="preserve"> </v>
      </c>
      <c r="J166" s="168" t="str">
        <f t="shared" si="2730"/>
        <v xml:space="preserve"> </v>
      </c>
      <c r="K166" s="168"/>
      <c r="L166" s="167" t="str">
        <f t="shared" si="2731"/>
        <v xml:space="preserve"> </v>
      </c>
      <c r="M166" s="166"/>
      <c r="N166" s="166" t="str">
        <f t="shared" si="2732"/>
        <v xml:space="preserve"> </v>
      </c>
      <c r="O166" s="168" t="str">
        <f t="shared" si="2733"/>
        <v xml:space="preserve"> </v>
      </c>
      <c r="P166" s="168"/>
      <c r="Q166" s="166" t="str">
        <f t="shared" si="2734"/>
        <v xml:space="preserve"> </v>
      </c>
      <c r="R166" s="167">
        <f ca="1">+BDFUENTES[[#This Row],[PZ MED m3/día]]/3.6/BDFUENTES[[#This Row],[PZ MED Horas Activo]]</f>
        <v>0</v>
      </c>
      <c r="S166" s="167" t="str">
        <f t="shared" ca="1" si="2735"/>
        <v xml:space="preserve"> </v>
      </c>
      <c r="T166" s="168" t="str">
        <f t="shared" si="2736"/>
        <v xml:space="preserve"> </v>
      </c>
      <c r="U166" s="168"/>
      <c r="V166" s="165" t="str">
        <f t="shared" si="2737"/>
        <v xml:space="preserve"> </v>
      </c>
      <c r="W166" s="164" t="str">
        <f t="shared" si="2738"/>
        <v xml:space="preserve"> </v>
      </c>
      <c r="X166" s="166"/>
      <c r="Y166" s="168" t="str">
        <f t="shared" si="2739"/>
        <v xml:space="preserve"> </v>
      </c>
      <c r="Z166" s="168"/>
      <c r="AA166" s="166" t="str">
        <f t="shared" si="2740"/>
        <v xml:space="preserve"> </v>
      </c>
      <c r="AB166" s="168" t="str">
        <f t="shared" si="2741"/>
        <v xml:space="preserve"> </v>
      </c>
      <c r="AC166" s="168"/>
      <c r="AD166" s="171" t="str">
        <f t="shared" si="2742"/>
        <v xml:space="preserve"> </v>
      </c>
      <c r="AE166" s="167"/>
      <c r="AF166" s="165" t="str">
        <f t="shared" si="2387"/>
        <v xml:space="preserve"> </v>
      </c>
      <c r="AG166" s="168"/>
      <c r="AH166" s="168"/>
      <c r="AI166" s="166"/>
      <c r="AJ166" s="166"/>
      <c r="AK166" s="166" t="str">
        <f t="shared" si="2743"/>
        <v/>
      </c>
      <c r="AL166" s="167"/>
      <c r="AM166" s="171" t="str">
        <f t="shared" si="2744"/>
        <v xml:space="preserve"> </v>
      </c>
      <c r="AN166" s="168" t="str">
        <f t="shared" si="2745"/>
        <v xml:space="preserve"> </v>
      </c>
      <c r="AO166" s="168"/>
      <c r="AP166" s="167" t="str">
        <f t="shared" si="2746"/>
        <v xml:space="preserve"> </v>
      </c>
      <c r="AQ166" s="166"/>
      <c r="AR166" s="166" t="str">
        <f t="shared" si="2747"/>
        <v xml:space="preserve"> </v>
      </c>
      <c r="AS166" s="168" t="str">
        <f t="shared" si="2748"/>
        <v xml:space="preserve"> </v>
      </c>
      <c r="AT166" s="168"/>
      <c r="AU166" s="166" t="str">
        <f t="shared" si="2749"/>
        <v xml:space="preserve"> </v>
      </c>
      <c r="AV166" s="167"/>
      <c r="AW166" s="167"/>
      <c r="AX166" s="169" t="str">
        <f t="shared" si="2750"/>
        <v xml:space="preserve"> </v>
      </c>
      <c r="AY166" s="169"/>
      <c r="AZ166" s="167" t="str">
        <f t="shared" si="2751"/>
        <v xml:space="preserve"> </v>
      </c>
      <c r="BA166" s="166"/>
      <c r="BB166" s="166"/>
      <c r="BC166" s="168" t="str">
        <f t="shared" si="2752"/>
        <v xml:space="preserve"> </v>
      </c>
      <c r="BD166" s="168"/>
      <c r="BE166" s="166" t="str">
        <f t="shared" si="2753"/>
        <v xml:space="preserve"> </v>
      </c>
      <c r="BF166" s="167"/>
      <c r="BG166" s="167"/>
      <c r="BH166" s="168" t="str">
        <f t="shared" si="2754"/>
        <v xml:space="preserve"> </v>
      </c>
      <c r="BI166" s="168"/>
      <c r="BJ166" s="167" t="str">
        <f t="shared" si="2755"/>
        <v xml:space="preserve"> </v>
      </c>
      <c r="BK166" s="166"/>
      <c r="BL166" s="166" t="str">
        <f t="shared" si="2756"/>
        <v xml:space="preserve"> </v>
      </c>
      <c r="BM166" s="168" t="str">
        <f t="shared" si="2757"/>
        <v xml:space="preserve"> </v>
      </c>
      <c r="BN166" s="168"/>
      <c r="BO166" s="166" t="str">
        <f t="shared" si="2758"/>
        <v xml:space="preserve"> </v>
      </c>
    </row>
    <row r="167" spans="2:67" ht="15" customHeight="1" x14ac:dyDescent="0.25">
      <c r="B167" s="170">
        <v>46185</v>
      </c>
      <c r="C167" s="164"/>
      <c r="D167" s="166" t="str">
        <f t="shared" si="2726"/>
        <v xml:space="preserve"> </v>
      </c>
      <c r="E167" s="168" t="str">
        <f t="shared" si="2727"/>
        <v xml:space="preserve"> </v>
      </c>
      <c r="F167" s="168"/>
      <c r="G167" s="166" t="str">
        <f t="shared" si="2728"/>
        <v xml:space="preserve"> </v>
      </c>
      <c r="H167" s="167"/>
      <c r="I167" s="167" t="str">
        <f t="shared" si="2729"/>
        <v xml:space="preserve"> </v>
      </c>
      <c r="J167" s="168" t="str">
        <f t="shared" si="2730"/>
        <v xml:space="preserve"> </v>
      </c>
      <c r="K167" s="168"/>
      <c r="L167" s="167" t="str">
        <f t="shared" si="2731"/>
        <v xml:space="preserve"> </v>
      </c>
      <c r="M167" s="166"/>
      <c r="N167" s="166" t="str">
        <f t="shared" si="2732"/>
        <v xml:space="preserve"> </v>
      </c>
      <c r="O167" s="168" t="str">
        <f t="shared" si="2733"/>
        <v xml:space="preserve"> </v>
      </c>
      <c r="P167" s="168"/>
      <c r="Q167" s="166" t="str">
        <f t="shared" si="2734"/>
        <v xml:space="preserve"> </v>
      </c>
      <c r="R167" s="167">
        <f ca="1">+BDFUENTES[[#This Row],[PZ MED m3/día]]/3.6/BDFUENTES[[#This Row],[PZ MED Horas Activo]]</f>
        <v>0</v>
      </c>
      <c r="S167" s="167" t="str">
        <f t="shared" ca="1" si="2735"/>
        <v xml:space="preserve"> </v>
      </c>
      <c r="T167" s="168" t="str">
        <f t="shared" si="2736"/>
        <v xml:space="preserve"> </v>
      </c>
      <c r="U167" s="168"/>
      <c r="V167" s="165" t="str">
        <f t="shared" si="2737"/>
        <v xml:space="preserve"> </v>
      </c>
      <c r="W167" s="164" t="str">
        <f t="shared" si="2738"/>
        <v xml:space="preserve"> </v>
      </c>
      <c r="X167" s="166"/>
      <c r="Y167" s="168" t="str">
        <f t="shared" si="2739"/>
        <v xml:space="preserve"> </v>
      </c>
      <c r="Z167" s="168"/>
      <c r="AA167" s="166" t="str">
        <f t="shared" si="2740"/>
        <v xml:space="preserve"> </v>
      </c>
      <c r="AB167" s="168" t="str">
        <f t="shared" si="2741"/>
        <v xml:space="preserve"> </v>
      </c>
      <c r="AC167" s="168"/>
      <c r="AD167" s="171" t="str">
        <f t="shared" si="2742"/>
        <v xml:space="preserve"> </v>
      </c>
      <c r="AE167" s="167"/>
      <c r="AF167" s="165" t="str">
        <f t="shared" si="2387"/>
        <v xml:space="preserve"> </v>
      </c>
      <c r="AG167" s="168"/>
      <c r="AH167" s="168"/>
      <c r="AI167" s="166"/>
      <c r="AJ167" s="166"/>
      <c r="AK167" s="166" t="str">
        <f t="shared" si="2743"/>
        <v/>
      </c>
      <c r="AL167" s="167"/>
      <c r="AM167" s="171" t="str">
        <f t="shared" si="2744"/>
        <v xml:space="preserve"> </v>
      </c>
      <c r="AN167" s="168" t="str">
        <f t="shared" si="2745"/>
        <v xml:space="preserve"> </v>
      </c>
      <c r="AO167" s="168"/>
      <c r="AP167" s="167" t="str">
        <f t="shared" si="2746"/>
        <v xml:space="preserve"> </v>
      </c>
      <c r="AQ167" s="166"/>
      <c r="AR167" s="166" t="str">
        <f t="shared" si="2747"/>
        <v xml:space="preserve"> </v>
      </c>
      <c r="AS167" s="168" t="str">
        <f t="shared" si="2748"/>
        <v xml:space="preserve"> </v>
      </c>
      <c r="AT167" s="168"/>
      <c r="AU167" s="166" t="str">
        <f t="shared" si="2749"/>
        <v xml:space="preserve"> </v>
      </c>
      <c r="AV167" s="167"/>
      <c r="AW167" s="167"/>
      <c r="AX167" s="169" t="str">
        <f t="shared" si="2750"/>
        <v xml:space="preserve"> </v>
      </c>
      <c r="AY167" s="169"/>
      <c r="AZ167" s="167" t="str">
        <f t="shared" si="2751"/>
        <v xml:space="preserve"> </v>
      </c>
      <c r="BA167" s="166"/>
      <c r="BB167" s="166"/>
      <c r="BC167" s="168" t="str">
        <f t="shared" si="2752"/>
        <v xml:space="preserve"> </v>
      </c>
      <c r="BD167" s="168"/>
      <c r="BE167" s="166" t="str">
        <f t="shared" si="2753"/>
        <v xml:space="preserve"> </v>
      </c>
      <c r="BF167" s="167"/>
      <c r="BG167" s="167"/>
      <c r="BH167" s="168" t="str">
        <f t="shared" si="2754"/>
        <v xml:space="preserve"> </v>
      </c>
      <c r="BI167" s="168"/>
      <c r="BJ167" s="167" t="str">
        <f t="shared" si="2755"/>
        <v xml:space="preserve"> </v>
      </c>
      <c r="BK167" s="166"/>
      <c r="BL167" s="166" t="str">
        <f t="shared" si="2756"/>
        <v xml:space="preserve"> </v>
      </c>
      <c r="BM167" s="168" t="str">
        <f t="shared" si="2757"/>
        <v xml:space="preserve"> </v>
      </c>
      <c r="BN167" s="168"/>
      <c r="BO167" s="166" t="str">
        <f t="shared" si="2758"/>
        <v xml:space="preserve"> </v>
      </c>
    </row>
    <row r="168" spans="2:67" ht="15" customHeight="1" x14ac:dyDescent="0.25">
      <c r="B168" s="170">
        <v>46186</v>
      </c>
      <c r="C168" s="164"/>
      <c r="D168" s="166" t="str">
        <f t="shared" ref="D168:D231" si="2759">IFERROR(+G168/(C168*3.6)," ")</f>
        <v xml:space="preserve"> </v>
      </c>
      <c r="E168" s="168" t="str">
        <f t="shared" ref="E168:E231" si="2760">IF(F168&gt;0,F167," ")</f>
        <v xml:space="preserve"> </v>
      </c>
      <c r="F168" s="168"/>
      <c r="G168" s="166" t="str">
        <f t="shared" ref="G168:G231" si="2761">IFERROR((F168-E168)," ")</f>
        <v xml:space="preserve"> </v>
      </c>
      <c r="H168" s="167"/>
      <c r="I168" s="167" t="str">
        <f t="shared" ref="I168:I231" si="2762">IFERROR(+L168/(H168*3.6)," ")</f>
        <v xml:space="preserve"> </v>
      </c>
      <c r="J168" s="168" t="str">
        <f t="shared" ref="J168:J231" si="2763">IF(K168&gt;0,K167," ")</f>
        <v xml:space="preserve"> </v>
      </c>
      <c r="K168" s="168"/>
      <c r="L168" s="167" t="str">
        <f t="shared" ref="L168:L231" si="2764">IFERROR((K168-J168)," ")</f>
        <v xml:space="preserve"> </v>
      </c>
      <c r="M168" s="166"/>
      <c r="N168" s="166" t="str">
        <f t="shared" ref="N168:N231" si="2765">IFERROR(+Q168/(M168*3.6)," ")</f>
        <v xml:space="preserve"> </v>
      </c>
      <c r="O168" s="168" t="str">
        <f t="shared" ref="O168:O231" si="2766">IF(P168&gt;0,P167," ")</f>
        <v xml:space="preserve"> </v>
      </c>
      <c r="P168" s="168"/>
      <c r="Q168" s="166" t="str">
        <f t="shared" ref="Q168:Q231" si="2767">IFERROR((P168-O168)," ")</f>
        <v xml:space="preserve"> </v>
      </c>
      <c r="R168" s="167">
        <f ca="1">+BDFUENTES[[#This Row],[PZ MED m3/día]]/3.6/BDFUENTES[[#This Row],[PZ MED Horas Activo]]</f>
        <v>0</v>
      </c>
      <c r="S168" s="167" t="str">
        <f t="shared" ref="S168:S231" ca="1" si="2768">IFERROR(+V168/(R168*3.6)," ")</f>
        <v xml:space="preserve"> </v>
      </c>
      <c r="T168" s="168" t="str">
        <f t="shared" ref="T168:T231" si="2769">IF(U168&gt;0,U167," ")</f>
        <v xml:space="preserve"> </v>
      </c>
      <c r="U168" s="168"/>
      <c r="V168" s="165" t="str">
        <f t="shared" ref="V168:V231" si="2770">IFERROR((U168-T168)," ")</f>
        <v xml:space="preserve"> </v>
      </c>
      <c r="W168" s="164" t="str">
        <f t="shared" ref="W168:W231" si="2771">IFERROR((AA168/X168)/3.6," ")</f>
        <v xml:space="preserve"> </v>
      </c>
      <c r="X168" s="166"/>
      <c r="Y168" s="168" t="str">
        <f t="shared" ref="Y168:Y231" si="2772">IF(Z168&gt;0,Z167," ")</f>
        <v xml:space="preserve"> </v>
      </c>
      <c r="Z168" s="168"/>
      <c r="AA168" s="166" t="str">
        <f t="shared" ref="AA168:AA231" si="2773">IFERROR(-(Z168-Y168)," ")</f>
        <v xml:space="preserve"> </v>
      </c>
      <c r="AB168" s="168" t="str">
        <f t="shared" ref="AB168:AB231" si="2774">IFERROR(ROUNDDOWN(+AF168/(AC168*3.6),0)," ")</f>
        <v xml:space="preserve"> </v>
      </c>
      <c r="AC168" s="168"/>
      <c r="AD168" s="171" t="str">
        <f t="shared" ref="AD168:AD231" si="2775">IF(AE168&gt;0,AE167," ")</f>
        <v xml:space="preserve"> </v>
      </c>
      <c r="AE168" s="167"/>
      <c r="AF168" s="165" t="str">
        <f t="shared" ref="AF168:AF231" si="2776">IFERROR((AE168-AD168)," ")</f>
        <v xml:space="preserve"> </v>
      </c>
      <c r="AG168" s="168"/>
      <c r="AH168" s="168"/>
      <c r="AI168" s="166"/>
      <c r="AJ168" s="166"/>
      <c r="AK168" s="166" t="str">
        <f t="shared" ref="AK168:AK231" si="2777">IF(OR(AH168="",AG168=""),"",AH168*AG168*3.6)</f>
        <v/>
      </c>
      <c r="AL168" s="167"/>
      <c r="AM168" s="171" t="str">
        <f t="shared" ref="AM168:AM231" si="2778">IFERROR(+AP168/(AL168*3.6)," ")</f>
        <v xml:space="preserve"> </v>
      </c>
      <c r="AN168" s="168" t="str">
        <f t="shared" ref="AN168:AN231" si="2779">IF(AO168&gt;0,AO167," ")</f>
        <v xml:space="preserve"> </v>
      </c>
      <c r="AO168" s="168"/>
      <c r="AP168" s="167" t="str">
        <f t="shared" ref="AP168:AP231" si="2780">IFERROR((AO168-AN168)," ")</f>
        <v xml:space="preserve"> </v>
      </c>
      <c r="AQ168" s="166"/>
      <c r="AR168" s="166" t="str">
        <f t="shared" ref="AR168:AR231" si="2781">IFERROR(+AU168/(AQ168*3.6)," ")</f>
        <v xml:space="preserve"> </v>
      </c>
      <c r="AS168" s="168" t="str">
        <f t="shared" ref="AS168:AS231" si="2782">IF(AT168&gt;0,AT167," ")</f>
        <v xml:space="preserve"> </v>
      </c>
      <c r="AT168" s="168"/>
      <c r="AU168" s="166" t="str">
        <f t="shared" ref="AU168:AU231" si="2783">IFERROR((AT168-AS168)," ")</f>
        <v xml:space="preserve"> </v>
      </c>
      <c r="AV168" s="167"/>
      <c r="AW168" s="167"/>
      <c r="AX168" s="169" t="str">
        <f t="shared" ref="AX168:AX231" si="2784">IF(AY168&gt;0,AY167," ")</f>
        <v xml:space="preserve"> </v>
      </c>
      <c r="AY168" s="169"/>
      <c r="AZ168" s="167" t="str">
        <f t="shared" ref="AZ168:AZ231" si="2785">IFERROR((AY168-AX168)," ")</f>
        <v xml:space="preserve"> </v>
      </c>
      <c r="BA168" s="166"/>
      <c r="BB168" s="166"/>
      <c r="BC168" s="168" t="str">
        <f t="shared" ref="BC168:BC231" si="2786">IF(BD168&gt;0,BD167," ")</f>
        <v xml:space="preserve"> </v>
      </c>
      <c r="BD168" s="168"/>
      <c r="BE168" s="166" t="str">
        <f t="shared" ref="BE168:BE231" si="2787">IFERROR((BD168-BC168)," ")</f>
        <v xml:space="preserve"> </v>
      </c>
      <c r="BF168" s="167"/>
      <c r="BG168" s="167"/>
      <c r="BH168" s="168" t="str">
        <f t="shared" ref="BH168:BH231" si="2788">IF(BI168&gt;0,BI167," ")</f>
        <v xml:space="preserve"> </v>
      </c>
      <c r="BI168" s="168"/>
      <c r="BJ168" s="167" t="str">
        <f t="shared" ref="BJ168:BJ231" si="2789">IFERROR((BI168-BH168)," ")</f>
        <v xml:space="preserve"> </v>
      </c>
      <c r="BK168" s="166"/>
      <c r="BL168" s="166" t="str">
        <f t="shared" ref="BL168:BL231" si="2790">IFERROR(+BO168/(BK168*3.6)," ")</f>
        <v xml:space="preserve"> </v>
      </c>
      <c r="BM168" s="168" t="str">
        <f t="shared" ref="BM168:BM231" si="2791">IF(BN168&gt;0,BN167," ")</f>
        <v xml:space="preserve"> </v>
      </c>
      <c r="BN168" s="168"/>
      <c r="BO168" s="166" t="str">
        <f t="shared" ref="BO168:BO231" si="2792">IFERROR((BN168-BM168)," ")</f>
        <v xml:space="preserve"> </v>
      </c>
    </row>
    <row r="169" spans="2:67" ht="15" customHeight="1" x14ac:dyDescent="0.25">
      <c r="B169" s="170">
        <v>46187</v>
      </c>
      <c r="C169" s="164"/>
      <c r="D169" s="166" t="str">
        <f t="shared" si="2759"/>
        <v xml:space="preserve"> </v>
      </c>
      <c r="E169" s="168" t="str">
        <f t="shared" si="2760"/>
        <v xml:space="preserve"> </v>
      </c>
      <c r="F169" s="168"/>
      <c r="G169" s="166" t="str">
        <f t="shared" si="2761"/>
        <v xml:space="preserve"> </v>
      </c>
      <c r="H169" s="167"/>
      <c r="I169" s="167" t="str">
        <f t="shared" si="2762"/>
        <v xml:space="preserve"> </v>
      </c>
      <c r="J169" s="168" t="str">
        <f t="shared" si="2763"/>
        <v xml:space="preserve"> </v>
      </c>
      <c r="K169" s="168"/>
      <c r="L169" s="167" t="str">
        <f t="shared" si="2764"/>
        <v xml:space="preserve"> </v>
      </c>
      <c r="M169" s="166"/>
      <c r="N169" s="166" t="str">
        <f t="shared" si="2765"/>
        <v xml:space="preserve"> </v>
      </c>
      <c r="O169" s="168" t="str">
        <f t="shared" si="2766"/>
        <v xml:space="preserve"> </v>
      </c>
      <c r="P169" s="168"/>
      <c r="Q169" s="166" t="str">
        <f t="shared" si="2767"/>
        <v xml:space="preserve"> </v>
      </c>
      <c r="R169" s="167">
        <f ca="1">+BDFUENTES[[#This Row],[PZ MED m3/día]]/3.6/BDFUENTES[[#This Row],[PZ MED Horas Activo]]</f>
        <v>0</v>
      </c>
      <c r="S169" s="167" t="str">
        <f t="shared" ca="1" si="2768"/>
        <v xml:space="preserve"> </v>
      </c>
      <c r="T169" s="168" t="str">
        <f t="shared" si="2769"/>
        <v xml:space="preserve"> </v>
      </c>
      <c r="U169" s="168"/>
      <c r="V169" s="165" t="str">
        <f t="shared" si="2770"/>
        <v xml:space="preserve"> </v>
      </c>
      <c r="W169" s="164" t="str">
        <f t="shared" si="2771"/>
        <v xml:space="preserve"> </v>
      </c>
      <c r="X169" s="166"/>
      <c r="Y169" s="168" t="str">
        <f t="shared" si="2772"/>
        <v xml:space="preserve"> </v>
      </c>
      <c r="Z169" s="168"/>
      <c r="AA169" s="166" t="str">
        <f t="shared" si="2773"/>
        <v xml:space="preserve"> </v>
      </c>
      <c r="AB169" s="168" t="str">
        <f t="shared" si="2774"/>
        <v xml:space="preserve"> </v>
      </c>
      <c r="AC169" s="168"/>
      <c r="AD169" s="171" t="str">
        <f t="shared" si="2775"/>
        <v xml:space="preserve"> </v>
      </c>
      <c r="AE169" s="167"/>
      <c r="AF169" s="165" t="str">
        <f t="shared" si="2776"/>
        <v xml:space="preserve"> </v>
      </c>
      <c r="AG169" s="168"/>
      <c r="AH169" s="168"/>
      <c r="AI169" s="166"/>
      <c r="AJ169" s="166"/>
      <c r="AK169" s="166" t="str">
        <f t="shared" si="2777"/>
        <v/>
      </c>
      <c r="AL169" s="167"/>
      <c r="AM169" s="171" t="str">
        <f t="shared" si="2778"/>
        <v xml:space="preserve"> </v>
      </c>
      <c r="AN169" s="168" t="str">
        <f t="shared" si="2779"/>
        <v xml:space="preserve"> </v>
      </c>
      <c r="AO169" s="168"/>
      <c r="AP169" s="167" t="str">
        <f t="shared" si="2780"/>
        <v xml:space="preserve"> </v>
      </c>
      <c r="AQ169" s="166"/>
      <c r="AR169" s="166" t="str">
        <f t="shared" si="2781"/>
        <v xml:space="preserve"> </v>
      </c>
      <c r="AS169" s="168" t="str">
        <f t="shared" si="2782"/>
        <v xml:space="preserve"> </v>
      </c>
      <c r="AT169" s="168"/>
      <c r="AU169" s="166" t="str">
        <f t="shared" si="2783"/>
        <v xml:space="preserve"> </v>
      </c>
      <c r="AV169" s="167"/>
      <c r="AW169" s="167"/>
      <c r="AX169" s="169" t="str">
        <f t="shared" si="2784"/>
        <v xml:space="preserve"> </v>
      </c>
      <c r="AY169" s="169"/>
      <c r="AZ169" s="167" t="str">
        <f t="shared" si="2785"/>
        <v xml:space="preserve"> </v>
      </c>
      <c r="BA169" s="166"/>
      <c r="BB169" s="166"/>
      <c r="BC169" s="168" t="str">
        <f t="shared" si="2786"/>
        <v xml:space="preserve"> </v>
      </c>
      <c r="BD169" s="168"/>
      <c r="BE169" s="166" t="str">
        <f t="shared" si="2787"/>
        <v xml:space="preserve"> </v>
      </c>
      <c r="BF169" s="167"/>
      <c r="BG169" s="167"/>
      <c r="BH169" s="168" t="str">
        <f t="shared" si="2788"/>
        <v xml:space="preserve"> </v>
      </c>
      <c r="BI169" s="168"/>
      <c r="BJ169" s="167" t="str">
        <f t="shared" si="2789"/>
        <v xml:space="preserve"> </v>
      </c>
      <c r="BK169" s="166"/>
      <c r="BL169" s="166" t="str">
        <f t="shared" si="2790"/>
        <v xml:space="preserve"> </v>
      </c>
      <c r="BM169" s="168" t="str">
        <f t="shared" si="2791"/>
        <v xml:space="preserve"> </v>
      </c>
      <c r="BN169" s="168"/>
      <c r="BO169" s="166" t="str">
        <f t="shared" si="2792"/>
        <v xml:space="preserve"> </v>
      </c>
    </row>
    <row r="170" spans="2:67" ht="15" customHeight="1" x14ac:dyDescent="0.25">
      <c r="B170" s="170">
        <v>46188</v>
      </c>
      <c r="C170" s="164"/>
      <c r="D170" s="166" t="str">
        <f t="shared" si="2759"/>
        <v xml:space="preserve"> </v>
      </c>
      <c r="E170" s="168" t="str">
        <f t="shared" si="2760"/>
        <v xml:space="preserve"> </v>
      </c>
      <c r="F170" s="168"/>
      <c r="G170" s="166" t="str">
        <f t="shared" si="2761"/>
        <v xml:space="preserve"> </v>
      </c>
      <c r="H170" s="167"/>
      <c r="I170" s="167" t="str">
        <f t="shared" si="2762"/>
        <v xml:space="preserve"> </v>
      </c>
      <c r="J170" s="168" t="str">
        <f t="shared" si="2763"/>
        <v xml:space="preserve"> </v>
      </c>
      <c r="K170" s="168"/>
      <c r="L170" s="167" t="str">
        <f t="shared" si="2764"/>
        <v xml:space="preserve"> </v>
      </c>
      <c r="M170" s="166"/>
      <c r="N170" s="166" t="str">
        <f t="shared" si="2765"/>
        <v xml:space="preserve"> </v>
      </c>
      <c r="O170" s="168" t="str">
        <f t="shared" si="2766"/>
        <v xml:space="preserve"> </v>
      </c>
      <c r="P170" s="168"/>
      <c r="Q170" s="166" t="str">
        <f t="shared" si="2767"/>
        <v xml:space="preserve"> </v>
      </c>
      <c r="R170" s="167">
        <f ca="1">+BDFUENTES[[#This Row],[PZ MED m3/día]]/3.6/BDFUENTES[[#This Row],[PZ MED Horas Activo]]</f>
        <v>0</v>
      </c>
      <c r="S170" s="167" t="str">
        <f t="shared" ca="1" si="2768"/>
        <v xml:space="preserve"> </v>
      </c>
      <c r="T170" s="168" t="str">
        <f t="shared" si="2769"/>
        <v xml:space="preserve"> </v>
      </c>
      <c r="U170" s="168"/>
      <c r="V170" s="165" t="str">
        <f t="shared" si="2770"/>
        <v xml:space="preserve"> </v>
      </c>
      <c r="W170" s="164" t="str">
        <f t="shared" si="2771"/>
        <v xml:space="preserve"> </v>
      </c>
      <c r="X170" s="166"/>
      <c r="Y170" s="168" t="str">
        <f t="shared" si="2772"/>
        <v xml:space="preserve"> </v>
      </c>
      <c r="Z170" s="168"/>
      <c r="AA170" s="166" t="str">
        <f t="shared" si="2773"/>
        <v xml:space="preserve"> </v>
      </c>
      <c r="AB170" s="168" t="str">
        <f t="shared" si="2774"/>
        <v xml:space="preserve"> </v>
      </c>
      <c r="AC170" s="168"/>
      <c r="AD170" s="171" t="str">
        <f t="shared" si="2775"/>
        <v xml:space="preserve"> </v>
      </c>
      <c r="AE170" s="167"/>
      <c r="AF170" s="165" t="str">
        <f t="shared" si="2776"/>
        <v xml:space="preserve"> </v>
      </c>
      <c r="AG170" s="168"/>
      <c r="AH170" s="168"/>
      <c r="AI170" s="166"/>
      <c r="AJ170" s="166"/>
      <c r="AK170" s="166" t="str">
        <f t="shared" si="2777"/>
        <v/>
      </c>
      <c r="AL170" s="167"/>
      <c r="AM170" s="171" t="str">
        <f t="shared" si="2778"/>
        <v xml:space="preserve"> </v>
      </c>
      <c r="AN170" s="168" t="str">
        <f t="shared" si="2779"/>
        <v xml:space="preserve"> </v>
      </c>
      <c r="AO170" s="168"/>
      <c r="AP170" s="167" t="str">
        <f t="shared" si="2780"/>
        <v xml:space="preserve"> </v>
      </c>
      <c r="AQ170" s="166"/>
      <c r="AR170" s="166" t="str">
        <f t="shared" si="2781"/>
        <v xml:space="preserve"> </v>
      </c>
      <c r="AS170" s="168" t="str">
        <f t="shared" si="2782"/>
        <v xml:space="preserve"> </v>
      </c>
      <c r="AT170" s="168"/>
      <c r="AU170" s="166" t="str">
        <f t="shared" si="2783"/>
        <v xml:space="preserve"> </v>
      </c>
      <c r="AV170" s="167"/>
      <c r="AW170" s="167"/>
      <c r="AX170" s="169" t="str">
        <f t="shared" si="2784"/>
        <v xml:space="preserve"> </v>
      </c>
      <c r="AY170" s="169"/>
      <c r="AZ170" s="167" t="str">
        <f t="shared" si="2785"/>
        <v xml:space="preserve"> </v>
      </c>
      <c r="BA170" s="166"/>
      <c r="BB170" s="166"/>
      <c r="BC170" s="168" t="str">
        <f t="shared" si="2786"/>
        <v xml:space="preserve"> </v>
      </c>
      <c r="BD170" s="168"/>
      <c r="BE170" s="166" t="str">
        <f t="shared" si="2787"/>
        <v xml:space="preserve"> </v>
      </c>
      <c r="BF170" s="167"/>
      <c r="BG170" s="167"/>
      <c r="BH170" s="168" t="str">
        <f t="shared" si="2788"/>
        <v xml:space="preserve"> </v>
      </c>
      <c r="BI170" s="168"/>
      <c r="BJ170" s="167" t="str">
        <f t="shared" si="2789"/>
        <v xml:space="preserve"> </v>
      </c>
      <c r="BK170" s="166"/>
      <c r="BL170" s="166" t="str">
        <f t="shared" si="2790"/>
        <v xml:space="preserve"> </v>
      </c>
      <c r="BM170" s="168" t="str">
        <f t="shared" si="2791"/>
        <v xml:space="preserve"> </v>
      </c>
      <c r="BN170" s="168"/>
      <c r="BO170" s="166" t="str">
        <f t="shared" si="2792"/>
        <v xml:space="preserve"> </v>
      </c>
    </row>
    <row r="171" spans="2:67" ht="15" customHeight="1" x14ac:dyDescent="0.25">
      <c r="B171" s="170">
        <v>46189</v>
      </c>
      <c r="C171" s="164"/>
      <c r="D171" s="166" t="str">
        <f t="shared" si="2759"/>
        <v xml:space="preserve"> </v>
      </c>
      <c r="E171" s="168" t="str">
        <f t="shared" si="2760"/>
        <v xml:space="preserve"> </v>
      </c>
      <c r="F171" s="168"/>
      <c r="G171" s="166" t="str">
        <f t="shared" si="2761"/>
        <v xml:space="preserve"> </v>
      </c>
      <c r="H171" s="167"/>
      <c r="I171" s="167" t="str">
        <f t="shared" si="2762"/>
        <v xml:space="preserve"> </v>
      </c>
      <c r="J171" s="168" t="str">
        <f t="shared" si="2763"/>
        <v xml:space="preserve"> </v>
      </c>
      <c r="K171" s="168"/>
      <c r="L171" s="167" t="str">
        <f t="shared" si="2764"/>
        <v xml:space="preserve"> </v>
      </c>
      <c r="M171" s="166"/>
      <c r="N171" s="166" t="str">
        <f t="shared" si="2765"/>
        <v xml:space="preserve"> </v>
      </c>
      <c r="O171" s="168" t="str">
        <f t="shared" si="2766"/>
        <v xml:space="preserve"> </v>
      </c>
      <c r="P171" s="168"/>
      <c r="Q171" s="166" t="str">
        <f t="shared" si="2767"/>
        <v xml:space="preserve"> </v>
      </c>
      <c r="R171" s="167">
        <f ca="1">+BDFUENTES[[#This Row],[PZ MED m3/día]]/3.6/BDFUENTES[[#This Row],[PZ MED Horas Activo]]</f>
        <v>0</v>
      </c>
      <c r="S171" s="167" t="str">
        <f t="shared" ca="1" si="2768"/>
        <v xml:space="preserve"> </v>
      </c>
      <c r="T171" s="168" t="str">
        <f t="shared" si="2769"/>
        <v xml:space="preserve"> </v>
      </c>
      <c r="U171" s="168"/>
      <c r="V171" s="165" t="str">
        <f t="shared" si="2770"/>
        <v xml:space="preserve"> </v>
      </c>
      <c r="W171" s="164" t="str">
        <f t="shared" si="2771"/>
        <v xml:space="preserve"> </v>
      </c>
      <c r="X171" s="166"/>
      <c r="Y171" s="168" t="str">
        <f t="shared" si="2772"/>
        <v xml:space="preserve"> </v>
      </c>
      <c r="Z171" s="168"/>
      <c r="AA171" s="166" t="str">
        <f t="shared" si="2773"/>
        <v xml:space="preserve"> </v>
      </c>
      <c r="AB171" s="168" t="str">
        <f t="shared" si="2774"/>
        <v xml:space="preserve"> </v>
      </c>
      <c r="AC171" s="168"/>
      <c r="AD171" s="171" t="str">
        <f t="shared" si="2775"/>
        <v xml:space="preserve"> </v>
      </c>
      <c r="AE171" s="167"/>
      <c r="AF171" s="165" t="str">
        <f t="shared" si="2776"/>
        <v xml:space="preserve"> </v>
      </c>
      <c r="AG171" s="168"/>
      <c r="AH171" s="168"/>
      <c r="AI171" s="166"/>
      <c r="AJ171" s="166"/>
      <c r="AK171" s="166" t="str">
        <f t="shared" si="2777"/>
        <v/>
      </c>
      <c r="AL171" s="167"/>
      <c r="AM171" s="171" t="str">
        <f t="shared" si="2778"/>
        <v xml:space="preserve"> </v>
      </c>
      <c r="AN171" s="168" t="str">
        <f t="shared" si="2779"/>
        <v xml:space="preserve"> </v>
      </c>
      <c r="AO171" s="168"/>
      <c r="AP171" s="167" t="str">
        <f t="shared" si="2780"/>
        <v xml:space="preserve"> </v>
      </c>
      <c r="AQ171" s="166"/>
      <c r="AR171" s="166" t="str">
        <f t="shared" si="2781"/>
        <v xml:space="preserve"> </v>
      </c>
      <c r="AS171" s="168" t="str">
        <f t="shared" si="2782"/>
        <v xml:space="preserve"> </v>
      </c>
      <c r="AT171" s="168"/>
      <c r="AU171" s="166" t="str">
        <f t="shared" si="2783"/>
        <v xml:space="preserve"> </v>
      </c>
      <c r="AV171" s="167"/>
      <c r="AW171" s="167"/>
      <c r="AX171" s="169" t="str">
        <f t="shared" si="2784"/>
        <v xml:space="preserve"> </v>
      </c>
      <c r="AY171" s="169"/>
      <c r="AZ171" s="167" t="str">
        <f t="shared" si="2785"/>
        <v xml:space="preserve"> </v>
      </c>
      <c r="BA171" s="166"/>
      <c r="BB171" s="166"/>
      <c r="BC171" s="168" t="str">
        <f t="shared" si="2786"/>
        <v xml:space="preserve"> </v>
      </c>
      <c r="BD171" s="168"/>
      <c r="BE171" s="166" t="str">
        <f t="shared" si="2787"/>
        <v xml:space="preserve"> </v>
      </c>
      <c r="BF171" s="167"/>
      <c r="BG171" s="167"/>
      <c r="BH171" s="168" t="str">
        <f t="shared" si="2788"/>
        <v xml:space="preserve"> </v>
      </c>
      <c r="BI171" s="168"/>
      <c r="BJ171" s="167" t="str">
        <f t="shared" si="2789"/>
        <v xml:space="preserve"> </v>
      </c>
      <c r="BK171" s="166"/>
      <c r="BL171" s="166" t="str">
        <f t="shared" si="2790"/>
        <v xml:space="preserve"> </v>
      </c>
      <c r="BM171" s="168" t="str">
        <f t="shared" si="2791"/>
        <v xml:space="preserve"> </v>
      </c>
      <c r="BN171" s="168"/>
      <c r="BO171" s="166" t="str">
        <f t="shared" si="2792"/>
        <v xml:space="preserve"> </v>
      </c>
    </row>
    <row r="172" spans="2:67" ht="15" customHeight="1" x14ac:dyDescent="0.25">
      <c r="B172" s="170">
        <v>46190</v>
      </c>
      <c r="C172" s="164"/>
      <c r="D172" s="166" t="str">
        <f t="shared" si="2759"/>
        <v xml:space="preserve"> </v>
      </c>
      <c r="E172" s="168" t="str">
        <f t="shared" si="2760"/>
        <v xml:space="preserve"> </v>
      </c>
      <c r="F172" s="168"/>
      <c r="G172" s="166" t="str">
        <f t="shared" si="2761"/>
        <v xml:space="preserve"> </v>
      </c>
      <c r="H172" s="167"/>
      <c r="I172" s="167" t="str">
        <f t="shared" si="2762"/>
        <v xml:space="preserve"> </v>
      </c>
      <c r="J172" s="168" t="str">
        <f t="shared" si="2763"/>
        <v xml:space="preserve"> </v>
      </c>
      <c r="K172" s="168"/>
      <c r="L172" s="167" t="str">
        <f t="shared" si="2764"/>
        <v xml:space="preserve"> </v>
      </c>
      <c r="M172" s="166"/>
      <c r="N172" s="166" t="str">
        <f t="shared" si="2765"/>
        <v xml:space="preserve"> </v>
      </c>
      <c r="O172" s="168" t="str">
        <f t="shared" si="2766"/>
        <v xml:space="preserve"> </v>
      </c>
      <c r="P172" s="168"/>
      <c r="Q172" s="166" t="str">
        <f t="shared" si="2767"/>
        <v xml:space="preserve"> </v>
      </c>
      <c r="R172" s="167">
        <f ca="1">+BDFUENTES[[#This Row],[PZ MED m3/día]]/3.6/BDFUENTES[[#This Row],[PZ MED Horas Activo]]</f>
        <v>0</v>
      </c>
      <c r="S172" s="167" t="str">
        <f t="shared" ca="1" si="2768"/>
        <v xml:space="preserve"> </v>
      </c>
      <c r="T172" s="168" t="str">
        <f t="shared" si="2769"/>
        <v xml:space="preserve"> </v>
      </c>
      <c r="U172" s="168"/>
      <c r="V172" s="165" t="str">
        <f t="shared" si="2770"/>
        <v xml:space="preserve"> </v>
      </c>
      <c r="W172" s="164" t="str">
        <f t="shared" si="2771"/>
        <v xml:space="preserve"> </v>
      </c>
      <c r="X172" s="166"/>
      <c r="Y172" s="168" t="str">
        <f t="shared" si="2772"/>
        <v xml:space="preserve"> </v>
      </c>
      <c r="Z172" s="168"/>
      <c r="AA172" s="166" t="str">
        <f t="shared" si="2773"/>
        <v xml:space="preserve"> </v>
      </c>
      <c r="AB172" s="168" t="str">
        <f t="shared" si="2774"/>
        <v xml:space="preserve"> </v>
      </c>
      <c r="AC172" s="168"/>
      <c r="AD172" s="171" t="str">
        <f t="shared" si="2775"/>
        <v xml:space="preserve"> </v>
      </c>
      <c r="AE172" s="167"/>
      <c r="AF172" s="165" t="str">
        <f t="shared" si="2776"/>
        <v xml:space="preserve"> </v>
      </c>
      <c r="AG172" s="168"/>
      <c r="AH172" s="168"/>
      <c r="AI172" s="166"/>
      <c r="AJ172" s="166"/>
      <c r="AK172" s="166" t="str">
        <f t="shared" si="2777"/>
        <v/>
      </c>
      <c r="AL172" s="167"/>
      <c r="AM172" s="171" t="str">
        <f t="shared" si="2778"/>
        <v xml:space="preserve"> </v>
      </c>
      <c r="AN172" s="168" t="str">
        <f t="shared" si="2779"/>
        <v xml:space="preserve"> </v>
      </c>
      <c r="AO172" s="168"/>
      <c r="AP172" s="167" t="str">
        <f t="shared" si="2780"/>
        <v xml:space="preserve"> </v>
      </c>
      <c r="AQ172" s="166"/>
      <c r="AR172" s="166" t="str">
        <f t="shared" si="2781"/>
        <v xml:space="preserve"> </v>
      </c>
      <c r="AS172" s="168" t="str">
        <f t="shared" si="2782"/>
        <v xml:space="preserve"> </v>
      </c>
      <c r="AT172" s="168"/>
      <c r="AU172" s="166" t="str">
        <f t="shared" si="2783"/>
        <v xml:space="preserve"> </v>
      </c>
      <c r="AV172" s="167"/>
      <c r="AW172" s="167"/>
      <c r="AX172" s="169" t="str">
        <f t="shared" si="2784"/>
        <v xml:space="preserve"> </v>
      </c>
      <c r="AY172" s="169"/>
      <c r="AZ172" s="167" t="str">
        <f t="shared" si="2785"/>
        <v xml:space="preserve"> </v>
      </c>
      <c r="BA172" s="166"/>
      <c r="BB172" s="166"/>
      <c r="BC172" s="168" t="str">
        <f t="shared" si="2786"/>
        <v xml:space="preserve"> </v>
      </c>
      <c r="BD172" s="168"/>
      <c r="BE172" s="166" t="str">
        <f t="shared" si="2787"/>
        <v xml:space="preserve"> </v>
      </c>
      <c r="BF172" s="167"/>
      <c r="BG172" s="167"/>
      <c r="BH172" s="168" t="str">
        <f t="shared" si="2788"/>
        <v xml:space="preserve"> </v>
      </c>
      <c r="BI172" s="168"/>
      <c r="BJ172" s="167" t="str">
        <f t="shared" si="2789"/>
        <v xml:space="preserve"> </v>
      </c>
      <c r="BK172" s="166"/>
      <c r="BL172" s="166" t="str">
        <f t="shared" si="2790"/>
        <v xml:space="preserve"> </v>
      </c>
      <c r="BM172" s="168" t="str">
        <f t="shared" si="2791"/>
        <v xml:space="preserve"> </v>
      </c>
      <c r="BN172" s="168"/>
      <c r="BO172" s="166" t="str">
        <f t="shared" si="2792"/>
        <v xml:space="preserve"> </v>
      </c>
    </row>
    <row r="173" spans="2:67" ht="15" customHeight="1" x14ac:dyDescent="0.25">
      <c r="B173" s="170">
        <v>46191</v>
      </c>
      <c r="C173" s="164"/>
      <c r="D173" s="166" t="str">
        <f t="shared" si="2759"/>
        <v xml:space="preserve"> </v>
      </c>
      <c r="E173" s="168" t="str">
        <f t="shared" si="2760"/>
        <v xml:space="preserve"> </v>
      </c>
      <c r="F173" s="168"/>
      <c r="G173" s="166" t="str">
        <f t="shared" si="2761"/>
        <v xml:space="preserve"> </v>
      </c>
      <c r="H173" s="167"/>
      <c r="I173" s="167" t="str">
        <f t="shared" si="2762"/>
        <v xml:space="preserve"> </v>
      </c>
      <c r="J173" s="168" t="str">
        <f t="shared" si="2763"/>
        <v xml:space="preserve"> </v>
      </c>
      <c r="K173" s="168"/>
      <c r="L173" s="167" t="str">
        <f t="shared" si="2764"/>
        <v xml:space="preserve"> </v>
      </c>
      <c r="M173" s="166"/>
      <c r="N173" s="166" t="str">
        <f t="shared" si="2765"/>
        <v xml:space="preserve"> </v>
      </c>
      <c r="O173" s="168" t="str">
        <f t="shared" si="2766"/>
        <v xml:space="preserve"> </v>
      </c>
      <c r="P173" s="168"/>
      <c r="Q173" s="166" t="str">
        <f t="shared" si="2767"/>
        <v xml:space="preserve"> </v>
      </c>
      <c r="R173" s="167">
        <f ca="1">+BDFUENTES[[#This Row],[PZ MED m3/día]]/3.6/BDFUENTES[[#This Row],[PZ MED Horas Activo]]</f>
        <v>0</v>
      </c>
      <c r="S173" s="167" t="str">
        <f t="shared" ca="1" si="2768"/>
        <v xml:space="preserve"> </v>
      </c>
      <c r="T173" s="168" t="str">
        <f t="shared" si="2769"/>
        <v xml:space="preserve"> </v>
      </c>
      <c r="U173" s="168"/>
      <c r="V173" s="165" t="str">
        <f t="shared" si="2770"/>
        <v xml:space="preserve"> </v>
      </c>
      <c r="W173" s="164" t="str">
        <f t="shared" si="2771"/>
        <v xml:space="preserve"> </v>
      </c>
      <c r="X173" s="166"/>
      <c r="Y173" s="168" t="str">
        <f t="shared" si="2772"/>
        <v xml:space="preserve"> </v>
      </c>
      <c r="Z173" s="168"/>
      <c r="AA173" s="166" t="str">
        <f t="shared" si="2773"/>
        <v xml:space="preserve"> </v>
      </c>
      <c r="AB173" s="168" t="str">
        <f t="shared" si="2774"/>
        <v xml:space="preserve"> </v>
      </c>
      <c r="AC173" s="168"/>
      <c r="AD173" s="171" t="str">
        <f t="shared" si="2775"/>
        <v xml:space="preserve"> </v>
      </c>
      <c r="AE173" s="167"/>
      <c r="AF173" s="165" t="str">
        <f t="shared" si="2776"/>
        <v xml:space="preserve"> </v>
      </c>
      <c r="AG173" s="168"/>
      <c r="AH173" s="168"/>
      <c r="AI173" s="166"/>
      <c r="AJ173" s="166"/>
      <c r="AK173" s="166" t="str">
        <f t="shared" si="2777"/>
        <v/>
      </c>
      <c r="AL173" s="167"/>
      <c r="AM173" s="171" t="str">
        <f t="shared" si="2778"/>
        <v xml:space="preserve"> </v>
      </c>
      <c r="AN173" s="168" t="str">
        <f t="shared" si="2779"/>
        <v xml:space="preserve"> </v>
      </c>
      <c r="AO173" s="168"/>
      <c r="AP173" s="167" t="str">
        <f t="shared" si="2780"/>
        <v xml:space="preserve"> </v>
      </c>
      <c r="AQ173" s="166"/>
      <c r="AR173" s="166" t="str">
        <f t="shared" si="2781"/>
        <v xml:space="preserve"> </v>
      </c>
      <c r="AS173" s="168" t="str">
        <f t="shared" si="2782"/>
        <v xml:space="preserve"> </v>
      </c>
      <c r="AT173" s="168"/>
      <c r="AU173" s="166" t="str">
        <f t="shared" si="2783"/>
        <v xml:space="preserve"> </v>
      </c>
      <c r="AV173" s="167"/>
      <c r="AW173" s="167"/>
      <c r="AX173" s="169" t="str">
        <f t="shared" si="2784"/>
        <v xml:space="preserve"> </v>
      </c>
      <c r="AY173" s="169"/>
      <c r="AZ173" s="167" t="str">
        <f t="shared" si="2785"/>
        <v xml:space="preserve"> </v>
      </c>
      <c r="BA173" s="166"/>
      <c r="BB173" s="166"/>
      <c r="BC173" s="168" t="str">
        <f t="shared" si="2786"/>
        <v xml:space="preserve"> </v>
      </c>
      <c r="BD173" s="168"/>
      <c r="BE173" s="166" t="str">
        <f t="shared" si="2787"/>
        <v xml:space="preserve"> </v>
      </c>
      <c r="BF173" s="167"/>
      <c r="BG173" s="167"/>
      <c r="BH173" s="168" t="str">
        <f t="shared" si="2788"/>
        <v xml:space="preserve"> </v>
      </c>
      <c r="BI173" s="168"/>
      <c r="BJ173" s="167" t="str">
        <f t="shared" si="2789"/>
        <v xml:space="preserve"> </v>
      </c>
      <c r="BK173" s="166"/>
      <c r="BL173" s="166" t="str">
        <f t="shared" si="2790"/>
        <v xml:space="preserve"> </v>
      </c>
      <c r="BM173" s="168" t="str">
        <f t="shared" si="2791"/>
        <v xml:space="preserve"> </v>
      </c>
      <c r="BN173" s="168"/>
      <c r="BO173" s="166" t="str">
        <f t="shared" si="2792"/>
        <v xml:space="preserve"> </v>
      </c>
    </row>
    <row r="174" spans="2:67" ht="15" customHeight="1" x14ac:dyDescent="0.25">
      <c r="B174" s="170">
        <v>46192</v>
      </c>
      <c r="C174" s="164"/>
      <c r="D174" s="166" t="str">
        <f t="shared" si="2759"/>
        <v xml:space="preserve"> </v>
      </c>
      <c r="E174" s="168" t="str">
        <f t="shared" si="2760"/>
        <v xml:space="preserve"> </v>
      </c>
      <c r="F174" s="168"/>
      <c r="G174" s="166" t="str">
        <f t="shared" si="2761"/>
        <v xml:space="preserve"> </v>
      </c>
      <c r="H174" s="167"/>
      <c r="I174" s="167" t="str">
        <f t="shared" si="2762"/>
        <v xml:space="preserve"> </v>
      </c>
      <c r="J174" s="168" t="str">
        <f t="shared" si="2763"/>
        <v xml:space="preserve"> </v>
      </c>
      <c r="K174" s="168"/>
      <c r="L174" s="167" t="str">
        <f t="shared" si="2764"/>
        <v xml:space="preserve"> </v>
      </c>
      <c r="M174" s="166"/>
      <c r="N174" s="166" t="str">
        <f t="shared" si="2765"/>
        <v xml:space="preserve"> </v>
      </c>
      <c r="O174" s="168" t="str">
        <f t="shared" si="2766"/>
        <v xml:space="preserve"> </v>
      </c>
      <c r="P174" s="168"/>
      <c r="Q174" s="166" t="str">
        <f t="shared" si="2767"/>
        <v xml:space="preserve"> </v>
      </c>
      <c r="R174" s="167">
        <f ca="1">+BDFUENTES[[#This Row],[PZ MED m3/día]]/3.6/BDFUENTES[[#This Row],[PZ MED Horas Activo]]</f>
        <v>0</v>
      </c>
      <c r="S174" s="167" t="str">
        <f t="shared" ca="1" si="2768"/>
        <v xml:space="preserve"> </v>
      </c>
      <c r="T174" s="168" t="str">
        <f t="shared" si="2769"/>
        <v xml:space="preserve"> </v>
      </c>
      <c r="U174" s="168"/>
      <c r="V174" s="165" t="str">
        <f t="shared" si="2770"/>
        <v xml:space="preserve"> </v>
      </c>
      <c r="W174" s="164" t="str">
        <f t="shared" si="2771"/>
        <v xml:space="preserve"> </v>
      </c>
      <c r="X174" s="166"/>
      <c r="Y174" s="168" t="str">
        <f t="shared" si="2772"/>
        <v xml:space="preserve"> </v>
      </c>
      <c r="Z174" s="168"/>
      <c r="AA174" s="166" t="str">
        <f t="shared" si="2773"/>
        <v xml:space="preserve"> </v>
      </c>
      <c r="AB174" s="168" t="str">
        <f t="shared" si="2774"/>
        <v xml:space="preserve"> </v>
      </c>
      <c r="AC174" s="168"/>
      <c r="AD174" s="171" t="str">
        <f t="shared" si="2775"/>
        <v xml:space="preserve"> </v>
      </c>
      <c r="AE174" s="167"/>
      <c r="AF174" s="165" t="str">
        <f t="shared" si="2776"/>
        <v xml:space="preserve"> </v>
      </c>
      <c r="AG174" s="168"/>
      <c r="AH174" s="168"/>
      <c r="AI174" s="166"/>
      <c r="AJ174" s="166"/>
      <c r="AK174" s="166" t="str">
        <f t="shared" si="2777"/>
        <v/>
      </c>
      <c r="AL174" s="167"/>
      <c r="AM174" s="171" t="str">
        <f t="shared" si="2778"/>
        <v xml:space="preserve"> </v>
      </c>
      <c r="AN174" s="168" t="str">
        <f t="shared" si="2779"/>
        <v xml:space="preserve"> </v>
      </c>
      <c r="AO174" s="168"/>
      <c r="AP174" s="167" t="str">
        <f t="shared" si="2780"/>
        <v xml:space="preserve"> </v>
      </c>
      <c r="AQ174" s="166"/>
      <c r="AR174" s="166" t="str">
        <f t="shared" si="2781"/>
        <v xml:space="preserve"> </v>
      </c>
      <c r="AS174" s="168" t="str">
        <f t="shared" si="2782"/>
        <v xml:space="preserve"> </v>
      </c>
      <c r="AT174" s="168"/>
      <c r="AU174" s="166" t="str">
        <f t="shared" si="2783"/>
        <v xml:space="preserve"> </v>
      </c>
      <c r="AV174" s="167"/>
      <c r="AW174" s="167"/>
      <c r="AX174" s="169" t="str">
        <f t="shared" si="2784"/>
        <v xml:space="preserve"> </v>
      </c>
      <c r="AY174" s="169"/>
      <c r="AZ174" s="167" t="str">
        <f t="shared" si="2785"/>
        <v xml:space="preserve"> </v>
      </c>
      <c r="BA174" s="166"/>
      <c r="BB174" s="166"/>
      <c r="BC174" s="168" t="str">
        <f t="shared" si="2786"/>
        <v xml:space="preserve"> </v>
      </c>
      <c r="BD174" s="168"/>
      <c r="BE174" s="166" t="str">
        <f t="shared" si="2787"/>
        <v xml:space="preserve"> </v>
      </c>
      <c r="BF174" s="167"/>
      <c r="BG174" s="167"/>
      <c r="BH174" s="168" t="str">
        <f t="shared" si="2788"/>
        <v xml:space="preserve"> </v>
      </c>
      <c r="BI174" s="168"/>
      <c r="BJ174" s="167" t="str">
        <f t="shared" si="2789"/>
        <v xml:space="preserve"> </v>
      </c>
      <c r="BK174" s="166"/>
      <c r="BL174" s="166" t="str">
        <f t="shared" si="2790"/>
        <v xml:space="preserve"> </v>
      </c>
      <c r="BM174" s="168" t="str">
        <f t="shared" si="2791"/>
        <v xml:space="preserve"> </v>
      </c>
      <c r="BN174" s="168"/>
      <c r="BO174" s="166" t="str">
        <f t="shared" si="2792"/>
        <v xml:space="preserve"> </v>
      </c>
    </row>
    <row r="175" spans="2:67" ht="15" customHeight="1" x14ac:dyDescent="0.25">
      <c r="B175" s="170">
        <v>46193</v>
      </c>
      <c r="C175" s="164"/>
      <c r="D175" s="166" t="str">
        <f t="shared" si="2759"/>
        <v xml:space="preserve"> </v>
      </c>
      <c r="E175" s="168" t="str">
        <f t="shared" si="2760"/>
        <v xml:space="preserve"> </v>
      </c>
      <c r="F175" s="168"/>
      <c r="G175" s="166" t="str">
        <f t="shared" si="2761"/>
        <v xml:space="preserve"> </v>
      </c>
      <c r="H175" s="167"/>
      <c r="I175" s="167" t="str">
        <f t="shared" si="2762"/>
        <v xml:space="preserve"> </v>
      </c>
      <c r="J175" s="168" t="str">
        <f t="shared" si="2763"/>
        <v xml:space="preserve"> </v>
      </c>
      <c r="K175" s="168"/>
      <c r="L175" s="167" t="str">
        <f t="shared" si="2764"/>
        <v xml:space="preserve"> </v>
      </c>
      <c r="M175" s="166"/>
      <c r="N175" s="166" t="str">
        <f t="shared" si="2765"/>
        <v xml:space="preserve"> </v>
      </c>
      <c r="O175" s="168" t="str">
        <f t="shared" si="2766"/>
        <v xml:space="preserve"> </v>
      </c>
      <c r="P175" s="168"/>
      <c r="Q175" s="166" t="str">
        <f t="shared" si="2767"/>
        <v xml:space="preserve"> </v>
      </c>
      <c r="R175" s="167">
        <f ca="1">+BDFUENTES[[#This Row],[PZ MED m3/día]]/3.6/BDFUENTES[[#This Row],[PZ MED Horas Activo]]</f>
        <v>0</v>
      </c>
      <c r="S175" s="167" t="str">
        <f t="shared" ca="1" si="2768"/>
        <v xml:space="preserve"> </v>
      </c>
      <c r="T175" s="168" t="str">
        <f t="shared" si="2769"/>
        <v xml:space="preserve"> </v>
      </c>
      <c r="U175" s="168"/>
      <c r="V175" s="165" t="str">
        <f t="shared" si="2770"/>
        <v xml:space="preserve"> </v>
      </c>
      <c r="W175" s="164" t="str">
        <f t="shared" si="2771"/>
        <v xml:space="preserve"> </v>
      </c>
      <c r="X175" s="166"/>
      <c r="Y175" s="168" t="str">
        <f t="shared" si="2772"/>
        <v xml:space="preserve"> </v>
      </c>
      <c r="Z175" s="168"/>
      <c r="AA175" s="166" t="str">
        <f t="shared" si="2773"/>
        <v xml:space="preserve"> </v>
      </c>
      <c r="AB175" s="168" t="str">
        <f t="shared" si="2774"/>
        <v xml:space="preserve"> </v>
      </c>
      <c r="AC175" s="168"/>
      <c r="AD175" s="171" t="str">
        <f t="shared" si="2775"/>
        <v xml:space="preserve"> </v>
      </c>
      <c r="AE175" s="167"/>
      <c r="AF175" s="165" t="str">
        <f t="shared" si="2776"/>
        <v xml:space="preserve"> </v>
      </c>
      <c r="AG175" s="168"/>
      <c r="AH175" s="168"/>
      <c r="AI175" s="166"/>
      <c r="AJ175" s="166"/>
      <c r="AK175" s="166" t="str">
        <f t="shared" si="2777"/>
        <v/>
      </c>
      <c r="AL175" s="167"/>
      <c r="AM175" s="171" t="str">
        <f t="shared" si="2778"/>
        <v xml:space="preserve"> </v>
      </c>
      <c r="AN175" s="168" t="str">
        <f t="shared" si="2779"/>
        <v xml:space="preserve"> </v>
      </c>
      <c r="AO175" s="168"/>
      <c r="AP175" s="167" t="str">
        <f t="shared" si="2780"/>
        <v xml:space="preserve"> </v>
      </c>
      <c r="AQ175" s="166"/>
      <c r="AR175" s="166" t="str">
        <f t="shared" si="2781"/>
        <v xml:space="preserve"> </v>
      </c>
      <c r="AS175" s="168" t="str">
        <f t="shared" si="2782"/>
        <v xml:space="preserve"> </v>
      </c>
      <c r="AT175" s="168"/>
      <c r="AU175" s="166" t="str">
        <f t="shared" si="2783"/>
        <v xml:space="preserve"> </v>
      </c>
      <c r="AV175" s="167"/>
      <c r="AW175" s="167"/>
      <c r="AX175" s="169" t="str">
        <f t="shared" si="2784"/>
        <v xml:space="preserve"> </v>
      </c>
      <c r="AY175" s="169"/>
      <c r="AZ175" s="167" t="str">
        <f t="shared" si="2785"/>
        <v xml:space="preserve"> </v>
      </c>
      <c r="BA175" s="166"/>
      <c r="BB175" s="166"/>
      <c r="BC175" s="168" t="str">
        <f t="shared" si="2786"/>
        <v xml:space="preserve"> </v>
      </c>
      <c r="BD175" s="168"/>
      <c r="BE175" s="166" t="str">
        <f t="shared" si="2787"/>
        <v xml:space="preserve"> </v>
      </c>
      <c r="BF175" s="167"/>
      <c r="BG175" s="167"/>
      <c r="BH175" s="168" t="str">
        <f t="shared" si="2788"/>
        <v xml:space="preserve"> </v>
      </c>
      <c r="BI175" s="168"/>
      <c r="BJ175" s="167" t="str">
        <f t="shared" si="2789"/>
        <v xml:space="preserve"> </v>
      </c>
      <c r="BK175" s="166"/>
      <c r="BL175" s="166" t="str">
        <f t="shared" si="2790"/>
        <v xml:space="preserve"> </v>
      </c>
      <c r="BM175" s="168" t="str">
        <f t="shared" si="2791"/>
        <v xml:space="preserve"> </v>
      </c>
      <c r="BN175" s="168"/>
      <c r="BO175" s="166" t="str">
        <f t="shared" si="2792"/>
        <v xml:space="preserve"> </v>
      </c>
    </row>
    <row r="176" spans="2:67" ht="15" customHeight="1" x14ac:dyDescent="0.25">
      <c r="B176" s="170">
        <v>46194</v>
      </c>
      <c r="C176" s="164"/>
      <c r="D176" s="166" t="str">
        <f t="shared" si="2759"/>
        <v xml:space="preserve"> </v>
      </c>
      <c r="E176" s="168" t="str">
        <f t="shared" si="2760"/>
        <v xml:space="preserve"> </v>
      </c>
      <c r="F176" s="168"/>
      <c r="G176" s="166" t="str">
        <f t="shared" si="2761"/>
        <v xml:space="preserve"> </v>
      </c>
      <c r="H176" s="167"/>
      <c r="I176" s="167" t="str">
        <f t="shared" si="2762"/>
        <v xml:space="preserve"> </v>
      </c>
      <c r="J176" s="168" t="str">
        <f t="shared" si="2763"/>
        <v xml:space="preserve"> </v>
      </c>
      <c r="K176" s="168"/>
      <c r="L176" s="167" t="str">
        <f t="shared" si="2764"/>
        <v xml:space="preserve"> </v>
      </c>
      <c r="M176" s="166"/>
      <c r="N176" s="166" t="str">
        <f t="shared" si="2765"/>
        <v xml:space="preserve"> </v>
      </c>
      <c r="O176" s="168" t="str">
        <f t="shared" si="2766"/>
        <v xml:space="preserve"> </v>
      </c>
      <c r="P176" s="168"/>
      <c r="Q176" s="166" t="str">
        <f t="shared" si="2767"/>
        <v xml:space="preserve"> </v>
      </c>
      <c r="R176" s="167">
        <f ca="1">+BDFUENTES[[#This Row],[PZ MED m3/día]]/3.6/BDFUENTES[[#This Row],[PZ MED Horas Activo]]</f>
        <v>0</v>
      </c>
      <c r="S176" s="167" t="str">
        <f t="shared" ca="1" si="2768"/>
        <v xml:space="preserve"> </v>
      </c>
      <c r="T176" s="168" t="str">
        <f t="shared" si="2769"/>
        <v xml:space="preserve"> </v>
      </c>
      <c r="U176" s="168"/>
      <c r="V176" s="165" t="str">
        <f t="shared" si="2770"/>
        <v xml:space="preserve"> </v>
      </c>
      <c r="W176" s="164" t="str">
        <f t="shared" si="2771"/>
        <v xml:space="preserve"> </v>
      </c>
      <c r="X176" s="166"/>
      <c r="Y176" s="168" t="str">
        <f t="shared" si="2772"/>
        <v xml:space="preserve"> </v>
      </c>
      <c r="Z176" s="168"/>
      <c r="AA176" s="166" t="str">
        <f t="shared" si="2773"/>
        <v xml:space="preserve"> </v>
      </c>
      <c r="AB176" s="168" t="str">
        <f t="shared" si="2774"/>
        <v xml:space="preserve"> </v>
      </c>
      <c r="AC176" s="168"/>
      <c r="AD176" s="171" t="str">
        <f t="shared" si="2775"/>
        <v xml:space="preserve"> </v>
      </c>
      <c r="AE176" s="167"/>
      <c r="AF176" s="165" t="str">
        <f t="shared" si="2776"/>
        <v xml:space="preserve"> </v>
      </c>
      <c r="AG176" s="168"/>
      <c r="AH176" s="168"/>
      <c r="AI176" s="166"/>
      <c r="AJ176" s="166"/>
      <c r="AK176" s="166" t="str">
        <f t="shared" si="2777"/>
        <v/>
      </c>
      <c r="AL176" s="167"/>
      <c r="AM176" s="171" t="str">
        <f t="shared" si="2778"/>
        <v xml:space="preserve"> </v>
      </c>
      <c r="AN176" s="168" t="str">
        <f t="shared" si="2779"/>
        <v xml:space="preserve"> </v>
      </c>
      <c r="AO176" s="168"/>
      <c r="AP176" s="167" t="str">
        <f t="shared" si="2780"/>
        <v xml:space="preserve"> </v>
      </c>
      <c r="AQ176" s="166"/>
      <c r="AR176" s="166" t="str">
        <f t="shared" si="2781"/>
        <v xml:space="preserve"> </v>
      </c>
      <c r="AS176" s="168" t="str">
        <f t="shared" si="2782"/>
        <v xml:space="preserve"> </v>
      </c>
      <c r="AT176" s="168"/>
      <c r="AU176" s="166" t="str">
        <f t="shared" si="2783"/>
        <v xml:space="preserve"> </v>
      </c>
      <c r="AV176" s="167"/>
      <c r="AW176" s="167"/>
      <c r="AX176" s="169" t="str">
        <f t="shared" si="2784"/>
        <v xml:space="preserve"> </v>
      </c>
      <c r="AY176" s="169"/>
      <c r="AZ176" s="167" t="str">
        <f t="shared" si="2785"/>
        <v xml:space="preserve"> </v>
      </c>
      <c r="BA176" s="166"/>
      <c r="BB176" s="166"/>
      <c r="BC176" s="168" t="str">
        <f t="shared" si="2786"/>
        <v xml:space="preserve"> </v>
      </c>
      <c r="BD176" s="168"/>
      <c r="BE176" s="166" t="str">
        <f t="shared" si="2787"/>
        <v xml:space="preserve"> </v>
      </c>
      <c r="BF176" s="167"/>
      <c r="BG176" s="167"/>
      <c r="BH176" s="168" t="str">
        <f t="shared" si="2788"/>
        <v xml:space="preserve"> </v>
      </c>
      <c r="BI176" s="168"/>
      <c r="BJ176" s="167" t="str">
        <f t="shared" si="2789"/>
        <v xml:space="preserve"> </v>
      </c>
      <c r="BK176" s="166"/>
      <c r="BL176" s="166" t="str">
        <f t="shared" si="2790"/>
        <v xml:space="preserve"> </v>
      </c>
      <c r="BM176" s="168" t="str">
        <f t="shared" si="2791"/>
        <v xml:space="preserve"> </v>
      </c>
      <c r="BN176" s="168"/>
      <c r="BO176" s="166" t="str">
        <f t="shared" si="2792"/>
        <v xml:space="preserve"> </v>
      </c>
    </row>
    <row r="177" spans="2:67" ht="15" customHeight="1" x14ac:dyDescent="0.25">
      <c r="B177" s="170">
        <v>46195</v>
      </c>
      <c r="C177" s="164"/>
      <c r="D177" s="166" t="str">
        <f t="shared" si="2759"/>
        <v xml:space="preserve"> </v>
      </c>
      <c r="E177" s="168" t="str">
        <f t="shared" si="2760"/>
        <v xml:space="preserve"> </v>
      </c>
      <c r="F177" s="168"/>
      <c r="G177" s="166" t="str">
        <f t="shared" si="2761"/>
        <v xml:space="preserve"> </v>
      </c>
      <c r="H177" s="167"/>
      <c r="I177" s="167" t="str">
        <f t="shared" si="2762"/>
        <v xml:space="preserve"> </v>
      </c>
      <c r="J177" s="168" t="str">
        <f t="shared" si="2763"/>
        <v xml:space="preserve"> </v>
      </c>
      <c r="K177" s="168"/>
      <c r="L177" s="167" t="str">
        <f t="shared" si="2764"/>
        <v xml:space="preserve"> </v>
      </c>
      <c r="M177" s="166"/>
      <c r="N177" s="166" t="str">
        <f t="shared" si="2765"/>
        <v xml:space="preserve"> </v>
      </c>
      <c r="O177" s="168" t="str">
        <f t="shared" si="2766"/>
        <v xml:space="preserve"> </v>
      </c>
      <c r="P177" s="168"/>
      <c r="Q177" s="166" t="str">
        <f t="shared" si="2767"/>
        <v xml:space="preserve"> </v>
      </c>
      <c r="R177" s="167">
        <f ca="1">+BDFUENTES[[#This Row],[PZ MED m3/día]]/3.6/BDFUENTES[[#This Row],[PZ MED Horas Activo]]</f>
        <v>0</v>
      </c>
      <c r="S177" s="167" t="str">
        <f t="shared" ca="1" si="2768"/>
        <v xml:space="preserve"> </v>
      </c>
      <c r="T177" s="168" t="str">
        <f t="shared" si="2769"/>
        <v xml:space="preserve"> </v>
      </c>
      <c r="U177" s="168"/>
      <c r="V177" s="165" t="str">
        <f t="shared" si="2770"/>
        <v xml:space="preserve"> </v>
      </c>
      <c r="W177" s="164" t="str">
        <f t="shared" si="2771"/>
        <v xml:space="preserve"> </v>
      </c>
      <c r="X177" s="166"/>
      <c r="Y177" s="168" t="str">
        <f t="shared" si="2772"/>
        <v xml:space="preserve"> </v>
      </c>
      <c r="Z177" s="168"/>
      <c r="AA177" s="166" t="str">
        <f t="shared" si="2773"/>
        <v xml:space="preserve"> </v>
      </c>
      <c r="AB177" s="168" t="str">
        <f t="shared" si="2774"/>
        <v xml:space="preserve"> </v>
      </c>
      <c r="AC177" s="168"/>
      <c r="AD177" s="171" t="str">
        <f t="shared" si="2775"/>
        <v xml:space="preserve"> </v>
      </c>
      <c r="AE177" s="167"/>
      <c r="AF177" s="165" t="str">
        <f t="shared" si="2776"/>
        <v xml:space="preserve"> </v>
      </c>
      <c r="AG177" s="168"/>
      <c r="AH177" s="168"/>
      <c r="AI177" s="166"/>
      <c r="AJ177" s="166"/>
      <c r="AK177" s="166" t="str">
        <f t="shared" si="2777"/>
        <v/>
      </c>
      <c r="AL177" s="167"/>
      <c r="AM177" s="171" t="str">
        <f t="shared" si="2778"/>
        <v xml:space="preserve"> </v>
      </c>
      <c r="AN177" s="168" t="str">
        <f t="shared" si="2779"/>
        <v xml:space="preserve"> </v>
      </c>
      <c r="AO177" s="168"/>
      <c r="AP177" s="167" t="str">
        <f t="shared" si="2780"/>
        <v xml:space="preserve"> </v>
      </c>
      <c r="AQ177" s="166"/>
      <c r="AR177" s="166" t="str">
        <f t="shared" si="2781"/>
        <v xml:space="preserve"> </v>
      </c>
      <c r="AS177" s="168" t="str">
        <f t="shared" si="2782"/>
        <v xml:space="preserve"> </v>
      </c>
      <c r="AT177" s="168"/>
      <c r="AU177" s="166" t="str">
        <f t="shared" si="2783"/>
        <v xml:space="preserve"> </v>
      </c>
      <c r="AV177" s="167"/>
      <c r="AW177" s="167"/>
      <c r="AX177" s="169" t="str">
        <f t="shared" si="2784"/>
        <v xml:space="preserve"> </v>
      </c>
      <c r="AY177" s="169"/>
      <c r="AZ177" s="167" t="str">
        <f t="shared" si="2785"/>
        <v xml:space="preserve"> </v>
      </c>
      <c r="BA177" s="166"/>
      <c r="BB177" s="166"/>
      <c r="BC177" s="168" t="str">
        <f t="shared" si="2786"/>
        <v xml:space="preserve"> </v>
      </c>
      <c r="BD177" s="168"/>
      <c r="BE177" s="166" t="str">
        <f t="shared" si="2787"/>
        <v xml:space="preserve"> </v>
      </c>
      <c r="BF177" s="167"/>
      <c r="BG177" s="167"/>
      <c r="BH177" s="168" t="str">
        <f t="shared" si="2788"/>
        <v xml:space="preserve"> </v>
      </c>
      <c r="BI177" s="168"/>
      <c r="BJ177" s="167" t="str">
        <f t="shared" si="2789"/>
        <v xml:space="preserve"> </v>
      </c>
      <c r="BK177" s="166"/>
      <c r="BL177" s="166" t="str">
        <f t="shared" si="2790"/>
        <v xml:space="preserve"> </v>
      </c>
      <c r="BM177" s="168" t="str">
        <f t="shared" si="2791"/>
        <v xml:space="preserve"> </v>
      </c>
      <c r="BN177" s="168"/>
      <c r="BO177" s="166" t="str">
        <f t="shared" si="2792"/>
        <v xml:space="preserve"> </v>
      </c>
    </row>
    <row r="178" spans="2:67" ht="15" customHeight="1" x14ac:dyDescent="0.25">
      <c r="B178" s="170">
        <v>46196</v>
      </c>
      <c r="C178" s="164"/>
      <c r="D178" s="166" t="str">
        <f t="shared" si="2759"/>
        <v xml:space="preserve"> </v>
      </c>
      <c r="E178" s="168" t="str">
        <f t="shared" si="2760"/>
        <v xml:space="preserve"> </v>
      </c>
      <c r="F178" s="168"/>
      <c r="G178" s="166" t="str">
        <f t="shared" si="2761"/>
        <v xml:space="preserve"> </v>
      </c>
      <c r="H178" s="167"/>
      <c r="I178" s="167" t="str">
        <f t="shared" si="2762"/>
        <v xml:space="preserve"> </v>
      </c>
      <c r="J178" s="168" t="str">
        <f t="shared" si="2763"/>
        <v xml:space="preserve"> </v>
      </c>
      <c r="K178" s="168"/>
      <c r="L178" s="167" t="str">
        <f t="shared" si="2764"/>
        <v xml:space="preserve"> </v>
      </c>
      <c r="M178" s="166"/>
      <c r="N178" s="166" t="str">
        <f t="shared" si="2765"/>
        <v xml:space="preserve"> </v>
      </c>
      <c r="O178" s="168" t="str">
        <f t="shared" si="2766"/>
        <v xml:space="preserve"> </v>
      </c>
      <c r="P178" s="168"/>
      <c r="Q178" s="166" t="str">
        <f t="shared" si="2767"/>
        <v xml:space="preserve"> </v>
      </c>
      <c r="R178" s="167">
        <f ca="1">+BDFUENTES[[#This Row],[PZ MED m3/día]]/3.6/BDFUENTES[[#This Row],[PZ MED Horas Activo]]</f>
        <v>0</v>
      </c>
      <c r="S178" s="167" t="str">
        <f t="shared" ca="1" si="2768"/>
        <v xml:space="preserve"> </v>
      </c>
      <c r="T178" s="168" t="str">
        <f t="shared" si="2769"/>
        <v xml:space="preserve"> </v>
      </c>
      <c r="U178" s="168"/>
      <c r="V178" s="165" t="str">
        <f t="shared" si="2770"/>
        <v xml:space="preserve"> </v>
      </c>
      <c r="W178" s="164" t="str">
        <f t="shared" si="2771"/>
        <v xml:space="preserve"> </v>
      </c>
      <c r="X178" s="166"/>
      <c r="Y178" s="168" t="str">
        <f t="shared" si="2772"/>
        <v xml:space="preserve"> </v>
      </c>
      <c r="Z178" s="168"/>
      <c r="AA178" s="166" t="str">
        <f t="shared" si="2773"/>
        <v xml:space="preserve"> </v>
      </c>
      <c r="AB178" s="168" t="str">
        <f t="shared" si="2774"/>
        <v xml:space="preserve"> </v>
      </c>
      <c r="AC178" s="168"/>
      <c r="AD178" s="171" t="str">
        <f t="shared" si="2775"/>
        <v xml:space="preserve"> </v>
      </c>
      <c r="AE178" s="167"/>
      <c r="AF178" s="165" t="str">
        <f t="shared" si="2776"/>
        <v xml:space="preserve"> </v>
      </c>
      <c r="AG178" s="168"/>
      <c r="AH178" s="168"/>
      <c r="AI178" s="166"/>
      <c r="AJ178" s="166"/>
      <c r="AK178" s="166" t="str">
        <f t="shared" si="2777"/>
        <v/>
      </c>
      <c r="AL178" s="167"/>
      <c r="AM178" s="171" t="str">
        <f t="shared" si="2778"/>
        <v xml:space="preserve"> </v>
      </c>
      <c r="AN178" s="168" t="str">
        <f t="shared" si="2779"/>
        <v xml:space="preserve"> </v>
      </c>
      <c r="AO178" s="168"/>
      <c r="AP178" s="167" t="str">
        <f t="shared" si="2780"/>
        <v xml:space="preserve"> </v>
      </c>
      <c r="AQ178" s="166"/>
      <c r="AR178" s="166" t="str">
        <f t="shared" si="2781"/>
        <v xml:space="preserve"> </v>
      </c>
      <c r="AS178" s="168" t="str">
        <f t="shared" si="2782"/>
        <v xml:space="preserve"> </v>
      </c>
      <c r="AT178" s="168"/>
      <c r="AU178" s="166" t="str">
        <f t="shared" si="2783"/>
        <v xml:space="preserve"> </v>
      </c>
      <c r="AV178" s="167"/>
      <c r="AW178" s="167"/>
      <c r="AX178" s="169" t="str">
        <f t="shared" si="2784"/>
        <v xml:space="preserve"> </v>
      </c>
      <c r="AY178" s="169"/>
      <c r="AZ178" s="167" t="str">
        <f t="shared" si="2785"/>
        <v xml:space="preserve"> </v>
      </c>
      <c r="BA178" s="166"/>
      <c r="BB178" s="166"/>
      <c r="BC178" s="168" t="str">
        <f t="shared" si="2786"/>
        <v xml:space="preserve"> </v>
      </c>
      <c r="BD178" s="168"/>
      <c r="BE178" s="166" t="str">
        <f t="shared" si="2787"/>
        <v xml:space="preserve"> </v>
      </c>
      <c r="BF178" s="167"/>
      <c r="BG178" s="167"/>
      <c r="BH178" s="168" t="str">
        <f t="shared" si="2788"/>
        <v xml:space="preserve"> </v>
      </c>
      <c r="BI178" s="168"/>
      <c r="BJ178" s="167" t="str">
        <f t="shared" si="2789"/>
        <v xml:space="preserve"> </v>
      </c>
      <c r="BK178" s="166"/>
      <c r="BL178" s="166" t="str">
        <f t="shared" si="2790"/>
        <v xml:space="preserve"> </v>
      </c>
      <c r="BM178" s="168" t="str">
        <f t="shared" si="2791"/>
        <v xml:space="preserve"> </v>
      </c>
      <c r="BN178" s="168"/>
      <c r="BO178" s="166" t="str">
        <f t="shared" si="2792"/>
        <v xml:space="preserve"> </v>
      </c>
    </row>
    <row r="179" spans="2:67" ht="15" customHeight="1" x14ac:dyDescent="0.25">
      <c r="B179" s="170">
        <v>46197</v>
      </c>
      <c r="C179" s="164"/>
      <c r="D179" s="166" t="str">
        <f t="shared" si="2759"/>
        <v xml:space="preserve"> </v>
      </c>
      <c r="E179" s="168" t="str">
        <f t="shared" si="2760"/>
        <v xml:space="preserve"> </v>
      </c>
      <c r="F179" s="168"/>
      <c r="G179" s="166" t="str">
        <f t="shared" si="2761"/>
        <v xml:space="preserve"> </v>
      </c>
      <c r="H179" s="167"/>
      <c r="I179" s="167" t="str">
        <f t="shared" si="2762"/>
        <v xml:space="preserve"> </v>
      </c>
      <c r="J179" s="168" t="str">
        <f t="shared" si="2763"/>
        <v xml:space="preserve"> </v>
      </c>
      <c r="K179" s="168"/>
      <c r="L179" s="167" t="str">
        <f t="shared" si="2764"/>
        <v xml:space="preserve"> </v>
      </c>
      <c r="M179" s="166"/>
      <c r="N179" s="166" t="str">
        <f t="shared" si="2765"/>
        <v xml:space="preserve"> </v>
      </c>
      <c r="O179" s="168" t="str">
        <f t="shared" si="2766"/>
        <v xml:space="preserve"> </v>
      </c>
      <c r="P179" s="168"/>
      <c r="Q179" s="166" t="str">
        <f t="shared" si="2767"/>
        <v xml:space="preserve"> </v>
      </c>
      <c r="R179" s="167">
        <f ca="1">+BDFUENTES[[#This Row],[PZ MED m3/día]]/3.6/BDFUENTES[[#This Row],[PZ MED Horas Activo]]</f>
        <v>0</v>
      </c>
      <c r="S179" s="167" t="str">
        <f t="shared" ca="1" si="2768"/>
        <v xml:space="preserve"> </v>
      </c>
      <c r="T179" s="168" t="str">
        <f t="shared" si="2769"/>
        <v xml:space="preserve"> </v>
      </c>
      <c r="U179" s="168"/>
      <c r="V179" s="165" t="str">
        <f t="shared" si="2770"/>
        <v xml:space="preserve"> </v>
      </c>
      <c r="W179" s="164" t="str">
        <f t="shared" si="2771"/>
        <v xml:space="preserve"> </v>
      </c>
      <c r="X179" s="166"/>
      <c r="Y179" s="168" t="str">
        <f t="shared" si="2772"/>
        <v xml:space="preserve"> </v>
      </c>
      <c r="Z179" s="168"/>
      <c r="AA179" s="166" t="str">
        <f t="shared" si="2773"/>
        <v xml:space="preserve"> </v>
      </c>
      <c r="AB179" s="168" t="str">
        <f t="shared" si="2774"/>
        <v xml:space="preserve"> </v>
      </c>
      <c r="AC179" s="168"/>
      <c r="AD179" s="171" t="str">
        <f t="shared" si="2775"/>
        <v xml:space="preserve"> </v>
      </c>
      <c r="AE179" s="167"/>
      <c r="AF179" s="165" t="str">
        <f t="shared" si="2776"/>
        <v xml:space="preserve"> </v>
      </c>
      <c r="AG179" s="168"/>
      <c r="AH179" s="168"/>
      <c r="AI179" s="166"/>
      <c r="AJ179" s="166"/>
      <c r="AK179" s="166" t="str">
        <f t="shared" si="2777"/>
        <v/>
      </c>
      <c r="AL179" s="167"/>
      <c r="AM179" s="171" t="str">
        <f t="shared" si="2778"/>
        <v xml:space="preserve"> </v>
      </c>
      <c r="AN179" s="168" t="str">
        <f t="shared" si="2779"/>
        <v xml:space="preserve"> </v>
      </c>
      <c r="AO179" s="168"/>
      <c r="AP179" s="167" t="str">
        <f t="shared" si="2780"/>
        <v xml:space="preserve"> </v>
      </c>
      <c r="AQ179" s="166"/>
      <c r="AR179" s="166" t="str">
        <f t="shared" si="2781"/>
        <v xml:space="preserve"> </v>
      </c>
      <c r="AS179" s="168" t="str">
        <f t="shared" si="2782"/>
        <v xml:space="preserve"> </v>
      </c>
      <c r="AT179" s="168"/>
      <c r="AU179" s="166" t="str">
        <f t="shared" si="2783"/>
        <v xml:space="preserve"> </v>
      </c>
      <c r="AV179" s="167"/>
      <c r="AW179" s="167"/>
      <c r="AX179" s="169" t="str">
        <f t="shared" si="2784"/>
        <v xml:space="preserve"> </v>
      </c>
      <c r="AY179" s="169"/>
      <c r="AZ179" s="167" t="str">
        <f t="shared" si="2785"/>
        <v xml:space="preserve"> </v>
      </c>
      <c r="BA179" s="166"/>
      <c r="BB179" s="166"/>
      <c r="BC179" s="168" t="str">
        <f t="shared" si="2786"/>
        <v xml:space="preserve"> </v>
      </c>
      <c r="BD179" s="168"/>
      <c r="BE179" s="166" t="str">
        <f t="shared" si="2787"/>
        <v xml:space="preserve"> </v>
      </c>
      <c r="BF179" s="167"/>
      <c r="BG179" s="167"/>
      <c r="BH179" s="168" t="str">
        <f t="shared" si="2788"/>
        <v xml:space="preserve"> </v>
      </c>
      <c r="BI179" s="168"/>
      <c r="BJ179" s="167" t="str">
        <f t="shared" si="2789"/>
        <v xml:space="preserve"> </v>
      </c>
      <c r="BK179" s="166"/>
      <c r="BL179" s="166" t="str">
        <f t="shared" si="2790"/>
        <v xml:space="preserve"> </v>
      </c>
      <c r="BM179" s="168" t="str">
        <f t="shared" si="2791"/>
        <v xml:space="preserve"> </v>
      </c>
      <c r="BN179" s="168"/>
      <c r="BO179" s="166" t="str">
        <f t="shared" si="2792"/>
        <v xml:space="preserve"> </v>
      </c>
    </row>
    <row r="180" spans="2:67" ht="15" customHeight="1" x14ac:dyDescent="0.25">
      <c r="B180" s="170">
        <v>46198</v>
      </c>
      <c r="C180" s="164"/>
      <c r="D180" s="166" t="str">
        <f t="shared" si="2759"/>
        <v xml:space="preserve"> </v>
      </c>
      <c r="E180" s="168" t="str">
        <f t="shared" si="2760"/>
        <v xml:space="preserve"> </v>
      </c>
      <c r="F180" s="168"/>
      <c r="G180" s="166" t="str">
        <f t="shared" si="2761"/>
        <v xml:space="preserve"> </v>
      </c>
      <c r="H180" s="167"/>
      <c r="I180" s="167" t="str">
        <f t="shared" si="2762"/>
        <v xml:space="preserve"> </v>
      </c>
      <c r="J180" s="168" t="str">
        <f t="shared" si="2763"/>
        <v xml:space="preserve"> </v>
      </c>
      <c r="K180" s="168"/>
      <c r="L180" s="167" t="str">
        <f t="shared" si="2764"/>
        <v xml:space="preserve"> </v>
      </c>
      <c r="M180" s="166"/>
      <c r="N180" s="166" t="str">
        <f t="shared" si="2765"/>
        <v xml:space="preserve"> </v>
      </c>
      <c r="O180" s="168" t="str">
        <f t="shared" si="2766"/>
        <v xml:space="preserve"> </v>
      </c>
      <c r="P180" s="168"/>
      <c r="Q180" s="166" t="str">
        <f t="shared" si="2767"/>
        <v xml:space="preserve"> </v>
      </c>
      <c r="R180" s="167">
        <f ca="1">+BDFUENTES[[#This Row],[PZ MED m3/día]]/3.6/BDFUENTES[[#This Row],[PZ MED Horas Activo]]</f>
        <v>0</v>
      </c>
      <c r="S180" s="167" t="str">
        <f t="shared" ca="1" si="2768"/>
        <v xml:space="preserve"> </v>
      </c>
      <c r="T180" s="168" t="str">
        <f t="shared" si="2769"/>
        <v xml:space="preserve"> </v>
      </c>
      <c r="U180" s="168"/>
      <c r="V180" s="165" t="str">
        <f t="shared" si="2770"/>
        <v xml:space="preserve"> </v>
      </c>
      <c r="W180" s="164" t="str">
        <f t="shared" si="2771"/>
        <v xml:space="preserve"> </v>
      </c>
      <c r="X180" s="166"/>
      <c r="Y180" s="168" t="str">
        <f t="shared" si="2772"/>
        <v xml:space="preserve"> </v>
      </c>
      <c r="Z180" s="168"/>
      <c r="AA180" s="166" t="str">
        <f t="shared" si="2773"/>
        <v xml:space="preserve"> </v>
      </c>
      <c r="AB180" s="168" t="str">
        <f t="shared" si="2774"/>
        <v xml:space="preserve"> </v>
      </c>
      <c r="AC180" s="168"/>
      <c r="AD180" s="171" t="str">
        <f t="shared" si="2775"/>
        <v xml:space="preserve"> </v>
      </c>
      <c r="AE180" s="167"/>
      <c r="AF180" s="165" t="str">
        <f t="shared" si="2776"/>
        <v xml:space="preserve"> </v>
      </c>
      <c r="AG180" s="168"/>
      <c r="AH180" s="168"/>
      <c r="AI180" s="166"/>
      <c r="AJ180" s="166"/>
      <c r="AK180" s="166" t="str">
        <f t="shared" si="2777"/>
        <v/>
      </c>
      <c r="AL180" s="167"/>
      <c r="AM180" s="171" t="str">
        <f t="shared" si="2778"/>
        <v xml:space="preserve"> </v>
      </c>
      <c r="AN180" s="168" t="str">
        <f t="shared" si="2779"/>
        <v xml:space="preserve"> </v>
      </c>
      <c r="AO180" s="168"/>
      <c r="AP180" s="167" t="str">
        <f t="shared" si="2780"/>
        <v xml:space="preserve"> </v>
      </c>
      <c r="AQ180" s="166"/>
      <c r="AR180" s="166" t="str">
        <f t="shared" si="2781"/>
        <v xml:space="preserve"> </v>
      </c>
      <c r="AS180" s="168" t="str">
        <f t="shared" si="2782"/>
        <v xml:space="preserve"> </v>
      </c>
      <c r="AT180" s="168"/>
      <c r="AU180" s="166" t="str">
        <f t="shared" si="2783"/>
        <v xml:space="preserve"> </v>
      </c>
      <c r="AV180" s="167"/>
      <c r="AW180" s="167"/>
      <c r="AX180" s="169" t="str">
        <f t="shared" si="2784"/>
        <v xml:space="preserve"> </v>
      </c>
      <c r="AY180" s="169"/>
      <c r="AZ180" s="167" t="str">
        <f t="shared" si="2785"/>
        <v xml:space="preserve"> </v>
      </c>
      <c r="BA180" s="166"/>
      <c r="BB180" s="166"/>
      <c r="BC180" s="168" t="str">
        <f t="shared" si="2786"/>
        <v xml:space="preserve"> </v>
      </c>
      <c r="BD180" s="168"/>
      <c r="BE180" s="166" t="str">
        <f t="shared" si="2787"/>
        <v xml:space="preserve"> </v>
      </c>
      <c r="BF180" s="167"/>
      <c r="BG180" s="167"/>
      <c r="BH180" s="168" t="str">
        <f t="shared" si="2788"/>
        <v xml:space="preserve"> </v>
      </c>
      <c r="BI180" s="168"/>
      <c r="BJ180" s="167" t="str">
        <f t="shared" si="2789"/>
        <v xml:space="preserve"> </v>
      </c>
      <c r="BK180" s="166"/>
      <c r="BL180" s="166" t="str">
        <f t="shared" si="2790"/>
        <v xml:space="preserve"> </v>
      </c>
      <c r="BM180" s="168" t="str">
        <f t="shared" si="2791"/>
        <v xml:space="preserve"> </v>
      </c>
      <c r="BN180" s="168"/>
      <c r="BO180" s="166" t="str">
        <f t="shared" si="2792"/>
        <v xml:space="preserve"> </v>
      </c>
    </row>
    <row r="181" spans="2:67" ht="15" customHeight="1" x14ac:dyDescent="0.25">
      <c r="B181" s="170">
        <v>46199</v>
      </c>
      <c r="C181" s="164"/>
      <c r="D181" s="166" t="str">
        <f t="shared" si="2759"/>
        <v xml:space="preserve"> </v>
      </c>
      <c r="E181" s="168" t="str">
        <f t="shared" si="2760"/>
        <v xml:space="preserve"> </v>
      </c>
      <c r="F181" s="168"/>
      <c r="G181" s="166" t="str">
        <f t="shared" si="2761"/>
        <v xml:space="preserve"> </v>
      </c>
      <c r="H181" s="167"/>
      <c r="I181" s="167" t="str">
        <f t="shared" si="2762"/>
        <v xml:space="preserve"> </v>
      </c>
      <c r="J181" s="168" t="str">
        <f t="shared" si="2763"/>
        <v xml:space="preserve"> </v>
      </c>
      <c r="K181" s="168"/>
      <c r="L181" s="167" t="str">
        <f t="shared" si="2764"/>
        <v xml:space="preserve"> </v>
      </c>
      <c r="M181" s="166"/>
      <c r="N181" s="166" t="str">
        <f t="shared" si="2765"/>
        <v xml:space="preserve"> </v>
      </c>
      <c r="O181" s="168" t="str">
        <f t="shared" si="2766"/>
        <v xml:space="preserve"> </v>
      </c>
      <c r="P181" s="168"/>
      <c r="Q181" s="166" t="str">
        <f t="shared" si="2767"/>
        <v xml:space="preserve"> </v>
      </c>
      <c r="R181" s="167">
        <f ca="1">+BDFUENTES[[#This Row],[PZ MED m3/día]]/3.6/BDFUENTES[[#This Row],[PZ MED Horas Activo]]</f>
        <v>0</v>
      </c>
      <c r="S181" s="167" t="str">
        <f t="shared" ca="1" si="2768"/>
        <v xml:space="preserve"> </v>
      </c>
      <c r="T181" s="168" t="str">
        <f t="shared" si="2769"/>
        <v xml:space="preserve"> </v>
      </c>
      <c r="U181" s="168"/>
      <c r="V181" s="165" t="str">
        <f t="shared" si="2770"/>
        <v xml:space="preserve"> </v>
      </c>
      <c r="W181" s="164" t="str">
        <f t="shared" si="2771"/>
        <v xml:space="preserve"> </v>
      </c>
      <c r="X181" s="166"/>
      <c r="Y181" s="168" t="str">
        <f t="shared" si="2772"/>
        <v xml:space="preserve"> </v>
      </c>
      <c r="Z181" s="168"/>
      <c r="AA181" s="166" t="str">
        <f t="shared" si="2773"/>
        <v xml:space="preserve"> </v>
      </c>
      <c r="AB181" s="168" t="str">
        <f t="shared" si="2774"/>
        <v xml:space="preserve"> </v>
      </c>
      <c r="AC181" s="168"/>
      <c r="AD181" s="171" t="str">
        <f t="shared" si="2775"/>
        <v xml:space="preserve"> </v>
      </c>
      <c r="AE181" s="167"/>
      <c r="AF181" s="165" t="str">
        <f t="shared" si="2776"/>
        <v xml:space="preserve"> </v>
      </c>
      <c r="AG181" s="168"/>
      <c r="AH181" s="168"/>
      <c r="AI181" s="166"/>
      <c r="AJ181" s="166"/>
      <c r="AK181" s="166" t="str">
        <f t="shared" si="2777"/>
        <v/>
      </c>
      <c r="AL181" s="167"/>
      <c r="AM181" s="171" t="str">
        <f t="shared" si="2778"/>
        <v xml:space="preserve"> </v>
      </c>
      <c r="AN181" s="168" t="str">
        <f t="shared" si="2779"/>
        <v xml:space="preserve"> </v>
      </c>
      <c r="AO181" s="168"/>
      <c r="AP181" s="167" t="str">
        <f t="shared" si="2780"/>
        <v xml:space="preserve"> </v>
      </c>
      <c r="AQ181" s="166"/>
      <c r="AR181" s="166" t="str">
        <f t="shared" si="2781"/>
        <v xml:space="preserve"> </v>
      </c>
      <c r="AS181" s="168" t="str">
        <f t="shared" si="2782"/>
        <v xml:space="preserve"> </v>
      </c>
      <c r="AT181" s="168"/>
      <c r="AU181" s="166" t="str">
        <f t="shared" si="2783"/>
        <v xml:space="preserve"> </v>
      </c>
      <c r="AV181" s="167"/>
      <c r="AW181" s="167"/>
      <c r="AX181" s="169" t="str">
        <f t="shared" si="2784"/>
        <v xml:space="preserve"> </v>
      </c>
      <c r="AY181" s="169"/>
      <c r="AZ181" s="167" t="str">
        <f t="shared" si="2785"/>
        <v xml:space="preserve"> </v>
      </c>
      <c r="BA181" s="166"/>
      <c r="BB181" s="166"/>
      <c r="BC181" s="168" t="str">
        <f t="shared" si="2786"/>
        <v xml:space="preserve"> </v>
      </c>
      <c r="BD181" s="168"/>
      <c r="BE181" s="166" t="str">
        <f t="shared" si="2787"/>
        <v xml:space="preserve"> </v>
      </c>
      <c r="BF181" s="167"/>
      <c r="BG181" s="167"/>
      <c r="BH181" s="168" t="str">
        <f t="shared" si="2788"/>
        <v xml:space="preserve"> </v>
      </c>
      <c r="BI181" s="168"/>
      <c r="BJ181" s="167" t="str">
        <f t="shared" si="2789"/>
        <v xml:space="preserve"> </v>
      </c>
      <c r="BK181" s="166"/>
      <c r="BL181" s="166" t="str">
        <f t="shared" si="2790"/>
        <v xml:space="preserve"> </v>
      </c>
      <c r="BM181" s="168" t="str">
        <f t="shared" si="2791"/>
        <v xml:space="preserve"> </v>
      </c>
      <c r="BN181" s="168"/>
      <c r="BO181" s="166" t="str">
        <f t="shared" si="2792"/>
        <v xml:space="preserve"> </v>
      </c>
    </row>
    <row r="182" spans="2:67" ht="15" customHeight="1" x14ac:dyDescent="0.25">
      <c r="B182" s="170">
        <v>46200</v>
      </c>
      <c r="C182" s="164"/>
      <c r="D182" s="166" t="str">
        <f t="shared" si="2759"/>
        <v xml:space="preserve"> </v>
      </c>
      <c r="E182" s="168" t="str">
        <f t="shared" si="2760"/>
        <v xml:space="preserve"> </v>
      </c>
      <c r="F182" s="168"/>
      <c r="G182" s="166" t="str">
        <f t="shared" si="2761"/>
        <v xml:space="preserve"> </v>
      </c>
      <c r="H182" s="167"/>
      <c r="I182" s="167" t="str">
        <f t="shared" si="2762"/>
        <v xml:space="preserve"> </v>
      </c>
      <c r="J182" s="168" t="str">
        <f t="shared" si="2763"/>
        <v xml:space="preserve"> </v>
      </c>
      <c r="K182" s="168"/>
      <c r="L182" s="167" t="str">
        <f t="shared" si="2764"/>
        <v xml:space="preserve"> </v>
      </c>
      <c r="M182" s="166"/>
      <c r="N182" s="166" t="str">
        <f t="shared" si="2765"/>
        <v xml:space="preserve"> </v>
      </c>
      <c r="O182" s="168" t="str">
        <f t="shared" si="2766"/>
        <v xml:space="preserve"> </v>
      </c>
      <c r="P182" s="168"/>
      <c r="Q182" s="166" t="str">
        <f t="shared" si="2767"/>
        <v xml:space="preserve"> </v>
      </c>
      <c r="R182" s="167">
        <f ca="1">+BDFUENTES[[#This Row],[PZ MED m3/día]]/3.6/BDFUENTES[[#This Row],[PZ MED Horas Activo]]</f>
        <v>0</v>
      </c>
      <c r="S182" s="167" t="str">
        <f t="shared" ca="1" si="2768"/>
        <v xml:space="preserve"> </v>
      </c>
      <c r="T182" s="168" t="str">
        <f t="shared" si="2769"/>
        <v xml:space="preserve"> </v>
      </c>
      <c r="U182" s="168"/>
      <c r="V182" s="165" t="str">
        <f t="shared" si="2770"/>
        <v xml:space="preserve"> </v>
      </c>
      <c r="W182" s="164" t="str">
        <f t="shared" si="2771"/>
        <v xml:space="preserve"> </v>
      </c>
      <c r="X182" s="166"/>
      <c r="Y182" s="168" t="str">
        <f t="shared" si="2772"/>
        <v xml:space="preserve"> </v>
      </c>
      <c r="Z182" s="168"/>
      <c r="AA182" s="166" t="str">
        <f t="shared" si="2773"/>
        <v xml:space="preserve"> </v>
      </c>
      <c r="AB182" s="168" t="str">
        <f t="shared" si="2774"/>
        <v xml:space="preserve"> </v>
      </c>
      <c r="AC182" s="168"/>
      <c r="AD182" s="171" t="str">
        <f t="shared" si="2775"/>
        <v xml:space="preserve"> </v>
      </c>
      <c r="AE182" s="167"/>
      <c r="AF182" s="165" t="str">
        <f t="shared" si="2776"/>
        <v xml:space="preserve"> </v>
      </c>
      <c r="AG182" s="168"/>
      <c r="AH182" s="168"/>
      <c r="AI182" s="166"/>
      <c r="AJ182" s="166"/>
      <c r="AK182" s="166" t="str">
        <f t="shared" si="2777"/>
        <v/>
      </c>
      <c r="AL182" s="167"/>
      <c r="AM182" s="171" t="str">
        <f t="shared" si="2778"/>
        <v xml:space="preserve"> </v>
      </c>
      <c r="AN182" s="168" t="str">
        <f t="shared" si="2779"/>
        <v xml:space="preserve"> </v>
      </c>
      <c r="AO182" s="168"/>
      <c r="AP182" s="167" t="str">
        <f t="shared" si="2780"/>
        <v xml:space="preserve"> </v>
      </c>
      <c r="AQ182" s="166"/>
      <c r="AR182" s="166" t="str">
        <f t="shared" si="2781"/>
        <v xml:space="preserve"> </v>
      </c>
      <c r="AS182" s="168" t="str">
        <f t="shared" si="2782"/>
        <v xml:space="preserve"> </v>
      </c>
      <c r="AT182" s="168"/>
      <c r="AU182" s="166" t="str">
        <f t="shared" si="2783"/>
        <v xml:space="preserve"> </v>
      </c>
      <c r="AV182" s="167"/>
      <c r="AW182" s="167"/>
      <c r="AX182" s="169" t="str">
        <f t="shared" si="2784"/>
        <v xml:space="preserve"> </v>
      </c>
      <c r="AY182" s="169"/>
      <c r="AZ182" s="167" t="str">
        <f t="shared" si="2785"/>
        <v xml:space="preserve"> </v>
      </c>
      <c r="BA182" s="166"/>
      <c r="BB182" s="166"/>
      <c r="BC182" s="168" t="str">
        <f t="shared" si="2786"/>
        <v xml:space="preserve"> </v>
      </c>
      <c r="BD182" s="168"/>
      <c r="BE182" s="166" t="str">
        <f t="shared" si="2787"/>
        <v xml:space="preserve"> </v>
      </c>
      <c r="BF182" s="167"/>
      <c r="BG182" s="167"/>
      <c r="BH182" s="168" t="str">
        <f t="shared" si="2788"/>
        <v xml:space="preserve"> </v>
      </c>
      <c r="BI182" s="168"/>
      <c r="BJ182" s="167" t="str">
        <f t="shared" si="2789"/>
        <v xml:space="preserve"> </v>
      </c>
      <c r="BK182" s="166"/>
      <c r="BL182" s="166" t="str">
        <f t="shared" si="2790"/>
        <v xml:space="preserve"> </v>
      </c>
      <c r="BM182" s="168" t="str">
        <f t="shared" si="2791"/>
        <v xml:space="preserve"> </v>
      </c>
      <c r="BN182" s="168"/>
      <c r="BO182" s="166" t="str">
        <f t="shared" si="2792"/>
        <v xml:space="preserve"> </v>
      </c>
    </row>
    <row r="183" spans="2:67" ht="15" customHeight="1" x14ac:dyDescent="0.25">
      <c r="B183" s="170">
        <v>46201</v>
      </c>
      <c r="C183" s="164"/>
      <c r="D183" s="166" t="str">
        <f t="shared" si="2759"/>
        <v xml:space="preserve"> </v>
      </c>
      <c r="E183" s="168" t="str">
        <f t="shared" si="2760"/>
        <v xml:space="preserve"> </v>
      </c>
      <c r="F183" s="168"/>
      <c r="G183" s="166" t="str">
        <f t="shared" si="2761"/>
        <v xml:space="preserve"> </v>
      </c>
      <c r="H183" s="167"/>
      <c r="I183" s="167" t="str">
        <f t="shared" si="2762"/>
        <v xml:space="preserve"> </v>
      </c>
      <c r="J183" s="168" t="str">
        <f t="shared" si="2763"/>
        <v xml:space="preserve"> </v>
      </c>
      <c r="K183" s="168"/>
      <c r="L183" s="167" t="str">
        <f t="shared" si="2764"/>
        <v xml:space="preserve"> </v>
      </c>
      <c r="M183" s="166"/>
      <c r="N183" s="166" t="str">
        <f t="shared" si="2765"/>
        <v xml:space="preserve"> </v>
      </c>
      <c r="O183" s="168" t="str">
        <f t="shared" si="2766"/>
        <v xml:space="preserve"> </v>
      </c>
      <c r="P183" s="168"/>
      <c r="Q183" s="166" t="str">
        <f t="shared" si="2767"/>
        <v xml:space="preserve"> </v>
      </c>
      <c r="R183" s="167">
        <f ca="1">+BDFUENTES[[#This Row],[PZ MED m3/día]]/3.6/BDFUENTES[[#This Row],[PZ MED Horas Activo]]</f>
        <v>0</v>
      </c>
      <c r="S183" s="167" t="str">
        <f t="shared" ca="1" si="2768"/>
        <v xml:space="preserve"> </v>
      </c>
      <c r="T183" s="168" t="str">
        <f t="shared" si="2769"/>
        <v xml:space="preserve"> </v>
      </c>
      <c r="U183" s="168"/>
      <c r="V183" s="165" t="str">
        <f t="shared" si="2770"/>
        <v xml:space="preserve"> </v>
      </c>
      <c r="W183" s="164" t="str">
        <f t="shared" si="2771"/>
        <v xml:space="preserve"> </v>
      </c>
      <c r="X183" s="166"/>
      <c r="Y183" s="168" t="str">
        <f t="shared" si="2772"/>
        <v xml:space="preserve"> </v>
      </c>
      <c r="Z183" s="168"/>
      <c r="AA183" s="166" t="str">
        <f t="shared" si="2773"/>
        <v xml:space="preserve"> </v>
      </c>
      <c r="AB183" s="168" t="str">
        <f t="shared" si="2774"/>
        <v xml:space="preserve"> </v>
      </c>
      <c r="AC183" s="168"/>
      <c r="AD183" s="171" t="str">
        <f t="shared" si="2775"/>
        <v xml:space="preserve"> </v>
      </c>
      <c r="AE183" s="167"/>
      <c r="AF183" s="165" t="str">
        <f t="shared" si="2776"/>
        <v xml:space="preserve"> </v>
      </c>
      <c r="AG183" s="168"/>
      <c r="AH183" s="168"/>
      <c r="AI183" s="166"/>
      <c r="AJ183" s="166"/>
      <c r="AK183" s="166" t="str">
        <f t="shared" si="2777"/>
        <v/>
      </c>
      <c r="AL183" s="167"/>
      <c r="AM183" s="171" t="str">
        <f t="shared" si="2778"/>
        <v xml:space="preserve"> </v>
      </c>
      <c r="AN183" s="168" t="str">
        <f t="shared" si="2779"/>
        <v xml:space="preserve"> </v>
      </c>
      <c r="AO183" s="168"/>
      <c r="AP183" s="167" t="str">
        <f t="shared" si="2780"/>
        <v xml:space="preserve"> </v>
      </c>
      <c r="AQ183" s="166"/>
      <c r="AR183" s="166" t="str">
        <f t="shared" si="2781"/>
        <v xml:space="preserve"> </v>
      </c>
      <c r="AS183" s="168" t="str">
        <f t="shared" si="2782"/>
        <v xml:space="preserve"> </v>
      </c>
      <c r="AT183" s="168"/>
      <c r="AU183" s="166" t="str">
        <f t="shared" si="2783"/>
        <v xml:space="preserve"> </v>
      </c>
      <c r="AV183" s="167"/>
      <c r="AW183" s="167"/>
      <c r="AX183" s="169" t="str">
        <f t="shared" si="2784"/>
        <v xml:space="preserve"> </v>
      </c>
      <c r="AY183" s="169"/>
      <c r="AZ183" s="167" t="str">
        <f t="shared" si="2785"/>
        <v xml:space="preserve"> </v>
      </c>
      <c r="BA183" s="166"/>
      <c r="BB183" s="166"/>
      <c r="BC183" s="168" t="str">
        <f t="shared" si="2786"/>
        <v xml:space="preserve"> </v>
      </c>
      <c r="BD183" s="168"/>
      <c r="BE183" s="166" t="str">
        <f t="shared" si="2787"/>
        <v xml:space="preserve"> </v>
      </c>
      <c r="BF183" s="167"/>
      <c r="BG183" s="167"/>
      <c r="BH183" s="168" t="str">
        <f t="shared" si="2788"/>
        <v xml:space="preserve"> </v>
      </c>
      <c r="BI183" s="168"/>
      <c r="BJ183" s="167" t="str">
        <f t="shared" si="2789"/>
        <v xml:space="preserve"> </v>
      </c>
      <c r="BK183" s="166"/>
      <c r="BL183" s="166" t="str">
        <f t="shared" si="2790"/>
        <v xml:space="preserve"> </v>
      </c>
      <c r="BM183" s="168" t="str">
        <f t="shared" si="2791"/>
        <v xml:space="preserve"> </v>
      </c>
      <c r="BN183" s="168"/>
      <c r="BO183" s="166" t="str">
        <f t="shared" si="2792"/>
        <v xml:space="preserve"> </v>
      </c>
    </row>
    <row r="184" spans="2:67" ht="15" customHeight="1" x14ac:dyDescent="0.25">
      <c r="B184" s="170">
        <v>46202</v>
      </c>
      <c r="C184" s="164"/>
      <c r="D184" s="166" t="str">
        <f t="shared" si="2759"/>
        <v xml:space="preserve"> </v>
      </c>
      <c r="E184" s="168" t="str">
        <f t="shared" si="2760"/>
        <v xml:space="preserve"> </v>
      </c>
      <c r="F184" s="168"/>
      <c r="G184" s="166" t="str">
        <f t="shared" si="2761"/>
        <v xml:space="preserve"> </v>
      </c>
      <c r="H184" s="167"/>
      <c r="I184" s="167" t="str">
        <f t="shared" si="2762"/>
        <v xml:space="preserve"> </v>
      </c>
      <c r="J184" s="168" t="str">
        <f t="shared" si="2763"/>
        <v xml:space="preserve"> </v>
      </c>
      <c r="K184" s="168"/>
      <c r="L184" s="167" t="str">
        <f t="shared" si="2764"/>
        <v xml:space="preserve"> </v>
      </c>
      <c r="M184" s="166"/>
      <c r="N184" s="166" t="str">
        <f t="shared" si="2765"/>
        <v xml:space="preserve"> </v>
      </c>
      <c r="O184" s="168" t="str">
        <f t="shared" si="2766"/>
        <v xml:space="preserve"> </v>
      </c>
      <c r="P184" s="168"/>
      <c r="Q184" s="166" t="str">
        <f t="shared" si="2767"/>
        <v xml:space="preserve"> </v>
      </c>
      <c r="R184" s="167">
        <f ca="1">+BDFUENTES[[#This Row],[PZ MED m3/día]]/3.6/BDFUENTES[[#This Row],[PZ MED Horas Activo]]</f>
        <v>0</v>
      </c>
      <c r="S184" s="167" t="str">
        <f t="shared" ca="1" si="2768"/>
        <v xml:space="preserve"> </v>
      </c>
      <c r="T184" s="168" t="str">
        <f t="shared" si="2769"/>
        <v xml:space="preserve"> </v>
      </c>
      <c r="U184" s="168"/>
      <c r="V184" s="165" t="str">
        <f t="shared" si="2770"/>
        <v xml:space="preserve"> </v>
      </c>
      <c r="W184" s="164" t="str">
        <f t="shared" si="2771"/>
        <v xml:space="preserve"> </v>
      </c>
      <c r="X184" s="166"/>
      <c r="Y184" s="168" t="str">
        <f t="shared" si="2772"/>
        <v xml:space="preserve"> </v>
      </c>
      <c r="Z184" s="168"/>
      <c r="AA184" s="166" t="str">
        <f t="shared" si="2773"/>
        <v xml:space="preserve"> </v>
      </c>
      <c r="AB184" s="168" t="str">
        <f t="shared" si="2774"/>
        <v xml:space="preserve"> </v>
      </c>
      <c r="AC184" s="168"/>
      <c r="AD184" s="171" t="str">
        <f t="shared" si="2775"/>
        <v xml:space="preserve"> </v>
      </c>
      <c r="AE184" s="167"/>
      <c r="AF184" s="165" t="str">
        <f t="shared" si="2776"/>
        <v xml:space="preserve"> </v>
      </c>
      <c r="AG184" s="168"/>
      <c r="AH184" s="168"/>
      <c r="AI184" s="166"/>
      <c r="AJ184" s="166"/>
      <c r="AK184" s="166" t="str">
        <f t="shared" si="2777"/>
        <v/>
      </c>
      <c r="AL184" s="167"/>
      <c r="AM184" s="171" t="str">
        <f t="shared" si="2778"/>
        <v xml:space="preserve"> </v>
      </c>
      <c r="AN184" s="168" t="str">
        <f t="shared" si="2779"/>
        <v xml:space="preserve"> </v>
      </c>
      <c r="AO184" s="168"/>
      <c r="AP184" s="167" t="str">
        <f t="shared" si="2780"/>
        <v xml:space="preserve"> </v>
      </c>
      <c r="AQ184" s="166"/>
      <c r="AR184" s="166" t="str">
        <f t="shared" si="2781"/>
        <v xml:space="preserve"> </v>
      </c>
      <c r="AS184" s="168" t="str">
        <f t="shared" si="2782"/>
        <v xml:space="preserve"> </v>
      </c>
      <c r="AT184" s="168"/>
      <c r="AU184" s="166" t="str">
        <f t="shared" si="2783"/>
        <v xml:space="preserve"> </v>
      </c>
      <c r="AV184" s="167"/>
      <c r="AW184" s="167"/>
      <c r="AX184" s="169" t="str">
        <f t="shared" si="2784"/>
        <v xml:space="preserve"> </v>
      </c>
      <c r="AY184" s="169"/>
      <c r="AZ184" s="167" t="str">
        <f t="shared" si="2785"/>
        <v xml:space="preserve"> </v>
      </c>
      <c r="BA184" s="166"/>
      <c r="BB184" s="166"/>
      <c r="BC184" s="168" t="str">
        <f t="shared" si="2786"/>
        <v xml:space="preserve"> </v>
      </c>
      <c r="BD184" s="168"/>
      <c r="BE184" s="166" t="str">
        <f t="shared" si="2787"/>
        <v xml:space="preserve"> </v>
      </c>
      <c r="BF184" s="167"/>
      <c r="BG184" s="167"/>
      <c r="BH184" s="168" t="str">
        <f t="shared" si="2788"/>
        <v xml:space="preserve"> </v>
      </c>
      <c r="BI184" s="168"/>
      <c r="BJ184" s="167" t="str">
        <f t="shared" si="2789"/>
        <v xml:space="preserve"> </v>
      </c>
      <c r="BK184" s="166"/>
      <c r="BL184" s="166" t="str">
        <f t="shared" si="2790"/>
        <v xml:space="preserve"> </v>
      </c>
      <c r="BM184" s="168" t="str">
        <f t="shared" si="2791"/>
        <v xml:space="preserve"> </v>
      </c>
      <c r="BN184" s="168"/>
      <c r="BO184" s="166" t="str">
        <f t="shared" si="2792"/>
        <v xml:space="preserve"> </v>
      </c>
    </row>
    <row r="185" spans="2:67" ht="15" customHeight="1" x14ac:dyDescent="0.25">
      <c r="B185" s="170">
        <v>46203</v>
      </c>
      <c r="C185" s="164"/>
      <c r="D185" s="166" t="str">
        <f t="shared" si="2759"/>
        <v xml:space="preserve"> </v>
      </c>
      <c r="E185" s="168" t="str">
        <f t="shared" si="2760"/>
        <v xml:space="preserve"> </v>
      </c>
      <c r="F185" s="168"/>
      <c r="G185" s="166" t="str">
        <f t="shared" si="2761"/>
        <v xml:space="preserve"> </v>
      </c>
      <c r="H185" s="167"/>
      <c r="I185" s="167" t="str">
        <f t="shared" si="2762"/>
        <v xml:space="preserve"> </v>
      </c>
      <c r="J185" s="168" t="str">
        <f t="shared" si="2763"/>
        <v xml:space="preserve"> </v>
      </c>
      <c r="K185" s="168"/>
      <c r="L185" s="167" t="str">
        <f t="shared" si="2764"/>
        <v xml:space="preserve"> </v>
      </c>
      <c r="M185" s="166"/>
      <c r="N185" s="166" t="str">
        <f t="shared" si="2765"/>
        <v xml:space="preserve"> </v>
      </c>
      <c r="O185" s="168" t="str">
        <f t="shared" si="2766"/>
        <v xml:space="preserve"> </v>
      </c>
      <c r="P185" s="168"/>
      <c r="Q185" s="166" t="str">
        <f t="shared" si="2767"/>
        <v xml:space="preserve"> </v>
      </c>
      <c r="R185" s="167">
        <f ca="1">+BDFUENTES[[#This Row],[PZ MED m3/día]]/3.6/BDFUENTES[[#This Row],[PZ MED Horas Activo]]</f>
        <v>0</v>
      </c>
      <c r="S185" s="167" t="str">
        <f t="shared" ca="1" si="2768"/>
        <v xml:space="preserve"> </v>
      </c>
      <c r="T185" s="168" t="str">
        <f t="shared" si="2769"/>
        <v xml:space="preserve"> </v>
      </c>
      <c r="U185" s="168"/>
      <c r="V185" s="165" t="str">
        <f t="shared" si="2770"/>
        <v xml:space="preserve"> </v>
      </c>
      <c r="W185" s="164" t="str">
        <f t="shared" si="2771"/>
        <v xml:space="preserve"> </v>
      </c>
      <c r="X185" s="166"/>
      <c r="Y185" s="168" t="str">
        <f t="shared" si="2772"/>
        <v xml:space="preserve"> </v>
      </c>
      <c r="Z185" s="168"/>
      <c r="AA185" s="166" t="str">
        <f t="shared" si="2773"/>
        <v xml:space="preserve"> </v>
      </c>
      <c r="AB185" s="168" t="str">
        <f t="shared" si="2774"/>
        <v xml:space="preserve"> </v>
      </c>
      <c r="AC185" s="168"/>
      <c r="AD185" s="171" t="str">
        <f t="shared" si="2775"/>
        <v xml:space="preserve"> </v>
      </c>
      <c r="AE185" s="167"/>
      <c r="AF185" s="165" t="str">
        <f t="shared" si="2776"/>
        <v xml:space="preserve"> </v>
      </c>
      <c r="AG185" s="168"/>
      <c r="AH185" s="168"/>
      <c r="AI185" s="166"/>
      <c r="AJ185" s="166"/>
      <c r="AK185" s="166" t="str">
        <f t="shared" si="2777"/>
        <v/>
      </c>
      <c r="AL185" s="167"/>
      <c r="AM185" s="171" t="str">
        <f t="shared" si="2778"/>
        <v xml:space="preserve"> </v>
      </c>
      <c r="AN185" s="168" t="str">
        <f t="shared" si="2779"/>
        <v xml:space="preserve"> </v>
      </c>
      <c r="AO185" s="168"/>
      <c r="AP185" s="167" t="str">
        <f t="shared" si="2780"/>
        <v xml:space="preserve"> </v>
      </c>
      <c r="AQ185" s="166"/>
      <c r="AR185" s="166" t="str">
        <f t="shared" si="2781"/>
        <v xml:space="preserve"> </v>
      </c>
      <c r="AS185" s="168" t="str">
        <f t="shared" si="2782"/>
        <v xml:space="preserve"> </v>
      </c>
      <c r="AT185" s="168"/>
      <c r="AU185" s="166" t="str">
        <f t="shared" si="2783"/>
        <v xml:space="preserve"> </v>
      </c>
      <c r="AV185" s="167"/>
      <c r="AW185" s="167"/>
      <c r="AX185" s="169" t="str">
        <f t="shared" si="2784"/>
        <v xml:space="preserve"> </v>
      </c>
      <c r="AY185" s="169"/>
      <c r="AZ185" s="167" t="str">
        <f t="shared" si="2785"/>
        <v xml:space="preserve"> </v>
      </c>
      <c r="BA185" s="166"/>
      <c r="BB185" s="166"/>
      <c r="BC185" s="168" t="str">
        <f t="shared" si="2786"/>
        <v xml:space="preserve"> </v>
      </c>
      <c r="BD185" s="168"/>
      <c r="BE185" s="166" t="str">
        <f t="shared" si="2787"/>
        <v xml:space="preserve"> </v>
      </c>
      <c r="BF185" s="167"/>
      <c r="BG185" s="167"/>
      <c r="BH185" s="168" t="str">
        <f t="shared" si="2788"/>
        <v xml:space="preserve"> </v>
      </c>
      <c r="BI185" s="168"/>
      <c r="BJ185" s="167" t="str">
        <f t="shared" si="2789"/>
        <v xml:space="preserve"> </v>
      </c>
      <c r="BK185" s="166"/>
      <c r="BL185" s="166" t="str">
        <f t="shared" si="2790"/>
        <v xml:space="preserve"> </v>
      </c>
      <c r="BM185" s="168" t="str">
        <f t="shared" si="2791"/>
        <v xml:space="preserve"> </v>
      </c>
      <c r="BN185" s="168"/>
      <c r="BO185" s="166" t="str">
        <f t="shared" si="2792"/>
        <v xml:space="preserve"> </v>
      </c>
    </row>
    <row r="186" spans="2:67" ht="15" customHeight="1" x14ac:dyDescent="0.25">
      <c r="B186" s="170">
        <v>46204</v>
      </c>
      <c r="C186" s="164"/>
      <c r="D186" s="166" t="str">
        <f t="shared" si="2759"/>
        <v xml:space="preserve"> </v>
      </c>
      <c r="E186" s="168" t="str">
        <f t="shared" si="2760"/>
        <v xml:space="preserve"> </v>
      </c>
      <c r="F186" s="168"/>
      <c r="G186" s="166" t="str">
        <f t="shared" si="2761"/>
        <v xml:space="preserve"> </v>
      </c>
      <c r="H186" s="167"/>
      <c r="I186" s="167" t="str">
        <f t="shared" si="2762"/>
        <v xml:space="preserve"> </v>
      </c>
      <c r="J186" s="168" t="str">
        <f t="shared" si="2763"/>
        <v xml:space="preserve"> </v>
      </c>
      <c r="K186" s="168"/>
      <c r="L186" s="167" t="str">
        <f t="shared" si="2764"/>
        <v xml:space="preserve"> </v>
      </c>
      <c r="M186" s="166"/>
      <c r="N186" s="166" t="str">
        <f t="shared" si="2765"/>
        <v xml:space="preserve"> </v>
      </c>
      <c r="O186" s="168" t="str">
        <f t="shared" si="2766"/>
        <v xml:space="preserve"> </v>
      </c>
      <c r="P186" s="168"/>
      <c r="Q186" s="166" t="str">
        <f t="shared" si="2767"/>
        <v xml:space="preserve"> </v>
      </c>
      <c r="R186" s="167">
        <f ca="1">+BDFUENTES[[#This Row],[PZ MED m3/día]]/3.6/BDFUENTES[[#This Row],[PZ MED Horas Activo]]</f>
        <v>0</v>
      </c>
      <c r="S186" s="167" t="str">
        <f t="shared" ca="1" si="2768"/>
        <v xml:space="preserve"> </v>
      </c>
      <c r="T186" s="168" t="str">
        <f t="shared" si="2769"/>
        <v xml:space="preserve"> </v>
      </c>
      <c r="U186" s="168"/>
      <c r="V186" s="165" t="str">
        <f t="shared" si="2770"/>
        <v xml:space="preserve"> </v>
      </c>
      <c r="W186" s="164" t="str">
        <f t="shared" si="2771"/>
        <v xml:space="preserve"> </v>
      </c>
      <c r="X186" s="166"/>
      <c r="Y186" s="168" t="str">
        <f t="shared" si="2772"/>
        <v xml:space="preserve"> </v>
      </c>
      <c r="Z186" s="168"/>
      <c r="AA186" s="166" t="str">
        <f t="shared" si="2773"/>
        <v xml:space="preserve"> </v>
      </c>
      <c r="AB186" s="168" t="str">
        <f t="shared" si="2774"/>
        <v xml:space="preserve"> </v>
      </c>
      <c r="AC186" s="168"/>
      <c r="AD186" s="171" t="str">
        <f t="shared" si="2775"/>
        <v xml:space="preserve"> </v>
      </c>
      <c r="AE186" s="167"/>
      <c r="AF186" s="165" t="str">
        <f t="shared" si="2776"/>
        <v xml:space="preserve"> </v>
      </c>
      <c r="AG186" s="168"/>
      <c r="AH186" s="168"/>
      <c r="AI186" s="166"/>
      <c r="AJ186" s="166"/>
      <c r="AK186" s="166" t="str">
        <f t="shared" si="2777"/>
        <v/>
      </c>
      <c r="AL186" s="167"/>
      <c r="AM186" s="171" t="str">
        <f t="shared" si="2778"/>
        <v xml:space="preserve"> </v>
      </c>
      <c r="AN186" s="168" t="str">
        <f t="shared" si="2779"/>
        <v xml:space="preserve"> </v>
      </c>
      <c r="AO186" s="168"/>
      <c r="AP186" s="167" t="str">
        <f t="shared" si="2780"/>
        <v xml:space="preserve"> </v>
      </c>
      <c r="AQ186" s="166"/>
      <c r="AR186" s="166" t="str">
        <f t="shared" si="2781"/>
        <v xml:space="preserve"> </v>
      </c>
      <c r="AS186" s="168" t="str">
        <f t="shared" si="2782"/>
        <v xml:space="preserve"> </v>
      </c>
      <c r="AT186" s="168"/>
      <c r="AU186" s="166" t="str">
        <f t="shared" si="2783"/>
        <v xml:space="preserve"> </v>
      </c>
      <c r="AV186" s="167"/>
      <c r="AW186" s="167"/>
      <c r="AX186" s="169" t="str">
        <f t="shared" si="2784"/>
        <v xml:space="preserve"> </v>
      </c>
      <c r="AY186" s="169"/>
      <c r="AZ186" s="167" t="str">
        <f t="shared" si="2785"/>
        <v xml:space="preserve"> </v>
      </c>
      <c r="BA186" s="166"/>
      <c r="BB186" s="166"/>
      <c r="BC186" s="168" t="str">
        <f t="shared" si="2786"/>
        <v xml:space="preserve"> </v>
      </c>
      <c r="BD186" s="168"/>
      <c r="BE186" s="166" t="str">
        <f t="shared" si="2787"/>
        <v xml:space="preserve"> </v>
      </c>
      <c r="BF186" s="167"/>
      <c r="BG186" s="167"/>
      <c r="BH186" s="168" t="str">
        <f t="shared" si="2788"/>
        <v xml:space="preserve"> </v>
      </c>
      <c r="BI186" s="168"/>
      <c r="BJ186" s="167" t="str">
        <f t="shared" si="2789"/>
        <v xml:space="preserve"> </v>
      </c>
      <c r="BK186" s="166"/>
      <c r="BL186" s="166" t="str">
        <f t="shared" si="2790"/>
        <v xml:space="preserve"> </v>
      </c>
      <c r="BM186" s="168" t="str">
        <f t="shared" si="2791"/>
        <v xml:space="preserve"> </v>
      </c>
      <c r="BN186" s="168"/>
      <c r="BO186" s="166" t="str">
        <f t="shared" si="2792"/>
        <v xml:space="preserve"> </v>
      </c>
    </row>
    <row r="187" spans="2:67" ht="15" customHeight="1" x14ac:dyDescent="0.25">
      <c r="B187" s="170">
        <v>46205</v>
      </c>
      <c r="C187" s="164"/>
      <c r="D187" s="166" t="str">
        <f t="shared" si="2759"/>
        <v xml:space="preserve"> </v>
      </c>
      <c r="E187" s="168" t="str">
        <f t="shared" si="2760"/>
        <v xml:space="preserve"> </v>
      </c>
      <c r="F187" s="168"/>
      <c r="G187" s="166" t="str">
        <f t="shared" si="2761"/>
        <v xml:space="preserve"> </v>
      </c>
      <c r="H187" s="167"/>
      <c r="I187" s="167" t="str">
        <f t="shared" si="2762"/>
        <v xml:space="preserve"> </v>
      </c>
      <c r="J187" s="168" t="str">
        <f t="shared" si="2763"/>
        <v xml:space="preserve"> </v>
      </c>
      <c r="K187" s="168"/>
      <c r="L187" s="167" t="str">
        <f t="shared" si="2764"/>
        <v xml:space="preserve"> </v>
      </c>
      <c r="M187" s="166"/>
      <c r="N187" s="166" t="str">
        <f t="shared" si="2765"/>
        <v xml:space="preserve"> </v>
      </c>
      <c r="O187" s="168" t="str">
        <f t="shared" si="2766"/>
        <v xml:space="preserve"> </v>
      </c>
      <c r="P187" s="168"/>
      <c r="Q187" s="166" t="str">
        <f t="shared" si="2767"/>
        <v xml:space="preserve"> </v>
      </c>
      <c r="R187" s="167">
        <f ca="1">+BDFUENTES[[#This Row],[PZ MED m3/día]]/3.6/BDFUENTES[[#This Row],[PZ MED Horas Activo]]</f>
        <v>0</v>
      </c>
      <c r="S187" s="167" t="str">
        <f t="shared" ca="1" si="2768"/>
        <v xml:space="preserve"> </v>
      </c>
      <c r="T187" s="168" t="str">
        <f t="shared" si="2769"/>
        <v xml:space="preserve"> </v>
      </c>
      <c r="U187" s="168"/>
      <c r="V187" s="165" t="str">
        <f t="shared" si="2770"/>
        <v xml:space="preserve"> </v>
      </c>
      <c r="W187" s="164" t="str">
        <f t="shared" si="2771"/>
        <v xml:space="preserve"> </v>
      </c>
      <c r="X187" s="166"/>
      <c r="Y187" s="168" t="str">
        <f t="shared" si="2772"/>
        <v xml:space="preserve"> </v>
      </c>
      <c r="Z187" s="168"/>
      <c r="AA187" s="166" t="str">
        <f t="shared" si="2773"/>
        <v xml:space="preserve"> </v>
      </c>
      <c r="AB187" s="168" t="str">
        <f t="shared" si="2774"/>
        <v xml:space="preserve"> </v>
      </c>
      <c r="AC187" s="168"/>
      <c r="AD187" s="171" t="str">
        <f t="shared" si="2775"/>
        <v xml:space="preserve"> </v>
      </c>
      <c r="AE187" s="167"/>
      <c r="AF187" s="165" t="str">
        <f t="shared" si="2776"/>
        <v xml:space="preserve"> </v>
      </c>
      <c r="AG187" s="168"/>
      <c r="AH187" s="168"/>
      <c r="AI187" s="166"/>
      <c r="AJ187" s="166"/>
      <c r="AK187" s="166" t="str">
        <f t="shared" si="2777"/>
        <v/>
      </c>
      <c r="AL187" s="167"/>
      <c r="AM187" s="171" t="str">
        <f t="shared" si="2778"/>
        <v xml:space="preserve"> </v>
      </c>
      <c r="AN187" s="168" t="str">
        <f t="shared" si="2779"/>
        <v xml:space="preserve"> </v>
      </c>
      <c r="AO187" s="168"/>
      <c r="AP187" s="167" t="str">
        <f t="shared" si="2780"/>
        <v xml:space="preserve"> </v>
      </c>
      <c r="AQ187" s="166"/>
      <c r="AR187" s="166" t="str">
        <f t="shared" si="2781"/>
        <v xml:space="preserve"> </v>
      </c>
      <c r="AS187" s="168" t="str">
        <f t="shared" si="2782"/>
        <v xml:space="preserve"> </v>
      </c>
      <c r="AT187" s="168"/>
      <c r="AU187" s="166" t="str">
        <f t="shared" si="2783"/>
        <v xml:space="preserve"> </v>
      </c>
      <c r="AV187" s="167"/>
      <c r="AW187" s="167"/>
      <c r="AX187" s="169" t="str">
        <f t="shared" si="2784"/>
        <v xml:space="preserve"> </v>
      </c>
      <c r="AY187" s="169"/>
      <c r="AZ187" s="167" t="str">
        <f t="shared" si="2785"/>
        <v xml:space="preserve"> </v>
      </c>
      <c r="BA187" s="166"/>
      <c r="BB187" s="166"/>
      <c r="BC187" s="168" t="str">
        <f t="shared" si="2786"/>
        <v xml:space="preserve"> </v>
      </c>
      <c r="BD187" s="168"/>
      <c r="BE187" s="166" t="str">
        <f t="shared" si="2787"/>
        <v xml:space="preserve"> </v>
      </c>
      <c r="BF187" s="167"/>
      <c r="BG187" s="167"/>
      <c r="BH187" s="168" t="str">
        <f t="shared" si="2788"/>
        <v xml:space="preserve"> </v>
      </c>
      <c r="BI187" s="168"/>
      <c r="BJ187" s="167" t="str">
        <f t="shared" si="2789"/>
        <v xml:space="preserve"> </v>
      </c>
      <c r="BK187" s="166"/>
      <c r="BL187" s="166" t="str">
        <f t="shared" si="2790"/>
        <v xml:space="preserve"> </v>
      </c>
      <c r="BM187" s="168" t="str">
        <f t="shared" si="2791"/>
        <v xml:space="preserve"> </v>
      </c>
      <c r="BN187" s="168"/>
      <c r="BO187" s="166" t="str">
        <f t="shared" si="2792"/>
        <v xml:space="preserve"> </v>
      </c>
    </row>
    <row r="188" spans="2:67" ht="15" customHeight="1" x14ac:dyDescent="0.25">
      <c r="B188" s="170">
        <v>46206</v>
      </c>
      <c r="C188" s="164"/>
      <c r="D188" s="166" t="str">
        <f t="shared" si="2759"/>
        <v xml:space="preserve"> </v>
      </c>
      <c r="E188" s="168" t="str">
        <f t="shared" si="2760"/>
        <v xml:space="preserve"> </v>
      </c>
      <c r="F188" s="168"/>
      <c r="G188" s="166" t="str">
        <f t="shared" si="2761"/>
        <v xml:space="preserve"> </v>
      </c>
      <c r="H188" s="167"/>
      <c r="I188" s="167" t="str">
        <f t="shared" si="2762"/>
        <v xml:space="preserve"> </v>
      </c>
      <c r="J188" s="168" t="str">
        <f t="shared" si="2763"/>
        <v xml:space="preserve"> </v>
      </c>
      <c r="K188" s="168"/>
      <c r="L188" s="167" t="str">
        <f t="shared" si="2764"/>
        <v xml:space="preserve"> </v>
      </c>
      <c r="M188" s="166"/>
      <c r="N188" s="166" t="str">
        <f t="shared" si="2765"/>
        <v xml:space="preserve"> </v>
      </c>
      <c r="O188" s="168" t="str">
        <f t="shared" si="2766"/>
        <v xml:space="preserve"> </v>
      </c>
      <c r="P188" s="168"/>
      <c r="Q188" s="166" t="str">
        <f t="shared" si="2767"/>
        <v xml:space="preserve"> </v>
      </c>
      <c r="R188" s="167">
        <f ca="1">+BDFUENTES[[#This Row],[PZ MED m3/día]]/3.6/BDFUENTES[[#This Row],[PZ MED Horas Activo]]</f>
        <v>0</v>
      </c>
      <c r="S188" s="167" t="str">
        <f t="shared" ca="1" si="2768"/>
        <v xml:space="preserve"> </v>
      </c>
      <c r="T188" s="168" t="str">
        <f t="shared" si="2769"/>
        <v xml:space="preserve"> </v>
      </c>
      <c r="U188" s="168"/>
      <c r="V188" s="165" t="str">
        <f t="shared" si="2770"/>
        <v xml:space="preserve"> </v>
      </c>
      <c r="W188" s="164" t="str">
        <f t="shared" si="2771"/>
        <v xml:space="preserve"> </v>
      </c>
      <c r="X188" s="166"/>
      <c r="Y188" s="168" t="str">
        <f t="shared" si="2772"/>
        <v xml:space="preserve"> </v>
      </c>
      <c r="Z188" s="168"/>
      <c r="AA188" s="166" t="str">
        <f t="shared" si="2773"/>
        <v xml:space="preserve"> </v>
      </c>
      <c r="AB188" s="168" t="str">
        <f t="shared" si="2774"/>
        <v xml:space="preserve"> </v>
      </c>
      <c r="AC188" s="168"/>
      <c r="AD188" s="171" t="str">
        <f t="shared" si="2775"/>
        <v xml:space="preserve"> </v>
      </c>
      <c r="AE188" s="167"/>
      <c r="AF188" s="165" t="str">
        <f t="shared" si="2776"/>
        <v xml:space="preserve"> </v>
      </c>
      <c r="AG188" s="168"/>
      <c r="AH188" s="168"/>
      <c r="AI188" s="166"/>
      <c r="AJ188" s="166"/>
      <c r="AK188" s="166" t="str">
        <f t="shared" si="2777"/>
        <v/>
      </c>
      <c r="AL188" s="167"/>
      <c r="AM188" s="171" t="str">
        <f t="shared" si="2778"/>
        <v xml:space="preserve"> </v>
      </c>
      <c r="AN188" s="168" t="str">
        <f t="shared" si="2779"/>
        <v xml:space="preserve"> </v>
      </c>
      <c r="AO188" s="168"/>
      <c r="AP188" s="167" t="str">
        <f t="shared" si="2780"/>
        <v xml:space="preserve"> </v>
      </c>
      <c r="AQ188" s="166"/>
      <c r="AR188" s="166" t="str">
        <f t="shared" si="2781"/>
        <v xml:space="preserve"> </v>
      </c>
      <c r="AS188" s="168" t="str">
        <f t="shared" si="2782"/>
        <v xml:space="preserve"> </v>
      </c>
      <c r="AT188" s="168"/>
      <c r="AU188" s="166" t="str">
        <f t="shared" si="2783"/>
        <v xml:space="preserve"> </v>
      </c>
      <c r="AV188" s="167"/>
      <c r="AW188" s="167"/>
      <c r="AX188" s="169" t="str">
        <f t="shared" si="2784"/>
        <v xml:space="preserve"> </v>
      </c>
      <c r="AY188" s="169"/>
      <c r="AZ188" s="167" t="str">
        <f t="shared" si="2785"/>
        <v xml:space="preserve"> </v>
      </c>
      <c r="BA188" s="166"/>
      <c r="BB188" s="166"/>
      <c r="BC188" s="168" t="str">
        <f t="shared" si="2786"/>
        <v xml:space="preserve"> </v>
      </c>
      <c r="BD188" s="168"/>
      <c r="BE188" s="166" t="str">
        <f t="shared" si="2787"/>
        <v xml:space="preserve"> </v>
      </c>
      <c r="BF188" s="167"/>
      <c r="BG188" s="167"/>
      <c r="BH188" s="168" t="str">
        <f t="shared" si="2788"/>
        <v xml:space="preserve"> </v>
      </c>
      <c r="BI188" s="168"/>
      <c r="BJ188" s="167" t="str">
        <f t="shared" si="2789"/>
        <v xml:space="preserve"> </v>
      </c>
      <c r="BK188" s="166"/>
      <c r="BL188" s="166" t="str">
        <f t="shared" si="2790"/>
        <v xml:space="preserve"> </v>
      </c>
      <c r="BM188" s="168" t="str">
        <f t="shared" si="2791"/>
        <v xml:space="preserve"> </v>
      </c>
      <c r="BN188" s="168"/>
      <c r="BO188" s="166" t="str">
        <f t="shared" si="2792"/>
        <v xml:space="preserve"> </v>
      </c>
    </row>
    <row r="189" spans="2:67" ht="15" customHeight="1" x14ac:dyDescent="0.25">
      <c r="B189" s="170">
        <v>46207</v>
      </c>
      <c r="C189" s="164"/>
      <c r="D189" s="166" t="str">
        <f t="shared" si="2759"/>
        <v xml:space="preserve"> </v>
      </c>
      <c r="E189" s="168" t="str">
        <f t="shared" si="2760"/>
        <v xml:space="preserve"> </v>
      </c>
      <c r="F189" s="168"/>
      <c r="G189" s="166" t="str">
        <f t="shared" si="2761"/>
        <v xml:space="preserve"> </v>
      </c>
      <c r="H189" s="167"/>
      <c r="I189" s="167" t="str">
        <f t="shared" si="2762"/>
        <v xml:space="preserve"> </v>
      </c>
      <c r="J189" s="168" t="str">
        <f t="shared" si="2763"/>
        <v xml:space="preserve"> </v>
      </c>
      <c r="K189" s="168"/>
      <c r="L189" s="167" t="str">
        <f t="shared" si="2764"/>
        <v xml:space="preserve"> </v>
      </c>
      <c r="M189" s="166"/>
      <c r="N189" s="166" t="str">
        <f t="shared" si="2765"/>
        <v xml:space="preserve"> </v>
      </c>
      <c r="O189" s="168" t="str">
        <f t="shared" si="2766"/>
        <v xml:space="preserve"> </v>
      </c>
      <c r="P189" s="168"/>
      <c r="Q189" s="166" t="str">
        <f t="shared" si="2767"/>
        <v xml:space="preserve"> </v>
      </c>
      <c r="R189" s="167">
        <f ca="1">+BDFUENTES[[#This Row],[PZ MED m3/día]]/3.6/BDFUENTES[[#This Row],[PZ MED Horas Activo]]</f>
        <v>0</v>
      </c>
      <c r="S189" s="167" t="str">
        <f t="shared" ca="1" si="2768"/>
        <v xml:space="preserve"> </v>
      </c>
      <c r="T189" s="168" t="str">
        <f t="shared" si="2769"/>
        <v xml:space="preserve"> </v>
      </c>
      <c r="U189" s="168"/>
      <c r="V189" s="165" t="str">
        <f t="shared" si="2770"/>
        <v xml:space="preserve"> </v>
      </c>
      <c r="W189" s="164" t="str">
        <f t="shared" si="2771"/>
        <v xml:space="preserve"> </v>
      </c>
      <c r="X189" s="166"/>
      <c r="Y189" s="168" t="str">
        <f t="shared" si="2772"/>
        <v xml:space="preserve"> </v>
      </c>
      <c r="Z189" s="168"/>
      <c r="AA189" s="166" t="str">
        <f t="shared" si="2773"/>
        <v xml:space="preserve"> </v>
      </c>
      <c r="AB189" s="168" t="str">
        <f t="shared" si="2774"/>
        <v xml:space="preserve"> </v>
      </c>
      <c r="AC189" s="168"/>
      <c r="AD189" s="171" t="str">
        <f t="shared" si="2775"/>
        <v xml:space="preserve"> </v>
      </c>
      <c r="AE189" s="167"/>
      <c r="AF189" s="165" t="str">
        <f t="shared" si="2776"/>
        <v xml:space="preserve"> </v>
      </c>
      <c r="AG189" s="168"/>
      <c r="AH189" s="168"/>
      <c r="AI189" s="166"/>
      <c r="AJ189" s="166"/>
      <c r="AK189" s="166" t="str">
        <f t="shared" si="2777"/>
        <v/>
      </c>
      <c r="AL189" s="167"/>
      <c r="AM189" s="171" t="str">
        <f t="shared" si="2778"/>
        <v xml:space="preserve"> </v>
      </c>
      <c r="AN189" s="168" t="str">
        <f t="shared" si="2779"/>
        <v xml:space="preserve"> </v>
      </c>
      <c r="AO189" s="168"/>
      <c r="AP189" s="167" t="str">
        <f t="shared" si="2780"/>
        <v xml:space="preserve"> </v>
      </c>
      <c r="AQ189" s="166"/>
      <c r="AR189" s="166" t="str">
        <f t="shared" si="2781"/>
        <v xml:space="preserve"> </v>
      </c>
      <c r="AS189" s="168" t="str">
        <f t="shared" si="2782"/>
        <v xml:space="preserve"> </v>
      </c>
      <c r="AT189" s="168"/>
      <c r="AU189" s="166" t="str">
        <f t="shared" si="2783"/>
        <v xml:space="preserve"> </v>
      </c>
      <c r="AV189" s="167"/>
      <c r="AW189" s="167"/>
      <c r="AX189" s="169" t="str">
        <f t="shared" si="2784"/>
        <v xml:space="preserve"> </v>
      </c>
      <c r="AY189" s="169"/>
      <c r="AZ189" s="167" t="str">
        <f t="shared" si="2785"/>
        <v xml:space="preserve"> </v>
      </c>
      <c r="BA189" s="166"/>
      <c r="BB189" s="166"/>
      <c r="BC189" s="168" t="str">
        <f t="shared" si="2786"/>
        <v xml:space="preserve"> </v>
      </c>
      <c r="BD189" s="168"/>
      <c r="BE189" s="166" t="str">
        <f t="shared" si="2787"/>
        <v xml:space="preserve"> </v>
      </c>
      <c r="BF189" s="167"/>
      <c r="BG189" s="167"/>
      <c r="BH189" s="168" t="str">
        <f t="shared" si="2788"/>
        <v xml:space="preserve"> </v>
      </c>
      <c r="BI189" s="168"/>
      <c r="BJ189" s="167" t="str">
        <f t="shared" si="2789"/>
        <v xml:space="preserve"> </v>
      </c>
      <c r="BK189" s="166"/>
      <c r="BL189" s="166" t="str">
        <f t="shared" si="2790"/>
        <v xml:space="preserve"> </v>
      </c>
      <c r="BM189" s="168" t="str">
        <f t="shared" si="2791"/>
        <v xml:space="preserve"> </v>
      </c>
      <c r="BN189" s="168"/>
      <c r="BO189" s="166" t="str">
        <f t="shared" si="2792"/>
        <v xml:space="preserve"> </v>
      </c>
    </row>
    <row r="190" spans="2:67" ht="15" customHeight="1" x14ac:dyDescent="0.25">
      <c r="B190" s="170">
        <v>46208</v>
      </c>
      <c r="C190" s="164"/>
      <c r="D190" s="166" t="str">
        <f t="shared" si="2759"/>
        <v xml:space="preserve"> </v>
      </c>
      <c r="E190" s="168" t="str">
        <f t="shared" si="2760"/>
        <v xml:space="preserve"> </v>
      </c>
      <c r="F190" s="168"/>
      <c r="G190" s="166" t="str">
        <f t="shared" si="2761"/>
        <v xml:space="preserve"> </v>
      </c>
      <c r="H190" s="167"/>
      <c r="I190" s="167" t="str">
        <f t="shared" si="2762"/>
        <v xml:space="preserve"> </v>
      </c>
      <c r="J190" s="168" t="str">
        <f t="shared" si="2763"/>
        <v xml:space="preserve"> </v>
      </c>
      <c r="K190" s="168"/>
      <c r="L190" s="167" t="str">
        <f t="shared" si="2764"/>
        <v xml:space="preserve"> </v>
      </c>
      <c r="M190" s="166"/>
      <c r="N190" s="166" t="str">
        <f t="shared" si="2765"/>
        <v xml:space="preserve"> </v>
      </c>
      <c r="O190" s="168" t="str">
        <f t="shared" si="2766"/>
        <v xml:space="preserve"> </v>
      </c>
      <c r="P190" s="168"/>
      <c r="Q190" s="166" t="str">
        <f t="shared" si="2767"/>
        <v xml:space="preserve"> </v>
      </c>
      <c r="R190" s="167">
        <f ca="1">+BDFUENTES[[#This Row],[PZ MED m3/día]]/3.6/BDFUENTES[[#This Row],[PZ MED Horas Activo]]</f>
        <v>0</v>
      </c>
      <c r="S190" s="167" t="str">
        <f t="shared" ca="1" si="2768"/>
        <v xml:space="preserve"> </v>
      </c>
      <c r="T190" s="168" t="str">
        <f t="shared" si="2769"/>
        <v xml:space="preserve"> </v>
      </c>
      <c r="U190" s="168"/>
      <c r="V190" s="165" t="str">
        <f t="shared" si="2770"/>
        <v xml:space="preserve"> </v>
      </c>
      <c r="W190" s="164" t="str">
        <f t="shared" si="2771"/>
        <v xml:space="preserve"> </v>
      </c>
      <c r="X190" s="166"/>
      <c r="Y190" s="168" t="str">
        <f t="shared" si="2772"/>
        <v xml:space="preserve"> </v>
      </c>
      <c r="Z190" s="168"/>
      <c r="AA190" s="166" t="str">
        <f t="shared" si="2773"/>
        <v xml:space="preserve"> </v>
      </c>
      <c r="AB190" s="168" t="str">
        <f t="shared" si="2774"/>
        <v xml:space="preserve"> </v>
      </c>
      <c r="AC190" s="168"/>
      <c r="AD190" s="171" t="str">
        <f t="shared" si="2775"/>
        <v xml:space="preserve"> </v>
      </c>
      <c r="AE190" s="167"/>
      <c r="AF190" s="165" t="str">
        <f t="shared" si="2776"/>
        <v xml:space="preserve"> </v>
      </c>
      <c r="AG190" s="168"/>
      <c r="AH190" s="168"/>
      <c r="AI190" s="166"/>
      <c r="AJ190" s="166"/>
      <c r="AK190" s="166" t="str">
        <f t="shared" si="2777"/>
        <v/>
      </c>
      <c r="AL190" s="167"/>
      <c r="AM190" s="171" t="str">
        <f t="shared" si="2778"/>
        <v xml:space="preserve"> </v>
      </c>
      <c r="AN190" s="168" t="str">
        <f t="shared" si="2779"/>
        <v xml:space="preserve"> </v>
      </c>
      <c r="AO190" s="168"/>
      <c r="AP190" s="167" t="str">
        <f t="shared" si="2780"/>
        <v xml:space="preserve"> </v>
      </c>
      <c r="AQ190" s="166"/>
      <c r="AR190" s="166" t="str">
        <f t="shared" si="2781"/>
        <v xml:space="preserve"> </v>
      </c>
      <c r="AS190" s="168" t="str">
        <f t="shared" si="2782"/>
        <v xml:space="preserve"> </v>
      </c>
      <c r="AT190" s="168"/>
      <c r="AU190" s="166" t="str">
        <f t="shared" si="2783"/>
        <v xml:space="preserve"> </v>
      </c>
      <c r="AV190" s="167"/>
      <c r="AW190" s="167"/>
      <c r="AX190" s="169" t="str">
        <f t="shared" si="2784"/>
        <v xml:space="preserve"> </v>
      </c>
      <c r="AY190" s="169"/>
      <c r="AZ190" s="167" t="str">
        <f t="shared" si="2785"/>
        <v xml:space="preserve"> </v>
      </c>
      <c r="BA190" s="166"/>
      <c r="BB190" s="166"/>
      <c r="BC190" s="168" t="str">
        <f t="shared" si="2786"/>
        <v xml:space="preserve"> </v>
      </c>
      <c r="BD190" s="168"/>
      <c r="BE190" s="166" t="str">
        <f t="shared" si="2787"/>
        <v xml:space="preserve"> </v>
      </c>
      <c r="BF190" s="167"/>
      <c r="BG190" s="167"/>
      <c r="BH190" s="168" t="str">
        <f t="shared" si="2788"/>
        <v xml:space="preserve"> </v>
      </c>
      <c r="BI190" s="168"/>
      <c r="BJ190" s="167" t="str">
        <f t="shared" si="2789"/>
        <v xml:space="preserve"> </v>
      </c>
      <c r="BK190" s="166"/>
      <c r="BL190" s="166" t="str">
        <f t="shared" si="2790"/>
        <v xml:space="preserve"> </v>
      </c>
      <c r="BM190" s="168" t="str">
        <f t="shared" si="2791"/>
        <v xml:space="preserve"> </v>
      </c>
      <c r="BN190" s="168"/>
      <c r="BO190" s="166" t="str">
        <f t="shared" si="2792"/>
        <v xml:space="preserve"> </v>
      </c>
    </row>
    <row r="191" spans="2:67" ht="15" customHeight="1" x14ac:dyDescent="0.25">
      <c r="B191" s="170">
        <v>46209</v>
      </c>
      <c r="C191" s="164"/>
      <c r="D191" s="166" t="str">
        <f t="shared" si="2759"/>
        <v xml:space="preserve"> </v>
      </c>
      <c r="E191" s="168" t="str">
        <f t="shared" si="2760"/>
        <v xml:space="preserve"> </v>
      </c>
      <c r="F191" s="168"/>
      <c r="G191" s="166" t="str">
        <f t="shared" si="2761"/>
        <v xml:space="preserve"> </v>
      </c>
      <c r="H191" s="167"/>
      <c r="I191" s="167" t="str">
        <f t="shared" si="2762"/>
        <v xml:space="preserve"> </v>
      </c>
      <c r="J191" s="168" t="str">
        <f t="shared" si="2763"/>
        <v xml:space="preserve"> </v>
      </c>
      <c r="K191" s="168"/>
      <c r="L191" s="167" t="str">
        <f t="shared" si="2764"/>
        <v xml:space="preserve"> </v>
      </c>
      <c r="M191" s="166"/>
      <c r="N191" s="166" t="str">
        <f t="shared" si="2765"/>
        <v xml:space="preserve"> </v>
      </c>
      <c r="O191" s="168" t="str">
        <f t="shared" si="2766"/>
        <v xml:space="preserve"> </v>
      </c>
      <c r="P191" s="168"/>
      <c r="Q191" s="166" t="str">
        <f t="shared" si="2767"/>
        <v xml:space="preserve"> </v>
      </c>
      <c r="R191" s="167">
        <f ca="1">+BDFUENTES[[#This Row],[PZ MED m3/día]]/3.6/BDFUENTES[[#This Row],[PZ MED Horas Activo]]</f>
        <v>0</v>
      </c>
      <c r="S191" s="167" t="str">
        <f t="shared" ca="1" si="2768"/>
        <v xml:space="preserve"> </v>
      </c>
      <c r="T191" s="168" t="str">
        <f t="shared" si="2769"/>
        <v xml:space="preserve"> </v>
      </c>
      <c r="U191" s="168"/>
      <c r="V191" s="165" t="str">
        <f t="shared" si="2770"/>
        <v xml:space="preserve"> </v>
      </c>
      <c r="W191" s="164" t="str">
        <f t="shared" si="2771"/>
        <v xml:space="preserve"> </v>
      </c>
      <c r="X191" s="166"/>
      <c r="Y191" s="168" t="str">
        <f t="shared" si="2772"/>
        <v xml:space="preserve"> </v>
      </c>
      <c r="Z191" s="168"/>
      <c r="AA191" s="166" t="str">
        <f t="shared" si="2773"/>
        <v xml:space="preserve"> </v>
      </c>
      <c r="AB191" s="168" t="str">
        <f t="shared" si="2774"/>
        <v xml:space="preserve"> </v>
      </c>
      <c r="AC191" s="168"/>
      <c r="AD191" s="171" t="str">
        <f t="shared" si="2775"/>
        <v xml:space="preserve"> </v>
      </c>
      <c r="AE191" s="167"/>
      <c r="AF191" s="165" t="str">
        <f t="shared" si="2776"/>
        <v xml:space="preserve"> </v>
      </c>
      <c r="AG191" s="168"/>
      <c r="AH191" s="168"/>
      <c r="AI191" s="166"/>
      <c r="AJ191" s="166"/>
      <c r="AK191" s="166" t="str">
        <f t="shared" si="2777"/>
        <v/>
      </c>
      <c r="AL191" s="167"/>
      <c r="AM191" s="171" t="str">
        <f t="shared" si="2778"/>
        <v xml:space="preserve"> </v>
      </c>
      <c r="AN191" s="168" t="str">
        <f t="shared" si="2779"/>
        <v xml:space="preserve"> </v>
      </c>
      <c r="AO191" s="168"/>
      <c r="AP191" s="167" t="str">
        <f t="shared" si="2780"/>
        <v xml:space="preserve"> </v>
      </c>
      <c r="AQ191" s="166"/>
      <c r="AR191" s="166" t="str">
        <f t="shared" si="2781"/>
        <v xml:space="preserve"> </v>
      </c>
      <c r="AS191" s="168" t="str">
        <f t="shared" si="2782"/>
        <v xml:space="preserve"> </v>
      </c>
      <c r="AT191" s="168"/>
      <c r="AU191" s="166" t="str">
        <f t="shared" si="2783"/>
        <v xml:space="preserve"> </v>
      </c>
      <c r="AV191" s="167"/>
      <c r="AW191" s="167"/>
      <c r="AX191" s="169" t="str">
        <f t="shared" si="2784"/>
        <v xml:space="preserve"> </v>
      </c>
      <c r="AY191" s="169"/>
      <c r="AZ191" s="167" t="str">
        <f t="shared" si="2785"/>
        <v xml:space="preserve"> </v>
      </c>
      <c r="BA191" s="166"/>
      <c r="BB191" s="166"/>
      <c r="BC191" s="168" t="str">
        <f t="shared" si="2786"/>
        <v xml:space="preserve"> </v>
      </c>
      <c r="BD191" s="168"/>
      <c r="BE191" s="166" t="str">
        <f t="shared" si="2787"/>
        <v xml:space="preserve"> </v>
      </c>
      <c r="BF191" s="167"/>
      <c r="BG191" s="167"/>
      <c r="BH191" s="168" t="str">
        <f t="shared" si="2788"/>
        <v xml:space="preserve"> </v>
      </c>
      <c r="BI191" s="168"/>
      <c r="BJ191" s="167" t="str">
        <f t="shared" si="2789"/>
        <v xml:space="preserve"> </v>
      </c>
      <c r="BK191" s="166"/>
      <c r="BL191" s="166" t="str">
        <f t="shared" si="2790"/>
        <v xml:space="preserve"> </v>
      </c>
      <c r="BM191" s="168" t="str">
        <f t="shared" si="2791"/>
        <v xml:space="preserve"> </v>
      </c>
      <c r="BN191" s="168"/>
      <c r="BO191" s="166" t="str">
        <f t="shared" si="2792"/>
        <v xml:space="preserve"> </v>
      </c>
    </row>
    <row r="192" spans="2:67" ht="15" customHeight="1" x14ac:dyDescent="0.25">
      <c r="B192" s="170">
        <v>46210</v>
      </c>
      <c r="C192" s="164"/>
      <c r="D192" s="166" t="str">
        <f t="shared" si="2759"/>
        <v xml:space="preserve"> </v>
      </c>
      <c r="E192" s="168" t="str">
        <f t="shared" si="2760"/>
        <v xml:space="preserve"> </v>
      </c>
      <c r="F192" s="168"/>
      <c r="G192" s="166" t="str">
        <f t="shared" si="2761"/>
        <v xml:space="preserve"> </v>
      </c>
      <c r="H192" s="167"/>
      <c r="I192" s="167" t="str">
        <f t="shared" si="2762"/>
        <v xml:space="preserve"> </v>
      </c>
      <c r="J192" s="168" t="str">
        <f t="shared" si="2763"/>
        <v xml:space="preserve"> </v>
      </c>
      <c r="K192" s="168"/>
      <c r="L192" s="167" t="str">
        <f t="shared" si="2764"/>
        <v xml:space="preserve"> </v>
      </c>
      <c r="M192" s="166"/>
      <c r="N192" s="166" t="str">
        <f t="shared" si="2765"/>
        <v xml:space="preserve"> </v>
      </c>
      <c r="O192" s="168" t="str">
        <f t="shared" si="2766"/>
        <v xml:space="preserve"> </v>
      </c>
      <c r="P192" s="168"/>
      <c r="Q192" s="166" t="str">
        <f t="shared" si="2767"/>
        <v xml:space="preserve"> </v>
      </c>
      <c r="R192" s="167">
        <f ca="1">+BDFUENTES[[#This Row],[PZ MED m3/día]]/3.6/BDFUENTES[[#This Row],[PZ MED Horas Activo]]</f>
        <v>0</v>
      </c>
      <c r="S192" s="167" t="str">
        <f t="shared" ca="1" si="2768"/>
        <v xml:space="preserve"> </v>
      </c>
      <c r="T192" s="168" t="str">
        <f t="shared" si="2769"/>
        <v xml:space="preserve"> </v>
      </c>
      <c r="U192" s="168"/>
      <c r="V192" s="165" t="str">
        <f t="shared" si="2770"/>
        <v xml:space="preserve"> </v>
      </c>
      <c r="W192" s="164" t="str">
        <f t="shared" si="2771"/>
        <v xml:space="preserve"> </v>
      </c>
      <c r="X192" s="166"/>
      <c r="Y192" s="168" t="str">
        <f t="shared" si="2772"/>
        <v xml:space="preserve"> </v>
      </c>
      <c r="Z192" s="168"/>
      <c r="AA192" s="166" t="str">
        <f t="shared" si="2773"/>
        <v xml:space="preserve"> </v>
      </c>
      <c r="AB192" s="168" t="str">
        <f t="shared" si="2774"/>
        <v xml:space="preserve"> </v>
      </c>
      <c r="AC192" s="168"/>
      <c r="AD192" s="171" t="str">
        <f t="shared" si="2775"/>
        <v xml:space="preserve"> </v>
      </c>
      <c r="AE192" s="167"/>
      <c r="AF192" s="165" t="str">
        <f t="shared" si="2776"/>
        <v xml:space="preserve"> </v>
      </c>
      <c r="AG192" s="168"/>
      <c r="AH192" s="168"/>
      <c r="AI192" s="166"/>
      <c r="AJ192" s="166"/>
      <c r="AK192" s="166" t="str">
        <f t="shared" si="2777"/>
        <v/>
      </c>
      <c r="AL192" s="167"/>
      <c r="AM192" s="171" t="str">
        <f t="shared" si="2778"/>
        <v xml:space="preserve"> </v>
      </c>
      <c r="AN192" s="168" t="str">
        <f t="shared" si="2779"/>
        <v xml:space="preserve"> </v>
      </c>
      <c r="AO192" s="168"/>
      <c r="AP192" s="167" t="str">
        <f t="shared" si="2780"/>
        <v xml:space="preserve"> </v>
      </c>
      <c r="AQ192" s="166"/>
      <c r="AR192" s="166" t="str">
        <f t="shared" si="2781"/>
        <v xml:space="preserve"> </v>
      </c>
      <c r="AS192" s="168" t="str">
        <f t="shared" si="2782"/>
        <v xml:space="preserve"> </v>
      </c>
      <c r="AT192" s="168"/>
      <c r="AU192" s="166" t="str">
        <f t="shared" si="2783"/>
        <v xml:space="preserve"> </v>
      </c>
      <c r="AV192" s="167"/>
      <c r="AW192" s="167"/>
      <c r="AX192" s="169" t="str">
        <f t="shared" si="2784"/>
        <v xml:space="preserve"> </v>
      </c>
      <c r="AY192" s="169"/>
      <c r="AZ192" s="167" t="str">
        <f t="shared" si="2785"/>
        <v xml:space="preserve"> </v>
      </c>
      <c r="BA192" s="166"/>
      <c r="BB192" s="166"/>
      <c r="BC192" s="168" t="str">
        <f t="shared" si="2786"/>
        <v xml:space="preserve"> </v>
      </c>
      <c r="BD192" s="168"/>
      <c r="BE192" s="166" t="str">
        <f t="shared" si="2787"/>
        <v xml:space="preserve"> </v>
      </c>
      <c r="BF192" s="167"/>
      <c r="BG192" s="167"/>
      <c r="BH192" s="168" t="str">
        <f t="shared" si="2788"/>
        <v xml:space="preserve"> </v>
      </c>
      <c r="BI192" s="168"/>
      <c r="BJ192" s="167" t="str">
        <f t="shared" si="2789"/>
        <v xml:space="preserve"> </v>
      </c>
      <c r="BK192" s="166"/>
      <c r="BL192" s="166" t="str">
        <f t="shared" si="2790"/>
        <v xml:space="preserve"> </v>
      </c>
      <c r="BM192" s="168" t="str">
        <f t="shared" si="2791"/>
        <v xml:space="preserve"> </v>
      </c>
      <c r="BN192" s="168"/>
      <c r="BO192" s="166" t="str">
        <f t="shared" si="2792"/>
        <v xml:space="preserve"> </v>
      </c>
    </row>
    <row r="193" spans="2:67" ht="15" customHeight="1" x14ac:dyDescent="0.25">
      <c r="B193" s="170">
        <v>46211</v>
      </c>
      <c r="C193" s="164"/>
      <c r="D193" s="166" t="str">
        <f t="shared" si="2759"/>
        <v xml:space="preserve"> </v>
      </c>
      <c r="E193" s="168" t="str">
        <f t="shared" si="2760"/>
        <v xml:space="preserve"> </v>
      </c>
      <c r="F193" s="168"/>
      <c r="G193" s="166" t="str">
        <f t="shared" si="2761"/>
        <v xml:space="preserve"> </v>
      </c>
      <c r="H193" s="167"/>
      <c r="I193" s="167" t="str">
        <f t="shared" si="2762"/>
        <v xml:space="preserve"> </v>
      </c>
      <c r="J193" s="168" t="str">
        <f t="shared" si="2763"/>
        <v xml:space="preserve"> </v>
      </c>
      <c r="K193" s="168"/>
      <c r="L193" s="167" t="str">
        <f t="shared" si="2764"/>
        <v xml:space="preserve"> </v>
      </c>
      <c r="M193" s="166"/>
      <c r="N193" s="166" t="str">
        <f t="shared" si="2765"/>
        <v xml:space="preserve"> </v>
      </c>
      <c r="O193" s="168" t="str">
        <f t="shared" si="2766"/>
        <v xml:space="preserve"> </v>
      </c>
      <c r="P193" s="168"/>
      <c r="Q193" s="166" t="str">
        <f t="shared" si="2767"/>
        <v xml:space="preserve"> </v>
      </c>
      <c r="R193" s="167">
        <f ca="1">+BDFUENTES[[#This Row],[PZ MED m3/día]]/3.6/BDFUENTES[[#This Row],[PZ MED Horas Activo]]</f>
        <v>0</v>
      </c>
      <c r="S193" s="167" t="str">
        <f t="shared" ca="1" si="2768"/>
        <v xml:space="preserve"> </v>
      </c>
      <c r="T193" s="168" t="str">
        <f t="shared" si="2769"/>
        <v xml:space="preserve"> </v>
      </c>
      <c r="U193" s="168"/>
      <c r="V193" s="165" t="str">
        <f t="shared" si="2770"/>
        <v xml:space="preserve"> </v>
      </c>
      <c r="W193" s="164" t="str">
        <f t="shared" si="2771"/>
        <v xml:space="preserve"> </v>
      </c>
      <c r="X193" s="166"/>
      <c r="Y193" s="168" t="str">
        <f t="shared" si="2772"/>
        <v xml:space="preserve"> </v>
      </c>
      <c r="Z193" s="168"/>
      <c r="AA193" s="166" t="str">
        <f t="shared" si="2773"/>
        <v xml:space="preserve"> </v>
      </c>
      <c r="AB193" s="168" t="str">
        <f t="shared" si="2774"/>
        <v xml:space="preserve"> </v>
      </c>
      <c r="AC193" s="168"/>
      <c r="AD193" s="171" t="str">
        <f t="shared" si="2775"/>
        <v xml:space="preserve"> </v>
      </c>
      <c r="AE193" s="167"/>
      <c r="AF193" s="165" t="str">
        <f t="shared" si="2776"/>
        <v xml:space="preserve"> </v>
      </c>
      <c r="AG193" s="168"/>
      <c r="AH193" s="168"/>
      <c r="AI193" s="166"/>
      <c r="AJ193" s="166"/>
      <c r="AK193" s="166" t="str">
        <f t="shared" si="2777"/>
        <v/>
      </c>
      <c r="AL193" s="167"/>
      <c r="AM193" s="171" t="str">
        <f t="shared" si="2778"/>
        <v xml:space="preserve"> </v>
      </c>
      <c r="AN193" s="168" t="str">
        <f t="shared" si="2779"/>
        <v xml:space="preserve"> </v>
      </c>
      <c r="AO193" s="168"/>
      <c r="AP193" s="167" t="str">
        <f t="shared" si="2780"/>
        <v xml:space="preserve"> </v>
      </c>
      <c r="AQ193" s="166"/>
      <c r="AR193" s="166" t="str">
        <f t="shared" si="2781"/>
        <v xml:space="preserve"> </v>
      </c>
      <c r="AS193" s="168" t="str">
        <f t="shared" si="2782"/>
        <v xml:space="preserve"> </v>
      </c>
      <c r="AT193" s="168"/>
      <c r="AU193" s="166" t="str">
        <f t="shared" si="2783"/>
        <v xml:space="preserve"> </v>
      </c>
      <c r="AV193" s="167"/>
      <c r="AW193" s="167"/>
      <c r="AX193" s="169" t="str">
        <f t="shared" si="2784"/>
        <v xml:space="preserve"> </v>
      </c>
      <c r="AY193" s="169"/>
      <c r="AZ193" s="167" t="str">
        <f t="shared" si="2785"/>
        <v xml:space="preserve"> </v>
      </c>
      <c r="BA193" s="166"/>
      <c r="BB193" s="166"/>
      <c r="BC193" s="168" t="str">
        <f t="shared" si="2786"/>
        <v xml:space="preserve"> </v>
      </c>
      <c r="BD193" s="168"/>
      <c r="BE193" s="166" t="str">
        <f t="shared" si="2787"/>
        <v xml:space="preserve"> </v>
      </c>
      <c r="BF193" s="167"/>
      <c r="BG193" s="167"/>
      <c r="BH193" s="168" t="str">
        <f t="shared" si="2788"/>
        <v xml:space="preserve"> </v>
      </c>
      <c r="BI193" s="168"/>
      <c r="BJ193" s="167" t="str">
        <f t="shared" si="2789"/>
        <v xml:space="preserve"> </v>
      </c>
      <c r="BK193" s="166"/>
      <c r="BL193" s="166" t="str">
        <f t="shared" si="2790"/>
        <v xml:space="preserve"> </v>
      </c>
      <c r="BM193" s="168" t="str">
        <f t="shared" si="2791"/>
        <v xml:space="preserve"> </v>
      </c>
      <c r="BN193" s="168"/>
      <c r="BO193" s="166" t="str">
        <f t="shared" si="2792"/>
        <v xml:space="preserve"> </v>
      </c>
    </row>
    <row r="194" spans="2:67" ht="15" customHeight="1" x14ac:dyDescent="0.25">
      <c r="B194" s="170">
        <v>46212</v>
      </c>
      <c r="C194" s="164"/>
      <c r="D194" s="166" t="str">
        <f t="shared" si="2759"/>
        <v xml:space="preserve"> </v>
      </c>
      <c r="E194" s="168" t="str">
        <f t="shared" si="2760"/>
        <v xml:space="preserve"> </v>
      </c>
      <c r="F194" s="168"/>
      <c r="G194" s="166" t="str">
        <f t="shared" si="2761"/>
        <v xml:space="preserve"> </v>
      </c>
      <c r="H194" s="167"/>
      <c r="I194" s="167" t="str">
        <f t="shared" si="2762"/>
        <v xml:space="preserve"> </v>
      </c>
      <c r="J194" s="168" t="str">
        <f t="shared" si="2763"/>
        <v xml:space="preserve"> </v>
      </c>
      <c r="K194" s="168"/>
      <c r="L194" s="167" t="str">
        <f t="shared" si="2764"/>
        <v xml:space="preserve"> </v>
      </c>
      <c r="M194" s="166"/>
      <c r="N194" s="166" t="str">
        <f t="shared" si="2765"/>
        <v xml:space="preserve"> </v>
      </c>
      <c r="O194" s="168" t="str">
        <f t="shared" si="2766"/>
        <v xml:space="preserve"> </v>
      </c>
      <c r="P194" s="168"/>
      <c r="Q194" s="166" t="str">
        <f t="shared" si="2767"/>
        <v xml:space="preserve"> </v>
      </c>
      <c r="R194" s="167">
        <f ca="1">+BDFUENTES[[#This Row],[PZ MED m3/día]]/3.6/BDFUENTES[[#This Row],[PZ MED Horas Activo]]</f>
        <v>0</v>
      </c>
      <c r="S194" s="167" t="str">
        <f t="shared" ca="1" si="2768"/>
        <v xml:space="preserve"> </v>
      </c>
      <c r="T194" s="168" t="str">
        <f t="shared" si="2769"/>
        <v xml:space="preserve"> </v>
      </c>
      <c r="U194" s="168"/>
      <c r="V194" s="165" t="str">
        <f t="shared" si="2770"/>
        <v xml:space="preserve"> </v>
      </c>
      <c r="W194" s="164" t="str">
        <f t="shared" si="2771"/>
        <v xml:space="preserve"> </v>
      </c>
      <c r="X194" s="166"/>
      <c r="Y194" s="168" t="str">
        <f t="shared" si="2772"/>
        <v xml:space="preserve"> </v>
      </c>
      <c r="Z194" s="168"/>
      <c r="AA194" s="166" t="str">
        <f t="shared" si="2773"/>
        <v xml:space="preserve"> </v>
      </c>
      <c r="AB194" s="168" t="str">
        <f t="shared" si="2774"/>
        <v xml:space="preserve"> </v>
      </c>
      <c r="AC194" s="168"/>
      <c r="AD194" s="171" t="str">
        <f t="shared" si="2775"/>
        <v xml:space="preserve"> </v>
      </c>
      <c r="AE194" s="167"/>
      <c r="AF194" s="165" t="str">
        <f t="shared" si="2776"/>
        <v xml:space="preserve"> </v>
      </c>
      <c r="AG194" s="168"/>
      <c r="AH194" s="168"/>
      <c r="AI194" s="166"/>
      <c r="AJ194" s="166"/>
      <c r="AK194" s="166" t="str">
        <f t="shared" si="2777"/>
        <v/>
      </c>
      <c r="AL194" s="167"/>
      <c r="AM194" s="171" t="str">
        <f t="shared" si="2778"/>
        <v xml:space="preserve"> </v>
      </c>
      <c r="AN194" s="168" t="str">
        <f t="shared" si="2779"/>
        <v xml:space="preserve"> </v>
      </c>
      <c r="AO194" s="168"/>
      <c r="AP194" s="167" t="str">
        <f t="shared" si="2780"/>
        <v xml:space="preserve"> </v>
      </c>
      <c r="AQ194" s="166"/>
      <c r="AR194" s="166" t="str">
        <f t="shared" si="2781"/>
        <v xml:space="preserve"> </v>
      </c>
      <c r="AS194" s="168" t="str">
        <f t="shared" si="2782"/>
        <v xml:space="preserve"> </v>
      </c>
      <c r="AT194" s="168"/>
      <c r="AU194" s="166" t="str">
        <f t="shared" si="2783"/>
        <v xml:space="preserve"> </v>
      </c>
      <c r="AV194" s="167"/>
      <c r="AW194" s="167"/>
      <c r="AX194" s="169" t="str">
        <f t="shared" si="2784"/>
        <v xml:space="preserve"> </v>
      </c>
      <c r="AY194" s="169"/>
      <c r="AZ194" s="167" t="str">
        <f t="shared" si="2785"/>
        <v xml:space="preserve"> </v>
      </c>
      <c r="BA194" s="166"/>
      <c r="BB194" s="166"/>
      <c r="BC194" s="168" t="str">
        <f t="shared" si="2786"/>
        <v xml:space="preserve"> </v>
      </c>
      <c r="BD194" s="168"/>
      <c r="BE194" s="166" t="str">
        <f t="shared" si="2787"/>
        <v xml:space="preserve"> </v>
      </c>
      <c r="BF194" s="167"/>
      <c r="BG194" s="167"/>
      <c r="BH194" s="168" t="str">
        <f t="shared" si="2788"/>
        <v xml:space="preserve"> </v>
      </c>
      <c r="BI194" s="168"/>
      <c r="BJ194" s="167" t="str">
        <f t="shared" si="2789"/>
        <v xml:space="preserve"> </v>
      </c>
      <c r="BK194" s="166"/>
      <c r="BL194" s="166" t="str">
        <f t="shared" si="2790"/>
        <v xml:space="preserve"> </v>
      </c>
      <c r="BM194" s="168" t="str">
        <f t="shared" si="2791"/>
        <v xml:space="preserve"> </v>
      </c>
      <c r="BN194" s="168"/>
      <c r="BO194" s="166" t="str">
        <f t="shared" si="2792"/>
        <v xml:space="preserve"> </v>
      </c>
    </row>
    <row r="195" spans="2:67" ht="15" customHeight="1" x14ac:dyDescent="0.25">
      <c r="B195" s="170">
        <v>46213</v>
      </c>
      <c r="C195" s="164"/>
      <c r="D195" s="166" t="str">
        <f t="shared" si="2759"/>
        <v xml:space="preserve"> </v>
      </c>
      <c r="E195" s="168" t="str">
        <f t="shared" si="2760"/>
        <v xml:space="preserve"> </v>
      </c>
      <c r="F195" s="168"/>
      <c r="G195" s="166" t="str">
        <f t="shared" si="2761"/>
        <v xml:space="preserve"> </v>
      </c>
      <c r="H195" s="167"/>
      <c r="I195" s="167" t="str">
        <f t="shared" si="2762"/>
        <v xml:space="preserve"> </v>
      </c>
      <c r="J195" s="168" t="str">
        <f t="shared" si="2763"/>
        <v xml:space="preserve"> </v>
      </c>
      <c r="K195" s="168"/>
      <c r="L195" s="167" t="str">
        <f t="shared" si="2764"/>
        <v xml:space="preserve"> </v>
      </c>
      <c r="M195" s="166"/>
      <c r="N195" s="166" t="str">
        <f t="shared" si="2765"/>
        <v xml:space="preserve"> </v>
      </c>
      <c r="O195" s="168" t="str">
        <f t="shared" si="2766"/>
        <v xml:space="preserve"> </v>
      </c>
      <c r="P195" s="168"/>
      <c r="Q195" s="166" t="str">
        <f t="shared" si="2767"/>
        <v xml:space="preserve"> </v>
      </c>
      <c r="R195" s="167">
        <f ca="1">+BDFUENTES[[#This Row],[PZ MED m3/día]]/3.6/BDFUENTES[[#This Row],[PZ MED Horas Activo]]</f>
        <v>0</v>
      </c>
      <c r="S195" s="167" t="str">
        <f t="shared" ca="1" si="2768"/>
        <v xml:space="preserve"> </v>
      </c>
      <c r="T195" s="168" t="str">
        <f t="shared" si="2769"/>
        <v xml:space="preserve"> </v>
      </c>
      <c r="U195" s="168"/>
      <c r="V195" s="165" t="str">
        <f t="shared" si="2770"/>
        <v xml:space="preserve"> </v>
      </c>
      <c r="W195" s="164" t="str">
        <f t="shared" si="2771"/>
        <v xml:space="preserve"> </v>
      </c>
      <c r="X195" s="166"/>
      <c r="Y195" s="168" t="str">
        <f t="shared" si="2772"/>
        <v xml:space="preserve"> </v>
      </c>
      <c r="Z195" s="168"/>
      <c r="AA195" s="166" t="str">
        <f t="shared" si="2773"/>
        <v xml:space="preserve"> </v>
      </c>
      <c r="AB195" s="168" t="str">
        <f t="shared" si="2774"/>
        <v xml:space="preserve"> </v>
      </c>
      <c r="AC195" s="168"/>
      <c r="AD195" s="171" t="str">
        <f t="shared" si="2775"/>
        <v xml:space="preserve"> </v>
      </c>
      <c r="AE195" s="167"/>
      <c r="AF195" s="165" t="str">
        <f t="shared" si="2776"/>
        <v xml:space="preserve"> </v>
      </c>
      <c r="AG195" s="168"/>
      <c r="AH195" s="168"/>
      <c r="AI195" s="166"/>
      <c r="AJ195" s="166"/>
      <c r="AK195" s="166" t="str">
        <f t="shared" si="2777"/>
        <v/>
      </c>
      <c r="AL195" s="167"/>
      <c r="AM195" s="171" t="str">
        <f t="shared" si="2778"/>
        <v xml:space="preserve"> </v>
      </c>
      <c r="AN195" s="168" t="str">
        <f t="shared" si="2779"/>
        <v xml:space="preserve"> </v>
      </c>
      <c r="AO195" s="168"/>
      <c r="AP195" s="167" t="str">
        <f t="shared" si="2780"/>
        <v xml:space="preserve"> </v>
      </c>
      <c r="AQ195" s="166"/>
      <c r="AR195" s="166" t="str">
        <f t="shared" si="2781"/>
        <v xml:space="preserve"> </v>
      </c>
      <c r="AS195" s="168" t="str">
        <f t="shared" si="2782"/>
        <v xml:space="preserve"> </v>
      </c>
      <c r="AT195" s="168"/>
      <c r="AU195" s="166" t="str">
        <f t="shared" si="2783"/>
        <v xml:space="preserve"> </v>
      </c>
      <c r="AV195" s="167"/>
      <c r="AW195" s="167"/>
      <c r="AX195" s="169" t="str">
        <f t="shared" si="2784"/>
        <v xml:space="preserve"> </v>
      </c>
      <c r="AY195" s="169"/>
      <c r="AZ195" s="167" t="str">
        <f t="shared" si="2785"/>
        <v xml:space="preserve"> </v>
      </c>
      <c r="BA195" s="166"/>
      <c r="BB195" s="166"/>
      <c r="BC195" s="168" t="str">
        <f t="shared" si="2786"/>
        <v xml:space="preserve"> </v>
      </c>
      <c r="BD195" s="168"/>
      <c r="BE195" s="166" t="str">
        <f t="shared" si="2787"/>
        <v xml:space="preserve"> </v>
      </c>
      <c r="BF195" s="167"/>
      <c r="BG195" s="167"/>
      <c r="BH195" s="168" t="str">
        <f t="shared" si="2788"/>
        <v xml:space="preserve"> </v>
      </c>
      <c r="BI195" s="168"/>
      <c r="BJ195" s="167" t="str">
        <f t="shared" si="2789"/>
        <v xml:space="preserve"> </v>
      </c>
      <c r="BK195" s="166"/>
      <c r="BL195" s="166" t="str">
        <f t="shared" si="2790"/>
        <v xml:space="preserve"> </v>
      </c>
      <c r="BM195" s="168" t="str">
        <f t="shared" si="2791"/>
        <v xml:space="preserve"> </v>
      </c>
      <c r="BN195" s="168"/>
      <c r="BO195" s="166" t="str">
        <f t="shared" si="2792"/>
        <v xml:space="preserve"> </v>
      </c>
    </row>
    <row r="196" spans="2:67" ht="15" customHeight="1" x14ac:dyDescent="0.25">
      <c r="B196" s="170">
        <v>46214</v>
      </c>
      <c r="C196" s="164"/>
      <c r="D196" s="166" t="str">
        <f t="shared" si="2759"/>
        <v xml:space="preserve"> </v>
      </c>
      <c r="E196" s="168" t="str">
        <f t="shared" si="2760"/>
        <v xml:space="preserve"> </v>
      </c>
      <c r="F196" s="168"/>
      <c r="G196" s="166" t="str">
        <f t="shared" si="2761"/>
        <v xml:space="preserve"> </v>
      </c>
      <c r="H196" s="167"/>
      <c r="I196" s="167" t="str">
        <f t="shared" si="2762"/>
        <v xml:space="preserve"> </v>
      </c>
      <c r="J196" s="168" t="str">
        <f t="shared" si="2763"/>
        <v xml:space="preserve"> </v>
      </c>
      <c r="K196" s="168"/>
      <c r="L196" s="167" t="str">
        <f t="shared" si="2764"/>
        <v xml:space="preserve"> </v>
      </c>
      <c r="M196" s="166"/>
      <c r="N196" s="166" t="str">
        <f t="shared" si="2765"/>
        <v xml:space="preserve"> </v>
      </c>
      <c r="O196" s="168" t="str">
        <f t="shared" si="2766"/>
        <v xml:space="preserve"> </v>
      </c>
      <c r="P196" s="168"/>
      <c r="Q196" s="166" t="str">
        <f t="shared" si="2767"/>
        <v xml:space="preserve"> </v>
      </c>
      <c r="R196" s="167">
        <f ca="1">+BDFUENTES[[#This Row],[PZ MED m3/día]]/3.6/BDFUENTES[[#This Row],[PZ MED Horas Activo]]</f>
        <v>0</v>
      </c>
      <c r="S196" s="167" t="str">
        <f t="shared" ca="1" si="2768"/>
        <v xml:space="preserve"> </v>
      </c>
      <c r="T196" s="168" t="str">
        <f t="shared" si="2769"/>
        <v xml:space="preserve"> </v>
      </c>
      <c r="U196" s="168"/>
      <c r="V196" s="165" t="str">
        <f t="shared" si="2770"/>
        <v xml:space="preserve"> </v>
      </c>
      <c r="W196" s="164" t="str">
        <f t="shared" si="2771"/>
        <v xml:space="preserve"> </v>
      </c>
      <c r="X196" s="166"/>
      <c r="Y196" s="168" t="str">
        <f t="shared" si="2772"/>
        <v xml:space="preserve"> </v>
      </c>
      <c r="Z196" s="168"/>
      <c r="AA196" s="166" t="str">
        <f t="shared" si="2773"/>
        <v xml:space="preserve"> </v>
      </c>
      <c r="AB196" s="168" t="str">
        <f t="shared" si="2774"/>
        <v xml:space="preserve"> </v>
      </c>
      <c r="AC196" s="168"/>
      <c r="AD196" s="171" t="str">
        <f t="shared" si="2775"/>
        <v xml:space="preserve"> </v>
      </c>
      <c r="AE196" s="167"/>
      <c r="AF196" s="165" t="str">
        <f t="shared" si="2776"/>
        <v xml:space="preserve"> </v>
      </c>
      <c r="AG196" s="168"/>
      <c r="AH196" s="168"/>
      <c r="AI196" s="166"/>
      <c r="AJ196" s="166"/>
      <c r="AK196" s="166" t="str">
        <f t="shared" si="2777"/>
        <v/>
      </c>
      <c r="AL196" s="167"/>
      <c r="AM196" s="171" t="str">
        <f t="shared" si="2778"/>
        <v xml:space="preserve"> </v>
      </c>
      <c r="AN196" s="168" t="str">
        <f t="shared" si="2779"/>
        <v xml:space="preserve"> </v>
      </c>
      <c r="AO196" s="168"/>
      <c r="AP196" s="167" t="str">
        <f t="shared" si="2780"/>
        <v xml:space="preserve"> </v>
      </c>
      <c r="AQ196" s="166"/>
      <c r="AR196" s="166" t="str">
        <f t="shared" si="2781"/>
        <v xml:space="preserve"> </v>
      </c>
      <c r="AS196" s="168" t="str">
        <f t="shared" si="2782"/>
        <v xml:space="preserve"> </v>
      </c>
      <c r="AT196" s="168"/>
      <c r="AU196" s="166" t="str">
        <f t="shared" si="2783"/>
        <v xml:space="preserve"> </v>
      </c>
      <c r="AV196" s="167"/>
      <c r="AW196" s="167"/>
      <c r="AX196" s="169" t="str">
        <f t="shared" si="2784"/>
        <v xml:space="preserve"> </v>
      </c>
      <c r="AY196" s="169"/>
      <c r="AZ196" s="167" t="str">
        <f t="shared" si="2785"/>
        <v xml:space="preserve"> </v>
      </c>
      <c r="BA196" s="166"/>
      <c r="BB196" s="166"/>
      <c r="BC196" s="168" t="str">
        <f t="shared" si="2786"/>
        <v xml:space="preserve"> </v>
      </c>
      <c r="BD196" s="168"/>
      <c r="BE196" s="166" t="str">
        <f t="shared" si="2787"/>
        <v xml:space="preserve"> </v>
      </c>
      <c r="BF196" s="167"/>
      <c r="BG196" s="167"/>
      <c r="BH196" s="168" t="str">
        <f t="shared" si="2788"/>
        <v xml:space="preserve"> </v>
      </c>
      <c r="BI196" s="168"/>
      <c r="BJ196" s="167" t="str">
        <f t="shared" si="2789"/>
        <v xml:space="preserve"> </v>
      </c>
      <c r="BK196" s="166"/>
      <c r="BL196" s="166" t="str">
        <f t="shared" si="2790"/>
        <v xml:space="preserve"> </v>
      </c>
      <c r="BM196" s="168" t="str">
        <f t="shared" si="2791"/>
        <v xml:space="preserve"> </v>
      </c>
      <c r="BN196" s="168"/>
      <c r="BO196" s="166" t="str">
        <f t="shared" si="2792"/>
        <v xml:space="preserve"> </v>
      </c>
    </row>
    <row r="197" spans="2:67" ht="15" customHeight="1" x14ac:dyDescent="0.25">
      <c r="B197" s="170">
        <v>46215</v>
      </c>
      <c r="C197" s="164"/>
      <c r="D197" s="166" t="str">
        <f t="shared" si="2759"/>
        <v xml:space="preserve"> </v>
      </c>
      <c r="E197" s="168" t="str">
        <f t="shared" si="2760"/>
        <v xml:space="preserve"> </v>
      </c>
      <c r="F197" s="168"/>
      <c r="G197" s="166" t="str">
        <f t="shared" si="2761"/>
        <v xml:space="preserve"> </v>
      </c>
      <c r="H197" s="167"/>
      <c r="I197" s="167" t="str">
        <f t="shared" si="2762"/>
        <v xml:space="preserve"> </v>
      </c>
      <c r="J197" s="168" t="str">
        <f t="shared" si="2763"/>
        <v xml:space="preserve"> </v>
      </c>
      <c r="K197" s="168"/>
      <c r="L197" s="167" t="str">
        <f t="shared" si="2764"/>
        <v xml:space="preserve"> </v>
      </c>
      <c r="M197" s="166"/>
      <c r="N197" s="166" t="str">
        <f t="shared" si="2765"/>
        <v xml:space="preserve"> </v>
      </c>
      <c r="O197" s="168" t="str">
        <f t="shared" si="2766"/>
        <v xml:space="preserve"> </v>
      </c>
      <c r="P197" s="168"/>
      <c r="Q197" s="166" t="str">
        <f t="shared" si="2767"/>
        <v xml:space="preserve"> </v>
      </c>
      <c r="R197" s="167">
        <f ca="1">+BDFUENTES[[#This Row],[PZ MED m3/día]]/3.6/BDFUENTES[[#This Row],[PZ MED Horas Activo]]</f>
        <v>0</v>
      </c>
      <c r="S197" s="167" t="str">
        <f t="shared" ca="1" si="2768"/>
        <v xml:space="preserve"> </v>
      </c>
      <c r="T197" s="168" t="str">
        <f t="shared" si="2769"/>
        <v xml:space="preserve"> </v>
      </c>
      <c r="U197" s="168"/>
      <c r="V197" s="165" t="str">
        <f t="shared" si="2770"/>
        <v xml:space="preserve"> </v>
      </c>
      <c r="W197" s="164" t="str">
        <f t="shared" si="2771"/>
        <v xml:space="preserve"> </v>
      </c>
      <c r="X197" s="166"/>
      <c r="Y197" s="168" t="str">
        <f t="shared" si="2772"/>
        <v xml:space="preserve"> </v>
      </c>
      <c r="Z197" s="168"/>
      <c r="AA197" s="166" t="str">
        <f t="shared" si="2773"/>
        <v xml:space="preserve"> </v>
      </c>
      <c r="AB197" s="168" t="str">
        <f t="shared" si="2774"/>
        <v xml:space="preserve"> </v>
      </c>
      <c r="AC197" s="168"/>
      <c r="AD197" s="171" t="str">
        <f t="shared" si="2775"/>
        <v xml:space="preserve"> </v>
      </c>
      <c r="AE197" s="167"/>
      <c r="AF197" s="165" t="str">
        <f t="shared" si="2776"/>
        <v xml:space="preserve"> </v>
      </c>
      <c r="AG197" s="168"/>
      <c r="AH197" s="168"/>
      <c r="AI197" s="166"/>
      <c r="AJ197" s="166"/>
      <c r="AK197" s="166" t="str">
        <f t="shared" si="2777"/>
        <v/>
      </c>
      <c r="AL197" s="167"/>
      <c r="AM197" s="171" t="str">
        <f t="shared" si="2778"/>
        <v xml:space="preserve"> </v>
      </c>
      <c r="AN197" s="168" t="str">
        <f t="shared" si="2779"/>
        <v xml:space="preserve"> </v>
      </c>
      <c r="AO197" s="168"/>
      <c r="AP197" s="167" t="str">
        <f t="shared" si="2780"/>
        <v xml:space="preserve"> </v>
      </c>
      <c r="AQ197" s="166"/>
      <c r="AR197" s="166" t="str">
        <f t="shared" si="2781"/>
        <v xml:space="preserve"> </v>
      </c>
      <c r="AS197" s="168" t="str">
        <f t="shared" si="2782"/>
        <v xml:space="preserve"> </v>
      </c>
      <c r="AT197" s="168"/>
      <c r="AU197" s="166" t="str">
        <f t="shared" si="2783"/>
        <v xml:space="preserve"> </v>
      </c>
      <c r="AV197" s="167"/>
      <c r="AW197" s="167"/>
      <c r="AX197" s="169" t="str">
        <f t="shared" si="2784"/>
        <v xml:space="preserve"> </v>
      </c>
      <c r="AY197" s="169"/>
      <c r="AZ197" s="167" t="str">
        <f t="shared" si="2785"/>
        <v xml:space="preserve"> </v>
      </c>
      <c r="BA197" s="166"/>
      <c r="BB197" s="166"/>
      <c r="BC197" s="168" t="str">
        <f t="shared" si="2786"/>
        <v xml:space="preserve"> </v>
      </c>
      <c r="BD197" s="168"/>
      <c r="BE197" s="166" t="str">
        <f t="shared" si="2787"/>
        <v xml:space="preserve"> </v>
      </c>
      <c r="BF197" s="167"/>
      <c r="BG197" s="167"/>
      <c r="BH197" s="168" t="str">
        <f t="shared" si="2788"/>
        <v xml:space="preserve"> </v>
      </c>
      <c r="BI197" s="168"/>
      <c r="BJ197" s="167" t="str">
        <f t="shared" si="2789"/>
        <v xml:space="preserve"> </v>
      </c>
      <c r="BK197" s="166"/>
      <c r="BL197" s="166" t="str">
        <f t="shared" si="2790"/>
        <v xml:space="preserve"> </v>
      </c>
      <c r="BM197" s="168" t="str">
        <f t="shared" si="2791"/>
        <v xml:space="preserve"> </v>
      </c>
      <c r="BN197" s="168"/>
      <c r="BO197" s="166" t="str">
        <f t="shared" si="2792"/>
        <v xml:space="preserve"> </v>
      </c>
    </row>
    <row r="198" spans="2:67" ht="15" customHeight="1" x14ac:dyDescent="0.25">
      <c r="B198" s="170">
        <v>46216</v>
      </c>
      <c r="C198" s="164"/>
      <c r="D198" s="166" t="str">
        <f t="shared" si="2759"/>
        <v xml:space="preserve"> </v>
      </c>
      <c r="E198" s="168" t="str">
        <f t="shared" si="2760"/>
        <v xml:space="preserve"> </v>
      </c>
      <c r="F198" s="168"/>
      <c r="G198" s="166" t="str">
        <f t="shared" si="2761"/>
        <v xml:space="preserve"> </v>
      </c>
      <c r="H198" s="167"/>
      <c r="I198" s="167" t="str">
        <f t="shared" si="2762"/>
        <v xml:space="preserve"> </v>
      </c>
      <c r="J198" s="168" t="str">
        <f t="shared" si="2763"/>
        <v xml:space="preserve"> </v>
      </c>
      <c r="K198" s="168"/>
      <c r="L198" s="167" t="str">
        <f t="shared" si="2764"/>
        <v xml:space="preserve"> </v>
      </c>
      <c r="M198" s="166"/>
      <c r="N198" s="166" t="str">
        <f t="shared" si="2765"/>
        <v xml:space="preserve"> </v>
      </c>
      <c r="O198" s="168" t="str">
        <f t="shared" si="2766"/>
        <v xml:space="preserve"> </v>
      </c>
      <c r="P198" s="168"/>
      <c r="Q198" s="166" t="str">
        <f t="shared" si="2767"/>
        <v xml:space="preserve"> </v>
      </c>
      <c r="R198" s="167">
        <f ca="1">+BDFUENTES[[#This Row],[PZ MED m3/día]]/3.6/BDFUENTES[[#This Row],[PZ MED Horas Activo]]</f>
        <v>0</v>
      </c>
      <c r="S198" s="167" t="str">
        <f t="shared" ca="1" si="2768"/>
        <v xml:space="preserve"> </v>
      </c>
      <c r="T198" s="168" t="str">
        <f t="shared" si="2769"/>
        <v xml:space="preserve"> </v>
      </c>
      <c r="U198" s="168"/>
      <c r="V198" s="165" t="str">
        <f t="shared" si="2770"/>
        <v xml:space="preserve"> </v>
      </c>
      <c r="W198" s="164" t="str">
        <f t="shared" si="2771"/>
        <v xml:space="preserve"> </v>
      </c>
      <c r="X198" s="166"/>
      <c r="Y198" s="168" t="str">
        <f t="shared" si="2772"/>
        <v xml:space="preserve"> </v>
      </c>
      <c r="Z198" s="168"/>
      <c r="AA198" s="166" t="str">
        <f t="shared" si="2773"/>
        <v xml:space="preserve"> </v>
      </c>
      <c r="AB198" s="168" t="str">
        <f t="shared" si="2774"/>
        <v xml:space="preserve"> </v>
      </c>
      <c r="AC198" s="168"/>
      <c r="AD198" s="171" t="str">
        <f t="shared" si="2775"/>
        <v xml:space="preserve"> </v>
      </c>
      <c r="AE198" s="167"/>
      <c r="AF198" s="165" t="str">
        <f t="shared" si="2776"/>
        <v xml:space="preserve"> </v>
      </c>
      <c r="AG198" s="168"/>
      <c r="AH198" s="168"/>
      <c r="AI198" s="166"/>
      <c r="AJ198" s="166"/>
      <c r="AK198" s="166" t="str">
        <f t="shared" si="2777"/>
        <v/>
      </c>
      <c r="AL198" s="167"/>
      <c r="AM198" s="171" t="str">
        <f t="shared" si="2778"/>
        <v xml:space="preserve"> </v>
      </c>
      <c r="AN198" s="168" t="str">
        <f t="shared" si="2779"/>
        <v xml:space="preserve"> </v>
      </c>
      <c r="AO198" s="168"/>
      <c r="AP198" s="167" t="str">
        <f t="shared" si="2780"/>
        <v xml:space="preserve"> </v>
      </c>
      <c r="AQ198" s="166"/>
      <c r="AR198" s="166" t="str">
        <f t="shared" si="2781"/>
        <v xml:space="preserve"> </v>
      </c>
      <c r="AS198" s="168" t="str">
        <f t="shared" si="2782"/>
        <v xml:space="preserve"> </v>
      </c>
      <c r="AT198" s="168"/>
      <c r="AU198" s="166" t="str">
        <f t="shared" si="2783"/>
        <v xml:space="preserve"> </v>
      </c>
      <c r="AV198" s="167"/>
      <c r="AW198" s="167"/>
      <c r="AX198" s="169" t="str">
        <f t="shared" si="2784"/>
        <v xml:space="preserve"> </v>
      </c>
      <c r="AY198" s="169"/>
      <c r="AZ198" s="167" t="str">
        <f t="shared" si="2785"/>
        <v xml:space="preserve"> </v>
      </c>
      <c r="BA198" s="166"/>
      <c r="BB198" s="166"/>
      <c r="BC198" s="168" t="str">
        <f t="shared" si="2786"/>
        <v xml:space="preserve"> </v>
      </c>
      <c r="BD198" s="168"/>
      <c r="BE198" s="166" t="str">
        <f t="shared" si="2787"/>
        <v xml:space="preserve"> </v>
      </c>
      <c r="BF198" s="167"/>
      <c r="BG198" s="167"/>
      <c r="BH198" s="168" t="str">
        <f t="shared" si="2788"/>
        <v xml:space="preserve"> </v>
      </c>
      <c r="BI198" s="168"/>
      <c r="BJ198" s="167" t="str">
        <f t="shared" si="2789"/>
        <v xml:space="preserve"> </v>
      </c>
      <c r="BK198" s="166"/>
      <c r="BL198" s="166" t="str">
        <f t="shared" si="2790"/>
        <v xml:space="preserve"> </v>
      </c>
      <c r="BM198" s="168" t="str">
        <f t="shared" si="2791"/>
        <v xml:space="preserve"> </v>
      </c>
      <c r="BN198" s="168"/>
      <c r="BO198" s="166" t="str">
        <f t="shared" si="2792"/>
        <v xml:space="preserve"> </v>
      </c>
    </row>
    <row r="199" spans="2:67" ht="15" customHeight="1" x14ac:dyDescent="0.25">
      <c r="B199" s="170">
        <v>46217</v>
      </c>
      <c r="C199" s="164"/>
      <c r="D199" s="166" t="str">
        <f t="shared" si="2759"/>
        <v xml:space="preserve"> </v>
      </c>
      <c r="E199" s="168" t="str">
        <f t="shared" si="2760"/>
        <v xml:space="preserve"> </v>
      </c>
      <c r="F199" s="168"/>
      <c r="G199" s="166" t="str">
        <f t="shared" si="2761"/>
        <v xml:space="preserve"> </v>
      </c>
      <c r="H199" s="167"/>
      <c r="I199" s="167" t="str">
        <f t="shared" si="2762"/>
        <v xml:space="preserve"> </v>
      </c>
      <c r="J199" s="168" t="str">
        <f t="shared" si="2763"/>
        <v xml:space="preserve"> </v>
      </c>
      <c r="K199" s="168"/>
      <c r="L199" s="167" t="str">
        <f t="shared" si="2764"/>
        <v xml:space="preserve"> </v>
      </c>
      <c r="M199" s="166"/>
      <c r="N199" s="166" t="str">
        <f t="shared" si="2765"/>
        <v xml:space="preserve"> </v>
      </c>
      <c r="O199" s="168" t="str">
        <f t="shared" si="2766"/>
        <v xml:space="preserve"> </v>
      </c>
      <c r="P199" s="168"/>
      <c r="Q199" s="166" t="str">
        <f t="shared" si="2767"/>
        <v xml:space="preserve"> </v>
      </c>
      <c r="R199" s="167">
        <f ca="1">+BDFUENTES[[#This Row],[PZ MED m3/día]]/3.6/BDFUENTES[[#This Row],[PZ MED Horas Activo]]</f>
        <v>0</v>
      </c>
      <c r="S199" s="167" t="str">
        <f t="shared" ca="1" si="2768"/>
        <v xml:space="preserve"> </v>
      </c>
      <c r="T199" s="168" t="str">
        <f t="shared" si="2769"/>
        <v xml:space="preserve"> </v>
      </c>
      <c r="U199" s="168"/>
      <c r="V199" s="165" t="str">
        <f t="shared" si="2770"/>
        <v xml:space="preserve"> </v>
      </c>
      <c r="W199" s="164" t="str">
        <f t="shared" si="2771"/>
        <v xml:space="preserve"> </v>
      </c>
      <c r="X199" s="166"/>
      <c r="Y199" s="168" t="str">
        <f t="shared" si="2772"/>
        <v xml:space="preserve"> </v>
      </c>
      <c r="Z199" s="168"/>
      <c r="AA199" s="166" t="str">
        <f t="shared" si="2773"/>
        <v xml:space="preserve"> </v>
      </c>
      <c r="AB199" s="168" t="str">
        <f t="shared" si="2774"/>
        <v xml:space="preserve"> </v>
      </c>
      <c r="AC199" s="168"/>
      <c r="AD199" s="171" t="str">
        <f t="shared" si="2775"/>
        <v xml:space="preserve"> </v>
      </c>
      <c r="AE199" s="167"/>
      <c r="AF199" s="165" t="str">
        <f t="shared" si="2776"/>
        <v xml:space="preserve"> </v>
      </c>
      <c r="AG199" s="168"/>
      <c r="AH199" s="168"/>
      <c r="AI199" s="166"/>
      <c r="AJ199" s="166"/>
      <c r="AK199" s="166" t="str">
        <f t="shared" si="2777"/>
        <v/>
      </c>
      <c r="AL199" s="167"/>
      <c r="AM199" s="171" t="str">
        <f t="shared" si="2778"/>
        <v xml:space="preserve"> </v>
      </c>
      <c r="AN199" s="168" t="str">
        <f t="shared" si="2779"/>
        <v xml:space="preserve"> </v>
      </c>
      <c r="AO199" s="168"/>
      <c r="AP199" s="167" t="str">
        <f t="shared" si="2780"/>
        <v xml:space="preserve"> </v>
      </c>
      <c r="AQ199" s="166"/>
      <c r="AR199" s="166" t="str">
        <f t="shared" si="2781"/>
        <v xml:space="preserve"> </v>
      </c>
      <c r="AS199" s="168" t="str">
        <f t="shared" si="2782"/>
        <v xml:space="preserve"> </v>
      </c>
      <c r="AT199" s="168"/>
      <c r="AU199" s="166" t="str">
        <f t="shared" si="2783"/>
        <v xml:space="preserve"> </v>
      </c>
      <c r="AV199" s="167"/>
      <c r="AW199" s="167"/>
      <c r="AX199" s="169" t="str">
        <f t="shared" si="2784"/>
        <v xml:space="preserve"> </v>
      </c>
      <c r="AY199" s="169"/>
      <c r="AZ199" s="167" t="str">
        <f t="shared" si="2785"/>
        <v xml:space="preserve"> </v>
      </c>
      <c r="BA199" s="166"/>
      <c r="BB199" s="166"/>
      <c r="BC199" s="168" t="str">
        <f t="shared" si="2786"/>
        <v xml:space="preserve"> </v>
      </c>
      <c r="BD199" s="168"/>
      <c r="BE199" s="166" t="str">
        <f t="shared" si="2787"/>
        <v xml:space="preserve"> </v>
      </c>
      <c r="BF199" s="167"/>
      <c r="BG199" s="167"/>
      <c r="BH199" s="168" t="str">
        <f t="shared" si="2788"/>
        <v xml:space="preserve"> </v>
      </c>
      <c r="BI199" s="168"/>
      <c r="BJ199" s="167" t="str">
        <f t="shared" si="2789"/>
        <v xml:space="preserve"> </v>
      </c>
      <c r="BK199" s="166"/>
      <c r="BL199" s="166" t="str">
        <f t="shared" si="2790"/>
        <v xml:space="preserve"> </v>
      </c>
      <c r="BM199" s="168" t="str">
        <f t="shared" si="2791"/>
        <v xml:space="preserve"> </v>
      </c>
      <c r="BN199" s="168"/>
      <c r="BO199" s="166" t="str">
        <f t="shared" si="2792"/>
        <v xml:space="preserve"> </v>
      </c>
    </row>
    <row r="200" spans="2:67" ht="15" customHeight="1" x14ac:dyDescent="0.25">
      <c r="B200" s="170">
        <v>46218</v>
      </c>
      <c r="C200" s="164"/>
      <c r="D200" s="166" t="str">
        <f t="shared" si="2759"/>
        <v xml:space="preserve"> </v>
      </c>
      <c r="E200" s="168" t="str">
        <f t="shared" si="2760"/>
        <v xml:space="preserve"> </v>
      </c>
      <c r="F200" s="168"/>
      <c r="G200" s="166" t="str">
        <f t="shared" si="2761"/>
        <v xml:space="preserve"> </v>
      </c>
      <c r="H200" s="167"/>
      <c r="I200" s="167" t="str">
        <f t="shared" si="2762"/>
        <v xml:space="preserve"> </v>
      </c>
      <c r="J200" s="168" t="str">
        <f t="shared" si="2763"/>
        <v xml:space="preserve"> </v>
      </c>
      <c r="K200" s="168"/>
      <c r="L200" s="167" t="str">
        <f t="shared" si="2764"/>
        <v xml:space="preserve"> </v>
      </c>
      <c r="M200" s="166"/>
      <c r="N200" s="166" t="str">
        <f t="shared" si="2765"/>
        <v xml:space="preserve"> </v>
      </c>
      <c r="O200" s="168" t="str">
        <f t="shared" si="2766"/>
        <v xml:space="preserve"> </v>
      </c>
      <c r="P200" s="168"/>
      <c r="Q200" s="166" t="str">
        <f t="shared" si="2767"/>
        <v xml:space="preserve"> </v>
      </c>
      <c r="R200" s="167">
        <f ca="1">+BDFUENTES[[#This Row],[PZ MED m3/día]]/3.6/BDFUENTES[[#This Row],[PZ MED Horas Activo]]</f>
        <v>0</v>
      </c>
      <c r="S200" s="167" t="str">
        <f t="shared" ca="1" si="2768"/>
        <v xml:space="preserve"> </v>
      </c>
      <c r="T200" s="168" t="str">
        <f t="shared" si="2769"/>
        <v xml:space="preserve"> </v>
      </c>
      <c r="U200" s="168"/>
      <c r="V200" s="165" t="str">
        <f t="shared" si="2770"/>
        <v xml:space="preserve"> </v>
      </c>
      <c r="W200" s="164" t="str">
        <f t="shared" si="2771"/>
        <v xml:space="preserve"> </v>
      </c>
      <c r="X200" s="166"/>
      <c r="Y200" s="168" t="str">
        <f t="shared" si="2772"/>
        <v xml:space="preserve"> </v>
      </c>
      <c r="Z200" s="168"/>
      <c r="AA200" s="166" t="str">
        <f t="shared" si="2773"/>
        <v xml:space="preserve"> </v>
      </c>
      <c r="AB200" s="168" t="str">
        <f t="shared" si="2774"/>
        <v xml:space="preserve"> </v>
      </c>
      <c r="AC200" s="168"/>
      <c r="AD200" s="171" t="str">
        <f t="shared" si="2775"/>
        <v xml:space="preserve"> </v>
      </c>
      <c r="AE200" s="167"/>
      <c r="AF200" s="165" t="str">
        <f t="shared" si="2776"/>
        <v xml:space="preserve"> </v>
      </c>
      <c r="AG200" s="168"/>
      <c r="AH200" s="168"/>
      <c r="AI200" s="166"/>
      <c r="AJ200" s="166"/>
      <c r="AK200" s="166" t="str">
        <f t="shared" si="2777"/>
        <v/>
      </c>
      <c r="AL200" s="167"/>
      <c r="AM200" s="171" t="str">
        <f t="shared" si="2778"/>
        <v xml:space="preserve"> </v>
      </c>
      <c r="AN200" s="168" t="str">
        <f t="shared" si="2779"/>
        <v xml:space="preserve"> </v>
      </c>
      <c r="AO200" s="168"/>
      <c r="AP200" s="167" t="str">
        <f t="shared" si="2780"/>
        <v xml:space="preserve"> </v>
      </c>
      <c r="AQ200" s="166"/>
      <c r="AR200" s="166" t="str">
        <f t="shared" si="2781"/>
        <v xml:space="preserve"> </v>
      </c>
      <c r="AS200" s="168" t="str">
        <f t="shared" si="2782"/>
        <v xml:space="preserve"> </v>
      </c>
      <c r="AT200" s="168"/>
      <c r="AU200" s="166" t="str">
        <f t="shared" si="2783"/>
        <v xml:space="preserve"> </v>
      </c>
      <c r="AV200" s="167"/>
      <c r="AW200" s="167"/>
      <c r="AX200" s="169" t="str">
        <f t="shared" si="2784"/>
        <v xml:space="preserve"> </v>
      </c>
      <c r="AY200" s="169"/>
      <c r="AZ200" s="167" t="str">
        <f t="shared" si="2785"/>
        <v xml:space="preserve"> </v>
      </c>
      <c r="BA200" s="166"/>
      <c r="BB200" s="166"/>
      <c r="BC200" s="168" t="str">
        <f t="shared" si="2786"/>
        <v xml:space="preserve"> </v>
      </c>
      <c r="BD200" s="168"/>
      <c r="BE200" s="166" t="str">
        <f t="shared" si="2787"/>
        <v xml:space="preserve"> </v>
      </c>
      <c r="BF200" s="167"/>
      <c r="BG200" s="167"/>
      <c r="BH200" s="168" t="str">
        <f t="shared" si="2788"/>
        <v xml:space="preserve"> </v>
      </c>
      <c r="BI200" s="168"/>
      <c r="BJ200" s="167" t="str">
        <f t="shared" si="2789"/>
        <v xml:space="preserve"> </v>
      </c>
      <c r="BK200" s="166"/>
      <c r="BL200" s="166" t="str">
        <f t="shared" si="2790"/>
        <v xml:space="preserve"> </v>
      </c>
      <c r="BM200" s="168" t="str">
        <f t="shared" si="2791"/>
        <v xml:space="preserve"> </v>
      </c>
      <c r="BN200" s="168"/>
      <c r="BO200" s="166" t="str">
        <f t="shared" si="2792"/>
        <v xml:space="preserve"> </v>
      </c>
    </row>
    <row r="201" spans="2:67" ht="15" customHeight="1" x14ac:dyDescent="0.25">
      <c r="B201" s="170">
        <v>46219</v>
      </c>
      <c r="C201" s="164"/>
      <c r="D201" s="166" t="str">
        <f t="shared" si="2759"/>
        <v xml:space="preserve"> </v>
      </c>
      <c r="E201" s="168" t="str">
        <f t="shared" si="2760"/>
        <v xml:space="preserve"> </v>
      </c>
      <c r="F201" s="168"/>
      <c r="G201" s="166" t="str">
        <f t="shared" si="2761"/>
        <v xml:space="preserve"> </v>
      </c>
      <c r="H201" s="167"/>
      <c r="I201" s="167" t="str">
        <f t="shared" si="2762"/>
        <v xml:space="preserve"> </v>
      </c>
      <c r="J201" s="168" t="str">
        <f t="shared" si="2763"/>
        <v xml:space="preserve"> </v>
      </c>
      <c r="K201" s="168"/>
      <c r="L201" s="167" t="str">
        <f t="shared" si="2764"/>
        <v xml:space="preserve"> </v>
      </c>
      <c r="M201" s="166"/>
      <c r="N201" s="166" t="str">
        <f t="shared" si="2765"/>
        <v xml:space="preserve"> </v>
      </c>
      <c r="O201" s="168" t="str">
        <f t="shared" si="2766"/>
        <v xml:space="preserve"> </v>
      </c>
      <c r="P201" s="168"/>
      <c r="Q201" s="166" t="str">
        <f t="shared" si="2767"/>
        <v xml:space="preserve"> </v>
      </c>
      <c r="R201" s="167">
        <f ca="1">+BDFUENTES[[#This Row],[PZ MED m3/día]]/3.6/BDFUENTES[[#This Row],[PZ MED Horas Activo]]</f>
        <v>0</v>
      </c>
      <c r="S201" s="167" t="str">
        <f t="shared" ca="1" si="2768"/>
        <v xml:space="preserve"> </v>
      </c>
      <c r="T201" s="168" t="str">
        <f t="shared" si="2769"/>
        <v xml:space="preserve"> </v>
      </c>
      <c r="U201" s="168"/>
      <c r="V201" s="165" t="str">
        <f t="shared" si="2770"/>
        <v xml:space="preserve"> </v>
      </c>
      <c r="W201" s="164" t="str">
        <f t="shared" si="2771"/>
        <v xml:space="preserve"> </v>
      </c>
      <c r="X201" s="166"/>
      <c r="Y201" s="168" t="str">
        <f t="shared" si="2772"/>
        <v xml:space="preserve"> </v>
      </c>
      <c r="Z201" s="168"/>
      <c r="AA201" s="166" t="str">
        <f t="shared" si="2773"/>
        <v xml:space="preserve"> </v>
      </c>
      <c r="AB201" s="168" t="str">
        <f t="shared" si="2774"/>
        <v xml:space="preserve"> </v>
      </c>
      <c r="AC201" s="168"/>
      <c r="AD201" s="171" t="str">
        <f t="shared" si="2775"/>
        <v xml:space="preserve"> </v>
      </c>
      <c r="AE201" s="167"/>
      <c r="AF201" s="165" t="str">
        <f t="shared" si="2776"/>
        <v xml:space="preserve"> </v>
      </c>
      <c r="AG201" s="168"/>
      <c r="AH201" s="168"/>
      <c r="AI201" s="166"/>
      <c r="AJ201" s="166"/>
      <c r="AK201" s="166" t="str">
        <f t="shared" si="2777"/>
        <v/>
      </c>
      <c r="AL201" s="167"/>
      <c r="AM201" s="171" t="str">
        <f t="shared" si="2778"/>
        <v xml:space="preserve"> </v>
      </c>
      <c r="AN201" s="168" t="str">
        <f t="shared" si="2779"/>
        <v xml:space="preserve"> </v>
      </c>
      <c r="AO201" s="168"/>
      <c r="AP201" s="167" t="str">
        <f t="shared" si="2780"/>
        <v xml:space="preserve"> </v>
      </c>
      <c r="AQ201" s="166"/>
      <c r="AR201" s="166" t="str">
        <f t="shared" si="2781"/>
        <v xml:space="preserve"> </v>
      </c>
      <c r="AS201" s="168" t="str">
        <f t="shared" si="2782"/>
        <v xml:space="preserve"> </v>
      </c>
      <c r="AT201" s="168"/>
      <c r="AU201" s="166" t="str">
        <f t="shared" si="2783"/>
        <v xml:space="preserve"> </v>
      </c>
      <c r="AV201" s="167"/>
      <c r="AW201" s="167"/>
      <c r="AX201" s="169" t="str">
        <f t="shared" si="2784"/>
        <v xml:space="preserve"> </v>
      </c>
      <c r="AY201" s="169"/>
      <c r="AZ201" s="167" t="str">
        <f t="shared" si="2785"/>
        <v xml:space="preserve"> </v>
      </c>
      <c r="BA201" s="166"/>
      <c r="BB201" s="166"/>
      <c r="BC201" s="168" t="str">
        <f t="shared" si="2786"/>
        <v xml:space="preserve"> </v>
      </c>
      <c r="BD201" s="168"/>
      <c r="BE201" s="166" t="str">
        <f t="shared" si="2787"/>
        <v xml:space="preserve"> </v>
      </c>
      <c r="BF201" s="167"/>
      <c r="BG201" s="167"/>
      <c r="BH201" s="168" t="str">
        <f t="shared" si="2788"/>
        <v xml:space="preserve"> </v>
      </c>
      <c r="BI201" s="168"/>
      <c r="BJ201" s="167" t="str">
        <f t="shared" si="2789"/>
        <v xml:space="preserve"> </v>
      </c>
      <c r="BK201" s="166"/>
      <c r="BL201" s="166" t="str">
        <f t="shared" si="2790"/>
        <v xml:space="preserve"> </v>
      </c>
      <c r="BM201" s="168" t="str">
        <f t="shared" si="2791"/>
        <v xml:space="preserve"> </v>
      </c>
      <c r="BN201" s="168"/>
      <c r="BO201" s="166" t="str">
        <f t="shared" si="2792"/>
        <v xml:space="preserve"> </v>
      </c>
    </row>
    <row r="202" spans="2:67" ht="15" customHeight="1" x14ac:dyDescent="0.25">
      <c r="B202" s="170">
        <v>46220</v>
      </c>
      <c r="C202" s="164"/>
      <c r="D202" s="166" t="str">
        <f t="shared" si="2759"/>
        <v xml:space="preserve"> </v>
      </c>
      <c r="E202" s="168" t="str">
        <f t="shared" si="2760"/>
        <v xml:space="preserve"> </v>
      </c>
      <c r="F202" s="168"/>
      <c r="G202" s="166" t="str">
        <f t="shared" si="2761"/>
        <v xml:space="preserve"> </v>
      </c>
      <c r="H202" s="167"/>
      <c r="I202" s="167" t="str">
        <f t="shared" si="2762"/>
        <v xml:space="preserve"> </v>
      </c>
      <c r="J202" s="168" t="str">
        <f t="shared" si="2763"/>
        <v xml:space="preserve"> </v>
      </c>
      <c r="K202" s="168"/>
      <c r="L202" s="167" t="str">
        <f t="shared" si="2764"/>
        <v xml:space="preserve"> </v>
      </c>
      <c r="M202" s="166"/>
      <c r="N202" s="166" t="str">
        <f t="shared" si="2765"/>
        <v xml:space="preserve"> </v>
      </c>
      <c r="O202" s="168" t="str">
        <f t="shared" si="2766"/>
        <v xml:space="preserve"> </v>
      </c>
      <c r="P202" s="168"/>
      <c r="Q202" s="166" t="str">
        <f t="shared" si="2767"/>
        <v xml:space="preserve"> </v>
      </c>
      <c r="R202" s="167">
        <f ca="1">+BDFUENTES[[#This Row],[PZ MED m3/día]]/3.6/BDFUENTES[[#This Row],[PZ MED Horas Activo]]</f>
        <v>0</v>
      </c>
      <c r="S202" s="167" t="str">
        <f t="shared" ca="1" si="2768"/>
        <v xml:space="preserve"> </v>
      </c>
      <c r="T202" s="168" t="str">
        <f t="shared" si="2769"/>
        <v xml:space="preserve"> </v>
      </c>
      <c r="U202" s="168"/>
      <c r="V202" s="165" t="str">
        <f t="shared" si="2770"/>
        <v xml:space="preserve"> </v>
      </c>
      <c r="W202" s="164" t="str">
        <f t="shared" si="2771"/>
        <v xml:space="preserve"> </v>
      </c>
      <c r="X202" s="166"/>
      <c r="Y202" s="168" t="str">
        <f t="shared" si="2772"/>
        <v xml:space="preserve"> </v>
      </c>
      <c r="Z202" s="168"/>
      <c r="AA202" s="166" t="str">
        <f t="shared" si="2773"/>
        <v xml:space="preserve"> </v>
      </c>
      <c r="AB202" s="168" t="str">
        <f t="shared" si="2774"/>
        <v xml:space="preserve"> </v>
      </c>
      <c r="AC202" s="168"/>
      <c r="AD202" s="171" t="str">
        <f t="shared" si="2775"/>
        <v xml:space="preserve"> </v>
      </c>
      <c r="AE202" s="167"/>
      <c r="AF202" s="165" t="str">
        <f t="shared" si="2776"/>
        <v xml:space="preserve"> </v>
      </c>
      <c r="AG202" s="168"/>
      <c r="AH202" s="168"/>
      <c r="AI202" s="166"/>
      <c r="AJ202" s="166"/>
      <c r="AK202" s="166" t="str">
        <f t="shared" si="2777"/>
        <v/>
      </c>
      <c r="AL202" s="167"/>
      <c r="AM202" s="171" t="str">
        <f t="shared" si="2778"/>
        <v xml:space="preserve"> </v>
      </c>
      <c r="AN202" s="168" t="str">
        <f t="shared" si="2779"/>
        <v xml:space="preserve"> </v>
      </c>
      <c r="AO202" s="168"/>
      <c r="AP202" s="167" t="str">
        <f t="shared" si="2780"/>
        <v xml:space="preserve"> </v>
      </c>
      <c r="AQ202" s="166"/>
      <c r="AR202" s="166" t="str">
        <f t="shared" si="2781"/>
        <v xml:space="preserve"> </v>
      </c>
      <c r="AS202" s="168" t="str">
        <f t="shared" si="2782"/>
        <v xml:space="preserve"> </v>
      </c>
      <c r="AT202" s="168"/>
      <c r="AU202" s="166" t="str">
        <f t="shared" si="2783"/>
        <v xml:space="preserve"> </v>
      </c>
      <c r="AV202" s="167"/>
      <c r="AW202" s="167"/>
      <c r="AX202" s="169" t="str">
        <f t="shared" si="2784"/>
        <v xml:space="preserve"> </v>
      </c>
      <c r="AY202" s="169"/>
      <c r="AZ202" s="167" t="str">
        <f t="shared" si="2785"/>
        <v xml:space="preserve"> </v>
      </c>
      <c r="BA202" s="166"/>
      <c r="BB202" s="166"/>
      <c r="BC202" s="168" t="str">
        <f t="shared" si="2786"/>
        <v xml:space="preserve"> </v>
      </c>
      <c r="BD202" s="168"/>
      <c r="BE202" s="166" t="str">
        <f t="shared" si="2787"/>
        <v xml:space="preserve"> </v>
      </c>
      <c r="BF202" s="167"/>
      <c r="BG202" s="167"/>
      <c r="BH202" s="168" t="str">
        <f t="shared" si="2788"/>
        <v xml:space="preserve"> </v>
      </c>
      <c r="BI202" s="168"/>
      <c r="BJ202" s="167" t="str">
        <f t="shared" si="2789"/>
        <v xml:space="preserve"> </v>
      </c>
      <c r="BK202" s="166"/>
      <c r="BL202" s="166" t="str">
        <f t="shared" si="2790"/>
        <v xml:space="preserve"> </v>
      </c>
      <c r="BM202" s="168" t="str">
        <f t="shared" si="2791"/>
        <v xml:space="preserve"> </v>
      </c>
      <c r="BN202" s="168"/>
      <c r="BO202" s="166" t="str">
        <f t="shared" si="2792"/>
        <v xml:space="preserve"> </v>
      </c>
    </row>
    <row r="203" spans="2:67" ht="15" customHeight="1" x14ac:dyDescent="0.25">
      <c r="B203" s="170">
        <v>46221</v>
      </c>
      <c r="C203" s="164"/>
      <c r="D203" s="166" t="str">
        <f t="shared" si="2759"/>
        <v xml:space="preserve"> </v>
      </c>
      <c r="E203" s="168" t="str">
        <f t="shared" si="2760"/>
        <v xml:space="preserve"> </v>
      </c>
      <c r="F203" s="168"/>
      <c r="G203" s="166" t="str">
        <f t="shared" si="2761"/>
        <v xml:space="preserve"> </v>
      </c>
      <c r="H203" s="167"/>
      <c r="I203" s="167" t="str">
        <f t="shared" si="2762"/>
        <v xml:space="preserve"> </v>
      </c>
      <c r="J203" s="168" t="str">
        <f t="shared" si="2763"/>
        <v xml:space="preserve"> </v>
      </c>
      <c r="K203" s="168"/>
      <c r="L203" s="167" t="str">
        <f t="shared" si="2764"/>
        <v xml:space="preserve"> </v>
      </c>
      <c r="M203" s="166"/>
      <c r="N203" s="166" t="str">
        <f t="shared" si="2765"/>
        <v xml:space="preserve"> </v>
      </c>
      <c r="O203" s="168" t="str">
        <f t="shared" si="2766"/>
        <v xml:space="preserve"> </v>
      </c>
      <c r="P203" s="168"/>
      <c r="Q203" s="166" t="str">
        <f t="shared" si="2767"/>
        <v xml:space="preserve"> </v>
      </c>
      <c r="R203" s="167">
        <f ca="1">+BDFUENTES[[#This Row],[PZ MED m3/día]]/3.6/BDFUENTES[[#This Row],[PZ MED Horas Activo]]</f>
        <v>0</v>
      </c>
      <c r="S203" s="167" t="str">
        <f t="shared" ca="1" si="2768"/>
        <v xml:space="preserve"> </v>
      </c>
      <c r="T203" s="168" t="str">
        <f t="shared" si="2769"/>
        <v xml:space="preserve"> </v>
      </c>
      <c r="U203" s="168"/>
      <c r="V203" s="165" t="str">
        <f t="shared" si="2770"/>
        <v xml:space="preserve"> </v>
      </c>
      <c r="W203" s="164" t="str">
        <f t="shared" si="2771"/>
        <v xml:space="preserve"> </v>
      </c>
      <c r="X203" s="166"/>
      <c r="Y203" s="168" t="str">
        <f t="shared" si="2772"/>
        <v xml:space="preserve"> </v>
      </c>
      <c r="Z203" s="168"/>
      <c r="AA203" s="166" t="str">
        <f t="shared" si="2773"/>
        <v xml:space="preserve"> </v>
      </c>
      <c r="AB203" s="168" t="str">
        <f t="shared" si="2774"/>
        <v xml:space="preserve"> </v>
      </c>
      <c r="AC203" s="168"/>
      <c r="AD203" s="171" t="str">
        <f t="shared" si="2775"/>
        <v xml:space="preserve"> </v>
      </c>
      <c r="AE203" s="167"/>
      <c r="AF203" s="165" t="str">
        <f t="shared" si="2776"/>
        <v xml:space="preserve"> </v>
      </c>
      <c r="AG203" s="168"/>
      <c r="AH203" s="168"/>
      <c r="AI203" s="166"/>
      <c r="AJ203" s="166"/>
      <c r="AK203" s="166" t="str">
        <f t="shared" si="2777"/>
        <v/>
      </c>
      <c r="AL203" s="167"/>
      <c r="AM203" s="171" t="str">
        <f t="shared" si="2778"/>
        <v xml:space="preserve"> </v>
      </c>
      <c r="AN203" s="168" t="str">
        <f t="shared" si="2779"/>
        <v xml:space="preserve"> </v>
      </c>
      <c r="AO203" s="168"/>
      <c r="AP203" s="167" t="str">
        <f t="shared" si="2780"/>
        <v xml:space="preserve"> </v>
      </c>
      <c r="AQ203" s="166"/>
      <c r="AR203" s="166" t="str">
        <f t="shared" si="2781"/>
        <v xml:space="preserve"> </v>
      </c>
      <c r="AS203" s="168" t="str">
        <f t="shared" si="2782"/>
        <v xml:space="preserve"> </v>
      </c>
      <c r="AT203" s="168"/>
      <c r="AU203" s="166" t="str">
        <f t="shared" si="2783"/>
        <v xml:space="preserve"> </v>
      </c>
      <c r="AV203" s="167"/>
      <c r="AW203" s="167"/>
      <c r="AX203" s="169" t="str">
        <f t="shared" si="2784"/>
        <v xml:space="preserve"> </v>
      </c>
      <c r="AY203" s="169"/>
      <c r="AZ203" s="167" t="str">
        <f t="shared" si="2785"/>
        <v xml:space="preserve"> </v>
      </c>
      <c r="BA203" s="166"/>
      <c r="BB203" s="166"/>
      <c r="BC203" s="168" t="str">
        <f t="shared" si="2786"/>
        <v xml:space="preserve"> </v>
      </c>
      <c r="BD203" s="168"/>
      <c r="BE203" s="166" t="str">
        <f t="shared" si="2787"/>
        <v xml:space="preserve"> </v>
      </c>
      <c r="BF203" s="167"/>
      <c r="BG203" s="167"/>
      <c r="BH203" s="168" t="str">
        <f t="shared" si="2788"/>
        <v xml:space="preserve"> </v>
      </c>
      <c r="BI203" s="168"/>
      <c r="BJ203" s="167" t="str">
        <f t="shared" si="2789"/>
        <v xml:space="preserve"> </v>
      </c>
      <c r="BK203" s="166"/>
      <c r="BL203" s="166" t="str">
        <f t="shared" si="2790"/>
        <v xml:space="preserve"> </v>
      </c>
      <c r="BM203" s="168" t="str">
        <f t="shared" si="2791"/>
        <v xml:space="preserve"> </v>
      </c>
      <c r="BN203" s="168"/>
      <c r="BO203" s="166" t="str">
        <f t="shared" si="2792"/>
        <v xml:space="preserve"> </v>
      </c>
    </row>
    <row r="204" spans="2:67" ht="15" customHeight="1" x14ac:dyDescent="0.25">
      <c r="B204" s="170">
        <v>46222</v>
      </c>
      <c r="C204" s="164"/>
      <c r="D204" s="166" t="str">
        <f t="shared" si="2759"/>
        <v xml:space="preserve"> </v>
      </c>
      <c r="E204" s="168" t="str">
        <f t="shared" si="2760"/>
        <v xml:space="preserve"> </v>
      </c>
      <c r="F204" s="168"/>
      <c r="G204" s="166" t="str">
        <f t="shared" si="2761"/>
        <v xml:space="preserve"> </v>
      </c>
      <c r="H204" s="167"/>
      <c r="I204" s="167" t="str">
        <f t="shared" si="2762"/>
        <v xml:space="preserve"> </v>
      </c>
      <c r="J204" s="168" t="str">
        <f t="shared" si="2763"/>
        <v xml:space="preserve"> </v>
      </c>
      <c r="K204" s="168"/>
      <c r="L204" s="167" t="str">
        <f t="shared" si="2764"/>
        <v xml:space="preserve"> </v>
      </c>
      <c r="M204" s="166"/>
      <c r="N204" s="166" t="str">
        <f t="shared" si="2765"/>
        <v xml:space="preserve"> </v>
      </c>
      <c r="O204" s="168" t="str">
        <f t="shared" si="2766"/>
        <v xml:space="preserve"> </v>
      </c>
      <c r="P204" s="168"/>
      <c r="Q204" s="166" t="str">
        <f t="shared" si="2767"/>
        <v xml:space="preserve"> </v>
      </c>
      <c r="R204" s="167">
        <f ca="1">+BDFUENTES[[#This Row],[PZ MED m3/día]]/3.6/BDFUENTES[[#This Row],[PZ MED Horas Activo]]</f>
        <v>0</v>
      </c>
      <c r="S204" s="167" t="str">
        <f t="shared" ca="1" si="2768"/>
        <v xml:space="preserve"> </v>
      </c>
      <c r="T204" s="168" t="str">
        <f t="shared" si="2769"/>
        <v xml:space="preserve"> </v>
      </c>
      <c r="U204" s="168"/>
      <c r="V204" s="165" t="str">
        <f t="shared" si="2770"/>
        <v xml:space="preserve"> </v>
      </c>
      <c r="W204" s="164" t="str">
        <f t="shared" si="2771"/>
        <v xml:space="preserve"> </v>
      </c>
      <c r="X204" s="166"/>
      <c r="Y204" s="168" t="str">
        <f t="shared" si="2772"/>
        <v xml:space="preserve"> </v>
      </c>
      <c r="Z204" s="168"/>
      <c r="AA204" s="166" t="str">
        <f t="shared" si="2773"/>
        <v xml:space="preserve"> </v>
      </c>
      <c r="AB204" s="168" t="str">
        <f t="shared" si="2774"/>
        <v xml:space="preserve"> </v>
      </c>
      <c r="AC204" s="168"/>
      <c r="AD204" s="171" t="str">
        <f t="shared" si="2775"/>
        <v xml:space="preserve"> </v>
      </c>
      <c r="AE204" s="167"/>
      <c r="AF204" s="165" t="str">
        <f t="shared" si="2776"/>
        <v xml:space="preserve"> </v>
      </c>
      <c r="AG204" s="168"/>
      <c r="AH204" s="168"/>
      <c r="AI204" s="166"/>
      <c r="AJ204" s="166"/>
      <c r="AK204" s="166" t="str">
        <f t="shared" si="2777"/>
        <v/>
      </c>
      <c r="AL204" s="167"/>
      <c r="AM204" s="171" t="str">
        <f t="shared" si="2778"/>
        <v xml:space="preserve"> </v>
      </c>
      <c r="AN204" s="168" t="str">
        <f t="shared" si="2779"/>
        <v xml:space="preserve"> </v>
      </c>
      <c r="AO204" s="168"/>
      <c r="AP204" s="167" t="str">
        <f t="shared" si="2780"/>
        <v xml:space="preserve"> </v>
      </c>
      <c r="AQ204" s="166"/>
      <c r="AR204" s="166" t="str">
        <f t="shared" si="2781"/>
        <v xml:space="preserve"> </v>
      </c>
      <c r="AS204" s="168" t="str">
        <f t="shared" si="2782"/>
        <v xml:space="preserve"> </v>
      </c>
      <c r="AT204" s="168"/>
      <c r="AU204" s="166" t="str">
        <f t="shared" si="2783"/>
        <v xml:space="preserve"> </v>
      </c>
      <c r="AV204" s="167"/>
      <c r="AW204" s="167"/>
      <c r="AX204" s="169" t="str">
        <f t="shared" si="2784"/>
        <v xml:space="preserve"> </v>
      </c>
      <c r="AY204" s="169"/>
      <c r="AZ204" s="167" t="str">
        <f t="shared" si="2785"/>
        <v xml:space="preserve"> </v>
      </c>
      <c r="BA204" s="166"/>
      <c r="BB204" s="166"/>
      <c r="BC204" s="168" t="str">
        <f t="shared" si="2786"/>
        <v xml:space="preserve"> </v>
      </c>
      <c r="BD204" s="168"/>
      <c r="BE204" s="166" t="str">
        <f t="shared" si="2787"/>
        <v xml:space="preserve"> </v>
      </c>
      <c r="BF204" s="167"/>
      <c r="BG204" s="167"/>
      <c r="BH204" s="168" t="str">
        <f t="shared" si="2788"/>
        <v xml:space="preserve"> </v>
      </c>
      <c r="BI204" s="168"/>
      <c r="BJ204" s="167" t="str">
        <f t="shared" si="2789"/>
        <v xml:space="preserve"> </v>
      </c>
      <c r="BK204" s="166"/>
      <c r="BL204" s="166" t="str">
        <f t="shared" si="2790"/>
        <v xml:space="preserve"> </v>
      </c>
      <c r="BM204" s="168" t="str">
        <f t="shared" si="2791"/>
        <v xml:space="preserve"> </v>
      </c>
      <c r="BN204" s="168"/>
      <c r="BO204" s="166" t="str">
        <f t="shared" si="2792"/>
        <v xml:space="preserve"> </v>
      </c>
    </row>
    <row r="205" spans="2:67" ht="15" customHeight="1" x14ac:dyDescent="0.25">
      <c r="B205" s="170">
        <v>46223</v>
      </c>
      <c r="C205" s="164"/>
      <c r="D205" s="166" t="str">
        <f t="shared" si="2759"/>
        <v xml:space="preserve"> </v>
      </c>
      <c r="E205" s="168" t="str">
        <f t="shared" si="2760"/>
        <v xml:space="preserve"> </v>
      </c>
      <c r="F205" s="168"/>
      <c r="G205" s="166" t="str">
        <f t="shared" si="2761"/>
        <v xml:space="preserve"> </v>
      </c>
      <c r="H205" s="167"/>
      <c r="I205" s="167" t="str">
        <f t="shared" si="2762"/>
        <v xml:space="preserve"> </v>
      </c>
      <c r="J205" s="168" t="str">
        <f t="shared" si="2763"/>
        <v xml:space="preserve"> </v>
      </c>
      <c r="K205" s="168"/>
      <c r="L205" s="167" t="str">
        <f t="shared" si="2764"/>
        <v xml:space="preserve"> </v>
      </c>
      <c r="M205" s="166"/>
      <c r="N205" s="166" t="str">
        <f t="shared" si="2765"/>
        <v xml:space="preserve"> </v>
      </c>
      <c r="O205" s="168" t="str">
        <f t="shared" si="2766"/>
        <v xml:space="preserve"> </v>
      </c>
      <c r="P205" s="168"/>
      <c r="Q205" s="166" t="str">
        <f t="shared" si="2767"/>
        <v xml:space="preserve"> </v>
      </c>
      <c r="R205" s="167">
        <f ca="1">+BDFUENTES[[#This Row],[PZ MED m3/día]]/3.6/BDFUENTES[[#This Row],[PZ MED Horas Activo]]</f>
        <v>0</v>
      </c>
      <c r="S205" s="167" t="str">
        <f t="shared" ca="1" si="2768"/>
        <v xml:space="preserve"> </v>
      </c>
      <c r="T205" s="168" t="str">
        <f t="shared" si="2769"/>
        <v xml:space="preserve"> </v>
      </c>
      <c r="U205" s="168"/>
      <c r="V205" s="165" t="str">
        <f t="shared" si="2770"/>
        <v xml:space="preserve"> </v>
      </c>
      <c r="W205" s="164" t="str">
        <f t="shared" si="2771"/>
        <v xml:space="preserve"> </v>
      </c>
      <c r="X205" s="166"/>
      <c r="Y205" s="168" t="str">
        <f t="shared" si="2772"/>
        <v xml:space="preserve"> </v>
      </c>
      <c r="Z205" s="168"/>
      <c r="AA205" s="166" t="str">
        <f t="shared" si="2773"/>
        <v xml:space="preserve"> </v>
      </c>
      <c r="AB205" s="168" t="str">
        <f t="shared" si="2774"/>
        <v xml:space="preserve"> </v>
      </c>
      <c r="AC205" s="168"/>
      <c r="AD205" s="171" t="str">
        <f t="shared" si="2775"/>
        <v xml:space="preserve"> </v>
      </c>
      <c r="AE205" s="167"/>
      <c r="AF205" s="165" t="str">
        <f t="shared" si="2776"/>
        <v xml:space="preserve"> </v>
      </c>
      <c r="AG205" s="168"/>
      <c r="AH205" s="168"/>
      <c r="AI205" s="166"/>
      <c r="AJ205" s="166"/>
      <c r="AK205" s="166" t="str">
        <f t="shared" si="2777"/>
        <v/>
      </c>
      <c r="AL205" s="167"/>
      <c r="AM205" s="171" t="str">
        <f t="shared" si="2778"/>
        <v xml:space="preserve"> </v>
      </c>
      <c r="AN205" s="168" t="str">
        <f t="shared" si="2779"/>
        <v xml:space="preserve"> </v>
      </c>
      <c r="AO205" s="168"/>
      <c r="AP205" s="167" t="str">
        <f t="shared" si="2780"/>
        <v xml:space="preserve"> </v>
      </c>
      <c r="AQ205" s="166"/>
      <c r="AR205" s="166" t="str">
        <f t="shared" si="2781"/>
        <v xml:space="preserve"> </v>
      </c>
      <c r="AS205" s="168" t="str">
        <f t="shared" si="2782"/>
        <v xml:space="preserve"> </v>
      </c>
      <c r="AT205" s="168"/>
      <c r="AU205" s="166" t="str">
        <f t="shared" si="2783"/>
        <v xml:space="preserve"> </v>
      </c>
      <c r="AV205" s="167"/>
      <c r="AW205" s="167"/>
      <c r="AX205" s="169" t="str">
        <f t="shared" si="2784"/>
        <v xml:space="preserve"> </v>
      </c>
      <c r="AY205" s="169"/>
      <c r="AZ205" s="167" t="str">
        <f t="shared" si="2785"/>
        <v xml:space="preserve"> </v>
      </c>
      <c r="BA205" s="166"/>
      <c r="BB205" s="166"/>
      <c r="BC205" s="168" t="str">
        <f t="shared" si="2786"/>
        <v xml:space="preserve"> </v>
      </c>
      <c r="BD205" s="168"/>
      <c r="BE205" s="166" t="str">
        <f t="shared" si="2787"/>
        <v xml:space="preserve"> </v>
      </c>
      <c r="BF205" s="167"/>
      <c r="BG205" s="167"/>
      <c r="BH205" s="168" t="str">
        <f t="shared" si="2788"/>
        <v xml:space="preserve"> </v>
      </c>
      <c r="BI205" s="168"/>
      <c r="BJ205" s="167" t="str">
        <f t="shared" si="2789"/>
        <v xml:space="preserve"> </v>
      </c>
      <c r="BK205" s="166"/>
      <c r="BL205" s="166" t="str">
        <f t="shared" si="2790"/>
        <v xml:space="preserve"> </v>
      </c>
      <c r="BM205" s="168" t="str">
        <f t="shared" si="2791"/>
        <v xml:space="preserve"> </v>
      </c>
      <c r="BN205" s="168"/>
      <c r="BO205" s="166" t="str">
        <f t="shared" si="2792"/>
        <v xml:space="preserve"> </v>
      </c>
    </row>
    <row r="206" spans="2:67" ht="15" customHeight="1" x14ac:dyDescent="0.25">
      <c r="B206" s="170">
        <v>46224</v>
      </c>
      <c r="C206" s="164"/>
      <c r="D206" s="166" t="str">
        <f t="shared" si="2759"/>
        <v xml:space="preserve"> </v>
      </c>
      <c r="E206" s="168" t="str">
        <f t="shared" si="2760"/>
        <v xml:space="preserve"> </v>
      </c>
      <c r="F206" s="168"/>
      <c r="G206" s="166" t="str">
        <f t="shared" si="2761"/>
        <v xml:space="preserve"> </v>
      </c>
      <c r="H206" s="167"/>
      <c r="I206" s="167" t="str">
        <f t="shared" si="2762"/>
        <v xml:space="preserve"> </v>
      </c>
      <c r="J206" s="168" t="str">
        <f t="shared" si="2763"/>
        <v xml:space="preserve"> </v>
      </c>
      <c r="K206" s="168"/>
      <c r="L206" s="167" t="str">
        <f t="shared" si="2764"/>
        <v xml:space="preserve"> </v>
      </c>
      <c r="M206" s="166"/>
      <c r="N206" s="166" t="str">
        <f t="shared" si="2765"/>
        <v xml:space="preserve"> </v>
      </c>
      <c r="O206" s="168" t="str">
        <f t="shared" si="2766"/>
        <v xml:space="preserve"> </v>
      </c>
      <c r="P206" s="168"/>
      <c r="Q206" s="166" t="str">
        <f t="shared" si="2767"/>
        <v xml:space="preserve"> </v>
      </c>
      <c r="R206" s="167">
        <f ca="1">+BDFUENTES[[#This Row],[PZ MED m3/día]]/3.6/BDFUENTES[[#This Row],[PZ MED Horas Activo]]</f>
        <v>0</v>
      </c>
      <c r="S206" s="167" t="str">
        <f t="shared" ca="1" si="2768"/>
        <v xml:space="preserve"> </v>
      </c>
      <c r="T206" s="168" t="str">
        <f t="shared" si="2769"/>
        <v xml:space="preserve"> </v>
      </c>
      <c r="U206" s="168"/>
      <c r="V206" s="165" t="str">
        <f t="shared" si="2770"/>
        <v xml:space="preserve"> </v>
      </c>
      <c r="W206" s="164" t="str">
        <f t="shared" si="2771"/>
        <v xml:space="preserve"> </v>
      </c>
      <c r="X206" s="166"/>
      <c r="Y206" s="168" t="str">
        <f t="shared" si="2772"/>
        <v xml:space="preserve"> </v>
      </c>
      <c r="Z206" s="168"/>
      <c r="AA206" s="166" t="str">
        <f t="shared" si="2773"/>
        <v xml:space="preserve"> </v>
      </c>
      <c r="AB206" s="168" t="str">
        <f t="shared" si="2774"/>
        <v xml:space="preserve"> </v>
      </c>
      <c r="AC206" s="168"/>
      <c r="AD206" s="171" t="str">
        <f t="shared" si="2775"/>
        <v xml:space="preserve"> </v>
      </c>
      <c r="AE206" s="167"/>
      <c r="AF206" s="165" t="str">
        <f t="shared" si="2776"/>
        <v xml:space="preserve"> </v>
      </c>
      <c r="AG206" s="168"/>
      <c r="AH206" s="168"/>
      <c r="AI206" s="166"/>
      <c r="AJ206" s="166"/>
      <c r="AK206" s="166" t="str">
        <f t="shared" si="2777"/>
        <v/>
      </c>
      <c r="AL206" s="167"/>
      <c r="AM206" s="171" t="str">
        <f t="shared" si="2778"/>
        <v xml:space="preserve"> </v>
      </c>
      <c r="AN206" s="168" t="str">
        <f t="shared" si="2779"/>
        <v xml:space="preserve"> </v>
      </c>
      <c r="AO206" s="168"/>
      <c r="AP206" s="167" t="str">
        <f t="shared" si="2780"/>
        <v xml:space="preserve"> </v>
      </c>
      <c r="AQ206" s="166"/>
      <c r="AR206" s="166" t="str">
        <f t="shared" si="2781"/>
        <v xml:space="preserve"> </v>
      </c>
      <c r="AS206" s="168" t="str">
        <f t="shared" si="2782"/>
        <v xml:space="preserve"> </v>
      </c>
      <c r="AT206" s="168"/>
      <c r="AU206" s="166" t="str">
        <f t="shared" si="2783"/>
        <v xml:space="preserve"> </v>
      </c>
      <c r="AV206" s="167"/>
      <c r="AW206" s="167"/>
      <c r="AX206" s="169" t="str">
        <f t="shared" si="2784"/>
        <v xml:space="preserve"> </v>
      </c>
      <c r="AY206" s="169"/>
      <c r="AZ206" s="167" t="str">
        <f t="shared" si="2785"/>
        <v xml:space="preserve"> </v>
      </c>
      <c r="BA206" s="166"/>
      <c r="BB206" s="166"/>
      <c r="BC206" s="168" t="str">
        <f t="shared" si="2786"/>
        <v xml:space="preserve"> </v>
      </c>
      <c r="BD206" s="168"/>
      <c r="BE206" s="166" t="str">
        <f t="shared" si="2787"/>
        <v xml:space="preserve"> </v>
      </c>
      <c r="BF206" s="167"/>
      <c r="BG206" s="167"/>
      <c r="BH206" s="168" t="str">
        <f t="shared" si="2788"/>
        <v xml:space="preserve"> </v>
      </c>
      <c r="BI206" s="168"/>
      <c r="BJ206" s="167" t="str">
        <f t="shared" si="2789"/>
        <v xml:space="preserve"> </v>
      </c>
      <c r="BK206" s="166"/>
      <c r="BL206" s="166" t="str">
        <f t="shared" si="2790"/>
        <v xml:space="preserve"> </v>
      </c>
      <c r="BM206" s="168" t="str">
        <f t="shared" si="2791"/>
        <v xml:space="preserve"> </v>
      </c>
      <c r="BN206" s="168"/>
      <c r="BO206" s="166" t="str">
        <f t="shared" si="2792"/>
        <v xml:space="preserve"> </v>
      </c>
    </row>
    <row r="207" spans="2:67" ht="15" customHeight="1" x14ac:dyDescent="0.25">
      <c r="B207" s="170">
        <v>46225</v>
      </c>
      <c r="C207" s="164"/>
      <c r="D207" s="166" t="str">
        <f t="shared" si="2759"/>
        <v xml:space="preserve"> </v>
      </c>
      <c r="E207" s="168" t="str">
        <f t="shared" si="2760"/>
        <v xml:space="preserve"> </v>
      </c>
      <c r="F207" s="168"/>
      <c r="G207" s="166" t="str">
        <f t="shared" si="2761"/>
        <v xml:space="preserve"> </v>
      </c>
      <c r="H207" s="167"/>
      <c r="I207" s="167" t="str">
        <f t="shared" si="2762"/>
        <v xml:space="preserve"> </v>
      </c>
      <c r="J207" s="168" t="str">
        <f t="shared" si="2763"/>
        <v xml:space="preserve"> </v>
      </c>
      <c r="K207" s="168"/>
      <c r="L207" s="167" t="str">
        <f t="shared" si="2764"/>
        <v xml:space="preserve"> </v>
      </c>
      <c r="M207" s="166"/>
      <c r="N207" s="166" t="str">
        <f t="shared" si="2765"/>
        <v xml:space="preserve"> </v>
      </c>
      <c r="O207" s="168" t="str">
        <f t="shared" si="2766"/>
        <v xml:space="preserve"> </v>
      </c>
      <c r="P207" s="168"/>
      <c r="Q207" s="166" t="str">
        <f t="shared" si="2767"/>
        <v xml:space="preserve"> </v>
      </c>
      <c r="R207" s="167">
        <f ca="1">+BDFUENTES[[#This Row],[PZ MED m3/día]]/3.6/BDFUENTES[[#This Row],[PZ MED Horas Activo]]</f>
        <v>0</v>
      </c>
      <c r="S207" s="167" t="str">
        <f t="shared" ca="1" si="2768"/>
        <v xml:space="preserve"> </v>
      </c>
      <c r="T207" s="168" t="str">
        <f t="shared" si="2769"/>
        <v xml:space="preserve"> </v>
      </c>
      <c r="U207" s="168"/>
      <c r="V207" s="165" t="str">
        <f t="shared" si="2770"/>
        <v xml:space="preserve"> </v>
      </c>
      <c r="W207" s="164" t="str">
        <f t="shared" si="2771"/>
        <v xml:space="preserve"> </v>
      </c>
      <c r="X207" s="166"/>
      <c r="Y207" s="168" t="str">
        <f t="shared" si="2772"/>
        <v xml:space="preserve"> </v>
      </c>
      <c r="Z207" s="168"/>
      <c r="AA207" s="166" t="str">
        <f t="shared" si="2773"/>
        <v xml:space="preserve"> </v>
      </c>
      <c r="AB207" s="168" t="str">
        <f t="shared" si="2774"/>
        <v xml:space="preserve"> </v>
      </c>
      <c r="AC207" s="168"/>
      <c r="AD207" s="171" t="str">
        <f t="shared" si="2775"/>
        <v xml:space="preserve"> </v>
      </c>
      <c r="AE207" s="167"/>
      <c r="AF207" s="165" t="str">
        <f t="shared" si="2776"/>
        <v xml:space="preserve"> </v>
      </c>
      <c r="AG207" s="168"/>
      <c r="AH207" s="168"/>
      <c r="AI207" s="166"/>
      <c r="AJ207" s="166"/>
      <c r="AK207" s="166" t="str">
        <f t="shared" si="2777"/>
        <v/>
      </c>
      <c r="AL207" s="167"/>
      <c r="AM207" s="171" t="str">
        <f t="shared" si="2778"/>
        <v xml:space="preserve"> </v>
      </c>
      <c r="AN207" s="168" t="str">
        <f t="shared" si="2779"/>
        <v xml:space="preserve"> </v>
      </c>
      <c r="AO207" s="168"/>
      <c r="AP207" s="167" t="str">
        <f t="shared" si="2780"/>
        <v xml:space="preserve"> </v>
      </c>
      <c r="AQ207" s="166"/>
      <c r="AR207" s="166" t="str">
        <f t="shared" si="2781"/>
        <v xml:space="preserve"> </v>
      </c>
      <c r="AS207" s="168" t="str">
        <f t="shared" si="2782"/>
        <v xml:space="preserve"> </v>
      </c>
      <c r="AT207" s="168"/>
      <c r="AU207" s="166" t="str">
        <f t="shared" si="2783"/>
        <v xml:space="preserve"> </v>
      </c>
      <c r="AV207" s="167"/>
      <c r="AW207" s="167"/>
      <c r="AX207" s="169" t="str">
        <f t="shared" si="2784"/>
        <v xml:space="preserve"> </v>
      </c>
      <c r="AY207" s="169"/>
      <c r="AZ207" s="167" t="str">
        <f t="shared" si="2785"/>
        <v xml:space="preserve"> </v>
      </c>
      <c r="BA207" s="166"/>
      <c r="BB207" s="166"/>
      <c r="BC207" s="168" t="str">
        <f t="shared" si="2786"/>
        <v xml:space="preserve"> </v>
      </c>
      <c r="BD207" s="168"/>
      <c r="BE207" s="166" t="str">
        <f t="shared" si="2787"/>
        <v xml:space="preserve"> </v>
      </c>
      <c r="BF207" s="167"/>
      <c r="BG207" s="167"/>
      <c r="BH207" s="168" t="str">
        <f t="shared" si="2788"/>
        <v xml:space="preserve"> </v>
      </c>
      <c r="BI207" s="168"/>
      <c r="BJ207" s="167" t="str">
        <f t="shared" si="2789"/>
        <v xml:space="preserve"> </v>
      </c>
      <c r="BK207" s="166"/>
      <c r="BL207" s="166" t="str">
        <f t="shared" si="2790"/>
        <v xml:space="preserve"> </v>
      </c>
      <c r="BM207" s="168" t="str">
        <f t="shared" si="2791"/>
        <v xml:space="preserve"> </v>
      </c>
      <c r="BN207" s="168"/>
      <c r="BO207" s="166" t="str">
        <f t="shared" si="2792"/>
        <v xml:space="preserve"> </v>
      </c>
    </row>
    <row r="208" spans="2:67" ht="15" customHeight="1" x14ac:dyDescent="0.25">
      <c r="B208" s="170">
        <v>46226</v>
      </c>
      <c r="C208" s="164"/>
      <c r="D208" s="166" t="str">
        <f t="shared" si="2759"/>
        <v xml:space="preserve"> </v>
      </c>
      <c r="E208" s="168" t="str">
        <f t="shared" si="2760"/>
        <v xml:space="preserve"> </v>
      </c>
      <c r="F208" s="168"/>
      <c r="G208" s="166" t="str">
        <f t="shared" si="2761"/>
        <v xml:space="preserve"> </v>
      </c>
      <c r="H208" s="167"/>
      <c r="I208" s="167" t="str">
        <f t="shared" si="2762"/>
        <v xml:space="preserve"> </v>
      </c>
      <c r="J208" s="168" t="str">
        <f t="shared" si="2763"/>
        <v xml:space="preserve"> </v>
      </c>
      <c r="K208" s="168"/>
      <c r="L208" s="167" t="str">
        <f t="shared" si="2764"/>
        <v xml:space="preserve"> </v>
      </c>
      <c r="M208" s="166"/>
      <c r="N208" s="166" t="str">
        <f t="shared" si="2765"/>
        <v xml:space="preserve"> </v>
      </c>
      <c r="O208" s="168" t="str">
        <f t="shared" si="2766"/>
        <v xml:space="preserve"> </v>
      </c>
      <c r="P208" s="168"/>
      <c r="Q208" s="166" t="str">
        <f t="shared" si="2767"/>
        <v xml:space="preserve"> </v>
      </c>
      <c r="R208" s="167">
        <f ca="1">+BDFUENTES[[#This Row],[PZ MED m3/día]]/3.6/BDFUENTES[[#This Row],[PZ MED Horas Activo]]</f>
        <v>0</v>
      </c>
      <c r="S208" s="167" t="str">
        <f t="shared" ca="1" si="2768"/>
        <v xml:space="preserve"> </v>
      </c>
      <c r="T208" s="168" t="str">
        <f t="shared" si="2769"/>
        <v xml:space="preserve"> </v>
      </c>
      <c r="U208" s="168"/>
      <c r="V208" s="165" t="str">
        <f t="shared" si="2770"/>
        <v xml:space="preserve"> </v>
      </c>
      <c r="W208" s="164" t="str">
        <f t="shared" si="2771"/>
        <v xml:space="preserve"> </v>
      </c>
      <c r="X208" s="166"/>
      <c r="Y208" s="168" t="str">
        <f t="shared" si="2772"/>
        <v xml:space="preserve"> </v>
      </c>
      <c r="Z208" s="168"/>
      <c r="AA208" s="166" t="str">
        <f t="shared" si="2773"/>
        <v xml:space="preserve"> </v>
      </c>
      <c r="AB208" s="168" t="str">
        <f t="shared" si="2774"/>
        <v xml:space="preserve"> </v>
      </c>
      <c r="AC208" s="168"/>
      <c r="AD208" s="171" t="str">
        <f t="shared" si="2775"/>
        <v xml:space="preserve"> </v>
      </c>
      <c r="AE208" s="167"/>
      <c r="AF208" s="165" t="str">
        <f t="shared" si="2776"/>
        <v xml:space="preserve"> </v>
      </c>
      <c r="AG208" s="168"/>
      <c r="AH208" s="168"/>
      <c r="AI208" s="166"/>
      <c r="AJ208" s="166"/>
      <c r="AK208" s="166" t="str">
        <f t="shared" si="2777"/>
        <v/>
      </c>
      <c r="AL208" s="167"/>
      <c r="AM208" s="171" t="str">
        <f t="shared" si="2778"/>
        <v xml:space="preserve"> </v>
      </c>
      <c r="AN208" s="168" t="str">
        <f t="shared" si="2779"/>
        <v xml:space="preserve"> </v>
      </c>
      <c r="AO208" s="168"/>
      <c r="AP208" s="167" t="str">
        <f t="shared" si="2780"/>
        <v xml:space="preserve"> </v>
      </c>
      <c r="AQ208" s="166"/>
      <c r="AR208" s="166" t="str">
        <f t="shared" si="2781"/>
        <v xml:space="preserve"> </v>
      </c>
      <c r="AS208" s="168" t="str">
        <f t="shared" si="2782"/>
        <v xml:space="preserve"> </v>
      </c>
      <c r="AT208" s="168"/>
      <c r="AU208" s="166" t="str">
        <f t="shared" si="2783"/>
        <v xml:space="preserve"> </v>
      </c>
      <c r="AV208" s="167"/>
      <c r="AW208" s="167"/>
      <c r="AX208" s="169" t="str">
        <f t="shared" si="2784"/>
        <v xml:space="preserve"> </v>
      </c>
      <c r="AY208" s="169"/>
      <c r="AZ208" s="167" t="str">
        <f t="shared" si="2785"/>
        <v xml:space="preserve"> </v>
      </c>
      <c r="BA208" s="166"/>
      <c r="BB208" s="166"/>
      <c r="BC208" s="168" t="str">
        <f t="shared" si="2786"/>
        <v xml:space="preserve"> </v>
      </c>
      <c r="BD208" s="168"/>
      <c r="BE208" s="166" t="str">
        <f t="shared" si="2787"/>
        <v xml:space="preserve"> </v>
      </c>
      <c r="BF208" s="167"/>
      <c r="BG208" s="167"/>
      <c r="BH208" s="168" t="str">
        <f t="shared" si="2788"/>
        <v xml:space="preserve"> </v>
      </c>
      <c r="BI208" s="168"/>
      <c r="BJ208" s="167" t="str">
        <f t="shared" si="2789"/>
        <v xml:space="preserve"> </v>
      </c>
      <c r="BK208" s="166"/>
      <c r="BL208" s="166" t="str">
        <f t="shared" si="2790"/>
        <v xml:space="preserve"> </v>
      </c>
      <c r="BM208" s="168" t="str">
        <f t="shared" si="2791"/>
        <v xml:space="preserve"> </v>
      </c>
      <c r="BN208" s="168"/>
      <c r="BO208" s="166" t="str">
        <f t="shared" si="2792"/>
        <v xml:space="preserve"> </v>
      </c>
    </row>
    <row r="209" spans="2:67" ht="15" customHeight="1" x14ac:dyDescent="0.25">
      <c r="B209" s="170">
        <v>46227</v>
      </c>
      <c r="C209" s="164"/>
      <c r="D209" s="166" t="str">
        <f t="shared" si="2759"/>
        <v xml:space="preserve"> </v>
      </c>
      <c r="E209" s="168" t="str">
        <f t="shared" si="2760"/>
        <v xml:space="preserve"> </v>
      </c>
      <c r="F209" s="168"/>
      <c r="G209" s="166" t="str">
        <f t="shared" si="2761"/>
        <v xml:space="preserve"> </v>
      </c>
      <c r="H209" s="167"/>
      <c r="I209" s="167" t="str">
        <f t="shared" si="2762"/>
        <v xml:space="preserve"> </v>
      </c>
      <c r="J209" s="168" t="str">
        <f t="shared" si="2763"/>
        <v xml:space="preserve"> </v>
      </c>
      <c r="K209" s="168"/>
      <c r="L209" s="167" t="str">
        <f t="shared" si="2764"/>
        <v xml:space="preserve"> </v>
      </c>
      <c r="M209" s="166"/>
      <c r="N209" s="166" t="str">
        <f t="shared" si="2765"/>
        <v xml:space="preserve"> </v>
      </c>
      <c r="O209" s="168" t="str">
        <f t="shared" si="2766"/>
        <v xml:space="preserve"> </v>
      </c>
      <c r="P209" s="168"/>
      <c r="Q209" s="166" t="str">
        <f t="shared" si="2767"/>
        <v xml:space="preserve"> </v>
      </c>
      <c r="R209" s="167">
        <f ca="1">+BDFUENTES[[#This Row],[PZ MED m3/día]]/3.6/BDFUENTES[[#This Row],[PZ MED Horas Activo]]</f>
        <v>0</v>
      </c>
      <c r="S209" s="167" t="str">
        <f t="shared" ca="1" si="2768"/>
        <v xml:space="preserve"> </v>
      </c>
      <c r="T209" s="168" t="str">
        <f t="shared" si="2769"/>
        <v xml:space="preserve"> </v>
      </c>
      <c r="U209" s="168"/>
      <c r="V209" s="165" t="str">
        <f t="shared" si="2770"/>
        <v xml:space="preserve"> </v>
      </c>
      <c r="W209" s="164" t="str">
        <f t="shared" si="2771"/>
        <v xml:space="preserve"> </v>
      </c>
      <c r="X209" s="166"/>
      <c r="Y209" s="168" t="str">
        <f t="shared" si="2772"/>
        <v xml:space="preserve"> </v>
      </c>
      <c r="Z209" s="168"/>
      <c r="AA209" s="166" t="str">
        <f t="shared" si="2773"/>
        <v xml:space="preserve"> </v>
      </c>
      <c r="AB209" s="168" t="str">
        <f t="shared" si="2774"/>
        <v xml:space="preserve"> </v>
      </c>
      <c r="AC209" s="168"/>
      <c r="AD209" s="171" t="str">
        <f t="shared" si="2775"/>
        <v xml:space="preserve"> </v>
      </c>
      <c r="AE209" s="167"/>
      <c r="AF209" s="165" t="str">
        <f t="shared" si="2776"/>
        <v xml:space="preserve"> </v>
      </c>
      <c r="AG209" s="168"/>
      <c r="AH209" s="168"/>
      <c r="AI209" s="166"/>
      <c r="AJ209" s="166"/>
      <c r="AK209" s="166" t="str">
        <f t="shared" si="2777"/>
        <v/>
      </c>
      <c r="AL209" s="167"/>
      <c r="AM209" s="171" t="str">
        <f t="shared" si="2778"/>
        <v xml:space="preserve"> </v>
      </c>
      <c r="AN209" s="168" t="str">
        <f t="shared" si="2779"/>
        <v xml:space="preserve"> </v>
      </c>
      <c r="AO209" s="168"/>
      <c r="AP209" s="167" t="str">
        <f t="shared" si="2780"/>
        <v xml:space="preserve"> </v>
      </c>
      <c r="AQ209" s="166"/>
      <c r="AR209" s="166" t="str">
        <f t="shared" si="2781"/>
        <v xml:space="preserve"> </v>
      </c>
      <c r="AS209" s="168" t="str">
        <f t="shared" si="2782"/>
        <v xml:space="preserve"> </v>
      </c>
      <c r="AT209" s="168"/>
      <c r="AU209" s="166" t="str">
        <f t="shared" si="2783"/>
        <v xml:space="preserve"> </v>
      </c>
      <c r="AV209" s="167"/>
      <c r="AW209" s="167"/>
      <c r="AX209" s="169" t="str">
        <f t="shared" si="2784"/>
        <v xml:space="preserve"> </v>
      </c>
      <c r="AY209" s="169"/>
      <c r="AZ209" s="167" t="str">
        <f t="shared" si="2785"/>
        <v xml:space="preserve"> </v>
      </c>
      <c r="BA209" s="166"/>
      <c r="BB209" s="166"/>
      <c r="BC209" s="168" t="str">
        <f t="shared" si="2786"/>
        <v xml:space="preserve"> </v>
      </c>
      <c r="BD209" s="168"/>
      <c r="BE209" s="166" t="str">
        <f t="shared" si="2787"/>
        <v xml:space="preserve"> </v>
      </c>
      <c r="BF209" s="167"/>
      <c r="BG209" s="167"/>
      <c r="BH209" s="168" t="str">
        <f t="shared" si="2788"/>
        <v xml:space="preserve"> </v>
      </c>
      <c r="BI209" s="168"/>
      <c r="BJ209" s="167" t="str">
        <f t="shared" si="2789"/>
        <v xml:space="preserve"> </v>
      </c>
      <c r="BK209" s="166"/>
      <c r="BL209" s="166" t="str">
        <f t="shared" si="2790"/>
        <v xml:space="preserve"> </v>
      </c>
      <c r="BM209" s="168" t="str">
        <f t="shared" si="2791"/>
        <v xml:space="preserve"> </v>
      </c>
      <c r="BN209" s="168"/>
      <c r="BO209" s="166" t="str">
        <f t="shared" si="2792"/>
        <v xml:space="preserve"> </v>
      </c>
    </row>
    <row r="210" spans="2:67" ht="15" customHeight="1" x14ac:dyDescent="0.25">
      <c r="B210" s="170">
        <v>46228</v>
      </c>
      <c r="C210" s="164"/>
      <c r="D210" s="166" t="str">
        <f t="shared" si="2759"/>
        <v xml:space="preserve"> </v>
      </c>
      <c r="E210" s="168" t="str">
        <f t="shared" si="2760"/>
        <v xml:space="preserve"> </v>
      </c>
      <c r="F210" s="168"/>
      <c r="G210" s="166" t="str">
        <f t="shared" si="2761"/>
        <v xml:space="preserve"> </v>
      </c>
      <c r="H210" s="167"/>
      <c r="I210" s="167" t="str">
        <f t="shared" si="2762"/>
        <v xml:space="preserve"> </v>
      </c>
      <c r="J210" s="168" t="str">
        <f t="shared" si="2763"/>
        <v xml:space="preserve"> </v>
      </c>
      <c r="K210" s="168"/>
      <c r="L210" s="167" t="str">
        <f t="shared" si="2764"/>
        <v xml:space="preserve"> </v>
      </c>
      <c r="M210" s="166"/>
      <c r="N210" s="166" t="str">
        <f t="shared" si="2765"/>
        <v xml:space="preserve"> </v>
      </c>
      <c r="O210" s="168" t="str">
        <f t="shared" si="2766"/>
        <v xml:space="preserve"> </v>
      </c>
      <c r="P210" s="168"/>
      <c r="Q210" s="166" t="str">
        <f t="shared" si="2767"/>
        <v xml:space="preserve"> </v>
      </c>
      <c r="R210" s="167">
        <f ca="1">+BDFUENTES[[#This Row],[PZ MED m3/día]]/3.6/BDFUENTES[[#This Row],[PZ MED Horas Activo]]</f>
        <v>0</v>
      </c>
      <c r="S210" s="167" t="str">
        <f t="shared" ca="1" si="2768"/>
        <v xml:space="preserve"> </v>
      </c>
      <c r="T210" s="168" t="str">
        <f t="shared" si="2769"/>
        <v xml:space="preserve"> </v>
      </c>
      <c r="U210" s="168"/>
      <c r="V210" s="165" t="str">
        <f t="shared" si="2770"/>
        <v xml:space="preserve"> </v>
      </c>
      <c r="W210" s="164" t="str">
        <f t="shared" si="2771"/>
        <v xml:space="preserve"> </v>
      </c>
      <c r="X210" s="166"/>
      <c r="Y210" s="168" t="str">
        <f t="shared" si="2772"/>
        <v xml:space="preserve"> </v>
      </c>
      <c r="Z210" s="168"/>
      <c r="AA210" s="166" t="str">
        <f t="shared" si="2773"/>
        <v xml:space="preserve"> </v>
      </c>
      <c r="AB210" s="168" t="str">
        <f t="shared" si="2774"/>
        <v xml:space="preserve"> </v>
      </c>
      <c r="AC210" s="168"/>
      <c r="AD210" s="171" t="str">
        <f t="shared" si="2775"/>
        <v xml:space="preserve"> </v>
      </c>
      <c r="AE210" s="167"/>
      <c r="AF210" s="165" t="str">
        <f t="shared" si="2776"/>
        <v xml:space="preserve"> </v>
      </c>
      <c r="AG210" s="168"/>
      <c r="AH210" s="168"/>
      <c r="AI210" s="166"/>
      <c r="AJ210" s="166"/>
      <c r="AK210" s="166" t="str">
        <f t="shared" si="2777"/>
        <v/>
      </c>
      <c r="AL210" s="167"/>
      <c r="AM210" s="171" t="str">
        <f t="shared" si="2778"/>
        <v xml:space="preserve"> </v>
      </c>
      <c r="AN210" s="168" t="str">
        <f t="shared" si="2779"/>
        <v xml:space="preserve"> </v>
      </c>
      <c r="AO210" s="168"/>
      <c r="AP210" s="167" t="str">
        <f t="shared" si="2780"/>
        <v xml:space="preserve"> </v>
      </c>
      <c r="AQ210" s="166"/>
      <c r="AR210" s="166" t="str">
        <f t="shared" si="2781"/>
        <v xml:space="preserve"> </v>
      </c>
      <c r="AS210" s="168" t="str">
        <f t="shared" si="2782"/>
        <v xml:space="preserve"> </v>
      </c>
      <c r="AT210" s="168"/>
      <c r="AU210" s="166" t="str">
        <f t="shared" si="2783"/>
        <v xml:space="preserve"> </v>
      </c>
      <c r="AV210" s="167"/>
      <c r="AW210" s="167"/>
      <c r="AX210" s="169" t="str">
        <f t="shared" si="2784"/>
        <v xml:space="preserve"> </v>
      </c>
      <c r="AY210" s="169"/>
      <c r="AZ210" s="167" t="str">
        <f t="shared" si="2785"/>
        <v xml:space="preserve"> </v>
      </c>
      <c r="BA210" s="166"/>
      <c r="BB210" s="166"/>
      <c r="BC210" s="168" t="str">
        <f t="shared" si="2786"/>
        <v xml:space="preserve"> </v>
      </c>
      <c r="BD210" s="168"/>
      <c r="BE210" s="166" t="str">
        <f t="shared" si="2787"/>
        <v xml:space="preserve"> </v>
      </c>
      <c r="BF210" s="167"/>
      <c r="BG210" s="167"/>
      <c r="BH210" s="168" t="str">
        <f t="shared" si="2788"/>
        <v xml:space="preserve"> </v>
      </c>
      <c r="BI210" s="168"/>
      <c r="BJ210" s="167" t="str">
        <f t="shared" si="2789"/>
        <v xml:space="preserve"> </v>
      </c>
      <c r="BK210" s="166"/>
      <c r="BL210" s="166" t="str">
        <f t="shared" si="2790"/>
        <v xml:space="preserve"> </v>
      </c>
      <c r="BM210" s="168" t="str">
        <f t="shared" si="2791"/>
        <v xml:space="preserve"> </v>
      </c>
      <c r="BN210" s="168"/>
      <c r="BO210" s="166" t="str">
        <f t="shared" si="2792"/>
        <v xml:space="preserve"> </v>
      </c>
    </row>
    <row r="211" spans="2:67" ht="15" customHeight="1" x14ac:dyDescent="0.25">
      <c r="B211" s="170">
        <v>46229</v>
      </c>
      <c r="C211" s="164"/>
      <c r="D211" s="166" t="str">
        <f t="shared" si="2759"/>
        <v xml:space="preserve"> </v>
      </c>
      <c r="E211" s="168" t="str">
        <f t="shared" si="2760"/>
        <v xml:space="preserve"> </v>
      </c>
      <c r="F211" s="168"/>
      <c r="G211" s="166" t="str">
        <f t="shared" si="2761"/>
        <v xml:space="preserve"> </v>
      </c>
      <c r="H211" s="167"/>
      <c r="I211" s="167" t="str">
        <f t="shared" si="2762"/>
        <v xml:space="preserve"> </v>
      </c>
      <c r="J211" s="168" t="str">
        <f t="shared" si="2763"/>
        <v xml:space="preserve"> </v>
      </c>
      <c r="K211" s="168"/>
      <c r="L211" s="167" t="str">
        <f t="shared" si="2764"/>
        <v xml:space="preserve"> </v>
      </c>
      <c r="M211" s="166"/>
      <c r="N211" s="166" t="str">
        <f t="shared" si="2765"/>
        <v xml:space="preserve"> </v>
      </c>
      <c r="O211" s="168" t="str">
        <f t="shared" si="2766"/>
        <v xml:space="preserve"> </v>
      </c>
      <c r="P211" s="168"/>
      <c r="Q211" s="166" t="str">
        <f t="shared" si="2767"/>
        <v xml:space="preserve"> </v>
      </c>
      <c r="R211" s="167">
        <f ca="1">+BDFUENTES[[#This Row],[PZ MED m3/día]]/3.6/BDFUENTES[[#This Row],[PZ MED Horas Activo]]</f>
        <v>0</v>
      </c>
      <c r="S211" s="167" t="str">
        <f t="shared" ca="1" si="2768"/>
        <v xml:space="preserve"> </v>
      </c>
      <c r="T211" s="168" t="str">
        <f t="shared" si="2769"/>
        <v xml:space="preserve"> </v>
      </c>
      <c r="U211" s="168"/>
      <c r="V211" s="165" t="str">
        <f t="shared" si="2770"/>
        <v xml:space="preserve"> </v>
      </c>
      <c r="W211" s="164" t="str">
        <f t="shared" si="2771"/>
        <v xml:space="preserve"> </v>
      </c>
      <c r="X211" s="166"/>
      <c r="Y211" s="168" t="str">
        <f t="shared" si="2772"/>
        <v xml:space="preserve"> </v>
      </c>
      <c r="Z211" s="168"/>
      <c r="AA211" s="166" t="str">
        <f t="shared" si="2773"/>
        <v xml:space="preserve"> </v>
      </c>
      <c r="AB211" s="168" t="str">
        <f t="shared" si="2774"/>
        <v xml:space="preserve"> </v>
      </c>
      <c r="AC211" s="168"/>
      <c r="AD211" s="171" t="str">
        <f t="shared" si="2775"/>
        <v xml:space="preserve"> </v>
      </c>
      <c r="AE211" s="167"/>
      <c r="AF211" s="165" t="str">
        <f t="shared" si="2776"/>
        <v xml:space="preserve"> </v>
      </c>
      <c r="AG211" s="168"/>
      <c r="AH211" s="168"/>
      <c r="AI211" s="166"/>
      <c r="AJ211" s="166"/>
      <c r="AK211" s="166" t="str">
        <f t="shared" si="2777"/>
        <v/>
      </c>
      <c r="AL211" s="167"/>
      <c r="AM211" s="171" t="str">
        <f t="shared" si="2778"/>
        <v xml:space="preserve"> </v>
      </c>
      <c r="AN211" s="168" t="str">
        <f t="shared" si="2779"/>
        <v xml:space="preserve"> </v>
      </c>
      <c r="AO211" s="168"/>
      <c r="AP211" s="167" t="str">
        <f t="shared" si="2780"/>
        <v xml:space="preserve"> </v>
      </c>
      <c r="AQ211" s="166"/>
      <c r="AR211" s="166" t="str">
        <f t="shared" si="2781"/>
        <v xml:space="preserve"> </v>
      </c>
      <c r="AS211" s="168" t="str">
        <f t="shared" si="2782"/>
        <v xml:space="preserve"> </v>
      </c>
      <c r="AT211" s="168"/>
      <c r="AU211" s="166" t="str">
        <f t="shared" si="2783"/>
        <v xml:space="preserve"> </v>
      </c>
      <c r="AV211" s="167"/>
      <c r="AW211" s="167"/>
      <c r="AX211" s="169" t="str">
        <f t="shared" si="2784"/>
        <v xml:space="preserve"> </v>
      </c>
      <c r="AY211" s="169"/>
      <c r="AZ211" s="167" t="str">
        <f t="shared" si="2785"/>
        <v xml:space="preserve"> </v>
      </c>
      <c r="BA211" s="166"/>
      <c r="BB211" s="166"/>
      <c r="BC211" s="168" t="str">
        <f t="shared" si="2786"/>
        <v xml:space="preserve"> </v>
      </c>
      <c r="BD211" s="168"/>
      <c r="BE211" s="166" t="str">
        <f t="shared" si="2787"/>
        <v xml:space="preserve"> </v>
      </c>
      <c r="BF211" s="167"/>
      <c r="BG211" s="167"/>
      <c r="BH211" s="168" t="str">
        <f t="shared" si="2788"/>
        <v xml:space="preserve"> </v>
      </c>
      <c r="BI211" s="168"/>
      <c r="BJ211" s="167" t="str">
        <f t="shared" si="2789"/>
        <v xml:space="preserve"> </v>
      </c>
      <c r="BK211" s="166"/>
      <c r="BL211" s="166" t="str">
        <f t="shared" si="2790"/>
        <v xml:space="preserve"> </v>
      </c>
      <c r="BM211" s="168" t="str">
        <f t="shared" si="2791"/>
        <v xml:space="preserve"> </v>
      </c>
      <c r="BN211" s="168"/>
      <c r="BO211" s="166" t="str">
        <f t="shared" si="2792"/>
        <v xml:space="preserve"> </v>
      </c>
    </row>
    <row r="212" spans="2:67" ht="15" customHeight="1" x14ac:dyDescent="0.25">
      <c r="B212" s="170">
        <v>46230</v>
      </c>
      <c r="C212" s="164"/>
      <c r="D212" s="166" t="str">
        <f t="shared" si="2759"/>
        <v xml:space="preserve"> </v>
      </c>
      <c r="E212" s="168" t="str">
        <f t="shared" si="2760"/>
        <v xml:space="preserve"> </v>
      </c>
      <c r="F212" s="168"/>
      <c r="G212" s="166" t="str">
        <f t="shared" si="2761"/>
        <v xml:space="preserve"> </v>
      </c>
      <c r="H212" s="167"/>
      <c r="I212" s="167" t="str">
        <f t="shared" si="2762"/>
        <v xml:space="preserve"> </v>
      </c>
      <c r="J212" s="168" t="str">
        <f t="shared" si="2763"/>
        <v xml:space="preserve"> </v>
      </c>
      <c r="K212" s="168"/>
      <c r="L212" s="167" t="str">
        <f t="shared" si="2764"/>
        <v xml:space="preserve"> </v>
      </c>
      <c r="M212" s="166"/>
      <c r="N212" s="166" t="str">
        <f t="shared" si="2765"/>
        <v xml:space="preserve"> </v>
      </c>
      <c r="O212" s="168" t="str">
        <f t="shared" si="2766"/>
        <v xml:space="preserve"> </v>
      </c>
      <c r="P212" s="168"/>
      <c r="Q212" s="166" t="str">
        <f t="shared" si="2767"/>
        <v xml:space="preserve"> </v>
      </c>
      <c r="R212" s="167">
        <f ca="1">+BDFUENTES[[#This Row],[PZ MED m3/día]]/3.6/BDFUENTES[[#This Row],[PZ MED Horas Activo]]</f>
        <v>0</v>
      </c>
      <c r="S212" s="167" t="str">
        <f t="shared" ca="1" si="2768"/>
        <v xml:space="preserve"> </v>
      </c>
      <c r="T212" s="168" t="str">
        <f t="shared" si="2769"/>
        <v xml:space="preserve"> </v>
      </c>
      <c r="U212" s="168"/>
      <c r="V212" s="165" t="str">
        <f t="shared" si="2770"/>
        <v xml:space="preserve"> </v>
      </c>
      <c r="W212" s="164" t="str">
        <f t="shared" si="2771"/>
        <v xml:space="preserve"> </v>
      </c>
      <c r="X212" s="166"/>
      <c r="Y212" s="168" t="str">
        <f t="shared" si="2772"/>
        <v xml:space="preserve"> </v>
      </c>
      <c r="Z212" s="168"/>
      <c r="AA212" s="166" t="str">
        <f t="shared" si="2773"/>
        <v xml:space="preserve"> </v>
      </c>
      <c r="AB212" s="168" t="str">
        <f t="shared" si="2774"/>
        <v xml:space="preserve"> </v>
      </c>
      <c r="AC212" s="168"/>
      <c r="AD212" s="171" t="str">
        <f t="shared" si="2775"/>
        <v xml:space="preserve"> </v>
      </c>
      <c r="AE212" s="167"/>
      <c r="AF212" s="165" t="str">
        <f t="shared" si="2776"/>
        <v xml:space="preserve"> </v>
      </c>
      <c r="AG212" s="168"/>
      <c r="AH212" s="168"/>
      <c r="AI212" s="166"/>
      <c r="AJ212" s="166"/>
      <c r="AK212" s="166" t="str">
        <f t="shared" si="2777"/>
        <v/>
      </c>
      <c r="AL212" s="167"/>
      <c r="AM212" s="171" t="str">
        <f t="shared" si="2778"/>
        <v xml:space="preserve"> </v>
      </c>
      <c r="AN212" s="168" t="str">
        <f t="shared" si="2779"/>
        <v xml:space="preserve"> </v>
      </c>
      <c r="AO212" s="168"/>
      <c r="AP212" s="167" t="str">
        <f t="shared" si="2780"/>
        <v xml:space="preserve"> </v>
      </c>
      <c r="AQ212" s="166"/>
      <c r="AR212" s="166" t="str">
        <f t="shared" si="2781"/>
        <v xml:space="preserve"> </v>
      </c>
      <c r="AS212" s="168" t="str">
        <f t="shared" si="2782"/>
        <v xml:space="preserve"> </v>
      </c>
      <c r="AT212" s="168"/>
      <c r="AU212" s="166" t="str">
        <f t="shared" si="2783"/>
        <v xml:space="preserve"> </v>
      </c>
      <c r="AV212" s="167"/>
      <c r="AW212" s="167"/>
      <c r="AX212" s="169" t="str">
        <f t="shared" si="2784"/>
        <v xml:space="preserve"> </v>
      </c>
      <c r="AY212" s="169"/>
      <c r="AZ212" s="167" t="str">
        <f t="shared" si="2785"/>
        <v xml:space="preserve"> </v>
      </c>
      <c r="BA212" s="166"/>
      <c r="BB212" s="166"/>
      <c r="BC212" s="168" t="str">
        <f t="shared" si="2786"/>
        <v xml:space="preserve"> </v>
      </c>
      <c r="BD212" s="168"/>
      <c r="BE212" s="166" t="str">
        <f t="shared" si="2787"/>
        <v xml:space="preserve"> </v>
      </c>
      <c r="BF212" s="167"/>
      <c r="BG212" s="167"/>
      <c r="BH212" s="168" t="str">
        <f t="shared" si="2788"/>
        <v xml:space="preserve"> </v>
      </c>
      <c r="BI212" s="168"/>
      <c r="BJ212" s="167" t="str">
        <f t="shared" si="2789"/>
        <v xml:space="preserve"> </v>
      </c>
      <c r="BK212" s="166"/>
      <c r="BL212" s="166" t="str">
        <f t="shared" si="2790"/>
        <v xml:space="preserve"> </v>
      </c>
      <c r="BM212" s="168" t="str">
        <f t="shared" si="2791"/>
        <v xml:space="preserve"> </v>
      </c>
      <c r="BN212" s="168"/>
      <c r="BO212" s="166" t="str">
        <f t="shared" si="2792"/>
        <v xml:space="preserve"> </v>
      </c>
    </row>
    <row r="213" spans="2:67" ht="15" customHeight="1" x14ac:dyDescent="0.25">
      <c r="B213" s="170">
        <v>46231</v>
      </c>
      <c r="C213" s="164"/>
      <c r="D213" s="166" t="str">
        <f t="shared" si="2759"/>
        <v xml:space="preserve"> </v>
      </c>
      <c r="E213" s="168" t="str">
        <f t="shared" si="2760"/>
        <v xml:space="preserve"> </v>
      </c>
      <c r="F213" s="168"/>
      <c r="G213" s="166" t="str">
        <f t="shared" si="2761"/>
        <v xml:space="preserve"> </v>
      </c>
      <c r="H213" s="167"/>
      <c r="I213" s="167" t="str">
        <f t="shared" si="2762"/>
        <v xml:space="preserve"> </v>
      </c>
      <c r="J213" s="168" t="str">
        <f t="shared" si="2763"/>
        <v xml:space="preserve"> </v>
      </c>
      <c r="K213" s="168"/>
      <c r="L213" s="167" t="str">
        <f t="shared" si="2764"/>
        <v xml:space="preserve"> </v>
      </c>
      <c r="M213" s="166"/>
      <c r="N213" s="166" t="str">
        <f t="shared" si="2765"/>
        <v xml:space="preserve"> </v>
      </c>
      <c r="O213" s="168" t="str">
        <f t="shared" si="2766"/>
        <v xml:space="preserve"> </v>
      </c>
      <c r="P213" s="168"/>
      <c r="Q213" s="166" t="str">
        <f t="shared" si="2767"/>
        <v xml:space="preserve"> </v>
      </c>
      <c r="R213" s="167">
        <f ca="1">+BDFUENTES[[#This Row],[PZ MED m3/día]]/3.6/BDFUENTES[[#This Row],[PZ MED Horas Activo]]</f>
        <v>0</v>
      </c>
      <c r="S213" s="167" t="str">
        <f t="shared" ca="1" si="2768"/>
        <v xml:space="preserve"> </v>
      </c>
      <c r="T213" s="168" t="str">
        <f t="shared" si="2769"/>
        <v xml:space="preserve"> </v>
      </c>
      <c r="U213" s="168"/>
      <c r="V213" s="165" t="str">
        <f t="shared" si="2770"/>
        <v xml:space="preserve"> </v>
      </c>
      <c r="W213" s="164" t="str">
        <f t="shared" si="2771"/>
        <v xml:space="preserve"> </v>
      </c>
      <c r="X213" s="166"/>
      <c r="Y213" s="168" t="str">
        <f t="shared" si="2772"/>
        <v xml:space="preserve"> </v>
      </c>
      <c r="Z213" s="168"/>
      <c r="AA213" s="166" t="str">
        <f t="shared" si="2773"/>
        <v xml:space="preserve"> </v>
      </c>
      <c r="AB213" s="168" t="str">
        <f t="shared" si="2774"/>
        <v xml:space="preserve"> </v>
      </c>
      <c r="AC213" s="168"/>
      <c r="AD213" s="171" t="str">
        <f t="shared" si="2775"/>
        <v xml:space="preserve"> </v>
      </c>
      <c r="AE213" s="167"/>
      <c r="AF213" s="165" t="str">
        <f t="shared" si="2776"/>
        <v xml:space="preserve"> </v>
      </c>
      <c r="AG213" s="168"/>
      <c r="AH213" s="168"/>
      <c r="AI213" s="166"/>
      <c r="AJ213" s="166"/>
      <c r="AK213" s="166" t="str">
        <f t="shared" si="2777"/>
        <v/>
      </c>
      <c r="AL213" s="167"/>
      <c r="AM213" s="171" t="str">
        <f t="shared" si="2778"/>
        <v xml:space="preserve"> </v>
      </c>
      <c r="AN213" s="168" t="str">
        <f t="shared" si="2779"/>
        <v xml:space="preserve"> </v>
      </c>
      <c r="AO213" s="168"/>
      <c r="AP213" s="167" t="str">
        <f t="shared" si="2780"/>
        <v xml:space="preserve"> </v>
      </c>
      <c r="AQ213" s="166"/>
      <c r="AR213" s="166" t="str">
        <f t="shared" si="2781"/>
        <v xml:space="preserve"> </v>
      </c>
      <c r="AS213" s="168" t="str">
        <f t="shared" si="2782"/>
        <v xml:space="preserve"> </v>
      </c>
      <c r="AT213" s="168"/>
      <c r="AU213" s="166" t="str">
        <f t="shared" si="2783"/>
        <v xml:space="preserve"> </v>
      </c>
      <c r="AV213" s="167"/>
      <c r="AW213" s="167"/>
      <c r="AX213" s="169" t="str">
        <f t="shared" si="2784"/>
        <v xml:space="preserve"> </v>
      </c>
      <c r="AY213" s="169"/>
      <c r="AZ213" s="167" t="str">
        <f t="shared" si="2785"/>
        <v xml:space="preserve"> </v>
      </c>
      <c r="BA213" s="166"/>
      <c r="BB213" s="166"/>
      <c r="BC213" s="168" t="str">
        <f t="shared" si="2786"/>
        <v xml:space="preserve"> </v>
      </c>
      <c r="BD213" s="168"/>
      <c r="BE213" s="166" t="str">
        <f t="shared" si="2787"/>
        <v xml:space="preserve"> </v>
      </c>
      <c r="BF213" s="167"/>
      <c r="BG213" s="167"/>
      <c r="BH213" s="168" t="str">
        <f t="shared" si="2788"/>
        <v xml:space="preserve"> </v>
      </c>
      <c r="BI213" s="168"/>
      <c r="BJ213" s="167" t="str">
        <f t="shared" si="2789"/>
        <v xml:space="preserve"> </v>
      </c>
      <c r="BK213" s="166"/>
      <c r="BL213" s="166" t="str">
        <f t="shared" si="2790"/>
        <v xml:space="preserve"> </v>
      </c>
      <c r="BM213" s="168" t="str">
        <f t="shared" si="2791"/>
        <v xml:space="preserve"> </v>
      </c>
      <c r="BN213" s="168"/>
      <c r="BO213" s="166" t="str">
        <f t="shared" si="2792"/>
        <v xml:space="preserve"> </v>
      </c>
    </row>
    <row r="214" spans="2:67" ht="15" customHeight="1" x14ac:dyDescent="0.25">
      <c r="B214" s="170">
        <v>46232</v>
      </c>
      <c r="C214" s="164"/>
      <c r="D214" s="166" t="str">
        <f t="shared" si="2759"/>
        <v xml:space="preserve"> </v>
      </c>
      <c r="E214" s="168" t="str">
        <f t="shared" si="2760"/>
        <v xml:space="preserve"> </v>
      </c>
      <c r="F214" s="168"/>
      <c r="G214" s="166" t="str">
        <f t="shared" si="2761"/>
        <v xml:space="preserve"> </v>
      </c>
      <c r="H214" s="167"/>
      <c r="I214" s="167" t="str">
        <f t="shared" si="2762"/>
        <v xml:space="preserve"> </v>
      </c>
      <c r="J214" s="168" t="str">
        <f t="shared" si="2763"/>
        <v xml:space="preserve"> </v>
      </c>
      <c r="K214" s="168"/>
      <c r="L214" s="167" t="str">
        <f t="shared" si="2764"/>
        <v xml:space="preserve"> </v>
      </c>
      <c r="M214" s="166"/>
      <c r="N214" s="166" t="str">
        <f t="shared" si="2765"/>
        <v xml:space="preserve"> </v>
      </c>
      <c r="O214" s="168" t="str">
        <f t="shared" si="2766"/>
        <v xml:space="preserve"> </v>
      </c>
      <c r="P214" s="168"/>
      <c r="Q214" s="166" t="str">
        <f t="shared" si="2767"/>
        <v xml:space="preserve"> </v>
      </c>
      <c r="R214" s="167">
        <f ca="1">+BDFUENTES[[#This Row],[PZ MED m3/día]]/3.6/BDFUENTES[[#This Row],[PZ MED Horas Activo]]</f>
        <v>0</v>
      </c>
      <c r="S214" s="167" t="str">
        <f t="shared" ca="1" si="2768"/>
        <v xml:space="preserve"> </v>
      </c>
      <c r="T214" s="168" t="str">
        <f t="shared" si="2769"/>
        <v xml:space="preserve"> </v>
      </c>
      <c r="U214" s="168"/>
      <c r="V214" s="165" t="str">
        <f t="shared" si="2770"/>
        <v xml:space="preserve"> </v>
      </c>
      <c r="W214" s="164" t="str">
        <f t="shared" si="2771"/>
        <v xml:space="preserve"> </v>
      </c>
      <c r="X214" s="166"/>
      <c r="Y214" s="168" t="str">
        <f t="shared" si="2772"/>
        <v xml:space="preserve"> </v>
      </c>
      <c r="Z214" s="168"/>
      <c r="AA214" s="166" t="str">
        <f t="shared" si="2773"/>
        <v xml:space="preserve"> </v>
      </c>
      <c r="AB214" s="168" t="str">
        <f t="shared" si="2774"/>
        <v xml:space="preserve"> </v>
      </c>
      <c r="AC214" s="168"/>
      <c r="AD214" s="171" t="str">
        <f t="shared" si="2775"/>
        <v xml:space="preserve"> </v>
      </c>
      <c r="AE214" s="167"/>
      <c r="AF214" s="165" t="str">
        <f t="shared" si="2776"/>
        <v xml:space="preserve"> </v>
      </c>
      <c r="AG214" s="168"/>
      <c r="AH214" s="168"/>
      <c r="AI214" s="166"/>
      <c r="AJ214" s="166"/>
      <c r="AK214" s="166" t="str">
        <f t="shared" si="2777"/>
        <v/>
      </c>
      <c r="AL214" s="167"/>
      <c r="AM214" s="171" t="str">
        <f t="shared" si="2778"/>
        <v xml:space="preserve"> </v>
      </c>
      <c r="AN214" s="168" t="str">
        <f t="shared" si="2779"/>
        <v xml:space="preserve"> </v>
      </c>
      <c r="AO214" s="168"/>
      <c r="AP214" s="167" t="str">
        <f t="shared" si="2780"/>
        <v xml:space="preserve"> </v>
      </c>
      <c r="AQ214" s="166"/>
      <c r="AR214" s="166" t="str">
        <f t="shared" si="2781"/>
        <v xml:space="preserve"> </v>
      </c>
      <c r="AS214" s="168" t="str">
        <f t="shared" si="2782"/>
        <v xml:space="preserve"> </v>
      </c>
      <c r="AT214" s="168"/>
      <c r="AU214" s="166" t="str">
        <f t="shared" si="2783"/>
        <v xml:space="preserve"> </v>
      </c>
      <c r="AV214" s="167"/>
      <c r="AW214" s="167"/>
      <c r="AX214" s="169" t="str">
        <f t="shared" si="2784"/>
        <v xml:space="preserve"> </v>
      </c>
      <c r="AY214" s="169"/>
      <c r="AZ214" s="167" t="str">
        <f t="shared" si="2785"/>
        <v xml:space="preserve"> </v>
      </c>
      <c r="BA214" s="166"/>
      <c r="BB214" s="166"/>
      <c r="BC214" s="168" t="str">
        <f t="shared" si="2786"/>
        <v xml:space="preserve"> </v>
      </c>
      <c r="BD214" s="168"/>
      <c r="BE214" s="166" t="str">
        <f t="shared" si="2787"/>
        <v xml:space="preserve"> </v>
      </c>
      <c r="BF214" s="167"/>
      <c r="BG214" s="167"/>
      <c r="BH214" s="168" t="str">
        <f t="shared" si="2788"/>
        <v xml:space="preserve"> </v>
      </c>
      <c r="BI214" s="168"/>
      <c r="BJ214" s="167" t="str">
        <f t="shared" si="2789"/>
        <v xml:space="preserve"> </v>
      </c>
      <c r="BK214" s="166"/>
      <c r="BL214" s="166" t="str">
        <f t="shared" si="2790"/>
        <v xml:space="preserve"> </v>
      </c>
      <c r="BM214" s="168" t="str">
        <f t="shared" si="2791"/>
        <v xml:space="preserve"> </v>
      </c>
      <c r="BN214" s="168"/>
      <c r="BO214" s="166" t="str">
        <f t="shared" si="2792"/>
        <v xml:space="preserve"> </v>
      </c>
    </row>
    <row r="215" spans="2:67" ht="15" customHeight="1" x14ac:dyDescent="0.25">
      <c r="B215" s="170">
        <v>46233</v>
      </c>
      <c r="C215" s="164"/>
      <c r="D215" s="166" t="str">
        <f t="shared" si="2759"/>
        <v xml:space="preserve"> </v>
      </c>
      <c r="E215" s="168" t="str">
        <f t="shared" si="2760"/>
        <v xml:space="preserve"> </v>
      </c>
      <c r="F215" s="168"/>
      <c r="G215" s="166" t="str">
        <f t="shared" si="2761"/>
        <v xml:space="preserve"> </v>
      </c>
      <c r="H215" s="167"/>
      <c r="I215" s="167" t="str">
        <f t="shared" si="2762"/>
        <v xml:space="preserve"> </v>
      </c>
      <c r="J215" s="168" t="str">
        <f t="shared" si="2763"/>
        <v xml:space="preserve"> </v>
      </c>
      <c r="K215" s="168"/>
      <c r="L215" s="167" t="str">
        <f t="shared" si="2764"/>
        <v xml:space="preserve"> </v>
      </c>
      <c r="M215" s="166"/>
      <c r="N215" s="166" t="str">
        <f t="shared" si="2765"/>
        <v xml:space="preserve"> </v>
      </c>
      <c r="O215" s="168" t="str">
        <f t="shared" si="2766"/>
        <v xml:space="preserve"> </v>
      </c>
      <c r="P215" s="168"/>
      <c r="Q215" s="166" t="str">
        <f t="shared" si="2767"/>
        <v xml:space="preserve"> </v>
      </c>
      <c r="R215" s="167">
        <f ca="1">+BDFUENTES[[#This Row],[PZ MED m3/día]]/3.6/BDFUENTES[[#This Row],[PZ MED Horas Activo]]</f>
        <v>0</v>
      </c>
      <c r="S215" s="167" t="str">
        <f t="shared" ca="1" si="2768"/>
        <v xml:space="preserve"> </v>
      </c>
      <c r="T215" s="168" t="str">
        <f t="shared" si="2769"/>
        <v xml:space="preserve"> </v>
      </c>
      <c r="U215" s="168"/>
      <c r="V215" s="165" t="str">
        <f t="shared" si="2770"/>
        <v xml:space="preserve"> </v>
      </c>
      <c r="W215" s="164" t="str">
        <f t="shared" si="2771"/>
        <v xml:space="preserve"> </v>
      </c>
      <c r="X215" s="166"/>
      <c r="Y215" s="168" t="str">
        <f t="shared" si="2772"/>
        <v xml:space="preserve"> </v>
      </c>
      <c r="Z215" s="168"/>
      <c r="AA215" s="166" t="str">
        <f t="shared" si="2773"/>
        <v xml:space="preserve"> </v>
      </c>
      <c r="AB215" s="168" t="str">
        <f t="shared" si="2774"/>
        <v xml:space="preserve"> </v>
      </c>
      <c r="AC215" s="168"/>
      <c r="AD215" s="171" t="str">
        <f t="shared" si="2775"/>
        <v xml:space="preserve"> </v>
      </c>
      <c r="AE215" s="167"/>
      <c r="AF215" s="165" t="str">
        <f t="shared" si="2776"/>
        <v xml:space="preserve"> </v>
      </c>
      <c r="AG215" s="168"/>
      <c r="AH215" s="168"/>
      <c r="AI215" s="166"/>
      <c r="AJ215" s="166"/>
      <c r="AK215" s="166" t="str">
        <f t="shared" si="2777"/>
        <v/>
      </c>
      <c r="AL215" s="167"/>
      <c r="AM215" s="171" t="str">
        <f t="shared" si="2778"/>
        <v xml:space="preserve"> </v>
      </c>
      <c r="AN215" s="168" t="str">
        <f t="shared" si="2779"/>
        <v xml:space="preserve"> </v>
      </c>
      <c r="AO215" s="168"/>
      <c r="AP215" s="167" t="str">
        <f t="shared" si="2780"/>
        <v xml:space="preserve"> </v>
      </c>
      <c r="AQ215" s="166"/>
      <c r="AR215" s="166" t="str">
        <f t="shared" si="2781"/>
        <v xml:space="preserve"> </v>
      </c>
      <c r="AS215" s="168" t="str">
        <f t="shared" si="2782"/>
        <v xml:space="preserve"> </v>
      </c>
      <c r="AT215" s="168"/>
      <c r="AU215" s="166" t="str">
        <f t="shared" si="2783"/>
        <v xml:space="preserve"> </v>
      </c>
      <c r="AV215" s="167"/>
      <c r="AW215" s="167"/>
      <c r="AX215" s="169" t="str">
        <f t="shared" si="2784"/>
        <v xml:space="preserve"> </v>
      </c>
      <c r="AY215" s="169"/>
      <c r="AZ215" s="167" t="str">
        <f t="shared" si="2785"/>
        <v xml:space="preserve"> </v>
      </c>
      <c r="BA215" s="166"/>
      <c r="BB215" s="166"/>
      <c r="BC215" s="168" t="str">
        <f t="shared" si="2786"/>
        <v xml:space="preserve"> </v>
      </c>
      <c r="BD215" s="168"/>
      <c r="BE215" s="166" t="str">
        <f t="shared" si="2787"/>
        <v xml:space="preserve"> </v>
      </c>
      <c r="BF215" s="167"/>
      <c r="BG215" s="167"/>
      <c r="BH215" s="168" t="str">
        <f t="shared" si="2788"/>
        <v xml:space="preserve"> </v>
      </c>
      <c r="BI215" s="168"/>
      <c r="BJ215" s="167" t="str">
        <f t="shared" si="2789"/>
        <v xml:space="preserve"> </v>
      </c>
      <c r="BK215" s="166"/>
      <c r="BL215" s="166" t="str">
        <f t="shared" si="2790"/>
        <v xml:space="preserve"> </v>
      </c>
      <c r="BM215" s="168" t="str">
        <f t="shared" si="2791"/>
        <v xml:space="preserve"> </v>
      </c>
      <c r="BN215" s="168"/>
      <c r="BO215" s="166" t="str">
        <f t="shared" si="2792"/>
        <v xml:space="preserve"> </v>
      </c>
    </row>
    <row r="216" spans="2:67" ht="15" customHeight="1" x14ac:dyDescent="0.25">
      <c r="B216" s="170">
        <v>46234</v>
      </c>
      <c r="C216" s="164"/>
      <c r="D216" s="166" t="str">
        <f t="shared" si="2759"/>
        <v xml:space="preserve"> </v>
      </c>
      <c r="E216" s="168" t="str">
        <f t="shared" si="2760"/>
        <v xml:space="preserve"> </v>
      </c>
      <c r="F216" s="168"/>
      <c r="G216" s="166" t="str">
        <f t="shared" si="2761"/>
        <v xml:space="preserve"> </v>
      </c>
      <c r="H216" s="167"/>
      <c r="I216" s="167" t="str">
        <f t="shared" si="2762"/>
        <v xml:space="preserve"> </v>
      </c>
      <c r="J216" s="168" t="str">
        <f t="shared" si="2763"/>
        <v xml:space="preserve"> </v>
      </c>
      <c r="K216" s="168"/>
      <c r="L216" s="167" t="str">
        <f t="shared" si="2764"/>
        <v xml:space="preserve"> </v>
      </c>
      <c r="M216" s="166"/>
      <c r="N216" s="166" t="str">
        <f t="shared" si="2765"/>
        <v xml:space="preserve"> </v>
      </c>
      <c r="O216" s="168" t="str">
        <f t="shared" si="2766"/>
        <v xml:space="preserve"> </v>
      </c>
      <c r="P216" s="168"/>
      <c r="Q216" s="166" t="str">
        <f t="shared" si="2767"/>
        <v xml:space="preserve"> </v>
      </c>
      <c r="R216" s="167">
        <f ca="1">+BDFUENTES[[#This Row],[PZ MED m3/día]]/3.6/BDFUENTES[[#This Row],[PZ MED Horas Activo]]</f>
        <v>0</v>
      </c>
      <c r="S216" s="167" t="str">
        <f t="shared" ca="1" si="2768"/>
        <v xml:space="preserve"> </v>
      </c>
      <c r="T216" s="168" t="str">
        <f t="shared" si="2769"/>
        <v xml:space="preserve"> </v>
      </c>
      <c r="U216" s="168"/>
      <c r="V216" s="165" t="str">
        <f t="shared" si="2770"/>
        <v xml:space="preserve"> </v>
      </c>
      <c r="W216" s="164" t="str">
        <f t="shared" si="2771"/>
        <v xml:space="preserve"> </v>
      </c>
      <c r="X216" s="166"/>
      <c r="Y216" s="168" t="str">
        <f t="shared" si="2772"/>
        <v xml:space="preserve"> </v>
      </c>
      <c r="Z216" s="168"/>
      <c r="AA216" s="166" t="str">
        <f t="shared" si="2773"/>
        <v xml:space="preserve"> </v>
      </c>
      <c r="AB216" s="168" t="str">
        <f t="shared" si="2774"/>
        <v xml:space="preserve"> </v>
      </c>
      <c r="AC216" s="168"/>
      <c r="AD216" s="171" t="str">
        <f t="shared" si="2775"/>
        <v xml:space="preserve"> </v>
      </c>
      <c r="AE216" s="167"/>
      <c r="AF216" s="165" t="str">
        <f t="shared" si="2776"/>
        <v xml:space="preserve"> </v>
      </c>
      <c r="AG216" s="168"/>
      <c r="AH216" s="168"/>
      <c r="AI216" s="166"/>
      <c r="AJ216" s="166"/>
      <c r="AK216" s="166" t="str">
        <f t="shared" si="2777"/>
        <v/>
      </c>
      <c r="AL216" s="167"/>
      <c r="AM216" s="171" t="str">
        <f t="shared" si="2778"/>
        <v xml:space="preserve"> </v>
      </c>
      <c r="AN216" s="168" t="str">
        <f t="shared" si="2779"/>
        <v xml:space="preserve"> </v>
      </c>
      <c r="AO216" s="168"/>
      <c r="AP216" s="167" t="str">
        <f t="shared" si="2780"/>
        <v xml:space="preserve"> </v>
      </c>
      <c r="AQ216" s="166"/>
      <c r="AR216" s="166" t="str">
        <f t="shared" si="2781"/>
        <v xml:space="preserve"> </v>
      </c>
      <c r="AS216" s="168" t="str">
        <f t="shared" si="2782"/>
        <v xml:space="preserve"> </v>
      </c>
      <c r="AT216" s="168"/>
      <c r="AU216" s="166" t="str">
        <f t="shared" si="2783"/>
        <v xml:space="preserve"> </v>
      </c>
      <c r="AV216" s="167"/>
      <c r="AW216" s="167"/>
      <c r="AX216" s="169" t="str">
        <f t="shared" si="2784"/>
        <v xml:space="preserve"> </v>
      </c>
      <c r="AY216" s="169"/>
      <c r="AZ216" s="167" t="str">
        <f t="shared" si="2785"/>
        <v xml:space="preserve"> </v>
      </c>
      <c r="BA216" s="166"/>
      <c r="BB216" s="166"/>
      <c r="BC216" s="168" t="str">
        <f t="shared" si="2786"/>
        <v xml:space="preserve"> </v>
      </c>
      <c r="BD216" s="168"/>
      <c r="BE216" s="166" t="str">
        <f t="shared" si="2787"/>
        <v xml:space="preserve"> </v>
      </c>
      <c r="BF216" s="167"/>
      <c r="BG216" s="167"/>
      <c r="BH216" s="168" t="str">
        <f t="shared" si="2788"/>
        <v xml:space="preserve"> </v>
      </c>
      <c r="BI216" s="168"/>
      <c r="BJ216" s="167" t="str">
        <f t="shared" si="2789"/>
        <v xml:space="preserve"> </v>
      </c>
      <c r="BK216" s="166"/>
      <c r="BL216" s="166" t="str">
        <f t="shared" si="2790"/>
        <v xml:space="preserve"> </v>
      </c>
      <c r="BM216" s="168" t="str">
        <f t="shared" si="2791"/>
        <v xml:space="preserve"> </v>
      </c>
      <c r="BN216" s="168"/>
      <c r="BO216" s="166" t="str">
        <f t="shared" si="2792"/>
        <v xml:space="preserve"> </v>
      </c>
    </row>
    <row r="217" spans="2:67" ht="15" customHeight="1" x14ac:dyDescent="0.25">
      <c r="B217" s="170">
        <v>46235</v>
      </c>
      <c r="C217" s="164"/>
      <c r="D217" s="166" t="str">
        <f t="shared" si="2759"/>
        <v xml:space="preserve"> </v>
      </c>
      <c r="E217" s="168" t="str">
        <f t="shared" si="2760"/>
        <v xml:space="preserve"> </v>
      </c>
      <c r="F217" s="168"/>
      <c r="G217" s="166" t="str">
        <f t="shared" si="2761"/>
        <v xml:space="preserve"> </v>
      </c>
      <c r="H217" s="167"/>
      <c r="I217" s="167" t="str">
        <f t="shared" si="2762"/>
        <v xml:space="preserve"> </v>
      </c>
      <c r="J217" s="168" t="str">
        <f t="shared" si="2763"/>
        <v xml:space="preserve"> </v>
      </c>
      <c r="K217" s="168"/>
      <c r="L217" s="167" t="str">
        <f t="shared" si="2764"/>
        <v xml:space="preserve"> </v>
      </c>
      <c r="M217" s="166"/>
      <c r="N217" s="166" t="str">
        <f t="shared" si="2765"/>
        <v xml:space="preserve"> </v>
      </c>
      <c r="O217" s="168" t="str">
        <f t="shared" si="2766"/>
        <v xml:space="preserve"> </v>
      </c>
      <c r="P217" s="168"/>
      <c r="Q217" s="166" t="str">
        <f t="shared" si="2767"/>
        <v xml:space="preserve"> </v>
      </c>
      <c r="R217" s="167">
        <f ca="1">+BDFUENTES[[#This Row],[PZ MED m3/día]]/3.6/BDFUENTES[[#This Row],[PZ MED Horas Activo]]</f>
        <v>0</v>
      </c>
      <c r="S217" s="167" t="str">
        <f t="shared" ca="1" si="2768"/>
        <v xml:space="preserve"> </v>
      </c>
      <c r="T217" s="168" t="str">
        <f t="shared" si="2769"/>
        <v xml:space="preserve"> </v>
      </c>
      <c r="U217" s="168"/>
      <c r="V217" s="165" t="str">
        <f t="shared" si="2770"/>
        <v xml:space="preserve"> </v>
      </c>
      <c r="W217" s="164" t="str">
        <f t="shared" si="2771"/>
        <v xml:space="preserve"> </v>
      </c>
      <c r="X217" s="166"/>
      <c r="Y217" s="168" t="str">
        <f t="shared" si="2772"/>
        <v xml:space="preserve"> </v>
      </c>
      <c r="Z217" s="168"/>
      <c r="AA217" s="166" t="str">
        <f t="shared" si="2773"/>
        <v xml:space="preserve"> </v>
      </c>
      <c r="AB217" s="168" t="str">
        <f t="shared" si="2774"/>
        <v xml:space="preserve"> </v>
      </c>
      <c r="AC217" s="168"/>
      <c r="AD217" s="171" t="str">
        <f t="shared" si="2775"/>
        <v xml:space="preserve"> </v>
      </c>
      <c r="AE217" s="167"/>
      <c r="AF217" s="165" t="str">
        <f t="shared" si="2776"/>
        <v xml:space="preserve"> </v>
      </c>
      <c r="AG217" s="168"/>
      <c r="AH217" s="168"/>
      <c r="AI217" s="166"/>
      <c r="AJ217" s="166"/>
      <c r="AK217" s="166" t="str">
        <f t="shared" si="2777"/>
        <v/>
      </c>
      <c r="AL217" s="167"/>
      <c r="AM217" s="171" t="str">
        <f t="shared" si="2778"/>
        <v xml:space="preserve"> </v>
      </c>
      <c r="AN217" s="168" t="str">
        <f t="shared" si="2779"/>
        <v xml:space="preserve"> </v>
      </c>
      <c r="AO217" s="168"/>
      <c r="AP217" s="167" t="str">
        <f t="shared" si="2780"/>
        <v xml:space="preserve"> </v>
      </c>
      <c r="AQ217" s="166"/>
      <c r="AR217" s="166" t="str">
        <f t="shared" si="2781"/>
        <v xml:space="preserve"> </v>
      </c>
      <c r="AS217" s="168" t="str">
        <f t="shared" si="2782"/>
        <v xml:space="preserve"> </v>
      </c>
      <c r="AT217" s="168"/>
      <c r="AU217" s="166" t="str">
        <f t="shared" si="2783"/>
        <v xml:space="preserve"> </v>
      </c>
      <c r="AV217" s="167"/>
      <c r="AW217" s="167"/>
      <c r="AX217" s="169" t="str">
        <f t="shared" si="2784"/>
        <v xml:space="preserve"> </v>
      </c>
      <c r="AY217" s="169"/>
      <c r="AZ217" s="167" t="str">
        <f t="shared" si="2785"/>
        <v xml:space="preserve"> </v>
      </c>
      <c r="BA217" s="166"/>
      <c r="BB217" s="166"/>
      <c r="BC217" s="168" t="str">
        <f t="shared" si="2786"/>
        <v xml:space="preserve"> </v>
      </c>
      <c r="BD217" s="168"/>
      <c r="BE217" s="166" t="str">
        <f t="shared" si="2787"/>
        <v xml:space="preserve"> </v>
      </c>
      <c r="BF217" s="167"/>
      <c r="BG217" s="167"/>
      <c r="BH217" s="168" t="str">
        <f t="shared" si="2788"/>
        <v xml:space="preserve"> </v>
      </c>
      <c r="BI217" s="168"/>
      <c r="BJ217" s="167" t="str">
        <f t="shared" si="2789"/>
        <v xml:space="preserve"> </v>
      </c>
      <c r="BK217" s="166"/>
      <c r="BL217" s="166" t="str">
        <f t="shared" si="2790"/>
        <v xml:space="preserve"> </v>
      </c>
      <c r="BM217" s="168" t="str">
        <f t="shared" si="2791"/>
        <v xml:space="preserve"> </v>
      </c>
      <c r="BN217" s="168"/>
      <c r="BO217" s="166" t="str">
        <f t="shared" si="2792"/>
        <v xml:space="preserve"> </v>
      </c>
    </row>
    <row r="218" spans="2:67" ht="15" customHeight="1" x14ac:dyDescent="0.25">
      <c r="B218" s="170">
        <v>46236</v>
      </c>
      <c r="C218" s="164"/>
      <c r="D218" s="166" t="str">
        <f t="shared" si="2759"/>
        <v xml:space="preserve"> </v>
      </c>
      <c r="E218" s="168" t="str">
        <f t="shared" si="2760"/>
        <v xml:space="preserve"> </v>
      </c>
      <c r="F218" s="168"/>
      <c r="G218" s="166" t="str">
        <f t="shared" si="2761"/>
        <v xml:space="preserve"> </v>
      </c>
      <c r="H218" s="167"/>
      <c r="I218" s="167" t="str">
        <f t="shared" si="2762"/>
        <v xml:space="preserve"> </v>
      </c>
      <c r="J218" s="168" t="str">
        <f t="shared" si="2763"/>
        <v xml:space="preserve"> </v>
      </c>
      <c r="K218" s="168"/>
      <c r="L218" s="167" t="str">
        <f t="shared" si="2764"/>
        <v xml:space="preserve"> </v>
      </c>
      <c r="M218" s="166"/>
      <c r="N218" s="166" t="str">
        <f t="shared" si="2765"/>
        <v xml:space="preserve"> </v>
      </c>
      <c r="O218" s="168" t="str">
        <f t="shared" si="2766"/>
        <v xml:space="preserve"> </v>
      </c>
      <c r="P218" s="168"/>
      <c r="Q218" s="166" t="str">
        <f t="shared" si="2767"/>
        <v xml:space="preserve"> </v>
      </c>
      <c r="R218" s="167">
        <f ca="1">+BDFUENTES[[#This Row],[PZ MED m3/día]]/3.6/BDFUENTES[[#This Row],[PZ MED Horas Activo]]</f>
        <v>0</v>
      </c>
      <c r="S218" s="167" t="str">
        <f t="shared" ca="1" si="2768"/>
        <v xml:space="preserve"> </v>
      </c>
      <c r="T218" s="168" t="str">
        <f t="shared" si="2769"/>
        <v xml:space="preserve"> </v>
      </c>
      <c r="U218" s="168"/>
      <c r="V218" s="165" t="str">
        <f t="shared" si="2770"/>
        <v xml:space="preserve"> </v>
      </c>
      <c r="W218" s="164" t="str">
        <f t="shared" si="2771"/>
        <v xml:space="preserve"> </v>
      </c>
      <c r="X218" s="166"/>
      <c r="Y218" s="168" t="str">
        <f t="shared" si="2772"/>
        <v xml:space="preserve"> </v>
      </c>
      <c r="Z218" s="168"/>
      <c r="AA218" s="166" t="str">
        <f t="shared" si="2773"/>
        <v xml:space="preserve"> </v>
      </c>
      <c r="AB218" s="168" t="str">
        <f t="shared" si="2774"/>
        <v xml:space="preserve"> </v>
      </c>
      <c r="AC218" s="168"/>
      <c r="AD218" s="171" t="str">
        <f t="shared" si="2775"/>
        <v xml:space="preserve"> </v>
      </c>
      <c r="AE218" s="167"/>
      <c r="AF218" s="165" t="str">
        <f t="shared" si="2776"/>
        <v xml:space="preserve"> </v>
      </c>
      <c r="AG218" s="168"/>
      <c r="AH218" s="168"/>
      <c r="AI218" s="166"/>
      <c r="AJ218" s="166"/>
      <c r="AK218" s="166" t="str">
        <f t="shared" si="2777"/>
        <v/>
      </c>
      <c r="AL218" s="167"/>
      <c r="AM218" s="171" t="str">
        <f t="shared" si="2778"/>
        <v xml:space="preserve"> </v>
      </c>
      <c r="AN218" s="168" t="str">
        <f t="shared" si="2779"/>
        <v xml:space="preserve"> </v>
      </c>
      <c r="AO218" s="168"/>
      <c r="AP218" s="167" t="str">
        <f t="shared" si="2780"/>
        <v xml:space="preserve"> </v>
      </c>
      <c r="AQ218" s="166"/>
      <c r="AR218" s="166" t="str">
        <f t="shared" si="2781"/>
        <v xml:space="preserve"> </v>
      </c>
      <c r="AS218" s="168" t="str">
        <f t="shared" si="2782"/>
        <v xml:space="preserve"> </v>
      </c>
      <c r="AT218" s="168"/>
      <c r="AU218" s="166" t="str">
        <f t="shared" si="2783"/>
        <v xml:space="preserve"> </v>
      </c>
      <c r="AV218" s="167"/>
      <c r="AW218" s="167"/>
      <c r="AX218" s="169" t="str">
        <f t="shared" si="2784"/>
        <v xml:space="preserve"> </v>
      </c>
      <c r="AY218" s="169"/>
      <c r="AZ218" s="167" t="str">
        <f t="shared" si="2785"/>
        <v xml:space="preserve"> </v>
      </c>
      <c r="BA218" s="166"/>
      <c r="BB218" s="166"/>
      <c r="BC218" s="168" t="str">
        <f t="shared" si="2786"/>
        <v xml:space="preserve"> </v>
      </c>
      <c r="BD218" s="168"/>
      <c r="BE218" s="166" t="str">
        <f t="shared" si="2787"/>
        <v xml:space="preserve"> </v>
      </c>
      <c r="BF218" s="167"/>
      <c r="BG218" s="167"/>
      <c r="BH218" s="168" t="str">
        <f t="shared" si="2788"/>
        <v xml:space="preserve"> </v>
      </c>
      <c r="BI218" s="168"/>
      <c r="BJ218" s="167" t="str">
        <f t="shared" si="2789"/>
        <v xml:space="preserve"> </v>
      </c>
      <c r="BK218" s="166"/>
      <c r="BL218" s="166" t="str">
        <f t="shared" si="2790"/>
        <v xml:space="preserve"> </v>
      </c>
      <c r="BM218" s="168" t="str">
        <f t="shared" si="2791"/>
        <v xml:space="preserve"> </v>
      </c>
      <c r="BN218" s="168"/>
      <c r="BO218" s="166" t="str">
        <f t="shared" si="2792"/>
        <v xml:space="preserve"> </v>
      </c>
    </row>
    <row r="219" spans="2:67" ht="15" customHeight="1" x14ac:dyDescent="0.25">
      <c r="B219" s="170">
        <v>46237</v>
      </c>
      <c r="C219" s="164"/>
      <c r="D219" s="166" t="str">
        <f t="shared" si="2759"/>
        <v xml:space="preserve"> </v>
      </c>
      <c r="E219" s="168" t="str">
        <f t="shared" si="2760"/>
        <v xml:space="preserve"> </v>
      </c>
      <c r="F219" s="168"/>
      <c r="G219" s="166" t="str">
        <f t="shared" si="2761"/>
        <v xml:space="preserve"> </v>
      </c>
      <c r="H219" s="167"/>
      <c r="I219" s="167" t="str">
        <f t="shared" si="2762"/>
        <v xml:space="preserve"> </v>
      </c>
      <c r="J219" s="168" t="str">
        <f t="shared" si="2763"/>
        <v xml:space="preserve"> </v>
      </c>
      <c r="K219" s="168"/>
      <c r="L219" s="167" t="str">
        <f t="shared" si="2764"/>
        <v xml:space="preserve"> </v>
      </c>
      <c r="M219" s="166"/>
      <c r="N219" s="166" t="str">
        <f t="shared" si="2765"/>
        <v xml:space="preserve"> </v>
      </c>
      <c r="O219" s="168" t="str">
        <f t="shared" si="2766"/>
        <v xml:space="preserve"> </v>
      </c>
      <c r="P219" s="168"/>
      <c r="Q219" s="166" t="str">
        <f t="shared" si="2767"/>
        <v xml:space="preserve"> </v>
      </c>
      <c r="R219" s="167">
        <f ca="1">+BDFUENTES[[#This Row],[PZ MED m3/día]]/3.6/BDFUENTES[[#This Row],[PZ MED Horas Activo]]</f>
        <v>0</v>
      </c>
      <c r="S219" s="167" t="str">
        <f t="shared" ca="1" si="2768"/>
        <v xml:space="preserve"> </v>
      </c>
      <c r="T219" s="168" t="str">
        <f t="shared" si="2769"/>
        <v xml:space="preserve"> </v>
      </c>
      <c r="U219" s="168"/>
      <c r="V219" s="165" t="str">
        <f t="shared" si="2770"/>
        <v xml:space="preserve"> </v>
      </c>
      <c r="W219" s="164" t="str">
        <f t="shared" si="2771"/>
        <v xml:space="preserve"> </v>
      </c>
      <c r="X219" s="166"/>
      <c r="Y219" s="168" t="str">
        <f t="shared" si="2772"/>
        <v xml:space="preserve"> </v>
      </c>
      <c r="Z219" s="168"/>
      <c r="AA219" s="166" t="str">
        <f t="shared" si="2773"/>
        <v xml:space="preserve"> </v>
      </c>
      <c r="AB219" s="168" t="str">
        <f t="shared" si="2774"/>
        <v xml:space="preserve"> </v>
      </c>
      <c r="AC219" s="168"/>
      <c r="AD219" s="171" t="str">
        <f t="shared" si="2775"/>
        <v xml:space="preserve"> </v>
      </c>
      <c r="AE219" s="167"/>
      <c r="AF219" s="165" t="str">
        <f t="shared" si="2776"/>
        <v xml:space="preserve"> </v>
      </c>
      <c r="AG219" s="168"/>
      <c r="AH219" s="168"/>
      <c r="AI219" s="166"/>
      <c r="AJ219" s="166"/>
      <c r="AK219" s="166" t="str">
        <f t="shared" si="2777"/>
        <v/>
      </c>
      <c r="AL219" s="167"/>
      <c r="AM219" s="171" t="str">
        <f t="shared" si="2778"/>
        <v xml:space="preserve"> </v>
      </c>
      <c r="AN219" s="168" t="str">
        <f t="shared" si="2779"/>
        <v xml:space="preserve"> </v>
      </c>
      <c r="AO219" s="168"/>
      <c r="AP219" s="167" t="str">
        <f t="shared" si="2780"/>
        <v xml:space="preserve"> </v>
      </c>
      <c r="AQ219" s="166"/>
      <c r="AR219" s="166" t="str">
        <f t="shared" si="2781"/>
        <v xml:space="preserve"> </v>
      </c>
      <c r="AS219" s="168" t="str">
        <f t="shared" si="2782"/>
        <v xml:space="preserve"> </v>
      </c>
      <c r="AT219" s="168"/>
      <c r="AU219" s="166" t="str">
        <f t="shared" si="2783"/>
        <v xml:space="preserve"> </v>
      </c>
      <c r="AV219" s="167"/>
      <c r="AW219" s="167"/>
      <c r="AX219" s="169" t="str">
        <f t="shared" si="2784"/>
        <v xml:space="preserve"> </v>
      </c>
      <c r="AY219" s="169"/>
      <c r="AZ219" s="167" t="str">
        <f t="shared" si="2785"/>
        <v xml:space="preserve"> </v>
      </c>
      <c r="BA219" s="166"/>
      <c r="BB219" s="166"/>
      <c r="BC219" s="168" t="str">
        <f t="shared" si="2786"/>
        <v xml:space="preserve"> </v>
      </c>
      <c r="BD219" s="168"/>
      <c r="BE219" s="166" t="str">
        <f t="shared" si="2787"/>
        <v xml:space="preserve"> </v>
      </c>
      <c r="BF219" s="167"/>
      <c r="BG219" s="167"/>
      <c r="BH219" s="168" t="str">
        <f t="shared" si="2788"/>
        <v xml:space="preserve"> </v>
      </c>
      <c r="BI219" s="168"/>
      <c r="BJ219" s="167" t="str">
        <f t="shared" si="2789"/>
        <v xml:space="preserve"> </v>
      </c>
      <c r="BK219" s="166"/>
      <c r="BL219" s="166" t="str">
        <f t="shared" si="2790"/>
        <v xml:space="preserve"> </v>
      </c>
      <c r="BM219" s="168" t="str">
        <f t="shared" si="2791"/>
        <v xml:space="preserve"> </v>
      </c>
      <c r="BN219" s="168"/>
      <c r="BO219" s="166" t="str">
        <f t="shared" si="2792"/>
        <v xml:space="preserve"> </v>
      </c>
    </row>
    <row r="220" spans="2:67" ht="15" customHeight="1" x14ac:dyDescent="0.25">
      <c r="B220" s="170">
        <v>46238</v>
      </c>
      <c r="C220" s="164"/>
      <c r="D220" s="166" t="str">
        <f t="shared" si="2759"/>
        <v xml:space="preserve"> </v>
      </c>
      <c r="E220" s="168" t="str">
        <f t="shared" si="2760"/>
        <v xml:space="preserve"> </v>
      </c>
      <c r="F220" s="168"/>
      <c r="G220" s="166" t="str">
        <f t="shared" si="2761"/>
        <v xml:space="preserve"> </v>
      </c>
      <c r="H220" s="167"/>
      <c r="I220" s="167" t="str">
        <f t="shared" si="2762"/>
        <v xml:space="preserve"> </v>
      </c>
      <c r="J220" s="168" t="str">
        <f t="shared" si="2763"/>
        <v xml:space="preserve"> </v>
      </c>
      <c r="K220" s="168"/>
      <c r="L220" s="167" t="str">
        <f t="shared" si="2764"/>
        <v xml:space="preserve"> </v>
      </c>
      <c r="M220" s="166"/>
      <c r="N220" s="166" t="str">
        <f t="shared" si="2765"/>
        <v xml:space="preserve"> </v>
      </c>
      <c r="O220" s="168" t="str">
        <f t="shared" si="2766"/>
        <v xml:space="preserve"> </v>
      </c>
      <c r="P220" s="168"/>
      <c r="Q220" s="166" t="str">
        <f t="shared" si="2767"/>
        <v xml:space="preserve"> </v>
      </c>
      <c r="R220" s="167">
        <f ca="1">+BDFUENTES[[#This Row],[PZ MED m3/día]]/3.6/BDFUENTES[[#This Row],[PZ MED Horas Activo]]</f>
        <v>0</v>
      </c>
      <c r="S220" s="167" t="str">
        <f t="shared" ca="1" si="2768"/>
        <v xml:space="preserve"> </v>
      </c>
      <c r="T220" s="168" t="str">
        <f t="shared" si="2769"/>
        <v xml:space="preserve"> </v>
      </c>
      <c r="U220" s="168"/>
      <c r="V220" s="165" t="str">
        <f t="shared" si="2770"/>
        <v xml:space="preserve"> </v>
      </c>
      <c r="W220" s="164" t="str">
        <f t="shared" si="2771"/>
        <v xml:space="preserve"> </v>
      </c>
      <c r="X220" s="166"/>
      <c r="Y220" s="168" t="str">
        <f t="shared" si="2772"/>
        <v xml:space="preserve"> </v>
      </c>
      <c r="Z220" s="168"/>
      <c r="AA220" s="166" t="str">
        <f t="shared" si="2773"/>
        <v xml:space="preserve"> </v>
      </c>
      <c r="AB220" s="168" t="str">
        <f t="shared" si="2774"/>
        <v xml:space="preserve"> </v>
      </c>
      <c r="AC220" s="168"/>
      <c r="AD220" s="171" t="str">
        <f t="shared" si="2775"/>
        <v xml:space="preserve"> </v>
      </c>
      <c r="AE220" s="167"/>
      <c r="AF220" s="165" t="str">
        <f t="shared" si="2776"/>
        <v xml:space="preserve"> </v>
      </c>
      <c r="AG220" s="168"/>
      <c r="AH220" s="168"/>
      <c r="AI220" s="166"/>
      <c r="AJ220" s="166"/>
      <c r="AK220" s="166" t="str">
        <f t="shared" si="2777"/>
        <v/>
      </c>
      <c r="AL220" s="167"/>
      <c r="AM220" s="171" t="str">
        <f t="shared" si="2778"/>
        <v xml:space="preserve"> </v>
      </c>
      <c r="AN220" s="168" t="str">
        <f t="shared" si="2779"/>
        <v xml:space="preserve"> </v>
      </c>
      <c r="AO220" s="168"/>
      <c r="AP220" s="167" t="str">
        <f t="shared" si="2780"/>
        <v xml:space="preserve"> </v>
      </c>
      <c r="AQ220" s="166"/>
      <c r="AR220" s="166" t="str">
        <f t="shared" si="2781"/>
        <v xml:space="preserve"> </v>
      </c>
      <c r="AS220" s="168" t="str">
        <f t="shared" si="2782"/>
        <v xml:space="preserve"> </v>
      </c>
      <c r="AT220" s="168"/>
      <c r="AU220" s="166" t="str">
        <f t="shared" si="2783"/>
        <v xml:space="preserve"> </v>
      </c>
      <c r="AV220" s="167"/>
      <c r="AW220" s="167"/>
      <c r="AX220" s="169" t="str">
        <f t="shared" si="2784"/>
        <v xml:space="preserve"> </v>
      </c>
      <c r="AY220" s="169"/>
      <c r="AZ220" s="167" t="str">
        <f t="shared" si="2785"/>
        <v xml:space="preserve"> </v>
      </c>
      <c r="BA220" s="166"/>
      <c r="BB220" s="166"/>
      <c r="BC220" s="168" t="str">
        <f t="shared" si="2786"/>
        <v xml:space="preserve"> </v>
      </c>
      <c r="BD220" s="168"/>
      <c r="BE220" s="166" t="str">
        <f t="shared" si="2787"/>
        <v xml:space="preserve"> </v>
      </c>
      <c r="BF220" s="167"/>
      <c r="BG220" s="167"/>
      <c r="BH220" s="168" t="str">
        <f t="shared" si="2788"/>
        <v xml:space="preserve"> </v>
      </c>
      <c r="BI220" s="168"/>
      <c r="BJ220" s="167" t="str">
        <f t="shared" si="2789"/>
        <v xml:space="preserve"> </v>
      </c>
      <c r="BK220" s="166"/>
      <c r="BL220" s="166" t="str">
        <f t="shared" si="2790"/>
        <v xml:space="preserve"> </v>
      </c>
      <c r="BM220" s="168" t="str">
        <f t="shared" si="2791"/>
        <v xml:space="preserve"> </v>
      </c>
      <c r="BN220" s="168"/>
      <c r="BO220" s="166" t="str">
        <f t="shared" si="2792"/>
        <v xml:space="preserve"> </v>
      </c>
    </row>
    <row r="221" spans="2:67" ht="15" customHeight="1" x14ac:dyDescent="0.25">
      <c r="B221" s="170">
        <v>46239</v>
      </c>
      <c r="C221" s="164"/>
      <c r="D221" s="166" t="str">
        <f t="shared" si="2759"/>
        <v xml:space="preserve"> </v>
      </c>
      <c r="E221" s="168" t="str">
        <f t="shared" si="2760"/>
        <v xml:space="preserve"> </v>
      </c>
      <c r="F221" s="168"/>
      <c r="G221" s="166" t="str">
        <f t="shared" si="2761"/>
        <v xml:space="preserve"> </v>
      </c>
      <c r="H221" s="167"/>
      <c r="I221" s="167" t="str">
        <f t="shared" si="2762"/>
        <v xml:space="preserve"> </v>
      </c>
      <c r="J221" s="168" t="str">
        <f t="shared" si="2763"/>
        <v xml:space="preserve"> </v>
      </c>
      <c r="K221" s="168"/>
      <c r="L221" s="167" t="str">
        <f t="shared" si="2764"/>
        <v xml:space="preserve"> </v>
      </c>
      <c r="M221" s="166"/>
      <c r="N221" s="166" t="str">
        <f t="shared" si="2765"/>
        <v xml:space="preserve"> </v>
      </c>
      <c r="O221" s="168" t="str">
        <f t="shared" si="2766"/>
        <v xml:space="preserve"> </v>
      </c>
      <c r="P221" s="168"/>
      <c r="Q221" s="166" t="str">
        <f t="shared" si="2767"/>
        <v xml:space="preserve"> </v>
      </c>
      <c r="R221" s="167">
        <f ca="1">+BDFUENTES[[#This Row],[PZ MED m3/día]]/3.6/BDFUENTES[[#This Row],[PZ MED Horas Activo]]</f>
        <v>0</v>
      </c>
      <c r="S221" s="167" t="str">
        <f t="shared" ca="1" si="2768"/>
        <v xml:space="preserve"> </v>
      </c>
      <c r="T221" s="168" t="str">
        <f t="shared" si="2769"/>
        <v xml:space="preserve"> </v>
      </c>
      <c r="U221" s="168"/>
      <c r="V221" s="165" t="str">
        <f t="shared" si="2770"/>
        <v xml:space="preserve"> </v>
      </c>
      <c r="W221" s="164" t="str">
        <f t="shared" si="2771"/>
        <v xml:space="preserve"> </v>
      </c>
      <c r="X221" s="166"/>
      <c r="Y221" s="168" t="str">
        <f t="shared" si="2772"/>
        <v xml:space="preserve"> </v>
      </c>
      <c r="Z221" s="168"/>
      <c r="AA221" s="166" t="str">
        <f t="shared" si="2773"/>
        <v xml:space="preserve"> </v>
      </c>
      <c r="AB221" s="168" t="str">
        <f t="shared" si="2774"/>
        <v xml:space="preserve"> </v>
      </c>
      <c r="AC221" s="168"/>
      <c r="AD221" s="171" t="str">
        <f t="shared" si="2775"/>
        <v xml:space="preserve"> </v>
      </c>
      <c r="AE221" s="167"/>
      <c r="AF221" s="165" t="str">
        <f t="shared" si="2776"/>
        <v xml:space="preserve"> </v>
      </c>
      <c r="AG221" s="168"/>
      <c r="AH221" s="168"/>
      <c r="AI221" s="166"/>
      <c r="AJ221" s="166"/>
      <c r="AK221" s="166" t="str">
        <f t="shared" si="2777"/>
        <v/>
      </c>
      <c r="AL221" s="167"/>
      <c r="AM221" s="171" t="str">
        <f t="shared" si="2778"/>
        <v xml:space="preserve"> </v>
      </c>
      <c r="AN221" s="168" t="str">
        <f t="shared" si="2779"/>
        <v xml:space="preserve"> </v>
      </c>
      <c r="AO221" s="168"/>
      <c r="AP221" s="167" t="str">
        <f t="shared" si="2780"/>
        <v xml:space="preserve"> </v>
      </c>
      <c r="AQ221" s="166"/>
      <c r="AR221" s="166" t="str">
        <f t="shared" si="2781"/>
        <v xml:space="preserve"> </v>
      </c>
      <c r="AS221" s="168" t="str">
        <f t="shared" si="2782"/>
        <v xml:space="preserve"> </v>
      </c>
      <c r="AT221" s="168"/>
      <c r="AU221" s="166" t="str">
        <f t="shared" si="2783"/>
        <v xml:space="preserve"> </v>
      </c>
      <c r="AV221" s="167"/>
      <c r="AW221" s="167"/>
      <c r="AX221" s="169" t="str">
        <f t="shared" si="2784"/>
        <v xml:space="preserve"> </v>
      </c>
      <c r="AY221" s="169"/>
      <c r="AZ221" s="167" t="str">
        <f t="shared" si="2785"/>
        <v xml:space="preserve"> </v>
      </c>
      <c r="BA221" s="166"/>
      <c r="BB221" s="166"/>
      <c r="BC221" s="168" t="str">
        <f t="shared" si="2786"/>
        <v xml:space="preserve"> </v>
      </c>
      <c r="BD221" s="168"/>
      <c r="BE221" s="166" t="str">
        <f t="shared" si="2787"/>
        <v xml:space="preserve"> </v>
      </c>
      <c r="BF221" s="167"/>
      <c r="BG221" s="167"/>
      <c r="BH221" s="168" t="str">
        <f t="shared" si="2788"/>
        <v xml:space="preserve"> </v>
      </c>
      <c r="BI221" s="168"/>
      <c r="BJ221" s="167" t="str">
        <f t="shared" si="2789"/>
        <v xml:space="preserve"> </v>
      </c>
      <c r="BK221" s="166"/>
      <c r="BL221" s="166" t="str">
        <f t="shared" si="2790"/>
        <v xml:space="preserve"> </v>
      </c>
      <c r="BM221" s="168" t="str">
        <f t="shared" si="2791"/>
        <v xml:space="preserve"> </v>
      </c>
      <c r="BN221" s="168"/>
      <c r="BO221" s="166" t="str">
        <f t="shared" si="2792"/>
        <v xml:space="preserve"> </v>
      </c>
    </row>
    <row r="222" spans="2:67" ht="15" customHeight="1" x14ac:dyDescent="0.25">
      <c r="B222" s="170">
        <v>46240</v>
      </c>
      <c r="C222" s="164"/>
      <c r="D222" s="166" t="str">
        <f t="shared" si="2759"/>
        <v xml:space="preserve"> </v>
      </c>
      <c r="E222" s="168" t="str">
        <f t="shared" si="2760"/>
        <v xml:space="preserve"> </v>
      </c>
      <c r="F222" s="168"/>
      <c r="G222" s="166" t="str">
        <f t="shared" si="2761"/>
        <v xml:space="preserve"> </v>
      </c>
      <c r="H222" s="167"/>
      <c r="I222" s="167" t="str">
        <f t="shared" si="2762"/>
        <v xml:space="preserve"> </v>
      </c>
      <c r="J222" s="168" t="str">
        <f t="shared" si="2763"/>
        <v xml:space="preserve"> </v>
      </c>
      <c r="K222" s="168"/>
      <c r="L222" s="167" t="str">
        <f t="shared" si="2764"/>
        <v xml:space="preserve"> </v>
      </c>
      <c r="M222" s="166"/>
      <c r="N222" s="166" t="str">
        <f t="shared" si="2765"/>
        <v xml:space="preserve"> </v>
      </c>
      <c r="O222" s="168" t="str">
        <f t="shared" si="2766"/>
        <v xml:space="preserve"> </v>
      </c>
      <c r="P222" s="168"/>
      <c r="Q222" s="166" t="str">
        <f t="shared" si="2767"/>
        <v xml:space="preserve"> </v>
      </c>
      <c r="R222" s="167">
        <f ca="1">+BDFUENTES[[#This Row],[PZ MED m3/día]]/3.6/BDFUENTES[[#This Row],[PZ MED Horas Activo]]</f>
        <v>0</v>
      </c>
      <c r="S222" s="167" t="str">
        <f t="shared" ca="1" si="2768"/>
        <v xml:space="preserve"> </v>
      </c>
      <c r="T222" s="168" t="str">
        <f t="shared" si="2769"/>
        <v xml:space="preserve"> </v>
      </c>
      <c r="U222" s="168"/>
      <c r="V222" s="165" t="str">
        <f t="shared" si="2770"/>
        <v xml:space="preserve"> </v>
      </c>
      <c r="W222" s="164" t="str">
        <f t="shared" si="2771"/>
        <v xml:space="preserve"> </v>
      </c>
      <c r="X222" s="166"/>
      <c r="Y222" s="168" t="str">
        <f t="shared" si="2772"/>
        <v xml:space="preserve"> </v>
      </c>
      <c r="Z222" s="168"/>
      <c r="AA222" s="166" t="str">
        <f t="shared" si="2773"/>
        <v xml:space="preserve"> </v>
      </c>
      <c r="AB222" s="168" t="str">
        <f t="shared" si="2774"/>
        <v xml:space="preserve"> </v>
      </c>
      <c r="AC222" s="168"/>
      <c r="AD222" s="171" t="str">
        <f t="shared" si="2775"/>
        <v xml:space="preserve"> </v>
      </c>
      <c r="AE222" s="167"/>
      <c r="AF222" s="165" t="str">
        <f t="shared" si="2776"/>
        <v xml:space="preserve"> </v>
      </c>
      <c r="AG222" s="168"/>
      <c r="AH222" s="168"/>
      <c r="AI222" s="166"/>
      <c r="AJ222" s="166"/>
      <c r="AK222" s="166" t="str">
        <f t="shared" si="2777"/>
        <v/>
      </c>
      <c r="AL222" s="167"/>
      <c r="AM222" s="171" t="str">
        <f t="shared" si="2778"/>
        <v xml:space="preserve"> </v>
      </c>
      <c r="AN222" s="168" t="str">
        <f t="shared" si="2779"/>
        <v xml:space="preserve"> </v>
      </c>
      <c r="AO222" s="168"/>
      <c r="AP222" s="167" t="str">
        <f t="shared" si="2780"/>
        <v xml:space="preserve"> </v>
      </c>
      <c r="AQ222" s="166"/>
      <c r="AR222" s="166" t="str">
        <f t="shared" si="2781"/>
        <v xml:space="preserve"> </v>
      </c>
      <c r="AS222" s="168" t="str">
        <f t="shared" si="2782"/>
        <v xml:space="preserve"> </v>
      </c>
      <c r="AT222" s="168"/>
      <c r="AU222" s="166" t="str">
        <f t="shared" si="2783"/>
        <v xml:space="preserve"> </v>
      </c>
      <c r="AV222" s="167"/>
      <c r="AW222" s="167"/>
      <c r="AX222" s="169" t="str">
        <f t="shared" si="2784"/>
        <v xml:space="preserve"> </v>
      </c>
      <c r="AY222" s="169"/>
      <c r="AZ222" s="167" t="str">
        <f t="shared" si="2785"/>
        <v xml:space="preserve"> </v>
      </c>
      <c r="BA222" s="166"/>
      <c r="BB222" s="166"/>
      <c r="BC222" s="168" t="str">
        <f t="shared" si="2786"/>
        <v xml:space="preserve"> </v>
      </c>
      <c r="BD222" s="168"/>
      <c r="BE222" s="166" t="str">
        <f t="shared" si="2787"/>
        <v xml:space="preserve"> </v>
      </c>
      <c r="BF222" s="167"/>
      <c r="BG222" s="167"/>
      <c r="BH222" s="168" t="str">
        <f t="shared" si="2788"/>
        <v xml:space="preserve"> </v>
      </c>
      <c r="BI222" s="168"/>
      <c r="BJ222" s="167" t="str">
        <f t="shared" si="2789"/>
        <v xml:space="preserve"> </v>
      </c>
      <c r="BK222" s="166"/>
      <c r="BL222" s="166" t="str">
        <f t="shared" si="2790"/>
        <v xml:space="preserve"> </v>
      </c>
      <c r="BM222" s="168" t="str">
        <f t="shared" si="2791"/>
        <v xml:space="preserve"> </v>
      </c>
      <c r="BN222" s="168"/>
      <c r="BO222" s="166" t="str">
        <f t="shared" si="2792"/>
        <v xml:space="preserve"> </v>
      </c>
    </row>
    <row r="223" spans="2:67" ht="15" customHeight="1" x14ac:dyDescent="0.25">
      <c r="B223" s="170">
        <v>46241</v>
      </c>
      <c r="C223" s="164"/>
      <c r="D223" s="166" t="str">
        <f t="shared" si="2759"/>
        <v xml:space="preserve"> </v>
      </c>
      <c r="E223" s="168" t="str">
        <f t="shared" si="2760"/>
        <v xml:space="preserve"> </v>
      </c>
      <c r="F223" s="168"/>
      <c r="G223" s="166" t="str">
        <f t="shared" si="2761"/>
        <v xml:space="preserve"> </v>
      </c>
      <c r="H223" s="167"/>
      <c r="I223" s="167" t="str">
        <f t="shared" si="2762"/>
        <v xml:space="preserve"> </v>
      </c>
      <c r="J223" s="168" t="str">
        <f t="shared" si="2763"/>
        <v xml:space="preserve"> </v>
      </c>
      <c r="K223" s="168"/>
      <c r="L223" s="167" t="str">
        <f t="shared" si="2764"/>
        <v xml:space="preserve"> </v>
      </c>
      <c r="M223" s="166"/>
      <c r="N223" s="166" t="str">
        <f t="shared" si="2765"/>
        <v xml:space="preserve"> </v>
      </c>
      <c r="O223" s="168" t="str">
        <f t="shared" si="2766"/>
        <v xml:space="preserve"> </v>
      </c>
      <c r="P223" s="168"/>
      <c r="Q223" s="166" t="str">
        <f t="shared" si="2767"/>
        <v xml:space="preserve"> </v>
      </c>
      <c r="R223" s="167">
        <f ca="1">+BDFUENTES[[#This Row],[PZ MED m3/día]]/3.6/BDFUENTES[[#This Row],[PZ MED Horas Activo]]</f>
        <v>0</v>
      </c>
      <c r="S223" s="167" t="str">
        <f t="shared" ca="1" si="2768"/>
        <v xml:space="preserve"> </v>
      </c>
      <c r="T223" s="168" t="str">
        <f t="shared" si="2769"/>
        <v xml:space="preserve"> </v>
      </c>
      <c r="U223" s="168"/>
      <c r="V223" s="165" t="str">
        <f t="shared" si="2770"/>
        <v xml:space="preserve"> </v>
      </c>
      <c r="W223" s="164" t="str">
        <f t="shared" si="2771"/>
        <v xml:space="preserve"> </v>
      </c>
      <c r="X223" s="166"/>
      <c r="Y223" s="168" t="str">
        <f t="shared" si="2772"/>
        <v xml:space="preserve"> </v>
      </c>
      <c r="Z223" s="168"/>
      <c r="AA223" s="166" t="str">
        <f t="shared" si="2773"/>
        <v xml:space="preserve"> </v>
      </c>
      <c r="AB223" s="168" t="str">
        <f t="shared" si="2774"/>
        <v xml:space="preserve"> </v>
      </c>
      <c r="AC223" s="168"/>
      <c r="AD223" s="171" t="str">
        <f t="shared" si="2775"/>
        <v xml:space="preserve"> </v>
      </c>
      <c r="AE223" s="167"/>
      <c r="AF223" s="165" t="str">
        <f t="shared" si="2776"/>
        <v xml:space="preserve"> </v>
      </c>
      <c r="AG223" s="168"/>
      <c r="AH223" s="168"/>
      <c r="AI223" s="166"/>
      <c r="AJ223" s="166"/>
      <c r="AK223" s="166" t="str">
        <f t="shared" si="2777"/>
        <v/>
      </c>
      <c r="AL223" s="167"/>
      <c r="AM223" s="171" t="str">
        <f t="shared" si="2778"/>
        <v xml:space="preserve"> </v>
      </c>
      <c r="AN223" s="168" t="str">
        <f t="shared" si="2779"/>
        <v xml:space="preserve"> </v>
      </c>
      <c r="AO223" s="168"/>
      <c r="AP223" s="167" t="str">
        <f t="shared" si="2780"/>
        <v xml:space="preserve"> </v>
      </c>
      <c r="AQ223" s="166"/>
      <c r="AR223" s="166" t="str">
        <f t="shared" si="2781"/>
        <v xml:space="preserve"> </v>
      </c>
      <c r="AS223" s="168" t="str">
        <f t="shared" si="2782"/>
        <v xml:space="preserve"> </v>
      </c>
      <c r="AT223" s="168"/>
      <c r="AU223" s="166" t="str">
        <f t="shared" si="2783"/>
        <v xml:space="preserve"> </v>
      </c>
      <c r="AV223" s="167"/>
      <c r="AW223" s="167"/>
      <c r="AX223" s="169" t="str">
        <f t="shared" si="2784"/>
        <v xml:space="preserve"> </v>
      </c>
      <c r="AY223" s="169"/>
      <c r="AZ223" s="167" t="str">
        <f t="shared" si="2785"/>
        <v xml:space="preserve"> </v>
      </c>
      <c r="BA223" s="166"/>
      <c r="BB223" s="166"/>
      <c r="BC223" s="168" t="str">
        <f t="shared" si="2786"/>
        <v xml:space="preserve"> </v>
      </c>
      <c r="BD223" s="168"/>
      <c r="BE223" s="166" t="str">
        <f t="shared" si="2787"/>
        <v xml:space="preserve"> </v>
      </c>
      <c r="BF223" s="167"/>
      <c r="BG223" s="167"/>
      <c r="BH223" s="168" t="str">
        <f t="shared" si="2788"/>
        <v xml:space="preserve"> </v>
      </c>
      <c r="BI223" s="168"/>
      <c r="BJ223" s="167" t="str">
        <f t="shared" si="2789"/>
        <v xml:space="preserve"> </v>
      </c>
      <c r="BK223" s="166"/>
      <c r="BL223" s="166" t="str">
        <f t="shared" si="2790"/>
        <v xml:space="preserve"> </v>
      </c>
      <c r="BM223" s="168" t="str">
        <f t="shared" si="2791"/>
        <v xml:space="preserve"> </v>
      </c>
      <c r="BN223" s="168"/>
      <c r="BO223" s="166" t="str">
        <f t="shared" si="2792"/>
        <v xml:space="preserve"> </v>
      </c>
    </row>
    <row r="224" spans="2:67" ht="15" customHeight="1" x14ac:dyDescent="0.25">
      <c r="B224" s="170">
        <v>46242</v>
      </c>
      <c r="C224" s="164"/>
      <c r="D224" s="166" t="str">
        <f t="shared" si="2759"/>
        <v xml:space="preserve"> </v>
      </c>
      <c r="E224" s="168" t="str">
        <f t="shared" si="2760"/>
        <v xml:space="preserve"> </v>
      </c>
      <c r="F224" s="168"/>
      <c r="G224" s="166" t="str">
        <f t="shared" si="2761"/>
        <v xml:space="preserve"> </v>
      </c>
      <c r="H224" s="167"/>
      <c r="I224" s="167" t="str">
        <f t="shared" si="2762"/>
        <v xml:space="preserve"> </v>
      </c>
      <c r="J224" s="168" t="str">
        <f t="shared" si="2763"/>
        <v xml:space="preserve"> </v>
      </c>
      <c r="K224" s="168"/>
      <c r="L224" s="167" t="str">
        <f t="shared" si="2764"/>
        <v xml:space="preserve"> </v>
      </c>
      <c r="M224" s="166"/>
      <c r="N224" s="166" t="str">
        <f t="shared" si="2765"/>
        <v xml:space="preserve"> </v>
      </c>
      <c r="O224" s="168" t="str">
        <f t="shared" si="2766"/>
        <v xml:space="preserve"> </v>
      </c>
      <c r="P224" s="168"/>
      <c r="Q224" s="166" t="str">
        <f t="shared" si="2767"/>
        <v xml:space="preserve"> </v>
      </c>
      <c r="R224" s="167">
        <f ca="1">+BDFUENTES[[#This Row],[PZ MED m3/día]]/3.6/BDFUENTES[[#This Row],[PZ MED Horas Activo]]</f>
        <v>0</v>
      </c>
      <c r="S224" s="167" t="str">
        <f t="shared" ca="1" si="2768"/>
        <v xml:space="preserve"> </v>
      </c>
      <c r="T224" s="168" t="str">
        <f t="shared" si="2769"/>
        <v xml:space="preserve"> </v>
      </c>
      <c r="U224" s="168"/>
      <c r="V224" s="165" t="str">
        <f t="shared" si="2770"/>
        <v xml:space="preserve"> </v>
      </c>
      <c r="W224" s="164" t="str">
        <f t="shared" si="2771"/>
        <v xml:space="preserve"> </v>
      </c>
      <c r="X224" s="166"/>
      <c r="Y224" s="168" t="str">
        <f t="shared" si="2772"/>
        <v xml:space="preserve"> </v>
      </c>
      <c r="Z224" s="168"/>
      <c r="AA224" s="166" t="str">
        <f t="shared" si="2773"/>
        <v xml:space="preserve"> </v>
      </c>
      <c r="AB224" s="168" t="str">
        <f t="shared" si="2774"/>
        <v xml:space="preserve"> </v>
      </c>
      <c r="AC224" s="168"/>
      <c r="AD224" s="171" t="str">
        <f t="shared" si="2775"/>
        <v xml:space="preserve"> </v>
      </c>
      <c r="AE224" s="167"/>
      <c r="AF224" s="165" t="str">
        <f t="shared" si="2776"/>
        <v xml:space="preserve"> </v>
      </c>
      <c r="AG224" s="168"/>
      <c r="AH224" s="168"/>
      <c r="AI224" s="166"/>
      <c r="AJ224" s="166"/>
      <c r="AK224" s="166" t="str">
        <f t="shared" si="2777"/>
        <v/>
      </c>
      <c r="AL224" s="167"/>
      <c r="AM224" s="171" t="str">
        <f t="shared" si="2778"/>
        <v xml:space="preserve"> </v>
      </c>
      <c r="AN224" s="168" t="str">
        <f t="shared" si="2779"/>
        <v xml:space="preserve"> </v>
      </c>
      <c r="AO224" s="168"/>
      <c r="AP224" s="167" t="str">
        <f t="shared" si="2780"/>
        <v xml:space="preserve"> </v>
      </c>
      <c r="AQ224" s="166"/>
      <c r="AR224" s="166" t="str">
        <f t="shared" si="2781"/>
        <v xml:space="preserve"> </v>
      </c>
      <c r="AS224" s="168" t="str">
        <f t="shared" si="2782"/>
        <v xml:space="preserve"> </v>
      </c>
      <c r="AT224" s="168"/>
      <c r="AU224" s="166" t="str">
        <f t="shared" si="2783"/>
        <v xml:space="preserve"> </v>
      </c>
      <c r="AV224" s="167"/>
      <c r="AW224" s="167"/>
      <c r="AX224" s="169" t="str">
        <f t="shared" si="2784"/>
        <v xml:space="preserve"> </v>
      </c>
      <c r="AY224" s="169"/>
      <c r="AZ224" s="167" t="str">
        <f t="shared" si="2785"/>
        <v xml:space="preserve"> </v>
      </c>
      <c r="BA224" s="166"/>
      <c r="BB224" s="166"/>
      <c r="BC224" s="168" t="str">
        <f t="shared" si="2786"/>
        <v xml:space="preserve"> </v>
      </c>
      <c r="BD224" s="168"/>
      <c r="BE224" s="166" t="str">
        <f t="shared" si="2787"/>
        <v xml:space="preserve"> </v>
      </c>
      <c r="BF224" s="167"/>
      <c r="BG224" s="167"/>
      <c r="BH224" s="168" t="str">
        <f t="shared" si="2788"/>
        <v xml:space="preserve"> </v>
      </c>
      <c r="BI224" s="168"/>
      <c r="BJ224" s="167" t="str">
        <f t="shared" si="2789"/>
        <v xml:space="preserve"> </v>
      </c>
      <c r="BK224" s="166"/>
      <c r="BL224" s="166" t="str">
        <f t="shared" si="2790"/>
        <v xml:space="preserve"> </v>
      </c>
      <c r="BM224" s="168" t="str">
        <f t="shared" si="2791"/>
        <v xml:space="preserve"> </v>
      </c>
      <c r="BN224" s="168"/>
      <c r="BO224" s="166" t="str">
        <f t="shared" si="2792"/>
        <v xml:space="preserve"> </v>
      </c>
    </row>
    <row r="225" spans="2:67" ht="15" customHeight="1" x14ac:dyDescent="0.25">
      <c r="B225" s="170">
        <v>46243</v>
      </c>
      <c r="C225" s="164"/>
      <c r="D225" s="166" t="str">
        <f t="shared" si="2759"/>
        <v xml:space="preserve"> </v>
      </c>
      <c r="E225" s="168" t="str">
        <f t="shared" si="2760"/>
        <v xml:space="preserve"> </v>
      </c>
      <c r="F225" s="168"/>
      <c r="G225" s="166" t="str">
        <f t="shared" si="2761"/>
        <v xml:space="preserve"> </v>
      </c>
      <c r="H225" s="167"/>
      <c r="I225" s="167" t="str">
        <f t="shared" si="2762"/>
        <v xml:space="preserve"> </v>
      </c>
      <c r="J225" s="168" t="str">
        <f t="shared" si="2763"/>
        <v xml:space="preserve"> </v>
      </c>
      <c r="K225" s="168"/>
      <c r="L225" s="167" t="str">
        <f t="shared" si="2764"/>
        <v xml:space="preserve"> </v>
      </c>
      <c r="M225" s="166"/>
      <c r="N225" s="166" t="str">
        <f t="shared" si="2765"/>
        <v xml:space="preserve"> </v>
      </c>
      <c r="O225" s="168" t="str">
        <f t="shared" si="2766"/>
        <v xml:space="preserve"> </v>
      </c>
      <c r="P225" s="168"/>
      <c r="Q225" s="166" t="str">
        <f t="shared" si="2767"/>
        <v xml:space="preserve"> </v>
      </c>
      <c r="R225" s="167">
        <f ca="1">+BDFUENTES[[#This Row],[PZ MED m3/día]]/3.6/BDFUENTES[[#This Row],[PZ MED Horas Activo]]</f>
        <v>0</v>
      </c>
      <c r="S225" s="167" t="str">
        <f t="shared" ca="1" si="2768"/>
        <v xml:space="preserve"> </v>
      </c>
      <c r="T225" s="168" t="str">
        <f t="shared" si="2769"/>
        <v xml:space="preserve"> </v>
      </c>
      <c r="U225" s="168"/>
      <c r="V225" s="165" t="str">
        <f t="shared" si="2770"/>
        <v xml:space="preserve"> </v>
      </c>
      <c r="W225" s="164" t="str">
        <f t="shared" si="2771"/>
        <v xml:space="preserve"> </v>
      </c>
      <c r="X225" s="166"/>
      <c r="Y225" s="168" t="str">
        <f t="shared" si="2772"/>
        <v xml:space="preserve"> </v>
      </c>
      <c r="Z225" s="168"/>
      <c r="AA225" s="166" t="str">
        <f t="shared" si="2773"/>
        <v xml:space="preserve"> </v>
      </c>
      <c r="AB225" s="168" t="str">
        <f t="shared" si="2774"/>
        <v xml:space="preserve"> </v>
      </c>
      <c r="AC225" s="168"/>
      <c r="AD225" s="171" t="str">
        <f t="shared" si="2775"/>
        <v xml:space="preserve"> </v>
      </c>
      <c r="AE225" s="167"/>
      <c r="AF225" s="165" t="str">
        <f t="shared" si="2776"/>
        <v xml:space="preserve"> </v>
      </c>
      <c r="AG225" s="168"/>
      <c r="AH225" s="168"/>
      <c r="AI225" s="166"/>
      <c r="AJ225" s="166"/>
      <c r="AK225" s="166" t="str">
        <f t="shared" si="2777"/>
        <v/>
      </c>
      <c r="AL225" s="167"/>
      <c r="AM225" s="171" t="str">
        <f t="shared" si="2778"/>
        <v xml:space="preserve"> </v>
      </c>
      <c r="AN225" s="168" t="str">
        <f t="shared" si="2779"/>
        <v xml:space="preserve"> </v>
      </c>
      <c r="AO225" s="168"/>
      <c r="AP225" s="167" t="str">
        <f t="shared" si="2780"/>
        <v xml:space="preserve"> </v>
      </c>
      <c r="AQ225" s="166"/>
      <c r="AR225" s="166" t="str">
        <f t="shared" si="2781"/>
        <v xml:space="preserve"> </v>
      </c>
      <c r="AS225" s="168" t="str">
        <f t="shared" si="2782"/>
        <v xml:space="preserve"> </v>
      </c>
      <c r="AT225" s="168"/>
      <c r="AU225" s="166" t="str">
        <f t="shared" si="2783"/>
        <v xml:space="preserve"> </v>
      </c>
      <c r="AV225" s="167"/>
      <c r="AW225" s="167"/>
      <c r="AX225" s="169" t="str">
        <f t="shared" si="2784"/>
        <v xml:space="preserve"> </v>
      </c>
      <c r="AY225" s="169"/>
      <c r="AZ225" s="167" t="str">
        <f t="shared" si="2785"/>
        <v xml:space="preserve"> </v>
      </c>
      <c r="BA225" s="166"/>
      <c r="BB225" s="166"/>
      <c r="BC225" s="168" t="str">
        <f t="shared" si="2786"/>
        <v xml:space="preserve"> </v>
      </c>
      <c r="BD225" s="168"/>
      <c r="BE225" s="166" t="str">
        <f t="shared" si="2787"/>
        <v xml:space="preserve"> </v>
      </c>
      <c r="BF225" s="167"/>
      <c r="BG225" s="167"/>
      <c r="BH225" s="168" t="str">
        <f t="shared" si="2788"/>
        <v xml:space="preserve"> </v>
      </c>
      <c r="BI225" s="168"/>
      <c r="BJ225" s="167" t="str">
        <f t="shared" si="2789"/>
        <v xml:space="preserve"> </v>
      </c>
      <c r="BK225" s="166"/>
      <c r="BL225" s="166" t="str">
        <f t="shared" si="2790"/>
        <v xml:space="preserve"> </v>
      </c>
      <c r="BM225" s="168" t="str">
        <f t="shared" si="2791"/>
        <v xml:space="preserve"> </v>
      </c>
      <c r="BN225" s="168"/>
      <c r="BO225" s="166" t="str">
        <f t="shared" si="2792"/>
        <v xml:space="preserve"> </v>
      </c>
    </row>
    <row r="226" spans="2:67" ht="15" customHeight="1" x14ac:dyDescent="0.25">
      <c r="B226" s="170">
        <v>46244</v>
      </c>
      <c r="C226" s="164"/>
      <c r="D226" s="166" t="str">
        <f t="shared" si="2759"/>
        <v xml:space="preserve"> </v>
      </c>
      <c r="E226" s="168" t="str">
        <f t="shared" si="2760"/>
        <v xml:space="preserve"> </v>
      </c>
      <c r="F226" s="168"/>
      <c r="G226" s="166" t="str">
        <f t="shared" si="2761"/>
        <v xml:space="preserve"> </v>
      </c>
      <c r="H226" s="167"/>
      <c r="I226" s="167" t="str">
        <f t="shared" si="2762"/>
        <v xml:space="preserve"> </v>
      </c>
      <c r="J226" s="168" t="str">
        <f t="shared" si="2763"/>
        <v xml:space="preserve"> </v>
      </c>
      <c r="K226" s="168"/>
      <c r="L226" s="167" t="str">
        <f t="shared" si="2764"/>
        <v xml:space="preserve"> </v>
      </c>
      <c r="M226" s="166"/>
      <c r="N226" s="166" t="str">
        <f t="shared" si="2765"/>
        <v xml:space="preserve"> </v>
      </c>
      <c r="O226" s="168" t="str">
        <f t="shared" si="2766"/>
        <v xml:space="preserve"> </v>
      </c>
      <c r="P226" s="168"/>
      <c r="Q226" s="166" t="str">
        <f t="shared" si="2767"/>
        <v xml:space="preserve"> </v>
      </c>
      <c r="R226" s="167">
        <f ca="1">+BDFUENTES[[#This Row],[PZ MED m3/día]]/3.6/BDFUENTES[[#This Row],[PZ MED Horas Activo]]</f>
        <v>0</v>
      </c>
      <c r="S226" s="167" t="str">
        <f t="shared" ca="1" si="2768"/>
        <v xml:space="preserve"> </v>
      </c>
      <c r="T226" s="168" t="str">
        <f t="shared" si="2769"/>
        <v xml:space="preserve"> </v>
      </c>
      <c r="U226" s="168"/>
      <c r="V226" s="165" t="str">
        <f t="shared" si="2770"/>
        <v xml:space="preserve"> </v>
      </c>
      <c r="W226" s="164" t="str">
        <f t="shared" si="2771"/>
        <v xml:space="preserve"> </v>
      </c>
      <c r="X226" s="166"/>
      <c r="Y226" s="168" t="str">
        <f t="shared" si="2772"/>
        <v xml:space="preserve"> </v>
      </c>
      <c r="Z226" s="168"/>
      <c r="AA226" s="166" t="str">
        <f t="shared" si="2773"/>
        <v xml:space="preserve"> </v>
      </c>
      <c r="AB226" s="168" t="str">
        <f t="shared" si="2774"/>
        <v xml:space="preserve"> </v>
      </c>
      <c r="AC226" s="168"/>
      <c r="AD226" s="171" t="str">
        <f t="shared" si="2775"/>
        <v xml:space="preserve"> </v>
      </c>
      <c r="AE226" s="167"/>
      <c r="AF226" s="165" t="str">
        <f t="shared" si="2776"/>
        <v xml:space="preserve"> </v>
      </c>
      <c r="AG226" s="168"/>
      <c r="AH226" s="168"/>
      <c r="AI226" s="166"/>
      <c r="AJ226" s="166"/>
      <c r="AK226" s="166" t="str">
        <f t="shared" si="2777"/>
        <v/>
      </c>
      <c r="AL226" s="167"/>
      <c r="AM226" s="171" t="str">
        <f t="shared" si="2778"/>
        <v xml:space="preserve"> </v>
      </c>
      <c r="AN226" s="168" t="str">
        <f t="shared" si="2779"/>
        <v xml:space="preserve"> </v>
      </c>
      <c r="AO226" s="168"/>
      <c r="AP226" s="167" t="str">
        <f t="shared" si="2780"/>
        <v xml:space="preserve"> </v>
      </c>
      <c r="AQ226" s="166"/>
      <c r="AR226" s="166" t="str">
        <f t="shared" si="2781"/>
        <v xml:space="preserve"> </v>
      </c>
      <c r="AS226" s="168" t="str">
        <f t="shared" si="2782"/>
        <v xml:space="preserve"> </v>
      </c>
      <c r="AT226" s="168"/>
      <c r="AU226" s="166" t="str">
        <f t="shared" si="2783"/>
        <v xml:space="preserve"> </v>
      </c>
      <c r="AV226" s="167"/>
      <c r="AW226" s="167"/>
      <c r="AX226" s="169" t="str">
        <f t="shared" si="2784"/>
        <v xml:space="preserve"> </v>
      </c>
      <c r="AY226" s="169"/>
      <c r="AZ226" s="167" t="str">
        <f t="shared" si="2785"/>
        <v xml:space="preserve"> </v>
      </c>
      <c r="BA226" s="166"/>
      <c r="BB226" s="166"/>
      <c r="BC226" s="168" t="str">
        <f t="shared" si="2786"/>
        <v xml:space="preserve"> </v>
      </c>
      <c r="BD226" s="168"/>
      <c r="BE226" s="166" t="str">
        <f t="shared" si="2787"/>
        <v xml:space="preserve"> </v>
      </c>
      <c r="BF226" s="167"/>
      <c r="BG226" s="167"/>
      <c r="BH226" s="168" t="str">
        <f t="shared" si="2788"/>
        <v xml:space="preserve"> </v>
      </c>
      <c r="BI226" s="168"/>
      <c r="BJ226" s="167" t="str">
        <f t="shared" si="2789"/>
        <v xml:space="preserve"> </v>
      </c>
      <c r="BK226" s="166"/>
      <c r="BL226" s="166" t="str">
        <f t="shared" si="2790"/>
        <v xml:space="preserve"> </v>
      </c>
      <c r="BM226" s="168" t="str">
        <f t="shared" si="2791"/>
        <v xml:space="preserve"> </v>
      </c>
      <c r="BN226" s="168"/>
      <c r="BO226" s="166" t="str">
        <f t="shared" si="2792"/>
        <v xml:space="preserve"> </v>
      </c>
    </row>
    <row r="227" spans="2:67" ht="15" customHeight="1" x14ac:dyDescent="0.25">
      <c r="B227" s="170">
        <v>46245</v>
      </c>
      <c r="C227" s="164"/>
      <c r="D227" s="166" t="str">
        <f t="shared" si="2759"/>
        <v xml:space="preserve"> </v>
      </c>
      <c r="E227" s="168" t="str">
        <f t="shared" si="2760"/>
        <v xml:space="preserve"> </v>
      </c>
      <c r="F227" s="168"/>
      <c r="G227" s="166" t="str">
        <f t="shared" si="2761"/>
        <v xml:space="preserve"> </v>
      </c>
      <c r="H227" s="167"/>
      <c r="I227" s="167" t="str">
        <f t="shared" si="2762"/>
        <v xml:space="preserve"> </v>
      </c>
      <c r="J227" s="168" t="str">
        <f t="shared" si="2763"/>
        <v xml:space="preserve"> </v>
      </c>
      <c r="K227" s="168"/>
      <c r="L227" s="167" t="str">
        <f t="shared" si="2764"/>
        <v xml:space="preserve"> </v>
      </c>
      <c r="M227" s="166"/>
      <c r="N227" s="166" t="str">
        <f t="shared" si="2765"/>
        <v xml:space="preserve"> </v>
      </c>
      <c r="O227" s="168" t="str">
        <f t="shared" si="2766"/>
        <v xml:space="preserve"> </v>
      </c>
      <c r="P227" s="168"/>
      <c r="Q227" s="166" t="str">
        <f t="shared" si="2767"/>
        <v xml:space="preserve"> </v>
      </c>
      <c r="R227" s="167">
        <f ca="1">+BDFUENTES[[#This Row],[PZ MED m3/día]]/3.6/BDFUENTES[[#This Row],[PZ MED Horas Activo]]</f>
        <v>0</v>
      </c>
      <c r="S227" s="167" t="str">
        <f t="shared" ca="1" si="2768"/>
        <v xml:space="preserve"> </v>
      </c>
      <c r="T227" s="168" t="str">
        <f t="shared" si="2769"/>
        <v xml:space="preserve"> </v>
      </c>
      <c r="U227" s="168"/>
      <c r="V227" s="165" t="str">
        <f t="shared" si="2770"/>
        <v xml:space="preserve"> </v>
      </c>
      <c r="W227" s="164" t="str">
        <f t="shared" si="2771"/>
        <v xml:space="preserve"> </v>
      </c>
      <c r="X227" s="166"/>
      <c r="Y227" s="168" t="str">
        <f t="shared" si="2772"/>
        <v xml:space="preserve"> </v>
      </c>
      <c r="Z227" s="168"/>
      <c r="AA227" s="166" t="str">
        <f t="shared" si="2773"/>
        <v xml:space="preserve"> </v>
      </c>
      <c r="AB227" s="168" t="str">
        <f t="shared" si="2774"/>
        <v xml:space="preserve"> </v>
      </c>
      <c r="AC227" s="168"/>
      <c r="AD227" s="171" t="str">
        <f t="shared" si="2775"/>
        <v xml:space="preserve"> </v>
      </c>
      <c r="AE227" s="167"/>
      <c r="AF227" s="165" t="str">
        <f t="shared" si="2776"/>
        <v xml:space="preserve"> </v>
      </c>
      <c r="AG227" s="168"/>
      <c r="AH227" s="168"/>
      <c r="AI227" s="166"/>
      <c r="AJ227" s="166"/>
      <c r="AK227" s="166" t="str">
        <f t="shared" si="2777"/>
        <v/>
      </c>
      <c r="AL227" s="167"/>
      <c r="AM227" s="171" t="str">
        <f t="shared" si="2778"/>
        <v xml:space="preserve"> </v>
      </c>
      <c r="AN227" s="168" t="str">
        <f t="shared" si="2779"/>
        <v xml:space="preserve"> </v>
      </c>
      <c r="AO227" s="168"/>
      <c r="AP227" s="167" t="str">
        <f t="shared" si="2780"/>
        <v xml:space="preserve"> </v>
      </c>
      <c r="AQ227" s="166"/>
      <c r="AR227" s="166" t="str">
        <f t="shared" si="2781"/>
        <v xml:space="preserve"> </v>
      </c>
      <c r="AS227" s="168" t="str">
        <f t="shared" si="2782"/>
        <v xml:space="preserve"> </v>
      </c>
      <c r="AT227" s="168"/>
      <c r="AU227" s="166" t="str">
        <f t="shared" si="2783"/>
        <v xml:space="preserve"> </v>
      </c>
      <c r="AV227" s="167"/>
      <c r="AW227" s="167"/>
      <c r="AX227" s="169" t="str">
        <f t="shared" si="2784"/>
        <v xml:space="preserve"> </v>
      </c>
      <c r="AY227" s="169"/>
      <c r="AZ227" s="167" t="str">
        <f t="shared" si="2785"/>
        <v xml:space="preserve"> </v>
      </c>
      <c r="BA227" s="166"/>
      <c r="BB227" s="166"/>
      <c r="BC227" s="168" t="str">
        <f t="shared" si="2786"/>
        <v xml:space="preserve"> </v>
      </c>
      <c r="BD227" s="168"/>
      <c r="BE227" s="166" t="str">
        <f t="shared" si="2787"/>
        <v xml:space="preserve"> </v>
      </c>
      <c r="BF227" s="167"/>
      <c r="BG227" s="167"/>
      <c r="BH227" s="168" t="str">
        <f t="shared" si="2788"/>
        <v xml:space="preserve"> </v>
      </c>
      <c r="BI227" s="168"/>
      <c r="BJ227" s="167" t="str">
        <f t="shared" si="2789"/>
        <v xml:space="preserve"> </v>
      </c>
      <c r="BK227" s="166"/>
      <c r="BL227" s="166" t="str">
        <f t="shared" si="2790"/>
        <v xml:space="preserve"> </v>
      </c>
      <c r="BM227" s="168" t="str">
        <f t="shared" si="2791"/>
        <v xml:space="preserve"> </v>
      </c>
      <c r="BN227" s="168"/>
      <c r="BO227" s="166" t="str">
        <f t="shared" si="2792"/>
        <v xml:space="preserve"> </v>
      </c>
    </row>
    <row r="228" spans="2:67" ht="15" customHeight="1" x14ac:dyDescent="0.25">
      <c r="B228" s="170">
        <v>46246</v>
      </c>
      <c r="C228" s="164"/>
      <c r="D228" s="166" t="str">
        <f t="shared" si="2759"/>
        <v xml:space="preserve"> </v>
      </c>
      <c r="E228" s="168" t="str">
        <f t="shared" si="2760"/>
        <v xml:space="preserve"> </v>
      </c>
      <c r="F228" s="168"/>
      <c r="G228" s="166" t="str">
        <f t="shared" si="2761"/>
        <v xml:space="preserve"> </v>
      </c>
      <c r="H228" s="167"/>
      <c r="I228" s="167" t="str">
        <f t="shared" si="2762"/>
        <v xml:space="preserve"> </v>
      </c>
      <c r="J228" s="168" t="str">
        <f t="shared" si="2763"/>
        <v xml:space="preserve"> </v>
      </c>
      <c r="K228" s="168"/>
      <c r="L228" s="167" t="str">
        <f t="shared" si="2764"/>
        <v xml:space="preserve"> </v>
      </c>
      <c r="M228" s="166"/>
      <c r="N228" s="166" t="str">
        <f t="shared" si="2765"/>
        <v xml:space="preserve"> </v>
      </c>
      <c r="O228" s="168" t="str">
        <f t="shared" si="2766"/>
        <v xml:space="preserve"> </v>
      </c>
      <c r="P228" s="168"/>
      <c r="Q228" s="166" t="str">
        <f t="shared" si="2767"/>
        <v xml:space="preserve"> </v>
      </c>
      <c r="R228" s="167">
        <f ca="1">+BDFUENTES[[#This Row],[PZ MED m3/día]]/3.6/BDFUENTES[[#This Row],[PZ MED Horas Activo]]</f>
        <v>0</v>
      </c>
      <c r="S228" s="167" t="str">
        <f t="shared" ca="1" si="2768"/>
        <v xml:space="preserve"> </v>
      </c>
      <c r="T228" s="168" t="str">
        <f t="shared" si="2769"/>
        <v xml:space="preserve"> </v>
      </c>
      <c r="U228" s="168"/>
      <c r="V228" s="165" t="str">
        <f t="shared" si="2770"/>
        <v xml:space="preserve"> </v>
      </c>
      <c r="W228" s="164" t="str">
        <f t="shared" si="2771"/>
        <v xml:space="preserve"> </v>
      </c>
      <c r="X228" s="166"/>
      <c r="Y228" s="168" t="str">
        <f t="shared" si="2772"/>
        <v xml:space="preserve"> </v>
      </c>
      <c r="Z228" s="168"/>
      <c r="AA228" s="166" t="str">
        <f t="shared" si="2773"/>
        <v xml:space="preserve"> </v>
      </c>
      <c r="AB228" s="168" t="str">
        <f t="shared" si="2774"/>
        <v xml:space="preserve"> </v>
      </c>
      <c r="AC228" s="168"/>
      <c r="AD228" s="171" t="str">
        <f t="shared" si="2775"/>
        <v xml:space="preserve"> </v>
      </c>
      <c r="AE228" s="167"/>
      <c r="AF228" s="165" t="str">
        <f t="shared" si="2776"/>
        <v xml:space="preserve"> </v>
      </c>
      <c r="AG228" s="168"/>
      <c r="AH228" s="168"/>
      <c r="AI228" s="166"/>
      <c r="AJ228" s="166"/>
      <c r="AK228" s="166" t="str">
        <f t="shared" si="2777"/>
        <v/>
      </c>
      <c r="AL228" s="167"/>
      <c r="AM228" s="171" t="str">
        <f t="shared" si="2778"/>
        <v xml:space="preserve"> </v>
      </c>
      <c r="AN228" s="168" t="str">
        <f t="shared" si="2779"/>
        <v xml:space="preserve"> </v>
      </c>
      <c r="AO228" s="168"/>
      <c r="AP228" s="167" t="str">
        <f t="shared" si="2780"/>
        <v xml:space="preserve"> </v>
      </c>
      <c r="AQ228" s="166"/>
      <c r="AR228" s="166" t="str">
        <f t="shared" si="2781"/>
        <v xml:space="preserve"> </v>
      </c>
      <c r="AS228" s="168" t="str">
        <f t="shared" si="2782"/>
        <v xml:space="preserve"> </v>
      </c>
      <c r="AT228" s="168"/>
      <c r="AU228" s="166" t="str">
        <f t="shared" si="2783"/>
        <v xml:space="preserve"> </v>
      </c>
      <c r="AV228" s="167"/>
      <c r="AW228" s="167"/>
      <c r="AX228" s="169" t="str">
        <f t="shared" si="2784"/>
        <v xml:space="preserve"> </v>
      </c>
      <c r="AY228" s="169"/>
      <c r="AZ228" s="167" t="str">
        <f t="shared" si="2785"/>
        <v xml:space="preserve"> </v>
      </c>
      <c r="BA228" s="166"/>
      <c r="BB228" s="166"/>
      <c r="BC228" s="168" t="str">
        <f t="shared" si="2786"/>
        <v xml:space="preserve"> </v>
      </c>
      <c r="BD228" s="168"/>
      <c r="BE228" s="166" t="str">
        <f t="shared" si="2787"/>
        <v xml:space="preserve"> </v>
      </c>
      <c r="BF228" s="167"/>
      <c r="BG228" s="167"/>
      <c r="BH228" s="168" t="str">
        <f t="shared" si="2788"/>
        <v xml:space="preserve"> </v>
      </c>
      <c r="BI228" s="168"/>
      <c r="BJ228" s="167" t="str">
        <f t="shared" si="2789"/>
        <v xml:space="preserve"> </v>
      </c>
      <c r="BK228" s="166"/>
      <c r="BL228" s="166" t="str">
        <f t="shared" si="2790"/>
        <v xml:space="preserve"> </v>
      </c>
      <c r="BM228" s="168" t="str">
        <f t="shared" si="2791"/>
        <v xml:space="preserve"> </v>
      </c>
      <c r="BN228" s="168"/>
      <c r="BO228" s="166" t="str">
        <f t="shared" si="2792"/>
        <v xml:space="preserve"> </v>
      </c>
    </row>
    <row r="229" spans="2:67" ht="15" customHeight="1" x14ac:dyDescent="0.25">
      <c r="B229" s="170">
        <v>46247</v>
      </c>
      <c r="C229" s="164"/>
      <c r="D229" s="166" t="str">
        <f t="shared" si="2759"/>
        <v xml:space="preserve"> </v>
      </c>
      <c r="E229" s="168" t="str">
        <f t="shared" si="2760"/>
        <v xml:space="preserve"> </v>
      </c>
      <c r="F229" s="168"/>
      <c r="G229" s="166" t="str">
        <f t="shared" si="2761"/>
        <v xml:space="preserve"> </v>
      </c>
      <c r="H229" s="167"/>
      <c r="I229" s="167" t="str">
        <f t="shared" si="2762"/>
        <v xml:space="preserve"> </v>
      </c>
      <c r="J229" s="168" t="str">
        <f t="shared" si="2763"/>
        <v xml:space="preserve"> </v>
      </c>
      <c r="K229" s="168"/>
      <c r="L229" s="167" t="str">
        <f t="shared" si="2764"/>
        <v xml:space="preserve"> </v>
      </c>
      <c r="M229" s="166"/>
      <c r="N229" s="166" t="str">
        <f t="shared" si="2765"/>
        <v xml:space="preserve"> </v>
      </c>
      <c r="O229" s="168" t="str">
        <f t="shared" si="2766"/>
        <v xml:space="preserve"> </v>
      </c>
      <c r="P229" s="168"/>
      <c r="Q229" s="166" t="str">
        <f t="shared" si="2767"/>
        <v xml:space="preserve"> </v>
      </c>
      <c r="R229" s="167">
        <f ca="1">+BDFUENTES[[#This Row],[PZ MED m3/día]]/3.6/BDFUENTES[[#This Row],[PZ MED Horas Activo]]</f>
        <v>0</v>
      </c>
      <c r="S229" s="167" t="str">
        <f t="shared" ca="1" si="2768"/>
        <v xml:space="preserve"> </v>
      </c>
      <c r="T229" s="168" t="str">
        <f t="shared" si="2769"/>
        <v xml:space="preserve"> </v>
      </c>
      <c r="U229" s="168"/>
      <c r="V229" s="165" t="str">
        <f t="shared" si="2770"/>
        <v xml:space="preserve"> </v>
      </c>
      <c r="W229" s="164" t="str">
        <f t="shared" si="2771"/>
        <v xml:space="preserve"> </v>
      </c>
      <c r="X229" s="166"/>
      <c r="Y229" s="168" t="str">
        <f t="shared" si="2772"/>
        <v xml:space="preserve"> </v>
      </c>
      <c r="Z229" s="168"/>
      <c r="AA229" s="166" t="str">
        <f t="shared" si="2773"/>
        <v xml:space="preserve"> </v>
      </c>
      <c r="AB229" s="168" t="str">
        <f t="shared" si="2774"/>
        <v xml:space="preserve"> </v>
      </c>
      <c r="AC229" s="168"/>
      <c r="AD229" s="171" t="str">
        <f t="shared" si="2775"/>
        <v xml:space="preserve"> </v>
      </c>
      <c r="AE229" s="167"/>
      <c r="AF229" s="165" t="str">
        <f t="shared" si="2776"/>
        <v xml:space="preserve"> </v>
      </c>
      <c r="AG229" s="168"/>
      <c r="AH229" s="168"/>
      <c r="AI229" s="166"/>
      <c r="AJ229" s="166"/>
      <c r="AK229" s="166" t="str">
        <f t="shared" si="2777"/>
        <v/>
      </c>
      <c r="AL229" s="167"/>
      <c r="AM229" s="171" t="str">
        <f t="shared" si="2778"/>
        <v xml:space="preserve"> </v>
      </c>
      <c r="AN229" s="168" t="str">
        <f t="shared" si="2779"/>
        <v xml:space="preserve"> </v>
      </c>
      <c r="AO229" s="168"/>
      <c r="AP229" s="167" t="str">
        <f t="shared" si="2780"/>
        <v xml:space="preserve"> </v>
      </c>
      <c r="AQ229" s="166"/>
      <c r="AR229" s="166" t="str">
        <f t="shared" si="2781"/>
        <v xml:space="preserve"> </v>
      </c>
      <c r="AS229" s="168" t="str">
        <f t="shared" si="2782"/>
        <v xml:space="preserve"> </v>
      </c>
      <c r="AT229" s="168"/>
      <c r="AU229" s="166" t="str">
        <f t="shared" si="2783"/>
        <v xml:space="preserve"> </v>
      </c>
      <c r="AV229" s="167"/>
      <c r="AW229" s="167"/>
      <c r="AX229" s="169" t="str">
        <f t="shared" si="2784"/>
        <v xml:space="preserve"> </v>
      </c>
      <c r="AY229" s="169"/>
      <c r="AZ229" s="167" t="str">
        <f t="shared" si="2785"/>
        <v xml:space="preserve"> </v>
      </c>
      <c r="BA229" s="166"/>
      <c r="BB229" s="166"/>
      <c r="BC229" s="168" t="str">
        <f t="shared" si="2786"/>
        <v xml:space="preserve"> </v>
      </c>
      <c r="BD229" s="168"/>
      <c r="BE229" s="166" t="str">
        <f t="shared" si="2787"/>
        <v xml:space="preserve"> </v>
      </c>
      <c r="BF229" s="167"/>
      <c r="BG229" s="167"/>
      <c r="BH229" s="168" t="str">
        <f t="shared" si="2788"/>
        <v xml:space="preserve"> </v>
      </c>
      <c r="BI229" s="168"/>
      <c r="BJ229" s="167" t="str">
        <f t="shared" si="2789"/>
        <v xml:space="preserve"> </v>
      </c>
      <c r="BK229" s="166"/>
      <c r="BL229" s="166" t="str">
        <f t="shared" si="2790"/>
        <v xml:space="preserve"> </v>
      </c>
      <c r="BM229" s="168" t="str">
        <f t="shared" si="2791"/>
        <v xml:space="preserve"> </v>
      </c>
      <c r="BN229" s="168"/>
      <c r="BO229" s="166" t="str">
        <f t="shared" si="2792"/>
        <v xml:space="preserve"> </v>
      </c>
    </row>
    <row r="230" spans="2:67" ht="15" customHeight="1" x14ac:dyDescent="0.25">
      <c r="B230" s="170">
        <v>46248</v>
      </c>
      <c r="C230" s="164"/>
      <c r="D230" s="166" t="str">
        <f t="shared" si="2759"/>
        <v xml:space="preserve"> </v>
      </c>
      <c r="E230" s="168" t="str">
        <f t="shared" si="2760"/>
        <v xml:space="preserve"> </v>
      </c>
      <c r="F230" s="168"/>
      <c r="G230" s="166" t="str">
        <f t="shared" si="2761"/>
        <v xml:space="preserve"> </v>
      </c>
      <c r="H230" s="167"/>
      <c r="I230" s="167" t="str">
        <f t="shared" si="2762"/>
        <v xml:space="preserve"> </v>
      </c>
      <c r="J230" s="168" t="str">
        <f t="shared" si="2763"/>
        <v xml:space="preserve"> </v>
      </c>
      <c r="K230" s="168"/>
      <c r="L230" s="167" t="str">
        <f t="shared" si="2764"/>
        <v xml:space="preserve"> </v>
      </c>
      <c r="M230" s="166"/>
      <c r="N230" s="166" t="str">
        <f t="shared" si="2765"/>
        <v xml:space="preserve"> </v>
      </c>
      <c r="O230" s="168" t="str">
        <f t="shared" si="2766"/>
        <v xml:space="preserve"> </v>
      </c>
      <c r="P230" s="168"/>
      <c r="Q230" s="166" t="str">
        <f t="shared" si="2767"/>
        <v xml:space="preserve"> </v>
      </c>
      <c r="R230" s="167">
        <f ca="1">+BDFUENTES[[#This Row],[PZ MED m3/día]]/3.6/BDFUENTES[[#This Row],[PZ MED Horas Activo]]</f>
        <v>0</v>
      </c>
      <c r="S230" s="167" t="str">
        <f t="shared" ca="1" si="2768"/>
        <v xml:space="preserve"> </v>
      </c>
      <c r="T230" s="168" t="str">
        <f t="shared" si="2769"/>
        <v xml:space="preserve"> </v>
      </c>
      <c r="U230" s="168"/>
      <c r="V230" s="165" t="str">
        <f t="shared" si="2770"/>
        <v xml:space="preserve"> </v>
      </c>
      <c r="W230" s="164" t="str">
        <f t="shared" si="2771"/>
        <v xml:space="preserve"> </v>
      </c>
      <c r="X230" s="166"/>
      <c r="Y230" s="168" t="str">
        <f t="shared" si="2772"/>
        <v xml:space="preserve"> </v>
      </c>
      <c r="Z230" s="168"/>
      <c r="AA230" s="166" t="str">
        <f t="shared" si="2773"/>
        <v xml:space="preserve"> </v>
      </c>
      <c r="AB230" s="168" t="str">
        <f t="shared" si="2774"/>
        <v xml:space="preserve"> </v>
      </c>
      <c r="AC230" s="168"/>
      <c r="AD230" s="171" t="str">
        <f t="shared" si="2775"/>
        <v xml:space="preserve"> </v>
      </c>
      <c r="AE230" s="167"/>
      <c r="AF230" s="165" t="str">
        <f t="shared" si="2776"/>
        <v xml:space="preserve"> </v>
      </c>
      <c r="AG230" s="168"/>
      <c r="AH230" s="168"/>
      <c r="AI230" s="166"/>
      <c r="AJ230" s="166"/>
      <c r="AK230" s="166" t="str">
        <f t="shared" si="2777"/>
        <v/>
      </c>
      <c r="AL230" s="167"/>
      <c r="AM230" s="171" t="str">
        <f t="shared" si="2778"/>
        <v xml:space="preserve"> </v>
      </c>
      <c r="AN230" s="168" t="str">
        <f t="shared" si="2779"/>
        <v xml:space="preserve"> </v>
      </c>
      <c r="AO230" s="168"/>
      <c r="AP230" s="167" t="str">
        <f t="shared" si="2780"/>
        <v xml:space="preserve"> </v>
      </c>
      <c r="AQ230" s="166"/>
      <c r="AR230" s="166" t="str">
        <f t="shared" si="2781"/>
        <v xml:space="preserve"> </v>
      </c>
      <c r="AS230" s="168" t="str">
        <f t="shared" si="2782"/>
        <v xml:space="preserve"> </v>
      </c>
      <c r="AT230" s="168"/>
      <c r="AU230" s="166" t="str">
        <f t="shared" si="2783"/>
        <v xml:space="preserve"> </v>
      </c>
      <c r="AV230" s="167"/>
      <c r="AW230" s="167"/>
      <c r="AX230" s="169" t="str">
        <f t="shared" si="2784"/>
        <v xml:space="preserve"> </v>
      </c>
      <c r="AY230" s="169"/>
      <c r="AZ230" s="167" t="str">
        <f t="shared" si="2785"/>
        <v xml:space="preserve"> </v>
      </c>
      <c r="BA230" s="166"/>
      <c r="BB230" s="166"/>
      <c r="BC230" s="168" t="str">
        <f t="shared" si="2786"/>
        <v xml:space="preserve"> </v>
      </c>
      <c r="BD230" s="168"/>
      <c r="BE230" s="166" t="str">
        <f t="shared" si="2787"/>
        <v xml:space="preserve"> </v>
      </c>
      <c r="BF230" s="167"/>
      <c r="BG230" s="167"/>
      <c r="BH230" s="168" t="str">
        <f t="shared" si="2788"/>
        <v xml:space="preserve"> </v>
      </c>
      <c r="BI230" s="168"/>
      <c r="BJ230" s="167" t="str">
        <f t="shared" si="2789"/>
        <v xml:space="preserve"> </v>
      </c>
      <c r="BK230" s="166"/>
      <c r="BL230" s="166" t="str">
        <f t="shared" si="2790"/>
        <v xml:space="preserve"> </v>
      </c>
      <c r="BM230" s="168" t="str">
        <f t="shared" si="2791"/>
        <v xml:space="preserve"> </v>
      </c>
      <c r="BN230" s="168"/>
      <c r="BO230" s="166" t="str">
        <f t="shared" si="2792"/>
        <v xml:space="preserve"> </v>
      </c>
    </row>
    <row r="231" spans="2:67" ht="15" customHeight="1" x14ac:dyDescent="0.25">
      <c r="B231" s="170">
        <v>46249</v>
      </c>
      <c r="C231" s="164"/>
      <c r="D231" s="166" t="str">
        <f t="shared" si="2759"/>
        <v xml:space="preserve"> </v>
      </c>
      <c r="E231" s="168" t="str">
        <f t="shared" si="2760"/>
        <v xml:space="preserve"> </v>
      </c>
      <c r="F231" s="168"/>
      <c r="G231" s="166" t="str">
        <f t="shared" si="2761"/>
        <v xml:space="preserve"> </v>
      </c>
      <c r="H231" s="167"/>
      <c r="I231" s="167" t="str">
        <f t="shared" si="2762"/>
        <v xml:space="preserve"> </v>
      </c>
      <c r="J231" s="168" t="str">
        <f t="shared" si="2763"/>
        <v xml:space="preserve"> </v>
      </c>
      <c r="K231" s="168"/>
      <c r="L231" s="167" t="str">
        <f t="shared" si="2764"/>
        <v xml:space="preserve"> </v>
      </c>
      <c r="M231" s="166"/>
      <c r="N231" s="166" t="str">
        <f t="shared" si="2765"/>
        <v xml:space="preserve"> </v>
      </c>
      <c r="O231" s="168" t="str">
        <f t="shared" si="2766"/>
        <v xml:space="preserve"> </v>
      </c>
      <c r="P231" s="168"/>
      <c r="Q231" s="166" t="str">
        <f t="shared" si="2767"/>
        <v xml:space="preserve"> </v>
      </c>
      <c r="R231" s="167">
        <f ca="1">+BDFUENTES[[#This Row],[PZ MED m3/día]]/3.6/BDFUENTES[[#This Row],[PZ MED Horas Activo]]</f>
        <v>0</v>
      </c>
      <c r="S231" s="167" t="str">
        <f t="shared" ca="1" si="2768"/>
        <v xml:space="preserve"> </v>
      </c>
      <c r="T231" s="168" t="str">
        <f t="shared" si="2769"/>
        <v xml:space="preserve"> </v>
      </c>
      <c r="U231" s="168"/>
      <c r="V231" s="165" t="str">
        <f t="shared" si="2770"/>
        <v xml:space="preserve"> </v>
      </c>
      <c r="W231" s="164" t="str">
        <f t="shared" si="2771"/>
        <v xml:space="preserve"> </v>
      </c>
      <c r="X231" s="166"/>
      <c r="Y231" s="168" t="str">
        <f t="shared" si="2772"/>
        <v xml:space="preserve"> </v>
      </c>
      <c r="Z231" s="168"/>
      <c r="AA231" s="166" t="str">
        <f t="shared" si="2773"/>
        <v xml:space="preserve"> </v>
      </c>
      <c r="AB231" s="168" t="str">
        <f t="shared" si="2774"/>
        <v xml:space="preserve"> </v>
      </c>
      <c r="AC231" s="168"/>
      <c r="AD231" s="171" t="str">
        <f t="shared" si="2775"/>
        <v xml:space="preserve"> </v>
      </c>
      <c r="AE231" s="167"/>
      <c r="AF231" s="165" t="str">
        <f t="shared" si="2776"/>
        <v xml:space="preserve"> </v>
      </c>
      <c r="AG231" s="168"/>
      <c r="AH231" s="168"/>
      <c r="AI231" s="166"/>
      <c r="AJ231" s="166"/>
      <c r="AK231" s="166" t="str">
        <f t="shared" si="2777"/>
        <v/>
      </c>
      <c r="AL231" s="167"/>
      <c r="AM231" s="171" t="str">
        <f t="shared" si="2778"/>
        <v xml:space="preserve"> </v>
      </c>
      <c r="AN231" s="168" t="str">
        <f t="shared" si="2779"/>
        <v xml:space="preserve"> </v>
      </c>
      <c r="AO231" s="168"/>
      <c r="AP231" s="167" t="str">
        <f t="shared" si="2780"/>
        <v xml:space="preserve"> </v>
      </c>
      <c r="AQ231" s="166"/>
      <c r="AR231" s="166" t="str">
        <f t="shared" si="2781"/>
        <v xml:space="preserve"> </v>
      </c>
      <c r="AS231" s="168" t="str">
        <f t="shared" si="2782"/>
        <v xml:space="preserve"> </v>
      </c>
      <c r="AT231" s="168"/>
      <c r="AU231" s="166" t="str">
        <f t="shared" si="2783"/>
        <v xml:space="preserve"> </v>
      </c>
      <c r="AV231" s="167"/>
      <c r="AW231" s="167"/>
      <c r="AX231" s="169" t="str">
        <f t="shared" si="2784"/>
        <v xml:space="preserve"> </v>
      </c>
      <c r="AY231" s="169"/>
      <c r="AZ231" s="167" t="str">
        <f t="shared" si="2785"/>
        <v xml:space="preserve"> </v>
      </c>
      <c r="BA231" s="166"/>
      <c r="BB231" s="166"/>
      <c r="BC231" s="168" t="str">
        <f t="shared" si="2786"/>
        <v xml:space="preserve"> </v>
      </c>
      <c r="BD231" s="168"/>
      <c r="BE231" s="166" t="str">
        <f t="shared" si="2787"/>
        <v xml:space="preserve"> </v>
      </c>
      <c r="BF231" s="167"/>
      <c r="BG231" s="167"/>
      <c r="BH231" s="168" t="str">
        <f t="shared" si="2788"/>
        <v xml:space="preserve"> </v>
      </c>
      <c r="BI231" s="168"/>
      <c r="BJ231" s="167" t="str">
        <f t="shared" si="2789"/>
        <v xml:space="preserve"> </v>
      </c>
      <c r="BK231" s="166"/>
      <c r="BL231" s="166" t="str">
        <f t="shared" si="2790"/>
        <v xml:space="preserve"> </v>
      </c>
      <c r="BM231" s="168" t="str">
        <f t="shared" si="2791"/>
        <v xml:space="preserve"> </v>
      </c>
      <c r="BN231" s="168"/>
      <c r="BO231" s="166" t="str">
        <f t="shared" si="2792"/>
        <v xml:space="preserve"> </v>
      </c>
    </row>
    <row r="232" spans="2:67" ht="15" customHeight="1" x14ac:dyDescent="0.25">
      <c r="B232" s="170">
        <v>46250</v>
      </c>
      <c r="C232" s="164"/>
      <c r="D232" s="166" t="str">
        <f t="shared" ref="D232:D295" si="2793">IFERROR(+G232/(C232*3.6)," ")</f>
        <v xml:space="preserve"> </v>
      </c>
      <c r="E232" s="168" t="str">
        <f t="shared" ref="E232:E295" si="2794">IF(F232&gt;0,F231," ")</f>
        <v xml:space="preserve"> </v>
      </c>
      <c r="F232" s="168"/>
      <c r="G232" s="166" t="str">
        <f t="shared" ref="G232:G295" si="2795">IFERROR((F232-E232)," ")</f>
        <v xml:space="preserve"> </v>
      </c>
      <c r="H232" s="167"/>
      <c r="I232" s="167" t="str">
        <f t="shared" ref="I232:I295" si="2796">IFERROR(+L232/(H232*3.6)," ")</f>
        <v xml:space="preserve"> </v>
      </c>
      <c r="J232" s="168" t="str">
        <f t="shared" ref="J232:J295" si="2797">IF(K232&gt;0,K231," ")</f>
        <v xml:space="preserve"> </v>
      </c>
      <c r="K232" s="168"/>
      <c r="L232" s="167" t="str">
        <f t="shared" ref="L232:L295" si="2798">IFERROR((K232-J232)," ")</f>
        <v xml:space="preserve"> </v>
      </c>
      <c r="M232" s="166"/>
      <c r="N232" s="166" t="str">
        <f t="shared" ref="N232:N295" si="2799">IFERROR(+Q232/(M232*3.6)," ")</f>
        <v xml:space="preserve"> </v>
      </c>
      <c r="O232" s="168" t="str">
        <f t="shared" ref="O232:O295" si="2800">IF(P232&gt;0,P231," ")</f>
        <v xml:space="preserve"> </v>
      </c>
      <c r="P232" s="168"/>
      <c r="Q232" s="166" t="str">
        <f t="shared" ref="Q232:Q295" si="2801">IFERROR((P232-O232)," ")</f>
        <v xml:space="preserve"> </v>
      </c>
      <c r="R232" s="167">
        <f ca="1">+BDFUENTES[[#This Row],[PZ MED m3/día]]/3.6/BDFUENTES[[#This Row],[PZ MED Horas Activo]]</f>
        <v>0</v>
      </c>
      <c r="S232" s="167" t="str">
        <f t="shared" ref="S232:S295" ca="1" si="2802">IFERROR(+V232/(R232*3.6)," ")</f>
        <v xml:space="preserve"> </v>
      </c>
      <c r="T232" s="168" t="str">
        <f t="shared" ref="T232:T295" si="2803">IF(U232&gt;0,U231," ")</f>
        <v xml:space="preserve"> </v>
      </c>
      <c r="U232" s="168"/>
      <c r="V232" s="165" t="str">
        <f t="shared" ref="V232:V295" si="2804">IFERROR((U232-T232)," ")</f>
        <v xml:space="preserve"> </v>
      </c>
      <c r="W232" s="164" t="str">
        <f t="shared" ref="W232:W295" si="2805">IFERROR((AA232/X232)/3.6," ")</f>
        <v xml:space="preserve"> </v>
      </c>
      <c r="X232" s="166"/>
      <c r="Y232" s="168" t="str">
        <f t="shared" ref="Y232:Y295" si="2806">IF(Z232&gt;0,Z231," ")</f>
        <v xml:space="preserve"> </v>
      </c>
      <c r="Z232" s="168"/>
      <c r="AA232" s="166" t="str">
        <f t="shared" ref="AA232:AA295" si="2807">IFERROR(-(Z232-Y232)," ")</f>
        <v xml:space="preserve"> </v>
      </c>
      <c r="AB232" s="168" t="str">
        <f t="shared" ref="AB232:AB295" si="2808">IFERROR(ROUNDDOWN(+AF232/(AC232*3.6),0)," ")</f>
        <v xml:space="preserve"> </v>
      </c>
      <c r="AC232" s="168"/>
      <c r="AD232" s="171" t="str">
        <f t="shared" ref="AD232:AD295" si="2809">IF(AE232&gt;0,AE231," ")</f>
        <v xml:space="preserve"> </v>
      </c>
      <c r="AE232" s="167"/>
      <c r="AF232" s="165" t="str">
        <f t="shared" ref="AF232:AF295" si="2810">IFERROR((AE232-AD232)," ")</f>
        <v xml:space="preserve"> </v>
      </c>
      <c r="AG232" s="168"/>
      <c r="AH232" s="168"/>
      <c r="AI232" s="166"/>
      <c r="AJ232" s="166"/>
      <c r="AK232" s="166" t="str">
        <f t="shared" ref="AK232:AK295" si="2811">IF(OR(AH232="",AG232=""),"",AH232*AG232*3.6)</f>
        <v/>
      </c>
      <c r="AL232" s="167"/>
      <c r="AM232" s="171" t="str">
        <f t="shared" ref="AM232:AM295" si="2812">IFERROR(+AP232/(AL232*3.6)," ")</f>
        <v xml:space="preserve"> </v>
      </c>
      <c r="AN232" s="168" t="str">
        <f t="shared" ref="AN232:AN295" si="2813">IF(AO232&gt;0,AO231," ")</f>
        <v xml:space="preserve"> </v>
      </c>
      <c r="AO232" s="168"/>
      <c r="AP232" s="167" t="str">
        <f t="shared" ref="AP232:AP295" si="2814">IFERROR((AO232-AN232)," ")</f>
        <v xml:space="preserve"> </v>
      </c>
      <c r="AQ232" s="166"/>
      <c r="AR232" s="166" t="str">
        <f t="shared" ref="AR232:AR295" si="2815">IFERROR(+AU232/(AQ232*3.6)," ")</f>
        <v xml:space="preserve"> </v>
      </c>
      <c r="AS232" s="168" t="str">
        <f t="shared" ref="AS232:AS295" si="2816">IF(AT232&gt;0,AT231," ")</f>
        <v xml:space="preserve"> </v>
      </c>
      <c r="AT232" s="168"/>
      <c r="AU232" s="166" t="str">
        <f t="shared" ref="AU232:AU295" si="2817">IFERROR((AT232-AS232)," ")</f>
        <v xml:space="preserve"> </v>
      </c>
      <c r="AV232" s="167"/>
      <c r="AW232" s="167"/>
      <c r="AX232" s="169" t="str">
        <f t="shared" ref="AX232:AX295" si="2818">IF(AY232&gt;0,AY231," ")</f>
        <v xml:space="preserve"> </v>
      </c>
      <c r="AY232" s="169"/>
      <c r="AZ232" s="167" t="str">
        <f t="shared" ref="AZ232:AZ295" si="2819">IFERROR((AY232-AX232)," ")</f>
        <v xml:space="preserve"> </v>
      </c>
      <c r="BA232" s="166"/>
      <c r="BB232" s="166"/>
      <c r="BC232" s="168" t="str">
        <f t="shared" ref="BC232:BC295" si="2820">IF(BD232&gt;0,BD231," ")</f>
        <v xml:space="preserve"> </v>
      </c>
      <c r="BD232" s="168"/>
      <c r="BE232" s="166" t="str">
        <f t="shared" ref="BE232:BE295" si="2821">IFERROR((BD232-BC232)," ")</f>
        <v xml:space="preserve"> </v>
      </c>
      <c r="BF232" s="167"/>
      <c r="BG232" s="167"/>
      <c r="BH232" s="168" t="str">
        <f t="shared" ref="BH232:BH295" si="2822">IF(BI232&gt;0,BI231," ")</f>
        <v xml:space="preserve"> </v>
      </c>
      <c r="BI232" s="168"/>
      <c r="BJ232" s="167" t="str">
        <f t="shared" ref="BJ232:BJ295" si="2823">IFERROR((BI232-BH232)," ")</f>
        <v xml:space="preserve"> </v>
      </c>
      <c r="BK232" s="166"/>
      <c r="BL232" s="166" t="str">
        <f t="shared" ref="BL232:BL295" si="2824">IFERROR(+BO232/(BK232*3.6)," ")</f>
        <v xml:space="preserve"> </v>
      </c>
      <c r="BM232" s="168" t="str">
        <f t="shared" ref="BM232:BM295" si="2825">IF(BN232&gt;0,BN231," ")</f>
        <v xml:space="preserve"> </v>
      </c>
      <c r="BN232" s="168"/>
      <c r="BO232" s="166" t="str">
        <f t="shared" ref="BO232:BO295" si="2826">IFERROR((BN232-BM232)," ")</f>
        <v xml:space="preserve"> </v>
      </c>
    </row>
    <row r="233" spans="2:67" ht="15" customHeight="1" x14ac:dyDescent="0.25">
      <c r="B233" s="170">
        <v>46251</v>
      </c>
      <c r="C233" s="164"/>
      <c r="D233" s="166" t="str">
        <f t="shared" si="2793"/>
        <v xml:space="preserve"> </v>
      </c>
      <c r="E233" s="168" t="str">
        <f t="shared" si="2794"/>
        <v xml:space="preserve"> </v>
      </c>
      <c r="F233" s="168"/>
      <c r="G233" s="166" t="str">
        <f t="shared" si="2795"/>
        <v xml:space="preserve"> </v>
      </c>
      <c r="H233" s="167"/>
      <c r="I233" s="167" t="str">
        <f t="shared" si="2796"/>
        <v xml:space="preserve"> </v>
      </c>
      <c r="J233" s="168" t="str">
        <f t="shared" si="2797"/>
        <v xml:space="preserve"> </v>
      </c>
      <c r="K233" s="168"/>
      <c r="L233" s="167" t="str">
        <f t="shared" si="2798"/>
        <v xml:space="preserve"> </v>
      </c>
      <c r="M233" s="166"/>
      <c r="N233" s="166" t="str">
        <f t="shared" si="2799"/>
        <v xml:space="preserve"> </v>
      </c>
      <c r="O233" s="168" t="str">
        <f t="shared" si="2800"/>
        <v xml:space="preserve"> </v>
      </c>
      <c r="P233" s="168"/>
      <c r="Q233" s="166" t="str">
        <f t="shared" si="2801"/>
        <v xml:space="preserve"> </v>
      </c>
      <c r="R233" s="167">
        <f ca="1">+BDFUENTES[[#This Row],[PZ MED m3/día]]/3.6/BDFUENTES[[#This Row],[PZ MED Horas Activo]]</f>
        <v>0</v>
      </c>
      <c r="S233" s="167" t="str">
        <f t="shared" ca="1" si="2802"/>
        <v xml:space="preserve"> </v>
      </c>
      <c r="T233" s="168" t="str">
        <f t="shared" si="2803"/>
        <v xml:space="preserve"> </v>
      </c>
      <c r="U233" s="168"/>
      <c r="V233" s="165" t="str">
        <f t="shared" si="2804"/>
        <v xml:space="preserve"> </v>
      </c>
      <c r="W233" s="164" t="str">
        <f t="shared" si="2805"/>
        <v xml:space="preserve"> </v>
      </c>
      <c r="X233" s="166"/>
      <c r="Y233" s="168" t="str">
        <f t="shared" si="2806"/>
        <v xml:space="preserve"> </v>
      </c>
      <c r="Z233" s="168"/>
      <c r="AA233" s="166" t="str">
        <f t="shared" si="2807"/>
        <v xml:space="preserve"> </v>
      </c>
      <c r="AB233" s="168" t="str">
        <f t="shared" si="2808"/>
        <v xml:space="preserve"> </v>
      </c>
      <c r="AC233" s="168"/>
      <c r="AD233" s="171" t="str">
        <f t="shared" si="2809"/>
        <v xml:space="preserve"> </v>
      </c>
      <c r="AE233" s="167"/>
      <c r="AF233" s="165" t="str">
        <f t="shared" si="2810"/>
        <v xml:space="preserve"> </v>
      </c>
      <c r="AG233" s="168"/>
      <c r="AH233" s="168"/>
      <c r="AI233" s="166"/>
      <c r="AJ233" s="166"/>
      <c r="AK233" s="166" t="str">
        <f t="shared" si="2811"/>
        <v/>
      </c>
      <c r="AL233" s="167"/>
      <c r="AM233" s="171" t="str">
        <f t="shared" si="2812"/>
        <v xml:space="preserve"> </v>
      </c>
      <c r="AN233" s="168" t="str">
        <f t="shared" si="2813"/>
        <v xml:space="preserve"> </v>
      </c>
      <c r="AO233" s="168"/>
      <c r="AP233" s="167" t="str">
        <f t="shared" si="2814"/>
        <v xml:space="preserve"> </v>
      </c>
      <c r="AQ233" s="166"/>
      <c r="AR233" s="166" t="str">
        <f t="shared" si="2815"/>
        <v xml:space="preserve"> </v>
      </c>
      <c r="AS233" s="168" t="str">
        <f t="shared" si="2816"/>
        <v xml:space="preserve"> </v>
      </c>
      <c r="AT233" s="168"/>
      <c r="AU233" s="166" t="str">
        <f t="shared" si="2817"/>
        <v xml:space="preserve"> </v>
      </c>
      <c r="AV233" s="167"/>
      <c r="AW233" s="167"/>
      <c r="AX233" s="169" t="str">
        <f t="shared" si="2818"/>
        <v xml:space="preserve"> </v>
      </c>
      <c r="AY233" s="169"/>
      <c r="AZ233" s="167" t="str">
        <f t="shared" si="2819"/>
        <v xml:space="preserve"> </v>
      </c>
      <c r="BA233" s="166"/>
      <c r="BB233" s="166"/>
      <c r="BC233" s="168" t="str">
        <f t="shared" si="2820"/>
        <v xml:space="preserve"> </v>
      </c>
      <c r="BD233" s="168"/>
      <c r="BE233" s="166" t="str">
        <f t="shared" si="2821"/>
        <v xml:space="preserve"> </v>
      </c>
      <c r="BF233" s="167"/>
      <c r="BG233" s="167"/>
      <c r="BH233" s="168" t="str">
        <f t="shared" si="2822"/>
        <v xml:space="preserve"> </v>
      </c>
      <c r="BI233" s="168"/>
      <c r="BJ233" s="167" t="str">
        <f t="shared" si="2823"/>
        <v xml:space="preserve"> </v>
      </c>
      <c r="BK233" s="166"/>
      <c r="BL233" s="166" t="str">
        <f t="shared" si="2824"/>
        <v xml:space="preserve"> </v>
      </c>
      <c r="BM233" s="168" t="str">
        <f t="shared" si="2825"/>
        <v xml:space="preserve"> </v>
      </c>
      <c r="BN233" s="168"/>
      <c r="BO233" s="166" t="str">
        <f t="shared" si="2826"/>
        <v xml:space="preserve"> </v>
      </c>
    </row>
    <row r="234" spans="2:67" ht="15" customHeight="1" x14ac:dyDescent="0.25">
      <c r="B234" s="170">
        <v>46252</v>
      </c>
      <c r="C234" s="164"/>
      <c r="D234" s="166" t="str">
        <f t="shared" si="2793"/>
        <v xml:space="preserve"> </v>
      </c>
      <c r="E234" s="168" t="str">
        <f t="shared" si="2794"/>
        <v xml:space="preserve"> </v>
      </c>
      <c r="F234" s="168"/>
      <c r="G234" s="166" t="str">
        <f t="shared" si="2795"/>
        <v xml:space="preserve"> </v>
      </c>
      <c r="H234" s="167"/>
      <c r="I234" s="167" t="str">
        <f t="shared" si="2796"/>
        <v xml:space="preserve"> </v>
      </c>
      <c r="J234" s="168" t="str">
        <f t="shared" si="2797"/>
        <v xml:space="preserve"> </v>
      </c>
      <c r="K234" s="168"/>
      <c r="L234" s="167" t="str">
        <f t="shared" si="2798"/>
        <v xml:space="preserve"> </v>
      </c>
      <c r="M234" s="166"/>
      <c r="N234" s="166" t="str">
        <f t="shared" si="2799"/>
        <v xml:space="preserve"> </v>
      </c>
      <c r="O234" s="168" t="str">
        <f t="shared" si="2800"/>
        <v xml:space="preserve"> </v>
      </c>
      <c r="P234" s="168"/>
      <c r="Q234" s="166" t="str">
        <f t="shared" si="2801"/>
        <v xml:space="preserve"> </v>
      </c>
      <c r="R234" s="167">
        <f ca="1">+BDFUENTES[[#This Row],[PZ MED m3/día]]/3.6/BDFUENTES[[#This Row],[PZ MED Horas Activo]]</f>
        <v>0</v>
      </c>
      <c r="S234" s="167" t="str">
        <f t="shared" ca="1" si="2802"/>
        <v xml:space="preserve"> </v>
      </c>
      <c r="T234" s="168" t="str">
        <f t="shared" si="2803"/>
        <v xml:space="preserve"> </v>
      </c>
      <c r="U234" s="168"/>
      <c r="V234" s="165" t="str">
        <f t="shared" si="2804"/>
        <v xml:space="preserve"> </v>
      </c>
      <c r="W234" s="164" t="str">
        <f t="shared" si="2805"/>
        <v xml:space="preserve"> </v>
      </c>
      <c r="X234" s="166"/>
      <c r="Y234" s="168" t="str">
        <f t="shared" si="2806"/>
        <v xml:space="preserve"> </v>
      </c>
      <c r="Z234" s="168"/>
      <c r="AA234" s="166" t="str">
        <f t="shared" si="2807"/>
        <v xml:space="preserve"> </v>
      </c>
      <c r="AB234" s="168" t="str">
        <f t="shared" si="2808"/>
        <v xml:space="preserve"> </v>
      </c>
      <c r="AC234" s="168"/>
      <c r="AD234" s="171" t="str">
        <f t="shared" si="2809"/>
        <v xml:space="preserve"> </v>
      </c>
      <c r="AE234" s="167"/>
      <c r="AF234" s="165" t="str">
        <f t="shared" si="2810"/>
        <v xml:space="preserve"> </v>
      </c>
      <c r="AG234" s="168"/>
      <c r="AH234" s="168"/>
      <c r="AI234" s="166"/>
      <c r="AJ234" s="166"/>
      <c r="AK234" s="166" t="str">
        <f t="shared" si="2811"/>
        <v/>
      </c>
      <c r="AL234" s="167"/>
      <c r="AM234" s="171" t="str">
        <f t="shared" si="2812"/>
        <v xml:space="preserve"> </v>
      </c>
      <c r="AN234" s="168" t="str">
        <f t="shared" si="2813"/>
        <v xml:space="preserve"> </v>
      </c>
      <c r="AO234" s="168"/>
      <c r="AP234" s="167" t="str">
        <f t="shared" si="2814"/>
        <v xml:space="preserve"> </v>
      </c>
      <c r="AQ234" s="166"/>
      <c r="AR234" s="166" t="str">
        <f t="shared" si="2815"/>
        <v xml:space="preserve"> </v>
      </c>
      <c r="AS234" s="168" t="str">
        <f t="shared" si="2816"/>
        <v xml:space="preserve"> </v>
      </c>
      <c r="AT234" s="168"/>
      <c r="AU234" s="166" t="str">
        <f t="shared" si="2817"/>
        <v xml:space="preserve"> </v>
      </c>
      <c r="AV234" s="167"/>
      <c r="AW234" s="167"/>
      <c r="AX234" s="169" t="str">
        <f t="shared" si="2818"/>
        <v xml:space="preserve"> </v>
      </c>
      <c r="AY234" s="169"/>
      <c r="AZ234" s="167" t="str">
        <f t="shared" si="2819"/>
        <v xml:space="preserve"> </v>
      </c>
      <c r="BA234" s="166"/>
      <c r="BB234" s="166"/>
      <c r="BC234" s="168" t="str">
        <f t="shared" si="2820"/>
        <v xml:space="preserve"> </v>
      </c>
      <c r="BD234" s="168"/>
      <c r="BE234" s="166" t="str">
        <f t="shared" si="2821"/>
        <v xml:space="preserve"> </v>
      </c>
      <c r="BF234" s="167"/>
      <c r="BG234" s="167"/>
      <c r="BH234" s="168" t="str">
        <f t="shared" si="2822"/>
        <v xml:space="preserve"> </v>
      </c>
      <c r="BI234" s="168"/>
      <c r="BJ234" s="167" t="str">
        <f t="shared" si="2823"/>
        <v xml:space="preserve"> </v>
      </c>
      <c r="BK234" s="166"/>
      <c r="BL234" s="166" t="str">
        <f t="shared" si="2824"/>
        <v xml:space="preserve"> </v>
      </c>
      <c r="BM234" s="168" t="str">
        <f t="shared" si="2825"/>
        <v xml:space="preserve"> </v>
      </c>
      <c r="BN234" s="168"/>
      <c r="BO234" s="166" t="str">
        <f t="shared" si="2826"/>
        <v xml:space="preserve"> </v>
      </c>
    </row>
    <row r="235" spans="2:67" ht="15" customHeight="1" x14ac:dyDescent="0.25">
      <c r="B235" s="170">
        <v>46253</v>
      </c>
      <c r="C235" s="164"/>
      <c r="D235" s="166" t="str">
        <f t="shared" si="2793"/>
        <v xml:space="preserve"> </v>
      </c>
      <c r="E235" s="168" t="str">
        <f t="shared" si="2794"/>
        <v xml:space="preserve"> </v>
      </c>
      <c r="F235" s="168"/>
      <c r="G235" s="166" t="str">
        <f t="shared" si="2795"/>
        <v xml:space="preserve"> </v>
      </c>
      <c r="H235" s="167"/>
      <c r="I235" s="167" t="str">
        <f t="shared" si="2796"/>
        <v xml:space="preserve"> </v>
      </c>
      <c r="J235" s="168" t="str">
        <f t="shared" si="2797"/>
        <v xml:space="preserve"> </v>
      </c>
      <c r="K235" s="168"/>
      <c r="L235" s="167" t="str">
        <f t="shared" si="2798"/>
        <v xml:space="preserve"> </v>
      </c>
      <c r="M235" s="166"/>
      <c r="N235" s="166" t="str">
        <f t="shared" si="2799"/>
        <v xml:space="preserve"> </v>
      </c>
      <c r="O235" s="168" t="str">
        <f t="shared" si="2800"/>
        <v xml:space="preserve"> </v>
      </c>
      <c r="P235" s="168"/>
      <c r="Q235" s="166" t="str">
        <f t="shared" si="2801"/>
        <v xml:space="preserve"> </v>
      </c>
      <c r="R235" s="167">
        <f ca="1">+BDFUENTES[[#This Row],[PZ MED m3/día]]/3.6/BDFUENTES[[#This Row],[PZ MED Horas Activo]]</f>
        <v>0</v>
      </c>
      <c r="S235" s="167" t="str">
        <f t="shared" ca="1" si="2802"/>
        <v xml:space="preserve"> </v>
      </c>
      <c r="T235" s="168" t="str">
        <f t="shared" si="2803"/>
        <v xml:space="preserve"> </v>
      </c>
      <c r="U235" s="168"/>
      <c r="V235" s="165" t="str">
        <f t="shared" si="2804"/>
        <v xml:space="preserve"> </v>
      </c>
      <c r="W235" s="164" t="str">
        <f t="shared" si="2805"/>
        <v xml:space="preserve"> </v>
      </c>
      <c r="X235" s="166"/>
      <c r="Y235" s="168" t="str">
        <f t="shared" si="2806"/>
        <v xml:space="preserve"> </v>
      </c>
      <c r="Z235" s="168"/>
      <c r="AA235" s="166" t="str">
        <f t="shared" si="2807"/>
        <v xml:space="preserve"> </v>
      </c>
      <c r="AB235" s="168" t="str">
        <f t="shared" si="2808"/>
        <v xml:space="preserve"> </v>
      </c>
      <c r="AC235" s="168"/>
      <c r="AD235" s="171" t="str">
        <f t="shared" si="2809"/>
        <v xml:space="preserve"> </v>
      </c>
      <c r="AE235" s="167"/>
      <c r="AF235" s="165" t="str">
        <f t="shared" si="2810"/>
        <v xml:space="preserve"> </v>
      </c>
      <c r="AG235" s="168"/>
      <c r="AH235" s="168"/>
      <c r="AI235" s="166"/>
      <c r="AJ235" s="166"/>
      <c r="AK235" s="166" t="str">
        <f t="shared" si="2811"/>
        <v/>
      </c>
      <c r="AL235" s="167"/>
      <c r="AM235" s="171" t="str">
        <f t="shared" si="2812"/>
        <v xml:space="preserve"> </v>
      </c>
      <c r="AN235" s="168" t="str">
        <f t="shared" si="2813"/>
        <v xml:space="preserve"> </v>
      </c>
      <c r="AO235" s="168"/>
      <c r="AP235" s="167" t="str">
        <f t="shared" si="2814"/>
        <v xml:space="preserve"> </v>
      </c>
      <c r="AQ235" s="166"/>
      <c r="AR235" s="166" t="str">
        <f t="shared" si="2815"/>
        <v xml:space="preserve"> </v>
      </c>
      <c r="AS235" s="168" t="str">
        <f t="shared" si="2816"/>
        <v xml:space="preserve"> </v>
      </c>
      <c r="AT235" s="168"/>
      <c r="AU235" s="166" t="str">
        <f t="shared" si="2817"/>
        <v xml:space="preserve"> </v>
      </c>
      <c r="AV235" s="167"/>
      <c r="AW235" s="167"/>
      <c r="AX235" s="169" t="str">
        <f t="shared" si="2818"/>
        <v xml:space="preserve"> </v>
      </c>
      <c r="AY235" s="169"/>
      <c r="AZ235" s="167" t="str">
        <f t="shared" si="2819"/>
        <v xml:space="preserve"> </v>
      </c>
      <c r="BA235" s="166"/>
      <c r="BB235" s="166"/>
      <c r="BC235" s="168" t="str">
        <f t="shared" si="2820"/>
        <v xml:space="preserve"> </v>
      </c>
      <c r="BD235" s="168"/>
      <c r="BE235" s="166" t="str">
        <f t="shared" si="2821"/>
        <v xml:space="preserve"> </v>
      </c>
      <c r="BF235" s="167"/>
      <c r="BG235" s="167"/>
      <c r="BH235" s="168" t="str">
        <f t="shared" si="2822"/>
        <v xml:space="preserve"> </v>
      </c>
      <c r="BI235" s="168"/>
      <c r="BJ235" s="167" t="str">
        <f t="shared" si="2823"/>
        <v xml:space="preserve"> </v>
      </c>
      <c r="BK235" s="166"/>
      <c r="BL235" s="166" t="str">
        <f t="shared" si="2824"/>
        <v xml:space="preserve"> </v>
      </c>
      <c r="BM235" s="168" t="str">
        <f t="shared" si="2825"/>
        <v xml:space="preserve"> </v>
      </c>
      <c r="BN235" s="168"/>
      <c r="BO235" s="166" t="str">
        <f t="shared" si="2826"/>
        <v xml:space="preserve"> </v>
      </c>
    </row>
    <row r="236" spans="2:67" ht="15" customHeight="1" x14ac:dyDescent="0.25">
      <c r="B236" s="170">
        <v>46254</v>
      </c>
      <c r="C236" s="164"/>
      <c r="D236" s="166" t="str">
        <f t="shared" si="2793"/>
        <v xml:space="preserve"> </v>
      </c>
      <c r="E236" s="168" t="str">
        <f t="shared" si="2794"/>
        <v xml:space="preserve"> </v>
      </c>
      <c r="F236" s="168"/>
      <c r="G236" s="166" t="str">
        <f t="shared" si="2795"/>
        <v xml:space="preserve"> </v>
      </c>
      <c r="H236" s="167"/>
      <c r="I236" s="167" t="str">
        <f t="shared" si="2796"/>
        <v xml:space="preserve"> </v>
      </c>
      <c r="J236" s="168" t="str">
        <f t="shared" si="2797"/>
        <v xml:space="preserve"> </v>
      </c>
      <c r="K236" s="168"/>
      <c r="L236" s="167" t="str">
        <f t="shared" si="2798"/>
        <v xml:space="preserve"> </v>
      </c>
      <c r="M236" s="166"/>
      <c r="N236" s="166" t="str">
        <f t="shared" si="2799"/>
        <v xml:space="preserve"> </v>
      </c>
      <c r="O236" s="168" t="str">
        <f t="shared" si="2800"/>
        <v xml:space="preserve"> </v>
      </c>
      <c r="P236" s="168"/>
      <c r="Q236" s="166" t="str">
        <f t="shared" si="2801"/>
        <v xml:space="preserve"> </v>
      </c>
      <c r="R236" s="167">
        <f ca="1">+BDFUENTES[[#This Row],[PZ MED m3/día]]/3.6/BDFUENTES[[#This Row],[PZ MED Horas Activo]]</f>
        <v>0</v>
      </c>
      <c r="S236" s="167" t="str">
        <f t="shared" ca="1" si="2802"/>
        <v xml:space="preserve"> </v>
      </c>
      <c r="T236" s="168" t="str">
        <f t="shared" si="2803"/>
        <v xml:space="preserve"> </v>
      </c>
      <c r="U236" s="168"/>
      <c r="V236" s="165" t="str">
        <f t="shared" si="2804"/>
        <v xml:space="preserve"> </v>
      </c>
      <c r="W236" s="164" t="str">
        <f t="shared" si="2805"/>
        <v xml:space="preserve"> </v>
      </c>
      <c r="X236" s="166"/>
      <c r="Y236" s="168" t="str">
        <f t="shared" si="2806"/>
        <v xml:space="preserve"> </v>
      </c>
      <c r="Z236" s="168"/>
      <c r="AA236" s="166" t="str">
        <f t="shared" si="2807"/>
        <v xml:space="preserve"> </v>
      </c>
      <c r="AB236" s="168" t="str">
        <f t="shared" si="2808"/>
        <v xml:space="preserve"> </v>
      </c>
      <c r="AC236" s="168"/>
      <c r="AD236" s="171" t="str">
        <f t="shared" si="2809"/>
        <v xml:space="preserve"> </v>
      </c>
      <c r="AE236" s="167"/>
      <c r="AF236" s="165" t="str">
        <f t="shared" si="2810"/>
        <v xml:space="preserve"> </v>
      </c>
      <c r="AG236" s="168"/>
      <c r="AH236" s="168"/>
      <c r="AI236" s="166"/>
      <c r="AJ236" s="166"/>
      <c r="AK236" s="166" t="str">
        <f t="shared" si="2811"/>
        <v/>
      </c>
      <c r="AL236" s="167"/>
      <c r="AM236" s="171" t="str">
        <f t="shared" si="2812"/>
        <v xml:space="preserve"> </v>
      </c>
      <c r="AN236" s="168" t="str">
        <f t="shared" si="2813"/>
        <v xml:space="preserve"> </v>
      </c>
      <c r="AO236" s="168"/>
      <c r="AP236" s="167" t="str">
        <f t="shared" si="2814"/>
        <v xml:space="preserve"> </v>
      </c>
      <c r="AQ236" s="166"/>
      <c r="AR236" s="166" t="str">
        <f t="shared" si="2815"/>
        <v xml:space="preserve"> </v>
      </c>
      <c r="AS236" s="168" t="str">
        <f t="shared" si="2816"/>
        <v xml:space="preserve"> </v>
      </c>
      <c r="AT236" s="168"/>
      <c r="AU236" s="166" t="str">
        <f t="shared" si="2817"/>
        <v xml:space="preserve"> </v>
      </c>
      <c r="AV236" s="167"/>
      <c r="AW236" s="167"/>
      <c r="AX236" s="169" t="str">
        <f t="shared" si="2818"/>
        <v xml:space="preserve"> </v>
      </c>
      <c r="AY236" s="169"/>
      <c r="AZ236" s="167" t="str">
        <f t="shared" si="2819"/>
        <v xml:space="preserve"> </v>
      </c>
      <c r="BA236" s="166"/>
      <c r="BB236" s="166"/>
      <c r="BC236" s="168" t="str">
        <f t="shared" si="2820"/>
        <v xml:space="preserve"> </v>
      </c>
      <c r="BD236" s="168"/>
      <c r="BE236" s="166" t="str">
        <f t="shared" si="2821"/>
        <v xml:space="preserve"> </v>
      </c>
      <c r="BF236" s="167"/>
      <c r="BG236" s="167"/>
      <c r="BH236" s="168" t="str">
        <f t="shared" si="2822"/>
        <v xml:space="preserve"> </v>
      </c>
      <c r="BI236" s="168"/>
      <c r="BJ236" s="167" t="str">
        <f t="shared" si="2823"/>
        <v xml:space="preserve"> </v>
      </c>
      <c r="BK236" s="166"/>
      <c r="BL236" s="166" t="str">
        <f t="shared" si="2824"/>
        <v xml:space="preserve"> </v>
      </c>
      <c r="BM236" s="168" t="str">
        <f t="shared" si="2825"/>
        <v xml:space="preserve"> </v>
      </c>
      <c r="BN236" s="168"/>
      <c r="BO236" s="166" t="str">
        <f t="shared" si="2826"/>
        <v xml:space="preserve"> </v>
      </c>
    </row>
    <row r="237" spans="2:67" ht="15" customHeight="1" x14ac:dyDescent="0.25">
      <c r="B237" s="170">
        <v>46255</v>
      </c>
      <c r="C237" s="164"/>
      <c r="D237" s="166" t="str">
        <f t="shared" si="2793"/>
        <v xml:space="preserve"> </v>
      </c>
      <c r="E237" s="168" t="str">
        <f t="shared" si="2794"/>
        <v xml:space="preserve"> </v>
      </c>
      <c r="F237" s="168"/>
      <c r="G237" s="166" t="str">
        <f t="shared" si="2795"/>
        <v xml:space="preserve"> </v>
      </c>
      <c r="H237" s="167"/>
      <c r="I237" s="167" t="str">
        <f t="shared" si="2796"/>
        <v xml:space="preserve"> </v>
      </c>
      <c r="J237" s="168" t="str">
        <f t="shared" si="2797"/>
        <v xml:space="preserve"> </v>
      </c>
      <c r="K237" s="168"/>
      <c r="L237" s="167" t="str">
        <f t="shared" si="2798"/>
        <v xml:space="preserve"> </v>
      </c>
      <c r="M237" s="166"/>
      <c r="N237" s="166" t="str">
        <f t="shared" si="2799"/>
        <v xml:space="preserve"> </v>
      </c>
      <c r="O237" s="168" t="str">
        <f t="shared" si="2800"/>
        <v xml:space="preserve"> </v>
      </c>
      <c r="P237" s="168"/>
      <c r="Q237" s="166" t="str">
        <f t="shared" si="2801"/>
        <v xml:space="preserve"> </v>
      </c>
      <c r="R237" s="167">
        <f ca="1">+BDFUENTES[[#This Row],[PZ MED m3/día]]/3.6/BDFUENTES[[#This Row],[PZ MED Horas Activo]]</f>
        <v>0</v>
      </c>
      <c r="S237" s="167" t="str">
        <f t="shared" ca="1" si="2802"/>
        <v xml:space="preserve"> </v>
      </c>
      <c r="T237" s="168" t="str">
        <f t="shared" si="2803"/>
        <v xml:space="preserve"> </v>
      </c>
      <c r="U237" s="168"/>
      <c r="V237" s="165" t="str">
        <f t="shared" si="2804"/>
        <v xml:space="preserve"> </v>
      </c>
      <c r="W237" s="164" t="str">
        <f t="shared" si="2805"/>
        <v xml:space="preserve"> </v>
      </c>
      <c r="X237" s="166"/>
      <c r="Y237" s="168" t="str">
        <f t="shared" si="2806"/>
        <v xml:space="preserve"> </v>
      </c>
      <c r="Z237" s="168"/>
      <c r="AA237" s="166" t="str">
        <f t="shared" si="2807"/>
        <v xml:space="preserve"> </v>
      </c>
      <c r="AB237" s="168" t="str">
        <f t="shared" si="2808"/>
        <v xml:space="preserve"> </v>
      </c>
      <c r="AC237" s="168"/>
      <c r="AD237" s="171" t="str">
        <f t="shared" si="2809"/>
        <v xml:space="preserve"> </v>
      </c>
      <c r="AE237" s="167"/>
      <c r="AF237" s="165" t="str">
        <f t="shared" si="2810"/>
        <v xml:space="preserve"> </v>
      </c>
      <c r="AG237" s="168"/>
      <c r="AH237" s="168"/>
      <c r="AI237" s="166"/>
      <c r="AJ237" s="166"/>
      <c r="AK237" s="166" t="str">
        <f t="shared" si="2811"/>
        <v/>
      </c>
      <c r="AL237" s="167"/>
      <c r="AM237" s="171" t="str">
        <f t="shared" si="2812"/>
        <v xml:space="preserve"> </v>
      </c>
      <c r="AN237" s="168" t="str">
        <f t="shared" si="2813"/>
        <v xml:space="preserve"> </v>
      </c>
      <c r="AO237" s="168"/>
      <c r="AP237" s="167" t="str">
        <f t="shared" si="2814"/>
        <v xml:space="preserve"> </v>
      </c>
      <c r="AQ237" s="166"/>
      <c r="AR237" s="166" t="str">
        <f t="shared" si="2815"/>
        <v xml:space="preserve"> </v>
      </c>
      <c r="AS237" s="168" t="str">
        <f t="shared" si="2816"/>
        <v xml:space="preserve"> </v>
      </c>
      <c r="AT237" s="168"/>
      <c r="AU237" s="166" t="str">
        <f t="shared" si="2817"/>
        <v xml:space="preserve"> </v>
      </c>
      <c r="AV237" s="167"/>
      <c r="AW237" s="167"/>
      <c r="AX237" s="169" t="str">
        <f t="shared" si="2818"/>
        <v xml:space="preserve"> </v>
      </c>
      <c r="AY237" s="169"/>
      <c r="AZ237" s="167" t="str">
        <f t="shared" si="2819"/>
        <v xml:space="preserve"> </v>
      </c>
      <c r="BA237" s="166"/>
      <c r="BB237" s="166"/>
      <c r="BC237" s="168" t="str">
        <f t="shared" si="2820"/>
        <v xml:space="preserve"> </v>
      </c>
      <c r="BD237" s="168"/>
      <c r="BE237" s="166" t="str">
        <f t="shared" si="2821"/>
        <v xml:space="preserve"> </v>
      </c>
      <c r="BF237" s="167"/>
      <c r="BG237" s="167"/>
      <c r="BH237" s="168" t="str">
        <f t="shared" si="2822"/>
        <v xml:space="preserve"> </v>
      </c>
      <c r="BI237" s="168"/>
      <c r="BJ237" s="167" t="str">
        <f t="shared" si="2823"/>
        <v xml:space="preserve"> </v>
      </c>
      <c r="BK237" s="166"/>
      <c r="BL237" s="166" t="str">
        <f t="shared" si="2824"/>
        <v xml:space="preserve"> </v>
      </c>
      <c r="BM237" s="168" t="str">
        <f t="shared" si="2825"/>
        <v xml:space="preserve"> </v>
      </c>
      <c r="BN237" s="168"/>
      <c r="BO237" s="166" t="str">
        <f t="shared" si="2826"/>
        <v xml:space="preserve"> </v>
      </c>
    </row>
    <row r="238" spans="2:67" ht="15" customHeight="1" x14ac:dyDescent="0.25">
      <c r="B238" s="170">
        <v>46256</v>
      </c>
      <c r="C238" s="164"/>
      <c r="D238" s="166" t="str">
        <f t="shared" si="2793"/>
        <v xml:space="preserve"> </v>
      </c>
      <c r="E238" s="168" t="str">
        <f t="shared" si="2794"/>
        <v xml:space="preserve"> </v>
      </c>
      <c r="F238" s="168"/>
      <c r="G238" s="166" t="str">
        <f t="shared" si="2795"/>
        <v xml:space="preserve"> </v>
      </c>
      <c r="H238" s="167"/>
      <c r="I238" s="167" t="str">
        <f t="shared" si="2796"/>
        <v xml:space="preserve"> </v>
      </c>
      <c r="J238" s="168" t="str">
        <f t="shared" si="2797"/>
        <v xml:space="preserve"> </v>
      </c>
      <c r="K238" s="168"/>
      <c r="L238" s="167" t="str">
        <f t="shared" si="2798"/>
        <v xml:space="preserve"> </v>
      </c>
      <c r="M238" s="166"/>
      <c r="N238" s="166" t="str">
        <f t="shared" si="2799"/>
        <v xml:space="preserve"> </v>
      </c>
      <c r="O238" s="168" t="str">
        <f t="shared" si="2800"/>
        <v xml:space="preserve"> </v>
      </c>
      <c r="P238" s="168"/>
      <c r="Q238" s="166" t="str">
        <f t="shared" si="2801"/>
        <v xml:space="preserve"> </v>
      </c>
      <c r="R238" s="167">
        <f ca="1">+BDFUENTES[[#This Row],[PZ MED m3/día]]/3.6/BDFUENTES[[#This Row],[PZ MED Horas Activo]]</f>
        <v>0</v>
      </c>
      <c r="S238" s="167" t="str">
        <f t="shared" ca="1" si="2802"/>
        <v xml:space="preserve"> </v>
      </c>
      <c r="T238" s="168" t="str">
        <f t="shared" si="2803"/>
        <v xml:space="preserve"> </v>
      </c>
      <c r="U238" s="168"/>
      <c r="V238" s="165" t="str">
        <f t="shared" si="2804"/>
        <v xml:space="preserve"> </v>
      </c>
      <c r="W238" s="164" t="str">
        <f t="shared" si="2805"/>
        <v xml:space="preserve"> </v>
      </c>
      <c r="X238" s="166"/>
      <c r="Y238" s="168" t="str">
        <f t="shared" si="2806"/>
        <v xml:space="preserve"> </v>
      </c>
      <c r="Z238" s="168"/>
      <c r="AA238" s="166" t="str">
        <f t="shared" si="2807"/>
        <v xml:space="preserve"> </v>
      </c>
      <c r="AB238" s="168" t="str">
        <f t="shared" si="2808"/>
        <v xml:space="preserve"> </v>
      </c>
      <c r="AC238" s="168"/>
      <c r="AD238" s="171" t="str">
        <f t="shared" si="2809"/>
        <v xml:space="preserve"> </v>
      </c>
      <c r="AE238" s="167"/>
      <c r="AF238" s="165" t="str">
        <f t="shared" si="2810"/>
        <v xml:space="preserve"> </v>
      </c>
      <c r="AG238" s="168"/>
      <c r="AH238" s="168"/>
      <c r="AI238" s="166"/>
      <c r="AJ238" s="166"/>
      <c r="AK238" s="166" t="str">
        <f t="shared" si="2811"/>
        <v/>
      </c>
      <c r="AL238" s="167"/>
      <c r="AM238" s="171" t="str">
        <f t="shared" si="2812"/>
        <v xml:space="preserve"> </v>
      </c>
      <c r="AN238" s="168" t="str">
        <f t="shared" si="2813"/>
        <v xml:space="preserve"> </v>
      </c>
      <c r="AO238" s="168"/>
      <c r="AP238" s="167" t="str">
        <f t="shared" si="2814"/>
        <v xml:space="preserve"> </v>
      </c>
      <c r="AQ238" s="166"/>
      <c r="AR238" s="166" t="str">
        <f t="shared" si="2815"/>
        <v xml:space="preserve"> </v>
      </c>
      <c r="AS238" s="168" t="str">
        <f t="shared" si="2816"/>
        <v xml:space="preserve"> </v>
      </c>
      <c r="AT238" s="168"/>
      <c r="AU238" s="166" t="str">
        <f t="shared" si="2817"/>
        <v xml:space="preserve"> </v>
      </c>
      <c r="AV238" s="167"/>
      <c r="AW238" s="167"/>
      <c r="AX238" s="169" t="str">
        <f t="shared" si="2818"/>
        <v xml:space="preserve"> </v>
      </c>
      <c r="AY238" s="169"/>
      <c r="AZ238" s="167" t="str">
        <f t="shared" si="2819"/>
        <v xml:space="preserve"> </v>
      </c>
      <c r="BA238" s="166"/>
      <c r="BB238" s="166"/>
      <c r="BC238" s="168" t="str">
        <f t="shared" si="2820"/>
        <v xml:space="preserve"> </v>
      </c>
      <c r="BD238" s="168"/>
      <c r="BE238" s="166" t="str">
        <f t="shared" si="2821"/>
        <v xml:space="preserve"> </v>
      </c>
      <c r="BF238" s="167"/>
      <c r="BG238" s="167"/>
      <c r="BH238" s="168" t="str">
        <f t="shared" si="2822"/>
        <v xml:space="preserve"> </v>
      </c>
      <c r="BI238" s="168"/>
      <c r="BJ238" s="167" t="str">
        <f t="shared" si="2823"/>
        <v xml:space="preserve"> </v>
      </c>
      <c r="BK238" s="166"/>
      <c r="BL238" s="166" t="str">
        <f t="shared" si="2824"/>
        <v xml:space="preserve"> </v>
      </c>
      <c r="BM238" s="168" t="str">
        <f t="shared" si="2825"/>
        <v xml:space="preserve"> </v>
      </c>
      <c r="BN238" s="168"/>
      <c r="BO238" s="166" t="str">
        <f t="shared" si="2826"/>
        <v xml:space="preserve"> </v>
      </c>
    </row>
    <row r="239" spans="2:67" ht="15" customHeight="1" x14ac:dyDescent="0.25">
      <c r="B239" s="170">
        <v>46257</v>
      </c>
      <c r="C239" s="164"/>
      <c r="D239" s="166" t="str">
        <f t="shared" si="2793"/>
        <v xml:space="preserve"> </v>
      </c>
      <c r="E239" s="168" t="str">
        <f t="shared" si="2794"/>
        <v xml:space="preserve"> </v>
      </c>
      <c r="F239" s="168"/>
      <c r="G239" s="166" t="str">
        <f t="shared" si="2795"/>
        <v xml:space="preserve"> </v>
      </c>
      <c r="H239" s="167"/>
      <c r="I239" s="167" t="str">
        <f t="shared" si="2796"/>
        <v xml:space="preserve"> </v>
      </c>
      <c r="J239" s="168" t="str">
        <f t="shared" si="2797"/>
        <v xml:space="preserve"> </v>
      </c>
      <c r="K239" s="168"/>
      <c r="L239" s="167" t="str">
        <f t="shared" si="2798"/>
        <v xml:space="preserve"> </v>
      </c>
      <c r="M239" s="166"/>
      <c r="N239" s="166" t="str">
        <f t="shared" si="2799"/>
        <v xml:space="preserve"> </v>
      </c>
      <c r="O239" s="168" t="str">
        <f t="shared" si="2800"/>
        <v xml:space="preserve"> </v>
      </c>
      <c r="P239" s="168"/>
      <c r="Q239" s="166" t="str">
        <f t="shared" si="2801"/>
        <v xml:space="preserve"> </v>
      </c>
      <c r="R239" s="167">
        <f ca="1">+BDFUENTES[[#This Row],[PZ MED m3/día]]/3.6/BDFUENTES[[#This Row],[PZ MED Horas Activo]]</f>
        <v>0</v>
      </c>
      <c r="S239" s="167" t="str">
        <f t="shared" ca="1" si="2802"/>
        <v xml:space="preserve"> </v>
      </c>
      <c r="T239" s="168" t="str">
        <f t="shared" si="2803"/>
        <v xml:space="preserve"> </v>
      </c>
      <c r="U239" s="168"/>
      <c r="V239" s="165" t="str">
        <f t="shared" si="2804"/>
        <v xml:space="preserve"> </v>
      </c>
      <c r="W239" s="164" t="str">
        <f t="shared" si="2805"/>
        <v xml:space="preserve"> </v>
      </c>
      <c r="X239" s="166"/>
      <c r="Y239" s="168" t="str">
        <f t="shared" si="2806"/>
        <v xml:space="preserve"> </v>
      </c>
      <c r="Z239" s="168"/>
      <c r="AA239" s="166" t="str">
        <f t="shared" si="2807"/>
        <v xml:space="preserve"> </v>
      </c>
      <c r="AB239" s="168" t="str">
        <f t="shared" si="2808"/>
        <v xml:space="preserve"> </v>
      </c>
      <c r="AC239" s="168"/>
      <c r="AD239" s="171" t="str">
        <f t="shared" si="2809"/>
        <v xml:space="preserve"> </v>
      </c>
      <c r="AE239" s="167"/>
      <c r="AF239" s="165" t="str">
        <f t="shared" si="2810"/>
        <v xml:space="preserve"> </v>
      </c>
      <c r="AG239" s="168"/>
      <c r="AH239" s="168"/>
      <c r="AI239" s="166"/>
      <c r="AJ239" s="166"/>
      <c r="AK239" s="166" t="str">
        <f t="shared" si="2811"/>
        <v/>
      </c>
      <c r="AL239" s="167"/>
      <c r="AM239" s="171" t="str">
        <f t="shared" si="2812"/>
        <v xml:space="preserve"> </v>
      </c>
      <c r="AN239" s="168" t="str">
        <f t="shared" si="2813"/>
        <v xml:space="preserve"> </v>
      </c>
      <c r="AO239" s="168"/>
      <c r="AP239" s="167" t="str">
        <f t="shared" si="2814"/>
        <v xml:space="preserve"> </v>
      </c>
      <c r="AQ239" s="166"/>
      <c r="AR239" s="166" t="str">
        <f t="shared" si="2815"/>
        <v xml:space="preserve"> </v>
      </c>
      <c r="AS239" s="168" t="str">
        <f t="shared" si="2816"/>
        <v xml:space="preserve"> </v>
      </c>
      <c r="AT239" s="168"/>
      <c r="AU239" s="166" t="str">
        <f t="shared" si="2817"/>
        <v xml:space="preserve"> </v>
      </c>
      <c r="AV239" s="167"/>
      <c r="AW239" s="167"/>
      <c r="AX239" s="169" t="str">
        <f t="shared" si="2818"/>
        <v xml:space="preserve"> </v>
      </c>
      <c r="AY239" s="169"/>
      <c r="AZ239" s="167" t="str">
        <f t="shared" si="2819"/>
        <v xml:space="preserve"> </v>
      </c>
      <c r="BA239" s="166"/>
      <c r="BB239" s="166"/>
      <c r="BC239" s="168" t="str">
        <f t="shared" si="2820"/>
        <v xml:space="preserve"> </v>
      </c>
      <c r="BD239" s="168"/>
      <c r="BE239" s="166" t="str">
        <f t="shared" si="2821"/>
        <v xml:space="preserve"> </v>
      </c>
      <c r="BF239" s="167"/>
      <c r="BG239" s="167"/>
      <c r="BH239" s="168" t="str">
        <f t="shared" si="2822"/>
        <v xml:space="preserve"> </v>
      </c>
      <c r="BI239" s="168"/>
      <c r="BJ239" s="167" t="str">
        <f t="shared" si="2823"/>
        <v xml:space="preserve"> </v>
      </c>
      <c r="BK239" s="166"/>
      <c r="BL239" s="166" t="str">
        <f t="shared" si="2824"/>
        <v xml:space="preserve"> </v>
      </c>
      <c r="BM239" s="168" t="str">
        <f t="shared" si="2825"/>
        <v xml:space="preserve"> </v>
      </c>
      <c r="BN239" s="168"/>
      <c r="BO239" s="166" t="str">
        <f t="shared" si="2826"/>
        <v xml:space="preserve"> </v>
      </c>
    </row>
    <row r="240" spans="2:67" ht="15" customHeight="1" x14ac:dyDescent="0.25">
      <c r="B240" s="170">
        <v>46258</v>
      </c>
      <c r="C240" s="164"/>
      <c r="D240" s="166" t="str">
        <f t="shared" si="2793"/>
        <v xml:space="preserve"> </v>
      </c>
      <c r="E240" s="168" t="str">
        <f t="shared" si="2794"/>
        <v xml:space="preserve"> </v>
      </c>
      <c r="F240" s="168"/>
      <c r="G240" s="166" t="str">
        <f t="shared" si="2795"/>
        <v xml:space="preserve"> </v>
      </c>
      <c r="H240" s="167"/>
      <c r="I240" s="167" t="str">
        <f t="shared" si="2796"/>
        <v xml:space="preserve"> </v>
      </c>
      <c r="J240" s="168" t="str">
        <f t="shared" si="2797"/>
        <v xml:space="preserve"> </v>
      </c>
      <c r="K240" s="168"/>
      <c r="L240" s="167" t="str">
        <f t="shared" si="2798"/>
        <v xml:space="preserve"> </v>
      </c>
      <c r="M240" s="166"/>
      <c r="N240" s="166" t="str">
        <f t="shared" si="2799"/>
        <v xml:space="preserve"> </v>
      </c>
      <c r="O240" s="168" t="str">
        <f t="shared" si="2800"/>
        <v xml:space="preserve"> </v>
      </c>
      <c r="P240" s="168"/>
      <c r="Q240" s="166" t="str">
        <f t="shared" si="2801"/>
        <v xml:space="preserve"> </v>
      </c>
      <c r="R240" s="167">
        <f ca="1">+BDFUENTES[[#This Row],[PZ MED m3/día]]/3.6/BDFUENTES[[#This Row],[PZ MED Horas Activo]]</f>
        <v>0</v>
      </c>
      <c r="S240" s="167" t="str">
        <f t="shared" ca="1" si="2802"/>
        <v xml:space="preserve"> </v>
      </c>
      <c r="T240" s="168" t="str">
        <f t="shared" si="2803"/>
        <v xml:space="preserve"> </v>
      </c>
      <c r="U240" s="168"/>
      <c r="V240" s="165" t="str">
        <f t="shared" si="2804"/>
        <v xml:space="preserve"> </v>
      </c>
      <c r="W240" s="164" t="str">
        <f t="shared" si="2805"/>
        <v xml:space="preserve"> </v>
      </c>
      <c r="X240" s="166"/>
      <c r="Y240" s="168" t="str">
        <f t="shared" si="2806"/>
        <v xml:space="preserve"> </v>
      </c>
      <c r="Z240" s="168"/>
      <c r="AA240" s="166" t="str">
        <f t="shared" si="2807"/>
        <v xml:space="preserve"> </v>
      </c>
      <c r="AB240" s="168" t="str">
        <f t="shared" si="2808"/>
        <v xml:space="preserve"> </v>
      </c>
      <c r="AC240" s="168"/>
      <c r="AD240" s="171" t="str">
        <f t="shared" si="2809"/>
        <v xml:space="preserve"> </v>
      </c>
      <c r="AE240" s="167"/>
      <c r="AF240" s="165" t="str">
        <f t="shared" si="2810"/>
        <v xml:space="preserve"> </v>
      </c>
      <c r="AG240" s="168"/>
      <c r="AH240" s="168"/>
      <c r="AI240" s="166"/>
      <c r="AJ240" s="166"/>
      <c r="AK240" s="166" t="str">
        <f t="shared" si="2811"/>
        <v/>
      </c>
      <c r="AL240" s="167"/>
      <c r="AM240" s="171" t="str">
        <f t="shared" si="2812"/>
        <v xml:space="preserve"> </v>
      </c>
      <c r="AN240" s="168" t="str">
        <f t="shared" si="2813"/>
        <v xml:space="preserve"> </v>
      </c>
      <c r="AO240" s="168"/>
      <c r="AP240" s="167" t="str">
        <f t="shared" si="2814"/>
        <v xml:space="preserve"> </v>
      </c>
      <c r="AQ240" s="166"/>
      <c r="AR240" s="166" t="str">
        <f t="shared" si="2815"/>
        <v xml:space="preserve"> </v>
      </c>
      <c r="AS240" s="168" t="str">
        <f t="shared" si="2816"/>
        <v xml:space="preserve"> </v>
      </c>
      <c r="AT240" s="168"/>
      <c r="AU240" s="166" t="str">
        <f t="shared" si="2817"/>
        <v xml:space="preserve"> </v>
      </c>
      <c r="AV240" s="167"/>
      <c r="AW240" s="167"/>
      <c r="AX240" s="169" t="str">
        <f t="shared" si="2818"/>
        <v xml:space="preserve"> </v>
      </c>
      <c r="AY240" s="169"/>
      <c r="AZ240" s="167" t="str">
        <f t="shared" si="2819"/>
        <v xml:space="preserve"> </v>
      </c>
      <c r="BA240" s="166"/>
      <c r="BB240" s="166"/>
      <c r="BC240" s="168" t="str">
        <f t="shared" si="2820"/>
        <v xml:space="preserve"> </v>
      </c>
      <c r="BD240" s="168"/>
      <c r="BE240" s="166" t="str">
        <f t="shared" si="2821"/>
        <v xml:space="preserve"> </v>
      </c>
      <c r="BF240" s="167"/>
      <c r="BG240" s="167"/>
      <c r="BH240" s="168" t="str">
        <f t="shared" si="2822"/>
        <v xml:space="preserve"> </v>
      </c>
      <c r="BI240" s="168"/>
      <c r="BJ240" s="167" t="str">
        <f t="shared" si="2823"/>
        <v xml:space="preserve"> </v>
      </c>
      <c r="BK240" s="166"/>
      <c r="BL240" s="166" t="str">
        <f t="shared" si="2824"/>
        <v xml:space="preserve"> </v>
      </c>
      <c r="BM240" s="168" t="str">
        <f t="shared" si="2825"/>
        <v xml:space="preserve"> </v>
      </c>
      <c r="BN240" s="168"/>
      <c r="BO240" s="166" t="str">
        <f t="shared" si="2826"/>
        <v xml:space="preserve"> </v>
      </c>
    </row>
    <row r="241" spans="2:67" ht="15" customHeight="1" x14ac:dyDescent="0.25">
      <c r="B241" s="170">
        <v>46259</v>
      </c>
      <c r="C241" s="164"/>
      <c r="D241" s="166" t="str">
        <f t="shared" si="2793"/>
        <v xml:space="preserve"> </v>
      </c>
      <c r="E241" s="168" t="str">
        <f t="shared" si="2794"/>
        <v xml:space="preserve"> </v>
      </c>
      <c r="F241" s="168"/>
      <c r="G241" s="166" t="str">
        <f t="shared" si="2795"/>
        <v xml:space="preserve"> </v>
      </c>
      <c r="H241" s="167"/>
      <c r="I241" s="167" t="str">
        <f t="shared" si="2796"/>
        <v xml:space="preserve"> </v>
      </c>
      <c r="J241" s="168" t="str">
        <f t="shared" si="2797"/>
        <v xml:space="preserve"> </v>
      </c>
      <c r="K241" s="168"/>
      <c r="L241" s="167" t="str">
        <f t="shared" si="2798"/>
        <v xml:space="preserve"> </v>
      </c>
      <c r="M241" s="166"/>
      <c r="N241" s="166" t="str">
        <f t="shared" si="2799"/>
        <v xml:space="preserve"> </v>
      </c>
      <c r="O241" s="168" t="str">
        <f t="shared" si="2800"/>
        <v xml:space="preserve"> </v>
      </c>
      <c r="P241" s="168"/>
      <c r="Q241" s="166" t="str">
        <f t="shared" si="2801"/>
        <v xml:space="preserve"> </v>
      </c>
      <c r="R241" s="167">
        <f ca="1">+BDFUENTES[[#This Row],[PZ MED m3/día]]/3.6/BDFUENTES[[#This Row],[PZ MED Horas Activo]]</f>
        <v>0</v>
      </c>
      <c r="S241" s="167" t="str">
        <f t="shared" ca="1" si="2802"/>
        <v xml:space="preserve"> </v>
      </c>
      <c r="T241" s="168" t="str">
        <f t="shared" si="2803"/>
        <v xml:space="preserve"> </v>
      </c>
      <c r="U241" s="168"/>
      <c r="V241" s="165" t="str">
        <f t="shared" si="2804"/>
        <v xml:space="preserve"> </v>
      </c>
      <c r="W241" s="164" t="str">
        <f t="shared" si="2805"/>
        <v xml:space="preserve"> </v>
      </c>
      <c r="X241" s="166"/>
      <c r="Y241" s="168" t="str">
        <f t="shared" si="2806"/>
        <v xml:space="preserve"> </v>
      </c>
      <c r="Z241" s="168"/>
      <c r="AA241" s="166" t="str">
        <f t="shared" si="2807"/>
        <v xml:space="preserve"> </v>
      </c>
      <c r="AB241" s="168" t="str">
        <f t="shared" si="2808"/>
        <v xml:space="preserve"> </v>
      </c>
      <c r="AC241" s="168"/>
      <c r="AD241" s="171" t="str">
        <f t="shared" si="2809"/>
        <v xml:space="preserve"> </v>
      </c>
      <c r="AE241" s="167"/>
      <c r="AF241" s="165" t="str">
        <f t="shared" si="2810"/>
        <v xml:space="preserve"> </v>
      </c>
      <c r="AG241" s="168"/>
      <c r="AH241" s="168"/>
      <c r="AI241" s="166"/>
      <c r="AJ241" s="166"/>
      <c r="AK241" s="166" t="str">
        <f t="shared" si="2811"/>
        <v/>
      </c>
      <c r="AL241" s="167"/>
      <c r="AM241" s="171" t="str">
        <f t="shared" si="2812"/>
        <v xml:space="preserve"> </v>
      </c>
      <c r="AN241" s="168" t="str">
        <f t="shared" si="2813"/>
        <v xml:space="preserve"> </v>
      </c>
      <c r="AO241" s="168"/>
      <c r="AP241" s="167" t="str">
        <f t="shared" si="2814"/>
        <v xml:space="preserve"> </v>
      </c>
      <c r="AQ241" s="166"/>
      <c r="AR241" s="166" t="str">
        <f t="shared" si="2815"/>
        <v xml:space="preserve"> </v>
      </c>
      <c r="AS241" s="168" t="str">
        <f t="shared" si="2816"/>
        <v xml:space="preserve"> </v>
      </c>
      <c r="AT241" s="168"/>
      <c r="AU241" s="166" t="str">
        <f t="shared" si="2817"/>
        <v xml:space="preserve"> </v>
      </c>
      <c r="AV241" s="167"/>
      <c r="AW241" s="167"/>
      <c r="AX241" s="169" t="str">
        <f t="shared" si="2818"/>
        <v xml:space="preserve"> </v>
      </c>
      <c r="AY241" s="169"/>
      <c r="AZ241" s="167" t="str">
        <f t="shared" si="2819"/>
        <v xml:space="preserve"> </v>
      </c>
      <c r="BA241" s="166"/>
      <c r="BB241" s="166"/>
      <c r="BC241" s="168" t="str">
        <f t="shared" si="2820"/>
        <v xml:space="preserve"> </v>
      </c>
      <c r="BD241" s="168"/>
      <c r="BE241" s="166" t="str">
        <f t="shared" si="2821"/>
        <v xml:space="preserve"> </v>
      </c>
      <c r="BF241" s="167"/>
      <c r="BG241" s="167"/>
      <c r="BH241" s="168" t="str">
        <f t="shared" si="2822"/>
        <v xml:space="preserve"> </v>
      </c>
      <c r="BI241" s="168"/>
      <c r="BJ241" s="167" t="str">
        <f t="shared" si="2823"/>
        <v xml:space="preserve"> </v>
      </c>
      <c r="BK241" s="166"/>
      <c r="BL241" s="166" t="str">
        <f t="shared" si="2824"/>
        <v xml:space="preserve"> </v>
      </c>
      <c r="BM241" s="168" t="str">
        <f t="shared" si="2825"/>
        <v xml:space="preserve"> </v>
      </c>
      <c r="BN241" s="168"/>
      <c r="BO241" s="166" t="str">
        <f t="shared" si="2826"/>
        <v xml:space="preserve"> </v>
      </c>
    </row>
    <row r="242" spans="2:67" ht="15" customHeight="1" x14ac:dyDescent="0.25">
      <c r="B242" s="170">
        <v>46260</v>
      </c>
      <c r="C242" s="164"/>
      <c r="D242" s="166" t="str">
        <f t="shared" si="2793"/>
        <v xml:space="preserve"> </v>
      </c>
      <c r="E242" s="168" t="str">
        <f t="shared" si="2794"/>
        <v xml:space="preserve"> </v>
      </c>
      <c r="F242" s="168"/>
      <c r="G242" s="166" t="str">
        <f t="shared" si="2795"/>
        <v xml:space="preserve"> </v>
      </c>
      <c r="H242" s="167"/>
      <c r="I242" s="167" t="str">
        <f t="shared" si="2796"/>
        <v xml:space="preserve"> </v>
      </c>
      <c r="J242" s="168" t="str">
        <f t="shared" si="2797"/>
        <v xml:space="preserve"> </v>
      </c>
      <c r="K242" s="168"/>
      <c r="L242" s="167" t="str">
        <f t="shared" si="2798"/>
        <v xml:space="preserve"> </v>
      </c>
      <c r="M242" s="166"/>
      <c r="N242" s="166" t="str">
        <f t="shared" si="2799"/>
        <v xml:space="preserve"> </v>
      </c>
      <c r="O242" s="168" t="str">
        <f t="shared" si="2800"/>
        <v xml:space="preserve"> </v>
      </c>
      <c r="P242" s="168"/>
      <c r="Q242" s="166" t="str">
        <f t="shared" si="2801"/>
        <v xml:space="preserve"> </v>
      </c>
      <c r="R242" s="167">
        <f ca="1">+BDFUENTES[[#This Row],[PZ MED m3/día]]/3.6/BDFUENTES[[#This Row],[PZ MED Horas Activo]]</f>
        <v>0</v>
      </c>
      <c r="S242" s="167" t="str">
        <f t="shared" ca="1" si="2802"/>
        <v xml:space="preserve"> </v>
      </c>
      <c r="T242" s="168" t="str">
        <f t="shared" si="2803"/>
        <v xml:space="preserve"> </v>
      </c>
      <c r="U242" s="168"/>
      <c r="V242" s="165" t="str">
        <f t="shared" si="2804"/>
        <v xml:space="preserve"> </v>
      </c>
      <c r="W242" s="164" t="str">
        <f t="shared" si="2805"/>
        <v xml:space="preserve"> </v>
      </c>
      <c r="X242" s="166"/>
      <c r="Y242" s="168" t="str">
        <f t="shared" si="2806"/>
        <v xml:space="preserve"> </v>
      </c>
      <c r="Z242" s="168"/>
      <c r="AA242" s="166" t="str">
        <f t="shared" si="2807"/>
        <v xml:space="preserve"> </v>
      </c>
      <c r="AB242" s="168" t="str">
        <f t="shared" si="2808"/>
        <v xml:space="preserve"> </v>
      </c>
      <c r="AC242" s="168"/>
      <c r="AD242" s="171" t="str">
        <f t="shared" si="2809"/>
        <v xml:space="preserve"> </v>
      </c>
      <c r="AE242" s="167"/>
      <c r="AF242" s="165" t="str">
        <f t="shared" si="2810"/>
        <v xml:space="preserve"> </v>
      </c>
      <c r="AG242" s="168"/>
      <c r="AH242" s="168"/>
      <c r="AI242" s="166"/>
      <c r="AJ242" s="166"/>
      <c r="AK242" s="166" t="str">
        <f t="shared" si="2811"/>
        <v/>
      </c>
      <c r="AL242" s="167"/>
      <c r="AM242" s="171" t="str">
        <f t="shared" si="2812"/>
        <v xml:space="preserve"> </v>
      </c>
      <c r="AN242" s="168" t="str">
        <f t="shared" si="2813"/>
        <v xml:space="preserve"> </v>
      </c>
      <c r="AO242" s="168"/>
      <c r="AP242" s="167" t="str">
        <f t="shared" si="2814"/>
        <v xml:space="preserve"> </v>
      </c>
      <c r="AQ242" s="166"/>
      <c r="AR242" s="166" t="str">
        <f t="shared" si="2815"/>
        <v xml:space="preserve"> </v>
      </c>
      <c r="AS242" s="168" t="str">
        <f t="shared" si="2816"/>
        <v xml:space="preserve"> </v>
      </c>
      <c r="AT242" s="168"/>
      <c r="AU242" s="166" t="str">
        <f t="shared" si="2817"/>
        <v xml:space="preserve"> </v>
      </c>
      <c r="AV242" s="167"/>
      <c r="AW242" s="167"/>
      <c r="AX242" s="169" t="str">
        <f t="shared" si="2818"/>
        <v xml:space="preserve"> </v>
      </c>
      <c r="AY242" s="169"/>
      <c r="AZ242" s="167" t="str">
        <f t="shared" si="2819"/>
        <v xml:space="preserve"> </v>
      </c>
      <c r="BA242" s="166"/>
      <c r="BB242" s="166"/>
      <c r="BC242" s="168" t="str">
        <f t="shared" si="2820"/>
        <v xml:space="preserve"> </v>
      </c>
      <c r="BD242" s="168"/>
      <c r="BE242" s="166" t="str">
        <f t="shared" si="2821"/>
        <v xml:space="preserve"> </v>
      </c>
      <c r="BF242" s="167"/>
      <c r="BG242" s="167"/>
      <c r="BH242" s="168" t="str">
        <f t="shared" si="2822"/>
        <v xml:space="preserve"> </v>
      </c>
      <c r="BI242" s="168"/>
      <c r="BJ242" s="167" t="str">
        <f t="shared" si="2823"/>
        <v xml:space="preserve"> </v>
      </c>
      <c r="BK242" s="166"/>
      <c r="BL242" s="166" t="str">
        <f t="shared" si="2824"/>
        <v xml:space="preserve"> </v>
      </c>
      <c r="BM242" s="168" t="str">
        <f t="shared" si="2825"/>
        <v xml:space="preserve"> </v>
      </c>
      <c r="BN242" s="168"/>
      <c r="BO242" s="166" t="str">
        <f t="shared" si="2826"/>
        <v xml:space="preserve"> </v>
      </c>
    </row>
    <row r="243" spans="2:67" ht="15" customHeight="1" x14ac:dyDescent="0.25">
      <c r="B243" s="170">
        <v>46261</v>
      </c>
      <c r="C243" s="164"/>
      <c r="D243" s="166" t="str">
        <f t="shared" si="2793"/>
        <v xml:space="preserve"> </v>
      </c>
      <c r="E243" s="168" t="str">
        <f t="shared" si="2794"/>
        <v xml:space="preserve"> </v>
      </c>
      <c r="F243" s="168"/>
      <c r="G243" s="166" t="str">
        <f t="shared" si="2795"/>
        <v xml:space="preserve"> </v>
      </c>
      <c r="H243" s="167"/>
      <c r="I243" s="167" t="str">
        <f t="shared" si="2796"/>
        <v xml:space="preserve"> </v>
      </c>
      <c r="J243" s="168" t="str">
        <f t="shared" si="2797"/>
        <v xml:space="preserve"> </v>
      </c>
      <c r="K243" s="168"/>
      <c r="L243" s="167" t="str">
        <f t="shared" si="2798"/>
        <v xml:space="preserve"> </v>
      </c>
      <c r="M243" s="166"/>
      <c r="N243" s="166" t="str">
        <f t="shared" si="2799"/>
        <v xml:space="preserve"> </v>
      </c>
      <c r="O243" s="168" t="str">
        <f t="shared" si="2800"/>
        <v xml:space="preserve"> </v>
      </c>
      <c r="P243" s="168"/>
      <c r="Q243" s="166" t="str">
        <f t="shared" si="2801"/>
        <v xml:space="preserve"> </v>
      </c>
      <c r="R243" s="167">
        <f ca="1">+BDFUENTES[[#This Row],[PZ MED m3/día]]/3.6/BDFUENTES[[#This Row],[PZ MED Horas Activo]]</f>
        <v>0</v>
      </c>
      <c r="S243" s="167" t="str">
        <f t="shared" ca="1" si="2802"/>
        <v xml:space="preserve"> </v>
      </c>
      <c r="T243" s="168" t="str">
        <f t="shared" si="2803"/>
        <v xml:space="preserve"> </v>
      </c>
      <c r="U243" s="168"/>
      <c r="V243" s="165" t="str">
        <f t="shared" si="2804"/>
        <v xml:space="preserve"> </v>
      </c>
      <c r="W243" s="164" t="str">
        <f t="shared" si="2805"/>
        <v xml:space="preserve"> </v>
      </c>
      <c r="X243" s="166"/>
      <c r="Y243" s="168" t="str">
        <f t="shared" si="2806"/>
        <v xml:space="preserve"> </v>
      </c>
      <c r="Z243" s="168"/>
      <c r="AA243" s="166" t="str">
        <f t="shared" si="2807"/>
        <v xml:space="preserve"> </v>
      </c>
      <c r="AB243" s="168" t="str">
        <f t="shared" si="2808"/>
        <v xml:space="preserve"> </v>
      </c>
      <c r="AC243" s="168"/>
      <c r="AD243" s="171" t="str">
        <f t="shared" si="2809"/>
        <v xml:space="preserve"> </v>
      </c>
      <c r="AE243" s="167"/>
      <c r="AF243" s="165" t="str">
        <f t="shared" si="2810"/>
        <v xml:space="preserve"> </v>
      </c>
      <c r="AG243" s="168"/>
      <c r="AH243" s="168"/>
      <c r="AI243" s="166"/>
      <c r="AJ243" s="166"/>
      <c r="AK243" s="166" t="str">
        <f t="shared" si="2811"/>
        <v/>
      </c>
      <c r="AL243" s="167"/>
      <c r="AM243" s="171" t="str">
        <f t="shared" si="2812"/>
        <v xml:space="preserve"> </v>
      </c>
      <c r="AN243" s="168" t="str">
        <f t="shared" si="2813"/>
        <v xml:space="preserve"> </v>
      </c>
      <c r="AO243" s="168"/>
      <c r="AP243" s="167" t="str">
        <f t="shared" si="2814"/>
        <v xml:space="preserve"> </v>
      </c>
      <c r="AQ243" s="166"/>
      <c r="AR243" s="166" t="str">
        <f t="shared" si="2815"/>
        <v xml:space="preserve"> </v>
      </c>
      <c r="AS243" s="168" t="str">
        <f t="shared" si="2816"/>
        <v xml:space="preserve"> </v>
      </c>
      <c r="AT243" s="168"/>
      <c r="AU243" s="166" t="str">
        <f t="shared" si="2817"/>
        <v xml:space="preserve"> </v>
      </c>
      <c r="AV243" s="167"/>
      <c r="AW243" s="167"/>
      <c r="AX243" s="169" t="str">
        <f t="shared" si="2818"/>
        <v xml:space="preserve"> </v>
      </c>
      <c r="AY243" s="169"/>
      <c r="AZ243" s="167" t="str">
        <f t="shared" si="2819"/>
        <v xml:space="preserve"> </v>
      </c>
      <c r="BA243" s="166"/>
      <c r="BB243" s="166"/>
      <c r="BC243" s="168" t="str">
        <f t="shared" si="2820"/>
        <v xml:space="preserve"> </v>
      </c>
      <c r="BD243" s="168"/>
      <c r="BE243" s="166" t="str">
        <f t="shared" si="2821"/>
        <v xml:space="preserve"> </v>
      </c>
      <c r="BF243" s="167"/>
      <c r="BG243" s="167"/>
      <c r="BH243" s="168" t="str">
        <f t="shared" si="2822"/>
        <v xml:space="preserve"> </v>
      </c>
      <c r="BI243" s="168"/>
      <c r="BJ243" s="167" t="str">
        <f t="shared" si="2823"/>
        <v xml:space="preserve"> </v>
      </c>
      <c r="BK243" s="166"/>
      <c r="BL243" s="166" t="str">
        <f t="shared" si="2824"/>
        <v xml:space="preserve"> </v>
      </c>
      <c r="BM243" s="168" t="str">
        <f t="shared" si="2825"/>
        <v xml:space="preserve"> </v>
      </c>
      <c r="BN243" s="168"/>
      <c r="BO243" s="166" t="str">
        <f t="shared" si="2826"/>
        <v xml:space="preserve"> </v>
      </c>
    </row>
    <row r="244" spans="2:67" ht="15" customHeight="1" x14ac:dyDescent="0.25">
      <c r="B244" s="170">
        <v>46262</v>
      </c>
      <c r="C244" s="164"/>
      <c r="D244" s="166" t="str">
        <f t="shared" si="2793"/>
        <v xml:space="preserve"> </v>
      </c>
      <c r="E244" s="168" t="str">
        <f t="shared" si="2794"/>
        <v xml:space="preserve"> </v>
      </c>
      <c r="F244" s="168"/>
      <c r="G244" s="166" t="str">
        <f t="shared" si="2795"/>
        <v xml:space="preserve"> </v>
      </c>
      <c r="H244" s="167"/>
      <c r="I244" s="167" t="str">
        <f t="shared" si="2796"/>
        <v xml:space="preserve"> </v>
      </c>
      <c r="J244" s="168" t="str">
        <f t="shared" si="2797"/>
        <v xml:space="preserve"> </v>
      </c>
      <c r="K244" s="168"/>
      <c r="L244" s="167" t="str">
        <f t="shared" si="2798"/>
        <v xml:space="preserve"> </v>
      </c>
      <c r="M244" s="166"/>
      <c r="N244" s="166" t="str">
        <f t="shared" si="2799"/>
        <v xml:space="preserve"> </v>
      </c>
      <c r="O244" s="168" t="str">
        <f t="shared" si="2800"/>
        <v xml:space="preserve"> </v>
      </c>
      <c r="P244" s="168"/>
      <c r="Q244" s="166" t="str">
        <f t="shared" si="2801"/>
        <v xml:space="preserve"> </v>
      </c>
      <c r="R244" s="167">
        <f ca="1">+BDFUENTES[[#This Row],[PZ MED m3/día]]/3.6/BDFUENTES[[#This Row],[PZ MED Horas Activo]]</f>
        <v>0</v>
      </c>
      <c r="S244" s="167" t="str">
        <f t="shared" ca="1" si="2802"/>
        <v xml:space="preserve"> </v>
      </c>
      <c r="T244" s="168" t="str">
        <f t="shared" si="2803"/>
        <v xml:space="preserve"> </v>
      </c>
      <c r="U244" s="168"/>
      <c r="V244" s="165" t="str">
        <f t="shared" si="2804"/>
        <v xml:space="preserve"> </v>
      </c>
      <c r="W244" s="164" t="str">
        <f t="shared" si="2805"/>
        <v xml:space="preserve"> </v>
      </c>
      <c r="X244" s="166"/>
      <c r="Y244" s="168" t="str">
        <f t="shared" si="2806"/>
        <v xml:space="preserve"> </v>
      </c>
      <c r="Z244" s="168"/>
      <c r="AA244" s="166" t="str">
        <f t="shared" si="2807"/>
        <v xml:space="preserve"> </v>
      </c>
      <c r="AB244" s="168" t="str">
        <f t="shared" si="2808"/>
        <v xml:space="preserve"> </v>
      </c>
      <c r="AC244" s="168"/>
      <c r="AD244" s="171" t="str">
        <f t="shared" si="2809"/>
        <v xml:space="preserve"> </v>
      </c>
      <c r="AE244" s="167"/>
      <c r="AF244" s="165" t="str">
        <f t="shared" si="2810"/>
        <v xml:space="preserve"> </v>
      </c>
      <c r="AG244" s="168"/>
      <c r="AH244" s="168"/>
      <c r="AI244" s="166"/>
      <c r="AJ244" s="166"/>
      <c r="AK244" s="166" t="str">
        <f t="shared" si="2811"/>
        <v/>
      </c>
      <c r="AL244" s="167"/>
      <c r="AM244" s="171" t="str">
        <f t="shared" si="2812"/>
        <v xml:space="preserve"> </v>
      </c>
      <c r="AN244" s="168" t="str">
        <f t="shared" si="2813"/>
        <v xml:space="preserve"> </v>
      </c>
      <c r="AO244" s="168"/>
      <c r="AP244" s="167" t="str">
        <f t="shared" si="2814"/>
        <v xml:space="preserve"> </v>
      </c>
      <c r="AQ244" s="166"/>
      <c r="AR244" s="166" t="str">
        <f t="shared" si="2815"/>
        <v xml:space="preserve"> </v>
      </c>
      <c r="AS244" s="168" t="str">
        <f t="shared" si="2816"/>
        <v xml:space="preserve"> </v>
      </c>
      <c r="AT244" s="168"/>
      <c r="AU244" s="166" t="str">
        <f t="shared" si="2817"/>
        <v xml:space="preserve"> </v>
      </c>
      <c r="AV244" s="167"/>
      <c r="AW244" s="167"/>
      <c r="AX244" s="169" t="str">
        <f t="shared" si="2818"/>
        <v xml:space="preserve"> </v>
      </c>
      <c r="AY244" s="169"/>
      <c r="AZ244" s="167" t="str">
        <f t="shared" si="2819"/>
        <v xml:space="preserve"> </v>
      </c>
      <c r="BA244" s="166"/>
      <c r="BB244" s="166"/>
      <c r="BC244" s="168" t="str">
        <f t="shared" si="2820"/>
        <v xml:space="preserve"> </v>
      </c>
      <c r="BD244" s="168"/>
      <c r="BE244" s="166" t="str">
        <f t="shared" si="2821"/>
        <v xml:space="preserve"> </v>
      </c>
      <c r="BF244" s="167"/>
      <c r="BG244" s="167"/>
      <c r="BH244" s="168" t="str">
        <f t="shared" si="2822"/>
        <v xml:space="preserve"> </v>
      </c>
      <c r="BI244" s="168"/>
      <c r="BJ244" s="167" t="str">
        <f t="shared" si="2823"/>
        <v xml:space="preserve"> </v>
      </c>
      <c r="BK244" s="166"/>
      <c r="BL244" s="166" t="str">
        <f t="shared" si="2824"/>
        <v xml:space="preserve"> </v>
      </c>
      <c r="BM244" s="168" t="str">
        <f t="shared" si="2825"/>
        <v xml:space="preserve"> </v>
      </c>
      <c r="BN244" s="168"/>
      <c r="BO244" s="166" t="str">
        <f t="shared" si="2826"/>
        <v xml:space="preserve"> </v>
      </c>
    </row>
    <row r="245" spans="2:67" ht="15" customHeight="1" x14ac:dyDescent="0.25">
      <c r="B245" s="170">
        <v>46263</v>
      </c>
      <c r="C245" s="164"/>
      <c r="D245" s="166" t="str">
        <f t="shared" si="2793"/>
        <v xml:space="preserve"> </v>
      </c>
      <c r="E245" s="168" t="str">
        <f t="shared" si="2794"/>
        <v xml:space="preserve"> </v>
      </c>
      <c r="F245" s="168"/>
      <c r="G245" s="166" t="str">
        <f t="shared" si="2795"/>
        <v xml:space="preserve"> </v>
      </c>
      <c r="H245" s="167"/>
      <c r="I245" s="167" t="str">
        <f t="shared" si="2796"/>
        <v xml:space="preserve"> </v>
      </c>
      <c r="J245" s="168" t="str">
        <f t="shared" si="2797"/>
        <v xml:space="preserve"> </v>
      </c>
      <c r="K245" s="168"/>
      <c r="L245" s="167" t="str">
        <f t="shared" si="2798"/>
        <v xml:space="preserve"> </v>
      </c>
      <c r="M245" s="166"/>
      <c r="N245" s="166" t="str">
        <f t="shared" si="2799"/>
        <v xml:space="preserve"> </v>
      </c>
      <c r="O245" s="168" t="str">
        <f t="shared" si="2800"/>
        <v xml:space="preserve"> </v>
      </c>
      <c r="P245" s="168"/>
      <c r="Q245" s="166" t="str">
        <f t="shared" si="2801"/>
        <v xml:space="preserve"> </v>
      </c>
      <c r="R245" s="167">
        <f ca="1">+BDFUENTES[[#This Row],[PZ MED m3/día]]/3.6/BDFUENTES[[#This Row],[PZ MED Horas Activo]]</f>
        <v>0</v>
      </c>
      <c r="S245" s="167" t="str">
        <f t="shared" ca="1" si="2802"/>
        <v xml:space="preserve"> </v>
      </c>
      <c r="T245" s="168" t="str">
        <f t="shared" si="2803"/>
        <v xml:space="preserve"> </v>
      </c>
      <c r="U245" s="168"/>
      <c r="V245" s="165" t="str">
        <f t="shared" si="2804"/>
        <v xml:space="preserve"> </v>
      </c>
      <c r="W245" s="164" t="str">
        <f t="shared" si="2805"/>
        <v xml:space="preserve"> </v>
      </c>
      <c r="X245" s="166"/>
      <c r="Y245" s="168" t="str">
        <f t="shared" si="2806"/>
        <v xml:space="preserve"> </v>
      </c>
      <c r="Z245" s="168"/>
      <c r="AA245" s="166" t="str">
        <f t="shared" si="2807"/>
        <v xml:space="preserve"> </v>
      </c>
      <c r="AB245" s="168" t="str">
        <f t="shared" si="2808"/>
        <v xml:space="preserve"> </v>
      </c>
      <c r="AC245" s="168"/>
      <c r="AD245" s="171" t="str">
        <f t="shared" si="2809"/>
        <v xml:space="preserve"> </v>
      </c>
      <c r="AE245" s="167"/>
      <c r="AF245" s="165" t="str">
        <f t="shared" si="2810"/>
        <v xml:space="preserve"> </v>
      </c>
      <c r="AG245" s="168"/>
      <c r="AH245" s="168"/>
      <c r="AI245" s="166"/>
      <c r="AJ245" s="166"/>
      <c r="AK245" s="166" t="str">
        <f t="shared" si="2811"/>
        <v/>
      </c>
      <c r="AL245" s="167"/>
      <c r="AM245" s="171" t="str">
        <f t="shared" si="2812"/>
        <v xml:space="preserve"> </v>
      </c>
      <c r="AN245" s="168" t="str">
        <f t="shared" si="2813"/>
        <v xml:space="preserve"> </v>
      </c>
      <c r="AO245" s="168"/>
      <c r="AP245" s="167" t="str">
        <f t="shared" si="2814"/>
        <v xml:space="preserve"> </v>
      </c>
      <c r="AQ245" s="166"/>
      <c r="AR245" s="166" t="str">
        <f t="shared" si="2815"/>
        <v xml:space="preserve"> </v>
      </c>
      <c r="AS245" s="168" t="str">
        <f t="shared" si="2816"/>
        <v xml:space="preserve"> </v>
      </c>
      <c r="AT245" s="168"/>
      <c r="AU245" s="166" t="str">
        <f t="shared" si="2817"/>
        <v xml:space="preserve"> </v>
      </c>
      <c r="AV245" s="167"/>
      <c r="AW245" s="167"/>
      <c r="AX245" s="169" t="str">
        <f t="shared" si="2818"/>
        <v xml:space="preserve"> </v>
      </c>
      <c r="AY245" s="169"/>
      <c r="AZ245" s="167" t="str">
        <f t="shared" si="2819"/>
        <v xml:space="preserve"> </v>
      </c>
      <c r="BA245" s="166"/>
      <c r="BB245" s="166"/>
      <c r="BC245" s="168" t="str">
        <f t="shared" si="2820"/>
        <v xml:space="preserve"> </v>
      </c>
      <c r="BD245" s="168"/>
      <c r="BE245" s="166" t="str">
        <f t="shared" si="2821"/>
        <v xml:space="preserve"> </v>
      </c>
      <c r="BF245" s="167"/>
      <c r="BG245" s="167"/>
      <c r="BH245" s="168" t="str">
        <f t="shared" si="2822"/>
        <v xml:space="preserve"> </v>
      </c>
      <c r="BI245" s="168"/>
      <c r="BJ245" s="167" t="str">
        <f t="shared" si="2823"/>
        <v xml:space="preserve"> </v>
      </c>
      <c r="BK245" s="166"/>
      <c r="BL245" s="166" t="str">
        <f t="shared" si="2824"/>
        <v xml:space="preserve"> </v>
      </c>
      <c r="BM245" s="168" t="str">
        <f t="shared" si="2825"/>
        <v xml:space="preserve"> </v>
      </c>
      <c r="BN245" s="168"/>
      <c r="BO245" s="166" t="str">
        <f t="shared" si="2826"/>
        <v xml:space="preserve"> </v>
      </c>
    </row>
    <row r="246" spans="2:67" ht="15" customHeight="1" x14ac:dyDescent="0.25">
      <c r="B246" s="170">
        <v>46264</v>
      </c>
      <c r="C246" s="164"/>
      <c r="D246" s="166" t="str">
        <f t="shared" si="2793"/>
        <v xml:space="preserve"> </v>
      </c>
      <c r="E246" s="168" t="str">
        <f t="shared" si="2794"/>
        <v xml:space="preserve"> </v>
      </c>
      <c r="F246" s="168"/>
      <c r="G246" s="166" t="str">
        <f t="shared" si="2795"/>
        <v xml:space="preserve"> </v>
      </c>
      <c r="H246" s="167"/>
      <c r="I246" s="167" t="str">
        <f t="shared" si="2796"/>
        <v xml:space="preserve"> </v>
      </c>
      <c r="J246" s="168" t="str">
        <f t="shared" si="2797"/>
        <v xml:space="preserve"> </v>
      </c>
      <c r="K246" s="168"/>
      <c r="L246" s="167" t="str">
        <f t="shared" si="2798"/>
        <v xml:space="preserve"> </v>
      </c>
      <c r="M246" s="166"/>
      <c r="N246" s="166" t="str">
        <f t="shared" si="2799"/>
        <v xml:space="preserve"> </v>
      </c>
      <c r="O246" s="168" t="str">
        <f t="shared" si="2800"/>
        <v xml:space="preserve"> </v>
      </c>
      <c r="P246" s="168"/>
      <c r="Q246" s="166" t="str">
        <f t="shared" si="2801"/>
        <v xml:space="preserve"> </v>
      </c>
      <c r="R246" s="167">
        <f ca="1">+BDFUENTES[[#This Row],[PZ MED m3/día]]/3.6/BDFUENTES[[#This Row],[PZ MED Horas Activo]]</f>
        <v>0</v>
      </c>
      <c r="S246" s="167" t="str">
        <f t="shared" ca="1" si="2802"/>
        <v xml:space="preserve"> </v>
      </c>
      <c r="T246" s="168" t="str">
        <f t="shared" si="2803"/>
        <v xml:space="preserve"> </v>
      </c>
      <c r="U246" s="168"/>
      <c r="V246" s="165" t="str">
        <f t="shared" si="2804"/>
        <v xml:space="preserve"> </v>
      </c>
      <c r="W246" s="164" t="str">
        <f t="shared" si="2805"/>
        <v xml:space="preserve"> </v>
      </c>
      <c r="X246" s="166"/>
      <c r="Y246" s="168" t="str">
        <f t="shared" si="2806"/>
        <v xml:space="preserve"> </v>
      </c>
      <c r="Z246" s="168"/>
      <c r="AA246" s="166" t="str">
        <f t="shared" si="2807"/>
        <v xml:space="preserve"> </v>
      </c>
      <c r="AB246" s="168" t="str">
        <f t="shared" si="2808"/>
        <v xml:space="preserve"> </v>
      </c>
      <c r="AC246" s="168"/>
      <c r="AD246" s="171" t="str">
        <f t="shared" si="2809"/>
        <v xml:space="preserve"> </v>
      </c>
      <c r="AE246" s="167"/>
      <c r="AF246" s="165" t="str">
        <f t="shared" si="2810"/>
        <v xml:space="preserve"> </v>
      </c>
      <c r="AG246" s="168"/>
      <c r="AH246" s="168"/>
      <c r="AI246" s="166"/>
      <c r="AJ246" s="166"/>
      <c r="AK246" s="166" t="str">
        <f t="shared" si="2811"/>
        <v/>
      </c>
      <c r="AL246" s="167"/>
      <c r="AM246" s="171" t="str">
        <f t="shared" si="2812"/>
        <v xml:space="preserve"> </v>
      </c>
      <c r="AN246" s="168" t="str">
        <f t="shared" si="2813"/>
        <v xml:space="preserve"> </v>
      </c>
      <c r="AO246" s="168"/>
      <c r="AP246" s="167" t="str">
        <f t="shared" si="2814"/>
        <v xml:space="preserve"> </v>
      </c>
      <c r="AQ246" s="166"/>
      <c r="AR246" s="166" t="str">
        <f t="shared" si="2815"/>
        <v xml:space="preserve"> </v>
      </c>
      <c r="AS246" s="168" t="str">
        <f t="shared" si="2816"/>
        <v xml:space="preserve"> </v>
      </c>
      <c r="AT246" s="168"/>
      <c r="AU246" s="166" t="str">
        <f t="shared" si="2817"/>
        <v xml:space="preserve"> </v>
      </c>
      <c r="AV246" s="167"/>
      <c r="AW246" s="167"/>
      <c r="AX246" s="169" t="str">
        <f t="shared" si="2818"/>
        <v xml:space="preserve"> </v>
      </c>
      <c r="AY246" s="169"/>
      <c r="AZ246" s="167" t="str">
        <f t="shared" si="2819"/>
        <v xml:space="preserve"> </v>
      </c>
      <c r="BA246" s="166"/>
      <c r="BB246" s="166"/>
      <c r="BC246" s="168" t="str">
        <f t="shared" si="2820"/>
        <v xml:space="preserve"> </v>
      </c>
      <c r="BD246" s="168"/>
      <c r="BE246" s="166" t="str">
        <f t="shared" si="2821"/>
        <v xml:space="preserve"> </v>
      </c>
      <c r="BF246" s="167"/>
      <c r="BG246" s="167"/>
      <c r="BH246" s="168" t="str">
        <f t="shared" si="2822"/>
        <v xml:space="preserve"> </v>
      </c>
      <c r="BI246" s="168"/>
      <c r="BJ246" s="167" t="str">
        <f t="shared" si="2823"/>
        <v xml:space="preserve"> </v>
      </c>
      <c r="BK246" s="166"/>
      <c r="BL246" s="166" t="str">
        <f t="shared" si="2824"/>
        <v xml:space="preserve"> </v>
      </c>
      <c r="BM246" s="168" t="str">
        <f t="shared" si="2825"/>
        <v xml:space="preserve"> </v>
      </c>
      <c r="BN246" s="168"/>
      <c r="BO246" s="166" t="str">
        <f t="shared" si="2826"/>
        <v xml:space="preserve"> </v>
      </c>
    </row>
    <row r="247" spans="2:67" ht="15" customHeight="1" x14ac:dyDescent="0.25">
      <c r="B247" s="170">
        <v>46265</v>
      </c>
      <c r="C247" s="164"/>
      <c r="D247" s="166" t="str">
        <f t="shared" si="2793"/>
        <v xml:space="preserve"> </v>
      </c>
      <c r="E247" s="168" t="str">
        <f t="shared" si="2794"/>
        <v xml:space="preserve"> </v>
      </c>
      <c r="F247" s="168"/>
      <c r="G247" s="166" t="str">
        <f t="shared" si="2795"/>
        <v xml:space="preserve"> </v>
      </c>
      <c r="H247" s="167"/>
      <c r="I247" s="167" t="str">
        <f t="shared" si="2796"/>
        <v xml:space="preserve"> </v>
      </c>
      <c r="J247" s="168" t="str">
        <f t="shared" si="2797"/>
        <v xml:space="preserve"> </v>
      </c>
      <c r="K247" s="168"/>
      <c r="L247" s="167" t="str">
        <f t="shared" si="2798"/>
        <v xml:space="preserve"> </v>
      </c>
      <c r="M247" s="166"/>
      <c r="N247" s="166" t="str">
        <f t="shared" si="2799"/>
        <v xml:space="preserve"> </v>
      </c>
      <c r="O247" s="168" t="str">
        <f t="shared" si="2800"/>
        <v xml:space="preserve"> </v>
      </c>
      <c r="P247" s="168"/>
      <c r="Q247" s="166" t="str">
        <f t="shared" si="2801"/>
        <v xml:space="preserve"> </v>
      </c>
      <c r="R247" s="167">
        <f ca="1">+BDFUENTES[[#This Row],[PZ MED m3/día]]/3.6/BDFUENTES[[#This Row],[PZ MED Horas Activo]]</f>
        <v>0</v>
      </c>
      <c r="S247" s="167" t="str">
        <f t="shared" ca="1" si="2802"/>
        <v xml:space="preserve"> </v>
      </c>
      <c r="T247" s="168" t="str">
        <f t="shared" si="2803"/>
        <v xml:space="preserve"> </v>
      </c>
      <c r="U247" s="168"/>
      <c r="V247" s="165" t="str">
        <f t="shared" si="2804"/>
        <v xml:space="preserve"> </v>
      </c>
      <c r="W247" s="164" t="str">
        <f t="shared" si="2805"/>
        <v xml:space="preserve"> </v>
      </c>
      <c r="X247" s="166"/>
      <c r="Y247" s="168" t="str">
        <f t="shared" si="2806"/>
        <v xml:space="preserve"> </v>
      </c>
      <c r="Z247" s="168"/>
      <c r="AA247" s="166" t="str">
        <f t="shared" si="2807"/>
        <v xml:space="preserve"> </v>
      </c>
      <c r="AB247" s="168" t="str">
        <f t="shared" si="2808"/>
        <v xml:space="preserve"> </v>
      </c>
      <c r="AC247" s="168"/>
      <c r="AD247" s="171" t="str">
        <f t="shared" si="2809"/>
        <v xml:space="preserve"> </v>
      </c>
      <c r="AE247" s="167"/>
      <c r="AF247" s="165" t="str">
        <f t="shared" si="2810"/>
        <v xml:space="preserve"> </v>
      </c>
      <c r="AG247" s="168"/>
      <c r="AH247" s="168"/>
      <c r="AI247" s="166"/>
      <c r="AJ247" s="166"/>
      <c r="AK247" s="166" t="str">
        <f t="shared" si="2811"/>
        <v/>
      </c>
      <c r="AL247" s="167"/>
      <c r="AM247" s="171" t="str">
        <f t="shared" si="2812"/>
        <v xml:space="preserve"> </v>
      </c>
      <c r="AN247" s="168" t="str">
        <f t="shared" si="2813"/>
        <v xml:space="preserve"> </v>
      </c>
      <c r="AO247" s="168"/>
      <c r="AP247" s="167" t="str">
        <f t="shared" si="2814"/>
        <v xml:space="preserve"> </v>
      </c>
      <c r="AQ247" s="166"/>
      <c r="AR247" s="166" t="str">
        <f t="shared" si="2815"/>
        <v xml:space="preserve"> </v>
      </c>
      <c r="AS247" s="168" t="str">
        <f t="shared" si="2816"/>
        <v xml:space="preserve"> </v>
      </c>
      <c r="AT247" s="168"/>
      <c r="AU247" s="166" t="str">
        <f t="shared" si="2817"/>
        <v xml:space="preserve"> </v>
      </c>
      <c r="AV247" s="167"/>
      <c r="AW247" s="167"/>
      <c r="AX247" s="169" t="str">
        <f t="shared" si="2818"/>
        <v xml:space="preserve"> </v>
      </c>
      <c r="AY247" s="169"/>
      <c r="AZ247" s="167" t="str">
        <f t="shared" si="2819"/>
        <v xml:space="preserve"> </v>
      </c>
      <c r="BA247" s="166"/>
      <c r="BB247" s="166"/>
      <c r="BC247" s="168" t="str">
        <f t="shared" si="2820"/>
        <v xml:space="preserve"> </v>
      </c>
      <c r="BD247" s="168"/>
      <c r="BE247" s="166" t="str">
        <f t="shared" si="2821"/>
        <v xml:space="preserve"> </v>
      </c>
      <c r="BF247" s="167"/>
      <c r="BG247" s="167"/>
      <c r="BH247" s="168" t="str">
        <f t="shared" si="2822"/>
        <v xml:space="preserve"> </v>
      </c>
      <c r="BI247" s="168"/>
      <c r="BJ247" s="167" t="str">
        <f t="shared" si="2823"/>
        <v xml:space="preserve"> </v>
      </c>
      <c r="BK247" s="166"/>
      <c r="BL247" s="166" t="str">
        <f t="shared" si="2824"/>
        <v xml:space="preserve"> </v>
      </c>
      <c r="BM247" s="168" t="str">
        <f t="shared" si="2825"/>
        <v xml:space="preserve"> </v>
      </c>
      <c r="BN247" s="168"/>
      <c r="BO247" s="166" t="str">
        <f t="shared" si="2826"/>
        <v xml:space="preserve"> </v>
      </c>
    </row>
    <row r="248" spans="2:67" ht="15" customHeight="1" x14ac:dyDescent="0.25">
      <c r="B248" s="170">
        <v>46266</v>
      </c>
      <c r="C248" s="164"/>
      <c r="D248" s="166" t="str">
        <f t="shared" si="2793"/>
        <v xml:space="preserve"> </v>
      </c>
      <c r="E248" s="168" t="str">
        <f t="shared" si="2794"/>
        <v xml:space="preserve"> </v>
      </c>
      <c r="F248" s="168"/>
      <c r="G248" s="166" t="str">
        <f t="shared" si="2795"/>
        <v xml:space="preserve"> </v>
      </c>
      <c r="H248" s="167"/>
      <c r="I248" s="167" t="str">
        <f t="shared" si="2796"/>
        <v xml:space="preserve"> </v>
      </c>
      <c r="J248" s="168" t="str">
        <f t="shared" si="2797"/>
        <v xml:space="preserve"> </v>
      </c>
      <c r="K248" s="168"/>
      <c r="L248" s="167" t="str">
        <f t="shared" si="2798"/>
        <v xml:space="preserve"> </v>
      </c>
      <c r="M248" s="166"/>
      <c r="N248" s="166" t="str">
        <f t="shared" si="2799"/>
        <v xml:space="preserve"> </v>
      </c>
      <c r="O248" s="168" t="str">
        <f t="shared" si="2800"/>
        <v xml:space="preserve"> </v>
      </c>
      <c r="P248" s="168"/>
      <c r="Q248" s="166" t="str">
        <f t="shared" si="2801"/>
        <v xml:space="preserve"> </v>
      </c>
      <c r="R248" s="167">
        <f ca="1">+BDFUENTES[[#This Row],[PZ MED m3/día]]/3.6/BDFUENTES[[#This Row],[PZ MED Horas Activo]]</f>
        <v>0</v>
      </c>
      <c r="S248" s="167" t="str">
        <f t="shared" ca="1" si="2802"/>
        <v xml:space="preserve"> </v>
      </c>
      <c r="T248" s="168" t="str">
        <f t="shared" si="2803"/>
        <v xml:space="preserve"> </v>
      </c>
      <c r="U248" s="168"/>
      <c r="V248" s="165" t="str">
        <f t="shared" si="2804"/>
        <v xml:space="preserve"> </v>
      </c>
      <c r="W248" s="164" t="str">
        <f t="shared" si="2805"/>
        <v xml:space="preserve"> </v>
      </c>
      <c r="X248" s="166"/>
      <c r="Y248" s="168" t="str">
        <f t="shared" si="2806"/>
        <v xml:space="preserve"> </v>
      </c>
      <c r="Z248" s="168"/>
      <c r="AA248" s="166" t="str">
        <f t="shared" si="2807"/>
        <v xml:space="preserve"> </v>
      </c>
      <c r="AB248" s="168" t="str">
        <f t="shared" si="2808"/>
        <v xml:space="preserve"> </v>
      </c>
      <c r="AC248" s="168"/>
      <c r="AD248" s="171" t="str">
        <f t="shared" si="2809"/>
        <v xml:space="preserve"> </v>
      </c>
      <c r="AE248" s="167"/>
      <c r="AF248" s="165" t="str">
        <f t="shared" si="2810"/>
        <v xml:space="preserve"> </v>
      </c>
      <c r="AG248" s="168"/>
      <c r="AH248" s="168"/>
      <c r="AI248" s="166"/>
      <c r="AJ248" s="166"/>
      <c r="AK248" s="166" t="str">
        <f t="shared" si="2811"/>
        <v/>
      </c>
      <c r="AL248" s="167"/>
      <c r="AM248" s="171" t="str">
        <f t="shared" si="2812"/>
        <v xml:space="preserve"> </v>
      </c>
      <c r="AN248" s="168" t="str">
        <f t="shared" si="2813"/>
        <v xml:space="preserve"> </v>
      </c>
      <c r="AO248" s="168"/>
      <c r="AP248" s="167" t="str">
        <f t="shared" si="2814"/>
        <v xml:space="preserve"> </v>
      </c>
      <c r="AQ248" s="166"/>
      <c r="AR248" s="166" t="str">
        <f t="shared" si="2815"/>
        <v xml:space="preserve"> </v>
      </c>
      <c r="AS248" s="168" t="str">
        <f t="shared" si="2816"/>
        <v xml:space="preserve"> </v>
      </c>
      <c r="AT248" s="168"/>
      <c r="AU248" s="166" t="str">
        <f t="shared" si="2817"/>
        <v xml:space="preserve"> </v>
      </c>
      <c r="AV248" s="167"/>
      <c r="AW248" s="167"/>
      <c r="AX248" s="169" t="str">
        <f t="shared" si="2818"/>
        <v xml:space="preserve"> </v>
      </c>
      <c r="AY248" s="169"/>
      <c r="AZ248" s="167" t="str">
        <f t="shared" si="2819"/>
        <v xml:space="preserve"> </v>
      </c>
      <c r="BA248" s="166"/>
      <c r="BB248" s="166"/>
      <c r="BC248" s="168" t="str">
        <f t="shared" si="2820"/>
        <v xml:space="preserve"> </v>
      </c>
      <c r="BD248" s="168"/>
      <c r="BE248" s="166" t="str">
        <f t="shared" si="2821"/>
        <v xml:space="preserve"> </v>
      </c>
      <c r="BF248" s="167"/>
      <c r="BG248" s="167"/>
      <c r="BH248" s="168" t="str">
        <f t="shared" si="2822"/>
        <v xml:space="preserve"> </v>
      </c>
      <c r="BI248" s="168"/>
      <c r="BJ248" s="167" t="str">
        <f t="shared" si="2823"/>
        <v xml:space="preserve"> </v>
      </c>
      <c r="BK248" s="166"/>
      <c r="BL248" s="166" t="str">
        <f t="shared" si="2824"/>
        <v xml:space="preserve"> </v>
      </c>
      <c r="BM248" s="168" t="str">
        <f t="shared" si="2825"/>
        <v xml:space="preserve"> </v>
      </c>
      <c r="BN248" s="168"/>
      <c r="BO248" s="166" t="str">
        <f t="shared" si="2826"/>
        <v xml:space="preserve"> </v>
      </c>
    </row>
    <row r="249" spans="2:67" ht="15" customHeight="1" x14ac:dyDescent="0.25">
      <c r="B249" s="170">
        <v>46267</v>
      </c>
      <c r="C249" s="164"/>
      <c r="D249" s="166" t="str">
        <f t="shared" si="2793"/>
        <v xml:space="preserve"> </v>
      </c>
      <c r="E249" s="168" t="str">
        <f t="shared" si="2794"/>
        <v xml:space="preserve"> </v>
      </c>
      <c r="F249" s="168"/>
      <c r="G249" s="166" t="str">
        <f t="shared" si="2795"/>
        <v xml:space="preserve"> </v>
      </c>
      <c r="H249" s="167"/>
      <c r="I249" s="167" t="str">
        <f t="shared" si="2796"/>
        <v xml:space="preserve"> </v>
      </c>
      <c r="J249" s="168" t="str">
        <f t="shared" si="2797"/>
        <v xml:space="preserve"> </v>
      </c>
      <c r="K249" s="168"/>
      <c r="L249" s="167" t="str">
        <f t="shared" si="2798"/>
        <v xml:space="preserve"> </v>
      </c>
      <c r="M249" s="166"/>
      <c r="N249" s="166" t="str">
        <f t="shared" si="2799"/>
        <v xml:space="preserve"> </v>
      </c>
      <c r="O249" s="168" t="str">
        <f t="shared" si="2800"/>
        <v xml:space="preserve"> </v>
      </c>
      <c r="P249" s="168"/>
      <c r="Q249" s="166" t="str">
        <f t="shared" si="2801"/>
        <v xml:space="preserve"> </v>
      </c>
      <c r="R249" s="167">
        <f ca="1">+BDFUENTES[[#This Row],[PZ MED m3/día]]/3.6/BDFUENTES[[#This Row],[PZ MED Horas Activo]]</f>
        <v>0</v>
      </c>
      <c r="S249" s="167" t="str">
        <f t="shared" ca="1" si="2802"/>
        <v xml:space="preserve"> </v>
      </c>
      <c r="T249" s="168" t="str">
        <f t="shared" si="2803"/>
        <v xml:space="preserve"> </v>
      </c>
      <c r="U249" s="168"/>
      <c r="V249" s="165" t="str">
        <f t="shared" si="2804"/>
        <v xml:space="preserve"> </v>
      </c>
      <c r="W249" s="164" t="str">
        <f t="shared" si="2805"/>
        <v xml:space="preserve"> </v>
      </c>
      <c r="X249" s="166"/>
      <c r="Y249" s="168" t="str">
        <f t="shared" si="2806"/>
        <v xml:space="preserve"> </v>
      </c>
      <c r="Z249" s="168"/>
      <c r="AA249" s="166" t="str">
        <f t="shared" si="2807"/>
        <v xml:space="preserve"> </v>
      </c>
      <c r="AB249" s="168" t="str">
        <f t="shared" si="2808"/>
        <v xml:space="preserve"> </v>
      </c>
      <c r="AC249" s="168"/>
      <c r="AD249" s="171" t="str">
        <f t="shared" si="2809"/>
        <v xml:space="preserve"> </v>
      </c>
      <c r="AE249" s="167"/>
      <c r="AF249" s="165" t="str">
        <f t="shared" si="2810"/>
        <v xml:space="preserve"> </v>
      </c>
      <c r="AG249" s="168"/>
      <c r="AH249" s="168"/>
      <c r="AI249" s="166"/>
      <c r="AJ249" s="166"/>
      <c r="AK249" s="166" t="str">
        <f t="shared" si="2811"/>
        <v/>
      </c>
      <c r="AL249" s="167"/>
      <c r="AM249" s="171" t="str">
        <f t="shared" si="2812"/>
        <v xml:space="preserve"> </v>
      </c>
      <c r="AN249" s="168" t="str">
        <f t="shared" si="2813"/>
        <v xml:space="preserve"> </v>
      </c>
      <c r="AO249" s="168"/>
      <c r="AP249" s="167" t="str">
        <f t="shared" si="2814"/>
        <v xml:space="preserve"> </v>
      </c>
      <c r="AQ249" s="166"/>
      <c r="AR249" s="166" t="str">
        <f t="shared" si="2815"/>
        <v xml:space="preserve"> </v>
      </c>
      <c r="AS249" s="168" t="str">
        <f t="shared" si="2816"/>
        <v xml:space="preserve"> </v>
      </c>
      <c r="AT249" s="168"/>
      <c r="AU249" s="166" t="str">
        <f t="shared" si="2817"/>
        <v xml:space="preserve"> </v>
      </c>
      <c r="AV249" s="167"/>
      <c r="AW249" s="167"/>
      <c r="AX249" s="169" t="str">
        <f t="shared" si="2818"/>
        <v xml:space="preserve"> </v>
      </c>
      <c r="AY249" s="169"/>
      <c r="AZ249" s="167" t="str">
        <f t="shared" si="2819"/>
        <v xml:space="preserve"> </v>
      </c>
      <c r="BA249" s="166"/>
      <c r="BB249" s="166"/>
      <c r="BC249" s="168" t="str">
        <f t="shared" si="2820"/>
        <v xml:space="preserve"> </v>
      </c>
      <c r="BD249" s="168"/>
      <c r="BE249" s="166" t="str">
        <f t="shared" si="2821"/>
        <v xml:space="preserve"> </v>
      </c>
      <c r="BF249" s="167"/>
      <c r="BG249" s="167"/>
      <c r="BH249" s="168" t="str">
        <f t="shared" si="2822"/>
        <v xml:space="preserve"> </v>
      </c>
      <c r="BI249" s="168"/>
      <c r="BJ249" s="167" t="str">
        <f t="shared" si="2823"/>
        <v xml:space="preserve"> </v>
      </c>
      <c r="BK249" s="166"/>
      <c r="BL249" s="166" t="str">
        <f t="shared" si="2824"/>
        <v xml:space="preserve"> </v>
      </c>
      <c r="BM249" s="168" t="str">
        <f t="shared" si="2825"/>
        <v xml:space="preserve"> </v>
      </c>
      <c r="BN249" s="168"/>
      <c r="BO249" s="166" t="str">
        <f t="shared" si="2826"/>
        <v xml:space="preserve"> </v>
      </c>
    </row>
    <row r="250" spans="2:67" ht="15" customHeight="1" x14ac:dyDescent="0.25">
      <c r="B250" s="170">
        <v>46268</v>
      </c>
      <c r="C250" s="164"/>
      <c r="D250" s="166" t="str">
        <f t="shared" si="2793"/>
        <v xml:space="preserve"> </v>
      </c>
      <c r="E250" s="168" t="str">
        <f t="shared" si="2794"/>
        <v xml:space="preserve"> </v>
      </c>
      <c r="F250" s="168"/>
      <c r="G250" s="166" t="str">
        <f t="shared" si="2795"/>
        <v xml:space="preserve"> </v>
      </c>
      <c r="H250" s="167"/>
      <c r="I250" s="167" t="str">
        <f t="shared" si="2796"/>
        <v xml:space="preserve"> </v>
      </c>
      <c r="J250" s="168" t="str">
        <f t="shared" si="2797"/>
        <v xml:space="preserve"> </v>
      </c>
      <c r="K250" s="168"/>
      <c r="L250" s="167" t="str">
        <f t="shared" si="2798"/>
        <v xml:space="preserve"> </v>
      </c>
      <c r="M250" s="166"/>
      <c r="N250" s="166" t="str">
        <f t="shared" si="2799"/>
        <v xml:space="preserve"> </v>
      </c>
      <c r="O250" s="168" t="str">
        <f t="shared" si="2800"/>
        <v xml:space="preserve"> </v>
      </c>
      <c r="P250" s="168"/>
      <c r="Q250" s="166" t="str">
        <f t="shared" si="2801"/>
        <v xml:space="preserve"> </v>
      </c>
      <c r="R250" s="167">
        <f ca="1">+BDFUENTES[[#This Row],[PZ MED m3/día]]/3.6/BDFUENTES[[#This Row],[PZ MED Horas Activo]]</f>
        <v>0</v>
      </c>
      <c r="S250" s="167" t="str">
        <f t="shared" ca="1" si="2802"/>
        <v xml:space="preserve"> </v>
      </c>
      <c r="T250" s="168" t="str">
        <f t="shared" si="2803"/>
        <v xml:space="preserve"> </v>
      </c>
      <c r="U250" s="168"/>
      <c r="V250" s="165" t="str">
        <f t="shared" si="2804"/>
        <v xml:space="preserve"> </v>
      </c>
      <c r="W250" s="164" t="str">
        <f t="shared" si="2805"/>
        <v xml:space="preserve"> </v>
      </c>
      <c r="X250" s="166"/>
      <c r="Y250" s="168" t="str">
        <f t="shared" si="2806"/>
        <v xml:space="preserve"> </v>
      </c>
      <c r="Z250" s="168"/>
      <c r="AA250" s="166" t="str">
        <f t="shared" si="2807"/>
        <v xml:space="preserve"> </v>
      </c>
      <c r="AB250" s="168" t="str">
        <f t="shared" si="2808"/>
        <v xml:space="preserve"> </v>
      </c>
      <c r="AC250" s="168"/>
      <c r="AD250" s="171" t="str">
        <f t="shared" si="2809"/>
        <v xml:space="preserve"> </v>
      </c>
      <c r="AE250" s="167"/>
      <c r="AF250" s="165" t="str">
        <f t="shared" si="2810"/>
        <v xml:space="preserve"> </v>
      </c>
      <c r="AG250" s="168"/>
      <c r="AH250" s="168"/>
      <c r="AI250" s="166"/>
      <c r="AJ250" s="166"/>
      <c r="AK250" s="166" t="str">
        <f t="shared" si="2811"/>
        <v/>
      </c>
      <c r="AL250" s="167"/>
      <c r="AM250" s="171" t="str">
        <f t="shared" si="2812"/>
        <v xml:space="preserve"> </v>
      </c>
      <c r="AN250" s="168" t="str">
        <f t="shared" si="2813"/>
        <v xml:space="preserve"> </v>
      </c>
      <c r="AO250" s="168"/>
      <c r="AP250" s="167" t="str">
        <f t="shared" si="2814"/>
        <v xml:space="preserve"> </v>
      </c>
      <c r="AQ250" s="166"/>
      <c r="AR250" s="166" t="str">
        <f t="shared" si="2815"/>
        <v xml:space="preserve"> </v>
      </c>
      <c r="AS250" s="168" t="str">
        <f t="shared" si="2816"/>
        <v xml:space="preserve"> </v>
      </c>
      <c r="AT250" s="168"/>
      <c r="AU250" s="166" t="str">
        <f t="shared" si="2817"/>
        <v xml:space="preserve"> </v>
      </c>
      <c r="AV250" s="167"/>
      <c r="AW250" s="167"/>
      <c r="AX250" s="169" t="str">
        <f t="shared" si="2818"/>
        <v xml:space="preserve"> </v>
      </c>
      <c r="AY250" s="169"/>
      <c r="AZ250" s="167" t="str">
        <f t="shared" si="2819"/>
        <v xml:space="preserve"> </v>
      </c>
      <c r="BA250" s="166"/>
      <c r="BB250" s="166"/>
      <c r="BC250" s="168" t="str">
        <f t="shared" si="2820"/>
        <v xml:space="preserve"> </v>
      </c>
      <c r="BD250" s="168"/>
      <c r="BE250" s="166" t="str">
        <f t="shared" si="2821"/>
        <v xml:space="preserve"> </v>
      </c>
      <c r="BF250" s="167"/>
      <c r="BG250" s="167"/>
      <c r="BH250" s="168" t="str">
        <f t="shared" si="2822"/>
        <v xml:space="preserve"> </v>
      </c>
      <c r="BI250" s="168"/>
      <c r="BJ250" s="167" t="str">
        <f t="shared" si="2823"/>
        <v xml:space="preserve"> </v>
      </c>
      <c r="BK250" s="166"/>
      <c r="BL250" s="166" t="str">
        <f t="shared" si="2824"/>
        <v xml:space="preserve"> </v>
      </c>
      <c r="BM250" s="168" t="str">
        <f t="shared" si="2825"/>
        <v xml:space="preserve"> </v>
      </c>
      <c r="BN250" s="168"/>
      <c r="BO250" s="166" t="str">
        <f t="shared" si="2826"/>
        <v xml:space="preserve"> </v>
      </c>
    </row>
    <row r="251" spans="2:67" ht="15" customHeight="1" x14ac:dyDescent="0.25">
      <c r="B251" s="170">
        <v>46269</v>
      </c>
      <c r="C251" s="164"/>
      <c r="D251" s="166" t="str">
        <f t="shared" si="2793"/>
        <v xml:space="preserve"> </v>
      </c>
      <c r="E251" s="168" t="str">
        <f t="shared" si="2794"/>
        <v xml:space="preserve"> </v>
      </c>
      <c r="F251" s="168"/>
      <c r="G251" s="166" t="str">
        <f t="shared" si="2795"/>
        <v xml:space="preserve"> </v>
      </c>
      <c r="H251" s="167"/>
      <c r="I251" s="167" t="str">
        <f t="shared" si="2796"/>
        <v xml:space="preserve"> </v>
      </c>
      <c r="J251" s="168" t="str">
        <f t="shared" si="2797"/>
        <v xml:space="preserve"> </v>
      </c>
      <c r="K251" s="168"/>
      <c r="L251" s="167" t="str">
        <f t="shared" si="2798"/>
        <v xml:space="preserve"> </v>
      </c>
      <c r="M251" s="166"/>
      <c r="N251" s="166" t="str">
        <f t="shared" si="2799"/>
        <v xml:space="preserve"> </v>
      </c>
      <c r="O251" s="168" t="str">
        <f t="shared" si="2800"/>
        <v xml:space="preserve"> </v>
      </c>
      <c r="P251" s="168"/>
      <c r="Q251" s="166" t="str">
        <f t="shared" si="2801"/>
        <v xml:space="preserve"> </v>
      </c>
      <c r="R251" s="167">
        <f ca="1">+BDFUENTES[[#This Row],[PZ MED m3/día]]/3.6/BDFUENTES[[#This Row],[PZ MED Horas Activo]]</f>
        <v>0</v>
      </c>
      <c r="S251" s="167" t="str">
        <f t="shared" ca="1" si="2802"/>
        <v xml:space="preserve"> </v>
      </c>
      <c r="T251" s="168" t="str">
        <f t="shared" si="2803"/>
        <v xml:space="preserve"> </v>
      </c>
      <c r="U251" s="168"/>
      <c r="V251" s="165" t="str">
        <f t="shared" si="2804"/>
        <v xml:space="preserve"> </v>
      </c>
      <c r="W251" s="164" t="str">
        <f t="shared" si="2805"/>
        <v xml:space="preserve"> </v>
      </c>
      <c r="X251" s="166"/>
      <c r="Y251" s="168" t="str">
        <f t="shared" si="2806"/>
        <v xml:space="preserve"> </v>
      </c>
      <c r="Z251" s="168"/>
      <c r="AA251" s="166" t="str">
        <f t="shared" si="2807"/>
        <v xml:space="preserve"> </v>
      </c>
      <c r="AB251" s="168" t="str">
        <f t="shared" si="2808"/>
        <v xml:space="preserve"> </v>
      </c>
      <c r="AC251" s="168"/>
      <c r="AD251" s="171" t="str">
        <f t="shared" si="2809"/>
        <v xml:space="preserve"> </v>
      </c>
      <c r="AE251" s="167"/>
      <c r="AF251" s="165" t="str">
        <f t="shared" si="2810"/>
        <v xml:space="preserve"> </v>
      </c>
      <c r="AG251" s="168"/>
      <c r="AH251" s="168"/>
      <c r="AI251" s="166"/>
      <c r="AJ251" s="166"/>
      <c r="AK251" s="166" t="str">
        <f t="shared" si="2811"/>
        <v/>
      </c>
      <c r="AL251" s="167"/>
      <c r="AM251" s="171" t="str">
        <f t="shared" si="2812"/>
        <v xml:space="preserve"> </v>
      </c>
      <c r="AN251" s="168" t="str">
        <f t="shared" si="2813"/>
        <v xml:space="preserve"> </v>
      </c>
      <c r="AO251" s="168"/>
      <c r="AP251" s="167" t="str">
        <f t="shared" si="2814"/>
        <v xml:space="preserve"> </v>
      </c>
      <c r="AQ251" s="166"/>
      <c r="AR251" s="166" t="str">
        <f t="shared" si="2815"/>
        <v xml:space="preserve"> </v>
      </c>
      <c r="AS251" s="168" t="str">
        <f t="shared" si="2816"/>
        <v xml:space="preserve"> </v>
      </c>
      <c r="AT251" s="168"/>
      <c r="AU251" s="166" t="str">
        <f t="shared" si="2817"/>
        <v xml:space="preserve"> </v>
      </c>
      <c r="AV251" s="167"/>
      <c r="AW251" s="167"/>
      <c r="AX251" s="169" t="str">
        <f t="shared" si="2818"/>
        <v xml:space="preserve"> </v>
      </c>
      <c r="AY251" s="169"/>
      <c r="AZ251" s="167" t="str">
        <f t="shared" si="2819"/>
        <v xml:space="preserve"> </v>
      </c>
      <c r="BA251" s="166"/>
      <c r="BB251" s="166"/>
      <c r="BC251" s="168" t="str">
        <f t="shared" si="2820"/>
        <v xml:space="preserve"> </v>
      </c>
      <c r="BD251" s="168"/>
      <c r="BE251" s="166" t="str">
        <f t="shared" si="2821"/>
        <v xml:space="preserve"> </v>
      </c>
      <c r="BF251" s="167"/>
      <c r="BG251" s="167"/>
      <c r="BH251" s="168" t="str">
        <f t="shared" si="2822"/>
        <v xml:space="preserve"> </v>
      </c>
      <c r="BI251" s="168"/>
      <c r="BJ251" s="167" t="str">
        <f t="shared" si="2823"/>
        <v xml:space="preserve"> </v>
      </c>
      <c r="BK251" s="166"/>
      <c r="BL251" s="166" t="str">
        <f t="shared" si="2824"/>
        <v xml:space="preserve"> </v>
      </c>
      <c r="BM251" s="168" t="str">
        <f t="shared" si="2825"/>
        <v xml:space="preserve"> </v>
      </c>
      <c r="BN251" s="168"/>
      <c r="BO251" s="166" t="str">
        <f t="shared" si="2826"/>
        <v xml:space="preserve"> </v>
      </c>
    </row>
    <row r="252" spans="2:67" ht="15" customHeight="1" x14ac:dyDescent="0.25">
      <c r="B252" s="170">
        <v>46270</v>
      </c>
      <c r="C252" s="164"/>
      <c r="D252" s="166" t="str">
        <f t="shared" si="2793"/>
        <v xml:space="preserve"> </v>
      </c>
      <c r="E252" s="168" t="str">
        <f t="shared" si="2794"/>
        <v xml:space="preserve"> </v>
      </c>
      <c r="F252" s="168"/>
      <c r="G252" s="166" t="str">
        <f t="shared" si="2795"/>
        <v xml:space="preserve"> </v>
      </c>
      <c r="H252" s="167"/>
      <c r="I252" s="167" t="str">
        <f t="shared" si="2796"/>
        <v xml:space="preserve"> </v>
      </c>
      <c r="J252" s="168" t="str">
        <f t="shared" si="2797"/>
        <v xml:space="preserve"> </v>
      </c>
      <c r="K252" s="168"/>
      <c r="L252" s="167" t="str">
        <f t="shared" si="2798"/>
        <v xml:space="preserve"> </v>
      </c>
      <c r="M252" s="166"/>
      <c r="N252" s="166" t="str">
        <f t="shared" si="2799"/>
        <v xml:space="preserve"> </v>
      </c>
      <c r="O252" s="168" t="str">
        <f t="shared" si="2800"/>
        <v xml:space="preserve"> </v>
      </c>
      <c r="P252" s="168"/>
      <c r="Q252" s="166" t="str">
        <f t="shared" si="2801"/>
        <v xml:space="preserve"> </v>
      </c>
      <c r="R252" s="167">
        <f ca="1">+BDFUENTES[[#This Row],[PZ MED m3/día]]/3.6/BDFUENTES[[#This Row],[PZ MED Horas Activo]]</f>
        <v>0</v>
      </c>
      <c r="S252" s="167" t="str">
        <f t="shared" ca="1" si="2802"/>
        <v xml:space="preserve"> </v>
      </c>
      <c r="T252" s="168" t="str">
        <f t="shared" si="2803"/>
        <v xml:space="preserve"> </v>
      </c>
      <c r="U252" s="168"/>
      <c r="V252" s="165" t="str">
        <f t="shared" si="2804"/>
        <v xml:space="preserve"> </v>
      </c>
      <c r="W252" s="164" t="str">
        <f t="shared" si="2805"/>
        <v xml:space="preserve"> </v>
      </c>
      <c r="X252" s="166"/>
      <c r="Y252" s="168" t="str">
        <f t="shared" si="2806"/>
        <v xml:space="preserve"> </v>
      </c>
      <c r="Z252" s="168"/>
      <c r="AA252" s="166" t="str">
        <f t="shared" si="2807"/>
        <v xml:space="preserve"> </v>
      </c>
      <c r="AB252" s="168" t="str">
        <f t="shared" si="2808"/>
        <v xml:space="preserve"> </v>
      </c>
      <c r="AC252" s="168"/>
      <c r="AD252" s="171" t="str">
        <f t="shared" si="2809"/>
        <v xml:space="preserve"> </v>
      </c>
      <c r="AE252" s="167"/>
      <c r="AF252" s="165" t="str">
        <f t="shared" si="2810"/>
        <v xml:space="preserve"> </v>
      </c>
      <c r="AG252" s="168"/>
      <c r="AH252" s="168"/>
      <c r="AI252" s="166"/>
      <c r="AJ252" s="166"/>
      <c r="AK252" s="166" t="str">
        <f t="shared" si="2811"/>
        <v/>
      </c>
      <c r="AL252" s="167"/>
      <c r="AM252" s="171" t="str">
        <f t="shared" si="2812"/>
        <v xml:space="preserve"> </v>
      </c>
      <c r="AN252" s="168" t="str">
        <f t="shared" si="2813"/>
        <v xml:space="preserve"> </v>
      </c>
      <c r="AO252" s="168"/>
      <c r="AP252" s="167" t="str">
        <f t="shared" si="2814"/>
        <v xml:space="preserve"> </v>
      </c>
      <c r="AQ252" s="166"/>
      <c r="AR252" s="166" t="str">
        <f t="shared" si="2815"/>
        <v xml:space="preserve"> </v>
      </c>
      <c r="AS252" s="168" t="str">
        <f t="shared" si="2816"/>
        <v xml:space="preserve"> </v>
      </c>
      <c r="AT252" s="168"/>
      <c r="AU252" s="166" t="str">
        <f t="shared" si="2817"/>
        <v xml:space="preserve"> </v>
      </c>
      <c r="AV252" s="167"/>
      <c r="AW252" s="167"/>
      <c r="AX252" s="169" t="str">
        <f t="shared" si="2818"/>
        <v xml:space="preserve"> </v>
      </c>
      <c r="AY252" s="169"/>
      <c r="AZ252" s="167" t="str">
        <f t="shared" si="2819"/>
        <v xml:space="preserve"> </v>
      </c>
      <c r="BA252" s="166"/>
      <c r="BB252" s="166"/>
      <c r="BC252" s="168" t="str">
        <f t="shared" si="2820"/>
        <v xml:space="preserve"> </v>
      </c>
      <c r="BD252" s="168"/>
      <c r="BE252" s="166" t="str">
        <f t="shared" si="2821"/>
        <v xml:space="preserve"> </v>
      </c>
      <c r="BF252" s="167"/>
      <c r="BG252" s="167"/>
      <c r="BH252" s="168" t="str">
        <f t="shared" si="2822"/>
        <v xml:space="preserve"> </v>
      </c>
      <c r="BI252" s="168"/>
      <c r="BJ252" s="167" t="str">
        <f t="shared" si="2823"/>
        <v xml:space="preserve"> </v>
      </c>
      <c r="BK252" s="166"/>
      <c r="BL252" s="166" t="str">
        <f t="shared" si="2824"/>
        <v xml:space="preserve"> </v>
      </c>
      <c r="BM252" s="168" t="str">
        <f t="shared" si="2825"/>
        <v xml:space="preserve"> </v>
      </c>
      <c r="BN252" s="168"/>
      <c r="BO252" s="166" t="str">
        <f t="shared" si="2826"/>
        <v xml:space="preserve"> </v>
      </c>
    </row>
    <row r="253" spans="2:67" ht="15" customHeight="1" x14ac:dyDescent="0.25">
      <c r="B253" s="170">
        <v>46271</v>
      </c>
      <c r="C253" s="164"/>
      <c r="D253" s="166" t="str">
        <f t="shared" si="2793"/>
        <v xml:space="preserve"> </v>
      </c>
      <c r="E253" s="168" t="str">
        <f t="shared" si="2794"/>
        <v xml:space="preserve"> </v>
      </c>
      <c r="F253" s="168"/>
      <c r="G253" s="166" t="str">
        <f t="shared" si="2795"/>
        <v xml:space="preserve"> </v>
      </c>
      <c r="H253" s="167"/>
      <c r="I253" s="167" t="str">
        <f t="shared" si="2796"/>
        <v xml:space="preserve"> </v>
      </c>
      <c r="J253" s="168" t="str">
        <f t="shared" si="2797"/>
        <v xml:space="preserve"> </v>
      </c>
      <c r="K253" s="168"/>
      <c r="L253" s="167" t="str">
        <f t="shared" si="2798"/>
        <v xml:space="preserve"> </v>
      </c>
      <c r="M253" s="166"/>
      <c r="N253" s="166" t="str">
        <f t="shared" si="2799"/>
        <v xml:space="preserve"> </v>
      </c>
      <c r="O253" s="168" t="str">
        <f t="shared" si="2800"/>
        <v xml:space="preserve"> </v>
      </c>
      <c r="P253" s="168"/>
      <c r="Q253" s="166" t="str">
        <f t="shared" si="2801"/>
        <v xml:space="preserve"> </v>
      </c>
      <c r="R253" s="167">
        <f ca="1">+BDFUENTES[[#This Row],[PZ MED m3/día]]/3.6/BDFUENTES[[#This Row],[PZ MED Horas Activo]]</f>
        <v>0</v>
      </c>
      <c r="S253" s="167" t="str">
        <f t="shared" ca="1" si="2802"/>
        <v xml:space="preserve"> </v>
      </c>
      <c r="T253" s="168" t="str">
        <f t="shared" si="2803"/>
        <v xml:space="preserve"> </v>
      </c>
      <c r="U253" s="168"/>
      <c r="V253" s="165" t="str">
        <f t="shared" si="2804"/>
        <v xml:space="preserve"> </v>
      </c>
      <c r="W253" s="164" t="str">
        <f t="shared" si="2805"/>
        <v xml:space="preserve"> </v>
      </c>
      <c r="X253" s="166"/>
      <c r="Y253" s="168" t="str">
        <f t="shared" si="2806"/>
        <v xml:space="preserve"> </v>
      </c>
      <c r="Z253" s="168"/>
      <c r="AA253" s="166" t="str">
        <f t="shared" si="2807"/>
        <v xml:space="preserve"> </v>
      </c>
      <c r="AB253" s="168" t="str">
        <f t="shared" si="2808"/>
        <v xml:space="preserve"> </v>
      </c>
      <c r="AC253" s="168"/>
      <c r="AD253" s="171" t="str">
        <f t="shared" si="2809"/>
        <v xml:space="preserve"> </v>
      </c>
      <c r="AE253" s="167"/>
      <c r="AF253" s="165" t="str">
        <f t="shared" si="2810"/>
        <v xml:space="preserve"> </v>
      </c>
      <c r="AG253" s="168"/>
      <c r="AH253" s="168"/>
      <c r="AI253" s="166"/>
      <c r="AJ253" s="166"/>
      <c r="AK253" s="166" t="str">
        <f t="shared" si="2811"/>
        <v/>
      </c>
      <c r="AL253" s="167"/>
      <c r="AM253" s="171" t="str">
        <f t="shared" si="2812"/>
        <v xml:space="preserve"> </v>
      </c>
      <c r="AN253" s="168" t="str">
        <f t="shared" si="2813"/>
        <v xml:space="preserve"> </v>
      </c>
      <c r="AO253" s="168"/>
      <c r="AP253" s="167" t="str">
        <f t="shared" si="2814"/>
        <v xml:space="preserve"> </v>
      </c>
      <c r="AQ253" s="166"/>
      <c r="AR253" s="166" t="str">
        <f t="shared" si="2815"/>
        <v xml:space="preserve"> </v>
      </c>
      <c r="AS253" s="168" t="str">
        <f t="shared" si="2816"/>
        <v xml:space="preserve"> </v>
      </c>
      <c r="AT253" s="168"/>
      <c r="AU253" s="166" t="str">
        <f t="shared" si="2817"/>
        <v xml:space="preserve"> </v>
      </c>
      <c r="AV253" s="167"/>
      <c r="AW253" s="167"/>
      <c r="AX253" s="169" t="str">
        <f t="shared" si="2818"/>
        <v xml:space="preserve"> </v>
      </c>
      <c r="AY253" s="169"/>
      <c r="AZ253" s="167" t="str">
        <f t="shared" si="2819"/>
        <v xml:space="preserve"> </v>
      </c>
      <c r="BA253" s="166"/>
      <c r="BB253" s="166"/>
      <c r="BC253" s="168" t="str">
        <f t="shared" si="2820"/>
        <v xml:space="preserve"> </v>
      </c>
      <c r="BD253" s="168"/>
      <c r="BE253" s="166" t="str">
        <f t="shared" si="2821"/>
        <v xml:space="preserve"> </v>
      </c>
      <c r="BF253" s="167"/>
      <c r="BG253" s="167"/>
      <c r="BH253" s="168" t="str">
        <f t="shared" si="2822"/>
        <v xml:space="preserve"> </v>
      </c>
      <c r="BI253" s="168"/>
      <c r="BJ253" s="167" t="str">
        <f t="shared" si="2823"/>
        <v xml:space="preserve"> </v>
      </c>
      <c r="BK253" s="166"/>
      <c r="BL253" s="166" t="str">
        <f t="shared" si="2824"/>
        <v xml:space="preserve"> </v>
      </c>
      <c r="BM253" s="168" t="str">
        <f t="shared" si="2825"/>
        <v xml:space="preserve"> </v>
      </c>
      <c r="BN253" s="168"/>
      <c r="BO253" s="166" t="str">
        <f t="shared" si="2826"/>
        <v xml:space="preserve"> </v>
      </c>
    </row>
    <row r="254" spans="2:67" ht="15" customHeight="1" x14ac:dyDescent="0.25">
      <c r="B254" s="170">
        <v>46272</v>
      </c>
      <c r="C254" s="164"/>
      <c r="D254" s="166" t="str">
        <f t="shared" si="2793"/>
        <v xml:space="preserve"> </v>
      </c>
      <c r="E254" s="168" t="str">
        <f t="shared" si="2794"/>
        <v xml:space="preserve"> </v>
      </c>
      <c r="F254" s="168"/>
      <c r="G254" s="166" t="str">
        <f t="shared" si="2795"/>
        <v xml:space="preserve"> </v>
      </c>
      <c r="H254" s="167"/>
      <c r="I254" s="167" t="str">
        <f t="shared" si="2796"/>
        <v xml:space="preserve"> </v>
      </c>
      <c r="J254" s="168" t="str">
        <f t="shared" si="2797"/>
        <v xml:space="preserve"> </v>
      </c>
      <c r="K254" s="168"/>
      <c r="L254" s="167" t="str">
        <f t="shared" si="2798"/>
        <v xml:space="preserve"> </v>
      </c>
      <c r="M254" s="166"/>
      <c r="N254" s="166" t="str">
        <f t="shared" si="2799"/>
        <v xml:space="preserve"> </v>
      </c>
      <c r="O254" s="168" t="str">
        <f t="shared" si="2800"/>
        <v xml:space="preserve"> </v>
      </c>
      <c r="P254" s="168"/>
      <c r="Q254" s="166" t="str">
        <f t="shared" si="2801"/>
        <v xml:space="preserve"> </v>
      </c>
      <c r="R254" s="167">
        <f ca="1">+BDFUENTES[[#This Row],[PZ MED m3/día]]/3.6/BDFUENTES[[#This Row],[PZ MED Horas Activo]]</f>
        <v>0</v>
      </c>
      <c r="S254" s="167" t="str">
        <f t="shared" ca="1" si="2802"/>
        <v xml:space="preserve"> </v>
      </c>
      <c r="T254" s="168" t="str">
        <f t="shared" si="2803"/>
        <v xml:space="preserve"> </v>
      </c>
      <c r="U254" s="168"/>
      <c r="V254" s="165" t="str">
        <f t="shared" si="2804"/>
        <v xml:space="preserve"> </v>
      </c>
      <c r="W254" s="164" t="str">
        <f t="shared" si="2805"/>
        <v xml:space="preserve"> </v>
      </c>
      <c r="X254" s="166"/>
      <c r="Y254" s="168" t="str">
        <f t="shared" si="2806"/>
        <v xml:space="preserve"> </v>
      </c>
      <c r="Z254" s="168"/>
      <c r="AA254" s="166" t="str">
        <f t="shared" si="2807"/>
        <v xml:space="preserve"> </v>
      </c>
      <c r="AB254" s="168" t="str">
        <f t="shared" si="2808"/>
        <v xml:space="preserve"> </v>
      </c>
      <c r="AC254" s="168"/>
      <c r="AD254" s="171" t="str">
        <f t="shared" si="2809"/>
        <v xml:space="preserve"> </v>
      </c>
      <c r="AE254" s="167"/>
      <c r="AF254" s="165" t="str">
        <f t="shared" si="2810"/>
        <v xml:space="preserve"> </v>
      </c>
      <c r="AG254" s="168"/>
      <c r="AH254" s="168"/>
      <c r="AI254" s="166"/>
      <c r="AJ254" s="166"/>
      <c r="AK254" s="166" t="str">
        <f t="shared" si="2811"/>
        <v/>
      </c>
      <c r="AL254" s="167"/>
      <c r="AM254" s="171" t="str">
        <f t="shared" si="2812"/>
        <v xml:space="preserve"> </v>
      </c>
      <c r="AN254" s="168" t="str">
        <f t="shared" si="2813"/>
        <v xml:space="preserve"> </v>
      </c>
      <c r="AO254" s="168"/>
      <c r="AP254" s="167" t="str">
        <f t="shared" si="2814"/>
        <v xml:space="preserve"> </v>
      </c>
      <c r="AQ254" s="166"/>
      <c r="AR254" s="166" t="str">
        <f t="shared" si="2815"/>
        <v xml:space="preserve"> </v>
      </c>
      <c r="AS254" s="168" t="str">
        <f t="shared" si="2816"/>
        <v xml:space="preserve"> </v>
      </c>
      <c r="AT254" s="168"/>
      <c r="AU254" s="166" t="str">
        <f t="shared" si="2817"/>
        <v xml:space="preserve"> </v>
      </c>
      <c r="AV254" s="167"/>
      <c r="AW254" s="167"/>
      <c r="AX254" s="169" t="str">
        <f t="shared" si="2818"/>
        <v xml:space="preserve"> </v>
      </c>
      <c r="AY254" s="169"/>
      <c r="AZ254" s="167" t="str">
        <f t="shared" si="2819"/>
        <v xml:space="preserve"> </v>
      </c>
      <c r="BA254" s="166"/>
      <c r="BB254" s="166"/>
      <c r="BC254" s="168" t="str">
        <f t="shared" si="2820"/>
        <v xml:space="preserve"> </v>
      </c>
      <c r="BD254" s="168"/>
      <c r="BE254" s="166" t="str">
        <f t="shared" si="2821"/>
        <v xml:space="preserve"> </v>
      </c>
      <c r="BF254" s="167"/>
      <c r="BG254" s="167"/>
      <c r="BH254" s="168" t="str">
        <f t="shared" si="2822"/>
        <v xml:space="preserve"> </v>
      </c>
      <c r="BI254" s="168"/>
      <c r="BJ254" s="167" t="str">
        <f t="shared" si="2823"/>
        <v xml:space="preserve"> </v>
      </c>
      <c r="BK254" s="166"/>
      <c r="BL254" s="166" t="str">
        <f t="shared" si="2824"/>
        <v xml:space="preserve"> </v>
      </c>
      <c r="BM254" s="168" t="str">
        <f t="shared" si="2825"/>
        <v xml:space="preserve"> </v>
      </c>
      <c r="BN254" s="168"/>
      <c r="BO254" s="166" t="str">
        <f t="shared" si="2826"/>
        <v xml:space="preserve"> </v>
      </c>
    </row>
    <row r="255" spans="2:67" ht="15" customHeight="1" x14ac:dyDescent="0.25">
      <c r="B255" s="170">
        <v>46273</v>
      </c>
      <c r="C255" s="164"/>
      <c r="D255" s="166" t="str">
        <f t="shared" si="2793"/>
        <v xml:space="preserve"> </v>
      </c>
      <c r="E255" s="168" t="str">
        <f t="shared" si="2794"/>
        <v xml:space="preserve"> </v>
      </c>
      <c r="F255" s="168"/>
      <c r="G255" s="166" t="str">
        <f t="shared" si="2795"/>
        <v xml:space="preserve"> </v>
      </c>
      <c r="H255" s="167"/>
      <c r="I255" s="167" t="str">
        <f t="shared" si="2796"/>
        <v xml:space="preserve"> </v>
      </c>
      <c r="J255" s="168" t="str">
        <f t="shared" si="2797"/>
        <v xml:space="preserve"> </v>
      </c>
      <c r="K255" s="168"/>
      <c r="L255" s="167" t="str">
        <f t="shared" si="2798"/>
        <v xml:space="preserve"> </v>
      </c>
      <c r="M255" s="166"/>
      <c r="N255" s="166" t="str">
        <f t="shared" si="2799"/>
        <v xml:space="preserve"> </v>
      </c>
      <c r="O255" s="168" t="str">
        <f t="shared" si="2800"/>
        <v xml:space="preserve"> </v>
      </c>
      <c r="P255" s="168"/>
      <c r="Q255" s="166" t="str">
        <f t="shared" si="2801"/>
        <v xml:space="preserve"> </v>
      </c>
      <c r="R255" s="167">
        <f ca="1">+BDFUENTES[[#This Row],[PZ MED m3/día]]/3.6/BDFUENTES[[#This Row],[PZ MED Horas Activo]]</f>
        <v>0</v>
      </c>
      <c r="S255" s="167" t="str">
        <f t="shared" ca="1" si="2802"/>
        <v xml:space="preserve"> </v>
      </c>
      <c r="T255" s="168" t="str">
        <f t="shared" si="2803"/>
        <v xml:space="preserve"> </v>
      </c>
      <c r="U255" s="168"/>
      <c r="V255" s="165" t="str">
        <f t="shared" si="2804"/>
        <v xml:space="preserve"> </v>
      </c>
      <c r="W255" s="164" t="str">
        <f t="shared" si="2805"/>
        <v xml:space="preserve"> </v>
      </c>
      <c r="X255" s="166"/>
      <c r="Y255" s="168" t="str">
        <f t="shared" si="2806"/>
        <v xml:space="preserve"> </v>
      </c>
      <c r="Z255" s="168"/>
      <c r="AA255" s="166" t="str">
        <f t="shared" si="2807"/>
        <v xml:space="preserve"> </v>
      </c>
      <c r="AB255" s="168" t="str">
        <f t="shared" si="2808"/>
        <v xml:space="preserve"> </v>
      </c>
      <c r="AC255" s="168"/>
      <c r="AD255" s="171" t="str">
        <f t="shared" si="2809"/>
        <v xml:space="preserve"> </v>
      </c>
      <c r="AE255" s="167"/>
      <c r="AF255" s="165" t="str">
        <f t="shared" si="2810"/>
        <v xml:space="preserve"> </v>
      </c>
      <c r="AG255" s="168"/>
      <c r="AH255" s="168"/>
      <c r="AI255" s="166"/>
      <c r="AJ255" s="166"/>
      <c r="AK255" s="166" t="str">
        <f t="shared" si="2811"/>
        <v/>
      </c>
      <c r="AL255" s="167"/>
      <c r="AM255" s="171" t="str">
        <f t="shared" si="2812"/>
        <v xml:space="preserve"> </v>
      </c>
      <c r="AN255" s="168" t="str">
        <f t="shared" si="2813"/>
        <v xml:space="preserve"> </v>
      </c>
      <c r="AO255" s="168"/>
      <c r="AP255" s="167" t="str">
        <f t="shared" si="2814"/>
        <v xml:space="preserve"> </v>
      </c>
      <c r="AQ255" s="166"/>
      <c r="AR255" s="166" t="str">
        <f t="shared" si="2815"/>
        <v xml:space="preserve"> </v>
      </c>
      <c r="AS255" s="168" t="str">
        <f t="shared" si="2816"/>
        <v xml:space="preserve"> </v>
      </c>
      <c r="AT255" s="168"/>
      <c r="AU255" s="166" t="str">
        <f t="shared" si="2817"/>
        <v xml:space="preserve"> </v>
      </c>
      <c r="AV255" s="167"/>
      <c r="AW255" s="167"/>
      <c r="AX255" s="169" t="str">
        <f t="shared" si="2818"/>
        <v xml:space="preserve"> </v>
      </c>
      <c r="AY255" s="169"/>
      <c r="AZ255" s="167" t="str">
        <f t="shared" si="2819"/>
        <v xml:space="preserve"> </v>
      </c>
      <c r="BA255" s="166"/>
      <c r="BB255" s="166"/>
      <c r="BC255" s="168" t="str">
        <f t="shared" si="2820"/>
        <v xml:space="preserve"> </v>
      </c>
      <c r="BD255" s="168"/>
      <c r="BE255" s="166" t="str">
        <f t="shared" si="2821"/>
        <v xml:space="preserve"> </v>
      </c>
      <c r="BF255" s="167"/>
      <c r="BG255" s="167"/>
      <c r="BH255" s="168" t="str">
        <f t="shared" si="2822"/>
        <v xml:space="preserve"> </v>
      </c>
      <c r="BI255" s="168"/>
      <c r="BJ255" s="167" t="str">
        <f t="shared" si="2823"/>
        <v xml:space="preserve"> </v>
      </c>
      <c r="BK255" s="166"/>
      <c r="BL255" s="166" t="str">
        <f t="shared" si="2824"/>
        <v xml:space="preserve"> </v>
      </c>
      <c r="BM255" s="168" t="str">
        <f t="shared" si="2825"/>
        <v xml:space="preserve"> </v>
      </c>
      <c r="BN255" s="168"/>
      <c r="BO255" s="166" t="str">
        <f t="shared" si="2826"/>
        <v xml:space="preserve"> </v>
      </c>
    </row>
    <row r="256" spans="2:67" ht="15" customHeight="1" x14ac:dyDescent="0.25">
      <c r="B256" s="170">
        <v>46274</v>
      </c>
      <c r="C256" s="164"/>
      <c r="D256" s="166" t="str">
        <f t="shared" si="2793"/>
        <v xml:space="preserve"> </v>
      </c>
      <c r="E256" s="168" t="str">
        <f t="shared" si="2794"/>
        <v xml:space="preserve"> </v>
      </c>
      <c r="F256" s="168"/>
      <c r="G256" s="166" t="str">
        <f t="shared" si="2795"/>
        <v xml:space="preserve"> </v>
      </c>
      <c r="H256" s="167"/>
      <c r="I256" s="167" t="str">
        <f t="shared" si="2796"/>
        <v xml:space="preserve"> </v>
      </c>
      <c r="J256" s="168" t="str">
        <f t="shared" si="2797"/>
        <v xml:space="preserve"> </v>
      </c>
      <c r="K256" s="168"/>
      <c r="L256" s="167" t="str">
        <f t="shared" si="2798"/>
        <v xml:space="preserve"> </v>
      </c>
      <c r="M256" s="166"/>
      <c r="N256" s="166" t="str">
        <f t="shared" si="2799"/>
        <v xml:space="preserve"> </v>
      </c>
      <c r="O256" s="168" t="str">
        <f t="shared" si="2800"/>
        <v xml:space="preserve"> </v>
      </c>
      <c r="P256" s="168"/>
      <c r="Q256" s="166" t="str">
        <f t="shared" si="2801"/>
        <v xml:space="preserve"> </v>
      </c>
      <c r="R256" s="167">
        <f ca="1">+BDFUENTES[[#This Row],[PZ MED m3/día]]/3.6/BDFUENTES[[#This Row],[PZ MED Horas Activo]]</f>
        <v>0</v>
      </c>
      <c r="S256" s="167" t="str">
        <f t="shared" ca="1" si="2802"/>
        <v xml:space="preserve"> </v>
      </c>
      <c r="T256" s="168" t="str">
        <f t="shared" si="2803"/>
        <v xml:space="preserve"> </v>
      </c>
      <c r="U256" s="168"/>
      <c r="V256" s="165" t="str">
        <f t="shared" si="2804"/>
        <v xml:space="preserve"> </v>
      </c>
      <c r="W256" s="164" t="str">
        <f t="shared" si="2805"/>
        <v xml:space="preserve"> </v>
      </c>
      <c r="X256" s="166"/>
      <c r="Y256" s="168" t="str">
        <f t="shared" si="2806"/>
        <v xml:space="preserve"> </v>
      </c>
      <c r="Z256" s="168"/>
      <c r="AA256" s="166" t="str">
        <f t="shared" si="2807"/>
        <v xml:space="preserve"> </v>
      </c>
      <c r="AB256" s="168" t="str">
        <f t="shared" si="2808"/>
        <v xml:space="preserve"> </v>
      </c>
      <c r="AC256" s="168"/>
      <c r="AD256" s="171" t="str">
        <f t="shared" si="2809"/>
        <v xml:space="preserve"> </v>
      </c>
      <c r="AE256" s="167"/>
      <c r="AF256" s="165" t="str">
        <f t="shared" si="2810"/>
        <v xml:space="preserve"> </v>
      </c>
      <c r="AG256" s="168"/>
      <c r="AH256" s="168"/>
      <c r="AI256" s="166"/>
      <c r="AJ256" s="166"/>
      <c r="AK256" s="166" t="str">
        <f t="shared" si="2811"/>
        <v/>
      </c>
      <c r="AL256" s="167"/>
      <c r="AM256" s="171" t="str">
        <f t="shared" si="2812"/>
        <v xml:space="preserve"> </v>
      </c>
      <c r="AN256" s="168" t="str">
        <f t="shared" si="2813"/>
        <v xml:space="preserve"> </v>
      </c>
      <c r="AO256" s="168"/>
      <c r="AP256" s="167" t="str">
        <f t="shared" si="2814"/>
        <v xml:space="preserve"> </v>
      </c>
      <c r="AQ256" s="166"/>
      <c r="AR256" s="166" t="str">
        <f t="shared" si="2815"/>
        <v xml:space="preserve"> </v>
      </c>
      <c r="AS256" s="168" t="str">
        <f t="shared" si="2816"/>
        <v xml:space="preserve"> </v>
      </c>
      <c r="AT256" s="168"/>
      <c r="AU256" s="166" t="str">
        <f t="shared" si="2817"/>
        <v xml:space="preserve"> </v>
      </c>
      <c r="AV256" s="167"/>
      <c r="AW256" s="167"/>
      <c r="AX256" s="169" t="str">
        <f t="shared" si="2818"/>
        <v xml:space="preserve"> </v>
      </c>
      <c r="AY256" s="169"/>
      <c r="AZ256" s="167" t="str">
        <f t="shared" si="2819"/>
        <v xml:space="preserve"> </v>
      </c>
      <c r="BA256" s="166"/>
      <c r="BB256" s="166"/>
      <c r="BC256" s="168" t="str">
        <f t="shared" si="2820"/>
        <v xml:space="preserve"> </v>
      </c>
      <c r="BD256" s="168"/>
      <c r="BE256" s="166" t="str">
        <f t="shared" si="2821"/>
        <v xml:space="preserve"> </v>
      </c>
      <c r="BF256" s="167"/>
      <c r="BG256" s="167"/>
      <c r="BH256" s="168" t="str">
        <f t="shared" si="2822"/>
        <v xml:space="preserve"> </v>
      </c>
      <c r="BI256" s="168"/>
      <c r="BJ256" s="167" t="str">
        <f t="shared" si="2823"/>
        <v xml:space="preserve"> </v>
      </c>
      <c r="BK256" s="166"/>
      <c r="BL256" s="166" t="str">
        <f t="shared" si="2824"/>
        <v xml:space="preserve"> </v>
      </c>
      <c r="BM256" s="168" t="str">
        <f t="shared" si="2825"/>
        <v xml:space="preserve"> </v>
      </c>
      <c r="BN256" s="168"/>
      <c r="BO256" s="166" t="str">
        <f t="shared" si="2826"/>
        <v xml:space="preserve"> </v>
      </c>
    </row>
    <row r="257" spans="2:67" ht="15" customHeight="1" x14ac:dyDescent="0.25">
      <c r="B257" s="170">
        <v>46275</v>
      </c>
      <c r="C257" s="164"/>
      <c r="D257" s="166" t="str">
        <f t="shared" si="2793"/>
        <v xml:space="preserve"> </v>
      </c>
      <c r="E257" s="168" t="str">
        <f t="shared" si="2794"/>
        <v xml:space="preserve"> </v>
      </c>
      <c r="F257" s="168"/>
      <c r="G257" s="166" t="str">
        <f t="shared" si="2795"/>
        <v xml:space="preserve"> </v>
      </c>
      <c r="H257" s="167"/>
      <c r="I257" s="167" t="str">
        <f t="shared" si="2796"/>
        <v xml:space="preserve"> </v>
      </c>
      <c r="J257" s="168" t="str">
        <f t="shared" si="2797"/>
        <v xml:space="preserve"> </v>
      </c>
      <c r="K257" s="168"/>
      <c r="L257" s="167" t="str">
        <f t="shared" si="2798"/>
        <v xml:space="preserve"> </v>
      </c>
      <c r="M257" s="166"/>
      <c r="N257" s="166" t="str">
        <f t="shared" si="2799"/>
        <v xml:space="preserve"> </v>
      </c>
      <c r="O257" s="168" t="str">
        <f t="shared" si="2800"/>
        <v xml:space="preserve"> </v>
      </c>
      <c r="P257" s="168"/>
      <c r="Q257" s="166" t="str">
        <f t="shared" si="2801"/>
        <v xml:space="preserve"> </v>
      </c>
      <c r="R257" s="167">
        <f ca="1">+BDFUENTES[[#This Row],[PZ MED m3/día]]/3.6/BDFUENTES[[#This Row],[PZ MED Horas Activo]]</f>
        <v>0</v>
      </c>
      <c r="S257" s="167" t="str">
        <f t="shared" ca="1" si="2802"/>
        <v xml:space="preserve"> </v>
      </c>
      <c r="T257" s="168" t="str">
        <f t="shared" si="2803"/>
        <v xml:space="preserve"> </v>
      </c>
      <c r="U257" s="168"/>
      <c r="V257" s="165" t="str">
        <f t="shared" si="2804"/>
        <v xml:space="preserve"> </v>
      </c>
      <c r="W257" s="164" t="str">
        <f t="shared" si="2805"/>
        <v xml:space="preserve"> </v>
      </c>
      <c r="X257" s="166"/>
      <c r="Y257" s="168" t="str">
        <f t="shared" si="2806"/>
        <v xml:space="preserve"> </v>
      </c>
      <c r="Z257" s="168"/>
      <c r="AA257" s="166" t="str">
        <f t="shared" si="2807"/>
        <v xml:space="preserve"> </v>
      </c>
      <c r="AB257" s="168" t="str">
        <f t="shared" si="2808"/>
        <v xml:space="preserve"> </v>
      </c>
      <c r="AC257" s="168"/>
      <c r="AD257" s="171" t="str">
        <f t="shared" si="2809"/>
        <v xml:space="preserve"> </v>
      </c>
      <c r="AE257" s="167"/>
      <c r="AF257" s="165" t="str">
        <f t="shared" si="2810"/>
        <v xml:space="preserve"> </v>
      </c>
      <c r="AG257" s="168"/>
      <c r="AH257" s="168"/>
      <c r="AI257" s="166"/>
      <c r="AJ257" s="166"/>
      <c r="AK257" s="166" t="str">
        <f t="shared" si="2811"/>
        <v/>
      </c>
      <c r="AL257" s="167"/>
      <c r="AM257" s="171" t="str">
        <f t="shared" si="2812"/>
        <v xml:space="preserve"> </v>
      </c>
      <c r="AN257" s="168" t="str">
        <f t="shared" si="2813"/>
        <v xml:space="preserve"> </v>
      </c>
      <c r="AO257" s="168"/>
      <c r="AP257" s="167" t="str">
        <f t="shared" si="2814"/>
        <v xml:space="preserve"> </v>
      </c>
      <c r="AQ257" s="166"/>
      <c r="AR257" s="166" t="str">
        <f t="shared" si="2815"/>
        <v xml:space="preserve"> </v>
      </c>
      <c r="AS257" s="168" t="str">
        <f t="shared" si="2816"/>
        <v xml:space="preserve"> </v>
      </c>
      <c r="AT257" s="168"/>
      <c r="AU257" s="166" t="str">
        <f t="shared" si="2817"/>
        <v xml:space="preserve"> </v>
      </c>
      <c r="AV257" s="167"/>
      <c r="AW257" s="167"/>
      <c r="AX257" s="169" t="str">
        <f t="shared" si="2818"/>
        <v xml:space="preserve"> </v>
      </c>
      <c r="AY257" s="169"/>
      <c r="AZ257" s="167" t="str">
        <f t="shared" si="2819"/>
        <v xml:space="preserve"> </v>
      </c>
      <c r="BA257" s="166"/>
      <c r="BB257" s="166"/>
      <c r="BC257" s="168" t="str">
        <f t="shared" si="2820"/>
        <v xml:space="preserve"> </v>
      </c>
      <c r="BD257" s="168"/>
      <c r="BE257" s="166" t="str">
        <f t="shared" si="2821"/>
        <v xml:space="preserve"> </v>
      </c>
      <c r="BF257" s="167"/>
      <c r="BG257" s="167"/>
      <c r="BH257" s="168" t="str">
        <f t="shared" si="2822"/>
        <v xml:space="preserve"> </v>
      </c>
      <c r="BI257" s="168"/>
      <c r="BJ257" s="167" t="str">
        <f t="shared" si="2823"/>
        <v xml:space="preserve"> </v>
      </c>
      <c r="BK257" s="166"/>
      <c r="BL257" s="166" t="str">
        <f t="shared" si="2824"/>
        <v xml:space="preserve"> </v>
      </c>
      <c r="BM257" s="168" t="str">
        <f t="shared" si="2825"/>
        <v xml:space="preserve"> </v>
      </c>
      <c r="BN257" s="168"/>
      <c r="BO257" s="166" t="str">
        <f t="shared" si="2826"/>
        <v xml:space="preserve"> </v>
      </c>
    </row>
    <row r="258" spans="2:67" ht="15" customHeight="1" x14ac:dyDescent="0.25">
      <c r="B258" s="170">
        <v>46276</v>
      </c>
      <c r="C258" s="164"/>
      <c r="D258" s="166" t="str">
        <f t="shared" si="2793"/>
        <v xml:space="preserve"> </v>
      </c>
      <c r="E258" s="168" t="str">
        <f t="shared" si="2794"/>
        <v xml:space="preserve"> </v>
      </c>
      <c r="F258" s="168"/>
      <c r="G258" s="166" t="str">
        <f t="shared" si="2795"/>
        <v xml:space="preserve"> </v>
      </c>
      <c r="H258" s="167"/>
      <c r="I258" s="167" t="str">
        <f t="shared" si="2796"/>
        <v xml:space="preserve"> </v>
      </c>
      <c r="J258" s="168" t="str">
        <f t="shared" si="2797"/>
        <v xml:space="preserve"> </v>
      </c>
      <c r="K258" s="168"/>
      <c r="L258" s="167" t="str">
        <f t="shared" si="2798"/>
        <v xml:space="preserve"> </v>
      </c>
      <c r="M258" s="166"/>
      <c r="N258" s="166" t="str">
        <f t="shared" si="2799"/>
        <v xml:space="preserve"> </v>
      </c>
      <c r="O258" s="168" t="str">
        <f t="shared" si="2800"/>
        <v xml:space="preserve"> </v>
      </c>
      <c r="P258" s="168"/>
      <c r="Q258" s="166" t="str">
        <f t="shared" si="2801"/>
        <v xml:space="preserve"> </v>
      </c>
      <c r="R258" s="167">
        <f ca="1">+BDFUENTES[[#This Row],[PZ MED m3/día]]/3.6/BDFUENTES[[#This Row],[PZ MED Horas Activo]]</f>
        <v>0</v>
      </c>
      <c r="S258" s="167" t="str">
        <f t="shared" ca="1" si="2802"/>
        <v xml:space="preserve"> </v>
      </c>
      <c r="T258" s="168" t="str">
        <f t="shared" si="2803"/>
        <v xml:space="preserve"> </v>
      </c>
      <c r="U258" s="168"/>
      <c r="V258" s="165" t="str">
        <f t="shared" si="2804"/>
        <v xml:space="preserve"> </v>
      </c>
      <c r="W258" s="164" t="str">
        <f t="shared" si="2805"/>
        <v xml:space="preserve"> </v>
      </c>
      <c r="X258" s="166"/>
      <c r="Y258" s="168" t="str">
        <f t="shared" si="2806"/>
        <v xml:space="preserve"> </v>
      </c>
      <c r="Z258" s="168"/>
      <c r="AA258" s="166" t="str">
        <f t="shared" si="2807"/>
        <v xml:space="preserve"> </v>
      </c>
      <c r="AB258" s="168" t="str">
        <f t="shared" si="2808"/>
        <v xml:space="preserve"> </v>
      </c>
      <c r="AC258" s="168"/>
      <c r="AD258" s="171" t="str">
        <f t="shared" si="2809"/>
        <v xml:space="preserve"> </v>
      </c>
      <c r="AE258" s="167"/>
      <c r="AF258" s="165" t="str">
        <f t="shared" si="2810"/>
        <v xml:space="preserve"> </v>
      </c>
      <c r="AG258" s="168"/>
      <c r="AH258" s="168"/>
      <c r="AI258" s="166"/>
      <c r="AJ258" s="166"/>
      <c r="AK258" s="166" t="str">
        <f t="shared" si="2811"/>
        <v/>
      </c>
      <c r="AL258" s="167"/>
      <c r="AM258" s="171" t="str">
        <f t="shared" si="2812"/>
        <v xml:space="preserve"> </v>
      </c>
      <c r="AN258" s="168" t="str">
        <f t="shared" si="2813"/>
        <v xml:space="preserve"> </v>
      </c>
      <c r="AO258" s="168"/>
      <c r="AP258" s="167" t="str">
        <f t="shared" si="2814"/>
        <v xml:space="preserve"> </v>
      </c>
      <c r="AQ258" s="166"/>
      <c r="AR258" s="166" t="str">
        <f t="shared" si="2815"/>
        <v xml:space="preserve"> </v>
      </c>
      <c r="AS258" s="168" t="str">
        <f t="shared" si="2816"/>
        <v xml:space="preserve"> </v>
      </c>
      <c r="AT258" s="168"/>
      <c r="AU258" s="166" t="str">
        <f t="shared" si="2817"/>
        <v xml:space="preserve"> </v>
      </c>
      <c r="AV258" s="167"/>
      <c r="AW258" s="167"/>
      <c r="AX258" s="169" t="str">
        <f t="shared" si="2818"/>
        <v xml:space="preserve"> </v>
      </c>
      <c r="AY258" s="169"/>
      <c r="AZ258" s="167" t="str">
        <f t="shared" si="2819"/>
        <v xml:space="preserve"> </v>
      </c>
      <c r="BA258" s="166"/>
      <c r="BB258" s="166"/>
      <c r="BC258" s="168" t="str">
        <f t="shared" si="2820"/>
        <v xml:space="preserve"> </v>
      </c>
      <c r="BD258" s="168"/>
      <c r="BE258" s="166" t="str">
        <f t="shared" si="2821"/>
        <v xml:space="preserve"> </v>
      </c>
      <c r="BF258" s="167"/>
      <c r="BG258" s="167"/>
      <c r="BH258" s="168" t="str">
        <f t="shared" si="2822"/>
        <v xml:space="preserve"> </v>
      </c>
      <c r="BI258" s="168"/>
      <c r="BJ258" s="167" t="str">
        <f t="shared" si="2823"/>
        <v xml:space="preserve"> </v>
      </c>
      <c r="BK258" s="166"/>
      <c r="BL258" s="166" t="str">
        <f t="shared" si="2824"/>
        <v xml:space="preserve"> </v>
      </c>
      <c r="BM258" s="168" t="str">
        <f t="shared" si="2825"/>
        <v xml:space="preserve"> </v>
      </c>
      <c r="BN258" s="168"/>
      <c r="BO258" s="166" t="str">
        <f t="shared" si="2826"/>
        <v xml:space="preserve"> </v>
      </c>
    </row>
    <row r="259" spans="2:67" ht="15" customHeight="1" x14ac:dyDescent="0.25">
      <c r="B259" s="170">
        <v>46277</v>
      </c>
      <c r="C259" s="164"/>
      <c r="D259" s="166" t="str">
        <f t="shared" si="2793"/>
        <v xml:space="preserve"> </v>
      </c>
      <c r="E259" s="168" t="str">
        <f t="shared" si="2794"/>
        <v xml:space="preserve"> </v>
      </c>
      <c r="F259" s="168"/>
      <c r="G259" s="166" t="str">
        <f t="shared" si="2795"/>
        <v xml:space="preserve"> </v>
      </c>
      <c r="H259" s="167"/>
      <c r="I259" s="167" t="str">
        <f t="shared" si="2796"/>
        <v xml:space="preserve"> </v>
      </c>
      <c r="J259" s="168" t="str">
        <f t="shared" si="2797"/>
        <v xml:space="preserve"> </v>
      </c>
      <c r="K259" s="168"/>
      <c r="L259" s="167" t="str">
        <f t="shared" si="2798"/>
        <v xml:space="preserve"> </v>
      </c>
      <c r="M259" s="166"/>
      <c r="N259" s="166" t="str">
        <f t="shared" si="2799"/>
        <v xml:space="preserve"> </v>
      </c>
      <c r="O259" s="168" t="str">
        <f t="shared" si="2800"/>
        <v xml:space="preserve"> </v>
      </c>
      <c r="P259" s="168"/>
      <c r="Q259" s="166" t="str">
        <f t="shared" si="2801"/>
        <v xml:space="preserve"> </v>
      </c>
      <c r="R259" s="167">
        <f ca="1">+BDFUENTES[[#This Row],[PZ MED m3/día]]/3.6/BDFUENTES[[#This Row],[PZ MED Horas Activo]]</f>
        <v>0</v>
      </c>
      <c r="S259" s="167" t="str">
        <f t="shared" ca="1" si="2802"/>
        <v xml:space="preserve"> </v>
      </c>
      <c r="T259" s="168" t="str">
        <f t="shared" si="2803"/>
        <v xml:space="preserve"> </v>
      </c>
      <c r="U259" s="168"/>
      <c r="V259" s="165" t="str">
        <f t="shared" si="2804"/>
        <v xml:space="preserve"> </v>
      </c>
      <c r="W259" s="164" t="str">
        <f t="shared" si="2805"/>
        <v xml:space="preserve"> </v>
      </c>
      <c r="X259" s="166"/>
      <c r="Y259" s="168" t="str">
        <f t="shared" si="2806"/>
        <v xml:space="preserve"> </v>
      </c>
      <c r="Z259" s="168"/>
      <c r="AA259" s="166" t="str">
        <f t="shared" si="2807"/>
        <v xml:space="preserve"> </v>
      </c>
      <c r="AB259" s="168" t="str">
        <f t="shared" si="2808"/>
        <v xml:space="preserve"> </v>
      </c>
      <c r="AC259" s="168"/>
      <c r="AD259" s="171" t="str">
        <f t="shared" si="2809"/>
        <v xml:space="preserve"> </v>
      </c>
      <c r="AE259" s="167"/>
      <c r="AF259" s="165" t="str">
        <f t="shared" si="2810"/>
        <v xml:space="preserve"> </v>
      </c>
      <c r="AG259" s="168"/>
      <c r="AH259" s="168"/>
      <c r="AI259" s="166"/>
      <c r="AJ259" s="166"/>
      <c r="AK259" s="166" t="str">
        <f t="shared" si="2811"/>
        <v/>
      </c>
      <c r="AL259" s="167"/>
      <c r="AM259" s="171" t="str">
        <f t="shared" si="2812"/>
        <v xml:space="preserve"> </v>
      </c>
      <c r="AN259" s="168" t="str">
        <f t="shared" si="2813"/>
        <v xml:space="preserve"> </v>
      </c>
      <c r="AO259" s="168"/>
      <c r="AP259" s="167" t="str">
        <f t="shared" si="2814"/>
        <v xml:space="preserve"> </v>
      </c>
      <c r="AQ259" s="166"/>
      <c r="AR259" s="166" t="str">
        <f t="shared" si="2815"/>
        <v xml:space="preserve"> </v>
      </c>
      <c r="AS259" s="168" t="str">
        <f t="shared" si="2816"/>
        <v xml:space="preserve"> </v>
      </c>
      <c r="AT259" s="168"/>
      <c r="AU259" s="166" t="str">
        <f t="shared" si="2817"/>
        <v xml:space="preserve"> </v>
      </c>
      <c r="AV259" s="167"/>
      <c r="AW259" s="167"/>
      <c r="AX259" s="169" t="str">
        <f t="shared" si="2818"/>
        <v xml:space="preserve"> </v>
      </c>
      <c r="AY259" s="169"/>
      <c r="AZ259" s="167" t="str">
        <f t="shared" si="2819"/>
        <v xml:space="preserve"> </v>
      </c>
      <c r="BA259" s="166"/>
      <c r="BB259" s="166"/>
      <c r="BC259" s="168" t="str">
        <f t="shared" si="2820"/>
        <v xml:space="preserve"> </v>
      </c>
      <c r="BD259" s="168"/>
      <c r="BE259" s="166" t="str">
        <f t="shared" si="2821"/>
        <v xml:space="preserve"> </v>
      </c>
      <c r="BF259" s="167"/>
      <c r="BG259" s="167"/>
      <c r="BH259" s="168" t="str">
        <f t="shared" si="2822"/>
        <v xml:space="preserve"> </v>
      </c>
      <c r="BI259" s="168"/>
      <c r="BJ259" s="167" t="str">
        <f t="shared" si="2823"/>
        <v xml:space="preserve"> </v>
      </c>
      <c r="BK259" s="166"/>
      <c r="BL259" s="166" t="str">
        <f t="shared" si="2824"/>
        <v xml:space="preserve"> </v>
      </c>
      <c r="BM259" s="168" t="str">
        <f t="shared" si="2825"/>
        <v xml:space="preserve"> </v>
      </c>
      <c r="BN259" s="168"/>
      <c r="BO259" s="166" t="str">
        <f t="shared" si="2826"/>
        <v xml:space="preserve"> </v>
      </c>
    </row>
    <row r="260" spans="2:67" ht="15" customHeight="1" x14ac:dyDescent="0.25">
      <c r="B260" s="170">
        <v>46278</v>
      </c>
      <c r="C260" s="164"/>
      <c r="D260" s="166" t="str">
        <f t="shared" si="2793"/>
        <v xml:space="preserve"> </v>
      </c>
      <c r="E260" s="168" t="str">
        <f t="shared" si="2794"/>
        <v xml:space="preserve"> </v>
      </c>
      <c r="F260" s="168"/>
      <c r="G260" s="166" t="str">
        <f t="shared" si="2795"/>
        <v xml:space="preserve"> </v>
      </c>
      <c r="H260" s="167"/>
      <c r="I260" s="167" t="str">
        <f t="shared" si="2796"/>
        <v xml:space="preserve"> </v>
      </c>
      <c r="J260" s="168" t="str">
        <f t="shared" si="2797"/>
        <v xml:space="preserve"> </v>
      </c>
      <c r="K260" s="168"/>
      <c r="L260" s="167" t="str">
        <f t="shared" si="2798"/>
        <v xml:space="preserve"> </v>
      </c>
      <c r="M260" s="166"/>
      <c r="N260" s="166" t="str">
        <f t="shared" si="2799"/>
        <v xml:space="preserve"> </v>
      </c>
      <c r="O260" s="168" t="str">
        <f t="shared" si="2800"/>
        <v xml:space="preserve"> </v>
      </c>
      <c r="P260" s="168"/>
      <c r="Q260" s="166" t="str">
        <f t="shared" si="2801"/>
        <v xml:space="preserve"> </v>
      </c>
      <c r="R260" s="167">
        <f ca="1">+BDFUENTES[[#This Row],[PZ MED m3/día]]/3.6/BDFUENTES[[#This Row],[PZ MED Horas Activo]]</f>
        <v>0</v>
      </c>
      <c r="S260" s="167" t="str">
        <f t="shared" ca="1" si="2802"/>
        <v xml:space="preserve"> </v>
      </c>
      <c r="T260" s="168" t="str">
        <f t="shared" si="2803"/>
        <v xml:space="preserve"> </v>
      </c>
      <c r="U260" s="168"/>
      <c r="V260" s="165" t="str">
        <f t="shared" si="2804"/>
        <v xml:space="preserve"> </v>
      </c>
      <c r="W260" s="164" t="str">
        <f t="shared" si="2805"/>
        <v xml:space="preserve"> </v>
      </c>
      <c r="X260" s="166"/>
      <c r="Y260" s="168" t="str">
        <f t="shared" si="2806"/>
        <v xml:space="preserve"> </v>
      </c>
      <c r="Z260" s="168"/>
      <c r="AA260" s="166" t="str">
        <f t="shared" si="2807"/>
        <v xml:space="preserve"> </v>
      </c>
      <c r="AB260" s="168" t="str">
        <f t="shared" si="2808"/>
        <v xml:space="preserve"> </v>
      </c>
      <c r="AC260" s="168"/>
      <c r="AD260" s="171" t="str">
        <f t="shared" si="2809"/>
        <v xml:space="preserve"> </v>
      </c>
      <c r="AE260" s="167"/>
      <c r="AF260" s="165" t="str">
        <f t="shared" si="2810"/>
        <v xml:space="preserve"> </v>
      </c>
      <c r="AG260" s="168"/>
      <c r="AH260" s="168"/>
      <c r="AI260" s="166"/>
      <c r="AJ260" s="166"/>
      <c r="AK260" s="166" t="str">
        <f t="shared" si="2811"/>
        <v/>
      </c>
      <c r="AL260" s="167"/>
      <c r="AM260" s="171" t="str">
        <f t="shared" si="2812"/>
        <v xml:space="preserve"> </v>
      </c>
      <c r="AN260" s="168" t="str">
        <f t="shared" si="2813"/>
        <v xml:space="preserve"> </v>
      </c>
      <c r="AO260" s="168"/>
      <c r="AP260" s="167" t="str">
        <f t="shared" si="2814"/>
        <v xml:space="preserve"> </v>
      </c>
      <c r="AQ260" s="166"/>
      <c r="AR260" s="166" t="str">
        <f t="shared" si="2815"/>
        <v xml:space="preserve"> </v>
      </c>
      <c r="AS260" s="168" t="str">
        <f t="shared" si="2816"/>
        <v xml:space="preserve"> </v>
      </c>
      <c r="AT260" s="168"/>
      <c r="AU260" s="166" t="str">
        <f t="shared" si="2817"/>
        <v xml:space="preserve"> </v>
      </c>
      <c r="AV260" s="167"/>
      <c r="AW260" s="167"/>
      <c r="AX260" s="169" t="str">
        <f t="shared" si="2818"/>
        <v xml:space="preserve"> </v>
      </c>
      <c r="AY260" s="169"/>
      <c r="AZ260" s="167" t="str">
        <f t="shared" si="2819"/>
        <v xml:space="preserve"> </v>
      </c>
      <c r="BA260" s="166"/>
      <c r="BB260" s="166"/>
      <c r="BC260" s="168" t="str">
        <f t="shared" si="2820"/>
        <v xml:space="preserve"> </v>
      </c>
      <c r="BD260" s="168"/>
      <c r="BE260" s="166" t="str">
        <f t="shared" si="2821"/>
        <v xml:space="preserve"> </v>
      </c>
      <c r="BF260" s="167"/>
      <c r="BG260" s="167"/>
      <c r="BH260" s="168" t="str">
        <f t="shared" si="2822"/>
        <v xml:space="preserve"> </v>
      </c>
      <c r="BI260" s="168"/>
      <c r="BJ260" s="167" t="str">
        <f t="shared" si="2823"/>
        <v xml:space="preserve"> </v>
      </c>
      <c r="BK260" s="166"/>
      <c r="BL260" s="166" t="str">
        <f t="shared" si="2824"/>
        <v xml:space="preserve"> </v>
      </c>
      <c r="BM260" s="168" t="str">
        <f t="shared" si="2825"/>
        <v xml:space="preserve"> </v>
      </c>
      <c r="BN260" s="168"/>
      <c r="BO260" s="166" t="str">
        <f t="shared" si="2826"/>
        <v xml:space="preserve"> </v>
      </c>
    </row>
    <row r="261" spans="2:67" ht="15" customHeight="1" x14ac:dyDescent="0.25">
      <c r="B261" s="170">
        <v>46279</v>
      </c>
      <c r="C261" s="164"/>
      <c r="D261" s="166" t="str">
        <f t="shared" si="2793"/>
        <v xml:space="preserve"> </v>
      </c>
      <c r="E261" s="168" t="str">
        <f t="shared" si="2794"/>
        <v xml:space="preserve"> </v>
      </c>
      <c r="F261" s="168"/>
      <c r="G261" s="166" t="str">
        <f t="shared" si="2795"/>
        <v xml:space="preserve"> </v>
      </c>
      <c r="H261" s="167"/>
      <c r="I261" s="167" t="str">
        <f t="shared" si="2796"/>
        <v xml:space="preserve"> </v>
      </c>
      <c r="J261" s="168" t="str">
        <f t="shared" si="2797"/>
        <v xml:space="preserve"> </v>
      </c>
      <c r="K261" s="168"/>
      <c r="L261" s="167" t="str">
        <f t="shared" si="2798"/>
        <v xml:space="preserve"> </v>
      </c>
      <c r="M261" s="166"/>
      <c r="N261" s="166" t="str">
        <f t="shared" si="2799"/>
        <v xml:space="preserve"> </v>
      </c>
      <c r="O261" s="168" t="str">
        <f t="shared" si="2800"/>
        <v xml:space="preserve"> </v>
      </c>
      <c r="P261" s="168"/>
      <c r="Q261" s="166" t="str">
        <f t="shared" si="2801"/>
        <v xml:space="preserve"> </v>
      </c>
      <c r="R261" s="167">
        <f ca="1">+BDFUENTES[[#This Row],[PZ MED m3/día]]/3.6/BDFUENTES[[#This Row],[PZ MED Horas Activo]]</f>
        <v>0</v>
      </c>
      <c r="S261" s="167" t="str">
        <f t="shared" ca="1" si="2802"/>
        <v xml:space="preserve"> </v>
      </c>
      <c r="T261" s="168" t="str">
        <f t="shared" si="2803"/>
        <v xml:space="preserve"> </v>
      </c>
      <c r="U261" s="168"/>
      <c r="V261" s="165" t="str">
        <f t="shared" si="2804"/>
        <v xml:space="preserve"> </v>
      </c>
      <c r="W261" s="164" t="str">
        <f t="shared" si="2805"/>
        <v xml:space="preserve"> </v>
      </c>
      <c r="X261" s="166"/>
      <c r="Y261" s="168" t="str">
        <f t="shared" si="2806"/>
        <v xml:space="preserve"> </v>
      </c>
      <c r="Z261" s="168"/>
      <c r="AA261" s="166" t="str">
        <f t="shared" si="2807"/>
        <v xml:space="preserve"> </v>
      </c>
      <c r="AB261" s="168" t="str">
        <f t="shared" si="2808"/>
        <v xml:space="preserve"> </v>
      </c>
      <c r="AC261" s="168"/>
      <c r="AD261" s="171" t="str">
        <f t="shared" si="2809"/>
        <v xml:space="preserve"> </v>
      </c>
      <c r="AE261" s="167"/>
      <c r="AF261" s="165" t="str">
        <f t="shared" si="2810"/>
        <v xml:space="preserve"> </v>
      </c>
      <c r="AG261" s="168"/>
      <c r="AH261" s="168"/>
      <c r="AI261" s="166"/>
      <c r="AJ261" s="166"/>
      <c r="AK261" s="166" t="str">
        <f t="shared" si="2811"/>
        <v/>
      </c>
      <c r="AL261" s="167"/>
      <c r="AM261" s="171" t="str">
        <f t="shared" si="2812"/>
        <v xml:space="preserve"> </v>
      </c>
      <c r="AN261" s="168" t="str">
        <f t="shared" si="2813"/>
        <v xml:space="preserve"> </v>
      </c>
      <c r="AO261" s="168"/>
      <c r="AP261" s="167" t="str">
        <f t="shared" si="2814"/>
        <v xml:space="preserve"> </v>
      </c>
      <c r="AQ261" s="166"/>
      <c r="AR261" s="166" t="str">
        <f t="shared" si="2815"/>
        <v xml:space="preserve"> </v>
      </c>
      <c r="AS261" s="168" t="str">
        <f t="shared" si="2816"/>
        <v xml:space="preserve"> </v>
      </c>
      <c r="AT261" s="168"/>
      <c r="AU261" s="166" t="str">
        <f t="shared" si="2817"/>
        <v xml:space="preserve"> </v>
      </c>
      <c r="AV261" s="167"/>
      <c r="AW261" s="167"/>
      <c r="AX261" s="169" t="str">
        <f t="shared" si="2818"/>
        <v xml:space="preserve"> </v>
      </c>
      <c r="AY261" s="169"/>
      <c r="AZ261" s="167" t="str">
        <f t="shared" si="2819"/>
        <v xml:space="preserve"> </v>
      </c>
      <c r="BA261" s="166"/>
      <c r="BB261" s="166"/>
      <c r="BC261" s="168" t="str">
        <f t="shared" si="2820"/>
        <v xml:space="preserve"> </v>
      </c>
      <c r="BD261" s="168"/>
      <c r="BE261" s="166" t="str">
        <f t="shared" si="2821"/>
        <v xml:space="preserve"> </v>
      </c>
      <c r="BF261" s="167"/>
      <c r="BG261" s="167"/>
      <c r="BH261" s="168" t="str">
        <f t="shared" si="2822"/>
        <v xml:space="preserve"> </v>
      </c>
      <c r="BI261" s="168"/>
      <c r="BJ261" s="167" t="str">
        <f t="shared" si="2823"/>
        <v xml:space="preserve"> </v>
      </c>
      <c r="BK261" s="166"/>
      <c r="BL261" s="166" t="str">
        <f t="shared" si="2824"/>
        <v xml:space="preserve"> </v>
      </c>
      <c r="BM261" s="168" t="str">
        <f t="shared" si="2825"/>
        <v xml:space="preserve"> </v>
      </c>
      <c r="BN261" s="168"/>
      <c r="BO261" s="166" t="str">
        <f t="shared" si="2826"/>
        <v xml:space="preserve"> </v>
      </c>
    </row>
    <row r="262" spans="2:67" ht="15" customHeight="1" x14ac:dyDescent="0.25">
      <c r="B262" s="170">
        <v>46280</v>
      </c>
      <c r="C262" s="164"/>
      <c r="D262" s="166" t="str">
        <f t="shared" si="2793"/>
        <v xml:space="preserve"> </v>
      </c>
      <c r="E262" s="168" t="str">
        <f t="shared" si="2794"/>
        <v xml:space="preserve"> </v>
      </c>
      <c r="F262" s="168"/>
      <c r="G262" s="166" t="str">
        <f t="shared" si="2795"/>
        <v xml:space="preserve"> </v>
      </c>
      <c r="H262" s="167"/>
      <c r="I262" s="167" t="str">
        <f t="shared" si="2796"/>
        <v xml:space="preserve"> </v>
      </c>
      <c r="J262" s="168" t="str">
        <f t="shared" si="2797"/>
        <v xml:space="preserve"> </v>
      </c>
      <c r="K262" s="168"/>
      <c r="L262" s="167" t="str">
        <f t="shared" si="2798"/>
        <v xml:space="preserve"> </v>
      </c>
      <c r="M262" s="166"/>
      <c r="N262" s="166" t="str">
        <f t="shared" si="2799"/>
        <v xml:space="preserve"> </v>
      </c>
      <c r="O262" s="168" t="str">
        <f t="shared" si="2800"/>
        <v xml:space="preserve"> </v>
      </c>
      <c r="P262" s="168"/>
      <c r="Q262" s="166" t="str">
        <f t="shared" si="2801"/>
        <v xml:space="preserve"> </v>
      </c>
      <c r="R262" s="167">
        <f ca="1">+BDFUENTES[[#This Row],[PZ MED m3/día]]/3.6/BDFUENTES[[#This Row],[PZ MED Horas Activo]]</f>
        <v>0</v>
      </c>
      <c r="S262" s="167" t="str">
        <f t="shared" ca="1" si="2802"/>
        <v xml:space="preserve"> </v>
      </c>
      <c r="T262" s="168" t="str">
        <f t="shared" si="2803"/>
        <v xml:space="preserve"> </v>
      </c>
      <c r="U262" s="168"/>
      <c r="V262" s="165" t="str">
        <f t="shared" si="2804"/>
        <v xml:space="preserve"> </v>
      </c>
      <c r="W262" s="164" t="str">
        <f t="shared" si="2805"/>
        <v xml:space="preserve"> </v>
      </c>
      <c r="X262" s="166"/>
      <c r="Y262" s="168" t="str">
        <f t="shared" si="2806"/>
        <v xml:space="preserve"> </v>
      </c>
      <c r="Z262" s="168"/>
      <c r="AA262" s="166" t="str">
        <f t="shared" si="2807"/>
        <v xml:space="preserve"> </v>
      </c>
      <c r="AB262" s="168" t="str">
        <f t="shared" si="2808"/>
        <v xml:space="preserve"> </v>
      </c>
      <c r="AC262" s="168"/>
      <c r="AD262" s="171" t="str">
        <f t="shared" si="2809"/>
        <v xml:space="preserve"> </v>
      </c>
      <c r="AE262" s="167"/>
      <c r="AF262" s="165" t="str">
        <f t="shared" si="2810"/>
        <v xml:space="preserve"> </v>
      </c>
      <c r="AG262" s="168"/>
      <c r="AH262" s="168"/>
      <c r="AI262" s="166"/>
      <c r="AJ262" s="166"/>
      <c r="AK262" s="166" t="str">
        <f t="shared" si="2811"/>
        <v/>
      </c>
      <c r="AL262" s="167"/>
      <c r="AM262" s="171" t="str">
        <f t="shared" si="2812"/>
        <v xml:space="preserve"> </v>
      </c>
      <c r="AN262" s="168" t="str">
        <f t="shared" si="2813"/>
        <v xml:space="preserve"> </v>
      </c>
      <c r="AO262" s="168"/>
      <c r="AP262" s="167" t="str">
        <f t="shared" si="2814"/>
        <v xml:space="preserve"> </v>
      </c>
      <c r="AQ262" s="166"/>
      <c r="AR262" s="166" t="str">
        <f t="shared" si="2815"/>
        <v xml:space="preserve"> </v>
      </c>
      <c r="AS262" s="168" t="str">
        <f t="shared" si="2816"/>
        <v xml:space="preserve"> </v>
      </c>
      <c r="AT262" s="168"/>
      <c r="AU262" s="166" t="str">
        <f t="shared" si="2817"/>
        <v xml:space="preserve"> </v>
      </c>
      <c r="AV262" s="167"/>
      <c r="AW262" s="167"/>
      <c r="AX262" s="169" t="str">
        <f t="shared" si="2818"/>
        <v xml:space="preserve"> </v>
      </c>
      <c r="AY262" s="169"/>
      <c r="AZ262" s="167" t="str">
        <f t="shared" si="2819"/>
        <v xml:space="preserve"> </v>
      </c>
      <c r="BA262" s="166"/>
      <c r="BB262" s="166"/>
      <c r="BC262" s="168" t="str">
        <f t="shared" si="2820"/>
        <v xml:space="preserve"> </v>
      </c>
      <c r="BD262" s="168"/>
      <c r="BE262" s="166" t="str">
        <f t="shared" si="2821"/>
        <v xml:space="preserve"> </v>
      </c>
      <c r="BF262" s="167"/>
      <c r="BG262" s="167"/>
      <c r="BH262" s="168" t="str">
        <f t="shared" si="2822"/>
        <v xml:space="preserve"> </v>
      </c>
      <c r="BI262" s="168"/>
      <c r="BJ262" s="167" t="str">
        <f t="shared" si="2823"/>
        <v xml:space="preserve"> </v>
      </c>
      <c r="BK262" s="166"/>
      <c r="BL262" s="166" t="str">
        <f t="shared" si="2824"/>
        <v xml:space="preserve"> </v>
      </c>
      <c r="BM262" s="168" t="str">
        <f t="shared" si="2825"/>
        <v xml:space="preserve"> </v>
      </c>
      <c r="BN262" s="168"/>
      <c r="BO262" s="166" t="str">
        <f t="shared" si="2826"/>
        <v xml:space="preserve"> </v>
      </c>
    </row>
    <row r="263" spans="2:67" ht="15" customHeight="1" x14ac:dyDescent="0.25">
      <c r="B263" s="170">
        <v>46281</v>
      </c>
      <c r="C263" s="164"/>
      <c r="D263" s="166" t="str">
        <f t="shared" si="2793"/>
        <v xml:space="preserve"> </v>
      </c>
      <c r="E263" s="168" t="str">
        <f t="shared" si="2794"/>
        <v xml:space="preserve"> </v>
      </c>
      <c r="F263" s="168"/>
      <c r="G263" s="166" t="str">
        <f t="shared" si="2795"/>
        <v xml:space="preserve"> </v>
      </c>
      <c r="H263" s="167"/>
      <c r="I263" s="167" t="str">
        <f t="shared" si="2796"/>
        <v xml:space="preserve"> </v>
      </c>
      <c r="J263" s="168" t="str">
        <f t="shared" si="2797"/>
        <v xml:space="preserve"> </v>
      </c>
      <c r="K263" s="168"/>
      <c r="L263" s="167" t="str">
        <f t="shared" si="2798"/>
        <v xml:space="preserve"> </v>
      </c>
      <c r="M263" s="166"/>
      <c r="N263" s="166" t="str">
        <f t="shared" si="2799"/>
        <v xml:space="preserve"> </v>
      </c>
      <c r="O263" s="168" t="str">
        <f t="shared" si="2800"/>
        <v xml:space="preserve"> </v>
      </c>
      <c r="P263" s="168"/>
      <c r="Q263" s="166" t="str">
        <f t="shared" si="2801"/>
        <v xml:space="preserve"> </v>
      </c>
      <c r="R263" s="167">
        <f ca="1">+BDFUENTES[[#This Row],[PZ MED m3/día]]/3.6/BDFUENTES[[#This Row],[PZ MED Horas Activo]]</f>
        <v>0</v>
      </c>
      <c r="S263" s="167" t="str">
        <f t="shared" ca="1" si="2802"/>
        <v xml:space="preserve"> </v>
      </c>
      <c r="T263" s="168" t="str">
        <f t="shared" si="2803"/>
        <v xml:space="preserve"> </v>
      </c>
      <c r="U263" s="168"/>
      <c r="V263" s="165" t="str">
        <f t="shared" si="2804"/>
        <v xml:space="preserve"> </v>
      </c>
      <c r="W263" s="164" t="str">
        <f t="shared" si="2805"/>
        <v xml:space="preserve"> </v>
      </c>
      <c r="X263" s="166"/>
      <c r="Y263" s="168" t="str">
        <f t="shared" si="2806"/>
        <v xml:space="preserve"> </v>
      </c>
      <c r="Z263" s="168"/>
      <c r="AA263" s="166" t="str">
        <f t="shared" si="2807"/>
        <v xml:space="preserve"> </v>
      </c>
      <c r="AB263" s="168" t="str">
        <f t="shared" si="2808"/>
        <v xml:space="preserve"> </v>
      </c>
      <c r="AC263" s="168"/>
      <c r="AD263" s="171" t="str">
        <f t="shared" si="2809"/>
        <v xml:space="preserve"> </v>
      </c>
      <c r="AE263" s="167"/>
      <c r="AF263" s="165" t="str">
        <f t="shared" si="2810"/>
        <v xml:space="preserve"> </v>
      </c>
      <c r="AG263" s="168"/>
      <c r="AH263" s="168"/>
      <c r="AI263" s="166"/>
      <c r="AJ263" s="166"/>
      <c r="AK263" s="166" t="str">
        <f t="shared" si="2811"/>
        <v/>
      </c>
      <c r="AL263" s="167"/>
      <c r="AM263" s="171" t="str">
        <f t="shared" si="2812"/>
        <v xml:space="preserve"> </v>
      </c>
      <c r="AN263" s="168" t="str">
        <f t="shared" si="2813"/>
        <v xml:space="preserve"> </v>
      </c>
      <c r="AO263" s="168"/>
      <c r="AP263" s="167" t="str">
        <f t="shared" si="2814"/>
        <v xml:space="preserve"> </v>
      </c>
      <c r="AQ263" s="166"/>
      <c r="AR263" s="166" t="str">
        <f t="shared" si="2815"/>
        <v xml:space="preserve"> </v>
      </c>
      <c r="AS263" s="168" t="str">
        <f t="shared" si="2816"/>
        <v xml:space="preserve"> </v>
      </c>
      <c r="AT263" s="168"/>
      <c r="AU263" s="166" t="str">
        <f t="shared" si="2817"/>
        <v xml:space="preserve"> </v>
      </c>
      <c r="AV263" s="167"/>
      <c r="AW263" s="167"/>
      <c r="AX263" s="169" t="str">
        <f t="shared" si="2818"/>
        <v xml:space="preserve"> </v>
      </c>
      <c r="AY263" s="169"/>
      <c r="AZ263" s="167" t="str">
        <f t="shared" si="2819"/>
        <v xml:space="preserve"> </v>
      </c>
      <c r="BA263" s="166"/>
      <c r="BB263" s="166"/>
      <c r="BC263" s="168" t="str">
        <f t="shared" si="2820"/>
        <v xml:space="preserve"> </v>
      </c>
      <c r="BD263" s="168"/>
      <c r="BE263" s="166" t="str">
        <f t="shared" si="2821"/>
        <v xml:space="preserve"> </v>
      </c>
      <c r="BF263" s="167"/>
      <c r="BG263" s="167"/>
      <c r="BH263" s="168" t="str">
        <f t="shared" si="2822"/>
        <v xml:space="preserve"> </v>
      </c>
      <c r="BI263" s="168"/>
      <c r="BJ263" s="167" t="str">
        <f t="shared" si="2823"/>
        <v xml:space="preserve"> </v>
      </c>
      <c r="BK263" s="166"/>
      <c r="BL263" s="166" t="str">
        <f t="shared" si="2824"/>
        <v xml:space="preserve"> </v>
      </c>
      <c r="BM263" s="168" t="str">
        <f t="shared" si="2825"/>
        <v xml:space="preserve"> </v>
      </c>
      <c r="BN263" s="168"/>
      <c r="BO263" s="166" t="str">
        <f t="shared" si="2826"/>
        <v xml:space="preserve"> </v>
      </c>
    </row>
    <row r="264" spans="2:67" ht="15" customHeight="1" x14ac:dyDescent="0.25">
      <c r="B264" s="170">
        <v>46282</v>
      </c>
      <c r="C264" s="164"/>
      <c r="D264" s="166" t="str">
        <f t="shared" si="2793"/>
        <v xml:space="preserve"> </v>
      </c>
      <c r="E264" s="168" t="str">
        <f t="shared" si="2794"/>
        <v xml:space="preserve"> </v>
      </c>
      <c r="F264" s="168"/>
      <c r="G264" s="166" t="str">
        <f t="shared" si="2795"/>
        <v xml:space="preserve"> </v>
      </c>
      <c r="H264" s="167"/>
      <c r="I264" s="167" t="str">
        <f t="shared" si="2796"/>
        <v xml:space="preserve"> </v>
      </c>
      <c r="J264" s="168" t="str">
        <f t="shared" si="2797"/>
        <v xml:space="preserve"> </v>
      </c>
      <c r="K264" s="168"/>
      <c r="L264" s="167" t="str">
        <f t="shared" si="2798"/>
        <v xml:space="preserve"> </v>
      </c>
      <c r="M264" s="166"/>
      <c r="N264" s="166" t="str">
        <f t="shared" si="2799"/>
        <v xml:space="preserve"> </v>
      </c>
      <c r="O264" s="168" t="str">
        <f t="shared" si="2800"/>
        <v xml:space="preserve"> </v>
      </c>
      <c r="P264" s="168"/>
      <c r="Q264" s="166" t="str">
        <f t="shared" si="2801"/>
        <v xml:space="preserve"> </v>
      </c>
      <c r="R264" s="167">
        <f ca="1">+BDFUENTES[[#This Row],[PZ MED m3/día]]/3.6/BDFUENTES[[#This Row],[PZ MED Horas Activo]]</f>
        <v>0</v>
      </c>
      <c r="S264" s="167" t="str">
        <f t="shared" ca="1" si="2802"/>
        <v xml:space="preserve"> </v>
      </c>
      <c r="T264" s="168" t="str">
        <f t="shared" si="2803"/>
        <v xml:space="preserve"> </v>
      </c>
      <c r="U264" s="168"/>
      <c r="V264" s="165" t="str">
        <f t="shared" si="2804"/>
        <v xml:space="preserve"> </v>
      </c>
      <c r="W264" s="164" t="str">
        <f t="shared" si="2805"/>
        <v xml:space="preserve"> </v>
      </c>
      <c r="X264" s="166"/>
      <c r="Y264" s="168" t="str">
        <f t="shared" si="2806"/>
        <v xml:space="preserve"> </v>
      </c>
      <c r="Z264" s="168"/>
      <c r="AA264" s="166" t="str">
        <f t="shared" si="2807"/>
        <v xml:space="preserve"> </v>
      </c>
      <c r="AB264" s="168" t="str">
        <f t="shared" si="2808"/>
        <v xml:space="preserve"> </v>
      </c>
      <c r="AC264" s="168"/>
      <c r="AD264" s="171" t="str">
        <f t="shared" si="2809"/>
        <v xml:space="preserve"> </v>
      </c>
      <c r="AE264" s="167"/>
      <c r="AF264" s="165" t="str">
        <f t="shared" si="2810"/>
        <v xml:space="preserve"> </v>
      </c>
      <c r="AG264" s="168"/>
      <c r="AH264" s="168"/>
      <c r="AI264" s="166"/>
      <c r="AJ264" s="166"/>
      <c r="AK264" s="166" t="str">
        <f t="shared" si="2811"/>
        <v/>
      </c>
      <c r="AL264" s="167"/>
      <c r="AM264" s="171" t="str">
        <f t="shared" si="2812"/>
        <v xml:space="preserve"> </v>
      </c>
      <c r="AN264" s="168" t="str">
        <f t="shared" si="2813"/>
        <v xml:space="preserve"> </v>
      </c>
      <c r="AO264" s="168"/>
      <c r="AP264" s="167" t="str">
        <f t="shared" si="2814"/>
        <v xml:space="preserve"> </v>
      </c>
      <c r="AQ264" s="166"/>
      <c r="AR264" s="166" t="str">
        <f t="shared" si="2815"/>
        <v xml:space="preserve"> </v>
      </c>
      <c r="AS264" s="168" t="str">
        <f t="shared" si="2816"/>
        <v xml:space="preserve"> </v>
      </c>
      <c r="AT264" s="168"/>
      <c r="AU264" s="166" t="str">
        <f t="shared" si="2817"/>
        <v xml:space="preserve"> </v>
      </c>
      <c r="AV264" s="167"/>
      <c r="AW264" s="167"/>
      <c r="AX264" s="169" t="str">
        <f t="shared" si="2818"/>
        <v xml:space="preserve"> </v>
      </c>
      <c r="AY264" s="169"/>
      <c r="AZ264" s="167" t="str">
        <f t="shared" si="2819"/>
        <v xml:space="preserve"> </v>
      </c>
      <c r="BA264" s="166"/>
      <c r="BB264" s="166"/>
      <c r="BC264" s="168" t="str">
        <f t="shared" si="2820"/>
        <v xml:space="preserve"> </v>
      </c>
      <c r="BD264" s="168"/>
      <c r="BE264" s="166" t="str">
        <f t="shared" si="2821"/>
        <v xml:space="preserve"> </v>
      </c>
      <c r="BF264" s="167"/>
      <c r="BG264" s="167"/>
      <c r="BH264" s="168" t="str">
        <f t="shared" si="2822"/>
        <v xml:space="preserve"> </v>
      </c>
      <c r="BI264" s="168"/>
      <c r="BJ264" s="167" t="str">
        <f t="shared" si="2823"/>
        <v xml:space="preserve"> </v>
      </c>
      <c r="BK264" s="166"/>
      <c r="BL264" s="166" t="str">
        <f t="shared" si="2824"/>
        <v xml:space="preserve"> </v>
      </c>
      <c r="BM264" s="168" t="str">
        <f t="shared" si="2825"/>
        <v xml:space="preserve"> </v>
      </c>
      <c r="BN264" s="168"/>
      <c r="BO264" s="166" t="str">
        <f t="shared" si="2826"/>
        <v xml:space="preserve"> </v>
      </c>
    </row>
    <row r="265" spans="2:67" ht="15" customHeight="1" x14ac:dyDescent="0.25">
      <c r="B265" s="170">
        <v>46283</v>
      </c>
      <c r="C265" s="164"/>
      <c r="D265" s="166" t="str">
        <f t="shared" si="2793"/>
        <v xml:space="preserve"> </v>
      </c>
      <c r="E265" s="168" t="str">
        <f t="shared" si="2794"/>
        <v xml:space="preserve"> </v>
      </c>
      <c r="F265" s="168"/>
      <c r="G265" s="166" t="str">
        <f t="shared" si="2795"/>
        <v xml:space="preserve"> </v>
      </c>
      <c r="H265" s="167"/>
      <c r="I265" s="167" t="str">
        <f t="shared" si="2796"/>
        <v xml:space="preserve"> </v>
      </c>
      <c r="J265" s="168" t="str">
        <f t="shared" si="2797"/>
        <v xml:space="preserve"> </v>
      </c>
      <c r="K265" s="168"/>
      <c r="L265" s="167" t="str">
        <f t="shared" si="2798"/>
        <v xml:space="preserve"> </v>
      </c>
      <c r="M265" s="166"/>
      <c r="N265" s="166" t="str">
        <f t="shared" si="2799"/>
        <v xml:space="preserve"> </v>
      </c>
      <c r="O265" s="168" t="str">
        <f t="shared" si="2800"/>
        <v xml:space="preserve"> </v>
      </c>
      <c r="P265" s="168"/>
      <c r="Q265" s="166" t="str">
        <f t="shared" si="2801"/>
        <v xml:space="preserve"> </v>
      </c>
      <c r="R265" s="167">
        <f ca="1">+BDFUENTES[[#This Row],[PZ MED m3/día]]/3.6/BDFUENTES[[#This Row],[PZ MED Horas Activo]]</f>
        <v>0</v>
      </c>
      <c r="S265" s="167" t="str">
        <f t="shared" ca="1" si="2802"/>
        <v xml:space="preserve"> </v>
      </c>
      <c r="T265" s="168" t="str">
        <f t="shared" si="2803"/>
        <v xml:space="preserve"> </v>
      </c>
      <c r="U265" s="168"/>
      <c r="V265" s="165" t="str">
        <f t="shared" si="2804"/>
        <v xml:space="preserve"> </v>
      </c>
      <c r="W265" s="164" t="str">
        <f t="shared" si="2805"/>
        <v xml:space="preserve"> </v>
      </c>
      <c r="X265" s="166"/>
      <c r="Y265" s="168" t="str">
        <f t="shared" si="2806"/>
        <v xml:space="preserve"> </v>
      </c>
      <c r="Z265" s="168"/>
      <c r="AA265" s="166" t="str">
        <f t="shared" si="2807"/>
        <v xml:space="preserve"> </v>
      </c>
      <c r="AB265" s="168" t="str">
        <f t="shared" si="2808"/>
        <v xml:space="preserve"> </v>
      </c>
      <c r="AC265" s="168"/>
      <c r="AD265" s="171" t="str">
        <f t="shared" si="2809"/>
        <v xml:space="preserve"> </v>
      </c>
      <c r="AE265" s="167"/>
      <c r="AF265" s="165" t="str">
        <f t="shared" si="2810"/>
        <v xml:space="preserve"> </v>
      </c>
      <c r="AG265" s="168"/>
      <c r="AH265" s="168"/>
      <c r="AI265" s="166"/>
      <c r="AJ265" s="166"/>
      <c r="AK265" s="166" t="str">
        <f t="shared" si="2811"/>
        <v/>
      </c>
      <c r="AL265" s="167"/>
      <c r="AM265" s="171" t="str">
        <f t="shared" si="2812"/>
        <v xml:space="preserve"> </v>
      </c>
      <c r="AN265" s="168" t="str">
        <f t="shared" si="2813"/>
        <v xml:space="preserve"> </v>
      </c>
      <c r="AO265" s="168"/>
      <c r="AP265" s="167" t="str">
        <f t="shared" si="2814"/>
        <v xml:space="preserve"> </v>
      </c>
      <c r="AQ265" s="166"/>
      <c r="AR265" s="166" t="str">
        <f t="shared" si="2815"/>
        <v xml:space="preserve"> </v>
      </c>
      <c r="AS265" s="168" t="str">
        <f t="shared" si="2816"/>
        <v xml:space="preserve"> </v>
      </c>
      <c r="AT265" s="168"/>
      <c r="AU265" s="166" t="str">
        <f t="shared" si="2817"/>
        <v xml:space="preserve"> </v>
      </c>
      <c r="AV265" s="167"/>
      <c r="AW265" s="167"/>
      <c r="AX265" s="169" t="str">
        <f t="shared" si="2818"/>
        <v xml:space="preserve"> </v>
      </c>
      <c r="AY265" s="169"/>
      <c r="AZ265" s="167" t="str">
        <f t="shared" si="2819"/>
        <v xml:space="preserve"> </v>
      </c>
      <c r="BA265" s="166"/>
      <c r="BB265" s="166"/>
      <c r="BC265" s="168" t="str">
        <f t="shared" si="2820"/>
        <v xml:space="preserve"> </v>
      </c>
      <c r="BD265" s="168"/>
      <c r="BE265" s="166" t="str">
        <f t="shared" si="2821"/>
        <v xml:space="preserve"> </v>
      </c>
      <c r="BF265" s="167"/>
      <c r="BG265" s="167"/>
      <c r="BH265" s="168" t="str">
        <f t="shared" si="2822"/>
        <v xml:space="preserve"> </v>
      </c>
      <c r="BI265" s="168"/>
      <c r="BJ265" s="167" t="str">
        <f t="shared" si="2823"/>
        <v xml:space="preserve"> </v>
      </c>
      <c r="BK265" s="166"/>
      <c r="BL265" s="166" t="str">
        <f t="shared" si="2824"/>
        <v xml:space="preserve"> </v>
      </c>
      <c r="BM265" s="168" t="str">
        <f t="shared" si="2825"/>
        <v xml:space="preserve"> </v>
      </c>
      <c r="BN265" s="168"/>
      <c r="BO265" s="166" t="str">
        <f t="shared" si="2826"/>
        <v xml:space="preserve"> </v>
      </c>
    </row>
    <row r="266" spans="2:67" ht="15" customHeight="1" x14ac:dyDescent="0.25">
      <c r="B266" s="170">
        <v>46284</v>
      </c>
      <c r="C266" s="164"/>
      <c r="D266" s="166" t="str">
        <f t="shared" si="2793"/>
        <v xml:space="preserve"> </v>
      </c>
      <c r="E266" s="168" t="str">
        <f t="shared" si="2794"/>
        <v xml:space="preserve"> </v>
      </c>
      <c r="F266" s="168"/>
      <c r="G266" s="166" t="str">
        <f t="shared" si="2795"/>
        <v xml:space="preserve"> </v>
      </c>
      <c r="H266" s="167"/>
      <c r="I266" s="167" t="str">
        <f t="shared" si="2796"/>
        <v xml:space="preserve"> </v>
      </c>
      <c r="J266" s="168" t="str">
        <f t="shared" si="2797"/>
        <v xml:space="preserve"> </v>
      </c>
      <c r="K266" s="168"/>
      <c r="L266" s="167" t="str">
        <f t="shared" si="2798"/>
        <v xml:space="preserve"> </v>
      </c>
      <c r="M266" s="166"/>
      <c r="N266" s="166" t="str">
        <f t="shared" si="2799"/>
        <v xml:space="preserve"> </v>
      </c>
      <c r="O266" s="168" t="str">
        <f t="shared" si="2800"/>
        <v xml:space="preserve"> </v>
      </c>
      <c r="P266" s="168"/>
      <c r="Q266" s="166" t="str">
        <f t="shared" si="2801"/>
        <v xml:space="preserve"> </v>
      </c>
      <c r="R266" s="167">
        <f ca="1">+BDFUENTES[[#This Row],[PZ MED m3/día]]/3.6/BDFUENTES[[#This Row],[PZ MED Horas Activo]]</f>
        <v>0</v>
      </c>
      <c r="S266" s="167" t="str">
        <f t="shared" ca="1" si="2802"/>
        <v xml:space="preserve"> </v>
      </c>
      <c r="T266" s="168" t="str">
        <f t="shared" si="2803"/>
        <v xml:space="preserve"> </v>
      </c>
      <c r="U266" s="168"/>
      <c r="V266" s="165" t="str">
        <f t="shared" si="2804"/>
        <v xml:space="preserve"> </v>
      </c>
      <c r="W266" s="164" t="str">
        <f t="shared" si="2805"/>
        <v xml:space="preserve"> </v>
      </c>
      <c r="X266" s="166"/>
      <c r="Y266" s="168" t="str">
        <f t="shared" si="2806"/>
        <v xml:space="preserve"> </v>
      </c>
      <c r="Z266" s="168"/>
      <c r="AA266" s="166" t="str">
        <f t="shared" si="2807"/>
        <v xml:space="preserve"> </v>
      </c>
      <c r="AB266" s="168" t="str">
        <f t="shared" si="2808"/>
        <v xml:space="preserve"> </v>
      </c>
      <c r="AC266" s="168"/>
      <c r="AD266" s="171" t="str">
        <f t="shared" si="2809"/>
        <v xml:space="preserve"> </v>
      </c>
      <c r="AE266" s="167"/>
      <c r="AF266" s="165" t="str">
        <f t="shared" si="2810"/>
        <v xml:space="preserve"> </v>
      </c>
      <c r="AG266" s="168"/>
      <c r="AH266" s="168"/>
      <c r="AI266" s="166"/>
      <c r="AJ266" s="166"/>
      <c r="AK266" s="166" t="str">
        <f t="shared" si="2811"/>
        <v/>
      </c>
      <c r="AL266" s="167"/>
      <c r="AM266" s="171" t="str">
        <f t="shared" si="2812"/>
        <v xml:space="preserve"> </v>
      </c>
      <c r="AN266" s="168" t="str">
        <f t="shared" si="2813"/>
        <v xml:space="preserve"> </v>
      </c>
      <c r="AO266" s="168"/>
      <c r="AP266" s="167" t="str">
        <f t="shared" si="2814"/>
        <v xml:space="preserve"> </v>
      </c>
      <c r="AQ266" s="166"/>
      <c r="AR266" s="166" t="str">
        <f t="shared" si="2815"/>
        <v xml:space="preserve"> </v>
      </c>
      <c r="AS266" s="168" t="str">
        <f t="shared" si="2816"/>
        <v xml:space="preserve"> </v>
      </c>
      <c r="AT266" s="168"/>
      <c r="AU266" s="166" t="str">
        <f t="shared" si="2817"/>
        <v xml:space="preserve"> </v>
      </c>
      <c r="AV266" s="167"/>
      <c r="AW266" s="167"/>
      <c r="AX266" s="169" t="str">
        <f t="shared" si="2818"/>
        <v xml:space="preserve"> </v>
      </c>
      <c r="AY266" s="169"/>
      <c r="AZ266" s="167" t="str">
        <f t="shared" si="2819"/>
        <v xml:space="preserve"> </v>
      </c>
      <c r="BA266" s="166"/>
      <c r="BB266" s="166"/>
      <c r="BC266" s="168" t="str">
        <f t="shared" si="2820"/>
        <v xml:space="preserve"> </v>
      </c>
      <c r="BD266" s="168"/>
      <c r="BE266" s="166" t="str">
        <f t="shared" si="2821"/>
        <v xml:space="preserve"> </v>
      </c>
      <c r="BF266" s="167"/>
      <c r="BG266" s="167"/>
      <c r="BH266" s="168" t="str">
        <f t="shared" si="2822"/>
        <v xml:space="preserve"> </v>
      </c>
      <c r="BI266" s="168"/>
      <c r="BJ266" s="167" t="str">
        <f t="shared" si="2823"/>
        <v xml:space="preserve"> </v>
      </c>
      <c r="BK266" s="166"/>
      <c r="BL266" s="166" t="str">
        <f t="shared" si="2824"/>
        <v xml:space="preserve"> </v>
      </c>
      <c r="BM266" s="168" t="str">
        <f t="shared" si="2825"/>
        <v xml:space="preserve"> </v>
      </c>
      <c r="BN266" s="168"/>
      <c r="BO266" s="166" t="str">
        <f t="shared" si="2826"/>
        <v xml:space="preserve"> </v>
      </c>
    </row>
    <row r="267" spans="2:67" ht="15" customHeight="1" x14ac:dyDescent="0.25">
      <c r="B267" s="170">
        <v>46285</v>
      </c>
      <c r="C267" s="164"/>
      <c r="D267" s="166" t="str">
        <f t="shared" si="2793"/>
        <v xml:space="preserve"> </v>
      </c>
      <c r="E267" s="168" t="str">
        <f t="shared" si="2794"/>
        <v xml:space="preserve"> </v>
      </c>
      <c r="F267" s="168"/>
      <c r="G267" s="166" t="str">
        <f t="shared" si="2795"/>
        <v xml:space="preserve"> </v>
      </c>
      <c r="H267" s="167"/>
      <c r="I267" s="167" t="str">
        <f t="shared" si="2796"/>
        <v xml:space="preserve"> </v>
      </c>
      <c r="J267" s="168" t="str">
        <f t="shared" si="2797"/>
        <v xml:space="preserve"> </v>
      </c>
      <c r="K267" s="168"/>
      <c r="L267" s="167" t="str">
        <f t="shared" si="2798"/>
        <v xml:space="preserve"> </v>
      </c>
      <c r="M267" s="166"/>
      <c r="N267" s="166" t="str">
        <f t="shared" si="2799"/>
        <v xml:space="preserve"> </v>
      </c>
      <c r="O267" s="168" t="str">
        <f t="shared" si="2800"/>
        <v xml:space="preserve"> </v>
      </c>
      <c r="P267" s="168"/>
      <c r="Q267" s="166" t="str">
        <f t="shared" si="2801"/>
        <v xml:space="preserve"> </v>
      </c>
      <c r="R267" s="167">
        <f ca="1">+BDFUENTES[[#This Row],[PZ MED m3/día]]/3.6/BDFUENTES[[#This Row],[PZ MED Horas Activo]]</f>
        <v>0</v>
      </c>
      <c r="S267" s="167" t="str">
        <f t="shared" ca="1" si="2802"/>
        <v xml:space="preserve"> </v>
      </c>
      <c r="T267" s="168" t="str">
        <f t="shared" si="2803"/>
        <v xml:space="preserve"> </v>
      </c>
      <c r="U267" s="168"/>
      <c r="V267" s="165" t="str">
        <f t="shared" si="2804"/>
        <v xml:space="preserve"> </v>
      </c>
      <c r="W267" s="164" t="str">
        <f t="shared" si="2805"/>
        <v xml:space="preserve"> </v>
      </c>
      <c r="X267" s="166"/>
      <c r="Y267" s="168" t="str">
        <f t="shared" si="2806"/>
        <v xml:space="preserve"> </v>
      </c>
      <c r="Z267" s="168"/>
      <c r="AA267" s="166" t="str">
        <f t="shared" si="2807"/>
        <v xml:space="preserve"> </v>
      </c>
      <c r="AB267" s="168" t="str">
        <f t="shared" si="2808"/>
        <v xml:space="preserve"> </v>
      </c>
      <c r="AC267" s="168"/>
      <c r="AD267" s="171" t="str">
        <f t="shared" si="2809"/>
        <v xml:space="preserve"> </v>
      </c>
      <c r="AE267" s="167"/>
      <c r="AF267" s="165" t="str">
        <f t="shared" si="2810"/>
        <v xml:space="preserve"> </v>
      </c>
      <c r="AG267" s="168"/>
      <c r="AH267" s="168"/>
      <c r="AI267" s="166"/>
      <c r="AJ267" s="166"/>
      <c r="AK267" s="166" t="str">
        <f t="shared" si="2811"/>
        <v/>
      </c>
      <c r="AL267" s="167"/>
      <c r="AM267" s="171" t="str">
        <f t="shared" si="2812"/>
        <v xml:space="preserve"> </v>
      </c>
      <c r="AN267" s="168" t="str">
        <f t="shared" si="2813"/>
        <v xml:space="preserve"> </v>
      </c>
      <c r="AO267" s="168"/>
      <c r="AP267" s="167" t="str">
        <f t="shared" si="2814"/>
        <v xml:space="preserve"> </v>
      </c>
      <c r="AQ267" s="166"/>
      <c r="AR267" s="166" t="str">
        <f t="shared" si="2815"/>
        <v xml:space="preserve"> </v>
      </c>
      <c r="AS267" s="168" t="str">
        <f t="shared" si="2816"/>
        <v xml:space="preserve"> </v>
      </c>
      <c r="AT267" s="168"/>
      <c r="AU267" s="166" t="str">
        <f t="shared" si="2817"/>
        <v xml:space="preserve"> </v>
      </c>
      <c r="AV267" s="167"/>
      <c r="AW267" s="167"/>
      <c r="AX267" s="169" t="str">
        <f t="shared" si="2818"/>
        <v xml:space="preserve"> </v>
      </c>
      <c r="AY267" s="169"/>
      <c r="AZ267" s="167" t="str">
        <f t="shared" si="2819"/>
        <v xml:space="preserve"> </v>
      </c>
      <c r="BA267" s="166"/>
      <c r="BB267" s="166"/>
      <c r="BC267" s="168" t="str">
        <f t="shared" si="2820"/>
        <v xml:space="preserve"> </v>
      </c>
      <c r="BD267" s="168"/>
      <c r="BE267" s="166" t="str">
        <f t="shared" si="2821"/>
        <v xml:space="preserve"> </v>
      </c>
      <c r="BF267" s="167"/>
      <c r="BG267" s="167"/>
      <c r="BH267" s="168" t="str">
        <f t="shared" si="2822"/>
        <v xml:space="preserve"> </v>
      </c>
      <c r="BI267" s="168"/>
      <c r="BJ267" s="167" t="str">
        <f t="shared" si="2823"/>
        <v xml:space="preserve"> </v>
      </c>
      <c r="BK267" s="166"/>
      <c r="BL267" s="166" t="str">
        <f t="shared" si="2824"/>
        <v xml:space="preserve"> </v>
      </c>
      <c r="BM267" s="168" t="str">
        <f t="shared" si="2825"/>
        <v xml:space="preserve"> </v>
      </c>
      <c r="BN267" s="168"/>
      <c r="BO267" s="166" t="str">
        <f t="shared" si="2826"/>
        <v xml:space="preserve"> </v>
      </c>
    </row>
    <row r="268" spans="2:67" ht="15" customHeight="1" x14ac:dyDescent="0.25">
      <c r="B268" s="170">
        <v>46286</v>
      </c>
      <c r="C268" s="164"/>
      <c r="D268" s="166" t="str">
        <f t="shared" si="2793"/>
        <v xml:space="preserve"> </v>
      </c>
      <c r="E268" s="168" t="str">
        <f t="shared" si="2794"/>
        <v xml:space="preserve"> </v>
      </c>
      <c r="F268" s="168"/>
      <c r="G268" s="166" t="str">
        <f t="shared" si="2795"/>
        <v xml:space="preserve"> </v>
      </c>
      <c r="H268" s="167"/>
      <c r="I268" s="167" t="str">
        <f t="shared" si="2796"/>
        <v xml:space="preserve"> </v>
      </c>
      <c r="J268" s="168" t="str">
        <f t="shared" si="2797"/>
        <v xml:space="preserve"> </v>
      </c>
      <c r="K268" s="168"/>
      <c r="L268" s="167" t="str">
        <f t="shared" si="2798"/>
        <v xml:space="preserve"> </v>
      </c>
      <c r="M268" s="166"/>
      <c r="N268" s="166" t="str">
        <f t="shared" si="2799"/>
        <v xml:space="preserve"> </v>
      </c>
      <c r="O268" s="168" t="str">
        <f t="shared" si="2800"/>
        <v xml:space="preserve"> </v>
      </c>
      <c r="P268" s="168"/>
      <c r="Q268" s="166" t="str">
        <f t="shared" si="2801"/>
        <v xml:space="preserve"> </v>
      </c>
      <c r="R268" s="167">
        <f ca="1">+BDFUENTES[[#This Row],[PZ MED m3/día]]/3.6/BDFUENTES[[#This Row],[PZ MED Horas Activo]]</f>
        <v>0</v>
      </c>
      <c r="S268" s="167" t="str">
        <f t="shared" ca="1" si="2802"/>
        <v xml:space="preserve"> </v>
      </c>
      <c r="T268" s="168" t="str">
        <f t="shared" si="2803"/>
        <v xml:space="preserve"> </v>
      </c>
      <c r="U268" s="168"/>
      <c r="V268" s="165" t="str">
        <f t="shared" si="2804"/>
        <v xml:space="preserve"> </v>
      </c>
      <c r="W268" s="164" t="str">
        <f t="shared" si="2805"/>
        <v xml:space="preserve"> </v>
      </c>
      <c r="X268" s="166"/>
      <c r="Y268" s="168" t="str">
        <f t="shared" si="2806"/>
        <v xml:space="preserve"> </v>
      </c>
      <c r="Z268" s="168"/>
      <c r="AA268" s="166" t="str">
        <f t="shared" si="2807"/>
        <v xml:space="preserve"> </v>
      </c>
      <c r="AB268" s="168" t="str">
        <f t="shared" si="2808"/>
        <v xml:space="preserve"> </v>
      </c>
      <c r="AC268" s="168"/>
      <c r="AD268" s="171" t="str">
        <f t="shared" si="2809"/>
        <v xml:space="preserve"> </v>
      </c>
      <c r="AE268" s="167"/>
      <c r="AF268" s="165" t="str">
        <f t="shared" si="2810"/>
        <v xml:space="preserve"> </v>
      </c>
      <c r="AG268" s="168"/>
      <c r="AH268" s="168"/>
      <c r="AI268" s="166"/>
      <c r="AJ268" s="166"/>
      <c r="AK268" s="166" t="str">
        <f t="shared" si="2811"/>
        <v/>
      </c>
      <c r="AL268" s="167"/>
      <c r="AM268" s="171" t="str">
        <f t="shared" si="2812"/>
        <v xml:space="preserve"> </v>
      </c>
      <c r="AN268" s="168" t="str">
        <f t="shared" si="2813"/>
        <v xml:space="preserve"> </v>
      </c>
      <c r="AO268" s="168"/>
      <c r="AP268" s="167" t="str">
        <f t="shared" si="2814"/>
        <v xml:space="preserve"> </v>
      </c>
      <c r="AQ268" s="166"/>
      <c r="AR268" s="166" t="str">
        <f t="shared" si="2815"/>
        <v xml:space="preserve"> </v>
      </c>
      <c r="AS268" s="168" t="str">
        <f t="shared" si="2816"/>
        <v xml:space="preserve"> </v>
      </c>
      <c r="AT268" s="168"/>
      <c r="AU268" s="166" t="str">
        <f t="shared" si="2817"/>
        <v xml:space="preserve"> </v>
      </c>
      <c r="AV268" s="167"/>
      <c r="AW268" s="167"/>
      <c r="AX268" s="169" t="str">
        <f t="shared" si="2818"/>
        <v xml:space="preserve"> </v>
      </c>
      <c r="AY268" s="169"/>
      <c r="AZ268" s="167" t="str">
        <f t="shared" si="2819"/>
        <v xml:space="preserve"> </v>
      </c>
      <c r="BA268" s="166"/>
      <c r="BB268" s="166"/>
      <c r="BC268" s="168" t="str">
        <f t="shared" si="2820"/>
        <v xml:space="preserve"> </v>
      </c>
      <c r="BD268" s="168"/>
      <c r="BE268" s="166" t="str">
        <f t="shared" si="2821"/>
        <v xml:space="preserve"> </v>
      </c>
      <c r="BF268" s="167"/>
      <c r="BG268" s="167"/>
      <c r="BH268" s="168" t="str">
        <f t="shared" si="2822"/>
        <v xml:space="preserve"> </v>
      </c>
      <c r="BI268" s="168"/>
      <c r="BJ268" s="167" t="str">
        <f t="shared" si="2823"/>
        <v xml:space="preserve"> </v>
      </c>
      <c r="BK268" s="166"/>
      <c r="BL268" s="166" t="str">
        <f t="shared" si="2824"/>
        <v xml:space="preserve"> </v>
      </c>
      <c r="BM268" s="168" t="str">
        <f t="shared" si="2825"/>
        <v xml:space="preserve"> </v>
      </c>
      <c r="BN268" s="168"/>
      <c r="BO268" s="166" t="str">
        <f t="shared" si="2826"/>
        <v xml:space="preserve"> </v>
      </c>
    </row>
    <row r="269" spans="2:67" ht="15" customHeight="1" x14ac:dyDescent="0.25">
      <c r="B269" s="170">
        <v>46287</v>
      </c>
      <c r="C269" s="164"/>
      <c r="D269" s="166" t="str">
        <f t="shared" si="2793"/>
        <v xml:space="preserve"> </v>
      </c>
      <c r="E269" s="168" t="str">
        <f t="shared" si="2794"/>
        <v xml:space="preserve"> </v>
      </c>
      <c r="F269" s="168"/>
      <c r="G269" s="166" t="str">
        <f t="shared" si="2795"/>
        <v xml:space="preserve"> </v>
      </c>
      <c r="H269" s="167"/>
      <c r="I269" s="167" t="str">
        <f t="shared" si="2796"/>
        <v xml:space="preserve"> </v>
      </c>
      <c r="J269" s="168" t="str">
        <f t="shared" si="2797"/>
        <v xml:space="preserve"> </v>
      </c>
      <c r="K269" s="168"/>
      <c r="L269" s="167" t="str">
        <f t="shared" si="2798"/>
        <v xml:space="preserve"> </v>
      </c>
      <c r="M269" s="166"/>
      <c r="N269" s="166" t="str">
        <f t="shared" si="2799"/>
        <v xml:space="preserve"> </v>
      </c>
      <c r="O269" s="168" t="str">
        <f t="shared" si="2800"/>
        <v xml:space="preserve"> </v>
      </c>
      <c r="P269" s="168"/>
      <c r="Q269" s="166" t="str">
        <f t="shared" si="2801"/>
        <v xml:space="preserve"> </v>
      </c>
      <c r="R269" s="167">
        <f ca="1">+BDFUENTES[[#This Row],[PZ MED m3/día]]/3.6/BDFUENTES[[#This Row],[PZ MED Horas Activo]]</f>
        <v>0</v>
      </c>
      <c r="S269" s="167" t="str">
        <f t="shared" ca="1" si="2802"/>
        <v xml:space="preserve"> </v>
      </c>
      <c r="T269" s="168" t="str">
        <f t="shared" si="2803"/>
        <v xml:space="preserve"> </v>
      </c>
      <c r="U269" s="168"/>
      <c r="V269" s="165" t="str">
        <f t="shared" si="2804"/>
        <v xml:space="preserve"> </v>
      </c>
      <c r="W269" s="164" t="str">
        <f t="shared" si="2805"/>
        <v xml:space="preserve"> </v>
      </c>
      <c r="X269" s="166"/>
      <c r="Y269" s="168" t="str">
        <f t="shared" si="2806"/>
        <v xml:space="preserve"> </v>
      </c>
      <c r="Z269" s="168"/>
      <c r="AA269" s="166" t="str">
        <f t="shared" si="2807"/>
        <v xml:space="preserve"> </v>
      </c>
      <c r="AB269" s="168" t="str">
        <f t="shared" si="2808"/>
        <v xml:space="preserve"> </v>
      </c>
      <c r="AC269" s="168"/>
      <c r="AD269" s="171" t="str">
        <f t="shared" si="2809"/>
        <v xml:space="preserve"> </v>
      </c>
      <c r="AE269" s="167"/>
      <c r="AF269" s="165" t="str">
        <f t="shared" si="2810"/>
        <v xml:space="preserve"> </v>
      </c>
      <c r="AG269" s="168"/>
      <c r="AH269" s="168"/>
      <c r="AI269" s="166"/>
      <c r="AJ269" s="166"/>
      <c r="AK269" s="166" t="str">
        <f t="shared" si="2811"/>
        <v/>
      </c>
      <c r="AL269" s="167"/>
      <c r="AM269" s="171" t="str">
        <f t="shared" si="2812"/>
        <v xml:space="preserve"> </v>
      </c>
      <c r="AN269" s="168" t="str">
        <f t="shared" si="2813"/>
        <v xml:space="preserve"> </v>
      </c>
      <c r="AO269" s="168"/>
      <c r="AP269" s="167" t="str">
        <f t="shared" si="2814"/>
        <v xml:space="preserve"> </v>
      </c>
      <c r="AQ269" s="166"/>
      <c r="AR269" s="166" t="str">
        <f t="shared" si="2815"/>
        <v xml:space="preserve"> </v>
      </c>
      <c r="AS269" s="168" t="str">
        <f t="shared" si="2816"/>
        <v xml:space="preserve"> </v>
      </c>
      <c r="AT269" s="168"/>
      <c r="AU269" s="166" t="str">
        <f t="shared" si="2817"/>
        <v xml:space="preserve"> </v>
      </c>
      <c r="AV269" s="167"/>
      <c r="AW269" s="167"/>
      <c r="AX269" s="169" t="str">
        <f t="shared" si="2818"/>
        <v xml:space="preserve"> </v>
      </c>
      <c r="AY269" s="169"/>
      <c r="AZ269" s="167" t="str">
        <f t="shared" si="2819"/>
        <v xml:space="preserve"> </v>
      </c>
      <c r="BA269" s="166"/>
      <c r="BB269" s="166"/>
      <c r="BC269" s="168" t="str">
        <f t="shared" si="2820"/>
        <v xml:space="preserve"> </v>
      </c>
      <c r="BD269" s="168"/>
      <c r="BE269" s="166" t="str">
        <f t="shared" si="2821"/>
        <v xml:space="preserve"> </v>
      </c>
      <c r="BF269" s="167"/>
      <c r="BG269" s="167"/>
      <c r="BH269" s="168" t="str">
        <f t="shared" si="2822"/>
        <v xml:space="preserve"> </v>
      </c>
      <c r="BI269" s="168"/>
      <c r="BJ269" s="167" t="str">
        <f t="shared" si="2823"/>
        <v xml:space="preserve"> </v>
      </c>
      <c r="BK269" s="166"/>
      <c r="BL269" s="166" t="str">
        <f t="shared" si="2824"/>
        <v xml:space="preserve"> </v>
      </c>
      <c r="BM269" s="168" t="str">
        <f t="shared" si="2825"/>
        <v xml:space="preserve"> </v>
      </c>
      <c r="BN269" s="168"/>
      <c r="BO269" s="166" t="str">
        <f t="shared" si="2826"/>
        <v xml:space="preserve"> </v>
      </c>
    </row>
    <row r="270" spans="2:67" ht="15" customHeight="1" x14ac:dyDescent="0.25">
      <c r="B270" s="170">
        <v>46288</v>
      </c>
      <c r="C270" s="164"/>
      <c r="D270" s="166" t="str">
        <f t="shared" si="2793"/>
        <v xml:space="preserve"> </v>
      </c>
      <c r="E270" s="168" t="str">
        <f t="shared" si="2794"/>
        <v xml:space="preserve"> </v>
      </c>
      <c r="F270" s="168"/>
      <c r="G270" s="166" t="str">
        <f t="shared" si="2795"/>
        <v xml:space="preserve"> </v>
      </c>
      <c r="H270" s="167"/>
      <c r="I270" s="167" t="str">
        <f t="shared" si="2796"/>
        <v xml:space="preserve"> </v>
      </c>
      <c r="J270" s="168" t="str">
        <f t="shared" si="2797"/>
        <v xml:space="preserve"> </v>
      </c>
      <c r="K270" s="168"/>
      <c r="L270" s="167" t="str">
        <f t="shared" si="2798"/>
        <v xml:space="preserve"> </v>
      </c>
      <c r="M270" s="166"/>
      <c r="N270" s="166" t="str">
        <f t="shared" si="2799"/>
        <v xml:space="preserve"> </v>
      </c>
      <c r="O270" s="168" t="str">
        <f t="shared" si="2800"/>
        <v xml:space="preserve"> </v>
      </c>
      <c r="P270" s="168"/>
      <c r="Q270" s="166" t="str">
        <f t="shared" si="2801"/>
        <v xml:space="preserve"> </v>
      </c>
      <c r="R270" s="167">
        <f ca="1">+BDFUENTES[[#This Row],[PZ MED m3/día]]/3.6/BDFUENTES[[#This Row],[PZ MED Horas Activo]]</f>
        <v>0</v>
      </c>
      <c r="S270" s="167" t="str">
        <f t="shared" ca="1" si="2802"/>
        <v xml:space="preserve"> </v>
      </c>
      <c r="T270" s="168" t="str">
        <f t="shared" si="2803"/>
        <v xml:space="preserve"> </v>
      </c>
      <c r="U270" s="168"/>
      <c r="V270" s="165" t="str">
        <f t="shared" si="2804"/>
        <v xml:space="preserve"> </v>
      </c>
      <c r="W270" s="164" t="str">
        <f t="shared" si="2805"/>
        <v xml:space="preserve"> </v>
      </c>
      <c r="X270" s="166"/>
      <c r="Y270" s="168" t="str">
        <f t="shared" si="2806"/>
        <v xml:space="preserve"> </v>
      </c>
      <c r="Z270" s="168"/>
      <c r="AA270" s="166" t="str">
        <f t="shared" si="2807"/>
        <v xml:space="preserve"> </v>
      </c>
      <c r="AB270" s="168" t="str">
        <f t="shared" si="2808"/>
        <v xml:space="preserve"> </v>
      </c>
      <c r="AC270" s="168"/>
      <c r="AD270" s="171" t="str">
        <f t="shared" si="2809"/>
        <v xml:space="preserve"> </v>
      </c>
      <c r="AE270" s="167"/>
      <c r="AF270" s="165" t="str">
        <f t="shared" si="2810"/>
        <v xml:space="preserve"> </v>
      </c>
      <c r="AG270" s="168"/>
      <c r="AH270" s="168"/>
      <c r="AI270" s="166"/>
      <c r="AJ270" s="166"/>
      <c r="AK270" s="166" t="str">
        <f t="shared" si="2811"/>
        <v/>
      </c>
      <c r="AL270" s="167"/>
      <c r="AM270" s="171" t="str">
        <f t="shared" si="2812"/>
        <v xml:space="preserve"> </v>
      </c>
      <c r="AN270" s="168" t="str">
        <f t="shared" si="2813"/>
        <v xml:space="preserve"> </v>
      </c>
      <c r="AO270" s="168"/>
      <c r="AP270" s="167" t="str">
        <f t="shared" si="2814"/>
        <v xml:space="preserve"> </v>
      </c>
      <c r="AQ270" s="166"/>
      <c r="AR270" s="166" t="str">
        <f t="shared" si="2815"/>
        <v xml:space="preserve"> </v>
      </c>
      <c r="AS270" s="168" t="str">
        <f t="shared" si="2816"/>
        <v xml:space="preserve"> </v>
      </c>
      <c r="AT270" s="168"/>
      <c r="AU270" s="166" t="str">
        <f t="shared" si="2817"/>
        <v xml:space="preserve"> </v>
      </c>
      <c r="AV270" s="167"/>
      <c r="AW270" s="167"/>
      <c r="AX270" s="169" t="str">
        <f t="shared" si="2818"/>
        <v xml:space="preserve"> </v>
      </c>
      <c r="AY270" s="169"/>
      <c r="AZ270" s="167" t="str">
        <f t="shared" si="2819"/>
        <v xml:space="preserve"> </v>
      </c>
      <c r="BA270" s="166"/>
      <c r="BB270" s="166"/>
      <c r="BC270" s="168" t="str">
        <f t="shared" si="2820"/>
        <v xml:space="preserve"> </v>
      </c>
      <c r="BD270" s="168"/>
      <c r="BE270" s="166" t="str">
        <f t="shared" si="2821"/>
        <v xml:space="preserve"> </v>
      </c>
      <c r="BF270" s="167"/>
      <c r="BG270" s="167"/>
      <c r="BH270" s="168" t="str">
        <f t="shared" si="2822"/>
        <v xml:space="preserve"> </v>
      </c>
      <c r="BI270" s="168"/>
      <c r="BJ270" s="167" t="str">
        <f t="shared" si="2823"/>
        <v xml:space="preserve"> </v>
      </c>
      <c r="BK270" s="166"/>
      <c r="BL270" s="166" t="str">
        <f t="shared" si="2824"/>
        <v xml:space="preserve"> </v>
      </c>
      <c r="BM270" s="168" t="str">
        <f t="shared" si="2825"/>
        <v xml:space="preserve"> </v>
      </c>
      <c r="BN270" s="168"/>
      <c r="BO270" s="166" t="str">
        <f t="shared" si="2826"/>
        <v xml:space="preserve"> </v>
      </c>
    </row>
    <row r="271" spans="2:67" ht="15" customHeight="1" x14ac:dyDescent="0.25">
      <c r="B271" s="170">
        <v>46289</v>
      </c>
      <c r="C271" s="164"/>
      <c r="D271" s="166" t="str">
        <f t="shared" si="2793"/>
        <v xml:space="preserve"> </v>
      </c>
      <c r="E271" s="168" t="str">
        <f t="shared" si="2794"/>
        <v xml:space="preserve"> </v>
      </c>
      <c r="F271" s="168"/>
      <c r="G271" s="166" t="str">
        <f t="shared" si="2795"/>
        <v xml:space="preserve"> </v>
      </c>
      <c r="H271" s="167"/>
      <c r="I271" s="167" t="str">
        <f t="shared" si="2796"/>
        <v xml:space="preserve"> </v>
      </c>
      <c r="J271" s="168" t="str">
        <f t="shared" si="2797"/>
        <v xml:space="preserve"> </v>
      </c>
      <c r="K271" s="168"/>
      <c r="L271" s="167" t="str">
        <f t="shared" si="2798"/>
        <v xml:space="preserve"> </v>
      </c>
      <c r="M271" s="166"/>
      <c r="N271" s="166" t="str">
        <f t="shared" si="2799"/>
        <v xml:space="preserve"> </v>
      </c>
      <c r="O271" s="168" t="str">
        <f t="shared" si="2800"/>
        <v xml:space="preserve"> </v>
      </c>
      <c r="P271" s="168"/>
      <c r="Q271" s="166" t="str">
        <f t="shared" si="2801"/>
        <v xml:space="preserve"> </v>
      </c>
      <c r="R271" s="167">
        <f ca="1">+BDFUENTES[[#This Row],[PZ MED m3/día]]/3.6/BDFUENTES[[#This Row],[PZ MED Horas Activo]]</f>
        <v>0</v>
      </c>
      <c r="S271" s="167" t="str">
        <f t="shared" ca="1" si="2802"/>
        <v xml:space="preserve"> </v>
      </c>
      <c r="T271" s="168" t="str">
        <f t="shared" si="2803"/>
        <v xml:space="preserve"> </v>
      </c>
      <c r="U271" s="168"/>
      <c r="V271" s="165" t="str">
        <f t="shared" si="2804"/>
        <v xml:space="preserve"> </v>
      </c>
      <c r="W271" s="164" t="str">
        <f t="shared" si="2805"/>
        <v xml:space="preserve"> </v>
      </c>
      <c r="X271" s="166"/>
      <c r="Y271" s="168" t="str">
        <f t="shared" si="2806"/>
        <v xml:space="preserve"> </v>
      </c>
      <c r="Z271" s="168"/>
      <c r="AA271" s="166" t="str">
        <f t="shared" si="2807"/>
        <v xml:space="preserve"> </v>
      </c>
      <c r="AB271" s="168" t="str">
        <f t="shared" si="2808"/>
        <v xml:space="preserve"> </v>
      </c>
      <c r="AC271" s="168"/>
      <c r="AD271" s="171" t="str">
        <f t="shared" si="2809"/>
        <v xml:space="preserve"> </v>
      </c>
      <c r="AE271" s="167"/>
      <c r="AF271" s="165" t="str">
        <f t="shared" si="2810"/>
        <v xml:space="preserve"> </v>
      </c>
      <c r="AG271" s="168"/>
      <c r="AH271" s="168"/>
      <c r="AI271" s="166"/>
      <c r="AJ271" s="166"/>
      <c r="AK271" s="166" t="str">
        <f t="shared" si="2811"/>
        <v/>
      </c>
      <c r="AL271" s="167"/>
      <c r="AM271" s="171" t="str">
        <f t="shared" si="2812"/>
        <v xml:space="preserve"> </v>
      </c>
      <c r="AN271" s="168" t="str">
        <f t="shared" si="2813"/>
        <v xml:space="preserve"> </v>
      </c>
      <c r="AO271" s="168"/>
      <c r="AP271" s="167" t="str">
        <f t="shared" si="2814"/>
        <v xml:space="preserve"> </v>
      </c>
      <c r="AQ271" s="166"/>
      <c r="AR271" s="166" t="str">
        <f t="shared" si="2815"/>
        <v xml:space="preserve"> </v>
      </c>
      <c r="AS271" s="168" t="str">
        <f t="shared" si="2816"/>
        <v xml:space="preserve"> </v>
      </c>
      <c r="AT271" s="168"/>
      <c r="AU271" s="166" t="str">
        <f t="shared" si="2817"/>
        <v xml:space="preserve"> </v>
      </c>
      <c r="AV271" s="167"/>
      <c r="AW271" s="167"/>
      <c r="AX271" s="169" t="str">
        <f t="shared" si="2818"/>
        <v xml:space="preserve"> </v>
      </c>
      <c r="AY271" s="169"/>
      <c r="AZ271" s="167" t="str">
        <f t="shared" si="2819"/>
        <v xml:space="preserve"> </v>
      </c>
      <c r="BA271" s="166"/>
      <c r="BB271" s="166"/>
      <c r="BC271" s="168" t="str">
        <f t="shared" si="2820"/>
        <v xml:space="preserve"> </v>
      </c>
      <c r="BD271" s="168"/>
      <c r="BE271" s="166" t="str">
        <f t="shared" si="2821"/>
        <v xml:space="preserve"> </v>
      </c>
      <c r="BF271" s="167"/>
      <c r="BG271" s="167"/>
      <c r="BH271" s="168" t="str">
        <f t="shared" si="2822"/>
        <v xml:space="preserve"> </v>
      </c>
      <c r="BI271" s="168"/>
      <c r="BJ271" s="167" t="str">
        <f t="shared" si="2823"/>
        <v xml:space="preserve"> </v>
      </c>
      <c r="BK271" s="166"/>
      <c r="BL271" s="166" t="str">
        <f t="shared" si="2824"/>
        <v xml:space="preserve"> </v>
      </c>
      <c r="BM271" s="168" t="str">
        <f t="shared" si="2825"/>
        <v xml:space="preserve"> </v>
      </c>
      <c r="BN271" s="168"/>
      <c r="BO271" s="166" t="str">
        <f t="shared" si="2826"/>
        <v xml:space="preserve"> </v>
      </c>
    </row>
    <row r="272" spans="2:67" ht="15" customHeight="1" x14ac:dyDescent="0.25">
      <c r="B272" s="170">
        <v>46290</v>
      </c>
      <c r="C272" s="164"/>
      <c r="D272" s="166" t="str">
        <f t="shared" si="2793"/>
        <v xml:space="preserve"> </v>
      </c>
      <c r="E272" s="168" t="str">
        <f t="shared" si="2794"/>
        <v xml:space="preserve"> </v>
      </c>
      <c r="F272" s="168"/>
      <c r="G272" s="166" t="str">
        <f t="shared" si="2795"/>
        <v xml:space="preserve"> </v>
      </c>
      <c r="H272" s="167"/>
      <c r="I272" s="167" t="str">
        <f t="shared" si="2796"/>
        <v xml:space="preserve"> </v>
      </c>
      <c r="J272" s="168" t="str">
        <f t="shared" si="2797"/>
        <v xml:space="preserve"> </v>
      </c>
      <c r="K272" s="168"/>
      <c r="L272" s="167" t="str">
        <f t="shared" si="2798"/>
        <v xml:space="preserve"> </v>
      </c>
      <c r="M272" s="166"/>
      <c r="N272" s="166" t="str">
        <f t="shared" si="2799"/>
        <v xml:space="preserve"> </v>
      </c>
      <c r="O272" s="168" t="str">
        <f t="shared" si="2800"/>
        <v xml:space="preserve"> </v>
      </c>
      <c r="P272" s="168"/>
      <c r="Q272" s="166" t="str">
        <f t="shared" si="2801"/>
        <v xml:space="preserve"> </v>
      </c>
      <c r="R272" s="167">
        <f ca="1">+BDFUENTES[[#This Row],[PZ MED m3/día]]/3.6/BDFUENTES[[#This Row],[PZ MED Horas Activo]]</f>
        <v>0</v>
      </c>
      <c r="S272" s="167" t="str">
        <f t="shared" ca="1" si="2802"/>
        <v xml:space="preserve"> </v>
      </c>
      <c r="T272" s="168" t="str">
        <f t="shared" si="2803"/>
        <v xml:space="preserve"> </v>
      </c>
      <c r="U272" s="168"/>
      <c r="V272" s="165" t="str">
        <f t="shared" si="2804"/>
        <v xml:space="preserve"> </v>
      </c>
      <c r="W272" s="164" t="str">
        <f t="shared" si="2805"/>
        <v xml:space="preserve"> </v>
      </c>
      <c r="X272" s="166"/>
      <c r="Y272" s="168" t="str">
        <f t="shared" si="2806"/>
        <v xml:space="preserve"> </v>
      </c>
      <c r="Z272" s="168"/>
      <c r="AA272" s="166" t="str">
        <f t="shared" si="2807"/>
        <v xml:space="preserve"> </v>
      </c>
      <c r="AB272" s="168" t="str">
        <f t="shared" si="2808"/>
        <v xml:space="preserve"> </v>
      </c>
      <c r="AC272" s="168"/>
      <c r="AD272" s="171" t="str">
        <f t="shared" si="2809"/>
        <v xml:space="preserve"> </v>
      </c>
      <c r="AE272" s="167"/>
      <c r="AF272" s="165" t="str">
        <f t="shared" si="2810"/>
        <v xml:space="preserve"> </v>
      </c>
      <c r="AG272" s="168"/>
      <c r="AH272" s="168"/>
      <c r="AI272" s="166"/>
      <c r="AJ272" s="166"/>
      <c r="AK272" s="166" t="str">
        <f t="shared" si="2811"/>
        <v/>
      </c>
      <c r="AL272" s="167"/>
      <c r="AM272" s="171" t="str">
        <f t="shared" si="2812"/>
        <v xml:space="preserve"> </v>
      </c>
      <c r="AN272" s="168" t="str">
        <f t="shared" si="2813"/>
        <v xml:space="preserve"> </v>
      </c>
      <c r="AO272" s="168"/>
      <c r="AP272" s="167" t="str">
        <f t="shared" si="2814"/>
        <v xml:space="preserve"> </v>
      </c>
      <c r="AQ272" s="166"/>
      <c r="AR272" s="166" t="str">
        <f t="shared" si="2815"/>
        <v xml:space="preserve"> </v>
      </c>
      <c r="AS272" s="168" t="str">
        <f t="shared" si="2816"/>
        <v xml:space="preserve"> </v>
      </c>
      <c r="AT272" s="168"/>
      <c r="AU272" s="166" t="str">
        <f t="shared" si="2817"/>
        <v xml:space="preserve"> </v>
      </c>
      <c r="AV272" s="167"/>
      <c r="AW272" s="167"/>
      <c r="AX272" s="169" t="str">
        <f t="shared" si="2818"/>
        <v xml:space="preserve"> </v>
      </c>
      <c r="AY272" s="169"/>
      <c r="AZ272" s="167" t="str">
        <f t="shared" si="2819"/>
        <v xml:space="preserve"> </v>
      </c>
      <c r="BA272" s="166"/>
      <c r="BB272" s="166"/>
      <c r="BC272" s="168" t="str">
        <f t="shared" si="2820"/>
        <v xml:space="preserve"> </v>
      </c>
      <c r="BD272" s="168"/>
      <c r="BE272" s="166" t="str">
        <f t="shared" si="2821"/>
        <v xml:space="preserve"> </v>
      </c>
      <c r="BF272" s="167"/>
      <c r="BG272" s="167"/>
      <c r="BH272" s="168" t="str">
        <f t="shared" si="2822"/>
        <v xml:space="preserve"> </v>
      </c>
      <c r="BI272" s="168"/>
      <c r="BJ272" s="167" t="str">
        <f t="shared" si="2823"/>
        <v xml:space="preserve"> </v>
      </c>
      <c r="BK272" s="166"/>
      <c r="BL272" s="166" t="str">
        <f t="shared" si="2824"/>
        <v xml:space="preserve"> </v>
      </c>
      <c r="BM272" s="168" t="str">
        <f t="shared" si="2825"/>
        <v xml:space="preserve"> </v>
      </c>
      <c r="BN272" s="168"/>
      <c r="BO272" s="166" t="str">
        <f t="shared" si="2826"/>
        <v xml:space="preserve"> </v>
      </c>
    </row>
    <row r="273" spans="2:67" ht="15" customHeight="1" x14ac:dyDescent="0.25">
      <c r="B273" s="170">
        <v>46291</v>
      </c>
      <c r="C273" s="164"/>
      <c r="D273" s="166" t="str">
        <f t="shared" si="2793"/>
        <v xml:space="preserve"> </v>
      </c>
      <c r="E273" s="168" t="str">
        <f t="shared" si="2794"/>
        <v xml:space="preserve"> </v>
      </c>
      <c r="F273" s="168"/>
      <c r="G273" s="166" t="str">
        <f t="shared" si="2795"/>
        <v xml:space="preserve"> </v>
      </c>
      <c r="H273" s="167"/>
      <c r="I273" s="167" t="str">
        <f t="shared" si="2796"/>
        <v xml:space="preserve"> </v>
      </c>
      <c r="J273" s="168" t="str">
        <f t="shared" si="2797"/>
        <v xml:space="preserve"> </v>
      </c>
      <c r="K273" s="168"/>
      <c r="L273" s="167" t="str">
        <f t="shared" si="2798"/>
        <v xml:space="preserve"> </v>
      </c>
      <c r="M273" s="166"/>
      <c r="N273" s="166" t="str">
        <f t="shared" si="2799"/>
        <v xml:space="preserve"> </v>
      </c>
      <c r="O273" s="168" t="str">
        <f t="shared" si="2800"/>
        <v xml:space="preserve"> </v>
      </c>
      <c r="P273" s="168"/>
      <c r="Q273" s="166" t="str">
        <f t="shared" si="2801"/>
        <v xml:space="preserve"> </v>
      </c>
      <c r="R273" s="167">
        <f ca="1">+BDFUENTES[[#This Row],[PZ MED m3/día]]/3.6/BDFUENTES[[#This Row],[PZ MED Horas Activo]]</f>
        <v>0</v>
      </c>
      <c r="S273" s="167" t="str">
        <f t="shared" ca="1" si="2802"/>
        <v xml:space="preserve"> </v>
      </c>
      <c r="T273" s="168" t="str">
        <f t="shared" si="2803"/>
        <v xml:space="preserve"> </v>
      </c>
      <c r="U273" s="168"/>
      <c r="V273" s="165" t="str">
        <f t="shared" si="2804"/>
        <v xml:space="preserve"> </v>
      </c>
      <c r="W273" s="164" t="str">
        <f t="shared" si="2805"/>
        <v xml:space="preserve"> </v>
      </c>
      <c r="X273" s="166"/>
      <c r="Y273" s="168" t="str">
        <f t="shared" si="2806"/>
        <v xml:space="preserve"> </v>
      </c>
      <c r="Z273" s="168"/>
      <c r="AA273" s="166" t="str">
        <f t="shared" si="2807"/>
        <v xml:space="preserve"> </v>
      </c>
      <c r="AB273" s="168" t="str">
        <f t="shared" si="2808"/>
        <v xml:space="preserve"> </v>
      </c>
      <c r="AC273" s="168"/>
      <c r="AD273" s="171" t="str">
        <f t="shared" si="2809"/>
        <v xml:space="preserve"> </v>
      </c>
      <c r="AE273" s="167"/>
      <c r="AF273" s="165" t="str">
        <f t="shared" si="2810"/>
        <v xml:space="preserve"> </v>
      </c>
      <c r="AG273" s="168"/>
      <c r="AH273" s="168"/>
      <c r="AI273" s="166"/>
      <c r="AJ273" s="166"/>
      <c r="AK273" s="166" t="str">
        <f t="shared" si="2811"/>
        <v/>
      </c>
      <c r="AL273" s="167"/>
      <c r="AM273" s="171" t="str">
        <f t="shared" si="2812"/>
        <v xml:space="preserve"> </v>
      </c>
      <c r="AN273" s="168" t="str">
        <f t="shared" si="2813"/>
        <v xml:space="preserve"> </v>
      </c>
      <c r="AO273" s="168"/>
      <c r="AP273" s="167" t="str">
        <f t="shared" si="2814"/>
        <v xml:space="preserve"> </v>
      </c>
      <c r="AQ273" s="166"/>
      <c r="AR273" s="166" t="str">
        <f t="shared" si="2815"/>
        <v xml:space="preserve"> </v>
      </c>
      <c r="AS273" s="168" t="str">
        <f t="shared" si="2816"/>
        <v xml:space="preserve"> </v>
      </c>
      <c r="AT273" s="168"/>
      <c r="AU273" s="166" t="str">
        <f t="shared" si="2817"/>
        <v xml:space="preserve"> </v>
      </c>
      <c r="AV273" s="167"/>
      <c r="AW273" s="167"/>
      <c r="AX273" s="169" t="str">
        <f t="shared" si="2818"/>
        <v xml:space="preserve"> </v>
      </c>
      <c r="AY273" s="169"/>
      <c r="AZ273" s="167" t="str">
        <f t="shared" si="2819"/>
        <v xml:space="preserve"> </v>
      </c>
      <c r="BA273" s="166"/>
      <c r="BB273" s="166"/>
      <c r="BC273" s="168" t="str">
        <f t="shared" si="2820"/>
        <v xml:space="preserve"> </v>
      </c>
      <c r="BD273" s="168"/>
      <c r="BE273" s="166" t="str">
        <f t="shared" si="2821"/>
        <v xml:space="preserve"> </v>
      </c>
      <c r="BF273" s="167"/>
      <c r="BG273" s="167"/>
      <c r="BH273" s="168" t="str">
        <f t="shared" si="2822"/>
        <v xml:space="preserve"> </v>
      </c>
      <c r="BI273" s="168"/>
      <c r="BJ273" s="167" t="str">
        <f t="shared" si="2823"/>
        <v xml:space="preserve"> </v>
      </c>
      <c r="BK273" s="166"/>
      <c r="BL273" s="166" t="str">
        <f t="shared" si="2824"/>
        <v xml:space="preserve"> </v>
      </c>
      <c r="BM273" s="168" t="str">
        <f t="shared" si="2825"/>
        <v xml:space="preserve"> </v>
      </c>
      <c r="BN273" s="168"/>
      <c r="BO273" s="166" t="str">
        <f t="shared" si="2826"/>
        <v xml:space="preserve"> </v>
      </c>
    </row>
    <row r="274" spans="2:67" ht="15" customHeight="1" x14ac:dyDescent="0.25">
      <c r="B274" s="170">
        <v>46292</v>
      </c>
      <c r="C274" s="164"/>
      <c r="D274" s="166" t="str">
        <f t="shared" si="2793"/>
        <v xml:space="preserve"> </v>
      </c>
      <c r="E274" s="168" t="str">
        <f t="shared" si="2794"/>
        <v xml:space="preserve"> </v>
      </c>
      <c r="F274" s="168"/>
      <c r="G274" s="166" t="str">
        <f t="shared" si="2795"/>
        <v xml:space="preserve"> </v>
      </c>
      <c r="H274" s="167"/>
      <c r="I274" s="167" t="str">
        <f t="shared" si="2796"/>
        <v xml:space="preserve"> </v>
      </c>
      <c r="J274" s="168" t="str">
        <f t="shared" si="2797"/>
        <v xml:space="preserve"> </v>
      </c>
      <c r="K274" s="168"/>
      <c r="L274" s="167" t="str">
        <f t="shared" si="2798"/>
        <v xml:space="preserve"> </v>
      </c>
      <c r="M274" s="166"/>
      <c r="N274" s="166" t="str">
        <f t="shared" si="2799"/>
        <v xml:space="preserve"> </v>
      </c>
      <c r="O274" s="168" t="str">
        <f t="shared" si="2800"/>
        <v xml:space="preserve"> </v>
      </c>
      <c r="P274" s="168"/>
      <c r="Q274" s="166" t="str">
        <f t="shared" si="2801"/>
        <v xml:space="preserve"> </v>
      </c>
      <c r="R274" s="167">
        <f ca="1">+BDFUENTES[[#This Row],[PZ MED m3/día]]/3.6/BDFUENTES[[#This Row],[PZ MED Horas Activo]]</f>
        <v>0</v>
      </c>
      <c r="S274" s="167" t="str">
        <f t="shared" ca="1" si="2802"/>
        <v xml:space="preserve"> </v>
      </c>
      <c r="T274" s="168" t="str">
        <f t="shared" si="2803"/>
        <v xml:space="preserve"> </v>
      </c>
      <c r="U274" s="168"/>
      <c r="V274" s="165" t="str">
        <f t="shared" si="2804"/>
        <v xml:space="preserve"> </v>
      </c>
      <c r="W274" s="164" t="str">
        <f t="shared" si="2805"/>
        <v xml:space="preserve"> </v>
      </c>
      <c r="X274" s="166"/>
      <c r="Y274" s="168" t="str">
        <f t="shared" si="2806"/>
        <v xml:space="preserve"> </v>
      </c>
      <c r="Z274" s="168"/>
      <c r="AA274" s="166" t="str">
        <f t="shared" si="2807"/>
        <v xml:space="preserve"> </v>
      </c>
      <c r="AB274" s="168" t="str">
        <f t="shared" si="2808"/>
        <v xml:space="preserve"> </v>
      </c>
      <c r="AC274" s="168"/>
      <c r="AD274" s="171" t="str">
        <f t="shared" si="2809"/>
        <v xml:space="preserve"> </v>
      </c>
      <c r="AE274" s="167"/>
      <c r="AF274" s="165" t="str">
        <f t="shared" si="2810"/>
        <v xml:space="preserve"> </v>
      </c>
      <c r="AG274" s="168"/>
      <c r="AH274" s="168"/>
      <c r="AI274" s="166"/>
      <c r="AJ274" s="166"/>
      <c r="AK274" s="166" t="str">
        <f t="shared" si="2811"/>
        <v/>
      </c>
      <c r="AL274" s="167"/>
      <c r="AM274" s="171" t="str">
        <f t="shared" si="2812"/>
        <v xml:space="preserve"> </v>
      </c>
      <c r="AN274" s="168" t="str">
        <f t="shared" si="2813"/>
        <v xml:space="preserve"> </v>
      </c>
      <c r="AO274" s="168"/>
      <c r="AP274" s="167" t="str">
        <f t="shared" si="2814"/>
        <v xml:space="preserve"> </v>
      </c>
      <c r="AQ274" s="166"/>
      <c r="AR274" s="166" t="str">
        <f t="shared" si="2815"/>
        <v xml:space="preserve"> </v>
      </c>
      <c r="AS274" s="168" t="str">
        <f t="shared" si="2816"/>
        <v xml:space="preserve"> </v>
      </c>
      <c r="AT274" s="168"/>
      <c r="AU274" s="166" t="str">
        <f t="shared" si="2817"/>
        <v xml:space="preserve"> </v>
      </c>
      <c r="AV274" s="167"/>
      <c r="AW274" s="167"/>
      <c r="AX274" s="169" t="str">
        <f t="shared" si="2818"/>
        <v xml:space="preserve"> </v>
      </c>
      <c r="AY274" s="169"/>
      <c r="AZ274" s="167" t="str">
        <f t="shared" si="2819"/>
        <v xml:space="preserve"> </v>
      </c>
      <c r="BA274" s="166"/>
      <c r="BB274" s="166"/>
      <c r="BC274" s="168" t="str">
        <f t="shared" si="2820"/>
        <v xml:space="preserve"> </v>
      </c>
      <c r="BD274" s="168"/>
      <c r="BE274" s="166" t="str">
        <f t="shared" si="2821"/>
        <v xml:space="preserve"> </v>
      </c>
      <c r="BF274" s="167"/>
      <c r="BG274" s="167"/>
      <c r="BH274" s="168" t="str">
        <f t="shared" si="2822"/>
        <v xml:space="preserve"> </v>
      </c>
      <c r="BI274" s="168"/>
      <c r="BJ274" s="167" t="str">
        <f t="shared" si="2823"/>
        <v xml:space="preserve"> </v>
      </c>
      <c r="BK274" s="166"/>
      <c r="BL274" s="166" t="str">
        <f t="shared" si="2824"/>
        <v xml:space="preserve"> </v>
      </c>
      <c r="BM274" s="168" t="str">
        <f t="shared" si="2825"/>
        <v xml:space="preserve"> </v>
      </c>
      <c r="BN274" s="168"/>
      <c r="BO274" s="166" t="str">
        <f t="shared" si="2826"/>
        <v xml:space="preserve"> </v>
      </c>
    </row>
    <row r="275" spans="2:67" ht="15" customHeight="1" x14ac:dyDescent="0.25">
      <c r="B275" s="170">
        <v>46293</v>
      </c>
      <c r="C275" s="164"/>
      <c r="D275" s="166" t="str">
        <f t="shared" si="2793"/>
        <v xml:space="preserve"> </v>
      </c>
      <c r="E275" s="168" t="str">
        <f t="shared" si="2794"/>
        <v xml:space="preserve"> </v>
      </c>
      <c r="F275" s="168"/>
      <c r="G275" s="166" t="str">
        <f t="shared" si="2795"/>
        <v xml:space="preserve"> </v>
      </c>
      <c r="H275" s="167"/>
      <c r="I275" s="167" t="str">
        <f t="shared" si="2796"/>
        <v xml:space="preserve"> </v>
      </c>
      <c r="J275" s="168" t="str">
        <f t="shared" si="2797"/>
        <v xml:space="preserve"> </v>
      </c>
      <c r="K275" s="168"/>
      <c r="L275" s="167" t="str">
        <f t="shared" si="2798"/>
        <v xml:space="preserve"> </v>
      </c>
      <c r="M275" s="166"/>
      <c r="N275" s="166" t="str">
        <f t="shared" si="2799"/>
        <v xml:space="preserve"> </v>
      </c>
      <c r="O275" s="168" t="str">
        <f t="shared" si="2800"/>
        <v xml:space="preserve"> </v>
      </c>
      <c r="P275" s="168"/>
      <c r="Q275" s="166" t="str">
        <f t="shared" si="2801"/>
        <v xml:space="preserve"> </v>
      </c>
      <c r="R275" s="167">
        <f ca="1">+BDFUENTES[[#This Row],[PZ MED m3/día]]/3.6/BDFUENTES[[#This Row],[PZ MED Horas Activo]]</f>
        <v>0</v>
      </c>
      <c r="S275" s="167" t="str">
        <f t="shared" ca="1" si="2802"/>
        <v xml:space="preserve"> </v>
      </c>
      <c r="T275" s="168" t="str">
        <f t="shared" si="2803"/>
        <v xml:space="preserve"> </v>
      </c>
      <c r="U275" s="168"/>
      <c r="V275" s="165" t="str">
        <f t="shared" si="2804"/>
        <v xml:space="preserve"> </v>
      </c>
      <c r="W275" s="164" t="str">
        <f t="shared" si="2805"/>
        <v xml:space="preserve"> </v>
      </c>
      <c r="X275" s="166"/>
      <c r="Y275" s="168" t="str">
        <f t="shared" si="2806"/>
        <v xml:space="preserve"> </v>
      </c>
      <c r="Z275" s="168"/>
      <c r="AA275" s="166" t="str">
        <f t="shared" si="2807"/>
        <v xml:space="preserve"> </v>
      </c>
      <c r="AB275" s="168" t="str">
        <f t="shared" si="2808"/>
        <v xml:space="preserve"> </v>
      </c>
      <c r="AC275" s="168"/>
      <c r="AD275" s="171" t="str">
        <f t="shared" si="2809"/>
        <v xml:space="preserve"> </v>
      </c>
      <c r="AE275" s="167"/>
      <c r="AF275" s="165" t="str">
        <f t="shared" si="2810"/>
        <v xml:space="preserve"> </v>
      </c>
      <c r="AG275" s="168"/>
      <c r="AH275" s="168"/>
      <c r="AI275" s="166"/>
      <c r="AJ275" s="166"/>
      <c r="AK275" s="166" t="str">
        <f t="shared" si="2811"/>
        <v/>
      </c>
      <c r="AL275" s="167"/>
      <c r="AM275" s="171" t="str">
        <f t="shared" si="2812"/>
        <v xml:space="preserve"> </v>
      </c>
      <c r="AN275" s="168" t="str">
        <f t="shared" si="2813"/>
        <v xml:space="preserve"> </v>
      </c>
      <c r="AO275" s="168"/>
      <c r="AP275" s="167" t="str">
        <f t="shared" si="2814"/>
        <v xml:space="preserve"> </v>
      </c>
      <c r="AQ275" s="166"/>
      <c r="AR275" s="166" t="str">
        <f t="shared" si="2815"/>
        <v xml:space="preserve"> </v>
      </c>
      <c r="AS275" s="168" t="str">
        <f t="shared" si="2816"/>
        <v xml:space="preserve"> </v>
      </c>
      <c r="AT275" s="168"/>
      <c r="AU275" s="166" t="str">
        <f t="shared" si="2817"/>
        <v xml:space="preserve"> </v>
      </c>
      <c r="AV275" s="167"/>
      <c r="AW275" s="167"/>
      <c r="AX275" s="169" t="str">
        <f t="shared" si="2818"/>
        <v xml:space="preserve"> </v>
      </c>
      <c r="AY275" s="169"/>
      <c r="AZ275" s="167" t="str">
        <f t="shared" si="2819"/>
        <v xml:space="preserve"> </v>
      </c>
      <c r="BA275" s="166"/>
      <c r="BB275" s="166"/>
      <c r="BC275" s="168" t="str">
        <f t="shared" si="2820"/>
        <v xml:space="preserve"> </v>
      </c>
      <c r="BD275" s="168"/>
      <c r="BE275" s="166" t="str">
        <f t="shared" si="2821"/>
        <v xml:space="preserve"> </v>
      </c>
      <c r="BF275" s="167"/>
      <c r="BG275" s="167"/>
      <c r="BH275" s="168" t="str">
        <f t="shared" si="2822"/>
        <v xml:space="preserve"> </v>
      </c>
      <c r="BI275" s="168"/>
      <c r="BJ275" s="167" t="str">
        <f t="shared" si="2823"/>
        <v xml:space="preserve"> </v>
      </c>
      <c r="BK275" s="166"/>
      <c r="BL275" s="166" t="str">
        <f t="shared" si="2824"/>
        <v xml:space="preserve"> </v>
      </c>
      <c r="BM275" s="168" t="str">
        <f t="shared" si="2825"/>
        <v xml:space="preserve"> </v>
      </c>
      <c r="BN275" s="168"/>
      <c r="BO275" s="166" t="str">
        <f t="shared" si="2826"/>
        <v xml:space="preserve"> </v>
      </c>
    </row>
    <row r="276" spans="2:67" ht="15" customHeight="1" x14ac:dyDescent="0.25">
      <c r="B276" s="170">
        <v>46294</v>
      </c>
      <c r="C276" s="164"/>
      <c r="D276" s="166" t="str">
        <f t="shared" si="2793"/>
        <v xml:space="preserve"> </v>
      </c>
      <c r="E276" s="168" t="str">
        <f t="shared" si="2794"/>
        <v xml:space="preserve"> </v>
      </c>
      <c r="F276" s="168"/>
      <c r="G276" s="166" t="str">
        <f t="shared" si="2795"/>
        <v xml:space="preserve"> </v>
      </c>
      <c r="H276" s="167"/>
      <c r="I276" s="167" t="str">
        <f t="shared" si="2796"/>
        <v xml:space="preserve"> </v>
      </c>
      <c r="J276" s="168" t="str">
        <f t="shared" si="2797"/>
        <v xml:space="preserve"> </v>
      </c>
      <c r="K276" s="168"/>
      <c r="L276" s="167" t="str">
        <f t="shared" si="2798"/>
        <v xml:space="preserve"> </v>
      </c>
      <c r="M276" s="166"/>
      <c r="N276" s="166" t="str">
        <f t="shared" si="2799"/>
        <v xml:space="preserve"> </v>
      </c>
      <c r="O276" s="168" t="str">
        <f t="shared" si="2800"/>
        <v xml:space="preserve"> </v>
      </c>
      <c r="P276" s="168"/>
      <c r="Q276" s="166" t="str">
        <f t="shared" si="2801"/>
        <v xml:space="preserve"> </v>
      </c>
      <c r="R276" s="167">
        <f ca="1">+BDFUENTES[[#This Row],[PZ MED m3/día]]/3.6/BDFUENTES[[#This Row],[PZ MED Horas Activo]]</f>
        <v>0</v>
      </c>
      <c r="S276" s="167" t="str">
        <f t="shared" ca="1" si="2802"/>
        <v xml:space="preserve"> </v>
      </c>
      <c r="T276" s="168" t="str">
        <f t="shared" si="2803"/>
        <v xml:space="preserve"> </v>
      </c>
      <c r="U276" s="168"/>
      <c r="V276" s="165" t="str">
        <f t="shared" si="2804"/>
        <v xml:space="preserve"> </v>
      </c>
      <c r="W276" s="164" t="str">
        <f t="shared" si="2805"/>
        <v xml:space="preserve"> </v>
      </c>
      <c r="X276" s="166"/>
      <c r="Y276" s="168" t="str">
        <f t="shared" si="2806"/>
        <v xml:space="preserve"> </v>
      </c>
      <c r="Z276" s="168"/>
      <c r="AA276" s="166" t="str">
        <f t="shared" si="2807"/>
        <v xml:space="preserve"> </v>
      </c>
      <c r="AB276" s="168" t="str">
        <f t="shared" si="2808"/>
        <v xml:space="preserve"> </v>
      </c>
      <c r="AC276" s="168"/>
      <c r="AD276" s="171" t="str">
        <f t="shared" si="2809"/>
        <v xml:space="preserve"> </v>
      </c>
      <c r="AE276" s="167"/>
      <c r="AF276" s="165" t="str">
        <f t="shared" si="2810"/>
        <v xml:space="preserve"> </v>
      </c>
      <c r="AG276" s="168"/>
      <c r="AH276" s="168"/>
      <c r="AI276" s="166"/>
      <c r="AJ276" s="166"/>
      <c r="AK276" s="166" t="str">
        <f t="shared" si="2811"/>
        <v/>
      </c>
      <c r="AL276" s="167"/>
      <c r="AM276" s="171" t="str">
        <f t="shared" si="2812"/>
        <v xml:space="preserve"> </v>
      </c>
      <c r="AN276" s="168" t="str">
        <f t="shared" si="2813"/>
        <v xml:space="preserve"> </v>
      </c>
      <c r="AO276" s="168"/>
      <c r="AP276" s="167" t="str">
        <f t="shared" si="2814"/>
        <v xml:space="preserve"> </v>
      </c>
      <c r="AQ276" s="166"/>
      <c r="AR276" s="166" t="str">
        <f t="shared" si="2815"/>
        <v xml:space="preserve"> </v>
      </c>
      <c r="AS276" s="168" t="str">
        <f t="shared" si="2816"/>
        <v xml:space="preserve"> </v>
      </c>
      <c r="AT276" s="168"/>
      <c r="AU276" s="166" t="str">
        <f t="shared" si="2817"/>
        <v xml:space="preserve"> </v>
      </c>
      <c r="AV276" s="167"/>
      <c r="AW276" s="167"/>
      <c r="AX276" s="169" t="str">
        <f t="shared" si="2818"/>
        <v xml:space="preserve"> </v>
      </c>
      <c r="AY276" s="169"/>
      <c r="AZ276" s="167" t="str">
        <f t="shared" si="2819"/>
        <v xml:space="preserve"> </v>
      </c>
      <c r="BA276" s="166"/>
      <c r="BB276" s="166"/>
      <c r="BC276" s="168" t="str">
        <f t="shared" si="2820"/>
        <v xml:space="preserve"> </v>
      </c>
      <c r="BD276" s="168"/>
      <c r="BE276" s="166" t="str">
        <f t="shared" si="2821"/>
        <v xml:space="preserve"> </v>
      </c>
      <c r="BF276" s="167"/>
      <c r="BG276" s="167"/>
      <c r="BH276" s="168" t="str">
        <f t="shared" si="2822"/>
        <v xml:space="preserve"> </v>
      </c>
      <c r="BI276" s="168"/>
      <c r="BJ276" s="167" t="str">
        <f t="shared" si="2823"/>
        <v xml:space="preserve"> </v>
      </c>
      <c r="BK276" s="166"/>
      <c r="BL276" s="166" t="str">
        <f t="shared" si="2824"/>
        <v xml:space="preserve"> </v>
      </c>
      <c r="BM276" s="168" t="str">
        <f t="shared" si="2825"/>
        <v xml:space="preserve"> </v>
      </c>
      <c r="BN276" s="168"/>
      <c r="BO276" s="166" t="str">
        <f t="shared" si="2826"/>
        <v xml:space="preserve"> </v>
      </c>
    </row>
    <row r="277" spans="2:67" ht="15" customHeight="1" x14ac:dyDescent="0.25">
      <c r="B277" s="170">
        <v>46295</v>
      </c>
      <c r="C277" s="164"/>
      <c r="D277" s="166" t="str">
        <f t="shared" si="2793"/>
        <v xml:space="preserve"> </v>
      </c>
      <c r="E277" s="168" t="str">
        <f t="shared" si="2794"/>
        <v xml:space="preserve"> </v>
      </c>
      <c r="F277" s="168"/>
      <c r="G277" s="166" t="str">
        <f t="shared" si="2795"/>
        <v xml:space="preserve"> </v>
      </c>
      <c r="H277" s="167"/>
      <c r="I277" s="167" t="str">
        <f t="shared" si="2796"/>
        <v xml:space="preserve"> </v>
      </c>
      <c r="J277" s="168" t="str">
        <f t="shared" si="2797"/>
        <v xml:space="preserve"> </v>
      </c>
      <c r="K277" s="168"/>
      <c r="L277" s="167" t="str">
        <f t="shared" si="2798"/>
        <v xml:space="preserve"> </v>
      </c>
      <c r="M277" s="166"/>
      <c r="N277" s="166" t="str">
        <f t="shared" si="2799"/>
        <v xml:space="preserve"> </v>
      </c>
      <c r="O277" s="168" t="str">
        <f t="shared" si="2800"/>
        <v xml:space="preserve"> </v>
      </c>
      <c r="P277" s="168"/>
      <c r="Q277" s="166" t="str">
        <f t="shared" si="2801"/>
        <v xml:space="preserve"> </v>
      </c>
      <c r="R277" s="167">
        <f ca="1">+BDFUENTES[[#This Row],[PZ MED m3/día]]/3.6/BDFUENTES[[#This Row],[PZ MED Horas Activo]]</f>
        <v>0</v>
      </c>
      <c r="S277" s="167" t="str">
        <f t="shared" ca="1" si="2802"/>
        <v xml:space="preserve"> </v>
      </c>
      <c r="T277" s="168" t="str">
        <f t="shared" si="2803"/>
        <v xml:space="preserve"> </v>
      </c>
      <c r="U277" s="168"/>
      <c r="V277" s="165" t="str">
        <f t="shared" si="2804"/>
        <v xml:space="preserve"> </v>
      </c>
      <c r="W277" s="164" t="str">
        <f t="shared" si="2805"/>
        <v xml:space="preserve"> </v>
      </c>
      <c r="X277" s="166"/>
      <c r="Y277" s="168" t="str">
        <f t="shared" si="2806"/>
        <v xml:space="preserve"> </v>
      </c>
      <c r="Z277" s="168"/>
      <c r="AA277" s="166" t="str">
        <f t="shared" si="2807"/>
        <v xml:space="preserve"> </v>
      </c>
      <c r="AB277" s="168" t="str">
        <f t="shared" si="2808"/>
        <v xml:space="preserve"> </v>
      </c>
      <c r="AC277" s="168"/>
      <c r="AD277" s="171" t="str">
        <f t="shared" si="2809"/>
        <v xml:space="preserve"> </v>
      </c>
      <c r="AE277" s="167"/>
      <c r="AF277" s="165" t="str">
        <f t="shared" si="2810"/>
        <v xml:space="preserve"> </v>
      </c>
      <c r="AG277" s="168"/>
      <c r="AH277" s="168"/>
      <c r="AI277" s="166"/>
      <c r="AJ277" s="166"/>
      <c r="AK277" s="166" t="str">
        <f t="shared" si="2811"/>
        <v/>
      </c>
      <c r="AL277" s="167"/>
      <c r="AM277" s="171" t="str">
        <f t="shared" si="2812"/>
        <v xml:space="preserve"> </v>
      </c>
      <c r="AN277" s="168" t="str">
        <f t="shared" si="2813"/>
        <v xml:space="preserve"> </v>
      </c>
      <c r="AO277" s="168"/>
      <c r="AP277" s="167" t="str">
        <f t="shared" si="2814"/>
        <v xml:space="preserve"> </v>
      </c>
      <c r="AQ277" s="166"/>
      <c r="AR277" s="166" t="str">
        <f t="shared" si="2815"/>
        <v xml:space="preserve"> </v>
      </c>
      <c r="AS277" s="168" t="str">
        <f t="shared" si="2816"/>
        <v xml:space="preserve"> </v>
      </c>
      <c r="AT277" s="168"/>
      <c r="AU277" s="166" t="str">
        <f t="shared" si="2817"/>
        <v xml:space="preserve"> </v>
      </c>
      <c r="AV277" s="167"/>
      <c r="AW277" s="167"/>
      <c r="AX277" s="169" t="str">
        <f t="shared" si="2818"/>
        <v xml:space="preserve"> </v>
      </c>
      <c r="AY277" s="169"/>
      <c r="AZ277" s="167" t="str">
        <f t="shared" si="2819"/>
        <v xml:space="preserve"> </v>
      </c>
      <c r="BA277" s="166"/>
      <c r="BB277" s="166"/>
      <c r="BC277" s="168" t="str">
        <f t="shared" si="2820"/>
        <v xml:space="preserve"> </v>
      </c>
      <c r="BD277" s="168"/>
      <c r="BE277" s="166" t="str">
        <f t="shared" si="2821"/>
        <v xml:space="preserve"> </v>
      </c>
      <c r="BF277" s="167"/>
      <c r="BG277" s="167"/>
      <c r="BH277" s="168" t="str">
        <f t="shared" si="2822"/>
        <v xml:space="preserve"> </v>
      </c>
      <c r="BI277" s="168"/>
      <c r="BJ277" s="167" t="str">
        <f t="shared" si="2823"/>
        <v xml:space="preserve"> </v>
      </c>
      <c r="BK277" s="166"/>
      <c r="BL277" s="166" t="str">
        <f t="shared" si="2824"/>
        <v xml:space="preserve"> </v>
      </c>
      <c r="BM277" s="168" t="str">
        <f t="shared" si="2825"/>
        <v xml:space="preserve"> </v>
      </c>
      <c r="BN277" s="168"/>
      <c r="BO277" s="166" t="str">
        <f t="shared" si="2826"/>
        <v xml:space="preserve"> </v>
      </c>
    </row>
    <row r="278" spans="2:67" ht="15" customHeight="1" x14ac:dyDescent="0.25">
      <c r="B278" s="170">
        <v>46296</v>
      </c>
      <c r="C278" s="164"/>
      <c r="D278" s="166" t="str">
        <f t="shared" si="2793"/>
        <v xml:space="preserve"> </v>
      </c>
      <c r="E278" s="168" t="str">
        <f t="shared" si="2794"/>
        <v xml:space="preserve"> </v>
      </c>
      <c r="F278" s="168"/>
      <c r="G278" s="166" t="str">
        <f t="shared" si="2795"/>
        <v xml:space="preserve"> </v>
      </c>
      <c r="H278" s="167"/>
      <c r="I278" s="167" t="str">
        <f t="shared" si="2796"/>
        <v xml:space="preserve"> </v>
      </c>
      <c r="J278" s="168" t="str">
        <f t="shared" si="2797"/>
        <v xml:space="preserve"> </v>
      </c>
      <c r="K278" s="168"/>
      <c r="L278" s="167" t="str">
        <f t="shared" si="2798"/>
        <v xml:space="preserve"> </v>
      </c>
      <c r="M278" s="166"/>
      <c r="N278" s="166" t="str">
        <f t="shared" si="2799"/>
        <v xml:space="preserve"> </v>
      </c>
      <c r="O278" s="168" t="str">
        <f t="shared" si="2800"/>
        <v xml:space="preserve"> </v>
      </c>
      <c r="P278" s="168"/>
      <c r="Q278" s="166" t="str">
        <f t="shared" si="2801"/>
        <v xml:space="preserve"> </v>
      </c>
      <c r="R278" s="167">
        <f ca="1">+BDFUENTES[[#This Row],[PZ MED m3/día]]/3.6/BDFUENTES[[#This Row],[PZ MED Horas Activo]]</f>
        <v>0</v>
      </c>
      <c r="S278" s="167" t="str">
        <f t="shared" ca="1" si="2802"/>
        <v xml:space="preserve"> </v>
      </c>
      <c r="T278" s="168" t="str">
        <f t="shared" si="2803"/>
        <v xml:space="preserve"> </v>
      </c>
      <c r="U278" s="168"/>
      <c r="V278" s="165" t="str">
        <f t="shared" si="2804"/>
        <v xml:space="preserve"> </v>
      </c>
      <c r="W278" s="164" t="str">
        <f t="shared" si="2805"/>
        <v xml:space="preserve"> </v>
      </c>
      <c r="X278" s="166"/>
      <c r="Y278" s="168" t="str">
        <f t="shared" si="2806"/>
        <v xml:space="preserve"> </v>
      </c>
      <c r="Z278" s="168"/>
      <c r="AA278" s="166" t="str">
        <f t="shared" si="2807"/>
        <v xml:space="preserve"> </v>
      </c>
      <c r="AB278" s="168" t="str">
        <f t="shared" si="2808"/>
        <v xml:space="preserve"> </v>
      </c>
      <c r="AC278" s="168"/>
      <c r="AD278" s="171" t="str">
        <f t="shared" si="2809"/>
        <v xml:space="preserve"> </v>
      </c>
      <c r="AE278" s="167"/>
      <c r="AF278" s="165" t="str">
        <f t="shared" si="2810"/>
        <v xml:space="preserve"> </v>
      </c>
      <c r="AG278" s="168"/>
      <c r="AH278" s="168"/>
      <c r="AI278" s="166"/>
      <c r="AJ278" s="166"/>
      <c r="AK278" s="166" t="str">
        <f t="shared" si="2811"/>
        <v/>
      </c>
      <c r="AL278" s="167"/>
      <c r="AM278" s="171" t="str">
        <f t="shared" si="2812"/>
        <v xml:space="preserve"> </v>
      </c>
      <c r="AN278" s="168" t="str">
        <f t="shared" si="2813"/>
        <v xml:space="preserve"> </v>
      </c>
      <c r="AO278" s="168"/>
      <c r="AP278" s="167" t="str">
        <f t="shared" si="2814"/>
        <v xml:space="preserve"> </v>
      </c>
      <c r="AQ278" s="166"/>
      <c r="AR278" s="166" t="str">
        <f t="shared" si="2815"/>
        <v xml:space="preserve"> </v>
      </c>
      <c r="AS278" s="168" t="str">
        <f t="shared" si="2816"/>
        <v xml:space="preserve"> </v>
      </c>
      <c r="AT278" s="168"/>
      <c r="AU278" s="166" t="str">
        <f t="shared" si="2817"/>
        <v xml:space="preserve"> </v>
      </c>
      <c r="AV278" s="167"/>
      <c r="AW278" s="167"/>
      <c r="AX278" s="169" t="str">
        <f t="shared" si="2818"/>
        <v xml:space="preserve"> </v>
      </c>
      <c r="AY278" s="169"/>
      <c r="AZ278" s="167" t="str">
        <f t="shared" si="2819"/>
        <v xml:space="preserve"> </v>
      </c>
      <c r="BA278" s="166"/>
      <c r="BB278" s="166"/>
      <c r="BC278" s="168" t="str">
        <f t="shared" si="2820"/>
        <v xml:space="preserve"> </v>
      </c>
      <c r="BD278" s="168"/>
      <c r="BE278" s="166" t="str">
        <f t="shared" si="2821"/>
        <v xml:space="preserve"> </v>
      </c>
      <c r="BF278" s="167"/>
      <c r="BG278" s="167"/>
      <c r="BH278" s="168" t="str">
        <f t="shared" si="2822"/>
        <v xml:space="preserve"> </v>
      </c>
      <c r="BI278" s="168"/>
      <c r="BJ278" s="167" t="str">
        <f t="shared" si="2823"/>
        <v xml:space="preserve"> </v>
      </c>
      <c r="BK278" s="166"/>
      <c r="BL278" s="166" t="str">
        <f t="shared" si="2824"/>
        <v xml:space="preserve"> </v>
      </c>
      <c r="BM278" s="168" t="str">
        <f t="shared" si="2825"/>
        <v xml:space="preserve"> </v>
      </c>
      <c r="BN278" s="168"/>
      <c r="BO278" s="166" t="str">
        <f t="shared" si="2826"/>
        <v xml:space="preserve"> </v>
      </c>
    </row>
    <row r="279" spans="2:67" ht="15" customHeight="1" x14ac:dyDescent="0.25">
      <c r="B279" s="170">
        <v>46297</v>
      </c>
      <c r="C279" s="164"/>
      <c r="D279" s="166" t="str">
        <f t="shared" si="2793"/>
        <v xml:space="preserve"> </v>
      </c>
      <c r="E279" s="168" t="str">
        <f t="shared" si="2794"/>
        <v xml:space="preserve"> </v>
      </c>
      <c r="F279" s="168"/>
      <c r="G279" s="166" t="str">
        <f t="shared" si="2795"/>
        <v xml:space="preserve"> </v>
      </c>
      <c r="H279" s="167"/>
      <c r="I279" s="167" t="str">
        <f t="shared" si="2796"/>
        <v xml:space="preserve"> </v>
      </c>
      <c r="J279" s="168" t="str">
        <f t="shared" si="2797"/>
        <v xml:space="preserve"> </v>
      </c>
      <c r="K279" s="168"/>
      <c r="L279" s="167" t="str">
        <f t="shared" si="2798"/>
        <v xml:space="preserve"> </v>
      </c>
      <c r="M279" s="166"/>
      <c r="N279" s="166" t="str">
        <f t="shared" si="2799"/>
        <v xml:space="preserve"> </v>
      </c>
      <c r="O279" s="168" t="str">
        <f t="shared" si="2800"/>
        <v xml:space="preserve"> </v>
      </c>
      <c r="P279" s="168"/>
      <c r="Q279" s="166" t="str">
        <f t="shared" si="2801"/>
        <v xml:space="preserve"> </v>
      </c>
      <c r="R279" s="167">
        <f ca="1">+BDFUENTES[[#This Row],[PZ MED m3/día]]/3.6/BDFUENTES[[#This Row],[PZ MED Horas Activo]]</f>
        <v>0</v>
      </c>
      <c r="S279" s="167" t="str">
        <f t="shared" ca="1" si="2802"/>
        <v xml:space="preserve"> </v>
      </c>
      <c r="T279" s="168" t="str">
        <f t="shared" si="2803"/>
        <v xml:space="preserve"> </v>
      </c>
      <c r="U279" s="168"/>
      <c r="V279" s="165" t="str">
        <f t="shared" si="2804"/>
        <v xml:space="preserve"> </v>
      </c>
      <c r="W279" s="164" t="str">
        <f t="shared" si="2805"/>
        <v xml:space="preserve"> </v>
      </c>
      <c r="X279" s="166"/>
      <c r="Y279" s="168" t="str">
        <f t="shared" si="2806"/>
        <v xml:space="preserve"> </v>
      </c>
      <c r="Z279" s="168"/>
      <c r="AA279" s="166" t="str">
        <f t="shared" si="2807"/>
        <v xml:space="preserve"> </v>
      </c>
      <c r="AB279" s="168" t="str">
        <f t="shared" si="2808"/>
        <v xml:space="preserve"> </v>
      </c>
      <c r="AC279" s="168"/>
      <c r="AD279" s="171" t="str">
        <f t="shared" si="2809"/>
        <v xml:space="preserve"> </v>
      </c>
      <c r="AE279" s="167"/>
      <c r="AF279" s="165" t="str">
        <f t="shared" si="2810"/>
        <v xml:space="preserve"> </v>
      </c>
      <c r="AG279" s="168"/>
      <c r="AH279" s="168"/>
      <c r="AI279" s="166"/>
      <c r="AJ279" s="166"/>
      <c r="AK279" s="166" t="str">
        <f t="shared" si="2811"/>
        <v/>
      </c>
      <c r="AL279" s="167"/>
      <c r="AM279" s="171" t="str">
        <f t="shared" si="2812"/>
        <v xml:space="preserve"> </v>
      </c>
      <c r="AN279" s="168" t="str">
        <f t="shared" si="2813"/>
        <v xml:space="preserve"> </v>
      </c>
      <c r="AO279" s="168"/>
      <c r="AP279" s="167" t="str">
        <f t="shared" si="2814"/>
        <v xml:space="preserve"> </v>
      </c>
      <c r="AQ279" s="166"/>
      <c r="AR279" s="166" t="str">
        <f t="shared" si="2815"/>
        <v xml:space="preserve"> </v>
      </c>
      <c r="AS279" s="168" t="str">
        <f t="shared" si="2816"/>
        <v xml:space="preserve"> </v>
      </c>
      <c r="AT279" s="168"/>
      <c r="AU279" s="166" t="str">
        <f t="shared" si="2817"/>
        <v xml:space="preserve"> </v>
      </c>
      <c r="AV279" s="167"/>
      <c r="AW279" s="167"/>
      <c r="AX279" s="169" t="str">
        <f t="shared" si="2818"/>
        <v xml:space="preserve"> </v>
      </c>
      <c r="AY279" s="169"/>
      <c r="AZ279" s="167" t="str">
        <f t="shared" si="2819"/>
        <v xml:space="preserve"> </v>
      </c>
      <c r="BA279" s="166"/>
      <c r="BB279" s="166"/>
      <c r="BC279" s="168" t="str">
        <f t="shared" si="2820"/>
        <v xml:space="preserve"> </v>
      </c>
      <c r="BD279" s="168"/>
      <c r="BE279" s="166" t="str">
        <f t="shared" si="2821"/>
        <v xml:space="preserve"> </v>
      </c>
      <c r="BF279" s="167"/>
      <c r="BG279" s="167"/>
      <c r="BH279" s="168" t="str">
        <f t="shared" si="2822"/>
        <v xml:space="preserve"> </v>
      </c>
      <c r="BI279" s="168"/>
      <c r="BJ279" s="167" t="str">
        <f t="shared" si="2823"/>
        <v xml:space="preserve"> </v>
      </c>
      <c r="BK279" s="166"/>
      <c r="BL279" s="166" t="str">
        <f t="shared" si="2824"/>
        <v xml:space="preserve"> </v>
      </c>
      <c r="BM279" s="168" t="str">
        <f t="shared" si="2825"/>
        <v xml:space="preserve"> </v>
      </c>
      <c r="BN279" s="168"/>
      <c r="BO279" s="166" t="str">
        <f t="shared" si="2826"/>
        <v xml:space="preserve"> </v>
      </c>
    </row>
    <row r="280" spans="2:67" ht="15" customHeight="1" x14ac:dyDescent="0.25">
      <c r="B280" s="170">
        <v>46298</v>
      </c>
      <c r="C280" s="164"/>
      <c r="D280" s="166" t="str">
        <f t="shared" si="2793"/>
        <v xml:space="preserve"> </v>
      </c>
      <c r="E280" s="168" t="str">
        <f t="shared" si="2794"/>
        <v xml:space="preserve"> </v>
      </c>
      <c r="F280" s="168"/>
      <c r="G280" s="166" t="str">
        <f t="shared" si="2795"/>
        <v xml:space="preserve"> </v>
      </c>
      <c r="H280" s="167"/>
      <c r="I280" s="167" t="str">
        <f t="shared" si="2796"/>
        <v xml:space="preserve"> </v>
      </c>
      <c r="J280" s="168" t="str">
        <f t="shared" si="2797"/>
        <v xml:space="preserve"> </v>
      </c>
      <c r="K280" s="168"/>
      <c r="L280" s="167" t="str">
        <f t="shared" si="2798"/>
        <v xml:space="preserve"> </v>
      </c>
      <c r="M280" s="166"/>
      <c r="N280" s="166" t="str">
        <f t="shared" si="2799"/>
        <v xml:space="preserve"> </v>
      </c>
      <c r="O280" s="168" t="str">
        <f t="shared" si="2800"/>
        <v xml:space="preserve"> </v>
      </c>
      <c r="P280" s="168"/>
      <c r="Q280" s="166" t="str">
        <f t="shared" si="2801"/>
        <v xml:space="preserve"> </v>
      </c>
      <c r="R280" s="167">
        <f ca="1">+BDFUENTES[[#This Row],[PZ MED m3/día]]/3.6/BDFUENTES[[#This Row],[PZ MED Horas Activo]]</f>
        <v>0</v>
      </c>
      <c r="S280" s="167" t="str">
        <f t="shared" ca="1" si="2802"/>
        <v xml:space="preserve"> </v>
      </c>
      <c r="T280" s="168" t="str">
        <f t="shared" si="2803"/>
        <v xml:space="preserve"> </v>
      </c>
      <c r="U280" s="168"/>
      <c r="V280" s="165" t="str">
        <f t="shared" si="2804"/>
        <v xml:space="preserve"> </v>
      </c>
      <c r="W280" s="164" t="str">
        <f t="shared" si="2805"/>
        <v xml:space="preserve"> </v>
      </c>
      <c r="X280" s="166"/>
      <c r="Y280" s="168" t="str">
        <f t="shared" si="2806"/>
        <v xml:space="preserve"> </v>
      </c>
      <c r="Z280" s="168"/>
      <c r="AA280" s="166" t="str">
        <f t="shared" si="2807"/>
        <v xml:space="preserve"> </v>
      </c>
      <c r="AB280" s="168" t="str">
        <f t="shared" si="2808"/>
        <v xml:space="preserve"> </v>
      </c>
      <c r="AC280" s="168"/>
      <c r="AD280" s="171" t="str">
        <f t="shared" si="2809"/>
        <v xml:space="preserve"> </v>
      </c>
      <c r="AE280" s="167"/>
      <c r="AF280" s="165" t="str">
        <f t="shared" si="2810"/>
        <v xml:space="preserve"> </v>
      </c>
      <c r="AG280" s="168"/>
      <c r="AH280" s="168"/>
      <c r="AI280" s="166"/>
      <c r="AJ280" s="166"/>
      <c r="AK280" s="166" t="str">
        <f t="shared" si="2811"/>
        <v/>
      </c>
      <c r="AL280" s="167"/>
      <c r="AM280" s="171" t="str">
        <f t="shared" si="2812"/>
        <v xml:space="preserve"> </v>
      </c>
      <c r="AN280" s="168" t="str">
        <f t="shared" si="2813"/>
        <v xml:space="preserve"> </v>
      </c>
      <c r="AO280" s="168"/>
      <c r="AP280" s="167" t="str">
        <f t="shared" si="2814"/>
        <v xml:space="preserve"> </v>
      </c>
      <c r="AQ280" s="166"/>
      <c r="AR280" s="166" t="str">
        <f t="shared" si="2815"/>
        <v xml:space="preserve"> </v>
      </c>
      <c r="AS280" s="168" t="str">
        <f t="shared" si="2816"/>
        <v xml:space="preserve"> </v>
      </c>
      <c r="AT280" s="168"/>
      <c r="AU280" s="166" t="str">
        <f t="shared" si="2817"/>
        <v xml:space="preserve"> </v>
      </c>
      <c r="AV280" s="167"/>
      <c r="AW280" s="167"/>
      <c r="AX280" s="169" t="str">
        <f t="shared" si="2818"/>
        <v xml:space="preserve"> </v>
      </c>
      <c r="AY280" s="169"/>
      <c r="AZ280" s="167" t="str">
        <f t="shared" si="2819"/>
        <v xml:space="preserve"> </v>
      </c>
      <c r="BA280" s="166"/>
      <c r="BB280" s="166"/>
      <c r="BC280" s="168" t="str">
        <f t="shared" si="2820"/>
        <v xml:space="preserve"> </v>
      </c>
      <c r="BD280" s="168"/>
      <c r="BE280" s="166" t="str">
        <f t="shared" si="2821"/>
        <v xml:space="preserve"> </v>
      </c>
      <c r="BF280" s="167"/>
      <c r="BG280" s="167"/>
      <c r="BH280" s="168" t="str">
        <f t="shared" si="2822"/>
        <v xml:space="preserve"> </v>
      </c>
      <c r="BI280" s="168"/>
      <c r="BJ280" s="167" t="str">
        <f t="shared" si="2823"/>
        <v xml:space="preserve"> </v>
      </c>
      <c r="BK280" s="166"/>
      <c r="BL280" s="166" t="str">
        <f t="shared" si="2824"/>
        <v xml:space="preserve"> </v>
      </c>
      <c r="BM280" s="168" t="str">
        <f t="shared" si="2825"/>
        <v xml:space="preserve"> </v>
      </c>
      <c r="BN280" s="168"/>
      <c r="BO280" s="166" t="str">
        <f t="shared" si="2826"/>
        <v xml:space="preserve"> </v>
      </c>
    </row>
    <row r="281" spans="2:67" ht="15" customHeight="1" x14ac:dyDescent="0.25">
      <c r="B281" s="170">
        <v>46299</v>
      </c>
      <c r="C281" s="164"/>
      <c r="D281" s="166" t="str">
        <f t="shared" si="2793"/>
        <v xml:space="preserve"> </v>
      </c>
      <c r="E281" s="168" t="str">
        <f t="shared" si="2794"/>
        <v xml:space="preserve"> </v>
      </c>
      <c r="F281" s="168"/>
      <c r="G281" s="166" t="str">
        <f t="shared" si="2795"/>
        <v xml:space="preserve"> </v>
      </c>
      <c r="H281" s="167"/>
      <c r="I281" s="167" t="str">
        <f t="shared" si="2796"/>
        <v xml:space="preserve"> </v>
      </c>
      <c r="J281" s="168" t="str">
        <f t="shared" si="2797"/>
        <v xml:space="preserve"> </v>
      </c>
      <c r="K281" s="168"/>
      <c r="L281" s="167" t="str">
        <f t="shared" si="2798"/>
        <v xml:space="preserve"> </v>
      </c>
      <c r="M281" s="166"/>
      <c r="N281" s="166" t="str">
        <f t="shared" si="2799"/>
        <v xml:space="preserve"> </v>
      </c>
      <c r="O281" s="168" t="str">
        <f t="shared" si="2800"/>
        <v xml:space="preserve"> </v>
      </c>
      <c r="P281" s="168"/>
      <c r="Q281" s="166" t="str">
        <f t="shared" si="2801"/>
        <v xml:space="preserve"> </v>
      </c>
      <c r="R281" s="167">
        <f ca="1">+BDFUENTES[[#This Row],[PZ MED m3/día]]/3.6/BDFUENTES[[#This Row],[PZ MED Horas Activo]]</f>
        <v>0</v>
      </c>
      <c r="S281" s="167" t="str">
        <f t="shared" ca="1" si="2802"/>
        <v xml:space="preserve"> </v>
      </c>
      <c r="T281" s="168" t="str">
        <f t="shared" si="2803"/>
        <v xml:space="preserve"> </v>
      </c>
      <c r="U281" s="168"/>
      <c r="V281" s="165" t="str">
        <f t="shared" si="2804"/>
        <v xml:space="preserve"> </v>
      </c>
      <c r="W281" s="164" t="str">
        <f t="shared" si="2805"/>
        <v xml:space="preserve"> </v>
      </c>
      <c r="X281" s="166"/>
      <c r="Y281" s="168" t="str">
        <f t="shared" si="2806"/>
        <v xml:space="preserve"> </v>
      </c>
      <c r="Z281" s="168"/>
      <c r="AA281" s="166" t="str">
        <f t="shared" si="2807"/>
        <v xml:space="preserve"> </v>
      </c>
      <c r="AB281" s="168" t="str">
        <f t="shared" si="2808"/>
        <v xml:space="preserve"> </v>
      </c>
      <c r="AC281" s="168"/>
      <c r="AD281" s="171" t="str">
        <f t="shared" si="2809"/>
        <v xml:space="preserve"> </v>
      </c>
      <c r="AE281" s="167"/>
      <c r="AF281" s="165" t="str">
        <f t="shared" si="2810"/>
        <v xml:space="preserve"> </v>
      </c>
      <c r="AG281" s="168"/>
      <c r="AH281" s="168"/>
      <c r="AI281" s="166"/>
      <c r="AJ281" s="166"/>
      <c r="AK281" s="166" t="str">
        <f t="shared" si="2811"/>
        <v/>
      </c>
      <c r="AL281" s="167"/>
      <c r="AM281" s="171" t="str">
        <f t="shared" si="2812"/>
        <v xml:space="preserve"> </v>
      </c>
      <c r="AN281" s="168" t="str">
        <f t="shared" si="2813"/>
        <v xml:space="preserve"> </v>
      </c>
      <c r="AO281" s="168"/>
      <c r="AP281" s="167" t="str">
        <f t="shared" si="2814"/>
        <v xml:space="preserve"> </v>
      </c>
      <c r="AQ281" s="166"/>
      <c r="AR281" s="166" t="str">
        <f t="shared" si="2815"/>
        <v xml:space="preserve"> </v>
      </c>
      <c r="AS281" s="168" t="str">
        <f t="shared" si="2816"/>
        <v xml:space="preserve"> </v>
      </c>
      <c r="AT281" s="168"/>
      <c r="AU281" s="166" t="str">
        <f t="shared" si="2817"/>
        <v xml:space="preserve"> </v>
      </c>
      <c r="AV281" s="167"/>
      <c r="AW281" s="167"/>
      <c r="AX281" s="169" t="str">
        <f t="shared" si="2818"/>
        <v xml:space="preserve"> </v>
      </c>
      <c r="AY281" s="169"/>
      <c r="AZ281" s="167" t="str">
        <f t="shared" si="2819"/>
        <v xml:space="preserve"> </v>
      </c>
      <c r="BA281" s="166"/>
      <c r="BB281" s="166"/>
      <c r="BC281" s="168" t="str">
        <f t="shared" si="2820"/>
        <v xml:space="preserve"> </v>
      </c>
      <c r="BD281" s="168"/>
      <c r="BE281" s="166" t="str">
        <f t="shared" si="2821"/>
        <v xml:space="preserve"> </v>
      </c>
      <c r="BF281" s="167"/>
      <c r="BG281" s="167"/>
      <c r="BH281" s="168" t="str">
        <f t="shared" si="2822"/>
        <v xml:space="preserve"> </v>
      </c>
      <c r="BI281" s="168"/>
      <c r="BJ281" s="167" t="str">
        <f t="shared" si="2823"/>
        <v xml:space="preserve"> </v>
      </c>
      <c r="BK281" s="166"/>
      <c r="BL281" s="166" t="str">
        <f t="shared" si="2824"/>
        <v xml:space="preserve"> </v>
      </c>
      <c r="BM281" s="168" t="str">
        <f t="shared" si="2825"/>
        <v xml:space="preserve"> </v>
      </c>
      <c r="BN281" s="168"/>
      <c r="BO281" s="166" t="str">
        <f t="shared" si="2826"/>
        <v xml:space="preserve"> </v>
      </c>
    </row>
    <row r="282" spans="2:67" ht="15" customHeight="1" x14ac:dyDescent="0.25">
      <c r="B282" s="170">
        <v>46300</v>
      </c>
      <c r="C282" s="164"/>
      <c r="D282" s="166" t="str">
        <f t="shared" si="2793"/>
        <v xml:space="preserve"> </v>
      </c>
      <c r="E282" s="168" t="str">
        <f t="shared" si="2794"/>
        <v xml:space="preserve"> </v>
      </c>
      <c r="F282" s="168"/>
      <c r="G282" s="166" t="str">
        <f t="shared" si="2795"/>
        <v xml:space="preserve"> </v>
      </c>
      <c r="H282" s="167"/>
      <c r="I282" s="167" t="str">
        <f t="shared" si="2796"/>
        <v xml:space="preserve"> </v>
      </c>
      <c r="J282" s="168" t="str">
        <f t="shared" si="2797"/>
        <v xml:space="preserve"> </v>
      </c>
      <c r="K282" s="168"/>
      <c r="L282" s="167" t="str">
        <f t="shared" si="2798"/>
        <v xml:space="preserve"> </v>
      </c>
      <c r="M282" s="166"/>
      <c r="N282" s="166" t="str">
        <f t="shared" si="2799"/>
        <v xml:space="preserve"> </v>
      </c>
      <c r="O282" s="168" t="str">
        <f t="shared" si="2800"/>
        <v xml:space="preserve"> </v>
      </c>
      <c r="P282" s="168"/>
      <c r="Q282" s="166" t="str">
        <f t="shared" si="2801"/>
        <v xml:space="preserve"> </v>
      </c>
      <c r="R282" s="167">
        <f ca="1">+BDFUENTES[[#This Row],[PZ MED m3/día]]/3.6/BDFUENTES[[#This Row],[PZ MED Horas Activo]]</f>
        <v>0</v>
      </c>
      <c r="S282" s="167" t="str">
        <f t="shared" ca="1" si="2802"/>
        <v xml:space="preserve"> </v>
      </c>
      <c r="T282" s="168" t="str">
        <f t="shared" si="2803"/>
        <v xml:space="preserve"> </v>
      </c>
      <c r="U282" s="168"/>
      <c r="V282" s="165" t="str">
        <f t="shared" si="2804"/>
        <v xml:space="preserve"> </v>
      </c>
      <c r="W282" s="164" t="str">
        <f t="shared" si="2805"/>
        <v xml:space="preserve"> </v>
      </c>
      <c r="X282" s="166"/>
      <c r="Y282" s="168" t="str">
        <f t="shared" si="2806"/>
        <v xml:space="preserve"> </v>
      </c>
      <c r="Z282" s="168"/>
      <c r="AA282" s="166" t="str">
        <f t="shared" si="2807"/>
        <v xml:space="preserve"> </v>
      </c>
      <c r="AB282" s="168" t="str">
        <f t="shared" si="2808"/>
        <v xml:space="preserve"> </v>
      </c>
      <c r="AC282" s="168"/>
      <c r="AD282" s="171" t="str">
        <f t="shared" si="2809"/>
        <v xml:space="preserve"> </v>
      </c>
      <c r="AE282" s="167"/>
      <c r="AF282" s="165" t="str">
        <f t="shared" si="2810"/>
        <v xml:space="preserve"> </v>
      </c>
      <c r="AG282" s="168"/>
      <c r="AH282" s="168"/>
      <c r="AI282" s="166"/>
      <c r="AJ282" s="166"/>
      <c r="AK282" s="166" t="str">
        <f t="shared" si="2811"/>
        <v/>
      </c>
      <c r="AL282" s="167"/>
      <c r="AM282" s="171" t="str">
        <f t="shared" si="2812"/>
        <v xml:space="preserve"> </v>
      </c>
      <c r="AN282" s="168" t="str">
        <f t="shared" si="2813"/>
        <v xml:space="preserve"> </v>
      </c>
      <c r="AO282" s="168"/>
      <c r="AP282" s="167" t="str">
        <f t="shared" si="2814"/>
        <v xml:space="preserve"> </v>
      </c>
      <c r="AQ282" s="166"/>
      <c r="AR282" s="166" t="str">
        <f t="shared" si="2815"/>
        <v xml:space="preserve"> </v>
      </c>
      <c r="AS282" s="168" t="str">
        <f t="shared" si="2816"/>
        <v xml:space="preserve"> </v>
      </c>
      <c r="AT282" s="168"/>
      <c r="AU282" s="166" t="str">
        <f t="shared" si="2817"/>
        <v xml:space="preserve"> </v>
      </c>
      <c r="AV282" s="167"/>
      <c r="AW282" s="167"/>
      <c r="AX282" s="169" t="str">
        <f t="shared" si="2818"/>
        <v xml:space="preserve"> </v>
      </c>
      <c r="AY282" s="169"/>
      <c r="AZ282" s="167" t="str">
        <f t="shared" si="2819"/>
        <v xml:space="preserve"> </v>
      </c>
      <c r="BA282" s="166"/>
      <c r="BB282" s="166"/>
      <c r="BC282" s="168" t="str">
        <f t="shared" si="2820"/>
        <v xml:space="preserve"> </v>
      </c>
      <c r="BD282" s="168"/>
      <c r="BE282" s="166" t="str">
        <f t="shared" si="2821"/>
        <v xml:space="preserve"> </v>
      </c>
      <c r="BF282" s="167"/>
      <c r="BG282" s="167"/>
      <c r="BH282" s="168" t="str">
        <f t="shared" si="2822"/>
        <v xml:space="preserve"> </v>
      </c>
      <c r="BI282" s="168"/>
      <c r="BJ282" s="167" t="str">
        <f t="shared" si="2823"/>
        <v xml:space="preserve"> </v>
      </c>
      <c r="BK282" s="166"/>
      <c r="BL282" s="166" t="str">
        <f t="shared" si="2824"/>
        <v xml:space="preserve"> </v>
      </c>
      <c r="BM282" s="168" t="str">
        <f t="shared" si="2825"/>
        <v xml:space="preserve"> </v>
      </c>
      <c r="BN282" s="168"/>
      <c r="BO282" s="166" t="str">
        <f t="shared" si="2826"/>
        <v xml:space="preserve"> </v>
      </c>
    </row>
    <row r="283" spans="2:67" ht="15" customHeight="1" x14ac:dyDescent="0.25">
      <c r="B283" s="170">
        <v>46301</v>
      </c>
      <c r="C283" s="164"/>
      <c r="D283" s="166" t="str">
        <f t="shared" si="2793"/>
        <v xml:space="preserve"> </v>
      </c>
      <c r="E283" s="168" t="str">
        <f t="shared" si="2794"/>
        <v xml:space="preserve"> </v>
      </c>
      <c r="F283" s="168"/>
      <c r="G283" s="166" t="str">
        <f t="shared" si="2795"/>
        <v xml:space="preserve"> </v>
      </c>
      <c r="H283" s="167"/>
      <c r="I283" s="167" t="str">
        <f t="shared" si="2796"/>
        <v xml:space="preserve"> </v>
      </c>
      <c r="J283" s="168" t="str">
        <f t="shared" si="2797"/>
        <v xml:space="preserve"> </v>
      </c>
      <c r="K283" s="168"/>
      <c r="L283" s="167" t="str">
        <f t="shared" si="2798"/>
        <v xml:space="preserve"> </v>
      </c>
      <c r="M283" s="166"/>
      <c r="N283" s="166" t="str">
        <f t="shared" si="2799"/>
        <v xml:space="preserve"> </v>
      </c>
      <c r="O283" s="168" t="str">
        <f t="shared" si="2800"/>
        <v xml:space="preserve"> </v>
      </c>
      <c r="P283" s="168"/>
      <c r="Q283" s="166" t="str">
        <f t="shared" si="2801"/>
        <v xml:space="preserve"> </v>
      </c>
      <c r="R283" s="167">
        <f ca="1">+BDFUENTES[[#This Row],[PZ MED m3/día]]/3.6/BDFUENTES[[#This Row],[PZ MED Horas Activo]]</f>
        <v>0</v>
      </c>
      <c r="S283" s="167" t="str">
        <f t="shared" ca="1" si="2802"/>
        <v xml:space="preserve"> </v>
      </c>
      <c r="T283" s="168" t="str">
        <f t="shared" si="2803"/>
        <v xml:space="preserve"> </v>
      </c>
      <c r="U283" s="168"/>
      <c r="V283" s="165" t="str">
        <f t="shared" si="2804"/>
        <v xml:space="preserve"> </v>
      </c>
      <c r="W283" s="164" t="str">
        <f t="shared" si="2805"/>
        <v xml:space="preserve"> </v>
      </c>
      <c r="X283" s="166"/>
      <c r="Y283" s="168" t="str">
        <f t="shared" si="2806"/>
        <v xml:space="preserve"> </v>
      </c>
      <c r="Z283" s="168"/>
      <c r="AA283" s="166" t="str">
        <f t="shared" si="2807"/>
        <v xml:space="preserve"> </v>
      </c>
      <c r="AB283" s="168" t="str">
        <f t="shared" si="2808"/>
        <v xml:space="preserve"> </v>
      </c>
      <c r="AC283" s="168"/>
      <c r="AD283" s="171" t="str">
        <f t="shared" si="2809"/>
        <v xml:space="preserve"> </v>
      </c>
      <c r="AE283" s="167"/>
      <c r="AF283" s="165" t="str">
        <f t="shared" si="2810"/>
        <v xml:space="preserve"> </v>
      </c>
      <c r="AG283" s="168"/>
      <c r="AH283" s="168"/>
      <c r="AI283" s="166"/>
      <c r="AJ283" s="166"/>
      <c r="AK283" s="166" t="str">
        <f t="shared" si="2811"/>
        <v/>
      </c>
      <c r="AL283" s="167"/>
      <c r="AM283" s="171" t="str">
        <f t="shared" si="2812"/>
        <v xml:space="preserve"> </v>
      </c>
      <c r="AN283" s="168" t="str">
        <f t="shared" si="2813"/>
        <v xml:space="preserve"> </v>
      </c>
      <c r="AO283" s="168"/>
      <c r="AP283" s="167" t="str">
        <f t="shared" si="2814"/>
        <v xml:space="preserve"> </v>
      </c>
      <c r="AQ283" s="166"/>
      <c r="AR283" s="166" t="str">
        <f t="shared" si="2815"/>
        <v xml:space="preserve"> </v>
      </c>
      <c r="AS283" s="168" t="str">
        <f t="shared" si="2816"/>
        <v xml:space="preserve"> </v>
      </c>
      <c r="AT283" s="168"/>
      <c r="AU283" s="166" t="str">
        <f t="shared" si="2817"/>
        <v xml:space="preserve"> </v>
      </c>
      <c r="AV283" s="167"/>
      <c r="AW283" s="167"/>
      <c r="AX283" s="169" t="str">
        <f t="shared" si="2818"/>
        <v xml:space="preserve"> </v>
      </c>
      <c r="AY283" s="169"/>
      <c r="AZ283" s="167" t="str">
        <f t="shared" si="2819"/>
        <v xml:space="preserve"> </v>
      </c>
      <c r="BA283" s="166"/>
      <c r="BB283" s="166"/>
      <c r="BC283" s="168" t="str">
        <f t="shared" si="2820"/>
        <v xml:space="preserve"> </v>
      </c>
      <c r="BD283" s="168"/>
      <c r="BE283" s="166" t="str">
        <f t="shared" si="2821"/>
        <v xml:space="preserve"> </v>
      </c>
      <c r="BF283" s="167"/>
      <c r="BG283" s="167"/>
      <c r="BH283" s="168" t="str">
        <f t="shared" si="2822"/>
        <v xml:space="preserve"> </v>
      </c>
      <c r="BI283" s="168"/>
      <c r="BJ283" s="167" t="str">
        <f t="shared" si="2823"/>
        <v xml:space="preserve"> </v>
      </c>
      <c r="BK283" s="166"/>
      <c r="BL283" s="166" t="str">
        <f t="shared" si="2824"/>
        <v xml:space="preserve"> </v>
      </c>
      <c r="BM283" s="168" t="str">
        <f t="shared" si="2825"/>
        <v xml:space="preserve"> </v>
      </c>
      <c r="BN283" s="168"/>
      <c r="BO283" s="166" t="str">
        <f t="shared" si="2826"/>
        <v xml:space="preserve"> </v>
      </c>
    </row>
    <row r="284" spans="2:67" ht="15" customHeight="1" x14ac:dyDescent="0.25">
      <c r="B284" s="170">
        <v>46302</v>
      </c>
      <c r="C284" s="164"/>
      <c r="D284" s="166" t="str">
        <f t="shared" si="2793"/>
        <v xml:space="preserve"> </v>
      </c>
      <c r="E284" s="168" t="str">
        <f t="shared" si="2794"/>
        <v xml:space="preserve"> </v>
      </c>
      <c r="F284" s="168"/>
      <c r="G284" s="166" t="str">
        <f t="shared" si="2795"/>
        <v xml:space="preserve"> </v>
      </c>
      <c r="H284" s="167"/>
      <c r="I284" s="167" t="str">
        <f t="shared" si="2796"/>
        <v xml:space="preserve"> </v>
      </c>
      <c r="J284" s="168" t="str">
        <f t="shared" si="2797"/>
        <v xml:space="preserve"> </v>
      </c>
      <c r="K284" s="168"/>
      <c r="L284" s="167" t="str">
        <f t="shared" si="2798"/>
        <v xml:space="preserve"> </v>
      </c>
      <c r="M284" s="166"/>
      <c r="N284" s="166" t="str">
        <f t="shared" si="2799"/>
        <v xml:space="preserve"> </v>
      </c>
      <c r="O284" s="168" t="str">
        <f t="shared" si="2800"/>
        <v xml:space="preserve"> </v>
      </c>
      <c r="P284" s="168"/>
      <c r="Q284" s="166" t="str">
        <f t="shared" si="2801"/>
        <v xml:space="preserve"> </v>
      </c>
      <c r="R284" s="167">
        <f ca="1">+BDFUENTES[[#This Row],[PZ MED m3/día]]/3.6/BDFUENTES[[#This Row],[PZ MED Horas Activo]]</f>
        <v>0</v>
      </c>
      <c r="S284" s="167" t="str">
        <f t="shared" ca="1" si="2802"/>
        <v xml:space="preserve"> </v>
      </c>
      <c r="T284" s="168" t="str">
        <f t="shared" si="2803"/>
        <v xml:space="preserve"> </v>
      </c>
      <c r="U284" s="168"/>
      <c r="V284" s="165" t="str">
        <f t="shared" si="2804"/>
        <v xml:space="preserve"> </v>
      </c>
      <c r="W284" s="164" t="str">
        <f t="shared" si="2805"/>
        <v xml:space="preserve"> </v>
      </c>
      <c r="X284" s="166"/>
      <c r="Y284" s="168" t="str">
        <f t="shared" si="2806"/>
        <v xml:space="preserve"> </v>
      </c>
      <c r="Z284" s="168"/>
      <c r="AA284" s="166" t="str">
        <f t="shared" si="2807"/>
        <v xml:space="preserve"> </v>
      </c>
      <c r="AB284" s="168" t="str">
        <f t="shared" si="2808"/>
        <v xml:space="preserve"> </v>
      </c>
      <c r="AC284" s="168"/>
      <c r="AD284" s="171" t="str">
        <f t="shared" si="2809"/>
        <v xml:space="preserve"> </v>
      </c>
      <c r="AE284" s="167"/>
      <c r="AF284" s="165" t="str">
        <f t="shared" si="2810"/>
        <v xml:space="preserve"> </v>
      </c>
      <c r="AG284" s="168"/>
      <c r="AH284" s="168"/>
      <c r="AI284" s="166"/>
      <c r="AJ284" s="166"/>
      <c r="AK284" s="166" t="str">
        <f t="shared" si="2811"/>
        <v/>
      </c>
      <c r="AL284" s="167"/>
      <c r="AM284" s="171" t="str">
        <f t="shared" si="2812"/>
        <v xml:space="preserve"> </v>
      </c>
      <c r="AN284" s="168" t="str">
        <f t="shared" si="2813"/>
        <v xml:space="preserve"> </v>
      </c>
      <c r="AO284" s="168"/>
      <c r="AP284" s="167" t="str">
        <f t="shared" si="2814"/>
        <v xml:space="preserve"> </v>
      </c>
      <c r="AQ284" s="166"/>
      <c r="AR284" s="166" t="str">
        <f t="shared" si="2815"/>
        <v xml:space="preserve"> </v>
      </c>
      <c r="AS284" s="168" t="str">
        <f t="shared" si="2816"/>
        <v xml:space="preserve"> </v>
      </c>
      <c r="AT284" s="168"/>
      <c r="AU284" s="166" t="str">
        <f t="shared" si="2817"/>
        <v xml:space="preserve"> </v>
      </c>
      <c r="AV284" s="167"/>
      <c r="AW284" s="167"/>
      <c r="AX284" s="169" t="str">
        <f t="shared" si="2818"/>
        <v xml:space="preserve"> </v>
      </c>
      <c r="AY284" s="169"/>
      <c r="AZ284" s="167" t="str">
        <f t="shared" si="2819"/>
        <v xml:space="preserve"> </v>
      </c>
      <c r="BA284" s="166"/>
      <c r="BB284" s="166"/>
      <c r="BC284" s="168" t="str">
        <f t="shared" si="2820"/>
        <v xml:space="preserve"> </v>
      </c>
      <c r="BD284" s="168"/>
      <c r="BE284" s="166" t="str">
        <f t="shared" si="2821"/>
        <v xml:space="preserve"> </v>
      </c>
      <c r="BF284" s="167"/>
      <c r="BG284" s="167"/>
      <c r="BH284" s="168" t="str">
        <f t="shared" si="2822"/>
        <v xml:space="preserve"> </v>
      </c>
      <c r="BI284" s="168"/>
      <c r="BJ284" s="167" t="str">
        <f t="shared" si="2823"/>
        <v xml:space="preserve"> </v>
      </c>
      <c r="BK284" s="166"/>
      <c r="BL284" s="166" t="str">
        <f t="shared" si="2824"/>
        <v xml:space="preserve"> </v>
      </c>
      <c r="BM284" s="168" t="str">
        <f t="shared" si="2825"/>
        <v xml:space="preserve"> </v>
      </c>
      <c r="BN284" s="168"/>
      <c r="BO284" s="166" t="str">
        <f t="shared" si="2826"/>
        <v xml:space="preserve"> </v>
      </c>
    </row>
    <row r="285" spans="2:67" ht="15" customHeight="1" x14ac:dyDescent="0.25">
      <c r="B285" s="170">
        <v>46303</v>
      </c>
      <c r="C285" s="164"/>
      <c r="D285" s="166" t="str">
        <f t="shared" si="2793"/>
        <v xml:space="preserve"> </v>
      </c>
      <c r="E285" s="168" t="str">
        <f t="shared" si="2794"/>
        <v xml:space="preserve"> </v>
      </c>
      <c r="F285" s="168"/>
      <c r="G285" s="166" t="str">
        <f t="shared" si="2795"/>
        <v xml:space="preserve"> </v>
      </c>
      <c r="H285" s="167"/>
      <c r="I285" s="167" t="str">
        <f t="shared" si="2796"/>
        <v xml:space="preserve"> </v>
      </c>
      <c r="J285" s="168" t="str">
        <f t="shared" si="2797"/>
        <v xml:space="preserve"> </v>
      </c>
      <c r="K285" s="168"/>
      <c r="L285" s="167" t="str">
        <f t="shared" si="2798"/>
        <v xml:space="preserve"> </v>
      </c>
      <c r="M285" s="166"/>
      <c r="N285" s="166" t="str">
        <f t="shared" si="2799"/>
        <v xml:space="preserve"> </v>
      </c>
      <c r="O285" s="168" t="str">
        <f t="shared" si="2800"/>
        <v xml:space="preserve"> </v>
      </c>
      <c r="P285" s="168"/>
      <c r="Q285" s="166" t="str">
        <f t="shared" si="2801"/>
        <v xml:space="preserve"> </v>
      </c>
      <c r="R285" s="167">
        <f ca="1">+BDFUENTES[[#This Row],[PZ MED m3/día]]/3.6/BDFUENTES[[#This Row],[PZ MED Horas Activo]]</f>
        <v>0</v>
      </c>
      <c r="S285" s="167" t="str">
        <f t="shared" ca="1" si="2802"/>
        <v xml:space="preserve"> </v>
      </c>
      <c r="T285" s="168" t="str">
        <f t="shared" si="2803"/>
        <v xml:space="preserve"> </v>
      </c>
      <c r="U285" s="168"/>
      <c r="V285" s="165" t="str">
        <f t="shared" si="2804"/>
        <v xml:space="preserve"> </v>
      </c>
      <c r="W285" s="164" t="str">
        <f t="shared" si="2805"/>
        <v xml:space="preserve"> </v>
      </c>
      <c r="X285" s="166"/>
      <c r="Y285" s="168" t="str">
        <f t="shared" si="2806"/>
        <v xml:space="preserve"> </v>
      </c>
      <c r="Z285" s="168"/>
      <c r="AA285" s="166" t="str">
        <f t="shared" si="2807"/>
        <v xml:space="preserve"> </v>
      </c>
      <c r="AB285" s="168" t="str">
        <f t="shared" si="2808"/>
        <v xml:space="preserve"> </v>
      </c>
      <c r="AC285" s="168"/>
      <c r="AD285" s="171" t="str">
        <f t="shared" si="2809"/>
        <v xml:space="preserve"> </v>
      </c>
      <c r="AE285" s="167"/>
      <c r="AF285" s="165" t="str">
        <f t="shared" si="2810"/>
        <v xml:space="preserve"> </v>
      </c>
      <c r="AG285" s="168"/>
      <c r="AH285" s="168"/>
      <c r="AI285" s="166"/>
      <c r="AJ285" s="166"/>
      <c r="AK285" s="166" t="str">
        <f t="shared" si="2811"/>
        <v/>
      </c>
      <c r="AL285" s="167"/>
      <c r="AM285" s="171" t="str">
        <f t="shared" si="2812"/>
        <v xml:space="preserve"> </v>
      </c>
      <c r="AN285" s="168" t="str">
        <f t="shared" si="2813"/>
        <v xml:space="preserve"> </v>
      </c>
      <c r="AO285" s="168"/>
      <c r="AP285" s="167" t="str">
        <f t="shared" si="2814"/>
        <v xml:space="preserve"> </v>
      </c>
      <c r="AQ285" s="166"/>
      <c r="AR285" s="166" t="str">
        <f t="shared" si="2815"/>
        <v xml:space="preserve"> </v>
      </c>
      <c r="AS285" s="168" t="str">
        <f t="shared" si="2816"/>
        <v xml:space="preserve"> </v>
      </c>
      <c r="AT285" s="168"/>
      <c r="AU285" s="166" t="str">
        <f t="shared" si="2817"/>
        <v xml:space="preserve"> </v>
      </c>
      <c r="AV285" s="167"/>
      <c r="AW285" s="167"/>
      <c r="AX285" s="169" t="str">
        <f t="shared" si="2818"/>
        <v xml:space="preserve"> </v>
      </c>
      <c r="AY285" s="169"/>
      <c r="AZ285" s="167" t="str">
        <f t="shared" si="2819"/>
        <v xml:space="preserve"> </v>
      </c>
      <c r="BA285" s="166"/>
      <c r="BB285" s="166"/>
      <c r="BC285" s="168" t="str">
        <f t="shared" si="2820"/>
        <v xml:space="preserve"> </v>
      </c>
      <c r="BD285" s="168"/>
      <c r="BE285" s="166" t="str">
        <f t="shared" si="2821"/>
        <v xml:space="preserve"> </v>
      </c>
      <c r="BF285" s="167"/>
      <c r="BG285" s="167"/>
      <c r="BH285" s="168" t="str">
        <f t="shared" si="2822"/>
        <v xml:space="preserve"> </v>
      </c>
      <c r="BI285" s="168"/>
      <c r="BJ285" s="167" t="str">
        <f t="shared" si="2823"/>
        <v xml:space="preserve"> </v>
      </c>
      <c r="BK285" s="166"/>
      <c r="BL285" s="166" t="str">
        <f t="shared" si="2824"/>
        <v xml:space="preserve"> </v>
      </c>
      <c r="BM285" s="168" t="str">
        <f t="shared" si="2825"/>
        <v xml:space="preserve"> </v>
      </c>
      <c r="BN285" s="168"/>
      <c r="BO285" s="166" t="str">
        <f t="shared" si="2826"/>
        <v xml:space="preserve"> </v>
      </c>
    </row>
    <row r="286" spans="2:67" ht="15" customHeight="1" x14ac:dyDescent="0.25">
      <c r="B286" s="170">
        <v>46304</v>
      </c>
      <c r="C286" s="164"/>
      <c r="D286" s="166" t="str">
        <f t="shared" si="2793"/>
        <v xml:space="preserve"> </v>
      </c>
      <c r="E286" s="168" t="str">
        <f t="shared" si="2794"/>
        <v xml:space="preserve"> </v>
      </c>
      <c r="F286" s="168"/>
      <c r="G286" s="166" t="str">
        <f t="shared" si="2795"/>
        <v xml:space="preserve"> </v>
      </c>
      <c r="H286" s="167"/>
      <c r="I286" s="167" t="str">
        <f t="shared" si="2796"/>
        <v xml:space="preserve"> </v>
      </c>
      <c r="J286" s="168" t="str">
        <f t="shared" si="2797"/>
        <v xml:space="preserve"> </v>
      </c>
      <c r="K286" s="168"/>
      <c r="L286" s="167" t="str">
        <f t="shared" si="2798"/>
        <v xml:space="preserve"> </v>
      </c>
      <c r="M286" s="166"/>
      <c r="N286" s="166" t="str">
        <f t="shared" si="2799"/>
        <v xml:space="preserve"> </v>
      </c>
      <c r="O286" s="168" t="str">
        <f t="shared" si="2800"/>
        <v xml:space="preserve"> </v>
      </c>
      <c r="P286" s="168"/>
      <c r="Q286" s="166" t="str">
        <f t="shared" si="2801"/>
        <v xml:space="preserve"> </v>
      </c>
      <c r="R286" s="167">
        <f ca="1">+BDFUENTES[[#This Row],[PZ MED m3/día]]/3.6/BDFUENTES[[#This Row],[PZ MED Horas Activo]]</f>
        <v>0</v>
      </c>
      <c r="S286" s="167" t="str">
        <f t="shared" ca="1" si="2802"/>
        <v xml:space="preserve"> </v>
      </c>
      <c r="T286" s="168" t="str">
        <f t="shared" si="2803"/>
        <v xml:space="preserve"> </v>
      </c>
      <c r="U286" s="168"/>
      <c r="V286" s="165" t="str">
        <f t="shared" si="2804"/>
        <v xml:space="preserve"> </v>
      </c>
      <c r="W286" s="164" t="str">
        <f t="shared" si="2805"/>
        <v xml:space="preserve"> </v>
      </c>
      <c r="X286" s="166"/>
      <c r="Y286" s="168" t="str">
        <f t="shared" si="2806"/>
        <v xml:space="preserve"> </v>
      </c>
      <c r="Z286" s="168"/>
      <c r="AA286" s="166" t="str">
        <f t="shared" si="2807"/>
        <v xml:space="preserve"> </v>
      </c>
      <c r="AB286" s="168" t="str">
        <f t="shared" si="2808"/>
        <v xml:space="preserve"> </v>
      </c>
      <c r="AC286" s="168"/>
      <c r="AD286" s="171" t="str">
        <f t="shared" si="2809"/>
        <v xml:space="preserve"> </v>
      </c>
      <c r="AE286" s="167"/>
      <c r="AF286" s="165" t="str">
        <f t="shared" si="2810"/>
        <v xml:space="preserve"> </v>
      </c>
      <c r="AG286" s="168"/>
      <c r="AH286" s="168"/>
      <c r="AI286" s="166"/>
      <c r="AJ286" s="166"/>
      <c r="AK286" s="166" t="str">
        <f t="shared" si="2811"/>
        <v/>
      </c>
      <c r="AL286" s="167"/>
      <c r="AM286" s="171" t="str">
        <f t="shared" si="2812"/>
        <v xml:space="preserve"> </v>
      </c>
      <c r="AN286" s="168" t="str">
        <f t="shared" si="2813"/>
        <v xml:space="preserve"> </v>
      </c>
      <c r="AO286" s="168"/>
      <c r="AP286" s="167" t="str">
        <f t="shared" si="2814"/>
        <v xml:space="preserve"> </v>
      </c>
      <c r="AQ286" s="166"/>
      <c r="AR286" s="166" t="str">
        <f t="shared" si="2815"/>
        <v xml:space="preserve"> </v>
      </c>
      <c r="AS286" s="168" t="str">
        <f t="shared" si="2816"/>
        <v xml:space="preserve"> </v>
      </c>
      <c r="AT286" s="168"/>
      <c r="AU286" s="166" t="str">
        <f t="shared" si="2817"/>
        <v xml:space="preserve"> </v>
      </c>
      <c r="AV286" s="167"/>
      <c r="AW286" s="167"/>
      <c r="AX286" s="169" t="str">
        <f t="shared" si="2818"/>
        <v xml:space="preserve"> </v>
      </c>
      <c r="AY286" s="169"/>
      <c r="AZ286" s="167" t="str">
        <f t="shared" si="2819"/>
        <v xml:space="preserve"> </v>
      </c>
      <c r="BA286" s="166"/>
      <c r="BB286" s="166"/>
      <c r="BC286" s="168" t="str">
        <f t="shared" si="2820"/>
        <v xml:space="preserve"> </v>
      </c>
      <c r="BD286" s="168"/>
      <c r="BE286" s="166" t="str">
        <f t="shared" si="2821"/>
        <v xml:space="preserve"> </v>
      </c>
      <c r="BF286" s="167"/>
      <c r="BG286" s="167"/>
      <c r="BH286" s="168" t="str">
        <f t="shared" si="2822"/>
        <v xml:space="preserve"> </v>
      </c>
      <c r="BI286" s="168"/>
      <c r="BJ286" s="167" t="str">
        <f t="shared" si="2823"/>
        <v xml:space="preserve"> </v>
      </c>
      <c r="BK286" s="166"/>
      <c r="BL286" s="166" t="str">
        <f t="shared" si="2824"/>
        <v xml:space="preserve"> </v>
      </c>
      <c r="BM286" s="168" t="str">
        <f t="shared" si="2825"/>
        <v xml:space="preserve"> </v>
      </c>
      <c r="BN286" s="168"/>
      <c r="BO286" s="166" t="str">
        <f t="shared" si="2826"/>
        <v xml:space="preserve"> </v>
      </c>
    </row>
    <row r="287" spans="2:67" ht="15" customHeight="1" x14ac:dyDescent="0.25">
      <c r="B287" s="170">
        <v>46305</v>
      </c>
      <c r="C287" s="164"/>
      <c r="D287" s="166" t="str">
        <f t="shared" si="2793"/>
        <v xml:space="preserve"> </v>
      </c>
      <c r="E287" s="168" t="str">
        <f t="shared" si="2794"/>
        <v xml:space="preserve"> </v>
      </c>
      <c r="F287" s="168"/>
      <c r="G287" s="166" t="str">
        <f t="shared" si="2795"/>
        <v xml:space="preserve"> </v>
      </c>
      <c r="H287" s="167"/>
      <c r="I287" s="167" t="str">
        <f t="shared" si="2796"/>
        <v xml:space="preserve"> </v>
      </c>
      <c r="J287" s="168" t="str">
        <f t="shared" si="2797"/>
        <v xml:space="preserve"> </v>
      </c>
      <c r="K287" s="168"/>
      <c r="L287" s="167" t="str">
        <f t="shared" si="2798"/>
        <v xml:space="preserve"> </v>
      </c>
      <c r="M287" s="166"/>
      <c r="N287" s="166" t="str">
        <f t="shared" si="2799"/>
        <v xml:space="preserve"> </v>
      </c>
      <c r="O287" s="168" t="str">
        <f t="shared" si="2800"/>
        <v xml:space="preserve"> </v>
      </c>
      <c r="P287" s="168"/>
      <c r="Q287" s="166" t="str">
        <f t="shared" si="2801"/>
        <v xml:space="preserve"> </v>
      </c>
      <c r="R287" s="167">
        <f ca="1">+BDFUENTES[[#This Row],[PZ MED m3/día]]/3.6/BDFUENTES[[#This Row],[PZ MED Horas Activo]]</f>
        <v>0</v>
      </c>
      <c r="S287" s="167" t="str">
        <f t="shared" ca="1" si="2802"/>
        <v xml:space="preserve"> </v>
      </c>
      <c r="T287" s="168" t="str">
        <f t="shared" si="2803"/>
        <v xml:space="preserve"> </v>
      </c>
      <c r="U287" s="168"/>
      <c r="V287" s="165" t="str">
        <f t="shared" si="2804"/>
        <v xml:space="preserve"> </v>
      </c>
      <c r="W287" s="164" t="str">
        <f t="shared" si="2805"/>
        <v xml:space="preserve"> </v>
      </c>
      <c r="X287" s="166"/>
      <c r="Y287" s="168" t="str">
        <f t="shared" si="2806"/>
        <v xml:space="preserve"> </v>
      </c>
      <c r="Z287" s="168"/>
      <c r="AA287" s="166" t="str">
        <f t="shared" si="2807"/>
        <v xml:space="preserve"> </v>
      </c>
      <c r="AB287" s="168" t="str">
        <f t="shared" si="2808"/>
        <v xml:space="preserve"> </v>
      </c>
      <c r="AC287" s="168"/>
      <c r="AD287" s="171" t="str">
        <f t="shared" si="2809"/>
        <v xml:space="preserve"> </v>
      </c>
      <c r="AE287" s="167"/>
      <c r="AF287" s="165" t="str">
        <f t="shared" si="2810"/>
        <v xml:space="preserve"> </v>
      </c>
      <c r="AG287" s="168"/>
      <c r="AH287" s="168"/>
      <c r="AI287" s="166"/>
      <c r="AJ287" s="166"/>
      <c r="AK287" s="166" t="str">
        <f t="shared" si="2811"/>
        <v/>
      </c>
      <c r="AL287" s="167"/>
      <c r="AM287" s="171" t="str">
        <f t="shared" si="2812"/>
        <v xml:space="preserve"> </v>
      </c>
      <c r="AN287" s="168" t="str">
        <f t="shared" si="2813"/>
        <v xml:space="preserve"> </v>
      </c>
      <c r="AO287" s="168"/>
      <c r="AP287" s="167" t="str">
        <f t="shared" si="2814"/>
        <v xml:space="preserve"> </v>
      </c>
      <c r="AQ287" s="166"/>
      <c r="AR287" s="166" t="str">
        <f t="shared" si="2815"/>
        <v xml:space="preserve"> </v>
      </c>
      <c r="AS287" s="168" t="str">
        <f t="shared" si="2816"/>
        <v xml:space="preserve"> </v>
      </c>
      <c r="AT287" s="168"/>
      <c r="AU287" s="166" t="str">
        <f t="shared" si="2817"/>
        <v xml:space="preserve"> </v>
      </c>
      <c r="AV287" s="167"/>
      <c r="AW287" s="167"/>
      <c r="AX287" s="169" t="str">
        <f t="shared" si="2818"/>
        <v xml:space="preserve"> </v>
      </c>
      <c r="AY287" s="169"/>
      <c r="AZ287" s="167" t="str">
        <f t="shared" si="2819"/>
        <v xml:space="preserve"> </v>
      </c>
      <c r="BA287" s="166"/>
      <c r="BB287" s="166"/>
      <c r="BC287" s="168" t="str">
        <f t="shared" si="2820"/>
        <v xml:space="preserve"> </v>
      </c>
      <c r="BD287" s="168"/>
      <c r="BE287" s="166" t="str">
        <f t="shared" si="2821"/>
        <v xml:space="preserve"> </v>
      </c>
      <c r="BF287" s="167"/>
      <c r="BG287" s="167"/>
      <c r="BH287" s="168" t="str">
        <f t="shared" si="2822"/>
        <v xml:space="preserve"> </v>
      </c>
      <c r="BI287" s="168"/>
      <c r="BJ287" s="167" t="str">
        <f t="shared" si="2823"/>
        <v xml:space="preserve"> </v>
      </c>
      <c r="BK287" s="166"/>
      <c r="BL287" s="166" t="str">
        <f t="shared" si="2824"/>
        <v xml:space="preserve"> </v>
      </c>
      <c r="BM287" s="168" t="str">
        <f t="shared" si="2825"/>
        <v xml:space="preserve"> </v>
      </c>
      <c r="BN287" s="168"/>
      <c r="BO287" s="166" t="str">
        <f t="shared" si="2826"/>
        <v xml:space="preserve"> </v>
      </c>
    </row>
    <row r="288" spans="2:67" ht="15" customHeight="1" x14ac:dyDescent="0.25">
      <c r="B288" s="170">
        <v>46306</v>
      </c>
      <c r="C288" s="164"/>
      <c r="D288" s="166" t="str">
        <f t="shared" si="2793"/>
        <v xml:space="preserve"> </v>
      </c>
      <c r="E288" s="168" t="str">
        <f t="shared" si="2794"/>
        <v xml:space="preserve"> </v>
      </c>
      <c r="F288" s="168"/>
      <c r="G288" s="166" t="str">
        <f t="shared" si="2795"/>
        <v xml:space="preserve"> </v>
      </c>
      <c r="H288" s="167"/>
      <c r="I288" s="167" t="str">
        <f t="shared" si="2796"/>
        <v xml:space="preserve"> </v>
      </c>
      <c r="J288" s="168" t="str">
        <f t="shared" si="2797"/>
        <v xml:space="preserve"> </v>
      </c>
      <c r="K288" s="168"/>
      <c r="L288" s="167" t="str">
        <f t="shared" si="2798"/>
        <v xml:space="preserve"> </v>
      </c>
      <c r="M288" s="166"/>
      <c r="N288" s="166" t="str">
        <f t="shared" si="2799"/>
        <v xml:space="preserve"> </v>
      </c>
      <c r="O288" s="168" t="str">
        <f t="shared" si="2800"/>
        <v xml:space="preserve"> </v>
      </c>
      <c r="P288" s="168"/>
      <c r="Q288" s="166" t="str">
        <f t="shared" si="2801"/>
        <v xml:space="preserve"> </v>
      </c>
      <c r="R288" s="167">
        <f ca="1">+BDFUENTES[[#This Row],[PZ MED m3/día]]/3.6/BDFUENTES[[#This Row],[PZ MED Horas Activo]]</f>
        <v>0</v>
      </c>
      <c r="S288" s="167" t="str">
        <f t="shared" ca="1" si="2802"/>
        <v xml:space="preserve"> </v>
      </c>
      <c r="T288" s="168" t="str">
        <f t="shared" si="2803"/>
        <v xml:space="preserve"> </v>
      </c>
      <c r="U288" s="168"/>
      <c r="V288" s="165" t="str">
        <f t="shared" si="2804"/>
        <v xml:space="preserve"> </v>
      </c>
      <c r="W288" s="164" t="str">
        <f t="shared" si="2805"/>
        <v xml:space="preserve"> </v>
      </c>
      <c r="X288" s="166"/>
      <c r="Y288" s="168" t="str">
        <f t="shared" si="2806"/>
        <v xml:space="preserve"> </v>
      </c>
      <c r="Z288" s="168"/>
      <c r="AA288" s="166" t="str">
        <f t="shared" si="2807"/>
        <v xml:space="preserve"> </v>
      </c>
      <c r="AB288" s="168" t="str">
        <f t="shared" si="2808"/>
        <v xml:space="preserve"> </v>
      </c>
      <c r="AC288" s="168"/>
      <c r="AD288" s="171" t="str">
        <f t="shared" si="2809"/>
        <v xml:space="preserve"> </v>
      </c>
      <c r="AE288" s="167"/>
      <c r="AF288" s="165" t="str">
        <f t="shared" si="2810"/>
        <v xml:space="preserve"> </v>
      </c>
      <c r="AG288" s="168"/>
      <c r="AH288" s="168"/>
      <c r="AI288" s="166"/>
      <c r="AJ288" s="166"/>
      <c r="AK288" s="166" t="str">
        <f t="shared" si="2811"/>
        <v/>
      </c>
      <c r="AL288" s="167"/>
      <c r="AM288" s="171" t="str">
        <f t="shared" si="2812"/>
        <v xml:space="preserve"> </v>
      </c>
      <c r="AN288" s="168" t="str">
        <f t="shared" si="2813"/>
        <v xml:space="preserve"> </v>
      </c>
      <c r="AO288" s="168"/>
      <c r="AP288" s="167" t="str">
        <f t="shared" si="2814"/>
        <v xml:space="preserve"> </v>
      </c>
      <c r="AQ288" s="166"/>
      <c r="AR288" s="166" t="str">
        <f t="shared" si="2815"/>
        <v xml:space="preserve"> </v>
      </c>
      <c r="AS288" s="168" t="str">
        <f t="shared" si="2816"/>
        <v xml:space="preserve"> </v>
      </c>
      <c r="AT288" s="168"/>
      <c r="AU288" s="166" t="str">
        <f t="shared" si="2817"/>
        <v xml:space="preserve"> </v>
      </c>
      <c r="AV288" s="167"/>
      <c r="AW288" s="167"/>
      <c r="AX288" s="169" t="str">
        <f t="shared" si="2818"/>
        <v xml:space="preserve"> </v>
      </c>
      <c r="AY288" s="169"/>
      <c r="AZ288" s="167" t="str">
        <f t="shared" si="2819"/>
        <v xml:space="preserve"> </v>
      </c>
      <c r="BA288" s="166"/>
      <c r="BB288" s="166"/>
      <c r="BC288" s="168" t="str">
        <f t="shared" si="2820"/>
        <v xml:space="preserve"> </v>
      </c>
      <c r="BD288" s="168"/>
      <c r="BE288" s="166" t="str">
        <f t="shared" si="2821"/>
        <v xml:space="preserve"> </v>
      </c>
      <c r="BF288" s="167"/>
      <c r="BG288" s="167"/>
      <c r="BH288" s="168" t="str">
        <f t="shared" si="2822"/>
        <v xml:space="preserve"> </v>
      </c>
      <c r="BI288" s="168"/>
      <c r="BJ288" s="167" t="str">
        <f t="shared" si="2823"/>
        <v xml:space="preserve"> </v>
      </c>
      <c r="BK288" s="166"/>
      <c r="BL288" s="166" t="str">
        <f t="shared" si="2824"/>
        <v xml:space="preserve"> </v>
      </c>
      <c r="BM288" s="168" t="str">
        <f t="shared" si="2825"/>
        <v xml:space="preserve"> </v>
      </c>
      <c r="BN288" s="168"/>
      <c r="BO288" s="166" t="str">
        <f t="shared" si="2826"/>
        <v xml:space="preserve"> </v>
      </c>
    </row>
    <row r="289" spans="2:67" ht="15" customHeight="1" x14ac:dyDescent="0.25">
      <c r="B289" s="170">
        <v>46307</v>
      </c>
      <c r="C289" s="164"/>
      <c r="D289" s="166" t="str">
        <f t="shared" si="2793"/>
        <v xml:space="preserve"> </v>
      </c>
      <c r="E289" s="168" t="str">
        <f t="shared" si="2794"/>
        <v xml:space="preserve"> </v>
      </c>
      <c r="F289" s="168"/>
      <c r="G289" s="166" t="str">
        <f t="shared" si="2795"/>
        <v xml:space="preserve"> </v>
      </c>
      <c r="H289" s="167"/>
      <c r="I289" s="167" t="str">
        <f t="shared" si="2796"/>
        <v xml:space="preserve"> </v>
      </c>
      <c r="J289" s="168" t="str">
        <f t="shared" si="2797"/>
        <v xml:space="preserve"> </v>
      </c>
      <c r="K289" s="168"/>
      <c r="L289" s="167" t="str">
        <f t="shared" si="2798"/>
        <v xml:space="preserve"> </v>
      </c>
      <c r="M289" s="166"/>
      <c r="N289" s="166" t="str">
        <f t="shared" si="2799"/>
        <v xml:space="preserve"> </v>
      </c>
      <c r="O289" s="168" t="str">
        <f t="shared" si="2800"/>
        <v xml:space="preserve"> </v>
      </c>
      <c r="P289" s="168"/>
      <c r="Q289" s="166" t="str">
        <f t="shared" si="2801"/>
        <v xml:space="preserve"> </v>
      </c>
      <c r="R289" s="167">
        <f ca="1">+BDFUENTES[[#This Row],[PZ MED m3/día]]/3.6/BDFUENTES[[#This Row],[PZ MED Horas Activo]]</f>
        <v>0</v>
      </c>
      <c r="S289" s="167" t="str">
        <f t="shared" ca="1" si="2802"/>
        <v xml:space="preserve"> </v>
      </c>
      <c r="T289" s="168" t="str">
        <f t="shared" si="2803"/>
        <v xml:space="preserve"> </v>
      </c>
      <c r="U289" s="168"/>
      <c r="V289" s="165" t="str">
        <f t="shared" si="2804"/>
        <v xml:space="preserve"> </v>
      </c>
      <c r="W289" s="164" t="str">
        <f t="shared" si="2805"/>
        <v xml:space="preserve"> </v>
      </c>
      <c r="X289" s="166"/>
      <c r="Y289" s="168" t="str">
        <f t="shared" si="2806"/>
        <v xml:space="preserve"> </v>
      </c>
      <c r="Z289" s="168"/>
      <c r="AA289" s="166" t="str">
        <f t="shared" si="2807"/>
        <v xml:space="preserve"> </v>
      </c>
      <c r="AB289" s="168" t="str">
        <f t="shared" si="2808"/>
        <v xml:space="preserve"> </v>
      </c>
      <c r="AC289" s="168"/>
      <c r="AD289" s="171" t="str">
        <f t="shared" si="2809"/>
        <v xml:space="preserve"> </v>
      </c>
      <c r="AE289" s="167"/>
      <c r="AF289" s="165" t="str">
        <f t="shared" si="2810"/>
        <v xml:space="preserve"> </v>
      </c>
      <c r="AG289" s="168"/>
      <c r="AH289" s="168"/>
      <c r="AI289" s="166"/>
      <c r="AJ289" s="166"/>
      <c r="AK289" s="166" t="str">
        <f t="shared" si="2811"/>
        <v/>
      </c>
      <c r="AL289" s="167"/>
      <c r="AM289" s="171" t="str">
        <f t="shared" si="2812"/>
        <v xml:space="preserve"> </v>
      </c>
      <c r="AN289" s="168" t="str">
        <f t="shared" si="2813"/>
        <v xml:space="preserve"> </v>
      </c>
      <c r="AO289" s="168"/>
      <c r="AP289" s="167" t="str">
        <f t="shared" si="2814"/>
        <v xml:space="preserve"> </v>
      </c>
      <c r="AQ289" s="166"/>
      <c r="AR289" s="166" t="str">
        <f t="shared" si="2815"/>
        <v xml:space="preserve"> </v>
      </c>
      <c r="AS289" s="168" t="str">
        <f t="shared" si="2816"/>
        <v xml:space="preserve"> </v>
      </c>
      <c r="AT289" s="168"/>
      <c r="AU289" s="166" t="str">
        <f t="shared" si="2817"/>
        <v xml:space="preserve"> </v>
      </c>
      <c r="AV289" s="167"/>
      <c r="AW289" s="167"/>
      <c r="AX289" s="169" t="str">
        <f t="shared" si="2818"/>
        <v xml:space="preserve"> </v>
      </c>
      <c r="AY289" s="169"/>
      <c r="AZ289" s="167" t="str">
        <f t="shared" si="2819"/>
        <v xml:space="preserve"> </v>
      </c>
      <c r="BA289" s="166"/>
      <c r="BB289" s="166"/>
      <c r="BC289" s="168" t="str">
        <f t="shared" si="2820"/>
        <v xml:space="preserve"> </v>
      </c>
      <c r="BD289" s="168"/>
      <c r="BE289" s="166" t="str">
        <f t="shared" si="2821"/>
        <v xml:space="preserve"> </v>
      </c>
      <c r="BF289" s="167"/>
      <c r="BG289" s="167"/>
      <c r="BH289" s="168" t="str">
        <f t="shared" si="2822"/>
        <v xml:space="preserve"> </v>
      </c>
      <c r="BI289" s="168"/>
      <c r="BJ289" s="167" t="str">
        <f t="shared" si="2823"/>
        <v xml:space="preserve"> </v>
      </c>
      <c r="BK289" s="166"/>
      <c r="BL289" s="166" t="str">
        <f t="shared" si="2824"/>
        <v xml:space="preserve"> </v>
      </c>
      <c r="BM289" s="168" t="str">
        <f t="shared" si="2825"/>
        <v xml:space="preserve"> </v>
      </c>
      <c r="BN289" s="168"/>
      <c r="BO289" s="166" t="str">
        <f t="shared" si="2826"/>
        <v xml:space="preserve"> </v>
      </c>
    </row>
    <row r="290" spans="2:67" ht="15" customHeight="1" x14ac:dyDescent="0.25">
      <c r="B290" s="170">
        <v>46308</v>
      </c>
      <c r="C290" s="164"/>
      <c r="D290" s="166" t="str">
        <f t="shared" si="2793"/>
        <v xml:space="preserve"> </v>
      </c>
      <c r="E290" s="168" t="str">
        <f t="shared" si="2794"/>
        <v xml:space="preserve"> </v>
      </c>
      <c r="F290" s="168"/>
      <c r="G290" s="166" t="str">
        <f t="shared" si="2795"/>
        <v xml:space="preserve"> </v>
      </c>
      <c r="H290" s="167"/>
      <c r="I290" s="167" t="str">
        <f t="shared" si="2796"/>
        <v xml:space="preserve"> </v>
      </c>
      <c r="J290" s="168" t="str">
        <f t="shared" si="2797"/>
        <v xml:space="preserve"> </v>
      </c>
      <c r="K290" s="168"/>
      <c r="L290" s="167" t="str">
        <f t="shared" si="2798"/>
        <v xml:space="preserve"> </v>
      </c>
      <c r="M290" s="166"/>
      <c r="N290" s="166" t="str">
        <f t="shared" si="2799"/>
        <v xml:space="preserve"> </v>
      </c>
      <c r="O290" s="168" t="str">
        <f t="shared" si="2800"/>
        <v xml:space="preserve"> </v>
      </c>
      <c r="P290" s="168"/>
      <c r="Q290" s="166" t="str">
        <f t="shared" si="2801"/>
        <v xml:space="preserve"> </v>
      </c>
      <c r="R290" s="167">
        <f ca="1">+BDFUENTES[[#This Row],[PZ MED m3/día]]/3.6/BDFUENTES[[#This Row],[PZ MED Horas Activo]]</f>
        <v>0</v>
      </c>
      <c r="S290" s="167" t="str">
        <f t="shared" ca="1" si="2802"/>
        <v xml:space="preserve"> </v>
      </c>
      <c r="T290" s="168" t="str">
        <f t="shared" si="2803"/>
        <v xml:space="preserve"> </v>
      </c>
      <c r="U290" s="168"/>
      <c r="V290" s="165" t="str">
        <f t="shared" si="2804"/>
        <v xml:space="preserve"> </v>
      </c>
      <c r="W290" s="164" t="str">
        <f t="shared" si="2805"/>
        <v xml:space="preserve"> </v>
      </c>
      <c r="X290" s="166"/>
      <c r="Y290" s="168" t="str">
        <f t="shared" si="2806"/>
        <v xml:space="preserve"> </v>
      </c>
      <c r="Z290" s="168"/>
      <c r="AA290" s="166" t="str">
        <f t="shared" si="2807"/>
        <v xml:space="preserve"> </v>
      </c>
      <c r="AB290" s="168" t="str">
        <f t="shared" si="2808"/>
        <v xml:space="preserve"> </v>
      </c>
      <c r="AC290" s="168"/>
      <c r="AD290" s="171" t="str">
        <f t="shared" si="2809"/>
        <v xml:space="preserve"> </v>
      </c>
      <c r="AE290" s="167"/>
      <c r="AF290" s="165" t="str">
        <f t="shared" si="2810"/>
        <v xml:space="preserve"> </v>
      </c>
      <c r="AG290" s="168"/>
      <c r="AH290" s="168"/>
      <c r="AI290" s="166"/>
      <c r="AJ290" s="166"/>
      <c r="AK290" s="166" t="str">
        <f t="shared" si="2811"/>
        <v/>
      </c>
      <c r="AL290" s="167"/>
      <c r="AM290" s="171" t="str">
        <f t="shared" si="2812"/>
        <v xml:space="preserve"> </v>
      </c>
      <c r="AN290" s="168" t="str">
        <f t="shared" si="2813"/>
        <v xml:space="preserve"> </v>
      </c>
      <c r="AO290" s="168"/>
      <c r="AP290" s="167" t="str">
        <f t="shared" si="2814"/>
        <v xml:space="preserve"> </v>
      </c>
      <c r="AQ290" s="166"/>
      <c r="AR290" s="166" t="str">
        <f t="shared" si="2815"/>
        <v xml:space="preserve"> </v>
      </c>
      <c r="AS290" s="168" t="str">
        <f t="shared" si="2816"/>
        <v xml:space="preserve"> </v>
      </c>
      <c r="AT290" s="168"/>
      <c r="AU290" s="166" t="str">
        <f t="shared" si="2817"/>
        <v xml:space="preserve"> </v>
      </c>
      <c r="AV290" s="167"/>
      <c r="AW290" s="167"/>
      <c r="AX290" s="169" t="str">
        <f t="shared" si="2818"/>
        <v xml:space="preserve"> </v>
      </c>
      <c r="AY290" s="169"/>
      <c r="AZ290" s="167" t="str">
        <f t="shared" si="2819"/>
        <v xml:space="preserve"> </v>
      </c>
      <c r="BA290" s="166"/>
      <c r="BB290" s="166"/>
      <c r="BC290" s="168" t="str">
        <f t="shared" si="2820"/>
        <v xml:space="preserve"> </v>
      </c>
      <c r="BD290" s="168"/>
      <c r="BE290" s="166" t="str">
        <f t="shared" si="2821"/>
        <v xml:space="preserve"> </v>
      </c>
      <c r="BF290" s="167"/>
      <c r="BG290" s="167"/>
      <c r="BH290" s="168" t="str">
        <f t="shared" si="2822"/>
        <v xml:space="preserve"> </v>
      </c>
      <c r="BI290" s="168"/>
      <c r="BJ290" s="167" t="str">
        <f t="shared" si="2823"/>
        <v xml:space="preserve"> </v>
      </c>
      <c r="BK290" s="166"/>
      <c r="BL290" s="166" t="str">
        <f t="shared" si="2824"/>
        <v xml:space="preserve"> </v>
      </c>
      <c r="BM290" s="168" t="str">
        <f t="shared" si="2825"/>
        <v xml:space="preserve"> </v>
      </c>
      <c r="BN290" s="168"/>
      <c r="BO290" s="166" t="str">
        <f t="shared" si="2826"/>
        <v xml:space="preserve"> </v>
      </c>
    </row>
    <row r="291" spans="2:67" ht="15" customHeight="1" x14ac:dyDescent="0.25">
      <c r="B291" s="170">
        <v>46309</v>
      </c>
      <c r="C291" s="164"/>
      <c r="D291" s="166" t="str">
        <f t="shared" si="2793"/>
        <v xml:space="preserve"> </v>
      </c>
      <c r="E291" s="168" t="str">
        <f t="shared" si="2794"/>
        <v xml:space="preserve"> </v>
      </c>
      <c r="F291" s="168"/>
      <c r="G291" s="166" t="str">
        <f t="shared" si="2795"/>
        <v xml:space="preserve"> </v>
      </c>
      <c r="H291" s="167"/>
      <c r="I291" s="167" t="str">
        <f t="shared" si="2796"/>
        <v xml:space="preserve"> </v>
      </c>
      <c r="J291" s="168" t="str">
        <f t="shared" si="2797"/>
        <v xml:space="preserve"> </v>
      </c>
      <c r="K291" s="168"/>
      <c r="L291" s="167" t="str">
        <f t="shared" si="2798"/>
        <v xml:space="preserve"> </v>
      </c>
      <c r="M291" s="166"/>
      <c r="N291" s="166" t="str">
        <f t="shared" si="2799"/>
        <v xml:space="preserve"> </v>
      </c>
      <c r="O291" s="168" t="str">
        <f t="shared" si="2800"/>
        <v xml:space="preserve"> </v>
      </c>
      <c r="P291" s="168"/>
      <c r="Q291" s="166" t="str">
        <f t="shared" si="2801"/>
        <v xml:space="preserve"> </v>
      </c>
      <c r="R291" s="167">
        <f ca="1">+BDFUENTES[[#This Row],[PZ MED m3/día]]/3.6/BDFUENTES[[#This Row],[PZ MED Horas Activo]]</f>
        <v>0</v>
      </c>
      <c r="S291" s="167" t="str">
        <f t="shared" ca="1" si="2802"/>
        <v xml:space="preserve"> </v>
      </c>
      <c r="T291" s="168" t="str">
        <f t="shared" si="2803"/>
        <v xml:space="preserve"> </v>
      </c>
      <c r="U291" s="168"/>
      <c r="V291" s="165" t="str">
        <f t="shared" si="2804"/>
        <v xml:space="preserve"> </v>
      </c>
      <c r="W291" s="164" t="str">
        <f t="shared" si="2805"/>
        <v xml:space="preserve"> </v>
      </c>
      <c r="X291" s="166"/>
      <c r="Y291" s="168" t="str">
        <f t="shared" si="2806"/>
        <v xml:space="preserve"> </v>
      </c>
      <c r="Z291" s="168"/>
      <c r="AA291" s="166" t="str">
        <f t="shared" si="2807"/>
        <v xml:space="preserve"> </v>
      </c>
      <c r="AB291" s="168" t="str">
        <f t="shared" si="2808"/>
        <v xml:space="preserve"> </v>
      </c>
      <c r="AC291" s="168"/>
      <c r="AD291" s="171" t="str">
        <f t="shared" si="2809"/>
        <v xml:space="preserve"> </v>
      </c>
      <c r="AE291" s="167"/>
      <c r="AF291" s="165" t="str">
        <f t="shared" si="2810"/>
        <v xml:space="preserve"> </v>
      </c>
      <c r="AG291" s="168"/>
      <c r="AH291" s="168"/>
      <c r="AI291" s="166"/>
      <c r="AJ291" s="166"/>
      <c r="AK291" s="166" t="str">
        <f t="shared" si="2811"/>
        <v/>
      </c>
      <c r="AL291" s="167"/>
      <c r="AM291" s="171" t="str">
        <f t="shared" si="2812"/>
        <v xml:space="preserve"> </v>
      </c>
      <c r="AN291" s="168" t="str">
        <f t="shared" si="2813"/>
        <v xml:space="preserve"> </v>
      </c>
      <c r="AO291" s="168"/>
      <c r="AP291" s="167" t="str">
        <f t="shared" si="2814"/>
        <v xml:space="preserve"> </v>
      </c>
      <c r="AQ291" s="166"/>
      <c r="AR291" s="166" t="str">
        <f t="shared" si="2815"/>
        <v xml:space="preserve"> </v>
      </c>
      <c r="AS291" s="168" t="str">
        <f t="shared" si="2816"/>
        <v xml:space="preserve"> </v>
      </c>
      <c r="AT291" s="168"/>
      <c r="AU291" s="166" t="str">
        <f t="shared" si="2817"/>
        <v xml:space="preserve"> </v>
      </c>
      <c r="AV291" s="167"/>
      <c r="AW291" s="167"/>
      <c r="AX291" s="169" t="str">
        <f t="shared" si="2818"/>
        <v xml:space="preserve"> </v>
      </c>
      <c r="AY291" s="169"/>
      <c r="AZ291" s="167" t="str">
        <f t="shared" si="2819"/>
        <v xml:space="preserve"> </v>
      </c>
      <c r="BA291" s="166"/>
      <c r="BB291" s="166"/>
      <c r="BC291" s="168" t="str">
        <f t="shared" si="2820"/>
        <v xml:space="preserve"> </v>
      </c>
      <c r="BD291" s="168"/>
      <c r="BE291" s="166" t="str">
        <f t="shared" si="2821"/>
        <v xml:space="preserve"> </v>
      </c>
      <c r="BF291" s="167"/>
      <c r="BG291" s="167"/>
      <c r="BH291" s="168" t="str">
        <f t="shared" si="2822"/>
        <v xml:space="preserve"> </v>
      </c>
      <c r="BI291" s="168"/>
      <c r="BJ291" s="167" t="str">
        <f t="shared" si="2823"/>
        <v xml:space="preserve"> </v>
      </c>
      <c r="BK291" s="166"/>
      <c r="BL291" s="166" t="str">
        <f t="shared" si="2824"/>
        <v xml:space="preserve"> </v>
      </c>
      <c r="BM291" s="168" t="str">
        <f t="shared" si="2825"/>
        <v xml:space="preserve"> </v>
      </c>
      <c r="BN291" s="168"/>
      <c r="BO291" s="166" t="str">
        <f t="shared" si="2826"/>
        <v xml:space="preserve"> </v>
      </c>
    </row>
    <row r="292" spans="2:67" ht="15" customHeight="1" x14ac:dyDescent="0.25">
      <c r="B292" s="170">
        <v>46310</v>
      </c>
      <c r="C292" s="164"/>
      <c r="D292" s="166" t="str">
        <f t="shared" si="2793"/>
        <v xml:space="preserve"> </v>
      </c>
      <c r="E292" s="168" t="str">
        <f t="shared" si="2794"/>
        <v xml:space="preserve"> </v>
      </c>
      <c r="F292" s="168"/>
      <c r="G292" s="166" t="str">
        <f t="shared" si="2795"/>
        <v xml:space="preserve"> </v>
      </c>
      <c r="H292" s="167"/>
      <c r="I292" s="167" t="str">
        <f t="shared" si="2796"/>
        <v xml:space="preserve"> </v>
      </c>
      <c r="J292" s="168" t="str">
        <f t="shared" si="2797"/>
        <v xml:space="preserve"> </v>
      </c>
      <c r="K292" s="168"/>
      <c r="L292" s="167" t="str">
        <f t="shared" si="2798"/>
        <v xml:space="preserve"> </v>
      </c>
      <c r="M292" s="166"/>
      <c r="N292" s="166" t="str">
        <f t="shared" si="2799"/>
        <v xml:space="preserve"> </v>
      </c>
      <c r="O292" s="168" t="str">
        <f t="shared" si="2800"/>
        <v xml:space="preserve"> </v>
      </c>
      <c r="P292" s="168"/>
      <c r="Q292" s="166" t="str">
        <f t="shared" si="2801"/>
        <v xml:space="preserve"> </v>
      </c>
      <c r="R292" s="167">
        <f ca="1">+BDFUENTES[[#This Row],[PZ MED m3/día]]/3.6/BDFUENTES[[#This Row],[PZ MED Horas Activo]]</f>
        <v>0</v>
      </c>
      <c r="S292" s="167" t="str">
        <f t="shared" ca="1" si="2802"/>
        <v xml:space="preserve"> </v>
      </c>
      <c r="T292" s="168" t="str">
        <f t="shared" si="2803"/>
        <v xml:space="preserve"> </v>
      </c>
      <c r="U292" s="168"/>
      <c r="V292" s="165" t="str">
        <f t="shared" si="2804"/>
        <v xml:space="preserve"> </v>
      </c>
      <c r="W292" s="164" t="str">
        <f t="shared" si="2805"/>
        <v xml:space="preserve"> </v>
      </c>
      <c r="X292" s="166"/>
      <c r="Y292" s="168" t="str">
        <f t="shared" si="2806"/>
        <v xml:space="preserve"> </v>
      </c>
      <c r="Z292" s="168"/>
      <c r="AA292" s="166" t="str">
        <f t="shared" si="2807"/>
        <v xml:space="preserve"> </v>
      </c>
      <c r="AB292" s="168" t="str">
        <f t="shared" si="2808"/>
        <v xml:space="preserve"> </v>
      </c>
      <c r="AC292" s="168"/>
      <c r="AD292" s="171" t="str">
        <f t="shared" si="2809"/>
        <v xml:space="preserve"> </v>
      </c>
      <c r="AE292" s="167"/>
      <c r="AF292" s="165" t="str">
        <f t="shared" si="2810"/>
        <v xml:space="preserve"> </v>
      </c>
      <c r="AG292" s="168"/>
      <c r="AH292" s="168"/>
      <c r="AI292" s="166"/>
      <c r="AJ292" s="166"/>
      <c r="AK292" s="166" t="str">
        <f t="shared" si="2811"/>
        <v/>
      </c>
      <c r="AL292" s="167"/>
      <c r="AM292" s="171" t="str">
        <f t="shared" si="2812"/>
        <v xml:space="preserve"> </v>
      </c>
      <c r="AN292" s="168" t="str">
        <f t="shared" si="2813"/>
        <v xml:space="preserve"> </v>
      </c>
      <c r="AO292" s="168"/>
      <c r="AP292" s="167" t="str">
        <f t="shared" si="2814"/>
        <v xml:space="preserve"> </v>
      </c>
      <c r="AQ292" s="166"/>
      <c r="AR292" s="166" t="str">
        <f t="shared" si="2815"/>
        <v xml:space="preserve"> </v>
      </c>
      <c r="AS292" s="168" t="str">
        <f t="shared" si="2816"/>
        <v xml:space="preserve"> </v>
      </c>
      <c r="AT292" s="168"/>
      <c r="AU292" s="166" t="str">
        <f t="shared" si="2817"/>
        <v xml:space="preserve"> </v>
      </c>
      <c r="AV292" s="167"/>
      <c r="AW292" s="167"/>
      <c r="AX292" s="169" t="str">
        <f t="shared" si="2818"/>
        <v xml:space="preserve"> </v>
      </c>
      <c r="AY292" s="169"/>
      <c r="AZ292" s="167" t="str">
        <f t="shared" si="2819"/>
        <v xml:space="preserve"> </v>
      </c>
      <c r="BA292" s="166"/>
      <c r="BB292" s="166"/>
      <c r="BC292" s="168" t="str">
        <f t="shared" si="2820"/>
        <v xml:space="preserve"> </v>
      </c>
      <c r="BD292" s="168"/>
      <c r="BE292" s="166" t="str">
        <f t="shared" si="2821"/>
        <v xml:space="preserve"> </v>
      </c>
      <c r="BF292" s="167"/>
      <c r="BG292" s="167"/>
      <c r="BH292" s="168" t="str">
        <f t="shared" si="2822"/>
        <v xml:space="preserve"> </v>
      </c>
      <c r="BI292" s="168"/>
      <c r="BJ292" s="167" t="str">
        <f t="shared" si="2823"/>
        <v xml:space="preserve"> </v>
      </c>
      <c r="BK292" s="166"/>
      <c r="BL292" s="166" t="str">
        <f t="shared" si="2824"/>
        <v xml:space="preserve"> </v>
      </c>
      <c r="BM292" s="168" t="str">
        <f t="shared" si="2825"/>
        <v xml:space="preserve"> </v>
      </c>
      <c r="BN292" s="168"/>
      <c r="BO292" s="166" t="str">
        <f t="shared" si="2826"/>
        <v xml:space="preserve"> </v>
      </c>
    </row>
    <row r="293" spans="2:67" ht="15" customHeight="1" x14ac:dyDescent="0.25">
      <c r="B293" s="170">
        <v>46311</v>
      </c>
      <c r="C293" s="164"/>
      <c r="D293" s="166" t="str">
        <f t="shared" si="2793"/>
        <v xml:space="preserve"> </v>
      </c>
      <c r="E293" s="168" t="str">
        <f t="shared" si="2794"/>
        <v xml:space="preserve"> </v>
      </c>
      <c r="F293" s="168"/>
      <c r="G293" s="166" t="str">
        <f t="shared" si="2795"/>
        <v xml:space="preserve"> </v>
      </c>
      <c r="H293" s="167"/>
      <c r="I293" s="167" t="str">
        <f t="shared" si="2796"/>
        <v xml:space="preserve"> </v>
      </c>
      <c r="J293" s="168" t="str">
        <f t="shared" si="2797"/>
        <v xml:space="preserve"> </v>
      </c>
      <c r="K293" s="168"/>
      <c r="L293" s="167" t="str">
        <f t="shared" si="2798"/>
        <v xml:space="preserve"> </v>
      </c>
      <c r="M293" s="166"/>
      <c r="N293" s="166" t="str">
        <f t="shared" si="2799"/>
        <v xml:space="preserve"> </v>
      </c>
      <c r="O293" s="168" t="str">
        <f t="shared" si="2800"/>
        <v xml:space="preserve"> </v>
      </c>
      <c r="P293" s="168"/>
      <c r="Q293" s="166" t="str">
        <f t="shared" si="2801"/>
        <v xml:space="preserve"> </v>
      </c>
      <c r="R293" s="167">
        <f ca="1">+BDFUENTES[[#This Row],[PZ MED m3/día]]/3.6/BDFUENTES[[#This Row],[PZ MED Horas Activo]]</f>
        <v>0</v>
      </c>
      <c r="S293" s="167" t="str">
        <f t="shared" ca="1" si="2802"/>
        <v xml:space="preserve"> </v>
      </c>
      <c r="T293" s="168" t="str">
        <f t="shared" si="2803"/>
        <v xml:space="preserve"> </v>
      </c>
      <c r="U293" s="168"/>
      <c r="V293" s="165" t="str">
        <f t="shared" si="2804"/>
        <v xml:space="preserve"> </v>
      </c>
      <c r="W293" s="164" t="str">
        <f t="shared" si="2805"/>
        <v xml:space="preserve"> </v>
      </c>
      <c r="X293" s="166"/>
      <c r="Y293" s="168" t="str">
        <f t="shared" si="2806"/>
        <v xml:space="preserve"> </v>
      </c>
      <c r="Z293" s="168"/>
      <c r="AA293" s="166" t="str">
        <f t="shared" si="2807"/>
        <v xml:space="preserve"> </v>
      </c>
      <c r="AB293" s="168" t="str">
        <f t="shared" si="2808"/>
        <v xml:space="preserve"> </v>
      </c>
      <c r="AC293" s="168"/>
      <c r="AD293" s="171" t="str">
        <f t="shared" si="2809"/>
        <v xml:space="preserve"> </v>
      </c>
      <c r="AE293" s="167"/>
      <c r="AF293" s="165" t="str">
        <f t="shared" si="2810"/>
        <v xml:space="preserve"> </v>
      </c>
      <c r="AG293" s="168"/>
      <c r="AH293" s="168"/>
      <c r="AI293" s="166"/>
      <c r="AJ293" s="166"/>
      <c r="AK293" s="166" t="str">
        <f t="shared" si="2811"/>
        <v/>
      </c>
      <c r="AL293" s="167"/>
      <c r="AM293" s="171" t="str">
        <f t="shared" si="2812"/>
        <v xml:space="preserve"> </v>
      </c>
      <c r="AN293" s="168" t="str">
        <f t="shared" si="2813"/>
        <v xml:space="preserve"> </v>
      </c>
      <c r="AO293" s="168"/>
      <c r="AP293" s="167" t="str">
        <f t="shared" si="2814"/>
        <v xml:space="preserve"> </v>
      </c>
      <c r="AQ293" s="166"/>
      <c r="AR293" s="166" t="str">
        <f t="shared" si="2815"/>
        <v xml:space="preserve"> </v>
      </c>
      <c r="AS293" s="168" t="str">
        <f t="shared" si="2816"/>
        <v xml:space="preserve"> </v>
      </c>
      <c r="AT293" s="168"/>
      <c r="AU293" s="166" t="str">
        <f t="shared" si="2817"/>
        <v xml:space="preserve"> </v>
      </c>
      <c r="AV293" s="167"/>
      <c r="AW293" s="167"/>
      <c r="AX293" s="169" t="str">
        <f t="shared" si="2818"/>
        <v xml:space="preserve"> </v>
      </c>
      <c r="AY293" s="169"/>
      <c r="AZ293" s="167" t="str">
        <f t="shared" si="2819"/>
        <v xml:space="preserve"> </v>
      </c>
      <c r="BA293" s="166"/>
      <c r="BB293" s="166"/>
      <c r="BC293" s="168" t="str">
        <f t="shared" si="2820"/>
        <v xml:space="preserve"> </v>
      </c>
      <c r="BD293" s="168"/>
      <c r="BE293" s="166" t="str">
        <f t="shared" si="2821"/>
        <v xml:space="preserve"> </v>
      </c>
      <c r="BF293" s="167"/>
      <c r="BG293" s="167"/>
      <c r="BH293" s="168" t="str">
        <f t="shared" si="2822"/>
        <v xml:space="preserve"> </v>
      </c>
      <c r="BI293" s="168"/>
      <c r="BJ293" s="167" t="str">
        <f t="shared" si="2823"/>
        <v xml:space="preserve"> </v>
      </c>
      <c r="BK293" s="166"/>
      <c r="BL293" s="166" t="str">
        <f t="shared" si="2824"/>
        <v xml:space="preserve"> </v>
      </c>
      <c r="BM293" s="168" t="str">
        <f t="shared" si="2825"/>
        <v xml:space="preserve"> </v>
      </c>
      <c r="BN293" s="168"/>
      <c r="BO293" s="166" t="str">
        <f t="shared" si="2826"/>
        <v xml:space="preserve"> </v>
      </c>
    </row>
    <row r="294" spans="2:67" ht="15" customHeight="1" x14ac:dyDescent="0.25">
      <c r="B294" s="170">
        <v>46312</v>
      </c>
      <c r="C294" s="164"/>
      <c r="D294" s="166" t="str">
        <f t="shared" si="2793"/>
        <v xml:space="preserve"> </v>
      </c>
      <c r="E294" s="168" t="str">
        <f t="shared" si="2794"/>
        <v xml:space="preserve"> </v>
      </c>
      <c r="F294" s="168"/>
      <c r="G294" s="166" t="str">
        <f t="shared" si="2795"/>
        <v xml:space="preserve"> </v>
      </c>
      <c r="H294" s="167"/>
      <c r="I294" s="167" t="str">
        <f t="shared" si="2796"/>
        <v xml:space="preserve"> </v>
      </c>
      <c r="J294" s="168" t="str">
        <f t="shared" si="2797"/>
        <v xml:space="preserve"> </v>
      </c>
      <c r="K294" s="168"/>
      <c r="L294" s="167" t="str">
        <f t="shared" si="2798"/>
        <v xml:space="preserve"> </v>
      </c>
      <c r="M294" s="166"/>
      <c r="N294" s="166" t="str">
        <f t="shared" si="2799"/>
        <v xml:space="preserve"> </v>
      </c>
      <c r="O294" s="168" t="str">
        <f t="shared" si="2800"/>
        <v xml:space="preserve"> </v>
      </c>
      <c r="P294" s="168"/>
      <c r="Q294" s="166" t="str">
        <f t="shared" si="2801"/>
        <v xml:space="preserve"> </v>
      </c>
      <c r="R294" s="167">
        <f ca="1">+BDFUENTES[[#This Row],[PZ MED m3/día]]/3.6/BDFUENTES[[#This Row],[PZ MED Horas Activo]]</f>
        <v>0</v>
      </c>
      <c r="S294" s="167" t="str">
        <f t="shared" ca="1" si="2802"/>
        <v xml:space="preserve"> </v>
      </c>
      <c r="T294" s="168" t="str">
        <f t="shared" si="2803"/>
        <v xml:space="preserve"> </v>
      </c>
      <c r="U294" s="168"/>
      <c r="V294" s="165" t="str">
        <f t="shared" si="2804"/>
        <v xml:space="preserve"> </v>
      </c>
      <c r="W294" s="164" t="str">
        <f t="shared" si="2805"/>
        <v xml:space="preserve"> </v>
      </c>
      <c r="X294" s="166"/>
      <c r="Y294" s="168" t="str">
        <f t="shared" si="2806"/>
        <v xml:space="preserve"> </v>
      </c>
      <c r="Z294" s="168"/>
      <c r="AA294" s="166" t="str">
        <f t="shared" si="2807"/>
        <v xml:space="preserve"> </v>
      </c>
      <c r="AB294" s="168" t="str">
        <f t="shared" si="2808"/>
        <v xml:space="preserve"> </v>
      </c>
      <c r="AC294" s="168"/>
      <c r="AD294" s="171" t="str">
        <f t="shared" si="2809"/>
        <v xml:space="preserve"> </v>
      </c>
      <c r="AE294" s="167"/>
      <c r="AF294" s="165" t="str">
        <f t="shared" si="2810"/>
        <v xml:space="preserve"> </v>
      </c>
      <c r="AG294" s="168"/>
      <c r="AH294" s="168"/>
      <c r="AI294" s="166"/>
      <c r="AJ294" s="166"/>
      <c r="AK294" s="166" t="str">
        <f t="shared" si="2811"/>
        <v/>
      </c>
      <c r="AL294" s="167"/>
      <c r="AM294" s="171" t="str">
        <f t="shared" si="2812"/>
        <v xml:space="preserve"> </v>
      </c>
      <c r="AN294" s="168" t="str">
        <f t="shared" si="2813"/>
        <v xml:space="preserve"> </v>
      </c>
      <c r="AO294" s="168"/>
      <c r="AP294" s="167" t="str">
        <f t="shared" si="2814"/>
        <v xml:space="preserve"> </v>
      </c>
      <c r="AQ294" s="166"/>
      <c r="AR294" s="166" t="str">
        <f t="shared" si="2815"/>
        <v xml:space="preserve"> </v>
      </c>
      <c r="AS294" s="168" t="str">
        <f t="shared" si="2816"/>
        <v xml:space="preserve"> </v>
      </c>
      <c r="AT294" s="168"/>
      <c r="AU294" s="166" t="str">
        <f t="shared" si="2817"/>
        <v xml:space="preserve"> </v>
      </c>
      <c r="AV294" s="167"/>
      <c r="AW294" s="167"/>
      <c r="AX294" s="169" t="str">
        <f t="shared" si="2818"/>
        <v xml:space="preserve"> </v>
      </c>
      <c r="AY294" s="169"/>
      <c r="AZ294" s="167" t="str">
        <f t="shared" si="2819"/>
        <v xml:space="preserve"> </v>
      </c>
      <c r="BA294" s="166"/>
      <c r="BB294" s="166"/>
      <c r="BC294" s="168" t="str">
        <f t="shared" si="2820"/>
        <v xml:space="preserve"> </v>
      </c>
      <c r="BD294" s="168"/>
      <c r="BE294" s="166" t="str">
        <f t="shared" si="2821"/>
        <v xml:space="preserve"> </v>
      </c>
      <c r="BF294" s="167"/>
      <c r="BG294" s="167"/>
      <c r="BH294" s="168" t="str">
        <f t="shared" si="2822"/>
        <v xml:space="preserve"> </v>
      </c>
      <c r="BI294" s="168"/>
      <c r="BJ294" s="167" t="str">
        <f t="shared" si="2823"/>
        <v xml:space="preserve"> </v>
      </c>
      <c r="BK294" s="166"/>
      <c r="BL294" s="166" t="str">
        <f t="shared" si="2824"/>
        <v xml:space="preserve"> </v>
      </c>
      <c r="BM294" s="168" t="str">
        <f t="shared" si="2825"/>
        <v xml:space="preserve"> </v>
      </c>
      <c r="BN294" s="168"/>
      <c r="BO294" s="166" t="str">
        <f t="shared" si="2826"/>
        <v xml:space="preserve"> </v>
      </c>
    </row>
    <row r="295" spans="2:67" ht="15" customHeight="1" x14ac:dyDescent="0.25">
      <c r="B295" s="170">
        <v>46313</v>
      </c>
      <c r="C295" s="164"/>
      <c r="D295" s="166" t="str">
        <f t="shared" si="2793"/>
        <v xml:space="preserve"> </v>
      </c>
      <c r="E295" s="168" t="str">
        <f t="shared" si="2794"/>
        <v xml:space="preserve"> </v>
      </c>
      <c r="F295" s="168"/>
      <c r="G295" s="166" t="str">
        <f t="shared" si="2795"/>
        <v xml:space="preserve"> </v>
      </c>
      <c r="H295" s="167"/>
      <c r="I295" s="167" t="str">
        <f t="shared" si="2796"/>
        <v xml:space="preserve"> </v>
      </c>
      <c r="J295" s="168" t="str">
        <f t="shared" si="2797"/>
        <v xml:space="preserve"> </v>
      </c>
      <c r="K295" s="168"/>
      <c r="L295" s="167" t="str">
        <f t="shared" si="2798"/>
        <v xml:space="preserve"> </v>
      </c>
      <c r="M295" s="166"/>
      <c r="N295" s="166" t="str">
        <f t="shared" si="2799"/>
        <v xml:space="preserve"> </v>
      </c>
      <c r="O295" s="168" t="str">
        <f t="shared" si="2800"/>
        <v xml:space="preserve"> </v>
      </c>
      <c r="P295" s="168"/>
      <c r="Q295" s="166" t="str">
        <f t="shared" si="2801"/>
        <v xml:space="preserve"> </v>
      </c>
      <c r="R295" s="167">
        <f ca="1">+BDFUENTES[[#This Row],[PZ MED m3/día]]/3.6/BDFUENTES[[#This Row],[PZ MED Horas Activo]]</f>
        <v>0</v>
      </c>
      <c r="S295" s="167" t="str">
        <f t="shared" ca="1" si="2802"/>
        <v xml:space="preserve"> </v>
      </c>
      <c r="T295" s="168" t="str">
        <f t="shared" si="2803"/>
        <v xml:space="preserve"> </v>
      </c>
      <c r="U295" s="168"/>
      <c r="V295" s="165" t="str">
        <f t="shared" si="2804"/>
        <v xml:space="preserve"> </v>
      </c>
      <c r="W295" s="164" t="str">
        <f t="shared" si="2805"/>
        <v xml:space="preserve"> </v>
      </c>
      <c r="X295" s="166"/>
      <c r="Y295" s="168" t="str">
        <f t="shared" si="2806"/>
        <v xml:space="preserve"> </v>
      </c>
      <c r="Z295" s="168"/>
      <c r="AA295" s="166" t="str">
        <f t="shared" si="2807"/>
        <v xml:space="preserve"> </v>
      </c>
      <c r="AB295" s="168" t="str">
        <f t="shared" si="2808"/>
        <v xml:space="preserve"> </v>
      </c>
      <c r="AC295" s="168"/>
      <c r="AD295" s="171" t="str">
        <f t="shared" si="2809"/>
        <v xml:space="preserve"> </v>
      </c>
      <c r="AE295" s="167"/>
      <c r="AF295" s="165" t="str">
        <f t="shared" si="2810"/>
        <v xml:space="preserve"> </v>
      </c>
      <c r="AG295" s="168"/>
      <c r="AH295" s="168"/>
      <c r="AI295" s="166"/>
      <c r="AJ295" s="166"/>
      <c r="AK295" s="166" t="str">
        <f t="shared" si="2811"/>
        <v/>
      </c>
      <c r="AL295" s="167"/>
      <c r="AM295" s="171" t="str">
        <f t="shared" si="2812"/>
        <v xml:space="preserve"> </v>
      </c>
      <c r="AN295" s="168" t="str">
        <f t="shared" si="2813"/>
        <v xml:space="preserve"> </v>
      </c>
      <c r="AO295" s="168"/>
      <c r="AP295" s="167" t="str">
        <f t="shared" si="2814"/>
        <v xml:space="preserve"> </v>
      </c>
      <c r="AQ295" s="166"/>
      <c r="AR295" s="166" t="str">
        <f t="shared" si="2815"/>
        <v xml:space="preserve"> </v>
      </c>
      <c r="AS295" s="168" t="str">
        <f t="shared" si="2816"/>
        <v xml:space="preserve"> </v>
      </c>
      <c r="AT295" s="168"/>
      <c r="AU295" s="166" t="str">
        <f t="shared" si="2817"/>
        <v xml:space="preserve"> </v>
      </c>
      <c r="AV295" s="167"/>
      <c r="AW295" s="167"/>
      <c r="AX295" s="169" t="str">
        <f t="shared" si="2818"/>
        <v xml:space="preserve"> </v>
      </c>
      <c r="AY295" s="169"/>
      <c r="AZ295" s="167" t="str">
        <f t="shared" si="2819"/>
        <v xml:space="preserve"> </v>
      </c>
      <c r="BA295" s="166"/>
      <c r="BB295" s="166"/>
      <c r="BC295" s="168" t="str">
        <f t="shared" si="2820"/>
        <v xml:space="preserve"> </v>
      </c>
      <c r="BD295" s="168"/>
      <c r="BE295" s="166" t="str">
        <f t="shared" si="2821"/>
        <v xml:space="preserve"> </v>
      </c>
      <c r="BF295" s="167"/>
      <c r="BG295" s="167"/>
      <c r="BH295" s="168" t="str">
        <f t="shared" si="2822"/>
        <v xml:space="preserve"> </v>
      </c>
      <c r="BI295" s="168"/>
      <c r="BJ295" s="167" t="str">
        <f t="shared" si="2823"/>
        <v xml:space="preserve"> </v>
      </c>
      <c r="BK295" s="166"/>
      <c r="BL295" s="166" t="str">
        <f t="shared" si="2824"/>
        <v xml:space="preserve"> </v>
      </c>
      <c r="BM295" s="168" t="str">
        <f t="shared" si="2825"/>
        <v xml:space="preserve"> </v>
      </c>
      <c r="BN295" s="168"/>
      <c r="BO295" s="166" t="str">
        <f t="shared" si="2826"/>
        <v xml:space="preserve"> </v>
      </c>
    </row>
    <row r="296" spans="2:67" ht="15" customHeight="1" x14ac:dyDescent="0.25">
      <c r="B296" s="170">
        <v>46314</v>
      </c>
      <c r="C296" s="164"/>
      <c r="D296" s="166" t="str">
        <f t="shared" ref="D296:D359" si="2827">IFERROR(+G296/(C296*3.6)," ")</f>
        <v xml:space="preserve"> </v>
      </c>
      <c r="E296" s="168" t="str">
        <f t="shared" ref="E296:E359" si="2828">IF(F296&gt;0,F295," ")</f>
        <v xml:space="preserve"> </v>
      </c>
      <c r="F296" s="168"/>
      <c r="G296" s="166" t="str">
        <f t="shared" ref="G296:G359" si="2829">IFERROR((F296-E296)," ")</f>
        <v xml:space="preserve"> </v>
      </c>
      <c r="H296" s="167"/>
      <c r="I296" s="167" t="str">
        <f t="shared" ref="I296:I359" si="2830">IFERROR(+L296/(H296*3.6)," ")</f>
        <v xml:space="preserve"> </v>
      </c>
      <c r="J296" s="168" t="str">
        <f t="shared" ref="J296:J359" si="2831">IF(K296&gt;0,K295," ")</f>
        <v xml:space="preserve"> </v>
      </c>
      <c r="K296" s="168"/>
      <c r="L296" s="167" t="str">
        <f t="shared" ref="L296:L359" si="2832">IFERROR((K296-J296)," ")</f>
        <v xml:space="preserve"> </v>
      </c>
      <c r="M296" s="166"/>
      <c r="N296" s="166" t="str">
        <f t="shared" ref="N296:N359" si="2833">IFERROR(+Q296/(M296*3.6)," ")</f>
        <v xml:space="preserve"> </v>
      </c>
      <c r="O296" s="168" t="str">
        <f t="shared" ref="O296:O359" si="2834">IF(P296&gt;0,P295," ")</f>
        <v xml:space="preserve"> </v>
      </c>
      <c r="P296" s="168"/>
      <c r="Q296" s="166" t="str">
        <f t="shared" ref="Q296:Q359" si="2835">IFERROR((P296-O296)," ")</f>
        <v xml:space="preserve"> </v>
      </c>
      <c r="R296" s="167">
        <f ca="1">+BDFUENTES[[#This Row],[PZ MED m3/día]]/3.6/BDFUENTES[[#This Row],[PZ MED Horas Activo]]</f>
        <v>0</v>
      </c>
      <c r="S296" s="167" t="str">
        <f t="shared" ref="S296:S359" ca="1" si="2836">IFERROR(+V296/(R296*3.6)," ")</f>
        <v xml:space="preserve"> </v>
      </c>
      <c r="T296" s="168" t="str">
        <f t="shared" ref="T296:T359" si="2837">IF(U296&gt;0,U295," ")</f>
        <v xml:space="preserve"> </v>
      </c>
      <c r="U296" s="168"/>
      <c r="V296" s="165" t="str">
        <f t="shared" ref="V296:V359" si="2838">IFERROR((U296-T296)," ")</f>
        <v xml:space="preserve"> </v>
      </c>
      <c r="W296" s="164" t="str">
        <f t="shared" ref="W296:W359" si="2839">IFERROR((AA296/X296)/3.6," ")</f>
        <v xml:space="preserve"> </v>
      </c>
      <c r="X296" s="166"/>
      <c r="Y296" s="168" t="str">
        <f t="shared" ref="Y296:Y359" si="2840">IF(Z296&gt;0,Z295," ")</f>
        <v xml:space="preserve"> </v>
      </c>
      <c r="Z296" s="168"/>
      <c r="AA296" s="166" t="str">
        <f t="shared" ref="AA296:AA359" si="2841">IFERROR(-(Z296-Y296)," ")</f>
        <v xml:space="preserve"> </v>
      </c>
      <c r="AB296" s="168" t="str">
        <f t="shared" ref="AB296:AB359" si="2842">IFERROR(ROUNDDOWN(+AF296/(AC296*3.6),0)," ")</f>
        <v xml:space="preserve"> </v>
      </c>
      <c r="AC296" s="168"/>
      <c r="AD296" s="171" t="str">
        <f t="shared" ref="AD296:AD359" si="2843">IF(AE296&gt;0,AE295," ")</f>
        <v xml:space="preserve"> </v>
      </c>
      <c r="AE296" s="167"/>
      <c r="AF296" s="165" t="str">
        <f t="shared" ref="AF296:AF359" si="2844">IFERROR((AE296-AD296)," ")</f>
        <v xml:space="preserve"> </v>
      </c>
      <c r="AG296" s="168"/>
      <c r="AH296" s="168"/>
      <c r="AI296" s="166"/>
      <c r="AJ296" s="166"/>
      <c r="AK296" s="166" t="str">
        <f t="shared" ref="AK296:AK359" si="2845">IF(OR(AH296="",AG296=""),"",AH296*AG296*3.6)</f>
        <v/>
      </c>
      <c r="AL296" s="167"/>
      <c r="AM296" s="171" t="str">
        <f t="shared" ref="AM296:AM359" si="2846">IFERROR(+AP296/(AL296*3.6)," ")</f>
        <v xml:space="preserve"> </v>
      </c>
      <c r="AN296" s="168" t="str">
        <f t="shared" ref="AN296:AN359" si="2847">IF(AO296&gt;0,AO295," ")</f>
        <v xml:space="preserve"> </v>
      </c>
      <c r="AO296" s="168"/>
      <c r="AP296" s="167" t="str">
        <f t="shared" ref="AP296:AP359" si="2848">IFERROR((AO296-AN296)," ")</f>
        <v xml:space="preserve"> </v>
      </c>
      <c r="AQ296" s="166"/>
      <c r="AR296" s="166" t="str">
        <f t="shared" ref="AR296:AR359" si="2849">IFERROR(+AU296/(AQ296*3.6)," ")</f>
        <v xml:space="preserve"> </v>
      </c>
      <c r="AS296" s="168" t="str">
        <f t="shared" ref="AS296:AS359" si="2850">IF(AT296&gt;0,AT295," ")</f>
        <v xml:space="preserve"> </v>
      </c>
      <c r="AT296" s="168"/>
      <c r="AU296" s="166" t="str">
        <f t="shared" ref="AU296:AU359" si="2851">IFERROR((AT296-AS296)," ")</f>
        <v xml:space="preserve"> </v>
      </c>
      <c r="AV296" s="167"/>
      <c r="AW296" s="167"/>
      <c r="AX296" s="169" t="str">
        <f t="shared" ref="AX296:AX359" si="2852">IF(AY296&gt;0,AY295," ")</f>
        <v xml:space="preserve"> </v>
      </c>
      <c r="AY296" s="169"/>
      <c r="AZ296" s="167" t="str">
        <f t="shared" ref="AZ296:AZ359" si="2853">IFERROR((AY296-AX296)," ")</f>
        <v xml:space="preserve"> </v>
      </c>
      <c r="BA296" s="166"/>
      <c r="BB296" s="166"/>
      <c r="BC296" s="168" t="str">
        <f t="shared" ref="BC296:BC359" si="2854">IF(BD296&gt;0,BD295," ")</f>
        <v xml:space="preserve"> </v>
      </c>
      <c r="BD296" s="168"/>
      <c r="BE296" s="166" t="str">
        <f t="shared" ref="BE296:BE359" si="2855">IFERROR((BD296-BC296)," ")</f>
        <v xml:space="preserve"> </v>
      </c>
      <c r="BF296" s="167"/>
      <c r="BG296" s="167"/>
      <c r="BH296" s="168" t="str">
        <f t="shared" ref="BH296:BH359" si="2856">IF(BI296&gt;0,BI295," ")</f>
        <v xml:space="preserve"> </v>
      </c>
      <c r="BI296" s="168"/>
      <c r="BJ296" s="167" t="str">
        <f t="shared" ref="BJ296:BJ359" si="2857">IFERROR((BI296-BH296)," ")</f>
        <v xml:space="preserve"> </v>
      </c>
      <c r="BK296" s="166"/>
      <c r="BL296" s="166" t="str">
        <f t="shared" ref="BL296:BL359" si="2858">IFERROR(+BO296/(BK296*3.6)," ")</f>
        <v xml:space="preserve"> </v>
      </c>
      <c r="BM296" s="168" t="str">
        <f t="shared" ref="BM296:BM359" si="2859">IF(BN296&gt;0,BN295," ")</f>
        <v xml:space="preserve"> </v>
      </c>
      <c r="BN296" s="168"/>
      <c r="BO296" s="166" t="str">
        <f t="shared" ref="BO296:BO359" si="2860">IFERROR((BN296-BM296)," ")</f>
        <v xml:space="preserve"> </v>
      </c>
    </row>
    <row r="297" spans="2:67" ht="15" customHeight="1" x14ac:dyDescent="0.25">
      <c r="B297" s="170">
        <v>46315</v>
      </c>
      <c r="C297" s="164"/>
      <c r="D297" s="166" t="str">
        <f t="shared" si="2827"/>
        <v xml:space="preserve"> </v>
      </c>
      <c r="E297" s="168" t="str">
        <f t="shared" si="2828"/>
        <v xml:space="preserve"> </v>
      </c>
      <c r="F297" s="168"/>
      <c r="G297" s="166" t="str">
        <f t="shared" si="2829"/>
        <v xml:space="preserve"> </v>
      </c>
      <c r="H297" s="167"/>
      <c r="I297" s="167" t="str">
        <f t="shared" si="2830"/>
        <v xml:space="preserve"> </v>
      </c>
      <c r="J297" s="168" t="str">
        <f t="shared" si="2831"/>
        <v xml:space="preserve"> </v>
      </c>
      <c r="K297" s="168"/>
      <c r="L297" s="167" t="str">
        <f t="shared" si="2832"/>
        <v xml:space="preserve"> </v>
      </c>
      <c r="M297" s="166"/>
      <c r="N297" s="166" t="str">
        <f t="shared" si="2833"/>
        <v xml:space="preserve"> </v>
      </c>
      <c r="O297" s="168" t="str">
        <f t="shared" si="2834"/>
        <v xml:space="preserve"> </v>
      </c>
      <c r="P297" s="168"/>
      <c r="Q297" s="166" t="str">
        <f t="shared" si="2835"/>
        <v xml:space="preserve"> </v>
      </c>
      <c r="R297" s="167">
        <f ca="1">+BDFUENTES[[#This Row],[PZ MED m3/día]]/3.6/BDFUENTES[[#This Row],[PZ MED Horas Activo]]</f>
        <v>0</v>
      </c>
      <c r="S297" s="167" t="str">
        <f t="shared" ca="1" si="2836"/>
        <v xml:space="preserve"> </v>
      </c>
      <c r="T297" s="168" t="str">
        <f t="shared" si="2837"/>
        <v xml:space="preserve"> </v>
      </c>
      <c r="U297" s="168"/>
      <c r="V297" s="165" t="str">
        <f t="shared" si="2838"/>
        <v xml:space="preserve"> </v>
      </c>
      <c r="W297" s="164" t="str">
        <f t="shared" si="2839"/>
        <v xml:space="preserve"> </v>
      </c>
      <c r="X297" s="166"/>
      <c r="Y297" s="168" t="str">
        <f t="shared" si="2840"/>
        <v xml:space="preserve"> </v>
      </c>
      <c r="Z297" s="168"/>
      <c r="AA297" s="166" t="str">
        <f t="shared" si="2841"/>
        <v xml:space="preserve"> </v>
      </c>
      <c r="AB297" s="168" t="str">
        <f t="shared" si="2842"/>
        <v xml:space="preserve"> </v>
      </c>
      <c r="AC297" s="168"/>
      <c r="AD297" s="171" t="str">
        <f t="shared" si="2843"/>
        <v xml:space="preserve"> </v>
      </c>
      <c r="AE297" s="167"/>
      <c r="AF297" s="165" t="str">
        <f t="shared" si="2844"/>
        <v xml:space="preserve"> </v>
      </c>
      <c r="AG297" s="168"/>
      <c r="AH297" s="168"/>
      <c r="AI297" s="166"/>
      <c r="AJ297" s="166"/>
      <c r="AK297" s="166" t="str">
        <f t="shared" si="2845"/>
        <v/>
      </c>
      <c r="AL297" s="167"/>
      <c r="AM297" s="171" t="str">
        <f t="shared" si="2846"/>
        <v xml:space="preserve"> </v>
      </c>
      <c r="AN297" s="168" t="str">
        <f t="shared" si="2847"/>
        <v xml:space="preserve"> </v>
      </c>
      <c r="AO297" s="168"/>
      <c r="AP297" s="167" t="str">
        <f t="shared" si="2848"/>
        <v xml:space="preserve"> </v>
      </c>
      <c r="AQ297" s="166"/>
      <c r="AR297" s="166" t="str">
        <f t="shared" si="2849"/>
        <v xml:space="preserve"> </v>
      </c>
      <c r="AS297" s="168" t="str">
        <f t="shared" si="2850"/>
        <v xml:space="preserve"> </v>
      </c>
      <c r="AT297" s="168"/>
      <c r="AU297" s="166" t="str">
        <f t="shared" si="2851"/>
        <v xml:space="preserve"> </v>
      </c>
      <c r="AV297" s="167"/>
      <c r="AW297" s="167"/>
      <c r="AX297" s="169" t="str">
        <f t="shared" si="2852"/>
        <v xml:space="preserve"> </v>
      </c>
      <c r="AY297" s="169"/>
      <c r="AZ297" s="167" t="str">
        <f t="shared" si="2853"/>
        <v xml:space="preserve"> </v>
      </c>
      <c r="BA297" s="166"/>
      <c r="BB297" s="166"/>
      <c r="BC297" s="168" t="str">
        <f t="shared" si="2854"/>
        <v xml:space="preserve"> </v>
      </c>
      <c r="BD297" s="168"/>
      <c r="BE297" s="166" t="str">
        <f t="shared" si="2855"/>
        <v xml:space="preserve"> </v>
      </c>
      <c r="BF297" s="167"/>
      <c r="BG297" s="167"/>
      <c r="BH297" s="168" t="str">
        <f t="shared" si="2856"/>
        <v xml:space="preserve"> </v>
      </c>
      <c r="BI297" s="168"/>
      <c r="BJ297" s="167" t="str">
        <f t="shared" si="2857"/>
        <v xml:space="preserve"> </v>
      </c>
      <c r="BK297" s="166"/>
      <c r="BL297" s="166" t="str">
        <f t="shared" si="2858"/>
        <v xml:space="preserve"> </v>
      </c>
      <c r="BM297" s="168" t="str">
        <f t="shared" si="2859"/>
        <v xml:space="preserve"> </v>
      </c>
      <c r="BN297" s="168"/>
      <c r="BO297" s="166" t="str">
        <f t="shared" si="2860"/>
        <v xml:space="preserve"> </v>
      </c>
    </row>
    <row r="298" spans="2:67" ht="15" customHeight="1" x14ac:dyDescent="0.25">
      <c r="B298" s="170">
        <v>46316</v>
      </c>
      <c r="C298" s="164"/>
      <c r="D298" s="166" t="str">
        <f t="shared" si="2827"/>
        <v xml:space="preserve"> </v>
      </c>
      <c r="E298" s="168" t="str">
        <f t="shared" si="2828"/>
        <v xml:space="preserve"> </v>
      </c>
      <c r="F298" s="168"/>
      <c r="G298" s="166" t="str">
        <f t="shared" si="2829"/>
        <v xml:space="preserve"> </v>
      </c>
      <c r="H298" s="167"/>
      <c r="I298" s="167" t="str">
        <f t="shared" si="2830"/>
        <v xml:space="preserve"> </v>
      </c>
      <c r="J298" s="168" t="str">
        <f t="shared" si="2831"/>
        <v xml:space="preserve"> </v>
      </c>
      <c r="K298" s="168"/>
      <c r="L298" s="167" t="str">
        <f t="shared" si="2832"/>
        <v xml:space="preserve"> </v>
      </c>
      <c r="M298" s="166"/>
      <c r="N298" s="166" t="str">
        <f t="shared" si="2833"/>
        <v xml:space="preserve"> </v>
      </c>
      <c r="O298" s="168" t="str">
        <f t="shared" si="2834"/>
        <v xml:space="preserve"> </v>
      </c>
      <c r="P298" s="168"/>
      <c r="Q298" s="166" t="str">
        <f t="shared" si="2835"/>
        <v xml:space="preserve"> </v>
      </c>
      <c r="R298" s="167">
        <f ca="1">+BDFUENTES[[#This Row],[PZ MED m3/día]]/3.6/BDFUENTES[[#This Row],[PZ MED Horas Activo]]</f>
        <v>0</v>
      </c>
      <c r="S298" s="167" t="str">
        <f t="shared" ca="1" si="2836"/>
        <v xml:space="preserve"> </v>
      </c>
      <c r="T298" s="168" t="str">
        <f t="shared" si="2837"/>
        <v xml:space="preserve"> </v>
      </c>
      <c r="U298" s="168"/>
      <c r="V298" s="165" t="str">
        <f t="shared" si="2838"/>
        <v xml:space="preserve"> </v>
      </c>
      <c r="W298" s="164" t="str">
        <f t="shared" si="2839"/>
        <v xml:space="preserve"> </v>
      </c>
      <c r="X298" s="166"/>
      <c r="Y298" s="168" t="str">
        <f t="shared" si="2840"/>
        <v xml:space="preserve"> </v>
      </c>
      <c r="Z298" s="168"/>
      <c r="AA298" s="166" t="str">
        <f t="shared" si="2841"/>
        <v xml:space="preserve"> </v>
      </c>
      <c r="AB298" s="168" t="str">
        <f t="shared" si="2842"/>
        <v xml:space="preserve"> </v>
      </c>
      <c r="AC298" s="168"/>
      <c r="AD298" s="171" t="str">
        <f t="shared" si="2843"/>
        <v xml:space="preserve"> </v>
      </c>
      <c r="AE298" s="167"/>
      <c r="AF298" s="165" t="str">
        <f t="shared" si="2844"/>
        <v xml:space="preserve"> </v>
      </c>
      <c r="AG298" s="168"/>
      <c r="AH298" s="168"/>
      <c r="AI298" s="166"/>
      <c r="AJ298" s="166"/>
      <c r="AK298" s="166" t="str">
        <f t="shared" si="2845"/>
        <v/>
      </c>
      <c r="AL298" s="167"/>
      <c r="AM298" s="171" t="str">
        <f t="shared" si="2846"/>
        <v xml:space="preserve"> </v>
      </c>
      <c r="AN298" s="168" t="str">
        <f t="shared" si="2847"/>
        <v xml:space="preserve"> </v>
      </c>
      <c r="AO298" s="168"/>
      <c r="AP298" s="167" t="str">
        <f t="shared" si="2848"/>
        <v xml:space="preserve"> </v>
      </c>
      <c r="AQ298" s="166"/>
      <c r="AR298" s="166" t="str">
        <f t="shared" si="2849"/>
        <v xml:space="preserve"> </v>
      </c>
      <c r="AS298" s="168" t="str">
        <f t="shared" si="2850"/>
        <v xml:space="preserve"> </v>
      </c>
      <c r="AT298" s="168"/>
      <c r="AU298" s="166" t="str">
        <f t="shared" si="2851"/>
        <v xml:space="preserve"> </v>
      </c>
      <c r="AV298" s="167"/>
      <c r="AW298" s="167"/>
      <c r="AX298" s="169" t="str">
        <f t="shared" si="2852"/>
        <v xml:space="preserve"> </v>
      </c>
      <c r="AY298" s="169"/>
      <c r="AZ298" s="167" t="str">
        <f t="shared" si="2853"/>
        <v xml:space="preserve"> </v>
      </c>
      <c r="BA298" s="166"/>
      <c r="BB298" s="166"/>
      <c r="BC298" s="168" t="str">
        <f t="shared" si="2854"/>
        <v xml:space="preserve"> </v>
      </c>
      <c r="BD298" s="168"/>
      <c r="BE298" s="166" t="str">
        <f t="shared" si="2855"/>
        <v xml:space="preserve"> </v>
      </c>
      <c r="BF298" s="167"/>
      <c r="BG298" s="167"/>
      <c r="BH298" s="168" t="str">
        <f t="shared" si="2856"/>
        <v xml:space="preserve"> </v>
      </c>
      <c r="BI298" s="168"/>
      <c r="BJ298" s="167" t="str">
        <f t="shared" si="2857"/>
        <v xml:space="preserve"> </v>
      </c>
      <c r="BK298" s="166"/>
      <c r="BL298" s="166" t="str">
        <f t="shared" si="2858"/>
        <v xml:space="preserve"> </v>
      </c>
      <c r="BM298" s="168" t="str">
        <f t="shared" si="2859"/>
        <v xml:space="preserve"> </v>
      </c>
      <c r="BN298" s="168"/>
      <c r="BO298" s="166" t="str">
        <f t="shared" si="2860"/>
        <v xml:space="preserve"> </v>
      </c>
    </row>
    <row r="299" spans="2:67" ht="15" customHeight="1" x14ac:dyDescent="0.25">
      <c r="B299" s="170">
        <v>46317</v>
      </c>
      <c r="C299" s="164"/>
      <c r="D299" s="166" t="str">
        <f t="shared" si="2827"/>
        <v xml:space="preserve"> </v>
      </c>
      <c r="E299" s="168" t="str">
        <f t="shared" si="2828"/>
        <v xml:space="preserve"> </v>
      </c>
      <c r="F299" s="168"/>
      <c r="G299" s="166" t="str">
        <f t="shared" si="2829"/>
        <v xml:space="preserve"> </v>
      </c>
      <c r="H299" s="167"/>
      <c r="I299" s="167" t="str">
        <f t="shared" si="2830"/>
        <v xml:space="preserve"> </v>
      </c>
      <c r="J299" s="168" t="str">
        <f t="shared" si="2831"/>
        <v xml:space="preserve"> </v>
      </c>
      <c r="K299" s="168"/>
      <c r="L299" s="167" t="str">
        <f t="shared" si="2832"/>
        <v xml:space="preserve"> </v>
      </c>
      <c r="M299" s="166"/>
      <c r="N299" s="166" t="str">
        <f t="shared" si="2833"/>
        <v xml:space="preserve"> </v>
      </c>
      <c r="O299" s="168" t="str">
        <f t="shared" si="2834"/>
        <v xml:space="preserve"> </v>
      </c>
      <c r="P299" s="168"/>
      <c r="Q299" s="166" t="str">
        <f t="shared" si="2835"/>
        <v xml:space="preserve"> </v>
      </c>
      <c r="R299" s="167">
        <f ca="1">+BDFUENTES[[#This Row],[PZ MED m3/día]]/3.6/BDFUENTES[[#This Row],[PZ MED Horas Activo]]</f>
        <v>0</v>
      </c>
      <c r="S299" s="167" t="str">
        <f t="shared" ca="1" si="2836"/>
        <v xml:space="preserve"> </v>
      </c>
      <c r="T299" s="168" t="str">
        <f t="shared" si="2837"/>
        <v xml:space="preserve"> </v>
      </c>
      <c r="U299" s="168"/>
      <c r="V299" s="165" t="str">
        <f t="shared" si="2838"/>
        <v xml:space="preserve"> </v>
      </c>
      <c r="W299" s="164" t="str">
        <f t="shared" si="2839"/>
        <v xml:space="preserve"> </v>
      </c>
      <c r="X299" s="166"/>
      <c r="Y299" s="168" t="str">
        <f t="shared" si="2840"/>
        <v xml:space="preserve"> </v>
      </c>
      <c r="Z299" s="168"/>
      <c r="AA299" s="166" t="str">
        <f t="shared" si="2841"/>
        <v xml:space="preserve"> </v>
      </c>
      <c r="AB299" s="168" t="str">
        <f t="shared" si="2842"/>
        <v xml:space="preserve"> </v>
      </c>
      <c r="AC299" s="168"/>
      <c r="AD299" s="171" t="str">
        <f t="shared" si="2843"/>
        <v xml:space="preserve"> </v>
      </c>
      <c r="AE299" s="167"/>
      <c r="AF299" s="165" t="str">
        <f t="shared" si="2844"/>
        <v xml:space="preserve"> </v>
      </c>
      <c r="AG299" s="168"/>
      <c r="AH299" s="168"/>
      <c r="AI299" s="166"/>
      <c r="AJ299" s="166"/>
      <c r="AK299" s="166" t="str">
        <f t="shared" si="2845"/>
        <v/>
      </c>
      <c r="AL299" s="167"/>
      <c r="AM299" s="171" t="str">
        <f t="shared" si="2846"/>
        <v xml:space="preserve"> </v>
      </c>
      <c r="AN299" s="168" t="str">
        <f t="shared" si="2847"/>
        <v xml:space="preserve"> </v>
      </c>
      <c r="AO299" s="168"/>
      <c r="AP299" s="167" t="str">
        <f t="shared" si="2848"/>
        <v xml:space="preserve"> </v>
      </c>
      <c r="AQ299" s="166"/>
      <c r="AR299" s="166" t="str">
        <f t="shared" si="2849"/>
        <v xml:space="preserve"> </v>
      </c>
      <c r="AS299" s="168" t="str">
        <f t="shared" si="2850"/>
        <v xml:space="preserve"> </v>
      </c>
      <c r="AT299" s="168"/>
      <c r="AU299" s="166" t="str">
        <f t="shared" si="2851"/>
        <v xml:space="preserve"> </v>
      </c>
      <c r="AV299" s="167"/>
      <c r="AW299" s="167"/>
      <c r="AX299" s="169" t="str">
        <f t="shared" si="2852"/>
        <v xml:space="preserve"> </v>
      </c>
      <c r="AY299" s="169"/>
      <c r="AZ299" s="167" t="str">
        <f t="shared" si="2853"/>
        <v xml:space="preserve"> </v>
      </c>
      <c r="BA299" s="166"/>
      <c r="BB299" s="166"/>
      <c r="BC299" s="168" t="str">
        <f t="shared" si="2854"/>
        <v xml:space="preserve"> </v>
      </c>
      <c r="BD299" s="168"/>
      <c r="BE299" s="166" t="str">
        <f t="shared" si="2855"/>
        <v xml:space="preserve"> </v>
      </c>
      <c r="BF299" s="167"/>
      <c r="BG299" s="167"/>
      <c r="BH299" s="168" t="str">
        <f t="shared" si="2856"/>
        <v xml:space="preserve"> </v>
      </c>
      <c r="BI299" s="168"/>
      <c r="BJ299" s="167" t="str">
        <f t="shared" si="2857"/>
        <v xml:space="preserve"> </v>
      </c>
      <c r="BK299" s="166"/>
      <c r="BL299" s="166" t="str">
        <f t="shared" si="2858"/>
        <v xml:space="preserve"> </v>
      </c>
      <c r="BM299" s="168" t="str">
        <f t="shared" si="2859"/>
        <v xml:space="preserve"> </v>
      </c>
      <c r="BN299" s="168"/>
      <c r="BO299" s="166" t="str">
        <f t="shared" si="2860"/>
        <v xml:space="preserve"> </v>
      </c>
    </row>
    <row r="300" spans="2:67" ht="15" customHeight="1" x14ac:dyDescent="0.25">
      <c r="B300" s="170">
        <v>46318</v>
      </c>
      <c r="C300" s="164"/>
      <c r="D300" s="166" t="str">
        <f t="shared" si="2827"/>
        <v xml:space="preserve"> </v>
      </c>
      <c r="E300" s="168" t="str">
        <f t="shared" si="2828"/>
        <v xml:space="preserve"> </v>
      </c>
      <c r="F300" s="168"/>
      <c r="G300" s="166" t="str">
        <f t="shared" si="2829"/>
        <v xml:space="preserve"> </v>
      </c>
      <c r="H300" s="167"/>
      <c r="I300" s="167" t="str">
        <f t="shared" si="2830"/>
        <v xml:space="preserve"> </v>
      </c>
      <c r="J300" s="168" t="str">
        <f t="shared" si="2831"/>
        <v xml:space="preserve"> </v>
      </c>
      <c r="K300" s="168"/>
      <c r="L300" s="167" t="str">
        <f t="shared" si="2832"/>
        <v xml:space="preserve"> </v>
      </c>
      <c r="M300" s="166"/>
      <c r="N300" s="166" t="str">
        <f t="shared" si="2833"/>
        <v xml:space="preserve"> </v>
      </c>
      <c r="O300" s="168" t="str">
        <f t="shared" si="2834"/>
        <v xml:space="preserve"> </v>
      </c>
      <c r="P300" s="168"/>
      <c r="Q300" s="166" t="str">
        <f t="shared" si="2835"/>
        <v xml:space="preserve"> </v>
      </c>
      <c r="R300" s="167">
        <f ca="1">+BDFUENTES[[#This Row],[PZ MED m3/día]]/3.6/BDFUENTES[[#This Row],[PZ MED Horas Activo]]</f>
        <v>0</v>
      </c>
      <c r="S300" s="167" t="str">
        <f t="shared" ca="1" si="2836"/>
        <v xml:space="preserve"> </v>
      </c>
      <c r="T300" s="168" t="str">
        <f t="shared" si="2837"/>
        <v xml:space="preserve"> </v>
      </c>
      <c r="U300" s="168"/>
      <c r="V300" s="165" t="str">
        <f t="shared" si="2838"/>
        <v xml:space="preserve"> </v>
      </c>
      <c r="W300" s="164" t="str">
        <f t="shared" si="2839"/>
        <v xml:space="preserve"> </v>
      </c>
      <c r="X300" s="166"/>
      <c r="Y300" s="168" t="str">
        <f t="shared" si="2840"/>
        <v xml:space="preserve"> </v>
      </c>
      <c r="Z300" s="168"/>
      <c r="AA300" s="166" t="str">
        <f t="shared" si="2841"/>
        <v xml:space="preserve"> </v>
      </c>
      <c r="AB300" s="168" t="str">
        <f t="shared" si="2842"/>
        <v xml:space="preserve"> </v>
      </c>
      <c r="AC300" s="168"/>
      <c r="AD300" s="171" t="str">
        <f t="shared" si="2843"/>
        <v xml:space="preserve"> </v>
      </c>
      <c r="AE300" s="167"/>
      <c r="AF300" s="165" t="str">
        <f t="shared" si="2844"/>
        <v xml:space="preserve"> </v>
      </c>
      <c r="AG300" s="168"/>
      <c r="AH300" s="168"/>
      <c r="AI300" s="166"/>
      <c r="AJ300" s="166"/>
      <c r="AK300" s="166" t="str">
        <f t="shared" si="2845"/>
        <v/>
      </c>
      <c r="AL300" s="167"/>
      <c r="AM300" s="171" t="str">
        <f t="shared" si="2846"/>
        <v xml:space="preserve"> </v>
      </c>
      <c r="AN300" s="168" t="str">
        <f t="shared" si="2847"/>
        <v xml:space="preserve"> </v>
      </c>
      <c r="AO300" s="168"/>
      <c r="AP300" s="167" t="str">
        <f t="shared" si="2848"/>
        <v xml:space="preserve"> </v>
      </c>
      <c r="AQ300" s="166"/>
      <c r="AR300" s="166" t="str">
        <f t="shared" si="2849"/>
        <v xml:space="preserve"> </v>
      </c>
      <c r="AS300" s="168" t="str">
        <f t="shared" si="2850"/>
        <v xml:space="preserve"> </v>
      </c>
      <c r="AT300" s="168"/>
      <c r="AU300" s="166" t="str">
        <f t="shared" si="2851"/>
        <v xml:space="preserve"> </v>
      </c>
      <c r="AV300" s="167"/>
      <c r="AW300" s="167"/>
      <c r="AX300" s="169" t="str">
        <f t="shared" si="2852"/>
        <v xml:space="preserve"> </v>
      </c>
      <c r="AY300" s="169"/>
      <c r="AZ300" s="167" t="str">
        <f t="shared" si="2853"/>
        <v xml:space="preserve"> </v>
      </c>
      <c r="BA300" s="166"/>
      <c r="BB300" s="166"/>
      <c r="BC300" s="168" t="str">
        <f t="shared" si="2854"/>
        <v xml:space="preserve"> </v>
      </c>
      <c r="BD300" s="168"/>
      <c r="BE300" s="166" t="str">
        <f t="shared" si="2855"/>
        <v xml:space="preserve"> </v>
      </c>
      <c r="BF300" s="167"/>
      <c r="BG300" s="167"/>
      <c r="BH300" s="168" t="str">
        <f t="shared" si="2856"/>
        <v xml:space="preserve"> </v>
      </c>
      <c r="BI300" s="168"/>
      <c r="BJ300" s="167" t="str">
        <f t="shared" si="2857"/>
        <v xml:space="preserve"> </v>
      </c>
      <c r="BK300" s="166"/>
      <c r="BL300" s="166" t="str">
        <f t="shared" si="2858"/>
        <v xml:space="preserve"> </v>
      </c>
      <c r="BM300" s="168" t="str">
        <f t="shared" si="2859"/>
        <v xml:space="preserve"> </v>
      </c>
      <c r="BN300" s="168"/>
      <c r="BO300" s="166" t="str">
        <f t="shared" si="2860"/>
        <v xml:space="preserve"> </v>
      </c>
    </row>
    <row r="301" spans="2:67" ht="15" customHeight="1" x14ac:dyDescent="0.25">
      <c r="B301" s="170">
        <v>46319</v>
      </c>
      <c r="C301" s="164"/>
      <c r="D301" s="166" t="str">
        <f t="shared" si="2827"/>
        <v xml:space="preserve"> </v>
      </c>
      <c r="E301" s="168" t="str">
        <f t="shared" si="2828"/>
        <v xml:space="preserve"> </v>
      </c>
      <c r="F301" s="168"/>
      <c r="G301" s="166" t="str">
        <f t="shared" si="2829"/>
        <v xml:space="preserve"> </v>
      </c>
      <c r="H301" s="167"/>
      <c r="I301" s="167" t="str">
        <f t="shared" si="2830"/>
        <v xml:space="preserve"> </v>
      </c>
      <c r="J301" s="168" t="str">
        <f t="shared" si="2831"/>
        <v xml:space="preserve"> </v>
      </c>
      <c r="K301" s="168"/>
      <c r="L301" s="167" t="str">
        <f t="shared" si="2832"/>
        <v xml:space="preserve"> </v>
      </c>
      <c r="M301" s="166"/>
      <c r="N301" s="166" t="str">
        <f t="shared" si="2833"/>
        <v xml:space="preserve"> </v>
      </c>
      <c r="O301" s="168" t="str">
        <f t="shared" si="2834"/>
        <v xml:space="preserve"> </v>
      </c>
      <c r="P301" s="168"/>
      <c r="Q301" s="166" t="str">
        <f t="shared" si="2835"/>
        <v xml:space="preserve"> </v>
      </c>
      <c r="R301" s="167">
        <f ca="1">+BDFUENTES[[#This Row],[PZ MED m3/día]]/3.6/BDFUENTES[[#This Row],[PZ MED Horas Activo]]</f>
        <v>0</v>
      </c>
      <c r="S301" s="167" t="str">
        <f t="shared" ca="1" si="2836"/>
        <v xml:space="preserve"> </v>
      </c>
      <c r="T301" s="168" t="str">
        <f t="shared" si="2837"/>
        <v xml:space="preserve"> </v>
      </c>
      <c r="U301" s="168"/>
      <c r="V301" s="165" t="str">
        <f t="shared" si="2838"/>
        <v xml:space="preserve"> </v>
      </c>
      <c r="W301" s="164" t="str">
        <f t="shared" si="2839"/>
        <v xml:space="preserve"> </v>
      </c>
      <c r="X301" s="166"/>
      <c r="Y301" s="168" t="str">
        <f t="shared" si="2840"/>
        <v xml:space="preserve"> </v>
      </c>
      <c r="Z301" s="168"/>
      <c r="AA301" s="166" t="str">
        <f t="shared" si="2841"/>
        <v xml:space="preserve"> </v>
      </c>
      <c r="AB301" s="168" t="str">
        <f t="shared" si="2842"/>
        <v xml:space="preserve"> </v>
      </c>
      <c r="AC301" s="168"/>
      <c r="AD301" s="171" t="str">
        <f t="shared" si="2843"/>
        <v xml:space="preserve"> </v>
      </c>
      <c r="AE301" s="167"/>
      <c r="AF301" s="165" t="str">
        <f t="shared" si="2844"/>
        <v xml:space="preserve"> </v>
      </c>
      <c r="AG301" s="168"/>
      <c r="AH301" s="168"/>
      <c r="AI301" s="166"/>
      <c r="AJ301" s="166"/>
      <c r="AK301" s="166" t="str">
        <f t="shared" si="2845"/>
        <v/>
      </c>
      <c r="AL301" s="167"/>
      <c r="AM301" s="171" t="str">
        <f t="shared" si="2846"/>
        <v xml:space="preserve"> </v>
      </c>
      <c r="AN301" s="168" t="str">
        <f t="shared" si="2847"/>
        <v xml:space="preserve"> </v>
      </c>
      <c r="AO301" s="168"/>
      <c r="AP301" s="167" t="str">
        <f t="shared" si="2848"/>
        <v xml:space="preserve"> </v>
      </c>
      <c r="AQ301" s="166"/>
      <c r="AR301" s="166" t="str">
        <f t="shared" si="2849"/>
        <v xml:space="preserve"> </v>
      </c>
      <c r="AS301" s="168" t="str">
        <f t="shared" si="2850"/>
        <v xml:space="preserve"> </v>
      </c>
      <c r="AT301" s="168"/>
      <c r="AU301" s="166" t="str">
        <f t="shared" si="2851"/>
        <v xml:space="preserve"> </v>
      </c>
      <c r="AV301" s="167"/>
      <c r="AW301" s="167"/>
      <c r="AX301" s="169" t="str">
        <f t="shared" si="2852"/>
        <v xml:space="preserve"> </v>
      </c>
      <c r="AY301" s="169"/>
      <c r="AZ301" s="167" t="str">
        <f t="shared" si="2853"/>
        <v xml:space="preserve"> </v>
      </c>
      <c r="BA301" s="166"/>
      <c r="BB301" s="166"/>
      <c r="BC301" s="168" t="str">
        <f t="shared" si="2854"/>
        <v xml:space="preserve"> </v>
      </c>
      <c r="BD301" s="168"/>
      <c r="BE301" s="166" t="str">
        <f t="shared" si="2855"/>
        <v xml:space="preserve"> </v>
      </c>
      <c r="BF301" s="167"/>
      <c r="BG301" s="167"/>
      <c r="BH301" s="168" t="str">
        <f t="shared" si="2856"/>
        <v xml:space="preserve"> </v>
      </c>
      <c r="BI301" s="168"/>
      <c r="BJ301" s="167" t="str">
        <f t="shared" si="2857"/>
        <v xml:space="preserve"> </v>
      </c>
      <c r="BK301" s="166"/>
      <c r="BL301" s="166" t="str">
        <f t="shared" si="2858"/>
        <v xml:space="preserve"> </v>
      </c>
      <c r="BM301" s="168" t="str">
        <f t="shared" si="2859"/>
        <v xml:space="preserve"> </v>
      </c>
      <c r="BN301" s="168"/>
      <c r="BO301" s="166" t="str">
        <f t="shared" si="2860"/>
        <v xml:space="preserve"> </v>
      </c>
    </row>
    <row r="302" spans="2:67" ht="15" customHeight="1" x14ac:dyDescent="0.25">
      <c r="B302" s="170">
        <v>46320</v>
      </c>
      <c r="C302" s="164"/>
      <c r="D302" s="166" t="str">
        <f t="shared" si="2827"/>
        <v xml:space="preserve"> </v>
      </c>
      <c r="E302" s="168" t="str">
        <f t="shared" si="2828"/>
        <v xml:space="preserve"> </v>
      </c>
      <c r="F302" s="168"/>
      <c r="G302" s="166" t="str">
        <f t="shared" si="2829"/>
        <v xml:space="preserve"> </v>
      </c>
      <c r="H302" s="167"/>
      <c r="I302" s="167" t="str">
        <f t="shared" si="2830"/>
        <v xml:space="preserve"> </v>
      </c>
      <c r="J302" s="168" t="str">
        <f t="shared" si="2831"/>
        <v xml:space="preserve"> </v>
      </c>
      <c r="K302" s="168"/>
      <c r="L302" s="167" t="str">
        <f t="shared" si="2832"/>
        <v xml:space="preserve"> </v>
      </c>
      <c r="M302" s="166"/>
      <c r="N302" s="166" t="str">
        <f t="shared" si="2833"/>
        <v xml:space="preserve"> </v>
      </c>
      <c r="O302" s="168" t="str">
        <f t="shared" si="2834"/>
        <v xml:space="preserve"> </v>
      </c>
      <c r="P302" s="168"/>
      <c r="Q302" s="166" t="str">
        <f t="shared" si="2835"/>
        <v xml:space="preserve"> </v>
      </c>
      <c r="R302" s="167">
        <f ca="1">+BDFUENTES[[#This Row],[PZ MED m3/día]]/3.6/BDFUENTES[[#This Row],[PZ MED Horas Activo]]</f>
        <v>0</v>
      </c>
      <c r="S302" s="167" t="str">
        <f t="shared" ca="1" si="2836"/>
        <v xml:space="preserve"> </v>
      </c>
      <c r="T302" s="168" t="str">
        <f t="shared" si="2837"/>
        <v xml:space="preserve"> </v>
      </c>
      <c r="U302" s="168"/>
      <c r="V302" s="165" t="str">
        <f t="shared" si="2838"/>
        <v xml:space="preserve"> </v>
      </c>
      <c r="W302" s="164" t="str">
        <f t="shared" si="2839"/>
        <v xml:space="preserve"> </v>
      </c>
      <c r="X302" s="166"/>
      <c r="Y302" s="168" t="str">
        <f t="shared" si="2840"/>
        <v xml:space="preserve"> </v>
      </c>
      <c r="Z302" s="168"/>
      <c r="AA302" s="166" t="str">
        <f t="shared" si="2841"/>
        <v xml:space="preserve"> </v>
      </c>
      <c r="AB302" s="168" t="str">
        <f t="shared" si="2842"/>
        <v xml:space="preserve"> </v>
      </c>
      <c r="AC302" s="168"/>
      <c r="AD302" s="171" t="str">
        <f t="shared" si="2843"/>
        <v xml:space="preserve"> </v>
      </c>
      <c r="AE302" s="167"/>
      <c r="AF302" s="165" t="str">
        <f t="shared" si="2844"/>
        <v xml:space="preserve"> </v>
      </c>
      <c r="AG302" s="168"/>
      <c r="AH302" s="168"/>
      <c r="AI302" s="166"/>
      <c r="AJ302" s="166"/>
      <c r="AK302" s="166" t="str">
        <f t="shared" si="2845"/>
        <v/>
      </c>
      <c r="AL302" s="167"/>
      <c r="AM302" s="171" t="str">
        <f t="shared" si="2846"/>
        <v xml:space="preserve"> </v>
      </c>
      <c r="AN302" s="168" t="str">
        <f t="shared" si="2847"/>
        <v xml:space="preserve"> </v>
      </c>
      <c r="AO302" s="168"/>
      <c r="AP302" s="167" t="str">
        <f t="shared" si="2848"/>
        <v xml:space="preserve"> </v>
      </c>
      <c r="AQ302" s="166"/>
      <c r="AR302" s="166" t="str">
        <f t="shared" si="2849"/>
        <v xml:space="preserve"> </v>
      </c>
      <c r="AS302" s="168" t="str">
        <f t="shared" si="2850"/>
        <v xml:space="preserve"> </v>
      </c>
      <c r="AT302" s="168"/>
      <c r="AU302" s="166" t="str">
        <f t="shared" si="2851"/>
        <v xml:space="preserve"> </v>
      </c>
      <c r="AV302" s="167"/>
      <c r="AW302" s="167"/>
      <c r="AX302" s="169" t="str">
        <f t="shared" si="2852"/>
        <v xml:space="preserve"> </v>
      </c>
      <c r="AY302" s="169"/>
      <c r="AZ302" s="167" t="str">
        <f t="shared" si="2853"/>
        <v xml:space="preserve"> </v>
      </c>
      <c r="BA302" s="166"/>
      <c r="BB302" s="166"/>
      <c r="BC302" s="168" t="str">
        <f t="shared" si="2854"/>
        <v xml:space="preserve"> </v>
      </c>
      <c r="BD302" s="168"/>
      <c r="BE302" s="166" t="str">
        <f t="shared" si="2855"/>
        <v xml:space="preserve"> </v>
      </c>
      <c r="BF302" s="167"/>
      <c r="BG302" s="167"/>
      <c r="BH302" s="168" t="str">
        <f t="shared" si="2856"/>
        <v xml:space="preserve"> </v>
      </c>
      <c r="BI302" s="168"/>
      <c r="BJ302" s="167" t="str">
        <f t="shared" si="2857"/>
        <v xml:space="preserve"> </v>
      </c>
      <c r="BK302" s="166"/>
      <c r="BL302" s="166" t="str">
        <f t="shared" si="2858"/>
        <v xml:space="preserve"> </v>
      </c>
      <c r="BM302" s="168" t="str">
        <f t="shared" si="2859"/>
        <v xml:space="preserve"> </v>
      </c>
      <c r="BN302" s="168"/>
      <c r="BO302" s="166" t="str">
        <f t="shared" si="2860"/>
        <v xml:space="preserve"> </v>
      </c>
    </row>
    <row r="303" spans="2:67" ht="15" customHeight="1" x14ac:dyDescent="0.25">
      <c r="B303" s="170">
        <v>46321</v>
      </c>
      <c r="C303" s="164"/>
      <c r="D303" s="166" t="str">
        <f t="shared" si="2827"/>
        <v xml:space="preserve"> </v>
      </c>
      <c r="E303" s="168" t="str">
        <f t="shared" si="2828"/>
        <v xml:space="preserve"> </v>
      </c>
      <c r="F303" s="168"/>
      <c r="G303" s="166" t="str">
        <f t="shared" si="2829"/>
        <v xml:space="preserve"> </v>
      </c>
      <c r="H303" s="167"/>
      <c r="I303" s="167" t="str">
        <f t="shared" si="2830"/>
        <v xml:space="preserve"> </v>
      </c>
      <c r="J303" s="168" t="str">
        <f t="shared" si="2831"/>
        <v xml:space="preserve"> </v>
      </c>
      <c r="K303" s="168"/>
      <c r="L303" s="167" t="str">
        <f t="shared" si="2832"/>
        <v xml:space="preserve"> </v>
      </c>
      <c r="M303" s="166"/>
      <c r="N303" s="166" t="str">
        <f t="shared" si="2833"/>
        <v xml:space="preserve"> </v>
      </c>
      <c r="O303" s="168" t="str">
        <f t="shared" si="2834"/>
        <v xml:space="preserve"> </v>
      </c>
      <c r="P303" s="168"/>
      <c r="Q303" s="166" t="str">
        <f t="shared" si="2835"/>
        <v xml:space="preserve"> </v>
      </c>
      <c r="R303" s="167">
        <f ca="1">+BDFUENTES[[#This Row],[PZ MED m3/día]]/3.6/BDFUENTES[[#This Row],[PZ MED Horas Activo]]</f>
        <v>0</v>
      </c>
      <c r="S303" s="167" t="str">
        <f t="shared" ca="1" si="2836"/>
        <v xml:space="preserve"> </v>
      </c>
      <c r="T303" s="168" t="str">
        <f t="shared" si="2837"/>
        <v xml:space="preserve"> </v>
      </c>
      <c r="U303" s="168"/>
      <c r="V303" s="165" t="str">
        <f t="shared" si="2838"/>
        <v xml:space="preserve"> </v>
      </c>
      <c r="W303" s="164" t="str">
        <f t="shared" si="2839"/>
        <v xml:space="preserve"> </v>
      </c>
      <c r="X303" s="166"/>
      <c r="Y303" s="168" t="str">
        <f t="shared" si="2840"/>
        <v xml:space="preserve"> </v>
      </c>
      <c r="Z303" s="168"/>
      <c r="AA303" s="166" t="str">
        <f t="shared" si="2841"/>
        <v xml:space="preserve"> </v>
      </c>
      <c r="AB303" s="168" t="str">
        <f t="shared" si="2842"/>
        <v xml:space="preserve"> </v>
      </c>
      <c r="AC303" s="168"/>
      <c r="AD303" s="171" t="str">
        <f t="shared" si="2843"/>
        <v xml:space="preserve"> </v>
      </c>
      <c r="AE303" s="167"/>
      <c r="AF303" s="165" t="str">
        <f t="shared" si="2844"/>
        <v xml:space="preserve"> </v>
      </c>
      <c r="AG303" s="168"/>
      <c r="AH303" s="168"/>
      <c r="AI303" s="166"/>
      <c r="AJ303" s="166"/>
      <c r="AK303" s="166" t="str">
        <f t="shared" si="2845"/>
        <v/>
      </c>
      <c r="AL303" s="167"/>
      <c r="AM303" s="171" t="str">
        <f t="shared" si="2846"/>
        <v xml:space="preserve"> </v>
      </c>
      <c r="AN303" s="168" t="str">
        <f t="shared" si="2847"/>
        <v xml:space="preserve"> </v>
      </c>
      <c r="AO303" s="168"/>
      <c r="AP303" s="167" t="str">
        <f t="shared" si="2848"/>
        <v xml:space="preserve"> </v>
      </c>
      <c r="AQ303" s="166"/>
      <c r="AR303" s="166" t="str">
        <f t="shared" si="2849"/>
        <v xml:space="preserve"> </v>
      </c>
      <c r="AS303" s="168" t="str">
        <f t="shared" si="2850"/>
        <v xml:space="preserve"> </v>
      </c>
      <c r="AT303" s="168"/>
      <c r="AU303" s="166" t="str">
        <f t="shared" si="2851"/>
        <v xml:space="preserve"> </v>
      </c>
      <c r="AV303" s="167"/>
      <c r="AW303" s="167"/>
      <c r="AX303" s="169" t="str">
        <f t="shared" si="2852"/>
        <v xml:space="preserve"> </v>
      </c>
      <c r="AY303" s="169"/>
      <c r="AZ303" s="167" t="str">
        <f t="shared" si="2853"/>
        <v xml:space="preserve"> </v>
      </c>
      <c r="BA303" s="166"/>
      <c r="BB303" s="166"/>
      <c r="BC303" s="168" t="str">
        <f t="shared" si="2854"/>
        <v xml:space="preserve"> </v>
      </c>
      <c r="BD303" s="168"/>
      <c r="BE303" s="166" t="str">
        <f t="shared" si="2855"/>
        <v xml:space="preserve"> </v>
      </c>
      <c r="BF303" s="167"/>
      <c r="BG303" s="167"/>
      <c r="BH303" s="168" t="str">
        <f t="shared" si="2856"/>
        <v xml:space="preserve"> </v>
      </c>
      <c r="BI303" s="168"/>
      <c r="BJ303" s="167" t="str">
        <f t="shared" si="2857"/>
        <v xml:space="preserve"> </v>
      </c>
      <c r="BK303" s="166"/>
      <c r="BL303" s="166" t="str">
        <f t="shared" si="2858"/>
        <v xml:space="preserve"> </v>
      </c>
      <c r="BM303" s="168" t="str">
        <f t="shared" si="2859"/>
        <v xml:space="preserve"> </v>
      </c>
      <c r="BN303" s="168"/>
      <c r="BO303" s="166" t="str">
        <f t="shared" si="2860"/>
        <v xml:space="preserve"> </v>
      </c>
    </row>
    <row r="304" spans="2:67" ht="15" customHeight="1" x14ac:dyDescent="0.25">
      <c r="B304" s="170">
        <v>46322</v>
      </c>
      <c r="C304" s="164"/>
      <c r="D304" s="166" t="str">
        <f t="shared" si="2827"/>
        <v xml:space="preserve"> </v>
      </c>
      <c r="E304" s="168" t="str">
        <f t="shared" si="2828"/>
        <v xml:space="preserve"> </v>
      </c>
      <c r="F304" s="168"/>
      <c r="G304" s="166" t="str">
        <f t="shared" si="2829"/>
        <v xml:space="preserve"> </v>
      </c>
      <c r="H304" s="167"/>
      <c r="I304" s="167" t="str">
        <f t="shared" si="2830"/>
        <v xml:space="preserve"> </v>
      </c>
      <c r="J304" s="168" t="str">
        <f t="shared" si="2831"/>
        <v xml:space="preserve"> </v>
      </c>
      <c r="K304" s="168"/>
      <c r="L304" s="167" t="str">
        <f t="shared" si="2832"/>
        <v xml:space="preserve"> </v>
      </c>
      <c r="M304" s="166"/>
      <c r="N304" s="166" t="str">
        <f t="shared" si="2833"/>
        <v xml:space="preserve"> </v>
      </c>
      <c r="O304" s="168" t="str">
        <f t="shared" si="2834"/>
        <v xml:space="preserve"> </v>
      </c>
      <c r="P304" s="168"/>
      <c r="Q304" s="166" t="str">
        <f t="shared" si="2835"/>
        <v xml:space="preserve"> </v>
      </c>
      <c r="R304" s="167">
        <f ca="1">+BDFUENTES[[#This Row],[PZ MED m3/día]]/3.6/BDFUENTES[[#This Row],[PZ MED Horas Activo]]</f>
        <v>0</v>
      </c>
      <c r="S304" s="167" t="str">
        <f t="shared" ca="1" si="2836"/>
        <v xml:space="preserve"> </v>
      </c>
      <c r="T304" s="168" t="str">
        <f t="shared" si="2837"/>
        <v xml:space="preserve"> </v>
      </c>
      <c r="U304" s="168"/>
      <c r="V304" s="165" t="str">
        <f t="shared" si="2838"/>
        <v xml:space="preserve"> </v>
      </c>
      <c r="W304" s="164" t="str">
        <f t="shared" si="2839"/>
        <v xml:space="preserve"> </v>
      </c>
      <c r="X304" s="166"/>
      <c r="Y304" s="168" t="str">
        <f t="shared" si="2840"/>
        <v xml:space="preserve"> </v>
      </c>
      <c r="Z304" s="168"/>
      <c r="AA304" s="166" t="str">
        <f t="shared" si="2841"/>
        <v xml:space="preserve"> </v>
      </c>
      <c r="AB304" s="168" t="str">
        <f t="shared" si="2842"/>
        <v xml:space="preserve"> </v>
      </c>
      <c r="AC304" s="168"/>
      <c r="AD304" s="171" t="str">
        <f t="shared" si="2843"/>
        <v xml:space="preserve"> </v>
      </c>
      <c r="AE304" s="167"/>
      <c r="AF304" s="165" t="str">
        <f t="shared" si="2844"/>
        <v xml:space="preserve"> </v>
      </c>
      <c r="AG304" s="168"/>
      <c r="AH304" s="168"/>
      <c r="AI304" s="166"/>
      <c r="AJ304" s="166"/>
      <c r="AK304" s="166" t="str">
        <f t="shared" si="2845"/>
        <v/>
      </c>
      <c r="AL304" s="167"/>
      <c r="AM304" s="171" t="str">
        <f t="shared" si="2846"/>
        <v xml:space="preserve"> </v>
      </c>
      <c r="AN304" s="168" t="str">
        <f t="shared" si="2847"/>
        <v xml:space="preserve"> </v>
      </c>
      <c r="AO304" s="168"/>
      <c r="AP304" s="167" t="str">
        <f t="shared" si="2848"/>
        <v xml:space="preserve"> </v>
      </c>
      <c r="AQ304" s="166"/>
      <c r="AR304" s="166" t="str">
        <f t="shared" si="2849"/>
        <v xml:space="preserve"> </v>
      </c>
      <c r="AS304" s="168" t="str">
        <f t="shared" si="2850"/>
        <v xml:space="preserve"> </v>
      </c>
      <c r="AT304" s="168"/>
      <c r="AU304" s="166" t="str">
        <f t="shared" si="2851"/>
        <v xml:space="preserve"> </v>
      </c>
      <c r="AV304" s="167"/>
      <c r="AW304" s="167"/>
      <c r="AX304" s="169" t="str">
        <f t="shared" si="2852"/>
        <v xml:space="preserve"> </v>
      </c>
      <c r="AY304" s="169"/>
      <c r="AZ304" s="167" t="str">
        <f t="shared" si="2853"/>
        <v xml:space="preserve"> </v>
      </c>
      <c r="BA304" s="166"/>
      <c r="BB304" s="166"/>
      <c r="BC304" s="168" t="str">
        <f t="shared" si="2854"/>
        <v xml:space="preserve"> </v>
      </c>
      <c r="BD304" s="168"/>
      <c r="BE304" s="166" t="str">
        <f t="shared" si="2855"/>
        <v xml:space="preserve"> </v>
      </c>
      <c r="BF304" s="167"/>
      <c r="BG304" s="167"/>
      <c r="BH304" s="168" t="str">
        <f t="shared" si="2856"/>
        <v xml:space="preserve"> </v>
      </c>
      <c r="BI304" s="168"/>
      <c r="BJ304" s="167" t="str">
        <f t="shared" si="2857"/>
        <v xml:space="preserve"> </v>
      </c>
      <c r="BK304" s="166"/>
      <c r="BL304" s="166" t="str">
        <f t="shared" si="2858"/>
        <v xml:space="preserve"> </v>
      </c>
      <c r="BM304" s="168" t="str">
        <f t="shared" si="2859"/>
        <v xml:space="preserve"> </v>
      </c>
      <c r="BN304" s="168"/>
      <c r="BO304" s="166" t="str">
        <f t="shared" si="2860"/>
        <v xml:space="preserve"> </v>
      </c>
    </row>
    <row r="305" spans="2:67" ht="15" customHeight="1" x14ac:dyDescent="0.25">
      <c r="B305" s="170">
        <v>46323</v>
      </c>
      <c r="C305" s="164"/>
      <c r="D305" s="166" t="str">
        <f t="shared" si="2827"/>
        <v xml:space="preserve"> </v>
      </c>
      <c r="E305" s="168" t="str">
        <f t="shared" si="2828"/>
        <v xml:space="preserve"> </v>
      </c>
      <c r="F305" s="168"/>
      <c r="G305" s="166" t="str">
        <f t="shared" si="2829"/>
        <v xml:space="preserve"> </v>
      </c>
      <c r="H305" s="167"/>
      <c r="I305" s="167" t="str">
        <f t="shared" si="2830"/>
        <v xml:space="preserve"> </v>
      </c>
      <c r="J305" s="168" t="str">
        <f t="shared" si="2831"/>
        <v xml:space="preserve"> </v>
      </c>
      <c r="K305" s="168"/>
      <c r="L305" s="167" t="str">
        <f t="shared" si="2832"/>
        <v xml:space="preserve"> </v>
      </c>
      <c r="M305" s="166"/>
      <c r="N305" s="166" t="str">
        <f t="shared" si="2833"/>
        <v xml:space="preserve"> </v>
      </c>
      <c r="O305" s="168" t="str">
        <f t="shared" si="2834"/>
        <v xml:space="preserve"> </v>
      </c>
      <c r="P305" s="168"/>
      <c r="Q305" s="166" t="str">
        <f t="shared" si="2835"/>
        <v xml:space="preserve"> </v>
      </c>
      <c r="R305" s="167">
        <f ca="1">+BDFUENTES[[#This Row],[PZ MED m3/día]]/3.6/BDFUENTES[[#This Row],[PZ MED Horas Activo]]</f>
        <v>0</v>
      </c>
      <c r="S305" s="167" t="str">
        <f t="shared" ca="1" si="2836"/>
        <v xml:space="preserve"> </v>
      </c>
      <c r="T305" s="168" t="str">
        <f t="shared" si="2837"/>
        <v xml:space="preserve"> </v>
      </c>
      <c r="U305" s="168"/>
      <c r="V305" s="165" t="str">
        <f t="shared" si="2838"/>
        <v xml:space="preserve"> </v>
      </c>
      <c r="W305" s="164" t="str">
        <f t="shared" si="2839"/>
        <v xml:space="preserve"> </v>
      </c>
      <c r="X305" s="166"/>
      <c r="Y305" s="168" t="str">
        <f t="shared" si="2840"/>
        <v xml:space="preserve"> </v>
      </c>
      <c r="Z305" s="168"/>
      <c r="AA305" s="166" t="str">
        <f t="shared" si="2841"/>
        <v xml:space="preserve"> </v>
      </c>
      <c r="AB305" s="168" t="str">
        <f t="shared" si="2842"/>
        <v xml:space="preserve"> </v>
      </c>
      <c r="AC305" s="168"/>
      <c r="AD305" s="171" t="str">
        <f t="shared" si="2843"/>
        <v xml:space="preserve"> </v>
      </c>
      <c r="AE305" s="167"/>
      <c r="AF305" s="165" t="str">
        <f t="shared" si="2844"/>
        <v xml:space="preserve"> </v>
      </c>
      <c r="AG305" s="168"/>
      <c r="AH305" s="168"/>
      <c r="AI305" s="166"/>
      <c r="AJ305" s="166"/>
      <c r="AK305" s="166" t="str">
        <f t="shared" si="2845"/>
        <v/>
      </c>
      <c r="AL305" s="167"/>
      <c r="AM305" s="171" t="str">
        <f t="shared" si="2846"/>
        <v xml:space="preserve"> </v>
      </c>
      <c r="AN305" s="168" t="str">
        <f t="shared" si="2847"/>
        <v xml:space="preserve"> </v>
      </c>
      <c r="AO305" s="168"/>
      <c r="AP305" s="167" t="str">
        <f t="shared" si="2848"/>
        <v xml:space="preserve"> </v>
      </c>
      <c r="AQ305" s="166"/>
      <c r="AR305" s="166" t="str">
        <f t="shared" si="2849"/>
        <v xml:space="preserve"> </v>
      </c>
      <c r="AS305" s="168" t="str">
        <f t="shared" si="2850"/>
        <v xml:space="preserve"> </v>
      </c>
      <c r="AT305" s="168"/>
      <c r="AU305" s="166" t="str">
        <f t="shared" si="2851"/>
        <v xml:space="preserve"> </v>
      </c>
      <c r="AV305" s="167"/>
      <c r="AW305" s="167"/>
      <c r="AX305" s="169" t="str">
        <f t="shared" si="2852"/>
        <v xml:space="preserve"> </v>
      </c>
      <c r="AY305" s="169"/>
      <c r="AZ305" s="167" t="str">
        <f t="shared" si="2853"/>
        <v xml:space="preserve"> </v>
      </c>
      <c r="BA305" s="166"/>
      <c r="BB305" s="166"/>
      <c r="BC305" s="168" t="str">
        <f t="shared" si="2854"/>
        <v xml:space="preserve"> </v>
      </c>
      <c r="BD305" s="168"/>
      <c r="BE305" s="166" t="str">
        <f t="shared" si="2855"/>
        <v xml:space="preserve"> </v>
      </c>
      <c r="BF305" s="167"/>
      <c r="BG305" s="167"/>
      <c r="BH305" s="168" t="str">
        <f t="shared" si="2856"/>
        <v xml:space="preserve"> </v>
      </c>
      <c r="BI305" s="168"/>
      <c r="BJ305" s="167" t="str">
        <f t="shared" si="2857"/>
        <v xml:space="preserve"> </v>
      </c>
      <c r="BK305" s="166"/>
      <c r="BL305" s="166" t="str">
        <f t="shared" si="2858"/>
        <v xml:space="preserve"> </v>
      </c>
      <c r="BM305" s="168" t="str">
        <f t="shared" si="2859"/>
        <v xml:space="preserve"> </v>
      </c>
      <c r="BN305" s="168"/>
      <c r="BO305" s="166" t="str">
        <f t="shared" si="2860"/>
        <v xml:space="preserve"> </v>
      </c>
    </row>
    <row r="306" spans="2:67" ht="15" customHeight="1" x14ac:dyDescent="0.25">
      <c r="B306" s="170">
        <v>46324</v>
      </c>
      <c r="C306" s="164"/>
      <c r="D306" s="166" t="str">
        <f t="shared" si="2827"/>
        <v xml:space="preserve"> </v>
      </c>
      <c r="E306" s="168" t="str">
        <f t="shared" si="2828"/>
        <v xml:space="preserve"> </v>
      </c>
      <c r="F306" s="168"/>
      <c r="G306" s="166" t="str">
        <f t="shared" si="2829"/>
        <v xml:space="preserve"> </v>
      </c>
      <c r="H306" s="167"/>
      <c r="I306" s="167" t="str">
        <f t="shared" si="2830"/>
        <v xml:space="preserve"> </v>
      </c>
      <c r="J306" s="168" t="str">
        <f t="shared" si="2831"/>
        <v xml:space="preserve"> </v>
      </c>
      <c r="K306" s="168"/>
      <c r="L306" s="167" t="str">
        <f t="shared" si="2832"/>
        <v xml:space="preserve"> </v>
      </c>
      <c r="M306" s="166"/>
      <c r="N306" s="166" t="str">
        <f t="shared" si="2833"/>
        <v xml:space="preserve"> </v>
      </c>
      <c r="O306" s="168" t="str">
        <f t="shared" si="2834"/>
        <v xml:space="preserve"> </v>
      </c>
      <c r="P306" s="168"/>
      <c r="Q306" s="166" t="str">
        <f t="shared" si="2835"/>
        <v xml:space="preserve"> </v>
      </c>
      <c r="R306" s="167">
        <f ca="1">+BDFUENTES[[#This Row],[PZ MED m3/día]]/3.6/BDFUENTES[[#This Row],[PZ MED Horas Activo]]</f>
        <v>0</v>
      </c>
      <c r="S306" s="167" t="str">
        <f t="shared" ca="1" si="2836"/>
        <v xml:space="preserve"> </v>
      </c>
      <c r="T306" s="168" t="str">
        <f t="shared" si="2837"/>
        <v xml:space="preserve"> </v>
      </c>
      <c r="U306" s="168"/>
      <c r="V306" s="165" t="str">
        <f t="shared" si="2838"/>
        <v xml:space="preserve"> </v>
      </c>
      <c r="W306" s="164" t="str">
        <f t="shared" si="2839"/>
        <v xml:space="preserve"> </v>
      </c>
      <c r="X306" s="166"/>
      <c r="Y306" s="168" t="str">
        <f t="shared" si="2840"/>
        <v xml:space="preserve"> </v>
      </c>
      <c r="Z306" s="168"/>
      <c r="AA306" s="166" t="str">
        <f t="shared" si="2841"/>
        <v xml:space="preserve"> </v>
      </c>
      <c r="AB306" s="168" t="str">
        <f t="shared" si="2842"/>
        <v xml:space="preserve"> </v>
      </c>
      <c r="AC306" s="168"/>
      <c r="AD306" s="171" t="str">
        <f t="shared" si="2843"/>
        <v xml:space="preserve"> </v>
      </c>
      <c r="AE306" s="167"/>
      <c r="AF306" s="165" t="str">
        <f t="shared" si="2844"/>
        <v xml:space="preserve"> </v>
      </c>
      <c r="AG306" s="168"/>
      <c r="AH306" s="168"/>
      <c r="AI306" s="166"/>
      <c r="AJ306" s="166"/>
      <c r="AK306" s="166" t="str">
        <f t="shared" si="2845"/>
        <v/>
      </c>
      <c r="AL306" s="167"/>
      <c r="AM306" s="171" t="str">
        <f t="shared" si="2846"/>
        <v xml:space="preserve"> </v>
      </c>
      <c r="AN306" s="168" t="str">
        <f t="shared" si="2847"/>
        <v xml:space="preserve"> </v>
      </c>
      <c r="AO306" s="168"/>
      <c r="AP306" s="167" t="str">
        <f t="shared" si="2848"/>
        <v xml:space="preserve"> </v>
      </c>
      <c r="AQ306" s="166"/>
      <c r="AR306" s="166" t="str">
        <f t="shared" si="2849"/>
        <v xml:space="preserve"> </v>
      </c>
      <c r="AS306" s="168" t="str">
        <f t="shared" si="2850"/>
        <v xml:space="preserve"> </v>
      </c>
      <c r="AT306" s="168"/>
      <c r="AU306" s="166" t="str">
        <f t="shared" si="2851"/>
        <v xml:space="preserve"> </v>
      </c>
      <c r="AV306" s="167"/>
      <c r="AW306" s="167"/>
      <c r="AX306" s="169" t="str">
        <f t="shared" si="2852"/>
        <v xml:space="preserve"> </v>
      </c>
      <c r="AY306" s="169"/>
      <c r="AZ306" s="167" t="str">
        <f t="shared" si="2853"/>
        <v xml:space="preserve"> </v>
      </c>
      <c r="BA306" s="166"/>
      <c r="BB306" s="166"/>
      <c r="BC306" s="168" t="str">
        <f t="shared" si="2854"/>
        <v xml:space="preserve"> </v>
      </c>
      <c r="BD306" s="168"/>
      <c r="BE306" s="166" t="str">
        <f t="shared" si="2855"/>
        <v xml:space="preserve"> </v>
      </c>
      <c r="BF306" s="167"/>
      <c r="BG306" s="167"/>
      <c r="BH306" s="168" t="str">
        <f t="shared" si="2856"/>
        <v xml:space="preserve"> </v>
      </c>
      <c r="BI306" s="168"/>
      <c r="BJ306" s="167" t="str">
        <f t="shared" si="2857"/>
        <v xml:space="preserve"> </v>
      </c>
      <c r="BK306" s="166"/>
      <c r="BL306" s="166" t="str">
        <f t="shared" si="2858"/>
        <v xml:space="preserve"> </v>
      </c>
      <c r="BM306" s="168" t="str">
        <f t="shared" si="2859"/>
        <v xml:space="preserve"> </v>
      </c>
      <c r="BN306" s="168"/>
      <c r="BO306" s="166" t="str">
        <f t="shared" si="2860"/>
        <v xml:space="preserve"> </v>
      </c>
    </row>
    <row r="307" spans="2:67" ht="15" customHeight="1" x14ac:dyDescent="0.25">
      <c r="B307" s="170">
        <v>46325</v>
      </c>
      <c r="C307" s="164"/>
      <c r="D307" s="166" t="str">
        <f t="shared" si="2827"/>
        <v xml:space="preserve"> </v>
      </c>
      <c r="E307" s="168" t="str">
        <f t="shared" si="2828"/>
        <v xml:space="preserve"> </v>
      </c>
      <c r="F307" s="168"/>
      <c r="G307" s="166" t="str">
        <f t="shared" si="2829"/>
        <v xml:space="preserve"> </v>
      </c>
      <c r="H307" s="167"/>
      <c r="I307" s="167" t="str">
        <f t="shared" si="2830"/>
        <v xml:space="preserve"> </v>
      </c>
      <c r="J307" s="168" t="str">
        <f t="shared" si="2831"/>
        <v xml:space="preserve"> </v>
      </c>
      <c r="K307" s="168"/>
      <c r="L307" s="167" t="str">
        <f t="shared" si="2832"/>
        <v xml:space="preserve"> </v>
      </c>
      <c r="M307" s="166"/>
      <c r="N307" s="166" t="str">
        <f t="shared" si="2833"/>
        <v xml:space="preserve"> </v>
      </c>
      <c r="O307" s="168" t="str">
        <f t="shared" si="2834"/>
        <v xml:space="preserve"> </v>
      </c>
      <c r="P307" s="168"/>
      <c r="Q307" s="166" t="str">
        <f t="shared" si="2835"/>
        <v xml:space="preserve"> </v>
      </c>
      <c r="R307" s="167">
        <f ca="1">+BDFUENTES[[#This Row],[PZ MED m3/día]]/3.6/BDFUENTES[[#This Row],[PZ MED Horas Activo]]</f>
        <v>0</v>
      </c>
      <c r="S307" s="167" t="str">
        <f t="shared" ca="1" si="2836"/>
        <v xml:space="preserve"> </v>
      </c>
      <c r="T307" s="168" t="str">
        <f t="shared" si="2837"/>
        <v xml:space="preserve"> </v>
      </c>
      <c r="U307" s="168"/>
      <c r="V307" s="165" t="str">
        <f t="shared" si="2838"/>
        <v xml:space="preserve"> </v>
      </c>
      <c r="W307" s="164" t="str">
        <f t="shared" si="2839"/>
        <v xml:space="preserve"> </v>
      </c>
      <c r="X307" s="166"/>
      <c r="Y307" s="168" t="str">
        <f t="shared" si="2840"/>
        <v xml:space="preserve"> </v>
      </c>
      <c r="Z307" s="168"/>
      <c r="AA307" s="166" t="str">
        <f t="shared" si="2841"/>
        <v xml:space="preserve"> </v>
      </c>
      <c r="AB307" s="168" t="str">
        <f t="shared" si="2842"/>
        <v xml:space="preserve"> </v>
      </c>
      <c r="AC307" s="168"/>
      <c r="AD307" s="171" t="str">
        <f t="shared" si="2843"/>
        <v xml:space="preserve"> </v>
      </c>
      <c r="AE307" s="167"/>
      <c r="AF307" s="165" t="str">
        <f t="shared" si="2844"/>
        <v xml:space="preserve"> </v>
      </c>
      <c r="AG307" s="168"/>
      <c r="AH307" s="168"/>
      <c r="AI307" s="166"/>
      <c r="AJ307" s="166"/>
      <c r="AK307" s="166" t="str">
        <f t="shared" si="2845"/>
        <v/>
      </c>
      <c r="AL307" s="167"/>
      <c r="AM307" s="171" t="str">
        <f t="shared" si="2846"/>
        <v xml:space="preserve"> </v>
      </c>
      <c r="AN307" s="168" t="str">
        <f t="shared" si="2847"/>
        <v xml:space="preserve"> </v>
      </c>
      <c r="AO307" s="168"/>
      <c r="AP307" s="167" t="str">
        <f t="shared" si="2848"/>
        <v xml:space="preserve"> </v>
      </c>
      <c r="AQ307" s="166"/>
      <c r="AR307" s="166" t="str">
        <f t="shared" si="2849"/>
        <v xml:space="preserve"> </v>
      </c>
      <c r="AS307" s="168" t="str">
        <f t="shared" si="2850"/>
        <v xml:space="preserve"> </v>
      </c>
      <c r="AT307" s="168"/>
      <c r="AU307" s="166" t="str">
        <f t="shared" si="2851"/>
        <v xml:space="preserve"> </v>
      </c>
      <c r="AV307" s="167"/>
      <c r="AW307" s="167"/>
      <c r="AX307" s="169" t="str">
        <f t="shared" si="2852"/>
        <v xml:space="preserve"> </v>
      </c>
      <c r="AY307" s="169"/>
      <c r="AZ307" s="167" t="str">
        <f t="shared" si="2853"/>
        <v xml:space="preserve"> </v>
      </c>
      <c r="BA307" s="166"/>
      <c r="BB307" s="166"/>
      <c r="BC307" s="168" t="str">
        <f t="shared" si="2854"/>
        <v xml:space="preserve"> </v>
      </c>
      <c r="BD307" s="168"/>
      <c r="BE307" s="166" t="str">
        <f t="shared" si="2855"/>
        <v xml:space="preserve"> </v>
      </c>
      <c r="BF307" s="167"/>
      <c r="BG307" s="167"/>
      <c r="BH307" s="168" t="str">
        <f t="shared" si="2856"/>
        <v xml:space="preserve"> </v>
      </c>
      <c r="BI307" s="168"/>
      <c r="BJ307" s="167" t="str">
        <f t="shared" si="2857"/>
        <v xml:space="preserve"> </v>
      </c>
      <c r="BK307" s="166"/>
      <c r="BL307" s="166" t="str">
        <f t="shared" si="2858"/>
        <v xml:space="preserve"> </v>
      </c>
      <c r="BM307" s="168" t="str">
        <f t="shared" si="2859"/>
        <v xml:space="preserve"> </v>
      </c>
      <c r="BN307" s="168"/>
      <c r="BO307" s="166" t="str">
        <f t="shared" si="2860"/>
        <v xml:space="preserve"> </v>
      </c>
    </row>
    <row r="308" spans="2:67" ht="15" customHeight="1" x14ac:dyDescent="0.25">
      <c r="B308" s="170">
        <v>46326</v>
      </c>
      <c r="C308" s="164"/>
      <c r="D308" s="166" t="str">
        <f t="shared" si="2827"/>
        <v xml:space="preserve"> </v>
      </c>
      <c r="E308" s="168" t="str">
        <f t="shared" si="2828"/>
        <v xml:space="preserve"> </v>
      </c>
      <c r="F308" s="168"/>
      <c r="G308" s="166" t="str">
        <f t="shared" si="2829"/>
        <v xml:space="preserve"> </v>
      </c>
      <c r="H308" s="167"/>
      <c r="I308" s="167" t="str">
        <f t="shared" si="2830"/>
        <v xml:space="preserve"> </v>
      </c>
      <c r="J308" s="168" t="str">
        <f t="shared" si="2831"/>
        <v xml:space="preserve"> </v>
      </c>
      <c r="K308" s="168"/>
      <c r="L308" s="167" t="str">
        <f t="shared" si="2832"/>
        <v xml:space="preserve"> </v>
      </c>
      <c r="M308" s="166"/>
      <c r="N308" s="166" t="str">
        <f t="shared" si="2833"/>
        <v xml:space="preserve"> </v>
      </c>
      <c r="O308" s="168" t="str">
        <f t="shared" si="2834"/>
        <v xml:space="preserve"> </v>
      </c>
      <c r="P308" s="168"/>
      <c r="Q308" s="166" t="str">
        <f t="shared" si="2835"/>
        <v xml:space="preserve"> </v>
      </c>
      <c r="R308" s="167">
        <f ca="1">+BDFUENTES[[#This Row],[PZ MED m3/día]]/3.6/BDFUENTES[[#This Row],[PZ MED Horas Activo]]</f>
        <v>0</v>
      </c>
      <c r="S308" s="167" t="str">
        <f t="shared" ca="1" si="2836"/>
        <v xml:space="preserve"> </v>
      </c>
      <c r="T308" s="168" t="str">
        <f t="shared" si="2837"/>
        <v xml:space="preserve"> </v>
      </c>
      <c r="U308" s="168"/>
      <c r="V308" s="165" t="str">
        <f t="shared" si="2838"/>
        <v xml:space="preserve"> </v>
      </c>
      <c r="W308" s="164" t="str">
        <f t="shared" si="2839"/>
        <v xml:space="preserve"> </v>
      </c>
      <c r="X308" s="166"/>
      <c r="Y308" s="168" t="str">
        <f t="shared" si="2840"/>
        <v xml:space="preserve"> </v>
      </c>
      <c r="Z308" s="168"/>
      <c r="AA308" s="166" t="str">
        <f t="shared" si="2841"/>
        <v xml:space="preserve"> </v>
      </c>
      <c r="AB308" s="168" t="str">
        <f t="shared" si="2842"/>
        <v xml:space="preserve"> </v>
      </c>
      <c r="AC308" s="168"/>
      <c r="AD308" s="171" t="str">
        <f t="shared" si="2843"/>
        <v xml:space="preserve"> </v>
      </c>
      <c r="AE308" s="167"/>
      <c r="AF308" s="165" t="str">
        <f t="shared" si="2844"/>
        <v xml:space="preserve"> </v>
      </c>
      <c r="AG308" s="168"/>
      <c r="AH308" s="168"/>
      <c r="AI308" s="166"/>
      <c r="AJ308" s="166"/>
      <c r="AK308" s="166" t="str">
        <f t="shared" si="2845"/>
        <v/>
      </c>
      <c r="AL308" s="167"/>
      <c r="AM308" s="171" t="str">
        <f t="shared" si="2846"/>
        <v xml:space="preserve"> </v>
      </c>
      <c r="AN308" s="168" t="str">
        <f t="shared" si="2847"/>
        <v xml:space="preserve"> </v>
      </c>
      <c r="AO308" s="168"/>
      <c r="AP308" s="167" t="str">
        <f t="shared" si="2848"/>
        <v xml:space="preserve"> </v>
      </c>
      <c r="AQ308" s="166"/>
      <c r="AR308" s="166" t="str">
        <f t="shared" si="2849"/>
        <v xml:space="preserve"> </v>
      </c>
      <c r="AS308" s="168" t="str">
        <f t="shared" si="2850"/>
        <v xml:space="preserve"> </v>
      </c>
      <c r="AT308" s="168"/>
      <c r="AU308" s="166" t="str">
        <f t="shared" si="2851"/>
        <v xml:space="preserve"> </v>
      </c>
      <c r="AV308" s="167"/>
      <c r="AW308" s="167"/>
      <c r="AX308" s="169" t="str">
        <f t="shared" si="2852"/>
        <v xml:space="preserve"> </v>
      </c>
      <c r="AY308" s="169"/>
      <c r="AZ308" s="167" t="str">
        <f t="shared" si="2853"/>
        <v xml:space="preserve"> </v>
      </c>
      <c r="BA308" s="166"/>
      <c r="BB308" s="166"/>
      <c r="BC308" s="168" t="str">
        <f t="shared" si="2854"/>
        <v xml:space="preserve"> </v>
      </c>
      <c r="BD308" s="168"/>
      <c r="BE308" s="166" t="str">
        <f t="shared" si="2855"/>
        <v xml:space="preserve"> </v>
      </c>
      <c r="BF308" s="167"/>
      <c r="BG308" s="167"/>
      <c r="BH308" s="168" t="str">
        <f t="shared" si="2856"/>
        <v xml:space="preserve"> </v>
      </c>
      <c r="BI308" s="168"/>
      <c r="BJ308" s="167" t="str">
        <f t="shared" si="2857"/>
        <v xml:space="preserve"> </v>
      </c>
      <c r="BK308" s="166"/>
      <c r="BL308" s="166" t="str">
        <f t="shared" si="2858"/>
        <v xml:space="preserve"> </v>
      </c>
      <c r="BM308" s="168" t="str">
        <f t="shared" si="2859"/>
        <v xml:space="preserve"> </v>
      </c>
      <c r="BN308" s="168"/>
      <c r="BO308" s="166" t="str">
        <f t="shared" si="2860"/>
        <v xml:space="preserve"> </v>
      </c>
    </row>
    <row r="309" spans="2:67" ht="15" customHeight="1" x14ac:dyDescent="0.25">
      <c r="B309" s="170">
        <v>46327</v>
      </c>
      <c r="C309" s="164"/>
      <c r="D309" s="166" t="str">
        <f t="shared" si="2827"/>
        <v xml:space="preserve"> </v>
      </c>
      <c r="E309" s="168" t="str">
        <f t="shared" si="2828"/>
        <v xml:space="preserve"> </v>
      </c>
      <c r="F309" s="168"/>
      <c r="G309" s="166" t="str">
        <f t="shared" si="2829"/>
        <v xml:space="preserve"> </v>
      </c>
      <c r="H309" s="167"/>
      <c r="I309" s="167" t="str">
        <f t="shared" si="2830"/>
        <v xml:space="preserve"> </v>
      </c>
      <c r="J309" s="168" t="str">
        <f t="shared" si="2831"/>
        <v xml:space="preserve"> </v>
      </c>
      <c r="K309" s="168"/>
      <c r="L309" s="167" t="str">
        <f t="shared" si="2832"/>
        <v xml:space="preserve"> </v>
      </c>
      <c r="M309" s="166"/>
      <c r="N309" s="166" t="str">
        <f t="shared" si="2833"/>
        <v xml:space="preserve"> </v>
      </c>
      <c r="O309" s="168" t="str">
        <f t="shared" si="2834"/>
        <v xml:space="preserve"> </v>
      </c>
      <c r="P309" s="168"/>
      <c r="Q309" s="166" t="str">
        <f t="shared" si="2835"/>
        <v xml:space="preserve"> </v>
      </c>
      <c r="R309" s="167">
        <f ca="1">+BDFUENTES[[#This Row],[PZ MED m3/día]]/3.6/BDFUENTES[[#This Row],[PZ MED Horas Activo]]</f>
        <v>0</v>
      </c>
      <c r="S309" s="167" t="str">
        <f t="shared" ca="1" si="2836"/>
        <v xml:space="preserve"> </v>
      </c>
      <c r="T309" s="168" t="str">
        <f t="shared" si="2837"/>
        <v xml:space="preserve"> </v>
      </c>
      <c r="U309" s="168"/>
      <c r="V309" s="165" t="str">
        <f t="shared" si="2838"/>
        <v xml:space="preserve"> </v>
      </c>
      <c r="W309" s="164" t="str">
        <f t="shared" si="2839"/>
        <v xml:space="preserve"> </v>
      </c>
      <c r="X309" s="166"/>
      <c r="Y309" s="168" t="str">
        <f t="shared" si="2840"/>
        <v xml:space="preserve"> </v>
      </c>
      <c r="Z309" s="168"/>
      <c r="AA309" s="166" t="str">
        <f t="shared" si="2841"/>
        <v xml:space="preserve"> </v>
      </c>
      <c r="AB309" s="168" t="str">
        <f t="shared" si="2842"/>
        <v xml:space="preserve"> </v>
      </c>
      <c r="AC309" s="168"/>
      <c r="AD309" s="171" t="str">
        <f t="shared" si="2843"/>
        <v xml:space="preserve"> </v>
      </c>
      <c r="AE309" s="167"/>
      <c r="AF309" s="165" t="str">
        <f t="shared" si="2844"/>
        <v xml:space="preserve"> </v>
      </c>
      <c r="AG309" s="168"/>
      <c r="AH309" s="168"/>
      <c r="AI309" s="166"/>
      <c r="AJ309" s="166"/>
      <c r="AK309" s="166" t="str">
        <f t="shared" si="2845"/>
        <v/>
      </c>
      <c r="AL309" s="167"/>
      <c r="AM309" s="171" t="str">
        <f t="shared" si="2846"/>
        <v xml:space="preserve"> </v>
      </c>
      <c r="AN309" s="168" t="str">
        <f t="shared" si="2847"/>
        <v xml:space="preserve"> </v>
      </c>
      <c r="AO309" s="168"/>
      <c r="AP309" s="167" t="str">
        <f t="shared" si="2848"/>
        <v xml:space="preserve"> </v>
      </c>
      <c r="AQ309" s="166"/>
      <c r="AR309" s="166" t="str">
        <f t="shared" si="2849"/>
        <v xml:space="preserve"> </v>
      </c>
      <c r="AS309" s="168" t="str">
        <f t="shared" si="2850"/>
        <v xml:space="preserve"> </v>
      </c>
      <c r="AT309" s="168"/>
      <c r="AU309" s="166" t="str">
        <f t="shared" si="2851"/>
        <v xml:space="preserve"> </v>
      </c>
      <c r="AV309" s="167"/>
      <c r="AW309" s="167"/>
      <c r="AX309" s="169" t="str">
        <f t="shared" si="2852"/>
        <v xml:space="preserve"> </v>
      </c>
      <c r="AY309" s="169"/>
      <c r="AZ309" s="167" t="str">
        <f t="shared" si="2853"/>
        <v xml:space="preserve"> </v>
      </c>
      <c r="BA309" s="166"/>
      <c r="BB309" s="166"/>
      <c r="BC309" s="168" t="str">
        <f t="shared" si="2854"/>
        <v xml:space="preserve"> </v>
      </c>
      <c r="BD309" s="168"/>
      <c r="BE309" s="166" t="str">
        <f t="shared" si="2855"/>
        <v xml:space="preserve"> </v>
      </c>
      <c r="BF309" s="167"/>
      <c r="BG309" s="167"/>
      <c r="BH309" s="168" t="str">
        <f t="shared" si="2856"/>
        <v xml:space="preserve"> </v>
      </c>
      <c r="BI309" s="168"/>
      <c r="BJ309" s="167" t="str">
        <f t="shared" si="2857"/>
        <v xml:space="preserve"> </v>
      </c>
      <c r="BK309" s="166"/>
      <c r="BL309" s="166" t="str">
        <f t="shared" si="2858"/>
        <v xml:space="preserve"> </v>
      </c>
      <c r="BM309" s="168" t="str">
        <f t="shared" si="2859"/>
        <v xml:space="preserve"> </v>
      </c>
      <c r="BN309" s="168"/>
      <c r="BO309" s="166" t="str">
        <f t="shared" si="2860"/>
        <v xml:space="preserve"> </v>
      </c>
    </row>
    <row r="310" spans="2:67" ht="15" customHeight="1" x14ac:dyDescent="0.25">
      <c r="B310" s="170">
        <v>46328</v>
      </c>
      <c r="C310" s="164"/>
      <c r="D310" s="166" t="str">
        <f t="shared" si="2827"/>
        <v xml:space="preserve"> </v>
      </c>
      <c r="E310" s="168" t="str">
        <f t="shared" si="2828"/>
        <v xml:space="preserve"> </v>
      </c>
      <c r="F310" s="168"/>
      <c r="G310" s="166" t="str">
        <f t="shared" si="2829"/>
        <v xml:space="preserve"> </v>
      </c>
      <c r="H310" s="167"/>
      <c r="I310" s="167" t="str">
        <f t="shared" si="2830"/>
        <v xml:space="preserve"> </v>
      </c>
      <c r="J310" s="168" t="str">
        <f t="shared" si="2831"/>
        <v xml:space="preserve"> </v>
      </c>
      <c r="K310" s="168"/>
      <c r="L310" s="167" t="str">
        <f t="shared" si="2832"/>
        <v xml:space="preserve"> </v>
      </c>
      <c r="M310" s="166"/>
      <c r="N310" s="166" t="str">
        <f t="shared" si="2833"/>
        <v xml:space="preserve"> </v>
      </c>
      <c r="O310" s="168" t="str">
        <f t="shared" si="2834"/>
        <v xml:space="preserve"> </v>
      </c>
      <c r="P310" s="168"/>
      <c r="Q310" s="166" t="str">
        <f t="shared" si="2835"/>
        <v xml:space="preserve"> </v>
      </c>
      <c r="R310" s="167">
        <f ca="1">+BDFUENTES[[#This Row],[PZ MED m3/día]]/3.6/BDFUENTES[[#This Row],[PZ MED Horas Activo]]</f>
        <v>0</v>
      </c>
      <c r="S310" s="167" t="str">
        <f t="shared" ca="1" si="2836"/>
        <v xml:space="preserve"> </v>
      </c>
      <c r="T310" s="168" t="str">
        <f t="shared" si="2837"/>
        <v xml:space="preserve"> </v>
      </c>
      <c r="U310" s="168"/>
      <c r="V310" s="165" t="str">
        <f t="shared" si="2838"/>
        <v xml:space="preserve"> </v>
      </c>
      <c r="W310" s="164" t="str">
        <f t="shared" si="2839"/>
        <v xml:space="preserve"> </v>
      </c>
      <c r="X310" s="166"/>
      <c r="Y310" s="168" t="str">
        <f t="shared" si="2840"/>
        <v xml:space="preserve"> </v>
      </c>
      <c r="Z310" s="168"/>
      <c r="AA310" s="166" t="str">
        <f t="shared" si="2841"/>
        <v xml:space="preserve"> </v>
      </c>
      <c r="AB310" s="168" t="str">
        <f t="shared" si="2842"/>
        <v xml:space="preserve"> </v>
      </c>
      <c r="AC310" s="168"/>
      <c r="AD310" s="171" t="str">
        <f t="shared" si="2843"/>
        <v xml:space="preserve"> </v>
      </c>
      <c r="AE310" s="167"/>
      <c r="AF310" s="165" t="str">
        <f t="shared" si="2844"/>
        <v xml:space="preserve"> </v>
      </c>
      <c r="AG310" s="168"/>
      <c r="AH310" s="168"/>
      <c r="AI310" s="166"/>
      <c r="AJ310" s="166"/>
      <c r="AK310" s="166" t="str">
        <f t="shared" si="2845"/>
        <v/>
      </c>
      <c r="AL310" s="167"/>
      <c r="AM310" s="171" t="str">
        <f t="shared" si="2846"/>
        <v xml:space="preserve"> </v>
      </c>
      <c r="AN310" s="168" t="str">
        <f t="shared" si="2847"/>
        <v xml:space="preserve"> </v>
      </c>
      <c r="AO310" s="168"/>
      <c r="AP310" s="167" t="str">
        <f t="shared" si="2848"/>
        <v xml:space="preserve"> </v>
      </c>
      <c r="AQ310" s="166"/>
      <c r="AR310" s="166" t="str">
        <f t="shared" si="2849"/>
        <v xml:space="preserve"> </v>
      </c>
      <c r="AS310" s="168" t="str">
        <f t="shared" si="2850"/>
        <v xml:space="preserve"> </v>
      </c>
      <c r="AT310" s="168"/>
      <c r="AU310" s="166" t="str">
        <f t="shared" si="2851"/>
        <v xml:space="preserve"> </v>
      </c>
      <c r="AV310" s="167"/>
      <c r="AW310" s="167"/>
      <c r="AX310" s="169" t="str">
        <f t="shared" si="2852"/>
        <v xml:space="preserve"> </v>
      </c>
      <c r="AY310" s="169"/>
      <c r="AZ310" s="167" t="str">
        <f t="shared" si="2853"/>
        <v xml:space="preserve"> </v>
      </c>
      <c r="BA310" s="166"/>
      <c r="BB310" s="166"/>
      <c r="BC310" s="168" t="str">
        <f t="shared" si="2854"/>
        <v xml:space="preserve"> </v>
      </c>
      <c r="BD310" s="168"/>
      <c r="BE310" s="166" t="str">
        <f t="shared" si="2855"/>
        <v xml:space="preserve"> </v>
      </c>
      <c r="BF310" s="167"/>
      <c r="BG310" s="167"/>
      <c r="BH310" s="168" t="str">
        <f t="shared" si="2856"/>
        <v xml:space="preserve"> </v>
      </c>
      <c r="BI310" s="168"/>
      <c r="BJ310" s="167" t="str">
        <f t="shared" si="2857"/>
        <v xml:space="preserve"> </v>
      </c>
      <c r="BK310" s="166"/>
      <c r="BL310" s="166" t="str">
        <f t="shared" si="2858"/>
        <v xml:space="preserve"> </v>
      </c>
      <c r="BM310" s="168" t="str">
        <f t="shared" si="2859"/>
        <v xml:space="preserve"> </v>
      </c>
      <c r="BN310" s="168"/>
      <c r="BO310" s="166" t="str">
        <f t="shared" si="2860"/>
        <v xml:space="preserve"> </v>
      </c>
    </row>
    <row r="311" spans="2:67" ht="15" customHeight="1" x14ac:dyDescent="0.25">
      <c r="B311" s="170">
        <v>46329</v>
      </c>
      <c r="C311" s="164"/>
      <c r="D311" s="166" t="str">
        <f t="shared" si="2827"/>
        <v xml:space="preserve"> </v>
      </c>
      <c r="E311" s="168" t="str">
        <f t="shared" si="2828"/>
        <v xml:space="preserve"> </v>
      </c>
      <c r="F311" s="168"/>
      <c r="G311" s="166" t="str">
        <f t="shared" si="2829"/>
        <v xml:space="preserve"> </v>
      </c>
      <c r="H311" s="167"/>
      <c r="I311" s="167" t="str">
        <f t="shared" si="2830"/>
        <v xml:space="preserve"> </v>
      </c>
      <c r="J311" s="168" t="str">
        <f t="shared" si="2831"/>
        <v xml:space="preserve"> </v>
      </c>
      <c r="K311" s="168"/>
      <c r="L311" s="167" t="str">
        <f t="shared" si="2832"/>
        <v xml:space="preserve"> </v>
      </c>
      <c r="M311" s="166"/>
      <c r="N311" s="166" t="str">
        <f t="shared" si="2833"/>
        <v xml:space="preserve"> </v>
      </c>
      <c r="O311" s="168" t="str">
        <f t="shared" si="2834"/>
        <v xml:space="preserve"> </v>
      </c>
      <c r="P311" s="168"/>
      <c r="Q311" s="166" t="str">
        <f t="shared" si="2835"/>
        <v xml:space="preserve"> </v>
      </c>
      <c r="R311" s="167">
        <f ca="1">+BDFUENTES[[#This Row],[PZ MED m3/día]]/3.6/BDFUENTES[[#This Row],[PZ MED Horas Activo]]</f>
        <v>0</v>
      </c>
      <c r="S311" s="167" t="str">
        <f t="shared" ca="1" si="2836"/>
        <v xml:space="preserve"> </v>
      </c>
      <c r="T311" s="168" t="str">
        <f t="shared" si="2837"/>
        <v xml:space="preserve"> </v>
      </c>
      <c r="U311" s="168"/>
      <c r="V311" s="165" t="str">
        <f t="shared" si="2838"/>
        <v xml:space="preserve"> </v>
      </c>
      <c r="W311" s="164" t="str">
        <f t="shared" si="2839"/>
        <v xml:space="preserve"> </v>
      </c>
      <c r="X311" s="166"/>
      <c r="Y311" s="168" t="str">
        <f t="shared" si="2840"/>
        <v xml:space="preserve"> </v>
      </c>
      <c r="Z311" s="168"/>
      <c r="AA311" s="166" t="str">
        <f t="shared" si="2841"/>
        <v xml:space="preserve"> </v>
      </c>
      <c r="AB311" s="168" t="str">
        <f t="shared" si="2842"/>
        <v xml:space="preserve"> </v>
      </c>
      <c r="AC311" s="168"/>
      <c r="AD311" s="171" t="str">
        <f t="shared" si="2843"/>
        <v xml:space="preserve"> </v>
      </c>
      <c r="AE311" s="167"/>
      <c r="AF311" s="165" t="str">
        <f t="shared" si="2844"/>
        <v xml:space="preserve"> </v>
      </c>
      <c r="AG311" s="168"/>
      <c r="AH311" s="168"/>
      <c r="AI311" s="166"/>
      <c r="AJ311" s="166"/>
      <c r="AK311" s="166" t="str">
        <f t="shared" si="2845"/>
        <v/>
      </c>
      <c r="AL311" s="167"/>
      <c r="AM311" s="171" t="str">
        <f t="shared" si="2846"/>
        <v xml:space="preserve"> </v>
      </c>
      <c r="AN311" s="168" t="str">
        <f t="shared" si="2847"/>
        <v xml:space="preserve"> </v>
      </c>
      <c r="AO311" s="168"/>
      <c r="AP311" s="167" t="str">
        <f t="shared" si="2848"/>
        <v xml:space="preserve"> </v>
      </c>
      <c r="AQ311" s="166"/>
      <c r="AR311" s="166" t="str">
        <f t="shared" si="2849"/>
        <v xml:space="preserve"> </v>
      </c>
      <c r="AS311" s="168" t="str">
        <f t="shared" si="2850"/>
        <v xml:space="preserve"> </v>
      </c>
      <c r="AT311" s="168"/>
      <c r="AU311" s="166" t="str">
        <f t="shared" si="2851"/>
        <v xml:space="preserve"> </v>
      </c>
      <c r="AV311" s="167"/>
      <c r="AW311" s="167"/>
      <c r="AX311" s="169" t="str">
        <f t="shared" si="2852"/>
        <v xml:space="preserve"> </v>
      </c>
      <c r="AY311" s="169"/>
      <c r="AZ311" s="167" t="str">
        <f t="shared" si="2853"/>
        <v xml:space="preserve"> </v>
      </c>
      <c r="BA311" s="166"/>
      <c r="BB311" s="166"/>
      <c r="BC311" s="168" t="str">
        <f t="shared" si="2854"/>
        <v xml:space="preserve"> </v>
      </c>
      <c r="BD311" s="168"/>
      <c r="BE311" s="166" t="str">
        <f t="shared" si="2855"/>
        <v xml:space="preserve"> </v>
      </c>
      <c r="BF311" s="167"/>
      <c r="BG311" s="167"/>
      <c r="BH311" s="168" t="str">
        <f t="shared" si="2856"/>
        <v xml:space="preserve"> </v>
      </c>
      <c r="BI311" s="168"/>
      <c r="BJ311" s="167" t="str">
        <f t="shared" si="2857"/>
        <v xml:space="preserve"> </v>
      </c>
      <c r="BK311" s="166"/>
      <c r="BL311" s="166" t="str">
        <f t="shared" si="2858"/>
        <v xml:space="preserve"> </v>
      </c>
      <c r="BM311" s="168" t="str">
        <f t="shared" si="2859"/>
        <v xml:space="preserve"> </v>
      </c>
      <c r="BN311" s="168"/>
      <c r="BO311" s="166" t="str">
        <f t="shared" si="2860"/>
        <v xml:space="preserve"> </v>
      </c>
    </row>
    <row r="312" spans="2:67" ht="15" customHeight="1" x14ac:dyDescent="0.25">
      <c r="B312" s="170">
        <v>46330</v>
      </c>
      <c r="C312" s="164"/>
      <c r="D312" s="166" t="str">
        <f t="shared" si="2827"/>
        <v xml:space="preserve"> </v>
      </c>
      <c r="E312" s="168" t="str">
        <f t="shared" si="2828"/>
        <v xml:space="preserve"> </v>
      </c>
      <c r="F312" s="168"/>
      <c r="G312" s="166" t="str">
        <f t="shared" si="2829"/>
        <v xml:space="preserve"> </v>
      </c>
      <c r="H312" s="167"/>
      <c r="I312" s="167" t="str">
        <f t="shared" si="2830"/>
        <v xml:space="preserve"> </v>
      </c>
      <c r="J312" s="168" t="str">
        <f t="shared" si="2831"/>
        <v xml:space="preserve"> </v>
      </c>
      <c r="K312" s="168"/>
      <c r="L312" s="167" t="str">
        <f t="shared" si="2832"/>
        <v xml:space="preserve"> </v>
      </c>
      <c r="M312" s="166"/>
      <c r="N312" s="166" t="str">
        <f t="shared" si="2833"/>
        <v xml:space="preserve"> </v>
      </c>
      <c r="O312" s="168" t="str">
        <f t="shared" si="2834"/>
        <v xml:space="preserve"> </v>
      </c>
      <c r="P312" s="168"/>
      <c r="Q312" s="166" t="str">
        <f t="shared" si="2835"/>
        <v xml:space="preserve"> </v>
      </c>
      <c r="R312" s="167">
        <f ca="1">+BDFUENTES[[#This Row],[PZ MED m3/día]]/3.6/BDFUENTES[[#This Row],[PZ MED Horas Activo]]</f>
        <v>0</v>
      </c>
      <c r="S312" s="167" t="str">
        <f t="shared" ca="1" si="2836"/>
        <v xml:space="preserve"> </v>
      </c>
      <c r="T312" s="168" t="str">
        <f t="shared" si="2837"/>
        <v xml:space="preserve"> </v>
      </c>
      <c r="U312" s="168"/>
      <c r="V312" s="165" t="str">
        <f t="shared" si="2838"/>
        <v xml:space="preserve"> </v>
      </c>
      <c r="W312" s="164" t="str">
        <f t="shared" si="2839"/>
        <v xml:space="preserve"> </v>
      </c>
      <c r="X312" s="166"/>
      <c r="Y312" s="168" t="str">
        <f t="shared" si="2840"/>
        <v xml:space="preserve"> </v>
      </c>
      <c r="Z312" s="168"/>
      <c r="AA312" s="166" t="str">
        <f t="shared" si="2841"/>
        <v xml:space="preserve"> </v>
      </c>
      <c r="AB312" s="168" t="str">
        <f t="shared" si="2842"/>
        <v xml:space="preserve"> </v>
      </c>
      <c r="AC312" s="168"/>
      <c r="AD312" s="171" t="str">
        <f t="shared" si="2843"/>
        <v xml:space="preserve"> </v>
      </c>
      <c r="AE312" s="167"/>
      <c r="AF312" s="165" t="str">
        <f t="shared" si="2844"/>
        <v xml:space="preserve"> </v>
      </c>
      <c r="AG312" s="168"/>
      <c r="AH312" s="168"/>
      <c r="AI312" s="166"/>
      <c r="AJ312" s="166"/>
      <c r="AK312" s="166" t="str">
        <f t="shared" si="2845"/>
        <v/>
      </c>
      <c r="AL312" s="167"/>
      <c r="AM312" s="171" t="str">
        <f t="shared" si="2846"/>
        <v xml:space="preserve"> </v>
      </c>
      <c r="AN312" s="168" t="str">
        <f t="shared" si="2847"/>
        <v xml:space="preserve"> </v>
      </c>
      <c r="AO312" s="168"/>
      <c r="AP312" s="167" t="str">
        <f t="shared" si="2848"/>
        <v xml:space="preserve"> </v>
      </c>
      <c r="AQ312" s="166"/>
      <c r="AR312" s="166" t="str">
        <f t="shared" si="2849"/>
        <v xml:space="preserve"> </v>
      </c>
      <c r="AS312" s="168" t="str">
        <f t="shared" si="2850"/>
        <v xml:space="preserve"> </v>
      </c>
      <c r="AT312" s="168"/>
      <c r="AU312" s="166" t="str">
        <f t="shared" si="2851"/>
        <v xml:space="preserve"> </v>
      </c>
      <c r="AV312" s="167"/>
      <c r="AW312" s="167"/>
      <c r="AX312" s="169" t="str">
        <f t="shared" si="2852"/>
        <v xml:space="preserve"> </v>
      </c>
      <c r="AY312" s="169"/>
      <c r="AZ312" s="167" t="str">
        <f t="shared" si="2853"/>
        <v xml:space="preserve"> </v>
      </c>
      <c r="BA312" s="166"/>
      <c r="BB312" s="166"/>
      <c r="BC312" s="168" t="str">
        <f t="shared" si="2854"/>
        <v xml:space="preserve"> </v>
      </c>
      <c r="BD312" s="168"/>
      <c r="BE312" s="166" t="str">
        <f t="shared" si="2855"/>
        <v xml:space="preserve"> </v>
      </c>
      <c r="BF312" s="167"/>
      <c r="BG312" s="167"/>
      <c r="BH312" s="168" t="str">
        <f t="shared" si="2856"/>
        <v xml:space="preserve"> </v>
      </c>
      <c r="BI312" s="168"/>
      <c r="BJ312" s="167" t="str">
        <f t="shared" si="2857"/>
        <v xml:space="preserve"> </v>
      </c>
      <c r="BK312" s="166"/>
      <c r="BL312" s="166" t="str">
        <f t="shared" si="2858"/>
        <v xml:space="preserve"> </v>
      </c>
      <c r="BM312" s="168" t="str">
        <f t="shared" si="2859"/>
        <v xml:space="preserve"> </v>
      </c>
      <c r="BN312" s="168"/>
      <c r="BO312" s="166" t="str">
        <f t="shared" si="2860"/>
        <v xml:space="preserve"> </v>
      </c>
    </row>
    <row r="313" spans="2:67" ht="15" customHeight="1" x14ac:dyDescent="0.25">
      <c r="B313" s="170">
        <v>46331</v>
      </c>
      <c r="C313" s="164"/>
      <c r="D313" s="166" t="str">
        <f t="shared" si="2827"/>
        <v xml:space="preserve"> </v>
      </c>
      <c r="E313" s="168" t="str">
        <f t="shared" si="2828"/>
        <v xml:space="preserve"> </v>
      </c>
      <c r="F313" s="168"/>
      <c r="G313" s="166" t="str">
        <f t="shared" si="2829"/>
        <v xml:space="preserve"> </v>
      </c>
      <c r="H313" s="167"/>
      <c r="I313" s="167" t="str">
        <f t="shared" si="2830"/>
        <v xml:space="preserve"> </v>
      </c>
      <c r="J313" s="168" t="str">
        <f t="shared" si="2831"/>
        <v xml:space="preserve"> </v>
      </c>
      <c r="K313" s="168"/>
      <c r="L313" s="167" t="str">
        <f t="shared" si="2832"/>
        <v xml:space="preserve"> </v>
      </c>
      <c r="M313" s="166"/>
      <c r="N313" s="166" t="str">
        <f t="shared" si="2833"/>
        <v xml:space="preserve"> </v>
      </c>
      <c r="O313" s="168" t="str">
        <f t="shared" si="2834"/>
        <v xml:space="preserve"> </v>
      </c>
      <c r="P313" s="168"/>
      <c r="Q313" s="166" t="str">
        <f t="shared" si="2835"/>
        <v xml:space="preserve"> </v>
      </c>
      <c r="R313" s="167">
        <f ca="1">+BDFUENTES[[#This Row],[PZ MED m3/día]]/3.6/BDFUENTES[[#This Row],[PZ MED Horas Activo]]</f>
        <v>0</v>
      </c>
      <c r="S313" s="167" t="str">
        <f t="shared" ca="1" si="2836"/>
        <v xml:space="preserve"> </v>
      </c>
      <c r="T313" s="168" t="str">
        <f t="shared" si="2837"/>
        <v xml:space="preserve"> </v>
      </c>
      <c r="U313" s="168"/>
      <c r="V313" s="165" t="str">
        <f t="shared" si="2838"/>
        <v xml:space="preserve"> </v>
      </c>
      <c r="W313" s="164" t="str">
        <f t="shared" si="2839"/>
        <v xml:space="preserve"> </v>
      </c>
      <c r="X313" s="166"/>
      <c r="Y313" s="168" t="str">
        <f t="shared" si="2840"/>
        <v xml:space="preserve"> </v>
      </c>
      <c r="Z313" s="168"/>
      <c r="AA313" s="166" t="str">
        <f t="shared" si="2841"/>
        <v xml:space="preserve"> </v>
      </c>
      <c r="AB313" s="168" t="str">
        <f t="shared" si="2842"/>
        <v xml:space="preserve"> </v>
      </c>
      <c r="AC313" s="168"/>
      <c r="AD313" s="171" t="str">
        <f t="shared" si="2843"/>
        <v xml:space="preserve"> </v>
      </c>
      <c r="AE313" s="167"/>
      <c r="AF313" s="165" t="str">
        <f t="shared" si="2844"/>
        <v xml:space="preserve"> </v>
      </c>
      <c r="AG313" s="168"/>
      <c r="AH313" s="168"/>
      <c r="AI313" s="166"/>
      <c r="AJ313" s="166"/>
      <c r="AK313" s="166" t="str">
        <f t="shared" si="2845"/>
        <v/>
      </c>
      <c r="AL313" s="167"/>
      <c r="AM313" s="171" t="str">
        <f t="shared" si="2846"/>
        <v xml:space="preserve"> </v>
      </c>
      <c r="AN313" s="168" t="str">
        <f t="shared" si="2847"/>
        <v xml:space="preserve"> </v>
      </c>
      <c r="AO313" s="168"/>
      <c r="AP313" s="167" t="str">
        <f t="shared" si="2848"/>
        <v xml:space="preserve"> </v>
      </c>
      <c r="AQ313" s="166"/>
      <c r="AR313" s="166" t="str">
        <f t="shared" si="2849"/>
        <v xml:space="preserve"> </v>
      </c>
      <c r="AS313" s="168" t="str">
        <f t="shared" si="2850"/>
        <v xml:space="preserve"> </v>
      </c>
      <c r="AT313" s="168"/>
      <c r="AU313" s="166" t="str">
        <f t="shared" si="2851"/>
        <v xml:space="preserve"> </v>
      </c>
      <c r="AV313" s="167"/>
      <c r="AW313" s="167"/>
      <c r="AX313" s="169" t="str">
        <f t="shared" si="2852"/>
        <v xml:space="preserve"> </v>
      </c>
      <c r="AY313" s="169"/>
      <c r="AZ313" s="167" t="str">
        <f t="shared" si="2853"/>
        <v xml:space="preserve"> </v>
      </c>
      <c r="BA313" s="166"/>
      <c r="BB313" s="166"/>
      <c r="BC313" s="168" t="str">
        <f t="shared" si="2854"/>
        <v xml:space="preserve"> </v>
      </c>
      <c r="BD313" s="168"/>
      <c r="BE313" s="166" t="str">
        <f t="shared" si="2855"/>
        <v xml:space="preserve"> </v>
      </c>
      <c r="BF313" s="167"/>
      <c r="BG313" s="167"/>
      <c r="BH313" s="168" t="str">
        <f t="shared" si="2856"/>
        <v xml:space="preserve"> </v>
      </c>
      <c r="BI313" s="168"/>
      <c r="BJ313" s="167" t="str">
        <f t="shared" si="2857"/>
        <v xml:space="preserve"> </v>
      </c>
      <c r="BK313" s="166"/>
      <c r="BL313" s="166" t="str">
        <f t="shared" si="2858"/>
        <v xml:space="preserve"> </v>
      </c>
      <c r="BM313" s="168" t="str">
        <f t="shared" si="2859"/>
        <v xml:space="preserve"> </v>
      </c>
      <c r="BN313" s="168"/>
      <c r="BO313" s="166" t="str">
        <f t="shared" si="2860"/>
        <v xml:space="preserve"> </v>
      </c>
    </row>
    <row r="314" spans="2:67" ht="15" customHeight="1" x14ac:dyDescent="0.25">
      <c r="B314" s="170">
        <v>46332</v>
      </c>
      <c r="C314" s="164"/>
      <c r="D314" s="166" t="str">
        <f t="shared" si="2827"/>
        <v xml:space="preserve"> </v>
      </c>
      <c r="E314" s="168" t="str">
        <f t="shared" si="2828"/>
        <v xml:space="preserve"> </v>
      </c>
      <c r="F314" s="168"/>
      <c r="G314" s="166" t="str">
        <f t="shared" si="2829"/>
        <v xml:space="preserve"> </v>
      </c>
      <c r="H314" s="167"/>
      <c r="I314" s="167" t="str">
        <f t="shared" si="2830"/>
        <v xml:space="preserve"> </v>
      </c>
      <c r="J314" s="168" t="str">
        <f t="shared" si="2831"/>
        <v xml:space="preserve"> </v>
      </c>
      <c r="K314" s="168"/>
      <c r="L314" s="167" t="str">
        <f t="shared" si="2832"/>
        <v xml:space="preserve"> </v>
      </c>
      <c r="M314" s="166"/>
      <c r="N314" s="166" t="str">
        <f t="shared" si="2833"/>
        <v xml:space="preserve"> </v>
      </c>
      <c r="O314" s="168" t="str">
        <f t="shared" si="2834"/>
        <v xml:space="preserve"> </v>
      </c>
      <c r="P314" s="168"/>
      <c r="Q314" s="166" t="str">
        <f t="shared" si="2835"/>
        <v xml:space="preserve"> </v>
      </c>
      <c r="R314" s="167">
        <f ca="1">+BDFUENTES[[#This Row],[PZ MED m3/día]]/3.6/BDFUENTES[[#This Row],[PZ MED Horas Activo]]</f>
        <v>0</v>
      </c>
      <c r="S314" s="167" t="str">
        <f t="shared" ca="1" si="2836"/>
        <v xml:space="preserve"> </v>
      </c>
      <c r="T314" s="168" t="str">
        <f t="shared" si="2837"/>
        <v xml:space="preserve"> </v>
      </c>
      <c r="U314" s="168"/>
      <c r="V314" s="165" t="str">
        <f t="shared" si="2838"/>
        <v xml:space="preserve"> </v>
      </c>
      <c r="W314" s="164" t="str">
        <f t="shared" si="2839"/>
        <v xml:space="preserve"> </v>
      </c>
      <c r="X314" s="166"/>
      <c r="Y314" s="168" t="str">
        <f t="shared" si="2840"/>
        <v xml:space="preserve"> </v>
      </c>
      <c r="Z314" s="168"/>
      <c r="AA314" s="166" t="str">
        <f t="shared" si="2841"/>
        <v xml:space="preserve"> </v>
      </c>
      <c r="AB314" s="168" t="str">
        <f t="shared" si="2842"/>
        <v xml:space="preserve"> </v>
      </c>
      <c r="AC314" s="168"/>
      <c r="AD314" s="171" t="str">
        <f t="shared" si="2843"/>
        <v xml:space="preserve"> </v>
      </c>
      <c r="AE314" s="167"/>
      <c r="AF314" s="165" t="str">
        <f t="shared" si="2844"/>
        <v xml:space="preserve"> </v>
      </c>
      <c r="AG314" s="168"/>
      <c r="AH314" s="168"/>
      <c r="AI314" s="166"/>
      <c r="AJ314" s="166"/>
      <c r="AK314" s="166" t="str">
        <f t="shared" si="2845"/>
        <v/>
      </c>
      <c r="AL314" s="167"/>
      <c r="AM314" s="171" t="str">
        <f t="shared" si="2846"/>
        <v xml:space="preserve"> </v>
      </c>
      <c r="AN314" s="168" t="str">
        <f t="shared" si="2847"/>
        <v xml:space="preserve"> </v>
      </c>
      <c r="AO314" s="168"/>
      <c r="AP314" s="167" t="str">
        <f t="shared" si="2848"/>
        <v xml:space="preserve"> </v>
      </c>
      <c r="AQ314" s="166"/>
      <c r="AR314" s="166" t="str">
        <f t="shared" si="2849"/>
        <v xml:space="preserve"> </v>
      </c>
      <c r="AS314" s="168" t="str">
        <f t="shared" si="2850"/>
        <v xml:space="preserve"> </v>
      </c>
      <c r="AT314" s="168"/>
      <c r="AU314" s="166" t="str">
        <f t="shared" si="2851"/>
        <v xml:space="preserve"> </v>
      </c>
      <c r="AV314" s="167"/>
      <c r="AW314" s="167"/>
      <c r="AX314" s="169" t="str">
        <f t="shared" si="2852"/>
        <v xml:space="preserve"> </v>
      </c>
      <c r="AY314" s="169"/>
      <c r="AZ314" s="167" t="str">
        <f t="shared" si="2853"/>
        <v xml:space="preserve"> </v>
      </c>
      <c r="BA314" s="166"/>
      <c r="BB314" s="166"/>
      <c r="BC314" s="168" t="str">
        <f t="shared" si="2854"/>
        <v xml:space="preserve"> </v>
      </c>
      <c r="BD314" s="168"/>
      <c r="BE314" s="166" t="str">
        <f t="shared" si="2855"/>
        <v xml:space="preserve"> </v>
      </c>
      <c r="BF314" s="167"/>
      <c r="BG314" s="167"/>
      <c r="BH314" s="168" t="str">
        <f t="shared" si="2856"/>
        <v xml:space="preserve"> </v>
      </c>
      <c r="BI314" s="168"/>
      <c r="BJ314" s="167" t="str">
        <f t="shared" si="2857"/>
        <v xml:space="preserve"> </v>
      </c>
      <c r="BK314" s="166"/>
      <c r="BL314" s="166" t="str">
        <f t="shared" si="2858"/>
        <v xml:space="preserve"> </v>
      </c>
      <c r="BM314" s="168" t="str">
        <f t="shared" si="2859"/>
        <v xml:space="preserve"> </v>
      </c>
      <c r="BN314" s="168"/>
      <c r="BO314" s="166" t="str">
        <f t="shared" si="2860"/>
        <v xml:space="preserve"> </v>
      </c>
    </row>
    <row r="315" spans="2:67" ht="15" customHeight="1" x14ac:dyDescent="0.25">
      <c r="B315" s="170">
        <v>46333</v>
      </c>
      <c r="C315" s="164"/>
      <c r="D315" s="166" t="str">
        <f t="shared" si="2827"/>
        <v xml:space="preserve"> </v>
      </c>
      <c r="E315" s="168" t="str">
        <f t="shared" si="2828"/>
        <v xml:space="preserve"> </v>
      </c>
      <c r="F315" s="168"/>
      <c r="G315" s="166" t="str">
        <f t="shared" si="2829"/>
        <v xml:space="preserve"> </v>
      </c>
      <c r="H315" s="167"/>
      <c r="I315" s="167" t="str">
        <f t="shared" si="2830"/>
        <v xml:space="preserve"> </v>
      </c>
      <c r="J315" s="168" t="str">
        <f t="shared" si="2831"/>
        <v xml:space="preserve"> </v>
      </c>
      <c r="K315" s="168"/>
      <c r="L315" s="167" t="str">
        <f t="shared" si="2832"/>
        <v xml:space="preserve"> </v>
      </c>
      <c r="M315" s="166"/>
      <c r="N315" s="166" t="str">
        <f t="shared" si="2833"/>
        <v xml:space="preserve"> </v>
      </c>
      <c r="O315" s="168" t="str">
        <f t="shared" si="2834"/>
        <v xml:space="preserve"> </v>
      </c>
      <c r="P315" s="168"/>
      <c r="Q315" s="166" t="str">
        <f t="shared" si="2835"/>
        <v xml:space="preserve"> </v>
      </c>
      <c r="R315" s="167">
        <f ca="1">+BDFUENTES[[#This Row],[PZ MED m3/día]]/3.6/BDFUENTES[[#This Row],[PZ MED Horas Activo]]</f>
        <v>0</v>
      </c>
      <c r="S315" s="167" t="str">
        <f t="shared" ca="1" si="2836"/>
        <v xml:space="preserve"> </v>
      </c>
      <c r="T315" s="168" t="str">
        <f t="shared" si="2837"/>
        <v xml:space="preserve"> </v>
      </c>
      <c r="U315" s="168"/>
      <c r="V315" s="165" t="str">
        <f t="shared" si="2838"/>
        <v xml:space="preserve"> </v>
      </c>
      <c r="W315" s="164" t="str">
        <f t="shared" si="2839"/>
        <v xml:space="preserve"> </v>
      </c>
      <c r="X315" s="166"/>
      <c r="Y315" s="168" t="str">
        <f t="shared" si="2840"/>
        <v xml:space="preserve"> </v>
      </c>
      <c r="Z315" s="168"/>
      <c r="AA315" s="166" t="str">
        <f t="shared" si="2841"/>
        <v xml:space="preserve"> </v>
      </c>
      <c r="AB315" s="168" t="str">
        <f t="shared" si="2842"/>
        <v xml:space="preserve"> </v>
      </c>
      <c r="AC315" s="168"/>
      <c r="AD315" s="171" t="str">
        <f t="shared" si="2843"/>
        <v xml:space="preserve"> </v>
      </c>
      <c r="AE315" s="167"/>
      <c r="AF315" s="165" t="str">
        <f t="shared" si="2844"/>
        <v xml:space="preserve"> </v>
      </c>
      <c r="AG315" s="168"/>
      <c r="AH315" s="168"/>
      <c r="AI315" s="166"/>
      <c r="AJ315" s="166"/>
      <c r="AK315" s="166" t="str">
        <f t="shared" si="2845"/>
        <v/>
      </c>
      <c r="AL315" s="167"/>
      <c r="AM315" s="171" t="str">
        <f t="shared" si="2846"/>
        <v xml:space="preserve"> </v>
      </c>
      <c r="AN315" s="168" t="str">
        <f t="shared" si="2847"/>
        <v xml:space="preserve"> </v>
      </c>
      <c r="AO315" s="168"/>
      <c r="AP315" s="167" t="str">
        <f t="shared" si="2848"/>
        <v xml:space="preserve"> </v>
      </c>
      <c r="AQ315" s="166"/>
      <c r="AR315" s="166" t="str">
        <f t="shared" si="2849"/>
        <v xml:space="preserve"> </v>
      </c>
      <c r="AS315" s="168" t="str">
        <f t="shared" si="2850"/>
        <v xml:space="preserve"> </v>
      </c>
      <c r="AT315" s="168"/>
      <c r="AU315" s="166" t="str">
        <f t="shared" si="2851"/>
        <v xml:space="preserve"> </v>
      </c>
      <c r="AV315" s="167"/>
      <c r="AW315" s="167"/>
      <c r="AX315" s="169" t="str">
        <f t="shared" si="2852"/>
        <v xml:space="preserve"> </v>
      </c>
      <c r="AY315" s="169"/>
      <c r="AZ315" s="167" t="str">
        <f t="shared" si="2853"/>
        <v xml:space="preserve"> </v>
      </c>
      <c r="BA315" s="166"/>
      <c r="BB315" s="166"/>
      <c r="BC315" s="168" t="str">
        <f t="shared" si="2854"/>
        <v xml:space="preserve"> </v>
      </c>
      <c r="BD315" s="168"/>
      <c r="BE315" s="166" t="str">
        <f t="shared" si="2855"/>
        <v xml:space="preserve"> </v>
      </c>
      <c r="BF315" s="167"/>
      <c r="BG315" s="167"/>
      <c r="BH315" s="168" t="str">
        <f t="shared" si="2856"/>
        <v xml:space="preserve"> </v>
      </c>
      <c r="BI315" s="168"/>
      <c r="BJ315" s="167" t="str">
        <f t="shared" si="2857"/>
        <v xml:space="preserve"> </v>
      </c>
      <c r="BK315" s="166"/>
      <c r="BL315" s="166" t="str">
        <f t="shared" si="2858"/>
        <v xml:space="preserve"> </v>
      </c>
      <c r="BM315" s="168" t="str">
        <f t="shared" si="2859"/>
        <v xml:space="preserve"> </v>
      </c>
      <c r="BN315" s="168"/>
      <c r="BO315" s="166" t="str">
        <f t="shared" si="2860"/>
        <v xml:space="preserve"> </v>
      </c>
    </row>
    <row r="316" spans="2:67" ht="15" customHeight="1" x14ac:dyDescent="0.25">
      <c r="B316" s="170">
        <v>46334</v>
      </c>
      <c r="C316" s="164"/>
      <c r="D316" s="166" t="str">
        <f t="shared" si="2827"/>
        <v xml:space="preserve"> </v>
      </c>
      <c r="E316" s="168" t="str">
        <f t="shared" si="2828"/>
        <v xml:space="preserve"> </v>
      </c>
      <c r="F316" s="168"/>
      <c r="G316" s="166" t="str">
        <f t="shared" si="2829"/>
        <v xml:space="preserve"> </v>
      </c>
      <c r="H316" s="167"/>
      <c r="I316" s="167" t="str">
        <f t="shared" si="2830"/>
        <v xml:space="preserve"> </v>
      </c>
      <c r="J316" s="168" t="str">
        <f t="shared" si="2831"/>
        <v xml:space="preserve"> </v>
      </c>
      <c r="K316" s="168"/>
      <c r="L316" s="167" t="str">
        <f t="shared" si="2832"/>
        <v xml:space="preserve"> </v>
      </c>
      <c r="M316" s="166"/>
      <c r="N316" s="166" t="str">
        <f t="shared" si="2833"/>
        <v xml:space="preserve"> </v>
      </c>
      <c r="O316" s="168" t="str">
        <f t="shared" si="2834"/>
        <v xml:space="preserve"> </v>
      </c>
      <c r="P316" s="168"/>
      <c r="Q316" s="166" t="str">
        <f t="shared" si="2835"/>
        <v xml:space="preserve"> </v>
      </c>
      <c r="R316" s="167">
        <f ca="1">+BDFUENTES[[#This Row],[PZ MED m3/día]]/3.6/BDFUENTES[[#This Row],[PZ MED Horas Activo]]</f>
        <v>0</v>
      </c>
      <c r="S316" s="167" t="str">
        <f t="shared" ca="1" si="2836"/>
        <v xml:space="preserve"> </v>
      </c>
      <c r="T316" s="168" t="str">
        <f t="shared" si="2837"/>
        <v xml:space="preserve"> </v>
      </c>
      <c r="U316" s="168"/>
      <c r="V316" s="165" t="str">
        <f t="shared" si="2838"/>
        <v xml:space="preserve"> </v>
      </c>
      <c r="W316" s="164" t="str">
        <f t="shared" si="2839"/>
        <v xml:space="preserve"> </v>
      </c>
      <c r="X316" s="166"/>
      <c r="Y316" s="168" t="str">
        <f t="shared" si="2840"/>
        <v xml:space="preserve"> </v>
      </c>
      <c r="Z316" s="168"/>
      <c r="AA316" s="166" t="str">
        <f t="shared" si="2841"/>
        <v xml:space="preserve"> </v>
      </c>
      <c r="AB316" s="168" t="str">
        <f t="shared" si="2842"/>
        <v xml:space="preserve"> </v>
      </c>
      <c r="AC316" s="168"/>
      <c r="AD316" s="171" t="str">
        <f t="shared" si="2843"/>
        <v xml:space="preserve"> </v>
      </c>
      <c r="AE316" s="167"/>
      <c r="AF316" s="165" t="str">
        <f t="shared" si="2844"/>
        <v xml:space="preserve"> </v>
      </c>
      <c r="AG316" s="168"/>
      <c r="AH316" s="168"/>
      <c r="AI316" s="166"/>
      <c r="AJ316" s="166"/>
      <c r="AK316" s="166" t="str">
        <f t="shared" si="2845"/>
        <v/>
      </c>
      <c r="AL316" s="167"/>
      <c r="AM316" s="171" t="str">
        <f t="shared" si="2846"/>
        <v xml:space="preserve"> </v>
      </c>
      <c r="AN316" s="168" t="str">
        <f t="shared" si="2847"/>
        <v xml:space="preserve"> </v>
      </c>
      <c r="AO316" s="168"/>
      <c r="AP316" s="167" t="str">
        <f t="shared" si="2848"/>
        <v xml:space="preserve"> </v>
      </c>
      <c r="AQ316" s="166"/>
      <c r="AR316" s="166" t="str">
        <f t="shared" si="2849"/>
        <v xml:space="preserve"> </v>
      </c>
      <c r="AS316" s="168" t="str">
        <f t="shared" si="2850"/>
        <v xml:space="preserve"> </v>
      </c>
      <c r="AT316" s="168"/>
      <c r="AU316" s="166" t="str">
        <f t="shared" si="2851"/>
        <v xml:space="preserve"> </v>
      </c>
      <c r="AV316" s="167"/>
      <c r="AW316" s="167"/>
      <c r="AX316" s="169" t="str">
        <f t="shared" si="2852"/>
        <v xml:space="preserve"> </v>
      </c>
      <c r="AY316" s="169"/>
      <c r="AZ316" s="167" t="str">
        <f t="shared" si="2853"/>
        <v xml:space="preserve"> </v>
      </c>
      <c r="BA316" s="166"/>
      <c r="BB316" s="166"/>
      <c r="BC316" s="168" t="str">
        <f t="shared" si="2854"/>
        <v xml:space="preserve"> </v>
      </c>
      <c r="BD316" s="168"/>
      <c r="BE316" s="166" t="str">
        <f t="shared" si="2855"/>
        <v xml:space="preserve"> </v>
      </c>
      <c r="BF316" s="167"/>
      <c r="BG316" s="167"/>
      <c r="BH316" s="168" t="str">
        <f t="shared" si="2856"/>
        <v xml:space="preserve"> </v>
      </c>
      <c r="BI316" s="168"/>
      <c r="BJ316" s="167" t="str">
        <f t="shared" si="2857"/>
        <v xml:space="preserve"> </v>
      </c>
      <c r="BK316" s="166"/>
      <c r="BL316" s="166" t="str">
        <f t="shared" si="2858"/>
        <v xml:space="preserve"> </v>
      </c>
      <c r="BM316" s="168" t="str">
        <f t="shared" si="2859"/>
        <v xml:space="preserve"> </v>
      </c>
      <c r="BN316" s="168"/>
      <c r="BO316" s="166" t="str">
        <f t="shared" si="2860"/>
        <v xml:space="preserve"> </v>
      </c>
    </row>
    <row r="317" spans="2:67" ht="15" customHeight="1" x14ac:dyDescent="0.25">
      <c r="B317" s="170">
        <v>46335</v>
      </c>
      <c r="C317" s="164"/>
      <c r="D317" s="166" t="str">
        <f t="shared" si="2827"/>
        <v xml:space="preserve"> </v>
      </c>
      <c r="E317" s="168" t="str">
        <f t="shared" si="2828"/>
        <v xml:space="preserve"> </v>
      </c>
      <c r="F317" s="168"/>
      <c r="G317" s="166" t="str">
        <f t="shared" si="2829"/>
        <v xml:space="preserve"> </v>
      </c>
      <c r="H317" s="167"/>
      <c r="I317" s="167" t="str">
        <f t="shared" si="2830"/>
        <v xml:space="preserve"> </v>
      </c>
      <c r="J317" s="168" t="str">
        <f t="shared" si="2831"/>
        <v xml:space="preserve"> </v>
      </c>
      <c r="K317" s="168"/>
      <c r="L317" s="167" t="str">
        <f t="shared" si="2832"/>
        <v xml:space="preserve"> </v>
      </c>
      <c r="M317" s="166"/>
      <c r="N317" s="166" t="str">
        <f t="shared" si="2833"/>
        <v xml:space="preserve"> </v>
      </c>
      <c r="O317" s="168" t="str">
        <f t="shared" si="2834"/>
        <v xml:space="preserve"> </v>
      </c>
      <c r="P317" s="168"/>
      <c r="Q317" s="166" t="str">
        <f t="shared" si="2835"/>
        <v xml:space="preserve"> </v>
      </c>
      <c r="R317" s="167">
        <f ca="1">+BDFUENTES[[#This Row],[PZ MED m3/día]]/3.6/BDFUENTES[[#This Row],[PZ MED Horas Activo]]</f>
        <v>0</v>
      </c>
      <c r="S317" s="167" t="str">
        <f t="shared" ca="1" si="2836"/>
        <v xml:space="preserve"> </v>
      </c>
      <c r="T317" s="168" t="str">
        <f t="shared" si="2837"/>
        <v xml:space="preserve"> </v>
      </c>
      <c r="U317" s="168"/>
      <c r="V317" s="165" t="str">
        <f t="shared" si="2838"/>
        <v xml:space="preserve"> </v>
      </c>
      <c r="W317" s="164" t="str">
        <f t="shared" si="2839"/>
        <v xml:space="preserve"> </v>
      </c>
      <c r="X317" s="166"/>
      <c r="Y317" s="168" t="str">
        <f t="shared" si="2840"/>
        <v xml:space="preserve"> </v>
      </c>
      <c r="Z317" s="168"/>
      <c r="AA317" s="166" t="str">
        <f t="shared" si="2841"/>
        <v xml:space="preserve"> </v>
      </c>
      <c r="AB317" s="168" t="str">
        <f t="shared" si="2842"/>
        <v xml:space="preserve"> </v>
      </c>
      <c r="AC317" s="168"/>
      <c r="AD317" s="171" t="str">
        <f t="shared" si="2843"/>
        <v xml:space="preserve"> </v>
      </c>
      <c r="AE317" s="167"/>
      <c r="AF317" s="165" t="str">
        <f t="shared" si="2844"/>
        <v xml:space="preserve"> </v>
      </c>
      <c r="AG317" s="168"/>
      <c r="AH317" s="168"/>
      <c r="AI317" s="166"/>
      <c r="AJ317" s="166"/>
      <c r="AK317" s="166" t="str">
        <f t="shared" si="2845"/>
        <v/>
      </c>
      <c r="AL317" s="167"/>
      <c r="AM317" s="171" t="str">
        <f t="shared" si="2846"/>
        <v xml:space="preserve"> </v>
      </c>
      <c r="AN317" s="168" t="str">
        <f t="shared" si="2847"/>
        <v xml:space="preserve"> </v>
      </c>
      <c r="AO317" s="168"/>
      <c r="AP317" s="167" t="str">
        <f t="shared" si="2848"/>
        <v xml:space="preserve"> </v>
      </c>
      <c r="AQ317" s="166"/>
      <c r="AR317" s="166" t="str">
        <f t="shared" si="2849"/>
        <v xml:space="preserve"> </v>
      </c>
      <c r="AS317" s="168" t="str">
        <f t="shared" si="2850"/>
        <v xml:space="preserve"> </v>
      </c>
      <c r="AT317" s="168"/>
      <c r="AU317" s="166" t="str">
        <f t="shared" si="2851"/>
        <v xml:space="preserve"> </v>
      </c>
      <c r="AV317" s="167"/>
      <c r="AW317" s="167"/>
      <c r="AX317" s="169" t="str">
        <f t="shared" si="2852"/>
        <v xml:space="preserve"> </v>
      </c>
      <c r="AY317" s="169"/>
      <c r="AZ317" s="167" t="str">
        <f t="shared" si="2853"/>
        <v xml:space="preserve"> </v>
      </c>
      <c r="BA317" s="166"/>
      <c r="BB317" s="166"/>
      <c r="BC317" s="168" t="str">
        <f t="shared" si="2854"/>
        <v xml:space="preserve"> </v>
      </c>
      <c r="BD317" s="168"/>
      <c r="BE317" s="166" t="str">
        <f t="shared" si="2855"/>
        <v xml:space="preserve"> </v>
      </c>
      <c r="BF317" s="167"/>
      <c r="BG317" s="167"/>
      <c r="BH317" s="168" t="str">
        <f t="shared" si="2856"/>
        <v xml:space="preserve"> </v>
      </c>
      <c r="BI317" s="168"/>
      <c r="BJ317" s="167" t="str">
        <f t="shared" si="2857"/>
        <v xml:space="preserve"> </v>
      </c>
      <c r="BK317" s="166"/>
      <c r="BL317" s="166" t="str">
        <f t="shared" si="2858"/>
        <v xml:space="preserve"> </v>
      </c>
      <c r="BM317" s="168" t="str">
        <f t="shared" si="2859"/>
        <v xml:space="preserve"> </v>
      </c>
      <c r="BN317" s="168"/>
      <c r="BO317" s="166" t="str">
        <f t="shared" si="2860"/>
        <v xml:space="preserve"> </v>
      </c>
    </row>
    <row r="318" spans="2:67" ht="15" customHeight="1" x14ac:dyDescent="0.25">
      <c r="B318" s="170">
        <v>46336</v>
      </c>
      <c r="C318" s="164"/>
      <c r="D318" s="166" t="str">
        <f t="shared" si="2827"/>
        <v xml:space="preserve"> </v>
      </c>
      <c r="E318" s="168" t="str">
        <f t="shared" si="2828"/>
        <v xml:space="preserve"> </v>
      </c>
      <c r="F318" s="168"/>
      <c r="G318" s="166" t="str">
        <f t="shared" si="2829"/>
        <v xml:space="preserve"> </v>
      </c>
      <c r="H318" s="167"/>
      <c r="I318" s="167" t="str">
        <f t="shared" si="2830"/>
        <v xml:space="preserve"> </v>
      </c>
      <c r="J318" s="168" t="str">
        <f t="shared" si="2831"/>
        <v xml:space="preserve"> </v>
      </c>
      <c r="K318" s="168"/>
      <c r="L318" s="167" t="str">
        <f t="shared" si="2832"/>
        <v xml:space="preserve"> </v>
      </c>
      <c r="M318" s="166"/>
      <c r="N318" s="166" t="str">
        <f t="shared" si="2833"/>
        <v xml:space="preserve"> </v>
      </c>
      <c r="O318" s="168" t="str">
        <f t="shared" si="2834"/>
        <v xml:space="preserve"> </v>
      </c>
      <c r="P318" s="168"/>
      <c r="Q318" s="166" t="str">
        <f t="shared" si="2835"/>
        <v xml:space="preserve"> </v>
      </c>
      <c r="R318" s="167">
        <f ca="1">+BDFUENTES[[#This Row],[PZ MED m3/día]]/3.6/BDFUENTES[[#This Row],[PZ MED Horas Activo]]</f>
        <v>0</v>
      </c>
      <c r="S318" s="167" t="str">
        <f t="shared" ca="1" si="2836"/>
        <v xml:space="preserve"> </v>
      </c>
      <c r="T318" s="168" t="str">
        <f t="shared" si="2837"/>
        <v xml:space="preserve"> </v>
      </c>
      <c r="U318" s="168"/>
      <c r="V318" s="165" t="str">
        <f t="shared" si="2838"/>
        <v xml:space="preserve"> </v>
      </c>
      <c r="W318" s="164" t="str">
        <f t="shared" si="2839"/>
        <v xml:space="preserve"> </v>
      </c>
      <c r="X318" s="166"/>
      <c r="Y318" s="168" t="str">
        <f t="shared" si="2840"/>
        <v xml:space="preserve"> </v>
      </c>
      <c r="Z318" s="168"/>
      <c r="AA318" s="166" t="str">
        <f t="shared" si="2841"/>
        <v xml:space="preserve"> </v>
      </c>
      <c r="AB318" s="168" t="str">
        <f t="shared" si="2842"/>
        <v xml:space="preserve"> </v>
      </c>
      <c r="AC318" s="168"/>
      <c r="AD318" s="171" t="str">
        <f t="shared" si="2843"/>
        <v xml:space="preserve"> </v>
      </c>
      <c r="AE318" s="167"/>
      <c r="AF318" s="165" t="str">
        <f t="shared" si="2844"/>
        <v xml:space="preserve"> </v>
      </c>
      <c r="AG318" s="168"/>
      <c r="AH318" s="168"/>
      <c r="AI318" s="166"/>
      <c r="AJ318" s="166"/>
      <c r="AK318" s="166" t="str">
        <f t="shared" si="2845"/>
        <v/>
      </c>
      <c r="AL318" s="167"/>
      <c r="AM318" s="171" t="str">
        <f t="shared" si="2846"/>
        <v xml:space="preserve"> </v>
      </c>
      <c r="AN318" s="168" t="str">
        <f t="shared" si="2847"/>
        <v xml:space="preserve"> </v>
      </c>
      <c r="AO318" s="168"/>
      <c r="AP318" s="167" t="str">
        <f t="shared" si="2848"/>
        <v xml:space="preserve"> </v>
      </c>
      <c r="AQ318" s="166"/>
      <c r="AR318" s="166" t="str">
        <f t="shared" si="2849"/>
        <v xml:space="preserve"> </v>
      </c>
      <c r="AS318" s="168" t="str">
        <f t="shared" si="2850"/>
        <v xml:space="preserve"> </v>
      </c>
      <c r="AT318" s="168"/>
      <c r="AU318" s="166" t="str">
        <f t="shared" si="2851"/>
        <v xml:space="preserve"> </v>
      </c>
      <c r="AV318" s="167"/>
      <c r="AW318" s="167"/>
      <c r="AX318" s="169" t="str">
        <f t="shared" si="2852"/>
        <v xml:space="preserve"> </v>
      </c>
      <c r="AY318" s="169"/>
      <c r="AZ318" s="167" t="str">
        <f t="shared" si="2853"/>
        <v xml:space="preserve"> </v>
      </c>
      <c r="BA318" s="166"/>
      <c r="BB318" s="166"/>
      <c r="BC318" s="168" t="str">
        <f t="shared" si="2854"/>
        <v xml:space="preserve"> </v>
      </c>
      <c r="BD318" s="168"/>
      <c r="BE318" s="166" t="str">
        <f t="shared" si="2855"/>
        <v xml:space="preserve"> </v>
      </c>
      <c r="BF318" s="167"/>
      <c r="BG318" s="167"/>
      <c r="BH318" s="168" t="str">
        <f t="shared" si="2856"/>
        <v xml:space="preserve"> </v>
      </c>
      <c r="BI318" s="168"/>
      <c r="BJ318" s="167" t="str">
        <f t="shared" si="2857"/>
        <v xml:space="preserve"> </v>
      </c>
      <c r="BK318" s="166"/>
      <c r="BL318" s="166" t="str">
        <f t="shared" si="2858"/>
        <v xml:space="preserve"> </v>
      </c>
      <c r="BM318" s="168" t="str">
        <f t="shared" si="2859"/>
        <v xml:space="preserve"> </v>
      </c>
      <c r="BN318" s="168"/>
      <c r="BO318" s="166" t="str">
        <f t="shared" si="2860"/>
        <v xml:space="preserve"> </v>
      </c>
    </row>
    <row r="319" spans="2:67" ht="15" customHeight="1" x14ac:dyDescent="0.25">
      <c r="B319" s="170">
        <v>46337</v>
      </c>
      <c r="C319" s="164"/>
      <c r="D319" s="166" t="str">
        <f t="shared" si="2827"/>
        <v xml:space="preserve"> </v>
      </c>
      <c r="E319" s="168" t="str">
        <f t="shared" si="2828"/>
        <v xml:space="preserve"> </v>
      </c>
      <c r="F319" s="168"/>
      <c r="G319" s="166" t="str">
        <f t="shared" si="2829"/>
        <v xml:space="preserve"> </v>
      </c>
      <c r="H319" s="167"/>
      <c r="I319" s="167" t="str">
        <f t="shared" si="2830"/>
        <v xml:space="preserve"> </v>
      </c>
      <c r="J319" s="168" t="str">
        <f t="shared" si="2831"/>
        <v xml:space="preserve"> </v>
      </c>
      <c r="K319" s="168"/>
      <c r="L319" s="167" t="str">
        <f t="shared" si="2832"/>
        <v xml:space="preserve"> </v>
      </c>
      <c r="M319" s="166"/>
      <c r="N319" s="166" t="str">
        <f t="shared" si="2833"/>
        <v xml:space="preserve"> </v>
      </c>
      <c r="O319" s="168" t="str">
        <f t="shared" si="2834"/>
        <v xml:space="preserve"> </v>
      </c>
      <c r="P319" s="168"/>
      <c r="Q319" s="166" t="str">
        <f t="shared" si="2835"/>
        <v xml:space="preserve"> </v>
      </c>
      <c r="R319" s="167">
        <f ca="1">+BDFUENTES[[#This Row],[PZ MED m3/día]]/3.6/BDFUENTES[[#This Row],[PZ MED Horas Activo]]</f>
        <v>0</v>
      </c>
      <c r="S319" s="167" t="str">
        <f t="shared" ca="1" si="2836"/>
        <v xml:space="preserve"> </v>
      </c>
      <c r="T319" s="168" t="str">
        <f t="shared" si="2837"/>
        <v xml:space="preserve"> </v>
      </c>
      <c r="U319" s="168"/>
      <c r="V319" s="165" t="str">
        <f t="shared" si="2838"/>
        <v xml:space="preserve"> </v>
      </c>
      <c r="W319" s="164" t="str">
        <f t="shared" si="2839"/>
        <v xml:space="preserve"> </v>
      </c>
      <c r="X319" s="166"/>
      <c r="Y319" s="168" t="str">
        <f t="shared" si="2840"/>
        <v xml:space="preserve"> </v>
      </c>
      <c r="Z319" s="168"/>
      <c r="AA319" s="166" t="str">
        <f t="shared" si="2841"/>
        <v xml:space="preserve"> </v>
      </c>
      <c r="AB319" s="168" t="str">
        <f t="shared" si="2842"/>
        <v xml:space="preserve"> </v>
      </c>
      <c r="AC319" s="168"/>
      <c r="AD319" s="171" t="str">
        <f t="shared" si="2843"/>
        <v xml:space="preserve"> </v>
      </c>
      <c r="AE319" s="167"/>
      <c r="AF319" s="165" t="str">
        <f t="shared" si="2844"/>
        <v xml:space="preserve"> </v>
      </c>
      <c r="AG319" s="168"/>
      <c r="AH319" s="168"/>
      <c r="AI319" s="166"/>
      <c r="AJ319" s="166"/>
      <c r="AK319" s="166" t="str">
        <f t="shared" si="2845"/>
        <v/>
      </c>
      <c r="AL319" s="167"/>
      <c r="AM319" s="171" t="str">
        <f t="shared" si="2846"/>
        <v xml:space="preserve"> </v>
      </c>
      <c r="AN319" s="168" t="str">
        <f t="shared" si="2847"/>
        <v xml:space="preserve"> </v>
      </c>
      <c r="AO319" s="168"/>
      <c r="AP319" s="167" t="str">
        <f t="shared" si="2848"/>
        <v xml:space="preserve"> </v>
      </c>
      <c r="AQ319" s="166"/>
      <c r="AR319" s="166" t="str">
        <f t="shared" si="2849"/>
        <v xml:space="preserve"> </v>
      </c>
      <c r="AS319" s="168" t="str">
        <f t="shared" si="2850"/>
        <v xml:space="preserve"> </v>
      </c>
      <c r="AT319" s="168"/>
      <c r="AU319" s="166" t="str">
        <f t="shared" si="2851"/>
        <v xml:space="preserve"> </v>
      </c>
      <c r="AV319" s="167"/>
      <c r="AW319" s="167"/>
      <c r="AX319" s="169" t="str">
        <f t="shared" si="2852"/>
        <v xml:space="preserve"> </v>
      </c>
      <c r="AY319" s="169"/>
      <c r="AZ319" s="167" t="str">
        <f t="shared" si="2853"/>
        <v xml:space="preserve"> </v>
      </c>
      <c r="BA319" s="166"/>
      <c r="BB319" s="166"/>
      <c r="BC319" s="168" t="str">
        <f t="shared" si="2854"/>
        <v xml:space="preserve"> </v>
      </c>
      <c r="BD319" s="168"/>
      <c r="BE319" s="166" t="str">
        <f t="shared" si="2855"/>
        <v xml:space="preserve"> </v>
      </c>
      <c r="BF319" s="167"/>
      <c r="BG319" s="167"/>
      <c r="BH319" s="168" t="str">
        <f t="shared" si="2856"/>
        <v xml:space="preserve"> </v>
      </c>
      <c r="BI319" s="168"/>
      <c r="BJ319" s="167" t="str">
        <f t="shared" si="2857"/>
        <v xml:space="preserve"> </v>
      </c>
      <c r="BK319" s="166"/>
      <c r="BL319" s="166" t="str">
        <f t="shared" si="2858"/>
        <v xml:space="preserve"> </v>
      </c>
      <c r="BM319" s="168" t="str">
        <f t="shared" si="2859"/>
        <v xml:space="preserve"> </v>
      </c>
      <c r="BN319" s="168"/>
      <c r="BO319" s="166" t="str">
        <f t="shared" si="2860"/>
        <v xml:space="preserve"> </v>
      </c>
    </row>
    <row r="320" spans="2:67" ht="15" customHeight="1" x14ac:dyDescent="0.25">
      <c r="B320" s="170">
        <v>46338</v>
      </c>
      <c r="C320" s="164"/>
      <c r="D320" s="166" t="str">
        <f t="shared" si="2827"/>
        <v xml:space="preserve"> </v>
      </c>
      <c r="E320" s="168" t="str">
        <f t="shared" si="2828"/>
        <v xml:space="preserve"> </v>
      </c>
      <c r="F320" s="168"/>
      <c r="G320" s="166" t="str">
        <f t="shared" si="2829"/>
        <v xml:space="preserve"> </v>
      </c>
      <c r="H320" s="167"/>
      <c r="I320" s="167" t="str">
        <f t="shared" si="2830"/>
        <v xml:space="preserve"> </v>
      </c>
      <c r="J320" s="168" t="str">
        <f t="shared" si="2831"/>
        <v xml:space="preserve"> </v>
      </c>
      <c r="K320" s="168"/>
      <c r="L320" s="167" t="str">
        <f t="shared" si="2832"/>
        <v xml:space="preserve"> </v>
      </c>
      <c r="M320" s="166"/>
      <c r="N320" s="166" t="str">
        <f t="shared" si="2833"/>
        <v xml:space="preserve"> </v>
      </c>
      <c r="O320" s="168" t="str">
        <f t="shared" si="2834"/>
        <v xml:space="preserve"> </v>
      </c>
      <c r="P320" s="168"/>
      <c r="Q320" s="166" t="str">
        <f t="shared" si="2835"/>
        <v xml:space="preserve"> </v>
      </c>
      <c r="R320" s="167">
        <f ca="1">+BDFUENTES[[#This Row],[PZ MED m3/día]]/3.6/BDFUENTES[[#This Row],[PZ MED Horas Activo]]</f>
        <v>0</v>
      </c>
      <c r="S320" s="167" t="str">
        <f t="shared" ca="1" si="2836"/>
        <v xml:space="preserve"> </v>
      </c>
      <c r="T320" s="168" t="str">
        <f t="shared" si="2837"/>
        <v xml:space="preserve"> </v>
      </c>
      <c r="U320" s="168"/>
      <c r="V320" s="165" t="str">
        <f t="shared" si="2838"/>
        <v xml:space="preserve"> </v>
      </c>
      <c r="W320" s="164" t="str">
        <f t="shared" si="2839"/>
        <v xml:space="preserve"> </v>
      </c>
      <c r="X320" s="166"/>
      <c r="Y320" s="168" t="str">
        <f t="shared" si="2840"/>
        <v xml:space="preserve"> </v>
      </c>
      <c r="Z320" s="168"/>
      <c r="AA320" s="166" t="str">
        <f t="shared" si="2841"/>
        <v xml:space="preserve"> </v>
      </c>
      <c r="AB320" s="168" t="str">
        <f t="shared" si="2842"/>
        <v xml:space="preserve"> </v>
      </c>
      <c r="AC320" s="168"/>
      <c r="AD320" s="171" t="str">
        <f t="shared" si="2843"/>
        <v xml:space="preserve"> </v>
      </c>
      <c r="AE320" s="167"/>
      <c r="AF320" s="165" t="str">
        <f t="shared" si="2844"/>
        <v xml:space="preserve"> </v>
      </c>
      <c r="AG320" s="168"/>
      <c r="AH320" s="168"/>
      <c r="AI320" s="166"/>
      <c r="AJ320" s="166"/>
      <c r="AK320" s="166" t="str">
        <f t="shared" si="2845"/>
        <v/>
      </c>
      <c r="AL320" s="167"/>
      <c r="AM320" s="171" t="str">
        <f t="shared" si="2846"/>
        <v xml:space="preserve"> </v>
      </c>
      <c r="AN320" s="168" t="str">
        <f t="shared" si="2847"/>
        <v xml:space="preserve"> </v>
      </c>
      <c r="AO320" s="168"/>
      <c r="AP320" s="167" t="str">
        <f t="shared" si="2848"/>
        <v xml:space="preserve"> </v>
      </c>
      <c r="AQ320" s="166"/>
      <c r="AR320" s="166" t="str">
        <f t="shared" si="2849"/>
        <v xml:space="preserve"> </v>
      </c>
      <c r="AS320" s="168" t="str">
        <f t="shared" si="2850"/>
        <v xml:space="preserve"> </v>
      </c>
      <c r="AT320" s="168"/>
      <c r="AU320" s="166" t="str">
        <f t="shared" si="2851"/>
        <v xml:space="preserve"> </v>
      </c>
      <c r="AV320" s="167"/>
      <c r="AW320" s="167"/>
      <c r="AX320" s="169" t="str">
        <f t="shared" si="2852"/>
        <v xml:space="preserve"> </v>
      </c>
      <c r="AY320" s="169"/>
      <c r="AZ320" s="167" t="str">
        <f t="shared" si="2853"/>
        <v xml:space="preserve"> </v>
      </c>
      <c r="BA320" s="166"/>
      <c r="BB320" s="166"/>
      <c r="BC320" s="168" t="str">
        <f t="shared" si="2854"/>
        <v xml:space="preserve"> </v>
      </c>
      <c r="BD320" s="168"/>
      <c r="BE320" s="166" t="str">
        <f t="shared" si="2855"/>
        <v xml:space="preserve"> </v>
      </c>
      <c r="BF320" s="167"/>
      <c r="BG320" s="167"/>
      <c r="BH320" s="168" t="str">
        <f t="shared" si="2856"/>
        <v xml:space="preserve"> </v>
      </c>
      <c r="BI320" s="168"/>
      <c r="BJ320" s="167" t="str">
        <f t="shared" si="2857"/>
        <v xml:space="preserve"> </v>
      </c>
      <c r="BK320" s="166"/>
      <c r="BL320" s="166" t="str">
        <f t="shared" si="2858"/>
        <v xml:space="preserve"> </v>
      </c>
      <c r="BM320" s="168" t="str">
        <f t="shared" si="2859"/>
        <v xml:space="preserve"> </v>
      </c>
      <c r="BN320" s="168"/>
      <c r="BO320" s="166" t="str">
        <f t="shared" si="2860"/>
        <v xml:space="preserve"> </v>
      </c>
    </row>
    <row r="321" spans="2:67" ht="15" customHeight="1" x14ac:dyDescent="0.25">
      <c r="B321" s="170">
        <v>46339</v>
      </c>
      <c r="C321" s="164"/>
      <c r="D321" s="166" t="str">
        <f t="shared" si="2827"/>
        <v xml:space="preserve"> </v>
      </c>
      <c r="E321" s="168" t="str">
        <f t="shared" si="2828"/>
        <v xml:space="preserve"> </v>
      </c>
      <c r="F321" s="168"/>
      <c r="G321" s="166" t="str">
        <f t="shared" si="2829"/>
        <v xml:space="preserve"> </v>
      </c>
      <c r="H321" s="167"/>
      <c r="I321" s="167" t="str">
        <f t="shared" si="2830"/>
        <v xml:space="preserve"> </v>
      </c>
      <c r="J321" s="168" t="str">
        <f t="shared" si="2831"/>
        <v xml:space="preserve"> </v>
      </c>
      <c r="K321" s="168"/>
      <c r="L321" s="167" t="str">
        <f t="shared" si="2832"/>
        <v xml:space="preserve"> </v>
      </c>
      <c r="M321" s="166"/>
      <c r="N321" s="166" t="str">
        <f t="shared" si="2833"/>
        <v xml:space="preserve"> </v>
      </c>
      <c r="O321" s="168" t="str">
        <f t="shared" si="2834"/>
        <v xml:space="preserve"> </v>
      </c>
      <c r="P321" s="168"/>
      <c r="Q321" s="166" t="str">
        <f t="shared" si="2835"/>
        <v xml:space="preserve"> </v>
      </c>
      <c r="R321" s="167">
        <f ca="1">+BDFUENTES[[#This Row],[PZ MED m3/día]]/3.6/BDFUENTES[[#This Row],[PZ MED Horas Activo]]</f>
        <v>0</v>
      </c>
      <c r="S321" s="167" t="str">
        <f t="shared" ca="1" si="2836"/>
        <v xml:space="preserve"> </v>
      </c>
      <c r="T321" s="168" t="str">
        <f t="shared" si="2837"/>
        <v xml:space="preserve"> </v>
      </c>
      <c r="U321" s="168"/>
      <c r="V321" s="165" t="str">
        <f t="shared" si="2838"/>
        <v xml:space="preserve"> </v>
      </c>
      <c r="W321" s="164" t="str">
        <f t="shared" si="2839"/>
        <v xml:space="preserve"> </v>
      </c>
      <c r="X321" s="166"/>
      <c r="Y321" s="168" t="str">
        <f t="shared" si="2840"/>
        <v xml:space="preserve"> </v>
      </c>
      <c r="Z321" s="168"/>
      <c r="AA321" s="166" t="str">
        <f t="shared" si="2841"/>
        <v xml:space="preserve"> </v>
      </c>
      <c r="AB321" s="168" t="str">
        <f t="shared" si="2842"/>
        <v xml:space="preserve"> </v>
      </c>
      <c r="AC321" s="168"/>
      <c r="AD321" s="171" t="str">
        <f t="shared" si="2843"/>
        <v xml:space="preserve"> </v>
      </c>
      <c r="AE321" s="167"/>
      <c r="AF321" s="165" t="str">
        <f t="shared" si="2844"/>
        <v xml:space="preserve"> </v>
      </c>
      <c r="AG321" s="168"/>
      <c r="AH321" s="168"/>
      <c r="AI321" s="166"/>
      <c r="AJ321" s="166"/>
      <c r="AK321" s="166" t="str">
        <f t="shared" si="2845"/>
        <v/>
      </c>
      <c r="AL321" s="167"/>
      <c r="AM321" s="171" t="str">
        <f t="shared" si="2846"/>
        <v xml:space="preserve"> </v>
      </c>
      <c r="AN321" s="168" t="str">
        <f t="shared" si="2847"/>
        <v xml:space="preserve"> </v>
      </c>
      <c r="AO321" s="168"/>
      <c r="AP321" s="167" t="str">
        <f t="shared" si="2848"/>
        <v xml:space="preserve"> </v>
      </c>
      <c r="AQ321" s="166"/>
      <c r="AR321" s="166" t="str">
        <f t="shared" si="2849"/>
        <v xml:space="preserve"> </v>
      </c>
      <c r="AS321" s="168" t="str">
        <f t="shared" si="2850"/>
        <v xml:space="preserve"> </v>
      </c>
      <c r="AT321" s="168"/>
      <c r="AU321" s="166" t="str">
        <f t="shared" si="2851"/>
        <v xml:space="preserve"> </v>
      </c>
      <c r="AV321" s="167"/>
      <c r="AW321" s="167"/>
      <c r="AX321" s="169" t="str">
        <f t="shared" si="2852"/>
        <v xml:space="preserve"> </v>
      </c>
      <c r="AY321" s="169"/>
      <c r="AZ321" s="167" t="str">
        <f t="shared" si="2853"/>
        <v xml:space="preserve"> </v>
      </c>
      <c r="BA321" s="166"/>
      <c r="BB321" s="166"/>
      <c r="BC321" s="168" t="str">
        <f t="shared" si="2854"/>
        <v xml:space="preserve"> </v>
      </c>
      <c r="BD321" s="168"/>
      <c r="BE321" s="166" t="str">
        <f t="shared" si="2855"/>
        <v xml:space="preserve"> </v>
      </c>
      <c r="BF321" s="167"/>
      <c r="BG321" s="167"/>
      <c r="BH321" s="168" t="str">
        <f t="shared" si="2856"/>
        <v xml:space="preserve"> </v>
      </c>
      <c r="BI321" s="168"/>
      <c r="BJ321" s="167" t="str">
        <f t="shared" si="2857"/>
        <v xml:space="preserve"> </v>
      </c>
      <c r="BK321" s="166"/>
      <c r="BL321" s="166" t="str">
        <f t="shared" si="2858"/>
        <v xml:space="preserve"> </v>
      </c>
      <c r="BM321" s="168" t="str">
        <f t="shared" si="2859"/>
        <v xml:space="preserve"> </v>
      </c>
      <c r="BN321" s="168"/>
      <c r="BO321" s="166" t="str">
        <f t="shared" si="2860"/>
        <v xml:space="preserve"> </v>
      </c>
    </row>
    <row r="322" spans="2:67" ht="15" customHeight="1" x14ac:dyDescent="0.25">
      <c r="B322" s="170">
        <v>46340</v>
      </c>
      <c r="C322" s="164"/>
      <c r="D322" s="166" t="str">
        <f t="shared" si="2827"/>
        <v xml:space="preserve"> </v>
      </c>
      <c r="E322" s="168" t="str">
        <f t="shared" si="2828"/>
        <v xml:space="preserve"> </v>
      </c>
      <c r="F322" s="168"/>
      <c r="G322" s="166" t="str">
        <f t="shared" si="2829"/>
        <v xml:space="preserve"> </v>
      </c>
      <c r="H322" s="167"/>
      <c r="I322" s="167" t="str">
        <f t="shared" si="2830"/>
        <v xml:space="preserve"> </v>
      </c>
      <c r="J322" s="168" t="str">
        <f t="shared" si="2831"/>
        <v xml:space="preserve"> </v>
      </c>
      <c r="K322" s="168"/>
      <c r="L322" s="167" t="str">
        <f t="shared" si="2832"/>
        <v xml:space="preserve"> </v>
      </c>
      <c r="M322" s="166"/>
      <c r="N322" s="166" t="str">
        <f t="shared" si="2833"/>
        <v xml:space="preserve"> </v>
      </c>
      <c r="O322" s="168" t="str">
        <f t="shared" si="2834"/>
        <v xml:space="preserve"> </v>
      </c>
      <c r="P322" s="168"/>
      <c r="Q322" s="166" t="str">
        <f t="shared" si="2835"/>
        <v xml:space="preserve"> </v>
      </c>
      <c r="R322" s="167">
        <f ca="1">+BDFUENTES[[#This Row],[PZ MED m3/día]]/3.6/BDFUENTES[[#This Row],[PZ MED Horas Activo]]</f>
        <v>0</v>
      </c>
      <c r="S322" s="167" t="str">
        <f t="shared" ca="1" si="2836"/>
        <v xml:space="preserve"> </v>
      </c>
      <c r="T322" s="168" t="str">
        <f t="shared" si="2837"/>
        <v xml:space="preserve"> </v>
      </c>
      <c r="U322" s="168"/>
      <c r="V322" s="165" t="str">
        <f t="shared" si="2838"/>
        <v xml:space="preserve"> </v>
      </c>
      <c r="W322" s="164" t="str">
        <f t="shared" si="2839"/>
        <v xml:space="preserve"> </v>
      </c>
      <c r="X322" s="166"/>
      <c r="Y322" s="168" t="str">
        <f t="shared" si="2840"/>
        <v xml:space="preserve"> </v>
      </c>
      <c r="Z322" s="168"/>
      <c r="AA322" s="166" t="str">
        <f t="shared" si="2841"/>
        <v xml:space="preserve"> </v>
      </c>
      <c r="AB322" s="168" t="str">
        <f t="shared" si="2842"/>
        <v xml:space="preserve"> </v>
      </c>
      <c r="AC322" s="168"/>
      <c r="AD322" s="171" t="str">
        <f t="shared" si="2843"/>
        <v xml:space="preserve"> </v>
      </c>
      <c r="AE322" s="167"/>
      <c r="AF322" s="165" t="str">
        <f t="shared" si="2844"/>
        <v xml:space="preserve"> </v>
      </c>
      <c r="AG322" s="168"/>
      <c r="AH322" s="168"/>
      <c r="AI322" s="166"/>
      <c r="AJ322" s="166"/>
      <c r="AK322" s="166" t="str">
        <f t="shared" si="2845"/>
        <v/>
      </c>
      <c r="AL322" s="167"/>
      <c r="AM322" s="171" t="str">
        <f t="shared" si="2846"/>
        <v xml:space="preserve"> </v>
      </c>
      <c r="AN322" s="168" t="str">
        <f t="shared" si="2847"/>
        <v xml:space="preserve"> </v>
      </c>
      <c r="AO322" s="168"/>
      <c r="AP322" s="167" t="str">
        <f t="shared" si="2848"/>
        <v xml:space="preserve"> </v>
      </c>
      <c r="AQ322" s="166"/>
      <c r="AR322" s="166" t="str">
        <f t="shared" si="2849"/>
        <v xml:space="preserve"> </v>
      </c>
      <c r="AS322" s="168" t="str">
        <f t="shared" si="2850"/>
        <v xml:space="preserve"> </v>
      </c>
      <c r="AT322" s="168"/>
      <c r="AU322" s="166" t="str">
        <f t="shared" si="2851"/>
        <v xml:space="preserve"> </v>
      </c>
      <c r="AV322" s="167"/>
      <c r="AW322" s="167"/>
      <c r="AX322" s="169" t="str">
        <f t="shared" si="2852"/>
        <v xml:space="preserve"> </v>
      </c>
      <c r="AY322" s="169"/>
      <c r="AZ322" s="167" t="str">
        <f t="shared" si="2853"/>
        <v xml:space="preserve"> </v>
      </c>
      <c r="BA322" s="166"/>
      <c r="BB322" s="166"/>
      <c r="BC322" s="168" t="str">
        <f t="shared" si="2854"/>
        <v xml:space="preserve"> </v>
      </c>
      <c r="BD322" s="168"/>
      <c r="BE322" s="166" t="str">
        <f t="shared" si="2855"/>
        <v xml:space="preserve"> </v>
      </c>
      <c r="BF322" s="167"/>
      <c r="BG322" s="167"/>
      <c r="BH322" s="168" t="str">
        <f t="shared" si="2856"/>
        <v xml:space="preserve"> </v>
      </c>
      <c r="BI322" s="168"/>
      <c r="BJ322" s="167" t="str">
        <f t="shared" si="2857"/>
        <v xml:space="preserve"> </v>
      </c>
      <c r="BK322" s="166"/>
      <c r="BL322" s="166" t="str">
        <f t="shared" si="2858"/>
        <v xml:space="preserve"> </v>
      </c>
      <c r="BM322" s="168" t="str">
        <f t="shared" si="2859"/>
        <v xml:space="preserve"> </v>
      </c>
      <c r="BN322" s="168"/>
      <c r="BO322" s="166" t="str">
        <f t="shared" si="2860"/>
        <v xml:space="preserve"> </v>
      </c>
    </row>
    <row r="323" spans="2:67" ht="15" customHeight="1" x14ac:dyDescent="0.25">
      <c r="B323" s="170">
        <v>46341</v>
      </c>
      <c r="C323" s="164"/>
      <c r="D323" s="166" t="str">
        <f t="shared" si="2827"/>
        <v xml:space="preserve"> </v>
      </c>
      <c r="E323" s="168" t="str">
        <f t="shared" si="2828"/>
        <v xml:space="preserve"> </v>
      </c>
      <c r="F323" s="168"/>
      <c r="G323" s="166" t="str">
        <f t="shared" si="2829"/>
        <v xml:space="preserve"> </v>
      </c>
      <c r="H323" s="167"/>
      <c r="I323" s="167" t="str">
        <f t="shared" si="2830"/>
        <v xml:space="preserve"> </v>
      </c>
      <c r="J323" s="168" t="str">
        <f t="shared" si="2831"/>
        <v xml:space="preserve"> </v>
      </c>
      <c r="K323" s="168"/>
      <c r="L323" s="167" t="str">
        <f t="shared" si="2832"/>
        <v xml:space="preserve"> </v>
      </c>
      <c r="M323" s="166"/>
      <c r="N323" s="166" t="str">
        <f t="shared" si="2833"/>
        <v xml:space="preserve"> </v>
      </c>
      <c r="O323" s="168" t="str">
        <f t="shared" si="2834"/>
        <v xml:space="preserve"> </v>
      </c>
      <c r="P323" s="168"/>
      <c r="Q323" s="166" t="str">
        <f t="shared" si="2835"/>
        <v xml:space="preserve"> </v>
      </c>
      <c r="R323" s="167">
        <f ca="1">+BDFUENTES[[#This Row],[PZ MED m3/día]]/3.6/BDFUENTES[[#This Row],[PZ MED Horas Activo]]</f>
        <v>0</v>
      </c>
      <c r="S323" s="167" t="str">
        <f t="shared" ca="1" si="2836"/>
        <v xml:space="preserve"> </v>
      </c>
      <c r="T323" s="168" t="str">
        <f t="shared" si="2837"/>
        <v xml:space="preserve"> </v>
      </c>
      <c r="U323" s="168"/>
      <c r="V323" s="165" t="str">
        <f t="shared" si="2838"/>
        <v xml:space="preserve"> </v>
      </c>
      <c r="W323" s="164" t="str">
        <f t="shared" si="2839"/>
        <v xml:space="preserve"> </v>
      </c>
      <c r="X323" s="166"/>
      <c r="Y323" s="168" t="str">
        <f t="shared" si="2840"/>
        <v xml:space="preserve"> </v>
      </c>
      <c r="Z323" s="168"/>
      <c r="AA323" s="166" t="str">
        <f t="shared" si="2841"/>
        <v xml:space="preserve"> </v>
      </c>
      <c r="AB323" s="168" t="str">
        <f t="shared" si="2842"/>
        <v xml:space="preserve"> </v>
      </c>
      <c r="AC323" s="168"/>
      <c r="AD323" s="171" t="str">
        <f t="shared" si="2843"/>
        <v xml:space="preserve"> </v>
      </c>
      <c r="AE323" s="167"/>
      <c r="AF323" s="165" t="str">
        <f t="shared" si="2844"/>
        <v xml:space="preserve"> </v>
      </c>
      <c r="AG323" s="168"/>
      <c r="AH323" s="168"/>
      <c r="AI323" s="166"/>
      <c r="AJ323" s="166"/>
      <c r="AK323" s="166" t="str">
        <f t="shared" si="2845"/>
        <v/>
      </c>
      <c r="AL323" s="167"/>
      <c r="AM323" s="171" t="str">
        <f t="shared" si="2846"/>
        <v xml:space="preserve"> </v>
      </c>
      <c r="AN323" s="168" t="str">
        <f t="shared" si="2847"/>
        <v xml:space="preserve"> </v>
      </c>
      <c r="AO323" s="168"/>
      <c r="AP323" s="167" t="str">
        <f t="shared" si="2848"/>
        <v xml:space="preserve"> </v>
      </c>
      <c r="AQ323" s="166"/>
      <c r="AR323" s="166" t="str">
        <f t="shared" si="2849"/>
        <v xml:space="preserve"> </v>
      </c>
      <c r="AS323" s="168" t="str">
        <f t="shared" si="2850"/>
        <v xml:space="preserve"> </v>
      </c>
      <c r="AT323" s="168"/>
      <c r="AU323" s="166" t="str">
        <f t="shared" si="2851"/>
        <v xml:space="preserve"> </v>
      </c>
      <c r="AV323" s="167"/>
      <c r="AW323" s="167"/>
      <c r="AX323" s="169" t="str">
        <f t="shared" si="2852"/>
        <v xml:space="preserve"> </v>
      </c>
      <c r="AY323" s="169"/>
      <c r="AZ323" s="167" t="str">
        <f t="shared" si="2853"/>
        <v xml:space="preserve"> </v>
      </c>
      <c r="BA323" s="166"/>
      <c r="BB323" s="166"/>
      <c r="BC323" s="168" t="str">
        <f t="shared" si="2854"/>
        <v xml:space="preserve"> </v>
      </c>
      <c r="BD323" s="168"/>
      <c r="BE323" s="166" t="str">
        <f t="shared" si="2855"/>
        <v xml:space="preserve"> </v>
      </c>
      <c r="BF323" s="167"/>
      <c r="BG323" s="167"/>
      <c r="BH323" s="168" t="str">
        <f t="shared" si="2856"/>
        <v xml:space="preserve"> </v>
      </c>
      <c r="BI323" s="168"/>
      <c r="BJ323" s="167" t="str">
        <f t="shared" si="2857"/>
        <v xml:space="preserve"> </v>
      </c>
      <c r="BK323" s="166"/>
      <c r="BL323" s="166" t="str">
        <f t="shared" si="2858"/>
        <v xml:space="preserve"> </v>
      </c>
      <c r="BM323" s="168" t="str">
        <f t="shared" si="2859"/>
        <v xml:space="preserve"> </v>
      </c>
      <c r="BN323" s="168"/>
      <c r="BO323" s="166" t="str">
        <f t="shared" si="2860"/>
        <v xml:space="preserve"> </v>
      </c>
    </row>
    <row r="324" spans="2:67" ht="15" customHeight="1" x14ac:dyDescent="0.25">
      <c r="B324" s="170">
        <v>46342</v>
      </c>
      <c r="C324" s="164"/>
      <c r="D324" s="166" t="str">
        <f t="shared" si="2827"/>
        <v xml:space="preserve"> </v>
      </c>
      <c r="E324" s="168" t="str">
        <f t="shared" si="2828"/>
        <v xml:space="preserve"> </v>
      </c>
      <c r="F324" s="168"/>
      <c r="G324" s="166" t="str">
        <f t="shared" si="2829"/>
        <v xml:space="preserve"> </v>
      </c>
      <c r="H324" s="167"/>
      <c r="I324" s="167" t="str">
        <f t="shared" si="2830"/>
        <v xml:space="preserve"> </v>
      </c>
      <c r="J324" s="168" t="str">
        <f t="shared" si="2831"/>
        <v xml:space="preserve"> </v>
      </c>
      <c r="K324" s="168"/>
      <c r="L324" s="167" t="str">
        <f t="shared" si="2832"/>
        <v xml:space="preserve"> </v>
      </c>
      <c r="M324" s="166"/>
      <c r="N324" s="166" t="str">
        <f t="shared" si="2833"/>
        <v xml:space="preserve"> </v>
      </c>
      <c r="O324" s="168" t="str">
        <f t="shared" si="2834"/>
        <v xml:space="preserve"> </v>
      </c>
      <c r="P324" s="168"/>
      <c r="Q324" s="166" t="str">
        <f t="shared" si="2835"/>
        <v xml:space="preserve"> </v>
      </c>
      <c r="R324" s="167">
        <f ca="1">+BDFUENTES[[#This Row],[PZ MED m3/día]]/3.6/BDFUENTES[[#This Row],[PZ MED Horas Activo]]</f>
        <v>0</v>
      </c>
      <c r="S324" s="167" t="str">
        <f t="shared" ca="1" si="2836"/>
        <v xml:space="preserve"> </v>
      </c>
      <c r="T324" s="168" t="str">
        <f t="shared" si="2837"/>
        <v xml:space="preserve"> </v>
      </c>
      <c r="U324" s="168"/>
      <c r="V324" s="165" t="str">
        <f t="shared" si="2838"/>
        <v xml:space="preserve"> </v>
      </c>
      <c r="W324" s="164" t="str">
        <f t="shared" si="2839"/>
        <v xml:space="preserve"> </v>
      </c>
      <c r="X324" s="166"/>
      <c r="Y324" s="168" t="str">
        <f t="shared" si="2840"/>
        <v xml:space="preserve"> </v>
      </c>
      <c r="Z324" s="168"/>
      <c r="AA324" s="166" t="str">
        <f t="shared" si="2841"/>
        <v xml:space="preserve"> </v>
      </c>
      <c r="AB324" s="168" t="str">
        <f t="shared" si="2842"/>
        <v xml:space="preserve"> </v>
      </c>
      <c r="AC324" s="168"/>
      <c r="AD324" s="171" t="str">
        <f t="shared" si="2843"/>
        <v xml:space="preserve"> </v>
      </c>
      <c r="AE324" s="167"/>
      <c r="AF324" s="165" t="str">
        <f t="shared" si="2844"/>
        <v xml:space="preserve"> </v>
      </c>
      <c r="AG324" s="168"/>
      <c r="AH324" s="168"/>
      <c r="AI324" s="166"/>
      <c r="AJ324" s="166"/>
      <c r="AK324" s="166" t="str">
        <f t="shared" si="2845"/>
        <v/>
      </c>
      <c r="AL324" s="167"/>
      <c r="AM324" s="171" t="str">
        <f t="shared" si="2846"/>
        <v xml:space="preserve"> </v>
      </c>
      <c r="AN324" s="168" t="str">
        <f t="shared" si="2847"/>
        <v xml:space="preserve"> </v>
      </c>
      <c r="AO324" s="168"/>
      <c r="AP324" s="167" t="str">
        <f t="shared" si="2848"/>
        <v xml:space="preserve"> </v>
      </c>
      <c r="AQ324" s="166"/>
      <c r="AR324" s="166" t="str">
        <f t="shared" si="2849"/>
        <v xml:space="preserve"> </v>
      </c>
      <c r="AS324" s="168" t="str">
        <f t="shared" si="2850"/>
        <v xml:space="preserve"> </v>
      </c>
      <c r="AT324" s="168"/>
      <c r="AU324" s="166" t="str">
        <f t="shared" si="2851"/>
        <v xml:space="preserve"> </v>
      </c>
      <c r="AV324" s="167"/>
      <c r="AW324" s="167"/>
      <c r="AX324" s="169" t="str">
        <f t="shared" si="2852"/>
        <v xml:space="preserve"> </v>
      </c>
      <c r="AY324" s="169"/>
      <c r="AZ324" s="167" t="str">
        <f t="shared" si="2853"/>
        <v xml:space="preserve"> </v>
      </c>
      <c r="BA324" s="166"/>
      <c r="BB324" s="166"/>
      <c r="BC324" s="168" t="str">
        <f t="shared" si="2854"/>
        <v xml:space="preserve"> </v>
      </c>
      <c r="BD324" s="168"/>
      <c r="BE324" s="166" t="str">
        <f t="shared" si="2855"/>
        <v xml:space="preserve"> </v>
      </c>
      <c r="BF324" s="167"/>
      <c r="BG324" s="167"/>
      <c r="BH324" s="168" t="str">
        <f t="shared" si="2856"/>
        <v xml:space="preserve"> </v>
      </c>
      <c r="BI324" s="168"/>
      <c r="BJ324" s="167" t="str">
        <f t="shared" si="2857"/>
        <v xml:space="preserve"> </v>
      </c>
      <c r="BK324" s="166"/>
      <c r="BL324" s="166" t="str">
        <f t="shared" si="2858"/>
        <v xml:space="preserve"> </v>
      </c>
      <c r="BM324" s="168" t="str">
        <f t="shared" si="2859"/>
        <v xml:space="preserve"> </v>
      </c>
      <c r="BN324" s="168"/>
      <c r="BO324" s="166" t="str">
        <f t="shared" si="2860"/>
        <v xml:space="preserve"> </v>
      </c>
    </row>
    <row r="325" spans="2:67" ht="15" customHeight="1" x14ac:dyDescent="0.25">
      <c r="B325" s="170">
        <v>46343</v>
      </c>
      <c r="C325" s="164"/>
      <c r="D325" s="166" t="str">
        <f t="shared" si="2827"/>
        <v xml:space="preserve"> </v>
      </c>
      <c r="E325" s="168" t="str">
        <f t="shared" si="2828"/>
        <v xml:space="preserve"> </v>
      </c>
      <c r="F325" s="168"/>
      <c r="G325" s="166" t="str">
        <f t="shared" si="2829"/>
        <v xml:space="preserve"> </v>
      </c>
      <c r="H325" s="167"/>
      <c r="I325" s="167" t="str">
        <f t="shared" si="2830"/>
        <v xml:space="preserve"> </v>
      </c>
      <c r="J325" s="168" t="str">
        <f t="shared" si="2831"/>
        <v xml:space="preserve"> </v>
      </c>
      <c r="K325" s="168"/>
      <c r="L325" s="167" t="str">
        <f t="shared" si="2832"/>
        <v xml:space="preserve"> </v>
      </c>
      <c r="M325" s="166"/>
      <c r="N325" s="166" t="str">
        <f t="shared" si="2833"/>
        <v xml:space="preserve"> </v>
      </c>
      <c r="O325" s="168" t="str">
        <f t="shared" si="2834"/>
        <v xml:space="preserve"> </v>
      </c>
      <c r="P325" s="168"/>
      <c r="Q325" s="166" t="str">
        <f t="shared" si="2835"/>
        <v xml:space="preserve"> </v>
      </c>
      <c r="R325" s="167">
        <f ca="1">+BDFUENTES[[#This Row],[PZ MED m3/día]]/3.6/BDFUENTES[[#This Row],[PZ MED Horas Activo]]</f>
        <v>0</v>
      </c>
      <c r="S325" s="167" t="str">
        <f t="shared" ca="1" si="2836"/>
        <v xml:space="preserve"> </v>
      </c>
      <c r="T325" s="168" t="str">
        <f t="shared" si="2837"/>
        <v xml:space="preserve"> </v>
      </c>
      <c r="U325" s="168"/>
      <c r="V325" s="165" t="str">
        <f t="shared" si="2838"/>
        <v xml:space="preserve"> </v>
      </c>
      <c r="W325" s="164" t="str">
        <f t="shared" si="2839"/>
        <v xml:space="preserve"> </v>
      </c>
      <c r="X325" s="166"/>
      <c r="Y325" s="168" t="str">
        <f t="shared" si="2840"/>
        <v xml:space="preserve"> </v>
      </c>
      <c r="Z325" s="168"/>
      <c r="AA325" s="166" t="str">
        <f t="shared" si="2841"/>
        <v xml:space="preserve"> </v>
      </c>
      <c r="AB325" s="168" t="str">
        <f t="shared" si="2842"/>
        <v xml:space="preserve"> </v>
      </c>
      <c r="AC325" s="168"/>
      <c r="AD325" s="171" t="str">
        <f t="shared" si="2843"/>
        <v xml:space="preserve"> </v>
      </c>
      <c r="AE325" s="167"/>
      <c r="AF325" s="165" t="str">
        <f t="shared" si="2844"/>
        <v xml:space="preserve"> </v>
      </c>
      <c r="AG325" s="168"/>
      <c r="AH325" s="168"/>
      <c r="AI325" s="166"/>
      <c r="AJ325" s="166"/>
      <c r="AK325" s="166" t="str">
        <f t="shared" si="2845"/>
        <v/>
      </c>
      <c r="AL325" s="167"/>
      <c r="AM325" s="171" t="str">
        <f t="shared" si="2846"/>
        <v xml:space="preserve"> </v>
      </c>
      <c r="AN325" s="168" t="str">
        <f t="shared" si="2847"/>
        <v xml:space="preserve"> </v>
      </c>
      <c r="AO325" s="168"/>
      <c r="AP325" s="167" t="str">
        <f t="shared" si="2848"/>
        <v xml:space="preserve"> </v>
      </c>
      <c r="AQ325" s="166"/>
      <c r="AR325" s="166" t="str">
        <f t="shared" si="2849"/>
        <v xml:space="preserve"> </v>
      </c>
      <c r="AS325" s="168" t="str">
        <f t="shared" si="2850"/>
        <v xml:space="preserve"> </v>
      </c>
      <c r="AT325" s="168"/>
      <c r="AU325" s="166" t="str">
        <f t="shared" si="2851"/>
        <v xml:space="preserve"> </v>
      </c>
      <c r="AV325" s="167"/>
      <c r="AW325" s="167"/>
      <c r="AX325" s="169" t="str">
        <f t="shared" si="2852"/>
        <v xml:space="preserve"> </v>
      </c>
      <c r="AY325" s="169"/>
      <c r="AZ325" s="167" t="str">
        <f t="shared" si="2853"/>
        <v xml:space="preserve"> </v>
      </c>
      <c r="BA325" s="166"/>
      <c r="BB325" s="166"/>
      <c r="BC325" s="168" t="str">
        <f t="shared" si="2854"/>
        <v xml:space="preserve"> </v>
      </c>
      <c r="BD325" s="168"/>
      <c r="BE325" s="166" t="str">
        <f t="shared" si="2855"/>
        <v xml:space="preserve"> </v>
      </c>
      <c r="BF325" s="167"/>
      <c r="BG325" s="167"/>
      <c r="BH325" s="168" t="str">
        <f t="shared" si="2856"/>
        <v xml:space="preserve"> </v>
      </c>
      <c r="BI325" s="168"/>
      <c r="BJ325" s="167" t="str">
        <f t="shared" si="2857"/>
        <v xml:space="preserve"> </v>
      </c>
      <c r="BK325" s="166"/>
      <c r="BL325" s="166" t="str">
        <f t="shared" si="2858"/>
        <v xml:space="preserve"> </v>
      </c>
      <c r="BM325" s="168" t="str">
        <f t="shared" si="2859"/>
        <v xml:space="preserve"> </v>
      </c>
      <c r="BN325" s="168"/>
      <c r="BO325" s="166" t="str">
        <f t="shared" si="2860"/>
        <v xml:space="preserve"> </v>
      </c>
    </row>
    <row r="326" spans="2:67" ht="15" customHeight="1" x14ac:dyDescent="0.25">
      <c r="B326" s="170">
        <v>46344</v>
      </c>
      <c r="C326" s="164"/>
      <c r="D326" s="166" t="str">
        <f t="shared" si="2827"/>
        <v xml:space="preserve"> </v>
      </c>
      <c r="E326" s="168" t="str">
        <f t="shared" si="2828"/>
        <v xml:space="preserve"> </v>
      </c>
      <c r="F326" s="168"/>
      <c r="G326" s="166" t="str">
        <f t="shared" si="2829"/>
        <v xml:space="preserve"> </v>
      </c>
      <c r="H326" s="167"/>
      <c r="I326" s="167" t="str">
        <f t="shared" si="2830"/>
        <v xml:space="preserve"> </v>
      </c>
      <c r="J326" s="168" t="str">
        <f t="shared" si="2831"/>
        <v xml:space="preserve"> </v>
      </c>
      <c r="K326" s="168"/>
      <c r="L326" s="167" t="str">
        <f t="shared" si="2832"/>
        <v xml:space="preserve"> </v>
      </c>
      <c r="M326" s="166"/>
      <c r="N326" s="166" t="str">
        <f t="shared" si="2833"/>
        <v xml:space="preserve"> </v>
      </c>
      <c r="O326" s="168" t="str">
        <f t="shared" si="2834"/>
        <v xml:space="preserve"> </v>
      </c>
      <c r="P326" s="168"/>
      <c r="Q326" s="166" t="str">
        <f t="shared" si="2835"/>
        <v xml:space="preserve"> </v>
      </c>
      <c r="R326" s="167">
        <f ca="1">+BDFUENTES[[#This Row],[PZ MED m3/día]]/3.6/BDFUENTES[[#This Row],[PZ MED Horas Activo]]</f>
        <v>0</v>
      </c>
      <c r="S326" s="167" t="str">
        <f t="shared" ca="1" si="2836"/>
        <v xml:space="preserve"> </v>
      </c>
      <c r="T326" s="168" t="str">
        <f t="shared" si="2837"/>
        <v xml:space="preserve"> </v>
      </c>
      <c r="U326" s="168"/>
      <c r="V326" s="165" t="str">
        <f t="shared" si="2838"/>
        <v xml:space="preserve"> </v>
      </c>
      <c r="W326" s="164" t="str">
        <f t="shared" si="2839"/>
        <v xml:space="preserve"> </v>
      </c>
      <c r="X326" s="166"/>
      <c r="Y326" s="168" t="str">
        <f t="shared" si="2840"/>
        <v xml:space="preserve"> </v>
      </c>
      <c r="Z326" s="168"/>
      <c r="AA326" s="166" t="str">
        <f t="shared" si="2841"/>
        <v xml:space="preserve"> </v>
      </c>
      <c r="AB326" s="168" t="str">
        <f t="shared" si="2842"/>
        <v xml:space="preserve"> </v>
      </c>
      <c r="AC326" s="168"/>
      <c r="AD326" s="171" t="str">
        <f t="shared" si="2843"/>
        <v xml:space="preserve"> </v>
      </c>
      <c r="AE326" s="167"/>
      <c r="AF326" s="165" t="str">
        <f t="shared" si="2844"/>
        <v xml:space="preserve"> </v>
      </c>
      <c r="AG326" s="168"/>
      <c r="AH326" s="168"/>
      <c r="AI326" s="166"/>
      <c r="AJ326" s="166"/>
      <c r="AK326" s="166" t="str">
        <f t="shared" si="2845"/>
        <v/>
      </c>
      <c r="AL326" s="167"/>
      <c r="AM326" s="171" t="str">
        <f t="shared" si="2846"/>
        <v xml:space="preserve"> </v>
      </c>
      <c r="AN326" s="168" t="str">
        <f t="shared" si="2847"/>
        <v xml:space="preserve"> </v>
      </c>
      <c r="AO326" s="168"/>
      <c r="AP326" s="167" t="str">
        <f t="shared" si="2848"/>
        <v xml:space="preserve"> </v>
      </c>
      <c r="AQ326" s="166"/>
      <c r="AR326" s="166" t="str">
        <f t="shared" si="2849"/>
        <v xml:space="preserve"> </v>
      </c>
      <c r="AS326" s="168" t="str">
        <f t="shared" si="2850"/>
        <v xml:space="preserve"> </v>
      </c>
      <c r="AT326" s="168"/>
      <c r="AU326" s="166" t="str">
        <f t="shared" si="2851"/>
        <v xml:space="preserve"> </v>
      </c>
      <c r="AV326" s="167"/>
      <c r="AW326" s="167"/>
      <c r="AX326" s="169" t="str">
        <f t="shared" si="2852"/>
        <v xml:space="preserve"> </v>
      </c>
      <c r="AY326" s="169"/>
      <c r="AZ326" s="167" t="str">
        <f t="shared" si="2853"/>
        <v xml:space="preserve"> </v>
      </c>
      <c r="BA326" s="166"/>
      <c r="BB326" s="166"/>
      <c r="BC326" s="168" t="str">
        <f t="shared" si="2854"/>
        <v xml:space="preserve"> </v>
      </c>
      <c r="BD326" s="168"/>
      <c r="BE326" s="166" t="str">
        <f t="shared" si="2855"/>
        <v xml:space="preserve"> </v>
      </c>
      <c r="BF326" s="167"/>
      <c r="BG326" s="167"/>
      <c r="BH326" s="168" t="str">
        <f t="shared" si="2856"/>
        <v xml:space="preserve"> </v>
      </c>
      <c r="BI326" s="168"/>
      <c r="BJ326" s="167" t="str">
        <f t="shared" si="2857"/>
        <v xml:space="preserve"> </v>
      </c>
      <c r="BK326" s="166"/>
      <c r="BL326" s="166" t="str">
        <f t="shared" si="2858"/>
        <v xml:space="preserve"> </v>
      </c>
      <c r="BM326" s="168" t="str">
        <f t="shared" si="2859"/>
        <v xml:space="preserve"> </v>
      </c>
      <c r="BN326" s="168"/>
      <c r="BO326" s="166" t="str">
        <f t="shared" si="2860"/>
        <v xml:space="preserve"> </v>
      </c>
    </row>
    <row r="327" spans="2:67" ht="15" customHeight="1" x14ac:dyDescent="0.25">
      <c r="B327" s="170">
        <v>46345</v>
      </c>
      <c r="C327" s="164"/>
      <c r="D327" s="166" t="str">
        <f t="shared" si="2827"/>
        <v xml:space="preserve"> </v>
      </c>
      <c r="E327" s="168" t="str">
        <f t="shared" si="2828"/>
        <v xml:space="preserve"> </v>
      </c>
      <c r="F327" s="168"/>
      <c r="G327" s="166" t="str">
        <f t="shared" si="2829"/>
        <v xml:space="preserve"> </v>
      </c>
      <c r="H327" s="167"/>
      <c r="I327" s="167" t="str">
        <f t="shared" si="2830"/>
        <v xml:space="preserve"> </v>
      </c>
      <c r="J327" s="168" t="str">
        <f t="shared" si="2831"/>
        <v xml:space="preserve"> </v>
      </c>
      <c r="K327" s="168"/>
      <c r="L327" s="167" t="str">
        <f t="shared" si="2832"/>
        <v xml:space="preserve"> </v>
      </c>
      <c r="M327" s="166"/>
      <c r="N327" s="166" t="str">
        <f t="shared" si="2833"/>
        <v xml:space="preserve"> </v>
      </c>
      <c r="O327" s="168" t="str">
        <f t="shared" si="2834"/>
        <v xml:space="preserve"> </v>
      </c>
      <c r="P327" s="168"/>
      <c r="Q327" s="166" t="str">
        <f t="shared" si="2835"/>
        <v xml:space="preserve"> </v>
      </c>
      <c r="R327" s="167">
        <f ca="1">+BDFUENTES[[#This Row],[PZ MED m3/día]]/3.6/BDFUENTES[[#This Row],[PZ MED Horas Activo]]</f>
        <v>0</v>
      </c>
      <c r="S327" s="167" t="str">
        <f t="shared" ca="1" si="2836"/>
        <v xml:space="preserve"> </v>
      </c>
      <c r="T327" s="168" t="str">
        <f t="shared" si="2837"/>
        <v xml:space="preserve"> </v>
      </c>
      <c r="U327" s="168"/>
      <c r="V327" s="165" t="str">
        <f t="shared" si="2838"/>
        <v xml:space="preserve"> </v>
      </c>
      <c r="W327" s="164" t="str">
        <f t="shared" si="2839"/>
        <v xml:space="preserve"> </v>
      </c>
      <c r="X327" s="166"/>
      <c r="Y327" s="168" t="str">
        <f t="shared" si="2840"/>
        <v xml:space="preserve"> </v>
      </c>
      <c r="Z327" s="168"/>
      <c r="AA327" s="166" t="str">
        <f t="shared" si="2841"/>
        <v xml:space="preserve"> </v>
      </c>
      <c r="AB327" s="168" t="str">
        <f t="shared" si="2842"/>
        <v xml:space="preserve"> </v>
      </c>
      <c r="AC327" s="168"/>
      <c r="AD327" s="171" t="str">
        <f t="shared" si="2843"/>
        <v xml:space="preserve"> </v>
      </c>
      <c r="AE327" s="167"/>
      <c r="AF327" s="165" t="str">
        <f t="shared" si="2844"/>
        <v xml:space="preserve"> </v>
      </c>
      <c r="AG327" s="168"/>
      <c r="AH327" s="168"/>
      <c r="AI327" s="166"/>
      <c r="AJ327" s="166"/>
      <c r="AK327" s="166" t="str">
        <f t="shared" si="2845"/>
        <v/>
      </c>
      <c r="AL327" s="167"/>
      <c r="AM327" s="171" t="str">
        <f t="shared" si="2846"/>
        <v xml:space="preserve"> </v>
      </c>
      <c r="AN327" s="168" t="str">
        <f t="shared" si="2847"/>
        <v xml:space="preserve"> </v>
      </c>
      <c r="AO327" s="168"/>
      <c r="AP327" s="167" t="str">
        <f t="shared" si="2848"/>
        <v xml:space="preserve"> </v>
      </c>
      <c r="AQ327" s="166"/>
      <c r="AR327" s="166" t="str">
        <f t="shared" si="2849"/>
        <v xml:space="preserve"> </v>
      </c>
      <c r="AS327" s="168" t="str">
        <f t="shared" si="2850"/>
        <v xml:space="preserve"> </v>
      </c>
      <c r="AT327" s="168"/>
      <c r="AU327" s="166" t="str">
        <f t="shared" si="2851"/>
        <v xml:space="preserve"> </v>
      </c>
      <c r="AV327" s="167"/>
      <c r="AW327" s="167"/>
      <c r="AX327" s="169" t="str">
        <f t="shared" si="2852"/>
        <v xml:space="preserve"> </v>
      </c>
      <c r="AY327" s="169"/>
      <c r="AZ327" s="167" t="str">
        <f t="shared" si="2853"/>
        <v xml:space="preserve"> </v>
      </c>
      <c r="BA327" s="166"/>
      <c r="BB327" s="166"/>
      <c r="BC327" s="168" t="str">
        <f t="shared" si="2854"/>
        <v xml:space="preserve"> </v>
      </c>
      <c r="BD327" s="168"/>
      <c r="BE327" s="166" t="str">
        <f t="shared" si="2855"/>
        <v xml:space="preserve"> </v>
      </c>
      <c r="BF327" s="167"/>
      <c r="BG327" s="167"/>
      <c r="BH327" s="168" t="str">
        <f t="shared" si="2856"/>
        <v xml:space="preserve"> </v>
      </c>
      <c r="BI327" s="168"/>
      <c r="BJ327" s="167" t="str">
        <f t="shared" si="2857"/>
        <v xml:space="preserve"> </v>
      </c>
      <c r="BK327" s="166"/>
      <c r="BL327" s="166" t="str">
        <f t="shared" si="2858"/>
        <v xml:space="preserve"> </v>
      </c>
      <c r="BM327" s="168" t="str">
        <f t="shared" si="2859"/>
        <v xml:space="preserve"> </v>
      </c>
      <c r="BN327" s="168"/>
      <c r="BO327" s="166" t="str">
        <f t="shared" si="2860"/>
        <v xml:space="preserve"> </v>
      </c>
    </row>
    <row r="328" spans="2:67" ht="15" customHeight="1" x14ac:dyDescent="0.25">
      <c r="B328" s="170">
        <v>46346</v>
      </c>
      <c r="C328" s="164"/>
      <c r="D328" s="166" t="str">
        <f t="shared" si="2827"/>
        <v xml:space="preserve"> </v>
      </c>
      <c r="E328" s="168" t="str">
        <f t="shared" si="2828"/>
        <v xml:space="preserve"> </v>
      </c>
      <c r="F328" s="168"/>
      <c r="G328" s="166" t="str">
        <f t="shared" si="2829"/>
        <v xml:space="preserve"> </v>
      </c>
      <c r="H328" s="167"/>
      <c r="I328" s="167" t="str">
        <f t="shared" si="2830"/>
        <v xml:space="preserve"> </v>
      </c>
      <c r="J328" s="168" t="str">
        <f t="shared" si="2831"/>
        <v xml:space="preserve"> </v>
      </c>
      <c r="K328" s="168"/>
      <c r="L328" s="167" t="str">
        <f t="shared" si="2832"/>
        <v xml:space="preserve"> </v>
      </c>
      <c r="M328" s="166"/>
      <c r="N328" s="166" t="str">
        <f t="shared" si="2833"/>
        <v xml:space="preserve"> </v>
      </c>
      <c r="O328" s="168" t="str">
        <f t="shared" si="2834"/>
        <v xml:space="preserve"> </v>
      </c>
      <c r="P328" s="168"/>
      <c r="Q328" s="166" t="str">
        <f t="shared" si="2835"/>
        <v xml:space="preserve"> </v>
      </c>
      <c r="R328" s="167">
        <f ca="1">+BDFUENTES[[#This Row],[PZ MED m3/día]]/3.6/BDFUENTES[[#This Row],[PZ MED Horas Activo]]</f>
        <v>0</v>
      </c>
      <c r="S328" s="167" t="str">
        <f t="shared" ca="1" si="2836"/>
        <v xml:space="preserve"> </v>
      </c>
      <c r="T328" s="168" t="str">
        <f t="shared" si="2837"/>
        <v xml:space="preserve"> </v>
      </c>
      <c r="U328" s="168"/>
      <c r="V328" s="165" t="str">
        <f t="shared" si="2838"/>
        <v xml:space="preserve"> </v>
      </c>
      <c r="W328" s="164" t="str">
        <f t="shared" si="2839"/>
        <v xml:space="preserve"> </v>
      </c>
      <c r="X328" s="166"/>
      <c r="Y328" s="168" t="str">
        <f t="shared" si="2840"/>
        <v xml:space="preserve"> </v>
      </c>
      <c r="Z328" s="168"/>
      <c r="AA328" s="166" t="str">
        <f t="shared" si="2841"/>
        <v xml:space="preserve"> </v>
      </c>
      <c r="AB328" s="168" t="str">
        <f t="shared" si="2842"/>
        <v xml:space="preserve"> </v>
      </c>
      <c r="AC328" s="168"/>
      <c r="AD328" s="171" t="str">
        <f t="shared" si="2843"/>
        <v xml:space="preserve"> </v>
      </c>
      <c r="AE328" s="167"/>
      <c r="AF328" s="165" t="str">
        <f t="shared" si="2844"/>
        <v xml:space="preserve"> </v>
      </c>
      <c r="AG328" s="168"/>
      <c r="AH328" s="168"/>
      <c r="AI328" s="166"/>
      <c r="AJ328" s="166"/>
      <c r="AK328" s="166" t="str">
        <f t="shared" si="2845"/>
        <v/>
      </c>
      <c r="AL328" s="167"/>
      <c r="AM328" s="171" t="str">
        <f t="shared" si="2846"/>
        <v xml:space="preserve"> </v>
      </c>
      <c r="AN328" s="168" t="str">
        <f t="shared" si="2847"/>
        <v xml:space="preserve"> </v>
      </c>
      <c r="AO328" s="168"/>
      <c r="AP328" s="167" t="str">
        <f t="shared" si="2848"/>
        <v xml:space="preserve"> </v>
      </c>
      <c r="AQ328" s="166"/>
      <c r="AR328" s="166" t="str">
        <f t="shared" si="2849"/>
        <v xml:space="preserve"> </v>
      </c>
      <c r="AS328" s="168" t="str">
        <f t="shared" si="2850"/>
        <v xml:space="preserve"> </v>
      </c>
      <c r="AT328" s="168"/>
      <c r="AU328" s="166" t="str">
        <f t="shared" si="2851"/>
        <v xml:space="preserve"> </v>
      </c>
      <c r="AV328" s="167"/>
      <c r="AW328" s="167"/>
      <c r="AX328" s="169" t="str">
        <f t="shared" si="2852"/>
        <v xml:space="preserve"> </v>
      </c>
      <c r="AY328" s="169"/>
      <c r="AZ328" s="167" t="str">
        <f t="shared" si="2853"/>
        <v xml:space="preserve"> </v>
      </c>
      <c r="BA328" s="166"/>
      <c r="BB328" s="166"/>
      <c r="BC328" s="168" t="str">
        <f t="shared" si="2854"/>
        <v xml:space="preserve"> </v>
      </c>
      <c r="BD328" s="168"/>
      <c r="BE328" s="166" t="str">
        <f t="shared" si="2855"/>
        <v xml:space="preserve"> </v>
      </c>
      <c r="BF328" s="167"/>
      <c r="BG328" s="167"/>
      <c r="BH328" s="168" t="str">
        <f t="shared" si="2856"/>
        <v xml:space="preserve"> </v>
      </c>
      <c r="BI328" s="168"/>
      <c r="BJ328" s="167" t="str">
        <f t="shared" si="2857"/>
        <v xml:space="preserve"> </v>
      </c>
      <c r="BK328" s="166"/>
      <c r="BL328" s="166" t="str">
        <f t="shared" si="2858"/>
        <v xml:space="preserve"> </v>
      </c>
      <c r="BM328" s="168" t="str">
        <f t="shared" si="2859"/>
        <v xml:space="preserve"> </v>
      </c>
      <c r="BN328" s="168"/>
      <c r="BO328" s="166" t="str">
        <f t="shared" si="2860"/>
        <v xml:space="preserve"> </v>
      </c>
    </row>
    <row r="329" spans="2:67" ht="15" customHeight="1" x14ac:dyDescent="0.25">
      <c r="B329" s="170">
        <v>46347</v>
      </c>
      <c r="C329" s="164"/>
      <c r="D329" s="166" t="str">
        <f t="shared" si="2827"/>
        <v xml:space="preserve"> </v>
      </c>
      <c r="E329" s="168" t="str">
        <f t="shared" si="2828"/>
        <v xml:space="preserve"> </v>
      </c>
      <c r="F329" s="168"/>
      <c r="G329" s="166" t="str">
        <f t="shared" si="2829"/>
        <v xml:space="preserve"> </v>
      </c>
      <c r="H329" s="167"/>
      <c r="I329" s="167" t="str">
        <f t="shared" si="2830"/>
        <v xml:space="preserve"> </v>
      </c>
      <c r="J329" s="168" t="str">
        <f t="shared" si="2831"/>
        <v xml:space="preserve"> </v>
      </c>
      <c r="K329" s="168"/>
      <c r="L329" s="167" t="str">
        <f t="shared" si="2832"/>
        <v xml:space="preserve"> </v>
      </c>
      <c r="M329" s="166"/>
      <c r="N329" s="166" t="str">
        <f t="shared" si="2833"/>
        <v xml:space="preserve"> </v>
      </c>
      <c r="O329" s="168" t="str">
        <f t="shared" si="2834"/>
        <v xml:space="preserve"> </v>
      </c>
      <c r="P329" s="168"/>
      <c r="Q329" s="166" t="str">
        <f t="shared" si="2835"/>
        <v xml:space="preserve"> </v>
      </c>
      <c r="R329" s="167">
        <f ca="1">+BDFUENTES[[#This Row],[PZ MED m3/día]]/3.6/BDFUENTES[[#This Row],[PZ MED Horas Activo]]</f>
        <v>0</v>
      </c>
      <c r="S329" s="167" t="str">
        <f t="shared" ca="1" si="2836"/>
        <v xml:space="preserve"> </v>
      </c>
      <c r="T329" s="168" t="str">
        <f t="shared" si="2837"/>
        <v xml:space="preserve"> </v>
      </c>
      <c r="U329" s="168"/>
      <c r="V329" s="165" t="str">
        <f t="shared" si="2838"/>
        <v xml:space="preserve"> </v>
      </c>
      <c r="W329" s="164" t="str">
        <f t="shared" si="2839"/>
        <v xml:space="preserve"> </v>
      </c>
      <c r="X329" s="166"/>
      <c r="Y329" s="168" t="str">
        <f t="shared" si="2840"/>
        <v xml:space="preserve"> </v>
      </c>
      <c r="Z329" s="168"/>
      <c r="AA329" s="166" t="str">
        <f t="shared" si="2841"/>
        <v xml:space="preserve"> </v>
      </c>
      <c r="AB329" s="168" t="str">
        <f t="shared" si="2842"/>
        <v xml:space="preserve"> </v>
      </c>
      <c r="AC329" s="168"/>
      <c r="AD329" s="171" t="str">
        <f t="shared" si="2843"/>
        <v xml:space="preserve"> </v>
      </c>
      <c r="AE329" s="167"/>
      <c r="AF329" s="165" t="str">
        <f t="shared" si="2844"/>
        <v xml:space="preserve"> </v>
      </c>
      <c r="AG329" s="168"/>
      <c r="AH329" s="168"/>
      <c r="AI329" s="166"/>
      <c r="AJ329" s="166"/>
      <c r="AK329" s="166" t="str">
        <f t="shared" si="2845"/>
        <v/>
      </c>
      <c r="AL329" s="167"/>
      <c r="AM329" s="171" t="str">
        <f t="shared" si="2846"/>
        <v xml:space="preserve"> </v>
      </c>
      <c r="AN329" s="168" t="str">
        <f t="shared" si="2847"/>
        <v xml:space="preserve"> </v>
      </c>
      <c r="AO329" s="168"/>
      <c r="AP329" s="167" t="str">
        <f t="shared" si="2848"/>
        <v xml:space="preserve"> </v>
      </c>
      <c r="AQ329" s="166"/>
      <c r="AR329" s="166" t="str">
        <f t="shared" si="2849"/>
        <v xml:space="preserve"> </v>
      </c>
      <c r="AS329" s="168" t="str">
        <f t="shared" si="2850"/>
        <v xml:space="preserve"> </v>
      </c>
      <c r="AT329" s="168"/>
      <c r="AU329" s="166" t="str">
        <f t="shared" si="2851"/>
        <v xml:space="preserve"> </v>
      </c>
      <c r="AV329" s="167"/>
      <c r="AW329" s="167"/>
      <c r="AX329" s="169" t="str">
        <f t="shared" si="2852"/>
        <v xml:space="preserve"> </v>
      </c>
      <c r="AY329" s="169"/>
      <c r="AZ329" s="167" t="str">
        <f t="shared" si="2853"/>
        <v xml:space="preserve"> </v>
      </c>
      <c r="BA329" s="166"/>
      <c r="BB329" s="166"/>
      <c r="BC329" s="168" t="str">
        <f t="shared" si="2854"/>
        <v xml:space="preserve"> </v>
      </c>
      <c r="BD329" s="168"/>
      <c r="BE329" s="166" t="str">
        <f t="shared" si="2855"/>
        <v xml:space="preserve"> </v>
      </c>
      <c r="BF329" s="167"/>
      <c r="BG329" s="167"/>
      <c r="BH329" s="168" t="str">
        <f t="shared" si="2856"/>
        <v xml:space="preserve"> </v>
      </c>
      <c r="BI329" s="168"/>
      <c r="BJ329" s="167" t="str">
        <f t="shared" si="2857"/>
        <v xml:space="preserve"> </v>
      </c>
      <c r="BK329" s="166"/>
      <c r="BL329" s="166" t="str">
        <f t="shared" si="2858"/>
        <v xml:space="preserve"> </v>
      </c>
      <c r="BM329" s="168" t="str">
        <f t="shared" si="2859"/>
        <v xml:space="preserve"> </v>
      </c>
      <c r="BN329" s="168"/>
      <c r="BO329" s="166" t="str">
        <f t="shared" si="2860"/>
        <v xml:space="preserve"> </v>
      </c>
    </row>
    <row r="330" spans="2:67" ht="15" customHeight="1" x14ac:dyDescent="0.25">
      <c r="B330" s="170">
        <v>46348</v>
      </c>
      <c r="C330" s="164"/>
      <c r="D330" s="166" t="str">
        <f t="shared" si="2827"/>
        <v xml:space="preserve"> </v>
      </c>
      <c r="E330" s="168" t="str">
        <f t="shared" si="2828"/>
        <v xml:space="preserve"> </v>
      </c>
      <c r="F330" s="168"/>
      <c r="G330" s="166" t="str">
        <f t="shared" si="2829"/>
        <v xml:space="preserve"> </v>
      </c>
      <c r="H330" s="167"/>
      <c r="I330" s="167" t="str">
        <f t="shared" si="2830"/>
        <v xml:space="preserve"> </v>
      </c>
      <c r="J330" s="168" t="str">
        <f t="shared" si="2831"/>
        <v xml:space="preserve"> </v>
      </c>
      <c r="K330" s="168"/>
      <c r="L330" s="167" t="str">
        <f t="shared" si="2832"/>
        <v xml:space="preserve"> </v>
      </c>
      <c r="M330" s="166"/>
      <c r="N330" s="166" t="str">
        <f t="shared" si="2833"/>
        <v xml:space="preserve"> </v>
      </c>
      <c r="O330" s="168" t="str">
        <f t="shared" si="2834"/>
        <v xml:space="preserve"> </v>
      </c>
      <c r="P330" s="168"/>
      <c r="Q330" s="166" t="str">
        <f t="shared" si="2835"/>
        <v xml:space="preserve"> </v>
      </c>
      <c r="R330" s="167">
        <f ca="1">+BDFUENTES[[#This Row],[PZ MED m3/día]]/3.6/BDFUENTES[[#This Row],[PZ MED Horas Activo]]</f>
        <v>0</v>
      </c>
      <c r="S330" s="167" t="str">
        <f t="shared" ca="1" si="2836"/>
        <v xml:space="preserve"> </v>
      </c>
      <c r="T330" s="168" t="str">
        <f t="shared" si="2837"/>
        <v xml:space="preserve"> </v>
      </c>
      <c r="U330" s="168"/>
      <c r="V330" s="165" t="str">
        <f t="shared" si="2838"/>
        <v xml:space="preserve"> </v>
      </c>
      <c r="W330" s="164" t="str">
        <f t="shared" si="2839"/>
        <v xml:space="preserve"> </v>
      </c>
      <c r="X330" s="166"/>
      <c r="Y330" s="168" t="str">
        <f t="shared" si="2840"/>
        <v xml:space="preserve"> </v>
      </c>
      <c r="Z330" s="168"/>
      <c r="AA330" s="166" t="str">
        <f t="shared" si="2841"/>
        <v xml:space="preserve"> </v>
      </c>
      <c r="AB330" s="168" t="str">
        <f t="shared" si="2842"/>
        <v xml:space="preserve"> </v>
      </c>
      <c r="AC330" s="168"/>
      <c r="AD330" s="171" t="str">
        <f t="shared" si="2843"/>
        <v xml:space="preserve"> </v>
      </c>
      <c r="AE330" s="167"/>
      <c r="AF330" s="165" t="str">
        <f t="shared" si="2844"/>
        <v xml:space="preserve"> </v>
      </c>
      <c r="AG330" s="168"/>
      <c r="AH330" s="168"/>
      <c r="AI330" s="166"/>
      <c r="AJ330" s="166"/>
      <c r="AK330" s="166" t="str">
        <f t="shared" si="2845"/>
        <v/>
      </c>
      <c r="AL330" s="167"/>
      <c r="AM330" s="171" t="str">
        <f t="shared" si="2846"/>
        <v xml:space="preserve"> </v>
      </c>
      <c r="AN330" s="168" t="str">
        <f t="shared" si="2847"/>
        <v xml:space="preserve"> </v>
      </c>
      <c r="AO330" s="168"/>
      <c r="AP330" s="167" t="str">
        <f t="shared" si="2848"/>
        <v xml:space="preserve"> </v>
      </c>
      <c r="AQ330" s="166"/>
      <c r="AR330" s="166" t="str">
        <f t="shared" si="2849"/>
        <v xml:space="preserve"> </v>
      </c>
      <c r="AS330" s="168" t="str">
        <f t="shared" si="2850"/>
        <v xml:space="preserve"> </v>
      </c>
      <c r="AT330" s="168"/>
      <c r="AU330" s="166" t="str">
        <f t="shared" si="2851"/>
        <v xml:space="preserve"> </v>
      </c>
      <c r="AV330" s="167"/>
      <c r="AW330" s="167"/>
      <c r="AX330" s="169" t="str">
        <f t="shared" si="2852"/>
        <v xml:space="preserve"> </v>
      </c>
      <c r="AY330" s="169"/>
      <c r="AZ330" s="167" t="str">
        <f t="shared" si="2853"/>
        <v xml:space="preserve"> </v>
      </c>
      <c r="BA330" s="166"/>
      <c r="BB330" s="166"/>
      <c r="BC330" s="168" t="str">
        <f t="shared" si="2854"/>
        <v xml:space="preserve"> </v>
      </c>
      <c r="BD330" s="168"/>
      <c r="BE330" s="166" t="str">
        <f t="shared" si="2855"/>
        <v xml:space="preserve"> </v>
      </c>
      <c r="BF330" s="167"/>
      <c r="BG330" s="167"/>
      <c r="BH330" s="168" t="str">
        <f t="shared" si="2856"/>
        <v xml:space="preserve"> </v>
      </c>
      <c r="BI330" s="168"/>
      <c r="BJ330" s="167" t="str">
        <f t="shared" si="2857"/>
        <v xml:space="preserve"> </v>
      </c>
      <c r="BK330" s="166"/>
      <c r="BL330" s="166" t="str">
        <f t="shared" si="2858"/>
        <v xml:space="preserve"> </v>
      </c>
      <c r="BM330" s="168" t="str">
        <f t="shared" si="2859"/>
        <v xml:space="preserve"> </v>
      </c>
      <c r="BN330" s="168"/>
      <c r="BO330" s="166" t="str">
        <f t="shared" si="2860"/>
        <v xml:space="preserve"> </v>
      </c>
    </row>
    <row r="331" spans="2:67" ht="15" customHeight="1" x14ac:dyDescent="0.25">
      <c r="B331" s="170">
        <v>46349</v>
      </c>
      <c r="C331" s="164"/>
      <c r="D331" s="166" t="str">
        <f t="shared" si="2827"/>
        <v xml:space="preserve"> </v>
      </c>
      <c r="E331" s="168" t="str">
        <f t="shared" si="2828"/>
        <v xml:space="preserve"> </v>
      </c>
      <c r="F331" s="168"/>
      <c r="G331" s="166" t="str">
        <f t="shared" si="2829"/>
        <v xml:space="preserve"> </v>
      </c>
      <c r="H331" s="167"/>
      <c r="I331" s="167" t="str">
        <f t="shared" si="2830"/>
        <v xml:space="preserve"> </v>
      </c>
      <c r="J331" s="168" t="str">
        <f t="shared" si="2831"/>
        <v xml:space="preserve"> </v>
      </c>
      <c r="K331" s="168"/>
      <c r="L331" s="167" t="str">
        <f t="shared" si="2832"/>
        <v xml:space="preserve"> </v>
      </c>
      <c r="M331" s="166"/>
      <c r="N331" s="166" t="str">
        <f t="shared" si="2833"/>
        <v xml:space="preserve"> </v>
      </c>
      <c r="O331" s="168" t="str">
        <f t="shared" si="2834"/>
        <v xml:space="preserve"> </v>
      </c>
      <c r="P331" s="168"/>
      <c r="Q331" s="166" t="str">
        <f t="shared" si="2835"/>
        <v xml:space="preserve"> </v>
      </c>
      <c r="R331" s="167">
        <f ca="1">+BDFUENTES[[#This Row],[PZ MED m3/día]]/3.6/BDFUENTES[[#This Row],[PZ MED Horas Activo]]</f>
        <v>0</v>
      </c>
      <c r="S331" s="167" t="str">
        <f t="shared" ca="1" si="2836"/>
        <v xml:space="preserve"> </v>
      </c>
      <c r="T331" s="168" t="str">
        <f t="shared" si="2837"/>
        <v xml:space="preserve"> </v>
      </c>
      <c r="U331" s="168"/>
      <c r="V331" s="165" t="str">
        <f t="shared" si="2838"/>
        <v xml:space="preserve"> </v>
      </c>
      <c r="W331" s="164" t="str">
        <f t="shared" si="2839"/>
        <v xml:space="preserve"> </v>
      </c>
      <c r="X331" s="166"/>
      <c r="Y331" s="168" t="str">
        <f t="shared" si="2840"/>
        <v xml:space="preserve"> </v>
      </c>
      <c r="Z331" s="168"/>
      <c r="AA331" s="166" t="str">
        <f t="shared" si="2841"/>
        <v xml:space="preserve"> </v>
      </c>
      <c r="AB331" s="168" t="str">
        <f t="shared" si="2842"/>
        <v xml:space="preserve"> </v>
      </c>
      <c r="AC331" s="168"/>
      <c r="AD331" s="171" t="str">
        <f t="shared" si="2843"/>
        <v xml:space="preserve"> </v>
      </c>
      <c r="AE331" s="167"/>
      <c r="AF331" s="165" t="str">
        <f t="shared" si="2844"/>
        <v xml:space="preserve"> </v>
      </c>
      <c r="AG331" s="168"/>
      <c r="AH331" s="168"/>
      <c r="AI331" s="166"/>
      <c r="AJ331" s="166"/>
      <c r="AK331" s="166" t="str">
        <f t="shared" si="2845"/>
        <v/>
      </c>
      <c r="AL331" s="167"/>
      <c r="AM331" s="171" t="str">
        <f t="shared" si="2846"/>
        <v xml:space="preserve"> </v>
      </c>
      <c r="AN331" s="168" t="str">
        <f t="shared" si="2847"/>
        <v xml:space="preserve"> </v>
      </c>
      <c r="AO331" s="168"/>
      <c r="AP331" s="167" t="str">
        <f t="shared" si="2848"/>
        <v xml:space="preserve"> </v>
      </c>
      <c r="AQ331" s="166"/>
      <c r="AR331" s="166" t="str">
        <f t="shared" si="2849"/>
        <v xml:space="preserve"> </v>
      </c>
      <c r="AS331" s="168" t="str">
        <f t="shared" si="2850"/>
        <v xml:space="preserve"> </v>
      </c>
      <c r="AT331" s="168"/>
      <c r="AU331" s="166" t="str">
        <f t="shared" si="2851"/>
        <v xml:space="preserve"> </v>
      </c>
      <c r="AV331" s="167"/>
      <c r="AW331" s="167"/>
      <c r="AX331" s="169" t="str">
        <f t="shared" si="2852"/>
        <v xml:space="preserve"> </v>
      </c>
      <c r="AY331" s="169"/>
      <c r="AZ331" s="167" t="str">
        <f t="shared" si="2853"/>
        <v xml:space="preserve"> </v>
      </c>
      <c r="BA331" s="166"/>
      <c r="BB331" s="166"/>
      <c r="BC331" s="168" t="str">
        <f t="shared" si="2854"/>
        <v xml:space="preserve"> </v>
      </c>
      <c r="BD331" s="168"/>
      <c r="BE331" s="166" t="str">
        <f t="shared" si="2855"/>
        <v xml:space="preserve"> </v>
      </c>
      <c r="BF331" s="167"/>
      <c r="BG331" s="167"/>
      <c r="BH331" s="168" t="str">
        <f t="shared" si="2856"/>
        <v xml:space="preserve"> </v>
      </c>
      <c r="BI331" s="168"/>
      <c r="BJ331" s="167" t="str">
        <f t="shared" si="2857"/>
        <v xml:space="preserve"> </v>
      </c>
      <c r="BK331" s="166"/>
      <c r="BL331" s="166" t="str">
        <f t="shared" si="2858"/>
        <v xml:space="preserve"> </v>
      </c>
      <c r="BM331" s="168" t="str">
        <f t="shared" si="2859"/>
        <v xml:space="preserve"> </v>
      </c>
      <c r="BN331" s="168"/>
      <c r="BO331" s="166" t="str">
        <f t="shared" si="2860"/>
        <v xml:space="preserve"> </v>
      </c>
    </row>
    <row r="332" spans="2:67" ht="15" customHeight="1" x14ac:dyDescent="0.25">
      <c r="B332" s="170">
        <v>46350</v>
      </c>
      <c r="C332" s="164"/>
      <c r="D332" s="166" t="str">
        <f t="shared" si="2827"/>
        <v xml:space="preserve"> </v>
      </c>
      <c r="E332" s="168" t="str">
        <f t="shared" si="2828"/>
        <v xml:space="preserve"> </v>
      </c>
      <c r="F332" s="168"/>
      <c r="G332" s="166" t="str">
        <f t="shared" si="2829"/>
        <v xml:space="preserve"> </v>
      </c>
      <c r="H332" s="167"/>
      <c r="I332" s="167" t="str">
        <f t="shared" si="2830"/>
        <v xml:space="preserve"> </v>
      </c>
      <c r="J332" s="168" t="str">
        <f t="shared" si="2831"/>
        <v xml:space="preserve"> </v>
      </c>
      <c r="K332" s="168"/>
      <c r="L332" s="167" t="str">
        <f t="shared" si="2832"/>
        <v xml:space="preserve"> </v>
      </c>
      <c r="M332" s="166"/>
      <c r="N332" s="166" t="str">
        <f t="shared" si="2833"/>
        <v xml:space="preserve"> </v>
      </c>
      <c r="O332" s="168" t="str">
        <f t="shared" si="2834"/>
        <v xml:space="preserve"> </v>
      </c>
      <c r="P332" s="168"/>
      <c r="Q332" s="166" t="str">
        <f t="shared" si="2835"/>
        <v xml:space="preserve"> </v>
      </c>
      <c r="R332" s="167">
        <f ca="1">+BDFUENTES[[#This Row],[PZ MED m3/día]]/3.6/BDFUENTES[[#This Row],[PZ MED Horas Activo]]</f>
        <v>0</v>
      </c>
      <c r="S332" s="167" t="str">
        <f t="shared" ca="1" si="2836"/>
        <v xml:space="preserve"> </v>
      </c>
      <c r="T332" s="168" t="str">
        <f t="shared" si="2837"/>
        <v xml:space="preserve"> </v>
      </c>
      <c r="U332" s="168"/>
      <c r="V332" s="165" t="str">
        <f t="shared" si="2838"/>
        <v xml:space="preserve"> </v>
      </c>
      <c r="W332" s="164" t="str">
        <f t="shared" si="2839"/>
        <v xml:space="preserve"> </v>
      </c>
      <c r="X332" s="166"/>
      <c r="Y332" s="168" t="str">
        <f t="shared" si="2840"/>
        <v xml:space="preserve"> </v>
      </c>
      <c r="Z332" s="168"/>
      <c r="AA332" s="166" t="str">
        <f t="shared" si="2841"/>
        <v xml:space="preserve"> </v>
      </c>
      <c r="AB332" s="168" t="str">
        <f t="shared" si="2842"/>
        <v xml:space="preserve"> </v>
      </c>
      <c r="AC332" s="168"/>
      <c r="AD332" s="171" t="str">
        <f t="shared" si="2843"/>
        <v xml:space="preserve"> </v>
      </c>
      <c r="AE332" s="167"/>
      <c r="AF332" s="165" t="str">
        <f t="shared" si="2844"/>
        <v xml:space="preserve"> </v>
      </c>
      <c r="AG332" s="168"/>
      <c r="AH332" s="168"/>
      <c r="AI332" s="166"/>
      <c r="AJ332" s="166"/>
      <c r="AK332" s="166" t="str">
        <f t="shared" si="2845"/>
        <v/>
      </c>
      <c r="AL332" s="167"/>
      <c r="AM332" s="171" t="str">
        <f t="shared" si="2846"/>
        <v xml:space="preserve"> </v>
      </c>
      <c r="AN332" s="168" t="str">
        <f t="shared" si="2847"/>
        <v xml:space="preserve"> </v>
      </c>
      <c r="AO332" s="168"/>
      <c r="AP332" s="167" t="str">
        <f t="shared" si="2848"/>
        <v xml:space="preserve"> </v>
      </c>
      <c r="AQ332" s="166"/>
      <c r="AR332" s="166" t="str">
        <f t="shared" si="2849"/>
        <v xml:space="preserve"> </v>
      </c>
      <c r="AS332" s="168" t="str">
        <f t="shared" si="2850"/>
        <v xml:space="preserve"> </v>
      </c>
      <c r="AT332" s="168"/>
      <c r="AU332" s="166" t="str">
        <f t="shared" si="2851"/>
        <v xml:space="preserve"> </v>
      </c>
      <c r="AV332" s="167"/>
      <c r="AW332" s="167"/>
      <c r="AX332" s="169" t="str">
        <f t="shared" si="2852"/>
        <v xml:space="preserve"> </v>
      </c>
      <c r="AY332" s="169"/>
      <c r="AZ332" s="167" t="str">
        <f t="shared" si="2853"/>
        <v xml:space="preserve"> </v>
      </c>
      <c r="BA332" s="166"/>
      <c r="BB332" s="166"/>
      <c r="BC332" s="168" t="str">
        <f t="shared" si="2854"/>
        <v xml:space="preserve"> </v>
      </c>
      <c r="BD332" s="168"/>
      <c r="BE332" s="166" t="str">
        <f t="shared" si="2855"/>
        <v xml:space="preserve"> </v>
      </c>
      <c r="BF332" s="167"/>
      <c r="BG332" s="167"/>
      <c r="BH332" s="168" t="str">
        <f t="shared" si="2856"/>
        <v xml:space="preserve"> </v>
      </c>
      <c r="BI332" s="168"/>
      <c r="BJ332" s="167" t="str">
        <f t="shared" si="2857"/>
        <v xml:space="preserve"> </v>
      </c>
      <c r="BK332" s="166"/>
      <c r="BL332" s="166" t="str">
        <f t="shared" si="2858"/>
        <v xml:space="preserve"> </v>
      </c>
      <c r="BM332" s="168" t="str">
        <f t="shared" si="2859"/>
        <v xml:space="preserve"> </v>
      </c>
      <c r="BN332" s="168"/>
      <c r="BO332" s="166" t="str">
        <f t="shared" si="2860"/>
        <v xml:space="preserve"> </v>
      </c>
    </row>
    <row r="333" spans="2:67" ht="15" customHeight="1" x14ac:dyDescent="0.25">
      <c r="B333" s="170">
        <v>46351</v>
      </c>
      <c r="C333" s="164"/>
      <c r="D333" s="166" t="str">
        <f t="shared" si="2827"/>
        <v xml:space="preserve"> </v>
      </c>
      <c r="E333" s="168" t="str">
        <f t="shared" si="2828"/>
        <v xml:space="preserve"> </v>
      </c>
      <c r="F333" s="168"/>
      <c r="G333" s="166" t="str">
        <f t="shared" si="2829"/>
        <v xml:space="preserve"> </v>
      </c>
      <c r="H333" s="167"/>
      <c r="I333" s="167" t="str">
        <f t="shared" si="2830"/>
        <v xml:space="preserve"> </v>
      </c>
      <c r="J333" s="168" t="str">
        <f t="shared" si="2831"/>
        <v xml:space="preserve"> </v>
      </c>
      <c r="K333" s="168"/>
      <c r="L333" s="167" t="str">
        <f t="shared" si="2832"/>
        <v xml:space="preserve"> </v>
      </c>
      <c r="M333" s="166"/>
      <c r="N333" s="166" t="str">
        <f t="shared" si="2833"/>
        <v xml:space="preserve"> </v>
      </c>
      <c r="O333" s="168" t="str">
        <f t="shared" si="2834"/>
        <v xml:space="preserve"> </v>
      </c>
      <c r="P333" s="168"/>
      <c r="Q333" s="166" t="str">
        <f t="shared" si="2835"/>
        <v xml:space="preserve"> </v>
      </c>
      <c r="R333" s="167">
        <f ca="1">+BDFUENTES[[#This Row],[PZ MED m3/día]]/3.6/BDFUENTES[[#This Row],[PZ MED Horas Activo]]</f>
        <v>0</v>
      </c>
      <c r="S333" s="167" t="str">
        <f t="shared" ca="1" si="2836"/>
        <v xml:space="preserve"> </v>
      </c>
      <c r="T333" s="168" t="str">
        <f t="shared" si="2837"/>
        <v xml:space="preserve"> </v>
      </c>
      <c r="U333" s="168"/>
      <c r="V333" s="165" t="str">
        <f t="shared" si="2838"/>
        <v xml:space="preserve"> </v>
      </c>
      <c r="W333" s="164" t="str">
        <f t="shared" si="2839"/>
        <v xml:space="preserve"> </v>
      </c>
      <c r="X333" s="166"/>
      <c r="Y333" s="168" t="str">
        <f t="shared" si="2840"/>
        <v xml:space="preserve"> </v>
      </c>
      <c r="Z333" s="168"/>
      <c r="AA333" s="166" t="str">
        <f t="shared" si="2841"/>
        <v xml:space="preserve"> </v>
      </c>
      <c r="AB333" s="168" t="str">
        <f t="shared" si="2842"/>
        <v xml:space="preserve"> </v>
      </c>
      <c r="AC333" s="168"/>
      <c r="AD333" s="171" t="str">
        <f t="shared" si="2843"/>
        <v xml:space="preserve"> </v>
      </c>
      <c r="AE333" s="167"/>
      <c r="AF333" s="165" t="str">
        <f t="shared" si="2844"/>
        <v xml:space="preserve"> </v>
      </c>
      <c r="AG333" s="168"/>
      <c r="AH333" s="168"/>
      <c r="AI333" s="166"/>
      <c r="AJ333" s="166"/>
      <c r="AK333" s="166" t="str">
        <f t="shared" si="2845"/>
        <v/>
      </c>
      <c r="AL333" s="167"/>
      <c r="AM333" s="171" t="str">
        <f t="shared" si="2846"/>
        <v xml:space="preserve"> </v>
      </c>
      <c r="AN333" s="168" t="str">
        <f t="shared" si="2847"/>
        <v xml:space="preserve"> </v>
      </c>
      <c r="AO333" s="168"/>
      <c r="AP333" s="167" t="str">
        <f t="shared" si="2848"/>
        <v xml:space="preserve"> </v>
      </c>
      <c r="AQ333" s="166"/>
      <c r="AR333" s="166" t="str">
        <f t="shared" si="2849"/>
        <v xml:space="preserve"> </v>
      </c>
      <c r="AS333" s="168" t="str">
        <f t="shared" si="2850"/>
        <v xml:space="preserve"> </v>
      </c>
      <c r="AT333" s="168"/>
      <c r="AU333" s="166" t="str">
        <f t="shared" si="2851"/>
        <v xml:space="preserve"> </v>
      </c>
      <c r="AV333" s="167"/>
      <c r="AW333" s="167"/>
      <c r="AX333" s="169" t="str">
        <f t="shared" si="2852"/>
        <v xml:space="preserve"> </v>
      </c>
      <c r="AY333" s="169"/>
      <c r="AZ333" s="167" t="str">
        <f t="shared" si="2853"/>
        <v xml:space="preserve"> </v>
      </c>
      <c r="BA333" s="166"/>
      <c r="BB333" s="166"/>
      <c r="BC333" s="168" t="str">
        <f t="shared" si="2854"/>
        <v xml:space="preserve"> </v>
      </c>
      <c r="BD333" s="168"/>
      <c r="BE333" s="166" t="str">
        <f t="shared" si="2855"/>
        <v xml:space="preserve"> </v>
      </c>
      <c r="BF333" s="167"/>
      <c r="BG333" s="167"/>
      <c r="BH333" s="168" t="str">
        <f t="shared" si="2856"/>
        <v xml:space="preserve"> </v>
      </c>
      <c r="BI333" s="168"/>
      <c r="BJ333" s="167" t="str">
        <f t="shared" si="2857"/>
        <v xml:space="preserve"> </v>
      </c>
      <c r="BK333" s="166"/>
      <c r="BL333" s="166" t="str">
        <f t="shared" si="2858"/>
        <v xml:space="preserve"> </v>
      </c>
      <c r="BM333" s="168" t="str">
        <f t="shared" si="2859"/>
        <v xml:space="preserve"> </v>
      </c>
      <c r="BN333" s="168"/>
      <c r="BO333" s="166" t="str">
        <f t="shared" si="2860"/>
        <v xml:space="preserve"> </v>
      </c>
    </row>
    <row r="334" spans="2:67" ht="15" customHeight="1" x14ac:dyDescent="0.25">
      <c r="B334" s="170">
        <v>46352</v>
      </c>
      <c r="C334" s="164"/>
      <c r="D334" s="166" t="str">
        <f t="shared" si="2827"/>
        <v xml:space="preserve"> </v>
      </c>
      <c r="E334" s="168" t="str">
        <f t="shared" si="2828"/>
        <v xml:space="preserve"> </v>
      </c>
      <c r="F334" s="168"/>
      <c r="G334" s="166" t="str">
        <f t="shared" si="2829"/>
        <v xml:space="preserve"> </v>
      </c>
      <c r="H334" s="167"/>
      <c r="I334" s="167" t="str">
        <f t="shared" si="2830"/>
        <v xml:space="preserve"> </v>
      </c>
      <c r="J334" s="168" t="str">
        <f t="shared" si="2831"/>
        <v xml:space="preserve"> </v>
      </c>
      <c r="K334" s="168"/>
      <c r="L334" s="167" t="str">
        <f t="shared" si="2832"/>
        <v xml:space="preserve"> </v>
      </c>
      <c r="M334" s="166"/>
      <c r="N334" s="166" t="str">
        <f t="shared" si="2833"/>
        <v xml:space="preserve"> </v>
      </c>
      <c r="O334" s="168" t="str">
        <f t="shared" si="2834"/>
        <v xml:space="preserve"> </v>
      </c>
      <c r="P334" s="168"/>
      <c r="Q334" s="166" t="str">
        <f t="shared" si="2835"/>
        <v xml:space="preserve"> </v>
      </c>
      <c r="R334" s="167">
        <f ca="1">+BDFUENTES[[#This Row],[PZ MED m3/día]]/3.6/BDFUENTES[[#This Row],[PZ MED Horas Activo]]</f>
        <v>0</v>
      </c>
      <c r="S334" s="167" t="str">
        <f t="shared" ca="1" si="2836"/>
        <v xml:space="preserve"> </v>
      </c>
      <c r="T334" s="168" t="str">
        <f t="shared" si="2837"/>
        <v xml:space="preserve"> </v>
      </c>
      <c r="U334" s="168"/>
      <c r="V334" s="165" t="str">
        <f t="shared" si="2838"/>
        <v xml:space="preserve"> </v>
      </c>
      <c r="W334" s="164" t="str">
        <f t="shared" si="2839"/>
        <v xml:space="preserve"> </v>
      </c>
      <c r="X334" s="166"/>
      <c r="Y334" s="168" t="str">
        <f t="shared" si="2840"/>
        <v xml:space="preserve"> </v>
      </c>
      <c r="Z334" s="168"/>
      <c r="AA334" s="166" t="str">
        <f t="shared" si="2841"/>
        <v xml:space="preserve"> </v>
      </c>
      <c r="AB334" s="168" t="str">
        <f t="shared" si="2842"/>
        <v xml:space="preserve"> </v>
      </c>
      <c r="AC334" s="168"/>
      <c r="AD334" s="171" t="str">
        <f t="shared" si="2843"/>
        <v xml:space="preserve"> </v>
      </c>
      <c r="AE334" s="167"/>
      <c r="AF334" s="165" t="str">
        <f t="shared" si="2844"/>
        <v xml:space="preserve"> </v>
      </c>
      <c r="AG334" s="168"/>
      <c r="AH334" s="168"/>
      <c r="AI334" s="166"/>
      <c r="AJ334" s="166"/>
      <c r="AK334" s="166" t="str">
        <f t="shared" si="2845"/>
        <v/>
      </c>
      <c r="AL334" s="167"/>
      <c r="AM334" s="171" t="str">
        <f t="shared" si="2846"/>
        <v xml:space="preserve"> </v>
      </c>
      <c r="AN334" s="168" t="str">
        <f t="shared" si="2847"/>
        <v xml:space="preserve"> </v>
      </c>
      <c r="AO334" s="168"/>
      <c r="AP334" s="167" t="str">
        <f t="shared" si="2848"/>
        <v xml:space="preserve"> </v>
      </c>
      <c r="AQ334" s="166"/>
      <c r="AR334" s="166" t="str">
        <f t="shared" si="2849"/>
        <v xml:space="preserve"> </v>
      </c>
      <c r="AS334" s="168" t="str">
        <f t="shared" si="2850"/>
        <v xml:space="preserve"> </v>
      </c>
      <c r="AT334" s="168"/>
      <c r="AU334" s="166" t="str">
        <f t="shared" si="2851"/>
        <v xml:space="preserve"> </v>
      </c>
      <c r="AV334" s="167"/>
      <c r="AW334" s="167"/>
      <c r="AX334" s="169" t="str">
        <f t="shared" si="2852"/>
        <v xml:space="preserve"> </v>
      </c>
      <c r="AY334" s="169"/>
      <c r="AZ334" s="167" t="str">
        <f t="shared" si="2853"/>
        <v xml:space="preserve"> </v>
      </c>
      <c r="BA334" s="166"/>
      <c r="BB334" s="166"/>
      <c r="BC334" s="168" t="str">
        <f t="shared" si="2854"/>
        <v xml:space="preserve"> </v>
      </c>
      <c r="BD334" s="168"/>
      <c r="BE334" s="166" t="str">
        <f t="shared" si="2855"/>
        <v xml:space="preserve"> </v>
      </c>
      <c r="BF334" s="167"/>
      <c r="BG334" s="167"/>
      <c r="BH334" s="168" t="str">
        <f t="shared" si="2856"/>
        <v xml:space="preserve"> </v>
      </c>
      <c r="BI334" s="168"/>
      <c r="BJ334" s="167" t="str">
        <f t="shared" si="2857"/>
        <v xml:space="preserve"> </v>
      </c>
      <c r="BK334" s="166"/>
      <c r="BL334" s="166" t="str">
        <f t="shared" si="2858"/>
        <v xml:space="preserve"> </v>
      </c>
      <c r="BM334" s="168" t="str">
        <f t="shared" si="2859"/>
        <v xml:space="preserve"> </v>
      </c>
      <c r="BN334" s="168"/>
      <c r="BO334" s="166" t="str">
        <f t="shared" si="2860"/>
        <v xml:space="preserve"> </v>
      </c>
    </row>
    <row r="335" spans="2:67" ht="15" customHeight="1" x14ac:dyDescent="0.25">
      <c r="B335" s="170">
        <v>46353</v>
      </c>
      <c r="C335" s="164"/>
      <c r="D335" s="166" t="str">
        <f t="shared" si="2827"/>
        <v xml:space="preserve"> </v>
      </c>
      <c r="E335" s="168" t="str">
        <f t="shared" si="2828"/>
        <v xml:space="preserve"> </v>
      </c>
      <c r="F335" s="168"/>
      <c r="G335" s="166" t="str">
        <f t="shared" si="2829"/>
        <v xml:space="preserve"> </v>
      </c>
      <c r="H335" s="167"/>
      <c r="I335" s="167" t="str">
        <f t="shared" si="2830"/>
        <v xml:space="preserve"> </v>
      </c>
      <c r="J335" s="168" t="str">
        <f t="shared" si="2831"/>
        <v xml:space="preserve"> </v>
      </c>
      <c r="K335" s="168"/>
      <c r="L335" s="167" t="str">
        <f t="shared" si="2832"/>
        <v xml:space="preserve"> </v>
      </c>
      <c r="M335" s="166"/>
      <c r="N335" s="166" t="str">
        <f t="shared" si="2833"/>
        <v xml:space="preserve"> </v>
      </c>
      <c r="O335" s="168" t="str">
        <f t="shared" si="2834"/>
        <v xml:space="preserve"> </v>
      </c>
      <c r="P335" s="168"/>
      <c r="Q335" s="166" t="str">
        <f t="shared" si="2835"/>
        <v xml:space="preserve"> </v>
      </c>
      <c r="R335" s="167">
        <f ca="1">+BDFUENTES[[#This Row],[PZ MED m3/día]]/3.6/BDFUENTES[[#This Row],[PZ MED Horas Activo]]</f>
        <v>0</v>
      </c>
      <c r="S335" s="167" t="str">
        <f t="shared" ca="1" si="2836"/>
        <v xml:space="preserve"> </v>
      </c>
      <c r="T335" s="168" t="str">
        <f t="shared" si="2837"/>
        <v xml:space="preserve"> </v>
      </c>
      <c r="U335" s="168"/>
      <c r="V335" s="165" t="str">
        <f t="shared" si="2838"/>
        <v xml:space="preserve"> </v>
      </c>
      <c r="W335" s="164" t="str">
        <f t="shared" si="2839"/>
        <v xml:space="preserve"> </v>
      </c>
      <c r="X335" s="166"/>
      <c r="Y335" s="168" t="str">
        <f t="shared" si="2840"/>
        <v xml:space="preserve"> </v>
      </c>
      <c r="Z335" s="168"/>
      <c r="AA335" s="166" t="str">
        <f t="shared" si="2841"/>
        <v xml:space="preserve"> </v>
      </c>
      <c r="AB335" s="168" t="str">
        <f t="shared" si="2842"/>
        <v xml:space="preserve"> </v>
      </c>
      <c r="AC335" s="168"/>
      <c r="AD335" s="171" t="str">
        <f t="shared" si="2843"/>
        <v xml:space="preserve"> </v>
      </c>
      <c r="AE335" s="167"/>
      <c r="AF335" s="165" t="str">
        <f t="shared" si="2844"/>
        <v xml:space="preserve"> </v>
      </c>
      <c r="AG335" s="168"/>
      <c r="AH335" s="168"/>
      <c r="AI335" s="166"/>
      <c r="AJ335" s="166"/>
      <c r="AK335" s="166" t="str">
        <f t="shared" si="2845"/>
        <v/>
      </c>
      <c r="AL335" s="167"/>
      <c r="AM335" s="171" t="str">
        <f t="shared" si="2846"/>
        <v xml:space="preserve"> </v>
      </c>
      <c r="AN335" s="168" t="str">
        <f t="shared" si="2847"/>
        <v xml:space="preserve"> </v>
      </c>
      <c r="AO335" s="168"/>
      <c r="AP335" s="167" t="str">
        <f t="shared" si="2848"/>
        <v xml:space="preserve"> </v>
      </c>
      <c r="AQ335" s="166"/>
      <c r="AR335" s="166" t="str">
        <f t="shared" si="2849"/>
        <v xml:space="preserve"> </v>
      </c>
      <c r="AS335" s="168" t="str">
        <f t="shared" si="2850"/>
        <v xml:space="preserve"> </v>
      </c>
      <c r="AT335" s="168"/>
      <c r="AU335" s="166" t="str">
        <f t="shared" si="2851"/>
        <v xml:space="preserve"> </v>
      </c>
      <c r="AV335" s="167"/>
      <c r="AW335" s="167"/>
      <c r="AX335" s="169" t="str">
        <f t="shared" si="2852"/>
        <v xml:space="preserve"> </v>
      </c>
      <c r="AY335" s="169"/>
      <c r="AZ335" s="167" t="str">
        <f t="shared" si="2853"/>
        <v xml:space="preserve"> </v>
      </c>
      <c r="BA335" s="166"/>
      <c r="BB335" s="166"/>
      <c r="BC335" s="168" t="str">
        <f t="shared" si="2854"/>
        <v xml:space="preserve"> </v>
      </c>
      <c r="BD335" s="168"/>
      <c r="BE335" s="166" t="str">
        <f t="shared" si="2855"/>
        <v xml:space="preserve"> </v>
      </c>
      <c r="BF335" s="167"/>
      <c r="BG335" s="167"/>
      <c r="BH335" s="168" t="str">
        <f t="shared" si="2856"/>
        <v xml:space="preserve"> </v>
      </c>
      <c r="BI335" s="168"/>
      <c r="BJ335" s="167" t="str">
        <f t="shared" si="2857"/>
        <v xml:space="preserve"> </v>
      </c>
      <c r="BK335" s="166"/>
      <c r="BL335" s="166" t="str">
        <f t="shared" si="2858"/>
        <v xml:space="preserve"> </v>
      </c>
      <c r="BM335" s="168" t="str">
        <f t="shared" si="2859"/>
        <v xml:space="preserve"> </v>
      </c>
      <c r="BN335" s="168"/>
      <c r="BO335" s="166" t="str">
        <f t="shared" si="2860"/>
        <v xml:space="preserve"> </v>
      </c>
    </row>
    <row r="336" spans="2:67" ht="15" customHeight="1" x14ac:dyDescent="0.25">
      <c r="B336" s="170">
        <v>46354</v>
      </c>
      <c r="C336" s="164"/>
      <c r="D336" s="166" t="str">
        <f t="shared" si="2827"/>
        <v xml:space="preserve"> </v>
      </c>
      <c r="E336" s="168" t="str">
        <f t="shared" si="2828"/>
        <v xml:space="preserve"> </v>
      </c>
      <c r="F336" s="168"/>
      <c r="G336" s="166" t="str">
        <f t="shared" si="2829"/>
        <v xml:space="preserve"> </v>
      </c>
      <c r="H336" s="167"/>
      <c r="I336" s="167" t="str">
        <f t="shared" si="2830"/>
        <v xml:space="preserve"> </v>
      </c>
      <c r="J336" s="168" t="str">
        <f t="shared" si="2831"/>
        <v xml:space="preserve"> </v>
      </c>
      <c r="K336" s="168"/>
      <c r="L336" s="167" t="str">
        <f t="shared" si="2832"/>
        <v xml:space="preserve"> </v>
      </c>
      <c r="M336" s="166"/>
      <c r="N336" s="166" t="str">
        <f t="shared" si="2833"/>
        <v xml:space="preserve"> </v>
      </c>
      <c r="O336" s="168" t="str">
        <f t="shared" si="2834"/>
        <v xml:space="preserve"> </v>
      </c>
      <c r="P336" s="168"/>
      <c r="Q336" s="166" t="str">
        <f t="shared" si="2835"/>
        <v xml:space="preserve"> </v>
      </c>
      <c r="R336" s="167">
        <f ca="1">+BDFUENTES[[#This Row],[PZ MED m3/día]]/3.6/BDFUENTES[[#This Row],[PZ MED Horas Activo]]</f>
        <v>0</v>
      </c>
      <c r="S336" s="167" t="str">
        <f t="shared" ca="1" si="2836"/>
        <v xml:space="preserve"> </v>
      </c>
      <c r="T336" s="168" t="str">
        <f t="shared" si="2837"/>
        <v xml:space="preserve"> </v>
      </c>
      <c r="U336" s="168"/>
      <c r="V336" s="165" t="str">
        <f t="shared" si="2838"/>
        <v xml:space="preserve"> </v>
      </c>
      <c r="W336" s="164" t="str">
        <f t="shared" si="2839"/>
        <v xml:space="preserve"> </v>
      </c>
      <c r="X336" s="166"/>
      <c r="Y336" s="168" t="str">
        <f t="shared" si="2840"/>
        <v xml:space="preserve"> </v>
      </c>
      <c r="Z336" s="168"/>
      <c r="AA336" s="166" t="str">
        <f t="shared" si="2841"/>
        <v xml:space="preserve"> </v>
      </c>
      <c r="AB336" s="168" t="str">
        <f t="shared" si="2842"/>
        <v xml:space="preserve"> </v>
      </c>
      <c r="AC336" s="168"/>
      <c r="AD336" s="171" t="str">
        <f t="shared" si="2843"/>
        <v xml:space="preserve"> </v>
      </c>
      <c r="AE336" s="167"/>
      <c r="AF336" s="165" t="str">
        <f t="shared" si="2844"/>
        <v xml:space="preserve"> </v>
      </c>
      <c r="AG336" s="168"/>
      <c r="AH336" s="168"/>
      <c r="AI336" s="166"/>
      <c r="AJ336" s="166"/>
      <c r="AK336" s="166" t="str">
        <f t="shared" si="2845"/>
        <v/>
      </c>
      <c r="AL336" s="167"/>
      <c r="AM336" s="171" t="str">
        <f t="shared" si="2846"/>
        <v xml:space="preserve"> </v>
      </c>
      <c r="AN336" s="168" t="str">
        <f t="shared" si="2847"/>
        <v xml:space="preserve"> </v>
      </c>
      <c r="AO336" s="168"/>
      <c r="AP336" s="167" t="str">
        <f t="shared" si="2848"/>
        <v xml:space="preserve"> </v>
      </c>
      <c r="AQ336" s="166"/>
      <c r="AR336" s="166" t="str">
        <f t="shared" si="2849"/>
        <v xml:space="preserve"> </v>
      </c>
      <c r="AS336" s="168" t="str">
        <f t="shared" si="2850"/>
        <v xml:space="preserve"> </v>
      </c>
      <c r="AT336" s="168"/>
      <c r="AU336" s="166" t="str">
        <f t="shared" si="2851"/>
        <v xml:space="preserve"> </v>
      </c>
      <c r="AV336" s="167"/>
      <c r="AW336" s="167"/>
      <c r="AX336" s="169" t="str">
        <f t="shared" si="2852"/>
        <v xml:space="preserve"> </v>
      </c>
      <c r="AY336" s="169"/>
      <c r="AZ336" s="167" t="str">
        <f t="shared" si="2853"/>
        <v xml:space="preserve"> </v>
      </c>
      <c r="BA336" s="166"/>
      <c r="BB336" s="166"/>
      <c r="BC336" s="168" t="str">
        <f t="shared" si="2854"/>
        <v xml:space="preserve"> </v>
      </c>
      <c r="BD336" s="168"/>
      <c r="BE336" s="166" t="str">
        <f t="shared" si="2855"/>
        <v xml:space="preserve"> </v>
      </c>
      <c r="BF336" s="167"/>
      <c r="BG336" s="167"/>
      <c r="BH336" s="168" t="str">
        <f t="shared" si="2856"/>
        <v xml:space="preserve"> </v>
      </c>
      <c r="BI336" s="168"/>
      <c r="BJ336" s="167" t="str">
        <f t="shared" si="2857"/>
        <v xml:space="preserve"> </v>
      </c>
      <c r="BK336" s="166"/>
      <c r="BL336" s="166" t="str">
        <f t="shared" si="2858"/>
        <v xml:space="preserve"> </v>
      </c>
      <c r="BM336" s="168" t="str">
        <f t="shared" si="2859"/>
        <v xml:space="preserve"> </v>
      </c>
      <c r="BN336" s="168"/>
      <c r="BO336" s="166" t="str">
        <f t="shared" si="2860"/>
        <v xml:space="preserve"> </v>
      </c>
    </row>
    <row r="337" spans="2:67" ht="15" customHeight="1" x14ac:dyDescent="0.25">
      <c r="B337" s="170">
        <v>46355</v>
      </c>
      <c r="C337" s="164"/>
      <c r="D337" s="166" t="str">
        <f t="shared" si="2827"/>
        <v xml:space="preserve"> </v>
      </c>
      <c r="E337" s="168" t="str">
        <f t="shared" si="2828"/>
        <v xml:space="preserve"> </v>
      </c>
      <c r="F337" s="168"/>
      <c r="G337" s="166" t="str">
        <f t="shared" si="2829"/>
        <v xml:space="preserve"> </v>
      </c>
      <c r="H337" s="167"/>
      <c r="I337" s="167" t="str">
        <f t="shared" si="2830"/>
        <v xml:space="preserve"> </v>
      </c>
      <c r="J337" s="168" t="str">
        <f t="shared" si="2831"/>
        <v xml:space="preserve"> </v>
      </c>
      <c r="K337" s="168"/>
      <c r="L337" s="167" t="str">
        <f t="shared" si="2832"/>
        <v xml:space="preserve"> </v>
      </c>
      <c r="M337" s="166"/>
      <c r="N337" s="166" t="str">
        <f t="shared" si="2833"/>
        <v xml:space="preserve"> </v>
      </c>
      <c r="O337" s="168" t="str">
        <f t="shared" si="2834"/>
        <v xml:space="preserve"> </v>
      </c>
      <c r="P337" s="168"/>
      <c r="Q337" s="166" t="str">
        <f t="shared" si="2835"/>
        <v xml:space="preserve"> </v>
      </c>
      <c r="R337" s="167">
        <f ca="1">+BDFUENTES[[#This Row],[PZ MED m3/día]]/3.6/BDFUENTES[[#This Row],[PZ MED Horas Activo]]</f>
        <v>0</v>
      </c>
      <c r="S337" s="167" t="str">
        <f t="shared" ca="1" si="2836"/>
        <v xml:space="preserve"> </v>
      </c>
      <c r="T337" s="168" t="str">
        <f t="shared" si="2837"/>
        <v xml:space="preserve"> </v>
      </c>
      <c r="U337" s="168"/>
      <c r="V337" s="165" t="str">
        <f t="shared" si="2838"/>
        <v xml:space="preserve"> </v>
      </c>
      <c r="W337" s="164" t="str">
        <f t="shared" si="2839"/>
        <v xml:space="preserve"> </v>
      </c>
      <c r="X337" s="166"/>
      <c r="Y337" s="168" t="str">
        <f t="shared" si="2840"/>
        <v xml:space="preserve"> </v>
      </c>
      <c r="Z337" s="168"/>
      <c r="AA337" s="166" t="str">
        <f t="shared" si="2841"/>
        <v xml:space="preserve"> </v>
      </c>
      <c r="AB337" s="168" t="str">
        <f t="shared" si="2842"/>
        <v xml:space="preserve"> </v>
      </c>
      <c r="AC337" s="168"/>
      <c r="AD337" s="171" t="str">
        <f t="shared" si="2843"/>
        <v xml:space="preserve"> </v>
      </c>
      <c r="AE337" s="167"/>
      <c r="AF337" s="165" t="str">
        <f t="shared" si="2844"/>
        <v xml:space="preserve"> </v>
      </c>
      <c r="AG337" s="168"/>
      <c r="AH337" s="168"/>
      <c r="AI337" s="166"/>
      <c r="AJ337" s="166"/>
      <c r="AK337" s="166" t="str">
        <f t="shared" si="2845"/>
        <v/>
      </c>
      <c r="AL337" s="167"/>
      <c r="AM337" s="171" t="str">
        <f t="shared" si="2846"/>
        <v xml:space="preserve"> </v>
      </c>
      <c r="AN337" s="168" t="str">
        <f t="shared" si="2847"/>
        <v xml:space="preserve"> </v>
      </c>
      <c r="AO337" s="168"/>
      <c r="AP337" s="167" t="str">
        <f t="shared" si="2848"/>
        <v xml:space="preserve"> </v>
      </c>
      <c r="AQ337" s="166"/>
      <c r="AR337" s="166" t="str">
        <f t="shared" si="2849"/>
        <v xml:space="preserve"> </v>
      </c>
      <c r="AS337" s="168" t="str">
        <f t="shared" si="2850"/>
        <v xml:space="preserve"> </v>
      </c>
      <c r="AT337" s="168"/>
      <c r="AU337" s="166" t="str">
        <f t="shared" si="2851"/>
        <v xml:space="preserve"> </v>
      </c>
      <c r="AV337" s="167"/>
      <c r="AW337" s="167"/>
      <c r="AX337" s="169" t="str">
        <f t="shared" si="2852"/>
        <v xml:space="preserve"> </v>
      </c>
      <c r="AY337" s="169"/>
      <c r="AZ337" s="167" t="str">
        <f t="shared" si="2853"/>
        <v xml:space="preserve"> </v>
      </c>
      <c r="BA337" s="166"/>
      <c r="BB337" s="166"/>
      <c r="BC337" s="168" t="str">
        <f t="shared" si="2854"/>
        <v xml:space="preserve"> </v>
      </c>
      <c r="BD337" s="168"/>
      <c r="BE337" s="166" t="str">
        <f t="shared" si="2855"/>
        <v xml:space="preserve"> </v>
      </c>
      <c r="BF337" s="167"/>
      <c r="BG337" s="167"/>
      <c r="BH337" s="168" t="str">
        <f t="shared" si="2856"/>
        <v xml:space="preserve"> </v>
      </c>
      <c r="BI337" s="168"/>
      <c r="BJ337" s="167" t="str">
        <f t="shared" si="2857"/>
        <v xml:space="preserve"> </v>
      </c>
      <c r="BK337" s="166"/>
      <c r="BL337" s="166" t="str">
        <f t="shared" si="2858"/>
        <v xml:space="preserve"> </v>
      </c>
      <c r="BM337" s="168" t="str">
        <f t="shared" si="2859"/>
        <v xml:space="preserve"> </v>
      </c>
      <c r="BN337" s="168"/>
      <c r="BO337" s="166" t="str">
        <f t="shared" si="2860"/>
        <v xml:space="preserve"> </v>
      </c>
    </row>
    <row r="338" spans="2:67" ht="15" customHeight="1" x14ac:dyDescent="0.25">
      <c r="B338" s="170">
        <v>46356</v>
      </c>
      <c r="C338" s="164"/>
      <c r="D338" s="166" t="str">
        <f t="shared" si="2827"/>
        <v xml:space="preserve"> </v>
      </c>
      <c r="E338" s="168" t="str">
        <f t="shared" si="2828"/>
        <v xml:space="preserve"> </v>
      </c>
      <c r="F338" s="168"/>
      <c r="G338" s="166" t="str">
        <f t="shared" si="2829"/>
        <v xml:space="preserve"> </v>
      </c>
      <c r="H338" s="167"/>
      <c r="I338" s="167" t="str">
        <f t="shared" si="2830"/>
        <v xml:space="preserve"> </v>
      </c>
      <c r="J338" s="168" t="str">
        <f t="shared" si="2831"/>
        <v xml:space="preserve"> </v>
      </c>
      <c r="K338" s="168"/>
      <c r="L338" s="167" t="str">
        <f t="shared" si="2832"/>
        <v xml:space="preserve"> </v>
      </c>
      <c r="M338" s="166"/>
      <c r="N338" s="166" t="str">
        <f t="shared" si="2833"/>
        <v xml:space="preserve"> </v>
      </c>
      <c r="O338" s="168" t="str">
        <f t="shared" si="2834"/>
        <v xml:space="preserve"> </v>
      </c>
      <c r="P338" s="168"/>
      <c r="Q338" s="166" t="str">
        <f t="shared" si="2835"/>
        <v xml:space="preserve"> </v>
      </c>
      <c r="R338" s="167">
        <f ca="1">+BDFUENTES[[#This Row],[PZ MED m3/día]]/3.6/BDFUENTES[[#This Row],[PZ MED Horas Activo]]</f>
        <v>0</v>
      </c>
      <c r="S338" s="167" t="str">
        <f t="shared" ca="1" si="2836"/>
        <v xml:space="preserve"> </v>
      </c>
      <c r="T338" s="168" t="str">
        <f t="shared" si="2837"/>
        <v xml:space="preserve"> </v>
      </c>
      <c r="U338" s="168"/>
      <c r="V338" s="165" t="str">
        <f t="shared" si="2838"/>
        <v xml:space="preserve"> </v>
      </c>
      <c r="W338" s="164" t="str">
        <f t="shared" si="2839"/>
        <v xml:space="preserve"> </v>
      </c>
      <c r="X338" s="166"/>
      <c r="Y338" s="168" t="str">
        <f t="shared" si="2840"/>
        <v xml:space="preserve"> </v>
      </c>
      <c r="Z338" s="168"/>
      <c r="AA338" s="166" t="str">
        <f t="shared" si="2841"/>
        <v xml:space="preserve"> </v>
      </c>
      <c r="AB338" s="168" t="str">
        <f t="shared" si="2842"/>
        <v xml:space="preserve"> </v>
      </c>
      <c r="AC338" s="168"/>
      <c r="AD338" s="171" t="str">
        <f t="shared" si="2843"/>
        <v xml:space="preserve"> </v>
      </c>
      <c r="AE338" s="167"/>
      <c r="AF338" s="165" t="str">
        <f t="shared" si="2844"/>
        <v xml:space="preserve"> </v>
      </c>
      <c r="AG338" s="168"/>
      <c r="AH338" s="168"/>
      <c r="AI338" s="166"/>
      <c r="AJ338" s="166"/>
      <c r="AK338" s="166" t="str">
        <f t="shared" si="2845"/>
        <v/>
      </c>
      <c r="AL338" s="167"/>
      <c r="AM338" s="171" t="str">
        <f t="shared" si="2846"/>
        <v xml:space="preserve"> </v>
      </c>
      <c r="AN338" s="168" t="str">
        <f t="shared" si="2847"/>
        <v xml:space="preserve"> </v>
      </c>
      <c r="AO338" s="168"/>
      <c r="AP338" s="167" t="str">
        <f t="shared" si="2848"/>
        <v xml:space="preserve"> </v>
      </c>
      <c r="AQ338" s="166"/>
      <c r="AR338" s="166" t="str">
        <f t="shared" si="2849"/>
        <v xml:space="preserve"> </v>
      </c>
      <c r="AS338" s="168" t="str">
        <f t="shared" si="2850"/>
        <v xml:space="preserve"> </v>
      </c>
      <c r="AT338" s="168"/>
      <c r="AU338" s="166" t="str">
        <f t="shared" si="2851"/>
        <v xml:space="preserve"> </v>
      </c>
      <c r="AV338" s="167"/>
      <c r="AW338" s="167"/>
      <c r="AX338" s="169" t="str">
        <f t="shared" si="2852"/>
        <v xml:space="preserve"> </v>
      </c>
      <c r="AY338" s="169"/>
      <c r="AZ338" s="167" t="str">
        <f t="shared" si="2853"/>
        <v xml:space="preserve"> </v>
      </c>
      <c r="BA338" s="166"/>
      <c r="BB338" s="166"/>
      <c r="BC338" s="168" t="str">
        <f t="shared" si="2854"/>
        <v xml:space="preserve"> </v>
      </c>
      <c r="BD338" s="168"/>
      <c r="BE338" s="166" t="str">
        <f t="shared" si="2855"/>
        <v xml:space="preserve"> </v>
      </c>
      <c r="BF338" s="167"/>
      <c r="BG338" s="167"/>
      <c r="BH338" s="168" t="str">
        <f t="shared" si="2856"/>
        <v xml:space="preserve"> </v>
      </c>
      <c r="BI338" s="168"/>
      <c r="BJ338" s="167" t="str">
        <f t="shared" si="2857"/>
        <v xml:space="preserve"> </v>
      </c>
      <c r="BK338" s="166"/>
      <c r="BL338" s="166" t="str">
        <f t="shared" si="2858"/>
        <v xml:space="preserve"> </v>
      </c>
      <c r="BM338" s="168" t="str">
        <f t="shared" si="2859"/>
        <v xml:space="preserve"> </v>
      </c>
      <c r="BN338" s="168"/>
      <c r="BO338" s="166" t="str">
        <f t="shared" si="2860"/>
        <v xml:space="preserve"> </v>
      </c>
    </row>
    <row r="339" spans="2:67" ht="15" customHeight="1" x14ac:dyDescent="0.25">
      <c r="B339" s="170">
        <v>46357</v>
      </c>
      <c r="C339" s="164"/>
      <c r="D339" s="166" t="str">
        <f t="shared" si="2827"/>
        <v xml:space="preserve"> </v>
      </c>
      <c r="E339" s="168" t="str">
        <f t="shared" si="2828"/>
        <v xml:space="preserve"> </v>
      </c>
      <c r="F339" s="168"/>
      <c r="G339" s="166" t="str">
        <f t="shared" si="2829"/>
        <v xml:space="preserve"> </v>
      </c>
      <c r="H339" s="167"/>
      <c r="I339" s="167" t="str">
        <f t="shared" si="2830"/>
        <v xml:space="preserve"> </v>
      </c>
      <c r="J339" s="168" t="str">
        <f t="shared" si="2831"/>
        <v xml:space="preserve"> </v>
      </c>
      <c r="K339" s="168"/>
      <c r="L339" s="167" t="str">
        <f t="shared" si="2832"/>
        <v xml:space="preserve"> </v>
      </c>
      <c r="M339" s="166"/>
      <c r="N339" s="166" t="str">
        <f t="shared" si="2833"/>
        <v xml:space="preserve"> </v>
      </c>
      <c r="O339" s="168" t="str">
        <f t="shared" si="2834"/>
        <v xml:space="preserve"> </v>
      </c>
      <c r="P339" s="168"/>
      <c r="Q339" s="166" t="str">
        <f t="shared" si="2835"/>
        <v xml:space="preserve"> </v>
      </c>
      <c r="R339" s="167">
        <f ca="1">+BDFUENTES[[#This Row],[PZ MED m3/día]]/3.6/BDFUENTES[[#This Row],[PZ MED Horas Activo]]</f>
        <v>0</v>
      </c>
      <c r="S339" s="167" t="str">
        <f t="shared" ca="1" si="2836"/>
        <v xml:space="preserve"> </v>
      </c>
      <c r="T339" s="168" t="str">
        <f t="shared" si="2837"/>
        <v xml:space="preserve"> </v>
      </c>
      <c r="U339" s="168"/>
      <c r="V339" s="165" t="str">
        <f t="shared" si="2838"/>
        <v xml:space="preserve"> </v>
      </c>
      <c r="W339" s="164" t="str">
        <f t="shared" si="2839"/>
        <v xml:space="preserve"> </v>
      </c>
      <c r="X339" s="166"/>
      <c r="Y339" s="168" t="str">
        <f t="shared" si="2840"/>
        <v xml:space="preserve"> </v>
      </c>
      <c r="Z339" s="168"/>
      <c r="AA339" s="166" t="str">
        <f t="shared" si="2841"/>
        <v xml:space="preserve"> </v>
      </c>
      <c r="AB339" s="168" t="str">
        <f t="shared" si="2842"/>
        <v xml:space="preserve"> </v>
      </c>
      <c r="AC339" s="168"/>
      <c r="AD339" s="171" t="str">
        <f t="shared" si="2843"/>
        <v xml:space="preserve"> </v>
      </c>
      <c r="AE339" s="167"/>
      <c r="AF339" s="165" t="str">
        <f t="shared" si="2844"/>
        <v xml:space="preserve"> </v>
      </c>
      <c r="AG339" s="168"/>
      <c r="AH339" s="168"/>
      <c r="AI339" s="166"/>
      <c r="AJ339" s="166"/>
      <c r="AK339" s="166" t="str">
        <f t="shared" si="2845"/>
        <v/>
      </c>
      <c r="AL339" s="167"/>
      <c r="AM339" s="171" t="str">
        <f t="shared" si="2846"/>
        <v xml:space="preserve"> </v>
      </c>
      <c r="AN339" s="168" t="str">
        <f t="shared" si="2847"/>
        <v xml:space="preserve"> </v>
      </c>
      <c r="AO339" s="168"/>
      <c r="AP339" s="167" t="str">
        <f t="shared" si="2848"/>
        <v xml:space="preserve"> </v>
      </c>
      <c r="AQ339" s="166"/>
      <c r="AR339" s="166" t="str">
        <f t="shared" si="2849"/>
        <v xml:space="preserve"> </v>
      </c>
      <c r="AS339" s="168" t="str">
        <f t="shared" si="2850"/>
        <v xml:space="preserve"> </v>
      </c>
      <c r="AT339" s="168"/>
      <c r="AU339" s="166" t="str">
        <f t="shared" si="2851"/>
        <v xml:space="preserve"> </v>
      </c>
      <c r="AV339" s="167"/>
      <c r="AW339" s="167"/>
      <c r="AX339" s="169" t="str">
        <f t="shared" si="2852"/>
        <v xml:space="preserve"> </v>
      </c>
      <c r="AY339" s="169"/>
      <c r="AZ339" s="167" t="str">
        <f t="shared" si="2853"/>
        <v xml:space="preserve"> </v>
      </c>
      <c r="BA339" s="166"/>
      <c r="BB339" s="166"/>
      <c r="BC339" s="168" t="str">
        <f t="shared" si="2854"/>
        <v xml:space="preserve"> </v>
      </c>
      <c r="BD339" s="168"/>
      <c r="BE339" s="166" t="str">
        <f t="shared" si="2855"/>
        <v xml:space="preserve"> </v>
      </c>
      <c r="BF339" s="167"/>
      <c r="BG339" s="167"/>
      <c r="BH339" s="168" t="str">
        <f t="shared" si="2856"/>
        <v xml:space="preserve"> </v>
      </c>
      <c r="BI339" s="168"/>
      <c r="BJ339" s="167" t="str">
        <f t="shared" si="2857"/>
        <v xml:space="preserve"> </v>
      </c>
      <c r="BK339" s="166"/>
      <c r="BL339" s="166" t="str">
        <f t="shared" si="2858"/>
        <v xml:space="preserve"> </v>
      </c>
      <c r="BM339" s="168" t="str">
        <f t="shared" si="2859"/>
        <v xml:space="preserve"> </v>
      </c>
      <c r="BN339" s="168"/>
      <c r="BO339" s="166" t="str">
        <f t="shared" si="2860"/>
        <v xml:space="preserve"> </v>
      </c>
    </row>
    <row r="340" spans="2:67" ht="15" customHeight="1" x14ac:dyDescent="0.25">
      <c r="B340" s="170">
        <v>46358</v>
      </c>
      <c r="C340" s="164"/>
      <c r="D340" s="166" t="str">
        <f t="shared" si="2827"/>
        <v xml:space="preserve"> </v>
      </c>
      <c r="E340" s="168" t="str">
        <f t="shared" si="2828"/>
        <v xml:space="preserve"> </v>
      </c>
      <c r="F340" s="168"/>
      <c r="G340" s="166" t="str">
        <f t="shared" si="2829"/>
        <v xml:space="preserve"> </v>
      </c>
      <c r="H340" s="167"/>
      <c r="I340" s="167" t="str">
        <f t="shared" si="2830"/>
        <v xml:space="preserve"> </v>
      </c>
      <c r="J340" s="168" t="str">
        <f t="shared" si="2831"/>
        <v xml:space="preserve"> </v>
      </c>
      <c r="K340" s="168"/>
      <c r="L340" s="167" t="str">
        <f t="shared" si="2832"/>
        <v xml:space="preserve"> </v>
      </c>
      <c r="M340" s="166"/>
      <c r="N340" s="166" t="str">
        <f t="shared" si="2833"/>
        <v xml:space="preserve"> </v>
      </c>
      <c r="O340" s="168" t="str">
        <f t="shared" si="2834"/>
        <v xml:space="preserve"> </v>
      </c>
      <c r="P340" s="168"/>
      <c r="Q340" s="166" t="str">
        <f t="shared" si="2835"/>
        <v xml:space="preserve"> </v>
      </c>
      <c r="R340" s="167">
        <f ca="1">+BDFUENTES[[#This Row],[PZ MED m3/día]]/3.6/BDFUENTES[[#This Row],[PZ MED Horas Activo]]</f>
        <v>0</v>
      </c>
      <c r="S340" s="167" t="str">
        <f t="shared" ca="1" si="2836"/>
        <v xml:space="preserve"> </v>
      </c>
      <c r="T340" s="168" t="str">
        <f t="shared" si="2837"/>
        <v xml:space="preserve"> </v>
      </c>
      <c r="U340" s="168"/>
      <c r="V340" s="165" t="str">
        <f t="shared" si="2838"/>
        <v xml:space="preserve"> </v>
      </c>
      <c r="W340" s="164" t="str">
        <f t="shared" si="2839"/>
        <v xml:space="preserve"> </v>
      </c>
      <c r="X340" s="166"/>
      <c r="Y340" s="168" t="str">
        <f t="shared" si="2840"/>
        <v xml:space="preserve"> </v>
      </c>
      <c r="Z340" s="168"/>
      <c r="AA340" s="166" t="str">
        <f t="shared" si="2841"/>
        <v xml:space="preserve"> </v>
      </c>
      <c r="AB340" s="168" t="str">
        <f t="shared" si="2842"/>
        <v xml:space="preserve"> </v>
      </c>
      <c r="AC340" s="168"/>
      <c r="AD340" s="171" t="str">
        <f t="shared" si="2843"/>
        <v xml:space="preserve"> </v>
      </c>
      <c r="AE340" s="167"/>
      <c r="AF340" s="165" t="str">
        <f t="shared" si="2844"/>
        <v xml:space="preserve"> </v>
      </c>
      <c r="AG340" s="168"/>
      <c r="AH340" s="168"/>
      <c r="AI340" s="166"/>
      <c r="AJ340" s="166"/>
      <c r="AK340" s="166" t="str">
        <f t="shared" si="2845"/>
        <v/>
      </c>
      <c r="AL340" s="167"/>
      <c r="AM340" s="171" t="str">
        <f t="shared" si="2846"/>
        <v xml:space="preserve"> </v>
      </c>
      <c r="AN340" s="168" t="str">
        <f t="shared" si="2847"/>
        <v xml:space="preserve"> </v>
      </c>
      <c r="AO340" s="168"/>
      <c r="AP340" s="167" t="str">
        <f t="shared" si="2848"/>
        <v xml:space="preserve"> </v>
      </c>
      <c r="AQ340" s="166"/>
      <c r="AR340" s="166" t="str">
        <f t="shared" si="2849"/>
        <v xml:space="preserve"> </v>
      </c>
      <c r="AS340" s="168" t="str">
        <f t="shared" si="2850"/>
        <v xml:space="preserve"> </v>
      </c>
      <c r="AT340" s="168"/>
      <c r="AU340" s="166" t="str">
        <f t="shared" si="2851"/>
        <v xml:space="preserve"> </v>
      </c>
      <c r="AV340" s="167"/>
      <c r="AW340" s="167"/>
      <c r="AX340" s="169" t="str">
        <f t="shared" si="2852"/>
        <v xml:space="preserve"> </v>
      </c>
      <c r="AY340" s="169"/>
      <c r="AZ340" s="167" t="str">
        <f t="shared" si="2853"/>
        <v xml:space="preserve"> </v>
      </c>
      <c r="BA340" s="166"/>
      <c r="BB340" s="166"/>
      <c r="BC340" s="168" t="str">
        <f t="shared" si="2854"/>
        <v xml:space="preserve"> </v>
      </c>
      <c r="BD340" s="168"/>
      <c r="BE340" s="166" t="str">
        <f t="shared" si="2855"/>
        <v xml:space="preserve"> </v>
      </c>
      <c r="BF340" s="167"/>
      <c r="BG340" s="167"/>
      <c r="BH340" s="168" t="str">
        <f t="shared" si="2856"/>
        <v xml:space="preserve"> </v>
      </c>
      <c r="BI340" s="168"/>
      <c r="BJ340" s="167" t="str">
        <f t="shared" si="2857"/>
        <v xml:space="preserve"> </v>
      </c>
      <c r="BK340" s="166"/>
      <c r="BL340" s="166" t="str">
        <f t="shared" si="2858"/>
        <v xml:space="preserve"> </v>
      </c>
      <c r="BM340" s="168" t="str">
        <f t="shared" si="2859"/>
        <v xml:space="preserve"> </v>
      </c>
      <c r="BN340" s="168"/>
      <c r="BO340" s="166" t="str">
        <f t="shared" si="2860"/>
        <v xml:space="preserve"> </v>
      </c>
    </row>
    <row r="341" spans="2:67" ht="15" customHeight="1" x14ac:dyDescent="0.25">
      <c r="B341" s="170">
        <v>46359</v>
      </c>
      <c r="C341" s="164"/>
      <c r="D341" s="166" t="str">
        <f t="shared" si="2827"/>
        <v xml:space="preserve"> </v>
      </c>
      <c r="E341" s="168" t="str">
        <f t="shared" si="2828"/>
        <v xml:space="preserve"> </v>
      </c>
      <c r="F341" s="168"/>
      <c r="G341" s="166" t="str">
        <f t="shared" si="2829"/>
        <v xml:space="preserve"> </v>
      </c>
      <c r="H341" s="167"/>
      <c r="I341" s="167" t="str">
        <f t="shared" si="2830"/>
        <v xml:space="preserve"> </v>
      </c>
      <c r="J341" s="168" t="str">
        <f t="shared" si="2831"/>
        <v xml:space="preserve"> </v>
      </c>
      <c r="K341" s="168"/>
      <c r="L341" s="167" t="str">
        <f t="shared" si="2832"/>
        <v xml:space="preserve"> </v>
      </c>
      <c r="M341" s="166"/>
      <c r="N341" s="166" t="str">
        <f t="shared" si="2833"/>
        <v xml:space="preserve"> </v>
      </c>
      <c r="O341" s="168" t="str">
        <f t="shared" si="2834"/>
        <v xml:space="preserve"> </v>
      </c>
      <c r="P341" s="168"/>
      <c r="Q341" s="166" t="str">
        <f t="shared" si="2835"/>
        <v xml:space="preserve"> </v>
      </c>
      <c r="R341" s="167">
        <f ca="1">+BDFUENTES[[#This Row],[PZ MED m3/día]]/3.6/BDFUENTES[[#This Row],[PZ MED Horas Activo]]</f>
        <v>0</v>
      </c>
      <c r="S341" s="167" t="str">
        <f t="shared" ca="1" si="2836"/>
        <v xml:space="preserve"> </v>
      </c>
      <c r="T341" s="168" t="str">
        <f t="shared" si="2837"/>
        <v xml:space="preserve"> </v>
      </c>
      <c r="U341" s="168"/>
      <c r="V341" s="165" t="str">
        <f t="shared" si="2838"/>
        <v xml:space="preserve"> </v>
      </c>
      <c r="W341" s="164" t="str">
        <f t="shared" si="2839"/>
        <v xml:space="preserve"> </v>
      </c>
      <c r="X341" s="166"/>
      <c r="Y341" s="168" t="str">
        <f t="shared" si="2840"/>
        <v xml:space="preserve"> </v>
      </c>
      <c r="Z341" s="168"/>
      <c r="AA341" s="166" t="str">
        <f t="shared" si="2841"/>
        <v xml:space="preserve"> </v>
      </c>
      <c r="AB341" s="168" t="str">
        <f t="shared" si="2842"/>
        <v xml:space="preserve"> </v>
      </c>
      <c r="AC341" s="168"/>
      <c r="AD341" s="171" t="str">
        <f t="shared" si="2843"/>
        <v xml:space="preserve"> </v>
      </c>
      <c r="AE341" s="167"/>
      <c r="AF341" s="165" t="str">
        <f t="shared" si="2844"/>
        <v xml:space="preserve"> </v>
      </c>
      <c r="AG341" s="168"/>
      <c r="AH341" s="168"/>
      <c r="AI341" s="166"/>
      <c r="AJ341" s="166"/>
      <c r="AK341" s="166" t="str">
        <f t="shared" si="2845"/>
        <v/>
      </c>
      <c r="AL341" s="167"/>
      <c r="AM341" s="171" t="str">
        <f t="shared" si="2846"/>
        <v xml:space="preserve"> </v>
      </c>
      <c r="AN341" s="168" t="str">
        <f t="shared" si="2847"/>
        <v xml:space="preserve"> </v>
      </c>
      <c r="AO341" s="168"/>
      <c r="AP341" s="167" t="str">
        <f t="shared" si="2848"/>
        <v xml:space="preserve"> </v>
      </c>
      <c r="AQ341" s="166"/>
      <c r="AR341" s="166" t="str">
        <f t="shared" si="2849"/>
        <v xml:space="preserve"> </v>
      </c>
      <c r="AS341" s="168" t="str">
        <f t="shared" si="2850"/>
        <v xml:space="preserve"> </v>
      </c>
      <c r="AT341" s="168"/>
      <c r="AU341" s="166" t="str">
        <f t="shared" si="2851"/>
        <v xml:space="preserve"> </v>
      </c>
      <c r="AV341" s="167"/>
      <c r="AW341" s="167"/>
      <c r="AX341" s="169" t="str">
        <f t="shared" si="2852"/>
        <v xml:space="preserve"> </v>
      </c>
      <c r="AY341" s="169"/>
      <c r="AZ341" s="167" t="str">
        <f t="shared" si="2853"/>
        <v xml:space="preserve"> </v>
      </c>
      <c r="BA341" s="166"/>
      <c r="BB341" s="166"/>
      <c r="BC341" s="168" t="str">
        <f t="shared" si="2854"/>
        <v xml:space="preserve"> </v>
      </c>
      <c r="BD341" s="168"/>
      <c r="BE341" s="166" t="str">
        <f t="shared" si="2855"/>
        <v xml:space="preserve"> </v>
      </c>
      <c r="BF341" s="167"/>
      <c r="BG341" s="167"/>
      <c r="BH341" s="168" t="str">
        <f t="shared" si="2856"/>
        <v xml:space="preserve"> </v>
      </c>
      <c r="BI341" s="168"/>
      <c r="BJ341" s="167" t="str">
        <f t="shared" si="2857"/>
        <v xml:space="preserve"> </v>
      </c>
      <c r="BK341" s="166"/>
      <c r="BL341" s="166" t="str">
        <f t="shared" si="2858"/>
        <v xml:space="preserve"> </v>
      </c>
      <c r="BM341" s="168" t="str">
        <f t="shared" si="2859"/>
        <v xml:space="preserve"> </v>
      </c>
      <c r="BN341" s="168"/>
      <c r="BO341" s="166" t="str">
        <f t="shared" si="2860"/>
        <v xml:space="preserve"> </v>
      </c>
    </row>
    <row r="342" spans="2:67" ht="15" customHeight="1" x14ac:dyDescent="0.25">
      <c r="B342" s="170">
        <v>46360</v>
      </c>
      <c r="C342" s="164"/>
      <c r="D342" s="166" t="str">
        <f t="shared" si="2827"/>
        <v xml:space="preserve"> </v>
      </c>
      <c r="E342" s="168" t="str">
        <f t="shared" si="2828"/>
        <v xml:space="preserve"> </v>
      </c>
      <c r="F342" s="168"/>
      <c r="G342" s="166" t="str">
        <f t="shared" si="2829"/>
        <v xml:space="preserve"> </v>
      </c>
      <c r="H342" s="167"/>
      <c r="I342" s="167" t="str">
        <f t="shared" si="2830"/>
        <v xml:space="preserve"> </v>
      </c>
      <c r="J342" s="168" t="str">
        <f t="shared" si="2831"/>
        <v xml:space="preserve"> </v>
      </c>
      <c r="K342" s="168"/>
      <c r="L342" s="167" t="str">
        <f t="shared" si="2832"/>
        <v xml:space="preserve"> </v>
      </c>
      <c r="M342" s="166"/>
      <c r="N342" s="166" t="str">
        <f t="shared" si="2833"/>
        <v xml:space="preserve"> </v>
      </c>
      <c r="O342" s="168" t="str">
        <f t="shared" si="2834"/>
        <v xml:space="preserve"> </v>
      </c>
      <c r="P342" s="168"/>
      <c r="Q342" s="166" t="str">
        <f t="shared" si="2835"/>
        <v xml:space="preserve"> </v>
      </c>
      <c r="R342" s="167">
        <f ca="1">+BDFUENTES[[#This Row],[PZ MED m3/día]]/3.6/BDFUENTES[[#This Row],[PZ MED Horas Activo]]</f>
        <v>0</v>
      </c>
      <c r="S342" s="167" t="str">
        <f t="shared" ca="1" si="2836"/>
        <v xml:space="preserve"> </v>
      </c>
      <c r="T342" s="168" t="str">
        <f t="shared" si="2837"/>
        <v xml:space="preserve"> </v>
      </c>
      <c r="U342" s="168"/>
      <c r="V342" s="165" t="str">
        <f t="shared" si="2838"/>
        <v xml:space="preserve"> </v>
      </c>
      <c r="W342" s="164" t="str">
        <f t="shared" si="2839"/>
        <v xml:space="preserve"> </v>
      </c>
      <c r="X342" s="166"/>
      <c r="Y342" s="168" t="str">
        <f t="shared" si="2840"/>
        <v xml:space="preserve"> </v>
      </c>
      <c r="Z342" s="168"/>
      <c r="AA342" s="166" t="str">
        <f t="shared" si="2841"/>
        <v xml:space="preserve"> </v>
      </c>
      <c r="AB342" s="168" t="str">
        <f t="shared" si="2842"/>
        <v xml:space="preserve"> </v>
      </c>
      <c r="AC342" s="168"/>
      <c r="AD342" s="171" t="str">
        <f t="shared" si="2843"/>
        <v xml:space="preserve"> </v>
      </c>
      <c r="AE342" s="167"/>
      <c r="AF342" s="165" t="str">
        <f t="shared" si="2844"/>
        <v xml:space="preserve"> </v>
      </c>
      <c r="AG342" s="168"/>
      <c r="AH342" s="168"/>
      <c r="AI342" s="166"/>
      <c r="AJ342" s="166"/>
      <c r="AK342" s="166" t="str">
        <f t="shared" si="2845"/>
        <v/>
      </c>
      <c r="AL342" s="167"/>
      <c r="AM342" s="171" t="str">
        <f t="shared" si="2846"/>
        <v xml:space="preserve"> </v>
      </c>
      <c r="AN342" s="168" t="str">
        <f t="shared" si="2847"/>
        <v xml:space="preserve"> </v>
      </c>
      <c r="AO342" s="168"/>
      <c r="AP342" s="167" t="str">
        <f t="shared" si="2848"/>
        <v xml:space="preserve"> </v>
      </c>
      <c r="AQ342" s="166"/>
      <c r="AR342" s="166" t="str">
        <f t="shared" si="2849"/>
        <v xml:space="preserve"> </v>
      </c>
      <c r="AS342" s="168" t="str">
        <f t="shared" si="2850"/>
        <v xml:space="preserve"> </v>
      </c>
      <c r="AT342" s="168"/>
      <c r="AU342" s="166" t="str">
        <f t="shared" si="2851"/>
        <v xml:space="preserve"> </v>
      </c>
      <c r="AV342" s="167"/>
      <c r="AW342" s="167"/>
      <c r="AX342" s="169" t="str">
        <f t="shared" si="2852"/>
        <v xml:space="preserve"> </v>
      </c>
      <c r="AY342" s="169"/>
      <c r="AZ342" s="167" t="str">
        <f t="shared" si="2853"/>
        <v xml:space="preserve"> </v>
      </c>
      <c r="BA342" s="166"/>
      <c r="BB342" s="166"/>
      <c r="BC342" s="168" t="str">
        <f t="shared" si="2854"/>
        <v xml:space="preserve"> </v>
      </c>
      <c r="BD342" s="168"/>
      <c r="BE342" s="166" t="str">
        <f t="shared" si="2855"/>
        <v xml:space="preserve"> </v>
      </c>
      <c r="BF342" s="167"/>
      <c r="BG342" s="167"/>
      <c r="BH342" s="168" t="str">
        <f t="shared" si="2856"/>
        <v xml:space="preserve"> </v>
      </c>
      <c r="BI342" s="168"/>
      <c r="BJ342" s="167" t="str">
        <f t="shared" si="2857"/>
        <v xml:space="preserve"> </v>
      </c>
      <c r="BK342" s="166"/>
      <c r="BL342" s="166" t="str">
        <f t="shared" si="2858"/>
        <v xml:space="preserve"> </v>
      </c>
      <c r="BM342" s="168" t="str">
        <f t="shared" si="2859"/>
        <v xml:space="preserve"> </v>
      </c>
      <c r="BN342" s="168"/>
      <c r="BO342" s="166" t="str">
        <f t="shared" si="2860"/>
        <v xml:space="preserve"> </v>
      </c>
    </row>
    <row r="343" spans="2:67" ht="15" customHeight="1" x14ac:dyDescent="0.25">
      <c r="B343" s="170">
        <v>46361</v>
      </c>
      <c r="C343" s="164"/>
      <c r="D343" s="166" t="str">
        <f t="shared" si="2827"/>
        <v xml:space="preserve"> </v>
      </c>
      <c r="E343" s="168" t="str">
        <f t="shared" si="2828"/>
        <v xml:space="preserve"> </v>
      </c>
      <c r="F343" s="168"/>
      <c r="G343" s="166" t="str">
        <f t="shared" si="2829"/>
        <v xml:space="preserve"> </v>
      </c>
      <c r="H343" s="167"/>
      <c r="I343" s="167" t="str">
        <f t="shared" si="2830"/>
        <v xml:space="preserve"> </v>
      </c>
      <c r="J343" s="168" t="str">
        <f t="shared" si="2831"/>
        <v xml:space="preserve"> </v>
      </c>
      <c r="K343" s="168"/>
      <c r="L343" s="167" t="str">
        <f t="shared" si="2832"/>
        <v xml:space="preserve"> </v>
      </c>
      <c r="M343" s="166"/>
      <c r="N343" s="166" t="str">
        <f t="shared" si="2833"/>
        <v xml:space="preserve"> </v>
      </c>
      <c r="O343" s="168" t="str">
        <f t="shared" si="2834"/>
        <v xml:space="preserve"> </v>
      </c>
      <c r="P343" s="168"/>
      <c r="Q343" s="166" t="str">
        <f t="shared" si="2835"/>
        <v xml:space="preserve"> </v>
      </c>
      <c r="R343" s="167">
        <f ca="1">+BDFUENTES[[#This Row],[PZ MED m3/día]]/3.6/BDFUENTES[[#This Row],[PZ MED Horas Activo]]</f>
        <v>0</v>
      </c>
      <c r="S343" s="167" t="str">
        <f t="shared" ca="1" si="2836"/>
        <v xml:space="preserve"> </v>
      </c>
      <c r="T343" s="168" t="str">
        <f t="shared" si="2837"/>
        <v xml:space="preserve"> </v>
      </c>
      <c r="U343" s="168"/>
      <c r="V343" s="165" t="str">
        <f t="shared" si="2838"/>
        <v xml:space="preserve"> </v>
      </c>
      <c r="W343" s="164" t="str">
        <f t="shared" si="2839"/>
        <v xml:space="preserve"> </v>
      </c>
      <c r="X343" s="166"/>
      <c r="Y343" s="168" t="str">
        <f t="shared" si="2840"/>
        <v xml:space="preserve"> </v>
      </c>
      <c r="Z343" s="168"/>
      <c r="AA343" s="166" t="str">
        <f t="shared" si="2841"/>
        <v xml:space="preserve"> </v>
      </c>
      <c r="AB343" s="168" t="str">
        <f t="shared" si="2842"/>
        <v xml:space="preserve"> </v>
      </c>
      <c r="AC343" s="168"/>
      <c r="AD343" s="171" t="str">
        <f t="shared" si="2843"/>
        <v xml:space="preserve"> </v>
      </c>
      <c r="AE343" s="167"/>
      <c r="AF343" s="165" t="str">
        <f t="shared" si="2844"/>
        <v xml:space="preserve"> </v>
      </c>
      <c r="AG343" s="168"/>
      <c r="AH343" s="168"/>
      <c r="AI343" s="166"/>
      <c r="AJ343" s="166"/>
      <c r="AK343" s="166" t="str">
        <f t="shared" si="2845"/>
        <v/>
      </c>
      <c r="AL343" s="167"/>
      <c r="AM343" s="171" t="str">
        <f t="shared" si="2846"/>
        <v xml:space="preserve"> </v>
      </c>
      <c r="AN343" s="168" t="str">
        <f t="shared" si="2847"/>
        <v xml:space="preserve"> </v>
      </c>
      <c r="AO343" s="168"/>
      <c r="AP343" s="167" t="str">
        <f t="shared" si="2848"/>
        <v xml:space="preserve"> </v>
      </c>
      <c r="AQ343" s="166"/>
      <c r="AR343" s="166" t="str">
        <f t="shared" si="2849"/>
        <v xml:space="preserve"> </v>
      </c>
      <c r="AS343" s="168" t="str">
        <f t="shared" si="2850"/>
        <v xml:space="preserve"> </v>
      </c>
      <c r="AT343" s="168"/>
      <c r="AU343" s="166" t="str">
        <f t="shared" si="2851"/>
        <v xml:space="preserve"> </v>
      </c>
      <c r="AV343" s="167"/>
      <c r="AW343" s="167"/>
      <c r="AX343" s="169" t="str">
        <f t="shared" si="2852"/>
        <v xml:space="preserve"> </v>
      </c>
      <c r="AY343" s="169"/>
      <c r="AZ343" s="167" t="str">
        <f t="shared" si="2853"/>
        <v xml:space="preserve"> </v>
      </c>
      <c r="BA343" s="166"/>
      <c r="BB343" s="166"/>
      <c r="BC343" s="168" t="str">
        <f t="shared" si="2854"/>
        <v xml:space="preserve"> </v>
      </c>
      <c r="BD343" s="168"/>
      <c r="BE343" s="166" t="str">
        <f t="shared" si="2855"/>
        <v xml:space="preserve"> </v>
      </c>
      <c r="BF343" s="167"/>
      <c r="BG343" s="167"/>
      <c r="BH343" s="168" t="str">
        <f t="shared" si="2856"/>
        <v xml:space="preserve"> </v>
      </c>
      <c r="BI343" s="168"/>
      <c r="BJ343" s="167" t="str">
        <f t="shared" si="2857"/>
        <v xml:space="preserve"> </v>
      </c>
      <c r="BK343" s="166"/>
      <c r="BL343" s="166" t="str">
        <f t="shared" si="2858"/>
        <v xml:space="preserve"> </v>
      </c>
      <c r="BM343" s="168" t="str">
        <f t="shared" si="2859"/>
        <v xml:space="preserve"> </v>
      </c>
      <c r="BN343" s="168"/>
      <c r="BO343" s="166" t="str">
        <f t="shared" si="2860"/>
        <v xml:space="preserve"> </v>
      </c>
    </row>
    <row r="344" spans="2:67" ht="15" customHeight="1" x14ac:dyDescent="0.25">
      <c r="B344" s="170">
        <v>46362</v>
      </c>
      <c r="C344" s="164"/>
      <c r="D344" s="166" t="str">
        <f t="shared" si="2827"/>
        <v xml:space="preserve"> </v>
      </c>
      <c r="E344" s="168" t="str">
        <f t="shared" si="2828"/>
        <v xml:space="preserve"> </v>
      </c>
      <c r="F344" s="168"/>
      <c r="G344" s="166" t="str">
        <f t="shared" si="2829"/>
        <v xml:space="preserve"> </v>
      </c>
      <c r="H344" s="167"/>
      <c r="I344" s="167" t="str">
        <f t="shared" si="2830"/>
        <v xml:space="preserve"> </v>
      </c>
      <c r="J344" s="168" t="str">
        <f t="shared" si="2831"/>
        <v xml:space="preserve"> </v>
      </c>
      <c r="K344" s="168"/>
      <c r="L344" s="167" t="str">
        <f t="shared" si="2832"/>
        <v xml:space="preserve"> </v>
      </c>
      <c r="M344" s="166"/>
      <c r="N344" s="166" t="str">
        <f t="shared" si="2833"/>
        <v xml:space="preserve"> </v>
      </c>
      <c r="O344" s="168" t="str">
        <f t="shared" si="2834"/>
        <v xml:space="preserve"> </v>
      </c>
      <c r="P344" s="168"/>
      <c r="Q344" s="166" t="str">
        <f t="shared" si="2835"/>
        <v xml:space="preserve"> </v>
      </c>
      <c r="R344" s="167">
        <f ca="1">+BDFUENTES[[#This Row],[PZ MED m3/día]]/3.6/BDFUENTES[[#This Row],[PZ MED Horas Activo]]</f>
        <v>0</v>
      </c>
      <c r="S344" s="167" t="str">
        <f t="shared" ca="1" si="2836"/>
        <v xml:space="preserve"> </v>
      </c>
      <c r="T344" s="168" t="str">
        <f t="shared" si="2837"/>
        <v xml:space="preserve"> </v>
      </c>
      <c r="U344" s="168"/>
      <c r="V344" s="165" t="str">
        <f t="shared" si="2838"/>
        <v xml:space="preserve"> </v>
      </c>
      <c r="W344" s="164" t="str">
        <f t="shared" si="2839"/>
        <v xml:space="preserve"> </v>
      </c>
      <c r="X344" s="166"/>
      <c r="Y344" s="168" t="str">
        <f t="shared" si="2840"/>
        <v xml:space="preserve"> </v>
      </c>
      <c r="Z344" s="168"/>
      <c r="AA344" s="166" t="str">
        <f t="shared" si="2841"/>
        <v xml:space="preserve"> </v>
      </c>
      <c r="AB344" s="168" t="str">
        <f t="shared" si="2842"/>
        <v xml:space="preserve"> </v>
      </c>
      <c r="AC344" s="168"/>
      <c r="AD344" s="171" t="str">
        <f t="shared" si="2843"/>
        <v xml:space="preserve"> </v>
      </c>
      <c r="AE344" s="167"/>
      <c r="AF344" s="165" t="str">
        <f t="shared" si="2844"/>
        <v xml:space="preserve"> </v>
      </c>
      <c r="AG344" s="168"/>
      <c r="AH344" s="168"/>
      <c r="AI344" s="166"/>
      <c r="AJ344" s="166"/>
      <c r="AK344" s="166" t="str">
        <f t="shared" si="2845"/>
        <v/>
      </c>
      <c r="AL344" s="167"/>
      <c r="AM344" s="171" t="str">
        <f t="shared" si="2846"/>
        <v xml:space="preserve"> </v>
      </c>
      <c r="AN344" s="168" t="str">
        <f t="shared" si="2847"/>
        <v xml:space="preserve"> </v>
      </c>
      <c r="AO344" s="168"/>
      <c r="AP344" s="167" t="str">
        <f t="shared" si="2848"/>
        <v xml:space="preserve"> </v>
      </c>
      <c r="AQ344" s="166"/>
      <c r="AR344" s="166" t="str">
        <f t="shared" si="2849"/>
        <v xml:space="preserve"> </v>
      </c>
      <c r="AS344" s="168" t="str">
        <f t="shared" si="2850"/>
        <v xml:space="preserve"> </v>
      </c>
      <c r="AT344" s="168"/>
      <c r="AU344" s="166" t="str">
        <f t="shared" si="2851"/>
        <v xml:space="preserve"> </v>
      </c>
      <c r="AV344" s="167"/>
      <c r="AW344" s="167"/>
      <c r="AX344" s="169" t="str">
        <f t="shared" si="2852"/>
        <v xml:space="preserve"> </v>
      </c>
      <c r="AY344" s="169"/>
      <c r="AZ344" s="167" t="str">
        <f t="shared" si="2853"/>
        <v xml:space="preserve"> </v>
      </c>
      <c r="BA344" s="166"/>
      <c r="BB344" s="166"/>
      <c r="BC344" s="168" t="str">
        <f t="shared" si="2854"/>
        <v xml:space="preserve"> </v>
      </c>
      <c r="BD344" s="168"/>
      <c r="BE344" s="166" t="str">
        <f t="shared" si="2855"/>
        <v xml:space="preserve"> </v>
      </c>
      <c r="BF344" s="167"/>
      <c r="BG344" s="167"/>
      <c r="BH344" s="168" t="str">
        <f t="shared" si="2856"/>
        <v xml:space="preserve"> </v>
      </c>
      <c r="BI344" s="168"/>
      <c r="BJ344" s="167" t="str">
        <f t="shared" si="2857"/>
        <v xml:space="preserve"> </v>
      </c>
      <c r="BK344" s="166"/>
      <c r="BL344" s="166" t="str">
        <f t="shared" si="2858"/>
        <v xml:space="preserve"> </v>
      </c>
      <c r="BM344" s="168" t="str">
        <f t="shared" si="2859"/>
        <v xml:space="preserve"> </v>
      </c>
      <c r="BN344" s="168"/>
      <c r="BO344" s="166" t="str">
        <f t="shared" si="2860"/>
        <v xml:space="preserve"> </v>
      </c>
    </row>
    <row r="345" spans="2:67" ht="15" customHeight="1" x14ac:dyDescent="0.25">
      <c r="B345" s="170">
        <v>46363</v>
      </c>
      <c r="C345" s="164"/>
      <c r="D345" s="166" t="str">
        <f t="shared" si="2827"/>
        <v xml:space="preserve"> </v>
      </c>
      <c r="E345" s="168" t="str">
        <f t="shared" si="2828"/>
        <v xml:space="preserve"> </v>
      </c>
      <c r="F345" s="168"/>
      <c r="G345" s="166" t="str">
        <f t="shared" si="2829"/>
        <v xml:space="preserve"> </v>
      </c>
      <c r="H345" s="167"/>
      <c r="I345" s="167" t="str">
        <f t="shared" si="2830"/>
        <v xml:space="preserve"> </v>
      </c>
      <c r="J345" s="168" t="str">
        <f t="shared" si="2831"/>
        <v xml:space="preserve"> </v>
      </c>
      <c r="K345" s="168"/>
      <c r="L345" s="167" t="str">
        <f t="shared" si="2832"/>
        <v xml:space="preserve"> </v>
      </c>
      <c r="M345" s="166"/>
      <c r="N345" s="166" t="str">
        <f t="shared" si="2833"/>
        <v xml:space="preserve"> </v>
      </c>
      <c r="O345" s="168" t="str">
        <f t="shared" si="2834"/>
        <v xml:space="preserve"> </v>
      </c>
      <c r="P345" s="168"/>
      <c r="Q345" s="166" t="str">
        <f t="shared" si="2835"/>
        <v xml:space="preserve"> </v>
      </c>
      <c r="R345" s="167">
        <f ca="1">+BDFUENTES[[#This Row],[PZ MED m3/día]]/3.6/BDFUENTES[[#This Row],[PZ MED Horas Activo]]</f>
        <v>0</v>
      </c>
      <c r="S345" s="167" t="str">
        <f t="shared" ca="1" si="2836"/>
        <v xml:space="preserve"> </v>
      </c>
      <c r="T345" s="168" t="str">
        <f t="shared" si="2837"/>
        <v xml:space="preserve"> </v>
      </c>
      <c r="U345" s="168"/>
      <c r="V345" s="165" t="str">
        <f t="shared" si="2838"/>
        <v xml:space="preserve"> </v>
      </c>
      <c r="W345" s="164" t="str">
        <f t="shared" si="2839"/>
        <v xml:space="preserve"> </v>
      </c>
      <c r="X345" s="166"/>
      <c r="Y345" s="168" t="str">
        <f t="shared" si="2840"/>
        <v xml:space="preserve"> </v>
      </c>
      <c r="Z345" s="168"/>
      <c r="AA345" s="166" t="str">
        <f t="shared" si="2841"/>
        <v xml:space="preserve"> </v>
      </c>
      <c r="AB345" s="168" t="str">
        <f t="shared" si="2842"/>
        <v xml:space="preserve"> </v>
      </c>
      <c r="AC345" s="168"/>
      <c r="AD345" s="171" t="str">
        <f t="shared" si="2843"/>
        <v xml:space="preserve"> </v>
      </c>
      <c r="AE345" s="167"/>
      <c r="AF345" s="165" t="str">
        <f t="shared" si="2844"/>
        <v xml:space="preserve"> </v>
      </c>
      <c r="AG345" s="168"/>
      <c r="AH345" s="168"/>
      <c r="AI345" s="166"/>
      <c r="AJ345" s="166"/>
      <c r="AK345" s="166" t="str">
        <f t="shared" si="2845"/>
        <v/>
      </c>
      <c r="AL345" s="167"/>
      <c r="AM345" s="171" t="str">
        <f t="shared" si="2846"/>
        <v xml:space="preserve"> </v>
      </c>
      <c r="AN345" s="168" t="str">
        <f t="shared" si="2847"/>
        <v xml:space="preserve"> </v>
      </c>
      <c r="AO345" s="168"/>
      <c r="AP345" s="167" t="str">
        <f t="shared" si="2848"/>
        <v xml:space="preserve"> </v>
      </c>
      <c r="AQ345" s="166"/>
      <c r="AR345" s="166" t="str">
        <f t="shared" si="2849"/>
        <v xml:space="preserve"> </v>
      </c>
      <c r="AS345" s="168" t="str">
        <f t="shared" si="2850"/>
        <v xml:space="preserve"> </v>
      </c>
      <c r="AT345" s="168"/>
      <c r="AU345" s="166" t="str">
        <f t="shared" si="2851"/>
        <v xml:space="preserve"> </v>
      </c>
      <c r="AV345" s="167"/>
      <c r="AW345" s="167"/>
      <c r="AX345" s="169" t="str">
        <f t="shared" si="2852"/>
        <v xml:space="preserve"> </v>
      </c>
      <c r="AY345" s="169"/>
      <c r="AZ345" s="167" t="str">
        <f t="shared" si="2853"/>
        <v xml:space="preserve"> </v>
      </c>
      <c r="BA345" s="166"/>
      <c r="BB345" s="166"/>
      <c r="BC345" s="168" t="str">
        <f t="shared" si="2854"/>
        <v xml:space="preserve"> </v>
      </c>
      <c r="BD345" s="168"/>
      <c r="BE345" s="166" t="str">
        <f t="shared" si="2855"/>
        <v xml:space="preserve"> </v>
      </c>
      <c r="BF345" s="167"/>
      <c r="BG345" s="167"/>
      <c r="BH345" s="168" t="str">
        <f t="shared" si="2856"/>
        <v xml:space="preserve"> </v>
      </c>
      <c r="BI345" s="168"/>
      <c r="BJ345" s="167" t="str">
        <f t="shared" si="2857"/>
        <v xml:space="preserve"> </v>
      </c>
      <c r="BK345" s="166"/>
      <c r="BL345" s="166" t="str">
        <f t="shared" si="2858"/>
        <v xml:space="preserve"> </v>
      </c>
      <c r="BM345" s="168" t="str">
        <f t="shared" si="2859"/>
        <v xml:space="preserve"> </v>
      </c>
      <c r="BN345" s="168"/>
      <c r="BO345" s="166" t="str">
        <f t="shared" si="2860"/>
        <v xml:space="preserve"> </v>
      </c>
    </row>
    <row r="346" spans="2:67" ht="15" customHeight="1" x14ac:dyDescent="0.25">
      <c r="B346" s="170">
        <v>46364</v>
      </c>
      <c r="C346" s="164"/>
      <c r="D346" s="166" t="str">
        <f t="shared" si="2827"/>
        <v xml:space="preserve"> </v>
      </c>
      <c r="E346" s="168" t="str">
        <f t="shared" si="2828"/>
        <v xml:space="preserve"> </v>
      </c>
      <c r="F346" s="168"/>
      <c r="G346" s="166" t="str">
        <f t="shared" si="2829"/>
        <v xml:space="preserve"> </v>
      </c>
      <c r="H346" s="167"/>
      <c r="I346" s="167" t="str">
        <f t="shared" si="2830"/>
        <v xml:space="preserve"> </v>
      </c>
      <c r="J346" s="168" t="str">
        <f t="shared" si="2831"/>
        <v xml:space="preserve"> </v>
      </c>
      <c r="K346" s="168"/>
      <c r="L346" s="167" t="str">
        <f t="shared" si="2832"/>
        <v xml:space="preserve"> </v>
      </c>
      <c r="M346" s="166"/>
      <c r="N346" s="166" t="str">
        <f t="shared" si="2833"/>
        <v xml:space="preserve"> </v>
      </c>
      <c r="O346" s="168" t="str">
        <f t="shared" si="2834"/>
        <v xml:space="preserve"> </v>
      </c>
      <c r="P346" s="168"/>
      <c r="Q346" s="166" t="str">
        <f t="shared" si="2835"/>
        <v xml:space="preserve"> </v>
      </c>
      <c r="R346" s="167">
        <f ca="1">+BDFUENTES[[#This Row],[PZ MED m3/día]]/3.6/BDFUENTES[[#This Row],[PZ MED Horas Activo]]</f>
        <v>0</v>
      </c>
      <c r="S346" s="167" t="str">
        <f t="shared" ca="1" si="2836"/>
        <v xml:space="preserve"> </v>
      </c>
      <c r="T346" s="168" t="str">
        <f t="shared" si="2837"/>
        <v xml:space="preserve"> </v>
      </c>
      <c r="U346" s="168"/>
      <c r="V346" s="165" t="str">
        <f t="shared" si="2838"/>
        <v xml:space="preserve"> </v>
      </c>
      <c r="W346" s="164" t="str">
        <f t="shared" si="2839"/>
        <v xml:space="preserve"> </v>
      </c>
      <c r="X346" s="166"/>
      <c r="Y346" s="168" t="str">
        <f t="shared" si="2840"/>
        <v xml:space="preserve"> </v>
      </c>
      <c r="Z346" s="168"/>
      <c r="AA346" s="166" t="str">
        <f t="shared" si="2841"/>
        <v xml:space="preserve"> </v>
      </c>
      <c r="AB346" s="168" t="str">
        <f t="shared" si="2842"/>
        <v xml:space="preserve"> </v>
      </c>
      <c r="AC346" s="168"/>
      <c r="AD346" s="171" t="str">
        <f t="shared" si="2843"/>
        <v xml:space="preserve"> </v>
      </c>
      <c r="AE346" s="167"/>
      <c r="AF346" s="165" t="str">
        <f t="shared" si="2844"/>
        <v xml:space="preserve"> </v>
      </c>
      <c r="AG346" s="168"/>
      <c r="AH346" s="168"/>
      <c r="AI346" s="166"/>
      <c r="AJ346" s="166"/>
      <c r="AK346" s="166" t="str">
        <f t="shared" si="2845"/>
        <v/>
      </c>
      <c r="AL346" s="167"/>
      <c r="AM346" s="171" t="str">
        <f t="shared" si="2846"/>
        <v xml:space="preserve"> </v>
      </c>
      <c r="AN346" s="168" t="str">
        <f t="shared" si="2847"/>
        <v xml:space="preserve"> </v>
      </c>
      <c r="AO346" s="168"/>
      <c r="AP346" s="167" t="str">
        <f t="shared" si="2848"/>
        <v xml:space="preserve"> </v>
      </c>
      <c r="AQ346" s="166"/>
      <c r="AR346" s="166" t="str">
        <f t="shared" si="2849"/>
        <v xml:space="preserve"> </v>
      </c>
      <c r="AS346" s="168" t="str">
        <f t="shared" si="2850"/>
        <v xml:space="preserve"> </v>
      </c>
      <c r="AT346" s="168"/>
      <c r="AU346" s="166" t="str">
        <f t="shared" si="2851"/>
        <v xml:space="preserve"> </v>
      </c>
      <c r="AV346" s="167"/>
      <c r="AW346" s="167"/>
      <c r="AX346" s="169" t="str">
        <f t="shared" si="2852"/>
        <v xml:space="preserve"> </v>
      </c>
      <c r="AY346" s="169"/>
      <c r="AZ346" s="167" t="str">
        <f t="shared" si="2853"/>
        <v xml:space="preserve"> </v>
      </c>
      <c r="BA346" s="166"/>
      <c r="BB346" s="166"/>
      <c r="BC346" s="168" t="str">
        <f t="shared" si="2854"/>
        <v xml:space="preserve"> </v>
      </c>
      <c r="BD346" s="168"/>
      <c r="BE346" s="166" t="str">
        <f t="shared" si="2855"/>
        <v xml:space="preserve"> </v>
      </c>
      <c r="BF346" s="167"/>
      <c r="BG346" s="167"/>
      <c r="BH346" s="168" t="str">
        <f t="shared" si="2856"/>
        <v xml:space="preserve"> </v>
      </c>
      <c r="BI346" s="168"/>
      <c r="BJ346" s="167" t="str">
        <f t="shared" si="2857"/>
        <v xml:space="preserve"> </v>
      </c>
      <c r="BK346" s="166"/>
      <c r="BL346" s="166" t="str">
        <f t="shared" si="2858"/>
        <v xml:space="preserve"> </v>
      </c>
      <c r="BM346" s="168" t="str">
        <f t="shared" si="2859"/>
        <v xml:space="preserve"> </v>
      </c>
      <c r="BN346" s="168"/>
      <c r="BO346" s="166" t="str">
        <f t="shared" si="2860"/>
        <v xml:space="preserve"> </v>
      </c>
    </row>
    <row r="347" spans="2:67" ht="15" customHeight="1" x14ac:dyDescent="0.25">
      <c r="B347" s="170">
        <v>46365</v>
      </c>
      <c r="C347" s="164"/>
      <c r="D347" s="166" t="str">
        <f t="shared" si="2827"/>
        <v xml:space="preserve"> </v>
      </c>
      <c r="E347" s="168" t="str">
        <f t="shared" si="2828"/>
        <v xml:space="preserve"> </v>
      </c>
      <c r="F347" s="168"/>
      <c r="G347" s="166" t="str">
        <f t="shared" si="2829"/>
        <v xml:space="preserve"> </v>
      </c>
      <c r="H347" s="167"/>
      <c r="I347" s="167" t="str">
        <f t="shared" si="2830"/>
        <v xml:space="preserve"> </v>
      </c>
      <c r="J347" s="168" t="str">
        <f t="shared" si="2831"/>
        <v xml:space="preserve"> </v>
      </c>
      <c r="K347" s="168"/>
      <c r="L347" s="167" t="str">
        <f t="shared" si="2832"/>
        <v xml:space="preserve"> </v>
      </c>
      <c r="M347" s="166"/>
      <c r="N347" s="166" t="str">
        <f t="shared" si="2833"/>
        <v xml:space="preserve"> </v>
      </c>
      <c r="O347" s="168" t="str">
        <f t="shared" si="2834"/>
        <v xml:space="preserve"> </v>
      </c>
      <c r="P347" s="168"/>
      <c r="Q347" s="166" t="str">
        <f t="shared" si="2835"/>
        <v xml:space="preserve"> </v>
      </c>
      <c r="R347" s="167">
        <f ca="1">+BDFUENTES[[#This Row],[PZ MED m3/día]]/3.6/BDFUENTES[[#This Row],[PZ MED Horas Activo]]</f>
        <v>0</v>
      </c>
      <c r="S347" s="167" t="str">
        <f t="shared" ca="1" si="2836"/>
        <v xml:space="preserve"> </v>
      </c>
      <c r="T347" s="168" t="str">
        <f t="shared" si="2837"/>
        <v xml:space="preserve"> </v>
      </c>
      <c r="U347" s="168"/>
      <c r="V347" s="165" t="str">
        <f t="shared" si="2838"/>
        <v xml:space="preserve"> </v>
      </c>
      <c r="W347" s="164" t="str">
        <f t="shared" si="2839"/>
        <v xml:space="preserve"> </v>
      </c>
      <c r="X347" s="166"/>
      <c r="Y347" s="168" t="str">
        <f t="shared" si="2840"/>
        <v xml:space="preserve"> </v>
      </c>
      <c r="Z347" s="168"/>
      <c r="AA347" s="166" t="str">
        <f t="shared" si="2841"/>
        <v xml:space="preserve"> </v>
      </c>
      <c r="AB347" s="168" t="str">
        <f t="shared" si="2842"/>
        <v xml:space="preserve"> </v>
      </c>
      <c r="AC347" s="168"/>
      <c r="AD347" s="171" t="str">
        <f t="shared" si="2843"/>
        <v xml:space="preserve"> </v>
      </c>
      <c r="AE347" s="167"/>
      <c r="AF347" s="165" t="str">
        <f t="shared" si="2844"/>
        <v xml:space="preserve"> </v>
      </c>
      <c r="AG347" s="168"/>
      <c r="AH347" s="168"/>
      <c r="AI347" s="166"/>
      <c r="AJ347" s="166"/>
      <c r="AK347" s="166" t="str">
        <f t="shared" si="2845"/>
        <v/>
      </c>
      <c r="AL347" s="167"/>
      <c r="AM347" s="171" t="str">
        <f t="shared" si="2846"/>
        <v xml:space="preserve"> </v>
      </c>
      <c r="AN347" s="168" t="str">
        <f t="shared" si="2847"/>
        <v xml:space="preserve"> </v>
      </c>
      <c r="AO347" s="168"/>
      <c r="AP347" s="167" t="str">
        <f t="shared" si="2848"/>
        <v xml:space="preserve"> </v>
      </c>
      <c r="AQ347" s="166"/>
      <c r="AR347" s="166" t="str">
        <f t="shared" si="2849"/>
        <v xml:space="preserve"> </v>
      </c>
      <c r="AS347" s="168" t="str">
        <f t="shared" si="2850"/>
        <v xml:space="preserve"> </v>
      </c>
      <c r="AT347" s="168"/>
      <c r="AU347" s="166" t="str">
        <f t="shared" si="2851"/>
        <v xml:space="preserve"> </v>
      </c>
      <c r="AV347" s="167"/>
      <c r="AW347" s="167"/>
      <c r="AX347" s="169" t="str">
        <f t="shared" si="2852"/>
        <v xml:space="preserve"> </v>
      </c>
      <c r="AY347" s="169"/>
      <c r="AZ347" s="167" t="str">
        <f t="shared" si="2853"/>
        <v xml:space="preserve"> </v>
      </c>
      <c r="BA347" s="166"/>
      <c r="BB347" s="166"/>
      <c r="BC347" s="168" t="str">
        <f t="shared" si="2854"/>
        <v xml:space="preserve"> </v>
      </c>
      <c r="BD347" s="168"/>
      <c r="BE347" s="166" t="str">
        <f t="shared" si="2855"/>
        <v xml:space="preserve"> </v>
      </c>
      <c r="BF347" s="167"/>
      <c r="BG347" s="167"/>
      <c r="BH347" s="168" t="str">
        <f t="shared" si="2856"/>
        <v xml:space="preserve"> </v>
      </c>
      <c r="BI347" s="168"/>
      <c r="BJ347" s="167" t="str">
        <f t="shared" si="2857"/>
        <v xml:space="preserve"> </v>
      </c>
      <c r="BK347" s="166"/>
      <c r="BL347" s="166" t="str">
        <f t="shared" si="2858"/>
        <v xml:space="preserve"> </v>
      </c>
      <c r="BM347" s="168" t="str">
        <f t="shared" si="2859"/>
        <v xml:space="preserve"> </v>
      </c>
      <c r="BN347" s="168"/>
      <c r="BO347" s="166" t="str">
        <f t="shared" si="2860"/>
        <v xml:space="preserve"> </v>
      </c>
    </row>
    <row r="348" spans="2:67" ht="15" customHeight="1" x14ac:dyDescent="0.25">
      <c r="B348" s="170">
        <v>46366</v>
      </c>
      <c r="C348" s="164"/>
      <c r="D348" s="166" t="str">
        <f t="shared" si="2827"/>
        <v xml:space="preserve"> </v>
      </c>
      <c r="E348" s="168" t="str">
        <f t="shared" si="2828"/>
        <v xml:space="preserve"> </v>
      </c>
      <c r="F348" s="168"/>
      <c r="G348" s="166" t="str">
        <f t="shared" si="2829"/>
        <v xml:space="preserve"> </v>
      </c>
      <c r="H348" s="167"/>
      <c r="I348" s="167" t="str">
        <f t="shared" si="2830"/>
        <v xml:space="preserve"> </v>
      </c>
      <c r="J348" s="168" t="str">
        <f t="shared" si="2831"/>
        <v xml:space="preserve"> </v>
      </c>
      <c r="K348" s="168"/>
      <c r="L348" s="167" t="str">
        <f t="shared" si="2832"/>
        <v xml:space="preserve"> </v>
      </c>
      <c r="M348" s="166"/>
      <c r="N348" s="166" t="str">
        <f t="shared" si="2833"/>
        <v xml:space="preserve"> </v>
      </c>
      <c r="O348" s="168" t="str">
        <f t="shared" si="2834"/>
        <v xml:space="preserve"> </v>
      </c>
      <c r="P348" s="168"/>
      <c r="Q348" s="166" t="str">
        <f t="shared" si="2835"/>
        <v xml:space="preserve"> </v>
      </c>
      <c r="R348" s="167">
        <f ca="1">+BDFUENTES[[#This Row],[PZ MED m3/día]]/3.6/BDFUENTES[[#This Row],[PZ MED Horas Activo]]</f>
        <v>0</v>
      </c>
      <c r="S348" s="167" t="str">
        <f t="shared" ca="1" si="2836"/>
        <v xml:space="preserve"> </v>
      </c>
      <c r="T348" s="168" t="str">
        <f t="shared" si="2837"/>
        <v xml:space="preserve"> </v>
      </c>
      <c r="U348" s="168"/>
      <c r="V348" s="165" t="str">
        <f t="shared" si="2838"/>
        <v xml:space="preserve"> </v>
      </c>
      <c r="W348" s="164" t="str">
        <f t="shared" si="2839"/>
        <v xml:space="preserve"> </v>
      </c>
      <c r="X348" s="166"/>
      <c r="Y348" s="168" t="str">
        <f t="shared" si="2840"/>
        <v xml:space="preserve"> </v>
      </c>
      <c r="Z348" s="168"/>
      <c r="AA348" s="166" t="str">
        <f t="shared" si="2841"/>
        <v xml:space="preserve"> </v>
      </c>
      <c r="AB348" s="168" t="str">
        <f t="shared" si="2842"/>
        <v xml:space="preserve"> </v>
      </c>
      <c r="AC348" s="168"/>
      <c r="AD348" s="171" t="str">
        <f t="shared" si="2843"/>
        <v xml:space="preserve"> </v>
      </c>
      <c r="AE348" s="167"/>
      <c r="AF348" s="165" t="str">
        <f t="shared" si="2844"/>
        <v xml:space="preserve"> </v>
      </c>
      <c r="AG348" s="168"/>
      <c r="AH348" s="168"/>
      <c r="AI348" s="166"/>
      <c r="AJ348" s="166"/>
      <c r="AK348" s="166" t="str">
        <f t="shared" si="2845"/>
        <v/>
      </c>
      <c r="AL348" s="167"/>
      <c r="AM348" s="171" t="str">
        <f t="shared" si="2846"/>
        <v xml:space="preserve"> </v>
      </c>
      <c r="AN348" s="168" t="str">
        <f t="shared" si="2847"/>
        <v xml:space="preserve"> </v>
      </c>
      <c r="AO348" s="168"/>
      <c r="AP348" s="167" t="str">
        <f t="shared" si="2848"/>
        <v xml:space="preserve"> </v>
      </c>
      <c r="AQ348" s="166"/>
      <c r="AR348" s="166" t="str">
        <f t="shared" si="2849"/>
        <v xml:space="preserve"> </v>
      </c>
      <c r="AS348" s="168" t="str">
        <f t="shared" si="2850"/>
        <v xml:space="preserve"> </v>
      </c>
      <c r="AT348" s="168"/>
      <c r="AU348" s="166" t="str">
        <f t="shared" si="2851"/>
        <v xml:space="preserve"> </v>
      </c>
      <c r="AV348" s="167"/>
      <c r="AW348" s="167"/>
      <c r="AX348" s="169" t="str">
        <f t="shared" si="2852"/>
        <v xml:space="preserve"> </v>
      </c>
      <c r="AY348" s="169"/>
      <c r="AZ348" s="167" t="str">
        <f t="shared" si="2853"/>
        <v xml:space="preserve"> </v>
      </c>
      <c r="BA348" s="166"/>
      <c r="BB348" s="166"/>
      <c r="BC348" s="168" t="str">
        <f t="shared" si="2854"/>
        <v xml:space="preserve"> </v>
      </c>
      <c r="BD348" s="168"/>
      <c r="BE348" s="166" t="str">
        <f t="shared" si="2855"/>
        <v xml:space="preserve"> </v>
      </c>
      <c r="BF348" s="167"/>
      <c r="BG348" s="167"/>
      <c r="BH348" s="168" t="str">
        <f t="shared" si="2856"/>
        <v xml:space="preserve"> </v>
      </c>
      <c r="BI348" s="168"/>
      <c r="BJ348" s="167" t="str">
        <f t="shared" si="2857"/>
        <v xml:space="preserve"> </v>
      </c>
      <c r="BK348" s="166"/>
      <c r="BL348" s="166" t="str">
        <f t="shared" si="2858"/>
        <v xml:space="preserve"> </v>
      </c>
      <c r="BM348" s="168" t="str">
        <f t="shared" si="2859"/>
        <v xml:space="preserve"> </v>
      </c>
      <c r="BN348" s="168"/>
      <c r="BO348" s="166" t="str">
        <f t="shared" si="2860"/>
        <v xml:space="preserve"> </v>
      </c>
    </row>
    <row r="349" spans="2:67" ht="15" customHeight="1" x14ac:dyDescent="0.25">
      <c r="B349" s="170">
        <v>46367</v>
      </c>
      <c r="C349" s="164"/>
      <c r="D349" s="166" t="str">
        <f t="shared" si="2827"/>
        <v xml:space="preserve"> </v>
      </c>
      <c r="E349" s="168" t="str">
        <f t="shared" si="2828"/>
        <v xml:space="preserve"> </v>
      </c>
      <c r="F349" s="168"/>
      <c r="G349" s="166" t="str">
        <f t="shared" si="2829"/>
        <v xml:space="preserve"> </v>
      </c>
      <c r="H349" s="167"/>
      <c r="I349" s="167" t="str">
        <f t="shared" si="2830"/>
        <v xml:space="preserve"> </v>
      </c>
      <c r="J349" s="168" t="str">
        <f t="shared" si="2831"/>
        <v xml:space="preserve"> </v>
      </c>
      <c r="K349" s="168"/>
      <c r="L349" s="167" t="str">
        <f t="shared" si="2832"/>
        <v xml:space="preserve"> </v>
      </c>
      <c r="M349" s="166"/>
      <c r="N349" s="166" t="str">
        <f t="shared" si="2833"/>
        <v xml:space="preserve"> </v>
      </c>
      <c r="O349" s="168" t="str">
        <f t="shared" si="2834"/>
        <v xml:space="preserve"> </v>
      </c>
      <c r="P349" s="168"/>
      <c r="Q349" s="166" t="str">
        <f t="shared" si="2835"/>
        <v xml:space="preserve"> </v>
      </c>
      <c r="R349" s="167">
        <f ca="1">+BDFUENTES[[#This Row],[PZ MED m3/día]]/3.6/BDFUENTES[[#This Row],[PZ MED Horas Activo]]</f>
        <v>0</v>
      </c>
      <c r="S349" s="167" t="str">
        <f t="shared" ca="1" si="2836"/>
        <v xml:space="preserve"> </v>
      </c>
      <c r="T349" s="168" t="str">
        <f t="shared" si="2837"/>
        <v xml:space="preserve"> </v>
      </c>
      <c r="U349" s="168"/>
      <c r="V349" s="165" t="str">
        <f t="shared" si="2838"/>
        <v xml:space="preserve"> </v>
      </c>
      <c r="W349" s="164" t="str">
        <f t="shared" si="2839"/>
        <v xml:space="preserve"> </v>
      </c>
      <c r="X349" s="166"/>
      <c r="Y349" s="168" t="str">
        <f t="shared" si="2840"/>
        <v xml:space="preserve"> </v>
      </c>
      <c r="Z349" s="168"/>
      <c r="AA349" s="166" t="str">
        <f t="shared" si="2841"/>
        <v xml:space="preserve"> </v>
      </c>
      <c r="AB349" s="168" t="str">
        <f t="shared" si="2842"/>
        <v xml:space="preserve"> </v>
      </c>
      <c r="AC349" s="168"/>
      <c r="AD349" s="171" t="str">
        <f t="shared" si="2843"/>
        <v xml:space="preserve"> </v>
      </c>
      <c r="AE349" s="167"/>
      <c r="AF349" s="165" t="str">
        <f t="shared" si="2844"/>
        <v xml:space="preserve"> </v>
      </c>
      <c r="AG349" s="168"/>
      <c r="AH349" s="168"/>
      <c r="AI349" s="166"/>
      <c r="AJ349" s="166"/>
      <c r="AK349" s="166" t="str">
        <f t="shared" si="2845"/>
        <v/>
      </c>
      <c r="AL349" s="167"/>
      <c r="AM349" s="171" t="str">
        <f t="shared" si="2846"/>
        <v xml:space="preserve"> </v>
      </c>
      <c r="AN349" s="168" t="str">
        <f t="shared" si="2847"/>
        <v xml:space="preserve"> </v>
      </c>
      <c r="AO349" s="168"/>
      <c r="AP349" s="167" t="str">
        <f t="shared" si="2848"/>
        <v xml:space="preserve"> </v>
      </c>
      <c r="AQ349" s="166"/>
      <c r="AR349" s="166" t="str">
        <f t="shared" si="2849"/>
        <v xml:space="preserve"> </v>
      </c>
      <c r="AS349" s="168" t="str">
        <f t="shared" si="2850"/>
        <v xml:space="preserve"> </v>
      </c>
      <c r="AT349" s="168"/>
      <c r="AU349" s="166" t="str">
        <f t="shared" si="2851"/>
        <v xml:space="preserve"> </v>
      </c>
      <c r="AV349" s="167"/>
      <c r="AW349" s="167"/>
      <c r="AX349" s="169" t="str">
        <f t="shared" si="2852"/>
        <v xml:space="preserve"> </v>
      </c>
      <c r="AY349" s="169"/>
      <c r="AZ349" s="167" t="str">
        <f t="shared" si="2853"/>
        <v xml:space="preserve"> </v>
      </c>
      <c r="BA349" s="166"/>
      <c r="BB349" s="166"/>
      <c r="BC349" s="168" t="str">
        <f t="shared" si="2854"/>
        <v xml:space="preserve"> </v>
      </c>
      <c r="BD349" s="168"/>
      <c r="BE349" s="166" t="str">
        <f t="shared" si="2855"/>
        <v xml:space="preserve"> </v>
      </c>
      <c r="BF349" s="167"/>
      <c r="BG349" s="167"/>
      <c r="BH349" s="168" t="str">
        <f t="shared" si="2856"/>
        <v xml:space="preserve"> </v>
      </c>
      <c r="BI349" s="168"/>
      <c r="BJ349" s="167" t="str">
        <f t="shared" si="2857"/>
        <v xml:space="preserve"> </v>
      </c>
      <c r="BK349" s="166"/>
      <c r="BL349" s="166" t="str">
        <f t="shared" si="2858"/>
        <v xml:space="preserve"> </v>
      </c>
      <c r="BM349" s="168" t="str">
        <f t="shared" si="2859"/>
        <v xml:space="preserve"> </v>
      </c>
      <c r="BN349" s="168"/>
      <c r="BO349" s="166" t="str">
        <f t="shared" si="2860"/>
        <v xml:space="preserve"> </v>
      </c>
    </row>
    <row r="350" spans="2:67" ht="15" customHeight="1" x14ac:dyDescent="0.25">
      <c r="B350" s="170">
        <v>46368</v>
      </c>
      <c r="C350" s="164"/>
      <c r="D350" s="166" t="str">
        <f t="shared" si="2827"/>
        <v xml:space="preserve"> </v>
      </c>
      <c r="E350" s="168" t="str">
        <f t="shared" si="2828"/>
        <v xml:space="preserve"> </v>
      </c>
      <c r="F350" s="168"/>
      <c r="G350" s="166" t="str">
        <f t="shared" si="2829"/>
        <v xml:space="preserve"> </v>
      </c>
      <c r="H350" s="167"/>
      <c r="I350" s="167" t="str">
        <f t="shared" si="2830"/>
        <v xml:space="preserve"> </v>
      </c>
      <c r="J350" s="168" t="str">
        <f t="shared" si="2831"/>
        <v xml:space="preserve"> </v>
      </c>
      <c r="K350" s="168"/>
      <c r="L350" s="167" t="str">
        <f t="shared" si="2832"/>
        <v xml:space="preserve"> </v>
      </c>
      <c r="M350" s="166"/>
      <c r="N350" s="166" t="str">
        <f t="shared" si="2833"/>
        <v xml:space="preserve"> </v>
      </c>
      <c r="O350" s="168" t="str">
        <f t="shared" si="2834"/>
        <v xml:space="preserve"> </v>
      </c>
      <c r="P350" s="168"/>
      <c r="Q350" s="166" t="str">
        <f t="shared" si="2835"/>
        <v xml:space="preserve"> </v>
      </c>
      <c r="R350" s="167">
        <f ca="1">+BDFUENTES[[#This Row],[PZ MED m3/día]]/3.6/BDFUENTES[[#This Row],[PZ MED Horas Activo]]</f>
        <v>0</v>
      </c>
      <c r="S350" s="167" t="str">
        <f t="shared" ca="1" si="2836"/>
        <v xml:space="preserve"> </v>
      </c>
      <c r="T350" s="168" t="str">
        <f t="shared" si="2837"/>
        <v xml:space="preserve"> </v>
      </c>
      <c r="U350" s="168"/>
      <c r="V350" s="165" t="str">
        <f t="shared" si="2838"/>
        <v xml:space="preserve"> </v>
      </c>
      <c r="W350" s="164" t="str">
        <f t="shared" si="2839"/>
        <v xml:space="preserve"> </v>
      </c>
      <c r="X350" s="166"/>
      <c r="Y350" s="168" t="str">
        <f t="shared" si="2840"/>
        <v xml:space="preserve"> </v>
      </c>
      <c r="Z350" s="168"/>
      <c r="AA350" s="166" t="str">
        <f t="shared" si="2841"/>
        <v xml:space="preserve"> </v>
      </c>
      <c r="AB350" s="168" t="str">
        <f t="shared" si="2842"/>
        <v xml:space="preserve"> </v>
      </c>
      <c r="AC350" s="168"/>
      <c r="AD350" s="171" t="str">
        <f t="shared" si="2843"/>
        <v xml:space="preserve"> </v>
      </c>
      <c r="AE350" s="167"/>
      <c r="AF350" s="165" t="str">
        <f t="shared" si="2844"/>
        <v xml:space="preserve"> </v>
      </c>
      <c r="AG350" s="168"/>
      <c r="AH350" s="168"/>
      <c r="AI350" s="166"/>
      <c r="AJ350" s="166"/>
      <c r="AK350" s="166" t="str">
        <f t="shared" si="2845"/>
        <v/>
      </c>
      <c r="AL350" s="167"/>
      <c r="AM350" s="171" t="str">
        <f t="shared" si="2846"/>
        <v xml:space="preserve"> </v>
      </c>
      <c r="AN350" s="168" t="str">
        <f t="shared" si="2847"/>
        <v xml:space="preserve"> </v>
      </c>
      <c r="AO350" s="168"/>
      <c r="AP350" s="167" t="str">
        <f t="shared" si="2848"/>
        <v xml:space="preserve"> </v>
      </c>
      <c r="AQ350" s="166"/>
      <c r="AR350" s="166" t="str">
        <f t="shared" si="2849"/>
        <v xml:space="preserve"> </v>
      </c>
      <c r="AS350" s="168" t="str">
        <f t="shared" si="2850"/>
        <v xml:space="preserve"> </v>
      </c>
      <c r="AT350" s="168"/>
      <c r="AU350" s="166" t="str">
        <f t="shared" si="2851"/>
        <v xml:space="preserve"> </v>
      </c>
      <c r="AV350" s="167"/>
      <c r="AW350" s="167"/>
      <c r="AX350" s="169" t="str">
        <f t="shared" si="2852"/>
        <v xml:space="preserve"> </v>
      </c>
      <c r="AY350" s="169"/>
      <c r="AZ350" s="167" t="str">
        <f t="shared" si="2853"/>
        <v xml:space="preserve"> </v>
      </c>
      <c r="BA350" s="166"/>
      <c r="BB350" s="166"/>
      <c r="BC350" s="168" t="str">
        <f t="shared" si="2854"/>
        <v xml:space="preserve"> </v>
      </c>
      <c r="BD350" s="168"/>
      <c r="BE350" s="166" t="str">
        <f t="shared" si="2855"/>
        <v xml:space="preserve"> </v>
      </c>
      <c r="BF350" s="167"/>
      <c r="BG350" s="167"/>
      <c r="BH350" s="168" t="str">
        <f t="shared" si="2856"/>
        <v xml:space="preserve"> </v>
      </c>
      <c r="BI350" s="168"/>
      <c r="BJ350" s="167" t="str">
        <f t="shared" si="2857"/>
        <v xml:space="preserve"> </v>
      </c>
      <c r="BK350" s="166"/>
      <c r="BL350" s="166" t="str">
        <f t="shared" si="2858"/>
        <v xml:space="preserve"> </v>
      </c>
      <c r="BM350" s="168" t="str">
        <f t="shared" si="2859"/>
        <v xml:space="preserve"> </v>
      </c>
      <c r="BN350" s="168"/>
      <c r="BO350" s="166" t="str">
        <f t="shared" si="2860"/>
        <v xml:space="preserve"> </v>
      </c>
    </row>
    <row r="351" spans="2:67" ht="15" customHeight="1" x14ac:dyDescent="0.25">
      <c r="B351" s="170">
        <v>46369</v>
      </c>
      <c r="C351" s="164"/>
      <c r="D351" s="166" t="str">
        <f t="shared" si="2827"/>
        <v xml:space="preserve"> </v>
      </c>
      <c r="E351" s="168" t="str">
        <f t="shared" si="2828"/>
        <v xml:space="preserve"> </v>
      </c>
      <c r="F351" s="168"/>
      <c r="G351" s="166" t="str">
        <f t="shared" si="2829"/>
        <v xml:space="preserve"> </v>
      </c>
      <c r="H351" s="167"/>
      <c r="I351" s="167" t="str">
        <f t="shared" si="2830"/>
        <v xml:space="preserve"> </v>
      </c>
      <c r="J351" s="168" t="str">
        <f t="shared" si="2831"/>
        <v xml:space="preserve"> </v>
      </c>
      <c r="K351" s="168"/>
      <c r="L351" s="167" t="str">
        <f t="shared" si="2832"/>
        <v xml:space="preserve"> </v>
      </c>
      <c r="M351" s="166"/>
      <c r="N351" s="166" t="str">
        <f t="shared" si="2833"/>
        <v xml:space="preserve"> </v>
      </c>
      <c r="O351" s="168" t="str">
        <f t="shared" si="2834"/>
        <v xml:space="preserve"> </v>
      </c>
      <c r="P351" s="168"/>
      <c r="Q351" s="166" t="str">
        <f t="shared" si="2835"/>
        <v xml:space="preserve"> </v>
      </c>
      <c r="R351" s="167">
        <f ca="1">+BDFUENTES[[#This Row],[PZ MED m3/día]]/3.6/BDFUENTES[[#This Row],[PZ MED Horas Activo]]</f>
        <v>0</v>
      </c>
      <c r="S351" s="167" t="str">
        <f t="shared" ca="1" si="2836"/>
        <v xml:space="preserve"> </v>
      </c>
      <c r="T351" s="168" t="str">
        <f t="shared" si="2837"/>
        <v xml:space="preserve"> </v>
      </c>
      <c r="U351" s="168"/>
      <c r="V351" s="165" t="str">
        <f t="shared" si="2838"/>
        <v xml:space="preserve"> </v>
      </c>
      <c r="W351" s="164" t="str">
        <f t="shared" si="2839"/>
        <v xml:space="preserve"> </v>
      </c>
      <c r="X351" s="166"/>
      <c r="Y351" s="168" t="str">
        <f t="shared" si="2840"/>
        <v xml:space="preserve"> </v>
      </c>
      <c r="Z351" s="168"/>
      <c r="AA351" s="166" t="str">
        <f t="shared" si="2841"/>
        <v xml:space="preserve"> </v>
      </c>
      <c r="AB351" s="168" t="str">
        <f t="shared" si="2842"/>
        <v xml:space="preserve"> </v>
      </c>
      <c r="AC351" s="168"/>
      <c r="AD351" s="171" t="str">
        <f t="shared" si="2843"/>
        <v xml:space="preserve"> </v>
      </c>
      <c r="AE351" s="167"/>
      <c r="AF351" s="165" t="str">
        <f t="shared" si="2844"/>
        <v xml:space="preserve"> </v>
      </c>
      <c r="AG351" s="168"/>
      <c r="AH351" s="168"/>
      <c r="AI351" s="166"/>
      <c r="AJ351" s="166"/>
      <c r="AK351" s="166" t="str">
        <f t="shared" si="2845"/>
        <v/>
      </c>
      <c r="AL351" s="167"/>
      <c r="AM351" s="171" t="str">
        <f t="shared" si="2846"/>
        <v xml:space="preserve"> </v>
      </c>
      <c r="AN351" s="168" t="str">
        <f t="shared" si="2847"/>
        <v xml:space="preserve"> </v>
      </c>
      <c r="AO351" s="168"/>
      <c r="AP351" s="167" t="str">
        <f t="shared" si="2848"/>
        <v xml:space="preserve"> </v>
      </c>
      <c r="AQ351" s="166"/>
      <c r="AR351" s="166" t="str">
        <f t="shared" si="2849"/>
        <v xml:space="preserve"> </v>
      </c>
      <c r="AS351" s="168" t="str">
        <f t="shared" si="2850"/>
        <v xml:space="preserve"> </v>
      </c>
      <c r="AT351" s="168"/>
      <c r="AU351" s="166" t="str">
        <f t="shared" si="2851"/>
        <v xml:space="preserve"> </v>
      </c>
      <c r="AV351" s="167"/>
      <c r="AW351" s="167"/>
      <c r="AX351" s="169" t="str">
        <f t="shared" si="2852"/>
        <v xml:space="preserve"> </v>
      </c>
      <c r="AY351" s="169"/>
      <c r="AZ351" s="167" t="str">
        <f t="shared" si="2853"/>
        <v xml:space="preserve"> </v>
      </c>
      <c r="BA351" s="166"/>
      <c r="BB351" s="166"/>
      <c r="BC351" s="168" t="str">
        <f t="shared" si="2854"/>
        <v xml:space="preserve"> </v>
      </c>
      <c r="BD351" s="168"/>
      <c r="BE351" s="166" t="str">
        <f t="shared" si="2855"/>
        <v xml:space="preserve"> </v>
      </c>
      <c r="BF351" s="167"/>
      <c r="BG351" s="167"/>
      <c r="BH351" s="168" t="str">
        <f t="shared" si="2856"/>
        <v xml:space="preserve"> </v>
      </c>
      <c r="BI351" s="168"/>
      <c r="BJ351" s="167" t="str">
        <f t="shared" si="2857"/>
        <v xml:space="preserve"> </v>
      </c>
      <c r="BK351" s="166"/>
      <c r="BL351" s="166" t="str">
        <f t="shared" si="2858"/>
        <v xml:space="preserve"> </v>
      </c>
      <c r="BM351" s="168" t="str">
        <f t="shared" si="2859"/>
        <v xml:space="preserve"> </v>
      </c>
      <c r="BN351" s="168"/>
      <c r="BO351" s="166" t="str">
        <f t="shared" si="2860"/>
        <v xml:space="preserve"> </v>
      </c>
    </row>
    <row r="352" spans="2:67" ht="15" customHeight="1" x14ac:dyDescent="0.25">
      <c r="B352" s="170">
        <v>46370</v>
      </c>
      <c r="C352" s="164"/>
      <c r="D352" s="166" t="str">
        <f t="shared" si="2827"/>
        <v xml:space="preserve"> </v>
      </c>
      <c r="E352" s="168" t="str">
        <f t="shared" si="2828"/>
        <v xml:space="preserve"> </v>
      </c>
      <c r="F352" s="168"/>
      <c r="G352" s="166" t="str">
        <f t="shared" si="2829"/>
        <v xml:space="preserve"> </v>
      </c>
      <c r="H352" s="167"/>
      <c r="I352" s="167" t="str">
        <f t="shared" si="2830"/>
        <v xml:space="preserve"> </v>
      </c>
      <c r="J352" s="168" t="str">
        <f t="shared" si="2831"/>
        <v xml:space="preserve"> </v>
      </c>
      <c r="K352" s="168"/>
      <c r="L352" s="167" t="str">
        <f t="shared" si="2832"/>
        <v xml:space="preserve"> </v>
      </c>
      <c r="M352" s="166"/>
      <c r="N352" s="166" t="str">
        <f t="shared" si="2833"/>
        <v xml:space="preserve"> </v>
      </c>
      <c r="O352" s="168" t="str">
        <f t="shared" si="2834"/>
        <v xml:space="preserve"> </v>
      </c>
      <c r="P352" s="168"/>
      <c r="Q352" s="166" t="str">
        <f t="shared" si="2835"/>
        <v xml:space="preserve"> </v>
      </c>
      <c r="R352" s="167">
        <f ca="1">+BDFUENTES[[#This Row],[PZ MED m3/día]]/3.6/BDFUENTES[[#This Row],[PZ MED Horas Activo]]</f>
        <v>0</v>
      </c>
      <c r="S352" s="167" t="str">
        <f t="shared" ca="1" si="2836"/>
        <v xml:space="preserve"> </v>
      </c>
      <c r="T352" s="168" t="str">
        <f t="shared" si="2837"/>
        <v xml:space="preserve"> </v>
      </c>
      <c r="U352" s="168"/>
      <c r="V352" s="165" t="str">
        <f t="shared" si="2838"/>
        <v xml:space="preserve"> </v>
      </c>
      <c r="W352" s="164" t="str">
        <f t="shared" si="2839"/>
        <v xml:space="preserve"> </v>
      </c>
      <c r="X352" s="166"/>
      <c r="Y352" s="168" t="str">
        <f t="shared" si="2840"/>
        <v xml:space="preserve"> </v>
      </c>
      <c r="Z352" s="168"/>
      <c r="AA352" s="166" t="str">
        <f t="shared" si="2841"/>
        <v xml:space="preserve"> </v>
      </c>
      <c r="AB352" s="168" t="str">
        <f t="shared" si="2842"/>
        <v xml:space="preserve"> </v>
      </c>
      <c r="AC352" s="168"/>
      <c r="AD352" s="171" t="str">
        <f t="shared" si="2843"/>
        <v xml:space="preserve"> </v>
      </c>
      <c r="AE352" s="167"/>
      <c r="AF352" s="165" t="str">
        <f t="shared" si="2844"/>
        <v xml:space="preserve"> </v>
      </c>
      <c r="AG352" s="168"/>
      <c r="AH352" s="168"/>
      <c r="AI352" s="166"/>
      <c r="AJ352" s="166"/>
      <c r="AK352" s="166" t="str">
        <f t="shared" si="2845"/>
        <v/>
      </c>
      <c r="AL352" s="167"/>
      <c r="AM352" s="171" t="str">
        <f t="shared" si="2846"/>
        <v xml:space="preserve"> </v>
      </c>
      <c r="AN352" s="168" t="str">
        <f t="shared" si="2847"/>
        <v xml:space="preserve"> </v>
      </c>
      <c r="AO352" s="168"/>
      <c r="AP352" s="167" t="str">
        <f t="shared" si="2848"/>
        <v xml:space="preserve"> </v>
      </c>
      <c r="AQ352" s="166"/>
      <c r="AR352" s="166" t="str">
        <f t="shared" si="2849"/>
        <v xml:space="preserve"> </v>
      </c>
      <c r="AS352" s="168" t="str">
        <f t="shared" si="2850"/>
        <v xml:space="preserve"> </v>
      </c>
      <c r="AT352" s="168"/>
      <c r="AU352" s="166" t="str">
        <f t="shared" si="2851"/>
        <v xml:space="preserve"> </v>
      </c>
      <c r="AV352" s="167"/>
      <c r="AW352" s="167"/>
      <c r="AX352" s="169" t="str">
        <f t="shared" si="2852"/>
        <v xml:space="preserve"> </v>
      </c>
      <c r="AY352" s="169"/>
      <c r="AZ352" s="167" t="str">
        <f t="shared" si="2853"/>
        <v xml:space="preserve"> </v>
      </c>
      <c r="BA352" s="166"/>
      <c r="BB352" s="166"/>
      <c r="BC352" s="168" t="str">
        <f t="shared" si="2854"/>
        <v xml:space="preserve"> </v>
      </c>
      <c r="BD352" s="168"/>
      <c r="BE352" s="166" t="str">
        <f t="shared" si="2855"/>
        <v xml:space="preserve"> </v>
      </c>
      <c r="BF352" s="167"/>
      <c r="BG352" s="167"/>
      <c r="BH352" s="168" t="str">
        <f t="shared" si="2856"/>
        <v xml:space="preserve"> </v>
      </c>
      <c r="BI352" s="168"/>
      <c r="BJ352" s="167" t="str">
        <f t="shared" si="2857"/>
        <v xml:space="preserve"> </v>
      </c>
      <c r="BK352" s="166"/>
      <c r="BL352" s="166" t="str">
        <f t="shared" si="2858"/>
        <v xml:space="preserve"> </v>
      </c>
      <c r="BM352" s="168" t="str">
        <f t="shared" si="2859"/>
        <v xml:space="preserve"> </v>
      </c>
      <c r="BN352" s="168"/>
      <c r="BO352" s="166" t="str">
        <f t="shared" si="2860"/>
        <v xml:space="preserve"> </v>
      </c>
    </row>
    <row r="353" spans="2:67" ht="15" customHeight="1" x14ac:dyDescent="0.25">
      <c r="B353" s="170">
        <v>46371</v>
      </c>
      <c r="C353" s="164"/>
      <c r="D353" s="166" t="str">
        <f t="shared" si="2827"/>
        <v xml:space="preserve"> </v>
      </c>
      <c r="E353" s="168" t="str">
        <f t="shared" si="2828"/>
        <v xml:space="preserve"> </v>
      </c>
      <c r="F353" s="168"/>
      <c r="G353" s="166" t="str">
        <f t="shared" si="2829"/>
        <v xml:space="preserve"> </v>
      </c>
      <c r="H353" s="167"/>
      <c r="I353" s="167" t="str">
        <f t="shared" si="2830"/>
        <v xml:space="preserve"> </v>
      </c>
      <c r="J353" s="168" t="str">
        <f t="shared" si="2831"/>
        <v xml:space="preserve"> </v>
      </c>
      <c r="K353" s="168"/>
      <c r="L353" s="167" t="str">
        <f t="shared" si="2832"/>
        <v xml:space="preserve"> </v>
      </c>
      <c r="M353" s="166"/>
      <c r="N353" s="166" t="str">
        <f t="shared" si="2833"/>
        <v xml:space="preserve"> </v>
      </c>
      <c r="O353" s="168" t="str">
        <f t="shared" si="2834"/>
        <v xml:space="preserve"> </v>
      </c>
      <c r="P353" s="168"/>
      <c r="Q353" s="166" t="str">
        <f t="shared" si="2835"/>
        <v xml:space="preserve"> </v>
      </c>
      <c r="R353" s="167">
        <f ca="1">+BDFUENTES[[#This Row],[PZ MED m3/día]]/3.6/BDFUENTES[[#This Row],[PZ MED Horas Activo]]</f>
        <v>0</v>
      </c>
      <c r="S353" s="167" t="str">
        <f t="shared" ca="1" si="2836"/>
        <v xml:space="preserve"> </v>
      </c>
      <c r="T353" s="168" t="str">
        <f t="shared" si="2837"/>
        <v xml:space="preserve"> </v>
      </c>
      <c r="U353" s="168"/>
      <c r="V353" s="165" t="str">
        <f t="shared" si="2838"/>
        <v xml:space="preserve"> </v>
      </c>
      <c r="W353" s="164" t="str">
        <f t="shared" si="2839"/>
        <v xml:space="preserve"> </v>
      </c>
      <c r="X353" s="166"/>
      <c r="Y353" s="168" t="str">
        <f t="shared" si="2840"/>
        <v xml:space="preserve"> </v>
      </c>
      <c r="Z353" s="168"/>
      <c r="AA353" s="166" t="str">
        <f t="shared" si="2841"/>
        <v xml:space="preserve"> </v>
      </c>
      <c r="AB353" s="168" t="str">
        <f t="shared" si="2842"/>
        <v xml:space="preserve"> </v>
      </c>
      <c r="AC353" s="168"/>
      <c r="AD353" s="171" t="str">
        <f t="shared" si="2843"/>
        <v xml:space="preserve"> </v>
      </c>
      <c r="AE353" s="167"/>
      <c r="AF353" s="165" t="str">
        <f t="shared" si="2844"/>
        <v xml:space="preserve"> </v>
      </c>
      <c r="AG353" s="168"/>
      <c r="AH353" s="168"/>
      <c r="AI353" s="166"/>
      <c r="AJ353" s="166"/>
      <c r="AK353" s="166" t="str">
        <f t="shared" si="2845"/>
        <v/>
      </c>
      <c r="AL353" s="167"/>
      <c r="AM353" s="171" t="str">
        <f t="shared" si="2846"/>
        <v xml:space="preserve"> </v>
      </c>
      <c r="AN353" s="168" t="str">
        <f t="shared" si="2847"/>
        <v xml:space="preserve"> </v>
      </c>
      <c r="AO353" s="168"/>
      <c r="AP353" s="167" t="str">
        <f t="shared" si="2848"/>
        <v xml:space="preserve"> </v>
      </c>
      <c r="AQ353" s="166"/>
      <c r="AR353" s="166" t="str">
        <f t="shared" si="2849"/>
        <v xml:space="preserve"> </v>
      </c>
      <c r="AS353" s="168" t="str">
        <f t="shared" si="2850"/>
        <v xml:space="preserve"> </v>
      </c>
      <c r="AT353" s="168"/>
      <c r="AU353" s="166" t="str">
        <f t="shared" si="2851"/>
        <v xml:space="preserve"> </v>
      </c>
      <c r="AV353" s="167"/>
      <c r="AW353" s="167"/>
      <c r="AX353" s="169" t="str">
        <f t="shared" si="2852"/>
        <v xml:space="preserve"> </v>
      </c>
      <c r="AY353" s="169"/>
      <c r="AZ353" s="167" t="str">
        <f t="shared" si="2853"/>
        <v xml:space="preserve"> </v>
      </c>
      <c r="BA353" s="166"/>
      <c r="BB353" s="166"/>
      <c r="BC353" s="168" t="str">
        <f t="shared" si="2854"/>
        <v xml:space="preserve"> </v>
      </c>
      <c r="BD353" s="168"/>
      <c r="BE353" s="166" t="str">
        <f t="shared" si="2855"/>
        <v xml:space="preserve"> </v>
      </c>
      <c r="BF353" s="167"/>
      <c r="BG353" s="167"/>
      <c r="BH353" s="168" t="str">
        <f t="shared" si="2856"/>
        <v xml:space="preserve"> </v>
      </c>
      <c r="BI353" s="168"/>
      <c r="BJ353" s="167" t="str">
        <f t="shared" si="2857"/>
        <v xml:space="preserve"> </v>
      </c>
      <c r="BK353" s="166"/>
      <c r="BL353" s="166" t="str">
        <f t="shared" si="2858"/>
        <v xml:space="preserve"> </v>
      </c>
      <c r="BM353" s="168" t="str">
        <f t="shared" si="2859"/>
        <v xml:space="preserve"> </v>
      </c>
      <c r="BN353" s="168"/>
      <c r="BO353" s="166" t="str">
        <f t="shared" si="2860"/>
        <v xml:space="preserve"> </v>
      </c>
    </row>
    <row r="354" spans="2:67" ht="15" customHeight="1" x14ac:dyDescent="0.25">
      <c r="B354" s="170">
        <v>46372</v>
      </c>
      <c r="C354" s="164"/>
      <c r="D354" s="166" t="str">
        <f t="shared" si="2827"/>
        <v xml:space="preserve"> </v>
      </c>
      <c r="E354" s="168" t="str">
        <f t="shared" si="2828"/>
        <v xml:space="preserve"> </v>
      </c>
      <c r="F354" s="168"/>
      <c r="G354" s="166" t="str">
        <f t="shared" si="2829"/>
        <v xml:space="preserve"> </v>
      </c>
      <c r="H354" s="167"/>
      <c r="I354" s="167" t="str">
        <f t="shared" si="2830"/>
        <v xml:space="preserve"> </v>
      </c>
      <c r="J354" s="168" t="str">
        <f t="shared" si="2831"/>
        <v xml:space="preserve"> </v>
      </c>
      <c r="K354" s="168"/>
      <c r="L354" s="167" t="str">
        <f t="shared" si="2832"/>
        <v xml:space="preserve"> </v>
      </c>
      <c r="M354" s="166"/>
      <c r="N354" s="166" t="str">
        <f t="shared" si="2833"/>
        <v xml:space="preserve"> </v>
      </c>
      <c r="O354" s="168" t="str">
        <f t="shared" si="2834"/>
        <v xml:space="preserve"> </v>
      </c>
      <c r="P354" s="168"/>
      <c r="Q354" s="166" t="str">
        <f t="shared" si="2835"/>
        <v xml:space="preserve"> </v>
      </c>
      <c r="R354" s="167">
        <f ca="1">+BDFUENTES[[#This Row],[PZ MED m3/día]]/3.6/BDFUENTES[[#This Row],[PZ MED Horas Activo]]</f>
        <v>0</v>
      </c>
      <c r="S354" s="167" t="str">
        <f t="shared" ca="1" si="2836"/>
        <v xml:space="preserve"> </v>
      </c>
      <c r="T354" s="168" t="str">
        <f t="shared" si="2837"/>
        <v xml:space="preserve"> </v>
      </c>
      <c r="U354" s="168"/>
      <c r="V354" s="165" t="str">
        <f t="shared" si="2838"/>
        <v xml:space="preserve"> </v>
      </c>
      <c r="W354" s="164" t="str">
        <f t="shared" si="2839"/>
        <v xml:space="preserve"> </v>
      </c>
      <c r="X354" s="166"/>
      <c r="Y354" s="168" t="str">
        <f t="shared" si="2840"/>
        <v xml:space="preserve"> </v>
      </c>
      <c r="Z354" s="168"/>
      <c r="AA354" s="166" t="str">
        <f t="shared" si="2841"/>
        <v xml:space="preserve"> </v>
      </c>
      <c r="AB354" s="168" t="str">
        <f t="shared" si="2842"/>
        <v xml:space="preserve"> </v>
      </c>
      <c r="AC354" s="168"/>
      <c r="AD354" s="171" t="str">
        <f t="shared" si="2843"/>
        <v xml:space="preserve"> </v>
      </c>
      <c r="AE354" s="167"/>
      <c r="AF354" s="165" t="str">
        <f t="shared" si="2844"/>
        <v xml:space="preserve"> </v>
      </c>
      <c r="AG354" s="168"/>
      <c r="AH354" s="168"/>
      <c r="AI354" s="166"/>
      <c r="AJ354" s="166"/>
      <c r="AK354" s="166" t="str">
        <f t="shared" si="2845"/>
        <v/>
      </c>
      <c r="AL354" s="167"/>
      <c r="AM354" s="171" t="str">
        <f t="shared" si="2846"/>
        <v xml:space="preserve"> </v>
      </c>
      <c r="AN354" s="168" t="str">
        <f t="shared" si="2847"/>
        <v xml:space="preserve"> </v>
      </c>
      <c r="AO354" s="168"/>
      <c r="AP354" s="167" t="str">
        <f t="shared" si="2848"/>
        <v xml:space="preserve"> </v>
      </c>
      <c r="AQ354" s="166"/>
      <c r="AR354" s="166" t="str">
        <f t="shared" si="2849"/>
        <v xml:space="preserve"> </v>
      </c>
      <c r="AS354" s="168" t="str">
        <f t="shared" si="2850"/>
        <v xml:space="preserve"> </v>
      </c>
      <c r="AT354" s="168"/>
      <c r="AU354" s="166" t="str">
        <f t="shared" si="2851"/>
        <v xml:space="preserve"> </v>
      </c>
      <c r="AV354" s="167"/>
      <c r="AW354" s="167"/>
      <c r="AX354" s="169" t="str">
        <f t="shared" si="2852"/>
        <v xml:space="preserve"> </v>
      </c>
      <c r="AY354" s="169"/>
      <c r="AZ354" s="167" t="str">
        <f t="shared" si="2853"/>
        <v xml:space="preserve"> </v>
      </c>
      <c r="BA354" s="166"/>
      <c r="BB354" s="166"/>
      <c r="BC354" s="168" t="str">
        <f t="shared" si="2854"/>
        <v xml:space="preserve"> </v>
      </c>
      <c r="BD354" s="168"/>
      <c r="BE354" s="166" t="str">
        <f t="shared" si="2855"/>
        <v xml:space="preserve"> </v>
      </c>
      <c r="BF354" s="167"/>
      <c r="BG354" s="167"/>
      <c r="BH354" s="168" t="str">
        <f t="shared" si="2856"/>
        <v xml:space="preserve"> </v>
      </c>
      <c r="BI354" s="168"/>
      <c r="BJ354" s="167" t="str">
        <f t="shared" si="2857"/>
        <v xml:space="preserve"> </v>
      </c>
      <c r="BK354" s="166"/>
      <c r="BL354" s="166" t="str">
        <f t="shared" si="2858"/>
        <v xml:space="preserve"> </v>
      </c>
      <c r="BM354" s="168" t="str">
        <f t="shared" si="2859"/>
        <v xml:space="preserve"> </v>
      </c>
      <c r="BN354" s="168"/>
      <c r="BO354" s="166" t="str">
        <f t="shared" si="2860"/>
        <v xml:space="preserve"> </v>
      </c>
    </row>
    <row r="355" spans="2:67" ht="15" customHeight="1" x14ac:dyDescent="0.25">
      <c r="B355" s="170">
        <v>46373</v>
      </c>
      <c r="C355" s="164"/>
      <c r="D355" s="166" t="str">
        <f t="shared" si="2827"/>
        <v xml:space="preserve"> </v>
      </c>
      <c r="E355" s="168" t="str">
        <f t="shared" si="2828"/>
        <v xml:space="preserve"> </v>
      </c>
      <c r="F355" s="168"/>
      <c r="G355" s="166" t="str">
        <f t="shared" si="2829"/>
        <v xml:space="preserve"> </v>
      </c>
      <c r="H355" s="167"/>
      <c r="I355" s="167" t="str">
        <f t="shared" si="2830"/>
        <v xml:space="preserve"> </v>
      </c>
      <c r="J355" s="168" t="str">
        <f t="shared" si="2831"/>
        <v xml:space="preserve"> </v>
      </c>
      <c r="K355" s="168"/>
      <c r="L355" s="167" t="str">
        <f t="shared" si="2832"/>
        <v xml:space="preserve"> </v>
      </c>
      <c r="M355" s="166"/>
      <c r="N355" s="166" t="str">
        <f t="shared" si="2833"/>
        <v xml:space="preserve"> </v>
      </c>
      <c r="O355" s="168" t="str">
        <f t="shared" si="2834"/>
        <v xml:space="preserve"> </v>
      </c>
      <c r="P355" s="168"/>
      <c r="Q355" s="166" t="str">
        <f t="shared" si="2835"/>
        <v xml:space="preserve"> </v>
      </c>
      <c r="R355" s="167">
        <f ca="1">+BDFUENTES[[#This Row],[PZ MED m3/día]]/3.6/BDFUENTES[[#This Row],[PZ MED Horas Activo]]</f>
        <v>0</v>
      </c>
      <c r="S355" s="167" t="str">
        <f t="shared" ca="1" si="2836"/>
        <v xml:space="preserve"> </v>
      </c>
      <c r="T355" s="168" t="str">
        <f t="shared" si="2837"/>
        <v xml:space="preserve"> </v>
      </c>
      <c r="U355" s="168"/>
      <c r="V355" s="165" t="str">
        <f t="shared" si="2838"/>
        <v xml:space="preserve"> </v>
      </c>
      <c r="W355" s="164" t="str">
        <f t="shared" si="2839"/>
        <v xml:space="preserve"> </v>
      </c>
      <c r="X355" s="166"/>
      <c r="Y355" s="168" t="str">
        <f t="shared" si="2840"/>
        <v xml:space="preserve"> </v>
      </c>
      <c r="Z355" s="168"/>
      <c r="AA355" s="166" t="str">
        <f t="shared" si="2841"/>
        <v xml:space="preserve"> </v>
      </c>
      <c r="AB355" s="168" t="str">
        <f t="shared" si="2842"/>
        <v xml:space="preserve"> </v>
      </c>
      <c r="AC355" s="168"/>
      <c r="AD355" s="171" t="str">
        <f t="shared" si="2843"/>
        <v xml:space="preserve"> </v>
      </c>
      <c r="AE355" s="167"/>
      <c r="AF355" s="165" t="str">
        <f t="shared" si="2844"/>
        <v xml:space="preserve"> </v>
      </c>
      <c r="AG355" s="168"/>
      <c r="AH355" s="168"/>
      <c r="AI355" s="166"/>
      <c r="AJ355" s="166"/>
      <c r="AK355" s="166" t="str">
        <f t="shared" si="2845"/>
        <v/>
      </c>
      <c r="AL355" s="167"/>
      <c r="AM355" s="171" t="str">
        <f t="shared" si="2846"/>
        <v xml:space="preserve"> </v>
      </c>
      <c r="AN355" s="168" t="str">
        <f t="shared" si="2847"/>
        <v xml:space="preserve"> </v>
      </c>
      <c r="AO355" s="168"/>
      <c r="AP355" s="167" t="str">
        <f t="shared" si="2848"/>
        <v xml:space="preserve"> </v>
      </c>
      <c r="AQ355" s="166"/>
      <c r="AR355" s="166" t="str">
        <f t="shared" si="2849"/>
        <v xml:space="preserve"> </v>
      </c>
      <c r="AS355" s="168" t="str">
        <f t="shared" si="2850"/>
        <v xml:space="preserve"> </v>
      </c>
      <c r="AT355" s="168"/>
      <c r="AU355" s="166" t="str">
        <f t="shared" si="2851"/>
        <v xml:space="preserve"> </v>
      </c>
      <c r="AV355" s="167"/>
      <c r="AW355" s="167"/>
      <c r="AX355" s="169" t="str">
        <f t="shared" si="2852"/>
        <v xml:space="preserve"> </v>
      </c>
      <c r="AY355" s="169"/>
      <c r="AZ355" s="167" t="str">
        <f t="shared" si="2853"/>
        <v xml:space="preserve"> </v>
      </c>
      <c r="BA355" s="166"/>
      <c r="BB355" s="166"/>
      <c r="BC355" s="168" t="str">
        <f t="shared" si="2854"/>
        <v xml:space="preserve"> </v>
      </c>
      <c r="BD355" s="168"/>
      <c r="BE355" s="166" t="str">
        <f t="shared" si="2855"/>
        <v xml:space="preserve"> </v>
      </c>
      <c r="BF355" s="167"/>
      <c r="BG355" s="167"/>
      <c r="BH355" s="168" t="str">
        <f t="shared" si="2856"/>
        <v xml:space="preserve"> </v>
      </c>
      <c r="BI355" s="168"/>
      <c r="BJ355" s="167" t="str">
        <f t="shared" si="2857"/>
        <v xml:space="preserve"> </v>
      </c>
      <c r="BK355" s="166"/>
      <c r="BL355" s="166" t="str">
        <f t="shared" si="2858"/>
        <v xml:space="preserve"> </v>
      </c>
      <c r="BM355" s="168" t="str">
        <f t="shared" si="2859"/>
        <v xml:space="preserve"> </v>
      </c>
      <c r="BN355" s="168"/>
      <c r="BO355" s="166" t="str">
        <f t="shared" si="2860"/>
        <v xml:space="preserve"> </v>
      </c>
    </row>
    <row r="356" spans="2:67" ht="15" customHeight="1" x14ac:dyDescent="0.25">
      <c r="B356" s="170">
        <v>46374</v>
      </c>
      <c r="C356" s="164"/>
      <c r="D356" s="166" t="str">
        <f t="shared" si="2827"/>
        <v xml:space="preserve"> </v>
      </c>
      <c r="E356" s="168" t="str">
        <f t="shared" si="2828"/>
        <v xml:space="preserve"> </v>
      </c>
      <c r="F356" s="168"/>
      <c r="G356" s="166" t="str">
        <f t="shared" si="2829"/>
        <v xml:space="preserve"> </v>
      </c>
      <c r="H356" s="167"/>
      <c r="I356" s="167" t="str">
        <f t="shared" si="2830"/>
        <v xml:space="preserve"> </v>
      </c>
      <c r="J356" s="168" t="str">
        <f t="shared" si="2831"/>
        <v xml:space="preserve"> </v>
      </c>
      <c r="K356" s="168"/>
      <c r="L356" s="167" t="str">
        <f t="shared" si="2832"/>
        <v xml:space="preserve"> </v>
      </c>
      <c r="M356" s="166"/>
      <c r="N356" s="166" t="str">
        <f t="shared" si="2833"/>
        <v xml:space="preserve"> </v>
      </c>
      <c r="O356" s="168" t="str">
        <f t="shared" si="2834"/>
        <v xml:space="preserve"> </v>
      </c>
      <c r="P356" s="168"/>
      <c r="Q356" s="166" t="str">
        <f t="shared" si="2835"/>
        <v xml:space="preserve"> </v>
      </c>
      <c r="R356" s="167">
        <f ca="1">+BDFUENTES[[#This Row],[PZ MED m3/día]]/3.6/BDFUENTES[[#This Row],[PZ MED Horas Activo]]</f>
        <v>0</v>
      </c>
      <c r="S356" s="167" t="str">
        <f t="shared" ca="1" si="2836"/>
        <v xml:space="preserve"> </v>
      </c>
      <c r="T356" s="168" t="str">
        <f t="shared" si="2837"/>
        <v xml:space="preserve"> </v>
      </c>
      <c r="U356" s="168"/>
      <c r="V356" s="165" t="str">
        <f t="shared" si="2838"/>
        <v xml:space="preserve"> </v>
      </c>
      <c r="W356" s="164" t="str">
        <f t="shared" si="2839"/>
        <v xml:space="preserve"> </v>
      </c>
      <c r="X356" s="166"/>
      <c r="Y356" s="168" t="str">
        <f t="shared" si="2840"/>
        <v xml:space="preserve"> </v>
      </c>
      <c r="Z356" s="168"/>
      <c r="AA356" s="166" t="str">
        <f t="shared" si="2841"/>
        <v xml:space="preserve"> </v>
      </c>
      <c r="AB356" s="168" t="str">
        <f t="shared" si="2842"/>
        <v xml:space="preserve"> </v>
      </c>
      <c r="AC356" s="168"/>
      <c r="AD356" s="171" t="str">
        <f t="shared" si="2843"/>
        <v xml:space="preserve"> </v>
      </c>
      <c r="AE356" s="167"/>
      <c r="AF356" s="165" t="str">
        <f t="shared" si="2844"/>
        <v xml:space="preserve"> </v>
      </c>
      <c r="AG356" s="168"/>
      <c r="AH356" s="168"/>
      <c r="AI356" s="166"/>
      <c r="AJ356" s="166"/>
      <c r="AK356" s="166" t="str">
        <f t="shared" si="2845"/>
        <v/>
      </c>
      <c r="AL356" s="167"/>
      <c r="AM356" s="171" t="str">
        <f t="shared" si="2846"/>
        <v xml:space="preserve"> </v>
      </c>
      <c r="AN356" s="168" t="str">
        <f t="shared" si="2847"/>
        <v xml:space="preserve"> </v>
      </c>
      <c r="AO356" s="168"/>
      <c r="AP356" s="167" t="str">
        <f t="shared" si="2848"/>
        <v xml:space="preserve"> </v>
      </c>
      <c r="AQ356" s="166"/>
      <c r="AR356" s="166" t="str">
        <f t="shared" si="2849"/>
        <v xml:space="preserve"> </v>
      </c>
      <c r="AS356" s="168" t="str">
        <f t="shared" si="2850"/>
        <v xml:space="preserve"> </v>
      </c>
      <c r="AT356" s="168"/>
      <c r="AU356" s="166" t="str">
        <f t="shared" si="2851"/>
        <v xml:space="preserve"> </v>
      </c>
      <c r="AV356" s="167"/>
      <c r="AW356" s="167"/>
      <c r="AX356" s="169" t="str">
        <f t="shared" si="2852"/>
        <v xml:space="preserve"> </v>
      </c>
      <c r="AY356" s="169"/>
      <c r="AZ356" s="167" t="str">
        <f t="shared" si="2853"/>
        <v xml:space="preserve"> </v>
      </c>
      <c r="BA356" s="166"/>
      <c r="BB356" s="166"/>
      <c r="BC356" s="168" t="str">
        <f t="shared" si="2854"/>
        <v xml:space="preserve"> </v>
      </c>
      <c r="BD356" s="168"/>
      <c r="BE356" s="166" t="str">
        <f t="shared" si="2855"/>
        <v xml:space="preserve"> </v>
      </c>
      <c r="BF356" s="167"/>
      <c r="BG356" s="167"/>
      <c r="BH356" s="168" t="str">
        <f t="shared" si="2856"/>
        <v xml:space="preserve"> </v>
      </c>
      <c r="BI356" s="168"/>
      <c r="BJ356" s="167" t="str">
        <f t="shared" si="2857"/>
        <v xml:space="preserve"> </v>
      </c>
      <c r="BK356" s="166"/>
      <c r="BL356" s="166" t="str">
        <f t="shared" si="2858"/>
        <v xml:space="preserve"> </v>
      </c>
      <c r="BM356" s="168" t="str">
        <f t="shared" si="2859"/>
        <v xml:space="preserve"> </v>
      </c>
      <c r="BN356" s="168"/>
      <c r="BO356" s="166" t="str">
        <f t="shared" si="2860"/>
        <v xml:space="preserve"> </v>
      </c>
    </row>
    <row r="357" spans="2:67" ht="15" customHeight="1" x14ac:dyDescent="0.25">
      <c r="B357" s="170">
        <v>46375</v>
      </c>
      <c r="C357" s="164"/>
      <c r="D357" s="166" t="str">
        <f t="shared" si="2827"/>
        <v xml:space="preserve"> </v>
      </c>
      <c r="E357" s="168" t="str">
        <f t="shared" si="2828"/>
        <v xml:space="preserve"> </v>
      </c>
      <c r="F357" s="168"/>
      <c r="G357" s="166" t="str">
        <f t="shared" si="2829"/>
        <v xml:space="preserve"> </v>
      </c>
      <c r="H357" s="167"/>
      <c r="I357" s="167" t="str">
        <f t="shared" si="2830"/>
        <v xml:space="preserve"> </v>
      </c>
      <c r="J357" s="168" t="str">
        <f t="shared" si="2831"/>
        <v xml:space="preserve"> </v>
      </c>
      <c r="K357" s="168"/>
      <c r="L357" s="167" t="str">
        <f t="shared" si="2832"/>
        <v xml:space="preserve"> </v>
      </c>
      <c r="M357" s="166"/>
      <c r="N357" s="166" t="str">
        <f t="shared" si="2833"/>
        <v xml:space="preserve"> </v>
      </c>
      <c r="O357" s="168" t="str">
        <f t="shared" si="2834"/>
        <v xml:space="preserve"> </v>
      </c>
      <c r="P357" s="168"/>
      <c r="Q357" s="166" t="str">
        <f t="shared" si="2835"/>
        <v xml:space="preserve"> </v>
      </c>
      <c r="R357" s="167">
        <f ca="1">+BDFUENTES[[#This Row],[PZ MED m3/día]]/3.6/BDFUENTES[[#This Row],[PZ MED Horas Activo]]</f>
        <v>0</v>
      </c>
      <c r="S357" s="167" t="str">
        <f t="shared" ca="1" si="2836"/>
        <v xml:space="preserve"> </v>
      </c>
      <c r="T357" s="168" t="str">
        <f t="shared" si="2837"/>
        <v xml:space="preserve"> </v>
      </c>
      <c r="U357" s="168"/>
      <c r="V357" s="165" t="str">
        <f t="shared" si="2838"/>
        <v xml:space="preserve"> </v>
      </c>
      <c r="W357" s="164" t="str">
        <f t="shared" si="2839"/>
        <v xml:space="preserve"> </v>
      </c>
      <c r="X357" s="166"/>
      <c r="Y357" s="168" t="str">
        <f t="shared" si="2840"/>
        <v xml:space="preserve"> </v>
      </c>
      <c r="Z357" s="168"/>
      <c r="AA357" s="166" t="str">
        <f t="shared" si="2841"/>
        <v xml:space="preserve"> </v>
      </c>
      <c r="AB357" s="168" t="str">
        <f t="shared" si="2842"/>
        <v xml:space="preserve"> </v>
      </c>
      <c r="AC357" s="168"/>
      <c r="AD357" s="171" t="str">
        <f t="shared" si="2843"/>
        <v xml:space="preserve"> </v>
      </c>
      <c r="AE357" s="167"/>
      <c r="AF357" s="165" t="str">
        <f t="shared" si="2844"/>
        <v xml:space="preserve"> </v>
      </c>
      <c r="AG357" s="168"/>
      <c r="AH357" s="168"/>
      <c r="AI357" s="166"/>
      <c r="AJ357" s="166"/>
      <c r="AK357" s="166" t="str">
        <f t="shared" si="2845"/>
        <v/>
      </c>
      <c r="AL357" s="167"/>
      <c r="AM357" s="171" t="str">
        <f t="shared" si="2846"/>
        <v xml:space="preserve"> </v>
      </c>
      <c r="AN357" s="168" t="str">
        <f t="shared" si="2847"/>
        <v xml:space="preserve"> </v>
      </c>
      <c r="AO357" s="168"/>
      <c r="AP357" s="167" t="str">
        <f t="shared" si="2848"/>
        <v xml:space="preserve"> </v>
      </c>
      <c r="AQ357" s="166"/>
      <c r="AR357" s="166" t="str">
        <f t="shared" si="2849"/>
        <v xml:space="preserve"> </v>
      </c>
      <c r="AS357" s="168" t="str">
        <f t="shared" si="2850"/>
        <v xml:space="preserve"> </v>
      </c>
      <c r="AT357" s="168"/>
      <c r="AU357" s="166" t="str">
        <f t="shared" si="2851"/>
        <v xml:space="preserve"> </v>
      </c>
      <c r="AV357" s="167"/>
      <c r="AW357" s="167"/>
      <c r="AX357" s="169" t="str">
        <f t="shared" si="2852"/>
        <v xml:space="preserve"> </v>
      </c>
      <c r="AY357" s="169"/>
      <c r="AZ357" s="167" t="str">
        <f t="shared" si="2853"/>
        <v xml:space="preserve"> </v>
      </c>
      <c r="BA357" s="166"/>
      <c r="BB357" s="166"/>
      <c r="BC357" s="168" t="str">
        <f t="shared" si="2854"/>
        <v xml:space="preserve"> </v>
      </c>
      <c r="BD357" s="168"/>
      <c r="BE357" s="166" t="str">
        <f t="shared" si="2855"/>
        <v xml:space="preserve"> </v>
      </c>
      <c r="BF357" s="167"/>
      <c r="BG357" s="167"/>
      <c r="BH357" s="168" t="str">
        <f t="shared" si="2856"/>
        <v xml:space="preserve"> </v>
      </c>
      <c r="BI357" s="168"/>
      <c r="BJ357" s="167" t="str">
        <f t="shared" si="2857"/>
        <v xml:space="preserve"> </v>
      </c>
      <c r="BK357" s="166"/>
      <c r="BL357" s="166" t="str">
        <f t="shared" si="2858"/>
        <v xml:space="preserve"> </v>
      </c>
      <c r="BM357" s="168" t="str">
        <f t="shared" si="2859"/>
        <v xml:space="preserve"> </v>
      </c>
      <c r="BN357" s="168"/>
      <c r="BO357" s="166" t="str">
        <f t="shared" si="2860"/>
        <v xml:space="preserve"> </v>
      </c>
    </row>
    <row r="358" spans="2:67" ht="15" customHeight="1" x14ac:dyDescent="0.25">
      <c r="B358" s="170">
        <v>46376</v>
      </c>
      <c r="C358" s="164"/>
      <c r="D358" s="166" t="str">
        <f t="shared" si="2827"/>
        <v xml:space="preserve"> </v>
      </c>
      <c r="E358" s="168" t="str">
        <f t="shared" si="2828"/>
        <v xml:space="preserve"> </v>
      </c>
      <c r="F358" s="168"/>
      <c r="G358" s="166" t="str">
        <f t="shared" si="2829"/>
        <v xml:space="preserve"> </v>
      </c>
      <c r="H358" s="167"/>
      <c r="I358" s="167" t="str">
        <f t="shared" si="2830"/>
        <v xml:space="preserve"> </v>
      </c>
      <c r="J358" s="168" t="str">
        <f t="shared" si="2831"/>
        <v xml:space="preserve"> </v>
      </c>
      <c r="K358" s="168"/>
      <c r="L358" s="167" t="str">
        <f t="shared" si="2832"/>
        <v xml:space="preserve"> </v>
      </c>
      <c r="M358" s="166"/>
      <c r="N358" s="166" t="str">
        <f t="shared" si="2833"/>
        <v xml:space="preserve"> </v>
      </c>
      <c r="O358" s="168" t="str">
        <f t="shared" si="2834"/>
        <v xml:space="preserve"> </v>
      </c>
      <c r="P358" s="168"/>
      <c r="Q358" s="166" t="str">
        <f t="shared" si="2835"/>
        <v xml:space="preserve"> </v>
      </c>
      <c r="R358" s="167">
        <f ca="1">+BDFUENTES[[#This Row],[PZ MED m3/día]]/3.6/BDFUENTES[[#This Row],[PZ MED Horas Activo]]</f>
        <v>0</v>
      </c>
      <c r="S358" s="167" t="str">
        <f t="shared" ca="1" si="2836"/>
        <v xml:space="preserve"> </v>
      </c>
      <c r="T358" s="168" t="str">
        <f t="shared" si="2837"/>
        <v xml:space="preserve"> </v>
      </c>
      <c r="U358" s="168"/>
      <c r="V358" s="165" t="str">
        <f t="shared" si="2838"/>
        <v xml:space="preserve"> </v>
      </c>
      <c r="W358" s="164" t="str">
        <f t="shared" si="2839"/>
        <v xml:space="preserve"> </v>
      </c>
      <c r="X358" s="166"/>
      <c r="Y358" s="168" t="str">
        <f t="shared" si="2840"/>
        <v xml:space="preserve"> </v>
      </c>
      <c r="Z358" s="168"/>
      <c r="AA358" s="166" t="str">
        <f t="shared" si="2841"/>
        <v xml:space="preserve"> </v>
      </c>
      <c r="AB358" s="168" t="str">
        <f t="shared" si="2842"/>
        <v xml:space="preserve"> </v>
      </c>
      <c r="AC358" s="168"/>
      <c r="AD358" s="171" t="str">
        <f t="shared" si="2843"/>
        <v xml:space="preserve"> </v>
      </c>
      <c r="AE358" s="167"/>
      <c r="AF358" s="165" t="str">
        <f t="shared" si="2844"/>
        <v xml:space="preserve"> </v>
      </c>
      <c r="AG358" s="168"/>
      <c r="AH358" s="168"/>
      <c r="AI358" s="166"/>
      <c r="AJ358" s="166"/>
      <c r="AK358" s="166" t="str">
        <f t="shared" si="2845"/>
        <v/>
      </c>
      <c r="AL358" s="167"/>
      <c r="AM358" s="171" t="str">
        <f t="shared" si="2846"/>
        <v xml:space="preserve"> </v>
      </c>
      <c r="AN358" s="168" t="str">
        <f t="shared" si="2847"/>
        <v xml:space="preserve"> </v>
      </c>
      <c r="AO358" s="168"/>
      <c r="AP358" s="167" t="str">
        <f t="shared" si="2848"/>
        <v xml:space="preserve"> </v>
      </c>
      <c r="AQ358" s="166"/>
      <c r="AR358" s="166" t="str">
        <f t="shared" si="2849"/>
        <v xml:space="preserve"> </v>
      </c>
      <c r="AS358" s="168" t="str">
        <f t="shared" si="2850"/>
        <v xml:space="preserve"> </v>
      </c>
      <c r="AT358" s="168"/>
      <c r="AU358" s="166" t="str">
        <f t="shared" si="2851"/>
        <v xml:space="preserve"> </v>
      </c>
      <c r="AV358" s="167"/>
      <c r="AW358" s="167"/>
      <c r="AX358" s="169" t="str">
        <f t="shared" si="2852"/>
        <v xml:space="preserve"> </v>
      </c>
      <c r="AY358" s="169"/>
      <c r="AZ358" s="167" t="str">
        <f t="shared" si="2853"/>
        <v xml:space="preserve"> </v>
      </c>
      <c r="BA358" s="166"/>
      <c r="BB358" s="166"/>
      <c r="BC358" s="168" t="str">
        <f t="shared" si="2854"/>
        <v xml:space="preserve"> </v>
      </c>
      <c r="BD358" s="168"/>
      <c r="BE358" s="166" t="str">
        <f t="shared" si="2855"/>
        <v xml:space="preserve"> </v>
      </c>
      <c r="BF358" s="167"/>
      <c r="BG358" s="167"/>
      <c r="BH358" s="168" t="str">
        <f t="shared" si="2856"/>
        <v xml:space="preserve"> </v>
      </c>
      <c r="BI358" s="168"/>
      <c r="BJ358" s="167" t="str">
        <f t="shared" si="2857"/>
        <v xml:space="preserve"> </v>
      </c>
      <c r="BK358" s="166"/>
      <c r="BL358" s="166" t="str">
        <f t="shared" si="2858"/>
        <v xml:space="preserve"> </v>
      </c>
      <c r="BM358" s="168" t="str">
        <f t="shared" si="2859"/>
        <v xml:space="preserve"> </v>
      </c>
      <c r="BN358" s="168"/>
      <c r="BO358" s="166" t="str">
        <f t="shared" si="2860"/>
        <v xml:space="preserve"> </v>
      </c>
    </row>
    <row r="359" spans="2:67" ht="15" customHeight="1" x14ac:dyDescent="0.25">
      <c r="B359" s="170">
        <v>46377</v>
      </c>
      <c r="C359" s="164"/>
      <c r="D359" s="166" t="str">
        <f t="shared" si="2827"/>
        <v xml:space="preserve"> </v>
      </c>
      <c r="E359" s="168" t="str">
        <f t="shared" si="2828"/>
        <v xml:space="preserve"> </v>
      </c>
      <c r="F359" s="168"/>
      <c r="G359" s="166" t="str">
        <f t="shared" si="2829"/>
        <v xml:space="preserve"> </v>
      </c>
      <c r="H359" s="167"/>
      <c r="I359" s="167" t="str">
        <f t="shared" si="2830"/>
        <v xml:space="preserve"> </v>
      </c>
      <c r="J359" s="168" t="str">
        <f t="shared" si="2831"/>
        <v xml:space="preserve"> </v>
      </c>
      <c r="K359" s="168"/>
      <c r="L359" s="167" t="str">
        <f t="shared" si="2832"/>
        <v xml:space="preserve"> </v>
      </c>
      <c r="M359" s="166"/>
      <c r="N359" s="166" t="str">
        <f t="shared" si="2833"/>
        <v xml:space="preserve"> </v>
      </c>
      <c r="O359" s="168" t="str">
        <f t="shared" si="2834"/>
        <v xml:space="preserve"> </v>
      </c>
      <c r="P359" s="168"/>
      <c r="Q359" s="166" t="str">
        <f t="shared" si="2835"/>
        <v xml:space="preserve"> </v>
      </c>
      <c r="R359" s="167">
        <f ca="1">+BDFUENTES[[#This Row],[PZ MED m3/día]]/3.6/BDFUENTES[[#This Row],[PZ MED Horas Activo]]</f>
        <v>0</v>
      </c>
      <c r="S359" s="167" t="str">
        <f t="shared" ca="1" si="2836"/>
        <v xml:space="preserve"> </v>
      </c>
      <c r="T359" s="168" t="str">
        <f t="shared" si="2837"/>
        <v xml:space="preserve"> </v>
      </c>
      <c r="U359" s="168"/>
      <c r="V359" s="165" t="str">
        <f t="shared" si="2838"/>
        <v xml:space="preserve"> </v>
      </c>
      <c r="W359" s="164" t="str">
        <f t="shared" si="2839"/>
        <v xml:space="preserve"> </v>
      </c>
      <c r="X359" s="166"/>
      <c r="Y359" s="168" t="str">
        <f t="shared" si="2840"/>
        <v xml:space="preserve"> </v>
      </c>
      <c r="Z359" s="168"/>
      <c r="AA359" s="166" t="str">
        <f t="shared" si="2841"/>
        <v xml:space="preserve"> </v>
      </c>
      <c r="AB359" s="168" t="str">
        <f t="shared" si="2842"/>
        <v xml:space="preserve"> </v>
      </c>
      <c r="AC359" s="168"/>
      <c r="AD359" s="171" t="str">
        <f t="shared" si="2843"/>
        <v xml:space="preserve"> </v>
      </c>
      <c r="AE359" s="167"/>
      <c r="AF359" s="165" t="str">
        <f t="shared" si="2844"/>
        <v xml:space="preserve"> </v>
      </c>
      <c r="AG359" s="168"/>
      <c r="AH359" s="168"/>
      <c r="AI359" s="166"/>
      <c r="AJ359" s="166"/>
      <c r="AK359" s="166" t="str">
        <f t="shared" si="2845"/>
        <v/>
      </c>
      <c r="AL359" s="167"/>
      <c r="AM359" s="171" t="str">
        <f t="shared" si="2846"/>
        <v xml:space="preserve"> </v>
      </c>
      <c r="AN359" s="168" t="str">
        <f t="shared" si="2847"/>
        <v xml:space="preserve"> </v>
      </c>
      <c r="AO359" s="168"/>
      <c r="AP359" s="167" t="str">
        <f t="shared" si="2848"/>
        <v xml:space="preserve"> </v>
      </c>
      <c r="AQ359" s="166"/>
      <c r="AR359" s="166" t="str">
        <f t="shared" si="2849"/>
        <v xml:space="preserve"> </v>
      </c>
      <c r="AS359" s="168" t="str">
        <f t="shared" si="2850"/>
        <v xml:space="preserve"> </v>
      </c>
      <c r="AT359" s="168"/>
      <c r="AU359" s="166" t="str">
        <f t="shared" si="2851"/>
        <v xml:space="preserve"> </v>
      </c>
      <c r="AV359" s="167"/>
      <c r="AW359" s="167"/>
      <c r="AX359" s="169" t="str">
        <f t="shared" si="2852"/>
        <v xml:space="preserve"> </v>
      </c>
      <c r="AY359" s="169"/>
      <c r="AZ359" s="167" t="str">
        <f t="shared" si="2853"/>
        <v xml:space="preserve"> </v>
      </c>
      <c r="BA359" s="166"/>
      <c r="BB359" s="166"/>
      <c r="BC359" s="168" t="str">
        <f t="shared" si="2854"/>
        <v xml:space="preserve"> </v>
      </c>
      <c r="BD359" s="168"/>
      <c r="BE359" s="166" t="str">
        <f t="shared" si="2855"/>
        <v xml:space="preserve"> </v>
      </c>
      <c r="BF359" s="167"/>
      <c r="BG359" s="167"/>
      <c r="BH359" s="168" t="str">
        <f t="shared" si="2856"/>
        <v xml:space="preserve"> </v>
      </c>
      <c r="BI359" s="168"/>
      <c r="BJ359" s="167" t="str">
        <f t="shared" si="2857"/>
        <v xml:space="preserve"> </v>
      </c>
      <c r="BK359" s="166"/>
      <c r="BL359" s="166" t="str">
        <f t="shared" si="2858"/>
        <v xml:space="preserve"> </v>
      </c>
      <c r="BM359" s="168" t="str">
        <f t="shared" si="2859"/>
        <v xml:space="preserve"> </v>
      </c>
      <c r="BN359" s="168"/>
      <c r="BO359" s="166" t="str">
        <f t="shared" si="2860"/>
        <v xml:space="preserve"> </v>
      </c>
    </row>
    <row r="360" spans="2:67" ht="15" customHeight="1" x14ac:dyDescent="0.25">
      <c r="B360" s="170">
        <v>46378</v>
      </c>
      <c r="C360" s="164"/>
      <c r="D360" s="166" t="str">
        <f t="shared" ref="D360:D369" si="2861">IFERROR(+G360/(C360*3.6)," ")</f>
        <v xml:space="preserve"> </v>
      </c>
      <c r="E360" s="168" t="str">
        <f t="shared" ref="E360:E369" si="2862">IF(F360&gt;0,F359," ")</f>
        <v xml:space="preserve"> </v>
      </c>
      <c r="F360" s="168"/>
      <c r="G360" s="166" t="str">
        <f t="shared" ref="G360:G369" si="2863">IFERROR((F360-E360)," ")</f>
        <v xml:space="preserve"> </v>
      </c>
      <c r="H360" s="167"/>
      <c r="I360" s="167" t="str">
        <f t="shared" ref="I360:I369" si="2864">IFERROR(+L360/(H360*3.6)," ")</f>
        <v xml:space="preserve"> </v>
      </c>
      <c r="J360" s="168" t="str">
        <f t="shared" ref="J360:J369" si="2865">IF(K360&gt;0,K359," ")</f>
        <v xml:space="preserve"> </v>
      </c>
      <c r="K360" s="168"/>
      <c r="L360" s="167" t="str">
        <f t="shared" ref="L360:L369" si="2866">IFERROR((K360-J360)," ")</f>
        <v xml:space="preserve"> </v>
      </c>
      <c r="M360" s="166"/>
      <c r="N360" s="166" t="str">
        <f t="shared" ref="N360:N369" si="2867">IFERROR(+Q360/(M360*3.6)," ")</f>
        <v xml:space="preserve"> </v>
      </c>
      <c r="O360" s="168" t="str">
        <f t="shared" ref="O360:O369" si="2868">IF(P360&gt;0,P359," ")</f>
        <v xml:space="preserve"> </v>
      </c>
      <c r="P360" s="168"/>
      <c r="Q360" s="166" t="str">
        <f t="shared" ref="Q360:Q369" si="2869">IFERROR((P360-O360)," ")</f>
        <v xml:space="preserve"> </v>
      </c>
      <c r="R360" s="167">
        <f ca="1">+BDFUENTES[[#This Row],[PZ MED m3/día]]/3.6/BDFUENTES[[#This Row],[PZ MED Horas Activo]]</f>
        <v>0</v>
      </c>
      <c r="S360" s="167" t="str">
        <f t="shared" ref="S360:S369" ca="1" si="2870">IFERROR(+V360/(R360*3.6)," ")</f>
        <v xml:space="preserve"> </v>
      </c>
      <c r="T360" s="168" t="str">
        <f t="shared" ref="T360:T369" si="2871">IF(U360&gt;0,U359," ")</f>
        <v xml:space="preserve"> </v>
      </c>
      <c r="U360" s="168"/>
      <c r="V360" s="165" t="str">
        <f t="shared" ref="V360:V369" si="2872">IFERROR((U360-T360)," ")</f>
        <v xml:space="preserve"> </v>
      </c>
      <c r="W360" s="164" t="str">
        <f t="shared" ref="W360:W369" si="2873">IFERROR((AA360/X360)/3.6," ")</f>
        <v xml:space="preserve"> </v>
      </c>
      <c r="X360" s="166"/>
      <c r="Y360" s="168" t="str">
        <f t="shared" ref="Y360:Y369" si="2874">IF(Z360&gt;0,Z359," ")</f>
        <v xml:space="preserve"> </v>
      </c>
      <c r="Z360" s="168"/>
      <c r="AA360" s="166" t="str">
        <f t="shared" ref="AA360:AA369" si="2875">IFERROR(-(Z360-Y360)," ")</f>
        <v xml:space="preserve"> </v>
      </c>
      <c r="AB360" s="168" t="str">
        <f t="shared" ref="AB360:AB369" si="2876">IFERROR(ROUNDDOWN(+AF360/(AC360*3.6),0)," ")</f>
        <v xml:space="preserve"> </v>
      </c>
      <c r="AC360" s="168"/>
      <c r="AD360" s="171" t="str">
        <f t="shared" ref="AD360:AD369" si="2877">IF(AE360&gt;0,AE359," ")</f>
        <v xml:space="preserve"> </v>
      </c>
      <c r="AE360" s="167"/>
      <c r="AF360" s="165" t="str">
        <f t="shared" ref="AF360:AF369" si="2878">IFERROR((AE360-AD360)," ")</f>
        <v xml:space="preserve"> </v>
      </c>
      <c r="AG360" s="168"/>
      <c r="AH360" s="168"/>
      <c r="AI360" s="166"/>
      <c r="AJ360" s="166"/>
      <c r="AK360" s="166" t="str">
        <f t="shared" ref="AK360:AK369" si="2879">IF(OR(AH360="",AG360=""),"",AH360*AG360*3.6)</f>
        <v/>
      </c>
      <c r="AL360" s="167"/>
      <c r="AM360" s="171" t="str">
        <f t="shared" ref="AM360:AM369" si="2880">IFERROR(+AP360/(AL360*3.6)," ")</f>
        <v xml:space="preserve"> </v>
      </c>
      <c r="AN360" s="168" t="str">
        <f t="shared" ref="AN360:AN369" si="2881">IF(AO360&gt;0,AO359," ")</f>
        <v xml:space="preserve"> </v>
      </c>
      <c r="AO360" s="168"/>
      <c r="AP360" s="167" t="str">
        <f t="shared" ref="AP360:AP369" si="2882">IFERROR((AO360-AN360)," ")</f>
        <v xml:space="preserve"> </v>
      </c>
      <c r="AQ360" s="166"/>
      <c r="AR360" s="166" t="str">
        <f t="shared" ref="AR360:AR369" si="2883">IFERROR(+AU360/(AQ360*3.6)," ")</f>
        <v xml:space="preserve"> </v>
      </c>
      <c r="AS360" s="168" t="str">
        <f t="shared" ref="AS360:AS369" si="2884">IF(AT360&gt;0,AT359," ")</f>
        <v xml:space="preserve"> </v>
      </c>
      <c r="AT360" s="168"/>
      <c r="AU360" s="166" t="str">
        <f t="shared" ref="AU360:AU369" si="2885">IFERROR((AT360-AS360)," ")</f>
        <v xml:space="preserve"> </v>
      </c>
      <c r="AV360" s="167"/>
      <c r="AW360" s="167"/>
      <c r="AX360" s="169" t="str">
        <f t="shared" ref="AX360:AX369" si="2886">IF(AY360&gt;0,AY359," ")</f>
        <v xml:space="preserve"> </v>
      </c>
      <c r="AY360" s="169"/>
      <c r="AZ360" s="167" t="str">
        <f t="shared" ref="AZ360:AZ369" si="2887">IFERROR((AY360-AX360)," ")</f>
        <v xml:space="preserve"> </v>
      </c>
      <c r="BA360" s="166"/>
      <c r="BB360" s="166"/>
      <c r="BC360" s="168" t="str">
        <f t="shared" ref="BC360:BC369" si="2888">IF(BD360&gt;0,BD359," ")</f>
        <v xml:space="preserve"> </v>
      </c>
      <c r="BD360" s="168"/>
      <c r="BE360" s="166" t="str">
        <f t="shared" ref="BE360:BE369" si="2889">IFERROR((BD360-BC360)," ")</f>
        <v xml:space="preserve"> </v>
      </c>
      <c r="BF360" s="167"/>
      <c r="BG360" s="167"/>
      <c r="BH360" s="168" t="str">
        <f t="shared" ref="BH360:BH369" si="2890">IF(BI360&gt;0,BI359," ")</f>
        <v xml:space="preserve"> </v>
      </c>
      <c r="BI360" s="168"/>
      <c r="BJ360" s="167" t="str">
        <f t="shared" ref="BJ360:BJ369" si="2891">IFERROR((BI360-BH360)," ")</f>
        <v xml:space="preserve"> </v>
      </c>
      <c r="BK360" s="166"/>
      <c r="BL360" s="166" t="str">
        <f t="shared" ref="BL360:BL369" si="2892">IFERROR(+BO360/(BK360*3.6)," ")</f>
        <v xml:space="preserve"> </v>
      </c>
      <c r="BM360" s="168" t="str">
        <f t="shared" ref="BM360:BM369" si="2893">IF(BN360&gt;0,BN359," ")</f>
        <v xml:space="preserve"> </v>
      </c>
      <c r="BN360" s="168"/>
      <c r="BO360" s="166" t="str">
        <f t="shared" ref="BO360:BO369" si="2894">IFERROR((BN360-BM360)," ")</f>
        <v xml:space="preserve"> </v>
      </c>
    </row>
    <row r="361" spans="2:67" ht="15" customHeight="1" x14ac:dyDescent="0.25">
      <c r="B361" s="170">
        <v>46379</v>
      </c>
      <c r="C361" s="164"/>
      <c r="D361" s="166" t="str">
        <f t="shared" si="2861"/>
        <v xml:space="preserve"> </v>
      </c>
      <c r="E361" s="168" t="str">
        <f t="shared" si="2862"/>
        <v xml:space="preserve"> </v>
      </c>
      <c r="F361" s="168"/>
      <c r="G361" s="166" t="str">
        <f t="shared" si="2863"/>
        <v xml:space="preserve"> </v>
      </c>
      <c r="H361" s="167"/>
      <c r="I361" s="167" t="str">
        <f t="shared" si="2864"/>
        <v xml:space="preserve"> </v>
      </c>
      <c r="J361" s="168" t="str">
        <f t="shared" si="2865"/>
        <v xml:space="preserve"> </v>
      </c>
      <c r="K361" s="168"/>
      <c r="L361" s="167" t="str">
        <f t="shared" si="2866"/>
        <v xml:space="preserve"> </v>
      </c>
      <c r="M361" s="166"/>
      <c r="N361" s="166" t="str">
        <f t="shared" si="2867"/>
        <v xml:space="preserve"> </v>
      </c>
      <c r="O361" s="168" t="str">
        <f t="shared" si="2868"/>
        <v xml:space="preserve"> </v>
      </c>
      <c r="P361" s="168"/>
      <c r="Q361" s="166" t="str">
        <f t="shared" si="2869"/>
        <v xml:space="preserve"> </v>
      </c>
      <c r="R361" s="167">
        <f ca="1">+BDFUENTES[[#This Row],[PZ MED m3/día]]/3.6/BDFUENTES[[#This Row],[PZ MED Horas Activo]]</f>
        <v>0</v>
      </c>
      <c r="S361" s="167" t="str">
        <f t="shared" ca="1" si="2870"/>
        <v xml:space="preserve"> </v>
      </c>
      <c r="T361" s="168" t="str">
        <f t="shared" si="2871"/>
        <v xml:space="preserve"> </v>
      </c>
      <c r="U361" s="168"/>
      <c r="V361" s="165" t="str">
        <f t="shared" si="2872"/>
        <v xml:space="preserve"> </v>
      </c>
      <c r="W361" s="164" t="str">
        <f t="shared" si="2873"/>
        <v xml:space="preserve"> </v>
      </c>
      <c r="X361" s="166"/>
      <c r="Y361" s="168" t="str">
        <f t="shared" si="2874"/>
        <v xml:space="preserve"> </v>
      </c>
      <c r="Z361" s="168"/>
      <c r="AA361" s="166" t="str">
        <f t="shared" si="2875"/>
        <v xml:space="preserve"> </v>
      </c>
      <c r="AB361" s="168" t="str">
        <f t="shared" si="2876"/>
        <v xml:space="preserve"> </v>
      </c>
      <c r="AC361" s="168"/>
      <c r="AD361" s="171" t="str">
        <f t="shared" si="2877"/>
        <v xml:space="preserve"> </v>
      </c>
      <c r="AE361" s="167"/>
      <c r="AF361" s="165" t="str">
        <f t="shared" si="2878"/>
        <v xml:space="preserve"> </v>
      </c>
      <c r="AG361" s="168"/>
      <c r="AH361" s="168"/>
      <c r="AI361" s="166"/>
      <c r="AJ361" s="166"/>
      <c r="AK361" s="166" t="str">
        <f t="shared" si="2879"/>
        <v/>
      </c>
      <c r="AL361" s="167"/>
      <c r="AM361" s="171" t="str">
        <f t="shared" si="2880"/>
        <v xml:space="preserve"> </v>
      </c>
      <c r="AN361" s="168" t="str">
        <f t="shared" si="2881"/>
        <v xml:space="preserve"> </v>
      </c>
      <c r="AO361" s="168"/>
      <c r="AP361" s="167" t="str">
        <f t="shared" si="2882"/>
        <v xml:space="preserve"> </v>
      </c>
      <c r="AQ361" s="166"/>
      <c r="AR361" s="166" t="str">
        <f t="shared" si="2883"/>
        <v xml:space="preserve"> </v>
      </c>
      <c r="AS361" s="168" t="str">
        <f t="shared" si="2884"/>
        <v xml:space="preserve"> </v>
      </c>
      <c r="AT361" s="168"/>
      <c r="AU361" s="166" t="str">
        <f t="shared" si="2885"/>
        <v xml:space="preserve"> </v>
      </c>
      <c r="AV361" s="167"/>
      <c r="AW361" s="167"/>
      <c r="AX361" s="169" t="str">
        <f t="shared" si="2886"/>
        <v xml:space="preserve"> </v>
      </c>
      <c r="AY361" s="169"/>
      <c r="AZ361" s="167" t="str">
        <f t="shared" si="2887"/>
        <v xml:space="preserve"> </v>
      </c>
      <c r="BA361" s="166"/>
      <c r="BB361" s="166"/>
      <c r="BC361" s="168" t="str">
        <f t="shared" si="2888"/>
        <v xml:space="preserve"> </v>
      </c>
      <c r="BD361" s="168"/>
      <c r="BE361" s="166" t="str">
        <f t="shared" si="2889"/>
        <v xml:space="preserve"> </v>
      </c>
      <c r="BF361" s="167"/>
      <c r="BG361" s="167"/>
      <c r="BH361" s="168" t="str">
        <f t="shared" si="2890"/>
        <v xml:space="preserve"> </v>
      </c>
      <c r="BI361" s="168"/>
      <c r="BJ361" s="167" t="str">
        <f t="shared" si="2891"/>
        <v xml:space="preserve"> </v>
      </c>
      <c r="BK361" s="166"/>
      <c r="BL361" s="166" t="str">
        <f t="shared" si="2892"/>
        <v xml:space="preserve"> </v>
      </c>
      <c r="BM361" s="168" t="str">
        <f t="shared" si="2893"/>
        <v xml:space="preserve"> </v>
      </c>
      <c r="BN361" s="168"/>
      <c r="BO361" s="166" t="str">
        <f t="shared" si="2894"/>
        <v xml:space="preserve"> </v>
      </c>
    </row>
    <row r="362" spans="2:67" ht="15" customHeight="1" x14ac:dyDescent="0.25">
      <c r="B362" s="170">
        <v>46380</v>
      </c>
      <c r="C362" s="164"/>
      <c r="D362" s="166" t="str">
        <f t="shared" si="2861"/>
        <v xml:space="preserve"> </v>
      </c>
      <c r="E362" s="168" t="str">
        <f t="shared" si="2862"/>
        <v xml:space="preserve"> </v>
      </c>
      <c r="F362" s="168"/>
      <c r="G362" s="166" t="str">
        <f t="shared" si="2863"/>
        <v xml:space="preserve"> </v>
      </c>
      <c r="H362" s="167"/>
      <c r="I362" s="167" t="str">
        <f t="shared" si="2864"/>
        <v xml:space="preserve"> </v>
      </c>
      <c r="J362" s="168" t="str">
        <f t="shared" si="2865"/>
        <v xml:space="preserve"> </v>
      </c>
      <c r="K362" s="168"/>
      <c r="L362" s="167" t="str">
        <f t="shared" si="2866"/>
        <v xml:space="preserve"> </v>
      </c>
      <c r="M362" s="166"/>
      <c r="N362" s="166" t="str">
        <f t="shared" si="2867"/>
        <v xml:space="preserve"> </v>
      </c>
      <c r="O362" s="168" t="str">
        <f t="shared" si="2868"/>
        <v xml:space="preserve"> </v>
      </c>
      <c r="P362" s="168"/>
      <c r="Q362" s="166" t="str">
        <f t="shared" si="2869"/>
        <v xml:space="preserve"> </v>
      </c>
      <c r="R362" s="167">
        <f ca="1">+BDFUENTES[[#This Row],[PZ MED m3/día]]/3.6/BDFUENTES[[#This Row],[PZ MED Horas Activo]]</f>
        <v>0</v>
      </c>
      <c r="S362" s="167" t="str">
        <f t="shared" ca="1" si="2870"/>
        <v xml:space="preserve"> </v>
      </c>
      <c r="T362" s="168" t="str">
        <f t="shared" si="2871"/>
        <v xml:space="preserve"> </v>
      </c>
      <c r="U362" s="168"/>
      <c r="V362" s="165" t="str">
        <f t="shared" si="2872"/>
        <v xml:space="preserve"> </v>
      </c>
      <c r="W362" s="164" t="str">
        <f t="shared" si="2873"/>
        <v xml:space="preserve"> </v>
      </c>
      <c r="X362" s="166"/>
      <c r="Y362" s="168" t="str">
        <f t="shared" si="2874"/>
        <v xml:space="preserve"> </v>
      </c>
      <c r="Z362" s="168"/>
      <c r="AA362" s="166" t="str">
        <f t="shared" si="2875"/>
        <v xml:space="preserve"> </v>
      </c>
      <c r="AB362" s="168" t="str">
        <f t="shared" si="2876"/>
        <v xml:space="preserve"> </v>
      </c>
      <c r="AC362" s="168"/>
      <c r="AD362" s="171" t="str">
        <f t="shared" si="2877"/>
        <v xml:space="preserve"> </v>
      </c>
      <c r="AE362" s="167"/>
      <c r="AF362" s="165" t="str">
        <f t="shared" si="2878"/>
        <v xml:space="preserve"> </v>
      </c>
      <c r="AG362" s="168"/>
      <c r="AH362" s="168"/>
      <c r="AI362" s="166"/>
      <c r="AJ362" s="166"/>
      <c r="AK362" s="166" t="str">
        <f t="shared" si="2879"/>
        <v/>
      </c>
      <c r="AL362" s="167"/>
      <c r="AM362" s="171" t="str">
        <f t="shared" si="2880"/>
        <v xml:space="preserve"> </v>
      </c>
      <c r="AN362" s="168" t="str">
        <f t="shared" si="2881"/>
        <v xml:space="preserve"> </v>
      </c>
      <c r="AO362" s="168"/>
      <c r="AP362" s="167" t="str">
        <f t="shared" si="2882"/>
        <v xml:space="preserve"> </v>
      </c>
      <c r="AQ362" s="166"/>
      <c r="AR362" s="166" t="str">
        <f t="shared" si="2883"/>
        <v xml:space="preserve"> </v>
      </c>
      <c r="AS362" s="168" t="str">
        <f t="shared" si="2884"/>
        <v xml:space="preserve"> </v>
      </c>
      <c r="AT362" s="168"/>
      <c r="AU362" s="166" t="str">
        <f t="shared" si="2885"/>
        <v xml:space="preserve"> </v>
      </c>
      <c r="AV362" s="167"/>
      <c r="AW362" s="167"/>
      <c r="AX362" s="169" t="str">
        <f t="shared" si="2886"/>
        <v xml:space="preserve"> </v>
      </c>
      <c r="AY362" s="169"/>
      <c r="AZ362" s="167" t="str">
        <f t="shared" si="2887"/>
        <v xml:space="preserve"> </v>
      </c>
      <c r="BA362" s="166"/>
      <c r="BB362" s="166"/>
      <c r="BC362" s="168" t="str">
        <f t="shared" si="2888"/>
        <v xml:space="preserve"> </v>
      </c>
      <c r="BD362" s="168"/>
      <c r="BE362" s="166" t="str">
        <f t="shared" si="2889"/>
        <v xml:space="preserve"> </v>
      </c>
      <c r="BF362" s="167"/>
      <c r="BG362" s="167"/>
      <c r="BH362" s="168" t="str">
        <f t="shared" si="2890"/>
        <v xml:space="preserve"> </v>
      </c>
      <c r="BI362" s="168"/>
      <c r="BJ362" s="167" t="str">
        <f t="shared" si="2891"/>
        <v xml:space="preserve"> </v>
      </c>
      <c r="BK362" s="166"/>
      <c r="BL362" s="166" t="str">
        <f t="shared" si="2892"/>
        <v xml:space="preserve"> </v>
      </c>
      <c r="BM362" s="168" t="str">
        <f t="shared" si="2893"/>
        <v xml:space="preserve"> </v>
      </c>
      <c r="BN362" s="168"/>
      <c r="BO362" s="166" t="str">
        <f t="shared" si="2894"/>
        <v xml:space="preserve"> </v>
      </c>
    </row>
    <row r="363" spans="2:67" ht="15" customHeight="1" x14ac:dyDescent="0.25">
      <c r="B363" s="170">
        <v>46381</v>
      </c>
      <c r="C363" s="164"/>
      <c r="D363" s="166" t="str">
        <f t="shared" si="2861"/>
        <v xml:space="preserve"> </v>
      </c>
      <c r="E363" s="168" t="str">
        <f t="shared" si="2862"/>
        <v xml:space="preserve"> </v>
      </c>
      <c r="F363" s="168"/>
      <c r="G363" s="166" t="str">
        <f t="shared" si="2863"/>
        <v xml:space="preserve"> </v>
      </c>
      <c r="H363" s="167"/>
      <c r="I363" s="167" t="str">
        <f t="shared" si="2864"/>
        <v xml:space="preserve"> </v>
      </c>
      <c r="J363" s="168" t="str">
        <f t="shared" si="2865"/>
        <v xml:space="preserve"> </v>
      </c>
      <c r="K363" s="168"/>
      <c r="L363" s="167" t="str">
        <f t="shared" si="2866"/>
        <v xml:space="preserve"> </v>
      </c>
      <c r="M363" s="166"/>
      <c r="N363" s="166" t="str">
        <f t="shared" si="2867"/>
        <v xml:space="preserve"> </v>
      </c>
      <c r="O363" s="168" t="str">
        <f t="shared" si="2868"/>
        <v xml:space="preserve"> </v>
      </c>
      <c r="P363" s="168"/>
      <c r="Q363" s="166" t="str">
        <f t="shared" si="2869"/>
        <v xml:space="preserve"> </v>
      </c>
      <c r="R363" s="167">
        <f ca="1">+BDFUENTES[[#This Row],[PZ MED m3/día]]/3.6/BDFUENTES[[#This Row],[PZ MED Horas Activo]]</f>
        <v>0</v>
      </c>
      <c r="S363" s="167" t="str">
        <f t="shared" ca="1" si="2870"/>
        <v xml:space="preserve"> </v>
      </c>
      <c r="T363" s="168" t="str">
        <f t="shared" si="2871"/>
        <v xml:space="preserve"> </v>
      </c>
      <c r="U363" s="168"/>
      <c r="V363" s="165" t="str">
        <f t="shared" si="2872"/>
        <v xml:space="preserve"> </v>
      </c>
      <c r="W363" s="164" t="str">
        <f t="shared" si="2873"/>
        <v xml:space="preserve"> </v>
      </c>
      <c r="X363" s="166"/>
      <c r="Y363" s="168" t="str">
        <f t="shared" si="2874"/>
        <v xml:space="preserve"> </v>
      </c>
      <c r="Z363" s="168"/>
      <c r="AA363" s="166" t="str">
        <f t="shared" si="2875"/>
        <v xml:space="preserve"> </v>
      </c>
      <c r="AB363" s="168" t="str">
        <f t="shared" si="2876"/>
        <v xml:space="preserve"> </v>
      </c>
      <c r="AC363" s="168"/>
      <c r="AD363" s="171" t="str">
        <f t="shared" si="2877"/>
        <v xml:space="preserve"> </v>
      </c>
      <c r="AE363" s="167"/>
      <c r="AF363" s="165" t="str">
        <f t="shared" si="2878"/>
        <v xml:space="preserve"> </v>
      </c>
      <c r="AG363" s="168"/>
      <c r="AH363" s="168"/>
      <c r="AI363" s="166"/>
      <c r="AJ363" s="166"/>
      <c r="AK363" s="166" t="str">
        <f t="shared" si="2879"/>
        <v/>
      </c>
      <c r="AL363" s="167"/>
      <c r="AM363" s="171" t="str">
        <f t="shared" si="2880"/>
        <v xml:space="preserve"> </v>
      </c>
      <c r="AN363" s="168" t="str">
        <f t="shared" si="2881"/>
        <v xml:space="preserve"> </v>
      </c>
      <c r="AO363" s="168"/>
      <c r="AP363" s="167" t="str">
        <f t="shared" si="2882"/>
        <v xml:space="preserve"> </v>
      </c>
      <c r="AQ363" s="166"/>
      <c r="AR363" s="166" t="str">
        <f t="shared" si="2883"/>
        <v xml:space="preserve"> </v>
      </c>
      <c r="AS363" s="168" t="str">
        <f t="shared" si="2884"/>
        <v xml:space="preserve"> </v>
      </c>
      <c r="AT363" s="168"/>
      <c r="AU363" s="166" t="str">
        <f t="shared" si="2885"/>
        <v xml:space="preserve"> </v>
      </c>
      <c r="AV363" s="167"/>
      <c r="AW363" s="167"/>
      <c r="AX363" s="169" t="str">
        <f t="shared" si="2886"/>
        <v xml:space="preserve"> </v>
      </c>
      <c r="AY363" s="169"/>
      <c r="AZ363" s="167" t="str">
        <f t="shared" si="2887"/>
        <v xml:space="preserve"> </v>
      </c>
      <c r="BA363" s="166"/>
      <c r="BB363" s="166"/>
      <c r="BC363" s="168" t="str">
        <f t="shared" si="2888"/>
        <v xml:space="preserve"> </v>
      </c>
      <c r="BD363" s="168"/>
      <c r="BE363" s="166" t="str">
        <f t="shared" si="2889"/>
        <v xml:space="preserve"> </v>
      </c>
      <c r="BF363" s="167"/>
      <c r="BG363" s="167"/>
      <c r="BH363" s="168" t="str">
        <f t="shared" si="2890"/>
        <v xml:space="preserve"> </v>
      </c>
      <c r="BI363" s="168"/>
      <c r="BJ363" s="167" t="str">
        <f t="shared" si="2891"/>
        <v xml:space="preserve"> </v>
      </c>
      <c r="BK363" s="166"/>
      <c r="BL363" s="166" t="str">
        <f t="shared" si="2892"/>
        <v xml:space="preserve"> </v>
      </c>
      <c r="BM363" s="168" t="str">
        <f t="shared" si="2893"/>
        <v xml:space="preserve"> </v>
      </c>
      <c r="BN363" s="168"/>
      <c r="BO363" s="166" t="str">
        <f t="shared" si="2894"/>
        <v xml:space="preserve"> </v>
      </c>
    </row>
    <row r="364" spans="2:67" ht="15" customHeight="1" x14ac:dyDescent="0.25">
      <c r="B364" s="170">
        <v>46382</v>
      </c>
      <c r="C364" s="164"/>
      <c r="D364" s="166" t="str">
        <f t="shared" si="2861"/>
        <v xml:space="preserve"> </v>
      </c>
      <c r="E364" s="168" t="str">
        <f t="shared" si="2862"/>
        <v xml:space="preserve"> </v>
      </c>
      <c r="F364" s="168"/>
      <c r="G364" s="166" t="str">
        <f t="shared" si="2863"/>
        <v xml:space="preserve"> </v>
      </c>
      <c r="H364" s="167"/>
      <c r="I364" s="167" t="str">
        <f t="shared" si="2864"/>
        <v xml:space="preserve"> </v>
      </c>
      <c r="J364" s="168" t="str">
        <f t="shared" si="2865"/>
        <v xml:space="preserve"> </v>
      </c>
      <c r="K364" s="168"/>
      <c r="L364" s="167" t="str">
        <f t="shared" si="2866"/>
        <v xml:space="preserve"> </v>
      </c>
      <c r="M364" s="166"/>
      <c r="N364" s="166" t="str">
        <f t="shared" si="2867"/>
        <v xml:space="preserve"> </v>
      </c>
      <c r="O364" s="168" t="str">
        <f t="shared" si="2868"/>
        <v xml:space="preserve"> </v>
      </c>
      <c r="P364" s="168"/>
      <c r="Q364" s="166" t="str">
        <f t="shared" si="2869"/>
        <v xml:space="preserve"> </v>
      </c>
      <c r="R364" s="167">
        <f ca="1">+BDFUENTES[[#This Row],[PZ MED m3/día]]/3.6/BDFUENTES[[#This Row],[PZ MED Horas Activo]]</f>
        <v>0</v>
      </c>
      <c r="S364" s="167" t="str">
        <f t="shared" ca="1" si="2870"/>
        <v xml:space="preserve"> </v>
      </c>
      <c r="T364" s="168" t="str">
        <f t="shared" si="2871"/>
        <v xml:space="preserve"> </v>
      </c>
      <c r="U364" s="168"/>
      <c r="V364" s="165" t="str">
        <f t="shared" si="2872"/>
        <v xml:space="preserve"> </v>
      </c>
      <c r="W364" s="164" t="str">
        <f t="shared" si="2873"/>
        <v xml:space="preserve"> </v>
      </c>
      <c r="X364" s="166"/>
      <c r="Y364" s="168" t="str">
        <f t="shared" si="2874"/>
        <v xml:space="preserve"> </v>
      </c>
      <c r="Z364" s="168"/>
      <c r="AA364" s="166" t="str">
        <f t="shared" si="2875"/>
        <v xml:space="preserve"> </v>
      </c>
      <c r="AB364" s="168" t="str">
        <f t="shared" si="2876"/>
        <v xml:space="preserve"> </v>
      </c>
      <c r="AC364" s="168"/>
      <c r="AD364" s="171" t="str">
        <f t="shared" si="2877"/>
        <v xml:space="preserve"> </v>
      </c>
      <c r="AE364" s="167"/>
      <c r="AF364" s="165" t="str">
        <f t="shared" si="2878"/>
        <v xml:space="preserve"> </v>
      </c>
      <c r="AG364" s="168"/>
      <c r="AH364" s="168"/>
      <c r="AI364" s="166"/>
      <c r="AJ364" s="166"/>
      <c r="AK364" s="166" t="str">
        <f t="shared" si="2879"/>
        <v/>
      </c>
      <c r="AL364" s="167"/>
      <c r="AM364" s="171" t="str">
        <f t="shared" si="2880"/>
        <v xml:space="preserve"> </v>
      </c>
      <c r="AN364" s="168" t="str">
        <f t="shared" si="2881"/>
        <v xml:space="preserve"> </v>
      </c>
      <c r="AO364" s="168"/>
      <c r="AP364" s="167" t="str">
        <f t="shared" si="2882"/>
        <v xml:space="preserve"> </v>
      </c>
      <c r="AQ364" s="166"/>
      <c r="AR364" s="166" t="str">
        <f t="shared" si="2883"/>
        <v xml:space="preserve"> </v>
      </c>
      <c r="AS364" s="168" t="str">
        <f t="shared" si="2884"/>
        <v xml:space="preserve"> </v>
      </c>
      <c r="AT364" s="168"/>
      <c r="AU364" s="166" t="str">
        <f t="shared" si="2885"/>
        <v xml:space="preserve"> </v>
      </c>
      <c r="AV364" s="167"/>
      <c r="AW364" s="167"/>
      <c r="AX364" s="169" t="str">
        <f t="shared" si="2886"/>
        <v xml:space="preserve"> </v>
      </c>
      <c r="AY364" s="169"/>
      <c r="AZ364" s="167" t="str">
        <f t="shared" si="2887"/>
        <v xml:space="preserve"> </v>
      </c>
      <c r="BA364" s="166"/>
      <c r="BB364" s="166"/>
      <c r="BC364" s="168" t="str">
        <f t="shared" si="2888"/>
        <v xml:space="preserve"> </v>
      </c>
      <c r="BD364" s="168"/>
      <c r="BE364" s="166" t="str">
        <f t="shared" si="2889"/>
        <v xml:space="preserve"> </v>
      </c>
      <c r="BF364" s="167"/>
      <c r="BG364" s="167"/>
      <c r="BH364" s="168" t="str">
        <f t="shared" si="2890"/>
        <v xml:space="preserve"> </v>
      </c>
      <c r="BI364" s="168"/>
      <c r="BJ364" s="167" t="str">
        <f t="shared" si="2891"/>
        <v xml:space="preserve"> </v>
      </c>
      <c r="BK364" s="166"/>
      <c r="BL364" s="166" t="str">
        <f t="shared" si="2892"/>
        <v xml:space="preserve"> </v>
      </c>
      <c r="BM364" s="168" t="str">
        <f t="shared" si="2893"/>
        <v xml:space="preserve"> </v>
      </c>
      <c r="BN364" s="168"/>
      <c r="BO364" s="166" t="str">
        <f t="shared" si="2894"/>
        <v xml:space="preserve"> </v>
      </c>
    </row>
    <row r="365" spans="2:67" ht="15" customHeight="1" x14ac:dyDescent="0.25">
      <c r="B365" s="170">
        <v>46383</v>
      </c>
      <c r="C365" s="164"/>
      <c r="D365" s="166" t="str">
        <f t="shared" si="2861"/>
        <v xml:space="preserve"> </v>
      </c>
      <c r="E365" s="168" t="str">
        <f t="shared" si="2862"/>
        <v xml:space="preserve"> </v>
      </c>
      <c r="F365" s="168"/>
      <c r="G365" s="166" t="str">
        <f t="shared" si="2863"/>
        <v xml:space="preserve"> </v>
      </c>
      <c r="H365" s="167"/>
      <c r="I365" s="167" t="str">
        <f t="shared" si="2864"/>
        <v xml:space="preserve"> </v>
      </c>
      <c r="J365" s="168" t="str">
        <f t="shared" si="2865"/>
        <v xml:space="preserve"> </v>
      </c>
      <c r="K365" s="168"/>
      <c r="L365" s="167" t="str">
        <f t="shared" si="2866"/>
        <v xml:space="preserve"> </v>
      </c>
      <c r="M365" s="166"/>
      <c r="N365" s="166" t="str">
        <f t="shared" si="2867"/>
        <v xml:space="preserve"> </v>
      </c>
      <c r="O365" s="168" t="str">
        <f t="shared" si="2868"/>
        <v xml:space="preserve"> </v>
      </c>
      <c r="P365" s="168"/>
      <c r="Q365" s="166" t="str">
        <f t="shared" si="2869"/>
        <v xml:space="preserve"> </v>
      </c>
      <c r="R365" s="167">
        <f ca="1">+BDFUENTES[[#This Row],[PZ MED m3/día]]/3.6/BDFUENTES[[#This Row],[PZ MED Horas Activo]]</f>
        <v>0</v>
      </c>
      <c r="S365" s="167" t="str">
        <f t="shared" ca="1" si="2870"/>
        <v xml:space="preserve"> </v>
      </c>
      <c r="T365" s="168" t="str">
        <f t="shared" si="2871"/>
        <v xml:space="preserve"> </v>
      </c>
      <c r="U365" s="168"/>
      <c r="V365" s="165" t="str">
        <f t="shared" si="2872"/>
        <v xml:space="preserve"> </v>
      </c>
      <c r="W365" s="164" t="str">
        <f t="shared" si="2873"/>
        <v xml:space="preserve"> </v>
      </c>
      <c r="X365" s="166"/>
      <c r="Y365" s="168" t="str">
        <f t="shared" si="2874"/>
        <v xml:space="preserve"> </v>
      </c>
      <c r="Z365" s="168"/>
      <c r="AA365" s="166" t="str">
        <f t="shared" si="2875"/>
        <v xml:space="preserve"> </v>
      </c>
      <c r="AB365" s="168" t="str">
        <f t="shared" si="2876"/>
        <v xml:space="preserve"> </v>
      </c>
      <c r="AC365" s="168"/>
      <c r="AD365" s="171" t="str">
        <f t="shared" si="2877"/>
        <v xml:space="preserve"> </v>
      </c>
      <c r="AE365" s="167"/>
      <c r="AF365" s="165" t="str">
        <f t="shared" si="2878"/>
        <v xml:space="preserve"> </v>
      </c>
      <c r="AG365" s="168"/>
      <c r="AH365" s="168"/>
      <c r="AI365" s="166"/>
      <c r="AJ365" s="166"/>
      <c r="AK365" s="166" t="str">
        <f t="shared" si="2879"/>
        <v/>
      </c>
      <c r="AL365" s="167"/>
      <c r="AM365" s="171" t="str">
        <f t="shared" si="2880"/>
        <v xml:space="preserve"> </v>
      </c>
      <c r="AN365" s="168" t="str">
        <f t="shared" si="2881"/>
        <v xml:space="preserve"> </v>
      </c>
      <c r="AO365" s="168"/>
      <c r="AP365" s="167" t="str">
        <f t="shared" si="2882"/>
        <v xml:space="preserve"> </v>
      </c>
      <c r="AQ365" s="166"/>
      <c r="AR365" s="166" t="str">
        <f t="shared" si="2883"/>
        <v xml:space="preserve"> </v>
      </c>
      <c r="AS365" s="168" t="str">
        <f t="shared" si="2884"/>
        <v xml:space="preserve"> </v>
      </c>
      <c r="AT365" s="168"/>
      <c r="AU365" s="166" t="str">
        <f t="shared" si="2885"/>
        <v xml:space="preserve"> </v>
      </c>
      <c r="AV365" s="167"/>
      <c r="AW365" s="167"/>
      <c r="AX365" s="169" t="str">
        <f t="shared" si="2886"/>
        <v xml:space="preserve"> </v>
      </c>
      <c r="AY365" s="169"/>
      <c r="AZ365" s="167" t="str">
        <f t="shared" si="2887"/>
        <v xml:space="preserve"> </v>
      </c>
      <c r="BA365" s="166"/>
      <c r="BB365" s="166"/>
      <c r="BC365" s="168" t="str">
        <f t="shared" si="2888"/>
        <v xml:space="preserve"> </v>
      </c>
      <c r="BD365" s="168"/>
      <c r="BE365" s="166" t="str">
        <f t="shared" si="2889"/>
        <v xml:space="preserve"> </v>
      </c>
      <c r="BF365" s="167"/>
      <c r="BG365" s="167"/>
      <c r="BH365" s="168" t="str">
        <f t="shared" si="2890"/>
        <v xml:space="preserve"> </v>
      </c>
      <c r="BI365" s="168"/>
      <c r="BJ365" s="167" t="str">
        <f t="shared" si="2891"/>
        <v xml:space="preserve"> </v>
      </c>
      <c r="BK365" s="166"/>
      <c r="BL365" s="166" t="str">
        <f t="shared" si="2892"/>
        <v xml:space="preserve"> </v>
      </c>
      <c r="BM365" s="168" t="str">
        <f t="shared" si="2893"/>
        <v xml:space="preserve"> </v>
      </c>
      <c r="BN365" s="168"/>
      <c r="BO365" s="166" t="str">
        <f t="shared" si="2894"/>
        <v xml:space="preserve"> </v>
      </c>
    </row>
    <row r="366" spans="2:67" ht="15" customHeight="1" x14ac:dyDescent="0.25">
      <c r="B366" s="170">
        <v>46384</v>
      </c>
      <c r="C366" s="164"/>
      <c r="D366" s="166" t="str">
        <f t="shared" si="2861"/>
        <v xml:space="preserve"> </v>
      </c>
      <c r="E366" s="168" t="str">
        <f t="shared" si="2862"/>
        <v xml:space="preserve"> </v>
      </c>
      <c r="F366" s="168"/>
      <c r="G366" s="166" t="str">
        <f t="shared" si="2863"/>
        <v xml:space="preserve"> </v>
      </c>
      <c r="H366" s="167"/>
      <c r="I366" s="167" t="str">
        <f t="shared" si="2864"/>
        <v xml:space="preserve"> </v>
      </c>
      <c r="J366" s="168" t="str">
        <f t="shared" si="2865"/>
        <v xml:space="preserve"> </v>
      </c>
      <c r="K366" s="168"/>
      <c r="L366" s="167" t="str">
        <f t="shared" si="2866"/>
        <v xml:space="preserve"> </v>
      </c>
      <c r="M366" s="166"/>
      <c r="N366" s="166" t="str">
        <f t="shared" si="2867"/>
        <v xml:space="preserve"> </v>
      </c>
      <c r="O366" s="168" t="str">
        <f t="shared" si="2868"/>
        <v xml:space="preserve"> </v>
      </c>
      <c r="P366" s="168"/>
      <c r="Q366" s="166" t="str">
        <f t="shared" si="2869"/>
        <v xml:space="preserve"> </v>
      </c>
      <c r="R366" s="167">
        <f ca="1">+BDFUENTES[[#This Row],[PZ MED m3/día]]/3.6/BDFUENTES[[#This Row],[PZ MED Horas Activo]]</f>
        <v>0</v>
      </c>
      <c r="S366" s="167" t="str">
        <f t="shared" ca="1" si="2870"/>
        <v xml:space="preserve"> </v>
      </c>
      <c r="T366" s="168" t="str">
        <f t="shared" si="2871"/>
        <v xml:space="preserve"> </v>
      </c>
      <c r="U366" s="168"/>
      <c r="V366" s="165" t="str">
        <f t="shared" si="2872"/>
        <v xml:space="preserve"> </v>
      </c>
      <c r="W366" s="164" t="str">
        <f t="shared" si="2873"/>
        <v xml:space="preserve"> </v>
      </c>
      <c r="X366" s="166"/>
      <c r="Y366" s="168" t="str">
        <f t="shared" si="2874"/>
        <v xml:space="preserve"> </v>
      </c>
      <c r="Z366" s="168"/>
      <c r="AA366" s="166" t="str">
        <f t="shared" si="2875"/>
        <v xml:space="preserve"> </v>
      </c>
      <c r="AB366" s="168" t="str">
        <f t="shared" si="2876"/>
        <v xml:space="preserve"> </v>
      </c>
      <c r="AC366" s="168"/>
      <c r="AD366" s="171" t="str">
        <f t="shared" si="2877"/>
        <v xml:space="preserve"> </v>
      </c>
      <c r="AE366" s="167"/>
      <c r="AF366" s="165" t="str">
        <f t="shared" si="2878"/>
        <v xml:space="preserve"> </v>
      </c>
      <c r="AG366" s="168"/>
      <c r="AH366" s="168"/>
      <c r="AI366" s="166"/>
      <c r="AJ366" s="166"/>
      <c r="AK366" s="166" t="str">
        <f t="shared" si="2879"/>
        <v/>
      </c>
      <c r="AL366" s="167"/>
      <c r="AM366" s="171" t="str">
        <f t="shared" si="2880"/>
        <v xml:space="preserve"> </v>
      </c>
      <c r="AN366" s="168" t="str">
        <f t="shared" si="2881"/>
        <v xml:space="preserve"> </v>
      </c>
      <c r="AO366" s="168"/>
      <c r="AP366" s="167" t="str">
        <f t="shared" si="2882"/>
        <v xml:space="preserve"> </v>
      </c>
      <c r="AQ366" s="166"/>
      <c r="AR366" s="166" t="str">
        <f t="shared" si="2883"/>
        <v xml:space="preserve"> </v>
      </c>
      <c r="AS366" s="168" t="str">
        <f t="shared" si="2884"/>
        <v xml:space="preserve"> </v>
      </c>
      <c r="AT366" s="168"/>
      <c r="AU366" s="166" t="str">
        <f t="shared" si="2885"/>
        <v xml:space="preserve"> </v>
      </c>
      <c r="AV366" s="167"/>
      <c r="AW366" s="167"/>
      <c r="AX366" s="169" t="str">
        <f t="shared" si="2886"/>
        <v xml:space="preserve"> </v>
      </c>
      <c r="AY366" s="169"/>
      <c r="AZ366" s="167" t="str">
        <f t="shared" si="2887"/>
        <v xml:space="preserve"> </v>
      </c>
      <c r="BA366" s="166"/>
      <c r="BB366" s="166"/>
      <c r="BC366" s="168" t="str">
        <f t="shared" si="2888"/>
        <v xml:space="preserve"> </v>
      </c>
      <c r="BD366" s="168"/>
      <c r="BE366" s="166" t="str">
        <f t="shared" si="2889"/>
        <v xml:space="preserve"> </v>
      </c>
      <c r="BF366" s="167"/>
      <c r="BG366" s="167"/>
      <c r="BH366" s="168" t="str">
        <f t="shared" si="2890"/>
        <v xml:space="preserve"> </v>
      </c>
      <c r="BI366" s="168"/>
      <c r="BJ366" s="167" t="str">
        <f t="shared" si="2891"/>
        <v xml:space="preserve"> </v>
      </c>
      <c r="BK366" s="166"/>
      <c r="BL366" s="166" t="str">
        <f t="shared" si="2892"/>
        <v xml:space="preserve"> </v>
      </c>
      <c r="BM366" s="168" t="str">
        <f t="shared" si="2893"/>
        <v xml:space="preserve"> </v>
      </c>
      <c r="BN366" s="168"/>
      <c r="BO366" s="166" t="str">
        <f t="shared" si="2894"/>
        <v xml:space="preserve"> </v>
      </c>
    </row>
    <row r="367" spans="2:67" ht="15" customHeight="1" x14ac:dyDescent="0.25">
      <c r="B367" s="170">
        <v>46385</v>
      </c>
      <c r="C367" s="164"/>
      <c r="D367" s="166" t="str">
        <f t="shared" si="2861"/>
        <v xml:space="preserve"> </v>
      </c>
      <c r="E367" s="168" t="str">
        <f t="shared" si="2862"/>
        <v xml:space="preserve"> </v>
      </c>
      <c r="F367" s="168"/>
      <c r="G367" s="166" t="str">
        <f t="shared" si="2863"/>
        <v xml:space="preserve"> </v>
      </c>
      <c r="H367" s="167"/>
      <c r="I367" s="167" t="str">
        <f t="shared" si="2864"/>
        <v xml:space="preserve"> </v>
      </c>
      <c r="J367" s="168" t="str">
        <f t="shared" si="2865"/>
        <v xml:space="preserve"> </v>
      </c>
      <c r="K367" s="168"/>
      <c r="L367" s="167" t="str">
        <f t="shared" si="2866"/>
        <v xml:space="preserve"> </v>
      </c>
      <c r="M367" s="166"/>
      <c r="N367" s="166" t="str">
        <f t="shared" si="2867"/>
        <v xml:space="preserve"> </v>
      </c>
      <c r="O367" s="168" t="str">
        <f t="shared" si="2868"/>
        <v xml:space="preserve"> </v>
      </c>
      <c r="P367" s="168"/>
      <c r="Q367" s="166" t="str">
        <f t="shared" si="2869"/>
        <v xml:space="preserve"> </v>
      </c>
      <c r="R367" s="167">
        <f ca="1">+BDFUENTES[[#This Row],[PZ MED m3/día]]/3.6/BDFUENTES[[#This Row],[PZ MED Horas Activo]]</f>
        <v>0</v>
      </c>
      <c r="S367" s="167" t="str">
        <f t="shared" ca="1" si="2870"/>
        <v xml:space="preserve"> </v>
      </c>
      <c r="T367" s="168" t="str">
        <f t="shared" si="2871"/>
        <v xml:space="preserve"> </v>
      </c>
      <c r="U367" s="168"/>
      <c r="V367" s="165" t="str">
        <f t="shared" si="2872"/>
        <v xml:space="preserve"> </v>
      </c>
      <c r="W367" s="164" t="str">
        <f t="shared" si="2873"/>
        <v xml:space="preserve"> </v>
      </c>
      <c r="X367" s="166"/>
      <c r="Y367" s="168" t="str">
        <f t="shared" si="2874"/>
        <v xml:space="preserve"> </v>
      </c>
      <c r="Z367" s="168"/>
      <c r="AA367" s="166" t="str">
        <f t="shared" si="2875"/>
        <v xml:space="preserve"> </v>
      </c>
      <c r="AB367" s="168" t="str">
        <f t="shared" si="2876"/>
        <v xml:space="preserve"> </v>
      </c>
      <c r="AC367" s="168"/>
      <c r="AD367" s="171" t="str">
        <f t="shared" si="2877"/>
        <v xml:space="preserve"> </v>
      </c>
      <c r="AE367" s="167"/>
      <c r="AF367" s="165" t="str">
        <f t="shared" si="2878"/>
        <v xml:space="preserve"> </v>
      </c>
      <c r="AG367" s="168"/>
      <c r="AH367" s="168"/>
      <c r="AI367" s="166"/>
      <c r="AJ367" s="166"/>
      <c r="AK367" s="166" t="str">
        <f t="shared" si="2879"/>
        <v/>
      </c>
      <c r="AL367" s="167"/>
      <c r="AM367" s="171" t="str">
        <f t="shared" si="2880"/>
        <v xml:space="preserve"> </v>
      </c>
      <c r="AN367" s="168" t="str">
        <f t="shared" si="2881"/>
        <v xml:space="preserve"> </v>
      </c>
      <c r="AO367" s="168"/>
      <c r="AP367" s="167" t="str">
        <f t="shared" si="2882"/>
        <v xml:space="preserve"> </v>
      </c>
      <c r="AQ367" s="166"/>
      <c r="AR367" s="166" t="str">
        <f t="shared" si="2883"/>
        <v xml:space="preserve"> </v>
      </c>
      <c r="AS367" s="168" t="str">
        <f t="shared" si="2884"/>
        <v xml:space="preserve"> </v>
      </c>
      <c r="AT367" s="168"/>
      <c r="AU367" s="166" t="str">
        <f t="shared" si="2885"/>
        <v xml:space="preserve"> </v>
      </c>
      <c r="AV367" s="167"/>
      <c r="AW367" s="167"/>
      <c r="AX367" s="169" t="str">
        <f t="shared" si="2886"/>
        <v xml:space="preserve"> </v>
      </c>
      <c r="AY367" s="169"/>
      <c r="AZ367" s="167" t="str">
        <f t="shared" si="2887"/>
        <v xml:space="preserve"> </v>
      </c>
      <c r="BA367" s="166"/>
      <c r="BB367" s="166"/>
      <c r="BC367" s="168" t="str">
        <f t="shared" si="2888"/>
        <v xml:space="preserve"> </v>
      </c>
      <c r="BD367" s="168"/>
      <c r="BE367" s="166" t="str">
        <f t="shared" si="2889"/>
        <v xml:space="preserve"> </v>
      </c>
      <c r="BF367" s="167"/>
      <c r="BG367" s="167"/>
      <c r="BH367" s="168" t="str">
        <f t="shared" si="2890"/>
        <v xml:space="preserve"> </v>
      </c>
      <c r="BI367" s="168"/>
      <c r="BJ367" s="167" t="str">
        <f t="shared" si="2891"/>
        <v xml:space="preserve"> </v>
      </c>
      <c r="BK367" s="166"/>
      <c r="BL367" s="166" t="str">
        <f t="shared" si="2892"/>
        <v xml:space="preserve"> </v>
      </c>
      <c r="BM367" s="168" t="str">
        <f t="shared" si="2893"/>
        <v xml:space="preserve"> </v>
      </c>
      <c r="BN367" s="168"/>
      <c r="BO367" s="166" t="str">
        <f t="shared" si="2894"/>
        <v xml:space="preserve"> </v>
      </c>
    </row>
    <row r="368" spans="2:67" ht="15" customHeight="1" x14ac:dyDescent="0.25">
      <c r="B368" s="170">
        <v>46386</v>
      </c>
      <c r="C368" s="164"/>
      <c r="D368" s="166" t="str">
        <f t="shared" si="2861"/>
        <v xml:space="preserve"> </v>
      </c>
      <c r="E368" s="168" t="str">
        <f t="shared" si="2862"/>
        <v xml:space="preserve"> </v>
      </c>
      <c r="F368" s="168"/>
      <c r="G368" s="166" t="str">
        <f t="shared" si="2863"/>
        <v xml:space="preserve"> </v>
      </c>
      <c r="H368" s="167"/>
      <c r="I368" s="167" t="str">
        <f t="shared" si="2864"/>
        <v xml:space="preserve"> </v>
      </c>
      <c r="J368" s="168" t="str">
        <f t="shared" si="2865"/>
        <v xml:space="preserve"> </v>
      </c>
      <c r="K368" s="168"/>
      <c r="L368" s="167" t="str">
        <f t="shared" si="2866"/>
        <v xml:space="preserve"> </v>
      </c>
      <c r="M368" s="166"/>
      <c r="N368" s="166" t="str">
        <f t="shared" si="2867"/>
        <v xml:space="preserve"> </v>
      </c>
      <c r="O368" s="168" t="str">
        <f t="shared" si="2868"/>
        <v xml:space="preserve"> </v>
      </c>
      <c r="P368" s="168"/>
      <c r="Q368" s="166" t="str">
        <f t="shared" si="2869"/>
        <v xml:space="preserve"> </v>
      </c>
      <c r="R368" s="167">
        <f ca="1">+BDFUENTES[[#This Row],[PZ MED m3/día]]/3.6/BDFUENTES[[#This Row],[PZ MED Horas Activo]]</f>
        <v>0</v>
      </c>
      <c r="S368" s="167" t="str">
        <f t="shared" ca="1" si="2870"/>
        <v xml:space="preserve"> </v>
      </c>
      <c r="T368" s="168" t="str">
        <f t="shared" si="2871"/>
        <v xml:space="preserve"> </v>
      </c>
      <c r="U368" s="168"/>
      <c r="V368" s="165" t="str">
        <f t="shared" si="2872"/>
        <v xml:space="preserve"> </v>
      </c>
      <c r="W368" s="164" t="str">
        <f t="shared" si="2873"/>
        <v xml:space="preserve"> </v>
      </c>
      <c r="X368" s="166"/>
      <c r="Y368" s="168" t="str">
        <f t="shared" si="2874"/>
        <v xml:space="preserve"> </v>
      </c>
      <c r="Z368" s="168"/>
      <c r="AA368" s="166" t="str">
        <f t="shared" si="2875"/>
        <v xml:space="preserve"> </v>
      </c>
      <c r="AB368" s="168" t="str">
        <f t="shared" si="2876"/>
        <v xml:space="preserve"> </v>
      </c>
      <c r="AC368" s="168"/>
      <c r="AD368" s="171" t="str">
        <f t="shared" si="2877"/>
        <v xml:space="preserve"> </v>
      </c>
      <c r="AE368" s="167"/>
      <c r="AF368" s="165" t="str">
        <f t="shared" si="2878"/>
        <v xml:space="preserve"> </v>
      </c>
      <c r="AG368" s="168"/>
      <c r="AH368" s="168"/>
      <c r="AI368" s="166"/>
      <c r="AJ368" s="166"/>
      <c r="AK368" s="166" t="str">
        <f t="shared" si="2879"/>
        <v/>
      </c>
      <c r="AL368" s="167"/>
      <c r="AM368" s="171" t="str">
        <f t="shared" si="2880"/>
        <v xml:space="preserve"> </v>
      </c>
      <c r="AN368" s="168" t="str">
        <f t="shared" si="2881"/>
        <v xml:space="preserve"> </v>
      </c>
      <c r="AO368" s="168"/>
      <c r="AP368" s="167" t="str">
        <f t="shared" si="2882"/>
        <v xml:space="preserve"> </v>
      </c>
      <c r="AQ368" s="166"/>
      <c r="AR368" s="166" t="str">
        <f t="shared" si="2883"/>
        <v xml:space="preserve"> </v>
      </c>
      <c r="AS368" s="168" t="str">
        <f t="shared" si="2884"/>
        <v xml:space="preserve"> </v>
      </c>
      <c r="AT368" s="168"/>
      <c r="AU368" s="166" t="str">
        <f t="shared" si="2885"/>
        <v xml:space="preserve"> </v>
      </c>
      <c r="AV368" s="167"/>
      <c r="AW368" s="167"/>
      <c r="AX368" s="169" t="str">
        <f t="shared" si="2886"/>
        <v xml:space="preserve"> </v>
      </c>
      <c r="AY368" s="169"/>
      <c r="AZ368" s="167" t="str">
        <f t="shared" si="2887"/>
        <v xml:space="preserve"> </v>
      </c>
      <c r="BA368" s="166"/>
      <c r="BB368" s="166"/>
      <c r="BC368" s="168" t="str">
        <f t="shared" si="2888"/>
        <v xml:space="preserve"> </v>
      </c>
      <c r="BD368" s="168"/>
      <c r="BE368" s="166" t="str">
        <f t="shared" si="2889"/>
        <v xml:space="preserve"> </v>
      </c>
      <c r="BF368" s="167"/>
      <c r="BG368" s="167"/>
      <c r="BH368" s="168" t="str">
        <f t="shared" si="2890"/>
        <v xml:space="preserve"> </v>
      </c>
      <c r="BI368" s="168"/>
      <c r="BJ368" s="167" t="str">
        <f t="shared" si="2891"/>
        <v xml:space="preserve"> </v>
      </c>
      <c r="BK368" s="166"/>
      <c r="BL368" s="166" t="str">
        <f t="shared" si="2892"/>
        <v xml:space="preserve"> </v>
      </c>
      <c r="BM368" s="168" t="str">
        <f t="shared" si="2893"/>
        <v xml:space="preserve"> </v>
      </c>
      <c r="BN368" s="168"/>
      <c r="BO368" s="166" t="str">
        <f t="shared" si="2894"/>
        <v xml:space="preserve"> </v>
      </c>
    </row>
    <row r="369" spans="2:67" ht="15" customHeight="1" x14ac:dyDescent="0.25">
      <c r="B369" s="170">
        <v>46387</v>
      </c>
      <c r="C369" s="164"/>
      <c r="D369" s="166" t="str">
        <f t="shared" si="2861"/>
        <v xml:space="preserve"> </v>
      </c>
      <c r="E369" s="168" t="str">
        <f t="shared" si="2862"/>
        <v xml:space="preserve"> </v>
      </c>
      <c r="F369" s="168"/>
      <c r="G369" s="166" t="str">
        <f t="shared" si="2863"/>
        <v xml:space="preserve"> </v>
      </c>
      <c r="H369" s="167"/>
      <c r="I369" s="167" t="str">
        <f t="shared" si="2864"/>
        <v xml:space="preserve"> </v>
      </c>
      <c r="J369" s="168" t="str">
        <f t="shared" si="2865"/>
        <v xml:space="preserve"> </v>
      </c>
      <c r="K369" s="168"/>
      <c r="L369" s="167" t="str">
        <f t="shared" si="2866"/>
        <v xml:space="preserve"> </v>
      </c>
      <c r="M369" s="166"/>
      <c r="N369" s="166" t="str">
        <f t="shared" si="2867"/>
        <v xml:space="preserve"> </v>
      </c>
      <c r="O369" s="168" t="str">
        <f t="shared" si="2868"/>
        <v xml:space="preserve"> </v>
      </c>
      <c r="P369" s="168"/>
      <c r="Q369" s="166" t="str">
        <f t="shared" si="2869"/>
        <v xml:space="preserve"> </v>
      </c>
      <c r="R369" s="167">
        <f ca="1">+BDFUENTES[[#This Row],[PZ MED m3/día]]/3.6/BDFUENTES[[#This Row],[PZ MED Horas Activo]]</f>
        <v>0</v>
      </c>
      <c r="S369" s="167" t="str">
        <f t="shared" ca="1" si="2870"/>
        <v xml:space="preserve"> </v>
      </c>
      <c r="T369" s="168" t="str">
        <f t="shared" si="2871"/>
        <v xml:space="preserve"> </v>
      </c>
      <c r="U369" s="168"/>
      <c r="V369" s="165" t="str">
        <f t="shared" si="2872"/>
        <v xml:space="preserve"> </v>
      </c>
      <c r="W369" s="164" t="str">
        <f t="shared" si="2873"/>
        <v xml:space="preserve"> </v>
      </c>
      <c r="X369" s="166"/>
      <c r="Y369" s="168" t="str">
        <f t="shared" si="2874"/>
        <v xml:space="preserve"> </v>
      </c>
      <c r="Z369" s="168"/>
      <c r="AA369" s="166" t="str">
        <f t="shared" si="2875"/>
        <v xml:space="preserve"> </v>
      </c>
      <c r="AB369" s="168" t="str">
        <f t="shared" si="2876"/>
        <v xml:space="preserve"> </v>
      </c>
      <c r="AC369" s="168"/>
      <c r="AD369" s="171" t="str">
        <f t="shared" si="2877"/>
        <v xml:space="preserve"> </v>
      </c>
      <c r="AE369" s="167"/>
      <c r="AF369" s="165" t="str">
        <f t="shared" si="2878"/>
        <v xml:space="preserve"> </v>
      </c>
      <c r="AG369" s="168"/>
      <c r="AH369" s="168"/>
      <c r="AI369" s="166"/>
      <c r="AJ369" s="166"/>
      <c r="AK369" s="166" t="str">
        <f t="shared" si="2879"/>
        <v/>
      </c>
      <c r="AL369" s="167"/>
      <c r="AM369" s="171" t="str">
        <f t="shared" si="2880"/>
        <v xml:space="preserve"> </v>
      </c>
      <c r="AN369" s="168" t="str">
        <f t="shared" si="2881"/>
        <v xml:space="preserve"> </v>
      </c>
      <c r="AO369" s="168"/>
      <c r="AP369" s="167" t="str">
        <f t="shared" si="2882"/>
        <v xml:space="preserve"> </v>
      </c>
      <c r="AQ369" s="166"/>
      <c r="AR369" s="166" t="str">
        <f t="shared" si="2883"/>
        <v xml:space="preserve"> </v>
      </c>
      <c r="AS369" s="168" t="str">
        <f t="shared" si="2884"/>
        <v xml:space="preserve"> </v>
      </c>
      <c r="AT369" s="168"/>
      <c r="AU369" s="166" t="str">
        <f t="shared" si="2885"/>
        <v xml:space="preserve"> </v>
      </c>
      <c r="AV369" s="167"/>
      <c r="AW369" s="167"/>
      <c r="AX369" s="169" t="str">
        <f t="shared" si="2886"/>
        <v xml:space="preserve"> </v>
      </c>
      <c r="AY369" s="169"/>
      <c r="AZ369" s="167" t="str">
        <f t="shared" si="2887"/>
        <v xml:space="preserve"> </v>
      </c>
      <c r="BA369" s="166"/>
      <c r="BB369" s="166"/>
      <c r="BC369" s="168" t="str">
        <f t="shared" si="2888"/>
        <v xml:space="preserve"> </v>
      </c>
      <c r="BD369" s="168"/>
      <c r="BE369" s="166" t="str">
        <f t="shared" si="2889"/>
        <v xml:space="preserve"> </v>
      </c>
      <c r="BF369" s="167"/>
      <c r="BG369" s="167"/>
      <c r="BH369" s="168" t="str">
        <f t="shared" si="2890"/>
        <v xml:space="preserve"> </v>
      </c>
      <c r="BI369" s="168"/>
      <c r="BJ369" s="167" t="str">
        <f t="shared" si="2891"/>
        <v xml:space="preserve"> </v>
      </c>
      <c r="BK369" s="166"/>
      <c r="BL369" s="166" t="str">
        <f t="shared" si="2892"/>
        <v xml:space="preserve"> </v>
      </c>
      <c r="BM369" s="168" t="str">
        <f t="shared" si="2893"/>
        <v xml:space="preserve"> </v>
      </c>
      <c r="BN369" s="168"/>
      <c r="BO369" s="166" t="str">
        <f t="shared" si="2894"/>
        <v xml:space="preserve"> </v>
      </c>
    </row>
    <row r="370" spans="2:67" ht="15" customHeight="1" x14ac:dyDescent="0.25">
      <c r="B370" s="246" t="s">
        <v>584</v>
      </c>
      <c r="C370" s="247"/>
      <c r="D370" s="166">
        <f>SUBTOTAL(109,BDFUENTES[PZ10_Horas Activo])</f>
        <v>1685.6312280701757</v>
      </c>
      <c r="E370" s="249"/>
      <c r="F370" s="249"/>
      <c r="G370" s="248"/>
      <c r="H370" s="246"/>
      <c r="I370" s="167">
        <f>SUBTOTAL(109,BDFUENTES[PZ 11 Horas Activo])</f>
        <v>0</v>
      </c>
      <c r="J370" s="249"/>
      <c r="K370" s="249"/>
      <c r="L370" s="246"/>
      <c r="M370" s="248"/>
      <c r="N370" s="166">
        <f>SUBTOTAL(109,BDFUENTES[PZ 13 Horas Activo])</f>
        <v>1.8494152046783625</v>
      </c>
      <c r="O370" s="249"/>
      <c r="P370" s="249"/>
      <c r="Q370" s="248"/>
      <c r="R370" s="246"/>
      <c r="S370" s="167">
        <f ca="1">SUBTOTAL(109,BDFUENTES[PZ MED Horas Activo])</f>
        <v>0</v>
      </c>
      <c r="T370" s="249"/>
      <c r="U370" s="249"/>
      <c r="V370" s="250"/>
      <c r="W370" s="247"/>
      <c r="X370" s="166">
        <f>SUBTOTAL(109,BDFUENTES[GF MIN Horas Activo])</f>
        <v>2758</v>
      </c>
      <c r="Y370" s="249"/>
      <c r="Z370" s="249"/>
      <c r="AA370" s="248"/>
      <c r="AB370" s="249"/>
      <c r="AC370" s="168">
        <f>SUBTOTAL(109,BDFUENTES[PTAP1 Horas Activo])</f>
        <v>2458.3000000000002</v>
      </c>
      <c r="AD370" s="246"/>
      <c r="AE370" s="246"/>
      <c r="AF370" s="250"/>
      <c r="AG370" s="249"/>
      <c r="AH370" s="168">
        <f>SUBTOTAL(109,BDFUENTES[GF NAR Horas Activo])</f>
        <v>2784</v>
      </c>
      <c r="AI370" s="248"/>
      <c r="AJ370" s="248"/>
      <c r="AK370" s="248"/>
      <c r="AL370" s="246"/>
      <c r="AM370" s="167">
        <f>SUM(BDFUENTES[PZ CHB Horas Activo])</f>
        <v>2059.5</v>
      </c>
      <c r="AN370" s="249"/>
      <c r="AO370" s="249"/>
      <c r="AP370" s="246"/>
      <c r="AQ370" s="248"/>
      <c r="AR370" s="248"/>
      <c r="AS370" s="249"/>
      <c r="AT370" s="249"/>
      <c r="AU370" s="248"/>
      <c r="AV370" s="246"/>
      <c r="AW370" s="167">
        <f>SUBTOTAL(109,BDFUENTES[PZ TM Horas Activo])</f>
        <v>1780</v>
      </c>
      <c r="AX370" s="251"/>
      <c r="AY370" s="251"/>
      <c r="AZ370" s="246"/>
      <c r="BA370" s="248"/>
      <c r="BB370" s="166">
        <f>SUBTOTAL(109,BDFUENTES[EBAP HIJA Horas Activo])</f>
        <v>488.43555555555571</v>
      </c>
      <c r="BC370" s="249"/>
      <c r="BD370" s="249"/>
      <c r="BE370" s="248"/>
      <c r="BF370" s="246"/>
      <c r="BG370" s="167">
        <f>SUBTOTAL(109,BDFUENTES[EBAP ALAR Horas Activo])</f>
        <v>1879.5694444444448</v>
      </c>
      <c r="BH370" s="249"/>
      <c r="BI370" s="249"/>
      <c r="BJ370" s="246"/>
      <c r="BK370" s="248"/>
      <c r="BL370" s="166">
        <f>SUBTOTAL(109,BDFUENTES[EBAP PNUE Horas Activo])</f>
        <v>1950.8293650793642</v>
      </c>
      <c r="BM370" s="249"/>
      <c r="BN370" s="249"/>
      <c r="BO370" s="248">
        <f>SUBTOTAL(103,BDFUENTES[EBAP PNUE m3/día])</f>
        <v>365</v>
      </c>
    </row>
    <row r="371" spans="2:67" ht="15" customHeight="1" x14ac:dyDescent="0.25">
      <c r="B371" s="94"/>
      <c r="C371" s="95"/>
      <c r="D371" s="95"/>
      <c r="E371" s="96"/>
      <c r="F371" s="96"/>
      <c r="G371" s="95"/>
      <c r="H371" s="97"/>
      <c r="I371" s="97"/>
      <c r="J371" s="96"/>
      <c r="K371" s="96"/>
      <c r="L371" s="97"/>
      <c r="M371" s="95"/>
      <c r="N371" s="95"/>
      <c r="O371" s="96"/>
      <c r="P371" s="96"/>
      <c r="Q371" s="95"/>
      <c r="R371" s="97"/>
      <c r="S371" s="97"/>
      <c r="T371" s="96"/>
      <c r="U371" s="96"/>
      <c r="V371" s="97"/>
      <c r="W371" s="95"/>
      <c r="X371" s="95"/>
      <c r="Y371" s="96"/>
      <c r="Z371" s="96"/>
      <c r="AA371" s="95"/>
      <c r="AB371" s="96"/>
      <c r="AC371" s="96"/>
      <c r="AD371" s="97"/>
      <c r="AE371" s="97"/>
      <c r="AF371" s="111"/>
      <c r="AG371" s="96"/>
      <c r="AH371" s="96"/>
      <c r="AI371" s="95"/>
      <c r="AJ371" s="95"/>
      <c r="AK371" s="95"/>
      <c r="AL371" s="97"/>
      <c r="AM371" s="97"/>
      <c r="AN371" s="96"/>
      <c r="AO371" s="96"/>
      <c r="AP371" s="97"/>
      <c r="AQ371" s="95"/>
      <c r="AR371" s="95"/>
      <c r="AS371" s="96"/>
      <c r="AT371" s="96"/>
      <c r="AU371" s="95"/>
      <c r="AV371" s="97"/>
      <c r="AW371" s="97"/>
      <c r="AX371" s="98"/>
      <c r="AY371" s="98"/>
      <c r="AZ371" s="97"/>
      <c r="BA371" s="95"/>
      <c r="BB371" s="95"/>
      <c r="BC371" s="96"/>
      <c r="BD371" s="96"/>
      <c r="BE371" s="95"/>
      <c r="BF371" s="97"/>
      <c r="BG371" s="97"/>
      <c r="BH371" s="96"/>
      <c r="BI371" s="96"/>
      <c r="BJ371" s="97"/>
      <c r="BK371" s="95"/>
      <c r="BL371" s="95"/>
      <c r="BM371" s="96"/>
      <c r="BN371" s="96"/>
      <c r="BO371" s="95"/>
    </row>
  </sheetData>
  <mergeCells count="14">
    <mergeCell ref="BV44:BX44"/>
    <mergeCell ref="AB3:AF3"/>
    <mergeCell ref="C3:G3"/>
    <mergeCell ref="H3:L3"/>
    <mergeCell ref="M3:Q3"/>
    <mergeCell ref="R3:V3"/>
    <mergeCell ref="W3:AA3"/>
    <mergeCell ref="BK3:BO3"/>
    <mergeCell ref="AG3:AK3"/>
    <mergeCell ref="AL3:AP3"/>
    <mergeCell ref="AQ3:AU3"/>
    <mergeCell ref="AV3:AZ3"/>
    <mergeCell ref="BA3:BE3"/>
    <mergeCell ref="BF3:BJ3"/>
  </mergeCells>
  <pageMargins left="0.70866141732283472" right="0.70866141732283472" top="0.74803149606299213" bottom="0.74803149606299213" header="0" footer="0"/>
  <pageSetup scale="49" fitToWidth="0" orientation="landscape" r:id="rId1"/>
  <colBreaks count="4" manualBreakCount="4">
    <brk id="12" min="2" max="65" man="1"/>
    <brk id="22" min="2" max="65" man="1"/>
    <brk id="32" min="2" max="65" man="1"/>
    <brk id="42" min="2" max="65" man="1"/>
  </colBreaks>
  <ignoredErrors>
    <ignoredError sqref="AA91" calculatedColumn="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8C9F1-78F6-4CAA-B25D-C4C0BD261995}">
  <sheetPr codeName="Hoja3"/>
  <dimension ref="B2:AP765"/>
  <sheetViews>
    <sheetView showGridLines="0" topLeftCell="I70" zoomScale="85" zoomScaleNormal="85" workbookViewId="0">
      <selection activeCell="W51" sqref="W51"/>
    </sheetView>
  </sheetViews>
  <sheetFormatPr baseColWidth="10" defaultRowHeight="15" x14ac:dyDescent="0.25"/>
  <cols>
    <col min="2" max="2" width="7.85546875" customWidth="1"/>
    <col min="3" max="3" width="6.140625" customWidth="1"/>
    <col min="4" max="4" width="7" customWidth="1"/>
    <col min="5" max="5" width="14.28515625" style="117" customWidth="1"/>
    <col min="6" max="6" width="10.5703125" style="118" customWidth="1"/>
    <col min="7" max="7" width="6.7109375" style="119" bestFit="1" customWidth="1"/>
    <col min="8" max="8" width="11.140625" style="119" customWidth="1"/>
    <col min="9" max="9" width="12.7109375" customWidth="1"/>
    <col min="10" max="10" width="8.140625" customWidth="1"/>
    <col min="11" max="11" width="10.42578125" customWidth="1"/>
    <col min="12" max="12" width="7.5703125" customWidth="1"/>
    <col min="13" max="13" width="11.28515625" customWidth="1"/>
    <col min="14" max="14" width="14.28515625" customWidth="1"/>
    <col min="15" max="15" width="10.42578125" style="119" customWidth="1"/>
    <col min="16" max="16" width="7.5703125" style="119" customWidth="1"/>
    <col min="17" max="17" width="23.28515625" style="119" bestFit="1" customWidth="1"/>
    <col min="18" max="19" width="23.28515625" customWidth="1"/>
    <col min="22" max="22" width="13.140625" customWidth="1"/>
    <col min="23" max="23" width="9.42578125" customWidth="1"/>
    <col min="24" max="26" width="13.28515625" customWidth="1"/>
    <col min="27" max="27" width="14.140625" bestFit="1" customWidth="1"/>
    <col min="28" max="34" width="10.85546875" bestFit="1" customWidth="1"/>
    <col min="35" max="36" width="12.5703125" bestFit="1" customWidth="1"/>
    <col min="37" max="53" width="10.85546875" bestFit="1" customWidth="1"/>
    <col min="54" max="54" width="9.42578125" bestFit="1" customWidth="1"/>
    <col min="55" max="55" width="6" bestFit="1" customWidth="1"/>
    <col min="56" max="56" width="12.7109375" bestFit="1" customWidth="1"/>
    <col min="57" max="70" width="10.85546875" bestFit="1" customWidth="1"/>
    <col min="71" max="71" width="12.5703125" bestFit="1" customWidth="1"/>
  </cols>
  <sheetData>
    <row r="2" spans="2:35" x14ac:dyDescent="0.25">
      <c r="B2" s="102" t="s">
        <v>462</v>
      </c>
      <c r="C2" s="103" t="s">
        <v>426</v>
      </c>
      <c r="D2" s="110" t="s">
        <v>427</v>
      </c>
      <c r="E2" s="120" t="s">
        <v>80</v>
      </c>
      <c r="F2" s="121" t="s">
        <v>108</v>
      </c>
      <c r="G2" s="122" t="s">
        <v>106</v>
      </c>
      <c r="H2" s="122" t="s">
        <v>86</v>
      </c>
      <c r="I2" s="104" t="s">
        <v>103</v>
      </c>
      <c r="J2" s="104" t="s">
        <v>455</v>
      </c>
      <c r="K2" s="104" t="s">
        <v>454</v>
      </c>
      <c r="L2" s="105" t="s">
        <v>450</v>
      </c>
      <c r="M2" s="105" t="s">
        <v>560</v>
      </c>
      <c r="N2" s="105" t="s">
        <v>592</v>
      </c>
      <c r="O2" s="122" t="s">
        <v>93</v>
      </c>
      <c r="P2" s="122" t="s">
        <v>81</v>
      </c>
      <c r="Q2" s="122" t="s">
        <v>94</v>
      </c>
      <c r="R2" s="363" t="s">
        <v>726</v>
      </c>
      <c r="S2" s="363"/>
    </row>
    <row r="3" spans="2:35" x14ac:dyDescent="0.25">
      <c r="B3">
        <f>WEEKNUM(BSURTIDOR[[#This Row],[FECHA]])</f>
        <v>1</v>
      </c>
      <c r="C3">
        <f>MONTH(BSURTIDOR[[#This Row],[FECHA]])</f>
        <v>1</v>
      </c>
      <c r="D3">
        <f>YEAR(BSURTIDOR[[#This Row],[FECHA]])</f>
        <v>2026</v>
      </c>
      <c r="E3" s="124">
        <v>46025</v>
      </c>
      <c r="F3" s="265" t="s">
        <v>548</v>
      </c>
      <c r="G3" s="123">
        <v>1</v>
      </c>
      <c r="H3" s="123" t="s">
        <v>558</v>
      </c>
      <c r="I3" s="101" t="str">
        <f>VLOOKUP(BDsurtidor!$H3,$T$4:$W$18,2,FALSE)</f>
        <v>HIDROJET</v>
      </c>
      <c r="J3" s="101">
        <f>VLOOKUP(BDsurtidor!$H3,$T$4:$W$25,3,FALSE)</f>
        <v>1000</v>
      </c>
      <c r="K3" s="101">
        <f>VLOOKUP(BDsurtidor!$H3,$T$4:$W$25,4,FALSE)</f>
        <v>1</v>
      </c>
      <c r="L3" s="101">
        <f>VLOOKUP(BDsurtidor!$H3,$T$4:$X$25,5,FALSE)</f>
        <v>0</v>
      </c>
      <c r="M3" s="101" t="str">
        <f>VLOOKUP(BDsurtidor!$H3,$T$4:$Y$25,6,FALSE)</f>
        <v>EPS</v>
      </c>
      <c r="N3" s="101"/>
      <c r="O3" s="125">
        <v>0</v>
      </c>
      <c r="P3" s="126">
        <v>0.31111111111111112</v>
      </c>
      <c r="Q3" s="123" t="s">
        <v>574</v>
      </c>
      <c r="R3" s="39"/>
      <c r="S3" s="39"/>
    </row>
    <row r="4" spans="2:35" ht="30" x14ac:dyDescent="0.25">
      <c r="B4">
        <f>WEEKNUM(BSURTIDOR[[#This Row],[FECHA]])</f>
        <v>1</v>
      </c>
      <c r="C4">
        <f>MONTH(BSURTIDOR[[#This Row],[FECHA]])</f>
        <v>1</v>
      </c>
      <c r="D4">
        <f>YEAR(BSURTIDOR[[#This Row],[FECHA]])</f>
        <v>2026</v>
      </c>
      <c r="E4" s="124">
        <v>46025</v>
      </c>
      <c r="F4" s="265" t="s">
        <v>548</v>
      </c>
      <c r="G4" s="123">
        <v>2</v>
      </c>
      <c r="H4" s="123" t="s">
        <v>87</v>
      </c>
      <c r="I4" s="101" t="str">
        <f>VLOOKUP(BDsurtidor!$H4,$T$4:$W$18,2,FALSE)</f>
        <v>CISTERNA</v>
      </c>
      <c r="J4" s="101">
        <f>VLOOKUP(BDsurtidor!$H4,$T$4:$W$25,3,FALSE)</f>
        <v>5000</v>
      </c>
      <c r="K4" s="101">
        <f>VLOOKUP(BDsurtidor!$H4,$T$4:$W$25,4,FALSE)</f>
        <v>17</v>
      </c>
      <c r="L4" s="101">
        <f>VLOOKUP(BDsurtidor!$H4,$T$4:$X$25,5,FALSE)</f>
        <v>0.4</v>
      </c>
      <c r="M4" s="101" t="str">
        <f>VLOOKUP(BDsurtidor!$H4,$T$4:$Y$25,6,FALSE)</f>
        <v>EPS</v>
      </c>
      <c r="N4" s="101"/>
      <c r="O4" s="125">
        <v>1.31</v>
      </c>
      <c r="P4" s="126">
        <v>0.32777777777777778</v>
      </c>
      <c r="Q4" s="123" t="s">
        <v>574</v>
      </c>
      <c r="R4" s="39"/>
      <c r="S4" s="39"/>
      <c r="T4" s="75" t="s">
        <v>86</v>
      </c>
      <c r="U4" s="75" t="s">
        <v>103</v>
      </c>
      <c r="V4" s="75" t="s">
        <v>91</v>
      </c>
      <c r="W4" s="75" t="s">
        <v>92</v>
      </c>
      <c r="X4" s="76" t="s">
        <v>449</v>
      </c>
      <c r="Y4" s="75" t="s">
        <v>560</v>
      </c>
      <c r="Z4" s="74"/>
      <c r="AA4" s="36" t="s">
        <v>427</v>
      </c>
      <c r="AB4" s="37">
        <v>2026</v>
      </c>
    </row>
    <row r="5" spans="2:35" x14ac:dyDescent="0.25">
      <c r="B5">
        <f>WEEKNUM(BSURTIDOR[[#This Row],[FECHA]])</f>
        <v>1</v>
      </c>
      <c r="C5">
        <f>MONTH(BSURTIDOR[[#This Row],[FECHA]])</f>
        <v>1</v>
      </c>
      <c r="D5">
        <f>YEAR(BSURTIDOR[[#This Row],[FECHA]])</f>
        <v>2026</v>
      </c>
      <c r="E5" s="124">
        <v>46025</v>
      </c>
      <c r="F5" s="265" t="s">
        <v>548</v>
      </c>
      <c r="G5" s="123">
        <v>3</v>
      </c>
      <c r="H5" s="123" t="s">
        <v>87</v>
      </c>
      <c r="I5" s="101" t="str">
        <f>VLOOKUP(BDsurtidor!$H5,$T$4:$W$18,2,FALSE)</f>
        <v>CISTERNA</v>
      </c>
      <c r="J5" s="101">
        <f>VLOOKUP(BDsurtidor!$H5,$T$4:$W$25,3,FALSE)</f>
        <v>5000</v>
      </c>
      <c r="K5" s="101">
        <f>VLOOKUP(BDsurtidor!$H5,$T$4:$W$25,4,FALSE)</f>
        <v>17</v>
      </c>
      <c r="L5" s="101">
        <f>VLOOKUP(BDsurtidor!$H5,$T$4:$X$25,5,FALSE)</f>
        <v>0.4</v>
      </c>
      <c r="M5" s="101" t="str">
        <f>VLOOKUP(BDsurtidor!$H5,$T$4:$Y$25,6,FALSE)</f>
        <v>EPS</v>
      </c>
      <c r="N5" s="101"/>
      <c r="O5" s="125">
        <v>1.66</v>
      </c>
      <c r="P5" s="126">
        <v>0.4152777777777778</v>
      </c>
      <c r="Q5" s="123" t="s">
        <v>574</v>
      </c>
      <c r="R5" s="39">
        <v>1</v>
      </c>
      <c r="S5" s="39"/>
      <c r="T5" t="s">
        <v>89</v>
      </c>
      <c r="U5" t="s">
        <v>101</v>
      </c>
      <c r="V5">
        <v>9000</v>
      </c>
      <c r="W5">
        <f>ROUNDDOWN(V5*0.00378541,0)</f>
        <v>34</v>
      </c>
      <c r="X5" s="44">
        <v>0.45</v>
      </c>
      <c r="Y5" s="195" t="s">
        <v>559</v>
      </c>
      <c r="AA5" s="36" t="s">
        <v>462</v>
      </c>
      <c r="AB5" s="37">
        <v>17</v>
      </c>
    </row>
    <row r="6" spans="2:35" x14ac:dyDescent="0.25">
      <c r="B6">
        <f>WEEKNUM(BSURTIDOR[[#This Row],[FECHA]])</f>
        <v>1</v>
      </c>
      <c r="C6">
        <f>MONTH(BSURTIDOR[[#This Row],[FECHA]])</f>
        <v>1</v>
      </c>
      <c r="D6">
        <f>YEAR(BSURTIDOR[[#This Row],[FECHA]])</f>
        <v>2026</v>
      </c>
      <c r="E6" s="124">
        <v>46025</v>
      </c>
      <c r="F6" s="265" t="s">
        <v>548</v>
      </c>
      <c r="G6" s="123">
        <v>4</v>
      </c>
      <c r="H6" s="123" t="s">
        <v>558</v>
      </c>
      <c r="I6" s="101" t="str">
        <f>VLOOKUP(BDsurtidor!$H6,$T$4:$W$18,2,FALSE)</f>
        <v>HIDROJET</v>
      </c>
      <c r="J6" s="101">
        <f>VLOOKUP(BDsurtidor!$H6,$T$4:$W$25,3,FALSE)</f>
        <v>1000</v>
      </c>
      <c r="K6" s="101">
        <f>VLOOKUP(BDsurtidor!$H6,$T$4:$W$25,4,FALSE)</f>
        <v>1</v>
      </c>
      <c r="L6" s="101">
        <f>VLOOKUP(BDsurtidor!$H6,$T$4:$X$25,5,FALSE)</f>
        <v>0</v>
      </c>
      <c r="M6" s="101" t="str">
        <f>VLOOKUP(BDsurtidor!$H6,$T$4:$Y$25,6,FALSE)</f>
        <v>EPS</v>
      </c>
      <c r="N6" s="101"/>
      <c r="O6" s="125">
        <v>0</v>
      </c>
      <c r="P6" s="126">
        <v>0.43055555555555558</v>
      </c>
      <c r="Q6" s="123" t="s">
        <v>574</v>
      </c>
      <c r="R6" s="39">
        <v>2</v>
      </c>
      <c r="S6" s="39"/>
      <c r="T6" t="s">
        <v>98</v>
      </c>
      <c r="U6" t="s">
        <v>101</v>
      </c>
      <c r="V6">
        <v>9000</v>
      </c>
      <c r="W6">
        <f>ROUNDDOWN(V6*0.00378541,0)</f>
        <v>34</v>
      </c>
      <c r="X6" s="44">
        <v>0.45</v>
      </c>
      <c r="Y6" s="195" t="s">
        <v>559</v>
      </c>
    </row>
    <row r="7" spans="2:35" x14ac:dyDescent="0.25">
      <c r="B7">
        <f>WEEKNUM(BSURTIDOR[[#This Row],[FECHA]])</f>
        <v>1</v>
      </c>
      <c r="C7">
        <f>MONTH(BSURTIDOR[[#This Row],[FECHA]])</f>
        <v>1</v>
      </c>
      <c r="D7">
        <f>YEAR(BSURTIDOR[[#This Row],[FECHA]])</f>
        <v>2026</v>
      </c>
      <c r="E7" s="124">
        <v>46025</v>
      </c>
      <c r="F7" s="265" t="s">
        <v>548</v>
      </c>
      <c r="G7" s="123">
        <v>5</v>
      </c>
      <c r="H7" s="123" t="s">
        <v>87</v>
      </c>
      <c r="I7" s="101" t="str">
        <f>VLOOKUP(BDsurtidor!$H7,$T$4:$W$18,2,FALSE)</f>
        <v>CISTERNA</v>
      </c>
      <c r="J7" s="101">
        <f>VLOOKUP(BDsurtidor!$H7,$T$4:$W$25,3,FALSE)</f>
        <v>5000</v>
      </c>
      <c r="K7" s="101">
        <f>VLOOKUP(BDsurtidor!$H7,$T$4:$W$25,4,FALSE)</f>
        <v>17</v>
      </c>
      <c r="L7" s="101">
        <f>VLOOKUP(BDsurtidor!$H7,$T$4:$X$25,5,FALSE)</f>
        <v>0.4</v>
      </c>
      <c r="M7" s="101" t="str">
        <f>VLOOKUP(BDsurtidor!$H7,$T$4:$Y$25,6,FALSE)</f>
        <v>EPS</v>
      </c>
      <c r="N7" s="101"/>
      <c r="O7" s="125">
        <v>1.53</v>
      </c>
      <c r="P7" s="126">
        <v>0.50208333333333333</v>
      </c>
      <c r="Q7" s="123" t="s">
        <v>574</v>
      </c>
      <c r="R7" s="39">
        <v>3</v>
      </c>
      <c r="S7" s="39"/>
      <c r="T7" s="45" t="s">
        <v>104</v>
      </c>
      <c r="U7" t="s">
        <v>101</v>
      </c>
      <c r="V7">
        <v>9000</v>
      </c>
      <c r="W7">
        <f>ROUNDDOWN(V7*0.00378541,0)</f>
        <v>34</v>
      </c>
      <c r="X7" s="44">
        <v>0.45</v>
      </c>
      <c r="Y7" s="44" t="s">
        <v>563</v>
      </c>
      <c r="AA7" s="36" t="s">
        <v>461</v>
      </c>
      <c r="AB7" s="36" t="s">
        <v>80</v>
      </c>
    </row>
    <row r="8" spans="2:35" x14ac:dyDescent="0.25">
      <c r="B8">
        <f>WEEKNUM(BSURTIDOR[[#This Row],[FECHA]])</f>
        <v>2</v>
      </c>
      <c r="C8">
        <f>MONTH(BSURTIDOR[[#This Row],[FECHA]])</f>
        <v>1</v>
      </c>
      <c r="D8">
        <f>YEAR(BSURTIDOR[[#This Row],[FECHA]])</f>
        <v>2026</v>
      </c>
      <c r="E8" s="117">
        <v>46027</v>
      </c>
      <c r="F8" s="283" t="s">
        <v>548</v>
      </c>
      <c r="G8" s="119">
        <v>1</v>
      </c>
      <c r="H8" s="119" t="s">
        <v>87</v>
      </c>
      <c r="I8" s="101" t="str">
        <f>VLOOKUP(BDsurtidor!$H8,$T$4:$W$18,2,FALSE)</f>
        <v>CISTERNA</v>
      </c>
      <c r="J8" s="101">
        <f>VLOOKUP(BDsurtidor!$H8,$T$4:$W$25,3,FALSE)</f>
        <v>5000</v>
      </c>
      <c r="K8" s="101">
        <f>VLOOKUP(BDsurtidor!$H8,$T$4:$W$25,4,FALSE)</f>
        <v>17</v>
      </c>
      <c r="L8" s="101">
        <f>VLOOKUP(BDsurtidor!$H8,$T$4:$X$25,5,FALSE)</f>
        <v>0.4</v>
      </c>
      <c r="M8" s="101" t="str">
        <f>VLOOKUP(BDsurtidor!$H8,$T$4:$Y$25,6,FALSE)</f>
        <v>EPS</v>
      </c>
      <c r="N8" s="101"/>
      <c r="O8" s="125">
        <v>1.52</v>
      </c>
      <c r="P8" s="126">
        <v>0.31527777777777777</v>
      </c>
      <c r="Q8" s="123" t="s">
        <v>574</v>
      </c>
      <c r="R8" s="39">
        <v>4</v>
      </c>
      <c r="S8" s="39"/>
      <c r="T8" s="45" t="s">
        <v>105</v>
      </c>
      <c r="U8" t="s">
        <v>101</v>
      </c>
      <c r="V8">
        <v>9000</v>
      </c>
      <c r="W8">
        <f>ROUNDDOWN(V8*0.00378541,0)</f>
        <v>34</v>
      </c>
      <c r="X8" s="44">
        <v>0.45</v>
      </c>
      <c r="Y8" s="195" t="s">
        <v>559</v>
      </c>
      <c r="AA8" s="36" t="s">
        <v>463</v>
      </c>
      <c r="AB8" s="42">
        <v>46131</v>
      </c>
      <c r="AC8" s="42">
        <v>46132</v>
      </c>
      <c r="AD8" s="42">
        <v>46133</v>
      </c>
      <c r="AE8" s="42">
        <v>46134</v>
      </c>
      <c r="AF8" s="42">
        <v>46135</v>
      </c>
      <c r="AG8" s="42">
        <v>46136</v>
      </c>
      <c r="AH8" s="42">
        <v>46137</v>
      </c>
      <c r="AI8" s="42" t="s">
        <v>85</v>
      </c>
    </row>
    <row r="9" spans="2:35" x14ac:dyDescent="0.25">
      <c r="B9">
        <f>WEEKNUM(BSURTIDOR[[#This Row],[FECHA]])</f>
        <v>2</v>
      </c>
      <c r="C9">
        <f>MONTH(BSURTIDOR[[#This Row],[FECHA]])</f>
        <v>1</v>
      </c>
      <c r="D9">
        <f>YEAR(BSURTIDOR[[#This Row],[FECHA]])</f>
        <v>2026</v>
      </c>
      <c r="E9" s="117">
        <v>46027</v>
      </c>
      <c r="F9" s="283" t="s">
        <v>548</v>
      </c>
      <c r="G9" s="119">
        <v>2</v>
      </c>
      <c r="H9" s="119" t="s">
        <v>558</v>
      </c>
      <c r="I9" s="101" t="str">
        <f>VLOOKUP(BDsurtidor!$H9,$T$4:$W$18,2,FALSE)</f>
        <v>HIDROJET</v>
      </c>
      <c r="J9" s="101">
        <f>VLOOKUP(BDsurtidor!$H9,$T$4:$W$25,3,FALSE)</f>
        <v>1000</v>
      </c>
      <c r="K9" s="101">
        <f>VLOOKUP(BDsurtidor!$H9,$T$4:$W$25,4,FALSE)</f>
        <v>1</v>
      </c>
      <c r="L9" s="101">
        <f>VLOOKUP(BDsurtidor!$H9,$T$4:$X$25,5,FALSE)</f>
        <v>0</v>
      </c>
      <c r="M9" s="101" t="str">
        <f>VLOOKUP(BDsurtidor!$H9,$T$4:$Y$25,6,FALSE)</f>
        <v>EPS</v>
      </c>
      <c r="N9" s="101"/>
      <c r="O9" s="125">
        <v>0</v>
      </c>
      <c r="P9" s="126">
        <v>0.33124999999999999</v>
      </c>
      <c r="Q9" s="123" t="s">
        <v>574</v>
      </c>
      <c r="R9" s="39">
        <v>5</v>
      </c>
      <c r="S9" s="39"/>
      <c r="T9" t="s">
        <v>87</v>
      </c>
      <c r="U9" t="s">
        <v>101</v>
      </c>
      <c r="V9">
        <v>5000</v>
      </c>
      <c r="W9">
        <v>17</v>
      </c>
      <c r="X9" s="44">
        <v>0.4</v>
      </c>
      <c r="Y9" s="44" t="s">
        <v>561</v>
      </c>
      <c r="AA9" s="37" t="s">
        <v>109</v>
      </c>
      <c r="AC9">
        <v>1</v>
      </c>
      <c r="AE9">
        <v>1</v>
      </c>
      <c r="AI9">
        <v>2</v>
      </c>
    </row>
    <row r="10" spans="2:35" x14ac:dyDescent="0.25">
      <c r="B10">
        <f>WEEKNUM(BSURTIDOR[[#This Row],[FECHA]])</f>
        <v>2</v>
      </c>
      <c r="C10">
        <f>MONTH(BSURTIDOR[[#This Row],[FECHA]])</f>
        <v>1</v>
      </c>
      <c r="D10">
        <f>YEAR(BSURTIDOR[[#This Row],[FECHA]])</f>
        <v>2026</v>
      </c>
      <c r="E10" s="117">
        <v>46027</v>
      </c>
      <c r="F10" s="283" t="s">
        <v>548</v>
      </c>
      <c r="G10" s="119">
        <v>3</v>
      </c>
      <c r="H10" s="119" t="s">
        <v>100</v>
      </c>
      <c r="I10" s="101" t="str">
        <f>VLOOKUP(BDsurtidor!$H10,$T$4:$W$18,2,FALSE)</f>
        <v>HIDROJET</v>
      </c>
      <c r="J10" s="101">
        <f>VLOOKUP(BDsurtidor!$H10,$T$4:$W$25,3,FALSE)</f>
        <v>1000</v>
      </c>
      <c r="K10" s="101">
        <f>VLOOKUP(BDsurtidor!$H10,$T$4:$W$25,4,FALSE)</f>
        <v>1</v>
      </c>
      <c r="L10" s="101">
        <f>VLOOKUP(BDsurtidor!$H10,$T$4:$X$25,5,FALSE)</f>
        <v>0</v>
      </c>
      <c r="M10" s="101" t="str">
        <f>VLOOKUP(BDsurtidor!$H10,$T$4:$Y$25,6,FALSE)</f>
        <v>EPS</v>
      </c>
      <c r="N10" s="101"/>
      <c r="O10" s="125">
        <v>0</v>
      </c>
      <c r="P10" s="126">
        <v>0.37847222222222221</v>
      </c>
      <c r="Q10" s="123" t="s">
        <v>574</v>
      </c>
      <c r="R10" s="39">
        <v>6</v>
      </c>
      <c r="S10" s="39"/>
      <c r="T10" t="s">
        <v>88</v>
      </c>
      <c r="U10" t="s">
        <v>101</v>
      </c>
      <c r="V10">
        <v>5000</v>
      </c>
      <c r="W10">
        <v>17</v>
      </c>
      <c r="X10" s="44">
        <v>0.4</v>
      </c>
      <c r="Y10" s="44" t="s">
        <v>561</v>
      </c>
      <c r="AA10" s="41">
        <v>5000</v>
      </c>
    </row>
    <row r="11" spans="2:35" x14ac:dyDescent="0.25">
      <c r="B11">
        <f>WEEKNUM(BSURTIDOR[[#This Row],[FECHA]])</f>
        <v>2</v>
      </c>
      <c r="C11">
        <f>MONTH(BSURTIDOR[[#This Row],[FECHA]])</f>
        <v>1</v>
      </c>
      <c r="D11">
        <f>YEAR(BSURTIDOR[[#This Row],[FECHA]])</f>
        <v>2026</v>
      </c>
      <c r="E11" s="117">
        <v>46027</v>
      </c>
      <c r="F11" s="283" t="s">
        <v>548</v>
      </c>
      <c r="G11" s="119">
        <v>4</v>
      </c>
      <c r="H11" s="119" t="s">
        <v>87</v>
      </c>
      <c r="I11" s="101" t="str">
        <f>VLOOKUP(BDsurtidor!$H11,$T$4:$W$18,2,FALSE)</f>
        <v>CISTERNA</v>
      </c>
      <c r="J11" s="101">
        <f>VLOOKUP(BDsurtidor!$H11,$T$4:$W$25,3,FALSE)</f>
        <v>5000</v>
      </c>
      <c r="K11" s="101">
        <f>VLOOKUP(BDsurtidor!$H11,$T$4:$W$25,4,FALSE)</f>
        <v>17</v>
      </c>
      <c r="L11" s="101">
        <f>VLOOKUP(BDsurtidor!$H11,$T$4:$X$25,5,FALSE)</f>
        <v>0.4</v>
      </c>
      <c r="M11" s="101" t="str">
        <f>VLOOKUP(BDsurtidor!$H11,$T$4:$Y$25,6,FALSE)</f>
        <v>EPS</v>
      </c>
      <c r="N11" s="101"/>
      <c r="O11" s="125">
        <v>1.28</v>
      </c>
      <c r="P11" s="126">
        <v>0.3972222222222222</v>
      </c>
      <c r="Q11" s="123" t="s">
        <v>574</v>
      </c>
      <c r="R11" s="39">
        <v>7</v>
      </c>
      <c r="S11" s="39"/>
      <c r="T11" t="s">
        <v>90</v>
      </c>
      <c r="U11" t="s">
        <v>101</v>
      </c>
      <c r="V11">
        <v>5000</v>
      </c>
      <c r="W11">
        <v>17</v>
      </c>
      <c r="X11" s="44">
        <v>0.4</v>
      </c>
      <c r="Y11" s="44" t="s">
        <v>561</v>
      </c>
      <c r="AA11" s="83" t="s">
        <v>99</v>
      </c>
      <c r="AC11">
        <v>1</v>
      </c>
      <c r="AE11">
        <v>1</v>
      </c>
      <c r="AI11">
        <v>2</v>
      </c>
    </row>
    <row r="12" spans="2:35" x14ac:dyDescent="0.25">
      <c r="B12">
        <f>WEEKNUM(BSURTIDOR[[#This Row],[FECHA]])</f>
        <v>2</v>
      </c>
      <c r="C12">
        <f>MONTH(BSURTIDOR[[#This Row],[FECHA]])</f>
        <v>1</v>
      </c>
      <c r="D12">
        <f>YEAR(BSURTIDOR[[#This Row],[FECHA]])</f>
        <v>2026</v>
      </c>
      <c r="E12" s="117">
        <v>46027</v>
      </c>
      <c r="F12" s="283" t="s">
        <v>548</v>
      </c>
      <c r="G12" s="119">
        <v>5</v>
      </c>
      <c r="H12" s="119" t="s">
        <v>558</v>
      </c>
      <c r="I12" s="101" t="str">
        <f>VLOOKUP(BDsurtidor!$H12,$T$4:$W$18,2,FALSE)</f>
        <v>HIDROJET</v>
      </c>
      <c r="J12" s="101">
        <f>VLOOKUP(BDsurtidor!$H12,$T$4:$W$25,3,FALSE)</f>
        <v>1000</v>
      </c>
      <c r="K12" s="101">
        <f>VLOOKUP(BDsurtidor!$H12,$T$4:$W$25,4,FALSE)</f>
        <v>1</v>
      </c>
      <c r="L12" s="101">
        <f>VLOOKUP(BDsurtidor!$H12,$T$4:$X$25,5,FALSE)</f>
        <v>0</v>
      </c>
      <c r="M12" s="101" t="str">
        <f>VLOOKUP(BDsurtidor!$H12,$T$4:$Y$25,6,FALSE)</f>
        <v>EPS</v>
      </c>
      <c r="N12" s="101"/>
      <c r="O12" s="125">
        <v>0</v>
      </c>
      <c r="P12" s="126">
        <v>0.45624999999999999</v>
      </c>
      <c r="Q12" s="123" t="s">
        <v>574</v>
      </c>
      <c r="R12" s="39">
        <v>8</v>
      </c>
      <c r="S12" s="39"/>
      <c r="T12" t="s">
        <v>97</v>
      </c>
      <c r="U12" t="s">
        <v>101</v>
      </c>
      <c r="V12">
        <v>5000</v>
      </c>
      <c r="W12">
        <v>17</v>
      </c>
      <c r="X12" s="44">
        <v>0.4</v>
      </c>
      <c r="Y12" s="44" t="s">
        <v>561</v>
      </c>
      <c r="AA12" s="37" t="s">
        <v>548</v>
      </c>
      <c r="AB12">
        <v>2</v>
      </c>
      <c r="AC12">
        <v>6</v>
      </c>
      <c r="AD12">
        <v>7</v>
      </c>
      <c r="AE12">
        <v>7</v>
      </c>
      <c r="AF12">
        <v>8</v>
      </c>
      <c r="AG12">
        <v>6</v>
      </c>
      <c r="AH12">
        <v>4</v>
      </c>
      <c r="AI12">
        <v>40</v>
      </c>
    </row>
    <row r="13" spans="2:35" x14ac:dyDescent="0.25">
      <c r="B13">
        <f>WEEKNUM(BSURTIDOR[[#This Row],[FECHA]])</f>
        <v>2</v>
      </c>
      <c r="C13">
        <f>MONTH(BSURTIDOR[[#This Row],[FECHA]])</f>
        <v>1</v>
      </c>
      <c r="D13">
        <f>YEAR(BSURTIDOR[[#This Row],[FECHA]])</f>
        <v>2026</v>
      </c>
      <c r="E13" s="117">
        <v>46027</v>
      </c>
      <c r="F13" s="283" t="s">
        <v>548</v>
      </c>
      <c r="G13" s="119">
        <v>6</v>
      </c>
      <c r="H13" s="119" t="s">
        <v>87</v>
      </c>
      <c r="I13" s="101" t="str">
        <f>VLOOKUP(BDsurtidor!$H13,$T$4:$W$18,2,FALSE)</f>
        <v>CISTERNA</v>
      </c>
      <c r="J13" s="101">
        <f>VLOOKUP(BDsurtidor!$H13,$T$4:$W$25,3,FALSE)</f>
        <v>5000</v>
      </c>
      <c r="K13" s="101">
        <f>VLOOKUP(BDsurtidor!$H13,$T$4:$W$25,4,FALSE)</f>
        <v>17</v>
      </c>
      <c r="L13" s="101">
        <f>VLOOKUP(BDsurtidor!$H13,$T$4:$X$25,5,FALSE)</f>
        <v>0.4</v>
      </c>
      <c r="M13" s="101" t="str">
        <f>VLOOKUP(BDsurtidor!$H13,$T$4:$Y$25,6,FALSE)</f>
        <v>EPS</v>
      </c>
      <c r="N13" s="101"/>
      <c r="O13" s="125">
        <v>1.42</v>
      </c>
      <c r="P13" s="126">
        <v>0.47986111111111113</v>
      </c>
      <c r="Q13" s="123" t="s">
        <v>574</v>
      </c>
      <c r="R13" s="39">
        <v>9</v>
      </c>
      <c r="S13" s="39"/>
      <c r="T13" t="s">
        <v>99</v>
      </c>
      <c r="U13" t="s">
        <v>101</v>
      </c>
      <c r="V13">
        <v>5000</v>
      </c>
      <c r="W13">
        <v>17</v>
      </c>
      <c r="X13" s="44">
        <v>0.4</v>
      </c>
      <c r="Y13" s="44" t="s">
        <v>561</v>
      </c>
      <c r="AA13" s="41">
        <v>1000</v>
      </c>
    </row>
    <row r="14" spans="2:35" x14ac:dyDescent="0.25">
      <c r="B14">
        <f>WEEKNUM(BSURTIDOR[[#This Row],[FECHA]])</f>
        <v>2</v>
      </c>
      <c r="C14">
        <f>MONTH(BSURTIDOR[[#This Row],[FECHA]])</f>
        <v>1</v>
      </c>
      <c r="D14">
        <f>YEAR(BSURTIDOR[[#This Row],[FECHA]])</f>
        <v>2026</v>
      </c>
      <c r="E14" s="117">
        <v>46028</v>
      </c>
      <c r="F14" s="283" t="s">
        <v>548</v>
      </c>
      <c r="G14" s="119">
        <v>1</v>
      </c>
      <c r="H14" s="119" t="s">
        <v>87</v>
      </c>
      <c r="I14" s="101" t="str">
        <f>VLOOKUP(BDsurtidor!$H14,$T$4:$W$18,2,FALSE)</f>
        <v>CISTERNA</v>
      </c>
      <c r="J14" s="101">
        <f>VLOOKUP(BDsurtidor!$H14,$T$4:$W$25,3,FALSE)</f>
        <v>5000</v>
      </c>
      <c r="K14" s="101">
        <f>VLOOKUP(BDsurtidor!$H14,$T$4:$W$25,4,FALSE)</f>
        <v>17</v>
      </c>
      <c r="L14" s="101">
        <f>VLOOKUP(BDsurtidor!$H14,$T$4:$X$25,5,FALSE)</f>
        <v>0.4</v>
      </c>
      <c r="M14" s="101" t="str">
        <f>VLOOKUP(BDsurtidor!$H14,$T$4:$Y$25,6,FALSE)</f>
        <v>EPS</v>
      </c>
      <c r="N14" s="101"/>
      <c r="O14" s="125">
        <v>1.54</v>
      </c>
      <c r="P14" s="126">
        <v>0.32500000000000001</v>
      </c>
      <c r="Q14" s="123" t="s">
        <v>574</v>
      </c>
      <c r="R14" s="39">
        <v>10</v>
      </c>
      <c r="S14" s="39"/>
      <c r="T14" t="s">
        <v>96</v>
      </c>
      <c r="U14" t="s">
        <v>101</v>
      </c>
      <c r="V14">
        <v>4500</v>
      </c>
      <c r="W14">
        <v>14</v>
      </c>
      <c r="X14" s="44">
        <v>0.35</v>
      </c>
      <c r="Y14" s="44" t="s">
        <v>561</v>
      </c>
      <c r="AA14" s="83" t="s">
        <v>100</v>
      </c>
      <c r="AE14">
        <v>1</v>
      </c>
      <c r="AF14">
        <v>1</v>
      </c>
      <c r="AG14">
        <v>1</v>
      </c>
      <c r="AH14">
        <v>1</v>
      </c>
      <c r="AI14">
        <v>4</v>
      </c>
    </row>
    <row r="15" spans="2:35" x14ac:dyDescent="0.25">
      <c r="B15">
        <f>WEEKNUM(BSURTIDOR[[#This Row],[FECHA]])</f>
        <v>2</v>
      </c>
      <c r="C15">
        <f>MONTH(BSURTIDOR[[#This Row],[FECHA]])</f>
        <v>1</v>
      </c>
      <c r="D15">
        <f>YEAR(BSURTIDOR[[#This Row],[FECHA]])</f>
        <v>2026</v>
      </c>
      <c r="E15" s="117">
        <v>46028</v>
      </c>
      <c r="F15" s="283" t="s">
        <v>548</v>
      </c>
      <c r="G15" s="119">
        <v>2</v>
      </c>
      <c r="H15" s="119" t="s">
        <v>558</v>
      </c>
      <c r="I15" s="101" t="str">
        <f>VLOOKUP(BDsurtidor!$H15,$T$4:$W$18,2,FALSE)</f>
        <v>HIDROJET</v>
      </c>
      <c r="J15" s="101">
        <f>VLOOKUP(BDsurtidor!$H15,$T$4:$W$25,3,FALSE)</f>
        <v>1000</v>
      </c>
      <c r="K15" s="101">
        <f>VLOOKUP(BDsurtidor!$H15,$T$4:$W$25,4,FALSE)</f>
        <v>1</v>
      </c>
      <c r="L15" s="101">
        <f>VLOOKUP(BDsurtidor!$H15,$T$4:$X$25,5,FALSE)</f>
        <v>0</v>
      </c>
      <c r="M15" s="101" t="str">
        <f>VLOOKUP(BDsurtidor!$H15,$T$4:$Y$25,6,FALSE)</f>
        <v>EPS</v>
      </c>
      <c r="N15" s="101"/>
      <c r="O15" s="125">
        <v>0</v>
      </c>
      <c r="P15" s="126">
        <v>0.33194444444444443</v>
      </c>
      <c r="Q15" s="123" t="s">
        <v>574</v>
      </c>
      <c r="R15" s="39">
        <v>11</v>
      </c>
      <c r="S15" s="39"/>
      <c r="T15" s="70" t="s">
        <v>95</v>
      </c>
      <c r="U15" t="s">
        <v>101</v>
      </c>
      <c r="V15">
        <v>2500</v>
      </c>
      <c r="W15">
        <f>ROUNDDOWN(V15*0.00378541,0)</f>
        <v>9</v>
      </c>
      <c r="X15" s="44">
        <v>0.22</v>
      </c>
      <c r="Y15" s="44" t="s">
        <v>561</v>
      </c>
      <c r="AA15" s="41">
        <v>2500</v>
      </c>
    </row>
    <row r="16" spans="2:35" x14ac:dyDescent="0.25">
      <c r="B16">
        <f>WEEKNUM(BSURTIDOR[[#This Row],[FECHA]])</f>
        <v>2</v>
      </c>
      <c r="C16">
        <f>MONTH(BSURTIDOR[[#This Row],[FECHA]])</f>
        <v>1</v>
      </c>
      <c r="D16">
        <f>YEAR(BSURTIDOR[[#This Row],[FECHA]])</f>
        <v>2026</v>
      </c>
      <c r="E16" s="117">
        <v>46028</v>
      </c>
      <c r="F16" s="283" t="s">
        <v>548</v>
      </c>
      <c r="G16" s="119">
        <v>3</v>
      </c>
      <c r="H16" s="119" t="s">
        <v>100</v>
      </c>
      <c r="I16" s="101" t="str">
        <f>VLOOKUP(BDsurtidor!$H16,$T$4:$W$18,2,FALSE)</f>
        <v>HIDROJET</v>
      </c>
      <c r="J16" s="101">
        <f>VLOOKUP(BDsurtidor!$H16,$T$4:$W$25,3,FALSE)</f>
        <v>1000</v>
      </c>
      <c r="K16" s="101">
        <f>VLOOKUP(BDsurtidor!$H16,$T$4:$W$25,4,FALSE)</f>
        <v>1</v>
      </c>
      <c r="L16" s="101">
        <f>VLOOKUP(BDsurtidor!$H16,$T$4:$X$25,5,FALSE)</f>
        <v>0</v>
      </c>
      <c r="M16" s="101" t="str">
        <f>VLOOKUP(BDsurtidor!$H16,$T$4:$Y$25,6,FALSE)</f>
        <v>EPS</v>
      </c>
      <c r="N16" s="101"/>
      <c r="O16" s="125">
        <v>0</v>
      </c>
      <c r="P16" s="126">
        <v>0.33611111111111114</v>
      </c>
      <c r="Q16" s="123" t="s">
        <v>574</v>
      </c>
      <c r="R16" s="39">
        <v>1</v>
      </c>
      <c r="S16" s="39"/>
      <c r="T16" s="69" t="s">
        <v>100</v>
      </c>
      <c r="U16" s="43" t="s">
        <v>102</v>
      </c>
      <c r="V16" s="43">
        <v>1000</v>
      </c>
      <c r="W16">
        <v>1</v>
      </c>
      <c r="X16" s="44">
        <v>0</v>
      </c>
      <c r="Y16" s="44" t="s">
        <v>561</v>
      </c>
      <c r="AA16" s="83" t="s">
        <v>95</v>
      </c>
      <c r="AC16">
        <v>1</v>
      </c>
      <c r="AD16">
        <v>1</v>
      </c>
      <c r="AE16">
        <v>1</v>
      </c>
      <c r="AF16">
        <v>2</v>
      </c>
      <c r="AG16">
        <v>1</v>
      </c>
      <c r="AH16">
        <v>1</v>
      </c>
      <c r="AI16">
        <v>7</v>
      </c>
    </row>
    <row r="17" spans="2:35" x14ac:dyDescent="0.25">
      <c r="B17">
        <f>WEEKNUM(BSURTIDOR[[#This Row],[FECHA]])</f>
        <v>2</v>
      </c>
      <c r="C17">
        <f>MONTH(BSURTIDOR[[#This Row],[FECHA]])</f>
        <v>1</v>
      </c>
      <c r="D17">
        <f>YEAR(BSURTIDOR[[#This Row],[FECHA]])</f>
        <v>2026</v>
      </c>
      <c r="E17" s="117">
        <v>46028</v>
      </c>
      <c r="F17" s="283" t="s">
        <v>548</v>
      </c>
      <c r="G17" s="119">
        <v>4</v>
      </c>
      <c r="H17" s="119" t="s">
        <v>87</v>
      </c>
      <c r="I17" s="101" t="str">
        <f>VLOOKUP(BDsurtidor!$H17,$T$4:$W$18,2,FALSE)</f>
        <v>CISTERNA</v>
      </c>
      <c r="J17" s="101">
        <f>VLOOKUP(BDsurtidor!$H17,$T$4:$W$25,3,FALSE)</f>
        <v>5000</v>
      </c>
      <c r="K17" s="101">
        <f>VLOOKUP(BDsurtidor!$H17,$T$4:$W$25,4,FALSE)</f>
        <v>17</v>
      </c>
      <c r="L17" s="101">
        <f>VLOOKUP(BDsurtidor!$H17,$T$4:$X$25,5,FALSE)</f>
        <v>0.4</v>
      </c>
      <c r="M17" s="101" t="str">
        <f>VLOOKUP(BDsurtidor!$H17,$T$4:$Y$25,6,FALSE)</f>
        <v>EPS</v>
      </c>
      <c r="N17" s="101"/>
      <c r="O17" s="125">
        <v>1.51</v>
      </c>
      <c r="P17" s="126">
        <v>0.42569444444444443</v>
      </c>
      <c r="Q17" s="123" t="s">
        <v>574</v>
      </c>
      <c r="R17" s="101">
        <v>2</v>
      </c>
      <c r="S17" s="101"/>
      <c r="T17" s="123" t="s">
        <v>558</v>
      </c>
      <c r="U17" s="43" t="s">
        <v>102</v>
      </c>
      <c r="V17" s="43">
        <v>1000</v>
      </c>
      <c r="W17">
        <v>1</v>
      </c>
      <c r="X17" s="44">
        <v>0</v>
      </c>
      <c r="Y17" s="44" t="s">
        <v>561</v>
      </c>
      <c r="AA17" s="41">
        <v>5000</v>
      </c>
    </row>
    <row r="18" spans="2:35" x14ac:dyDescent="0.25">
      <c r="B18">
        <f>WEEKNUM(BSURTIDOR[[#This Row],[FECHA]])</f>
        <v>2</v>
      </c>
      <c r="C18">
        <f>MONTH(BSURTIDOR[[#This Row],[FECHA]])</f>
        <v>1</v>
      </c>
      <c r="D18">
        <f>YEAR(BSURTIDOR[[#This Row],[FECHA]])</f>
        <v>2026</v>
      </c>
      <c r="E18" s="117">
        <v>46028</v>
      </c>
      <c r="F18" s="283" t="s">
        <v>548</v>
      </c>
      <c r="G18" s="119">
        <v>5</v>
      </c>
      <c r="H18" s="119" t="s">
        <v>100</v>
      </c>
      <c r="I18" s="101" t="str">
        <f>VLOOKUP(BDsurtidor!$H18,$T$4:$W$18,2,FALSE)</f>
        <v>HIDROJET</v>
      </c>
      <c r="J18" s="101">
        <f>VLOOKUP(BDsurtidor!$H18,$T$4:$W$25,3,FALSE)</f>
        <v>1000</v>
      </c>
      <c r="K18" s="101">
        <f>VLOOKUP(BDsurtidor!$H18,$T$4:$W$25,4,FALSE)</f>
        <v>1</v>
      </c>
      <c r="L18" s="101">
        <f>VLOOKUP(BDsurtidor!$H18,$T$4:$X$25,5,FALSE)</f>
        <v>0</v>
      </c>
      <c r="M18" s="101" t="str">
        <f>VLOOKUP(BDsurtidor!$H18,$T$4:$Y$25,6,FALSE)</f>
        <v>EPS</v>
      </c>
      <c r="N18" s="101"/>
      <c r="O18" s="125">
        <v>0</v>
      </c>
      <c r="P18" s="126">
        <v>0.4513888888888889</v>
      </c>
      <c r="Q18" s="123" t="s">
        <v>574</v>
      </c>
      <c r="R18" s="39"/>
      <c r="S18" s="39"/>
      <c r="AA18" s="83" t="s">
        <v>99</v>
      </c>
      <c r="AB18">
        <v>1</v>
      </c>
      <c r="AC18">
        <v>2</v>
      </c>
      <c r="AD18">
        <v>3</v>
      </c>
      <c r="AE18">
        <v>2</v>
      </c>
      <c r="AF18">
        <v>3</v>
      </c>
      <c r="AG18">
        <v>2</v>
      </c>
      <c r="AH18">
        <v>2</v>
      </c>
      <c r="AI18">
        <v>15</v>
      </c>
    </row>
    <row r="19" spans="2:35" x14ac:dyDescent="0.25">
      <c r="B19">
        <f>WEEKNUM(BSURTIDOR[[#This Row],[FECHA]])</f>
        <v>2</v>
      </c>
      <c r="C19">
        <f>MONTH(BSURTIDOR[[#This Row],[FECHA]])</f>
        <v>1</v>
      </c>
      <c r="D19">
        <f>YEAR(BSURTIDOR[[#This Row],[FECHA]])</f>
        <v>2026</v>
      </c>
      <c r="E19" s="117">
        <v>46028</v>
      </c>
      <c r="F19" s="283" t="s">
        <v>548</v>
      </c>
      <c r="G19" s="119">
        <v>6</v>
      </c>
      <c r="H19" s="119" t="s">
        <v>558</v>
      </c>
      <c r="I19" s="101" t="str">
        <f>VLOOKUP(BDsurtidor!$H19,$T$4:$W$18,2,FALSE)</f>
        <v>HIDROJET</v>
      </c>
      <c r="J19" s="101">
        <f>VLOOKUP(BDsurtidor!$H19,$T$4:$W$25,3,FALSE)</f>
        <v>1000</v>
      </c>
      <c r="K19" s="101">
        <f>VLOOKUP(BDsurtidor!$H19,$T$4:$W$25,4,FALSE)</f>
        <v>1</v>
      </c>
      <c r="L19" s="101">
        <f>VLOOKUP(BDsurtidor!$H19,$T$4:$X$25,5,FALSE)</f>
        <v>0</v>
      </c>
      <c r="M19" s="101" t="str">
        <f>VLOOKUP(BDsurtidor!$H19,$T$4:$Y$25,6,FALSE)</f>
        <v>EPS</v>
      </c>
      <c r="N19" s="101"/>
      <c r="O19" s="125">
        <v>0</v>
      </c>
      <c r="P19" s="126">
        <v>0.49861111111111112</v>
      </c>
      <c r="Q19" s="123" t="s">
        <v>574</v>
      </c>
      <c r="R19" s="39"/>
      <c r="S19" s="39"/>
      <c r="AA19" s="83" t="s">
        <v>87</v>
      </c>
      <c r="AB19">
        <v>1</v>
      </c>
      <c r="AC19">
        <v>3</v>
      </c>
      <c r="AD19">
        <v>3</v>
      </c>
      <c r="AE19">
        <v>3</v>
      </c>
      <c r="AF19">
        <v>2</v>
      </c>
      <c r="AG19">
        <v>2</v>
      </c>
      <c r="AI19">
        <v>14</v>
      </c>
    </row>
    <row r="20" spans="2:35" x14ac:dyDescent="0.25">
      <c r="B20">
        <f>WEEKNUM(BSURTIDOR[[#This Row],[FECHA]])</f>
        <v>2</v>
      </c>
      <c r="C20">
        <f>MONTH(BSURTIDOR[[#This Row],[FECHA]])</f>
        <v>1</v>
      </c>
      <c r="D20">
        <f>YEAR(BSURTIDOR[[#This Row],[FECHA]])</f>
        <v>2026</v>
      </c>
      <c r="E20" s="117">
        <v>46029</v>
      </c>
      <c r="F20" s="283" t="s">
        <v>548</v>
      </c>
      <c r="G20" s="119">
        <v>1</v>
      </c>
      <c r="H20" s="119" t="s">
        <v>87</v>
      </c>
      <c r="I20" s="101" t="str">
        <f>VLOOKUP(BDsurtidor!$H20,$T$4:$W$18,2,FALSE)</f>
        <v>CISTERNA</v>
      </c>
      <c r="J20" s="101">
        <f>VLOOKUP(BDsurtidor!$H20,$T$4:$W$25,3,FALSE)</f>
        <v>5000</v>
      </c>
      <c r="K20" s="101">
        <f>VLOOKUP(BDsurtidor!$H20,$T$4:$W$25,4,FALSE)</f>
        <v>17</v>
      </c>
      <c r="L20" s="101">
        <f>VLOOKUP(BDsurtidor!$H20,$T$4:$X$25,5,FALSE)</f>
        <v>0.4</v>
      </c>
      <c r="M20" s="101" t="str">
        <f>VLOOKUP(BDsurtidor!$H20,$T$4:$Y$25,6,FALSE)</f>
        <v>EPS</v>
      </c>
      <c r="N20" s="101"/>
      <c r="O20" s="125">
        <v>1.28</v>
      </c>
      <c r="P20" s="126">
        <v>0.31527777777777777</v>
      </c>
      <c r="Q20" s="123" t="s">
        <v>574</v>
      </c>
      <c r="R20" s="39"/>
      <c r="S20" s="39"/>
      <c r="AA20" s="37" t="s">
        <v>85</v>
      </c>
      <c r="AB20">
        <v>2</v>
      </c>
      <c r="AC20">
        <v>7</v>
      </c>
      <c r="AD20">
        <v>7</v>
      </c>
      <c r="AE20">
        <v>8</v>
      </c>
      <c r="AF20">
        <v>8</v>
      </c>
      <c r="AG20">
        <v>6</v>
      </c>
      <c r="AH20">
        <v>4</v>
      </c>
      <c r="AI20">
        <v>42</v>
      </c>
    </row>
    <row r="21" spans="2:35" x14ac:dyDescent="0.25">
      <c r="B21">
        <f>WEEKNUM(BSURTIDOR[[#This Row],[FECHA]])</f>
        <v>2</v>
      </c>
      <c r="C21">
        <f>MONTH(BSURTIDOR[[#This Row],[FECHA]])</f>
        <v>1</v>
      </c>
      <c r="D21">
        <f>YEAR(BSURTIDOR[[#This Row],[FECHA]])</f>
        <v>2026</v>
      </c>
      <c r="E21" s="117">
        <v>46029</v>
      </c>
      <c r="F21" s="283" t="s">
        <v>548</v>
      </c>
      <c r="G21" s="119">
        <v>2</v>
      </c>
      <c r="H21" s="119" t="s">
        <v>100</v>
      </c>
      <c r="I21" s="101" t="str">
        <f>VLOOKUP(BDsurtidor!$H21,$T$4:$W$18,2,FALSE)</f>
        <v>HIDROJET</v>
      </c>
      <c r="J21" s="101">
        <f>VLOOKUP(BDsurtidor!$H21,$T$4:$W$25,3,FALSE)</f>
        <v>1000</v>
      </c>
      <c r="K21" s="101">
        <f>VLOOKUP(BDsurtidor!$H21,$T$4:$W$25,4,FALSE)</f>
        <v>1</v>
      </c>
      <c r="L21" s="101">
        <f>VLOOKUP(BDsurtidor!$H21,$T$4:$X$25,5,FALSE)</f>
        <v>0</v>
      </c>
      <c r="M21" s="101" t="str">
        <f>VLOOKUP(BDsurtidor!$H21,$T$4:$Y$25,6,FALSE)</f>
        <v>EPS</v>
      </c>
      <c r="N21" s="101"/>
      <c r="O21" s="125">
        <v>0</v>
      </c>
      <c r="P21" s="126">
        <v>0.32361111111111113</v>
      </c>
      <c r="Q21" s="123" t="s">
        <v>574</v>
      </c>
      <c r="R21" s="39"/>
      <c r="S21" s="39"/>
    </row>
    <row r="22" spans="2:35" x14ac:dyDescent="0.25">
      <c r="B22">
        <f>WEEKNUM(BSURTIDOR[[#This Row],[FECHA]])</f>
        <v>2</v>
      </c>
      <c r="C22">
        <f>MONTH(BSURTIDOR[[#This Row],[FECHA]])</f>
        <v>1</v>
      </c>
      <c r="D22">
        <f>YEAR(BSURTIDOR[[#This Row],[FECHA]])</f>
        <v>2026</v>
      </c>
      <c r="E22" s="117">
        <v>46029</v>
      </c>
      <c r="F22" s="283" t="s">
        <v>548</v>
      </c>
      <c r="G22" s="119">
        <v>3</v>
      </c>
      <c r="H22" s="119" t="s">
        <v>558</v>
      </c>
      <c r="I22" s="101" t="str">
        <f>VLOOKUP(BDsurtidor!$H22,$T$4:$W$18,2,FALSE)</f>
        <v>HIDROJET</v>
      </c>
      <c r="J22" s="101">
        <f>VLOOKUP(BDsurtidor!$H22,$T$4:$W$25,3,FALSE)</f>
        <v>1000</v>
      </c>
      <c r="K22" s="101">
        <f>VLOOKUP(BDsurtidor!$H22,$T$4:$W$25,4,FALSE)</f>
        <v>1</v>
      </c>
      <c r="L22" s="101">
        <f>VLOOKUP(BDsurtidor!$H22,$T$4:$X$25,5,FALSE)</f>
        <v>0</v>
      </c>
      <c r="M22" s="101" t="str">
        <f>VLOOKUP(BDsurtidor!$H22,$T$4:$Y$25,6,FALSE)</f>
        <v>EPS</v>
      </c>
      <c r="N22" s="101"/>
      <c r="O22" s="125">
        <v>0</v>
      </c>
      <c r="P22" s="126">
        <v>0.35</v>
      </c>
      <c r="Q22" s="123" t="s">
        <v>574</v>
      </c>
      <c r="R22" s="39"/>
      <c r="S22" s="39"/>
    </row>
    <row r="23" spans="2:35" x14ac:dyDescent="0.25">
      <c r="B23">
        <f>WEEKNUM(BSURTIDOR[[#This Row],[FECHA]])</f>
        <v>2</v>
      </c>
      <c r="C23">
        <f>MONTH(BSURTIDOR[[#This Row],[FECHA]])</f>
        <v>1</v>
      </c>
      <c r="D23">
        <f>YEAR(BSURTIDOR[[#This Row],[FECHA]])</f>
        <v>2026</v>
      </c>
      <c r="E23" s="117">
        <v>46029</v>
      </c>
      <c r="F23" s="283" t="s">
        <v>548</v>
      </c>
      <c r="G23" s="119">
        <v>4</v>
      </c>
      <c r="H23" s="119" t="s">
        <v>100</v>
      </c>
      <c r="I23" s="101" t="str">
        <f>VLOOKUP(BDsurtidor!$H23,$T$4:$W$18,2,FALSE)</f>
        <v>HIDROJET</v>
      </c>
      <c r="J23" s="101">
        <f>VLOOKUP(BDsurtidor!$H23,$T$4:$W$25,3,FALSE)</f>
        <v>1000</v>
      </c>
      <c r="K23" s="101">
        <f>VLOOKUP(BDsurtidor!$H23,$T$4:$W$25,4,FALSE)</f>
        <v>1</v>
      </c>
      <c r="L23" s="101">
        <f>VLOOKUP(BDsurtidor!$H23,$T$4:$X$25,5,FALSE)</f>
        <v>0</v>
      </c>
      <c r="M23" s="101" t="str">
        <f>VLOOKUP(BDsurtidor!$H23,$T$4:$Y$25,6,FALSE)</f>
        <v>EPS</v>
      </c>
      <c r="N23" s="101"/>
      <c r="O23" s="125">
        <v>0</v>
      </c>
      <c r="P23" s="126">
        <v>0.49166666666666664</v>
      </c>
      <c r="Q23" s="123" t="s">
        <v>574</v>
      </c>
      <c r="R23" s="39"/>
      <c r="S23" s="39"/>
    </row>
    <row r="24" spans="2:35" x14ac:dyDescent="0.25">
      <c r="B24">
        <f>WEEKNUM(BSURTIDOR[[#This Row],[FECHA]])</f>
        <v>2</v>
      </c>
      <c r="C24">
        <f>MONTH(BSURTIDOR[[#This Row],[FECHA]])</f>
        <v>1</v>
      </c>
      <c r="D24">
        <f>YEAR(BSURTIDOR[[#This Row],[FECHA]])</f>
        <v>2026</v>
      </c>
      <c r="E24" s="117">
        <v>46029</v>
      </c>
      <c r="F24" s="283" t="s">
        <v>548</v>
      </c>
      <c r="G24" s="119">
        <v>5</v>
      </c>
      <c r="H24" s="119" t="s">
        <v>87</v>
      </c>
      <c r="I24" s="101" t="str">
        <f>VLOOKUP(BDsurtidor!$H24,$T$4:$W$18,2,FALSE)</f>
        <v>CISTERNA</v>
      </c>
      <c r="J24" s="101">
        <f>VLOOKUP(BDsurtidor!$H24,$T$4:$W$25,3,FALSE)</f>
        <v>5000</v>
      </c>
      <c r="K24" s="101">
        <f>VLOOKUP(BDsurtidor!$H24,$T$4:$W$25,4,FALSE)</f>
        <v>17</v>
      </c>
      <c r="L24" s="101">
        <f>VLOOKUP(BDsurtidor!$H24,$T$4:$X$25,5,FALSE)</f>
        <v>0.4</v>
      </c>
      <c r="M24" s="101" t="str">
        <f>VLOOKUP(BDsurtidor!$H24,$T$4:$Y$25,6,FALSE)</f>
        <v>EPS</v>
      </c>
      <c r="N24" s="101"/>
      <c r="O24" s="125">
        <v>1.53</v>
      </c>
      <c r="P24" s="126">
        <v>0.57638888888888884</v>
      </c>
      <c r="Q24" s="123" t="s">
        <v>574</v>
      </c>
      <c r="R24" s="39"/>
      <c r="S24" s="39"/>
    </row>
    <row r="25" spans="2:35" x14ac:dyDescent="0.25">
      <c r="B25">
        <f>WEEKNUM(BSURTIDOR[[#This Row],[FECHA]])</f>
        <v>2</v>
      </c>
      <c r="C25">
        <f>MONTH(BSURTIDOR[[#This Row],[FECHA]])</f>
        <v>1</v>
      </c>
      <c r="D25">
        <f>YEAR(BSURTIDOR[[#This Row],[FECHA]])</f>
        <v>2026</v>
      </c>
      <c r="E25" s="117">
        <v>46030</v>
      </c>
      <c r="F25" s="283" t="s">
        <v>548</v>
      </c>
      <c r="G25" s="119">
        <v>1</v>
      </c>
      <c r="H25" s="119" t="s">
        <v>87</v>
      </c>
      <c r="I25" s="101" t="str">
        <f>VLOOKUP(BDsurtidor!$H25,$T$4:$W$18,2,FALSE)</f>
        <v>CISTERNA</v>
      </c>
      <c r="J25" s="101">
        <f>VLOOKUP(BDsurtidor!$H25,$T$4:$W$25,3,FALSE)</f>
        <v>5000</v>
      </c>
      <c r="K25" s="101">
        <f>VLOOKUP(BDsurtidor!$H25,$T$4:$W$25,4,FALSE)</f>
        <v>17</v>
      </c>
      <c r="L25" s="101">
        <f>VLOOKUP(BDsurtidor!$H25,$T$4:$X$25,5,FALSE)</f>
        <v>0.4</v>
      </c>
      <c r="M25" s="101" t="str">
        <f>VLOOKUP(BDsurtidor!$H25,$T$4:$Y$25,6,FALSE)</f>
        <v>EPS</v>
      </c>
      <c r="N25" s="101"/>
      <c r="O25" s="125">
        <v>1.57</v>
      </c>
      <c r="P25" s="126">
        <v>0.31458333333333333</v>
      </c>
      <c r="Q25" s="123" t="s">
        <v>574</v>
      </c>
      <c r="R25" s="39"/>
      <c r="S25" s="39"/>
    </row>
    <row r="26" spans="2:35" x14ac:dyDescent="0.25">
      <c r="B26">
        <f>WEEKNUM(BSURTIDOR[[#This Row],[FECHA]])</f>
        <v>2</v>
      </c>
      <c r="C26">
        <f>MONTH(BSURTIDOR[[#This Row],[FECHA]])</f>
        <v>1</v>
      </c>
      <c r="D26">
        <f>YEAR(BSURTIDOR[[#This Row],[FECHA]])</f>
        <v>2026</v>
      </c>
      <c r="E26" s="117">
        <v>46030</v>
      </c>
      <c r="F26" s="283" t="s">
        <v>548</v>
      </c>
      <c r="G26" s="119">
        <v>2</v>
      </c>
      <c r="H26" s="119" t="s">
        <v>558</v>
      </c>
      <c r="I26" s="101" t="str">
        <f>VLOOKUP(BDsurtidor!$H26,$T$4:$W$18,2,FALSE)</f>
        <v>HIDROJET</v>
      </c>
      <c r="J26" s="101">
        <f>VLOOKUP(BDsurtidor!$H26,$T$4:$W$25,3,FALSE)</f>
        <v>1000</v>
      </c>
      <c r="K26" s="101">
        <f>VLOOKUP(BDsurtidor!$H26,$T$4:$W$25,4,FALSE)</f>
        <v>1</v>
      </c>
      <c r="L26" s="101">
        <f>VLOOKUP(BDsurtidor!$H26,$T$4:$X$25,5,FALSE)</f>
        <v>0</v>
      </c>
      <c r="M26" s="101" t="str">
        <f>VLOOKUP(BDsurtidor!$H26,$T$4:$Y$25,6,FALSE)</f>
        <v>EPS</v>
      </c>
      <c r="N26" s="101"/>
      <c r="O26" s="125">
        <v>0</v>
      </c>
      <c r="P26" s="126">
        <v>0.32361111111111113</v>
      </c>
      <c r="Q26" s="123" t="s">
        <v>574</v>
      </c>
      <c r="R26" s="39"/>
      <c r="S26" s="39"/>
    </row>
    <row r="27" spans="2:35" x14ac:dyDescent="0.25">
      <c r="B27">
        <f>WEEKNUM(BSURTIDOR[[#This Row],[FECHA]])</f>
        <v>2</v>
      </c>
      <c r="C27">
        <f>MONTH(BSURTIDOR[[#This Row],[FECHA]])</f>
        <v>1</v>
      </c>
      <c r="D27">
        <f>YEAR(BSURTIDOR[[#This Row],[FECHA]])</f>
        <v>2026</v>
      </c>
      <c r="E27" s="117">
        <v>46030</v>
      </c>
      <c r="F27" s="283" t="s">
        <v>548</v>
      </c>
      <c r="G27" s="119">
        <v>3</v>
      </c>
      <c r="H27" s="119" t="s">
        <v>100</v>
      </c>
      <c r="I27" s="101" t="str">
        <f>VLOOKUP(BDsurtidor!$H27,$T$4:$W$18,2,FALSE)</f>
        <v>HIDROJET</v>
      </c>
      <c r="J27" s="101">
        <f>VLOOKUP(BDsurtidor!$H27,$T$4:$W$25,3,FALSE)</f>
        <v>1000</v>
      </c>
      <c r="K27" s="101">
        <f>VLOOKUP(BDsurtidor!$H27,$T$4:$W$25,4,FALSE)</f>
        <v>1</v>
      </c>
      <c r="L27" s="101">
        <f>VLOOKUP(BDsurtidor!$H27,$T$4:$X$25,5,FALSE)</f>
        <v>0</v>
      </c>
      <c r="M27" s="101" t="str">
        <f>VLOOKUP(BDsurtidor!$H27,$T$4:$Y$25,6,FALSE)</f>
        <v>EPS</v>
      </c>
      <c r="N27" s="101"/>
      <c r="O27" s="125">
        <v>0</v>
      </c>
      <c r="P27" s="126">
        <v>0.33333333333333331</v>
      </c>
      <c r="Q27" s="123" t="s">
        <v>574</v>
      </c>
      <c r="R27" s="39"/>
      <c r="S27" s="39"/>
    </row>
    <row r="28" spans="2:35" x14ac:dyDescent="0.25">
      <c r="B28">
        <f>WEEKNUM(BSURTIDOR[[#This Row],[FECHA]])</f>
        <v>2</v>
      </c>
      <c r="C28">
        <f>MONTH(BSURTIDOR[[#This Row],[FECHA]])</f>
        <v>1</v>
      </c>
      <c r="D28">
        <f>YEAR(BSURTIDOR[[#This Row],[FECHA]])</f>
        <v>2026</v>
      </c>
      <c r="E28" s="117">
        <v>46030</v>
      </c>
      <c r="F28" s="283" t="s">
        <v>548</v>
      </c>
      <c r="G28" s="119">
        <v>4</v>
      </c>
      <c r="H28" s="119" t="s">
        <v>87</v>
      </c>
      <c r="I28" s="101" t="str">
        <f>VLOOKUP(BDsurtidor!$H28,$T$4:$W$18,2,FALSE)</f>
        <v>CISTERNA</v>
      </c>
      <c r="J28" s="101">
        <f>VLOOKUP(BDsurtidor!$H28,$T$4:$W$25,3,FALSE)</f>
        <v>5000</v>
      </c>
      <c r="K28" s="101">
        <f>VLOOKUP(BDsurtidor!$H28,$T$4:$W$25,4,FALSE)</f>
        <v>17</v>
      </c>
      <c r="L28" s="101">
        <f>VLOOKUP(BDsurtidor!$H28,$T$4:$X$25,5,FALSE)</f>
        <v>0.4</v>
      </c>
      <c r="M28" s="101" t="str">
        <f>VLOOKUP(BDsurtidor!$H28,$T$4:$Y$25,6,FALSE)</f>
        <v>EPS</v>
      </c>
      <c r="N28" s="101"/>
      <c r="O28" s="125">
        <v>1.45</v>
      </c>
      <c r="P28" s="126">
        <v>0.42430555555555555</v>
      </c>
      <c r="Q28" s="123" t="s">
        <v>574</v>
      </c>
      <c r="R28" s="39"/>
      <c r="S28" s="39"/>
    </row>
    <row r="29" spans="2:35" x14ac:dyDescent="0.25">
      <c r="B29">
        <f>WEEKNUM(BSURTIDOR[[#This Row],[FECHA]])</f>
        <v>2</v>
      </c>
      <c r="C29">
        <f>MONTH(BSURTIDOR[[#This Row],[FECHA]])</f>
        <v>1</v>
      </c>
      <c r="D29">
        <f>YEAR(BSURTIDOR[[#This Row],[FECHA]])</f>
        <v>2026</v>
      </c>
      <c r="E29" s="117">
        <v>46030</v>
      </c>
      <c r="F29" s="283" t="s">
        <v>548</v>
      </c>
      <c r="G29" s="119">
        <v>5</v>
      </c>
      <c r="H29" s="119" t="s">
        <v>100</v>
      </c>
      <c r="I29" s="101" t="str">
        <f>VLOOKUP(BDsurtidor!$H29,$T$4:$W$18,2,FALSE)</f>
        <v>HIDROJET</v>
      </c>
      <c r="J29" s="101">
        <f>VLOOKUP(BDsurtidor!$H29,$T$4:$W$25,3,FALSE)</f>
        <v>1000</v>
      </c>
      <c r="K29" s="101">
        <f>VLOOKUP(BDsurtidor!$H29,$T$4:$W$25,4,FALSE)</f>
        <v>1</v>
      </c>
      <c r="L29" s="101">
        <f>VLOOKUP(BDsurtidor!$H29,$T$4:$X$25,5,FALSE)</f>
        <v>0</v>
      </c>
      <c r="M29" s="101" t="str">
        <f>VLOOKUP(BDsurtidor!$H29,$T$4:$Y$25,6,FALSE)</f>
        <v>EPS</v>
      </c>
      <c r="N29" s="101"/>
      <c r="O29" s="125">
        <v>0</v>
      </c>
      <c r="P29" s="126">
        <v>0.50416666666666665</v>
      </c>
      <c r="Q29" s="123" t="s">
        <v>574</v>
      </c>
      <c r="R29" s="39"/>
      <c r="S29" s="39"/>
    </row>
    <row r="30" spans="2:35" x14ac:dyDescent="0.25">
      <c r="B30">
        <f>WEEKNUM(BSURTIDOR[[#This Row],[FECHA]])</f>
        <v>2</v>
      </c>
      <c r="C30">
        <f>MONTH(BSURTIDOR[[#This Row],[FECHA]])</f>
        <v>1</v>
      </c>
      <c r="D30">
        <f>YEAR(BSURTIDOR[[#This Row],[FECHA]])</f>
        <v>2026</v>
      </c>
      <c r="E30" s="117">
        <v>46031</v>
      </c>
      <c r="F30" s="283" t="s">
        <v>548</v>
      </c>
      <c r="G30" s="119">
        <v>1</v>
      </c>
      <c r="H30" s="119" t="s">
        <v>97</v>
      </c>
      <c r="I30" s="101" t="str">
        <f>VLOOKUP(BDsurtidor!$H30,$T$4:$W$18,2,FALSE)</f>
        <v>CISTERNA</v>
      </c>
      <c r="J30" s="101">
        <f>VLOOKUP(BDsurtidor!$H30,$T$4:$W$25,3,FALSE)</f>
        <v>5000</v>
      </c>
      <c r="K30" s="101">
        <f>VLOOKUP(BDsurtidor!$H30,$T$4:$W$25,4,FALSE)</f>
        <v>17</v>
      </c>
      <c r="L30" s="101">
        <f>VLOOKUP(BDsurtidor!$H30,$T$4:$X$25,5,FALSE)</f>
        <v>0.4</v>
      </c>
      <c r="M30" s="101" t="str">
        <f>VLOOKUP(BDsurtidor!$H30,$T$4:$Y$25,6,FALSE)</f>
        <v>EPS</v>
      </c>
      <c r="N30" s="101"/>
      <c r="O30" s="125">
        <v>1.45</v>
      </c>
      <c r="P30" s="126">
        <v>0.35138888888888886</v>
      </c>
      <c r="Q30" s="123" t="s">
        <v>574</v>
      </c>
      <c r="R30" s="39"/>
      <c r="S30" s="39"/>
    </row>
    <row r="31" spans="2:35" x14ac:dyDescent="0.25">
      <c r="B31">
        <f>WEEKNUM(BSURTIDOR[[#This Row],[FECHA]])</f>
        <v>2</v>
      </c>
      <c r="C31">
        <f>MONTH(BSURTIDOR[[#This Row],[FECHA]])</f>
        <v>1</v>
      </c>
      <c r="D31">
        <f>YEAR(BSURTIDOR[[#This Row],[FECHA]])</f>
        <v>2026</v>
      </c>
      <c r="E31" s="117">
        <v>46031</v>
      </c>
      <c r="F31" s="283" t="s">
        <v>548</v>
      </c>
      <c r="G31" s="119">
        <v>2</v>
      </c>
      <c r="H31" s="119" t="s">
        <v>100</v>
      </c>
      <c r="I31" s="101" t="str">
        <f>VLOOKUP(BDsurtidor!$H31,$T$4:$W$18,2,FALSE)</f>
        <v>HIDROJET</v>
      </c>
      <c r="J31" s="101">
        <f>VLOOKUP(BDsurtidor!$H31,$T$4:$W$25,3,FALSE)</f>
        <v>1000</v>
      </c>
      <c r="K31" s="101">
        <f>VLOOKUP(BDsurtidor!$H31,$T$4:$W$25,4,FALSE)</f>
        <v>1</v>
      </c>
      <c r="L31" s="101">
        <f>VLOOKUP(BDsurtidor!$H31,$T$4:$X$25,5,FALSE)</f>
        <v>0</v>
      </c>
      <c r="M31" s="101" t="str">
        <f>VLOOKUP(BDsurtidor!$H31,$T$4:$Y$25,6,FALSE)</f>
        <v>EPS</v>
      </c>
      <c r="N31" s="101"/>
      <c r="O31" s="125">
        <v>0</v>
      </c>
      <c r="P31" s="126">
        <v>0.36388888888888887</v>
      </c>
      <c r="Q31" s="123" t="s">
        <v>574</v>
      </c>
      <c r="R31" s="39"/>
      <c r="S31" s="39"/>
    </row>
    <row r="32" spans="2:35" x14ac:dyDescent="0.25">
      <c r="B32">
        <f>WEEKNUM(BSURTIDOR[[#This Row],[FECHA]])</f>
        <v>2</v>
      </c>
      <c r="C32">
        <f>MONTH(BSURTIDOR[[#This Row],[FECHA]])</f>
        <v>1</v>
      </c>
      <c r="D32">
        <f>YEAR(BSURTIDOR[[#This Row],[FECHA]])</f>
        <v>2026</v>
      </c>
      <c r="E32" s="117">
        <v>46031</v>
      </c>
      <c r="F32" s="283" t="s">
        <v>548</v>
      </c>
      <c r="G32" s="119">
        <v>3</v>
      </c>
      <c r="H32" s="119" t="s">
        <v>97</v>
      </c>
      <c r="I32" s="101" t="str">
        <f>VLOOKUP(BDsurtidor!$H32,$T$4:$W$18,2,FALSE)</f>
        <v>CISTERNA</v>
      </c>
      <c r="J32" s="101">
        <f>VLOOKUP(BDsurtidor!$H32,$T$4:$W$25,3,FALSE)</f>
        <v>5000</v>
      </c>
      <c r="K32" s="101">
        <f>VLOOKUP(BDsurtidor!$H32,$T$4:$W$25,4,FALSE)</f>
        <v>17</v>
      </c>
      <c r="L32" s="101">
        <f>VLOOKUP(BDsurtidor!$H32,$T$4:$X$25,5,FALSE)</f>
        <v>0.4</v>
      </c>
      <c r="M32" s="101" t="str">
        <f>VLOOKUP(BDsurtidor!$H32,$T$4:$Y$25,6,FALSE)</f>
        <v>EPS</v>
      </c>
      <c r="N32" s="101"/>
      <c r="O32" s="125">
        <v>1.36</v>
      </c>
      <c r="P32" s="126">
        <v>0.4513888888888889</v>
      </c>
      <c r="Q32" s="123" t="s">
        <v>574</v>
      </c>
      <c r="R32" s="39"/>
      <c r="S32" s="39"/>
      <c r="AA32" s="36" t="s">
        <v>427</v>
      </c>
      <c r="AB32" s="37">
        <v>2026</v>
      </c>
    </row>
    <row r="33" spans="2:32" x14ac:dyDescent="0.25">
      <c r="B33">
        <f>WEEKNUM(BSURTIDOR[[#This Row],[FECHA]])</f>
        <v>2</v>
      </c>
      <c r="C33">
        <f>MONTH(BSURTIDOR[[#This Row],[FECHA]])</f>
        <v>1</v>
      </c>
      <c r="D33">
        <f>YEAR(BSURTIDOR[[#This Row],[FECHA]])</f>
        <v>2026</v>
      </c>
      <c r="E33" s="117">
        <v>46031</v>
      </c>
      <c r="F33" s="283" t="s">
        <v>548</v>
      </c>
      <c r="G33" s="119">
        <v>4</v>
      </c>
      <c r="H33" s="119" t="s">
        <v>100</v>
      </c>
      <c r="I33" s="101" t="str">
        <f>VLOOKUP(BDsurtidor!$H33,$T$4:$W$18,2,FALSE)</f>
        <v>HIDROJET</v>
      </c>
      <c r="J33" s="101">
        <f>VLOOKUP(BDsurtidor!$H33,$T$4:$W$25,3,FALSE)</f>
        <v>1000</v>
      </c>
      <c r="K33" s="101">
        <f>VLOOKUP(BDsurtidor!$H33,$T$4:$W$25,4,FALSE)</f>
        <v>1</v>
      </c>
      <c r="L33" s="101">
        <f>VLOOKUP(BDsurtidor!$H33,$T$4:$X$25,5,FALSE)</f>
        <v>0</v>
      </c>
      <c r="M33" s="101" t="str">
        <f>VLOOKUP(BDsurtidor!$H33,$T$4:$Y$25,6,FALSE)</f>
        <v>EPS</v>
      </c>
      <c r="N33" s="101"/>
      <c r="O33" s="125">
        <v>0</v>
      </c>
      <c r="P33" s="126">
        <v>0.57291666666666663</v>
      </c>
      <c r="Q33" s="123" t="s">
        <v>574</v>
      </c>
      <c r="R33" s="39"/>
      <c r="S33" s="39"/>
    </row>
    <row r="34" spans="2:32" x14ac:dyDescent="0.25">
      <c r="B34">
        <f>WEEKNUM(BSURTIDOR[[#This Row],[FECHA]])</f>
        <v>2</v>
      </c>
      <c r="C34">
        <f>MONTH(BSURTIDOR[[#This Row],[FECHA]])</f>
        <v>1</v>
      </c>
      <c r="D34">
        <f>YEAR(BSURTIDOR[[#This Row],[FECHA]])</f>
        <v>2026</v>
      </c>
      <c r="E34" s="117">
        <v>46032</v>
      </c>
      <c r="F34" s="283" t="s">
        <v>548</v>
      </c>
      <c r="G34" s="119">
        <v>1</v>
      </c>
      <c r="H34" s="119" t="s">
        <v>97</v>
      </c>
      <c r="I34" s="101" t="str">
        <f>VLOOKUP(BDsurtidor!$H34,$T$4:$W$18,2,FALSE)</f>
        <v>CISTERNA</v>
      </c>
      <c r="J34" s="101">
        <f>VLOOKUP(BDsurtidor!$H34,$T$4:$W$25,3,FALSE)</f>
        <v>5000</v>
      </c>
      <c r="K34" s="101">
        <f>VLOOKUP(BDsurtidor!$H34,$T$4:$W$25,4,FALSE)</f>
        <v>17</v>
      </c>
      <c r="L34" s="101">
        <f>VLOOKUP(BDsurtidor!$H34,$T$4:$X$25,5,FALSE)</f>
        <v>0.4</v>
      </c>
      <c r="M34" s="101" t="str">
        <f>VLOOKUP(BDsurtidor!$H34,$T$4:$Y$25,6,FALSE)</f>
        <v>EPS</v>
      </c>
      <c r="N34" s="101"/>
      <c r="O34" s="125">
        <v>1.41</v>
      </c>
      <c r="P34" s="126">
        <v>0.31111111111111112</v>
      </c>
      <c r="Q34" s="123" t="s">
        <v>574</v>
      </c>
      <c r="R34" s="39"/>
      <c r="S34" s="39"/>
      <c r="AA34" s="36" t="s">
        <v>456</v>
      </c>
      <c r="AB34" s="36" t="s">
        <v>426</v>
      </c>
    </row>
    <row r="35" spans="2:32" x14ac:dyDescent="0.25">
      <c r="B35">
        <f>WEEKNUM(BSURTIDOR[[#This Row],[FECHA]])</f>
        <v>2</v>
      </c>
      <c r="C35">
        <f>MONTH(BSURTIDOR[[#This Row],[FECHA]])</f>
        <v>1</v>
      </c>
      <c r="D35">
        <f>YEAR(BSURTIDOR[[#This Row],[FECHA]])</f>
        <v>2026</v>
      </c>
      <c r="E35" s="117">
        <v>46032</v>
      </c>
      <c r="F35" s="283" t="s">
        <v>548</v>
      </c>
      <c r="G35" s="119">
        <v>2</v>
      </c>
      <c r="H35" s="119" t="s">
        <v>100</v>
      </c>
      <c r="I35" s="101" t="str">
        <f>VLOOKUP(BDsurtidor!$H35,$T$4:$W$18,2,FALSE)</f>
        <v>HIDROJET</v>
      </c>
      <c r="J35" s="101">
        <f>VLOOKUP(BDsurtidor!$H35,$T$4:$W$25,3,FALSE)</f>
        <v>1000</v>
      </c>
      <c r="K35" s="101">
        <f>VLOOKUP(BDsurtidor!$H35,$T$4:$W$25,4,FALSE)</f>
        <v>1</v>
      </c>
      <c r="L35" s="101">
        <f>VLOOKUP(BDsurtidor!$H35,$T$4:$X$25,5,FALSE)</f>
        <v>0</v>
      </c>
      <c r="M35" s="101" t="str">
        <f>VLOOKUP(BDsurtidor!$H35,$T$4:$Y$25,6,FALSE)</f>
        <v>EPS</v>
      </c>
      <c r="N35" s="101"/>
      <c r="O35" s="125">
        <v>0</v>
      </c>
      <c r="P35" s="126">
        <v>0.31944444444444442</v>
      </c>
      <c r="Q35" s="123" t="s">
        <v>574</v>
      </c>
      <c r="R35" s="39"/>
      <c r="S35" s="39"/>
      <c r="AB35" t="s">
        <v>45</v>
      </c>
      <c r="AC35" t="s">
        <v>46</v>
      </c>
      <c r="AD35" t="s">
        <v>47</v>
      </c>
      <c r="AE35" t="s">
        <v>48</v>
      </c>
      <c r="AF35" t="s">
        <v>85</v>
      </c>
    </row>
    <row r="36" spans="2:32" x14ac:dyDescent="0.25">
      <c r="B36">
        <f>WEEKNUM(BSURTIDOR[[#This Row],[FECHA]])</f>
        <v>2</v>
      </c>
      <c r="C36">
        <f>MONTH(BSURTIDOR[[#This Row],[FECHA]])</f>
        <v>1</v>
      </c>
      <c r="D36">
        <f>YEAR(BSURTIDOR[[#This Row],[FECHA]])</f>
        <v>2026</v>
      </c>
      <c r="E36" s="117">
        <v>46032</v>
      </c>
      <c r="F36" s="283" t="s">
        <v>548</v>
      </c>
      <c r="G36" s="119">
        <v>3</v>
      </c>
      <c r="H36" s="119" t="s">
        <v>558</v>
      </c>
      <c r="I36" s="101" t="str">
        <f>VLOOKUP(BDsurtidor!$H36,$T$4:$W$18,2,FALSE)</f>
        <v>HIDROJET</v>
      </c>
      <c r="J36" s="101">
        <f>VLOOKUP(BDsurtidor!$H36,$T$4:$W$25,3,FALSE)</f>
        <v>1000</v>
      </c>
      <c r="K36" s="101">
        <f>VLOOKUP(BDsurtidor!$H36,$T$4:$W$25,4,FALSE)</f>
        <v>1</v>
      </c>
      <c r="L36" s="101">
        <f>VLOOKUP(BDsurtidor!$H36,$T$4:$X$25,5,FALSE)</f>
        <v>0</v>
      </c>
      <c r="M36" s="101" t="str">
        <f>VLOOKUP(BDsurtidor!$H36,$T$4:$Y$25,6,FALSE)</f>
        <v>EPS</v>
      </c>
      <c r="N36" s="101"/>
      <c r="O36" s="125">
        <v>0</v>
      </c>
      <c r="P36" s="126">
        <v>0.3263888888888889</v>
      </c>
      <c r="Q36" s="123" t="s">
        <v>574</v>
      </c>
      <c r="R36" s="39"/>
      <c r="S36" s="39"/>
      <c r="AA36" s="36" t="s">
        <v>80</v>
      </c>
    </row>
    <row r="37" spans="2:32" x14ac:dyDescent="0.25">
      <c r="B37">
        <f>WEEKNUM(BSURTIDOR[[#This Row],[FECHA]])</f>
        <v>2</v>
      </c>
      <c r="C37">
        <f>MONTH(BSURTIDOR[[#This Row],[FECHA]])</f>
        <v>1</v>
      </c>
      <c r="D37">
        <f>YEAR(BSURTIDOR[[#This Row],[FECHA]])</f>
        <v>2026</v>
      </c>
      <c r="E37" s="117">
        <v>46032</v>
      </c>
      <c r="F37" s="283" t="s">
        <v>548</v>
      </c>
      <c r="G37" s="119">
        <v>4</v>
      </c>
      <c r="H37" s="119" t="s">
        <v>97</v>
      </c>
      <c r="I37" s="101" t="str">
        <f>VLOOKUP(BDsurtidor!$H37,$T$4:$W$18,2,FALSE)</f>
        <v>CISTERNA</v>
      </c>
      <c r="J37" s="101">
        <f>VLOOKUP(BDsurtidor!$H37,$T$4:$W$25,3,FALSE)</f>
        <v>5000</v>
      </c>
      <c r="K37" s="101">
        <f>VLOOKUP(BDsurtidor!$H37,$T$4:$W$25,4,FALSE)</f>
        <v>17</v>
      </c>
      <c r="L37" s="101">
        <f>VLOOKUP(BDsurtidor!$H37,$T$4:$X$25,5,FALSE)</f>
        <v>0.4</v>
      </c>
      <c r="M37" s="101" t="str">
        <f>VLOOKUP(BDsurtidor!$H37,$T$4:$Y$25,6,FALSE)</f>
        <v>EPS</v>
      </c>
      <c r="N37" s="101"/>
      <c r="O37" s="125">
        <v>1.34</v>
      </c>
      <c r="P37" s="126">
        <v>0.52569444444444446</v>
      </c>
      <c r="Q37" s="123" t="s">
        <v>574</v>
      </c>
      <c r="R37" s="39"/>
      <c r="S37" s="39"/>
      <c r="AA37" s="37">
        <v>1000</v>
      </c>
    </row>
    <row r="38" spans="2:32" x14ac:dyDescent="0.25">
      <c r="B38">
        <f>WEEKNUM(BSURTIDOR[[#This Row],[FECHA]])</f>
        <v>2</v>
      </c>
      <c r="C38">
        <f>MONTH(BSURTIDOR[[#This Row],[FECHA]])</f>
        <v>1</v>
      </c>
      <c r="D38">
        <f>YEAR(BSURTIDOR[[#This Row],[FECHA]])</f>
        <v>2026</v>
      </c>
      <c r="E38" s="117">
        <v>46032</v>
      </c>
      <c r="F38" s="283" t="s">
        <v>548</v>
      </c>
      <c r="G38" s="119">
        <v>5</v>
      </c>
      <c r="H38" s="119" t="s">
        <v>558</v>
      </c>
      <c r="I38" s="101" t="str">
        <f>VLOOKUP(BDsurtidor!$H38,$T$4:$W$18,2,FALSE)</f>
        <v>HIDROJET</v>
      </c>
      <c r="J38" s="101">
        <f>VLOOKUP(BDsurtidor!$H38,$T$4:$W$25,3,FALSE)</f>
        <v>1000</v>
      </c>
      <c r="K38" s="101">
        <f>VLOOKUP(BDsurtidor!$H38,$T$4:$W$25,4,FALSE)</f>
        <v>1</v>
      </c>
      <c r="L38" s="101">
        <f>VLOOKUP(BDsurtidor!$H38,$T$4:$X$25,5,FALSE)</f>
        <v>0</v>
      </c>
      <c r="M38" s="101" t="str">
        <f>VLOOKUP(BDsurtidor!$H38,$T$4:$Y$25,6,FALSE)</f>
        <v>EPS</v>
      </c>
      <c r="N38" s="101"/>
      <c r="O38" s="125">
        <v>0</v>
      </c>
      <c r="P38" s="126">
        <v>0.53125</v>
      </c>
      <c r="Q38" s="123" t="s">
        <v>574</v>
      </c>
      <c r="R38" s="39"/>
      <c r="S38" s="39"/>
      <c r="AA38" s="41" t="s">
        <v>102</v>
      </c>
    </row>
    <row r="39" spans="2:32" x14ac:dyDescent="0.25">
      <c r="B39">
        <f>WEEKNUM(BSURTIDOR[[#This Row],[FECHA]])</f>
        <v>3</v>
      </c>
      <c r="C39">
        <f>MONTH(BSURTIDOR[[#This Row],[FECHA]])</f>
        <v>1</v>
      </c>
      <c r="D39">
        <f>YEAR(BSURTIDOR[[#This Row],[FECHA]])</f>
        <v>2026</v>
      </c>
      <c r="E39" s="124">
        <v>46034</v>
      </c>
      <c r="F39" s="283" t="s">
        <v>548</v>
      </c>
      <c r="G39" s="123">
        <v>1</v>
      </c>
      <c r="H39" s="123" t="s">
        <v>97</v>
      </c>
      <c r="I39" s="101" t="str">
        <f>VLOOKUP(BDsurtidor!$H39,$T$4:$W$18,2,FALSE)</f>
        <v>CISTERNA</v>
      </c>
      <c r="J39" s="101">
        <f>VLOOKUP(BDsurtidor!$H39,$T$4:$W$25,3,FALSE)</f>
        <v>5000</v>
      </c>
      <c r="K39" s="101">
        <f>VLOOKUP(BDsurtidor!$H39,$T$4:$W$25,4,FALSE)</f>
        <v>17</v>
      </c>
      <c r="L39" s="101">
        <f>VLOOKUP(BDsurtidor!$H39,$T$4:$X$25,5,FALSE)</f>
        <v>0.4</v>
      </c>
      <c r="M39" s="101" t="str">
        <f>VLOOKUP(BDsurtidor!$H39,$T$4:$Y$25,6,FALSE)</f>
        <v>EPS</v>
      </c>
      <c r="N39" s="101"/>
      <c r="O39" s="125">
        <v>1.52</v>
      </c>
      <c r="P39" s="126">
        <v>0.31180555555555556</v>
      </c>
      <c r="Q39" s="123" t="s">
        <v>574</v>
      </c>
      <c r="R39" s="39"/>
      <c r="S39" s="39"/>
      <c r="AA39" s="83" t="s">
        <v>100</v>
      </c>
      <c r="AB39">
        <v>33</v>
      </c>
      <c r="AC39">
        <v>17</v>
      </c>
      <c r="AD39">
        <v>24</v>
      </c>
      <c r="AE39">
        <v>9</v>
      </c>
      <c r="AF39">
        <v>83</v>
      </c>
    </row>
    <row r="40" spans="2:32" x14ac:dyDescent="0.25">
      <c r="B40">
        <f>WEEKNUM(BSURTIDOR[[#This Row],[FECHA]])</f>
        <v>3</v>
      </c>
      <c r="C40">
        <f>MONTH(BSURTIDOR[[#This Row],[FECHA]])</f>
        <v>1</v>
      </c>
      <c r="D40">
        <f>YEAR(BSURTIDOR[[#This Row],[FECHA]])</f>
        <v>2026</v>
      </c>
      <c r="E40" s="124">
        <v>46034</v>
      </c>
      <c r="F40" s="283" t="s">
        <v>548</v>
      </c>
      <c r="G40" s="123">
        <v>2</v>
      </c>
      <c r="H40" s="123" t="s">
        <v>100</v>
      </c>
      <c r="I40" s="101" t="str">
        <f>VLOOKUP(BDsurtidor!$H40,$T$4:$W$18,2,FALSE)</f>
        <v>HIDROJET</v>
      </c>
      <c r="J40" s="101">
        <f>VLOOKUP(BDsurtidor!$H40,$T$4:$W$25,3,FALSE)</f>
        <v>1000</v>
      </c>
      <c r="K40" s="101">
        <f>VLOOKUP(BDsurtidor!$H40,$T$4:$W$25,4,FALSE)</f>
        <v>1</v>
      </c>
      <c r="L40" s="101">
        <f>VLOOKUP(BDsurtidor!$H40,$T$4:$X$25,5,FALSE)</f>
        <v>0</v>
      </c>
      <c r="M40" s="101" t="str">
        <f>VLOOKUP(BDsurtidor!$H40,$T$4:$Y$25,6,FALSE)</f>
        <v>EPS</v>
      </c>
      <c r="N40" s="101"/>
      <c r="O40" s="125">
        <v>0</v>
      </c>
      <c r="P40" s="126">
        <v>0.32708333333333334</v>
      </c>
      <c r="Q40" s="123" t="s">
        <v>574</v>
      </c>
      <c r="R40" s="39"/>
      <c r="S40" s="39"/>
      <c r="AA40" s="83" t="s">
        <v>558</v>
      </c>
      <c r="AB40">
        <v>18</v>
      </c>
      <c r="AC40">
        <v>8</v>
      </c>
      <c r="AD40">
        <v>14</v>
      </c>
      <c r="AE40">
        <v>4</v>
      </c>
      <c r="AF40">
        <v>44</v>
      </c>
    </row>
    <row r="41" spans="2:32" x14ac:dyDescent="0.25">
      <c r="B41">
        <f>WEEKNUM(BSURTIDOR[[#This Row],[FECHA]])</f>
        <v>3</v>
      </c>
      <c r="C41">
        <f>MONTH(BSURTIDOR[[#This Row],[FECHA]])</f>
        <v>1</v>
      </c>
      <c r="D41">
        <f>YEAR(BSURTIDOR[[#This Row],[FECHA]])</f>
        <v>2026</v>
      </c>
      <c r="E41" s="124">
        <v>46034</v>
      </c>
      <c r="F41" s="283" t="s">
        <v>548</v>
      </c>
      <c r="G41" s="123">
        <v>3</v>
      </c>
      <c r="H41" s="123" t="s">
        <v>97</v>
      </c>
      <c r="I41" s="101" t="str">
        <f>VLOOKUP(BDsurtidor!$H41,$T$4:$W$18,2,FALSE)</f>
        <v>CISTERNA</v>
      </c>
      <c r="J41" s="101">
        <f>VLOOKUP(BDsurtidor!$H41,$T$4:$W$25,3,FALSE)</f>
        <v>5000</v>
      </c>
      <c r="K41" s="101">
        <f>VLOOKUP(BDsurtidor!$H41,$T$4:$W$25,4,FALSE)</f>
        <v>17</v>
      </c>
      <c r="L41" s="101">
        <f>VLOOKUP(BDsurtidor!$H41,$T$4:$X$25,5,FALSE)</f>
        <v>0.4</v>
      </c>
      <c r="M41" s="101" t="str">
        <f>VLOOKUP(BDsurtidor!$H41,$T$4:$Y$25,6,FALSE)</f>
        <v>EPS</v>
      </c>
      <c r="N41" s="101"/>
      <c r="O41" s="125">
        <v>1.63</v>
      </c>
      <c r="P41" s="126">
        <v>0.44236111111111109</v>
      </c>
      <c r="Q41" s="123" t="s">
        <v>574</v>
      </c>
      <c r="R41" s="39"/>
      <c r="S41" s="39"/>
      <c r="AA41" s="37">
        <v>2500</v>
      </c>
    </row>
    <row r="42" spans="2:32" x14ac:dyDescent="0.25">
      <c r="B42">
        <f>WEEKNUM(BSURTIDOR[[#This Row],[FECHA]])</f>
        <v>3</v>
      </c>
      <c r="C42">
        <f>MONTH(BSURTIDOR[[#This Row],[FECHA]])</f>
        <v>1</v>
      </c>
      <c r="D42">
        <f>YEAR(BSURTIDOR[[#This Row],[FECHA]])</f>
        <v>2026</v>
      </c>
      <c r="E42" s="124">
        <v>46034</v>
      </c>
      <c r="F42" s="283" t="s">
        <v>548</v>
      </c>
      <c r="G42" s="123">
        <v>4</v>
      </c>
      <c r="H42" s="123" t="s">
        <v>100</v>
      </c>
      <c r="I42" s="101" t="str">
        <f>VLOOKUP(BDsurtidor!$H42,$T$4:$W$18,2,FALSE)</f>
        <v>HIDROJET</v>
      </c>
      <c r="J42" s="101">
        <f>VLOOKUP(BDsurtidor!$H42,$T$4:$W$25,3,FALSE)</f>
        <v>1000</v>
      </c>
      <c r="K42" s="101">
        <f>VLOOKUP(BDsurtidor!$H42,$T$4:$W$25,4,FALSE)</f>
        <v>1</v>
      </c>
      <c r="L42" s="101">
        <f>VLOOKUP(BDsurtidor!$H42,$T$4:$X$25,5,FALSE)</f>
        <v>0</v>
      </c>
      <c r="M42" s="101" t="str">
        <f>VLOOKUP(BDsurtidor!$H42,$T$4:$Y$25,6,FALSE)</f>
        <v>EPS</v>
      </c>
      <c r="N42" s="101"/>
      <c r="O42" s="125">
        <v>0</v>
      </c>
      <c r="P42" s="126">
        <v>0.51736111111111116</v>
      </c>
      <c r="Q42" s="123" t="s">
        <v>574</v>
      </c>
      <c r="R42" s="39"/>
      <c r="S42" s="39"/>
      <c r="AA42" s="41" t="s">
        <v>101</v>
      </c>
    </row>
    <row r="43" spans="2:32" x14ac:dyDescent="0.25">
      <c r="B43">
        <f>WEEKNUM(BSURTIDOR[[#This Row],[FECHA]])</f>
        <v>3</v>
      </c>
      <c r="C43">
        <f>MONTH(BSURTIDOR[[#This Row],[FECHA]])</f>
        <v>1</v>
      </c>
      <c r="D43">
        <f>YEAR(BSURTIDOR[[#This Row],[FECHA]])</f>
        <v>2026</v>
      </c>
      <c r="E43" s="124">
        <v>46034</v>
      </c>
      <c r="F43" s="283" t="s">
        <v>548</v>
      </c>
      <c r="G43" s="123">
        <v>5</v>
      </c>
      <c r="H43" s="123" t="s">
        <v>97</v>
      </c>
      <c r="I43" s="101" t="str">
        <f>VLOOKUP(BDsurtidor!$H43,$T$4:$W$18,2,FALSE)</f>
        <v>CISTERNA</v>
      </c>
      <c r="J43" s="101">
        <f>VLOOKUP(BDsurtidor!$H43,$T$4:$W$25,3,FALSE)</f>
        <v>5000</v>
      </c>
      <c r="K43" s="101">
        <f>VLOOKUP(BDsurtidor!$H43,$T$4:$W$25,4,FALSE)</f>
        <v>17</v>
      </c>
      <c r="L43" s="101">
        <f>VLOOKUP(BDsurtidor!$H43,$T$4:$X$25,5,FALSE)</f>
        <v>0.4</v>
      </c>
      <c r="M43" s="101" t="str">
        <f>VLOOKUP(BDsurtidor!$H43,$T$4:$Y$25,6,FALSE)</f>
        <v>EPS</v>
      </c>
      <c r="N43" s="101"/>
      <c r="O43" s="125">
        <v>1.55</v>
      </c>
      <c r="P43" s="126">
        <v>0.54722222222222228</v>
      </c>
      <c r="Q43" s="123" t="s">
        <v>574</v>
      </c>
      <c r="R43" s="39"/>
      <c r="S43" s="39"/>
      <c r="AA43" s="83" t="s">
        <v>95</v>
      </c>
      <c r="AC43">
        <v>18</v>
      </c>
      <c r="AD43">
        <v>333</v>
      </c>
      <c r="AE43">
        <v>153</v>
      </c>
      <c r="AF43">
        <v>504</v>
      </c>
    </row>
    <row r="44" spans="2:32" x14ac:dyDescent="0.25">
      <c r="B44">
        <f>WEEKNUM(BSURTIDOR[[#This Row],[FECHA]])</f>
        <v>3</v>
      </c>
      <c r="C44">
        <f>MONTH(BSURTIDOR[[#This Row],[FECHA]])</f>
        <v>1</v>
      </c>
      <c r="D44">
        <f>YEAR(BSURTIDOR[[#This Row],[FECHA]])</f>
        <v>2026</v>
      </c>
      <c r="E44" s="124">
        <v>46035</v>
      </c>
      <c r="F44" s="283" t="s">
        <v>548</v>
      </c>
      <c r="G44" s="123">
        <v>1</v>
      </c>
      <c r="H44" s="123" t="s">
        <v>97</v>
      </c>
      <c r="I44" s="101" t="str">
        <f>VLOOKUP(BDsurtidor!$H44,$T$4:$W$18,2,FALSE)</f>
        <v>CISTERNA</v>
      </c>
      <c r="J44" s="101">
        <f>VLOOKUP(BDsurtidor!$H44,$T$4:$W$25,3,FALSE)</f>
        <v>5000</v>
      </c>
      <c r="K44" s="101">
        <f>VLOOKUP(BDsurtidor!$H44,$T$4:$W$25,4,FALSE)</f>
        <v>17</v>
      </c>
      <c r="L44" s="101">
        <f>VLOOKUP(BDsurtidor!$H44,$T$4:$X$25,5,FALSE)</f>
        <v>0.4</v>
      </c>
      <c r="M44" s="101" t="str">
        <f>VLOOKUP(BDsurtidor!$H44,$T$4:$Y$25,6,FALSE)</f>
        <v>EPS</v>
      </c>
      <c r="N44" s="101"/>
      <c r="O44" s="125">
        <v>1.55</v>
      </c>
      <c r="P44" s="126">
        <v>0.31736111111111109</v>
      </c>
      <c r="Q44" s="123" t="s">
        <v>574</v>
      </c>
      <c r="R44" s="39"/>
      <c r="S44" s="39"/>
      <c r="AA44" s="37">
        <v>5000</v>
      </c>
    </row>
    <row r="45" spans="2:32" x14ac:dyDescent="0.25">
      <c r="B45">
        <f>WEEKNUM(BSURTIDOR[[#This Row],[FECHA]])</f>
        <v>3</v>
      </c>
      <c r="C45">
        <f>MONTH(BSURTIDOR[[#This Row],[FECHA]])</f>
        <v>1</v>
      </c>
      <c r="D45">
        <f>YEAR(BSURTIDOR[[#This Row],[FECHA]])</f>
        <v>2026</v>
      </c>
      <c r="E45" s="124">
        <v>46035</v>
      </c>
      <c r="F45" s="283" t="s">
        <v>548</v>
      </c>
      <c r="G45" s="123">
        <v>2</v>
      </c>
      <c r="H45" s="123" t="s">
        <v>100</v>
      </c>
      <c r="I45" s="101" t="str">
        <f>VLOOKUP(BDsurtidor!$H45,$T$4:$W$18,2,FALSE)</f>
        <v>HIDROJET</v>
      </c>
      <c r="J45" s="101">
        <f>VLOOKUP(BDsurtidor!$H45,$T$4:$W$25,3,FALSE)</f>
        <v>1000</v>
      </c>
      <c r="K45" s="101">
        <f>VLOOKUP(BDsurtidor!$H45,$T$4:$W$25,4,FALSE)</f>
        <v>1</v>
      </c>
      <c r="L45" s="101">
        <f>VLOOKUP(BDsurtidor!$H45,$T$4:$X$25,5,FALSE)</f>
        <v>0</v>
      </c>
      <c r="M45" s="101" t="str">
        <f>VLOOKUP(BDsurtidor!$H45,$T$4:$Y$25,6,FALSE)</f>
        <v>EPS</v>
      </c>
      <c r="N45" s="101"/>
      <c r="O45" s="125">
        <v>0</v>
      </c>
      <c r="P45" s="126">
        <v>0.32291666666666669</v>
      </c>
      <c r="Q45" s="123" t="s">
        <v>574</v>
      </c>
      <c r="R45" s="39"/>
      <c r="S45" s="39"/>
      <c r="AA45" s="41" t="s">
        <v>101</v>
      </c>
    </row>
    <row r="46" spans="2:32" x14ac:dyDescent="0.25">
      <c r="B46">
        <f>WEEKNUM(BSURTIDOR[[#This Row],[FECHA]])</f>
        <v>3</v>
      </c>
      <c r="C46">
        <f>MONTH(BSURTIDOR[[#This Row],[FECHA]])</f>
        <v>1</v>
      </c>
      <c r="D46">
        <f>YEAR(BSURTIDOR[[#This Row],[FECHA]])</f>
        <v>2026</v>
      </c>
      <c r="E46" s="124">
        <v>46035</v>
      </c>
      <c r="F46" s="283" t="s">
        <v>548</v>
      </c>
      <c r="G46" s="123">
        <v>3</v>
      </c>
      <c r="H46" s="123" t="s">
        <v>97</v>
      </c>
      <c r="I46" s="101" t="str">
        <f>VLOOKUP(BDsurtidor!$H46,$T$4:$W$18,2,FALSE)</f>
        <v>CISTERNA</v>
      </c>
      <c r="J46" s="101">
        <f>VLOOKUP(BDsurtidor!$H46,$T$4:$W$25,3,FALSE)</f>
        <v>5000</v>
      </c>
      <c r="K46" s="101">
        <f>VLOOKUP(BDsurtidor!$H46,$T$4:$W$25,4,FALSE)</f>
        <v>17</v>
      </c>
      <c r="L46" s="101">
        <f>VLOOKUP(BDsurtidor!$H46,$T$4:$X$25,5,FALSE)</f>
        <v>0.4</v>
      </c>
      <c r="M46" s="101" t="str">
        <f>VLOOKUP(BDsurtidor!$H46,$T$4:$Y$25,6,FALSE)</f>
        <v>EPS</v>
      </c>
      <c r="N46" s="101"/>
      <c r="O46" s="125">
        <v>1.49</v>
      </c>
      <c r="P46" s="126">
        <v>0.42569444444444443</v>
      </c>
      <c r="Q46" s="123" t="s">
        <v>574</v>
      </c>
      <c r="R46" s="39"/>
      <c r="S46" s="39"/>
      <c r="AA46" s="83" t="s">
        <v>97</v>
      </c>
      <c r="AB46">
        <v>663</v>
      </c>
      <c r="AC46">
        <v>221</v>
      </c>
      <c r="AF46">
        <v>884</v>
      </c>
    </row>
    <row r="47" spans="2:32" x14ac:dyDescent="0.25">
      <c r="B47">
        <f>WEEKNUM(BSURTIDOR[[#This Row],[FECHA]])</f>
        <v>3</v>
      </c>
      <c r="C47">
        <f>MONTH(BSURTIDOR[[#This Row],[FECHA]])</f>
        <v>1</v>
      </c>
      <c r="D47">
        <f>YEAR(BSURTIDOR[[#This Row],[FECHA]])</f>
        <v>2026</v>
      </c>
      <c r="E47" s="124">
        <v>46035</v>
      </c>
      <c r="F47" s="283" t="s">
        <v>548</v>
      </c>
      <c r="G47" s="123">
        <v>4</v>
      </c>
      <c r="H47" s="123" t="s">
        <v>89</v>
      </c>
      <c r="I47" s="101" t="str">
        <f>VLOOKUP(BDsurtidor!$H47,$T$4:$W$18,2,FALSE)</f>
        <v>CISTERNA</v>
      </c>
      <c r="J47" s="101">
        <f>VLOOKUP(BDsurtidor!$H47,$T$4:$W$25,3,FALSE)</f>
        <v>9000</v>
      </c>
      <c r="K47" s="101">
        <f>VLOOKUP(BDsurtidor!$H47,$T$4:$W$25,4,FALSE)</f>
        <v>34</v>
      </c>
      <c r="L47" s="101">
        <f>VLOOKUP(BDsurtidor!$H47,$T$4:$X$25,5,FALSE)</f>
        <v>0.45</v>
      </c>
      <c r="M47" s="101" t="str">
        <f>VLOOKUP(BDsurtidor!$H47,$T$4:$Y$25,6,FALSE)</f>
        <v>VIVIENDA</v>
      </c>
      <c r="N47" s="101"/>
      <c r="O47" s="125">
        <v>1.62</v>
      </c>
      <c r="P47" s="126">
        <v>0.49791666666666667</v>
      </c>
      <c r="Q47" s="123" t="s">
        <v>574</v>
      </c>
      <c r="R47" s="39"/>
      <c r="S47" s="39"/>
      <c r="AA47" s="83" t="s">
        <v>89</v>
      </c>
      <c r="AB47">
        <v>17</v>
      </c>
      <c r="AC47">
        <v>17</v>
      </c>
      <c r="AF47">
        <v>34</v>
      </c>
    </row>
    <row r="48" spans="2:32" x14ac:dyDescent="0.25">
      <c r="B48">
        <f>WEEKNUM(BSURTIDOR[[#This Row],[FECHA]])</f>
        <v>3</v>
      </c>
      <c r="C48">
        <f>MONTH(BSURTIDOR[[#This Row],[FECHA]])</f>
        <v>1</v>
      </c>
      <c r="D48">
        <f>YEAR(BSURTIDOR[[#This Row],[FECHA]])</f>
        <v>2026</v>
      </c>
      <c r="E48" s="124">
        <v>46035</v>
      </c>
      <c r="F48" s="283" t="s">
        <v>548</v>
      </c>
      <c r="G48" s="123">
        <v>5</v>
      </c>
      <c r="H48" s="123" t="s">
        <v>99</v>
      </c>
      <c r="I48" s="101" t="str">
        <f>VLOOKUP(BDsurtidor!$H48,$T$4:$W$18,2,FALSE)</f>
        <v>CISTERNA</v>
      </c>
      <c r="J48" s="101">
        <f>VLOOKUP(BDsurtidor!$H48,$T$4:$W$25,3,FALSE)</f>
        <v>5000</v>
      </c>
      <c r="K48" s="101">
        <f>VLOOKUP(BDsurtidor!$H48,$T$4:$W$25,4,FALSE)</f>
        <v>17</v>
      </c>
      <c r="L48" s="101">
        <f>VLOOKUP(BDsurtidor!$H48,$T$4:$X$25,5,FALSE)</f>
        <v>0.4</v>
      </c>
      <c r="M48" s="101" t="str">
        <f>VLOOKUP(BDsurtidor!$H48,$T$4:$Y$25,6,FALSE)</f>
        <v>EPS</v>
      </c>
      <c r="N48" s="101"/>
      <c r="O48" s="125">
        <v>1.36</v>
      </c>
      <c r="P48" s="126">
        <v>0.52152777777777781</v>
      </c>
      <c r="Q48" s="123" t="s">
        <v>574</v>
      </c>
      <c r="R48" s="39"/>
      <c r="S48" s="39"/>
      <c r="AA48" s="83" t="s">
        <v>99</v>
      </c>
      <c r="AB48">
        <v>561</v>
      </c>
      <c r="AC48">
        <v>867</v>
      </c>
      <c r="AD48">
        <v>595</v>
      </c>
      <c r="AE48">
        <v>833</v>
      </c>
      <c r="AF48">
        <v>2856</v>
      </c>
    </row>
    <row r="49" spans="2:32" x14ac:dyDescent="0.25">
      <c r="B49">
        <f>WEEKNUM(BSURTIDOR[[#This Row],[FECHA]])</f>
        <v>3</v>
      </c>
      <c r="C49">
        <f>MONTH(BSURTIDOR[[#This Row],[FECHA]])</f>
        <v>1</v>
      </c>
      <c r="D49">
        <f>YEAR(BSURTIDOR[[#This Row],[FECHA]])</f>
        <v>2026</v>
      </c>
      <c r="E49" s="124">
        <v>46036</v>
      </c>
      <c r="F49" s="283" t="s">
        <v>548</v>
      </c>
      <c r="G49" s="123">
        <v>1</v>
      </c>
      <c r="H49" s="123" t="s">
        <v>100</v>
      </c>
      <c r="I49" s="101" t="str">
        <f>VLOOKUP(BDsurtidor!$H49,$T$4:$W$18,2,FALSE)</f>
        <v>HIDROJET</v>
      </c>
      <c r="J49" s="101">
        <f>VLOOKUP(BDsurtidor!$H49,$T$4:$W$25,3,FALSE)</f>
        <v>1000</v>
      </c>
      <c r="K49" s="101">
        <f>VLOOKUP(BDsurtidor!$H49,$T$4:$W$25,4,FALSE)</f>
        <v>1</v>
      </c>
      <c r="L49" s="101">
        <f>VLOOKUP(BDsurtidor!$H49,$T$4:$X$25,5,FALSE)</f>
        <v>0</v>
      </c>
      <c r="M49" s="101" t="str">
        <f>VLOOKUP(BDsurtidor!$H49,$T$4:$Y$25,6,FALSE)</f>
        <v>EPS</v>
      </c>
      <c r="N49" s="101"/>
      <c r="O49" s="125">
        <v>0</v>
      </c>
      <c r="P49" s="126">
        <v>0.32222222222222224</v>
      </c>
      <c r="Q49" s="123" t="s">
        <v>574</v>
      </c>
      <c r="R49" s="39"/>
      <c r="S49" s="39"/>
      <c r="AA49" s="83" t="s">
        <v>87</v>
      </c>
      <c r="AB49">
        <v>204</v>
      </c>
      <c r="AC49">
        <v>799</v>
      </c>
      <c r="AD49">
        <v>884</v>
      </c>
      <c r="AE49">
        <v>782</v>
      </c>
      <c r="AF49">
        <v>2669</v>
      </c>
    </row>
    <row r="50" spans="2:32" x14ac:dyDescent="0.25">
      <c r="B50">
        <f>WEEKNUM(BSURTIDOR[[#This Row],[FECHA]])</f>
        <v>3</v>
      </c>
      <c r="C50">
        <f>MONTH(BSURTIDOR[[#This Row],[FECHA]])</f>
        <v>1</v>
      </c>
      <c r="D50">
        <f>YEAR(BSURTIDOR[[#This Row],[FECHA]])</f>
        <v>2026</v>
      </c>
      <c r="E50" s="124">
        <v>46036</v>
      </c>
      <c r="F50" s="283" t="s">
        <v>548</v>
      </c>
      <c r="G50" s="123">
        <v>2</v>
      </c>
      <c r="H50" s="123" t="s">
        <v>89</v>
      </c>
      <c r="I50" s="101" t="str">
        <f>VLOOKUP(BDsurtidor!$H50,$T$4:$W$18,2,FALSE)</f>
        <v>CISTERNA</v>
      </c>
      <c r="J50" s="101">
        <f>VLOOKUP(BDsurtidor!$H50,$T$4:$W$25,3,FALSE)</f>
        <v>9000</v>
      </c>
      <c r="K50" s="101">
        <f>VLOOKUP(BDsurtidor!$H50,$T$4:$W$25,4,FALSE)</f>
        <v>34</v>
      </c>
      <c r="L50" s="101">
        <f>VLOOKUP(BDsurtidor!$H50,$T$4:$X$25,5,FALSE)</f>
        <v>0.45</v>
      </c>
      <c r="M50" s="101" t="str">
        <f>VLOOKUP(BDsurtidor!$H50,$T$4:$Y$25,6,FALSE)</f>
        <v>VIVIENDA</v>
      </c>
      <c r="N50" s="101"/>
      <c r="O50" s="125">
        <v>1.17</v>
      </c>
      <c r="P50" s="126">
        <v>0.33541666666666664</v>
      </c>
      <c r="Q50" s="123" t="s">
        <v>574</v>
      </c>
      <c r="R50" s="39"/>
      <c r="S50" s="39"/>
      <c r="AA50" s="83" t="s">
        <v>88</v>
      </c>
      <c r="AB50">
        <v>34</v>
      </c>
      <c r="AC50">
        <v>51</v>
      </c>
      <c r="AF50">
        <v>85</v>
      </c>
    </row>
    <row r="51" spans="2:32" x14ac:dyDescent="0.25">
      <c r="B51">
        <f>WEEKNUM(BSURTIDOR[[#This Row],[FECHA]])</f>
        <v>3</v>
      </c>
      <c r="C51">
        <f>MONTH(BSURTIDOR[[#This Row],[FECHA]])</f>
        <v>1</v>
      </c>
      <c r="D51">
        <f>YEAR(BSURTIDOR[[#This Row],[FECHA]])</f>
        <v>2026</v>
      </c>
      <c r="E51" s="124">
        <v>46036</v>
      </c>
      <c r="F51" s="283" t="s">
        <v>548</v>
      </c>
      <c r="G51" s="123">
        <v>3</v>
      </c>
      <c r="H51" s="123" t="s">
        <v>98</v>
      </c>
      <c r="I51" s="101" t="str">
        <f>VLOOKUP(BDsurtidor!$H51,$T$4:$W$18,2,FALSE)</f>
        <v>CISTERNA</v>
      </c>
      <c r="J51" s="101">
        <f>VLOOKUP(BDsurtidor!$H51,$T$4:$W$25,3,FALSE)</f>
        <v>9000</v>
      </c>
      <c r="K51" s="101">
        <f>VLOOKUP(BDsurtidor!$H51,$T$4:$W$25,4,FALSE)</f>
        <v>34</v>
      </c>
      <c r="L51" s="101">
        <f>VLOOKUP(BDsurtidor!$H51,$T$4:$X$25,5,FALSE)</f>
        <v>0.45</v>
      </c>
      <c r="M51" s="101" t="str">
        <f>VLOOKUP(BDsurtidor!$H51,$T$4:$Y$25,6,FALSE)</f>
        <v>VIVIENDA</v>
      </c>
      <c r="N51" s="101"/>
      <c r="O51" s="125">
        <v>1.24</v>
      </c>
      <c r="P51" s="126">
        <v>0.34861111111111109</v>
      </c>
      <c r="Q51" s="123" t="s">
        <v>574</v>
      </c>
      <c r="R51" s="39"/>
      <c r="S51" s="39"/>
      <c r="AA51" s="83" t="s">
        <v>90</v>
      </c>
      <c r="AB51">
        <v>340</v>
      </c>
      <c r="AC51">
        <v>629</v>
      </c>
      <c r="AF51">
        <v>969</v>
      </c>
    </row>
    <row r="52" spans="2:32" x14ac:dyDescent="0.25">
      <c r="B52">
        <f>WEEKNUM(BSURTIDOR[[#This Row],[FECHA]])</f>
        <v>3</v>
      </c>
      <c r="C52">
        <f>MONTH(BSURTIDOR[[#This Row],[FECHA]])</f>
        <v>1</v>
      </c>
      <c r="D52">
        <f>YEAR(BSURTIDOR[[#This Row],[FECHA]])</f>
        <v>2026</v>
      </c>
      <c r="E52" s="124">
        <v>46036</v>
      </c>
      <c r="F52" s="283" t="s">
        <v>548</v>
      </c>
      <c r="G52" s="123">
        <v>4</v>
      </c>
      <c r="H52" s="123" t="s">
        <v>99</v>
      </c>
      <c r="I52" s="101" t="str">
        <f>VLOOKUP(BDsurtidor!$H52,$T$4:$W$18,2,FALSE)</f>
        <v>CISTERNA</v>
      </c>
      <c r="J52" s="101">
        <f>VLOOKUP(BDsurtidor!$H52,$T$4:$W$25,3,FALSE)</f>
        <v>5000</v>
      </c>
      <c r="K52" s="101">
        <f>VLOOKUP(BDsurtidor!$H52,$T$4:$W$25,4,FALSE)</f>
        <v>17</v>
      </c>
      <c r="L52" s="101">
        <f>VLOOKUP(BDsurtidor!$H52,$T$4:$X$25,5,FALSE)</f>
        <v>0.4</v>
      </c>
      <c r="M52" s="101" t="str">
        <f>VLOOKUP(BDsurtidor!$H52,$T$4:$Y$25,6,FALSE)</f>
        <v>EPS</v>
      </c>
      <c r="N52" s="101"/>
      <c r="O52" s="125">
        <v>1.36</v>
      </c>
      <c r="P52" s="126">
        <v>0.36666666666666664</v>
      </c>
      <c r="Q52" s="123" t="s">
        <v>574</v>
      </c>
      <c r="R52" s="39"/>
      <c r="S52" s="39"/>
      <c r="AA52" s="83" t="s">
        <v>100</v>
      </c>
      <c r="AC52">
        <v>17</v>
      </c>
      <c r="AF52">
        <v>17</v>
      </c>
    </row>
    <row r="53" spans="2:32" x14ac:dyDescent="0.25">
      <c r="B53">
        <f>WEEKNUM(BSURTIDOR[[#This Row],[FECHA]])</f>
        <v>3</v>
      </c>
      <c r="C53">
        <f>MONTH(BSURTIDOR[[#This Row],[FECHA]])</f>
        <v>1</v>
      </c>
      <c r="D53">
        <f>YEAR(BSURTIDOR[[#This Row],[FECHA]])</f>
        <v>2026</v>
      </c>
      <c r="E53" s="124">
        <v>46036</v>
      </c>
      <c r="F53" s="283" t="s">
        <v>548</v>
      </c>
      <c r="G53" s="123">
        <v>5</v>
      </c>
      <c r="H53" s="123" t="s">
        <v>97</v>
      </c>
      <c r="I53" s="101" t="str">
        <f>VLOOKUP(BDsurtidor!$H53,$T$4:$W$18,2,FALSE)</f>
        <v>CISTERNA</v>
      </c>
      <c r="J53" s="101">
        <f>VLOOKUP(BDsurtidor!$H53,$T$4:$W$25,3,FALSE)</f>
        <v>5000</v>
      </c>
      <c r="K53" s="101">
        <f>VLOOKUP(BDsurtidor!$H53,$T$4:$W$25,4,FALSE)</f>
        <v>17</v>
      </c>
      <c r="L53" s="101">
        <f>VLOOKUP(BDsurtidor!$H53,$T$4:$X$25,5,FALSE)</f>
        <v>0.4</v>
      </c>
      <c r="M53" s="101" t="str">
        <f>VLOOKUP(BDsurtidor!$H53,$T$4:$Y$25,6,FALSE)</f>
        <v>EPS</v>
      </c>
      <c r="N53" s="101"/>
      <c r="O53" s="125">
        <v>1.35</v>
      </c>
      <c r="P53" s="126">
        <v>0.375</v>
      </c>
      <c r="Q53" s="123" t="s">
        <v>574</v>
      </c>
      <c r="R53" s="39"/>
      <c r="S53" s="39"/>
      <c r="AA53" s="37">
        <v>9000</v>
      </c>
    </row>
    <row r="54" spans="2:32" x14ac:dyDescent="0.25">
      <c r="B54">
        <f>WEEKNUM(BSURTIDOR[[#This Row],[FECHA]])</f>
        <v>3</v>
      </c>
      <c r="C54">
        <f>MONTH(BSURTIDOR[[#This Row],[FECHA]])</f>
        <v>1</v>
      </c>
      <c r="D54">
        <f>YEAR(BSURTIDOR[[#This Row],[FECHA]])</f>
        <v>2026</v>
      </c>
      <c r="E54" s="124">
        <v>46036</v>
      </c>
      <c r="F54" s="283" t="s">
        <v>548</v>
      </c>
      <c r="G54" s="123">
        <v>6</v>
      </c>
      <c r="H54" s="123" t="s">
        <v>90</v>
      </c>
      <c r="I54" s="101" t="str">
        <f>VLOOKUP(BDsurtidor!$H54,$T$4:$W$18,2,FALSE)</f>
        <v>CISTERNA</v>
      </c>
      <c r="J54" s="101">
        <f>VLOOKUP(BDsurtidor!$H54,$T$4:$W$25,3,FALSE)</f>
        <v>5000</v>
      </c>
      <c r="K54" s="101">
        <f>VLOOKUP(BDsurtidor!$H54,$T$4:$W$25,4,FALSE)</f>
        <v>17</v>
      </c>
      <c r="L54" s="101">
        <f>VLOOKUP(BDsurtidor!$H54,$T$4:$X$25,5,FALSE)</f>
        <v>0.4</v>
      </c>
      <c r="M54" s="101" t="str">
        <f>VLOOKUP(BDsurtidor!$H54,$T$4:$Y$25,6,FALSE)</f>
        <v>EPS</v>
      </c>
      <c r="N54" s="101"/>
      <c r="O54" s="125">
        <v>1.23</v>
      </c>
      <c r="P54" s="126">
        <v>0.38541666666666669</v>
      </c>
      <c r="Q54" s="123" t="s">
        <v>574</v>
      </c>
      <c r="R54" s="39"/>
      <c r="S54" s="39"/>
      <c r="AA54" s="41" t="s">
        <v>101</v>
      </c>
    </row>
    <row r="55" spans="2:32" x14ac:dyDescent="0.25">
      <c r="B55">
        <f>WEEKNUM(BSURTIDOR[[#This Row],[FECHA]])</f>
        <v>3</v>
      </c>
      <c r="C55">
        <f>MONTH(BSURTIDOR[[#This Row],[FECHA]])</f>
        <v>1</v>
      </c>
      <c r="D55">
        <f>YEAR(BSURTIDOR[[#This Row],[FECHA]])</f>
        <v>2026</v>
      </c>
      <c r="E55" s="124">
        <v>46036</v>
      </c>
      <c r="F55" s="283" t="s">
        <v>548</v>
      </c>
      <c r="G55" s="123">
        <v>7</v>
      </c>
      <c r="H55" s="123" t="s">
        <v>90</v>
      </c>
      <c r="I55" s="101" t="str">
        <f>VLOOKUP(BDsurtidor!$H55,$T$4:$W$18,2,FALSE)</f>
        <v>CISTERNA</v>
      </c>
      <c r="J55" s="101">
        <f>VLOOKUP(BDsurtidor!$H55,$T$4:$W$25,3,FALSE)</f>
        <v>5000</v>
      </c>
      <c r="K55" s="101">
        <f>VLOOKUP(BDsurtidor!$H55,$T$4:$W$25,4,FALSE)</f>
        <v>17</v>
      </c>
      <c r="L55" s="101">
        <f>VLOOKUP(BDsurtidor!$H55,$T$4:$X$25,5,FALSE)</f>
        <v>0.4</v>
      </c>
      <c r="M55" s="101" t="str">
        <f>VLOOKUP(BDsurtidor!$H55,$T$4:$Y$25,6,FALSE)</f>
        <v>EPS</v>
      </c>
      <c r="N55" s="101"/>
      <c r="O55" s="125">
        <v>1.32</v>
      </c>
      <c r="P55" s="126">
        <v>0.49652777777777779</v>
      </c>
      <c r="Q55" s="123" t="s">
        <v>574</v>
      </c>
      <c r="R55" s="39"/>
      <c r="S55" s="39"/>
      <c r="AA55" s="83" t="s">
        <v>97</v>
      </c>
      <c r="AB55">
        <v>34</v>
      </c>
      <c r="AF55">
        <v>34</v>
      </c>
    </row>
    <row r="56" spans="2:32" x14ac:dyDescent="0.25">
      <c r="B56">
        <f>WEEKNUM(BSURTIDOR[[#This Row],[FECHA]])</f>
        <v>3</v>
      </c>
      <c r="C56">
        <f>MONTH(BSURTIDOR[[#This Row],[FECHA]])</f>
        <v>1</v>
      </c>
      <c r="D56">
        <f>YEAR(BSURTIDOR[[#This Row],[FECHA]])</f>
        <v>2026</v>
      </c>
      <c r="E56" s="124">
        <v>46036</v>
      </c>
      <c r="F56" s="283" t="s">
        <v>548</v>
      </c>
      <c r="G56" s="123">
        <v>8</v>
      </c>
      <c r="H56" s="123" t="s">
        <v>98</v>
      </c>
      <c r="I56" s="101" t="str">
        <f>VLOOKUP(BDsurtidor!$H56,$T$4:$W$18,2,FALSE)</f>
        <v>CISTERNA</v>
      </c>
      <c r="J56" s="101">
        <f>VLOOKUP(BDsurtidor!$H56,$T$4:$W$25,3,FALSE)</f>
        <v>9000</v>
      </c>
      <c r="K56" s="101">
        <f>VLOOKUP(BDsurtidor!$H56,$T$4:$W$25,4,FALSE)</f>
        <v>34</v>
      </c>
      <c r="L56" s="101">
        <f>VLOOKUP(BDsurtidor!$H56,$T$4:$X$25,5,FALSE)</f>
        <v>0.45</v>
      </c>
      <c r="M56" s="101" t="str">
        <f>VLOOKUP(BDsurtidor!$H56,$T$4:$Y$25,6,FALSE)</f>
        <v>VIVIENDA</v>
      </c>
      <c r="N56" s="101"/>
      <c r="O56" s="125">
        <v>1.39</v>
      </c>
      <c r="P56" s="126">
        <v>0.53055555555555556</v>
      </c>
      <c r="Q56" s="123" t="s">
        <v>574</v>
      </c>
      <c r="R56" s="39"/>
      <c r="S56" s="39"/>
      <c r="AA56" s="83" t="s">
        <v>98</v>
      </c>
      <c r="AB56">
        <v>544</v>
      </c>
      <c r="AC56">
        <v>442</v>
      </c>
      <c r="AD56">
        <v>952</v>
      </c>
      <c r="AF56">
        <v>1938</v>
      </c>
    </row>
    <row r="57" spans="2:32" x14ac:dyDescent="0.25">
      <c r="B57">
        <f>WEEKNUM(BSURTIDOR[[#This Row],[FECHA]])</f>
        <v>3</v>
      </c>
      <c r="C57">
        <f>MONTH(BSURTIDOR[[#This Row],[FECHA]])</f>
        <v>1</v>
      </c>
      <c r="D57">
        <f>YEAR(BSURTIDOR[[#This Row],[FECHA]])</f>
        <v>2026</v>
      </c>
      <c r="E57" s="124">
        <v>46036</v>
      </c>
      <c r="F57" s="283" t="s">
        <v>548</v>
      </c>
      <c r="G57" s="123">
        <v>9</v>
      </c>
      <c r="H57" s="123" t="s">
        <v>97</v>
      </c>
      <c r="I57" s="101" t="str">
        <f>VLOOKUP(BDsurtidor!$H57,$T$4:$W$18,2,FALSE)</f>
        <v>CISTERNA</v>
      </c>
      <c r="J57" s="101">
        <f>VLOOKUP(BDsurtidor!$H57,$T$4:$W$25,3,FALSE)</f>
        <v>5000</v>
      </c>
      <c r="K57" s="101">
        <f>VLOOKUP(BDsurtidor!$H57,$T$4:$W$25,4,FALSE)</f>
        <v>17</v>
      </c>
      <c r="L57" s="101">
        <f>VLOOKUP(BDsurtidor!$H57,$T$4:$X$25,5,FALSE)</f>
        <v>0.4</v>
      </c>
      <c r="M57" s="101" t="str">
        <f>VLOOKUP(BDsurtidor!$H57,$T$4:$Y$25,6,FALSE)</f>
        <v>EPS</v>
      </c>
      <c r="N57" s="101"/>
      <c r="O57" s="125">
        <v>1.34</v>
      </c>
      <c r="P57" s="126">
        <v>0.5625</v>
      </c>
      <c r="Q57" s="123" t="s">
        <v>574</v>
      </c>
      <c r="R57" s="39"/>
      <c r="S57" s="39"/>
      <c r="AA57" s="83" t="s">
        <v>89</v>
      </c>
      <c r="AB57">
        <v>1122</v>
      </c>
      <c r="AC57">
        <v>1530</v>
      </c>
      <c r="AD57">
        <v>34</v>
      </c>
      <c r="AF57">
        <v>2686</v>
      </c>
    </row>
    <row r="58" spans="2:32" x14ac:dyDescent="0.25">
      <c r="B58">
        <f>WEEKNUM(BSURTIDOR[[#This Row],[FECHA]])</f>
        <v>3</v>
      </c>
      <c r="C58">
        <f>MONTH(BSURTIDOR[[#This Row],[FECHA]])</f>
        <v>1</v>
      </c>
      <c r="D58">
        <f>YEAR(BSURTIDOR[[#This Row],[FECHA]])</f>
        <v>2026</v>
      </c>
      <c r="E58" s="124">
        <v>46036</v>
      </c>
      <c r="F58" s="283" t="s">
        <v>548</v>
      </c>
      <c r="G58" s="123">
        <v>10</v>
      </c>
      <c r="H58" s="123" t="s">
        <v>90</v>
      </c>
      <c r="I58" s="101" t="str">
        <f>VLOOKUP(BDsurtidor!$H58,$T$4:$W$18,2,FALSE)</f>
        <v>CISTERNA</v>
      </c>
      <c r="J58" s="101">
        <f>VLOOKUP(BDsurtidor!$H58,$T$4:$W$25,3,FALSE)</f>
        <v>5000</v>
      </c>
      <c r="K58" s="101">
        <f>VLOOKUP(BDsurtidor!$H58,$T$4:$W$25,4,FALSE)</f>
        <v>17</v>
      </c>
      <c r="L58" s="101">
        <f>VLOOKUP(BDsurtidor!$H58,$T$4:$X$25,5,FALSE)</f>
        <v>0.4</v>
      </c>
      <c r="M58" s="101" t="str">
        <f>VLOOKUP(BDsurtidor!$H58,$T$4:$Y$25,6,FALSE)</f>
        <v>EPS</v>
      </c>
      <c r="N58" s="101"/>
      <c r="O58" s="125">
        <v>1.24</v>
      </c>
      <c r="P58" s="126">
        <v>0.56944444444444442</v>
      </c>
      <c r="Q58" s="123" t="s">
        <v>574</v>
      </c>
      <c r="R58" s="39"/>
      <c r="S58" s="39"/>
      <c r="AA58" s="83" t="s">
        <v>90</v>
      </c>
      <c r="AC58">
        <v>34</v>
      </c>
      <c r="AF58">
        <v>34</v>
      </c>
    </row>
    <row r="59" spans="2:32" x14ac:dyDescent="0.25">
      <c r="B59">
        <f>WEEKNUM(BSURTIDOR[[#This Row],[FECHA]])</f>
        <v>3</v>
      </c>
      <c r="C59">
        <f>MONTH(BSURTIDOR[[#This Row],[FECHA]])</f>
        <v>1</v>
      </c>
      <c r="D59">
        <f>YEAR(BSURTIDOR[[#This Row],[FECHA]])</f>
        <v>2026</v>
      </c>
      <c r="E59" s="124">
        <v>46036</v>
      </c>
      <c r="F59" s="283" t="s">
        <v>548</v>
      </c>
      <c r="G59" s="123">
        <v>11</v>
      </c>
      <c r="H59" s="123" t="s">
        <v>89</v>
      </c>
      <c r="I59" s="101" t="str">
        <f>VLOOKUP(BDsurtidor!$H59,$T$4:$W$18,2,FALSE)</f>
        <v>CISTERNA</v>
      </c>
      <c r="J59" s="101">
        <f>VLOOKUP(BDsurtidor!$H59,$T$4:$W$25,3,FALSE)</f>
        <v>9000</v>
      </c>
      <c r="K59" s="101">
        <f>VLOOKUP(BDsurtidor!$H59,$T$4:$W$25,4,FALSE)</f>
        <v>34</v>
      </c>
      <c r="L59" s="101">
        <f>VLOOKUP(BDsurtidor!$H59,$T$4:$X$25,5,FALSE)</f>
        <v>0.45</v>
      </c>
      <c r="M59" s="101" t="str">
        <f>VLOOKUP(BDsurtidor!$H59,$T$4:$Y$25,6,FALSE)</f>
        <v>VIVIENDA</v>
      </c>
      <c r="N59" s="101"/>
      <c r="O59" s="125">
        <v>1.18</v>
      </c>
      <c r="P59" s="126">
        <v>0.49722222222222223</v>
      </c>
      <c r="Q59" s="123" t="s">
        <v>626</v>
      </c>
      <c r="R59" s="39"/>
      <c r="S59" s="39"/>
      <c r="AA59" s="37" t="s">
        <v>85</v>
      </c>
      <c r="AB59">
        <v>3570</v>
      </c>
      <c r="AC59">
        <v>4650</v>
      </c>
      <c r="AD59">
        <v>2836</v>
      </c>
      <c r="AE59">
        <v>1781</v>
      </c>
      <c r="AF59">
        <v>12837</v>
      </c>
    </row>
    <row r="60" spans="2:32" x14ac:dyDescent="0.25">
      <c r="B60">
        <f>WEEKNUM(BSURTIDOR[[#This Row],[FECHA]])</f>
        <v>3</v>
      </c>
      <c r="C60">
        <f>MONTH(BSURTIDOR[[#This Row],[FECHA]])</f>
        <v>1</v>
      </c>
      <c r="D60">
        <f>YEAR(BSURTIDOR[[#This Row],[FECHA]])</f>
        <v>2026</v>
      </c>
      <c r="E60" s="124">
        <v>46037</v>
      </c>
      <c r="F60" s="283" t="s">
        <v>548</v>
      </c>
      <c r="G60" s="123">
        <v>1</v>
      </c>
      <c r="H60" s="123" t="s">
        <v>100</v>
      </c>
      <c r="I60" s="101" t="str">
        <f>VLOOKUP(BDsurtidor!$H60,$T$4:$W$18,2,FALSE)</f>
        <v>HIDROJET</v>
      </c>
      <c r="J60" s="101">
        <f>VLOOKUP(BDsurtidor!$H60,$T$4:$W$25,3,FALSE)</f>
        <v>1000</v>
      </c>
      <c r="K60" s="101">
        <f>VLOOKUP(BDsurtidor!$H60,$T$4:$W$25,4,FALSE)</f>
        <v>1</v>
      </c>
      <c r="L60" s="101">
        <f>VLOOKUP(BDsurtidor!$H60,$T$4:$X$25,5,FALSE)</f>
        <v>0</v>
      </c>
      <c r="M60" s="101" t="str">
        <f>VLOOKUP(BDsurtidor!$H60,$T$4:$Y$25,6,FALSE)</f>
        <v>EPS</v>
      </c>
      <c r="N60" s="101"/>
      <c r="O60" s="125">
        <v>0</v>
      </c>
      <c r="P60" s="126">
        <v>0.32222222222222224</v>
      </c>
      <c r="Q60" s="123" t="s">
        <v>574</v>
      </c>
      <c r="R60" s="39"/>
      <c r="S60" s="39"/>
    </row>
    <row r="61" spans="2:32" x14ac:dyDescent="0.25">
      <c r="B61">
        <f>WEEKNUM(BSURTIDOR[[#This Row],[FECHA]])</f>
        <v>3</v>
      </c>
      <c r="C61">
        <f>MONTH(BSURTIDOR[[#This Row],[FECHA]])</f>
        <v>1</v>
      </c>
      <c r="D61">
        <f>YEAR(BSURTIDOR[[#This Row],[FECHA]])</f>
        <v>2026</v>
      </c>
      <c r="E61" s="124">
        <v>46037</v>
      </c>
      <c r="F61" s="283" t="s">
        <v>548</v>
      </c>
      <c r="G61" s="123">
        <v>2</v>
      </c>
      <c r="H61" s="123" t="s">
        <v>89</v>
      </c>
      <c r="I61" s="101" t="str">
        <f>VLOOKUP(BDsurtidor!$H61,$T$4:$W$18,2,FALSE)</f>
        <v>CISTERNA</v>
      </c>
      <c r="J61" s="101">
        <f>VLOOKUP(BDsurtidor!$H61,$T$4:$W$25,3,FALSE)</f>
        <v>9000</v>
      </c>
      <c r="K61" s="101">
        <f>VLOOKUP(BDsurtidor!$H61,$T$4:$W$25,4,FALSE)</f>
        <v>34</v>
      </c>
      <c r="L61" s="101">
        <f>VLOOKUP(BDsurtidor!$H61,$T$4:$X$25,5,FALSE)</f>
        <v>0.45</v>
      </c>
      <c r="M61" s="101" t="str">
        <f>VLOOKUP(BDsurtidor!$H61,$T$4:$Y$25,6,FALSE)</f>
        <v>VIVIENDA</v>
      </c>
      <c r="N61" s="101"/>
      <c r="O61" s="125">
        <v>1.17</v>
      </c>
      <c r="P61" s="126">
        <v>0.33541666666666664</v>
      </c>
      <c r="Q61" s="123" t="s">
        <v>574</v>
      </c>
      <c r="R61" s="39"/>
      <c r="S61" s="39"/>
    </row>
    <row r="62" spans="2:32" x14ac:dyDescent="0.25">
      <c r="B62">
        <f>WEEKNUM(BSURTIDOR[[#This Row],[FECHA]])</f>
        <v>3</v>
      </c>
      <c r="C62">
        <f>MONTH(BSURTIDOR[[#This Row],[FECHA]])</f>
        <v>1</v>
      </c>
      <c r="D62">
        <f>YEAR(BSURTIDOR[[#This Row],[FECHA]])</f>
        <v>2026</v>
      </c>
      <c r="E62" s="124">
        <v>46037</v>
      </c>
      <c r="F62" s="283" t="s">
        <v>548</v>
      </c>
      <c r="G62" s="123">
        <v>3</v>
      </c>
      <c r="H62" s="123" t="s">
        <v>98</v>
      </c>
      <c r="I62" s="101" t="str">
        <f>VLOOKUP(BDsurtidor!$H62,$T$4:$W$18,2,FALSE)</f>
        <v>CISTERNA</v>
      </c>
      <c r="J62" s="101">
        <f>VLOOKUP(BDsurtidor!$H62,$T$4:$W$25,3,FALSE)</f>
        <v>9000</v>
      </c>
      <c r="K62" s="101">
        <f>VLOOKUP(BDsurtidor!$H62,$T$4:$W$25,4,FALSE)</f>
        <v>34</v>
      </c>
      <c r="L62" s="101">
        <f>VLOOKUP(BDsurtidor!$H62,$T$4:$X$25,5,FALSE)</f>
        <v>0.45</v>
      </c>
      <c r="M62" s="101" t="str">
        <f>VLOOKUP(BDsurtidor!$H62,$T$4:$Y$25,6,FALSE)</f>
        <v>VIVIENDA</v>
      </c>
      <c r="N62" s="101"/>
      <c r="O62" s="125">
        <v>1.24</v>
      </c>
      <c r="P62" s="126">
        <v>0.34861111111111109</v>
      </c>
      <c r="Q62" s="123" t="s">
        <v>574</v>
      </c>
      <c r="R62" s="39"/>
      <c r="S62" s="39"/>
    </row>
    <row r="63" spans="2:32" x14ac:dyDescent="0.25">
      <c r="B63">
        <f>WEEKNUM(BSURTIDOR[[#This Row],[FECHA]])</f>
        <v>3</v>
      </c>
      <c r="C63">
        <f>MONTH(BSURTIDOR[[#This Row],[FECHA]])</f>
        <v>1</v>
      </c>
      <c r="D63">
        <f>YEAR(BSURTIDOR[[#This Row],[FECHA]])</f>
        <v>2026</v>
      </c>
      <c r="E63" s="124">
        <v>46037</v>
      </c>
      <c r="F63" s="283" t="s">
        <v>548</v>
      </c>
      <c r="G63" s="123">
        <v>4</v>
      </c>
      <c r="H63" s="123" t="s">
        <v>99</v>
      </c>
      <c r="I63" s="101" t="str">
        <f>VLOOKUP(BDsurtidor!$H63,$T$4:$W$18,2,FALSE)</f>
        <v>CISTERNA</v>
      </c>
      <c r="J63" s="101">
        <f>VLOOKUP(BDsurtidor!$H63,$T$4:$W$25,3,FALSE)</f>
        <v>5000</v>
      </c>
      <c r="K63" s="101">
        <f>VLOOKUP(BDsurtidor!$H63,$T$4:$W$25,4,FALSE)</f>
        <v>17</v>
      </c>
      <c r="L63" s="101">
        <f>VLOOKUP(BDsurtidor!$H63,$T$4:$X$25,5,FALSE)</f>
        <v>0.4</v>
      </c>
      <c r="M63" s="101" t="str">
        <f>VLOOKUP(BDsurtidor!$H63,$T$4:$Y$25,6,FALSE)</f>
        <v>EPS</v>
      </c>
      <c r="N63" s="101"/>
      <c r="O63" s="125">
        <v>1.36</v>
      </c>
      <c r="P63" s="126">
        <v>0.36666666666666664</v>
      </c>
      <c r="Q63" s="123" t="s">
        <v>574</v>
      </c>
      <c r="R63" s="39"/>
      <c r="S63" s="39"/>
    </row>
    <row r="64" spans="2:32" x14ac:dyDescent="0.25">
      <c r="B64">
        <f>WEEKNUM(BSURTIDOR[[#This Row],[FECHA]])</f>
        <v>3</v>
      </c>
      <c r="C64">
        <f>MONTH(BSURTIDOR[[#This Row],[FECHA]])</f>
        <v>1</v>
      </c>
      <c r="D64">
        <f>YEAR(BSURTIDOR[[#This Row],[FECHA]])</f>
        <v>2026</v>
      </c>
      <c r="E64" s="124">
        <v>46037</v>
      </c>
      <c r="F64" s="283" t="s">
        <v>548</v>
      </c>
      <c r="G64" s="123">
        <v>5</v>
      </c>
      <c r="H64" s="123" t="s">
        <v>97</v>
      </c>
      <c r="I64" s="101" t="str">
        <f>VLOOKUP(BDsurtidor!$H64,$T$4:$W$18,2,FALSE)</f>
        <v>CISTERNA</v>
      </c>
      <c r="J64" s="39">
        <f>VLOOKUP(BDsurtidor!$H64,$T$4:$W$25,3,FALSE)</f>
        <v>5000</v>
      </c>
      <c r="K64" s="39">
        <f>VLOOKUP(BDsurtidor!$H64,$T$4:$W$25,4,FALSE)</f>
        <v>17</v>
      </c>
      <c r="L64" s="101">
        <f>VLOOKUP(BDsurtidor!$H64,$T$4:$X$25,5,FALSE)</f>
        <v>0.4</v>
      </c>
      <c r="M64" s="39" t="str">
        <f>VLOOKUP(BDsurtidor!$H64,$T$4:$Y$25,6,FALSE)</f>
        <v>EPS</v>
      </c>
      <c r="N64" s="39"/>
      <c r="O64" s="125">
        <v>1.35</v>
      </c>
      <c r="P64" s="126">
        <v>0.375</v>
      </c>
      <c r="Q64" s="123" t="s">
        <v>574</v>
      </c>
      <c r="R64" s="39"/>
      <c r="S64" s="39"/>
    </row>
    <row r="65" spans="2:19" x14ac:dyDescent="0.25">
      <c r="B65">
        <f>WEEKNUM(BSURTIDOR[[#This Row],[FECHA]])</f>
        <v>3</v>
      </c>
      <c r="C65">
        <f>MONTH(BSURTIDOR[[#This Row],[FECHA]])</f>
        <v>1</v>
      </c>
      <c r="D65">
        <f>YEAR(BSURTIDOR[[#This Row],[FECHA]])</f>
        <v>2026</v>
      </c>
      <c r="E65" s="124">
        <v>46037</v>
      </c>
      <c r="F65" s="283" t="s">
        <v>548</v>
      </c>
      <c r="G65" s="123">
        <v>6</v>
      </c>
      <c r="H65" s="123" t="s">
        <v>90</v>
      </c>
      <c r="I65" s="101" t="str">
        <f>VLOOKUP(BDsurtidor!$H65,$T$4:$W$18,2,FALSE)</f>
        <v>CISTERNA</v>
      </c>
      <c r="J65" s="39">
        <f>VLOOKUP(BDsurtidor!$H65,$T$4:$W$25,3,FALSE)</f>
        <v>5000</v>
      </c>
      <c r="K65" s="39">
        <f>VLOOKUP(BDsurtidor!$H65,$T$4:$W$25,4,FALSE)</f>
        <v>17</v>
      </c>
      <c r="L65" s="101">
        <f>VLOOKUP(BDsurtidor!$H65,$T$4:$X$25,5,FALSE)</f>
        <v>0.4</v>
      </c>
      <c r="M65" s="39" t="str">
        <f>VLOOKUP(BDsurtidor!$H65,$T$4:$Y$25,6,FALSE)</f>
        <v>EPS</v>
      </c>
      <c r="N65" s="39"/>
      <c r="O65" s="125">
        <v>1.23</v>
      </c>
      <c r="P65" s="126">
        <v>0.38541666666666669</v>
      </c>
      <c r="Q65" s="123" t="s">
        <v>574</v>
      </c>
      <c r="R65" s="39"/>
      <c r="S65" s="39"/>
    </row>
    <row r="66" spans="2:19" x14ac:dyDescent="0.25">
      <c r="B66">
        <f>WEEKNUM(BSURTIDOR[[#This Row],[FECHA]])</f>
        <v>3</v>
      </c>
      <c r="C66">
        <f>MONTH(BSURTIDOR[[#This Row],[FECHA]])</f>
        <v>1</v>
      </c>
      <c r="D66">
        <f>YEAR(BSURTIDOR[[#This Row],[FECHA]])</f>
        <v>2026</v>
      </c>
      <c r="E66" s="124">
        <v>46037</v>
      </c>
      <c r="F66" s="283" t="s">
        <v>548</v>
      </c>
      <c r="G66" s="123">
        <v>7</v>
      </c>
      <c r="H66" s="123" t="s">
        <v>90</v>
      </c>
      <c r="I66" s="101" t="str">
        <f>VLOOKUP(BDsurtidor!$H66,$T$4:$W$18,2,FALSE)</f>
        <v>CISTERNA</v>
      </c>
      <c r="J66" s="39">
        <f>VLOOKUP(BDsurtidor!$H66,$T$4:$W$25,3,FALSE)</f>
        <v>5000</v>
      </c>
      <c r="K66" s="39">
        <f>VLOOKUP(BDsurtidor!$H66,$T$4:$W$25,4,FALSE)</f>
        <v>17</v>
      </c>
      <c r="L66" s="101">
        <f>VLOOKUP(BDsurtidor!$H66,$T$4:$X$25,5,FALSE)</f>
        <v>0.4</v>
      </c>
      <c r="M66" s="39" t="str">
        <f>VLOOKUP(BDsurtidor!$H66,$T$4:$Y$25,6,FALSE)</f>
        <v>EPS</v>
      </c>
      <c r="N66" s="39"/>
      <c r="O66" s="125">
        <v>1.32</v>
      </c>
      <c r="P66" s="126">
        <v>0.49652777777777779</v>
      </c>
      <c r="Q66" s="123" t="s">
        <v>574</v>
      </c>
      <c r="R66" s="39"/>
      <c r="S66" s="39"/>
    </row>
    <row r="67" spans="2:19" x14ac:dyDescent="0.25">
      <c r="B67">
        <f>WEEKNUM(BSURTIDOR[[#This Row],[FECHA]])</f>
        <v>3</v>
      </c>
      <c r="C67">
        <f>MONTH(BSURTIDOR[[#This Row],[FECHA]])</f>
        <v>1</v>
      </c>
      <c r="D67">
        <f>YEAR(BSURTIDOR[[#This Row],[FECHA]])</f>
        <v>2026</v>
      </c>
      <c r="E67" s="124">
        <v>46037</v>
      </c>
      <c r="F67" s="283" t="s">
        <v>548</v>
      </c>
      <c r="G67" s="123">
        <v>8</v>
      </c>
      <c r="H67" s="123" t="s">
        <v>98</v>
      </c>
      <c r="I67" s="101" t="str">
        <f>VLOOKUP(BDsurtidor!$H67,$T$4:$W$18,2,FALSE)</f>
        <v>CISTERNA</v>
      </c>
      <c r="J67" s="39">
        <f>VLOOKUP(BDsurtidor!$H67,$T$4:$W$25,3,FALSE)</f>
        <v>9000</v>
      </c>
      <c r="K67" s="39">
        <f>VLOOKUP(BDsurtidor!$H67,$T$4:$W$25,4,FALSE)</f>
        <v>34</v>
      </c>
      <c r="L67" s="101">
        <f>VLOOKUP(BDsurtidor!$H67,$T$4:$X$25,5,FALSE)</f>
        <v>0.45</v>
      </c>
      <c r="M67" s="39" t="str">
        <f>VLOOKUP(BDsurtidor!$H67,$T$4:$Y$25,6,FALSE)</f>
        <v>VIVIENDA</v>
      </c>
      <c r="N67" s="39"/>
      <c r="O67" s="125">
        <v>1.39</v>
      </c>
      <c r="P67" s="126">
        <v>0.53055555555555556</v>
      </c>
      <c r="Q67" s="123" t="s">
        <v>574</v>
      </c>
      <c r="R67" s="39"/>
      <c r="S67" s="39"/>
    </row>
    <row r="68" spans="2:19" x14ac:dyDescent="0.25">
      <c r="B68">
        <f>WEEKNUM(BSURTIDOR[[#This Row],[FECHA]])</f>
        <v>3</v>
      </c>
      <c r="C68">
        <f>MONTH(BSURTIDOR[[#This Row],[FECHA]])</f>
        <v>1</v>
      </c>
      <c r="D68">
        <f>YEAR(BSURTIDOR[[#This Row],[FECHA]])</f>
        <v>2026</v>
      </c>
      <c r="E68" s="124">
        <v>46037</v>
      </c>
      <c r="F68" s="283" t="s">
        <v>548</v>
      </c>
      <c r="G68" s="123">
        <v>9</v>
      </c>
      <c r="H68" s="123" t="s">
        <v>97</v>
      </c>
      <c r="I68" s="101" t="str">
        <f>VLOOKUP(BDsurtidor!$H68,$T$4:$W$18,2,FALSE)</f>
        <v>CISTERNA</v>
      </c>
      <c r="J68" s="39">
        <f>VLOOKUP(BDsurtidor!$H68,$T$4:$W$25,3,FALSE)</f>
        <v>5000</v>
      </c>
      <c r="K68" s="39">
        <f>VLOOKUP(BDsurtidor!$H68,$T$4:$W$25,4,FALSE)</f>
        <v>17</v>
      </c>
      <c r="L68" s="101">
        <f>VLOOKUP(BDsurtidor!$H68,$T$4:$X$25,5,FALSE)</f>
        <v>0.4</v>
      </c>
      <c r="M68" s="39" t="str">
        <f>VLOOKUP(BDsurtidor!$H68,$T$4:$Y$25,6,FALSE)</f>
        <v>EPS</v>
      </c>
      <c r="N68" s="39"/>
      <c r="O68" s="125">
        <v>1.34</v>
      </c>
      <c r="P68" s="126">
        <v>0.5625</v>
      </c>
      <c r="Q68" s="123" t="s">
        <v>574</v>
      </c>
      <c r="R68" s="39"/>
      <c r="S68" s="39"/>
    </row>
    <row r="69" spans="2:19" x14ac:dyDescent="0.25">
      <c r="B69">
        <f>WEEKNUM(BSURTIDOR[[#This Row],[FECHA]])</f>
        <v>3</v>
      </c>
      <c r="C69">
        <f>MONTH(BSURTIDOR[[#This Row],[FECHA]])</f>
        <v>1</v>
      </c>
      <c r="D69">
        <f>YEAR(BSURTIDOR[[#This Row],[FECHA]])</f>
        <v>2026</v>
      </c>
      <c r="E69" s="124">
        <v>46037</v>
      </c>
      <c r="F69" s="283" t="s">
        <v>548</v>
      </c>
      <c r="G69" s="123">
        <v>10</v>
      </c>
      <c r="H69" s="123" t="s">
        <v>90</v>
      </c>
      <c r="I69" s="101" t="str">
        <f>VLOOKUP(BDsurtidor!$H69,$T$4:$W$18,2,FALSE)</f>
        <v>CISTERNA</v>
      </c>
      <c r="J69" s="39">
        <f>VLOOKUP(BDsurtidor!$H69,$T$4:$W$25,3,FALSE)</f>
        <v>5000</v>
      </c>
      <c r="K69" s="39">
        <f>VLOOKUP(BDsurtidor!$H69,$T$4:$W$25,4,FALSE)</f>
        <v>17</v>
      </c>
      <c r="L69" s="101">
        <f>VLOOKUP(BDsurtidor!$H69,$T$4:$X$25,5,FALSE)</f>
        <v>0.4</v>
      </c>
      <c r="M69" s="39" t="str">
        <f>VLOOKUP(BDsurtidor!$H69,$T$4:$Y$25,6,FALSE)</f>
        <v>EPS</v>
      </c>
      <c r="N69" s="39"/>
      <c r="O69" s="125">
        <v>1.24</v>
      </c>
      <c r="P69" s="126">
        <v>0.56944444444444442</v>
      </c>
      <c r="Q69" s="123" t="s">
        <v>574</v>
      </c>
      <c r="R69" s="39"/>
      <c r="S69" s="39"/>
    </row>
    <row r="70" spans="2:19" x14ac:dyDescent="0.25">
      <c r="B70">
        <f>WEEKNUM(BSURTIDOR[[#This Row],[FECHA]])</f>
        <v>3</v>
      </c>
      <c r="C70">
        <f>MONTH(BSURTIDOR[[#This Row],[FECHA]])</f>
        <v>1</v>
      </c>
      <c r="D70">
        <f>YEAR(BSURTIDOR[[#This Row],[FECHA]])</f>
        <v>2026</v>
      </c>
      <c r="E70" s="285">
        <v>46038</v>
      </c>
      <c r="F70" s="283" t="s">
        <v>548</v>
      </c>
      <c r="G70" s="286">
        <v>1</v>
      </c>
      <c r="H70" s="286" t="s">
        <v>97</v>
      </c>
      <c r="I70" s="287" t="str">
        <f>VLOOKUP(BDsurtidor!$H70,$T$4:$W$18,2,FALSE)</f>
        <v>CISTERNA</v>
      </c>
      <c r="J70" s="287">
        <f>VLOOKUP(BDsurtidor!$H70,$T$4:$W$25,3,FALSE)</f>
        <v>5000</v>
      </c>
      <c r="K70" s="287">
        <f>VLOOKUP(BDsurtidor!$H70,$T$4:$W$25,4,FALSE)</f>
        <v>17</v>
      </c>
      <c r="L70" s="287">
        <f>VLOOKUP(BDsurtidor!$H70,$T$4:$X$25,5,FALSE)</f>
        <v>0.4</v>
      </c>
      <c r="M70" s="287" t="str">
        <f>VLOOKUP(BDsurtidor!$H70,$T$4:$Y$25,6,FALSE)</f>
        <v>EPS</v>
      </c>
      <c r="N70" s="287">
        <v>0</v>
      </c>
      <c r="O70" s="288">
        <v>7.12</v>
      </c>
      <c r="P70" s="289">
        <v>0.30416666666666664</v>
      </c>
      <c r="Q70" s="123" t="s">
        <v>574</v>
      </c>
      <c r="R70" s="39"/>
      <c r="S70" s="39"/>
    </row>
    <row r="71" spans="2:19" x14ac:dyDescent="0.25">
      <c r="B71">
        <f>WEEKNUM(BSURTIDOR[[#This Row],[FECHA]])</f>
        <v>3</v>
      </c>
      <c r="C71">
        <f>MONTH(BSURTIDOR[[#This Row],[FECHA]])</f>
        <v>1</v>
      </c>
      <c r="D71">
        <f>YEAR(BSURTIDOR[[#This Row],[FECHA]])</f>
        <v>2026</v>
      </c>
      <c r="E71" s="285">
        <v>46038</v>
      </c>
      <c r="F71" s="283" t="s">
        <v>548</v>
      </c>
      <c r="G71" s="286">
        <v>2</v>
      </c>
      <c r="H71" s="286" t="s">
        <v>99</v>
      </c>
      <c r="I71" s="287" t="str">
        <f>VLOOKUP(BDsurtidor!$H71,$T$4:$W$18,2,FALSE)</f>
        <v>CISTERNA</v>
      </c>
      <c r="J71" s="287">
        <f>VLOOKUP(BDsurtidor!$H71,$T$4:$W$25,3,FALSE)</f>
        <v>5000</v>
      </c>
      <c r="K71" s="287">
        <f>VLOOKUP(BDsurtidor!$H71,$T$4:$W$25,4,FALSE)</f>
        <v>17</v>
      </c>
      <c r="L71" s="287">
        <f>VLOOKUP(BDsurtidor!$H71,$T$4:$X$25,5,FALSE)</f>
        <v>0.4</v>
      </c>
      <c r="M71" s="287" t="str">
        <f>VLOOKUP(BDsurtidor!$H71,$T$4:$Y$25,6,FALSE)</f>
        <v>EPS</v>
      </c>
      <c r="N71" s="287">
        <v>0</v>
      </c>
      <c r="O71" s="288">
        <v>1.07</v>
      </c>
      <c r="P71" s="289">
        <v>0.30902777777777779</v>
      </c>
      <c r="Q71" s="123" t="s">
        <v>574</v>
      </c>
      <c r="R71" s="39"/>
      <c r="S71" s="39"/>
    </row>
    <row r="72" spans="2:19" x14ac:dyDescent="0.25">
      <c r="B72">
        <f>WEEKNUM(BSURTIDOR[[#This Row],[FECHA]])</f>
        <v>3</v>
      </c>
      <c r="C72">
        <f>MONTH(BSURTIDOR[[#This Row],[FECHA]])</f>
        <v>1</v>
      </c>
      <c r="D72">
        <f>YEAR(BSURTIDOR[[#This Row],[FECHA]])</f>
        <v>2026</v>
      </c>
      <c r="E72" s="285">
        <v>46038</v>
      </c>
      <c r="F72" s="283" t="s">
        <v>548</v>
      </c>
      <c r="G72" s="286">
        <v>3</v>
      </c>
      <c r="H72" s="286" t="s">
        <v>98</v>
      </c>
      <c r="I72" s="287" t="str">
        <f>VLOOKUP(BDsurtidor!$H72,$T$4:$W$18,2,FALSE)</f>
        <v>CISTERNA</v>
      </c>
      <c r="J72" s="287">
        <f>VLOOKUP(BDsurtidor!$H72,$T$4:$W$25,3,FALSE)</f>
        <v>9000</v>
      </c>
      <c r="K72" s="287">
        <f>VLOOKUP(BDsurtidor!$H72,$T$4:$W$25,4,FALSE)</f>
        <v>34</v>
      </c>
      <c r="L72" s="287">
        <f>VLOOKUP(BDsurtidor!$H72,$T$4:$X$25,5,FALSE)</f>
        <v>0.45</v>
      </c>
      <c r="M72" s="287" t="str">
        <f>VLOOKUP(BDsurtidor!$H72,$T$4:$Y$25,6,FALSE)</f>
        <v>VIVIENDA</v>
      </c>
      <c r="N72" s="287">
        <v>0</v>
      </c>
      <c r="O72" s="288">
        <v>1.1200000000000001</v>
      </c>
      <c r="P72" s="289">
        <v>0.31527777777777777</v>
      </c>
      <c r="Q72" s="123" t="s">
        <v>574</v>
      </c>
      <c r="R72" s="39"/>
      <c r="S72" s="39"/>
    </row>
    <row r="73" spans="2:19" x14ac:dyDescent="0.25">
      <c r="B73">
        <f>WEEKNUM(BSURTIDOR[[#This Row],[FECHA]])</f>
        <v>3</v>
      </c>
      <c r="C73">
        <f>MONTH(BSURTIDOR[[#This Row],[FECHA]])</f>
        <v>1</v>
      </c>
      <c r="D73">
        <f>YEAR(BSURTIDOR[[#This Row],[FECHA]])</f>
        <v>2026</v>
      </c>
      <c r="E73" s="285">
        <v>46038</v>
      </c>
      <c r="F73" s="283" t="s">
        <v>548</v>
      </c>
      <c r="G73" s="286">
        <v>4</v>
      </c>
      <c r="H73" s="286" t="s">
        <v>89</v>
      </c>
      <c r="I73" s="287" t="str">
        <f>VLOOKUP(BDsurtidor!$H73,$T$4:$W$18,2,FALSE)</f>
        <v>CISTERNA</v>
      </c>
      <c r="J73" s="287">
        <f>VLOOKUP(BDsurtidor!$H73,$T$4:$W$25,3,FALSE)</f>
        <v>9000</v>
      </c>
      <c r="K73" s="287">
        <f>VLOOKUP(BDsurtidor!$H73,$T$4:$W$25,4,FALSE)</f>
        <v>34</v>
      </c>
      <c r="L73" s="287">
        <f>VLOOKUP(BDsurtidor!$H73,$T$4:$X$25,5,FALSE)</f>
        <v>0.45</v>
      </c>
      <c r="M73" s="287" t="str">
        <f>VLOOKUP(BDsurtidor!$H73,$T$4:$Y$25,6,FALSE)</f>
        <v>VIVIENDA</v>
      </c>
      <c r="N73" s="287">
        <v>0</v>
      </c>
      <c r="O73" s="288">
        <v>1.1000000000000001</v>
      </c>
      <c r="P73" s="289">
        <v>0.32569444444444445</v>
      </c>
      <c r="Q73" s="123" t="s">
        <v>574</v>
      </c>
      <c r="R73" s="39"/>
      <c r="S73" s="39"/>
    </row>
    <row r="74" spans="2:19" x14ac:dyDescent="0.25">
      <c r="B74">
        <f>WEEKNUM(BSURTIDOR[[#This Row],[FECHA]])</f>
        <v>3</v>
      </c>
      <c r="C74">
        <f>MONTH(BSURTIDOR[[#This Row],[FECHA]])</f>
        <v>1</v>
      </c>
      <c r="D74">
        <f>YEAR(BSURTIDOR[[#This Row],[FECHA]])</f>
        <v>2026</v>
      </c>
      <c r="E74" s="285">
        <v>46038</v>
      </c>
      <c r="F74" s="283" t="s">
        <v>548</v>
      </c>
      <c r="G74" s="286">
        <v>5</v>
      </c>
      <c r="H74" s="286" t="s">
        <v>100</v>
      </c>
      <c r="I74" s="287" t="str">
        <f>VLOOKUP(BDsurtidor!$H74,$T$4:$W$18,2,FALSE)</f>
        <v>HIDROJET</v>
      </c>
      <c r="J74" s="287">
        <f>VLOOKUP(BDsurtidor!$H74,$T$4:$W$25,3,FALSE)</f>
        <v>1000</v>
      </c>
      <c r="K74" s="287">
        <f>VLOOKUP(BDsurtidor!$H74,$T$4:$W$25,4,FALSE)</f>
        <v>1</v>
      </c>
      <c r="L74" s="287">
        <f>VLOOKUP(BDsurtidor!$H74,$T$4:$X$25,5,FALSE)</f>
        <v>0</v>
      </c>
      <c r="M74" s="287" t="str">
        <f>VLOOKUP(BDsurtidor!$H74,$T$4:$Y$25,6,FALSE)</f>
        <v>EPS</v>
      </c>
      <c r="N74" s="287">
        <v>0</v>
      </c>
      <c r="O74" s="288">
        <v>0</v>
      </c>
      <c r="P74" s="289">
        <v>0.33402777777777776</v>
      </c>
      <c r="Q74" s="123" t="s">
        <v>574</v>
      </c>
      <c r="R74" s="39"/>
      <c r="S74" s="39"/>
    </row>
    <row r="75" spans="2:19" x14ac:dyDescent="0.25">
      <c r="B75">
        <f>WEEKNUM(BSURTIDOR[[#This Row],[FECHA]])</f>
        <v>3</v>
      </c>
      <c r="C75">
        <f>MONTH(BSURTIDOR[[#This Row],[FECHA]])</f>
        <v>1</v>
      </c>
      <c r="D75">
        <f>YEAR(BSURTIDOR[[#This Row],[FECHA]])</f>
        <v>2026</v>
      </c>
      <c r="E75" s="285">
        <v>46038</v>
      </c>
      <c r="F75" s="283" t="s">
        <v>548</v>
      </c>
      <c r="G75" s="286">
        <v>6</v>
      </c>
      <c r="H75" s="286" t="s">
        <v>99</v>
      </c>
      <c r="I75" s="287" t="str">
        <f>VLOOKUP(BDsurtidor!$H75,$T$4:$W$18,2,FALSE)</f>
        <v>CISTERNA</v>
      </c>
      <c r="J75" s="287">
        <f>VLOOKUP(BDsurtidor!$H75,$T$4:$W$25,3,FALSE)</f>
        <v>5000</v>
      </c>
      <c r="K75" s="287">
        <f>VLOOKUP(BDsurtidor!$H75,$T$4:$W$25,4,FALSE)</f>
        <v>17</v>
      </c>
      <c r="L75" s="287">
        <f>VLOOKUP(BDsurtidor!$H75,$T$4:$X$25,5,FALSE)</f>
        <v>0.4</v>
      </c>
      <c r="M75" s="287" t="str">
        <f>VLOOKUP(BDsurtidor!$H75,$T$4:$Y$25,6,FALSE)</f>
        <v>EPS</v>
      </c>
      <c r="N75" s="287">
        <v>0</v>
      </c>
      <c r="O75" s="288">
        <v>1.1599999999999999</v>
      </c>
      <c r="P75" s="289">
        <v>0.37361111111111112</v>
      </c>
      <c r="Q75" s="123" t="s">
        <v>574</v>
      </c>
      <c r="R75" s="39"/>
      <c r="S75" s="39"/>
    </row>
    <row r="76" spans="2:19" x14ac:dyDescent="0.25">
      <c r="B76">
        <f>WEEKNUM(BSURTIDOR[[#This Row],[FECHA]])</f>
        <v>3</v>
      </c>
      <c r="C76">
        <f>MONTH(BSURTIDOR[[#This Row],[FECHA]])</f>
        <v>1</v>
      </c>
      <c r="D76">
        <f>YEAR(BSURTIDOR[[#This Row],[FECHA]])</f>
        <v>2026</v>
      </c>
      <c r="E76" s="285">
        <v>46038</v>
      </c>
      <c r="F76" s="283" t="s">
        <v>548</v>
      </c>
      <c r="G76" s="286">
        <v>7</v>
      </c>
      <c r="H76" s="286" t="s">
        <v>97</v>
      </c>
      <c r="I76" s="287" t="str">
        <f>VLOOKUP(BDsurtidor!$H76,$T$4:$W$18,2,FALSE)</f>
        <v>CISTERNA</v>
      </c>
      <c r="J76" s="287">
        <f>VLOOKUP(BDsurtidor!$H76,$T$4:$W$25,3,FALSE)</f>
        <v>5000</v>
      </c>
      <c r="K76" s="287">
        <f>VLOOKUP(BDsurtidor!$H76,$T$4:$W$25,4,FALSE)</f>
        <v>17</v>
      </c>
      <c r="L76" s="287">
        <f>VLOOKUP(BDsurtidor!$H76,$T$4:$X$25,5,FALSE)</f>
        <v>0.4</v>
      </c>
      <c r="M76" s="287" t="str">
        <f>VLOOKUP(BDsurtidor!$H76,$T$4:$Y$25,6,FALSE)</f>
        <v>EPS</v>
      </c>
      <c r="N76" s="287">
        <v>0</v>
      </c>
      <c r="O76" s="288">
        <v>1.18</v>
      </c>
      <c r="P76" s="289">
        <v>0.44236111111111109</v>
      </c>
      <c r="Q76" s="123" t="s">
        <v>574</v>
      </c>
      <c r="R76" s="39"/>
      <c r="S76" s="39"/>
    </row>
    <row r="77" spans="2:19" x14ac:dyDescent="0.25">
      <c r="B77">
        <f>WEEKNUM(BSURTIDOR[[#This Row],[FECHA]])</f>
        <v>3</v>
      </c>
      <c r="C77">
        <f>MONTH(BSURTIDOR[[#This Row],[FECHA]])</f>
        <v>1</v>
      </c>
      <c r="D77">
        <f>YEAR(BSURTIDOR[[#This Row],[FECHA]])</f>
        <v>2026</v>
      </c>
      <c r="E77" s="285">
        <v>46038</v>
      </c>
      <c r="F77" s="283" t="s">
        <v>548</v>
      </c>
      <c r="G77" s="286">
        <v>8</v>
      </c>
      <c r="H77" s="286" t="s">
        <v>89</v>
      </c>
      <c r="I77" s="287" t="str">
        <f>VLOOKUP(BDsurtidor!$H77,$T$4:$W$18,2,FALSE)</f>
        <v>CISTERNA</v>
      </c>
      <c r="J77" s="287">
        <f>VLOOKUP(BDsurtidor!$H77,$T$4:$W$25,3,FALSE)</f>
        <v>9000</v>
      </c>
      <c r="K77" s="287">
        <f>VLOOKUP(BDsurtidor!$H77,$T$4:$W$25,4,FALSE)</f>
        <v>34</v>
      </c>
      <c r="L77" s="287">
        <f>VLOOKUP(BDsurtidor!$H77,$T$4:$X$25,5,FALSE)</f>
        <v>0.45</v>
      </c>
      <c r="M77" s="287" t="str">
        <f>VLOOKUP(BDsurtidor!$H77,$T$4:$Y$25,6,FALSE)</f>
        <v>VIVIENDA</v>
      </c>
      <c r="N77" s="287">
        <v>0</v>
      </c>
      <c r="O77" s="288">
        <v>1.1599999999999999</v>
      </c>
      <c r="P77" s="289">
        <v>0.4548611111111111</v>
      </c>
      <c r="Q77" s="123" t="s">
        <v>574</v>
      </c>
      <c r="R77" s="39"/>
      <c r="S77" s="39"/>
    </row>
    <row r="78" spans="2:19" x14ac:dyDescent="0.25">
      <c r="B78">
        <f>WEEKNUM(BSURTIDOR[[#This Row],[FECHA]])</f>
        <v>3</v>
      </c>
      <c r="C78">
        <f>MONTH(BSURTIDOR[[#This Row],[FECHA]])</f>
        <v>1</v>
      </c>
      <c r="D78">
        <f>YEAR(BSURTIDOR[[#This Row],[FECHA]])</f>
        <v>2026</v>
      </c>
      <c r="E78" s="285">
        <v>46038</v>
      </c>
      <c r="F78" s="283" t="s">
        <v>548</v>
      </c>
      <c r="G78" s="286">
        <v>9</v>
      </c>
      <c r="H78" s="286" t="s">
        <v>99</v>
      </c>
      <c r="I78" s="287" t="str">
        <f>VLOOKUP(BDsurtidor!$H78,$T$4:$W$18,2,FALSE)</f>
        <v>CISTERNA</v>
      </c>
      <c r="J78" s="287">
        <f>VLOOKUP(BDsurtidor!$H78,$T$4:$W$25,3,FALSE)</f>
        <v>5000</v>
      </c>
      <c r="K78" s="287">
        <f>VLOOKUP(BDsurtidor!$H78,$T$4:$W$25,4,FALSE)</f>
        <v>17</v>
      </c>
      <c r="L78" s="287">
        <f>VLOOKUP(BDsurtidor!$H78,$T$4:$X$25,5,FALSE)</f>
        <v>0.4</v>
      </c>
      <c r="M78" s="287" t="str">
        <f>VLOOKUP(BDsurtidor!$H78,$T$4:$Y$25,6,FALSE)</f>
        <v>EPS</v>
      </c>
      <c r="N78" s="287">
        <v>0</v>
      </c>
      <c r="O78" s="288">
        <v>1.1499999999999999</v>
      </c>
      <c r="P78" s="289">
        <v>0.47430555555555554</v>
      </c>
      <c r="Q78" s="123" t="s">
        <v>574</v>
      </c>
      <c r="R78" s="39"/>
      <c r="S78" s="39"/>
    </row>
    <row r="79" spans="2:19" x14ac:dyDescent="0.25">
      <c r="B79">
        <f>WEEKNUM(BSURTIDOR[[#This Row],[FECHA]])</f>
        <v>3</v>
      </c>
      <c r="C79">
        <f>MONTH(BSURTIDOR[[#This Row],[FECHA]])</f>
        <v>1</v>
      </c>
      <c r="D79">
        <f>YEAR(BSURTIDOR[[#This Row],[FECHA]])</f>
        <v>2026</v>
      </c>
      <c r="E79" s="285">
        <v>46038</v>
      </c>
      <c r="F79" s="283" t="s">
        <v>548</v>
      </c>
      <c r="G79" s="286">
        <v>10</v>
      </c>
      <c r="H79" s="286" t="s">
        <v>100</v>
      </c>
      <c r="I79" s="287" t="str">
        <f>VLOOKUP(BDsurtidor!$H79,$T$4:$W$18,2,FALSE)</f>
        <v>HIDROJET</v>
      </c>
      <c r="J79" s="287">
        <f>VLOOKUP(BDsurtidor!$H79,$T$4:$W$25,3,FALSE)</f>
        <v>1000</v>
      </c>
      <c r="K79" s="287">
        <f>VLOOKUP(BDsurtidor!$H79,$T$4:$W$25,4,FALSE)</f>
        <v>1</v>
      </c>
      <c r="L79" s="287">
        <f>VLOOKUP(BDsurtidor!$H79,$T$4:$X$25,5,FALSE)</f>
        <v>0</v>
      </c>
      <c r="M79" s="287" t="str">
        <f>VLOOKUP(BDsurtidor!$H79,$T$4:$Y$25,6,FALSE)</f>
        <v>EPS</v>
      </c>
      <c r="N79" s="287">
        <v>0</v>
      </c>
      <c r="O79" s="288">
        <v>0</v>
      </c>
      <c r="P79" s="289">
        <v>0.48819444444444443</v>
      </c>
      <c r="Q79" s="123" t="s">
        <v>574</v>
      </c>
      <c r="R79" s="39"/>
      <c r="S79" s="39"/>
    </row>
    <row r="80" spans="2:19" x14ac:dyDescent="0.25">
      <c r="B80">
        <f>WEEKNUM(BSURTIDOR[[#This Row],[FECHA]])</f>
        <v>3</v>
      </c>
      <c r="C80">
        <f>MONTH(BSURTIDOR[[#This Row],[FECHA]])</f>
        <v>1</v>
      </c>
      <c r="D80">
        <f>YEAR(BSURTIDOR[[#This Row],[FECHA]])</f>
        <v>2026</v>
      </c>
      <c r="E80" s="285">
        <v>46039</v>
      </c>
      <c r="F80" s="283" t="s">
        <v>548</v>
      </c>
      <c r="G80" s="286">
        <v>1</v>
      </c>
      <c r="H80" s="286" t="s">
        <v>99</v>
      </c>
      <c r="I80" s="287" t="str">
        <f>VLOOKUP(BDsurtidor!$H80,$T$4:$W$18,2,FALSE)</f>
        <v>CISTERNA</v>
      </c>
      <c r="J80" s="287">
        <f>VLOOKUP(BDsurtidor!$H80,$T$4:$W$25,3,FALSE)</f>
        <v>5000</v>
      </c>
      <c r="K80" s="287">
        <f>VLOOKUP(BDsurtidor!$H80,$T$4:$W$25,4,FALSE)</f>
        <v>17</v>
      </c>
      <c r="L80" s="287">
        <f>VLOOKUP(BDsurtidor!$H80,$T$4:$X$25,5,FALSE)</f>
        <v>0.4</v>
      </c>
      <c r="M80" s="287" t="str">
        <f>VLOOKUP(BDsurtidor!$H80,$T$4:$Y$25,6,FALSE)</f>
        <v>EPS</v>
      </c>
      <c r="N80" s="287">
        <v>0</v>
      </c>
      <c r="O80" s="288">
        <v>1.1499999999999999</v>
      </c>
      <c r="P80" s="289">
        <v>0.29652777777777778</v>
      </c>
      <c r="Q80" s="123" t="s">
        <v>574</v>
      </c>
      <c r="R80" s="39"/>
      <c r="S80" s="39"/>
    </row>
    <row r="81" spans="2:42" x14ac:dyDescent="0.25">
      <c r="B81">
        <f>WEEKNUM(BSURTIDOR[[#This Row],[FECHA]])</f>
        <v>3</v>
      </c>
      <c r="C81">
        <f>MONTH(BSURTIDOR[[#This Row],[FECHA]])</f>
        <v>1</v>
      </c>
      <c r="D81">
        <f>YEAR(BSURTIDOR[[#This Row],[FECHA]])</f>
        <v>2026</v>
      </c>
      <c r="E81" s="285">
        <v>46039</v>
      </c>
      <c r="F81" s="283" t="s">
        <v>548</v>
      </c>
      <c r="G81" s="286">
        <v>2</v>
      </c>
      <c r="H81" s="286" t="s">
        <v>89</v>
      </c>
      <c r="I81" s="287" t="str">
        <f>VLOOKUP(BDsurtidor!$H81,$T$4:$W$18,2,FALSE)</f>
        <v>CISTERNA</v>
      </c>
      <c r="J81" s="287">
        <f>VLOOKUP(BDsurtidor!$H81,$T$4:$W$25,3,FALSE)</f>
        <v>9000</v>
      </c>
      <c r="K81" s="287">
        <f>VLOOKUP(BDsurtidor!$H81,$T$4:$W$25,4,FALSE)</f>
        <v>34</v>
      </c>
      <c r="L81" s="287">
        <f>VLOOKUP(BDsurtidor!$H81,$T$4:$X$25,5,FALSE)</f>
        <v>0.45</v>
      </c>
      <c r="M81" s="287" t="str">
        <f>VLOOKUP(BDsurtidor!$H81,$T$4:$Y$25,6,FALSE)</f>
        <v>VIVIENDA</v>
      </c>
      <c r="N81" s="287">
        <v>0</v>
      </c>
      <c r="O81" s="288">
        <v>1.23</v>
      </c>
      <c r="P81" s="289">
        <v>0.30972222222222223</v>
      </c>
      <c r="Q81" s="123" t="s">
        <v>574</v>
      </c>
      <c r="R81" s="39"/>
      <c r="S81" s="39"/>
      <c r="AP81" s="85">
        <f>SUM(AB81:AN81)</f>
        <v>0</v>
      </c>
    </row>
    <row r="82" spans="2:42" x14ac:dyDescent="0.25">
      <c r="B82">
        <f>WEEKNUM(BSURTIDOR[[#This Row],[FECHA]])</f>
        <v>3</v>
      </c>
      <c r="C82">
        <f>MONTH(BSURTIDOR[[#This Row],[FECHA]])</f>
        <v>1</v>
      </c>
      <c r="D82">
        <f>YEAR(BSURTIDOR[[#This Row],[FECHA]])</f>
        <v>2026</v>
      </c>
      <c r="E82" s="285">
        <v>46039</v>
      </c>
      <c r="F82" s="283" t="s">
        <v>548</v>
      </c>
      <c r="G82" s="286">
        <v>3</v>
      </c>
      <c r="H82" s="286" t="s">
        <v>97</v>
      </c>
      <c r="I82" s="287" t="str">
        <f>VLOOKUP(BDsurtidor!$H82,$T$4:$W$18,2,FALSE)</f>
        <v>CISTERNA</v>
      </c>
      <c r="J82" s="287">
        <f>VLOOKUP(BDsurtidor!$H82,$T$4:$W$25,3,FALSE)</f>
        <v>5000</v>
      </c>
      <c r="K82" s="287">
        <f>VLOOKUP(BDsurtidor!$H82,$T$4:$W$25,4,FALSE)</f>
        <v>17</v>
      </c>
      <c r="L82" s="287">
        <f>VLOOKUP(BDsurtidor!$H82,$T$4:$X$25,5,FALSE)</f>
        <v>0.4</v>
      </c>
      <c r="M82" s="287" t="str">
        <f>VLOOKUP(BDsurtidor!$H82,$T$4:$Y$25,6,FALSE)</f>
        <v>EPS</v>
      </c>
      <c r="N82" s="287">
        <v>0</v>
      </c>
      <c r="O82" s="288">
        <v>1.1399999999999999</v>
      </c>
      <c r="P82" s="289">
        <v>0.31527777777777777</v>
      </c>
      <c r="Q82" s="123" t="s">
        <v>574</v>
      </c>
      <c r="R82" s="39"/>
      <c r="S82" s="39"/>
    </row>
    <row r="83" spans="2:42" x14ac:dyDescent="0.25">
      <c r="B83">
        <f>WEEKNUM(BSURTIDOR[[#This Row],[FECHA]])</f>
        <v>3</v>
      </c>
      <c r="C83">
        <f>MONTH(BSURTIDOR[[#This Row],[FECHA]])</f>
        <v>1</v>
      </c>
      <c r="D83">
        <f>YEAR(BSURTIDOR[[#This Row],[FECHA]])</f>
        <v>2026</v>
      </c>
      <c r="E83" s="285">
        <v>46039</v>
      </c>
      <c r="F83" s="283" t="s">
        <v>548</v>
      </c>
      <c r="G83" s="286">
        <v>4</v>
      </c>
      <c r="H83" s="286" t="s">
        <v>98</v>
      </c>
      <c r="I83" s="287" t="str">
        <f>VLOOKUP(BDsurtidor!$H83,$T$4:$W$18,2,FALSE)</f>
        <v>CISTERNA</v>
      </c>
      <c r="J83" s="287">
        <f>VLOOKUP(BDsurtidor!$H83,$T$4:$W$25,3,FALSE)</f>
        <v>9000</v>
      </c>
      <c r="K83" s="287">
        <f>VLOOKUP(BDsurtidor!$H83,$T$4:$W$25,4,FALSE)</f>
        <v>34</v>
      </c>
      <c r="L83" s="287">
        <f>VLOOKUP(BDsurtidor!$H83,$T$4:$X$25,5,FALSE)</f>
        <v>0.45</v>
      </c>
      <c r="M83" s="287" t="str">
        <f>VLOOKUP(BDsurtidor!$H83,$T$4:$Y$25,6,FALSE)</f>
        <v>VIVIENDA</v>
      </c>
      <c r="N83" s="287">
        <v>0</v>
      </c>
      <c r="O83" s="288">
        <v>1.1299999999999999</v>
      </c>
      <c r="P83" s="289">
        <v>0.3263888888888889</v>
      </c>
      <c r="Q83" s="123" t="s">
        <v>574</v>
      </c>
      <c r="R83" s="39"/>
      <c r="S83" s="39"/>
    </row>
    <row r="84" spans="2:42" x14ac:dyDescent="0.25">
      <c r="B84">
        <f>WEEKNUM(BSURTIDOR[[#This Row],[FECHA]])</f>
        <v>3</v>
      </c>
      <c r="C84">
        <f>MONTH(BSURTIDOR[[#This Row],[FECHA]])</f>
        <v>1</v>
      </c>
      <c r="D84">
        <f>YEAR(BSURTIDOR[[#This Row],[FECHA]])</f>
        <v>2026</v>
      </c>
      <c r="E84" s="285">
        <v>46039</v>
      </c>
      <c r="F84" s="283" t="s">
        <v>548</v>
      </c>
      <c r="G84" s="286">
        <v>5</v>
      </c>
      <c r="H84" s="286" t="s">
        <v>99</v>
      </c>
      <c r="I84" s="287" t="str">
        <f>VLOOKUP(BDsurtidor!$H84,$T$4:$W$18,2,FALSE)</f>
        <v>CISTERNA</v>
      </c>
      <c r="J84" s="290">
        <f>VLOOKUP(BDsurtidor!$H84,$T$4:$W$25,3,FALSE)</f>
        <v>5000</v>
      </c>
      <c r="K84" s="290">
        <f>VLOOKUP(BDsurtidor!$H84,$T$4:$W$25,4,FALSE)</f>
        <v>17</v>
      </c>
      <c r="L84" s="287">
        <f>VLOOKUP(BDsurtidor!$H84,$T$4:$X$25,5,FALSE)</f>
        <v>0.4</v>
      </c>
      <c r="M84" s="290" t="str">
        <f>VLOOKUP(BDsurtidor!$H84,$T$4:$Y$25,6,FALSE)</f>
        <v>EPS</v>
      </c>
      <c r="N84" s="290">
        <v>0</v>
      </c>
      <c r="O84" s="288">
        <v>1.22</v>
      </c>
      <c r="P84" s="289">
        <v>0.3972222222222222</v>
      </c>
      <c r="Q84" s="123" t="s">
        <v>574</v>
      </c>
      <c r="R84" s="39"/>
      <c r="S84" s="39"/>
    </row>
    <row r="85" spans="2:42" x14ac:dyDescent="0.25">
      <c r="B85">
        <f>WEEKNUM(BSURTIDOR[[#This Row],[FECHA]])</f>
        <v>3</v>
      </c>
      <c r="C85">
        <f>MONTH(BSURTIDOR[[#This Row],[FECHA]])</f>
        <v>1</v>
      </c>
      <c r="D85">
        <f>YEAR(BSURTIDOR[[#This Row],[FECHA]])</f>
        <v>2026</v>
      </c>
      <c r="E85" s="285">
        <v>46039</v>
      </c>
      <c r="F85" s="283" t="s">
        <v>548</v>
      </c>
      <c r="G85" s="286">
        <v>6</v>
      </c>
      <c r="H85" s="286" t="s">
        <v>89</v>
      </c>
      <c r="I85" s="287" t="str">
        <f>VLOOKUP(BDsurtidor!$H85,$T$4:$W$18,2,FALSE)</f>
        <v>CISTERNA</v>
      </c>
      <c r="J85" s="290">
        <f>VLOOKUP(BDsurtidor!$H85,$T$4:$W$25,3,FALSE)</f>
        <v>9000</v>
      </c>
      <c r="K85" s="290">
        <f>VLOOKUP(BDsurtidor!$H85,$T$4:$W$25,4,FALSE)</f>
        <v>34</v>
      </c>
      <c r="L85" s="287">
        <f>VLOOKUP(BDsurtidor!$H85,$T$4:$X$25,5,FALSE)</f>
        <v>0.45</v>
      </c>
      <c r="M85" s="290" t="str">
        <f>VLOOKUP(BDsurtidor!$H85,$T$4:$Y$25,6,FALSE)</f>
        <v>VIVIENDA</v>
      </c>
      <c r="N85" s="290">
        <v>0</v>
      </c>
      <c r="O85" s="288">
        <v>1.17</v>
      </c>
      <c r="P85" s="289">
        <v>0.44444444444444442</v>
      </c>
      <c r="Q85" s="123" t="s">
        <v>574</v>
      </c>
      <c r="R85" s="39"/>
      <c r="S85" s="39"/>
    </row>
    <row r="86" spans="2:42" x14ac:dyDescent="0.25">
      <c r="B86">
        <f>WEEKNUM(BSURTIDOR[[#This Row],[FECHA]])</f>
        <v>3</v>
      </c>
      <c r="C86">
        <f>MONTH(BSURTIDOR[[#This Row],[FECHA]])</f>
        <v>1</v>
      </c>
      <c r="D86">
        <f>YEAR(BSURTIDOR[[#This Row],[FECHA]])</f>
        <v>2026</v>
      </c>
      <c r="E86" s="285">
        <v>46039</v>
      </c>
      <c r="F86" s="283" t="s">
        <v>548</v>
      </c>
      <c r="G86" s="286">
        <v>7</v>
      </c>
      <c r="H86" s="286" t="s">
        <v>97</v>
      </c>
      <c r="I86" s="287" t="str">
        <f>VLOOKUP(BDsurtidor!$H86,$T$4:$W$18,2,FALSE)</f>
        <v>CISTERNA</v>
      </c>
      <c r="J86" s="290">
        <f>VLOOKUP(BDsurtidor!$H86,$T$4:$W$25,3,FALSE)</f>
        <v>5000</v>
      </c>
      <c r="K86" s="290">
        <f>VLOOKUP(BDsurtidor!$H86,$T$4:$W$25,4,FALSE)</f>
        <v>17</v>
      </c>
      <c r="L86" s="287">
        <f>VLOOKUP(BDsurtidor!$H86,$T$4:$X$25,5,FALSE)</f>
        <v>0.4</v>
      </c>
      <c r="M86" s="290" t="str">
        <f>VLOOKUP(BDsurtidor!$H86,$T$4:$Y$25,6,FALSE)</f>
        <v>EPS</v>
      </c>
      <c r="N86" s="290">
        <v>0</v>
      </c>
      <c r="O86" s="288">
        <v>1.1599999999999999</v>
      </c>
      <c r="P86" s="289">
        <v>0.46597222222222223</v>
      </c>
      <c r="Q86" s="123" t="s">
        <v>574</v>
      </c>
      <c r="R86" s="39"/>
      <c r="S86" s="39"/>
      <c r="AA86" s="37"/>
    </row>
    <row r="87" spans="2:42" x14ac:dyDescent="0.25">
      <c r="B87">
        <f>WEEKNUM(BSURTIDOR[[#This Row],[FECHA]])</f>
        <v>3</v>
      </c>
      <c r="C87">
        <f>MONTH(BSURTIDOR[[#This Row],[FECHA]])</f>
        <v>1</v>
      </c>
      <c r="D87">
        <f>YEAR(BSURTIDOR[[#This Row],[FECHA]])</f>
        <v>2026</v>
      </c>
      <c r="E87" s="285">
        <v>46039</v>
      </c>
      <c r="F87" s="283" t="s">
        <v>548</v>
      </c>
      <c r="G87" s="286">
        <v>8</v>
      </c>
      <c r="H87" s="286" t="s">
        <v>97</v>
      </c>
      <c r="I87" s="287" t="str">
        <f>VLOOKUP(BDsurtidor!$H87,$T$4:$W$18,2,FALSE)</f>
        <v>CISTERNA</v>
      </c>
      <c r="J87" s="290">
        <f>VLOOKUP(BDsurtidor!$H87,$T$4:$W$25,3,FALSE)</f>
        <v>5000</v>
      </c>
      <c r="K87" s="290">
        <f>VLOOKUP(BDsurtidor!$H87,$T$4:$W$25,4,FALSE)</f>
        <v>17</v>
      </c>
      <c r="L87" s="287">
        <f>VLOOKUP(BDsurtidor!$H87,$T$4:$X$25,5,FALSE)</f>
        <v>0.4</v>
      </c>
      <c r="M87" s="290" t="str">
        <f>VLOOKUP(BDsurtidor!$H87,$T$4:$Y$25,6,FALSE)</f>
        <v>EPS</v>
      </c>
      <c r="N87" s="290">
        <v>0</v>
      </c>
      <c r="O87" s="288">
        <v>1.18</v>
      </c>
      <c r="P87" s="289">
        <v>0.51597222222222228</v>
      </c>
      <c r="Q87" s="123" t="s">
        <v>574</v>
      </c>
      <c r="R87" s="39"/>
      <c r="S87" s="39"/>
      <c r="AA87" s="71" t="s">
        <v>451</v>
      </c>
      <c r="AB87" s="84">
        <v>2.0500000000000003</v>
      </c>
      <c r="AC87" s="84">
        <v>7.91</v>
      </c>
      <c r="AD87" s="84">
        <v>13.900000000000002</v>
      </c>
      <c r="AE87" s="84">
        <v>14.579999999999998</v>
      </c>
      <c r="AF87" s="84">
        <v>13.5</v>
      </c>
      <c r="AG87" s="84">
        <v>12.7</v>
      </c>
      <c r="AH87" s="84">
        <v>9.3000000000000007</v>
      </c>
      <c r="AI87" s="84">
        <v>5.9300000000000006</v>
      </c>
      <c r="AJ87" s="84">
        <v>4.8500000000000005</v>
      </c>
      <c r="AK87" s="84">
        <v>4.5500000000000007</v>
      </c>
    </row>
    <row r="88" spans="2:42" x14ac:dyDescent="0.25">
      <c r="B88">
        <f>WEEKNUM(BSURTIDOR[[#This Row],[FECHA]])</f>
        <v>3</v>
      </c>
      <c r="C88">
        <f>MONTH(BSURTIDOR[[#This Row],[FECHA]])</f>
        <v>1</v>
      </c>
      <c r="D88">
        <f>YEAR(BSURTIDOR[[#This Row],[FECHA]])</f>
        <v>2026</v>
      </c>
      <c r="E88" s="285">
        <v>46039</v>
      </c>
      <c r="F88" s="283" t="s">
        <v>548</v>
      </c>
      <c r="G88" s="286">
        <v>9</v>
      </c>
      <c r="H88" s="286" t="s">
        <v>99</v>
      </c>
      <c r="I88" s="287" t="str">
        <f>VLOOKUP(BDsurtidor!$H88,$T$4:$W$18,2,FALSE)</f>
        <v>CISTERNA</v>
      </c>
      <c r="J88" s="290">
        <f>VLOOKUP(BDsurtidor!$H88,$T$4:$W$25,3,FALSE)</f>
        <v>5000</v>
      </c>
      <c r="K88" s="290">
        <f>VLOOKUP(BDsurtidor!$H88,$T$4:$W$25,4,FALSE)</f>
        <v>17</v>
      </c>
      <c r="L88" s="287">
        <f>VLOOKUP(BDsurtidor!$H88,$T$4:$X$25,5,FALSE)</f>
        <v>0.4</v>
      </c>
      <c r="M88" s="290" t="str">
        <f>VLOOKUP(BDsurtidor!$H88,$T$4:$Y$25,6,FALSE)</f>
        <v>EPS</v>
      </c>
      <c r="N88" s="290">
        <v>0</v>
      </c>
      <c r="O88" s="288">
        <v>1.17</v>
      </c>
      <c r="P88" s="289">
        <v>0.54027777777777775</v>
      </c>
      <c r="Q88" s="123" t="s">
        <v>574</v>
      </c>
      <c r="R88" s="39"/>
      <c r="S88" s="39"/>
      <c r="AA88" s="78">
        <f>6012.5037/1000*1.18</f>
        <v>7.0947543659999992</v>
      </c>
      <c r="AB88" s="77">
        <f t="shared" ref="AB88:AK88" si="0">+$AA$88*AB87</f>
        <v>14.544246450300001</v>
      </c>
      <c r="AC88" s="77">
        <f t="shared" si="0"/>
        <v>56.119507035059996</v>
      </c>
      <c r="AD88" s="77">
        <f t="shared" si="0"/>
        <v>98.617085687400007</v>
      </c>
      <c r="AE88" s="77">
        <f t="shared" si="0"/>
        <v>103.44151865627998</v>
      </c>
      <c r="AF88" s="77">
        <f t="shared" si="0"/>
        <v>95.779183940999985</v>
      </c>
      <c r="AG88" s="77">
        <f t="shared" si="0"/>
        <v>90.103380448199985</v>
      </c>
      <c r="AH88" s="77">
        <f t="shared" si="0"/>
        <v>65.981215603799996</v>
      </c>
      <c r="AI88" s="77">
        <f t="shared" si="0"/>
        <v>42.071893390379998</v>
      </c>
      <c r="AJ88" s="77">
        <f t="shared" si="0"/>
        <v>34.409558675100001</v>
      </c>
      <c r="AK88" s="77">
        <f t="shared" si="0"/>
        <v>32.281132365300003</v>
      </c>
    </row>
    <row r="89" spans="2:42" x14ac:dyDescent="0.25">
      <c r="B89">
        <f>WEEKNUM(BSURTIDOR[[#This Row],[FECHA]])</f>
        <v>3</v>
      </c>
      <c r="C89">
        <f>MONTH(BSURTIDOR[[#This Row],[FECHA]])</f>
        <v>1</v>
      </c>
      <c r="D89">
        <f>YEAR(BSURTIDOR[[#This Row],[FECHA]])</f>
        <v>2026</v>
      </c>
      <c r="E89" s="285">
        <v>46039</v>
      </c>
      <c r="F89" s="283" t="s">
        <v>548</v>
      </c>
      <c r="G89" s="286">
        <v>10</v>
      </c>
      <c r="H89" s="286" t="s">
        <v>98</v>
      </c>
      <c r="I89" s="287" t="str">
        <f>VLOOKUP(BDsurtidor!$H89,$T$4:$W$18,2,FALSE)</f>
        <v>CISTERNA</v>
      </c>
      <c r="J89" s="290">
        <f>VLOOKUP(BDsurtidor!$H89,$T$4:$W$25,3,FALSE)</f>
        <v>9000</v>
      </c>
      <c r="K89" s="290">
        <f>VLOOKUP(BDsurtidor!$H89,$T$4:$W$25,4,FALSE)</f>
        <v>34</v>
      </c>
      <c r="L89" s="287">
        <f>VLOOKUP(BDsurtidor!$H89,$T$4:$X$25,5,FALSE)</f>
        <v>0.45</v>
      </c>
      <c r="M89" s="290" t="str">
        <f>VLOOKUP(BDsurtidor!$H89,$T$4:$Y$25,6,FALSE)</f>
        <v>VIVIENDA</v>
      </c>
      <c r="N89" s="290">
        <v>0</v>
      </c>
      <c r="O89" s="288">
        <v>1.21</v>
      </c>
      <c r="P89" s="289">
        <v>0.55347222222222225</v>
      </c>
      <c r="Q89" s="123" t="s">
        <v>574</v>
      </c>
      <c r="R89" s="39"/>
      <c r="S89" s="39"/>
    </row>
    <row r="90" spans="2:42" x14ac:dyDescent="0.25">
      <c r="B90">
        <f>WEEKNUM(BSURTIDOR[[#This Row],[FECHA]])</f>
        <v>3</v>
      </c>
      <c r="C90">
        <f>MONTH(BSURTIDOR[[#This Row],[FECHA]])</f>
        <v>1</v>
      </c>
      <c r="D90">
        <f>YEAR(BSURTIDOR[[#This Row],[FECHA]])</f>
        <v>2026</v>
      </c>
      <c r="E90" s="285">
        <v>46039</v>
      </c>
      <c r="F90" s="283" t="s">
        <v>548</v>
      </c>
      <c r="G90" s="286">
        <v>11</v>
      </c>
      <c r="H90" s="286" t="s">
        <v>89</v>
      </c>
      <c r="I90" s="287" t="str">
        <f>VLOOKUP(BDsurtidor!$H90,$T$4:$W$18,2,FALSE)</f>
        <v>CISTERNA</v>
      </c>
      <c r="J90" s="290">
        <f>VLOOKUP(BDsurtidor!$H90,$T$4:$W$25,3,FALSE)</f>
        <v>9000</v>
      </c>
      <c r="K90" s="290">
        <f>VLOOKUP(BDsurtidor!$H90,$T$4:$W$25,4,FALSE)</f>
        <v>34</v>
      </c>
      <c r="L90" s="287">
        <f>VLOOKUP(BDsurtidor!$H90,$T$4:$X$25,5,FALSE)</f>
        <v>0.45</v>
      </c>
      <c r="M90" s="290" t="str">
        <f>VLOOKUP(BDsurtidor!$H90,$T$4:$Y$25,6,FALSE)</f>
        <v>VIVIENDA</v>
      </c>
      <c r="N90" s="290">
        <v>0</v>
      </c>
      <c r="O90" s="288">
        <v>1.22</v>
      </c>
      <c r="P90" s="289">
        <v>0.56597222222222221</v>
      </c>
      <c r="Q90" s="123" t="s">
        <v>574</v>
      </c>
      <c r="R90" s="39"/>
      <c r="S90" s="39"/>
    </row>
    <row r="91" spans="2:42" x14ac:dyDescent="0.25">
      <c r="B91">
        <f>WEEKNUM(BSURTIDOR[[#This Row],[FECHA]])</f>
        <v>4</v>
      </c>
      <c r="C91">
        <f>MONTH(BSURTIDOR[[#This Row],[FECHA]])</f>
        <v>1</v>
      </c>
      <c r="D91">
        <f>YEAR(BSURTIDOR[[#This Row],[FECHA]])</f>
        <v>2026</v>
      </c>
      <c r="E91" s="124">
        <v>46040</v>
      </c>
      <c r="F91" s="283" t="s">
        <v>548</v>
      </c>
      <c r="G91" s="123">
        <v>1</v>
      </c>
      <c r="H91" s="123" t="s">
        <v>97</v>
      </c>
      <c r="I91" s="101" t="str">
        <f>VLOOKUP(BDsurtidor!$H91,$T$4:$W$18,2,FALSE)</f>
        <v>CISTERNA</v>
      </c>
      <c r="J91" s="101">
        <f>VLOOKUP(BDsurtidor!$H91,$T$4:$W$25,3,FALSE)</f>
        <v>5000</v>
      </c>
      <c r="K91" s="101">
        <f>VLOOKUP(BDsurtidor!$H91,$T$4:$W$25,4,FALSE)</f>
        <v>17</v>
      </c>
      <c r="L91" s="101">
        <f>VLOOKUP(BDsurtidor!$H91,$T$4:$X$25,5,FALSE)</f>
        <v>0.4</v>
      </c>
      <c r="M91" s="101" t="str">
        <f>VLOOKUP(BDsurtidor!$H91,$T$4:$Y$25,6,FALSE)</f>
        <v>EPS</v>
      </c>
      <c r="N91" s="101">
        <v>0</v>
      </c>
      <c r="O91" s="125">
        <v>1.08</v>
      </c>
      <c r="P91" s="126">
        <v>0.30277777777777776</v>
      </c>
      <c r="Q91" s="123" t="s">
        <v>574</v>
      </c>
      <c r="R91" s="39"/>
      <c r="S91" s="39"/>
    </row>
    <row r="92" spans="2:42" x14ac:dyDescent="0.25">
      <c r="B92">
        <f>WEEKNUM(BSURTIDOR[[#This Row],[FECHA]])</f>
        <v>4</v>
      </c>
      <c r="C92">
        <f>MONTH(BSURTIDOR[[#This Row],[FECHA]])</f>
        <v>1</v>
      </c>
      <c r="D92">
        <f>YEAR(BSURTIDOR[[#This Row],[FECHA]])</f>
        <v>2026</v>
      </c>
      <c r="E92" s="124">
        <v>46040</v>
      </c>
      <c r="F92" s="283" t="s">
        <v>548</v>
      </c>
      <c r="G92" s="123">
        <v>2</v>
      </c>
      <c r="H92" s="123" t="s">
        <v>99</v>
      </c>
      <c r="I92" s="101" t="str">
        <f>VLOOKUP(BDsurtidor!$H92,$T$4:$W$18,2,FALSE)</f>
        <v>CISTERNA</v>
      </c>
      <c r="J92" s="101">
        <f>VLOOKUP(BDsurtidor!$H92,$T$4:$W$25,3,FALSE)</f>
        <v>5000</v>
      </c>
      <c r="K92" s="101">
        <f>VLOOKUP(BDsurtidor!$H92,$T$4:$W$25,4,FALSE)</f>
        <v>17</v>
      </c>
      <c r="L92" s="101">
        <f>VLOOKUP(BDsurtidor!$H92,$T$4:$X$25,5,FALSE)</f>
        <v>0.4</v>
      </c>
      <c r="M92" s="101" t="str">
        <f>VLOOKUP(BDsurtidor!$H92,$T$4:$Y$25,6,FALSE)</f>
        <v>EPS</v>
      </c>
      <c r="N92" s="101">
        <v>0</v>
      </c>
      <c r="O92" s="125">
        <v>1.06</v>
      </c>
      <c r="P92" s="126">
        <v>0.31111111111111112</v>
      </c>
      <c r="Q92" s="123" t="s">
        <v>574</v>
      </c>
      <c r="R92" s="39"/>
      <c r="S92" s="39"/>
    </row>
    <row r="93" spans="2:42" x14ac:dyDescent="0.25">
      <c r="B93">
        <f>WEEKNUM(BSURTIDOR[[#This Row],[FECHA]])</f>
        <v>4</v>
      </c>
      <c r="C93">
        <f>MONTH(BSURTIDOR[[#This Row],[FECHA]])</f>
        <v>1</v>
      </c>
      <c r="D93">
        <f>YEAR(BSURTIDOR[[#This Row],[FECHA]])</f>
        <v>2026</v>
      </c>
      <c r="E93" s="124">
        <v>46040</v>
      </c>
      <c r="F93" s="283" t="s">
        <v>548</v>
      </c>
      <c r="G93" s="123">
        <v>3</v>
      </c>
      <c r="H93" s="123" t="s">
        <v>98</v>
      </c>
      <c r="I93" s="101" t="str">
        <f>VLOOKUP(BDsurtidor!$H93,$T$4:$W$18,2,FALSE)</f>
        <v>CISTERNA</v>
      </c>
      <c r="J93" s="101">
        <f>VLOOKUP(BDsurtidor!$H93,$T$4:$W$25,3,FALSE)</f>
        <v>9000</v>
      </c>
      <c r="K93" s="101">
        <f>VLOOKUP(BDsurtidor!$H93,$T$4:$W$25,4,FALSE)</f>
        <v>34</v>
      </c>
      <c r="L93" s="101">
        <f>VLOOKUP(BDsurtidor!$H93,$T$4:$X$25,5,FALSE)</f>
        <v>0.45</v>
      </c>
      <c r="M93" s="101" t="str">
        <f>VLOOKUP(BDsurtidor!$H93,$T$4:$Y$25,6,FALSE)</f>
        <v>VIVIENDA</v>
      </c>
      <c r="N93" s="101">
        <v>0</v>
      </c>
      <c r="O93" s="125">
        <v>1.1399999999999999</v>
      </c>
      <c r="P93" s="126">
        <v>0.32083333333333336</v>
      </c>
      <c r="Q93" s="123" t="s">
        <v>574</v>
      </c>
      <c r="R93" s="39"/>
      <c r="S93" s="39"/>
    </row>
    <row r="94" spans="2:42" x14ac:dyDescent="0.25">
      <c r="B94">
        <f>WEEKNUM(BSURTIDOR[[#This Row],[FECHA]])</f>
        <v>4</v>
      </c>
      <c r="C94">
        <f>MONTH(BSURTIDOR[[#This Row],[FECHA]])</f>
        <v>1</v>
      </c>
      <c r="D94">
        <f>YEAR(BSURTIDOR[[#This Row],[FECHA]])</f>
        <v>2026</v>
      </c>
      <c r="E94" s="124">
        <v>46040</v>
      </c>
      <c r="F94" s="283" t="s">
        <v>548</v>
      </c>
      <c r="G94" s="123">
        <v>4</v>
      </c>
      <c r="H94" s="123" t="s">
        <v>97</v>
      </c>
      <c r="I94" s="101" t="str">
        <f>VLOOKUP(BDsurtidor!$H94,$T$4:$W$18,2,FALSE)</f>
        <v>CISTERNA</v>
      </c>
      <c r="J94" s="101">
        <f>VLOOKUP(BDsurtidor!$H94,$T$4:$W$25,3,FALSE)</f>
        <v>5000</v>
      </c>
      <c r="K94" s="101">
        <f>VLOOKUP(BDsurtidor!$H94,$T$4:$W$25,4,FALSE)</f>
        <v>17</v>
      </c>
      <c r="L94" s="101">
        <f>VLOOKUP(BDsurtidor!$H94,$T$4:$X$25,5,FALSE)</f>
        <v>0.4</v>
      </c>
      <c r="M94" s="101" t="str">
        <f>VLOOKUP(BDsurtidor!$H94,$T$4:$Y$25,6,FALSE)</f>
        <v>EPS</v>
      </c>
      <c r="N94" s="101">
        <v>0</v>
      </c>
      <c r="O94" s="125">
        <v>1.17</v>
      </c>
      <c r="P94" s="126">
        <v>0.40416666666666667</v>
      </c>
      <c r="Q94" s="123" t="s">
        <v>574</v>
      </c>
      <c r="R94" s="39"/>
      <c r="S94" s="39"/>
    </row>
    <row r="95" spans="2:42" x14ac:dyDescent="0.25">
      <c r="B95">
        <f>WEEKNUM(BSURTIDOR[[#This Row],[FECHA]])</f>
        <v>4</v>
      </c>
      <c r="C95">
        <f>MONTH(BSURTIDOR[[#This Row],[FECHA]])</f>
        <v>1</v>
      </c>
      <c r="D95">
        <f>YEAR(BSURTIDOR[[#This Row],[FECHA]])</f>
        <v>2026</v>
      </c>
      <c r="E95" s="124">
        <v>46040</v>
      </c>
      <c r="F95" s="283" t="s">
        <v>548</v>
      </c>
      <c r="G95" s="119">
        <v>5</v>
      </c>
      <c r="H95" s="123" t="s">
        <v>99</v>
      </c>
      <c r="I95" s="101" t="str">
        <f>VLOOKUP(BDsurtidor!$H95,$T$4:$W$18,2,FALSE)</f>
        <v>CISTERNA</v>
      </c>
      <c r="J95" s="101">
        <f>VLOOKUP(BDsurtidor!$H95,$T$4:$W$25,3,FALSE)</f>
        <v>5000</v>
      </c>
      <c r="K95" s="101">
        <f>VLOOKUP(BDsurtidor!$H95,$T$4:$W$25,4,FALSE)</f>
        <v>17</v>
      </c>
      <c r="L95" s="101">
        <f>VLOOKUP(BDsurtidor!$H95,$T$4:$X$25,5,FALSE)</f>
        <v>0.4</v>
      </c>
      <c r="M95" s="101" t="str">
        <f>VLOOKUP(BDsurtidor!$H95,$T$4:$Y$25,6,FALSE)</f>
        <v>EPS</v>
      </c>
      <c r="N95" s="101">
        <v>0</v>
      </c>
      <c r="O95" s="125">
        <v>1.1200000000000001</v>
      </c>
      <c r="P95" s="126">
        <v>0.4513888888888889</v>
      </c>
      <c r="Q95" s="123" t="s">
        <v>574</v>
      </c>
      <c r="R95" s="39"/>
      <c r="S95" s="39"/>
    </row>
    <row r="96" spans="2:42" x14ac:dyDescent="0.25">
      <c r="B96">
        <f>WEEKNUM(BSURTIDOR[[#This Row],[FECHA]])</f>
        <v>4</v>
      </c>
      <c r="C96">
        <f>MONTH(BSURTIDOR[[#This Row],[FECHA]])</f>
        <v>1</v>
      </c>
      <c r="D96">
        <f>YEAR(BSURTIDOR[[#This Row],[FECHA]])</f>
        <v>2026</v>
      </c>
      <c r="E96" s="124">
        <v>46041</v>
      </c>
      <c r="F96" s="283" t="s">
        <v>548</v>
      </c>
      <c r="G96" s="123">
        <v>1</v>
      </c>
      <c r="H96" s="123" t="s">
        <v>99</v>
      </c>
      <c r="I96" s="101" t="str">
        <f>VLOOKUP(BDsurtidor!$H96,$T$4:$W$18,2,FALSE)</f>
        <v>CISTERNA</v>
      </c>
      <c r="J96" s="101">
        <f>VLOOKUP(BDsurtidor!$H96,$T$4:$W$25,3,FALSE)</f>
        <v>5000</v>
      </c>
      <c r="K96" s="101">
        <f>VLOOKUP(BDsurtidor!$H96,$T$4:$W$25,4,FALSE)</f>
        <v>17</v>
      </c>
      <c r="L96" s="101">
        <f>VLOOKUP(BDsurtidor!$H96,$T$4:$X$25,5,FALSE)</f>
        <v>0.4</v>
      </c>
      <c r="M96" s="101" t="str">
        <f>VLOOKUP(BDsurtidor!$H96,$T$4:$Y$25,6,FALSE)</f>
        <v>EPS</v>
      </c>
      <c r="N96" s="101">
        <v>0</v>
      </c>
      <c r="O96" s="125">
        <v>1.1299999999999999</v>
      </c>
      <c r="P96" s="126">
        <v>0.30555555555555558</v>
      </c>
      <c r="Q96" s="123" t="s">
        <v>574</v>
      </c>
      <c r="R96" s="39"/>
      <c r="S96" s="39"/>
    </row>
    <row r="97" spans="2:19" x14ac:dyDescent="0.25">
      <c r="B97">
        <f>WEEKNUM(BSURTIDOR[[#This Row],[FECHA]])</f>
        <v>4</v>
      </c>
      <c r="C97">
        <f>MONTH(BSURTIDOR[[#This Row],[FECHA]])</f>
        <v>1</v>
      </c>
      <c r="D97">
        <f>YEAR(BSURTIDOR[[#This Row],[FECHA]])</f>
        <v>2026</v>
      </c>
      <c r="E97" s="124">
        <v>46041</v>
      </c>
      <c r="F97" s="283" t="s">
        <v>548</v>
      </c>
      <c r="G97" s="123">
        <v>2</v>
      </c>
      <c r="H97" s="123" t="s">
        <v>89</v>
      </c>
      <c r="I97" s="101" t="str">
        <f>VLOOKUP(BDsurtidor!$H97,$T$4:$W$18,2,FALSE)</f>
        <v>CISTERNA</v>
      </c>
      <c r="J97" s="101">
        <f>VLOOKUP(BDsurtidor!$H97,$T$4:$W$25,3,FALSE)</f>
        <v>9000</v>
      </c>
      <c r="K97" s="101">
        <f>VLOOKUP(BDsurtidor!$H97,$T$4:$W$25,4,FALSE)</f>
        <v>34</v>
      </c>
      <c r="L97" s="101">
        <f>VLOOKUP(BDsurtidor!$H97,$T$4:$X$25,5,FALSE)</f>
        <v>0.45</v>
      </c>
      <c r="M97" s="101" t="str">
        <f>VLOOKUP(BDsurtidor!$H97,$T$4:$Y$25,6,FALSE)</f>
        <v>VIVIENDA</v>
      </c>
      <c r="N97" s="101">
        <v>0</v>
      </c>
      <c r="O97" s="125">
        <v>1.0900000000000001</v>
      </c>
      <c r="P97" s="126">
        <v>0.31388888888888888</v>
      </c>
      <c r="Q97" s="123" t="s">
        <v>574</v>
      </c>
      <c r="R97" s="39"/>
      <c r="S97" s="39"/>
    </row>
    <row r="98" spans="2:19" x14ac:dyDescent="0.25">
      <c r="B98">
        <f>WEEKNUM(BSURTIDOR[[#This Row],[FECHA]])</f>
        <v>4</v>
      </c>
      <c r="C98">
        <f>MONTH(BSURTIDOR[[#This Row],[FECHA]])</f>
        <v>1</v>
      </c>
      <c r="D98">
        <f>YEAR(BSURTIDOR[[#This Row],[FECHA]])</f>
        <v>2026</v>
      </c>
      <c r="E98" s="124">
        <v>46041</v>
      </c>
      <c r="F98" s="283" t="s">
        <v>548</v>
      </c>
      <c r="G98" s="123">
        <v>3</v>
      </c>
      <c r="H98" s="123" t="s">
        <v>558</v>
      </c>
      <c r="I98" s="101" t="str">
        <f>VLOOKUP(BDsurtidor!$H98,$T$4:$W$18,2,FALSE)</f>
        <v>HIDROJET</v>
      </c>
      <c r="J98" s="101">
        <f>VLOOKUP(BDsurtidor!$H98,$T$4:$W$25,3,FALSE)</f>
        <v>1000</v>
      </c>
      <c r="K98" s="101">
        <f>VLOOKUP(BDsurtidor!$H98,$T$4:$W$25,4,FALSE)</f>
        <v>1</v>
      </c>
      <c r="L98" s="101">
        <f>VLOOKUP(BDsurtidor!$H98,$T$4:$X$25,5,FALSE)</f>
        <v>0</v>
      </c>
      <c r="M98" s="101" t="str">
        <f>VLOOKUP(BDsurtidor!$H98,$T$4:$Y$25,6,FALSE)</f>
        <v>EPS</v>
      </c>
      <c r="N98" s="101">
        <v>0</v>
      </c>
      <c r="O98" s="125">
        <v>0</v>
      </c>
      <c r="P98" s="126">
        <v>0.32083333333333336</v>
      </c>
      <c r="Q98" s="123" t="s">
        <v>574</v>
      </c>
      <c r="R98" s="39"/>
      <c r="S98" s="39"/>
    </row>
    <row r="99" spans="2:19" x14ac:dyDescent="0.25">
      <c r="B99">
        <f>WEEKNUM(BSURTIDOR[[#This Row],[FECHA]])</f>
        <v>4</v>
      </c>
      <c r="C99">
        <f>MONTH(BSURTIDOR[[#This Row],[FECHA]])</f>
        <v>1</v>
      </c>
      <c r="D99">
        <f>YEAR(BSURTIDOR[[#This Row],[FECHA]])</f>
        <v>2026</v>
      </c>
      <c r="E99" s="124">
        <v>46041</v>
      </c>
      <c r="F99" s="283" t="s">
        <v>548</v>
      </c>
      <c r="G99" s="123">
        <v>4</v>
      </c>
      <c r="H99" s="123" t="s">
        <v>100</v>
      </c>
      <c r="I99" s="101" t="str">
        <f>VLOOKUP(BDsurtidor!$H99,$T$4:$W$18,2,FALSE)</f>
        <v>HIDROJET</v>
      </c>
      <c r="J99" s="101">
        <f>VLOOKUP(BDsurtidor!$H99,$T$4:$W$25,3,FALSE)</f>
        <v>1000</v>
      </c>
      <c r="K99" s="101">
        <f>VLOOKUP(BDsurtidor!$H99,$T$4:$W$25,4,FALSE)</f>
        <v>1</v>
      </c>
      <c r="L99" s="101">
        <f>VLOOKUP(BDsurtidor!$H99,$T$4:$X$25,5,FALSE)</f>
        <v>0</v>
      </c>
      <c r="M99" s="101" t="str">
        <f>VLOOKUP(BDsurtidor!$H99,$T$4:$Y$25,6,FALSE)</f>
        <v>EPS</v>
      </c>
      <c r="N99" s="101">
        <v>0</v>
      </c>
      <c r="O99" s="125">
        <v>0</v>
      </c>
      <c r="P99" s="126">
        <v>0.33124999999999999</v>
      </c>
      <c r="Q99" s="123" t="s">
        <v>574</v>
      </c>
      <c r="R99" s="39"/>
      <c r="S99" s="39"/>
    </row>
    <row r="100" spans="2:19" x14ac:dyDescent="0.25">
      <c r="B100">
        <f>WEEKNUM(BSURTIDOR[[#This Row],[FECHA]])</f>
        <v>4</v>
      </c>
      <c r="C100">
        <f>MONTH(BSURTIDOR[[#This Row],[FECHA]])</f>
        <v>1</v>
      </c>
      <c r="D100">
        <f>YEAR(BSURTIDOR[[#This Row],[FECHA]])</f>
        <v>2026</v>
      </c>
      <c r="E100" s="124">
        <v>46041</v>
      </c>
      <c r="F100" s="283" t="s">
        <v>548</v>
      </c>
      <c r="G100" s="123">
        <v>5</v>
      </c>
      <c r="H100" s="123" t="s">
        <v>98</v>
      </c>
      <c r="I100" s="101" t="str">
        <f>VLOOKUP(BDsurtidor!$H100,$T$4:$W$18,2,FALSE)</f>
        <v>CISTERNA</v>
      </c>
      <c r="J100" s="101">
        <f>VLOOKUP(BDsurtidor!$H100,$T$4:$W$25,3,FALSE)</f>
        <v>9000</v>
      </c>
      <c r="K100" s="101">
        <f>VLOOKUP(BDsurtidor!$H100,$T$4:$W$25,4,FALSE)</f>
        <v>34</v>
      </c>
      <c r="L100" s="101">
        <f>VLOOKUP(BDsurtidor!$H100,$T$4:$X$25,5,FALSE)</f>
        <v>0.45</v>
      </c>
      <c r="M100" s="101" t="str">
        <f>VLOOKUP(BDsurtidor!$H100,$T$4:$Y$25,6,FALSE)</f>
        <v>VIVIENDA</v>
      </c>
      <c r="N100" s="101">
        <v>0</v>
      </c>
      <c r="O100" s="125">
        <v>1.07</v>
      </c>
      <c r="P100" s="126">
        <v>0.34166666666666667</v>
      </c>
      <c r="Q100" s="123" t="s">
        <v>574</v>
      </c>
      <c r="R100" s="39"/>
      <c r="S100" s="39"/>
    </row>
    <row r="101" spans="2:19" x14ac:dyDescent="0.25">
      <c r="B101">
        <f>WEEKNUM(BSURTIDOR[[#This Row],[FECHA]])</f>
        <v>4</v>
      </c>
      <c r="C101">
        <f>MONTH(BSURTIDOR[[#This Row],[FECHA]])</f>
        <v>1</v>
      </c>
      <c r="D101">
        <f>YEAR(BSURTIDOR[[#This Row],[FECHA]])</f>
        <v>2026</v>
      </c>
      <c r="E101" s="124">
        <v>46041</v>
      </c>
      <c r="F101" s="283" t="s">
        <v>548</v>
      </c>
      <c r="G101" s="123">
        <v>6</v>
      </c>
      <c r="H101" s="123" t="s">
        <v>97</v>
      </c>
      <c r="I101" s="101" t="str">
        <f>VLOOKUP(BDsurtidor!$H101,$T$4:$W$18,2,FALSE)</f>
        <v>CISTERNA</v>
      </c>
      <c r="J101" s="39">
        <f>VLOOKUP(BDsurtidor!$H101,$T$4:$W$25,3,FALSE)</f>
        <v>5000</v>
      </c>
      <c r="K101" s="39">
        <f>VLOOKUP(BDsurtidor!$H101,$T$4:$W$25,4,FALSE)</f>
        <v>17</v>
      </c>
      <c r="L101" s="101">
        <f>VLOOKUP(BDsurtidor!$H101,$T$4:$X$25,5,FALSE)</f>
        <v>0.4</v>
      </c>
      <c r="M101" s="39" t="str">
        <f>VLOOKUP(BDsurtidor!$H101,$T$4:$Y$25,6,FALSE)</f>
        <v>EPS</v>
      </c>
      <c r="N101" s="39">
        <v>0</v>
      </c>
      <c r="O101" s="125">
        <v>1.1299999999999999</v>
      </c>
      <c r="P101" s="126">
        <v>0.35486111111111113</v>
      </c>
      <c r="Q101" s="123" t="s">
        <v>574</v>
      </c>
      <c r="R101" s="39"/>
      <c r="S101" s="39"/>
    </row>
    <row r="102" spans="2:19" x14ac:dyDescent="0.25">
      <c r="B102">
        <f>WEEKNUM(BSURTIDOR[[#This Row],[FECHA]])</f>
        <v>4</v>
      </c>
      <c r="C102">
        <f>MONTH(BSURTIDOR[[#This Row],[FECHA]])</f>
        <v>1</v>
      </c>
      <c r="D102">
        <f>YEAR(BSURTIDOR[[#This Row],[FECHA]])</f>
        <v>2026</v>
      </c>
      <c r="E102" s="124">
        <v>46041</v>
      </c>
      <c r="F102" s="283" t="s">
        <v>548</v>
      </c>
      <c r="G102" s="123">
        <v>7</v>
      </c>
      <c r="H102" s="123" t="s">
        <v>558</v>
      </c>
      <c r="I102" s="101" t="str">
        <f>VLOOKUP(BDsurtidor!$H102,$T$4:$W$18,2,FALSE)</f>
        <v>HIDROJET</v>
      </c>
      <c r="J102" s="39">
        <f>VLOOKUP(BDsurtidor!$H102,$T$4:$W$25,3,FALSE)</f>
        <v>1000</v>
      </c>
      <c r="K102" s="39">
        <f>VLOOKUP(BDsurtidor!$H102,$T$4:$W$25,4,FALSE)</f>
        <v>1</v>
      </c>
      <c r="L102" s="101">
        <f>VLOOKUP(BDsurtidor!$H102,$T$4:$X$25,5,FALSE)</f>
        <v>0</v>
      </c>
      <c r="M102" s="39" t="str">
        <f>VLOOKUP(BDsurtidor!$H102,$T$4:$Y$25,6,FALSE)</f>
        <v>EPS</v>
      </c>
      <c r="N102" s="39">
        <v>0</v>
      </c>
      <c r="O102" s="125">
        <v>0</v>
      </c>
      <c r="P102" s="126">
        <v>0.44444444444444442</v>
      </c>
      <c r="Q102" s="123" t="s">
        <v>574</v>
      </c>
      <c r="R102" s="39"/>
      <c r="S102" s="39"/>
    </row>
    <row r="103" spans="2:19" x14ac:dyDescent="0.25">
      <c r="B103">
        <f>WEEKNUM(BSURTIDOR[[#This Row],[FECHA]])</f>
        <v>4</v>
      </c>
      <c r="C103">
        <f>MONTH(BSURTIDOR[[#This Row],[FECHA]])</f>
        <v>1</v>
      </c>
      <c r="D103">
        <f>YEAR(BSURTIDOR[[#This Row],[FECHA]])</f>
        <v>2026</v>
      </c>
      <c r="E103" s="124">
        <v>46041</v>
      </c>
      <c r="F103" s="283" t="s">
        <v>548</v>
      </c>
      <c r="G103" s="123">
        <v>8</v>
      </c>
      <c r="H103" s="123" t="s">
        <v>97</v>
      </c>
      <c r="I103" s="101" t="str">
        <f>VLOOKUP(BDsurtidor!$H103,$T$4:$W$18,2,FALSE)</f>
        <v>CISTERNA</v>
      </c>
      <c r="J103" s="39">
        <f>VLOOKUP(BDsurtidor!$H103,$T$4:$W$25,3,FALSE)</f>
        <v>5000</v>
      </c>
      <c r="K103" s="39">
        <f>VLOOKUP(BDsurtidor!$H103,$T$4:$W$25,4,FALSE)</f>
        <v>17</v>
      </c>
      <c r="L103" s="101">
        <f>VLOOKUP(BDsurtidor!$H103,$T$4:$X$25,5,FALSE)</f>
        <v>0.4</v>
      </c>
      <c r="M103" s="39" t="str">
        <f>VLOOKUP(BDsurtidor!$H103,$T$4:$Y$25,6,FALSE)</f>
        <v>EPS</v>
      </c>
      <c r="N103" s="39">
        <v>0</v>
      </c>
      <c r="O103" s="125">
        <v>1.1599999999999999</v>
      </c>
      <c r="P103" s="126">
        <v>0.4597222222222222</v>
      </c>
      <c r="Q103" s="123" t="s">
        <v>574</v>
      </c>
      <c r="R103" s="39"/>
      <c r="S103" s="39"/>
    </row>
    <row r="104" spans="2:19" x14ac:dyDescent="0.25">
      <c r="B104">
        <f>WEEKNUM(BSURTIDOR[[#This Row],[FECHA]])</f>
        <v>4</v>
      </c>
      <c r="C104">
        <f>MONTH(BSURTIDOR[[#This Row],[FECHA]])</f>
        <v>1</v>
      </c>
      <c r="D104">
        <f>YEAR(BSURTIDOR[[#This Row],[FECHA]])</f>
        <v>2026</v>
      </c>
      <c r="E104" s="124">
        <v>46041</v>
      </c>
      <c r="F104" s="283" t="s">
        <v>548</v>
      </c>
      <c r="G104" s="123">
        <v>9</v>
      </c>
      <c r="H104" s="123" t="s">
        <v>100</v>
      </c>
      <c r="I104" s="101" t="str">
        <f>VLOOKUP(BDsurtidor!$H104,$T$4:$W$18,2,FALSE)</f>
        <v>HIDROJET</v>
      </c>
      <c r="J104" s="39">
        <f>VLOOKUP(BDsurtidor!$H104,$T$4:$W$25,3,FALSE)</f>
        <v>1000</v>
      </c>
      <c r="K104" s="39">
        <f>VLOOKUP(BDsurtidor!$H104,$T$4:$W$25,4,FALSE)</f>
        <v>1</v>
      </c>
      <c r="L104" s="101">
        <f>VLOOKUP(BDsurtidor!$H104,$T$4:$X$25,5,FALSE)</f>
        <v>0</v>
      </c>
      <c r="M104" s="39" t="str">
        <f>VLOOKUP(BDsurtidor!$H104,$T$4:$Y$25,6,FALSE)</f>
        <v>EPS</v>
      </c>
      <c r="N104" s="39">
        <v>0</v>
      </c>
      <c r="O104" s="125">
        <v>0</v>
      </c>
      <c r="P104" s="126">
        <v>0.47013888888888888</v>
      </c>
      <c r="Q104" s="123" t="s">
        <v>574</v>
      </c>
      <c r="R104" s="39"/>
      <c r="S104" s="39"/>
    </row>
    <row r="105" spans="2:19" x14ac:dyDescent="0.25">
      <c r="B105">
        <f>WEEKNUM(BSURTIDOR[[#This Row],[FECHA]])</f>
        <v>4</v>
      </c>
      <c r="C105">
        <f>MONTH(BSURTIDOR[[#This Row],[FECHA]])</f>
        <v>1</v>
      </c>
      <c r="D105">
        <f>YEAR(BSURTIDOR[[#This Row],[FECHA]])</f>
        <v>2026</v>
      </c>
      <c r="E105" s="124">
        <v>46041</v>
      </c>
      <c r="F105" s="283" t="s">
        <v>548</v>
      </c>
      <c r="G105" s="123">
        <v>10</v>
      </c>
      <c r="H105" s="123" t="s">
        <v>89</v>
      </c>
      <c r="I105" s="101" t="str">
        <f>VLOOKUP(BDsurtidor!$H105,$T$4:$W$18,2,FALSE)</f>
        <v>CISTERNA</v>
      </c>
      <c r="J105" s="39">
        <f>VLOOKUP(BDsurtidor!$H105,$T$4:$W$25,3,FALSE)</f>
        <v>9000</v>
      </c>
      <c r="K105" s="39">
        <f>VLOOKUP(BDsurtidor!$H105,$T$4:$W$25,4,FALSE)</f>
        <v>34</v>
      </c>
      <c r="L105" s="101">
        <f>VLOOKUP(BDsurtidor!$H105,$T$4:$X$25,5,FALSE)</f>
        <v>0.45</v>
      </c>
      <c r="M105" s="39" t="str">
        <f>VLOOKUP(BDsurtidor!$H105,$T$4:$Y$25,6,FALSE)</f>
        <v>VIVIENDA</v>
      </c>
      <c r="N105" s="39">
        <v>0</v>
      </c>
      <c r="O105" s="125">
        <v>1.1299999999999999</v>
      </c>
      <c r="P105" s="126">
        <v>0.4861111111111111</v>
      </c>
      <c r="Q105" s="123" t="s">
        <v>574</v>
      </c>
      <c r="R105" s="39"/>
      <c r="S105" s="39"/>
    </row>
    <row r="106" spans="2:19" x14ac:dyDescent="0.25">
      <c r="B106">
        <f>WEEKNUM(BSURTIDOR[[#This Row],[FECHA]])</f>
        <v>4</v>
      </c>
      <c r="C106">
        <f>MONTH(BSURTIDOR[[#This Row],[FECHA]])</f>
        <v>1</v>
      </c>
      <c r="D106">
        <f>YEAR(BSURTIDOR[[#This Row],[FECHA]])</f>
        <v>2026</v>
      </c>
      <c r="E106" s="124">
        <v>46041</v>
      </c>
      <c r="F106" s="283" t="s">
        <v>548</v>
      </c>
      <c r="G106" s="123">
        <v>11</v>
      </c>
      <c r="H106" s="123" t="s">
        <v>98</v>
      </c>
      <c r="I106" s="101" t="str">
        <f>VLOOKUP(BDsurtidor!$H106,$T$4:$W$18,2,FALSE)</f>
        <v>CISTERNA</v>
      </c>
      <c r="J106" s="39">
        <f>VLOOKUP(BDsurtidor!$H106,$T$4:$W$25,3,FALSE)</f>
        <v>9000</v>
      </c>
      <c r="K106" s="39">
        <f>VLOOKUP(BDsurtidor!$H106,$T$4:$W$25,4,FALSE)</f>
        <v>34</v>
      </c>
      <c r="L106" s="101">
        <f>VLOOKUP(BDsurtidor!$H106,$T$4:$X$25,5,FALSE)</f>
        <v>0.45</v>
      </c>
      <c r="M106" s="39" t="str">
        <f>VLOOKUP(BDsurtidor!$H106,$T$4:$Y$25,6,FALSE)</f>
        <v>VIVIENDA</v>
      </c>
      <c r="N106" s="39">
        <v>0</v>
      </c>
      <c r="O106" s="125">
        <v>1.17</v>
      </c>
      <c r="P106" s="126">
        <v>0.49652777777777779</v>
      </c>
      <c r="Q106" s="123" t="s">
        <v>574</v>
      </c>
      <c r="R106" s="39"/>
      <c r="S106" s="39"/>
    </row>
    <row r="107" spans="2:19" x14ac:dyDescent="0.25">
      <c r="B107">
        <f>WEEKNUM(BSURTIDOR[[#This Row],[FECHA]])</f>
        <v>4</v>
      </c>
      <c r="C107">
        <f>MONTH(BSURTIDOR[[#This Row],[FECHA]])</f>
        <v>1</v>
      </c>
      <c r="D107">
        <f>YEAR(BSURTIDOR[[#This Row],[FECHA]])</f>
        <v>2026</v>
      </c>
      <c r="E107" s="124">
        <v>46041</v>
      </c>
      <c r="F107" s="283" t="s">
        <v>548</v>
      </c>
      <c r="G107" s="123">
        <v>12</v>
      </c>
      <c r="H107" s="123" t="s">
        <v>99</v>
      </c>
      <c r="I107" s="101" t="str">
        <f>VLOOKUP(BDsurtidor!$H107,$T$4:$W$18,2,FALSE)</f>
        <v>CISTERNA</v>
      </c>
      <c r="J107" s="39">
        <f>VLOOKUP(BDsurtidor!$H107,$T$4:$W$25,3,FALSE)</f>
        <v>5000</v>
      </c>
      <c r="K107" s="39">
        <f>VLOOKUP(BDsurtidor!$H107,$T$4:$W$25,4,FALSE)</f>
        <v>17</v>
      </c>
      <c r="L107" s="101">
        <f>VLOOKUP(BDsurtidor!$H107,$T$4:$X$25,5,FALSE)</f>
        <v>0.4</v>
      </c>
      <c r="M107" s="39" t="str">
        <f>VLOOKUP(BDsurtidor!$H107,$T$4:$Y$25,6,FALSE)</f>
        <v>EPS</v>
      </c>
      <c r="N107" s="39">
        <v>0</v>
      </c>
      <c r="O107" s="125">
        <v>1.19</v>
      </c>
      <c r="P107" s="126">
        <v>0.51666666666666672</v>
      </c>
      <c r="Q107" s="123" t="s">
        <v>574</v>
      </c>
      <c r="R107" s="39"/>
      <c r="S107" s="39"/>
    </row>
    <row r="108" spans="2:19" x14ac:dyDescent="0.25">
      <c r="B108">
        <f>WEEKNUM(BSURTIDOR[[#This Row],[FECHA]])</f>
        <v>4</v>
      </c>
      <c r="C108">
        <f>MONTH(BSURTIDOR[[#This Row],[FECHA]])</f>
        <v>1</v>
      </c>
      <c r="D108">
        <f>YEAR(BSURTIDOR[[#This Row],[FECHA]])</f>
        <v>2026</v>
      </c>
      <c r="E108" s="124">
        <v>46042</v>
      </c>
      <c r="F108" s="283" t="s">
        <v>548</v>
      </c>
      <c r="G108" s="123">
        <v>1</v>
      </c>
      <c r="H108" s="123" t="s">
        <v>97</v>
      </c>
      <c r="I108" s="101" t="str">
        <f>VLOOKUP(BDsurtidor!$H108,$T$4:$W$18,2,FALSE)</f>
        <v>CISTERNA</v>
      </c>
      <c r="J108" s="101">
        <f>VLOOKUP(BDsurtidor!$H108,$T$4:$W$25,3,FALSE)</f>
        <v>5000</v>
      </c>
      <c r="K108" s="101">
        <f>VLOOKUP(BDsurtidor!$H108,$T$4:$W$25,4,FALSE)</f>
        <v>17</v>
      </c>
      <c r="L108" s="101">
        <f>VLOOKUP(BDsurtidor!$H108,$T$4:$X$25,5,FALSE)</f>
        <v>0.4</v>
      </c>
      <c r="M108" s="101" t="str">
        <f>VLOOKUP(BDsurtidor!$H108,$T$4:$Y$25,6,FALSE)</f>
        <v>EPS</v>
      </c>
      <c r="N108" s="101">
        <v>0</v>
      </c>
      <c r="O108" s="125">
        <v>1.1000000000000001</v>
      </c>
      <c r="P108" s="126">
        <v>0.30416666666666664</v>
      </c>
      <c r="Q108" s="123" t="s">
        <v>574</v>
      </c>
      <c r="R108" s="39"/>
      <c r="S108" s="39"/>
    </row>
    <row r="109" spans="2:19" x14ac:dyDescent="0.25">
      <c r="B109">
        <f>WEEKNUM(BSURTIDOR[[#This Row],[FECHA]])</f>
        <v>4</v>
      </c>
      <c r="C109">
        <f>MONTH(BSURTIDOR[[#This Row],[FECHA]])</f>
        <v>1</v>
      </c>
      <c r="D109">
        <f>YEAR(BSURTIDOR[[#This Row],[FECHA]])</f>
        <v>2026</v>
      </c>
      <c r="E109" s="124">
        <v>46042</v>
      </c>
      <c r="F109" s="283" t="s">
        <v>548</v>
      </c>
      <c r="G109" s="123">
        <v>2</v>
      </c>
      <c r="H109" s="123" t="s">
        <v>89</v>
      </c>
      <c r="I109" s="101" t="str">
        <f>VLOOKUP(BDsurtidor!$H109,$T$4:$W$18,2,FALSE)</f>
        <v>CISTERNA</v>
      </c>
      <c r="J109" s="101">
        <f>VLOOKUP(BDsurtidor!$H109,$T$4:$W$25,3,FALSE)</f>
        <v>9000</v>
      </c>
      <c r="K109" s="101">
        <f>VLOOKUP(BDsurtidor!$H109,$T$4:$W$25,4,FALSE)</f>
        <v>34</v>
      </c>
      <c r="L109" s="101">
        <f>VLOOKUP(BDsurtidor!$H109,$T$4:$X$25,5,FALSE)</f>
        <v>0.45</v>
      </c>
      <c r="M109" s="101" t="str">
        <f>VLOOKUP(BDsurtidor!$H109,$T$4:$Y$25,6,FALSE)</f>
        <v>VIVIENDA</v>
      </c>
      <c r="N109" s="101">
        <v>0</v>
      </c>
      <c r="O109" s="125">
        <v>1.17</v>
      </c>
      <c r="P109" s="126">
        <v>0.31111111111111112</v>
      </c>
      <c r="Q109" s="123" t="s">
        <v>574</v>
      </c>
      <c r="R109" s="39"/>
      <c r="S109" s="39"/>
    </row>
    <row r="110" spans="2:19" x14ac:dyDescent="0.25">
      <c r="B110">
        <f>WEEKNUM(BSURTIDOR[[#This Row],[FECHA]])</f>
        <v>4</v>
      </c>
      <c r="C110">
        <f>MONTH(BSURTIDOR[[#This Row],[FECHA]])</f>
        <v>1</v>
      </c>
      <c r="D110">
        <f>YEAR(BSURTIDOR[[#This Row],[FECHA]])</f>
        <v>2026</v>
      </c>
      <c r="E110" s="124">
        <v>46042</v>
      </c>
      <c r="F110" s="283" t="s">
        <v>548</v>
      </c>
      <c r="G110" s="123">
        <v>3</v>
      </c>
      <c r="H110" s="123" t="s">
        <v>99</v>
      </c>
      <c r="I110" s="101" t="str">
        <f>VLOOKUP(BDsurtidor!$H110,$T$4:$W$18,2,FALSE)</f>
        <v>CISTERNA</v>
      </c>
      <c r="J110" s="101">
        <f>VLOOKUP(BDsurtidor!$H110,$T$4:$W$25,3,FALSE)</f>
        <v>5000</v>
      </c>
      <c r="K110" s="101">
        <f>VLOOKUP(BDsurtidor!$H110,$T$4:$W$25,4,FALSE)</f>
        <v>17</v>
      </c>
      <c r="L110" s="101">
        <f>VLOOKUP(BDsurtidor!$H110,$T$4:$X$25,5,FALSE)</f>
        <v>0.4</v>
      </c>
      <c r="M110" s="101" t="str">
        <f>VLOOKUP(BDsurtidor!$H110,$T$4:$Y$25,6,FALSE)</f>
        <v>EPS</v>
      </c>
      <c r="N110" s="101">
        <v>0</v>
      </c>
      <c r="O110" s="125">
        <v>1.1200000000000001</v>
      </c>
      <c r="P110" s="126">
        <v>0.31874999999999998</v>
      </c>
      <c r="Q110" s="123" t="s">
        <v>574</v>
      </c>
      <c r="R110" s="39"/>
      <c r="S110" s="39"/>
    </row>
    <row r="111" spans="2:19" x14ac:dyDescent="0.25">
      <c r="B111">
        <f>WEEKNUM(BSURTIDOR[[#This Row],[FECHA]])</f>
        <v>4</v>
      </c>
      <c r="C111">
        <f>MONTH(BSURTIDOR[[#This Row],[FECHA]])</f>
        <v>1</v>
      </c>
      <c r="D111">
        <f>YEAR(BSURTIDOR[[#This Row],[FECHA]])</f>
        <v>2026</v>
      </c>
      <c r="E111" s="124">
        <v>46042</v>
      </c>
      <c r="F111" s="283" t="s">
        <v>548</v>
      </c>
      <c r="G111" s="123">
        <v>4</v>
      </c>
      <c r="H111" s="123" t="s">
        <v>98</v>
      </c>
      <c r="I111" s="101" t="str">
        <f>VLOOKUP(BDsurtidor!$H111,$T$4:$W$18,2,FALSE)</f>
        <v>CISTERNA</v>
      </c>
      <c r="J111" s="39">
        <f>VLOOKUP(BDsurtidor!$H111,$T$4:$W$25,3,FALSE)</f>
        <v>9000</v>
      </c>
      <c r="K111" s="39">
        <f>VLOOKUP(BDsurtidor!$H111,$T$4:$W$25,4,FALSE)</f>
        <v>34</v>
      </c>
      <c r="L111" s="101">
        <f>VLOOKUP(BDsurtidor!$H111,$T$4:$X$25,5,FALSE)</f>
        <v>0.45</v>
      </c>
      <c r="M111" s="39" t="str">
        <f>VLOOKUP(BDsurtidor!$H111,$T$4:$Y$25,6,FALSE)</f>
        <v>VIVIENDA</v>
      </c>
      <c r="N111" s="39">
        <v>0</v>
      </c>
      <c r="O111" s="125">
        <v>1.1000000000000001</v>
      </c>
      <c r="P111" s="126">
        <v>7.58</v>
      </c>
      <c r="Q111" s="123" t="s">
        <v>574</v>
      </c>
      <c r="R111" s="39"/>
      <c r="S111" s="39"/>
    </row>
    <row r="112" spans="2:19" x14ac:dyDescent="0.25">
      <c r="B112">
        <f>WEEKNUM(BSURTIDOR[[#This Row],[FECHA]])</f>
        <v>4</v>
      </c>
      <c r="C112">
        <f>MONTH(BSURTIDOR[[#This Row],[FECHA]])</f>
        <v>1</v>
      </c>
      <c r="D112">
        <f>YEAR(BSURTIDOR[[#This Row],[FECHA]])</f>
        <v>2026</v>
      </c>
      <c r="E112" s="124">
        <v>46042</v>
      </c>
      <c r="F112" s="283" t="s">
        <v>548</v>
      </c>
      <c r="G112" s="123">
        <v>5</v>
      </c>
      <c r="H112" s="123" t="s">
        <v>90</v>
      </c>
      <c r="I112" s="101" t="str">
        <f>VLOOKUP(BDsurtidor!$H112,$T$4:$W$18,2,FALSE)</f>
        <v>CISTERNA</v>
      </c>
      <c r="J112" s="101">
        <f>VLOOKUP(BDsurtidor!$H112,$T$4:$W$25,3,FALSE)</f>
        <v>5000</v>
      </c>
      <c r="K112" s="101">
        <f>VLOOKUP(BDsurtidor!$H112,$T$4:$W$25,4,FALSE)</f>
        <v>17</v>
      </c>
      <c r="L112" s="101">
        <f>VLOOKUP(BDsurtidor!$H112,$T$4:$X$25,5,FALSE)</f>
        <v>0.4</v>
      </c>
      <c r="M112" s="101" t="str">
        <f>VLOOKUP(BDsurtidor!$H112,$T$4:$Y$25,6,FALSE)</f>
        <v>EPS</v>
      </c>
      <c r="N112" s="101">
        <v>0</v>
      </c>
      <c r="O112" s="125">
        <v>1.1499999999999999</v>
      </c>
      <c r="P112" s="126">
        <v>0.39305555555555555</v>
      </c>
      <c r="Q112" s="123" t="s">
        <v>574</v>
      </c>
      <c r="R112" s="39"/>
      <c r="S112" s="39"/>
    </row>
    <row r="113" spans="2:19" x14ac:dyDescent="0.25">
      <c r="B113">
        <f>WEEKNUM(BSURTIDOR[[#This Row],[FECHA]])</f>
        <v>4</v>
      </c>
      <c r="C113">
        <f>MONTH(BSURTIDOR[[#This Row],[FECHA]])</f>
        <v>1</v>
      </c>
      <c r="D113">
        <f>YEAR(BSURTIDOR[[#This Row],[FECHA]])</f>
        <v>2026</v>
      </c>
      <c r="E113" s="124">
        <v>46042</v>
      </c>
      <c r="F113" s="283" t="s">
        <v>548</v>
      </c>
      <c r="G113" s="123">
        <v>6</v>
      </c>
      <c r="H113" s="123" t="s">
        <v>97</v>
      </c>
      <c r="I113" s="101" t="str">
        <f>VLOOKUP(BDsurtidor!$H113,$T$4:$W$18,2,FALSE)</f>
        <v>CISTERNA</v>
      </c>
      <c r="J113" s="39">
        <f>VLOOKUP(BDsurtidor!$H113,$T$4:$W$25,3,FALSE)</f>
        <v>5000</v>
      </c>
      <c r="K113" s="39">
        <f>VLOOKUP(BDsurtidor!$H113,$T$4:$W$25,4,FALSE)</f>
        <v>17</v>
      </c>
      <c r="L113" s="101">
        <f>VLOOKUP(BDsurtidor!$H113,$T$4:$X$25,5,FALSE)</f>
        <v>0.4</v>
      </c>
      <c r="M113" s="39" t="str">
        <f>VLOOKUP(BDsurtidor!$H113,$T$4:$Y$25,6,FALSE)</f>
        <v>EPS</v>
      </c>
      <c r="N113" s="39">
        <v>0</v>
      </c>
      <c r="O113" s="125">
        <v>1.21</v>
      </c>
      <c r="P113" s="126">
        <v>0.42152777777777778</v>
      </c>
      <c r="Q113" s="123" t="s">
        <v>574</v>
      </c>
      <c r="R113" s="39"/>
      <c r="S113" s="39"/>
    </row>
    <row r="114" spans="2:19" x14ac:dyDescent="0.25">
      <c r="B114">
        <f>WEEKNUM(BSURTIDOR[[#This Row],[FECHA]])</f>
        <v>4</v>
      </c>
      <c r="C114">
        <f>MONTH(BSURTIDOR[[#This Row],[FECHA]])</f>
        <v>1</v>
      </c>
      <c r="D114">
        <f>YEAR(BSURTIDOR[[#This Row],[FECHA]])</f>
        <v>2026</v>
      </c>
      <c r="E114" s="124">
        <v>46042</v>
      </c>
      <c r="F114" s="283" t="s">
        <v>548</v>
      </c>
      <c r="G114" s="123">
        <v>7</v>
      </c>
      <c r="H114" s="123" t="s">
        <v>100</v>
      </c>
      <c r="I114" s="101" t="str">
        <f>VLOOKUP(BDsurtidor!$H114,$T$4:$W$18,2,FALSE)</f>
        <v>HIDROJET</v>
      </c>
      <c r="J114" s="101">
        <f>VLOOKUP(BDsurtidor!$H114,$T$4:$W$25,3,FALSE)</f>
        <v>1000</v>
      </c>
      <c r="K114" s="101">
        <f>VLOOKUP(BDsurtidor!$H114,$T$4:$W$25,4,FALSE)</f>
        <v>1</v>
      </c>
      <c r="L114" s="101">
        <f>VLOOKUP(BDsurtidor!$H114,$T$4:$X$25,5,FALSE)</f>
        <v>0</v>
      </c>
      <c r="M114" s="101" t="str">
        <f>VLOOKUP(BDsurtidor!$H114,$T$4:$Y$25,6,FALSE)</f>
        <v>EPS</v>
      </c>
      <c r="N114" s="101">
        <v>0</v>
      </c>
      <c r="O114" s="125">
        <v>0</v>
      </c>
      <c r="P114" s="126">
        <v>0.42708333333333331</v>
      </c>
      <c r="Q114" s="123" t="s">
        <v>574</v>
      </c>
      <c r="R114" s="39"/>
      <c r="S114" s="39"/>
    </row>
    <row r="115" spans="2:19" x14ac:dyDescent="0.25">
      <c r="B115">
        <f>WEEKNUM(BSURTIDOR[[#This Row],[FECHA]])</f>
        <v>4</v>
      </c>
      <c r="C115">
        <f>MONTH(BSURTIDOR[[#This Row],[FECHA]])</f>
        <v>1</v>
      </c>
      <c r="D115">
        <f>YEAR(BSURTIDOR[[#This Row],[FECHA]])</f>
        <v>2026</v>
      </c>
      <c r="E115" s="124">
        <v>46042</v>
      </c>
      <c r="F115" s="283" t="s">
        <v>548</v>
      </c>
      <c r="G115" s="123">
        <v>8</v>
      </c>
      <c r="H115" s="123" t="s">
        <v>98</v>
      </c>
      <c r="I115" s="101" t="str">
        <f>VLOOKUP(BDsurtidor!$H115,$T$4:$W$18,2,FALSE)</f>
        <v>CISTERNA</v>
      </c>
      <c r="J115" s="39">
        <f>VLOOKUP(BDsurtidor!$H115,$T$4:$W$25,3,FALSE)</f>
        <v>9000</v>
      </c>
      <c r="K115" s="39">
        <f>VLOOKUP(BDsurtidor!$H115,$T$4:$W$25,4,FALSE)</f>
        <v>34</v>
      </c>
      <c r="L115" s="101">
        <f>VLOOKUP(BDsurtidor!$H115,$T$4:$X$25,5,FALSE)</f>
        <v>0.45</v>
      </c>
      <c r="M115" s="39" t="str">
        <f>VLOOKUP(BDsurtidor!$H115,$T$4:$Y$25,6,FALSE)</f>
        <v>VIVIENDA</v>
      </c>
      <c r="N115" s="39">
        <v>0</v>
      </c>
      <c r="O115" s="125">
        <v>1.18</v>
      </c>
      <c r="P115" s="126">
        <v>0.45833333333333331</v>
      </c>
      <c r="Q115" s="123" t="s">
        <v>574</v>
      </c>
      <c r="R115" s="39"/>
      <c r="S115" s="39"/>
    </row>
    <row r="116" spans="2:19" x14ac:dyDescent="0.25">
      <c r="B116">
        <f>WEEKNUM(BSURTIDOR[[#This Row],[FECHA]])</f>
        <v>4</v>
      </c>
      <c r="C116">
        <f>MONTH(BSURTIDOR[[#This Row],[FECHA]])</f>
        <v>1</v>
      </c>
      <c r="D116">
        <f>YEAR(BSURTIDOR[[#This Row],[FECHA]])</f>
        <v>2026</v>
      </c>
      <c r="E116" s="124">
        <v>46042</v>
      </c>
      <c r="F116" s="283" t="s">
        <v>548</v>
      </c>
      <c r="G116" s="123">
        <v>9</v>
      </c>
      <c r="H116" s="123" t="s">
        <v>89</v>
      </c>
      <c r="I116" s="101" t="str">
        <f>VLOOKUP(BDsurtidor!$H116,$T$4:$W$18,2,FALSE)</f>
        <v>CISTERNA</v>
      </c>
      <c r="J116" s="101">
        <f>VLOOKUP(BDsurtidor!$H116,$T$4:$W$25,3,FALSE)</f>
        <v>9000</v>
      </c>
      <c r="K116" s="101">
        <f>VLOOKUP(BDsurtidor!$H116,$T$4:$W$25,4,FALSE)</f>
        <v>34</v>
      </c>
      <c r="L116" s="101">
        <f>VLOOKUP(BDsurtidor!$H116,$T$4:$X$25,5,FALSE)</f>
        <v>0.45</v>
      </c>
      <c r="M116" s="101" t="str">
        <f>VLOOKUP(BDsurtidor!$H116,$T$4:$Y$25,6,FALSE)</f>
        <v>VIVIENDA</v>
      </c>
      <c r="N116" s="101">
        <v>0</v>
      </c>
      <c r="O116" s="125">
        <v>1.1499999999999999</v>
      </c>
      <c r="P116" s="126">
        <v>0.47569444444444442</v>
      </c>
      <c r="Q116" s="123" t="s">
        <v>574</v>
      </c>
      <c r="R116" s="39"/>
      <c r="S116" s="39"/>
    </row>
    <row r="117" spans="2:19" x14ac:dyDescent="0.25">
      <c r="B117">
        <f>WEEKNUM(BSURTIDOR[[#This Row],[FECHA]])</f>
        <v>4</v>
      </c>
      <c r="C117">
        <f>MONTH(BSURTIDOR[[#This Row],[FECHA]])</f>
        <v>1</v>
      </c>
      <c r="D117">
        <f>YEAR(BSURTIDOR[[#This Row],[FECHA]])</f>
        <v>2026</v>
      </c>
      <c r="E117" s="124">
        <v>46042</v>
      </c>
      <c r="F117" s="283" t="s">
        <v>548</v>
      </c>
      <c r="G117" s="123">
        <v>10</v>
      </c>
      <c r="H117" s="123" t="s">
        <v>99</v>
      </c>
      <c r="I117" s="101" t="str">
        <f>VLOOKUP(BDsurtidor!$H117,$T$4:$W$18,2,FALSE)</f>
        <v>CISTERNA</v>
      </c>
      <c r="J117" s="101">
        <f>VLOOKUP(BDsurtidor!$H117,$T$4:$W$25,3,FALSE)</f>
        <v>5000</v>
      </c>
      <c r="K117" s="101">
        <f>VLOOKUP(BDsurtidor!$H117,$T$4:$W$25,4,FALSE)</f>
        <v>17</v>
      </c>
      <c r="L117" s="101">
        <f>VLOOKUP(BDsurtidor!$H117,$T$4:$X$25,5,FALSE)</f>
        <v>0.4</v>
      </c>
      <c r="M117" s="101" t="str">
        <f>VLOOKUP(BDsurtidor!$H117,$T$4:$Y$25,6,FALSE)</f>
        <v>EPS</v>
      </c>
      <c r="N117" s="101">
        <v>0</v>
      </c>
      <c r="O117" s="125">
        <v>1.33</v>
      </c>
      <c r="P117" s="126">
        <v>0.4826388888888889</v>
      </c>
      <c r="Q117" s="123" t="s">
        <v>574</v>
      </c>
      <c r="R117" s="39"/>
      <c r="S117" s="39"/>
    </row>
    <row r="118" spans="2:19" x14ac:dyDescent="0.25">
      <c r="B118">
        <f>WEEKNUM(BSURTIDOR[[#This Row],[FECHA]])</f>
        <v>4</v>
      </c>
      <c r="C118">
        <f>MONTH(BSURTIDOR[[#This Row],[FECHA]])</f>
        <v>1</v>
      </c>
      <c r="D118">
        <f>YEAR(BSURTIDOR[[#This Row],[FECHA]])</f>
        <v>2026</v>
      </c>
      <c r="E118" s="124">
        <v>46042</v>
      </c>
      <c r="F118" s="283" t="s">
        <v>548</v>
      </c>
      <c r="G118" s="123">
        <v>11</v>
      </c>
      <c r="H118" s="123" t="s">
        <v>90</v>
      </c>
      <c r="I118" s="101" t="str">
        <f>VLOOKUP(BDsurtidor!$H118,$T$4:$W$18,2,FALSE)</f>
        <v>CISTERNA</v>
      </c>
      <c r="J118" s="101">
        <f>VLOOKUP(BDsurtidor!$H118,$T$4:$W$25,3,FALSE)</f>
        <v>5000</v>
      </c>
      <c r="K118" s="101">
        <f>VLOOKUP(BDsurtidor!$H118,$T$4:$W$25,4,FALSE)</f>
        <v>17</v>
      </c>
      <c r="L118" s="101">
        <f>VLOOKUP(BDsurtidor!$H118,$T$4:$X$25,5,FALSE)</f>
        <v>0.4</v>
      </c>
      <c r="M118" s="101" t="str">
        <f>VLOOKUP(BDsurtidor!$H118,$T$4:$Y$25,6,FALSE)</f>
        <v>EPS</v>
      </c>
      <c r="N118" s="101">
        <v>0</v>
      </c>
      <c r="O118" s="125">
        <v>1.37</v>
      </c>
      <c r="P118" s="126">
        <v>0.50069444444444444</v>
      </c>
      <c r="Q118" s="123" t="s">
        <v>574</v>
      </c>
      <c r="R118" s="39"/>
      <c r="S118" s="39"/>
    </row>
    <row r="119" spans="2:19" x14ac:dyDescent="0.25">
      <c r="B119">
        <f>WEEKNUM(BSURTIDOR[[#This Row],[FECHA]])</f>
        <v>4</v>
      </c>
      <c r="C119">
        <f>MONTH(BSURTIDOR[[#This Row],[FECHA]])</f>
        <v>1</v>
      </c>
      <c r="D119">
        <f>YEAR(BSURTIDOR[[#This Row],[FECHA]])</f>
        <v>2026</v>
      </c>
      <c r="E119" s="124">
        <v>46043</v>
      </c>
      <c r="F119" s="283" t="s">
        <v>548</v>
      </c>
      <c r="G119" s="123">
        <v>1</v>
      </c>
      <c r="H119" s="123" t="s">
        <v>89</v>
      </c>
      <c r="I119" s="101" t="str">
        <f>VLOOKUP(BDsurtidor!$H119,$T$4:$W$18,2,FALSE)</f>
        <v>CISTERNA</v>
      </c>
      <c r="J119" s="101">
        <f>VLOOKUP(BDsurtidor!$H119,$T$4:$W$25,3,FALSE)</f>
        <v>9000</v>
      </c>
      <c r="K119" s="101">
        <f>VLOOKUP(BDsurtidor!$H119,$T$4:$W$25,4,FALSE)</f>
        <v>34</v>
      </c>
      <c r="L119" s="101">
        <f>VLOOKUP(BDsurtidor!$H119,$T$4:$X$25,5,FALSE)</f>
        <v>0.45</v>
      </c>
      <c r="M119" s="101" t="str">
        <f>VLOOKUP(BDsurtidor!$H119,$T$4:$Y$25,6,FALSE)</f>
        <v>VIVIENDA</v>
      </c>
      <c r="N119" s="39">
        <v>0</v>
      </c>
      <c r="O119" s="125">
        <v>1.0900000000000001</v>
      </c>
      <c r="P119" s="126">
        <v>0.30486111111111114</v>
      </c>
      <c r="Q119" s="123" t="s">
        <v>574</v>
      </c>
    </row>
    <row r="120" spans="2:19" x14ac:dyDescent="0.25">
      <c r="B120">
        <f>WEEKNUM(BSURTIDOR[[#This Row],[FECHA]])</f>
        <v>4</v>
      </c>
      <c r="C120">
        <f>MONTH(BSURTIDOR[[#This Row],[FECHA]])</f>
        <v>1</v>
      </c>
      <c r="D120">
        <f>YEAR(BSURTIDOR[[#This Row],[FECHA]])</f>
        <v>2026</v>
      </c>
      <c r="E120" s="124">
        <v>46043</v>
      </c>
      <c r="F120" s="283" t="s">
        <v>548</v>
      </c>
      <c r="G120" s="123">
        <v>2</v>
      </c>
      <c r="H120" s="123" t="s">
        <v>100</v>
      </c>
      <c r="I120" s="101" t="str">
        <f>VLOOKUP(BDsurtidor!$H120,$T$4:$W$18,2,FALSE)</f>
        <v>HIDROJET</v>
      </c>
      <c r="J120" s="101">
        <f>VLOOKUP(BDsurtidor!$H120,$T$4:$W$25,3,FALSE)</f>
        <v>1000</v>
      </c>
      <c r="K120" s="101">
        <f>VLOOKUP(BDsurtidor!$H120,$T$4:$W$25,4,FALSE)</f>
        <v>1</v>
      </c>
      <c r="L120" s="101">
        <f>VLOOKUP(BDsurtidor!$H120,$T$4:$X$25,5,FALSE)</f>
        <v>0</v>
      </c>
      <c r="M120" s="101" t="str">
        <f>VLOOKUP(BDsurtidor!$H120,$T$4:$Y$25,6,FALSE)</f>
        <v>EPS</v>
      </c>
      <c r="N120" s="101">
        <v>0</v>
      </c>
      <c r="O120" s="125">
        <v>0</v>
      </c>
      <c r="P120" s="126">
        <v>0.31458333333333333</v>
      </c>
      <c r="Q120" s="123" t="s">
        <v>574</v>
      </c>
    </row>
    <row r="121" spans="2:19" x14ac:dyDescent="0.25">
      <c r="B121">
        <f>WEEKNUM(BSURTIDOR[[#This Row],[FECHA]])</f>
        <v>4</v>
      </c>
      <c r="C121">
        <f>MONTH(BSURTIDOR[[#This Row],[FECHA]])</f>
        <v>1</v>
      </c>
      <c r="D121">
        <f>YEAR(BSURTIDOR[[#This Row],[FECHA]])</f>
        <v>2026</v>
      </c>
      <c r="E121" s="124">
        <v>46043</v>
      </c>
      <c r="F121" s="283" t="s">
        <v>548</v>
      </c>
      <c r="G121" s="123">
        <v>3</v>
      </c>
      <c r="H121" s="123" t="s">
        <v>99</v>
      </c>
      <c r="I121" s="101" t="str">
        <f>VLOOKUP(BDsurtidor!$H121,$T$4:$W$18,2,FALSE)</f>
        <v>CISTERNA</v>
      </c>
      <c r="J121" s="101">
        <f>VLOOKUP(BDsurtidor!$H121,$T$4:$W$25,3,FALSE)</f>
        <v>5000</v>
      </c>
      <c r="K121" s="101">
        <f>VLOOKUP(BDsurtidor!$H121,$T$4:$W$25,4,FALSE)</f>
        <v>17</v>
      </c>
      <c r="L121" s="101">
        <f>VLOOKUP(BDsurtidor!$H121,$T$4:$X$25,5,FALSE)</f>
        <v>0.4</v>
      </c>
      <c r="M121" s="101" t="str">
        <f>VLOOKUP(BDsurtidor!$H121,$T$4:$Y$25,6,FALSE)</f>
        <v>EPS</v>
      </c>
      <c r="N121" s="101">
        <v>0</v>
      </c>
      <c r="O121" s="125">
        <v>1.1299999999999999</v>
      </c>
      <c r="P121" s="126">
        <v>0.32430555555555557</v>
      </c>
      <c r="Q121" s="123" t="s">
        <v>574</v>
      </c>
    </row>
    <row r="122" spans="2:19" x14ac:dyDescent="0.25">
      <c r="B122">
        <f>WEEKNUM(BSURTIDOR[[#This Row],[FECHA]])</f>
        <v>4</v>
      </c>
      <c r="C122">
        <f>MONTH(BSURTIDOR[[#This Row],[FECHA]])</f>
        <v>1</v>
      </c>
      <c r="D122">
        <f>YEAR(BSURTIDOR[[#This Row],[FECHA]])</f>
        <v>2026</v>
      </c>
      <c r="E122" s="124">
        <v>46043</v>
      </c>
      <c r="F122" s="283" t="s">
        <v>548</v>
      </c>
      <c r="G122" s="123">
        <v>4</v>
      </c>
      <c r="H122" s="123" t="s">
        <v>97</v>
      </c>
      <c r="I122" s="101" t="str">
        <f>VLOOKUP(BDsurtidor!$H122,$T$4:$W$18,2,FALSE)</f>
        <v>CISTERNA</v>
      </c>
      <c r="J122" s="101">
        <f>VLOOKUP(BDsurtidor!$H122,$T$4:$W$25,3,FALSE)</f>
        <v>5000</v>
      </c>
      <c r="K122" s="101">
        <f>VLOOKUP(BDsurtidor!$H122,$T$4:$W$25,4,FALSE)</f>
        <v>17</v>
      </c>
      <c r="L122" s="101">
        <f>VLOOKUP(BDsurtidor!$H122,$T$4:$X$25,5,FALSE)</f>
        <v>0.4</v>
      </c>
      <c r="M122" s="101" t="str">
        <f>VLOOKUP(BDsurtidor!$H122,$T$4:$Y$25,6,FALSE)</f>
        <v>EPS</v>
      </c>
      <c r="N122" s="101">
        <v>0</v>
      </c>
      <c r="O122" s="125">
        <v>1.1100000000000001</v>
      </c>
      <c r="P122" s="126">
        <v>0.33680555555555558</v>
      </c>
      <c r="Q122" s="123" t="s">
        <v>574</v>
      </c>
    </row>
    <row r="123" spans="2:19" x14ac:dyDescent="0.25">
      <c r="B123">
        <f>WEEKNUM(BSURTIDOR[[#This Row],[FECHA]])</f>
        <v>4</v>
      </c>
      <c r="C123">
        <f>MONTH(BSURTIDOR[[#This Row],[FECHA]])</f>
        <v>1</v>
      </c>
      <c r="D123">
        <f>YEAR(BSURTIDOR[[#This Row],[FECHA]])</f>
        <v>2026</v>
      </c>
      <c r="E123" s="124">
        <v>46043</v>
      </c>
      <c r="F123" s="283" t="s">
        <v>548</v>
      </c>
      <c r="G123" s="123">
        <v>5</v>
      </c>
      <c r="H123" s="123" t="s">
        <v>98</v>
      </c>
      <c r="I123" s="101" t="str">
        <f>VLOOKUP(BDsurtidor!$H123,$T$4:$W$18,2,FALSE)</f>
        <v>CISTERNA</v>
      </c>
      <c r="J123" s="101">
        <f>VLOOKUP(BDsurtidor!$H123,$T$4:$W$25,3,FALSE)</f>
        <v>9000</v>
      </c>
      <c r="K123" s="101">
        <f>VLOOKUP(BDsurtidor!$H123,$T$4:$W$25,4,FALSE)</f>
        <v>34</v>
      </c>
      <c r="L123" s="101">
        <f>VLOOKUP(BDsurtidor!$H123,$T$4:$X$25,5,FALSE)</f>
        <v>0.45</v>
      </c>
      <c r="M123" s="101" t="str">
        <f>VLOOKUP(BDsurtidor!$H123,$T$4:$Y$25,6,FALSE)</f>
        <v>VIVIENDA</v>
      </c>
      <c r="N123" s="39">
        <v>0</v>
      </c>
      <c r="O123" s="125">
        <v>1.17</v>
      </c>
      <c r="P123" s="126">
        <v>0.38611111111111113</v>
      </c>
      <c r="Q123" s="123" t="s">
        <v>574</v>
      </c>
    </row>
    <row r="124" spans="2:19" x14ac:dyDescent="0.25">
      <c r="B124">
        <f>WEEKNUM(BSURTIDOR[[#This Row],[FECHA]])</f>
        <v>4</v>
      </c>
      <c r="C124">
        <f>MONTH(BSURTIDOR[[#This Row],[FECHA]])</f>
        <v>1</v>
      </c>
      <c r="D124">
        <f>YEAR(BSURTIDOR[[#This Row],[FECHA]])</f>
        <v>2026</v>
      </c>
      <c r="E124" s="124">
        <v>46043</v>
      </c>
      <c r="F124" s="283" t="s">
        <v>548</v>
      </c>
      <c r="G124" s="123">
        <v>6</v>
      </c>
      <c r="H124" s="123" t="s">
        <v>97</v>
      </c>
      <c r="I124" s="101" t="str">
        <f>VLOOKUP(BDsurtidor!$H124,$T$4:$W$18,2,FALSE)</f>
        <v>CISTERNA</v>
      </c>
      <c r="J124" s="101">
        <f>VLOOKUP(BDsurtidor!$H124,$T$4:$W$25,3,FALSE)</f>
        <v>5000</v>
      </c>
      <c r="K124" s="101">
        <f>VLOOKUP(BDsurtidor!$H124,$T$4:$W$25,4,FALSE)</f>
        <v>17</v>
      </c>
      <c r="L124" s="101">
        <f>VLOOKUP(BDsurtidor!$H124,$T$4:$X$25,5,FALSE)</f>
        <v>0.4</v>
      </c>
      <c r="M124" s="101" t="str">
        <f>VLOOKUP(BDsurtidor!$H124,$T$4:$Y$25,6,FALSE)</f>
        <v>EPS</v>
      </c>
      <c r="N124" s="101">
        <v>0</v>
      </c>
      <c r="O124" s="125">
        <v>1.19</v>
      </c>
      <c r="P124" s="126">
        <v>0.45208333333333334</v>
      </c>
      <c r="Q124" s="123" t="s">
        <v>574</v>
      </c>
    </row>
    <row r="125" spans="2:19" x14ac:dyDescent="0.25">
      <c r="B125">
        <f>WEEKNUM(BSURTIDOR[[#This Row],[FECHA]])</f>
        <v>4</v>
      </c>
      <c r="C125">
        <f>MONTH(BSURTIDOR[[#This Row],[FECHA]])</f>
        <v>1</v>
      </c>
      <c r="D125">
        <f>YEAR(BSURTIDOR[[#This Row],[FECHA]])</f>
        <v>2026</v>
      </c>
      <c r="E125" s="124">
        <v>46043</v>
      </c>
      <c r="F125" s="283" t="s">
        <v>548</v>
      </c>
      <c r="G125" s="123">
        <v>7</v>
      </c>
      <c r="H125" s="123" t="s">
        <v>89</v>
      </c>
      <c r="I125" s="101" t="str">
        <f>VLOOKUP(BDsurtidor!$H125,$T$4:$W$18,2,FALSE)</f>
        <v>CISTERNA</v>
      </c>
      <c r="J125" s="101">
        <f>VLOOKUP(BDsurtidor!$H125,$T$4:$W$25,3,FALSE)</f>
        <v>9000</v>
      </c>
      <c r="K125" s="101">
        <f>VLOOKUP(BDsurtidor!$H125,$T$4:$W$25,4,FALSE)</f>
        <v>34</v>
      </c>
      <c r="L125" s="101">
        <f>VLOOKUP(BDsurtidor!$H125,$T$4:$X$25,5,FALSE)</f>
        <v>0.45</v>
      </c>
      <c r="M125" s="101" t="str">
        <f>VLOOKUP(BDsurtidor!$H125,$T$4:$Y$25,6,FALSE)</f>
        <v>VIVIENDA</v>
      </c>
      <c r="N125" s="101">
        <v>0</v>
      </c>
      <c r="O125" s="125">
        <v>1.1200000000000001</v>
      </c>
      <c r="P125" s="126">
        <v>0.47916666666666669</v>
      </c>
      <c r="Q125" s="123" t="s">
        <v>574</v>
      </c>
    </row>
    <row r="126" spans="2:19" x14ac:dyDescent="0.25">
      <c r="B126">
        <f>WEEKNUM(BSURTIDOR[[#This Row],[FECHA]])</f>
        <v>4</v>
      </c>
      <c r="C126">
        <f>MONTH(BSURTIDOR[[#This Row],[FECHA]])</f>
        <v>1</v>
      </c>
      <c r="D126">
        <f>YEAR(BSURTIDOR[[#This Row],[FECHA]])</f>
        <v>2026</v>
      </c>
      <c r="E126" s="124">
        <v>46043</v>
      </c>
      <c r="F126" s="283" t="s">
        <v>548</v>
      </c>
      <c r="G126" s="123">
        <v>8</v>
      </c>
      <c r="H126" s="123" t="s">
        <v>100</v>
      </c>
      <c r="I126" s="101" t="str">
        <f>VLOOKUP(BDsurtidor!$H126,$T$4:$W$18,2,FALSE)</f>
        <v>HIDROJET</v>
      </c>
      <c r="J126" s="101">
        <f>VLOOKUP(BDsurtidor!$H126,$T$4:$W$25,3,FALSE)</f>
        <v>1000</v>
      </c>
      <c r="K126" s="101">
        <f>VLOOKUP(BDsurtidor!$H126,$T$4:$W$25,4,FALSE)</f>
        <v>1</v>
      </c>
      <c r="L126" s="101">
        <f>VLOOKUP(BDsurtidor!$H126,$T$4:$X$25,5,FALSE)</f>
        <v>0</v>
      </c>
      <c r="M126" s="101" t="str">
        <f>VLOOKUP(BDsurtidor!$H126,$T$4:$Y$25,6,FALSE)</f>
        <v>EPS</v>
      </c>
      <c r="N126" s="101">
        <v>0</v>
      </c>
      <c r="O126" s="125">
        <v>0</v>
      </c>
      <c r="P126" s="126">
        <v>0.4909722222222222</v>
      </c>
      <c r="Q126" s="123" t="s">
        <v>574</v>
      </c>
    </row>
    <row r="127" spans="2:19" x14ac:dyDescent="0.25">
      <c r="B127">
        <f>WEEKNUM(BSURTIDOR[[#This Row],[FECHA]])</f>
        <v>4</v>
      </c>
      <c r="C127">
        <f>MONTH(BSURTIDOR[[#This Row],[FECHA]])</f>
        <v>1</v>
      </c>
      <c r="D127">
        <f>YEAR(BSURTIDOR[[#This Row],[FECHA]])</f>
        <v>2026</v>
      </c>
      <c r="E127" s="124">
        <v>46043</v>
      </c>
      <c r="F127" s="283" t="s">
        <v>548</v>
      </c>
      <c r="G127" s="123">
        <v>9</v>
      </c>
      <c r="H127" s="123" t="s">
        <v>98</v>
      </c>
      <c r="I127" s="101" t="str">
        <f>VLOOKUP(BDsurtidor!$H127,$T$4:$W$18,2,FALSE)</f>
        <v>CISTERNA</v>
      </c>
      <c r="J127" s="101">
        <f>VLOOKUP(BDsurtidor!$H127,$T$4:$W$25,3,FALSE)</f>
        <v>9000</v>
      </c>
      <c r="K127" s="101">
        <f>VLOOKUP(BDsurtidor!$H127,$T$4:$W$25,4,FALSE)</f>
        <v>34</v>
      </c>
      <c r="L127" s="101">
        <f>VLOOKUP(BDsurtidor!$H127,$T$4:$X$25,5,FALSE)</f>
        <v>0.45</v>
      </c>
      <c r="M127" s="101" t="str">
        <f>VLOOKUP(BDsurtidor!$H127,$T$4:$Y$25,6,FALSE)</f>
        <v>VIVIENDA</v>
      </c>
      <c r="N127" s="39">
        <v>0</v>
      </c>
      <c r="O127" s="125">
        <v>1.26</v>
      </c>
      <c r="P127" s="126">
        <v>0.50416666666666665</v>
      </c>
      <c r="Q127" s="123" t="s">
        <v>574</v>
      </c>
    </row>
    <row r="128" spans="2:19" x14ac:dyDescent="0.25">
      <c r="B128">
        <f>WEEKNUM(BSURTIDOR[[#This Row],[FECHA]])</f>
        <v>4</v>
      </c>
      <c r="C128">
        <f>MONTH(BSURTIDOR[[#This Row],[FECHA]])</f>
        <v>1</v>
      </c>
      <c r="D128">
        <f>YEAR(BSURTIDOR[[#This Row],[FECHA]])</f>
        <v>2026</v>
      </c>
      <c r="E128" s="124">
        <v>46043</v>
      </c>
      <c r="F128" s="283" t="s">
        <v>548</v>
      </c>
      <c r="G128" s="123">
        <v>10</v>
      </c>
      <c r="H128" s="123" t="s">
        <v>99</v>
      </c>
      <c r="I128" s="101" t="str">
        <f>VLOOKUP(BDsurtidor!$H128,$T$4:$W$18,2,FALSE)</f>
        <v>CISTERNA</v>
      </c>
      <c r="J128" s="101">
        <f>VLOOKUP(BDsurtidor!$H128,$T$4:$W$25,3,FALSE)</f>
        <v>5000</v>
      </c>
      <c r="K128" s="101">
        <f>VLOOKUP(BDsurtidor!$H128,$T$4:$W$25,4,FALSE)</f>
        <v>17</v>
      </c>
      <c r="L128" s="101">
        <f>VLOOKUP(BDsurtidor!$H128,$T$4:$X$25,5,FALSE)</f>
        <v>0.4</v>
      </c>
      <c r="M128" s="101" t="str">
        <f>VLOOKUP(BDsurtidor!$H128,$T$4:$Y$25,6,FALSE)</f>
        <v>EPS</v>
      </c>
      <c r="N128" s="101">
        <v>0</v>
      </c>
      <c r="O128" s="125">
        <v>1.17</v>
      </c>
      <c r="P128" s="126">
        <v>0.53888888888888886</v>
      </c>
      <c r="Q128" s="123" t="s">
        <v>574</v>
      </c>
    </row>
    <row r="129" spans="2:17" x14ac:dyDescent="0.25">
      <c r="B129">
        <f>WEEKNUM(BSURTIDOR[[#This Row],[FECHA]])</f>
        <v>4</v>
      </c>
      <c r="C129">
        <f>MONTH(BSURTIDOR[[#This Row],[FECHA]])</f>
        <v>1</v>
      </c>
      <c r="D129">
        <f>YEAR(BSURTIDOR[[#This Row],[FECHA]])</f>
        <v>2026</v>
      </c>
      <c r="E129" s="124">
        <v>46043</v>
      </c>
      <c r="F129" s="283" t="s">
        <v>548</v>
      </c>
      <c r="G129" s="123">
        <v>11</v>
      </c>
      <c r="H129" s="123" t="s">
        <v>97</v>
      </c>
      <c r="I129" s="101" t="str">
        <f>VLOOKUP(BDsurtidor!$H129,$T$4:$W$18,2,FALSE)</f>
        <v>CISTERNA</v>
      </c>
      <c r="J129" s="101">
        <f>VLOOKUP(BDsurtidor!$H129,$T$4:$W$25,3,FALSE)</f>
        <v>5000</v>
      </c>
      <c r="K129" s="101">
        <f>VLOOKUP(BDsurtidor!$H129,$T$4:$W$25,4,FALSE)</f>
        <v>17</v>
      </c>
      <c r="L129" s="101">
        <f>VLOOKUP(BDsurtidor!$H129,$T$4:$X$25,5,FALSE)</f>
        <v>0.4</v>
      </c>
      <c r="M129" s="101" t="str">
        <f>VLOOKUP(BDsurtidor!$H129,$T$4:$Y$25,6,FALSE)</f>
        <v>EPS</v>
      </c>
      <c r="N129" s="101">
        <v>0</v>
      </c>
      <c r="O129" s="125">
        <v>0</v>
      </c>
      <c r="P129" s="126">
        <v>0.64444444444444449</v>
      </c>
      <c r="Q129" s="123" t="s">
        <v>574</v>
      </c>
    </row>
    <row r="130" spans="2:17" x14ac:dyDescent="0.25">
      <c r="B130">
        <f>WEEKNUM(BSURTIDOR[[#This Row],[FECHA]])</f>
        <v>4</v>
      </c>
      <c r="C130">
        <f>MONTH(BSURTIDOR[[#This Row],[FECHA]])</f>
        <v>1</v>
      </c>
      <c r="D130">
        <f>YEAR(BSURTIDOR[[#This Row],[FECHA]])</f>
        <v>2026</v>
      </c>
      <c r="E130" s="124">
        <v>46044</v>
      </c>
      <c r="F130" s="283" t="s">
        <v>548</v>
      </c>
      <c r="G130" s="123">
        <v>1</v>
      </c>
      <c r="H130" s="123" t="s">
        <v>89</v>
      </c>
      <c r="I130" s="101" t="str">
        <f>VLOOKUP(BDsurtidor!$H130,$T$4:$W$18,2,FALSE)</f>
        <v>CISTERNA</v>
      </c>
      <c r="J130" s="101">
        <f>VLOOKUP(BDsurtidor!$H130,$T$4:$W$25,3,FALSE)</f>
        <v>9000</v>
      </c>
      <c r="K130" s="101">
        <f>VLOOKUP(BDsurtidor!$H130,$T$4:$W$25,4,FALSE)</f>
        <v>34</v>
      </c>
      <c r="L130" s="101">
        <f>VLOOKUP(BDsurtidor!$H130,$T$4:$X$25,5,FALSE)</f>
        <v>0.45</v>
      </c>
      <c r="M130" s="101" t="str">
        <f>VLOOKUP(BDsurtidor!$H130,$T$4:$Y$25,6,FALSE)</f>
        <v>VIVIENDA</v>
      </c>
      <c r="N130" s="39">
        <v>0</v>
      </c>
      <c r="O130" s="125">
        <v>1.0900000000000001</v>
      </c>
      <c r="P130" s="126">
        <v>0.30555555555555558</v>
      </c>
      <c r="Q130" s="123" t="s">
        <v>574</v>
      </c>
    </row>
    <row r="131" spans="2:17" x14ac:dyDescent="0.25">
      <c r="B131">
        <f>WEEKNUM(BSURTIDOR[[#This Row],[FECHA]])</f>
        <v>4</v>
      </c>
      <c r="C131">
        <f>MONTH(BSURTIDOR[[#This Row],[FECHA]])</f>
        <v>1</v>
      </c>
      <c r="D131">
        <f>YEAR(BSURTIDOR[[#This Row],[FECHA]])</f>
        <v>2026</v>
      </c>
      <c r="E131" s="124">
        <v>46044</v>
      </c>
      <c r="F131" s="283" t="s">
        <v>548</v>
      </c>
      <c r="G131" s="123">
        <v>2</v>
      </c>
      <c r="H131" s="123" t="s">
        <v>99</v>
      </c>
      <c r="I131" s="101" t="str">
        <f>VLOOKUP(BDsurtidor!$H131,$T$4:$W$18,2,FALSE)</f>
        <v>CISTERNA</v>
      </c>
      <c r="J131" s="101">
        <f>VLOOKUP(BDsurtidor!$H131,$T$4:$W$25,3,FALSE)</f>
        <v>5000</v>
      </c>
      <c r="K131" s="101">
        <f>VLOOKUP(BDsurtidor!$H131,$T$4:$W$25,4,FALSE)</f>
        <v>17</v>
      </c>
      <c r="L131" s="101">
        <f>VLOOKUP(BDsurtidor!$H131,$T$4:$X$25,5,FALSE)</f>
        <v>0.4</v>
      </c>
      <c r="M131" s="101" t="str">
        <f>VLOOKUP(BDsurtidor!$H131,$T$4:$Y$25,6,FALSE)</f>
        <v>EPS</v>
      </c>
      <c r="N131" s="101">
        <v>0</v>
      </c>
      <c r="O131" s="125">
        <v>1.1100000000000001</v>
      </c>
      <c r="P131" s="126">
        <v>0.31805555555555554</v>
      </c>
      <c r="Q131" s="123" t="s">
        <v>574</v>
      </c>
    </row>
    <row r="132" spans="2:17" x14ac:dyDescent="0.25">
      <c r="B132">
        <f>WEEKNUM(BSURTIDOR[[#This Row],[FECHA]])</f>
        <v>4</v>
      </c>
      <c r="C132">
        <f>MONTH(BSURTIDOR[[#This Row],[FECHA]])</f>
        <v>1</v>
      </c>
      <c r="D132">
        <f>YEAR(BSURTIDOR[[#This Row],[FECHA]])</f>
        <v>2026</v>
      </c>
      <c r="E132" s="124">
        <v>46044</v>
      </c>
      <c r="F132" s="283" t="s">
        <v>548</v>
      </c>
      <c r="G132" s="123">
        <v>3</v>
      </c>
      <c r="H132" s="123" t="s">
        <v>98</v>
      </c>
      <c r="I132" s="101" t="str">
        <f>VLOOKUP(BDsurtidor!$H132,$T$4:$W$18,2,FALSE)</f>
        <v>CISTERNA</v>
      </c>
      <c r="J132" s="101">
        <f>VLOOKUP(BDsurtidor!$H132,$T$4:$W$25,3,FALSE)</f>
        <v>9000</v>
      </c>
      <c r="K132" s="101">
        <f>VLOOKUP(BDsurtidor!$H132,$T$4:$W$25,4,FALSE)</f>
        <v>34</v>
      </c>
      <c r="L132" s="101">
        <f>VLOOKUP(BDsurtidor!$H132,$T$4:$X$25,5,FALSE)</f>
        <v>0.45</v>
      </c>
      <c r="M132" s="101" t="str">
        <f>VLOOKUP(BDsurtidor!$H132,$T$4:$Y$25,6,FALSE)</f>
        <v>VIVIENDA</v>
      </c>
      <c r="N132" s="101">
        <v>0</v>
      </c>
      <c r="O132" s="125">
        <v>1.1599999999999999</v>
      </c>
      <c r="P132" s="126">
        <v>0.32500000000000001</v>
      </c>
      <c r="Q132" s="123" t="s">
        <v>574</v>
      </c>
    </row>
    <row r="133" spans="2:17" x14ac:dyDescent="0.25">
      <c r="B133">
        <f>WEEKNUM(BSURTIDOR[[#This Row],[FECHA]])</f>
        <v>4</v>
      </c>
      <c r="C133">
        <f>MONTH(BSURTIDOR[[#This Row],[FECHA]])</f>
        <v>1</v>
      </c>
      <c r="D133">
        <f>YEAR(BSURTIDOR[[#This Row],[FECHA]])</f>
        <v>2026</v>
      </c>
      <c r="E133" s="124">
        <v>46044</v>
      </c>
      <c r="F133" s="283" t="s">
        <v>548</v>
      </c>
      <c r="G133" s="123">
        <v>4</v>
      </c>
      <c r="H133" s="123" t="s">
        <v>100</v>
      </c>
      <c r="I133" s="101" t="str">
        <f>VLOOKUP(BDsurtidor!$H133,$T$4:$W$18,2,FALSE)</f>
        <v>HIDROJET</v>
      </c>
      <c r="J133" s="101">
        <f>VLOOKUP(BDsurtidor!$H133,$T$4:$W$25,3,FALSE)</f>
        <v>1000</v>
      </c>
      <c r="K133" s="101">
        <f>VLOOKUP(BDsurtidor!$H133,$T$4:$W$25,4,FALSE)</f>
        <v>1</v>
      </c>
      <c r="L133" s="101">
        <f>VLOOKUP(BDsurtidor!$H133,$T$4:$X$25,5,FALSE)</f>
        <v>0</v>
      </c>
      <c r="M133" s="101" t="str">
        <f>VLOOKUP(BDsurtidor!$H133,$T$4:$Y$25,6,FALSE)</f>
        <v>EPS</v>
      </c>
      <c r="N133" s="101">
        <v>0</v>
      </c>
      <c r="O133" s="125">
        <v>0</v>
      </c>
      <c r="P133" s="126">
        <v>0.36805555555555558</v>
      </c>
      <c r="Q133" s="123" t="s">
        <v>574</v>
      </c>
    </row>
    <row r="134" spans="2:17" x14ac:dyDescent="0.25">
      <c r="B134">
        <f>WEEKNUM(BSURTIDOR[[#This Row],[FECHA]])</f>
        <v>4</v>
      </c>
      <c r="C134">
        <f>MONTH(BSURTIDOR[[#This Row],[FECHA]])</f>
        <v>1</v>
      </c>
      <c r="D134">
        <f>YEAR(BSURTIDOR[[#This Row],[FECHA]])</f>
        <v>2026</v>
      </c>
      <c r="E134" s="124">
        <v>46044</v>
      </c>
      <c r="F134" s="283" t="s">
        <v>548</v>
      </c>
      <c r="G134" s="123">
        <v>5</v>
      </c>
      <c r="H134" s="123" t="s">
        <v>97</v>
      </c>
      <c r="I134" s="101" t="str">
        <f>VLOOKUP(BDsurtidor!$H134,$T$4:$W$18,2,FALSE)</f>
        <v>CISTERNA</v>
      </c>
      <c r="J134" s="101">
        <f>VLOOKUP(BDsurtidor!$H134,$T$4:$W$25,3,FALSE)</f>
        <v>5000</v>
      </c>
      <c r="K134" s="101">
        <f>VLOOKUP(BDsurtidor!$H134,$T$4:$W$25,4,FALSE)</f>
        <v>17</v>
      </c>
      <c r="L134" s="101">
        <f>VLOOKUP(BDsurtidor!$H134,$T$4:$X$25,5,FALSE)</f>
        <v>0.4</v>
      </c>
      <c r="M134" s="101" t="str">
        <f>VLOOKUP(BDsurtidor!$H134,$T$4:$Y$25,6,FALSE)</f>
        <v>EPS</v>
      </c>
      <c r="N134" s="39">
        <v>0</v>
      </c>
      <c r="O134" s="125">
        <v>1.19</v>
      </c>
      <c r="P134" s="126">
        <v>0.34027777777777779</v>
      </c>
      <c r="Q134" s="123" t="s">
        <v>574</v>
      </c>
    </row>
    <row r="135" spans="2:17" x14ac:dyDescent="0.25">
      <c r="B135">
        <f>WEEKNUM(BSURTIDOR[[#This Row],[FECHA]])</f>
        <v>4</v>
      </c>
      <c r="C135">
        <f>MONTH(BSURTIDOR[[#This Row],[FECHA]])</f>
        <v>1</v>
      </c>
      <c r="D135">
        <f>YEAR(BSURTIDOR[[#This Row],[FECHA]])</f>
        <v>2026</v>
      </c>
      <c r="E135" s="124">
        <v>46044</v>
      </c>
      <c r="F135" s="283" t="s">
        <v>548</v>
      </c>
      <c r="G135" s="123">
        <v>6</v>
      </c>
      <c r="H135" s="123" t="s">
        <v>89</v>
      </c>
      <c r="I135" s="101" t="str">
        <f>VLOOKUP(BDsurtidor!$H135,$T$4:$W$18,2,FALSE)</f>
        <v>CISTERNA</v>
      </c>
      <c r="J135" s="101">
        <f>VLOOKUP(BDsurtidor!$H135,$T$4:$W$25,3,FALSE)</f>
        <v>9000</v>
      </c>
      <c r="K135" s="101">
        <f>VLOOKUP(BDsurtidor!$H135,$T$4:$W$25,4,FALSE)</f>
        <v>34</v>
      </c>
      <c r="L135" s="101">
        <f>VLOOKUP(BDsurtidor!$H135,$T$4:$X$25,5,FALSE)</f>
        <v>0.45</v>
      </c>
      <c r="M135" s="101" t="str">
        <f>VLOOKUP(BDsurtidor!$H135,$T$4:$Y$25,6,FALSE)</f>
        <v>VIVIENDA</v>
      </c>
      <c r="N135" s="101">
        <v>0</v>
      </c>
      <c r="O135" s="125">
        <v>1.1499999999999999</v>
      </c>
      <c r="P135" s="126">
        <v>0.4375</v>
      </c>
      <c r="Q135" s="123" t="s">
        <v>574</v>
      </c>
    </row>
    <row r="136" spans="2:17" x14ac:dyDescent="0.25">
      <c r="B136">
        <f>WEEKNUM(BSURTIDOR[[#This Row],[FECHA]])</f>
        <v>4</v>
      </c>
      <c r="C136">
        <f>MONTH(BSURTIDOR[[#This Row],[FECHA]])</f>
        <v>1</v>
      </c>
      <c r="D136">
        <f>YEAR(BSURTIDOR[[#This Row],[FECHA]])</f>
        <v>2026</v>
      </c>
      <c r="E136" s="124">
        <v>46044</v>
      </c>
      <c r="F136" s="283" t="s">
        <v>548</v>
      </c>
      <c r="G136" s="123">
        <v>7</v>
      </c>
      <c r="H136" s="123" t="s">
        <v>100</v>
      </c>
      <c r="I136" s="101" t="str">
        <f>VLOOKUP(BDsurtidor!$H136,$T$4:$W$18,2,FALSE)</f>
        <v>HIDROJET</v>
      </c>
      <c r="J136" s="101">
        <f>VLOOKUP(BDsurtidor!$H136,$T$4:$W$25,3,FALSE)</f>
        <v>1000</v>
      </c>
      <c r="K136" s="101">
        <f>VLOOKUP(BDsurtidor!$H136,$T$4:$W$25,4,FALSE)</f>
        <v>1</v>
      </c>
      <c r="L136" s="101">
        <f>VLOOKUP(BDsurtidor!$H136,$T$4:$X$25,5,FALSE)</f>
        <v>0</v>
      </c>
      <c r="M136" s="101" t="str">
        <f>VLOOKUP(BDsurtidor!$H136,$T$4:$Y$25,6,FALSE)</f>
        <v>EPS</v>
      </c>
      <c r="N136" s="101">
        <v>0</v>
      </c>
      <c r="O136" s="125">
        <v>0</v>
      </c>
      <c r="P136" s="126">
        <v>0.46527777777777779</v>
      </c>
      <c r="Q136" s="123" t="s">
        <v>574</v>
      </c>
    </row>
    <row r="137" spans="2:17" x14ac:dyDescent="0.25">
      <c r="B137">
        <f>WEEKNUM(BSURTIDOR[[#This Row],[FECHA]])</f>
        <v>4</v>
      </c>
      <c r="C137">
        <f>MONTH(BSURTIDOR[[#This Row],[FECHA]])</f>
        <v>1</v>
      </c>
      <c r="D137">
        <f>YEAR(BSURTIDOR[[#This Row],[FECHA]])</f>
        <v>2026</v>
      </c>
      <c r="E137" s="124">
        <v>46044</v>
      </c>
      <c r="F137" s="283" t="s">
        <v>548</v>
      </c>
      <c r="G137" s="123">
        <v>8</v>
      </c>
      <c r="H137" s="123" t="s">
        <v>99</v>
      </c>
      <c r="I137" s="101" t="str">
        <f>VLOOKUP(BDsurtidor!$H137,$T$4:$W$18,2,FALSE)</f>
        <v>CISTERNA</v>
      </c>
      <c r="J137" s="101">
        <f>VLOOKUP(BDsurtidor!$H137,$T$4:$W$25,3,FALSE)</f>
        <v>5000</v>
      </c>
      <c r="K137" s="101">
        <f>VLOOKUP(BDsurtidor!$H137,$T$4:$W$25,4,FALSE)</f>
        <v>17</v>
      </c>
      <c r="L137" s="101">
        <f>VLOOKUP(BDsurtidor!$H137,$T$4:$X$25,5,FALSE)</f>
        <v>0.4</v>
      </c>
      <c r="M137" s="101" t="str">
        <f>VLOOKUP(BDsurtidor!$H137,$T$4:$Y$25,6,FALSE)</f>
        <v>EPS</v>
      </c>
      <c r="N137" s="39">
        <v>0</v>
      </c>
      <c r="O137" s="125">
        <v>1.3</v>
      </c>
      <c r="P137" s="126">
        <v>0.47916666666666669</v>
      </c>
      <c r="Q137" s="123" t="s">
        <v>574</v>
      </c>
    </row>
    <row r="138" spans="2:17" x14ac:dyDescent="0.25">
      <c r="B138">
        <f>WEEKNUM(BSURTIDOR[[#This Row],[FECHA]])</f>
        <v>4</v>
      </c>
      <c r="C138">
        <f>MONTH(BSURTIDOR[[#This Row],[FECHA]])</f>
        <v>1</v>
      </c>
      <c r="D138">
        <f>YEAR(BSURTIDOR[[#This Row],[FECHA]])</f>
        <v>2026</v>
      </c>
      <c r="E138" s="124">
        <v>46045</v>
      </c>
      <c r="F138" s="283" t="s">
        <v>548</v>
      </c>
      <c r="G138" s="123">
        <v>1</v>
      </c>
      <c r="H138" s="123" t="s">
        <v>89</v>
      </c>
      <c r="I138" s="101" t="str">
        <f>VLOOKUP(BDsurtidor!$H138,$T$4:$W$18,2,FALSE)</f>
        <v>CISTERNA</v>
      </c>
      <c r="J138" s="101">
        <f>VLOOKUP(BDsurtidor!$H138,$T$4:$W$25,3,FALSE)</f>
        <v>9000</v>
      </c>
      <c r="K138" s="101">
        <f>VLOOKUP(BDsurtidor!$H138,$T$4:$W$25,4,FALSE)</f>
        <v>34</v>
      </c>
      <c r="L138" s="101">
        <f>VLOOKUP(BDsurtidor!$H138,$T$4:$X$25,5,FALSE)</f>
        <v>0.45</v>
      </c>
      <c r="M138" s="101" t="str">
        <f>VLOOKUP(BDsurtidor!$H138,$T$4:$Y$25,6,FALSE)</f>
        <v>VIVIENDA</v>
      </c>
      <c r="N138" s="101">
        <v>0</v>
      </c>
      <c r="O138" s="125">
        <v>1.17</v>
      </c>
      <c r="P138" s="126">
        <v>0.30763888888888891</v>
      </c>
      <c r="Q138" s="123" t="s">
        <v>574</v>
      </c>
    </row>
    <row r="139" spans="2:17" x14ac:dyDescent="0.25">
      <c r="B139">
        <f>WEEKNUM(BSURTIDOR[[#This Row],[FECHA]])</f>
        <v>4</v>
      </c>
      <c r="C139">
        <f>MONTH(BSURTIDOR[[#This Row],[FECHA]])</f>
        <v>1</v>
      </c>
      <c r="D139">
        <f>YEAR(BSURTIDOR[[#This Row],[FECHA]])</f>
        <v>2026</v>
      </c>
      <c r="E139" s="124">
        <v>46045</v>
      </c>
      <c r="F139" s="283" t="s">
        <v>548</v>
      </c>
      <c r="G139" s="123">
        <v>2</v>
      </c>
      <c r="H139" s="123" t="s">
        <v>100</v>
      </c>
      <c r="I139" s="101" t="str">
        <f>VLOOKUP(BDsurtidor!$H139,$T$4:$W$18,2,FALSE)</f>
        <v>HIDROJET</v>
      </c>
      <c r="J139" s="101">
        <f>VLOOKUP(BDsurtidor!$H139,$T$4:$W$25,3,FALSE)</f>
        <v>1000</v>
      </c>
      <c r="K139" s="101">
        <f>VLOOKUP(BDsurtidor!$H139,$T$4:$W$25,4,FALSE)</f>
        <v>1</v>
      </c>
      <c r="L139" s="101">
        <f>VLOOKUP(BDsurtidor!$H139,$T$4:$X$25,5,FALSE)</f>
        <v>0</v>
      </c>
      <c r="M139" s="101" t="str">
        <f>VLOOKUP(BDsurtidor!$H139,$T$4:$Y$25,6,FALSE)</f>
        <v>EPS</v>
      </c>
      <c r="N139" s="39">
        <v>0</v>
      </c>
      <c r="O139" s="125">
        <v>0</v>
      </c>
      <c r="P139" s="126">
        <v>0.33750000000000002</v>
      </c>
      <c r="Q139" s="123" t="s">
        <v>574</v>
      </c>
    </row>
    <row r="140" spans="2:17" x14ac:dyDescent="0.25">
      <c r="B140">
        <f>WEEKNUM(BSURTIDOR[[#This Row],[FECHA]])</f>
        <v>4</v>
      </c>
      <c r="C140">
        <f>MONTH(BSURTIDOR[[#This Row],[FECHA]])</f>
        <v>1</v>
      </c>
      <c r="D140">
        <f>YEAR(BSURTIDOR[[#This Row],[FECHA]])</f>
        <v>2026</v>
      </c>
      <c r="E140" s="124">
        <v>46045</v>
      </c>
      <c r="F140" s="283" t="s">
        <v>548</v>
      </c>
      <c r="G140" s="123">
        <v>3</v>
      </c>
      <c r="H140" s="123" t="s">
        <v>98</v>
      </c>
      <c r="I140" s="101" t="str">
        <f>VLOOKUP(BDsurtidor!$H140,$T$4:$W$18,2,FALSE)</f>
        <v>CISTERNA</v>
      </c>
      <c r="J140" s="101">
        <f>VLOOKUP(BDsurtidor!$H140,$T$4:$W$25,3,FALSE)</f>
        <v>9000</v>
      </c>
      <c r="K140" s="101">
        <f>VLOOKUP(BDsurtidor!$H140,$T$4:$W$25,4,FALSE)</f>
        <v>34</v>
      </c>
      <c r="L140" s="101">
        <f>VLOOKUP(BDsurtidor!$H140,$T$4:$X$25,5,FALSE)</f>
        <v>0.45</v>
      </c>
      <c r="M140" s="101" t="str">
        <f>VLOOKUP(BDsurtidor!$H140,$T$4:$Y$25,6,FALSE)</f>
        <v>VIVIENDA</v>
      </c>
      <c r="N140" s="101">
        <v>0</v>
      </c>
      <c r="O140" s="125">
        <v>1.08</v>
      </c>
      <c r="P140" s="126">
        <v>0.34861111111111109</v>
      </c>
      <c r="Q140" s="123" t="s">
        <v>574</v>
      </c>
    </row>
    <row r="141" spans="2:17" x14ac:dyDescent="0.25">
      <c r="B141">
        <f>WEEKNUM(BSURTIDOR[[#This Row],[FECHA]])</f>
        <v>4</v>
      </c>
      <c r="C141">
        <f>MONTH(BSURTIDOR[[#This Row],[FECHA]])</f>
        <v>1</v>
      </c>
      <c r="D141">
        <f>YEAR(BSURTIDOR[[#This Row],[FECHA]])</f>
        <v>2026</v>
      </c>
      <c r="E141" s="124">
        <v>46045</v>
      </c>
      <c r="F141" s="283" t="s">
        <v>548</v>
      </c>
      <c r="G141" s="123">
        <v>4</v>
      </c>
      <c r="H141" s="123" t="s">
        <v>97</v>
      </c>
      <c r="I141" s="101" t="str">
        <f>VLOOKUP(BDsurtidor!$H141,$T$4:$W$18,2,FALSE)</f>
        <v>CISTERNA</v>
      </c>
      <c r="J141" s="101">
        <f>VLOOKUP(BDsurtidor!$H141,$T$4:$W$25,3,FALSE)</f>
        <v>5000</v>
      </c>
      <c r="K141" s="101">
        <f>VLOOKUP(BDsurtidor!$H141,$T$4:$W$25,4,FALSE)</f>
        <v>17</v>
      </c>
      <c r="L141" s="101">
        <f>VLOOKUP(BDsurtidor!$H141,$T$4:$X$25,5,FALSE)</f>
        <v>0.4</v>
      </c>
      <c r="M141" s="101" t="str">
        <f>VLOOKUP(BDsurtidor!$H141,$T$4:$Y$25,6,FALSE)</f>
        <v>EPS</v>
      </c>
      <c r="N141" s="101">
        <v>0</v>
      </c>
      <c r="O141" s="125">
        <v>1.18</v>
      </c>
      <c r="P141" s="126">
        <v>0.40069444444444446</v>
      </c>
      <c r="Q141" s="123" t="s">
        <v>574</v>
      </c>
    </row>
    <row r="142" spans="2:17" x14ac:dyDescent="0.25">
      <c r="B142">
        <f>WEEKNUM(BSURTIDOR[[#This Row],[FECHA]])</f>
        <v>4</v>
      </c>
      <c r="C142">
        <f>MONTH(BSURTIDOR[[#This Row],[FECHA]])</f>
        <v>1</v>
      </c>
      <c r="D142">
        <f>YEAR(BSURTIDOR[[#This Row],[FECHA]])</f>
        <v>2026</v>
      </c>
      <c r="E142" s="124">
        <v>46045</v>
      </c>
      <c r="F142" s="283" t="s">
        <v>548</v>
      </c>
      <c r="G142" s="123">
        <v>5</v>
      </c>
      <c r="H142" s="123" t="s">
        <v>99</v>
      </c>
      <c r="I142" s="101" t="str">
        <f>VLOOKUP(BDsurtidor!$H142,$T$4:$W$18,2,FALSE)</f>
        <v>CISTERNA</v>
      </c>
      <c r="J142" s="101">
        <f>VLOOKUP(BDsurtidor!$H142,$T$4:$W$25,3,FALSE)</f>
        <v>5000</v>
      </c>
      <c r="K142" s="101">
        <f>VLOOKUP(BDsurtidor!$H142,$T$4:$W$25,4,FALSE)</f>
        <v>17</v>
      </c>
      <c r="L142" s="101">
        <f>VLOOKUP(BDsurtidor!$H142,$T$4:$X$25,5,FALSE)</f>
        <v>0.4</v>
      </c>
      <c r="M142" s="101" t="str">
        <f>VLOOKUP(BDsurtidor!$H142,$T$4:$Y$25,6,FALSE)</f>
        <v>EPS</v>
      </c>
      <c r="N142" s="39">
        <v>0</v>
      </c>
      <c r="O142" s="125">
        <v>1.1000000000000001</v>
      </c>
      <c r="P142" s="126">
        <v>0.36805555555555558</v>
      </c>
      <c r="Q142" s="123" t="s">
        <v>574</v>
      </c>
    </row>
    <row r="143" spans="2:17" x14ac:dyDescent="0.25">
      <c r="B143">
        <f>WEEKNUM(BSURTIDOR[[#This Row],[FECHA]])</f>
        <v>4</v>
      </c>
      <c r="C143">
        <f>MONTH(BSURTIDOR[[#This Row],[FECHA]])</f>
        <v>1</v>
      </c>
      <c r="D143">
        <f>YEAR(BSURTIDOR[[#This Row],[FECHA]])</f>
        <v>2026</v>
      </c>
      <c r="E143" s="124">
        <v>46045</v>
      </c>
      <c r="F143" s="283" t="s">
        <v>548</v>
      </c>
      <c r="G143" s="123">
        <v>6</v>
      </c>
      <c r="H143" s="123" t="s">
        <v>89</v>
      </c>
      <c r="I143" s="101" t="str">
        <f>VLOOKUP(BDsurtidor!$H143,$T$4:$W$18,2,FALSE)</f>
        <v>CISTERNA</v>
      </c>
      <c r="J143" s="101">
        <f>VLOOKUP(BDsurtidor!$H143,$T$4:$W$25,3,FALSE)</f>
        <v>9000</v>
      </c>
      <c r="K143" s="101">
        <f>VLOOKUP(BDsurtidor!$H143,$T$4:$W$25,4,FALSE)</f>
        <v>34</v>
      </c>
      <c r="L143" s="101">
        <f>VLOOKUP(BDsurtidor!$H143,$T$4:$X$25,5,FALSE)</f>
        <v>0.45</v>
      </c>
      <c r="M143" s="101" t="str">
        <f>VLOOKUP(BDsurtidor!$H143,$T$4:$Y$25,6,FALSE)</f>
        <v>VIVIENDA</v>
      </c>
      <c r="N143" s="101">
        <v>0</v>
      </c>
      <c r="O143" s="125">
        <v>1.19</v>
      </c>
      <c r="P143" s="126">
        <v>0.44513888888888886</v>
      </c>
      <c r="Q143" s="123" t="s">
        <v>574</v>
      </c>
    </row>
    <row r="144" spans="2:17" x14ac:dyDescent="0.25">
      <c r="B144">
        <f>WEEKNUM(BSURTIDOR[[#This Row],[FECHA]])</f>
        <v>4</v>
      </c>
      <c r="C144">
        <f>MONTH(BSURTIDOR[[#This Row],[FECHA]])</f>
        <v>1</v>
      </c>
      <c r="D144">
        <f>YEAR(BSURTIDOR[[#This Row],[FECHA]])</f>
        <v>2026</v>
      </c>
      <c r="E144" s="124">
        <v>46045</v>
      </c>
      <c r="F144" s="283" t="s">
        <v>548</v>
      </c>
      <c r="G144" s="123">
        <v>7</v>
      </c>
      <c r="H144" s="123" t="s">
        <v>97</v>
      </c>
      <c r="I144" s="101" t="str">
        <f>VLOOKUP(BDsurtidor!$H144,$T$4:$W$18,2,FALSE)</f>
        <v>CISTERNA</v>
      </c>
      <c r="J144" s="101">
        <f>VLOOKUP(BDsurtidor!$H144,$T$4:$W$25,3,FALSE)</f>
        <v>5000</v>
      </c>
      <c r="K144" s="101">
        <f>VLOOKUP(BDsurtidor!$H144,$T$4:$W$25,4,FALSE)</f>
        <v>17</v>
      </c>
      <c r="L144" s="101">
        <f>VLOOKUP(BDsurtidor!$H144,$T$4:$X$25,5,FALSE)</f>
        <v>0.4</v>
      </c>
      <c r="M144" s="101" t="str">
        <f>VLOOKUP(BDsurtidor!$H144,$T$4:$Y$25,6,FALSE)</f>
        <v>EPS</v>
      </c>
      <c r="N144" s="39">
        <v>0</v>
      </c>
      <c r="O144" s="125">
        <v>1.22</v>
      </c>
      <c r="P144" s="126">
        <v>0.52430555555555558</v>
      </c>
      <c r="Q144" s="123" t="s">
        <v>574</v>
      </c>
    </row>
    <row r="145" spans="2:17" x14ac:dyDescent="0.25">
      <c r="B145">
        <f>WEEKNUM(BSURTIDOR[[#This Row],[FECHA]])</f>
        <v>4</v>
      </c>
      <c r="C145">
        <f>MONTH(BSURTIDOR[[#This Row],[FECHA]])</f>
        <v>1</v>
      </c>
      <c r="D145">
        <f>YEAR(BSURTIDOR[[#This Row],[FECHA]])</f>
        <v>2026</v>
      </c>
      <c r="E145" s="124">
        <v>46046</v>
      </c>
      <c r="F145" s="283" t="s">
        <v>548</v>
      </c>
      <c r="G145" s="123">
        <v>1</v>
      </c>
      <c r="H145" s="123" t="s">
        <v>89</v>
      </c>
      <c r="I145" s="101" t="str">
        <f>VLOOKUP(BDsurtidor!$H145,$T$4:$W$18,2,FALSE)</f>
        <v>CISTERNA</v>
      </c>
      <c r="J145" s="101">
        <f>VLOOKUP(BDsurtidor!$H145,$T$4:$W$25,3,FALSE)</f>
        <v>9000</v>
      </c>
      <c r="K145" s="101">
        <f>VLOOKUP(BDsurtidor!$H145,$T$4:$W$25,4,FALSE)</f>
        <v>34</v>
      </c>
      <c r="L145" s="101">
        <f>VLOOKUP(BDsurtidor!$H145,$T$4:$X$25,5,FALSE)</f>
        <v>0.45</v>
      </c>
      <c r="M145" s="101" t="str">
        <f>VLOOKUP(BDsurtidor!$H145,$T$4:$Y$25,6,FALSE)</f>
        <v>VIVIENDA</v>
      </c>
      <c r="N145" s="101">
        <v>0</v>
      </c>
      <c r="O145" s="125">
        <v>1.18</v>
      </c>
      <c r="P145" s="126">
        <v>0.30625000000000002</v>
      </c>
      <c r="Q145" s="123" t="s">
        <v>574</v>
      </c>
    </row>
    <row r="146" spans="2:17" x14ac:dyDescent="0.25">
      <c r="B146">
        <f>WEEKNUM(BSURTIDOR[[#This Row],[FECHA]])</f>
        <v>4</v>
      </c>
      <c r="C146">
        <f>MONTH(BSURTIDOR[[#This Row],[FECHA]])</f>
        <v>1</v>
      </c>
      <c r="D146">
        <f>YEAR(BSURTIDOR[[#This Row],[FECHA]])</f>
        <v>2026</v>
      </c>
      <c r="E146" s="124">
        <v>46046</v>
      </c>
      <c r="F146" s="283" t="s">
        <v>548</v>
      </c>
      <c r="G146" s="123">
        <v>2</v>
      </c>
      <c r="H146" s="123" t="s">
        <v>99</v>
      </c>
      <c r="I146" s="101" t="str">
        <f>VLOOKUP(BDsurtidor!$H146,$T$4:$W$18,2,FALSE)</f>
        <v>CISTERNA</v>
      </c>
      <c r="J146" s="101">
        <f>VLOOKUP(BDsurtidor!$H146,$T$4:$W$25,3,FALSE)</f>
        <v>5000</v>
      </c>
      <c r="K146" s="101">
        <f>VLOOKUP(BDsurtidor!$H146,$T$4:$W$25,4,FALSE)</f>
        <v>17</v>
      </c>
      <c r="L146" s="101">
        <f>VLOOKUP(BDsurtidor!$H146,$T$4:$X$25,5,FALSE)</f>
        <v>0.4</v>
      </c>
      <c r="M146" s="101" t="str">
        <f>VLOOKUP(BDsurtidor!$H146,$T$4:$Y$25,6,FALSE)</f>
        <v>EPS</v>
      </c>
      <c r="N146" s="101">
        <v>0</v>
      </c>
      <c r="O146" s="125">
        <v>1.08</v>
      </c>
      <c r="P146" s="126">
        <v>0.31666666666666665</v>
      </c>
      <c r="Q146" s="123" t="s">
        <v>574</v>
      </c>
    </row>
    <row r="147" spans="2:17" x14ac:dyDescent="0.25">
      <c r="B147">
        <f>WEEKNUM(BSURTIDOR[[#This Row],[FECHA]])</f>
        <v>4</v>
      </c>
      <c r="C147">
        <f>MONTH(BSURTIDOR[[#This Row],[FECHA]])</f>
        <v>1</v>
      </c>
      <c r="D147">
        <f>YEAR(BSURTIDOR[[#This Row],[FECHA]])</f>
        <v>2026</v>
      </c>
      <c r="E147" s="124">
        <v>46046</v>
      </c>
      <c r="F147" s="283" t="s">
        <v>548</v>
      </c>
      <c r="G147" s="123">
        <v>3</v>
      </c>
      <c r="H147" s="123" t="s">
        <v>97</v>
      </c>
      <c r="I147" s="101" t="str">
        <f>VLOOKUP(BDsurtidor!$H147,$T$4:$W$18,2,FALSE)</f>
        <v>CISTERNA</v>
      </c>
      <c r="J147" s="101">
        <f>VLOOKUP(BDsurtidor!$H147,$T$4:$W$25,3,FALSE)</f>
        <v>5000</v>
      </c>
      <c r="K147" s="101">
        <f>VLOOKUP(BDsurtidor!$H147,$T$4:$W$25,4,FALSE)</f>
        <v>17</v>
      </c>
      <c r="L147" s="101">
        <f>VLOOKUP(BDsurtidor!$H147,$T$4:$X$25,5,FALSE)</f>
        <v>0.4</v>
      </c>
      <c r="M147" s="101" t="str">
        <f>VLOOKUP(BDsurtidor!$H147,$T$4:$Y$25,6,FALSE)</f>
        <v>EPS</v>
      </c>
      <c r="N147" s="39">
        <v>0</v>
      </c>
      <c r="O147" s="125">
        <v>1.1200000000000001</v>
      </c>
      <c r="P147" s="126">
        <v>0.32569444444444445</v>
      </c>
      <c r="Q147" s="123" t="s">
        <v>574</v>
      </c>
    </row>
    <row r="148" spans="2:17" x14ac:dyDescent="0.25">
      <c r="B148">
        <f>WEEKNUM(BSURTIDOR[[#This Row],[FECHA]])</f>
        <v>4</v>
      </c>
      <c r="C148">
        <f>MONTH(BSURTIDOR[[#This Row],[FECHA]])</f>
        <v>1</v>
      </c>
      <c r="D148">
        <f>YEAR(BSURTIDOR[[#This Row],[FECHA]])</f>
        <v>2026</v>
      </c>
      <c r="E148" s="124">
        <v>46046</v>
      </c>
      <c r="F148" s="283" t="s">
        <v>548</v>
      </c>
      <c r="G148" s="123">
        <v>4</v>
      </c>
      <c r="H148" s="123" t="s">
        <v>558</v>
      </c>
      <c r="I148" s="101" t="str">
        <f>VLOOKUP(BDsurtidor!$H148,$T$4:$W$18,2,FALSE)</f>
        <v>HIDROJET</v>
      </c>
      <c r="J148" s="101">
        <f>VLOOKUP(BDsurtidor!$H148,$T$4:$W$25,3,FALSE)</f>
        <v>1000</v>
      </c>
      <c r="K148" s="101">
        <f>VLOOKUP(BDsurtidor!$H148,$T$4:$W$25,4,FALSE)</f>
        <v>1</v>
      </c>
      <c r="L148" s="101">
        <f>VLOOKUP(BDsurtidor!$H148,$T$4:$X$25,5,FALSE)</f>
        <v>0</v>
      </c>
      <c r="M148" s="101" t="str">
        <f>VLOOKUP(BDsurtidor!$H148,$T$4:$Y$25,6,FALSE)</f>
        <v>EPS</v>
      </c>
      <c r="N148" s="101">
        <v>0</v>
      </c>
      <c r="O148" s="125">
        <v>0</v>
      </c>
      <c r="P148" s="126">
        <v>0.33333333333333331</v>
      </c>
      <c r="Q148" s="123" t="s">
        <v>574</v>
      </c>
    </row>
    <row r="149" spans="2:17" x14ac:dyDescent="0.25">
      <c r="B149">
        <f>WEEKNUM(BSURTIDOR[[#This Row],[FECHA]])</f>
        <v>4</v>
      </c>
      <c r="C149">
        <f>MONTH(BSURTIDOR[[#This Row],[FECHA]])</f>
        <v>1</v>
      </c>
      <c r="D149">
        <f>YEAR(BSURTIDOR[[#This Row],[FECHA]])</f>
        <v>2026</v>
      </c>
      <c r="E149" s="124">
        <v>46046</v>
      </c>
      <c r="F149" s="283" t="s">
        <v>548</v>
      </c>
      <c r="G149" s="123">
        <v>5</v>
      </c>
      <c r="H149" s="123" t="s">
        <v>88</v>
      </c>
      <c r="I149" s="101" t="str">
        <f>VLOOKUP(BDsurtidor!$H149,$T$4:$W$18,2,FALSE)</f>
        <v>CISTERNA</v>
      </c>
      <c r="J149" s="101">
        <f>VLOOKUP(BDsurtidor!$H149,$T$4:$W$25,3,FALSE)</f>
        <v>5000</v>
      </c>
      <c r="K149" s="101">
        <f>VLOOKUP(BDsurtidor!$H149,$T$4:$W$25,4,FALSE)</f>
        <v>17</v>
      </c>
      <c r="L149" s="101">
        <f>VLOOKUP(BDsurtidor!$H149,$T$4:$X$25,5,FALSE)</f>
        <v>0.4</v>
      </c>
      <c r="M149" s="101" t="str">
        <f>VLOOKUP(BDsurtidor!$H149,$T$4:$Y$25,6,FALSE)</f>
        <v>EPS</v>
      </c>
      <c r="N149" s="39">
        <v>0</v>
      </c>
      <c r="O149" s="125">
        <v>1.1000000000000001</v>
      </c>
      <c r="P149" s="126">
        <v>0.35694444444444445</v>
      </c>
      <c r="Q149" s="123" t="s">
        <v>574</v>
      </c>
    </row>
    <row r="150" spans="2:17" x14ac:dyDescent="0.25">
      <c r="B150">
        <f>WEEKNUM(BSURTIDOR[[#This Row],[FECHA]])</f>
        <v>4</v>
      </c>
      <c r="C150">
        <f>MONTH(BSURTIDOR[[#This Row],[FECHA]])</f>
        <v>1</v>
      </c>
      <c r="D150">
        <f>YEAR(BSURTIDOR[[#This Row],[FECHA]])</f>
        <v>2026</v>
      </c>
      <c r="E150" s="124">
        <v>46046</v>
      </c>
      <c r="F150" s="283" t="s">
        <v>548</v>
      </c>
      <c r="G150" s="123">
        <v>6</v>
      </c>
      <c r="H150" s="123" t="s">
        <v>89</v>
      </c>
      <c r="I150" s="101" t="str">
        <f>VLOOKUP(BDsurtidor!$H150,$T$4:$W$18,2,FALSE)</f>
        <v>CISTERNA</v>
      </c>
      <c r="J150" s="101">
        <f>VLOOKUP(BDsurtidor!$H150,$T$4:$W$25,3,FALSE)</f>
        <v>9000</v>
      </c>
      <c r="K150" s="101">
        <f>VLOOKUP(BDsurtidor!$H150,$T$4:$W$25,4,FALSE)</f>
        <v>34</v>
      </c>
      <c r="L150" s="101">
        <f>VLOOKUP(BDsurtidor!$H150,$T$4:$X$25,5,FALSE)</f>
        <v>0.45</v>
      </c>
      <c r="M150" s="101" t="str">
        <f>VLOOKUP(BDsurtidor!$H150,$T$4:$Y$25,6,FALSE)</f>
        <v>VIVIENDA</v>
      </c>
      <c r="N150" s="101">
        <v>0</v>
      </c>
      <c r="O150" s="125">
        <v>1.19</v>
      </c>
      <c r="P150" s="126">
        <v>0.43055555555555558</v>
      </c>
      <c r="Q150" s="123" t="s">
        <v>574</v>
      </c>
    </row>
    <row r="151" spans="2:17" x14ac:dyDescent="0.25">
      <c r="B151">
        <f>WEEKNUM(BSURTIDOR[[#This Row],[FECHA]])</f>
        <v>4</v>
      </c>
      <c r="C151">
        <f>MONTH(BSURTIDOR[[#This Row],[FECHA]])</f>
        <v>1</v>
      </c>
      <c r="D151">
        <f>YEAR(BSURTIDOR[[#This Row],[FECHA]])</f>
        <v>2026</v>
      </c>
      <c r="E151" s="124">
        <v>46046</v>
      </c>
      <c r="F151" s="283" t="s">
        <v>548</v>
      </c>
      <c r="G151" s="123">
        <v>7</v>
      </c>
      <c r="H151" s="123" t="s">
        <v>97</v>
      </c>
      <c r="I151" s="101" t="str">
        <f>VLOOKUP(BDsurtidor!$H151,$T$4:$W$18,2,FALSE)</f>
        <v>CISTERNA</v>
      </c>
      <c r="J151" s="101">
        <f>VLOOKUP(BDsurtidor!$H151,$T$4:$W$25,3,FALSE)</f>
        <v>5000</v>
      </c>
      <c r="K151" s="101">
        <f>VLOOKUP(BDsurtidor!$H151,$T$4:$W$25,4,FALSE)</f>
        <v>17</v>
      </c>
      <c r="L151" s="101">
        <f>VLOOKUP(BDsurtidor!$H151,$T$4:$X$25,5,FALSE)</f>
        <v>0.4</v>
      </c>
      <c r="M151" s="101" t="str">
        <f>VLOOKUP(BDsurtidor!$H151,$T$4:$Y$25,6,FALSE)</f>
        <v>EPS</v>
      </c>
      <c r="N151" s="101">
        <v>0</v>
      </c>
      <c r="O151" s="125">
        <v>1.22</v>
      </c>
      <c r="P151" s="126">
        <v>0.4465277777777778</v>
      </c>
      <c r="Q151" s="123" t="s">
        <v>574</v>
      </c>
    </row>
    <row r="152" spans="2:17" x14ac:dyDescent="0.25">
      <c r="B152">
        <f>WEEKNUM(BSURTIDOR[[#This Row],[FECHA]])</f>
        <v>4</v>
      </c>
      <c r="C152">
        <f>MONTH(BSURTIDOR[[#This Row],[FECHA]])</f>
        <v>1</v>
      </c>
      <c r="D152">
        <f>YEAR(BSURTIDOR[[#This Row],[FECHA]])</f>
        <v>2026</v>
      </c>
      <c r="E152" s="124">
        <v>46046</v>
      </c>
      <c r="F152" s="283" t="s">
        <v>548</v>
      </c>
      <c r="G152" s="123">
        <v>8</v>
      </c>
      <c r="H152" s="123" t="s">
        <v>88</v>
      </c>
      <c r="I152" s="101" t="str">
        <f>VLOOKUP(BDsurtidor!$H152,$T$4:$W$18,2,FALSE)</f>
        <v>CISTERNA</v>
      </c>
      <c r="J152" s="101">
        <f>VLOOKUP(BDsurtidor!$H152,$T$4:$W$25,3,FALSE)</f>
        <v>5000</v>
      </c>
      <c r="K152" s="101">
        <f>VLOOKUP(BDsurtidor!$H152,$T$4:$W$25,4,FALSE)</f>
        <v>17</v>
      </c>
      <c r="L152" s="101">
        <f>VLOOKUP(BDsurtidor!$H152,$T$4:$X$25,5,FALSE)</f>
        <v>0.4</v>
      </c>
      <c r="M152" s="101" t="str">
        <f>VLOOKUP(BDsurtidor!$H152,$T$4:$Y$25,6,FALSE)</f>
        <v>EPS</v>
      </c>
      <c r="N152" s="39">
        <v>0</v>
      </c>
      <c r="O152" s="125">
        <v>1.1100000000000001</v>
      </c>
      <c r="P152" s="126">
        <v>0.51597222222222228</v>
      </c>
      <c r="Q152" s="123" t="s">
        <v>574</v>
      </c>
    </row>
    <row r="153" spans="2:17" x14ac:dyDescent="0.25">
      <c r="B153">
        <f>WEEKNUM(BSURTIDOR[[#This Row],[FECHA]])</f>
        <v>4</v>
      </c>
      <c r="C153">
        <f>MONTH(BSURTIDOR[[#This Row],[FECHA]])</f>
        <v>1</v>
      </c>
      <c r="D153">
        <f>YEAR(BSURTIDOR[[#This Row],[FECHA]])</f>
        <v>2026</v>
      </c>
      <c r="E153" s="124">
        <v>46046</v>
      </c>
      <c r="F153" s="283" t="s">
        <v>548</v>
      </c>
      <c r="G153" s="123">
        <v>9</v>
      </c>
      <c r="H153" s="123" t="s">
        <v>99</v>
      </c>
      <c r="I153" s="101" t="str">
        <f>VLOOKUP(BDsurtidor!$H153,$T$4:$W$18,2,FALSE)</f>
        <v>CISTERNA</v>
      </c>
      <c r="J153" s="101">
        <f>VLOOKUP(BDsurtidor!$H153,$T$4:$W$25,3,FALSE)</f>
        <v>5000</v>
      </c>
      <c r="K153" s="101">
        <f>VLOOKUP(BDsurtidor!$H153,$T$4:$W$25,4,FALSE)</f>
        <v>17</v>
      </c>
      <c r="L153" s="101">
        <f>VLOOKUP(BDsurtidor!$H153,$T$4:$X$25,5,FALSE)</f>
        <v>0.4</v>
      </c>
      <c r="M153" s="101" t="str">
        <f>VLOOKUP(BDsurtidor!$H153,$T$4:$Y$25,6,FALSE)</f>
        <v>EPS</v>
      </c>
      <c r="N153" s="101">
        <v>0</v>
      </c>
      <c r="O153" s="125">
        <v>1.1000000000000001</v>
      </c>
      <c r="P153" s="126">
        <v>0.52708333333333335</v>
      </c>
      <c r="Q153" s="123" t="s">
        <v>574</v>
      </c>
    </row>
    <row r="154" spans="2:17" x14ac:dyDescent="0.25">
      <c r="B154">
        <f>WEEKNUM(BSURTIDOR[[#This Row],[FECHA]])</f>
        <v>4</v>
      </c>
      <c r="C154">
        <f>MONTH(BSURTIDOR[[#This Row],[FECHA]])</f>
        <v>1</v>
      </c>
      <c r="D154">
        <f>YEAR(BSURTIDOR[[#This Row],[FECHA]])</f>
        <v>2026</v>
      </c>
      <c r="E154" s="124">
        <v>46046</v>
      </c>
      <c r="F154" s="283" t="s">
        <v>548</v>
      </c>
      <c r="G154" s="123">
        <v>10</v>
      </c>
      <c r="H154" s="123" t="s">
        <v>89</v>
      </c>
      <c r="I154" s="101" t="str">
        <f>VLOOKUP(BDsurtidor!$H154,$T$4:$W$18,2,FALSE)</f>
        <v>CISTERNA</v>
      </c>
      <c r="J154" s="101">
        <f>VLOOKUP(BDsurtidor!$H154,$T$4:$W$25,3,FALSE)</f>
        <v>9000</v>
      </c>
      <c r="K154" s="101">
        <f>VLOOKUP(BDsurtidor!$H154,$T$4:$W$25,4,FALSE)</f>
        <v>34</v>
      </c>
      <c r="L154" s="101">
        <f>VLOOKUP(BDsurtidor!$H154,$T$4:$X$25,5,FALSE)</f>
        <v>0.45</v>
      </c>
      <c r="M154" s="101" t="str">
        <f>VLOOKUP(BDsurtidor!$H154,$T$4:$Y$25,6,FALSE)</f>
        <v>VIVIENDA</v>
      </c>
      <c r="N154" s="39">
        <v>0</v>
      </c>
      <c r="O154" s="125">
        <v>1.1200000000000001</v>
      </c>
      <c r="P154" s="126">
        <v>0.5625</v>
      </c>
      <c r="Q154" s="123" t="s">
        <v>574</v>
      </c>
    </row>
    <row r="155" spans="2:17" x14ac:dyDescent="0.25">
      <c r="B155">
        <f>WEEKNUM(BSURTIDOR[[#This Row],[FECHA]])</f>
        <v>5</v>
      </c>
      <c r="C155">
        <f>MONTH(BSURTIDOR[[#This Row],[FECHA]])</f>
        <v>1</v>
      </c>
      <c r="D155">
        <f>YEAR(BSURTIDOR[[#This Row],[FECHA]])</f>
        <v>2026</v>
      </c>
      <c r="E155" s="124">
        <v>46048</v>
      </c>
      <c r="F155" s="283" t="s">
        <v>548</v>
      </c>
      <c r="G155" s="123">
        <v>1</v>
      </c>
      <c r="H155" s="123" t="s">
        <v>99</v>
      </c>
      <c r="I155" s="101" t="str">
        <f>VLOOKUP(BDsurtidor!$H155,$T$4:$W$18,2,FALSE)</f>
        <v>CISTERNA</v>
      </c>
      <c r="J155" s="101">
        <f>VLOOKUP(BDsurtidor!$H155,$T$4:$W$25,3,FALSE)</f>
        <v>5000</v>
      </c>
      <c r="K155" s="101">
        <f>VLOOKUP(BDsurtidor!$H155,$T$4:$W$25,4,FALSE)</f>
        <v>17</v>
      </c>
      <c r="L155" s="101">
        <f>VLOOKUP(BDsurtidor!$H155,$T$4:$X$25,5,FALSE)</f>
        <v>0.4</v>
      </c>
      <c r="M155" s="101" t="str">
        <f>VLOOKUP(BDsurtidor!$H155,$T$4:$Y$25,6,FALSE)</f>
        <v>EPS</v>
      </c>
      <c r="N155" s="39">
        <v>0</v>
      </c>
      <c r="O155" s="125">
        <v>1.56</v>
      </c>
      <c r="P155" s="126">
        <v>0.31111111111111112</v>
      </c>
      <c r="Q155" s="123" t="s">
        <v>574</v>
      </c>
    </row>
    <row r="156" spans="2:17" x14ac:dyDescent="0.25">
      <c r="B156">
        <f>WEEKNUM(BSURTIDOR[[#This Row],[FECHA]])</f>
        <v>5</v>
      </c>
      <c r="C156">
        <f>MONTH(BSURTIDOR[[#This Row],[FECHA]])</f>
        <v>1</v>
      </c>
      <c r="D156">
        <f>YEAR(BSURTIDOR[[#This Row],[FECHA]])</f>
        <v>2026</v>
      </c>
      <c r="E156" s="124">
        <v>46048</v>
      </c>
      <c r="F156" s="283" t="s">
        <v>548</v>
      </c>
      <c r="G156" s="123">
        <v>2</v>
      </c>
      <c r="H156" s="123" t="s">
        <v>97</v>
      </c>
      <c r="I156" s="101" t="str">
        <f>VLOOKUP(BDsurtidor!$H156,$T$4:$W$18,2,FALSE)</f>
        <v>CISTERNA</v>
      </c>
      <c r="J156" s="101">
        <f>VLOOKUP(BDsurtidor!$H156,$T$4:$W$25,3,FALSE)</f>
        <v>5000</v>
      </c>
      <c r="K156" s="101">
        <f>VLOOKUP(BDsurtidor!$H156,$T$4:$W$25,4,FALSE)</f>
        <v>17</v>
      </c>
      <c r="L156" s="101">
        <f>VLOOKUP(BDsurtidor!$H156,$T$4:$X$25,5,FALSE)</f>
        <v>0.4</v>
      </c>
      <c r="M156" s="101" t="str">
        <f>VLOOKUP(BDsurtidor!$H156,$T$4:$Y$25,6,FALSE)</f>
        <v>EPS</v>
      </c>
      <c r="N156" s="101">
        <v>0</v>
      </c>
      <c r="O156" s="125">
        <v>1.41</v>
      </c>
      <c r="P156" s="126">
        <v>0.31666666666666665</v>
      </c>
      <c r="Q156" s="123" t="s">
        <v>574</v>
      </c>
    </row>
    <row r="157" spans="2:17" x14ac:dyDescent="0.25">
      <c r="B157">
        <f>WEEKNUM(BSURTIDOR[[#This Row],[FECHA]])</f>
        <v>5</v>
      </c>
      <c r="C157">
        <f>MONTH(BSURTIDOR[[#This Row],[FECHA]])</f>
        <v>1</v>
      </c>
      <c r="D157">
        <f>YEAR(BSURTIDOR[[#This Row],[FECHA]])</f>
        <v>2026</v>
      </c>
      <c r="E157" s="124">
        <v>46048</v>
      </c>
      <c r="F157" s="283" t="s">
        <v>548</v>
      </c>
      <c r="G157" s="123">
        <v>3</v>
      </c>
      <c r="H157" s="123" t="s">
        <v>89</v>
      </c>
      <c r="I157" s="101" t="str">
        <f>VLOOKUP(BDsurtidor!$H157,$T$4:$W$18,2,FALSE)</f>
        <v>CISTERNA</v>
      </c>
      <c r="J157" s="101">
        <f>VLOOKUP(BDsurtidor!$H157,$T$4:$W$25,3,FALSE)</f>
        <v>9000</v>
      </c>
      <c r="K157" s="101">
        <f>VLOOKUP(BDsurtidor!$H157,$T$4:$W$25,4,FALSE)</f>
        <v>34</v>
      </c>
      <c r="L157" s="101">
        <f>VLOOKUP(BDsurtidor!$H157,$T$4:$X$25,5,FALSE)</f>
        <v>0.45</v>
      </c>
      <c r="M157" s="101" t="str">
        <f>VLOOKUP(BDsurtidor!$H157,$T$4:$Y$25,6,FALSE)</f>
        <v>VIVIENDA</v>
      </c>
      <c r="N157" s="39">
        <v>0</v>
      </c>
      <c r="O157" s="125">
        <v>1.28</v>
      </c>
      <c r="P157" s="126">
        <v>0.32291666666666669</v>
      </c>
      <c r="Q157" s="123" t="s">
        <v>574</v>
      </c>
    </row>
    <row r="158" spans="2:17" x14ac:dyDescent="0.25">
      <c r="B158">
        <f>WEEKNUM(BSURTIDOR[[#This Row],[FECHA]])</f>
        <v>5</v>
      </c>
      <c r="C158">
        <f>MONTH(BSURTIDOR[[#This Row],[FECHA]])</f>
        <v>1</v>
      </c>
      <c r="D158">
        <f>YEAR(BSURTIDOR[[#This Row],[FECHA]])</f>
        <v>2026</v>
      </c>
      <c r="E158" s="124">
        <v>46048</v>
      </c>
      <c r="F158" s="283" t="s">
        <v>548</v>
      </c>
      <c r="G158" s="123">
        <v>4</v>
      </c>
      <c r="H158" s="123" t="s">
        <v>558</v>
      </c>
      <c r="I158" s="101" t="str">
        <f>VLOOKUP(BDsurtidor!$H158,$T$4:$W$18,2,FALSE)</f>
        <v>HIDROJET</v>
      </c>
      <c r="J158" s="101">
        <f>VLOOKUP(BDsurtidor!$H158,$T$4:$W$25,3,FALSE)</f>
        <v>1000</v>
      </c>
      <c r="K158" s="101">
        <f>VLOOKUP(BDsurtidor!$H158,$T$4:$W$25,4,FALSE)</f>
        <v>1</v>
      </c>
      <c r="L158" s="101">
        <f>VLOOKUP(BDsurtidor!$H158,$T$4:$X$25,5,FALSE)</f>
        <v>0</v>
      </c>
      <c r="M158" s="101" t="str">
        <f>VLOOKUP(BDsurtidor!$H158,$T$4:$Y$25,6,FALSE)</f>
        <v>EPS</v>
      </c>
      <c r="N158" s="39">
        <v>0</v>
      </c>
      <c r="O158" s="125">
        <v>0</v>
      </c>
      <c r="P158" s="126">
        <v>0.33333333333333331</v>
      </c>
      <c r="Q158" s="123" t="s">
        <v>574</v>
      </c>
    </row>
    <row r="159" spans="2:17" x14ac:dyDescent="0.25">
      <c r="B159">
        <f>WEEKNUM(BSURTIDOR[[#This Row],[FECHA]])</f>
        <v>5</v>
      </c>
      <c r="C159">
        <f>MONTH(BSURTIDOR[[#This Row],[FECHA]])</f>
        <v>1</v>
      </c>
      <c r="D159">
        <f>YEAR(BSURTIDOR[[#This Row],[FECHA]])</f>
        <v>2026</v>
      </c>
      <c r="E159" s="124">
        <v>46048</v>
      </c>
      <c r="F159" s="283" t="s">
        <v>548</v>
      </c>
      <c r="G159" s="123">
        <v>5</v>
      </c>
      <c r="H159" s="123" t="s">
        <v>90</v>
      </c>
      <c r="I159" s="101" t="str">
        <f>VLOOKUP(BDsurtidor!$H159,$T$4:$W$18,2,FALSE)</f>
        <v>CISTERNA</v>
      </c>
      <c r="J159" s="101">
        <f>VLOOKUP(BDsurtidor!$H159,$T$4:$W$25,3,FALSE)</f>
        <v>5000</v>
      </c>
      <c r="K159" s="101">
        <f>VLOOKUP(BDsurtidor!$H159,$T$4:$W$25,4,FALSE)</f>
        <v>17</v>
      </c>
      <c r="L159" s="101">
        <f>VLOOKUP(BDsurtidor!$H159,$T$4:$X$25,5,FALSE)</f>
        <v>0.4</v>
      </c>
      <c r="M159" s="101" t="str">
        <f>VLOOKUP(BDsurtidor!$H159,$T$4:$Y$25,6,FALSE)</f>
        <v>EPS</v>
      </c>
      <c r="N159" s="101">
        <v>0</v>
      </c>
      <c r="O159" s="125">
        <v>1.1399999999999999</v>
      </c>
      <c r="P159" s="126">
        <v>0.37152777777777779</v>
      </c>
      <c r="Q159" s="123" t="s">
        <v>574</v>
      </c>
    </row>
    <row r="160" spans="2:17" x14ac:dyDescent="0.25">
      <c r="B160">
        <f>WEEKNUM(BSURTIDOR[[#This Row],[FECHA]])</f>
        <v>5</v>
      </c>
      <c r="C160">
        <f>MONTH(BSURTIDOR[[#This Row],[FECHA]])</f>
        <v>1</v>
      </c>
      <c r="D160">
        <f>YEAR(BSURTIDOR[[#This Row],[FECHA]])</f>
        <v>2026</v>
      </c>
      <c r="E160" s="124">
        <v>46048</v>
      </c>
      <c r="F160" s="283" t="s">
        <v>548</v>
      </c>
      <c r="G160" s="123">
        <v>6</v>
      </c>
      <c r="H160" s="123" t="s">
        <v>89</v>
      </c>
      <c r="I160" s="101" t="str">
        <f>VLOOKUP(BDsurtidor!$H160,$T$4:$W$18,2,FALSE)</f>
        <v>CISTERNA</v>
      </c>
      <c r="J160" s="101">
        <f>VLOOKUP(BDsurtidor!$H160,$T$4:$W$25,3,FALSE)</f>
        <v>9000</v>
      </c>
      <c r="K160" s="101">
        <f>VLOOKUP(BDsurtidor!$H160,$T$4:$W$25,4,FALSE)</f>
        <v>34</v>
      </c>
      <c r="L160" s="101">
        <f>VLOOKUP(BDsurtidor!$H160,$T$4:$X$25,5,FALSE)</f>
        <v>0.45</v>
      </c>
      <c r="M160" s="101" t="str">
        <f>VLOOKUP(BDsurtidor!$H160,$T$4:$Y$25,6,FALSE)</f>
        <v>VIVIENDA</v>
      </c>
      <c r="N160" s="39">
        <v>0</v>
      </c>
      <c r="O160" s="125">
        <v>1.1499999999999999</v>
      </c>
      <c r="P160" s="126">
        <v>0.44791666666666669</v>
      </c>
      <c r="Q160" s="123" t="s">
        <v>574</v>
      </c>
    </row>
    <row r="161" spans="2:17" x14ac:dyDescent="0.25">
      <c r="B161">
        <f>WEEKNUM(BSURTIDOR[[#This Row],[FECHA]])</f>
        <v>5</v>
      </c>
      <c r="C161">
        <f>MONTH(BSURTIDOR[[#This Row],[FECHA]])</f>
        <v>1</v>
      </c>
      <c r="D161">
        <f>YEAR(BSURTIDOR[[#This Row],[FECHA]])</f>
        <v>2026</v>
      </c>
      <c r="E161" s="124">
        <v>46048</v>
      </c>
      <c r="F161" s="283" t="s">
        <v>548</v>
      </c>
      <c r="G161" s="123">
        <v>7</v>
      </c>
      <c r="H161" s="123" t="s">
        <v>99</v>
      </c>
      <c r="I161" s="101" t="str">
        <f>VLOOKUP(BDsurtidor!$H161,$T$4:$W$18,2,FALSE)</f>
        <v>CISTERNA</v>
      </c>
      <c r="J161" s="101">
        <f>VLOOKUP(BDsurtidor!$H161,$T$4:$W$25,3,FALSE)</f>
        <v>5000</v>
      </c>
      <c r="K161" s="101">
        <f>VLOOKUP(BDsurtidor!$H161,$T$4:$W$25,4,FALSE)</f>
        <v>17</v>
      </c>
      <c r="L161" s="101">
        <f>VLOOKUP(BDsurtidor!$H161,$T$4:$X$25,5,FALSE)</f>
        <v>0.4</v>
      </c>
      <c r="M161" s="101" t="str">
        <f>VLOOKUP(BDsurtidor!$H161,$T$4:$Y$25,6,FALSE)</f>
        <v>EPS</v>
      </c>
      <c r="N161" s="39">
        <v>0</v>
      </c>
      <c r="O161" s="125">
        <v>1.4</v>
      </c>
      <c r="P161" s="126">
        <v>0.45902777777777776</v>
      </c>
      <c r="Q161" s="123" t="s">
        <v>574</v>
      </c>
    </row>
    <row r="162" spans="2:17" x14ac:dyDescent="0.25">
      <c r="B162">
        <f>WEEKNUM(BSURTIDOR[[#This Row],[FECHA]])</f>
        <v>5</v>
      </c>
      <c r="C162">
        <f>MONTH(BSURTIDOR[[#This Row],[FECHA]])</f>
        <v>1</v>
      </c>
      <c r="D162">
        <f>YEAR(BSURTIDOR[[#This Row],[FECHA]])</f>
        <v>2026</v>
      </c>
      <c r="E162" s="124">
        <v>46048</v>
      </c>
      <c r="F162" s="283" t="s">
        <v>548</v>
      </c>
      <c r="G162" s="123">
        <v>8</v>
      </c>
      <c r="H162" s="123" t="s">
        <v>97</v>
      </c>
      <c r="I162" s="101" t="str">
        <f>VLOOKUP(BDsurtidor!$H162,$T$4:$W$18,2,FALSE)</f>
        <v>CISTERNA</v>
      </c>
      <c r="J162" s="101">
        <f>VLOOKUP(BDsurtidor!$H162,$T$4:$W$25,3,FALSE)</f>
        <v>5000</v>
      </c>
      <c r="K162" s="101">
        <f>VLOOKUP(BDsurtidor!$H162,$T$4:$W$25,4,FALSE)</f>
        <v>17</v>
      </c>
      <c r="L162" s="101">
        <f>VLOOKUP(BDsurtidor!$H162,$T$4:$X$25,5,FALSE)</f>
        <v>0.4</v>
      </c>
      <c r="M162" s="101" t="str">
        <f>VLOOKUP(BDsurtidor!$H162,$T$4:$Y$25,6,FALSE)</f>
        <v>EPS</v>
      </c>
      <c r="N162" s="101">
        <v>0</v>
      </c>
      <c r="O162" s="125">
        <v>1.3</v>
      </c>
      <c r="P162" s="126">
        <v>0.46875</v>
      </c>
      <c r="Q162" s="123" t="s">
        <v>574</v>
      </c>
    </row>
    <row r="163" spans="2:17" x14ac:dyDescent="0.25">
      <c r="B163">
        <f>WEEKNUM(BSURTIDOR[[#This Row],[FECHA]])</f>
        <v>5</v>
      </c>
      <c r="C163">
        <f>MONTH(BSURTIDOR[[#This Row],[FECHA]])</f>
        <v>1</v>
      </c>
      <c r="D163">
        <f>YEAR(BSURTIDOR[[#This Row],[FECHA]])</f>
        <v>2026</v>
      </c>
      <c r="E163" s="124">
        <v>46049</v>
      </c>
      <c r="F163" s="283" t="s">
        <v>548</v>
      </c>
      <c r="G163" s="123">
        <v>1</v>
      </c>
      <c r="H163" s="123" t="s">
        <v>89</v>
      </c>
      <c r="I163" s="101" t="str">
        <f>VLOOKUP(BDsurtidor!$H163,$T$4:$W$18,2,FALSE)</f>
        <v>CISTERNA</v>
      </c>
      <c r="J163" s="101">
        <f>VLOOKUP(BDsurtidor!$H163,$T$4:$W$25,3,FALSE)</f>
        <v>9000</v>
      </c>
      <c r="K163" s="101">
        <f>VLOOKUP(BDsurtidor!$H163,$T$4:$W$25,4,FALSE)</f>
        <v>34</v>
      </c>
      <c r="L163" s="101">
        <f>VLOOKUP(BDsurtidor!$H163,$T$4:$X$25,5,FALSE)</f>
        <v>0.45</v>
      </c>
      <c r="M163" s="101" t="str">
        <f>VLOOKUP(BDsurtidor!$H163,$T$4:$Y$25,6,FALSE)</f>
        <v>VIVIENDA</v>
      </c>
      <c r="N163" s="39">
        <v>0</v>
      </c>
      <c r="O163" s="125">
        <v>1.1399999999999999</v>
      </c>
      <c r="P163" s="126">
        <v>0.31319444444444444</v>
      </c>
      <c r="Q163" s="123" t="s">
        <v>574</v>
      </c>
    </row>
    <row r="164" spans="2:17" x14ac:dyDescent="0.25">
      <c r="B164">
        <f>WEEKNUM(BSURTIDOR[[#This Row],[FECHA]])</f>
        <v>5</v>
      </c>
      <c r="C164">
        <f>MONTH(BSURTIDOR[[#This Row],[FECHA]])</f>
        <v>1</v>
      </c>
      <c r="D164">
        <f>YEAR(BSURTIDOR[[#This Row],[FECHA]])</f>
        <v>2026</v>
      </c>
      <c r="E164" s="124">
        <v>46049</v>
      </c>
      <c r="F164" s="283" t="s">
        <v>548</v>
      </c>
      <c r="G164" s="123">
        <v>2</v>
      </c>
      <c r="H164" s="123" t="s">
        <v>99</v>
      </c>
      <c r="I164" s="101" t="str">
        <f>VLOOKUP(BDsurtidor!$H164,$T$4:$W$18,2,FALSE)</f>
        <v>CISTERNA</v>
      </c>
      <c r="J164" s="101">
        <f>VLOOKUP(BDsurtidor!$H164,$T$4:$W$25,3,FALSE)</f>
        <v>5000</v>
      </c>
      <c r="K164" s="101">
        <f>VLOOKUP(BDsurtidor!$H164,$T$4:$W$25,4,FALSE)</f>
        <v>17</v>
      </c>
      <c r="L164" s="101">
        <f>VLOOKUP(BDsurtidor!$H164,$T$4:$X$25,5,FALSE)</f>
        <v>0.4</v>
      </c>
      <c r="M164" s="101" t="str">
        <f>VLOOKUP(BDsurtidor!$H164,$T$4:$Y$25,6,FALSE)</f>
        <v>EPS</v>
      </c>
      <c r="N164" s="39">
        <v>0</v>
      </c>
      <c r="O164" s="125">
        <v>1.2</v>
      </c>
      <c r="P164" s="126">
        <v>0.33055555555555555</v>
      </c>
      <c r="Q164" s="123" t="s">
        <v>574</v>
      </c>
    </row>
    <row r="165" spans="2:17" x14ac:dyDescent="0.25">
      <c r="B165">
        <f>WEEKNUM(BSURTIDOR[[#This Row],[FECHA]])</f>
        <v>5</v>
      </c>
      <c r="C165">
        <f>MONTH(BSURTIDOR[[#This Row],[FECHA]])</f>
        <v>1</v>
      </c>
      <c r="D165">
        <f>YEAR(BSURTIDOR[[#This Row],[FECHA]])</f>
        <v>2026</v>
      </c>
      <c r="E165" s="124">
        <v>46049</v>
      </c>
      <c r="F165" s="283" t="s">
        <v>548</v>
      </c>
      <c r="G165" s="123">
        <v>3</v>
      </c>
      <c r="H165" s="123" t="s">
        <v>100</v>
      </c>
      <c r="I165" s="101" t="str">
        <f>VLOOKUP(BDsurtidor!$H165,$T$4:$W$18,2,FALSE)</f>
        <v>HIDROJET</v>
      </c>
      <c r="J165" s="101">
        <f>VLOOKUP(BDsurtidor!$H165,$T$4:$W$25,3,FALSE)</f>
        <v>1000</v>
      </c>
      <c r="K165" s="101">
        <f>VLOOKUP(BDsurtidor!$H165,$T$4:$W$25,4,FALSE)</f>
        <v>1</v>
      </c>
      <c r="L165" s="101">
        <f>VLOOKUP(BDsurtidor!$H165,$T$4:$X$25,5,FALSE)</f>
        <v>0</v>
      </c>
      <c r="M165" s="101" t="str">
        <f>VLOOKUP(BDsurtidor!$H165,$T$4:$Y$25,6,FALSE)</f>
        <v>EPS</v>
      </c>
      <c r="N165" s="101">
        <v>0</v>
      </c>
      <c r="O165" s="309">
        <v>0</v>
      </c>
      <c r="P165" s="126">
        <v>0.33541666666666664</v>
      </c>
      <c r="Q165" s="123" t="s">
        <v>574</v>
      </c>
    </row>
    <row r="166" spans="2:17" x14ac:dyDescent="0.25">
      <c r="B166">
        <f>WEEKNUM(BSURTIDOR[[#This Row],[FECHA]])</f>
        <v>5</v>
      </c>
      <c r="C166">
        <f>MONTH(BSURTIDOR[[#This Row],[FECHA]])</f>
        <v>1</v>
      </c>
      <c r="D166">
        <f>YEAR(BSURTIDOR[[#This Row],[FECHA]])</f>
        <v>2026</v>
      </c>
      <c r="E166" s="124">
        <v>46049</v>
      </c>
      <c r="F166" s="283" t="s">
        <v>548</v>
      </c>
      <c r="G166" s="123">
        <v>4</v>
      </c>
      <c r="H166" s="123" t="s">
        <v>90</v>
      </c>
      <c r="I166" s="101" t="str">
        <f>VLOOKUP(BDsurtidor!$H166,$T$4:$W$18,2,FALSE)</f>
        <v>CISTERNA</v>
      </c>
      <c r="J166" s="101">
        <f>VLOOKUP(BDsurtidor!$H166,$T$4:$W$25,3,FALSE)</f>
        <v>5000</v>
      </c>
      <c r="K166" s="101">
        <f>VLOOKUP(BDsurtidor!$H166,$T$4:$W$25,4,FALSE)</f>
        <v>17</v>
      </c>
      <c r="L166" s="101">
        <f>VLOOKUP(BDsurtidor!$H166,$T$4:$X$25,5,FALSE)</f>
        <v>0.4</v>
      </c>
      <c r="M166" s="101" t="str">
        <f>VLOOKUP(BDsurtidor!$H166,$T$4:$Y$25,6,FALSE)</f>
        <v>EPS</v>
      </c>
      <c r="N166" s="39">
        <v>0</v>
      </c>
      <c r="O166" s="125">
        <v>1.1000000000000001</v>
      </c>
      <c r="P166" s="126">
        <v>0.34583333333333333</v>
      </c>
      <c r="Q166" s="123" t="s">
        <v>574</v>
      </c>
    </row>
    <row r="167" spans="2:17" x14ac:dyDescent="0.25">
      <c r="B167">
        <f>WEEKNUM(BSURTIDOR[[#This Row],[FECHA]])</f>
        <v>5</v>
      </c>
      <c r="C167">
        <f>MONTH(BSURTIDOR[[#This Row],[FECHA]])</f>
        <v>1</v>
      </c>
      <c r="D167">
        <f>YEAR(BSURTIDOR[[#This Row],[FECHA]])</f>
        <v>2026</v>
      </c>
      <c r="E167" s="124">
        <v>46049</v>
      </c>
      <c r="F167" s="283" t="s">
        <v>548</v>
      </c>
      <c r="G167" s="123">
        <v>5</v>
      </c>
      <c r="H167" s="123" t="s">
        <v>97</v>
      </c>
      <c r="I167" s="101" t="str">
        <f>VLOOKUP(BDsurtidor!$H167,$T$4:$W$18,2,FALSE)</f>
        <v>CISTERNA</v>
      </c>
      <c r="J167" s="101">
        <f>VLOOKUP(BDsurtidor!$H167,$T$4:$W$25,3,FALSE)</f>
        <v>5000</v>
      </c>
      <c r="K167" s="101">
        <f>VLOOKUP(BDsurtidor!$H167,$T$4:$W$25,4,FALSE)</f>
        <v>17</v>
      </c>
      <c r="L167" s="101">
        <f>VLOOKUP(BDsurtidor!$H167,$T$4:$X$25,5,FALSE)</f>
        <v>0.4</v>
      </c>
      <c r="M167" s="101" t="str">
        <f>VLOOKUP(BDsurtidor!$H167,$T$4:$Y$25,6,FALSE)</f>
        <v>EPS</v>
      </c>
      <c r="N167" s="39">
        <v>0</v>
      </c>
      <c r="O167" s="125">
        <v>1.21</v>
      </c>
      <c r="P167" s="126">
        <v>0.35208333333333336</v>
      </c>
      <c r="Q167" s="123" t="s">
        <v>574</v>
      </c>
    </row>
    <row r="168" spans="2:17" x14ac:dyDescent="0.25">
      <c r="B168">
        <f>WEEKNUM(BSURTIDOR[[#This Row],[FECHA]])</f>
        <v>5</v>
      </c>
      <c r="C168">
        <f>MONTH(BSURTIDOR[[#This Row],[FECHA]])</f>
        <v>1</v>
      </c>
      <c r="D168">
        <f>YEAR(BSURTIDOR[[#This Row],[FECHA]])</f>
        <v>2026</v>
      </c>
      <c r="E168" s="124">
        <v>46049</v>
      </c>
      <c r="F168" s="283" t="s">
        <v>548</v>
      </c>
      <c r="G168" s="123">
        <v>6</v>
      </c>
      <c r="H168" s="123" t="s">
        <v>90</v>
      </c>
      <c r="I168" s="101" t="str">
        <f>VLOOKUP(BDsurtidor!$H168,$T$4:$W$18,2,FALSE)</f>
        <v>CISTERNA</v>
      </c>
      <c r="J168" s="101">
        <f>VLOOKUP(BDsurtidor!$H168,$T$4:$W$25,3,FALSE)</f>
        <v>5000</v>
      </c>
      <c r="K168" s="101">
        <f>VLOOKUP(BDsurtidor!$H168,$T$4:$W$25,4,FALSE)</f>
        <v>17</v>
      </c>
      <c r="L168" s="101">
        <f>VLOOKUP(BDsurtidor!$H168,$T$4:$X$25,5,FALSE)</f>
        <v>0.4</v>
      </c>
      <c r="M168" s="101" t="str">
        <f>VLOOKUP(BDsurtidor!$H168,$T$4:$Y$25,6,FALSE)</f>
        <v>EPS</v>
      </c>
      <c r="N168" s="101">
        <v>0</v>
      </c>
      <c r="O168" s="125">
        <v>1.17</v>
      </c>
      <c r="P168" s="126">
        <v>0.4513888888888889</v>
      </c>
      <c r="Q168" s="123" t="s">
        <v>574</v>
      </c>
    </row>
    <row r="169" spans="2:17" x14ac:dyDescent="0.25">
      <c r="B169">
        <f>WEEKNUM(BSURTIDOR[[#This Row],[FECHA]])</f>
        <v>5</v>
      </c>
      <c r="C169">
        <f>MONTH(BSURTIDOR[[#This Row],[FECHA]])</f>
        <v>1</v>
      </c>
      <c r="D169">
        <f>YEAR(BSURTIDOR[[#This Row],[FECHA]])</f>
        <v>2026</v>
      </c>
      <c r="E169" s="124">
        <v>46049</v>
      </c>
      <c r="F169" s="283" t="s">
        <v>548</v>
      </c>
      <c r="G169" s="123">
        <v>7</v>
      </c>
      <c r="H169" s="123" t="s">
        <v>97</v>
      </c>
      <c r="I169" s="101" t="str">
        <f>VLOOKUP(BDsurtidor!$H169,$T$4:$W$18,2,FALSE)</f>
        <v>CISTERNA</v>
      </c>
      <c r="J169" s="101">
        <f>VLOOKUP(BDsurtidor!$H169,$T$4:$W$25,3,FALSE)</f>
        <v>5000</v>
      </c>
      <c r="K169" s="101">
        <f>VLOOKUP(BDsurtidor!$H169,$T$4:$W$25,4,FALSE)</f>
        <v>17</v>
      </c>
      <c r="L169" s="101">
        <f>VLOOKUP(BDsurtidor!$H169,$T$4:$X$25,5,FALSE)</f>
        <v>0.4</v>
      </c>
      <c r="M169" s="101" t="str">
        <f>VLOOKUP(BDsurtidor!$H169,$T$4:$Y$25,6,FALSE)</f>
        <v>EPS</v>
      </c>
      <c r="N169" s="39">
        <v>0</v>
      </c>
      <c r="O169" s="125">
        <v>1.2</v>
      </c>
      <c r="P169" s="126">
        <v>0.46250000000000002</v>
      </c>
      <c r="Q169" s="123" t="s">
        <v>574</v>
      </c>
    </row>
    <row r="170" spans="2:17" x14ac:dyDescent="0.25">
      <c r="B170">
        <f>WEEKNUM(BSURTIDOR[[#This Row],[FECHA]])</f>
        <v>5</v>
      </c>
      <c r="C170">
        <f>MONTH(BSURTIDOR[[#This Row],[FECHA]])</f>
        <v>1</v>
      </c>
      <c r="D170">
        <f>YEAR(BSURTIDOR[[#This Row],[FECHA]])</f>
        <v>2026</v>
      </c>
      <c r="E170" s="124">
        <v>46049</v>
      </c>
      <c r="F170" s="283" t="s">
        <v>548</v>
      </c>
      <c r="G170" s="123">
        <v>8</v>
      </c>
      <c r="H170" s="123" t="s">
        <v>99</v>
      </c>
      <c r="I170" s="101" t="str">
        <f>VLOOKUP(BDsurtidor!$H170,$T$4:$W$18,2,FALSE)</f>
        <v>CISTERNA</v>
      </c>
      <c r="J170" s="101">
        <f>VLOOKUP(BDsurtidor!$H170,$T$4:$W$25,3,FALSE)</f>
        <v>5000</v>
      </c>
      <c r="K170" s="101">
        <f>VLOOKUP(BDsurtidor!$H170,$T$4:$W$25,4,FALSE)</f>
        <v>17</v>
      </c>
      <c r="L170" s="101">
        <f>VLOOKUP(BDsurtidor!$H170,$T$4:$X$25,5,FALSE)</f>
        <v>0.4</v>
      </c>
      <c r="M170" s="101" t="str">
        <f>VLOOKUP(BDsurtidor!$H170,$T$4:$Y$25,6,FALSE)</f>
        <v>EPS</v>
      </c>
      <c r="N170" s="39">
        <v>0</v>
      </c>
      <c r="O170" s="125">
        <v>1.27</v>
      </c>
      <c r="P170" s="126">
        <v>0.47916666666666669</v>
      </c>
      <c r="Q170" s="123" t="s">
        <v>574</v>
      </c>
    </row>
    <row r="171" spans="2:17" x14ac:dyDescent="0.25">
      <c r="B171">
        <f>WEEKNUM(BSURTIDOR[[#This Row],[FECHA]])</f>
        <v>5</v>
      </c>
      <c r="C171">
        <f>MONTH(BSURTIDOR[[#This Row],[FECHA]])</f>
        <v>1</v>
      </c>
      <c r="D171">
        <f>YEAR(BSURTIDOR[[#This Row],[FECHA]])</f>
        <v>2026</v>
      </c>
      <c r="E171" s="124">
        <v>46049</v>
      </c>
      <c r="F171" s="283" t="s">
        <v>548</v>
      </c>
      <c r="G171" s="123">
        <v>9</v>
      </c>
      <c r="H171" s="123" t="s">
        <v>100</v>
      </c>
      <c r="I171" s="101" t="str">
        <f>VLOOKUP(BDsurtidor!$H171,$T$4:$W$18,2,FALSE)</f>
        <v>HIDROJET</v>
      </c>
      <c r="J171" s="101">
        <f>VLOOKUP(BDsurtidor!$H171,$T$4:$W$25,3,FALSE)</f>
        <v>1000</v>
      </c>
      <c r="K171" s="101">
        <f>VLOOKUP(BDsurtidor!$H171,$T$4:$W$25,4,FALSE)</f>
        <v>1</v>
      </c>
      <c r="L171" s="101">
        <f>VLOOKUP(BDsurtidor!$H171,$T$4:$X$25,5,FALSE)</f>
        <v>0</v>
      </c>
      <c r="M171" s="101" t="str">
        <f>VLOOKUP(BDsurtidor!$H171,$T$4:$Y$25,6,FALSE)</f>
        <v>EPS</v>
      </c>
      <c r="N171" s="101">
        <v>0</v>
      </c>
      <c r="O171" s="125">
        <v>0</v>
      </c>
      <c r="P171" s="126">
        <v>0.5</v>
      </c>
      <c r="Q171" s="123" t="s">
        <v>574</v>
      </c>
    </row>
    <row r="172" spans="2:17" x14ac:dyDescent="0.25">
      <c r="B172">
        <f>WEEKNUM(BSURTIDOR[[#This Row],[FECHA]])</f>
        <v>5</v>
      </c>
      <c r="C172">
        <f>MONTH(BSURTIDOR[[#This Row],[FECHA]])</f>
        <v>1</v>
      </c>
      <c r="D172">
        <f>YEAR(BSURTIDOR[[#This Row],[FECHA]])</f>
        <v>2026</v>
      </c>
      <c r="E172" s="124">
        <v>46049</v>
      </c>
      <c r="F172" s="283" t="s">
        <v>548</v>
      </c>
      <c r="G172" s="123">
        <v>10</v>
      </c>
      <c r="H172" s="123" t="s">
        <v>89</v>
      </c>
      <c r="I172" s="101" t="str">
        <f>VLOOKUP(BDsurtidor!$H172,$T$4:$W$18,2,FALSE)</f>
        <v>CISTERNA</v>
      </c>
      <c r="J172" s="101">
        <f>VLOOKUP(BDsurtidor!$H172,$T$4:$W$25,3,FALSE)</f>
        <v>9000</v>
      </c>
      <c r="K172" s="101">
        <f>VLOOKUP(BDsurtidor!$H172,$T$4:$W$25,4,FALSE)</f>
        <v>34</v>
      </c>
      <c r="L172" s="101">
        <f>VLOOKUP(BDsurtidor!$H172,$T$4:$X$25,5,FALSE)</f>
        <v>0.45</v>
      </c>
      <c r="M172" s="101" t="str">
        <f>VLOOKUP(BDsurtidor!$H172,$T$4:$Y$25,6,FALSE)</f>
        <v>VIVIENDA</v>
      </c>
      <c r="N172" s="39">
        <v>0</v>
      </c>
      <c r="O172" s="125">
        <v>1.24</v>
      </c>
      <c r="P172" s="126">
        <v>0.51527777777777772</v>
      </c>
      <c r="Q172" s="123" t="s">
        <v>574</v>
      </c>
    </row>
    <row r="173" spans="2:17" x14ac:dyDescent="0.25">
      <c r="B173">
        <f>WEEKNUM(BSURTIDOR[[#This Row],[FECHA]])</f>
        <v>5</v>
      </c>
      <c r="C173">
        <f>MONTH(BSURTIDOR[[#This Row],[FECHA]])</f>
        <v>1</v>
      </c>
      <c r="D173">
        <f>YEAR(BSURTIDOR[[#This Row],[FECHA]])</f>
        <v>2026</v>
      </c>
      <c r="E173" s="124">
        <v>46050</v>
      </c>
      <c r="F173" s="283" t="s">
        <v>548</v>
      </c>
      <c r="G173" s="123">
        <v>1</v>
      </c>
      <c r="H173" s="123" t="s">
        <v>89</v>
      </c>
      <c r="I173" s="101" t="str">
        <f>VLOOKUP(BDsurtidor!$H173,$T$4:$W$18,2,FALSE)</f>
        <v>CISTERNA</v>
      </c>
      <c r="J173" s="101">
        <f>VLOOKUP(BDsurtidor!$H173,$T$4:$W$25,3,FALSE)</f>
        <v>9000</v>
      </c>
      <c r="K173" s="101">
        <f>VLOOKUP(BDsurtidor!$H173,$T$4:$W$25,4,FALSE)</f>
        <v>34</v>
      </c>
      <c r="L173" s="101">
        <f>VLOOKUP(BDsurtidor!$H173,$T$4:$X$25,5,FALSE)</f>
        <v>0.45</v>
      </c>
      <c r="M173" s="101" t="str">
        <f>VLOOKUP(BDsurtidor!$H173,$T$4:$Y$25,6,FALSE)</f>
        <v>VIVIENDA</v>
      </c>
      <c r="N173" s="39">
        <v>0</v>
      </c>
      <c r="O173" s="125">
        <v>1.1599999999999999</v>
      </c>
      <c r="P173" s="126">
        <v>0.30625000000000002</v>
      </c>
      <c r="Q173" s="123" t="s">
        <v>574</v>
      </c>
    </row>
    <row r="174" spans="2:17" x14ac:dyDescent="0.25">
      <c r="B174">
        <f>WEEKNUM(BSURTIDOR[[#This Row],[FECHA]])</f>
        <v>5</v>
      </c>
      <c r="C174">
        <f>MONTH(BSURTIDOR[[#This Row],[FECHA]])</f>
        <v>1</v>
      </c>
      <c r="D174">
        <f>YEAR(BSURTIDOR[[#This Row],[FECHA]])</f>
        <v>2026</v>
      </c>
      <c r="E174" s="124">
        <v>46050</v>
      </c>
      <c r="F174" s="283" t="s">
        <v>548</v>
      </c>
      <c r="G174" s="123">
        <v>2</v>
      </c>
      <c r="H174" s="123" t="s">
        <v>90</v>
      </c>
      <c r="I174" s="101" t="str">
        <f>VLOOKUP(BDsurtidor!$H174,$T$4:$W$18,2,FALSE)</f>
        <v>CISTERNA</v>
      </c>
      <c r="J174" s="101">
        <f>VLOOKUP(BDsurtidor!$H174,$T$4:$W$25,3,FALSE)</f>
        <v>5000</v>
      </c>
      <c r="K174" s="101">
        <f>VLOOKUP(BDsurtidor!$H174,$T$4:$W$25,4,FALSE)</f>
        <v>17</v>
      </c>
      <c r="L174" s="101">
        <f>VLOOKUP(BDsurtidor!$H174,$T$4:$X$25,5,FALSE)</f>
        <v>0.4</v>
      </c>
      <c r="M174" s="101" t="str">
        <f>VLOOKUP(BDsurtidor!$H174,$T$4:$Y$25,6,FALSE)</f>
        <v>EPS</v>
      </c>
      <c r="N174" s="101">
        <v>0</v>
      </c>
      <c r="O174" s="125">
        <v>1.22</v>
      </c>
      <c r="P174" s="126">
        <v>0.32222222222222224</v>
      </c>
      <c r="Q174" s="123" t="s">
        <v>574</v>
      </c>
    </row>
    <row r="175" spans="2:17" x14ac:dyDescent="0.25">
      <c r="B175">
        <f>WEEKNUM(BSURTIDOR[[#This Row],[FECHA]])</f>
        <v>5</v>
      </c>
      <c r="C175">
        <f>MONTH(BSURTIDOR[[#This Row],[FECHA]])</f>
        <v>1</v>
      </c>
      <c r="D175">
        <f>YEAR(BSURTIDOR[[#This Row],[FECHA]])</f>
        <v>2026</v>
      </c>
      <c r="E175" s="124">
        <v>46050</v>
      </c>
      <c r="F175" s="283" t="s">
        <v>548</v>
      </c>
      <c r="G175" s="123">
        <v>3</v>
      </c>
      <c r="H175" s="123" t="s">
        <v>100</v>
      </c>
      <c r="I175" s="101" t="str">
        <f>VLOOKUP(BDsurtidor!$H175,$T$4:$W$18,2,FALSE)</f>
        <v>HIDROJET</v>
      </c>
      <c r="J175" s="101">
        <f>VLOOKUP(BDsurtidor!$H175,$T$4:$W$25,3,FALSE)</f>
        <v>1000</v>
      </c>
      <c r="K175" s="101">
        <f>VLOOKUP(BDsurtidor!$H175,$T$4:$W$25,4,FALSE)</f>
        <v>1</v>
      </c>
      <c r="L175" s="101">
        <f>VLOOKUP(BDsurtidor!$H175,$T$4:$X$25,5,FALSE)</f>
        <v>0</v>
      </c>
      <c r="M175" s="101" t="str">
        <f>VLOOKUP(BDsurtidor!$H175,$T$4:$Y$25,6,FALSE)</f>
        <v>EPS</v>
      </c>
      <c r="N175" s="39">
        <v>0</v>
      </c>
      <c r="O175" s="125">
        <v>0</v>
      </c>
      <c r="P175" s="126">
        <v>0.32916666666666666</v>
      </c>
      <c r="Q175" s="123" t="s">
        <v>574</v>
      </c>
    </row>
    <row r="176" spans="2:17" x14ac:dyDescent="0.25">
      <c r="B176">
        <f>WEEKNUM(BSURTIDOR[[#This Row],[FECHA]])</f>
        <v>5</v>
      </c>
      <c r="C176">
        <f>MONTH(BSURTIDOR[[#This Row],[FECHA]])</f>
        <v>1</v>
      </c>
      <c r="D176">
        <f>YEAR(BSURTIDOR[[#This Row],[FECHA]])</f>
        <v>2026</v>
      </c>
      <c r="E176" s="124">
        <v>46050</v>
      </c>
      <c r="F176" s="283" t="s">
        <v>548</v>
      </c>
      <c r="G176" s="123">
        <v>4</v>
      </c>
      <c r="H176" s="123" t="s">
        <v>97</v>
      </c>
      <c r="I176" s="101" t="str">
        <f>VLOOKUP(BDsurtidor!$H176,$T$4:$W$18,2,FALSE)</f>
        <v>CISTERNA</v>
      </c>
      <c r="J176" s="101">
        <f>VLOOKUP(BDsurtidor!$H176,$T$4:$W$25,3,FALSE)</f>
        <v>5000</v>
      </c>
      <c r="K176" s="101">
        <f>VLOOKUP(BDsurtidor!$H176,$T$4:$W$25,4,FALSE)</f>
        <v>17</v>
      </c>
      <c r="L176" s="101">
        <f>VLOOKUP(BDsurtidor!$H176,$T$4:$X$25,5,FALSE)</f>
        <v>0.4</v>
      </c>
      <c r="M176" s="101" t="str">
        <f>VLOOKUP(BDsurtidor!$H176,$T$4:$Y$25,6,FALSE)</f>
        <v>EPS</v>
      </c>
      <c r="N176" s="39">
        <v>0</v>
      </c>
      <c r="O176" s="125">
        <v>1.17</v>
      </c>
      <c r="P176" s="126">
        <v>0.34027777777777779</v>
      </c>
      <c r="Q176" s="123" t="s">
        <v>574</v>
      </c>
    </row>
    <row r="177" spans="2:17" x14ac:dyDescent="0.25">
      <c r="B177">
        <f>WEEKNUM(BSURTIDOR[[#This Row],[FECHA]])</f>
        <v>5</v>
      </c>
      <c r="C177">
        <f>MONTH(BSURTIDOR[[#This Row],[FECHA]])</f>
        <v>1</v>
      </c>
      <c r="D177">
        <f>YEAR(BSURTIDOR[[#This Row],[FECHA]])</f>
        <v>2026</v>
      </c>
      <c r="E177" s="124">
        <v>46050</v>
      </c>
      <c r="F177" s="283" t="s">
        <v>548</v>
      </c>
      <c r="G177" s="123">
        <v>5</v>
      </c>
      <c r="H177" s="123" t="s">
        <v>99</v>
      </c>
      <c r="I177" s="101" t="str">
        <f>VLOOKUP(BDsurtidor!$H177,$T$4:$W$18,2,FALSE)</f>
        <v>CISTERNA</v>
      </c>
      <c r="J177" s="101">
        <f>VLOOKUP(BDsurtidor!$H177,$T$4:$W$25,3,FALSE)</f>
        <v>5000</v>
      </c>
      <c r="K177" s="101">
        <f>VLOOKUP(BDsurtidor!$H177,$T$4:$W$25,4,FALSE)</f>
        <v>17</v>
      </c>
      <c r="L177" s="101">
        <f>VLOOKUP(BDsurtidor!$H177,$T$4:$X$25,5,FALSE)</f>
        <v>0.4</v>
      </c>
      <c r="M177" s="101" t="str">
        <f>VLOOKUP(BDsurtidor!$H177,$T$4:$Y$25,6,FALSE)</f>
        <v>EPS</v>
      </c>
      <c r="N177" s="101">
        <v>0</v>
      </c>
      <c r="O177" s="125">
        <v>1.1200000000000001</v>
      </c>
      <c r="P177" s="126">
        <v>0.35069444444444442</v>
      </c>
      <c r="Q177" s="123" t="s">
        <v>574</v>
      </c>
    </row>
    <row r="178" spans="2:17" x14ac:dyDescent="0.25">
      <c r="B178">
        <f>WEEKNUM(BSURTIDOR[[#This Row],[FECHA]])</f>
        <v>5</v>
      </c>
      <c r="C178">
        <f>MONTH(BSURTIDOR[[#This Row],[FECHA]])</f>
        <v>1</v>
      </c>
      <c r="D178">
        <f>YEAR(BSURTIDOR[[#This Row],[FECHA]])</f>
        <v>2026</v>
      </c>
      <c r="E178" s="124">
        <v>46050</v>
      </c>
      <c r="F178" s="283" t="s">
        <v>548</v>
      </c>
      <c r="G178" s="123">
        <v>6</v>
      </c>
      <c r="H178" s="123" t="s">
        <v>90</v>
      </c>
      <c r="I178" s="101" t="str">
        <f>VLOOKUP(BDsurtidor!$H178,$T$4:$W$18,2,FALSE)</f>
        <v>CISTERNA</v>
      </c>
      <c r="J178" s="101">
        <f>VLOOKUP(BDsurtidor!$H178,$T$4:$W$25,3,FALSE)</f>
        <v>5000</v>
      </c>
      <c r="K178" s="101">
        <f>VLOOKUP(BDsurtidor!$H178,$T$4:$W$25,4,FALSE)</f>
        <v>17</v>
      </c>
      <c r="L178" s="101">
        <f>VLOOKUP(BDsurtidor!$H178,$T$4:$X$25,5,FALSE)</f>
        <v>0.4</v>
      </c>
      <c r="M178" s="101" t="str">
        <f>VLOOKUP(BDsurtidor!$H178,$T$4:$Y$25,6,FALSE)</f>
        <v>EPS</v>
      </c>
      <c r="N178" s="39">
        <v>0</v>
      </c>
      <c r="O178" s="125">
        <v>1.1599999999999999</v>
      </c>
      <c r="P178" s="126">
        <v>0.43541666666666667</v>
      </c>
      <c r="Q178" s="123" t="s">
        <v>574</v>
      </c>
    </row>
    <row r="179" spans="2:17" x14ac:dyDescent="0.25">
      <c r="B179">
        <f>WEEKNUM(BSURTIDOR[[#This Row],[FECHA]])</f>
        <v>5</v>
      </c>
      <c r="C179">
        <f>MONTH(BSURTIDOR[[#This Row],[FECHA]])</f>
        <v>1</v>
      </c>
      <c r="D179">
        <f>YEAR(BSURTIDOR[[#This Row],[FECHA]])</f>
        <v>2026</v>
      </c>
      <c r="E179" s="124">
        <v>46050</v>
      </c>
      <c r="F179" s="283" t="s">
        <v>548</v>
      </c>
      <c r="G179" s="123">
        <v>7</v>
      </c>
      <c r="H179" s="123" t="s">
        <v>89</v>
      </c>
      <c r="I179" s="101" t="str">
        <f>VLOOKUP(BDsurtidor!$H179,$T$4:$W$18,2,FALSE)</f>
        <v>CISTERNA</v>
      </c>
      <c r="J179" s="101">
        <f>VLOOKUP(BDsurtidor!$H179,$T$4:$W$25,3,FALSE)</f>
        <v>9000</v>
      </c>
      <c r="K179" s="101">
        <f>VLOOKUP(BDsurtidor!$H179,$T$4:$W$25,4,FALSE)</f>
        <v>34</v>
      </c>
      <c r="L179" s="101">
        <f>VLOOKUP(BDsurtidor!$H179,$T$4:$X$25,5,FALSE)</f>
        <v>0.45</v>
      </c>
      <c r="M179" s="101" t="str">
        <f>VLOOKUP(BDsurtidor!$H179,$T$4:$Y$25,6,FALSE)</f>
        <v>VIVIENDA</v>
      </c>
      <c r="N179" s="39">
        <v>0</v>
      </c>
      <c r="O179" s="125">
        <v>1.23</v>
      </c>
      <c r="P179" s="126">
        <v>0.44583333333333336</v>
      </c>
      <c r="Q179" s="123" t="s">
        <v>574</v>
      </c>
    </row>
    <row r="180" spans="2:17" x14ac:dyDescent="0.25">
      <c r="B180">
        <f>WEEKNUM(BSURTIDOR[[#This Row],[FECHA]])</f>
        <v>5</v>
      </c>
      <c r="C180">
        <f>MONTH(BSURTIDOR[[#This Row],[FECHA]])</f>
        <v>1</v>
      </c>
      <c r="D180">
        <f>YEAR(BSURTIDOR[[#This Row],[FECHA]])</f>
        <v>2026</v>
      </c>
      <c r="E180" s="124">
        <v>46050</v>
      </c>
      <c r="F180" s="283" t="s">
        <v>548</v>
      </c>
      <c r="G180" s="123">
        <v>8</v>
      </c>
      <c r="H180" s="123" t="s">
        <v>99</v>
      </c>
      <c r="I180" s="101" t="str">
        <f>VLOOKUP(BDsurtidor!$H180,$T$4:$W$18,2,FALSE)</f>
        <v>CISTERNA</v>
      </c>
      <c r="J180" s="101">
        <f>VLOOKUP(BDsurtidor!$H180,$T$4:$W$25,3,FALSE)</f>
        <v>5000</v>
      </c>
      <c r="K180" s="101">
        <f>VLOOKUP(BDsurtidor!$H180,$T$4:$W$25,4,FALSE)</f>
        <v>17</v>
      </c>
      <c r="L180" s="101">
        <f>VLOOKUP(BDsurtidor!$H180,$T$4:$X$25,5,FALSE)</f>
        <v>0.4</v>
      </c>
      <c r="M180" s="101" t="str">
        <f>VLOOKUP(BDsurtidor!$H180,$T$4:$Y$25,6,FALSE)</f>
        <v>EPS</v>
      </c>
      <c r="N180" s="101">
        <v>0</v>
      </c>
      <c r="O180" s="125">
        <v>1.2</v>
      </c>
      <c r="P180" s="126">
        <v>0.48541666666666666</v>
      </c>
      <c r="Q180" s="123" t="s">
        <v>574</v>
      </c>
    </row>
    <row r="181" spans="2:17" x14ac:dyDescent="0.25">
      <c r="B181">
        <f>WEEKNUM(BSURTIDOR[[#This Row],[FECHA]])</f>
        <v>5</v>
      </c>
      <c r="C181">
        <f>MONTH(BSURTIDOR[[#This Row],[FECHA]])</f>
        <v>1</v>
      </c>
      <c r="D181">
        <f>YEAR(BSURTIDOR[[#This Row],[FECHA]])</f>
        <v>2026</v>
      </c>
      <c r="E181" s="124">
        <v>46050</v>
      </c>
      <c r="F181" s="283" t="s">
        <v>548</v>
      </c>
      <c r="G181" s="123">
        <v>9</v>
      </c>
      <c r="H181" s="123" t="s">
        <v>100</v>
      </c>
      <c r="I181" s="101" t="str">
        <f>VLOOKUP(BDsurtidor!$H181,$T$4:$W$18,2,FALSE)</f>
        <v>HIDROJET</v>
      </c>
      <c r="J181" s="101">
        <f>VLOOKUP(BDsurtidor!$H181,$T$4:$W$25,3,FALSE)</f>
        <v>1000</v>
      </c>
      <c r="K181" s="101">
        <f>VLOOKUP(BDsurtidor!$H181,$T$4:$W$25,4,FALSE)</f>
        <v>1</v>
      </c>
      <c r="L181" s="101">
        <f>VLOOKUP(BDsurtidor!$H181,$T$4:$X$25,5,FALSE)</f>
        <v>0</v>
      </c>
      <c r="M181" s="101" t="str">
        <f>VLOOKUP(BDsurtidor!$H181,$T$4:$Y$25,6,FALSE)</f>
        <v>EPS</v>
      </c>
      <c r="N181" s="39">
        <v>0</v>
      </c>
      <c r="O181" s="125">
        <v>0</v>
      </c>
      <c r="P181" s="126">
        <v>0.50069444444444444</v>
      </c>
      <c r="Q181" s="123" t="s">
        <v>574</v>
      </c>
    </row>
    <row r="182" spans="2:17" x14ac:dyDescent="0.25">
      <c r="B182">
        <f>WEEKNUM(BSURTIDOR[[#This Row],[FECHA]])</f>
        <v>5</v>
      </c>
      <c r="C182">
        <f>MONTH(BSURTIDOR[[#This Row],[FECHA]])</f>
        <v>1</v>
      </c>
      <c r="D182">
        <f>YEAR(BSURTIDOR[[#This Row],[FECHA]])</f>
        <v>2026</v>
      </c>
      <c r="E182" s="124">
        <v>46051</v>
      </c>
      <c r="F182" s="283" t="s">
        <v>548</v>
      </c>
      <c r="G182" s="123">
        <v>1</v>
      </c>
      <c r="H182" s="123" t="s">
        <v>89</v>
      </c>
      <c r="I182" s="101" t="str">
        <f>VLOOKUP(BDsurtidor!$H182,$T$4:$W$18,2,FALSE)</f>
        <v>CISTERNA</v>
      </c>
      <c r="J182" s="101">
        <f>VLOOKUP(BDsurtidor!$H182,$T$4:$W$25,3,FALSE)</f>
        <v>9000</v>
      </c>
      <c r="K182" s="101">
        <f>VLOOKUP(BDsurtidor!$H182,$T$4:$W$25,4,FALSE)</f>
        <v>34</v>
      </c>
      <c r="L182" s="101">
        <f>VLOOKUP(BDsurtidor!$H182,$T$4:$X$25,5,FALSE)</f>
        <v>0.45</v>
      </c>
      <c r="M182" s="101" t="str">
        <f>VLOOKUP(BDsurtidor!$H182,$T$4:$Y$25,6,FALSE)</f>
        <v>VIVIENDA</v>
      </c>
      <c r="N182" s="39">
        <v>0</v>
      </c>
      <c r="O182" s="125">
        <v>1.1599999999999999</v>
      </c>
      <c r="P182" s="126">
        <v>0.30972222222222223</v>
      </c>
      <c r="Q182" s="123" t="s">
        <v>574</v>
      </c>
    </row>
    <row r="183" spans="2:17" x14ac:dyDescent="0.25">
      <c r="B183">
        <f>WEEKNUM(BSURTIDOR[[#This Row],[FECHA]])</f>
        <v>5</v>
      </c>
      <c r="C183">
        <f>MONTH(BSURTIDOR[[#This Row],[FECHA]])</f>
        <v>1</v>
      </c>
      <c r="D183">
        <f>YEAR(BSURTIDOR[[#This Row],[FECHA]])</f>
        <v>2026</v>
      </c>
      <c r="E183" s="124">
        <v>46051</v>
      </c>
      <c r="F183" s="283" t="s">
        <v>548</v>
      </c>
      <c r="G183" s="123">
        <v>2</v>
      </c>
      <c r="H183" s="123" t="s">
        <v>558</v>
      </c>
      <c r="I183" s="101" t="str">
        <f>VLOOKUP(BDsurtidor!$H183,$T$4:$W$18,2,FALSE)</f>
        <v>HIDROJET</v>
      </c>
      <c r="J183" s="101">
        <f>VLOOKUP(BDsurtidor!$H183,$T$4:$W$25,3,FALSE)</f>
        <v>1000</v>
      </c>
      <c r="K183" s="101">
        <f>VLOOKUP(BDsurtidor!$H183,$T$4:$W$25,4,FALSE)</f>
        <v>1</v>
      </c>
      <c r="L183" s="101">
        <f>VLOOKUP(BDsurtidor!$H183,$T$4:$X$25,5,FALSE)</f>
        <v>0</v>
      </c>
      <c r="M183" s="101" t="str">
        <f>VLOOKUP(BDsurtidor!$H183,$T$4:$Y$25,6,FALSE)</f>
        <v>EPS</v>
      </c>
      <c r="N183" s="39">
        <v>0</v>
      </c>
      <c r="O183" s="125">
        <v>0</v>
      </c>
      <c r="P183" s="126">
        <v>0.31736111111111109</v>
      </c>
      <c r="Q183" s="123" t="s">
        <v>574</v>
      </c>
    </row>
    <row r="184" spans="2:17" x14ac:dyDescent="0.25">
      <c r="B184">
        <f>WEEKNUM(BSURTIDOR[[#This Row],[FECHA]])</f>
        <v>5</v>
      </c>
      <c r="C184">
        <f>MONTH(BSURTIDOR[[#This Row],[FECHA]])</f>
        <v>1</v>
      </c>
      <c r="D184">
        <f>YEAR(BSURTIDOR[[#This Row],[FECHA]])</f>
        <v>2026</v>
      </c>
      <c r="E184" s="124">
        <v>46051</v>
      </c>
      <c r="F184" s="283" t="s">
        <v>548</v>
      </c>
      <c r="G184" s="123">
        <v>3</v>
      </c>
      <c r="H184" s="123" t="s">
        <v>100</v>
      </c>
      <c r="I184" s="101" t="str">
        <f>VLOOKUP(BDsurtidor!$H184,$T$4:$W$18,2,FALSE)</f>
        <v>HIDROJET</v>
      </c>
      <c r="J184" s="101">
        <f>VLOOKUP(BDsurtidor!$H184,$T$4:$W$25,3,FALSE)</f>
        <v>1000</v>
      </c>
      <c r="K184" s="101">
        <f>VLOOKUP(BDsurtidor!$H184,$T$4:$W$25,4,FALSE)</f>
        <v>1</v>
      </c>
      <c r="L184" s="101">
        <f>VLOOKUP(BDsurtidor!$H184,$T$4:$X$25,5,FALSE)</f>
        <v>0</v>
      </c>
      <c r="M184" s="101" t="str">
        <f>VLOOKUP(BDsurtidor!$H184,$T$4:$Y$25,6,FALSE)</f>
        <v>EPS</v>
      </c>
      <c r="N184" s="101">
        <v>0</v>
      </c>
      <c r="O184" s="125">
        <v>0</v>
      </c>
      <c r="P184" s="126">
        <v>0.32569444444444445</v>
      </c>
      <c r="Q184" s="123" t="s">
        <v>574</v>
      </c>
    </row>
    <row r="185" spans="2:17" x14ac:dyDescent="0.25">
      <c r="B185">
        <f>WEEKNUM(BSURTIDOR[[#This Row],[FECHA]])</f>
        <v>5</v>
      </c>
      <c r="C185">
        <f>MONTH(BSURTIDOR[[#This Row],[FECHA]])</f>
        <v>1</v>
      </c>
      <c r="D185">
        <f>YEAR(BSURTIDOR[[#This Row],[FECHA]])</f>
        <v>2026</v>
      </c>
      <c r="E185" s="124">
        <v>46051</v>
      </c>
      <c r="F185" s="283" t="s">
        <v>548</v>
      </c>
      <c r="G185" s="123">
        <v>4</v>
      </c>
      <c r="H185" s="123" t="s">
        <v>90</v>
      </c>
      <c r="I185" s="101" t="str">
        <f>VLOOKUP(BDsurtidor!$H185,$T$4:$W$18,2,FALSE)</f>
        <v>CISTERNA</v>
      </c>
      <c r="J185" s="101">
        <f>VLOOKUP(BDsurtidor!$H185,$T$4:$W$25,3,FALSE)</f>
        <v>5000</v>
      </c>
      <c r="K185" s="101">
        <f>VLOOKUP(BDsurtidor!$H185,$T$4:$W$25,4,FALSE)</f>
        <v>17</v>
      </c>
      <c r="L185" s="101">
        <f>VLOOKUP(BDsurtidor!$H185,$T$4:$X$25,5,FALSE)</f>
        <v>0.4</v>
      </c>
      <c r="M185" s="101" t="str">
        <f>VLOOKUP(BDsurtidor!$H185,$T$4:$Y$25,6,FALSE)</f>
        <v>EPS</v>
      </c>
      <c r="N185" s="39">
        <v>0</v>
      </c>
      <c r="O185" s="125">
        <v>1.1000000000000001</v>
      </c>
      <c r="P185" s="126">
        <v>0.3298611111111111</v>
      </c>
      <c r="Q185" s="123" t="s">
        <v>574</v>
      </c>
    </row>
    <row r="186" spans="2:17" x14ac:dyDescent="0.25">
      <c r="B186">
        <f>WEEKNUM(BSURTIDOR[[#This Row],[FECHA]])</f>
        <v>5</v>
      </c>
      <c r="C186">
        <f>MONTH(BSURTIDOR[[#This Row],[FECHA]])</f>
        <v>1</v>
      </c>
      <c r="D186">
        <f>YEAR(BSURTIDOR[[#This Row],[FECHA]])</f>
        <v>2026</v>
      </c>
      <c r="E186" s="124">
        <v>46051</v>
      </c>
      <c r="F186" s="283" t="s">
        <v>548</v>
      </c>
      <c r="G186" s="123">
        <v>5</v>
      </c>
      <c r="H186" s="123" t="s">
        <v>99</v>
      </c>
      <c r="I186" s="101" t="str">
        <f>VLOOKUP(BDsurtidor!$H186,$T$4:$W$18,2,FALSE)</f>
        <v>CISTERNA</v>
      </c>
      <c r="J186" s="101">
        <f>VLOOKUP(BDsurtidor!$H186,$T$4:$W$25,3,FALSE)</f>
        <v>5000</v>
      </c>
      <c r="K186" s="101">
        <f>VLOOKUP(BDsurtidor!$H186,$T$4:$W$25,4,FALSE)</f>
        <v>17</v>
      </c>
      <c r="L186" s="101">
        <f>VLOOKUP(BDsurtidor!$H186,$T$4:$X$25,5,FALSE)</f>
        <v>0.4</v>
      </c>
      <c r="M186" s="101" t="str">
        <f>VLOOKUP(BDsurtidor!$H186,$T$4:$Y$25,6,FALSE)</f>
        <v>EPS</v>
      </c>
      <c r="N186" s="39">
        <v>0</v>
      </c>
      <c r="O186" s="125">
        <v>1.1399999999999999</v>
      </c>
      <c r="P186" s="126">
        <v>0.33541666666666664</v>
      </c>
      <c r="Q186" s="123" t="s">
        <v>574</v>
      </c>
    </row>
    <row r="187" spans="2:17" x14ac:dyDescent="0.25">
      <c r="B187">
        <f>WEEKNUM(BSURTIDOR[[#This Row],[FECHA]])</f>
        <v>5</v>
      </c>
      <c r="C187">
        <f>MONTH(BSURTIDOR[[#This Row],[FECHA]])</f>
        <v>1</v>
      </c>
      <c r="D187">
        <f>YEAR(BSURTIDOR[[#This Row],[FECHA]])</f>
        <v>2026</v>
      </c>
      <c r="E187" s="124">
        <v>46051</v>
      </c>
      <c r="F187" s="283" t="s">
        <v>548</v>
      </c>
      <c r="G187" s="123">
        <v>6</v>
      </c>
      <c r="H187" s="123" t="s">
        <v>97</v>
      </c>
      <c r="I187" s="101" t="str">
        <f>VLOOKUP(BDsurtidor!$H187,$T$4:$W$18,2,FALSE)</f>
        <v>CISTERNA</v>
      </c>
      <c r="J187" s="101">
        <f>VLOOKUP(BDsurtidor!$H187,$T$4:$W$25,3,FALSE)</f>
        <v>5000</v>
      </c>
      <c r="K187" s="101">
        <f>VLOOKUP(BDsurtidor!$H187,$T$4:$W$25,4,FALSE)</f>
        <v>17</v>
      </c>
      <c r="L187" s="101">
        <f>VLOOKUP(BDsurtidor!$H187,$T$4:$X$25,5,FALSE)</f>
        <v>0.4</v>
      </c>
      <c r="M187" s="101" t="str">
        <f>VLOOKUP(BDsurtidor!$H187,$T$4:$Y$25,6,FALSE)</f>
        <v>EPS</v>
      </c>
      <c r="N187" s="39">
        <v>0</v>
      </c>
      <c r="O187" s="125">
        <v>1.2</v>
      </c>
      <c r="P187" s="126">
        <v>0.34444444444444444</v>
      </c>
      <c r="Q187" s="123" t="s">
        <v>574</v>
      </c>
    </row>
    <row r="188" spans="2:17" x14ac:dyDescent="0.25">
      <c r="B188">
        <f>WEEKNUM(BSURTIDOR[[#This Row],[FECHA]])</f>
        <v>5</v>
      </c>
      <c r="C188">
        <f>MONTH(BSURTIDOR[[#This Row],[FECHA]])</f>
        <v>1</v>
      </c>
      <c r="D188">
        <f>YEAR(BSURTIDOR[[#This Row],[FECHA]])</f>
        <v>2026</v>
      </c>
      <c r="E188" s="124">
        <v>46051</v>
      </c>
      <c r="F188" s="283" t="s">
        <v>548</v>
      </c>
      <c r="G188" s="123">
        <v>7</v>
      </c>
      <c r="H188" s="123" t="s">
        <v>99</v>
      </c>
      <c r="I188" s="101" t="str">
        <f>VLOOKUP(BDsurtidor!$H188,$T$4:$W$18,2,FALSE)</f>
        <v>CISTERNA</v>
      </c>
      <c r="J188" s="101">
        <f>VLOOKUP(BDsurtidor!$H188,$T$4:$W$25,3,FALSE)</f>
        <v>5000</v>
      </c>
      <c r="K188" s="101">
        <f>VLOOKUP(BDsurtidor!$H188,$T$4:$W$25,4,FALSE)</f>
        <v>17</v>
      </c>
      <c r="L188" s="101">
        <f>VLOOKUP(BDsurtidor!$H188,$T$4:$X$25,5,FALSE)</f>
        <v>0.4</v>
      </c>
      <c r="M188" s="101" t="str">
        <f>VLOOKUP(BDsurtidor!$H188,$T$4:$Y$25,6,FALSE)</f>
        <v>EPS</v>
      </c>
      <c r="N188" s="101">
        <v>0</v>
      </c>
      <c r="O188" s="125">
        <v>1.23</v>
      </c>
      <c r="P188" s="126">
        <v>0.43333333333333335</v>
      </c>
      <c r="Q188" s="123" t="s">
        <v>574</v>
      </c>
    </row>
    <row r="189" spans="2:17" x14ac:dyDescent="0.25">
      <c r="B189">
        <f>WEEKNUM(BSURTIDOR[[#This Row],[FECHA]])</f>
        <v>5</v>
      </c>
      <c r="C189">
        <f>MONTH(BSURTIDOR[[#This Row],[FECHA]])</f>
        <v>1</v>
      </c>
      <c r="D189">
        <f>YEAR(BSURTIDOR[[#This Row],[FECHA]])</f>
        <v>2026</v>
      </c>
      <c r="E189" s="124">
        <v>46051</v>
      </c>
      <c r="F189" s="283" t="s">
        <v>548</v>
      </c>
      <c r="G189" s="123">
        <v>8</v>
      </c>
      <c r="H189" s="123" t="s">
        <v>100</v>
      </c>
      <c r="I189" s="101" t="str">
        <f>VLOOKUP(BDsurtidor!$H189,$T$4:$W$18,2,FALSE)</f>
        <v>HIDROJET</v>
      </c>
      <c r="J189" s="101">
        <f>VLOOKUP(BDsurtidor!$H189,$T$4:$W$25,3,FALSE)</f>
        <v>1000</v>
      </c>
      <c r="K189" s="101">
        <f>VLOOKUP(BDsurtidor!$H189,$T$4:$W$25,4,FALSE)</f>
        <v>1</v>
      </c>
      <c r="L189" s="101">
        <f>VLOOKUP(BDsurtidor!$H189,$T$4:$X$25,5,FALSE)</f>
        <v>0</v>
      </c>
      <c r="M189" s="101" t="str">
        <f>VLOOKUP(BDsurtidor!$H189,$T$4:$Y$25,6,FALSE)</f>
        <v>EPS</v>
      </c>
      <c r="N189" s="39">
        <v>0</v>
      </c>
      <c r="O189" s="125">
        <v>0</v>
      </c>
      <c r="P189" s="126">
        <v>0.45555555555555555</v>
      </c>
      <c r="Q189" s="123" t="s">
        <v>574</v>
      </c>
    </row>
    <row r="190" spans="2:17" x14ac:dyDescent="0.25">
      <c r="B190">
        <f>WEEKNUM(BSURTIDOR[[#This Row],[FECHA]])</f>
        <v>5</v>
      </c>
      <c r="C190">
        <f>MONTH(BSURTIDOR[[#This Row],[FECHA]])</f>
        <v>1</v>
      </c>
      <c r="D190">
        <f>YEAR(BSURTIDOR[[#This Row],[FECHA]])</f>
        <v>2026</v>
      </c>
      <c r="E190" s="124">
        <v>46051</v>
      </c>
      <c r="F190" s="283" t="s">
        <v>548</v>
      </c>
      <c r="G190" s="123">
        <v>9</v>
      </c>
      <c r="H190" s="123" t="s">
        <v>558</v>
      </c>
      <c r="I190" s="101" t="str">
        <f>VLOOKUP(BDsurtidor!$H190,$T$4:$W$18,2,FALSE)</f>
        <v>HIDROJET</v>
      </c>
      <c r="J190" s="101">
        <f>VLOOKUP(BDsurtidor!$H190,$T$4:$W$25,3,FALSE)</f>
        <v>1000</v>
      </c>
      <c r="K190" s="101">
        <f>VLOOKUP(BDsurtidor!$H190,$T$4:$W$25,4,FALSE)</f>
        <v>1</v>
      </c>
      <c r="L190" s="101">
        <f>VLOOKUP(BDsurtidor!$H190,$T$4:$X$25,5,FALSE)</f>
        <v>0</v>
      </c>
      <c r="M190" s="101" t="str">
        <f>VLOOKUP(BDsurtidor!$H190,$T$4:$Y$25,6,FALSE)</f>
        <v>EPS</v>
      </c>
      <c r="N190" s="39">
        <v>0</v>
      </c>
      <c r="O190" s="125">
        <v>0</v>
      </c>
      <c r="P190" s="126">
        <v>0.46736111111111112</v>
      </c>
      <c r="Q190" s="123" t="s">
        <v>574</v>
      </c>
    </row>
    <row r="191" spans="2:17" x14ac:dyDescent="0.25">
      <c r="B191">
        <f>WEEKNUM(BSURTIDOR[[#This Row],[FECHA]])</f>
        <v>5</v>
      </c>
      <c r="C191">
        <f>MONTH(BSURTIDOR[[#This Row],[FECHA]])</f>
        <v>1</v>
      </c>
      <c r="D191">
        <f>YEAR(BSURTIDOR[[#This Row],[FECHA]])</f>
        <v>2026</v>
      </c>
      <c r="E191" s="124">
        <v>46051</v>
      </c>
      <c r="F191" s="283" t="s">
        <v>548</v>
      </c>
      <c r="G191" s="123">
        <v>10</v>
      </c>
      <c r="H191" s="123" t="s">
        <v>90</v>
      </c>
      <c r="I191" s="101" t="str">
        <f>VLOOKUP(BDsurtidor!$H191,$T$4:$W$18,2,FALSE)</f>
        <v>CISTERNA</v>
      </c>
      <c r="J191" s="101">
        <f>VLOOKUP(BDsurtidor!$H191,$T$4:$W$25,3,FALSE)</f>
        <v>5000</v>
      </c>
      <c r="K191" s="101">
        <f>VLOOKUP(BDsurtidor!$H191,$T$4:$W$25,4,FALSE)</f>
        <v>17</v>
      </c>
      <c r="L191" s="101">
        <f>VLOOKUP(BDsurtidor!$H191,$T$4:$X$25,5,FALSE)</f>
        <v>0.4</v>
      </c>
      <c r="M191" s="101" t="str">
        <f>VLOOKUP(BDsurtidor!$H191,$T$4:$Y$25,6,FALSE)</f>
        <v>EPS</v>
      </c>
      <c r="N191" s="39">
        <v>0</v>
      </c>
      <c r="O191" s="125">
        <v>1.17</v>
      </c>
      <c r="P191" s="126">
        <v>0.49375000000000002</v>
      </c>
      <c r="Q191" s="123" t="s">
        <v>574</v>
      </c>
    </row>
    <row r="192" spans="2:17" x14ac:dyDescent="0.25">
      <c r="B192">
        <f>WEEKNUM(BSURTIDOR[[#This Row],[FECHA]])</f>
        <v>5</v>
      </c>
      <c r="C192">
        <f>MONTH(BSURTIDOR[[#This Row],[FECHA]])</f>
        <v>1</v>
      </c>
      <c r="D192">
        <f>YEAR(BSURTIDOR[[#This Row],[FECHA]])</f>
        <v>2026</v>
      </c>
      <c r="E192" s="124">
        <v>46051</v>
      </c>
      <c r="F192" s="283" t="s">
        <v>548</v>
      </c>
      <c r="G192" s="123">
        <v>11</v>
      </c>
      <c r="H192" s="123" t="s">
        <v>89</v>
      </c>
      <c r="I192" s="101" t="str">
        <f>VLOOKUP(BDsurtidor!$H192,$T$4:$W$18,2,FALSE)</f>
        <v>CISTERNA</v>
      </c>
      <c r="J192" s="101">
        <f>VLOOKUP(BDsurtidor!$H192,$T$4:$W$25,3,FALSE)</f>
        <v>9000</v>
      </c>
      <c r="K192" s="101">
        <f>VLOOKUP(BDsurtidor!$H192,$T$4:$W$25,4,FALSE)</f>
        <v>34</v>
      </c>
      <c r="L192" s="101">
        <f>VLOOKUP(BDsurtidor!$H192,$T$4:$X$25,5,FALSE)</f>
        <v>0.45</v>
      </c>
      <c r="M192" s="101" t="str">
        <f>VLOOKUP(BDsurtidor!$H192,$T$4:$Y$25,6,FALSE)</f>
        <v>VIVIENDA</v>
      </c>
      <c r="N192" s="101">
        <v>0</v>
      </c>
      <c r="O192" s="125">
        <v>1.21</v>
      </c>
      <c r="P192" s="126">
        <v>0.53611111111111109</v>
      </c>
      <c r="Q192" s="123" t="s">
        <v>574</v>
      </c>
    </row>
    <row r="193" spans="2:17" x14ac:dyDescent="0.25">
      <c r="B193">
        <f>WEEKNUM(BSURTIDOR[[#This Row],[FECHA]])</f>
        <v>5</v>
      </c>
      <c r="C193">
        <f>MONTH(BSURTIDOR[[#This Row],[FECHA]])</f>
        <v>1</v>
      </c>
      <c r="D193">
        <f>YEAR(BSURTIDOR[[#This Row],[FECHA]])</f>
        <v>2026</v>
      </c>
      <c r="E193" s="124">
        <v>46052</v>
      </c>
      <c r="F193" s="283" t="s">
        <v>548</v>
      </c>
      <c r="G193" s="123">
        <v>1</v>
      </c>
      <c r="H193" s="123" t="s">
        <v>99</v>
      </c>
      <c r="I193" s="101" t="str">
        <f>VLOOKUP(BDsurtidor!$H193,$T$4:$W$18,2,FALSE)</f>
        <v>CISTERNA</v>
      </c>
      <c r="J193" s="101">
        <f>VLOOKUP(BDsurtidor!$H193,$T$4:$W$25,3,FALSE)</f>
        <v>5000</v>
      </c>
      <c r="K193" s="101">
        <f>VLOOKUP(BDsurtidor!$H193,$T$4:$W$25,4,FALSE)</f>
        <v>17</v>
      </c>
      <c r="L193" s="101">
        <f>VLOOKUP(BDsurtidor!$H193,$T$4:$X$25,5,FALSE)</f>
        <v>0.4</v>
      </c>
      <c r="M193" s="101" t="str">
        <f>VLOOKUP(BDsurtidor!$H193,$T$4:$Y$25,6,FALSE)</f>
        <v>EPS</v>
      </c>
      <c r="N193" s="39">
        <v>0</v>
      </c>
      <c r="O193" s="125">
        <v>1.17</v>
      </c>
      <c r="P193" s="126">
        <v>0.3034722222222222</v>
      </c>
      <c r="Q193" s="123" t="s">
        <v>574</v>
      </c>
    </row>
    <row r="194" spans="2:17" x14ac:dyDescent="0.25">
      <c r="B194">
        <f>WEEKNUM(BSURTIDOR[[#This Row],[FECHA]])</f>
        <v>5</v>
      </c>
      <c r="C194">
        <f>MONTH(BSURTIDOR[[#This Row],[FECHA]])</f>
        <v>1</v>
      </c>
      <c r="D194">
        <f>YEAR(BSURTIDOR[[#This Row],[FECHA]])</f>
        <v>2026</v>
      </c>
      <c r="E194" s="124">
        <v>46052</v>
      </c>
      <c r="F194" s="283" t="s">
        <v>548</v>
      </c>
      <c r="G194" s="123">
        <v>2</v>
      </c>
      <c r="H194" s="123" t="s">
        <v>89</v>
      </c>
      <c r="I194" s="101" t="str">
        <f>VLOOKUP(BDsurtidor!$H194,$T$4:$W$18,2,FALSE)</f>
        <v>CISTERNA</v>
      </c>
      <c r="J194" s="101">
        <f>VLOOKUP(BDsurtidor!$H194,$T$4:$W$25,3,FALSE)</f>
        <v>9000</v>
      </c>
      <c r="K194" s="101">
        <f>VLOOKUP(BDsurtidor!$H194,$T$4:$W$25,4,FALSE)</f>
        <v>34</v>
      </c>
      <c r="L194" s="101">
        <f>VLOOKUP(BDsurtidor!$H194,$T$4:$X$25,5,FALSE)</f>
        <v>0.45</v>
      </c>
      <c r="M194" s="101" t="str">
        <f>VLOOKUP(BDsurtidor!$H194,$T$4:$Y$25,6,FALSE)</f>
        <v>VIVIENDA</v>
      </c>
      <c r="N194" s="39">
        <v>0</v>
      </c>
      <c r="O194" s="125">
        <v>1.1599999999999999</v>
      </c>
      <c r="P194" s="126">
        <v>0.3125</v>
      </c>
      <c r="Q194" s="123" t="s">
        <v>574</v>
      </c>
    </row>
    <row r="195" spans="2:17" x14ac:dyDescent="0.25">
      <c r="B195">
        <f>WEEKNUM(BSURTIDOR[[#This Row],[FECHA]])</f>
        <v>5</v>
      </c>
      <c r="C195">
        <f>MONTH(BSURTIDOR[[#This Row],[FECHA]])</f>
        <v>1</v>
      </c>
      <c r="D195">
        <f>YEAR(BSURTIDOR[[#This Row],[FECHA]])</f>
        <v>2026</v>
      </c>
      <c r="E195" s="124">
        <v>46052</v>
      </c>
      <c r="F195" s="283" t="s">
        <v>548</v>
      </c>
      <c r="G195" s="123">
        <v>3</v>
      </c>
      <c r="H195" s="123" t="s">
        <v>90</v>
      </c>
      <c r="I195" s="101" t="str">
        <f>VLOOKUP(BDsurtidor!$H195,$T$4:$W$18,2,FALSE)</f>
        <v>CISTERNA</v>
      </c>
      <c r="J195" s="101">
        <f>VLOOKUP(BDsurtidor!$H195,$T$4:$W$25,3,FALSE)</f>
        <v>5000</v>
      </c>
      <c r="K195" s="101">
        <f>VLOOKUP(BDsurtidor!$H195,$T$4:$W$25,4,FALSE)</f>
        <v>17</v>
      </c>
      <c r="L195" s="101">
        <f>VLOOKUP(BDsurtidor!$H195,$T$4:$X$25,5,FALSE)</f>
        <v>0.4</v>
      </c>
      <c r="M195" s="101" t="str">
        <f>VLOOKUP(BDsurtidor!$H195,$T$4:$Y$25,6,FALSE)</f>
        <v>EPS</v>
      </c>
      <c r="N195" s="101">
        <v>0</v>
      </c>
      <c r="O195" s="125">
        <v>1.1100000000000001</v>
      </c>
      <c r="P195" s="126">
        <v>0.31944444444444442</v>
      </c>
      <c r="Q195" s="123" t="s">
        <v>574</v>
      </c>
    </row>
    <row r="196" spans="2:17" x14ac:dyDescent="0.25">
      <c r="B196">
        <f>WEEKNUM(BSURTIDOR[[#This Row],[FECHA]])</f>
        <v>5</v>
      </c>
      <c r="C196">
        <f>MONTH(BSURTIDOR[[#This Row],[FECHA]])</f>
        <v>1</v>
      </c>
      <c r="D196">
        <f>YEAR(BSURTIDOR[[#This Row],[FECHA]])</f>
        <v>2026</v>
      </c>
      <c r="E196" s="124">
        <v>46052</v>
      </c>
      <c r="F196" s="283" t="s">
        <v>548</v>
      </c>
      <c r="G196" s="123">
        <v>4</v>
      </c>
      <c r="H196" s="123" t="s">
        <v>100</v>
      </c>
      <c r="I196" s="101" t="str">
        <f>VLOOKUP(BDsurtidor!$H196,$T$4:$W$18,2,FALSE)</f>
        <v>HIDROJET</v>
      </c>
      <c r="J196" s="101">
        <f>VLOOKUP(BDsurtidor!$H196,$T$4:$W$25,3,FALSE)</f>
        <v>1000</v>
      </c>
      <c r="K196" s="101">
        <f>VLOOKUP(BDsurtidor!$H196,$T$4:$W$25,4,FALSE)</f>
        <v>1</v>
      </c>
      <c r="L196" s="101">
        <f>VLOOKUP(BDsurtidor!$H196,$T$4:$X$25,5,FALSE)</f>
        <v>0</v>
      </c>
      <c r="M196" s="101" t="str">
        <f>VLOOKUP(BDsurtidor!$H196,$T$4:$Y$25,6,FALSE)</f>
        <v>EPS</v>
      </c>
      <c r="N196" s="39">
        <v>0</v>
      </c>
      <c r="O196" s="125">
        <v>0</v>
      </c>
      <c r="P196" s="126">
        <v>0.32916666666666666</v>
      </c>
      <c r="Q196" s="123" t="s">
        <v>574</v>
      </c>
    </row>
    <row r="197" spans="2:17" x14ac:dyDescent="0.25">
      <c r="B197">
        <f>WEEKNUM(BSURTIDOR[[#This Row],[FECHA]])</f>
        <v>5</v>
      </c>
      <c r="C197">
        <f>MONTH(BSURTIDOR[[#This Row],[FECHA]])</f>
        <v>1</v>
      </c>
      <c r="D197">
        <f>YEAR(BSURTIDOR[[#This Row],[FECHA]])</f>
        <v>2026</v>
      </c>
      <c r="E197" s="124">
        <v>46052</v>
      </c>
      <c r="F197" s="283" t="s">
        <v>548</v>
      </c>
      <c r="G197" s="123">
        <v>5</v>
      </c>
      <c r="H197" s="123" t="s">
        <v>558</v>
      </c>
      <c r="I197" s="101" t="str">
        <f>VLOOKUP(BDsurtidor!$H197,$T$4:$W$18,2,FALSE)</f>
        <v>HIDROJET</v>
      </c>
      <c r="J197" s="101">
        <f>VLOOKUP(BDsurtidor!$H197,$T$4:$W$25,3,FALSE)</f>
        <v>1000</v>
      </c>
      <c r="K197" s="101">
        <f>VLOOKUP(BDsurtidor!$H197,$T$4:$W$25,4,FALSE)</f>
        <v>1</v>
      </c>
      <c r="L197" s="101">
        <f>VLOOKUP(BDsurtidor!$H197,$T$4:$X$25,5,FALSE)</f>
        <v>0</v>
      </c>
      <c r="M197" s="101" t="str">
        <f>VLOOKUP(BDsurtidor!$H197,$T$4:$Y$25,6,FALSE)</f>
        <v>EPS</v>
      </c>
      <c r="N197" s="39">
        <v>0</v>
      </c>
      <c r="O197" s="125">
        <v>0</v>
      </c>
      <c r="P197" s="126">
        <v>0.33680555555555558</v>
      </c>
      <c r="Q197" s="123" t="s">
        <v>574</v>
      </c>
    </row>
    <row r="198" spans="2:17" x14ac:dyDescent="0.25">
      <c r="B198">
        <f>WEEKNUM(BSURTIDOR[[#This Row],[FECHA]])</f>
        <v>5</v>
      </c>
      <c r="C198">
        <f>MONTH(BSURTIDOR[[#This Row],[FECHA]])</f>
        <v>1</v>
      </c>
      <c r="D198">
        <f>YEAR(BSURTIDOR[[#This Row],[FECHA]])</f>
        <v>2026</v>
      </c>
      <c r="E198" s="124">
        <v>46052</v>
      </c>
      <c r="F198" s="283" t="s">
        <v>548</v>
      </c>
      <c r="G198" s="123">
        <v>6</v>
      </c>
      <c r="H198" s="123" t="s">
        <v>97</v>
      </c>
      <c r="I198" s="101" t="str">
        <f>VLOOKUP(BDsurtidor!$H199,$T$4:$W$18,2,FALSE)</f>
        <v>CISTERNA</v>
      </c>
      <c r="J198" s="101">
        <f>VLOOKUP(BDsurtidor!$H199,$T$4:$W$25,3,FALSE)</f>
        <v>9000</v>
      </c>
      <c r="K198" s="101">
        <f>VLOOKUP(BDsurtidor!$H199,$T$4:$W$25,4,FALSE)</f>
        <v>34</v>
      </c>
      <c r="L198" s="101">
        <f>VLOOKUP(BDsurtidor!$H199,$T$4:$X$25,5,FALSE)</f>
        <v>0.45</v>
      </c>
      <c r="M198" s="101" t="str">
        <f>VLOOKUP(BDsurtidor!$H199,$T$4:$Y$25,6,FALSE)</f>
        <v>VIVIENDA</v>
      </c>
      <c r="N198" s="101">
        <v>0</v>
      </c>
      <c r="O198" s="125">
        <v>1.1200000000000001</v>
      </c>
      <c r="P198" s="126">
        <v>0.34861111111111109</v>
      </c>
      <c r="Q198" s="123" t="s">
        <v>574</v>
      </c>
    </row>
    <row r="199" spans="2:17" x14ac:dyDescent="0.25">
      <c r="B199">
        <f>WEEKNUM(BSURTIDOR[[#This Row],[FECHA]])</f>
        <v>5</v>
      </c>
      <c r="C199">
        <f>MONTH(BSURTIDOR[[#This Row],[FECHA]])</f>
        <v>1</v>
      </c>
      <c r="D199">
        <f>YEAR(BSURTIDOR[[#This Row],[FECHA]])</f>
        <v>2026</v>
      </c>
      <c r="E199" s="124">
        <v>46052</v>
      </c>
      <c r="F199" s="283" t="s">
        <v>548</v>
      </c>
      <c r="G199" s="123">
        <v>7</v>
      </c>
      <c r="H199" s="123" t="s">
        <v>89</v>
      </c>
      <c r="I199" s="101" t="str">
        <f>VLOOKUP(BDsurtidor!$H200,$T$4:$W$18,2,FALSE)</f>
        <v>CISTERNA</v>
      </c>
      <c r="J199" s="101">
        <f>VLOOKUP(BDsurtidor!$H200,$T$4:$W$25,3,FALSE)</f>
        <v>5000</v>
      </c>
      <c r="K199" s="101">
        <f>VLOOKUP(BDsurtidor!$H200,$T$4:$W$25,4,FALSE)</f>
        <v>17</v>
      </c>
      <c r="L199" s="101">
        <f>VLOOKUP(BDsurtidor!$H200,$T$4:$X$25,5,FALSE)</f>
        <v>0.4</v>
      </c>
      <c r="M199" s="101" t="str">
        <f>VLOOKUP(BDsurtidor!$H200,$T$4:$Y$25,6,FALSE)</f>
        <v>EPS</v>
      </c>
      <c r="N199" s="39">
        <v>0</v>
      </c>
      <c r="O199" s="125">
        <v>1.19</v>
      </c>
      <c r="P199" s="126">
        <v>0.46041666666666664</v>
      </c>
      <c r="Q199" s="123" t="s">
        <v>574</v>
      </c>
    </row>
    <row r="200" spans="2:17" x14ac:dyDescent="0.25">
      <c r="B200">
        <f>WEEKNUM(BSURTIDOR[[#This Row],[FECHA]])</f>
        <v>5</v>
      </c>
      <c r="C200">
        <f>MONTH(BSURTIDOR[[#This Row],[FECHA]])</f>
        <v>1</v>
      </c>
      <c r="D200">
        <f>YEAR(BSURTIDOR[[#This Row],[FECHA]])</f>
        <v>2026</v>
      </c>
      <c r="E200" s="124">
        <v>46052</v>
      </c>
      <c r="F200" s="283" t="s">
        <v>548</v>
      </c>
      <c r="G200" s="123">
        <v>8</v>
      </c>
      <c r="H200" s="123" t="s">
        <v>99</v>
      </c>
      <c r="I200" s="101" t="str">
        <f>VLOOKUP(BDsurtidor!$H201,$T$4:$W$18,2,FALSE)</f>
        <v>CISTERNA</v>
      </c>
      <c r="J200" s="101">
        <f>VLOOKUP(BDsurtidor!$H201,$T$4:$W$25,3,FALSE)</f>
        <v>5000</v>
      </c>
      <c r="K200" s="101">
        <f>VLOOKUP(BDsurtidor!$H201,$T$4:$W$25,4,FALSE)</f>
        <v>17</v>
      </c>
      <c r="L200" s="101">
        <f>VLOOKUP(BDsurtidor!$H201,$T$4:$X$25,5,FALSE)</f>
        <v>0.4</v>
      </c>
      <c r="M200" s="101" t="str">
        <f>VLOOKUP(BDsurtidor!$H201,$T$4:$Y$25,6,FALSE)</f>
        <v>EPS</v>
      </c>
      <c r="N200" s="39">
        <v>0</v>
      </c>
      <c r="O200" s="125">
        <v>1.18</v>
      </c>
      <c r="P200" s="126">
        <v>0.48055555555555557</v>
      </c>
      <c r="Q200" s="123" t="s">
        <v>574</v>
      </c>
    </row>
    <row r="201" spans="2:17" x14ac:dyDescent="0.25">
      <c r="B201">
        <f>WEEKNUM(BSURTIDOR[[#This Row],[FECHA]])</f>
        <v>5</v>
      </c>
      <c r="C201">
        <f>MONTH(BSURTIDOR[[#This Row],[FECHA]])</f>
        <v>1</v>
      </c>
      <c r="D201">
        <f>YEAR(BSURTIDOR[[#This Row],[FECHA]])</f>
        <v>2026</v>
      </c>
      <c r="E201" s="124">
        <v>46052</v>
      </c>
      <c r="F201" s="283" t="s">
        <v>548</v>
      </c>
      <c r="G201" s="123">
        <v>9</v>
      </c>
      <c r="H201" s="123" t="s">
        <v>90</v>
      </c>
      <c r="I201" s="101" t="str">
        <f>VLOOKUP(BDsurtidor!$H201,$T$4:$W$18,2,FALSE)</f>
        <v>CISTERNA</v>
      </c>
      <c r="J201" s="101">
        <f>VLOOKUP(BDsurtidor!$H201,$T$4:$W$25,3,FALSE)</f>
        <v>5000</v>
      </c>
      <c r="K201" s="101">
        <f>VLOOKUP(BDsurtidor!$H201,$T$4:$W$25,4,FALSE)</f>
        <v>17</v>
      </c>
      <c r="L201" s="101">
        <f>VLOOKUP(BDsurtidor!$H201,$T$4:$X$25,5,FALSE)</f>
        <v>0.4</v>
      </c>
      <c r="M201" s="101" t="str">
        <f>VLOOKUP(BDsurtidor!$H201,$T$4:$Y$25,6,FALSE)</f>
        <v>EPS</v>
      </c>
      <c r="N201" s="101">
        <v>0</v>
      </c>
      <c r="O201" s="125">
        <v>1.27</v>
      </c>
      <c r="P201" s="126">
        <v>0.49305555555555558</v>
      </c>
      <c r="Q201" s="123" t="s">
        <v>574</v>
      </c>
    </row>
    <row r="202" spans="2:17" x14ac:dyDescent="0.25">
      <c r="B202">
        <f>WEEKNUM(BSURTIDOR[[#This Row],[FECHA]])</f>
        <v>5</v>
      </c>
      <c r="C202">
        <f>MONTH(BSURTIDOR[[#This Row],[FECHA]])</f>
        <v>1</v>
      </c>
      <c r="D202">
        <f>YEAR(BSURTIDOR[[#This Row],[FECHA]])</f>
        <v>2026</v>
      </c>
      <c r="E202" s="310">
        <v>46053</v>
      </c>
      <c r="F202" s="283" t="s">
        <v>548</v>
      </c>
      <c r="G202" s="311">
        <v>1</v>
      </c>
      <c r="H202" s="311" t="s">
        <v>97</v>
      </c>
      <c r="I202" s="312" t="str">
        <f>VLOOKUP(BDsurtidor!$H202,$T$4:$W$18,2,FALSE)</f>
        <v>CISTERNA</v>
      </c>
      <c r="J202" s="312">
        <f>VLOOKUP(BDsurtidor!$H202,$T$4:$W$25,3,FALSE)</f>
        <v>5000</v>
      </c>
      <c r="K202" s="312">
        <f>VLOOKUP(BDsurtidor!$H202,$T$4:$W$25,4,FALSE)</f>
        <v>17</v>
      </c>
      <c r="L202" s="312">
        <f>VLOOKUP(BDsurtidor!$H202,$T$4:$X$25,5,FALSE)</f>
        <v>0.4</v>
      </c>
      <c r="M202" s="312" t="str">
        <f>VLOOKUP(BDsurtidor!$H202,$T$4:$Y$25,6,FALSE)</f>
        <v>EPS</v>
      </c>
      <c r="N202" s="39">
        <v>0</v>
      </c>
      <c r="O202" s="313">
        <v>1.18</v>
      </c>
      <c r="P202" s="314">
        <v>0.31111111111111112</v>
      </c>
      <c r="Q202" s="123" t="s">
        <v>574</v>
      </c>
    </row>
    <row r="203" spans="2:17" x14ac:dyDescent="0.25">
      <c r="B203">
        <f>WEEKNUM(BSURTIDOR[[#This Row],[FECHA]])</f>
        <v>5</v>
      </c>
      <c r="C203">
        <f>MONTH(BSURTIDOR[[#This Row],[FECHA]])</f>
        <v>1</v>
      </c>
      <c r="D203">
        <f>YEAR(BSURTIDOR[[#This Row],[FECHA]])</f>
        <v>2026</v>
      </c>
      <c r="E203" s="310">
        <v>46053</v>
      </c>
      <c r="F203" s="283" t="s">
        <v>548</v>
      </c>
      <c r="G203" s="311">
        <v>2</v>
      </c>
      <c r="H203" s="311" t="s">
        <v>89</v>
      </c>
      <c r="I203" s="312" t="str">
        <f>VLOOKUP(BDsurtidor!$H203,$T$4:$W$18,2,FALSE)</f>
        <v>CISTERNA</v>
      </c>
      <c r="J203" s="312">
        <f>VLOOKUP(BDsurtidor!$H203,$T$4:$W$25,3,FALSE)</f>
        <v>9000</v>
      </c>
      <c r="K203" s="312">
        <f>VLOOKUP(BDsurtidor!$H203,$T$4:$W$25,4,FALSE)</f>
        <v>34</v>
      </c>
      <c r="L203" s="312">
        <f>VLOOKUP(BDsurtidor!$H203,$T$4:$X$25,5,FALSE)</f>
        <v>0.45</v>
      </c>
      <c r="M203" s="312" t="str">
        <f>VLOOKUP(BDsurtidor!$H203,$T$4:$Y$25,6,FALSE)</f>
        <v>VIVIENDA</v>
      </c>
      <c r="N203" s="101">
        <v>0</v>
      </c>
      <c r="O203" s="313">
        <v>1.1599999999999999</v>
      </c>
      <c r="P203" s="314">
        <v>0.3125</v>
      </c>
      <c r="Q203" s="123" t="s">
        <v>574</v>
      </c>
    </row>
    <row r="204" spans="2:17" x14ac:dyDescent="0.25">
      <c r="B204">
        <f>WEEKNUM(BSURTIDOR[[#This Row],[FECHA]])</f>
        <v>5</v>
      </c>
      <c r="C204">
        <f>MONTH(BSURTIDOR[[#This Row],[FECHA]])</f>
        <v>1</v>
      </c>
      <c r="D204">
        <f>YEAR(BSURTIDOR[[#This Row],[FECHA]])</f>
        <v>2026</v>
      </c>
      <c r="E204" s="310">
        <v>46053</v>
      </c>
      <c r="F204" s="283" t="s">
        <v>548</v>
      </c>
      <c r="G204" s="311">
        <v>3</v>
      </c>
      <c r="H204" s="311" t="s">
        <v>90</v>
      </c>
      <c r="I204" s="312" t="str">
        <f>VLOOKUP(BDsurtidor!$H204,$T$4:$W$18,2,FALSE)</f>
        <v>CISTERNA</v>
      </c>
      <c r="J204" s="312">
        <f>VLOOKUP(BDsurtidor!$H204,$T$4:$W$25,3,FALSE)</f>
        <v>5000</v>
      </c>
      <c r="K204" s="312">
        <f>VLOOKUP(BDsurtidor!$H204,$T$4:$W$25,4,FALSE)</f>
        <v>17</v>
      </c>
      <c r="L204" s="312">
        <f>VLOOKUP(BDsurtidor!$H204,$T$4:$X$25,5,FALSE)</f>
        <v>0.4</v>
      </c>
      <c r="M204" s="312" t="str">
        <f>VLOOKUP(BDsurtidor!$H204,$T$4:$Y$25,6,FALSE)</f>
        <v>EPS</v>
      </c>
      <c r="N204" s="39">
        <v>0</v>
      </c>
      <c r="O204" s="313">
        <v>1.08</v>
      </c>
      <c r="P204" s="314">
        <v>0.32083333333333336</v>
      </c>
      <c r="Q204" s="123" t="s">
        <v>574</v>
      </c>
    </row>
    <row r="205" spans="2:17" x14ac:dyDescent="0.25">
      <c r="B205">
        <f>WEEKNUM(BSURTIDOR[[#This Row],[FECHA]])</f>
        <v>5</v>
      </c>
      <c r="C205">
        <f>MONTH(BSURTIDOR[[#This Row],[FECHA]])</f>
        <v>1</v>
      </c>
      <c r="D205">
        <f>YEAR(BSURTIDOR[[#This Row],[FECHA]])</f>
        <v>2026</v>
      </c>
      <c r="E205" s="310">
        <v>46053</v>
      </c>
      <c r="F205" s="283" t="s">
        <v>548</v>
      </c>
      <c r="G205" s="311">
        <v>4</v>
      </c>
      <c r="H205" s="311" t="s">
        <v>100</v>
      </c>
      <c r="I205" s="312" t="str">
        <f>VLOOKUP(BDsurtidor!$H205,$T$4:$W$18,2,FALSE)</f>
        <v>HIDROJET</v>
      </c>
      <c r="J205" s="312">
        <f>VLOOKUP(BDsurtidor!$H205,$T$4:$W$25,3,FALSE)</f>
        <v>1000</v>
      </c>
      <c r="K205" s="312">
        <f>VLOOKUP(BDsurtidor!$H205,$T$4:$W$25,4,FALSE)</f>
        <v>1</v>
      </c>
      <c r="L205" s="312">
        <f>VLOOKUP(BDsurtidor!$H205,$T$4:$X$25,5,FALSE)</f>
        <v>0</v>
      </c>
      <c r="M205" s="312" t="str">
        <f>VLOOKUP(BDsurtidor!$H205,$T$4:$Y$25,6,FALSE)</f>
        <v>EPS</v>
      </c>
      <c r="N205" s="101">
        <v>0</v>
      </c>
      <c r="O205" s="313">
        <v>0</v>
      </c>
      <c r="P205" s="314">
        <v>0.33055555555555555</v>
      </c>
      <c r="Q205" s="123" t="s">
        <v>574</v>
      </c>
    </row>
    <row r="206" spans="2:17" x14ac:dyDescent="0.25">
      <c r="B206">
        <f>WEEKNUM(BSURTIDOR[[#This Row],[FECHA]])</f>
        <v>5</v>
      </c>
      <c r="C206">
        <f>MONTH(BSURTIDOR[[#This Row],[FECHA]])</f>
        <v>1</v>
      </c>
      <c r="D206">
        <f>YEAR(BSURTIDOR[[#This Row],[FECHA]])</f>
        <v>2026</v>
      </c>
      <c r="E206" s="310">
        <v>46053</v>
      </c>
      <c r="F206" s="283" t="s">
        <v>548</v>
      </c>
      <c r="G206" s="311">
        <v>5</v>
      </c>
      <c r="H206" s="311" t="s">
        <v>558</v>
      </c>
      <c r="I206" s="312" t="str">
        <f>VLOOKUP(BDsurtidor!$H206,$T$4:$W$18,2,FALSE)</f>
        <v>HIDROJET</v>
      </c>
      <c r="J206" s="312">
        <f>VLOOKUP(BDsurtidor!$H206,$T$4:$W$25,3,FALSE)</f>
        <v>1000</v>
      </c>
      <c r="K206" s="312">
        <f>VLOOKUP(BDsurtidor!$H206,$T$4:$W$25,4,FALSE)</f>
        <v>1</v>
      </c>
      <c r="L206" s="312">
        <f>VLOOKUP(BDsurtidor!$H206,$T$4:$X$25,5,FALSE)</f>
        <v>0</v>
      </c>
      <c r="M206" s="312" t="str">
        <f>VLOOKUP(BDsurtidor!$H206,$T$4:$Y$25,6,FALSE)</f>
        <v>EPS</v>
      </c>
      <c r="N206" s="39">
        <v>0</v>
      </c>
      <c r="O206" s="313">
        <v>0</v>
      </c>
      <c r="P206" s="314">
        <v>0.33819444444444446</v>
      </c>
      <c r="Q206" s="123" t="s">
        <v>574</v>
      </c>
    </row>
    <row r="207" spans="2:17" x14ac:dyDescent="0.25">
      <c r="B207">
        <f>WEEKNUM(BSURTIDOR[[#This Row],[FECHA]])</f>
        <v>5</v>
      </c>
      <c r="C207">
        <f>MONTH(BSURTIDOR[[#This Row],[FECHA]])</f>
        <v>1</v>
      </c>
      <c r="D207">
        <f>YEAR(BSURTIDOR[[#This Row],[FECHA]])</f>
        <v>2026</v>
      </c>
      <c r="E207" s="310">
        <v>46053</v>
      </c>
      <c r="F207" s="283" t="s">
        <v>548</v>
      </c>
      <c r="G207" s="311">
        <v>6</v>
      </c>
      <c r="H207" s="311" t="s">
        <v>99</v>
      </c>
      <c r="I207" s="312" t="str">
        <f>VLOOKUP(BDsurtidor!$H207,$T$4:$W$18,2,FALSE)</f>
        <v>CISTERNA</v>
      </c>
      <c r="J207" s="312">
        <f>VLOOKUP(BDsurtidor!$H207,$T$4:$W$25,3,FALSE)</f>
        <v>5000</v>
      </c>
      <c r="K207" s="312">
        <f>VLOOKUP(BDsurtidor!$H207,$T$4:$W$25,4,FALSE)</f>
        <v>17</v>
      </c>
      <c r="L207" s="312">
        <f>VLOOKUP(BDsurtidor!$H207,$T$4:$X$25,5,FALSE)</f>
        <v>0.4</v>
      </c>
      <c r="M207" s="312" t="str">
        <f>VLOOKUP(BDsurtidor!$H207,$T$4:$Y$25,6,FALSE)</f>
        <v>EPS</v>
      </c>
      <c r="N207" s="101">
        <v>0</v>
      </c>
      <c r="O207" s="313">
        <v>1.18</v>
      </c>
      <c r="P207" s="314">
        <v>0.34861111111111109</v>
      </c>
      <c r="Q207" s="123" t="s">
        <v>574</v>
      </c>
    </row>
    <row r="208" spans="2:17" x14ac:dyDescent="0.25">
      <c r="B208">
        <f>WEEKNUM(BSURTIDOR[[#This Row],[FECHA]])</f>
        <v>5</v>
      </c>
      <c r="C208">
        <f>MONTH(BSURTIDOR[[#This Row],[FECHA]])</f>
        <v>1</v>
      </c>
      <c r="D208">
        <f>YEAR(BSURTIDOR[[#This Row],[FECHA]])</f>
        <v>2026</v>
      </c>
      <c r="E208" s="310">
        <v>46053</v>
      </c>
      <c r="F208" s="283" t="s">
        <v>548</v>
      </c>
      <c r="G208" s="311">
        <v>7</v>
      </c>
      <c r="H208" s="311" t="s">
        <v>89</v>
      </c>
      <c r="I208" s="312" t="str">
        <f>VLOOKUP(BDsurtidor!$H208,$T$4:$W$18,2,FALSE)</f>
        <v>CISTERNA</v>
      </c>
      <c r="J208" s="312">
        <f>VLOOKUP(BDsurtidor!$H208,$T$4:$W$25,3,FALSE)</f>
        <v>9000</v>
      </c>
      <c r="K208" s="312">
        <f>VLOOKUP(BDsurtidor!$H208,$T$4:$W$25,4,FALSE)</f>
        <v>34</v>
      </c>
      <c r="L208" s="312">
        <f>VLOOKUP(BDsurtidor!$H208,$T$4:$X$25,5,FALSE)</f>
        <v>0.45</v>
      </c>
      <c r="M208" s="312" t="str">
        <f>VLOOKUP(BDsurtidor!$H208,$T$4:$Y$25,6,FALSE)</f>
        <v>VIVIENDA</v>
      </c>
      <c r="N208" s="39">
        <v>0</v>
      </c>
      <c r="O208" s="313">
        <v>1.25</v>
      </c>
      <c r="P208" s="314">
        <v>0.44305555555555554</v>
      </c>
      <c r="Q208" s="123" t="s">
        <v>574</v>
      </c>
    </row>
    <row r="209" spans="2:17" x14ac:dyDescent="0.25">
      <c r="B209">
        <f>WEEKNUM(BSURTIDOR[[#This Row],[FECHA]])</f>
        <v>5</v>
      </c>
      <c r="C209">
        <f>MONTH(BSURTIDOR[[#This Row],[FECHA]])</f>
        <v>1</v>
      </c>
      <c r="D209">
        <f>YEAR(BSURTIDOR[[#This Row],[FECHA]])</f>
        <v>2026</v>
      </c>
      <c r="E209" s="310">
        <v>46053</v>
      </c>
      <c r="F209" s="283" t="s">
        <v>548</v>
      </c>
      <c r="G209" s="311">
        <v>8</v>
      </c>
      <c r="H209" s="311" t="s">
        <v>90</v>
      </c>
      <c r="I209" s="312" t="str">
        <f>VLOOKUP(BDsurtidor!$H209,$T$4:$W$18,2,FALSE)</f>
        <v>CISTERNA</v>
      </c>
      <c r="J209" s="312">
        <f>VLOOKUP(BDsurtidor!$H209,$T$4:$W$25,3,FALSE)</f>
        <v>5000</v>
      </c>
      <c r="K209" s="312">
        <f>VLOOKUP(BDsurtidor!$H209,$T$4:$W$25,4,FALSE)</f>
        <v>17</v>
      </c>
      <c r="L209" s="312">
        <f>VLOOKUP(BDsurtidor!$H209,$T$4:$X$25,5,FALSE)</f>
        <v>0.4</v>
      </c>
      <c r="M209" s="312" t="str">
        <f>VLOOKUP(BDsurtidor!$H209,$T$4:$Y$25,6,FALSE)</f>
        <v>EPS</v>
      </c>
      <c r="N209" s="101">
        <v>0</v>
      </c>
      <c r="O209" s="313">
        <v>1.19</v>
      </c>
      <c r="P209" s="314">
        <v>0.4777777777777778</v>
      </c>
      <c r="Q209" s="123" t="s">
        <v>574</v>
      </c>
    </row>
    <row r="210" spans="2:17" x14ac:dyDescent="0.25">
      <c r="B210">
        <f>WEEKNUM(BSURTIDOR[[#This Row],[FECHA]])</f>
        <v>5</v>
      </c>
      <c r="C210">
        <f>MONTH(BSURTIDOR[[#This Row],[FECHA]])</f>
        <v>1</v>
      </c>
      <c r="D210">
        <f>YEAR(BSURTIDOR[[#This Row],[FECHA]])</f>
        <v>2026</v>
      </c>
      <c r="E210" s="310">
        <v>46053</v>
      </c>
      <c r="F210" s="283" t="s">
        <v>548</v>
      </c>
      <c r="G210" s="311">
        <v>9</v>
      </c>
      <c r="H210" s="311" t="s">
        <v>90</v>
      </c>
      <c r="I210" s="312" t="str">
        <f>VLOOKUP(BDsurtidor!$H210,$T$4:$W$18,2,FALSE)</f>
        <v>CISTERNA</v>
      </c>
      <c r="J210" s="315">
        <f>VLOOKUP(BDsurtidor!$H210,$T$4:$W$25,3,FALSE)</f>
        <v>5000</v>
      </c>
      <c r="K210" s="315">
        <f>VLOOKUP(BDsurtidor!$H210,$T$4:$W$25,4,FALSE)</f>
        <v>17</v>
      </c>
      <c r="L210" s="312">
        <f>VLOOKUP(BDsurtidor!$H210,$T$4:$X$25,5,FALSE)</f>
        <v>0.4</v>
      </c>
      <c r="M210" s="315" t="str">
        <f>VLOOKUP(BDsurtidor!$H210,$T$4:$Y$25,6,FALSE)</f>
        <v>EPS</v>
      </c>
      <c r="N210" s="39">
        <v>0</v>
      </c>
      <c r="O210" s="313">
        <v>1.17</v>
      </c>
      <c r="P210" s="314">
        <v>7.2916666666666671E-2</v>
      </c>
      <c r="Q210" s="123" t="s">
        <v>574</v>
      </c>
    </row>
    <row r="211" spans="2:17" x14ac:dyDescent="0.25">
      <c r="B211">
        <f>WEEKNUM(BSURTIDOR[[#This Row],[FECHA]])</f>
        <v>6</v>
      </c>
      <c r="C211" s="327">
        <f>MONTH(BSURTIDOR[[#This Row],[FECHA]])</f>
        <v>2</v>
      </c>
      <c r="D211" s="327">
        <f>YEAR(BSURTIDOR[[#This Row],[FECHA]])</f>
        <v>2026</v>
      </c>
      <c r="E211" s="328">
        <v>46055</v>
      </c>
      <c r="F211" s="329" t="s">
        <v>548</v>
      </c>
      <c r="G211" s="330">
        <v>1</v>
      </c>
      <c r="H211" s="330" t="s">
        <v>100</v>
      </c>
      <c r="I211" s="331" t="str">
        <f>VLOOKUP(BDsurtidor!$H211,$T$4:$W$18,2,FALSE)</f>
        <v>HIDROJET</v>
      </c>
      <c r="J211" s="331">
        <f>VLOOKUP(BDsurtidor!$H211,$T$4:$W$25,3,FALSE)</f>
        <v>1000</v>
      </c>
      <c r="K211" s="331">
        <f>VLOOKUP(BDsurtidor!$H211,$T$4:$W$25,4,FALSE)</f>
        <v>1</v>
      </c>
      <c r="L211" s="331">
        <f>VLOOKUP(BDsurtidor!$H211,$T$4:$X$25,5,FALSE)</f>
        <v>0</v>
      </c>
      <c r="M211" s="331" t="str">
        <f>VLOOKUP(BDsurtidor!$H211,$T$4:$Y$25,6,FALSE)</f>
        <v>EPS</v>
      </c>
      <c r="N211" s="327">
        <v>0</v>
      </c>
      <c r="O211" s="332">
        <v>0</v>
      </c>
      <c r="P211" s="333">
        <v>0.28263888888888888</v>
      </c>
      <c r="Q211" s="334" t="s">
        <v>574</v>
      </c>
    </row>
    <row r="212" spans="2:17" x14ac:dyDescent="0.25">
      <c r="B212">
        <f>WEEKNUM(BSURTIDOR[[#This Row],[FECHA]])</f>
        <v>6</v>
      </c>
      <c r="C212" s="70">
        <f>MONTH(BSURTIDOR[[#This Row],[FECHA]])</f>
        <v>2</v>
      </c>
      <c r="D212" s="70">
        <f>YEAR(BSURTIDOR[[#This Row],[FECHA]])</f>
        <v>2026</v>
      </c>
      <c r="E212" s="328">
        <v>46055</v>
      </c>
      <c r="F212" s="329" t="s">
        <v>548</v>
      </c>
      <c r="G212" s="330">
        <v>2</v>
      </c>
      <c r="H212" s="330" t="s">
        <v>89</v>
      </c>
      <c r="I212" s="335" t="str">
        <f>VLOOKUP(BDsurtidor!$H212,$T$4:$W$18,2,FALSE)</f>
        <v>CISTERNA</v>
      </c>
      <c r="J212" s="335">
        <f>VLOOKUP(BDsurtidor!$H212,$T$4:$W$25,3,FALSE)</f>
        <v>9000</v>
      </c>
      <c r="K212" s="335">
        <f>VLOOKUP(BDsurtidor!$H212,$T$4:$W$25,4,FALSE)</f>
        <v>34</v>
      </c>
      <c r="L212" s="335">
        <f>VLOOKUP(BDsurtidor!$H212,$T$4:$X$25,5,FALSE)</f>
        <v>0.45</v>
      </c>
      <c r="M212" s="335" t="str">
        <f>VLOOKUP(BDsurtidor!$H212,$T$4:$Y$25,6,FALSE)</f>
        <v>VIVIENDA</v>
      </c>
      <c r="N212" s="70">
        <v>0</v>
      </c>
      <c r="O212" s="332">
        <v>1.1399999999999999</v>
      </c>
      <c r="P212" s="333">
        <v>0.31736111111111109</v>
      </c>
      <c r="Q212" s="334" t="s">
        <v>574</v>
      </c>
    </row>
    <row r="213" spans="2:17" x14ac:dyDescent="0.25">
      <c r="B213">
        <f>WEEKNUM(BSURTIDOR[[#This Row],[FECHA]])</f>
        <v>6</v>
      </c>
      <c r="C213" s="327">
        <f>MONTH(BSURTIDOR[[#This Row],[FECHA]])</f>
        <v>2</v>
      </c>
      <c r="D213" s="327">
        <f>YEAR(BSURTIDOR[[#This Row],[FECHA]])</f>
        <v>2026</v>
      </c>
      <c r="E213" s="328">
        <v>46055</v>
      </c>
      <c r="F213" s="329" t="s">
        <v>548</v>
      </c>
      <c r="G213" s="330">
        <v>3</v>
      </c>
      <c r="H213" s="330" t="s">
        <v>90</v>
      </c>
      <c r="I213" s="331" t="str">
        <f>VLOOKUP(BDsurtidor!$H213,$T$4:$W$18,2,FALSE)</f>
        <v>CISTERNA</v>
      </c>
      <c r="J213" s="331">
        <f>VLOOKUP(BDsurtidor!$H213,$T$4:$W$25,3,FALSE)</f>
        <v>5000</v>
      </c>
      <c r="K213" s="331">
        <f>VLOOKUP(BDsurtidor!$H213,$T$4:$W$25,4,FALSE)</f>
        <v>17</v>
      </c>
      <c r="L213" s="331">
        <f>VLOOKUP(BDsurtidor!$H213,$T$4:$X$25,5,FALSE)</f>
        <v>0.4</v>
      </c>
      <c r="M213" s="331" t="str">
        <f>VLOOKUP(BDsurtidor!$H213,$T$4:$Y$25,6,FALSE)</f>
        <v>EPS</v>
      </c>
      <c r="N213" s="327">
        <v>0</v>
      </c>
      <c r="O213" s="332">
        <v>1.0900000000000001</v>
      </c>
      <c r="P213" s="333">
        <v>0.32500000000000001</v>
      </c>
      <c r="Q213" s="334" t="s">
        <v>574</v>
      </c>
    </row>
    <row r="214" spans="2:17" x14ac:dyDescent="0.25">
      <c r="B214">
        <f>WEEKNUM(BSURTIDOR[[#This Row],[FECHA]])</f>
        <v>6</v>
      </c>
      <c r="C214" s="70">
        <f>MONTH(BSURTIDOR[[#This Row],[FECHA]])</f>
        <v>2</v>
      </c>
      <c r="D214" s="70">
        <f>YEAR(BSURTIDOR[[#This Row],[FECHA]])</f>
        <v>2026</v>
      </c>
      <c r="E214" s="328">
        <v>46055</v>
      </c>
      <c r="F214" s="329" t="s">
        <v>548</v>
      </c>
      <c r="G214" s="330">
        <v>4</v>
      </c>
      <c r="H214" s="330" t="s">
        <v>99</v>
      </c>
      <c r="I214" s="335" t="str">
        <f>VLOOKUP(BDsurtidor!$H214,$T$4:$W$18,2,FALSE)</f>
        <v>CISTERNA</v>
      </c>
      <c r="J214" s="335">
        <f>VLOOKUP(BDsurtidor!$H214,$T$4:$W$25,3,FALSE)</f>
        <v>5000</v>
      </c>
      <c r="K214" s="335">
        <f>VLOOKUP(BDsurtidor!$H214,$T$4:$W$25,4,FALSE)</f>
        <v>17</v>
      </c>
      <c r="L214" s="335">
        <f>VLOOKUP(BDsurtidor!$H214,$T$4:$X$25,5,FALSE)</f>
        <v>0.4</v>
      </c>
      <c r="M214" s="335" t="str">
        <f>VLOOKUP(BDsurtidor!$H214,$T$4:$Y$25,6,FALSE)</f>
        <v>EPS</v>
      </c>
      <c r="N214" s="70">
        <v>0</v>
      </c>
      <c r="O214" s="332">
        <v>1.02</v>
      </c>
      <c r="P214" s="333">
        <v>0.32847222222222222</v>
      </c>
      <c r="Q214" s="334" t="s">
        <v>574</v>
      </c>
    </row>
    <row r="215" spans="2:17" x14ac:dyDescent="0.25">
      <c r="B215">
        <f>WEEKNUM(BSURTIDOR[[#This Row],[FECHA]])</f>
        <v>6</v>
      </c>
      <c r="C215" s="327">
        <f>MONTH(BSURTIDOR[[#This Row],[FECHA]])</f>
        <v>2</v>
      </c>
      <c r="D215" s="327">
        <f>YEAR(BSURTIDOR[[#This Row],[FECHA]])</f>
        <v>2026</v>
      </c>
      <c r="E215" s="328">
        <v>46055</v>
      </c>
      <c r="F215" s="329" t="s">
        <v>548</v>
      </c>
      <c r="G215" s="330">
        <v>5</v>
      </c>
      <c r="H215" s="330" t="s">
        <v>97</v>
      </c>
      <c r="I215" s="331" t="str">
        <f>VLOOKUP(BDsurtidor!$H215,$T$4:$W$18,2,FALSE)</f>
        <v>CISTERNA</v>
      </c>
      <c r="J215" s="331">
        <f>VLOOKUP(BDsurtidor!$H215,$T$4:$W$25,3,FALSE)</f>
        <v>5000</v>
      </c>
      <c r="K215" s="331">
        <f>VLOOKUP(BDsurtidor!$H215,$T$4:$W$25,4,FALSE)</f>
        <v>17</v>
      </c>
      <c r="L215" s="331">
        <f>VLOOKUP(BDsurtidor!$H215,$T$4:$X$25,5,FALSE)</f>
        <v>0.4</v>
      </c>
      <c r="M215" s="331" t="str">
        <f>VLOOKUP(BDsurtidor!$H215,$T$4:$Y$25,6,FALSE)</f>
        <v>EPS</v>
      </c>
      <c r="N215" s="327">
        <v>0</v>
      </c>
      <c r="O215" s="332">
        <v>1.0900000000000001</v>
      </c>
      <c r="P215" s="333">
        <v>0.33888888888888891</v>
      </c>
      <c r="Q215" s="334" t="s">
        <v>574</v>
      </c>
    </row>
    <row r="216" spans="2:17" x14ac:dyDescent="0.25">
      <c r="B216">
        <f>WEEKNUM(BSURTIDOR[[#This Row],[FECHA]])</f>
        <v>6</v>
      </c>
      <c r="C216" s="70">
        <f>MONTH(BSURTIDOR[[#This Row],[FECHA]])</f>
        <v>2</v>
      </c>
      <c r="D216" s="70">
        <f>YEAR(BSURTIDOR[[#This Row],[FECHA]])</f>
        <v>2026</v>
      </c>
      <c r="E216" s="328">
        <v>46055</v>
      </c>
      <c r="F216" s="329" t="s">
        <v>548</v>
      </c>
      <c r="G216" s="330">
        <v>6</v>
      </c>
      <c r="H216" s="336" t="s">
        <v>87</v>
      </c>
      <c r="I216" s="70" t="str">
        <f>VLOOKUP(BDsurtidor!$H216,$T$4:$W$18,2,FALSE)</f>
        <v>CISTERNA</v>
      </c>
      <c r="J216" s="70">
        <f>VLOOKUP(BDsurtidor!$H216,$T$4:$W$25,3,FALSE)</f>
        <v>5000</v>
      </c>
      <c r="K216" s="70">
        <f>VLOOKUP(BDsurtidor!$H216,$T$4:$W$25,4,FALSE)</f>
        <v>17</v>
      </c>
      <c r="L216" s="70">
        <f>VLOOKUP(BDsurtidor!$H216,$T$4:$X$25,5,FALSE)</f>
        <v>0.4</v>
      </c>
      <c r="M216" s="70" t="str">
        <f>VLOOKUP(BDsurtidor!$H216,$T$4:$Y$25,6,FALSE)</f>
        <v>EPS</v>
      </c>
      <c r="N216" s="70">
        <v>0</v>
      </c>
      <c r="O216" s="337">
        <v>1.04</v>
      </c>
      <c r="P216" s="338">
        <v>0.3527777777777778</v>
      </c>
      <c r="Q216" s="334" t="s">
        <v>574</v>
      </c>
    </row>
    <row r="217" spans="2:17" x14ac:dyDescent="0.25">
      <c r="B217">
        <f>WEEKNUM(BSURTIDOR[[#This Row],[FECHA]])</f>
        <v>6</v>
      </c>
      <c r="C217" s="327">
        <f>MONTH(BSURTIDOR[[#This Row],[FECHA]])</f>
        <v>2</v>
      </c>
      <c r="D217" s="327">
        <f>YEAR(BSURTIDOR[[#This Row],[FECHA]])</f>
        <v>2026</v>
      </c>
      <c r="E217" s="328">
        <v>46055</v>
      </c>
      <c r="F217" s="329" t="s">
        <v>548</v>
      </c>
      <c r="G217" s="330">
        <v>7</v>
      </c>
      <c r="H217" s="336" t="s">
        <v>98</v>
      </c>
      <c r="I217" s="327" t="str">
        <f>VLOOKUP(BDsurtidor!$H217,$T$4:$W$18,2,FALSE)</f>
        <v>CISTERNA</v>
      </c>
      <c r="J217" s="327">
        <f>VLOOKUP(BDsurtidor!$H217,$T$4:$W$25,3,FALSE)</f>
        <v>9000</v>
      </c>
      <c r="K217" s="327">
        <f>VLOOKUP(BDsurtidor!$H217,$T$4:$W$25,4,FALSE)</f>
        <v>34</v>
      </c>
      <c r="L217" s="327">
        <f>VLOOKUP(BDsurtidor!$H217,$T$4:$X$25,5,FALSE)</f>
        <v>0.45</v>
      </c>
      <c r="M217" s="327" t="str">
        <f>VLOOKUP(BDsurtidor!$H217,$T$4:$Y$25,6,FALSE)</f>
        <v>VIVIENDA</v>
      </c>
      <c r="N217" s="327">
        <v>0</v>
      </c>
      <c r="O217" s="337">
        <v>1.08</v>
      </c>
      <c r="P217" s="338">
        <v>0.375</v>
      </c>
      <c r="Q217" s="334" t="s">
        <v>574</v>
      </c>
    </row>
    <row r="218" spans="2:17" x14ac:dyDescent="0.25">
      <c r="B218">
        <f>WEEKNUM(BSURTIDOR[[#This Row],[FECHA]])</f>
        <v>6</v>
      </c>
      <c r="C218" s="70">
        <f>MONTH(BSURTIDOR[[#This Row],[FECHA]])</f>
        <v>2</v>
      </c>
      <c r="D218" s="70">
        <f>YEAR(BSURTIDOR[[#This Row],[FECHA]])</f>
        <v>2026</v>
      </c>
      <c r="E218" s="328">
        <v>46055</v>
      </c>
      <c r="F218" s="329" t="s">
        <v>548</v>
      </c>
      <c r="G218" s="330">
        <v>8</v>
      </c>
      <c r="H218" s="336" t="s">
        <v>100</v>
      </c>
      <c r="I218" s="70" t="str">
        <f>VLOOKUP(BDsurtidor!$H218,$T$4:$W$18,2,FALSE)</f>
        <v>HIDROJET</v>
      </c>
      <c r="J218" s="70">
        <f>VLOOKUP(BDsurtidor!$H218,$T$4:$W$25,3,FALSE)</f>
        <v>1000</v>
      </c>
      <c r="K218" s="70">
        <f>VLOOKUP(BDsurtidor!$H218,$T$4:$W$25,4,FALSE)</f>
        <v>1</v>
      </c>
      <c r="L218" s="70">
        <f>VLOOKUP(BDsurtidor!$H218,$T$4:$X$25,5,FALSE)</f>
        <v>0</v>
      </c>
      <c r="M218" s="70" t="str">
        <f>VLOOKUP(BDsurtidor!$H218,$T$4:$Y$25,6,FALSE)</f>
        <v>EPS</v>
      </c>
      <c r="N218" s="70">
        <v>0</v>
      </c>
      <c r="O218" s="337">
        <v>0</v>
      </c>
      <c r="P218" s="338">
        <v>0.39444444444444443</v>
      </c>
      <c r="Q218" s="334" t="s">
        <v>574</v>
      </c>
    </row>
    <row r="219" spans="2:17" x14ac:dyDescent="0.25">
      <c r="B219">
        <f>WEEKNUM(BSURTIDOR[[#This Row],[FECHA]])</f>
        <v>6</v>
      </c>
      <c r="C219" s="327">
        <f>MONTH(BSURTIDOR[[#This Row],[FECHA]])</f>
        <v>2</v>
      </c>
      <c r="D219" s="327">
        <f>YEAR(BSURTIDOR[[#This Row],[FECHA]])</f>
        <v>2026</v>
      </c>
      <c r="E219" s="328">
        <v>46055</v>
      </c>
      <c r="F219" s="329" t="s">
        <v>548</v>
      </c>
      <c r="G219" s="330">
        <v>9</v>
      </c>
      <c r="H219" s="336" t="s">
        <v>89</v>
      </c>
      <c r="I219" s="327" t="str">
        <f>VLOOKUP(BDsurtidor!$H219,$T$4:$W$18,2,FALSE)</f>
        <v>CISTERNA</v>
      </c>
      <c r="J219" s="327">
        <f>VLOOKUP(BDsurtidor!$H219,$T$4:$W$25,3,FALSE)</f>
        <v>9000</v>
      </c>
      <c r="K219" s="327">
        <f>VLOOKUP(BDsurtidor!$H219,$T$4:$W$25,4,FALSE)</f>
        <v>34</v>
      </c>
      <c r="L219" s="327">
        <f>VLOOKUP(BDsurtidor!$H219,$T$4:$X$25,5,FALSE)</f>
        <v>0.45</v>
      </c>
      <c r="M219" s="327" t="str">
        <f>VLOOKUP(BDsurtidor!$H219,$T$4:$Y$25,6,FALSE)</f>
        <v>VIVIENDA</v>
      </c>
      <c r="N219" s="327">
        <v>0</v>
      </c>
      <c r="O219" s="337">
        <v>1.07</v>
      </c>
      <c r="P219" s="338">
        <v>0.42708333333333331</v>
      </c>
      <c r="Q219" s="334" t="s">
        <v>574</v>
      </c>
    </row>
    <row r="220" spans="2:17" x14ac:dyDescent="0.25">
      <c r="B220">
        <f>WEEKNUM(BSURTIDOR[[#This Row],[FECHA]])</f>
        <v>6</v>
      </c>
      <c r="C220" s="70">
        <f>MONTH(BSURTIDOR[[#This Row],[FECHA]])</f>
        <v>2</v>
      </c>
      <c r="D220" s="70">
        <f>YEAR(BSURTIDOR[[#This Row],[FECHA]])</f>
        <v>2026</v>
      </c>
      <c r="E220" s="328">
        <v>46055</v>
      </c>
      <c r="F220" s="329" t="s">
        <v>548</v>
      </c>
      <c r="G220" s="330">
        <v>10</v>
      </c>
      <c r="H220" s="336" t="s">
        <v>97</v>
      </c>
      <c r="I220" s="70" t="str">
        <f>VLOOKUP(BDsurtidor!$H220,$T$4:$W$18,2,FALSE)</f>
        <v>CISTERNA</v>
      </c>
      <c r="J220" s="70">
        <f>VLOOKUP(BDsurtidor!$H220,$T$4:$W$25,3,FALSE)</f>
        <v>5000</v>
      </c>
      <c r="K220" s="70">
        <f>VLOOKUP(BDsurtidor!$H220,$T$4:$W$25,4,FALSE)</f>
        <v>17</v>
      </c>
      <c r="L220" s="70">
        <f>VLOOKUP(BDsurtidor!$H220,$T$4:$X$25,5,FALSE)</f>
        <v>0.4</v>
      </c>
      <c r="M220" s="70" t="str">
        <f>VLOOKUP(BDsurtidor!$H220,$T$4:$Y$25,6,FALSE)</f>
        <v>EPS</v>
      </c>
      <c r="N220" s="70">
        <v>0</v>
      </c>
      <c r="O220" s="337">
        <v>1.1200000000000001</v>
      </c>
      <c r="P220" s="338">
        <v>0.44166666666666665</v>
      </c>
      <c r="Q220" s="334" t="s">
        <v>574</v>
      </c>
    </row>
    <row r="221" spans="2:17" x14ac:dyDescent="0.25">
      <c r="B221">
        <f>WEEKNUM(BSURTIDOR[[#This Row],[FECHA]])</f>
        <v>6</v>
      </c>
      <c r="C221" s="327">
        <f>MONTH(BSURTIDOR[[#This Row],[FECHA]])</f>
        <v>2</v>
      </c>
      <c r="D221" s="327">
        <f>YEAR(BSURTIDOR[[#This Row],[FECHA]])</f>
        <v>2026</v>
      </c>
      <c r="E221" s="328">
        <v>46055</v>
      </c>
      <c r="F221" s="329" t="s">
        <v>548</v>
      </c>
      <c r="G221" s="330">
        <v>11</v>
      </c>
      <c r="H221" s="336" t="s">
        <v>90</v>
      </c>
      <c r="I221" s="327" t="str">
        <f>VLOOKUP(BDsurtidor!$H221,$T$4:$W$18,2,FALSE)</f>
        <v>CISTERNA</v>
      </c>
      <c r="J221" s="327">
        <f>VLOOKUP(BDsurtidor!$H221,$T$4:$W$25,3,FALSE)</f>
        <v>5000</v>
      </c>
      <c r="K221" s="327">
        <f>VLOOKUP(BDsurtidor!$H221,$T$4:$W$25,4,FALSE)</f>
        <v>17</v>
      </c>
      <c r="L221" s="327">
        <f>VLOOKUP(BDsurtidor!$H221,$T$4:$X$25,5,FALSE)</f>
        <v>0.4</v>
      </c>
      <c r="M221" s="327" t="str">
        <f>VLOOKUP(BDsurtidor!$H221,$T$4:$Y$25,6,FALSE)</f>
        <v>EPS</v>
      </c>
      <c r="N221" s="327">
        <v>0</v>
      </c>
      <c r="O221" s="337">
        <v>1.1299999999999999</v>
      </c>
      <c r="P221" s="338">
        <v>0.47430555555555554</v>
      </c>
      <c r="Q221" s="334" t="s">
        <v>574</v>
      </c>
    </row>
    <row r="222" spans="2:17" x14ac:dyDescent="0.25">
      <c r="B222">
        <f>WEEKNUM(BSURTIDOR[[#This Row],[FECHA]])</f>
        <v>6</v>
      </c>
      <c r="C222" s="70">
        <f>MONTH(BSURTIDOR[[#This Row],[FECHA]])</f>
        <v>2</v>
      </c>
      <c r="D222" s="70">
        <f>YEAR(BSURTIDOR[[#This Row],[FECHA]])</f>
        <v>2026</v>
      </c>
      <c r="E222" s="328">
        <v>46055</v>
      </c>
      <c r="F222" s="329" t="s">
        <v>548</v>
      </c>
      <c r="G222" s="330">
        <v>12</v>
      </c>
      <c r="H222" s="336" t="s">
        <v>87</v>
      </c>
      <c r="I222" s="70" t="str">
        <f>VLOOKUP(BDsurtidor!$H222,$T$4:$W$18,2,FALSE)</f>
        <v>CISTERNA</v>
      </c>
      <c r="J222" s="70">
        <f>VLOOKUP(BDsurtidor!$H222,$T$4:$W$25,3,FALSE)</f>
        <v>5000</v>
      </c>
      <c r="K222" s="70">
        <f>VLOOKUP(BDsurtidor!$H222,$T$4:$W$25,4,FALSE)</f>
        <v>17</v>
      </c>
      <c r="L222" s="70">
        <f>VLOOKUP(BDsurtidor!$H222,$T$4:$X$25,5,FALSE)</f>
        <v>0.4</v>
      </c>
      <c r="M222" s="70" t="str">
        <f>VLOOKUP(BDsurtidor!$H222,$T$4:$Y$25,6,FALSE)</f>
        <v>EPS</v>
      </c>
      <c r="N222" s="70">
        <v>0</v>
      </c>
      <c r="O222" s="337">
        <v>1.05</v>
      </c>
      <c r="P222" s="338">
        <v>0.48472222222222222</v>
      </c>
      <c r="Q222" s="334" t="s">
        <v>574</v>
      </c>
    </row>
    <row r="223" spans="2:17" x14ac:dyDescent="0.25">
      <c r="B223">
        <f>WEEKNUM(BSURTIDOR[[#This Row],[FECHA]])</f>
        <v>6</v>
      </c>
      <c r="C223" s="327">
        <f>MONTH(BSURTIDOR[[#This Row],[FECHA]])</f>
        <v>2</v>
      </c>
      <c r="D223" s="327">
        <f>YEAR(BSURTIDOR[[#This Row],[FECHA]])</f>
        <v>2026</v>
      </c>
      <c r="E223" s="328">
        <v>46055</v>
      </c>
      <c r="F223" s="329" t="s">
        <v>548</v>
      </c>
      <c r="G223" s="330">
        <v>13</v>
      </c>
      <c r="H223" s="336" t="s">
        <v>99</v>
      </c>
      <c r="I223" s="327" t="str">
        <f>VLOOKUP(BDsurtidor!$H223,$T$4:$W$18,2,FALSE)</f>
        <v>CISTERNA</v>
      </c>
      <c r="J223" s="327">
        <f>VLOOKUP(BDsurtidor!$H223,$T$4:$W$25,3,FALSE)</f>
        <v>5000</v>
      </c>
      <c r="K223" s="327">
        <f>VLOOKUP(BDsurtidor!$H223,$T$4:$W$25,4,FALSE)</f>
        <v>17</v>
      </c>
      <c r="L223" s="327">
        <f>VLOOKUP(BDsurtidor!$H223,$T$4:$X$25,5,FALSE)</f>
        <v>0.4</v>
      </c>
      <c r="M223" s="327" t="str">
        <f>VLOOKUP(BDsurtidor!$H223,$T$4:$Y$25,6,FALSE)</f>
        <v>EPS</v>
      </c>
      <c r="N223" s="327">
        <v>0</v>
      </c>
      <c r="O223" s="337">
        <v>1.1599999999999999</v>
      </c>
      <c r="P223" s="338">
        <v>0.49861111111111112</v>
      </c>
      <c r="Q223" s="334" t="s">
        <v>574</v>
      </c>
    </row>
    <row r="224" spans="2:17" x14ac:dyDescent="0.25">
      <c r="B224">
        <f>WEEKNUM(BSURTIDOR[[#This Row],[FECHA]])</f>
        <v>6</v>
      </c>
      <c r="C224" s="70">
        <f>MONTH(BSURTIDOR[[#This Row],[FECHA]])</f>
        <v>2</v>
      </c>
      <c r="D224" s="70">
        <f>YEAR(BSURTIDOR[[#This Row],[FECHA]])</f>
        <v>2026</v>
      </c>
      <c r="E224" s="328">
        <v>46055</v>
      </c>
      <c r="F224" s="329" t="s">
        <v>548</v>
      </c>
      <c r="G224" s="330">
        <v>14</v>
      </c>
      <c r="H224" s="336" t="s">
        <v>87</v>
      </c>
      <c r="I224" s="70" t="str">
        <f>VLOOKUP(BDsurtidor!$H224,$T$4:$W$18,2,FALSE)</f>
        <v>CISTERNA</v>
      </c>
      <c r="J224" s="70">
        <f>VLOOKUP(BDsurtidor!$H224,$T$4:$W$25,3,FALSE)</f>
        <v>5000</v>
      </c>
      <c r="K224" s="70">
        <f>VLOOKUP(BDsurtidor!$H224,$T$4:$W$25,4,FALSE)</f>
        <v>17</v>
      </c>
      <c r="L224" s="70">
        <f>VLOOKUP(BDsurtidor!$H224,$T$4:$X$25,5,FALSE)</f>
        <v>0.4</v>
      </c>
      <c r="M224" s="70" t="str">
        <f>VLOOKUP(BDsurtidor!$H224,$T$4:$Y$25,6,FALSE)</f>
        <v>EPS</v>
      </c>
      <c r="N224" s="70">
        <v>0</v>
      </c>
      <c r="O224" s="337">
        <v>1.0900000000000001</v>
      </c>
      <c r="P224" s="338">
        <v>0.57638888888888884</v>
      </c>
      <c r="Q224" s="334" t="s">
        <v>574</v>
      </c>
    </row>
    <row r="225" spans="2:17" x14ac:dyDescent="0.25">
      <c r="B225">
        <f>WEEKNUM(BSURTIDOR[[#This Row],[FECHA]])</f>
        <v>6</v>
      </c>
      <c r="C225" s="327">
        <f>MONTH(BSURTIDOR[[#This Row],[FECHA]])</f>
        <v>2</v>
      </c>
      <c r="D225" s="327">
        <f>YEAR(BSURTIDOR[[#This Row],[FECHA]])</f>
        <v>2026</v>
      </c>
      <c r="E225" s="328">
        <v>46055</v>
      </c>
      <c r="F225" s="329" t="s">
        <v>548</v>
      </c>
      <c r="G225" s="330">
        <v>15</v>
      </c>
      <c r="H225" s="336" t="s">
        <v>99</v>
      </c>
      <c r="I225" s="327" t="str">
        <f>VLOOKUP(BDsurtidor!$H225,$T$4:$W$18,2,FALSE)</f>
        <v>CISTERNA</v>
      </c>
      <c r="J225" s="327">
        <f>VLOOKUP(BDsurtidor!$H225,$T$4:$W$25,3,FALSE)</f>
        <v>5000</v>
      </c>
      <c r="K225" s="327">
        <f>VLOOKUP(BDsurtidor!$H225,$T$4:$W$25,4,FALSE)</f>
        <v>17</v>
      </c>
      <c r="L225" s="327">
        <f>VLOOKUP(BDsurtidor!$H225,$T$4:$X$25,5,FALSE)</f>
        <v>0.4</v>
      </c>
      <c r="M225" s="327" t="str">
        <f>VLOOKUP(BDsurtidor!$H225,$T$4:$Y$25,6,FALSE)</f>
        <v>EPS</v>
      </c>
      <c r="N225" s="327">
        <v>0</v>
      </c>
      <c r="O225" s="337">
        <v>1.1499999999999999</v>
      </c>
      <c r="P225" s="338">
        <v>0.59097222222222223</v>
      </c>
      <c r="Q225" s="334" t="s">
        <v>574</v>
      </c>
    </row>
    <row r="226" spans="2:17" x14ac:dyDescent="0.25">
      <c r="B226" s="119">
        <f>WEEKNUM(BSURTIDOR[[#This Row],[FECHA]])</f>
        <v>6</v>
      </c>
      <c r="C226" s="119">
        <f>MONTH(BSURTIDOR[[#This Row],[FECHA]])</f>
        <v>2</v>
      </c>
      <c r="D226">
        <f>YEAR(BSURTIDOR[[#This Row],[FECHA]])</f>
        <v>2026</v>
      </c>
      <c r="E226" s="124">
        <v>46056</v>
      </c>
      <c r="F226" s="329" t="s">
        <v>548</v>
      </c>
      <c r="G226" s="123">
        <v>1</v>
      </c>
      <c r="H226" s="123" t="s">
        <v>100</v>
      </c>
      <c r="I226" s="101" t="str">
        <f>VLOOKUP(BDsurtidor!$H226,$T$4:$W$18,2,FALSE)</f>
        <v>HIDROJET</v>
      </c>
      <c r="J226" s="123">
        <f>VLOOKUP(BDsurtidor!$H226,$T$4:$W$25,3,FALSE)</f>
        <v>1000</v>
      </c>
      <c r="K226" s="123">
        <f>VLOOKUP(BDsurtidor!$H226,$T$4:$W$25,4,FALSE)</f>
        <v>1</v>
      </c>
      <c r="L226" s="123">
        <f>VLOOKUP(BDsurtidor!$H226,$T$4:$X$25,5,FALSE)</f>
        <v>0</v>
      </c>
      <c r="M226" s="101" t="str">
        <f>VLOOKUP(BDsurtidor!$H226,$T$4:$Y$25,6,FALSE)</f>
        <v>EPS</v>
      </c>
      <c r="N226" s="70">
        <v>0</v>
      </c>
      <c r="O226" s="125">
        <v>0</v>
      </c>
      <c r="P226" s="126">
        <v>0.28263888888888888</v>
      </c>
      <c r="Q226" s="334" t="s">
        <v>574</v>
      </c>
    </row>
    <row r="227" spans="2:17" x14ac:dyDescent="0.25">
      <c r="B227">
        <f>WEEKNUM(BSURTIDOR[[#This Row],[FECHA]])</f>
        <v>6</v>
      </c>
      <c r="C227">
        <f>MONTH(BSURTIDOR[[#This Row],[FECHA]])</f>
        <v>2</v>
      </c>
      <c r="D227">
        <f>YEAR(BSURTIDOR[[#This Row],[FECHA]])</f>
        <v>2026</v>
      </c>
      <c r="E227" s="124">
        <v>46056</v>
      </c>
      <c r="F227" s="329" t="s">
        <v>548</v>
      </c>
      <c r="G227" s="123">
        <v>2</v>
      </c>
      <c r="H227" s="123" t="s">
        <v>97</v>
      </c>
      <c r="I227" s="101" t="str">
        <f>VLOOKUP(BDsurtidor!$H227,$T$4:$W$18,2,FALSE)</f>
        <v>CISTERNA</v>
      </c>
      <c r="J227" s="101">
        <f>VLOOKUP(BDsurtidor!$H227,$T$4:$W$25,3,FALSE)</f>
        <v>5000</v>
      </c>
      <c r="K227" s="101">
        <f>VLOOKUP(BDsurtidor!$H227,$T$4:$W$25,4,FALSE)</f>
        <v>17</v>
      </c>
      <c r="L227" s="101">
        <f>VLOOKUP(BDsurtidor!$H227,$T$4:$X$25,5,FALSE)</f>
        <v>0.4</v>
      </c>
      <c r="M227" s="101" t="str">
        <f>VLOOKUP(BDsurtidor!$H227,$T$4:$Y$25,6,FALSE)</f>
        <v>EPS</v>
      </c>
      <c r="N227" s="327">
        <v>0</v>
      </c>
      <c r="O227" s="125">
        <v>1.1599999999999999</v>
      </c>
      <c r="P227" s="126">
        <v>0.29166666666666669</v>
      </c>
      <c r="Q227" s="334" t="s">
        <v>574</v>
      </c>
    </row>
    <row r="228" spans="2:17" x14ac:dyDescent="0.25">
      <c r="B228">
        <f>WEEKNUM(BSURTIDOR[[#This Row],[FECHA]])</f>
        <v>6</v>
      </c>
      <c r="C228">
        <f>MONTH(BSURTIDOR[[#This Row],[FECHA]])</f>
        <v>2</v>
      </c>
      <c r="D228">
        <f>YEAR(BSURTIDOR[[#This Row],[FECHA]])</f>
        <v>2026</v>
      </c>
      <c r="E228" s="124">
        <v>46056</v>
      </c>
      <c r="F228" s="329" t="s">
        <v>548</v>
      </c>
      <c r="G228" s="123">
        <v>3</v>
      </c>
      <c r="H228" s="123" t="s">
        <v>98</v>
      </c>
      <c r="I228" s="101" t="str">
        <f>VLOOKUP(BDsurtidor!$H228,$T$4:$W$18,2,FALSE)</f>
        <v>CISTERNA</v>
      </c>
      <c r="J228" s="101">
        <f>VLOOKUP(BDsurtidor!$H228,$T$4:$W$25,3,FALSE)</f>
        <v>9000</v>
      </c>
      <c r="K228" s="101">
        <f>VLOOKUP(BDsurtidor!$H228,$T$4:$W$25,4,FALSE)</f>
        <v>34</v>
      </c>
      <c r="L228" s="101">
        <f>VLOOKUP(BDsurtidor!$H228,$T$4:$X$25,5,FALSE)</f>
        <v>0.45</v>
      </c>
      <c r="M228" s="101" t="str">
        <f>VLOOKUP(BDsurtidor!$H228,$T$4:$Y$25,6,FALSE)</f>
        <v>VIVIENDA</v>
      </c>
      <c r="N228" s="70">
        <v>0</v>
      </c>
      <c r="O228" s="125">
        <v>1.0900000000000001</v>
      </c>
      <c r="P228" s="126">
        <v>0.30277777777777776</v>
      </c>
      <c r="Q228" s="334" t="s">
        <v>574</v>
      </c>
    </row>
    <row r="229" spans="2:17" x14ac:dyDescent="0.25">
      <c r="B229">
        <f>WEEKNUM(BSURTIDOR[[#This Row],[FECHA]])</f>
        <v>6</v>
      </c>
      <c r="C229">
        <f>MONTH(BSURTIDOR[[#This Row],[FECHA]])</f>
        <v>2</v>
      </c>
      <c r="D229">
        <f>YEAR(BSURTIDOR[[#This Row],[FECHA]])</f>
        <v>2026</v>
      </c>
      <c r="E229" s="124">
        <v>46056</v>
      </c>
      <c r="F229" s="329" t="s">
        <v>548</v>
      </c>
      <c r="G229" s="123">
        <v>4</v>
      </c>
      <c r="H229" s="123" t="s">
        <v>99</v>
      </c>
      <c r="I229" s="101" t="str">
        <f>VLOOKUP(BDsurtidor!$H229,$T$4:$W$18,2,FALSE)</f>
        <v>CISTERNA</v>
      </c>
      <c r="J229" s="101">
        <f>VLOOKUP(BDsurtidor!$H229,$T$4:$W$25,3,FALSE)</f>
        <v>5000</v>
      </c>
      <c r="K229" s="101">
        <f>VLOOKUP(BDsurtidor!$H229,$T$4:$W$25,4,FALSE)</f>
        <v>17</v>
      </c>
      <c r="L229" s="101">
        <f>VLOOKUP(BDsurtidor!$H229,$T$4:$X$25,5,FALSE)</f>
        <v>0.4</v>
      </c>
      <c r="M229" s="101" t="str">
        <f>VLOOKUP(BDsurtidor!$H229,$T$4:$Y$25,6,FALSE)</f>
        <v>EPS</v>
      </c>
      <c r="N229" s="327">
        <v>0</v>
      </c>
      <c r="O229" s="125">
        <v>1.07</v>
      </c>
      <c r="P229" s="126">
        <v>0.31736111111111109</v>
      </c>
      <c r="Q229" s="334" t="s">
        <v>574</v>
      </c>
    </row>
    <row r="230" spans="2:17" x14ac:dyDescent="0.25">
      <c r="B230">
        <f>WEEKNUM(BSURTIDOR[[#This Row],[FECHA]])</f>
        <v>6</v>
      </c>
      <c r="C230">
        <f>MONTH(BSURTIDOR[[#This Row],[FECHA]])</f>
        <v>2</v>
      </c>
      <c r="D230">
        <f>YEAR(BSURTIDOR[[#This Row],[FECHA]])</f>
        <v>2026</v>
      </c>
      <c r="E230" s="124">
        <v>46056</v>
      </c>
      <c r="F230" s="329" t="s">
        <v>548</v>
      </c>
      <c r="G230" s="123">
        <v>5</v>
      </c>
      <c r="H230" s="123" t="s">
        <v>89</v>
      </c>
      <c r="I230" s="101" t="str">
        <f>VLOOKUP(BDsurtidor!$H230,$T$4:$W$18,2,FALSE)</f>
        <v>CISTERNA</v>
      </c>
      <c r="J230" s="101">
        <f>VLOOKUP(BDsurtidor!$H230,$T$4:$W$25,3,FALSE)</f>
        <v>9000</v>
      </c>
      <c r="K230" s="101">
        <f>VLOOKUP(BDsurtidor!$H230,$T$4:$W$25,4,FALSE)</f>
        <v>34</v>
      </c>
      <c r="L230" s="101">
        <f>VLOOKUP(BDsurtidor!$H230,$T$4:$X$25,5,FALSE)</f>
        <v>0.45</v>
      </c>
      <c r="M230" s="101" t="str">
        <f>VLOOKUP(BDsurtidor!$H230,$T$4:$Y$25,6,FALSE)</f>
        <v>VIVIENDA</v>
      </c>
      <c r="N230" s="70">
        <v>0</v>
      </c>
      <c r="O230" s="125">
        <v>1.0900000000000001</v>
      </c>
      <c r="P230" s="126">
        <v>7.47</v>
      </c>
      <c r="Q230" s="334" t="s">
        <v>574</v>
      </c>
    </row>
    <row r="231" spans="2:17" x14ac:dyDescent="0.25">
      <c r="B231">
        <f>WEEKNUM(BSURTIDOR[[#This Row],[FECHA]])</f>
        <v>6</v>
      </c>
      <c r="C231">
        <f>MONTH(BSURTIDOR[[#This Row],[FECHA]])</f>
        <v>2</v>
      </c>
      <c r="D231">
        <f>YEAR(BSURTIDOR[[#This Row],[FECHA]])</f>
        <v>2026</v>
      </c>
      <c r="E231" s="124">
        <v>46056</v>
      </c>
      <c r="F231" s="329" t="s">
        <v>548</v>
      </c>
      <c r="G231" s="123">
        <v>6</v>
      </c>
      <c r="H231" s="123" t="s">
        <v>87</v>
      </c>
      <c r="I231" s="101" t="str">
        <f>VLOOKUP(BDsurtidor!$H231,$T$4:$W$18,2,FALSE)</f>
        <v>CISTERNA</v>
      </c>
      <c r="J231" s="101">
        <f>VLOOKUP(BDsurtidor!$H231,$T$4:$W$25,3,FALSE)</f>
        <v>5000</v>
      </c>
      <c r="K231" s="101">
        <f>VLOOKUP(BDsurtidor!$H231,$T$4:$W$25,4,FALSE)</f>
        <v>17</v>
      </c>
      <c r="L231" s="101">
        <f>VLOOKUP(BDsurtidor!$H231,$T$4:$X$25,5,FALSE)</f>
        <v>0.4</v>
      </c>
      <c r="M231" s="101" t="str">
        <f>VLOOKUP(BDsurtidor!$H231,$T$4:$Y$25,6,FALSE)</f>
        <v>EPS</v>
      </c>
      <c r="N231" s="327">
        <v>0</v>
      </c>
      <c r="O231" s="125">
        <v>1.06</v>
      </c>
      <c r="P231" s="126">
        <v>0.33680555555555558</v>
      </c>
      <c r="Q231" s="334" t="s">
        <v>574</v>
      </c>
    </row>
    <row r="232" spans="2:17" x14ac:dyDescent="0.25">
      <c r="B232">
        <f>WEEKNUM(BSURTIDOR[[#This Row],[FECHA]])</f>
        <v>6</v>
      </c>
      <c r="C232">
        <f>MONTH(BSURTIDOR[[#This Row],[FECHA]])</f>
        <v>2</v>
      </c>
      <c r="D232">
        <f>YEAR(BSURTIDOR[[#This Row],[FECHA]])</f>
        <v>2026</v>
      </c>
      <c r="E232" s="124">
        <v>46056</v>
      </c>
      <c r="F232" s="329" t="s">
        <v>548</v>
      </c>
      <c r="G232" s="123">
        <v>7</v>
      </c>
      <c r="H232" s="123" t="s">
        <v>90</v>
      </c>
      <c r="I232" s="101" t="str">
        <f>VLOOKUP(BDsurtidor!$H232,$T$4:$W$18,2,FALSE)</f>
        <v>CISTERNA</v>
      </c>
      <c r="J232" s="101">
        <f>VLOOKUP(BDsurtidor!$H232,$T$4:$W$25,3,FALSE)</f>
        <v>5000</v>
      </c>
      <c r="K232" s="101">
        <f>VLOOKUP(BDsurtidor!$H232,$T$4:$W$25,4,FALSE)</f>
        <v>17</v>
      </c>
      <c r="L232" s="101">
        <f>VLOOKUP(BDsurtidor!$H232,$T$4:$X$25,5,FALSE)</f>
        <v>0.4</v>
      </c>
      <c r="M232" s="101" t="str">
        <f>VLOOKUP(BDsurtidor!$H232,$T$4:$Y$25,6,FALSE)</f>
        <v>EPS</v>
      </c>
      <c r="N232" s="70">
        <v>0</v>
      </c>
      <c r="O232" s="125">
        <v>1.02</v>
      </c>
      <c r="P232" s="126">
        <v>0.34375</v>
      </c>
      <c r="Q232" s="334" t="s">
        <v>574</v>
      </c>
    </row>
    <row r="233" spans="2:17" x14ac:dyDescent="0.25">
      <c r="B233">
        <f>WEEKNUM(BSURTIDOR[[#This Row],[FECHA]])</f>
        <v>6</v>
      </c>
      <c r="C233">
        <f>MONTH(BSURTIDOR[[#This Row],[FECHA]])</f>
        <v>2</v>
      </c>
      <c r="D233">
        <f>YEAR(BSURTIDOR[[#This Row],[FECHA]])</f>
        <v>2026</v>
      </c>
      <c r="E233" s="124">
        <v>46056</v>
      </c>
      <c r="F233" s="329" t="s">
        <v>548</v>
      </c>
      <c r="G233" s="123">
        <v>8</v>
      </c>
      <c r="H233" s="123" t="s">
        <v>97</v>
      </c>
      <c r="I233" s="101" t="str">
        <f>VLOOKUP(BDsurtidor!$H233,$T$4:$W$18,2,FALSE)</f>
        <v>CISTERNA</v>
      </c>
      <c r="J233" s="101">
        <f>VLOOKUP(BDsurtidor!$H233,$T$4:$W$25,3,FALSE)</f>
        <v>5000</v>
      </c>
      <c r="K233" s="101">
        <f>VLOOKUP(BDsurtidor!$H233,$T$4:$W$25,4,FALSE)</f>
        <v>17</v>
      </c>
      <c r="L233" s="101">
        <f>VLOOKUP(BDsurtidor!$H233,$T$4:$X$25,5,FALSE)</f>
        <v>0.4</v>
      </c>
      <c r="M233" s="101" t="str">
        <f>VLOOKUP(BDsurtidor!$H233,$T$4:$Y$25,6,FALSE)</f>
        <v>EPS</v>
      </c>
      <c r="N233" s="327">
        <v>0</v>
      </c>
      <c r="O233" s="125">
        <v>1.05</v>
      </c>
      <c r="P233" s="126">
        <v>0.39166666666666666</v>
      </c>
      <c r="Q233" s="334" t="s">
        <v>574</v>
      </c>
    </row>
    <row r="234" spans="2:17" x14ac:dyDescent="0.25">
      <c r="B234">
        <f>WEEKNUM(BSURTIDOR[[#This Row],[FECHA]])</f>
        <v>6</v>
      </c>
      <c r="C234">
        <f>MONTH(BSURTIDOR[[#This Row],[FECHA]])</f>
        <v>2</v>
      </c>
      <c r="D234">
        <f>YEAR(BSURTIDOR[[#This Row],[FECHA]])</f>
        <v>2026</v>
      </c>
      <c r="E234" s="124">
        <v>46056</v>
      </c>
      <c r="F234" s="329" t="s">
        <v>548</v>
      </c>
      <c r="G234" s="123">
        <v>9</v>
      </c>
      <c r="H234" s="123" t="s">
        <v>100</v>
      </c>
      <c r="I234" s="101" t="str">
        <f>VLOOKUP(BDsurtidor!$H234,$T$4:$W$18,2,FALSE)</f>
        <v>HIDROJET</v>
      </c>
      <c r="J234" s="101">
        <f>VLOOKUP(BDsurtidor!$H234,$T$4:$W$25,3,FALSE)</f>
        <v>1000</v>
      </c>
      <c r="K234" s="101">
        <f>VLOOKUP(BDsurtidor!$H234,$T$4:$W$25,4,FALSE)</f>
        <v>1</v>
      </c>
      <c r="L234" s="101">
        <f>VLOOKUP(BDsurtidor!$H234,$T$4:$X$25,5,FALSE)</f>
        <v>0</v>
      </c>
      <c r="M234" s="101" t="str">
        <f>VLOOKUP(BDsurtidor!$H234,$T$4:$Y$25,6,FALSE)</f>
        <v>EPS</v>
      </c>
      <c r="N234" s="70">
        <v>0</v>
      </c>
      <c r="O234" s="125">
        <v>0</v>
      </c>
      <c r="P234" s="126">
        <v>0.40972222222222221</v>
      </c>
      <c r="Q234" s="334" t="s">
        <v>574</v>
      </c>
    </row>
    <row r="235" spans="2:17" x14ac:dyDescent="0.25">
      <c r="B235">
        <f>WEEKNUM(BSURTIDOR[[#This Row],[FECHA]])</f>
        <v>6</v>
      </c>
      <c r="C235">
        <f>MONTH(BSURTIDOR[[#This Row],[FECHA]])</f>
        <v>2</v>
      </c>
      <c r="D235">
        <f>YEAR(BSURTIDOR[[#This Row],[FECHA]])</f>
        <v>2026</v>
      </c>
      <c r="E235" s="124">
        <v>46056</v>
      </c>
      <c r="F235" s="329" t="s">
        <v>548</v>
      </c>
      <c r="G235" s="123">
        <v>10</v>
      </c>
      <c r="H235" s="123" t="s">
        <v>98</v>
      </c>
      <c r="I235" s="101" t="str">
        <f>VLOOKUP(BDsurtidor!$H235,$T$4:$W$18,2,FALSE)</f>
        <v>CISTERNA</v>
      </c>
      <c r="J235" s="101">
        <f>VLOOKUP(BDsurtidor!$H235,$T$4:$W$25,3,FALSE)</f>
        <v>9000</v>
      </c>
      <c r="K235" s="101">
        <f>VLOOKUP(BDsurtidor!$H235,$T$4:$W$25,4,FALSE)</f>
        <v>34</v>
      </c>
      <c r="L235" s="101">
        <f>VLOOKUP(BDsurtidor!$H235,$T$4:$X$25,5,FALSE)</f>
        <v>0.45</v>
      </c>
      <c r="M235" s="101" t="str">
        <f>VLOOKUP(BDsurtidor!$H235,$T$4:$Y$25,6,FALSE)</f>
        <v>VIVIENDA</v>
      </c>
      <c r="N235" s="327">
        <v>0</v>
      </c>
      <c r="O235" s="125">
        <v>1.1100000000000001</v>
      </c>
      <c r="P235" s="126">
        <v>0.43472222222222223</v>
      </c>
      <c r="Q235" s="334" t="s">
        <v>574</v>
      </c>
    </row>
    <row r="236" spans="2:17" x14ac:dyDescent="0.25">
      <c r="B236">
        <f>WEEKNUM(BSURTIDOR[[#This Row],[FECHA]])</f>
        <v>6</v>
      </c>
      <c r="C236">
        <f>MONTH(BSURTIDOR[[#This Row],[FECHA]])</f>
        <v>2</v>
      </c>
      <c r="D236">
        <f>YEAR(BSURTIDOR[[#This Row],[FECHA]])</f>
        <v>2026</v>
      </c>
      <c r="E236" s="124">
        <v>46056</v>
      </c>
      <c r="F236" s="329" t="s">
        <v>548</v>
      </c>
      <c r="G236" s="123">
        <v>11</v>
      </c>
      <c r="H236" s="123" t="s">
        <v>99</v>
      </c>
      <c r="I236" s="101" t="str">
        <f>VLOOKUP(BDsurtidor!$H236,$T$4:$W$18,2,FALSE)</f>
        <v>CISTERNA</v>
      </c>
      <c r="J236" s="101">
        <f>VLOOKUP(BDsurtidor!$H236,$T$4:$W$25,3,FALSE)</f>
        <v>5000</v>
      </c>
      <c r="K236" s="101">
        <f>VLOOKUP(BDsurtidor!$H236,$T$4:$W$25,4,FALSE)</f>
        <v>17</v>
      </c>
      <c r="L236" s="101">
        <f>VLOOKUP(BDsurtidor!$H236,$T$4:$X$25,5,FALSE)</f>
        <v>0.4</v>
      </c>
      <c r="M236" s="101" t="str">
        <f>VLOOKUP(BDsurtidor!$H236,$T$4:$Y$25,6,FALSE)</f>
        <v>EPS</v>
      </c>
      <c r="N236" s="70">
        <v>0</v>
      </c>
      <c r="O236" s="125">
        <v>1.1299999999999999</v>
      </c>
      <c r="P236" s="126">
        <v>0.44930555555555557</v>
      </c>
      <c r="Q236" s="334" t="s">
        <v>574</v>
      </c>
    </row>
    <row r="237" spans="2:17" x14ac:dyDescent="0.25">
      <c r="B237">
        <f>WEEKNUM(BSURTIDOR[[#This Row],[FECHA]])</f>
        <v>6</v>
      </c>
      <c r="C237">
        <f>MONTH(BSURTIDOR[[#This Row],[FECHA]])</f>
        <v>2</v>
      </c>
      <c r="D237">
        <f>YEAR(BSURTIDOR[[#This Row],[FECHA]])</f>
        <v>2026</v>
      </c>
      <c r="E237" s="124">
        <v>46056</v>
      </c>
      <c r="F237" s="329" t="s">
        <v>548</v>
      </c>
      <c r="G237" s="123">
        <v>12</v>
      </c>
      <c r="H237" s="123" t="s">
        <v>90</v>
      </c>
      <c r="I237" s="101" t="str">
        <f>VLOOKUP(BDsurtidor!$H237,$T$4:$W$18,2,FALSE)</f>
        <v>CISTERNA</v>
      </c>
      <c r="J237" s="101">
        <f>VLOOKUP(BDsurtidor!$H237,$T$4:$W$25,3,FALSE)</f>
        <v>5000</v>
      </c>
      <c r="K237" s="101">
        <f>VLOOKUP(BDsurtidor!$H237,$T$4:$W$25,4,FALSE)</f>
        <v>17</v>
      </c>
      <c r="L237" s="101">
        <f>VLOOKUP(BDsurtidor!$H237,$T$4:$X$25,5,FALSE)</f>
        <v>0.4</v>
      </c>
      <c r="M237" s="101" t="str">
        <f>VLOOKUP(BDsurtidor!$H237,$T$4:$Y$25,6,FALSE)</f>
        <v>EPS</v>
      </c>
      <c r="N237" s="327">
        <v>0</v>
      </c>
      <c r="O237" s="125">
        <v>1.1100000000000001</v>
      </c>
      <c r="P237" s="126">
        <v>0.46250000000000002</v>
      </c>
      <c r="Q237" s="334" t="s">
        <v>574</v>
      </c>
    </row>
    <row r="238" spans="2:17" x14ac:dyDescent="0.25">
      <c r="B238">
        <f>WEEKNUM(BSURTIDOR[[#This Row],[FECHA]])</f>
        <v>6</v>
      </c>
      <c r="C238">
        <f>MONTH(BSURTIDOR[[#This Row],[FECHA]])</f>
        <v>2</v>
      </c>
      <c r="D238">
        <f>YEAR(BSURTIDOR[[#This Row],[FECHA]])</f>
        <v>2026</v>
      </c>
      <c r="E238" s="124">
        <v>46056</v>
      </c>
      <c r="F238" s="329" t="s">
        <v>548</v>
      </c>
      <c r="G238" s="123">
        <v>13</v>
      </c>
      <c r="H238" s="123" t="s">
        <v>97</v>
      </c>
      <c r="I238" s="101" t="str">
        <f>VLOOKUP(BDsurtidor!$H238,$T$4:$W$18,2,FALSE)</f>
        <v>CISTERNA</v>
      </c>
      <c r="J238" s="101">
        <f>VLOOKUP(BDsurtidor!$H238,$T$4:$W$25,3,FALSE)</f>
        <v>5000</v>
      </c>
      <c r="K238" s="101">
        <f>VLOOKUP(BDsurtidor!$H238,$T$4:$W$25,4,FALSE)</f>
        <v>17</v>
      </c>
      <c r="L238" s="101">
        <f>VLOOKUP(BDsurtidor!$H238,$T$4:$X$25,5,FALSE)</f>
        <v>0.4</v>
      </c>
      <c r="M238" s="101" t="str">
        <f>VLOOKUP(BDsurtidor!$H238,$T$4:$Y$25,6,FALSE)</f>
        <v>EPS</v>
      </c>
      <c r="N238" s="70">
        <v>0</v>
      </c>
      <c r="O238" s="125">
        <v>1.1200000000000001</v>
      </c>
      <c r="P238" s="126">
        <v>0.46805555555555556</v>
      </c>
      <c r="Q238" s="334" t="s">
        <v>574</v>
      </c>
    </row>
    <row r="239" spans="2:17" x14ac:dyDescent="0.25">
      <c r="B239">
        <f>WEEKNUM(BSURTIDOR[[#This Row],[FECHA]])</f>
        <v>6</v>
      </c>
      <c r="C239">
        <f>MONTH(BSURTIDOR[[#This Row],[FECHA]])</f>
        <v>2</v>
      </c>
      <c r="D239">
        <f>YEAR(BSURTIDOR[[#This Row],[FECHA]])</f>
        <v>2026</v>
      </c>
      <c r="E239" s="124">
        <v>46056</v>
      </c>
      <c r="F239" s="329" t="s">
        <v>548</v>
      </c>
      <c r="G239" s="123">
        <v>14</v>
      </c>
      <c r="H239" s="123" t="s">
        <v>89</v>
      </c>
      <c r="I239" s="101" t="str">
        <f>VLOOKUP(BDsurtidor!$H239,$T$4:$W$18,2,FALSE)</f>
        <v>CISTERNA</v>
      </c>
      <c r="J239" s="101">
        <f>VLOOKUP(BDsurtidor!$H239,$T$4:$W$25,3,FALSE)</f>
        <v>9000</v>
      </c>
      <c r="K239" s="101">
        <f>VLOOKUP(BDsurtidor!$H239,$T$4:$W$25,4,FALSE)</f>
        <v>34</v>
      </c>
      <c r="L239" s="101">
        <f>VLOOKUP(BDsurtidor!$H239,$T$4:$X$25,5,FALSE)</f>
        <v>0.45</v>
      </c>
      <c r="M239" s="101" t="str">
        <f>VLOOKUP(BDsurtidor!$H239,$T$4:$Y$25,6,FALSE)</f>
        <v>VIVIENDA</v>
      </c>
      <c r="N239" s="327">
        <v>0</v>
      </c>
      <c r="O239" s="125">
        <v>1.08</v>
      </c>
      <c r="P239" s="126">
        <v>0.48680555555555555</v>
      </c>
      <c r="Q239" s="334" t="s">
        <v>574</v>
      </c>
    </row>
    <row r="240" spans="2:17" x14ac:dyDescent="0.25">
      <c r="B240">
        <f>WEEKNUM(BSURTIDOR[[#This Row],[FECHA]])</f>
        <v>6</v>
      </c>
      <c r="C240">
        <f>MONTH(BSURTIDOR[[#This Row],[FECHA]])</f>
        <v>2</v>
      </c>
      <c r="D240">
        <f>YEAR(BSURTIDOR[[#This Row],[FECHA]])</f>
        <v>2026</v>
      </c>
      <c r="E240" s="124">
        <v>46056</v>
      </c>
      <c r="F240" s="364" t="s">
        <v>109</v>
      </c>
      <c r="G240" s="123">
        <v>15</v>
      </c>
      <c r="H240" s="123" t="s">
        <v>87</v>
      </c>
      <c r="I240" s="101" t="str">
        <f>VLOOKUP(BDsurtidor!$H240,$T$4:$W$18,2,FALSE)</f>
        <v>CISTERNA</v>
      </c>
      <c r="J240" s="101">
        <f>VLOOKUP(BDsurtidor!$H240,$T$4:$W$25,3,FALSE)</f>
        <v>5000</v>
      </c>
      <c r="K240" s="101">
        <f>VLOOKUP(BDsurtidor!$H240,$T$4:$W$25,4,FALSE)</f>
        <v>17</v>
      </c>
      <c r="L240" s="101">
        <f>VLOOKUP(BDsurtidor!$H240,$T$4:$X$25,5,FALSE)</f>
        <v>0.4</v>
      </c>
      <c r="M240" s="101" t="str">
        <f>VLOOKUP(BDsurtidor!$H240,$T$4:$Y$25,6,FALSE)</f>
        <v>EPS</v>
      </c>
      <c r="N240" s="327">
        <v>0</v>
      </c>
      <c r="O240" s="125">
        <v>1.04</v>
      </c>
      <c r="P240" s="126">
        <v>0.51944444444444449</v>
      </c>
      <c r="Q240" s="123" t="s">
        <v>626</v>
      </c>
    </row>
    <row r="241" spans="2:17" x14ac:dyDescent="0.25">
      <c r="B241">
        <f>WEEKNUM(BSURTIDOR[[#This Row],[FECHA]])</f>
        <v>6</v>
      </c>
      <c r="C241">
        <f>MONTH(BSURTIDOR[[#This Row],[FECHA]])</f>
        <v>2</v>
      </c>
      <c r="D241">
        <f>YEAR(BSURTIDOR[[#This Row],[FECHA]])</f>
        <v>2026</v>
      </c>
      <c r="E241" s="124">
        <v>46057</v>
      </c>
      <c r="F241" s="329" t="s">
        <v>548</v>
      </c>
      <c r="G241" s="123">
        <v>1</v>
      </c>
      <c r="H241" s="123" t="s">
        <v>100</v>
      </c>
      <c r="I241" s="101" t="str">
        <f>VLOOKUP(BDsurtidor!$H241,$T$4:$W$18,2,FALSE)</f>
        <v>HIDROJET</v>
      </c>
      <c r="J241" s="101">
        <f>VLOOKUP(BDsurtidor!$H241,$T$4:$W$25,3,FALSE)</f>
        <v>1000</v>
      </c>
      <c r="K241" s="101">
        <f>VLOOKUP(BDsurtidor!$H241,$T$4:$W$25,4,FALSE)</f>
        <v>1</v>
      </c>
      <c r="L241" s="101">
        <f>VLOOKUP(BDsurtidor!$H241,$T$4:$X$25,5,FALSE)</f>
        <v>0</v>
      </c>
      <c r="M241" s="101" t="str">
        <f>VLOOKUP(BDsurtidor!$H241,$T$4:$Y$25,6,FALSE)</f>
        <v>EPS</v>
      </c>
      <c r="N241" s="70">
        <v>0</v>
      </c>
      <c r="O241" s="125">
        <v>0</v>
      </c>
      <c r="P241" s="126">
        <v>0.27361111111111114</v>
      </c>
      <c r="Q241" s="334" t="s">
        <v>574</v>
      </c>
    </row>
    <row r="242" spans="2:17" x14ac:dyDescent="0.25">
      <c r="B242">
        <f>WEEKNUM(BSURTIDOR[[#This Row],[FECHA]])</f>
        <v>6</v>
      </c>
      <c r="C242">
        <f>MONTH(BSURTIDOR[[#This Row],[FECHA]])</f>
        <v>2</v>
      </c>
      <c r="D242">
        <f>YEAR(BSURTIDOR[[#This Row],[FECHA]])</f>
        <v>2026</v>
      </c>
      <c r="E242" s="124">
        <v>46057</v>
      </c>
      <c r="F242" s="329" t="s">
        <v>548</v>
      </c>
      <c r="G242" s="123">
        <v>2</v>
      </c>
      <c r="H242" s="123" t="s">
        <v>89</v>
      </c>
      <c r="I242" s="101" t="str">
        <f>VLOOKUP(BDsurtidor!$H242,$T$4:$W$18,2,FALSE)</f>
        <v>CISTERNA</v>
      </c>
      <c r="J242" s="101">
        <f>VLOOKUP(BDsurtidor!$H242,$T$4:$W$25,3,FALSE)</f>
        <v>9000</v>
      </c>
      <c r="K242" s="101">
        <f>VLOOKUP(BDsurtidor!$H242,$T$4:$W$25,4,FALSE)</f>
        <v>34</v>
      </c>
      <c r="L242" s="101">
        <f>VLOOKUP(BDsurtidor!$H242,$T$4:$X$25,5,FALSE)</f>
        <v>0.45</v>
      </c>
      <c r="M242" s="101" t="str">
        <f>VLOOKUP(BDsurtidor!$H242,$T$4:$Y$25,6,FALSE)</f>
        <v>VIVIENDA</v>
      </c>
      <c r="N242" s="327">
        <v>0</v>
      </c>
      <c r="O242" s="125">
        <v>1.02</v>
      </c>
      <c r="P242" s="126">
        <v>0.30833333333333335</v>
      </c>
      <c r="Q242" s="334" t="s">
        <v>574</v>
      </c>
    </row>
    <row r="243" spans="2:17" x14ac:dyDescent="0.25">
      <c r="B243">
        <f>WEEKNUM(BSURTIDOR[[#This Row],[FECHA]])</f>
        <v>6</v>
      </c>
      <c r="C243">
        <f>MONTH(BSURTIDOR[[#This Row],[FECHA]])</f>
        <v>2</v>
      </c>
      <c r="D243">
        <f>YEAR(BSURTIDOR[[#This Row],[FECHA]])</f>
        <v>2026</v>
      </c>
      <c r="E243" s="124">
        <v>46057</v>
      </c>
      <c r="F243" s="329" t="s">
        <v>548</v>
      </c>
      <c r="G243" s="123">
        <v>3</v>
      </c>
      <c r="H243" s="123" t="s">
        <v>99</v>
      </c>
      <c r="I243" s="101" t="str">
        <f>VLOOKUP(BDsurtidor!$H243,$T$4:$W$18,2,FALSE)</f>
        <v>CISTERNA</v>
      </c>
      <c r="J243" s="101">
        <f>VLOOKUP(BDsurtidor!$H243,$T$4:$W$25,3,FALSE)</f>
        <v>5000</v>
      </c>
      <c r="K243" s="101">
        <f>VLOOKUP(BDsurtidor!$H243,$T$4:$W$25,4,FALSE)</f>
        <v>17</v>
      </c>
      <c r="L243" s="101">
        <f>VLOOKUP(BDsurtidor!$H243,$T$4:$X$25,5,FALSE)</f>
        <v>0.4</v>
      </c>
      <c r="M243" s="101" t="str">
        <f>VLOOKUP(BDsurtidor!$H243,$T$4:$Y$25,6,FALSE)</f>
        <v>EPS</v>
      </c>
      <c r="N243" s="327">
        <v>0</v>
      </c>
      <c r="O243" s="125">
        <v>1.07</v>
      </c>
      <c r="P243" s="126">
        <v>0.31527777777777777</v>
      </c>
      <c r="Q243" s="334" t="s">
        <v>574</v>
      </c>
    </row>
    <row r="244" spans="2:17" x14ac:dyDescent="0.25">
      <c r="B244">
        <f>WEEKNUM(BSURTIDOR[[#This Row],[FECHA]])</f>
        <v>6</v>
      </c>
      <c r="C244">
        <f>MONTH(BSURTIDOR[[#This Row],[FECHA]])</f>
        <v>2</v>
      </c>
      <c r="D244">
        <f>YEAR(BSURTIDOR[[#This Row],[FECHA]])</f>
        <v>2026</v>
      </c>
      <c r="E244" s="124">
        <v>46057</v>
      </c>
      <c r="F244" s="329" t="s">
        <v>548</v>
      </c>
      <c r="G244" s="123">
        <v>4</v>
      </c>
      <c r="H244" s="123" t="s">
        <v>95</v>
      </c>
      <c r="I244" s="101" t="str">
        <f>VLOOKUP(BDsurtidor!$H244,$T$4:$W$18,2,FALSE)</f>
        <v>CISTERNA</v>
      </c>
      <c r="J244" s="101">
        <f>VLOOKUP(BDsurtidor!$H244,$T$4:$W$25,3,FALSE)</f>
        <v>2500</v>
      </c>
      <c r="K244" s="101">
        <f>VLOOKUP(BDsurtidor!$H244,$T$4:$W$25,4,FALSE)</f>
        <v>9</v>
      </c>
      <c r="L244" s="101">
        <f>VLOOKUP(BDsurtidor!$H244,$T$4:$X$25,5,FALSE)</f>
        <v>0.22</v>
      </c>
      <c r="M244" s="101" t="str">
        <f>VLOOKUP(BDsurtidor!$H244,$T$4:$Y$25,6,FALSE)</f>
        <v>EPS</v>
      </c>
      <c r="N244" s="70">
        <v>0</v>
      </c>
      <c r="O244" s="125">
        <v>1.1499999999999999</v>
      </c>
      <c r="P244" s="126">
        <v>0.34097222222222223</v>
      </c>
      <c r="Q244" s="334" t="s">
        <v>574</v>
      </c>
    </row>
    <row r="245" spans="2:17" x14ac:dyDescent="0.25">
      <c r="B245">
        <f>WEEKNUM(BSURTIDOR[[#This Row],[FECHA]])</f>
        <v>6</v>
      </c>
      <c r="C245">
        <f>MONTH(BSURTIDOR[[#This Row],[FECHA]])</f>
        <v>2</v>
      </c>
      <c r="D245">
        <f>YEAR(BSURTIDOR[[#This Row],[FECHA]])</f>
        <v>2026</v>
      </c>
      <c r="E245" s="124">
        <v>46057</v>
      </c>
      <c r="F245" s="329" t="s">
        <v>548</v>
      </c>
      <c r="G245" s="123">
        <v>5</v>
      </c>
      <c r="H245" s="123" t="s">
        <v>90</v>
      </c>
      <c r="I245" s="101" t="str">
        <f>VLOOKUP(BDsurtidor!$H245,$T$4:$W$18,2,FALSE)</f>
        <v>CISTERNA</v>
      </c>
      <c r="J245" s="101">
        <f>VLOOKUP(BDsurtidor!$H245,$T$4:$W$25,3,FALSE)</f>
        <v>5000</v>
      </c>
      <c r="K245" s="101">
        <f>VLOOKUP(BDsurtidor!$H245,$T$4:$W$25,4,FALSE)</f>
        <v>17</v>
      </c>
      <c r="L245" s="101">
        <f>VLOOKUP(BDsurtidor!$H245,$T$4:$X$25,5,FALSE)</f>
        <v>0.4</v>
      </c>
      <c r="M245" s="101" t="str">
        <f>VLOOKUP(BDsurtidor!$H245,$T$4:$Y$25,6,FALSE)</f>
        <v>EPS</v>
      </c>
      <c r="N245" s="327">
        <v>0</v>
      </c>
      <c r="O245" s="125">
        <v>1.06</v>
      </c>
      <c r="P245" s="126">
        <v>0.34930555555555554</v>
      </c>
      <c r="Q245" s="334" t="s">
        <v>574</v>
      </c>
    </row>
    <row r="246" spans="2:17" x14ac:dyDescent="0.25">
      <c r="B246">
        <f>WEEKNUM(BSURTIDOR[[#This Row],[FECHA]])</f>
        <v>6</v>
      </c>
      <c r="C246">
        <f>MONTH(BSURTIDOR[[#This Row],[FECHA]])</f>
        <v>2</v>
      </c>
      <c r="D246">
        <f>YEAR(BSURTIDOR[[#This Row],[FECHA]])</f>
        <v>2026</v>
      </c>
      <c r="E246" s="124">
        <v>46057</v>
      </c>
      <c r="F246" s="329" t="s">
        <v>548</v>
      </c>
      <c r="G246" s="123">
        <v>6</v>
      </c>
      <c r="H246" s="123" t="s">
        <v>87</v>
      </c>
      <c r="I246" s="101" t="str">
        <f>VLOOKUP(BDsurtidor!$H246,$T$4:$W$18,2,FALSE)</f>
        <v>CISTERNA</v>
      </c>
      <c r="J246" s="101">
        <f>VLOOKUP(BDsurtidor!$H246,$T$4:$W$25,3,FALSE)</f>
        <v>5000</v>
      </c>
      <c r="K246" s="101">
        <f>VLOOKUP(BDsurtidor!$H246,$T$4:$W$25,4,FALSE)</f>
        <v>17</v>
      </c>
      <c r="L246" s="101">
        <f>VLOOKUP(BDsurtidor!$H246,$T$4:$X$25,5,FALSE)</f>
        <v>0.4</v>
      </c>
      <c r="M246" s="101" t="str">
        <f>VLOOKUP(BDsurtidor!$H246,$T$4:$Y$25,6,FALSE)</f>
        <v>EPS</v>
      </c>
      <c r="N246" s="327">
        <v>0</v>
      </c>
      <c r="O246" s="125">
        <v>1.07</v>
      </c>
      <c r="P246" s="126">
        <v>0.3576388888888889</v>
      </c>
      <c r="Q246" s="334" t="s">
        <v>574</v>
      </c>
    </row>
    <row r="247" spans="2:17" x14ac:dyDescent="0.25">
      <c r="B247">
        <f>WEEKNUM(BSURTIDOR[[#This Row],[FECHA]])</f>
        <v>6</v>
      </c>
      <c r="C247">
        <f>MONTH(BSURTIDOR[[#This Row],[FECHA]])</f>
        <v>2</v>
      </c>
      <c r="D247">
        <f>YEAR(BSURTIDOR[[#This Row],[FECHA]])</f>
        <v>2026</v>
      </c>
      <c r="E247" s="124">
        <v>46057</v>
      </c>
      <c r="F247" s="329" t="s">
        <v>548</v>
      </c>
      <c r="G247" s="123">
        <v>7</v>
      </c>
      <c r="H247" s="123" t="s">
        <v>98</v>
      </c>
      <c r="I247" s="101" t="str">
        <f>VLOOKUP(BDsurtidor!$H247,$T$4:$W$18,2,FALSE)</f>
        <v>CISTERNA</v>
      </c>
      <c r="J247" s="101">
        <f>VLOOKUP(BDsurtidor!$H247,$T$4:$W$25,3,FALSE)</f>
        <v>9000</v>
      </c>
      <c r="K247" s="101">
        <f>VLOOKUP(BDsurtidor!$H247,$T$4:$W$25,4,FALSE)</f>
        <v>34</v>
      </c>
      <c r="L247" s="101">
        <f>VLOOKUP(BDsurtidor!$H247,$T$4:$X$25,5,FALSE)</f>
        <v>0.45</v>
      </c>
      <c r="M247" s="101" t="str">
        <f>VLOOKUP(BDsurtidor!$H247,$T$4:$Y$25,6,FALSE)</f>
        <v>VIVIENDA</v>
      </c>
      <c r="N247" s="70">
        <v>0</v>
      </c>
      <c r="O247" s="125">
        <v>1.1100000000000001</v>
      </c>
      <c r="P247" s="126">
        <v>0.40972222222222221</v>
      </c>
      <c r="Q247" s="334" t="s">
        <v>574</v>
      </c>
    </row>
    <row r="248" spans="2:17" x14ac:dyDescent="0.25">
      <c r="B248">
        <f>WEEKNUM(BSURTIDOR[[#This Row],[FECHA]])</f>
        <v>6</v>
      </c>
      <c r="C248">
        <f>MONTH(BSURTIDOR[[#This Row],[FECHA]])</f>
        <v>2</v>
      </c>
      <c r="D248">
        <f>YEAR(BSURTIDOR[[#This Row],[FECHA]])</f>
        <v>2026</v>
      </c>
      <c r="E248" s="124">
        <v>46057</v>
      </c>
      <c r="F248" s="329" t="s">
        <v>548</v>
      </c>
      <c r="G248" s="123">
        <v>8</v>
      </c>
      <c r="H248" s="123" t="s">
        <v>99</v>
      </c>
      <c r="I248" s="101" t="str">
        <f>VLOOKUP(BDsurtidor!$H248,$T$4:$W$18,2,FALSE)</f>
        <v>CISTERNA</v>
      </c>
      <c r="J248" s="101">
        <f>VLOOKUP(BDsurtidor!$H248,$T$4:$W$25,3,FALSE)</f>
        <v>5000</v>
      </c>
      <c r="K248" s="101">
        <f>VLOOKUP(BDsurtidor!$H248,$T$4:$W$25,4,FALSE)</f>
        <v>17</v>
      </c>
      <c r="L248" s="101">
        <f>VLOOKUP(BDsurtidor!$H248,$T$4:$X$25,5,FALSE)</f>
        <v>0.4</v>
      </c>
      <c r="M248" s="101" t="str">
        <f>VLOOKUP(BDsurtidor!$H248,$T$4:$Y$25,6,FALSE)</f>
        <v>EPS</v>
      </c>
      <c r="N248" s="327">
        <v>0</v>
      </c>
      <c r="O248" s="125">
        <v>1.02</v>
      </c>
      <c r="P248" s="126">
        <v>0.44097222222222221</v>
      </c>
      <c r="Q248" s="334" t="s">
        <v>574</v>
      </c>
    </row>
    <row r="249" spans="2:17" x14ac:dyDescent="0.25">
      <c r="B249">
        <f>WEEKNUM(BSURTIDOR[[#This Row],[FECHA]])</f>
        <v>6</v>
      </c>
      <c r="C249">
        <f>MONTH(BSURTIDOR[[#This Row],[FECHA]])</f>
        <v>2</v>
      </c>
      <c r="D249">
        <f>YEAR(BSURTIDOR[[#This Row],[FECHA]])</f>
        <v>2026</v>
      </c>
      <c r="E249" s="124">
        <v>46057</v>
      </c>
      <c r="F249" s="329" t="s">
        <v>548</v>
      </c>
      <c r="G249" s="123">
        <v>9</v>
      </c>
      <c r="H249" s="123" t="s">
        <v>87</v>
      </c>
      <c r="I249" s="101" t="str">
        <f>VLOOKUP(BDsurtidor!$H249,$T$4:$W$18,2,FALSE)</f>
        <v>CISTERNA</v>
      </c>
      <c r="J249" s="101">
        <f>VLOOKUP(BDsurtidor!$H249,$T$4:$W$25,3,FALSE)</f>
        <v>5000</v>
      </c>
      <c r="K249" s="101">
        <f>VLOOKUP(BDsurtidor!$H249,$T$4:$W$25,4,FALSE)</f>
        <v>17</v>
      </c>
      <c r="L249" s="101">
        <f>VLOOKUP(BDsurtidor!$H249,$T$4:$X$25,5,FALSE)</f>
        <v>0.4</v>
      </c>
      <c r="M249" s="101" t="str">
        <f>VLOOKUP(BDsurtidor!$H249,$T$4:$Y$25,6,FALSE)</f>
        <v>EPS</v>
      </c>
      <c r="N249" s="327">
        <v>0</v>
      </c>
      <c r="O249" s="125">
        <v>1.05</v>
      </c>
      <c r="P249" s="126">
        <v>0.47361111111111109</v>
      </c>
      <c r="Q249" s="334" t="s">
        <v>574</v>
      </c>
    </row>
    <row r="250" spans="2:17" x14ac:dyDescent="0.25">
      <c r="B250">
        <f>WEEKNUM(BSURTIDOR[[#This Row],[FECHA]])</f>
        <v>6</v>
      </c>
      <c r="C250">
        <f>MONTH(BSURTIDOR[[#This Row],[FECHA]])</f>
        <v>2</v>
      </c>
      <c r="D250">
        <f>YEAR(BSURTIDOR[[#This Row],[FECHA]])</f>
        <v>2026</v>
      </c>
      <c r="E250" s="124">
        <v>46057</v>
      </c>
      <c r="F250" s="329" t="s">
        <v>548</v>
      </c>
      <c r="G250" s="123">
        <v>10</v>
      </c>
      <c r="H250" s="123" t="s">
        <v>98</v>
      </c>
      <c r="I250" s="101" t="str">
        <f>VLOOKUP(BDsurtidor!$H250,$T$4:$W$18,2,FALSE)</f>
        <v>CISTERNA</v>
      </c>
      <c r="J250" s="101">
        <f>VLOOKUP(BDsurtidor!$H250,$T$4:$W$25,3,FALSE)</f>
        <v>9000</v>
      </c>
      <c r="K250" s="101">
        <f>VLOOKUP(BDsurtidor!$H250,$T$4:$W$25,4,FALSE)</f>
        <v>34</v>
      </c>
      <c r="L250" s="101">
        <f>VLOOKUP(BDsurtidor!$H250,$T$4:$X$25,5,FALSE)</f>
        <v>0.45</v>
      </c>
      <c r="M250" s="101" t="str">
        <f>VLOOKUP(BDsurtidor!$H250,$T$4:$Y$25,6,FALSE)</f>
        <v>VIVIENDA</v>
      </c>
      <c r="N250" s="70">
        <v>0</v>
      </c>
      <c r="O250" s="125">
        <v>1.1499999999999999</v>
      </c>
      <c r="P250" s="126">
        <v>0.51041666666666663</v>
      </c>
      <c r="Q250" s="334" t="s">
        <v>574</v>
      </c>
    </row>
    <row r="251" spans="2:17" x14ac:dyDescent="0.25">
      <c r="B251">
        <f>WEEKNUM(BSURTIDOR[[#This Row],[FECHA]])</f>
        <v>6</v>
      </c>
      <c r="C251">
        <f>MONTH(BSURTIDOR[[#This Row],[FECHA]])</f>
        <v>2</v>
      </c>
      <c r="D251">
        <f>YEAR(BSURTIDOR[[#This Row],[FECHA]])</f>
        <v>2026</v>
      </c>
      <c r="E251" s="124">
        <v>46057</v>
      </c>
      <c r="F251" s="329" t="s">
        <v>548</v>
      </c>
      <c r="G251" s="123">
        <v>11</v>
      </c>
      <c r="H251" s="123" t="s">
        <v>100</v>
      </c>
      <c r="I251" s="101" t="str">
        <f>VLOOKUP(BDsurtidor!$H251,$T$4:$W$18,2,FALSE)</f>
        <v>HIDROJET</v>
      </c>
      <c r="J251" s="101">
        <f>VLOOKUP(BDsurtidor!$H251,$T$4:$W$25,3,FALSE)</f>
        <v>1000</v>
      </c>
      <c r="K251" s="101">
        <f>VLOOKUP(BDsurtidor!$H251,$T$4:$W$25,4,FALSE)</f>
        <v>1</v>
      </c>
      <c r="L251" s="101">
        <f>VLOOKUP(BDsurtidor!$H251,$T$4:$X$25,5,FALSE)</f>
        <v>0</v>
      </c>
      <c r="M251" s="101" t="str">
        <f>VLOOKUP(BDsurtidor!$H251,$T$4:$Y$25,6,FALSE)</f>
        <v>EPS</v>
      </c>
      <c r="N251" s="327">
        <v>0</v>
      </c>
      <c r="O251" s="125">
        <v>0</v>
      </c>
      <c r="P251" s="126">
        <v>0.53055555555555556</v>
      </c>
      <c r="Q251" s="334" t="s">
        <v>574</v>
      </c>
    </row>
    <row r="252" spans="2:17" x14ac:dyDescent="0.25">
      <c r="B252">
        <f>WEEKNUM(BSURTIDOR[[#This Row],[FECHA]])</f>
        <v>6</v>
      </c>
      <c r="C252">
        <f>MONTH(BSURTIDOR[[#This Row],[FECHA]])</f>
        <v>2</v>
      </c>
      <c r="D252">
        <f>YEAR(BSURTIDOR[[#This Row],[FECHA]])</f>
        <v>2026</v>
      </c>
      <c r="E252" s="124">
        <v>46057</v>
      </c>
      <c r="F252" s="329" t="s">
        <v>548</v>
      </c>
      <c r="G252" s="123">
        <v>12</v>
      </c>
      <c r="H252" s="123" t="s">
        <v>89</v>
      </c>
      <c r="I252" s="101" t="str">
        <f>VLOOKUP(BDsurtidor!$H252,$T$4:$W$18,2,FALSE)</f>
        <v>CISTERNA</v>
      </c>
      <c r="J252" s="101">
        <f>VLOOKUP(BDsurtidor!$H252,$T$4:$W$25,3,FALSE)</f>
        <v>9000</v>
      </c>
      <c r="K252" s="101">
        <f>VLOOKUP(BDsurtidor!$H252,$T$4:$W$25,4,FALSE)</f>
        <v>34</v>
      </c>
      <c r="L252" s="101">
        <f>VLOOKUP(BDsurtidor!$H252,$T$4:$X$25,5,FALSE)</f>
        <v>0.45</v>
      </c>
      <c r="M252" s="101" t="str">
        <f>VLOOKUP(BDsurtidor!$H252,$T$4:$Y$25,6,FALSE)</f>
        <v>VIVIENDA</v>
      </c>
      <c r="N252" s="327">
        <v>0</v>
      </c>
      <c r="O252" s="125">
        <v>1.08</v>
      </c>
      <c r="P252" s="126">
        <v>0.54236111111111107</v>
      </c>
      <c r="Q252" s="334" t="s">
        <v>574</v>
      </c>
    </row>
    <row r="253" spans="2:17" x14ac:dyDescent="0.25">
      <c r="B253">
        <f>WEEKNUM(BSURTIDOR[[#This Row],[FECHA]])</f>
        <v>6</v>
      </c>
      <c r="C253">
        <f>MONTH(BSURTIDOR[[#This Row],[FECHA]])</f>
        <v>2</v>
      </c>
      <c r="D253">
        <f>YEAR(BSURTIDOR[[#This Row],[FECHA]])</f>
        <v>2026</v>
      </c>
      <c r="E253" s="124">
        <v>46057</v>
      </c>
      <c r="F253" s="329" t="s">
        <v>548</v>
      </c>
      <c r="G253" s="123">
        <v>13</v>
      </c>
      <c r="H253" s="123" t="s">
        <v>99</v>
      </c>
      <c r="I253" s="101" t="str">
        <f>VLOOKUP(BDsurtidor!$H253,$T$4:$W$18,2,FALSE)</f>
        <v>CISTERNA</v>
      </c>
      <c r="J253" s="101">
        <f>VLOOKUP(BDsurtidor!$H253,$T$4:$W$25,3,FALSE)</f>
        <v>5000</v>
      </c>
      <c r="K253" s="101">
        <f>VLOOKUP(BDsurtidor!$H253,$T$4:$W$25,4,FALSE)</f>
        <v>17</v>
      </c>
      <c r="L253" s="101">
        <f>VLOOKUP(BDsurtidor!$H253,$T$4:$X$25,5,FALSE)</f>
        <v>0.4</v>
      </c>
      <c r="M253" s="101" t="str">
        <f>VLOOKUP(BDsurtidor!$H253,$T$4:$Y$25,6,FALSE)</f>
        <v>EPS</v>
      </c>
      <c r="N253" s="70">
        <v>0</v>
      </c>
      <c r="O253" s="125">
        <v>1.1100000000000001</v>
      </c>
      <c r="P253" s="126">
        <v>0.55833333333333335</v>
      </c>
      <c r="Q253" s="334" t="s">
        <v>574</v>
      </c>
    </row>
    <row r="254" spans="2:17" x14ac:dyDescent="0.25">
      <c r="B254">
        <f>WEEKNUM(BSURTIDOR[[#This Row],[FECHA]])</f>
        <v>6</v>
      </c>
      <c r="C254">
        <f>MONTH(BSURTIDOR[[#This Row],[FECHA]])</f>
        <v>2</v>
      </c>
      <c r="D254">
        <f>YEAR(BSURTIDOR[[#This Row],[FECHA]])</f>
        <v>2026</v>
      </c>
      <c r="E254" s="124">
        <v>46058</v>
      </c>
      <c r="F254" s="329" t="s">
        <v>548</v>
      </c>
      <c r="G254" s="123">
        <v>1</v>
      </c>
      <c r="H254" s="123" t="s">
        <v>89</v>
      </c>
      <c r="I254" s="101" t="str">
        <f>VLOOKUP(BDsurtidor!$H254,$T$4:$W$18,2,FALSE)</f>
        <v>CISTERNA</v>
      </c>
      <c r="J254" s="101">
        <f>VLOOKUP(BDsurtidor!$H254,$T$4:$W$25,3,FALSE)</f>
        <v>9000</v>
      </c>
      <c r="K254" s="101">
        <f>VLOOKUP(BDsurtidor!$H254,$T$4:$W$25,4,FALSE)</f>
        <v>34</v>
      </c>
      <c r="L254" s="101">
        <f>VLOOKUP(BDsurtidor!$H254,$T$4:$X$25,5,FALSE)</f>
        <v>0.45</v>
      </c>
      <c r="M254" s="101" t="str">
        <f>VLOOKUP(BDsurtidor!$H254,$T$4:$Y$25,6,FALSE)</f>
        <v>VIVIENDA</v>
      </c>
      <c r="N254" s="327">
        <v>0</v>
      </c>
      <c r="O254" s="125">
        <v>1.1000000000000001</v>
      </c>
      <c r="P254" s="126">
        <v>0.30069444444444443</v>
      </c>
      <c r="Q254" s="334" t="s">
        <v>574</v>
      </c>
    </row>
    <row r="255" spans="2:17" x14ac:dyDescent="0.25">
      <c r="B255">
        <f>WEEKNUM(BSURTIDOR[[#This Row],[FECHA]])</f>
        <v>6</v>
      </c>
      <c r="C255">
        <f>MONTH(BSURTIDOR[[#This Row],[FECHA]])</f>
        <v>2</v>
      </c>
      <c r="D255">
        <f>YEAR(BSURTIDOR[[#This Row],[FECHA]])</f>
        <v>2026</v>
      </c>
      <c r="E255" s="124">
        <v>46058</v>
      </c>
      <c r="F255" s="329" t="s">
        <v>548</v>
      </c>
      <c r="G255" s="123">
        <v>2</v>
      </c>
      <c r="H255" s="123" t="s">
        <v>99</v>
      </c>
      <c r="I255" s="101" t="str">
        <f>VLOOKUP(BDsurtidor!$H255,$T$4:$W$18,2,FALSE)</f>
        <v>CISTERNA</v>
      </c>
      <c r="J255" s="101">
        <f>VLOOKUP(BDsurtidor!$H255,$T$4:$W$25,3,FALSE)</f>
        <v>5000</v>
      </c>
      <c r="K255" s="101">
        <f>VLOOKUP(BDsurtidor!$H255,$T$4:$W$25,4,FALSE)</f>
        <v>17</v>
      </c>
      <c r="L255" s="101">
        <f>VLOOKUP(BDsurtidor!$H255,$T$4:$X$25,5,FALSE)</f>
        <v>0.4</v>
      </c>
      <c r="M255" s="101" t="str">
        <f>VLOOKUP(BDsurtidor!$H255,$T$4:$Y$25,6,FALSE)</f>
        <v>EPS</v>
      </c>
      <c r="N255" s="70">
        <v>0</v>
      </c>
      <c r="O255" s="125">
        <v>1.18</v>
      </c>
      <c r="P255" s="126">
        <v>0.31388888888888888</v>
      </c>
      <c r="Q255" s="334" t="s">
        <v>574</v>
      </c>
    </row>
    <row r="256" spans="2:17" x14ac:dyDescent="0.25">
      <c r="B256">
        <f>WEEKNUM(BSURTIDOR[[#This Row],[FECHA]])</f>
        <v>6</v>
      </c>
      <c r="C256">
        <f>MONTH(BSURTIDOR[[#This Row],[FECHA]])</f>
        <v>2</v>
      </c>
      <c r="D256">
        <f>YEAR(BSURTIDOR[[#This Row],[FECHA]])</f>
        <v>2026</v>
      </c>
      <c r="E256" s="124">
        <v>46058</v>
      </c>
      <c r="F256" s="329" t="s">
        <v>548</v>
      </c>
      <c r="G256" s="123">
        <v>3</v>
      </c>
      <c r="H256" s="123" t="s">
        <v>87</v>
      </c>
      <c r="I256" s="101" t="str">
        <f>VLOOKUP(BDsurtidor!$H256,$T$4:$W$18,2,FALSE)</f>
        <v>CISTERNA</v>
      </c>
      <c r="J256" s="101">
        <f>VLOOKUP(BDsurtidor!$H256,$T$4:$W$25,3,FALSE)</f>
        <v>5000</v>
      </c>
      <c r="K256" s="101">
        <f>VLOOKUP(BDsurtidor!$H256,$T$4:$W$25,4,FALSE)</f>
        <v>17</v>
      </c>
      <c r="L256" s="101">
        <f>VLOOKUP(BDsurtidor!$H256,$T$4:$X$25,5,FALSE)</f>
        <v>0.4</v>
      </c>
      <c r="M256" s="101" t="str">
        <f>VLOOKUP(BDsurtidor!$H256,$T$4:$Y$25,6,FALSE)</f>
        <v>EPS</v>
      </c>
      <c r="N256" s="327">
        <v>0</v>
      </c>
      <c r="O256" s="125">
        <v>1.0900000000000001</v>
      </c>
      <c r="P256" s="126">
        <v>0.31736111111111109</v>
      </c>
      <c r="Q256" s="334" t="s">
        <v>574</v>
      </c>
    </row>
    <row r="257" spans="2:17" x14ac:dyDescent="0.25">
      <c r="B257">
        <f>WEEKNUM(BSURTIDOR[[#This Row],[FECHA]])</f>
        <v>6</v>
      </c>
      <c r="C257">
        <f>MONTH(BSURTIDOR[[#This Row],[FECHA]])</f>
        <v>2</v>
      </c>
      <c r="D257">
        <f>YEAR(BSURTIDOR[[#This Row],[FECHA]])</f>
        <v>2026</v>
      </c>
      <c r="E257" s="124">
        <v>46058</v>
      </c>
      <c r="F257" s="329" t="s">
        <v>548</v>
      </c>
      <c r="G257" s="123">
        <v>4</v>
      </c>
      <c r="H257" s="123" t="s">
        <v>90</v>
      </c>
      <c r="I257" s="101" t="str">
        <f>VLOOKUP(BDsurtidor!$H257,$T$4:$W$18,2,FALSE)</f>
        <v>CISTERNA</v>
      </c>
      <c r="J257" s="101">
        <f>VLOOKUP(BDsurtidor!$H257,$T$4:$W$25,3,FALSE)</f>
        <v>5000</v>
      </c>
      <c r="K257" s="101">
        <f>VLOOKUP(BDsurtidor!$H257,$T$4:$W$25,4,FALSE)</f>
        <v>17</v>
      </c>
      <c r="L257" s="101">
        <f>VLOOKUP(BDsurtidor!$H257,$T$4:$X$25,5,FALSE)</f>
        <v>0.4</v>
      </c>
      <c r="M257" s="101" t="str">
        <f>VLOOKUP(BDsurtidor!$H257,$T$4:$Y$25,6,FALSE)</f>
        <v>EPS</v>
      </c>
      <c r="N257" s="70">
        <v>0</v>
      </c>
      <c r="O257" s="125">
        <v>1.1200000000000001</v>
      </c>
      <c r="P257" s="126">
        <v>0.32847222222222222</v>
      </c>
      <c r="Q257" s="334" t="s">
        <v>574</v>
      </c>
    </row>
    <row r="258" spans="2:17" x14ac:dyDescent="0.25">
      <c r="B258">
        <f>WEEKNUM(BSURTIDOR[[#This Row],[FECHA]])</f>
        <v>6</v>
      </c>
      <c r="C258">
        <f>MONTH(BSURTIDOR[[#This Row],[FECHA]])</f>
        <v>2</v>
      </c>
      <c r="D258">
        <f>YEAR(BSURTIDOR[[#This Row],[FECHA]])</f>
        <v>2026</v>
      </c>
      <c r="E258" s="124">
        <v>46058</v>
      </c>
      <c r="F258" s="329" t="s">
        <v>548</v>
      </c>
      <c r="G258" s="123">
        <v>5</v>
      </c>
      <c r="H258" s="123" t="s">
        <v>99</v>
      </c>
      <c r="I258" s="101" t="str">
        <f>VLOOKUP(BDsurtidor!$H258,$T$4:$W$18,2,FALSE)</f>
        <v>CISTERNA</v>
      </c>
      <c r="J258" s="101">
        <f>VLOOKUP(BDsurtidor!$H258,$T$4:$W$25,3,FALSE)</f>
        <v>5000</v>
      </c>
      <c r="K258" s="101">
        <f>VLOOKUP(BDsurtidor!$H258,$T$4:$W$25,4,FALSE)</f>
        <v>17</v>
      </c>
      <c r="L258" s="101">
        <f>VLOOKUP(BDsurtidor!$H258,$T$4:$X$25,5,FALSE)</f>
        <v>0.4</v>
      </c>
      <c r="M258" s="101" t="str">
        <f>VLOOKUP(BDsurtidor!$H258,$T$4:$Y$25,6,FALSE)</f>
        <v>EPS</v>
      </c>
      <c r="N258" s="327">
        <v>0</v>
      </c>
      <c r="O258" s="125">
        <v>1.06</v>
      </c>
      <c r="P258" s="126">
        <v>0.40069444444444446</v>
      </c>
      <c r="Q258" s="334" t="s">
        <v>574</v>
      </c>
    </row>
    <row r="259" spans="2:17" x14ac:dyDescent="0.25">
      <c r="B259">
        <f>WEEKNUM(BSURTIDOR[[#This Row],[FECHA]])</f>
        <v>6</v>
      </c>
      <c r="C259">
        <f>MONTH(BSURTIDOR[[#This Row],[FECHA]])</f>
        <v>2</v>
      </c>
      <c r="D259">
        <f>YEAR(BSURTIDOR[[#This Row],[FECHA]])</f>
        <v>2026</v>
      </c>
      <c r="E259" s="124">
        <v>46058</v>
      </c>
      <c r="F259" s="329" t="s">
        <v>548</v>
      </c>
      <c r="G259" s="123">
        <v>6</v>
      </c>
      <c r="H259" s="123" t="s">
        <v>100</v>
      </c>
      <c r="I259" s="101" t="str">
        <f>VLOOKUP(BDsurtidor!$H259,$T$4:$W$18,2,FALSE)</f>
        <v>HIDROJET</v>
      </c>
      <c r="J259" s="101">
        <f>VLOOKUP(BDsurtidor!$H259,$T$4:$W$25,3,FALSE)</f>
        <v>1000</v>
      </c>
      <c r="K259" s="101">
        <f>VLOOKUP(BDsurtidor!$H259,$T$4:$W$25,4,FALSE)</f>
        <v>1</v>
      </c>
      <c r="L259" s="101">
        <f>VLOOKUP(BDsurtidor!$H259,$T$4:$X$25,5,FALSE)</f>
        <v>0</v>
      </c>
      <c r="M259" s="101" t="str">
        <f>VLOOKUP(BDsurtidor!$H259,$T$4:$Y$25,6,FALSE)</f>
        <v>EPS</v>
      </c>
      <c r="N259" s="70">
        <v>0</v>
      </c>
      <c r="O259" s="125">
        <v>0</v>
      </c>
      <c r="P259" s="126">
        <v>0.4284722222222222</v>
      </c>
      <c r="Q259" s="334" t="s">
        <v>574</v>
      </c>
    </row>
    <row r="260" spans="2:17" x14ac:dyDescent="0.25">
      <c r="B260">
        <f>WEEKNUM(BSURTIDOR[[#This Row],[FECHA]])</f>
        <v>6</v>
      </c>
      <c r="C260">
        <f>MONTH(BSURTIDOR[[#This Row],[FECHA]])</f>
        <v>2</v>
      </c>
      <c r="D260">
        <f>YEAR(BSURTIDOR[[#This Row],[FECHA]])</f>
        <v>2026</v>
      </c>
      <c r="E260" s="124">
        <v>46058</v>
      </c>
      <c r="F260" s="329" t="s">
        <v>548</v>
      </c>
      <c r="G260" s="123">
        <v>7</v>
      </c>
      <c r="H260" s="123" t="s">
        <v>87</v>
      </c>
      <c r="I260" s="101" t="str">
        <f>VLOOKUP(BDsurtidor!$H260,$T$4:$W$18,2,FALSE)</f>
        <v>CISTERNA</v>
      </c>
      <c r="J260" s="101">
        <f>VLOOKUP(BDsurtidor!$H260,$T$4:$W$25,3,FALSE)</f>
        <v>5000</v>
      </c>
      <c r="K260" s="101">
        <f>VLOOKUP(BDsurtidor!$H260,$T$4:$W$25,4,FALSE)</f>
        <v>17</v>
      </c>
      <c r="L260" s="101">
        <f>VLOOKUP(BDsurtidor!$H260,$T$4:$X$25,5,FALSE)</f>
        <v>0.4</v>
      </c>
      <c r="M260" s="101" t="str">
        <f>VLOOKUP(BDsurtidor!$H260,$T$4:$Y$25,6,FALSE)</f>
        <v>EPS</v>
      </c>
      <c r="N260" s="327">
        <v>0</v>
      </c>
      <c r="O260" s="125">
        <v>1.05</v>
      </c>
      <c r="P260" s="126">
        <v>0.43680555555555556</v>
      </c>
      <c r="Q260" s="334" t="s">
        <v>574</v>
      </c>
    </row>
    <row r="261" spans="2:17" x14ac:dyDescent="0.25">
      <c r="B261">
        <f>WEEKNUM(BSURTIDOR[[#This Row],[FECHA]])</f>
        <v>6</v>
      </c>
      <c r="C261">
        <f>MONTH(BSURTIDOR[[#This Row],[FECHA]])</f>
        <v>2</v>
      </c>
      <c r="D261">
        <f>YEAR(BSURTIDOR[[#This Row],[FECHA]])</f>
        <v>2026</v>
      </c>
      <c r="E261" s="124">
        <v>46058</v>
      </c>
      <c r="F261" s="329" t="s">
        <v>548</v>
      </c>
      <c r="G261" s="123">
        <v>8</v>
      </c>
      <c r="H261" s="123" t="s">
        <v>90</v>
      </c>
      <c r="I261" s="101" t="str">
        <f>VLOOKUP(BDsurtidor!$H261,$T$4:$W$18,2,FALSE)</f>
        <v>CISTERNA</v>
      </c>
      <c r="J261" s="101">
        <f>VLOOKUP(BDsurtidor!$H261,$T$4:$W$25,3,FALSE)</f>
        <v>5000</v>
      </c>
      <c r="K261" s="101">
        <f>VLOOKUP(BDsurtidor!$H261,$T$4:$W$25,4,FALSE)</f>
        <v>17</v>
      </c>
      <c r="L261" s="101">
        <f>VLOOKUP(BDsurtidor!$H261,$T$4:$X$25,5,FALSE)</f>
        <v>0.4</v>
      </c>
      <c r="M261" s="101" t="str">
        <f>VLOOKUP(BDsurtidor!$H261,$T$4:$Y$25,6,FALSE)</f>
        <v>EPS</v>
      </c>
      <c r="N261" s="70">
        <v>0</v>
      </c>
      <c r="O261" s="125">
        <v>1</v>
      </c>
      <c r="P261" s="126">
        <v>0.44722222222222224</v>
      </c>
      <c r="Q261" s="334" t="s">
        <v>574</v>
      </c>
    </row>
    <row r="262" spans="2:17" x14ac:dyDescent="0.25">
      <c r="B262">
        <f>WEEKNUM(BSURTIDOR[[#This Row],[FECHA]])</f>
        <v>6</v>
      </c>
      <c r="C262">
        <f>MONTH(BSURTIDOR[[#This Row],[FECHA]])</f>
        <v>2</v>
      </c>
      <c r="D262">
        <f>YEAR(BSURTIDOR[[#This Row],[FECHA]])</f>
        <v>2026</v>
      </c>
      <c r="E262" s="124">
        <v>46058</v>
      </c>
      <c r="F262" s="329" t="s">
        <v>548</v>
      </c>
      <c r="G262" s="123">
        <v>9</v>
      </c>
      <c r="H262" s="123" t="s">
        <v>89</v>
      </c>
      <c r="I262" s="101" t="str">
        <f>VLOOKUP(BDsurtidor!$H262,$T$4:$W$18,2,FALSE)</f>
        <v>CISTERNA</v>
      </c>
      <c r="J262" s="101">
        <f>VLOOKUP(BDsurtidor!$H262,$T$4:$W$25,3,FALSE)</f>
        <v>9000</v>
      </c>
      <c r="K262" s="101">
        <f>VLOOKUP(BDsurtidor!$H262,$T$4:$W$25,4,FALSE)</f>
        <v>34</v>
      </c>
      <c r="L262" s="101">
        <f>VLOOKUP(BDsurtidor!$H262,$T$4:$X$25,5,FALSE)</f>
        <v>0.45</v>
      </c>
      <c r="M262" s="101" t="str">
        <f>VLOOKUP(BDsurtidor!$H262,$T$4:$Y$25,6,FALSE)</f>
        <v>VIVIENDA</v>
      </c>
      <c r="N262" s="327">
        <v>0</v>
      </c>
      <c r="O262" s="125">
        <v>1.07</v>
      </c>
      <c r="P262" s="126">
        <v>0.46319444444444446</v>
      </c>
      <c r="Q262" s="334" t="s">
        <v>574</v>
      </c>
    </row>
    <row r="263" spans="2:17" x14ac:dyDescent="0.25">
      <c r="B263">
        <f>WEEKNUM(BSURTIDOR[[#This Row],[FECHA]])</f>
        <v>6</v>
      </c>
      <c r="C263">
        <f>MONTH(BSURTIDOR[[#This Row],[FECHA]])</f>
        <v>2</v>
      </c>
      <c r="D263">
        <f>YEAR(BSURTIDOR[[#This Row],[FECHA]])</f>
        <v>2026</v>
      </c>
      <c r="E263" s="124">
        <v>46058</v>
      </c>
      <c r="F263" s="329" t="s">
        <v>548</v>
      </c>
      <c r="G263" s="123">
        <v>10</v>
      </c>
      <c r="H263" s="123" t="s">
        <v>87</v>
      </c>
      <c r="I263" s="101" t="str">
        <f>VLOOKUP(BDsurtidor!$H263,$T$4:$W$18,2,FALSE)</f>
        <v>CISTERNA</v>
      </c>
      <c r="J263" s="101">
        <f>VLOOKUP(BDsurtidor!$H263,$T$4:$W$25,3,FALSE)</f>
        <v>5000</v>
      </c>
      <c r="K263" s="101">
        <f>VLOOKUP(BDsurtidor!$H263,$T$4:$W$25,4,FALSE)</f>
        <v>17</v>
      </c>
      <c r="L263" s="101">
        <f>VLOOKUP(BDsurtidor!$H263,$T$4:$X$25,5,FALSE)</f>
        <v>0.4</v>
      </c>
      <c r="M263" s="101" t="str">
        <f>VLOOKUP(BDsurtidor!$H263,$T$4:$Y$25,6,FALSE)</f>
        <v>EPS</v>
      </c>
      <c r="N263" s="70">
        <v>0</v>
      </c>
      <c r="O263" s="125">
        <v>1.05</v>
      </c>
      <c r="P263" s="126">
        <v>0.54861111111111116</v>
      </c>
      <c r="Q263" s="334" t="s">
        <v>574</v>
      </c>
    </row>
    <row r="264" spans="2:17" x14ac:dyDescent="0.25">
      <c r="B264">
        <f>WEEKNUM(BSURTIDOR[[#This Row],[FECHA]])</f>
        <v>6</v>
      </c>
      <c r="C264">
        <f>MONTH(BSURTIDOR[[#This Row],[FECHA]])</f>
        <v>2</v>
      </c>
      <c r="D264">
        <f>YEAR(BSURTIDOR[[#This Row],[FECHA]])</f>
        <v>2026</v>
      </c>
      <c r="E264" s="124">
        <v>46058</v>
      </c>
      <c r="F264" s="329" t="s">
        <v>548</v>
      </c>
      <c r="G264" s="123">
        <v>11</v>
      </c>
      <c r="H264" s="123" t="s">
        <v>99</v>
      </c>
      <c r="I264" s="101" t="str">
        <f>VLOOKUP(BDsurtidor!$H264,$T$4:$W$18,2,FALSE)</f>
        <v>CISTERNA</v>
      </c>
      <c r="J264" s="101">
        <f>VLOOKUP(BDsurtidor!$H264,$T$4:$W$25,3,FALSE)</f>
        <v>5000</v>
      </c>
      <c r="K264" s="101">
        <f>VLOOKUP(BDsurtidor!$H264,$T$4:$W$25,4,FALSE)</f>
        <v>17</v>
      </c>
      <c r="L264" s="101">
        <f>VLOOKUP(BDsurtidor!$H264,$T$4:$X$25,5,FALSE)</f>
        <v>0.4</v>
      </c>
      <c r="M264" s="101" t="str">
        <f>VLOOKUP(BDsurtidor!$H264,$T$4:$Y$25,6,FALSE)</f>
        <v>EPS</v>
      </c>
      <c r="N264" s="327">
        <v>0</v>
      </c>
      <c r="O264" s="125">
        <v>1.02</v>
      </c>
      <c r="P264" s="126">
        <v>0.5625</v>
      </c>
      <c r="Q264" s="334" t="s">
        <v>574</v>
      </c>
    </row>
    <row r="265" spans="2:17" x14ac:dyDescent="0.25">
      <c r="B265">
        <f>WEEKNUM(BSURTIDOR[[#This Row],[FECHA]])</f>
        <v>6</v>
      </c>
      <c r="C265">
        <f>MONTH(BSURTIDOR[[#This Row],[FECHA]])</f>
        <v>2</v>
      </c>
      <c r="D265">
        <f>YEAR(BSURTIDOR[[#This Row],[FECHA]])</f>
        <v>2026</v>
      </c>
      <c r="E265" s="124">
        <v>46058</v>
      </c>
      <c r="F265" s="364" t="s">
        <v>109</v>
      </c>
      <c r="G265" s="123">
        <v>12</v>
      </c>
      <c r="H265" s="123" t="s">
        <v>90</v>
      </c>
      <c r="I265" s="101" t="str">
        <f>VLOOKUP(BDsurtidor!$H265,$T$4:$W$18,2,FALSE)</f>
        <v>CISTERNA</v>
      </c>
      <c r="J265" s="101">
        <f>VLOOKUP(BDsurtidor!$H265,$T$4:$W$25,3,FALSE)</f>
        <v>5000</v>
      </c>
      <c r="K265" s="101">
        <f>VLOOKUP(BDsurtidor!$H265,$T$4:$W$25,4,FALSE)</f>
        <v>17</v>
      </c>
      <c r="L265" s="101">
        <f>VLOOKUP(BDsurtidor!$H265,$T$4:$X$25,5,FALSE)</f>
        <v>0.4</v>
      </c>
      <c r="M265" s="101" t="str">
        <f>VLOOKUP(BDsurtidor!$H265,$T$4:$Y$25,6,FALSE)</f>
        <v>EPS</v>
      </c>
      <c r="N265" s="70">
        <v>0</v>
      </c>
      <c r="O265" s="125">
        <v>1.61</v>
      </c>
      <c r="P265" s="126">
        <v>0.52916666666666667</v>
      </c>
      <c r="Q265" s="123" t="s">
        <v>626</v>
      </c>
    </row>
    <row r="266" spans="2:17" x14ac:dyDescent="0.25">
      <c r="B266">
        <f>WEEKNUM(BSURTIDOR[[#This Row],[FECHA]])</f>
        <v>6</v>
      </c>
      <c r="C266">
        <f>MONTH(BSURTIDOR[[#This Row],[FECHA]])</f>
        <v>2</v>
      </c>
      <c r="D266">
        <f>YEAR(BSURTIDOR[[#This Row],[FECHA]])</f>
        <v>2026</v>
      </c>
      <c r="E266" s="124">
        <v>46059</v>
      </c>
      <c r="F266" s="329" t="s">
        <v>548</v>
      </c>
      <c r="G266" s="123">
        <v>1</v>
      </c>
      <c r="H266" s="123" t="s">
        <v>100</v>
      </c>
      <c r="I266" s="101" t="str">
        <f>VLOOKUP(BDsurtidor!$H266,$T$4:$W$18,2,FALSE)</f>
        <v>HIDROJET</v>
      </c>
      <c r="J266" s="101">
        <f>VLOOKUP(BDsurtidor!$H266,$T$4:$W$25,3,FALSE)</f>
        <v>1000</v>
      </c>
      <c r="K266" s="101">
        <f>VLOOKUP(BDsurtidor!$H266,$T$4:$W$25,4,FALSE)</f>
        <v>1</v>
      </c>
      <c r="L266" s="101">
        <f>VLOOKUP(BDsurtidor!$H266,$T$4:$X$25,5,FALSE)</f>
        <v>0</v>
      </c>
      <c r="M266" s="101" t="str">
        <f>VLOOKUP(BDsurtidor!$H266,$T$4:$Y$25,6,FALSE)</f>
        <v>EPS</v>
      </c>
      <c r="N266" s="327">
        <v>0</v>
      </c>
      <c r="O266" s="125">
        <v>0</v>
      </c>
      <c r="P266" s="126">
        <v>0.27500000000000002</v>
      </c>
      <c r="Q266" s="334" t="s">
        <v>574</v>
      </c>
    </row>
    <row r="267" spans="2:17" x14ac:dyDescent="0.25">
      <c r="B267">
        <f>WEEKNUM(BSURTIDOR[[#This Row],[FECHA]])</f>
        <v>6</v>
      </c>
      <c r="C267">
        <f>MONTH(BSURTIDOR[[#This Row],[FECHA]])</f>
        <v>2</v>
      </c>
      <c r="D267">
        <f>YEAR(BSURTIDOR[[#This Row],[FECHA]])</f>
        <v>2026</v>
      </c>
      <c r="E267" s="124">
        <v>46059</v>
      </c>
      <c r="F267" s="329" t="s">
        <v>548</v>
      </c>
      <c r="G267" s="123">
        <v>2</v>
      </c>
      <c r="H267" s="123" t="s">
        <v>558</v>
      </c>
      <c r="I267" s="101" t="str">
        <f>VLOOKUP(BDsurtidor!$H267,$T$4:$W$18,2,FALSE)</f>
        <v>HIDROJET</v>
      </c>
      <c r="J267" s="101">
        <f>VLOOKUP(BDsurtidor!$H267,$T$4:$W$25,3,FALSE)</f>
        <v>1000</v>
      </c>
      <c r="K267" s="101">
        <f>VLOOKUP(BDsurtidor!$H267,$T$4:$W$25,4,FALSE)</f>
        <v>1</v>
      </c>
      <c r="L267" s="101">
        <f>VLOOKUP(BDsurtidor!$H267,$T$4:$X$25,5,FALSE)</f>
        <v>0</v>
      </c>
      <c r="M267" s="101" t="str">
        <f>VLOOKUP(BDsurtidor!$H267,$T$4:$Y$25,6,FALSE)</f>
        <v>EPS</v>
      </c>
      <c r="N267" s="70">
        <v>0</v>
      </c>
      <c r="O267" s="125">
        <v>0</v>
      </c>
      <c r="P267" s="126">
        <v>0.28541666666666665</v>
      </c>
      <c r="Q267" s="334" t="s">
        <v>574</v>
      </c>
    </row>
    <row r="268" spans="2:17" x14ac:dyDescent="0.25">
      <c r="B268">
        <f>WEEKNUM(BSURTIDOR[[#This Row],[FECHA]])</f>
        <v>6</v>
      </c>
      <c r="C268">
        <f>MONTH(BSURTIDOR[[#This Row],[FECHA]])</f>
        <v>2</v>
      </c>
      <c r="D268">
        <f>YEAR(BSURTIDOR[[#This Row],[FECHA]])</f>
        <v>2026</v>
      </c>
      <c r="E268" s="124">
        <v>46059</v>
      </c>
      <c r="F268" s="329" t="s">
        <v>548</v>
      </c>
      <c r="G268" s="123">
        <v>3</v>
      </c>
      <c r="H268" s="123" t="s">
        <v>99</v>
      </c>
      <c r="I268" s="101" t="str">
        <f>VLOOKUP(BDsurtidor!$H268,$T$4:$W$18,2,FALSE)</f>
        <v>CISTERNA</v>
      </c>
      <c r="J268" s="101">
        <f>VLOOKUP(BDsurtidor!$H268,$T$4:$W$25,3,FALSE)</f>
        <v>5000</v>
      </c>
      <c r="K268" s="101">
        <f>VLOOKUP(BDsurtidor!$H268,$T$4:$W$25,4,FALSE)</f>
        <v>17</v>
      </c>
      <c r="L268" s="101">
        <f>VLOOKUP(BDsurtidor!$H268,$T$4:$X$25,5,FALSE)</f>
        <v>0.4</v>
      </c>
      <c r="M268" s="101" t="str">
        <f>VLOOKUP(BDsurtidor!$H268,$T$4:$Y$25,6,FALSE)</f>
        <v>EPS</v>
      </c>
      <c r="N268" s="327">
        <v>0</v>
      </c>
      <c r="O268" s="125">
        <v>1</v>
      </c>
      <c r="P268" s="126">
        <v>0.30486111111111114</v>
      </c>
      <c r="Q268" s="334" t="s">
        <v>574</v>
      </c>
    </row>
    <row r="269" spans="2:17" x14ac:dyDescent="0.25">
      <c r="B269">
        <f>WEEKNUM(BSURTIDOR[[#This Row],[FECHA]])</f>
        <v>6</v>
      </c>
      <c r="C269">
        <f>MONTH(BSURTIDOR[[#This Row],[FECHA]])</f>
        <v>2</v>
      </c>
      <c r="D269">
        <f>YEAR(BSURTIDOR[[#This Row],[FECHA]])</f>
        <v>2026</v>
      </c>
      <c r="E269" s="124">
        <v>46059</v>
      </c>
      <c r="F269" s="329" t="s">
        <v>548</v>
      </c>
      <c r="G269" s="123">
        <v>4</v>
      </c>
      <c r="H269" s="123" t="s">
        <v>89</v>
      </c>
      <c r="I269" s="101" t="str">
        <f>VLOOKUP(BDsurtidor!$H269,$T$4:$W$18,2,FALSE)</f>
        <v>CISTERNA</v>
      </c>
      <c r="J269" s="101">
        <f>VLOOKUP(BDsurtidor!$H269,$T$4:$W$25,3,FALSE)</f>
        <v>9000</v>
      </c>
      <c r="K269" s="101">
        <f>VLOOKUP(BDsurtidor!$H269,$T$4:$W$25,4,FALSE)</f>
        <v>34</v>
      </c>
      <c r="L269" s="101">
        <f>VLOOKUP(BDsurtidor!$H269,$T$4:$X$25,5,FALSE)</f>
        <v>0.45</v>
      </c>
      <c r="M269" s="101" t="str">
        <f>VLOOKUP(BDsurtidor!$H269,$T$4:$Y$25,6,FALSE)</f>
        <v>VIVIENDA</v>
      </c>
      <c r="N269" s="70">
        <v>0</v>
      </c>
      <c r="O269" s="125">
        <v>1.03</v>
      </c>
      <c r="P269" s="126">
        <v>0.31388888888888888</v>
      </c>
      <c r="Q269" s="334" t="s">
        <v>574</v>
      </c>
    </row>
    <row r="270" spans="2:17" x14ac:dyDescent="0.25">
      <c r="B270">
        <f>WEEKNUM(BSURTIDOR[[#This Row],[FECHA]])</f>
        <v>6</v>
      </c>
      <c r="C270">
        <f>MONTH(BSURTIDOR[[#This Row],[FECHA]])</f>
        <v>2</v>
      </c>
      <c r="D270">
        <f>YEAR(BSURTIDOR[[#This Row],[FECHA]])</f>
        <v>2026</v>
      </c>
      <c r="E270" s="124">
        <v>46059</v>
      </c>
      <c r="F270" s="329" t="s">
        <v>548</v>
      </c>
      <c r="G270" s="123">
        <v>5</v>
      </c>
      <c r="H270" s="123" t="s">
        <v>90</v>
      </c>
      <c r="I270" s="101" t="str">
        <f>VLOOKUP(BDsurtidor!$H270,$T$4:$W$18,2,FALSE)</f>
        <v>CISTERNA</v>
      </c>
      <c r="J270" s="101">
        <f>VLOOKUP(BDsurtidor!$H270,$T$4:$W$25,3,FALSE)</f>
        <v>5000</v>
      </c>
      <c r="K270" s="101">
        <f>VLOOKUP(BDsurtidor!$H270,$T$4:$W$25,4,FALSE)</f>
        <v>17</v>
      </c>
      <c r="L270" s="101">
        <f>VLOOKUP(BDsurtidor!$H270,$T$4:$X$25,5,FALSE)</f>
        <v>0.4</v>
      </c>
      <c r="M270" s="101" t="str">
        <f>VLOOKUP(BDsurtidor!$H270,$T$4:$Y$25,6,FALSE)</f>
        <v>EPS</v>
      </c>
      <c r="N270" s="327">
        <v>0</v>
      </c>
      <c r="O270" s="125">
        <v>1.02</v>
      </c>
      <c r="P270" s="126">
        <v>0.32430555555555557</v>
      </c>
      <c r="Q270" s="334" t="s">
        <v>574</v>
      </c>
    </row>
    <row r="271" spans="2:17" x14ac:dyDescent="0.25">
      <c r="B271">
        <f>WEEKNUM(BSURTIDOR[[#This Row],[FECHA]])</f>
        <v>6</v>
      </c>
      <c r="C271">
        <f>MONTH(BSURTIDOR[[#This Row],[FECHA]])</f>
        <v>2</v>
      </c>
      <c r="D271">
        <f>YEAR(BSURTIDOR[[#This Row],[FECHA]])</f>
        <v>2026</v>
      </c>
      <c r="E271" s="124">
        <v>46059</v>
      </c>
      <c r="F271" s="329" t="s">
        <v>548</v>
      </c>
      <c r="G271" s="123">
        <v>6</v>
      </c>
      <c r="H271" s="123" t="s">
        <v>87</v>
      </c>
      <c r="I271" s="101" t="str">
        <f>VLOOKUP(BDsurtidor!$H271,$T$4:$W$18,2,FALSE)</f>
        <v>CISTERNA</v>
      </c>
      <c r="J271" s="101">
        <f>VLOOKUP(BDsurtidor!$H271,$T$4:$W$25,3,FALSE)</f>
        <v>5000</v>
      </c>
      <c r="K271" s="101">
        <f>VLOOKUP(BDsurtidor!$H271,$T$4:$W$25,4,FALSE)</f>
        <v>17</v>
      </c>
      <c r="L271" s="101">
        <f>VLOOKUP(BDsurtidor!$H271,$T$4:$X$25,5,FALSE)</f>
        <v>0.4</v>
      </c>
      <c r="M271" s="101" t="str">
        <f>VLOOKUP(BDsurtidor!$H271,$T$4:$Y$25,6,FALSE)</f>
        <v>EPS</v>
      </c>
      <c r="N271" s="70">
        <v>0</v>
      </c>
      <c r="O271" s="125">
        <v>1.1000000000000001</v>
      </c>
      <c r="P271" s="126">
        <v>0.33611111111111114</v>
      </c>
      <c r="Q271" s="334" t="s">
        <v>574</v>
      </c>
    </row>
    <row r="272" spans="2:17" x14ac:dyDescent="0.25">
      <c r="B272">
        <f>WEEKNUM(BSURTIDOR[[#This Row],[FECHA]])</f>
        <v>6</v>
      </c>
      <c r="C272">
        <f>MONTH(BSURTIDOR[[#This Row],[FECHA]])</f>
        <v>2</v>
      </c>
      <c r="D272">
        <f>YEAR(BSURTIDOR[[#This Row],[FECHA]])</f>
        <v>2026</v>
      </c>
      <c r="E272" s="124">
        <v>46059</v>
      </c>
      <c r="F272" s="329" t="s">
        <v>548</v>
      </c>
      <c r="G272" s="123">
        <v>7</v>
      </c>
      <c r="H272" s="123" t="s">
        <v>89</v>
      </c>
      <c r="I272" s="101" t="str">
        <f>VLOOKUP(BDsurtidor!$H272,$T$4:$W$18,2,FALSE)</f>
        <v>CISTERNA</v>
      </c>
      <c r="J272" s="101">
        <f>VLOOKUP(BDsurtidor!$H272,$T$4:$W$25,3,FALSE)</f>
        <v>9000</v>
      </c>
      <c r="K272" s="101">
        <f>VLOOKUP(BDsurtidor!$H272,$T$4:$W$25,4,FALSE)</f>
        <v>34</v>
      </c>
      <c r="L272" s="101">
        <f>VLOOKUP(BDsurtidor!$H272,$T$4:$X$25,5,FALSE)</f>
        <v>0.45</v>
      </c>
      <c r="M272" s="101" t="str">
        <f>VLOOKUP(BDsurtidor!$H272,$T$4:$Y$25,6,FALSE)</f>
        <v>VIVIENDA</v>
      </c>
      <c r="N272" s="327">
        <v>0</v>
      </c>
      <c r="O272" s="125">
        <v>1.1399999999999999</v>
      </c>
      <c r="P272" s="126">
        <v>0.42638888888888887</v>
      </c>
      <c r="Q272" s="334" t="s">
        <v>574</v>
      </c>
    </row>
    <row r="273" spans="2:17" x14ac:dyDescent="0.25">
      <c r="B273">
        <f>WEEKNUM(BSURTIDOR[[#This Row],[FECHA]])</f>
        <v>6</v>
      </c>
      <c r="C273">
        <f>MONTH(BSURTIDOR[[#This Row],[FECHA]])</f>
        <v>2</v>
      </c>
      <c r="D273">
        <f>YEAR(BSURTIDOR[[#This Row],[FECHA]])</f>
        <v>2026</v>
      </c>
      <c r="E273" s="124">
        <v>46059</v>
      </c>
      <c r="F273" s="329" t="s">
        <v>548</v>
      </c>
      <c r="G273" s="123">
        <v>8</v>
      </c>
      <c r="H273" s="123" t="s">
        <v>99</v>
      </c>
      <c r="I273" s="101" t="str">
        <f>VLOOKUP(BDsurtidor!$H273,$T$4:$W$18,2,FALSE)</f>
        <v>CISTERNA</v>
      </c>
      <c r="J273" s="101">
        <f>VLOOKUP(BDsurtidor!$H273,$T$4:$W$25,3,FALSE)</f>
        <v>5000</v>
      </c>
      <c r="K273" s="101">
        <f>VLOOKUP(BDsurtidor!$H273,$T$4:$W$25,4,FALSE)</f>
        <v>17</v>
      </c>
      <c r="L273" s="101">
        <f>VLOOKUP(BDsurtidor!$H273,$T$4:$X$25,5,FALSE)</f>
        <v>0.4</v>
      </c>
      <c r="M273" s="101" t="str">
        <f>VLOOKUP(BDsurtidor!$H273,$T$4:$Y$25,6,FALSE)</f>
        <v>EPS</v>
      </c>
      <c r="N273" s="70">
        <v>0</v>
      </c>
      <c r="O273" s="125">
        <v>1.04</v>
      </c>
      <c r="P273" s="126">
        <v>0.4375</v>
      </c>
      <c r="Q273" s="334" t="s">
        <v>574</v>
      </c>
    </row>
    <row r="274" spans="2:17" x14ac:dyDescent="0.25">
      <c r="B274">
        <f>WEEKNUM(BSURTIDOR[[#This Row],[FECHA]])</f>
        <v>6</v>
      </c>
      <c r="C274">
        <f>MONTH(BSURTIDOR[[#This Row],[FECHA]])</f>
        <v>2</v>
      </c>
      <c r="D274">
        <f>YEAR(BSURTIDOR[[#This Row],[FECHA]])</f>
        <v>2026</v>
      </c>
      <c r="E274" s="124">
        <v>46059</v>
      </c>
      <c r="F274" s="329" t="s">
        <v>548</v>
      </c>
      <c r="G274" s="123">
        <v>9</v>
      </c>
      <c r="H274" s="123" t="s">
        <v>87</v>
      </c>
      <c r="I274" s="101" t="str">
        <f>VLOOKUP(BDsurtidor!$H274,$T$4:$W$18,2,FALSE)</f>
        <v>CISTERNA</v>
      </c>
      <c r="J274" s="101">
        <f>VLOOKUP(BDsurtidor!$H274,$T$4:$W$25,3,FALSE)</f>
        <v>5000</v>
      </c>
      <c r="K274" s="101">
        <f>VLOOKUP(BDsurtidor!$H274,$T$4:$W$25,4,FALSE)</f>
        <v>17</v>
      </c>
      <c r="L274" s="101">
        <f>VLOOKUP(BDsurtidor!$H274,$T$4:$X$25,5,FALSE)</f>
        <v>0.4</v>
      </c>
      <c r="M274" s="101" t="str">
        <f>VLOOKUP(BDsurtidor!$H274,$T$4:$Y$25,6,FALSE)</f>
        <v>EPS</v>
      </c>
      <c r="N274" s="327">
        <v>0</v>
      </c>
      <c r="O274" s="125">
        <v>1.01</v>
      </c>
      <c r="P274" s="126">
        <v>0.47291666666666665</v>
      </c>
      <c r="Q274" s="334" t="s">
        <v>574</v>
      </c>
    </row>
    <row r="275" spans="2:17" x14ac:dyDescent="0.25">
      <c r="B275">
        <f>WEEKNUM(BSURTIDOR[[#This Row],[FECHA]])</f>
        <v>6</v>
      </c>
      <c r="C275">
        <f>MONTH(BSURTIDOR[[#This Row],[FECHA]])</f>
        <v>2</v>
      </c>
      <c r="D275">
        <f>YEAR(BSURTIDOR[[#This Row],[FECHA]])</f>
        <v>2026</v>
      </c>
      <c r="E275" s="124">
        <v>46060</v>
      </c>
      <c r="F275" s="329" t="s">
        <v>548</v>
      </c>
      <c r="G275" s="123">
        <v>1</v>
      </c>
      <c r="H275" s="123" t="s">
        <v>558</v>
      </c>
      <c r="I275" s="101" t="str">
        <f>VLOOKUP(BDsurtidor!$H275,$T$4:$W$18,2,FALSE)</f>
        <v>HIDROJET</v>
      </c>
      <c r="J275" s="101">
        <f>VLOOKUP(BDsurtidor!$H275,$T$4:$W$25,3,FALSE)</f>
        <v>1000</v>
      </c>
      <c r="K275" s="101">
        <f>VLOOKUP(BDsurtidor!$H275,$T$4:$W$25,4,FALSE)</f>
        <v>1</v>
      </c>
      <c r="L275" s="101">
        <f>VLOOKUP(BDsurtidor!$H275,$T$4:$X$25,5,FALSE)</f>
        <v>0</v>
      </c>
      <c r="M275" s="101" t="str">
        <f>VLOOKUP(BDsurtidor!$H275,$T$4:$Y$25,6,FALSE)</f>
        <v>EPS</v>
      </c>
      <c r="N275" s="70">
        <v>0</v>
      </c>
      <c r="O275" s="125">
        <v>0</v>
      </c>
      <c r="P275" s="126">
        <v>0.29166666666666669</v>
      </c>
      <c r="Q275" s="334" t="s">
        <v>574</v>
      </c>
    </row>
    <row r="276" spans="2:17" x14ac:dyDescent="0.25">
      <c r="B276">
        <f>WEEKNUM(BSURTIDOR[[#This Row],[FECHA]])</f>
        <v>6</v>
      </c>
      <c r="C276">
        <f>MONTH(BSURTIDOR[[#This Row],[FECHA]])</f>
        <v>2</v>
      </c>
      <c r="D276">
        <f>YEAR(BSURTIDOR[[#This Row],[FECHA]])</f>
        <v>2026</v>
      </c>
      <c r="E276" s="124">
        <v>46060</v>
      </c>
      <c r="F276" s="329" t="s">
        <v>548</v>
      </c>
      <c r="G276" s="123">
        <v>2</v>
      </c>
      <c r="H276" s="123" t="s">
        <v>89</v>
      </c>
      <c r="I276" s="101" t="str">
        <f>VLOOKUP(BDsurtidor!$H276,$T$4:$W$18,2,FALSE)</f>
        <v>CISTERNA</v>
      </c>
      <c r="J276" s="101">
        <f>VLOOKUP(BDsurtidor!$H276,$T$4:$W$25,3,FALSE)</f>
        <v>9000</v>
      </c>
      <c r="K276" s="101">
        <f>VLOOKUP(BDsurtidor!$H276,$T$4:$W$25,4,FALSE)</f>
        <v>34</v>
      </c>
      <c r="L276" s="101">
        <f>VLOOKUP(BDsurtidor!$H276,$T$4:$X$25,5,FALSE)</f>
        <v>0.45</v>
      </c>
      <c r="M276" s="101" t="str">
        <f>VLOOKUP(BDsurtidor!$H276,$T$4:$Y$25,6,FALSE)</f>
        <v>VIVIENDA</v>
      </c>
      <c r="N276" s="327">
        <v>0</v>
      </c>
      <c r="O276" s="125">
        <v>1.03</v>
      </c>
      <c r="P276" s="126">
        <v>0.30763888888888891</v>
      </c>
      <c r="Q276" s="334" t="s">
        <v>574</v>
      </c>
    </row>
    <row r="277" spans="2:17" x14ac:dyDescent="0.25">
      <c r="B277">
        <f>WEEKNUM(BSURTIDOR[[#This Row],[FECHA]])</f>
        <v>6</v>
      </c>
      <c r="C277">
        <f>MONTH(BSURTIDOR[[#This Row],[FECHA]])</f>
        <v>2</v>
      </c>
      <c r="D277">
        <f>YEAR(BSURTIDOR[[#This Row],[FECHA]])</f>
        <v>2026</v>
      </c>
      <c r="E277" s="124">
        <v>46060</v>
      </c>
      <c r="F277" s="329" t="s">
        <v>548</v>
      </c>
      <c r="G277" s="123">
        <v>3</v>
      </c>
      <c r="H277" s="123" t="s">
        <v>90</v>
      </c>
      <c r="I277" s="101" t="str">
        <f>VLOOKUP(BDsurtidor!$H277,$T$4:$W$18,2,FALSE)</f>
        <v>CISTERNA</v>
      </c>
      <c r="J277" s="101">
        <f>VLOOKUP(BDsurtidor!$H277,$T$4:$W$25,3,FALSE)</f>
        <v>5000</v>
      </c>
      <c r="K277" s="101">
        <f>VLOOKUP(BDsurtidor!$H277,$T$4:$W$25,4,FALSE)</f>
        <v>17</v>
      </c>
      <c r="L277" s="101">
        <f>VLOOKUP(BDsurtidor!$H277,$T$4:$X$25,5,FALSE)</f>
        <v>0.4</v>
      </c>
      <c r="M277" s="101" t="str">
        <f>VLOOKUP(BDsurtidor!$H277,$T$4:$Y$25,6,FALSE)</f>
        <v>EPS</v>
      </c>
      <c r="N277" s="70">
        <v>0</v>
      </c>
      <c r="O277" s="125">
        <v>1.1000000000000001</v>
      </c>
      <c r="P277" s="126">
        <v>0.32291666666666669</v>
      </c>
      <c r="Q277" s="334" t="s">
        <v>574</v>
      </c>
    </row>
    <row r="278" spans="2:17" x14ac:dyDescent="0.25">
      <c r="B278">
        <f>WEEKNUM(BSURTIDOR[[#This Row],[FECHA]])</f>
        <v>6</v>
      </c>
      <c r="C278">
        <f>MONTH(BSURTIDOR[[#This Row],[FECHA]])</f>
        <v>2</v>
      </c>
      <c r="D278">
        <f>YEAR(BSURTIDOR[[#This Row],[FECHA]])</f>
        <v>2026</v>
      </c>
      <c r="E278" s="124">
        <v>46060</v>
      </c>
      <c r="F278" s="329" t="s">
        <v>548</v>
      </c>
      <c r="G278" s="123">
        <v>4</v>
      </c>
      <c r="H278" s="123" t="s">
        <v>87</v>
      </c>
      <c r="I278" s="101" t="str">
        <f>VLOOKUP(BDsurtidor!$H278,$T$4:$W$18,2,FALSE)</f>
        <v>CISTERNA</v>
      </c>
      <c r="J278" s="101">
        <f>VLOOKUP(BDsurtidor!$H278,$T$4:$W$25,3,FALSE)</f>
        <v>5000</v>
      </c>
      <c r="K278" s="101">
        <f>VLOOKUP(BDsurtidor!$H278,$T$4:$W$25,4,FALSE)</f>
        <v>17</v>
      </c>
      <c r="L278" s="101">
        <f>VLOOKUP(BDsurtidor!$H278,$T$4:$X$25,5,FALSE)</f>
        <v>0.4</v>
      </c>
      <c r="M278" s="101" t="str">
        <f>VLOOKUP(BDsurtidor!$H278,$T$4:$Y$25,6,FALSE)</f>
        <v>EPS</v>
      </c>
      <c r="N278" s="327">
        <v>0</v>
      </c>
      <c r="O278" s="125">
        <v>1.05</v>
      </c>
      <c r="P278" s="126">
        <v>0.32847222222222222</v>
      </c>
      <c r="Q278" s="334" t="s">
        <v>574</v>
      </c>
    </row>
    <row r="279" spans="2:17" x14ac:dyDescent="0.25">
      <c r="B279">
        <f>WEEKNUM(BSURTIDOR[[#This Row],[FECHA]])</f>
        <v>6</v>
      </c>
      <c r="C279">
        <f>MONTH(BSURTIDOR[[#This Row],[FECHA]])</f>
        <v>2</v>
      </c>
      <c r="D279">
        <f>YEAR(BSURTIDOR[[#This Row],[FECHA]])</f>
        <v>2026</v>
      </c>
      <c r="E279" s="124">
        <v>46060</v>
      </c>
      <c r="F279" s="329" t="s">
        <v>548</v>
      </c>
      <c r="G279" s="123">
        <v>5</v>
      </c>
      <c r="H279" s="123" t="s">
        <v>99</v>
      </c>
      <c r="I279" s="101" t="str">
        <f>VLOOKUP(BDsurtidor!$H279,$T$4:$W$18,2,FALSE)</f>
        <v>CISTERNA</v>
      </c>
      <c r="J279" s="101">
        <f>VLOOKUP(BDsurtidor!$H279,$T$4:$W$25,3,FALSE)</f>
        <v>5000</v>
      </c>
      <c r="K279" s="101">
        <f>VLOOKUP(BDsurtidor!$H279,$T$4:$W$25,4,FALSE)</f>
        <v>17</v>
      </c>
      <c r="L279" s="101">
        <f>VLOOKUP(BDsurtidor!$H279,$T$4:$X$25,5,FALSE)</f>
        <v>0.4</v>
      </c>
      <c r="M279" s="101" t="str">
        <f>VLOOKUP(BDsurtidor!$H279,$T$4:$Y$25,6,FALSE)</f>
        <v>EPS</v>
      </c>
      <c r="N279" s="70">
        <v>0</v>
      </c>
      <c r="O279" s="125">
        <v>1.03</v>
      </c>
      <c r="P279" s="126">
        <v>0.34375</v>
      </c>
      <c r="Q279" s="334" t="s">
        <v>574</v>
      </c>
    </row>
    <row r="280" spans="2:17" x14ac:dyDescent="0.25">
      <c r="B280">
        <f>WEEKNUM(BSURTIDOR[[#This Row],[FECHA]])</f>
        <v>6</v>
      </c>
      <c r="C280">
        <f>MONTH(BSURTIDOR[[#This Row],[FECHA]])</f>
        <v>2</v>
      </c>
      <c r="D280">
        <f>YEAR(BSURTIDOR[[#This Row],[FECHA]])</f>
        <v>2026</v>
      </c>
      <c r="E280" s="124">
        <v>46060</v>
      </c>
      <c r="F280" s="329" t="s">
        <v>548</v>
      </c>
      <c r="G280" s="123">
        <v>6</v>
      </c>
      <c r="H280" s="123" t="s">
        <v>89</v>
      </c>
      <c r="I280" s="101" t="str">
        <f>VLOOKUP(BDsurtidor!$H280,$T$4:$W$18,2,FALSE)</f>
        <v>CISTERNA</v>
      </c>
      <c r="J280" s="101">
        <f>VLOOKUP(BDsurtidor!$H280,$T$4:$W$25,3,FALSE)</f>
        <v>9000</v>
      </c>
      <c r="K280" s="101">
        <f>VLOOKUP(BDsurtidor!$H280,$T$4:$W$25,4,FALSE)</f>
        <v>34</v>
      </c>
      <c r="L280" s="101">
        <f>VLOOKUP(BDsurtidor!$H280,$T$4:$X$25,5,FALSE)</f>
        <v>0.45</v>
      </c>
      <c r="M280" s="101" t="str">
        <f>VLOOKUP(BDsurtidor!$H280,$T$4:$Y$25,6,FALSE)</f>
        <v>VIVIENDA</v>
      </c>
      <c r="N280" s="327">
        <v>0</v>
      </c>
      <c r="O280" s="125">
        <v>1.1200000000000001</v>
      </c>
      <c r="P280" s="126">
        <v>0.4201388888888889</v>
      </c>
      <c r="Q280" s="334" t="s">
        <v>574</v>
      </c>
    </row>
    <row r="281" spans="2:17" x14ac:dyDescent="0.25">
      <c r="B281">
        <f>WEEKNUM(BSURTIDOR[[#This Row],[FECHA]])</f>
        <v>6</v>
      </c>
      <c r="C281">
        <f>MONTH(BSURTIDOR[[#This Row],[FECHA]])</f>
        <v>2</v>
      </c>
      <c r="D281">
        <f>YEAR(BSURTIDOR[[#This Row],[FECHA]])</f>
        <v>2026</v>
      </c>
      <c r="E281" s="124">
        <v>46060</v>
      </c>
      <c r="F281" s="329" t="s">
        <v>548</v>
      </c>
      <c r="G281" s="123">
        <v>7</v>
      </c>
      <c r="H281" s="123" t="s">
        <v>90</v>
      </c>
      <c r="I281" s="101" t="str">
        <f>VLOOKUP(BDsurtidor!$H281,$T$4:$W$18,2,FALSE)</f>
        <v>CISTERNA</v>
      </c>
      <c r="J281" s="101">
        <f>VLOOKUP(BDsurtidor!$H281,$T$4:$W$25,3,FALSE)</f>
        <v>5000</v>
      </c>
      <c r="K281" s="101">
        <f>VLOOKUP(BDsurtidor!$H281,$T$4:$W$25,4,FALSE)</f>
        <v>17</v>
      </c>
      <c r="L281" s="101">
        <f>VLOOKUP(BDsurtidor!$H281,$T$4:$X$25,5,FALSE)</f>
        <v>0.4</v>
      </c>
      <c r="M281" s="101" t="str">
        <f>VLOOKUP(BDsurtidor!$H281,$T$4:$Y$25,6,FALSE)</f>
        <v>EPS</v>
      </c>
      <c r="N281" s="70">
        <v>0</v>
      </c>
      <c r="O281" s="125">
        <v>1.02</v>
      </c>
      <c r="P281" s="126">
        <v>0.47083333333333333</v>
      </c>
      <c r="Q281" s="334" t="s">
        <v>574</v>
      </c>
    </row>
    <row r="282" spans="2:17" x14ac:dyDescent="0.25">
      <c r="B282">
        <f>WEEKNUM(BSURTIDOR[[#This Row],[FECHA]])</f>
        <v>6</v>
      </c>
      <c r="C282">
        <f>MONTH(BSURTIDOR[[#This Row],[FECHA]])</f>
        <v>2</v>
      </c>
      <c r="D282">
        <f>YEAR(BSURTIDOR[[#This Row],[FECHA]])</f>
        <v>2026</v>
      </c>
      <c r="E282" s="124">
        <v>46060</v>
      </c>
      <c r="F282" s="329" t="s">
        <v>548</v>
      </c>
      <c r="G282" s="123">
        <v>8</v>
      </c>
      <c r="H282" s="123" t="s">
        <v>87</v>
      </c>
      <c r="I282" s="101" t="str">
        <f>VLOOKUP(BDsurtidor!$H282,$T$4:$W$18,2,FALSE)</f>
        <v>CISTERNA</v>
      </c>
      <c r="J282" s="101">
        <f>VLOOKUP(BDsurtidor!$H282,$T$4:$W$25,3,FALSE)</f>
        <v>5000</v>
      </c>
      <c r="K282" s="101">
        <f>VLOOKUP(BDsurtidor!$H282,$T$4:$W$25,4,FALSE)</f>
        <v>17</v>
      </c>
      <c r="L282" s="101">
        <f>VLOOKUP(BDsurtidor!$H282,$T$4:$X$25,5,FALSE)</f>
        <v>0.4</v>
      </c>
      <c r="M282" s="101" t="str">
        <f>VLOOKUP(BDsurtidor!$H282,$T$4:$Y$25,6,FALSE)</f>
        <v>EPS</v>
      </c>
      <c r="N282" s="327">
        <v>0</v>
      </c>
      <c r="O282" s="125">
        <v>1.05</v>
      </c>
      <c r="P282" s="126">
        <v>0.48194444444444445</v>
      </c>
      <c r="Q282" s="334" t="s">
        <v>574</v>
      </c>
    </row>
    <row r="283" spans="2:17" x14ac:dyDescent="0.25">
      <c r="B283">
        <f>WEEKNUM(BSURTIDOR[[#This Row],[FECHA]])</f>
        <v>6</v>
      </c>
      <c r="C283">
        <f>MONTH(BSURTIDOR[[#This Row],[FECHA]])</f>
        <v>2</v>
      </c>
      <c r="D283">
        <f>YEAR(BSURTIDOR[[#This Row],[FECHA]])</f>
        <v>2026</v>
      </c>
      <c r="E283" s="124">
        <v>46060</v>
      </c>
      <c r="F283" s="329" t="s">
        <v>548</v>
      </c>
      <c r="G283" s="123">
        <v>9</v>
      </c>
      <c r="H283" s="123" t="s">
        <v>99</v>
      </c>
      <c r="I283" s="101" t="str">
        <f>VLOOKUP(BDsurtidor!$H283,$T$4:$W$18,2,FALSE)</f>
        <v>CISTERNA</v>
      </c>
      <c r="J283" s="101">
        <f>VLOOKUP(BDsurtidor!$H283,$T$4:$W$25,3,FALSE)</f>
        <v>5000</v>
      </c>
      <c r="K283" s="101">
        <f>VLOOKUP(BDsurtidor!$H283,$T$4:$W$25,4,FALSE)</f>
        <v>17</v>
      </c>
      <c r="L283" s="101">
        <f>VLOOKUP(BDsurtidor!$H283,$T$4:$X$25,5,FALSE)</f>
        <v>0.4</v>
      </c>
      <c r="M283" s="101" t="str">
        <f>VLOOKUP(BDsurtidor!$H283,$T$4:$Y$25,6,FALSE)</f>
        <v>EPS</v>
      </c>
      <c r="N283" s="70">
        <v>0</v>
      </c>
      <c r="O283" s="125">
        <v>1.02</v>
      </c>
      <c r="P283" s="126">
        <v>0.56041666666666667</v>
      </c>
      <c r="Q283" s="334" t="s">
        <v>574</v>
      </c>
    </row>
    <row r="284" spans="2:17" x14ac:dyDescent="0.25">
      <c r="B284">
        <f>WEEKNUM(BSURTIDOR[[#This Row],[FECHA]])</f>
        <v>7</v>
      </c>
      <c r="C284">
        <f>MONTH(BSURTIDOR[[#This Row],[FECHA]])</f>
        <v>2</v>
      </c>
      <c r="D284">
        <f>YEAR(BSURTIDOR[[#This Row],[FECHA]])</f>
        <v>2026</v>
      </c>
      <c r="E284" s="124">
        <v>46062</v>
      </c>
      <c r="F284" s="329" t="s">
        <v>548</v>
      </c>
      <c r="G284" s="123">
        <v>1</v>
      </c>
      <c r="H284" s="123" t="s">
        <v>558</v>
      </c>
      <c r="I284" s="101" t="str">
        <f>VLOOKUP(BDsurtidor!$H284,$T$4:$W$18,2,FALSE)</f>
        <v>HIDROJET</v>
      </c>
      <c r="J284" s="101">
        <f>VLOOKUP(BDsurtidor!$H284,$T$4:$W$25,3,FALSE)</f>
        <v>1000</v>
      </c>
      <c r="K284" s="101">
        <f>VLOOKUP(BDsurtidor!$H284,$T$4:$W$25,4,FALSE)</f>
        <v>1</v>
      </c>
      <c r="L284" s="101">
        <f>VLOOKUP(BDsurtidor!$H284,$T$4:$X$25,5,FALSE)</f>
        <v>0</v>
      </c>
      <c r="M284" s="101" t="str">
        <f>VLOOKUP(BDsurtidor!$H284,$T$4:$Y$25,6,FALSE)</f>
        <v>EPS</v>
      </c>
      <c r="N284" s="70">
        <v>0</v>
      </c>
      <c r="O284" s="125">
        <v>0</v>
      </c>
      <c r="P284" s="126">
        <v>0.29166666666666669</v>
      </c>
      <c r="Q284" s="334" t="s">
        <v>574</v>
      </c>
    </row>
    <row r="285" spans="2:17" x14ac:dyDescent="0.25">
      <c r="B285">
        <f>WEEKNUM(BSURTIDOR[[#This Row],[FECHA]])</f>
        <v>7</v>
      </c>
      <c r="C285">
        <f>MONTH(BSURTIDOR[[#This Row],[FECHA]])</f>
        <v>2</v>
      </c>
      <c r="D285">
        <f>YEAR(BSURTIDOR[[#This Row],[FECHA]])</f>
        <v>2026</v>
      </c>
      <c r="E285" s="124">
        <v>46062</v>
      </c>
      <c r="F285" s="329" t="s">
        <v>548</v>
      </c>
      <c r="G285" s="123">
        <v>2</v>
      </c>
      <c r="H285" s="123" t="s">
        <v>89</v>
      </c>
      <c r="I285" s="101" t="str">
        <f>VLOOKUP(BDsurtidor!$H285,$T$4:$W$18,2,FALSE)</f>
        <v>CISTERNA</v>
      </c>
      <c r="J285" s="101">
        <f>VLOOKUP(BDsurtidor!$H285,$T$4:$W$25,3,FALSE)</f>
        <v>9000</v>
      </c>
      <c r="K285" s="101">
        <f>VLOOKUP(BDsurtidor!$H285,$T$4:$W$25,4,FALSE)</f>
        <v>34</v>
      </c>
      <c r="L285" s="101">
        <f>VLOOKUP(BDsurtidor!$H285,$T$4:$X$25,5,FALSE)</f>
        <v>0.45</v>
      </c>
      <c r="M285" s="101" t="str">
        <f>VLOOKUP(BDsurtidor!$H285,$T$4:$Y$25,6,FALSE)</f>
        <v>VIVIENDA</v>
      </c>
      <c r="N285" s="327">
        <v>0</v>
      </c>
      <c r="O285" s="125">
        <v>1.03</v>
      </c>
      <c r="P285" s="126">
        <v>0.30763888888888891</v>
      </c>
      <c r="Q285" s="334" t="s">
        <v>574</v>
      </c>
    </row>
    <row r="286" spans="2:17" x14ac:dyDescent="0.25">
      <c r="B286">
        <f>WEEKNUM(BSURTIDOR[[#This Row],[FECHA]])</f>
        <v>7</v>
      </c>
      <c r="C286">
        <f>MONTH(BSURTIDOR[[#This Row],[FECHA]])</f>
        <v>2</v>
      </c>
      <c r="D286">
        <f>YEAR(BSURTIDOR[[#This Row],[FECHA]])</f>
        <v>2026</v>
      </c>
      <c r="E286" s="124">
        <v>46062</v>
      </c>
      <c r="F286" s="329" t="s">
        <v>548</v>
      </c>
      <c r="G286" s="123">
        <v>3</v>
      </c>
      <c r="H286" s="123" t="s">
        <v>90</v>
      </c>
      <c r="I286" s="101" t="str">
        <f>VLOOKUP(BDsurtidor!$H286,$T$4:$W$18,2,FALSE)</f>
        <v>CISTERNA</v>
      </c>
      <c r="J286" s="101">
        <f>VLOOKUP(BDsurtidor!$H286,$T$4:$W$25,3,FALSE)</f>
        <v>5000</v>
      </c>
      <c r="K286" s="101">
        <f>VLOOKUP(BDsurtidor!$H286,$T$4:$W$25,4,FALSE)</f>
        <v>17</v>
      </c>
      <c r="L286" s="101">
        <f>VLOOKUP(BDsurtidor!$H286,$T$4:$X$25,5,FALSE)</f>
        <v>0.4</v>
      </c>
      <c r="M286" s="101" t="str">
        <f>VLOOKUP(BDsurtidor!$H286,$T$4:$Y$25,6,FALSE)</f>
        <v>EPS</v>
      </c>
      <c r="N286" s="70">
        <v>0</v>
      </c>
      <c r="O286" s="125">
        <v>1.1000000000000001</v>
      </c>
      <c r="P286" s="126">
        <v>0.32291666666666669</v>
      </c>
      <c r="Q286" s="334" t="s">
        <v>574</v>
      </c>
    </row>
    <row r="287" spans="2:17" x14ac:dyDescent="0.25">
      <c r="B287">
        <f>WEEKNUM(BSURTIDOR[[#This Row],[FECHA]])</f>
        <v>7</v>
      </c>
      <c r="C287">
        <f>MONTH(BSURTIDOR[[#This Row],[FECHA]])</f>
        <v>2</v>
      </c>
      <c r="D287">
        <f>YEAR(BSURTIDOR[[#This Row],[FECHA]])</f>
        <v>2026</v>
      </c>
      <c r="E287" s="124">
        <v>46062</v>
      </c>
      <c r="F287" s="329" t="s">
        <v>548</v>
      </c>
      <c r="G287" s="123">
        <v>4</v>
      </c>
      <c r="H287" s="123" t="s">
        <v>87</v>
      </c>
      <c r="I287" s="101" t="str">
        <f>VLOOKUP(BDsurtidor!$H287,$T$4:$W$18,2,FALSE)</f>
        <v>CISTERNA</v>
      </c>
      <c r="J287" s="101">
        <f>VLOOKUP(BDsurtidor!$H287,$T$4:$W$25,3,FALSE)</f>
        <v>5000</v>
      </c>
      <c r="K287" s="101">
        <f>VLOOKUP(BDsurtidor!$H287,$T$4:$W$25,4,FALSE)</f>
        <v>17</v>
      </c>
      <c r="L287" s="101">
        <f>VLOOKUP(BDsurtidor!$H287,$T$4:$X$25,5,FALSE)</f>
        <v>0.4</v>
      </c>
      <c r="M287" s="101" t="str">
        <f>VLOOKUP(BDsurtidor!$H287,$T$4:$Y$25,6,FALSE)</f>
        <v>EPS</v>
      </c>
      <c r="N287" s="70">
        <v>0</v>
      </c>
      <c r="O287" s="125">
        <v>1.05</v>
      </c>
      <c r="P287" s="126">
        <v>0.32847222222222222</v>
      </c>
      <c r="Q287" s="334" t="s">
        <v>574</v>
      </c>
    </row>
    <row r="288" spans="2:17" x14ac:dyDescent="0.25">
      <c r="B288">
        <f>WEEKNUM(BSURTIDOR[[#This Row],[FECHA]])</f>
        <v>7</v>
      </c>
      <c r="C288">
        <f>MONTH(BSURTIDOR[[#This Row],[FECHA]])</f>
        <v>2</v>
      </c>
      <c r="D288">
        <f>YEAR(BSURTIDOR[[#This Row],[FECHA]])</f>
        <v>2026</v>
      </c>
      <c r="E288" s="124">
        <v>46062</v>
      </c>
      <c r="F288" s="329" t="s">
        <v>548</v>
      </c>
      <c r="G288" s="123">
        <v>5</v>
      </c>
      <c r="H288" s="123" t="s">
        <v>99</v>
      </c>
      <c r="I288" s="101" t="str">
        <f>VLOOKUP(BDsurtidor!$H288,$T$4:$W$18,2,FALSE)</f>
        <v>CISTERNA</v>
      </c>
      <c r="J288" s="101">
        <f>VLOOKUP(BDsurtidor!$H288,$T$4:$W$25,3,FALSE)</f>
        <v>5000</v>
      </c>
      <c r="K288" s="101">
        <f>VLOOKUP(BDsurtidor!$H288,$T$4:$W$25,4,FALSE)</f>
        <v>17</v>
      </c>
      <c r="L288" s="101">
        <f>VLOOKUP(BDsurtidor!$H288,$T$4:$X$25,5,FALSE)</f>
        <v>0.4</v>
      </c>
      <c r="M288" s="101" t="str">
        <f>VLOOKUP(BDsurtidor!$H288,$T$4:$Y$25,6,FALSE)</f>
        <v>EPS</v>
      </c>
      <c r="N288" s="327">
        <v>0</v>
      </c>
      <c r="O288" s="125">
        <v>1.03</v>
      </c>
      <c r="P288" s="126">
        <v>0.34375</v>
      </c>
      <c r="Q288" s="334" t="s">
        <v>574</v>
      </c>
    </row>
    <row r="289" spans="2:17" x14ac:dyDescent="0.25">
      <c r="B289">
        <f>WEEKNUM(BSURTIDOR[[#This Row],[FECHA]])</f>
        <v>7</v>
      </c>
      <c r="C289">
        <f>MONTH(BSURTIDOR[[#This Row],[FECHA]])</f>
        <v>2</v>
      </c>
      <c r="D289">
        <f>YEAR(BSURTIDOR[[#This Row],[FECHA]])</f>
        <v>2026</v>
      </c>
      <c r="E289" s="124">
        <v>46062</v>
      </c>
      <c r="F289" s="329" t="s">
        <v>548</v>
      </c>
      <c r="G289" s="123">
        <v>6</v>
      </c>
      <c r="H289" s="123" t="s">
        <v>89</v>
      </c>
      <c r="I289" s="101" t="str">
        <f>VLOOKUP(BDsurtidor!$H289,$T$4:$W$18,2,FALSE)</f>
        <v>CISTERNA</v>
      </c>
      <c r="J289" s="101">
        <f>VLOOKUP(BDsurtidor!$H289,$T$4:$W$25,3,FALSE)</f>
        <v>9000</v>
      </c>
      <c r="K289" s="101">
        <f>VLOOKUP(BDsurtidor!$H289,$T$4:$W$25,4,FALSE)</f>
        <v>34</v>
      </c>
      <c r="L289" s="101">
        <f>VLOOKUP(BDsurtidor!$H289,$T$4:$X$25,5,FALSE)</f>
        <v>0.45</v>
      </c>
      <c r="M289" s="101" t="str">
        <f>VLOOKUP(BDsurtidor!$H289,$T$4:$Y$25,6,FALSE)</f>
        <v>VIVIENDA</v>
      </c>
      <c r="N289" s="70">
        <v>0</v>
      </c>
      <c r="O289" s="125">
        <v>1.1000000000000001</v>
      </c>
      <c r="P289" s="126">
        <v>0.4201388888888889</v>
      </c>
      <c r="Q289" s="334" t="s">
        <v>574</v>
      </c>
    </row>
    <row r="290" spans="2:17" x14ac:dyDescent="0.25">
      <c r="B290">
        <f>WEEKNUM(BSURTIDOR[[#This Row],[FECHA]])</f>
        <v>7</v>
      </c>
      <c r="C290">
        <f>MONTH(BSURTIDOR[[#This Row],[FECHA]])</f>
        <v>2</v>
      </c>
      <c r="D290">
        <f>YEAR(BSURTIDOR[[#This Row],[FECHA]])</f>
        <v>2026</v>
      </c>
      <c r="E290" s="124">
        <v>46062</v>
      </c>
      <c r="F290" s="329" t="s">
        <v>548</v>
      </c>
      <c r="G290" s="123">
        <v>7</v>
      </c>
      <c r="H290" s="123" t="s">
        <v>90</v>
      </c>
      <c r="I290" s="101" t="str">
        <f>VLOOKUP(BDsurtidor!$H290,$T$4:$W$18,2,FALSE)</f>
        <v>CISTERNA</v>
      </c>
      <c r="J290" s="101">
        <f>VLOOKUP(BDsurtidor!$H290,$T$4:$W$25,3,FALSE)</f>
        <v>5000</v>
      </c>
      <c r="K290" s="101">
        <f>VLOOKUP(BDsurtidor!$H290,$T$4:$W$25,4,FALSE)</f>
        <v>17</v>
      </c>
      <c r="L290" s="101">
        <f>VLOOKUP(BDsurtidor!$H290,$T$4:$X$25,5,FALSE)</f>
        <v>0.4</v>
      </c>
      <c r="M290" s="101" t="str">
        <f>VLOOKUP(BDsurtidor!$H290,$T$4:$Y$25,6,FALSE)</f>
        <v>EPS</v>
      </c>
      <c r="N290" s="70">
        <v>0</v>
      </c>
      <c r="O290" s="125">
        <v>1.02</v>
      </c>
      <c r="P290" s="126">
        <v>0.47083333333333333</v>
      </c>
      <c r="Q290" s="334" t="s">
        <v>574</v>
      </c>
    </row>
    <row r="291" spans="2:17" x14ac:dyDescent="0.25">
      <c r="B291">
        <f>WEEKNUM(BSURTIDOR[[#This Row],[FECHA]])</f>
        <v>7</v>
      </c>
      <c r="C291">
        <f>MONTH(BSURTIDOR[[#This Row],[FECHA]])</f>
        <v>2</v>
      </c>
      <c r="D291">
        <f>YEAR(BSURTIDOR[[#This Row],[FECHA]])</f>
        <v>2026</v>
      </c>
      <c r="E291" s="124">
        <v>46062</v>
      </c>
      <c r="F291" s="329" t="s">
        <v>548</v>
      </c>
      <c r="G291" s="123">
        <v>8</v>
      </c>
      <c r="H291" s="123" t="s">
        <v>87</v>
      </c>
      <c r="I291" s="101" t="str">
        <f>VLOOKUP(BDsurtidor!$H291,$T$4:$W$18,2,FALSE)</f>
        <v>CISTERNA</v>
      </c>
      <c r="J291" s="101">
        <f>VLOOKUP(BDsurtidor!$H291,$T$4:$W$25,3,FALSE)</f>
        <v>5000</v>
      </c>
      <c r="K291" s="101">
        <f>VLOOKUP(BDsurtidor!$H291,$T$4:$W$25,4,FALSE)</f>
        <v>17</v>
      </c>
      <c r="L291" s="101">
        <f>VLOOKUP(BDsurtidor!$H291,$T$4:$X$25,5,FALSE)</f>
        <v>0.4</v>
      </c>
      <c r="M291" s="101" t="str">
        <f>VLOOKUP(BDsurtidor!$H291,$T$4:$Y$25,6,FALSE)</f>
        <v>EPS</v>
      </c>
      <c r="N291" s="327">
        <v>0</v>
      </c>
      <c r="O291" s="125">
        <v>1.05</v>
      </c>
      <c r="P291" s="126">
        <v>0.48194444444444445</v>
      </c>
      <c r="Q291" s="334" t="s">
        <v>574</v>
      </c>
    </row>
    <row r="292" spans="2:17" x14ac:dyDescent="0.25">
      <c r="B292">
        <f>WEEKNUM(BSURTIDOR[[#This Row],[FECHA]])</f>
        <v>7</v>
      </c>
      <c r="C292">
        <f>MONTH(BSURTIDOR[[#This Row],[FECHA]])</f>
        <v>2</v>
      </c>
      <c r="D292">
        <f>YEAR(BSURTIDOR[[#This Row],[FECHA]])</f>
        <v>2026</v>
      </c>
      <c r="E292" s="124">
        <v>46062</v>
      </c>
      <c r="F292" s="329" t="s">
        <v>548</v>
      </c>
      <c r="G292" s="123">
        <v>9</v>
      </c>
      <c r="H292" s="123" t="s">
        <v>99</v>
      </c>
      <c r="I292" s="101" t="str">
        <f>VLOOKUP(BDsurtidor!$H292,$T$4:$W$18,2,FALSE)</f>
        <v>CISTERNA</v>
      </c>
      <c r="J292" s="101">
        <f>VLOOKUP(BDsurtidor!$H292,$T$4:$W$25,3,FALSE)</f>
        <v>5000</v>
      </c>
      <c r="K292" s="101">
        <f>VLOOKUP(BDsurtidor!$H292,$T$4:$W$25,4,FALSE)</f>
        <v>17</v>
      </c>
      <c r="L292" s="101">
        <f>VLOOKUP(BDsurtidor!$H292,$T$4:$X$25,5,FALSE)</f>
        <v>0.4</v>
      </c>
      <c r="M292" s="101" t="str">
        <f>VLOOKUP(BDsurtidor!$H292,$T$4:$Y$25,6,FALSE)</f>
        <v>EPS</v>
      </c>
      <c r="N292" s="70">
        <v>0</v>
      </c>
      <c r="O292" s="125">
        <v>1.02</v>
      </c>
      <c r="P292" s="126">
        <v>0.56041666666666667</v>
      </c>
      <c r="Q292" s="334" t="s">
        <v>574</v>
      </c>
    </row>
    <row r="293" spans="2:17" x14ac:dyDescent="0.25">
      <c r="B293">
        <f>WEEKNUM(BSURTIDOR[[#This Row],[FECHA]])</f>
        <v>7</v>
      </c>
      <c r="C293">
        <f>MONTH(BSURTIDOR[[#This Row],[FECHA]])</f>
        <v>2</v>
      </c>
      <c r="D293">
        <f>YEAR(BSURTIDOR[[#This Row],[FECHA]])</f>
        <v>2026</v>
      </c>
      <c r="E293" s="124">
        <v>46063</v>
      </c>
      <c r="F293" s="329" t="s">
        <v>548</v>
      </c>
      <c r="G293" s="123">
        <v>1</v>
      </c>
      <c r="H293" s="123" t="s">
        <v>89</v>
      </c>
      <c r="I293" s="101" t="str">
        <f>VLOOKUP(BDsurtidor!$H293,$T$4:$W$18,2,FALSE)</f>
        <v>CISTERNA</v>
      </c>
      <c r="J293" s="101">
        <f>VLOOKUP(BDsurtidor!$H293,$T$4:$W$25,3,FALSE)</f>
        <v>9000</v>
      </c>
      <c r="K293" s="101">
        <f>VLOOKUP(BDsurtidor!$H293,$T$4:$W$25,4,FALSE)</f>
        <v>34</v>
      </c>
      <c r="L293" s="101">
        <f>VLOOKUP(BDsurtidor!$H293,$T$4:$X$25,5,FALSE)</f>
        <v>0.45</v>
      </c>
      <c r="M293" s="101" t="str">
        <f>VLOOKUP(BDsurtidor!$H293,$T$4:$Y$25,6,FALSE)</f>
        <v>VIVIENDA</v>
      </c>
      <c r="N293" s="327">
        <v>0</v>
      </c>
      <c r="O293" s="125">
        <v>1.1100000000000001</v>
      </c>
      <c r="P293" s="126">
        <v>0.31180555555555556</v>
      </c>
      <c r="Q293" s="334" t="s">
        <v>574</v>
      </c>
    </row>
    <row r="294" spans="2:17" x14ac:dyDescent="0.25">
      <c r="B294">
        <f>WEEKNUM(BSURTIDOR[[#This Row],[FECHA]])</f>
        <v>7</v>
      </c>
      <c r="C294">
        <f>MONTH(BSURTIDOR[[#This Row],[FECHA]])</f>
        <v>2</v>
      </c>
      <c r="D294">
        <f>YEAR(BSURTIDOR[[#This Row],[FECHA]])</f>
        <v>2026</v>
      </c>
      <c r="E294" s="124">
        <v>46063</v>
      </c>
      <c r="F294" s="329" t="s">
        <v>548</v>
      </c>
      <c r="G294" s="123">
        <v>2</v>
      </c>
      <c r="H294" s="123" t="s">
        <v>99</v>
      </c>
      <c r="I294" s="101" t="str">
        <f>VLOOKUP(BDsurtidor!$H294,$T$4:$W$18,2,FALSE)</f>
        <v>CISTERNA</v>
      </c>
      <c r="J294" s="101">
        <f>VLOOKUP(BDsurtidor!$H294,$T$4:$W$25,3,FALSE)</f>
        <v>5000</v>
      </c>
      <c r="K294" s="101">
        <f>VLOOKUP(BDsurtidor!$H294,$T$4:$W$25,4,FALSE)</f>
        <v>17</v>
      </c>
      <c r="L294" s="101">
        <f>VLOOKUP(BDsurtidor!$H294,$T$4:$X$25,5,FALSE)</f>
        <v>0.4</v>
      </c>
      <c r="M294" s="101" t="str">
        <f>VLOOKUP(BDsurtidor!$H294,$T$4:$Y$25,6,FALSE)</f>
        <v>EPS</v>
      </c>
      <c r="N294" s="70">
        <v>0</v>
      </c>
      <c r="O294" s="125">
        <v>1.05</v>
      </c>
      <c r="P294" s="126">
        <v>0.32569444444444445</v>
      </c>
      <c r="Q294" s="334" t="s">
        <v>574</v>
      </c>
    </row>
    <row r="295" spans="2:17" x14ac:dyDescent="0.25">
      <c r="B295">
        <f>WEEKNUM(BSURTIDOR[[#This Row],[FECHA]])</f>
        <v>7</v>
      </c>
      <c r="C295">
        <f>MONTH(BSURTIDOR[[#This Row],[FECHA]])</f>
        <v>2</v>
      </c>
      <c r="D295">
        <f>YEAR(BSURTIDOR[[#This Row],[FECHA]])</f>
        <v>2026</v>
      </c>
      <c r="E295" s="124">
        <v>46063</v>
      </c>
      <c r="F295" s="329" t="s">
        <v>548</v>
      </c>
      <c r="G295" s="123">
        <v>3</v>
      </c>
      <c r="H295" s="123" t="s">
        <v>90</v>
      </c>
      <c r="I295" s="101" t="str">
        <f>VLOOKUP(BDsurtidor!$H295,$T$4:$W$18,2,FALSE)</f>
        <v>CISTERNA</v>
      </c>
      <c r="J295" s="101">
        <f>VLOOKUP(BDsurtidor!$H295,$T$4:$W$25,3,FALSE)</f>
        <v>5000</v>
      </c>
      <c r="K295" s="101">
        <f>VLOOKUP(BDsurtidor!$H295,$T$4:$W$25,4,FALSE)</f>
        <v>17</v>
      </c>
      <c r="L295" s="101">
        <f>VLOOKUP(BDsurtidor!$H295,$T$4:$X$25,5,FALSE)</f>
        <v>0.4</v>
      </c>
      <c r="M295" s="101" t="str">
        <f>VLOOKUP(BDsurtidor!$H295,$T$4:$Y$25,6,FALSE)</f>
        <v>EPS</v>
      </c>
      <c r="N295" s="327">
        <v>0</v>
      </c>
      <c r="O295" s="125">
        <v>1.04</v>
      </c>
      <c r="P295" s="126">
        <v>0.33124999999999999</v>
      </c>
      <c r="Q295" s="334" t="s">
        <v>574</v>
      </c>
    </row>
    <row r="296" spans="2:17" x14ac:dyDescent="0.25">
      <c r="B296">
        <f>WEEKNUM(BSURTIDOR[[#This Row],[FECHA]])</f>
        <v>7</v>
      </c>
      <c r="C296">
        <f>MONTH(BSURTIDOR[[#This Row],[FECHA]])</f>
        <v>2</v>
      </c>
      <c r="D296">
        <f>YEAR(BSURTIDOR[[#This Row],[FECHA]])</f>
        <v>2026</v>
      </c>
      <c r="E296" s="124">
        <v>46063</v>
      </c>
      <c r="F296" s="329" t="s">
        <v>548</v>
      </c>
      <c r="G296" s="123">
        <v>4</v>
      </c>
      <c r="H296" s="123" t="s">
        <v>87</v>
      </c>
      <c r="I296" s="101" t="str">
        <f>VLOOKUP(BDsurtidor!$H296,$T$4:$W$18,2,FALSE)</f>
        <v>CISTERNA</v>
      </c>
      <c r="J296" s="101">
        <f>VLOOKUP(BDsurtidor!$H296,$T$4:$W$25,3,FALSE)</f>
        <v>5000</v>
      </c>
      <c r="K296" s="101">
        <f>VLOOKUP(BDsurtidor!$H296,$T$4:$W$25,4,FALSE)</f>
        <v>17</v>
      </c>
      <c r="L296" s="101">
        <f>VLOOKUP(BDsurtidor!$H296,$T$4:$X$25,5,FALSE)</f>
        <v>0.4</v>
      </c>
      <c r="M296" s="101" t="str">
        <f>VLOOKUP(BDsurtidor!$H296,$T$4:$Y$25,6,FALSE)</f>
        <v>EPS</v>
      </c>
      <c r="N296" s="70">
        <v>0</v>
      </c>
      <c r="O296" s="125">
        <v>1.0900000000000001</v>
      </c>
      <c r="P296" s="126">
        <v>0.33819444444444446</v>
      </c>
      <c r="Q296" s="334" t="s">
        <v>574</v>
      </c>
    </row>
    <row r="297" spans="2:17" x14ac:dyDescent="0.25">
      <c r="B297">
        <f>WEEKNUM(BSURTIDOR[[#This Row],[FECHA]])</f>
        <v>7</v>
      </c>
      <c r="C297">
        <f>MONTH(BSURTIDOR[[#This Row],[FECHA]])</f>
        <v>2</v>
      </c>
      <c r="D297">
        <f>YEAR(BSURTIDOR[[#This Row],[FECHA]])</f>
        <v>2026</v>
      </c>
      <c r="E297" s="124">
        <v>46063</v>
      </c>
      <c r="F297" s="329" t="s">
        <v>548</v>
      </c>
      <c r="G297" s="123">
        <v>5</v>
      </c>
      <c r="H297" s="123" t="s">
        <v>87</v>
      </c>
      <c r="I297" s="101" t="str">
        <f>VLOOKUP(BDsurtidor!$H297,$T$4:$W$18,2,FALSE)</f>
        <v>CISTERNA</v>
      </c>
      <c r="J297" s="101">
        <f>VLOOKUP(BDsurtidor!$H297,$T$4:$W$25,3,FALSE)</f>
        <v>5000</v>
      </c>
      <c r="K297" s="101">
        <f>VLOOKUP(BDsurtidor!$H297,$T$4:$W$25,4,FALSE)</f>
        <v>17</v>
      </c>
      <c r="L297" s="101">
        <f>VLOOKUP(BDsurtidor!$H297,$T$4:$X$25,5,FALSE)</f>
        <v>0.4</v>
      </c>
      <c r="M297" s="101" t="str">
        <f>VLOOKUP(BDsurtidor!$H297,$T$4:$Y$25,6,FALSE)</f>
        <v>EPS</v>
      </c>
      <c r="N297" s="327">
        <v>0</v>
      </c>
      <c r="O297" s="125">
        <v>1.17</v>
      </c>
      <c r="P297" s="126">
        <v>0.40972222222222221</v>
      </c>
      <c r="Q297" s="334" t="s">
        <v>574</v>
      </c>
    </row>
    <row r="298" spans="2:17" x14ac:dyDescent="0.25">
      <c r="B298">
        <f>WEEKNUM(BSURTIDOR[[#This Row],[FECHA]])</f>
        <v>7</v>
      </c>
      <c r="C298">
        <f>MONTH(BSURTIDOR[[#This Row],[FECHA]])</f>
        <v>2</v>
      </c>
      <c r="D298">
        <f>YEAR(BSURTIDOR[[#This Row],[FECHA]])</f>
        <v>2026</v>
      </c>
      <c r="E298" s="124">
        <v>46063</v>
      </c>
      <c r="F298" s="329" t="s">
        <v>548</v>
      </c>
      <c r="G298" s="123">
        <v>6</v>
      </c>
      <c r="H298" s="123" t="s">
        <v>89</v>
      </c>
      <c r="I298" s="101" t="str">
        <f>VLOOKUP(BDsurtidor!$H298,$T$4:$W$18,2,FALSE)</f>
        <v>CISTERNA</v>
      </c>
      <c r="J298" s="39">
        <f>VLOOKUP(BDsurtidor!$H298,$T$4:$W$25,3,FALSE)</f>
        <v>9000</v>
      </c>
      <c r="K298" s="39">
        <f>VLOOKUP(BDsurtidor!$H298,$T$4:$W$25,4,FALSE)</f>
        <v>34</v>
      </c>
      <c r="L298" s="101">
        <f>VLOOKUP(BDsurtidor!$H298,$T$4:$X$25,5,FALSE)</f>
        <v>0.45</v>
      </c>
      <c r="M298" s="39" t="str">
        <f>VLOOKUP(BDsurtidor!$H298,$T$4:$Y$25,6,FALSE)</f>
        <v>VIVIENDA</v>
      </c>
      <c r="N298" s="70">
        <v>0</v>
      </c>
      <c r="O298" s="125">
        <v>1.0900000000000001</v>
      </c>
      <c r="P298" s="126">
        <v>0.47986111111111113</v>
      </c>
      <c r="Q298" s="334" t="s">
        <v>574</v>
      </c>
    </row>
    <row r="299" spans="2:17" x14ac:dyDescent="0.25">
      <c r="B299">
        <f>WEEKNUM(BSURTIDOR[[#This Row],[FECHA]])</f>
        <v>7</v>
      </c>
      <c r="C299">
        <f>MONTH(BSURTIDOR[[#This Row],[FECHA]])</f>
        <v>2</v>
      </c>
      <c r="D299">
        <f>YEAR(BSURTIDOR[[#This Row],[FECHA]])</f>
        <v>2026</v>
      </c>
      <c r="E299" s="124">
        <v>46063</v>
      </c>
      <c r="F299" s="329" t="s">
        <v>548</v>
      </c>
      <c r="G299" s="123">
        <v>7</v>
      </c>
      <c r="H299" s="123" t="s">
        <v>99</v>
      </c>
      <c r="I299" s="101" t="str">
        <f>VLOOKUP(BDsurtidor!$H299,$T$4:$W$18,2,FALSE)</f>
        <v>CISTERNA</v>
      </c>
      <c r="J299" s="39">
        <f>VLOOKUP(BDsurtidor!$H299,$T$4:$W$25,3,FALSE)</f>
        <v>5000</v>
      </c>
      <c r="K299" s="39">
        <f>VLOOKUP(BDsurtidor!$H299,$T$4:$W$25,4,FALSE)</f>
        <v>17</v>
      </c>
      <c r="L299" s="101">
        <f>VLOOKUP(BDsurtidor!$H299,$T$4:$X$25,5,FALSE)</f>
        <v>0.4</v>
      </c>
      <c r="M299" s="39" t="str">
        <f>VLOOKUP(BDsurtidor!$H299,$T$4:$Y$25,6,FALSE)</f>
        <v>EPS</v>
      </c>
      <c r="N299" s="327">
        <v>0</v>
      </c>
      <c r="O299" s="125">
        <v>1.1000000000000001</v>
      </c>
      <c r="P299" s="126">
        <v>0.52847222222222223</v>
      </c>
      <c r="Q299" s="334" t="s">
        <v>574</v>
      </c>
    </row>
    <row r="300" spans="2:17" x14ac:dyDescent="0.25">
      <c r="B300">
        <f>WEEKNUM(BSURTIDOR[[#This Row],[FECHA]])</f>
        <v>7</v>
      </c>
      <c r="C300">
        <f>MONTH(BSURTIDOR[[#This Row],[FECHA]])</f>
        <v>2</v>
      </c>
      <c r="D300">
        <f>YEAR(BSURTIDOR[[#This Row],[FECHA]])</f>
        <v>2026</v>
      </c>
      <c r="E300" s="124">
        <v>46063</v>
      </c>
      <c r="F300" s="329" t="s">
        <v>548</v>
      </c>
      <c r="G300" s="123">
        <v>8</v>
      </c>
      <c r="H300" s="123" t="s">
        <v>90</v>
      </c>
      <c r="I300" s="101" t="str">
        <f>VLOOKUP(BDsurtidor!$H300,$T$4:$W$18,2,FALSE)</f>
        <v>CISTERNA</v>
      </c>
      <c r="J300" s="39">
        <f>VLOOKUP(BDsurtidor!$H300,$T$4:$W$25,3,FALSE)</f>
        <v>5000</v>
      </c>
      <c r="K300" s="39">
        <f>VLOOKUP(BDsurtidor!$H300,$T$4:$W$25,4,FALSE)</f>
        <v>17</v>
      </c>
      <c r="L300" s="101">
        <f>VLOOKUP(BDsurtidor!$H300,$T$4:$X$25,5,FALSE)</f>
        <v>0.4</v>
      </c>
      <c r="M300" s="39" t="str">
        <f>VLOOKUP(BDsurtidor!$H300,$T$4:$Y$25,6,FALSE)</f>
        <v>EPS</v>
      </c>
      <c r="N300" s="70">
        <v>0</v>
      </c>
      <c r="O300" s="125">
        <v>1.1399999999999999</v>
      </c>
      <c r="P300" s="126">
        <v>0.53819444444444442</v>
      </c>
      <c r="Q300" s="334" t="s">
        <v>574</v>
      </c>
    </row>
    <row r="301" spans="2:17" x14ac:dyDescent="0.25">
      <c r="B301">
        <f>WEEKNUM(BSURTIDOR[[#This Row],[FECHA]])</f>
        <v>7</v>
      </c>
      <c r="C301">
        <f>MONTH(BSURTIDOR[[#This Row],[FECHA]])</f>
        <v>2</v>
      </c>
      <c r="D301">
        <f>YEAR(BSURTIDOR[[#This Row],[FECHA]])</f>
        <v>2026</v>
      </c>
      <c r="E301" s="124">
        <v>46064</v>
      </c>
      <c r="F301" s="329" t="s">
        <v>548</v>
      </c>
      <c r="G301" s="123">
        <v>1</v>
      </c>
      <c r="H301" s="123" t="s">
        <v>89</v>
      </c>
      <c r="I301" s="101" t="str">
        <f>VLOOKUP(BDsurtidor!$H301,$T$4:$W$18,2,FALSE)</f>
        <v>CISTERNA</v>
      </c>
      <c r="J301" s="101">
        <f>VLOOKUP(BDsurtidor!$H301,$T$4:$W$25,3,FALSE)</f>
        <v>9000</v>
      </c>
      <c r="K301" s="101">
        <f>VLOOKUP(BDsurtidor!$H301,$T$4:$W$25,4,FALSE)</f>
        <v>34</v>
      </c>
      <c r="L301" s="101">
        <f>VLOOKUP(BDsurtidor!$H301,$T$4:$X$25,5,FALSE)</f>
        <v>0.45</v>
      </c>
      <c r="M301" s="101" t="str">
        <f>VLOOKUP(BDsurtidor!$H301,$T$4:$Y$25,6,FALSE)</f>
        <v>VIVIENDA</v>
      </c>
      <c r="N301" s="327">
        <v>0</v>
      </c>
      <c r="O301" s="125">
        <v>1.06</v>
      </c>
      <c r="P301" s="126">
        <v>0.31041666666666667</v>
      </c>
      <c r="Q301" s="334" t="s">
        <v>574</v>
      </c>
    </row>
    <row r="302" spans="2:17" x14ac:dyDescent="0.25">
      <c r="B302">
        <f>WEEKNUM(BSURTIDOR[[#This Row],[FECHA]])</f>
        <v>7</v>
      </c>
      <c r="C302">
        <f>MONTH(BSURTIDOR[[#This Row],[FECHA]])</f>
        <v>2</v>
      </c>
      <c r="D302">
        <f>YEAR(BSURTIDOR[[#This Row],[FECHA]])</f>
        <v>2026</v>
      </c>
      <c r="E302" s="124">
        <v>46064</v>
      </c>
      <c r="F302" s="329" t="s">
        <v>548</v>
      </c>
      <c r="G302" s="123">
        <v>2</v>
      </c>
      <c r="H302" s="123" t="s">
        <v>99</v>
      </c>
      <c r="I302" s="101" t="str">
        <f>VLOOKUP(BDsurtidor!$H302,$T$4:$W$18,2,FALSE)</f>
        <v>CISTERNA</v>
      </c>
      <c r="J302" s="101">
        <f>VLOOKUP(BDsurtidor!$H302,$T$4:$W$25,3,FALSE)</f>
        <v>5000</v>
      </c>
      <c r="K302" s="101">
        <f>VLOOKUP(BDsurtidor!$H302,$T$4:$W$25,4,FALSE)</f>
        <v>17</v>
      </c>
      <c r="L302" s="101">
        <f>VLOOKUP(BDsurtidor!$H302,$T$4:$X$25,5,FALSE)</f>
        <v>0.4</v>
      </c>
      <c r="M302" s="101" t="str">
        <f>VLOOKUP(BDsurtidor!$H302,$T$4:$Y$25,6,FALSE)</f>
        <v>EPS</v>
      </c>
      <c r="N302" s="70">
        <v>0</v>
      </c>
      <c r="O302" s="125">
        <v>1</v>
      </c>
      <c r="P302" s="126">
        <v>0.32361111111111113</v>
      </c>
      <c r="Q302" s="334" t="s">
        <v>574</v>
      </c>
    </row>
    <row r="303" spans="2:17" x14ac:dyDescent="0.25">
      <c r="B303">
        <f>WEEKNUM(BSURTIDOR[[#This Row],[FECHA]])</f>
        <v>7</v>
      </c>
      <c r="C303">
        <f>MONTH(BSURTIDOR[[#This Row],[FECHA]])</f>
        <v>2</v>
      </c>
      <c r="D303">
        <f>YEAR(BSURTIDOR[[#This Row],[FECHA]])</f>
        <v>2026</v>
      </c>
      <c r="E303" s="124">
        <v>46064</v>
      </c>
      <c r="F303" s="329" t="s">
        <v>548</v>
      </c>
      <c r="G303" s="123">
        <v>3</v>
      </c>
      <c r="H303" s="123" t="s">
        <v>90</v>
      </c>
      <c r="I303" s="101" t="str">
        <f>VLOOKUP(BDsurtidor!$H303,$T$4:$W$18,2,FALSE)</f>
        <v>CISTERNA</v>
      </c>
      <c r="J303" s="101">
        <f>VLOOKUP(BDsurtidor!$H303,$T$4:$W$25,3,FALSE)</f>
        <v>5000</v>
      </c>
      <c r="K303" s="101">
        <f>VLOOKUP(BDsurtidor!$H303,$T$4:$W$25,4,FALSE)</f>
        <v>17</v>
      </c>
      <c r="L303" s="101">
        <f>VLOOKUP(BDsurtidor!$H303,$T$4:$X$25,5,FALSE)</f>
        <v>0.4</v>
      </c>
      <c r="M303" s="101" t="str">
        <f>VLOOKUP(BDsurtidor!$H303,$T$4:$Y$25,6,FALSE)</f>
        <v>EPS</v>
      </c>
      <c r="N303" s="327">
        <v>0</v>
      </c>
      <c r="O303" s="125">
        <v>1.1000000000000001</v>
      </c>
      <c r="P303" s="126">
        <v>0.35208333333333336</v>
      </c>
      <c r="Q303" s="334" t="s">
        <v>574</v>
      </c>
    </row>
    <row r="304" spans="2:17" x14ac:dyDescent="0.25">
      <c r="B304">
        <f>WEEKNUM(BSURTIDOR[[#This Row],[FECHA]])</f>
        <v>7</v>
      </c>
      <c r="C304">
        <f>MONTH(BSURTIDOR[[#This Row],[FECHA]])</f>
        <v>2</v>
      </c>
      <c r="D304">
        <f>YEAR(BSURTIDOR[[#This Row],[FECHA]])</f>
        <v>2026</v>
      </c>
      <c r="E304" s="124">
        <v>46064</v>
      </c>
      <c r="F304" s="329" t="s">
        <v>548</v>
      </c>
      <c r="G304" s="123">
        <v>4</v>
      </c>
      <c r="H304" s="123" t="s">
        <v>87</v>
      </c>
      <c r="I304" s="101" t="str">
        <f>VLOOKUP(BDsurtidor!$H304,$T$4:$W$18,2,FALSE)</f>
        <v>CISTERNA</v>
      </c>
      <c r="J304" s="101">
        <f>VLOOKUP(BDsurtidor!$H304,$T$4:$W$25,3,FALSE)</f>
        <v>5000</v>
      </c>
      <c r="K304" s="101">
        <f>VLOOKUP(BDsurtidor!$H304,$T$4:$W$25,4,FALSE)</f>
        <v>17</v>
      </c>
      <c r="L304" s="101">
        <f>VLOOKUP(BDsurtidor!$H304,$T$4:$X$25,5,FALSE)</f>
        <v>0.4</v>
      </c>
      <c r="M304" s="101" t="str">
        <f>VLOOKUP(BDsurtidor!$H304,$T$4:$Y$25,6,FALSE)</f>
        <v>EPS</v>
      </c>
      <c r="N304" s="70">
        <v>0</v>
      </c>
      <c r="O304" s="125">
        <v>1.07</v>
      </c>
      <c r="P304" s="126">
        <v>0.36041666666666666</v>
      </c>
      <c r="Q304" s="334" t="s">
        <v>574</v>
      </c>
    </row>
    <row r="305" spans="2:17" x14ac:dyDescent="0.25">
      <c r="B305">
        <f>WEEKNUM(BSURTIDOR[[#This Row],[FECHA]])</f>
        <v>7</v>
      </c>
      <c r="C305">
        <f>MONTH(BSURTIDOR[[#This Row],[FECHA]])</f>
        <v>2</v>
      </c>
      <c r="D305">
        <f>YEAR(BSURTIDOR[[#This Row],[FECHA]])</f>
        <v>2026</v>
      </c>
      <c r="E305" s="124">
        <v>46064</v>
      </c>
      <c r="F305" s="329" t="s">
        <v>548</v>
      </c>
      <c r="G305" s="123">
        <v>5</v>
      </c>
      <c r="H305" s="123" t="s">
        <v>90</v>
      </c>
      <c r="I305" s="101" t="str">
        <f>VLOOKUP(BDsurtidor!$H305,$T$4:$W$18,2,FALSE)</f>
        <v>CISTERNA</v>
      </c>
      <c r="J305" s="101">
        <f>VLOOKUP(BDsurtidor!$H305,$T$4:$W$25,3,FALSE)</f>
        <v>5000</v>
      </c>
      <c r="K305" s="101">
        <f>VLOOKUP(BDsurtidor!$H305,$T$4:$W$25,4,FALSE)</f>
        <v>17</v>
      </c>
      <c r="L305" s="101">
        <f>VLOOKUP(BDsurtidor!$H305,$T$4:$X$25,5,FALSE)</f>
        <v>0.4</v>
      </c>
      <c r="M305" s="101" t="str">
        <f>VLOOKUP(BDsurtidor!$H305,$T$4:$Y$25,6,FALSE)</f>
        <v>EPS</v>
      </c>
      <c r="N305" s="327">
        <v>0</v>
      </c>
      <c r="O305" s="125">
        <v>1.02</v>
      </c>
      <c r="P305" s="126">
        <v>0.47222222222222221</v>
      </c>
      <c r="Q305" s="334" t="s">
        <v>574</v>
      </c>
    </row>
    <row r="306" spans="2:17" x14ac:dyDescent="0.25">
      <c r="B306">
        <f>WEEKNUM(BSURTIDOR[[#This Row],[FECHA]])</f>
        <v>7</v>
      </c>
      <c r="C306">
        <f>MONTH(BSURTIDOR[[#This Row],[FECHA]])</f>
        <v>2</v>
      </c>
      <c r="D306">
        <f>YEAR(BSURTIDOR[[#This Row],[FECHA]])</f>
        <v>2026</v>
      </c>
      <c r="E306" s="124">
        <v>46064</v>
      </c>
      <c r="F306" s="329" t="s">
        <v>548</v>
      </c>
      <c r="G306" s="123">
        <v>6</v>
      </c>
      <c r="H306" s="123" t="s">
        <v>89</v>
      </c>
      <c r="I306" s="101" t="str">
        <f>VLOOKUP(BDsurtidor!$H306,$T$4:$W$18,2,FALSE)</f>
        <v>CISTERNA</v>
      </c>
      <c r="J306" s="101">
        <f>VLOOKUP(BDsurtidor!$H306,$T$4:$W$25,3,FALSE)</f>
        <v>9000</v>
      </c>
      <c r="K306" s="101">
        <f>VLOOKUP(BDsurtidor!$H306,$T$4:$W$25,4,FALSE)</f>
        <v>34</v>
      </c>
      <c r="L306" s="101">
        <f>VLOOKUP(BDsurtidor!$H306,$T$4:$X$25,5,FALSE)</f>
        <v>0.45</v>
      </c>
      <c r="M306" s="101" t="str">
        <f>VLOOKUP(BDsurtidor!$H306,$T$4:$Y$25,6,FALSE)</f>
        <v>VIVIENDA</v>
      </c>
      <c r="N306" s="70">
        <v>0</v>
      </c>
      <c r="O306" s="125">
        <v>1.06</v>
      </c>
      <c r="P306" s="126">
        <v>0.50138888888888888</v>
      </c>
      <c r="Q306" s="334" t="s">
        <v>574</v>
      </c>
    </row>
    <row r="307" spans="2:17" x14ac:dyDescent="0.25">
      <c r="B307">
        <f>WEEKNUM(BSURTIDOR[[#This Row],[FECHA]])</f>
        <v>7</v>
      </c>
      <c r="C307">
        <f>MONTH(BSURTIDOR[[#This Row],[FECHA]])</f>
        <v>2</v>
      </c>
      <c r="D307">
        <f>YEAR(BSURTIDOR[[#This Row],[FECHA]])</f>
        <v>2026</v>
      </c>
      <c r="E307" s="124">
        <v>46064</v>
      </c>
      <c r="F307" s="329" t="s">
        <v>548</v>
      </c>
      <c r="G307" s="123">
        <v>7</v>
      </c>
      <c r="H307" s="123" t="s">
        <v>99</v>
      </c>
      <c r="I307" s="101" t="str">
        <f>VLOOKUP(BDsurtidor!$H307,$T$4:$W$18,2,FALSE)</f>
        <v>CISTERNA</v>
      </c>
      <c r="J307" s="101">
        <f>VLOOKUP(BDsurtidor!$H307,$T$4:$W$25,3,FALSE)</f>
        <v>5000</v>
      </c>
      <c r="K307" s="101">
        <f>VLOOKUP(BDsurtidor!$H307,$T$4:$W$25,4,FALSE)</f>
        <v>17</v>
      </c>
      <c r="L307" s="101">
        <f>VLOOKUP(BDsurtidor!$H307,$T$4:$X$25,5,FALSE)</f>
        <v>0.4</v>
      </c>
      <c r="M307" s="101" t="str">
        <f>VLOOKUP(BDsurtidor!$H307,$T$4:$Y$25,6,FALSE)</f>
        <v>EPS</v>
      </c>
      <c r="N307" s="327">
        <v>0</v>
      </c>
      <c r="O307" s="125">
        <v>1.1299999999999999</v>
      </c>
      <c r="P307" s="126">
        <v>0.53888888888888886</v>
      </c>
      <c r="Q307" s="334" t="s">
        <v>574</v>
      </c>
    </row>
    <row r="308" spans="2:17" x14ac:dyDescent="0.25">
      <c r="B308">
        <f>WEEKNUM(BSURTIDOR[[#This Row],[FECHA]])</f>
        <v>7</v>
      </c>
      <c r="C308">
        <f>MONTH(BSURTIDOR[[#This Row],[FECHA]])</f>
        <v>2</v>
      </c>
      <c r="D308">
        <f>YEAR(BSURTIDOR[[#This Row],[FECHA]])</f>
        <v>2026</v>
      </c>
      <c r="E308" s="124">
        <v>46065</v>
      </c>
      <c r="F308" s="329" t="s">
        <v>548</v>
      </c>
      <c r="G308" s="123">
        <v>1</v>
      </c>
      <c r="H308" s="123" t="s">
        <v>558</v>
      </c>
      <c r="I308" s="101" t="str">
        <f>VLOOKUP(BDsurtidor!$H308,$T$4:$W$18,2,FALSE)</f>
        <v>HIDROJET</v>
      </c>
      <c r="J308" s="101">
        <f>VLOOKUP(BDsurtidor!$H308,$T$4:$W$25,3,FALSE)</f>
        <v>1000</v>
      </c>
      <c r="K308" s="101">
        <f>VLOOKUP(BDsurtidor!$H308,$T$4:$W$25,4,FALSE)</f>
        <v>1</v>
      </c>
      <c r="L308" s="101">
        <f>VLOOKUP(BDsurtidor!$H308,$T$4:$X$25,5,FALSE)</f>
        <v>0</v>
      </c>
      <c r="M308" s="101" t="str">
        <f>VLOOKUP(BDsurtidor!$H308,$T$4:$Y$25,6,FALSE)</f>
        <v>EPS</v>
      </c>
      <c r="N308" s="70">
        <v>0</v>
      </c>
      <c r="O308" s="125">
        <v>0</v>
      </c>
      <c r="P308" s="126">
        <v>0.30694444444444446</v>
      </c>
      <c r="Q308" s="334" t="s">
        <v>574</v>
      </c>
    </row>
    <row r="309" spans="2:17" x14ac:dyDescent="0.25">
      <c r="B309">
        <f>WEEKNUM(BSURTIDOR[[#This Row],[FECHA]])</f>
        <v>7</v>
      </c>
      <c r="C309">
        <f>MONTH(BSURTIDOR[[#This Row],[FECHA]])</f>
        <v>2</v>
      </c>
      <c r="D309">
        <f>YEAR(BSURTIDOR[[#This Row],[FECHA]])</f>
        <v>2026</v>
      </c>
      <c r="E309" s="124">
        <v>46065</v>
      </c>
      <c r="F309" s="329" t="s">
        <v>548</v>
      </c>
      <c r="G309" s="123">
        <v>2</v>
      </c>
      <c r="H309" s="123" t="s">
        <v>89</v>
      </c>
      <c r="I309" s="101" t="str">
        <f>VLOOKUP(BDsurtidor!$H309,$T$4:$W$18,2,FALSE)</f>
        <v>CISTERNA</v>
      </c>
      <c r="J309" s="101">
        <f>VLOOKUP(BDsurtidor!$H309,$T$4:$W$25,3,FALSE)</f>
        <v>9000</v>
      </c>
      <c r="K309" s="101">
        <f>VLOOKUP(BDsurtidor!$H309,$T$4:$W$25,4,FALSE)</f>
        <v>34</v>
      </c>
      <c r="L309" s="101">
        <f>VLOOKUP(BDsurtidor!$H309,$T$4:$X$25,5,FALSE)</f>
        <v>0.45</v>
      </c>
      <c r="M309" s="101" t="str">
        <f>VLOOKUP(BDsurtidor!$H309,$T$4:$Y$25,6,FALSE)</f>
        <v>VIVIENDA</v>
      </c>
      <c r="N309" s="327">
        <v>0</v>
      </c>
      <c r="O309" s="125">
        <v>1.08</v>
      </c>
      <c r="P309" s="126">
        <v>0.31944444444444442</v>
      </c>
      <c r="Q309" s="334" t="s">
        <v>574</v>
      </c>
    </row>
    <row r="310" spans="2:17" x14ac:dyDescent="0.25">
      <c r="B310">
        <f>WEEKNUM(BSURTIDOR[[#This Row],[FECHA]])</f>
        <v>7</v>
      </c>
      <c r="C310">
        <f>MONTH(BSURTIDOR[[#This Row],[FECHA]])</f>
        <v>2</v>
      </c>
      <c r="D310">
        <f>YEAR(BSURTIDOR[[#This Row],[FECHA]])</f>
        <v>2026</v>
      </c>
      <c r="E310" s="124">
        <v>46065</v>
      </c>
      <c r="F310" s="329" t="s">
        <v>548</v>
      </c>
      <c r="G310" s="123">
        <v>3</v>
      </c>
      <c r="H310" s="123" t="s">
        <v>99</v>
      </c>
      <c r="I310" s="101" t="str">
        <f>VLOOKUP(BDsurtidor!$H310,$T$4:$W$18,2,FALSE)</f>
        <v>CISTERNA</v>
      </c>
      <c r="J310" s="101">
        <f>VLOOKUP(BDsurtidor!$H310,$T$4:$W$25,3,FALSE)</f>
        <v>5000</v>
      </c>
      <c r="K310" s="101">
        <f>VLOOKUP(BDsurtidor!$H310,$T$4:$W$25,4,FALSE)</f>
        <v>17</v>
      </c>
      <c r="L310" s="101">
        <f>VLOOKUP(BDsurtidor!$H310,$T$4:$X$25,5,FALSE)</f>
        <v>0.4</v>
      </c>
      <c r="M310" s="101" t="str">
        <f>VLOOKUP(BDsurtidor!$H310,$T$4:$Y$25,6,FALSE)</f>
        <v>EPS</v>
      </c>
      <c r="N310" s="70">
        <v>0</v>
      </c>
      <c r="O310" s="125">
        <v>1.05</v>
      </c>
      <c r="P310" s="126">
        <v>0.3263888888888889</v>
      </c>
      <c r="Q310" s="334" t="s">
        <v>574</v>
      </c>
    </row>
    <row r="311" spans="2:17" x14ac:dyDescent="0.25">
      <c r="B311">
        <f>WEEKNUM(BSURTIDOR[[#This Row],[FECHA]])</f>
        <v>7</v>
      </c>
      <c r="C311">
        <f>MONTH(BSURTIDOR[[#This Row],[FECHA]])</f>
        <v>2</v>
      </c>
      <c r="D311">
        <f>YEAR(BSURTIDOR[[#This Row],[FECHA]])</f>
        <v>2026</v>
      </c>
      <c r="E311" s="124">
        <v>46065</v>
      </c>
      <c r="F311" s="329" t="s">
        <v>548</v>
      </c>
      <c r="G311" s="123">
        <v>4</v>
      </c>
      <c r="H311" s="123" t="s">
        <v>90</v>
      </c>
      <c r="I311" s="101" t="str">
        <f>VLOOKUP(BDsurtidor!$H311,$T$4:$W$18,2,FALSE)</f>
        <v>CISTERNA</v>
      </c>
      <c r="J311" s="101">
        <f>VLOOKUP(BDsurtidor!$H311,$T$4:$W$25,3,FALSE)</f>
        <v>5000</v>
      </c>
      <c r="K311" s="101">
        <f>VLOOKUP(BDsurtidor!$H311,$T$4:$W$25,4,FALSE)</f>
        <v>17</v>
      </c>
      <c r="L311" s="101">
        <f>VLOOKUP(BDsurtidor!$H311,$T$4:$X$25,5,FALSE)</f>
        <v>0.4</v>
      </c>
      <c r="M311" s="101" t="str">
        <f>VLOOKUP(BDsurtidor!$H311,$T$4:$Y$25,6,FALSE)</f>
        <v>EPS</v>
      </c>
      <c r="N311" s="327">
        <v>0</v>
      </c>
      <c r="O311" s="125">
        <v>1</v>
      </c>
      <c r="P311" s="126">
        <v>0.33194444444444443</v>
      </c>
      <c r="Q311" s="334" t="s">
        <v>574</v>
      </c>
    </row>
    <row r="312" spans="2:17" x14ac:dyDescent="0.25">
      <c r="B312">
        <f>WEEKNUM(BSURTIDOR[[#This Row],[FECHA]])</f>
        <v>7</v>
      </c>
      <c r="C312">
        <f>MONTH(BSURTIDOR[[#This Row],[FECHA]])</f>
        <v>2</v>
      </c>
      <c r="D312">
        <f>YEAR(BSURTIDOR[[#This Row],[FECHA]])</f>
        <v>2026</v>
      </c>
      <c r="E312" s="124">
        <v>46065</v>
      </c>
      <c r="F312" s="329" t="s">
        <v>548</v>
      </c>
      <c r="G312" s="123">
        <v>5</v>
      </c>
      <c r="H312" s="123" t="s">
        <v>87</v>
      </c>
      <c r="I312" s="101" t="str">
        <f>VLOOKUP(BDsurtidor!$H312,$T$4:$W$18,2,FALSE)</f>
        <v>CISTERNA</v>
      </c>
      <c r="J312" s="101">
        <f>VLOOKUP(BDsurtidor!$H312,$T$4:$W$25,3,FALSE)</f>
        <v>5000</v>
      </c>
      <c r="K312" s="101">
        <f>VLOOKUP(BDsurtidor!$H312,$T$4:$W$25,4,FALSE)</f>
        <v>17</v>
      </c>
      <c r="L312" s="101">
        <f>VLOOKUP(BDsurtidor!$H312,$T$4:$X$25,5,FALSE)</f>
        <v>0.4</v>
      </c>
      <c r="M312" s="101" t="str">
        <f>VLOOKUP(BDsurtidor!$H312,$T$4:$Y$25,6,FALSE)</f>
        <v>EPS</v>
      </c>
      <c r="N312" s="70">
        <v>0</v>
      </c>
      <c r="O312" s="125">
        <v>1.07</v>
      </c>
      <c r="P312" s="126">
        <v>0.33888888888888891</v>
      </c>
      <c r="Q312" s="334" t="s">
        <v>574</v>
      </c>
    </row>
    <row r="313" spans="2:17" x14ac:dyDescent="0.25">
      <c r="B313">
        <f>WEEKNUM(BSURTIDOR[[#This Row],[FECHA]])</f>
        <v>7</v>
      </c>
      <c r="C313">
        <f>MONTH(BSURTIDOR[[#This Row],[FECHA]])</f>
        <v>2</v>
      </c>
      <c r="D313">
        <f>YEAR(BSURTIDOR[[#This Row],[FECHA]])</f>
        <v>2026</v>
      </c>
      <c r="E313" s="124">
        <v>46065</v>
      </c>
      <c r="F313" s="329" t="s">
        <v>548</v>
      </c>
      <c r="G313" s="123">
        <v>6</v>
      </c>
      <c r="H313" s="123" t="s">
        <v>90</v>
      </c>
      <c r="I313" s="101" t="str">
        <f>VLOOKUP(BDsurtidor!$H313,$T$4:$W$18,2,FALSE)</f>
        <v>CISTERNA</v>
      </c>
      <c r="J313" s="101">
        <f>VLOOKUP(BDsurtidor!$H313,$T$4:$W$25,3,FALSE)</f>
        <v>5000</v>
      </c>
      <c r="K313" s="101">
        <f>VLOOKUP(BDsurtidor!$H313,$T$4:$W$25,4,FALSE)</f>
        <v>17</v>
      </c>
      <c r="L313" s="101">
        <f>VLOOKUP(BDsurtidor!$H313,$T$4:$X$25,5,FALSE)</f>
        <v>0.4</v>
      </c>
      <c r="M313" s="101" t="str">
        <f>VLOOKUP(BDsurtidor!$H313,$T$4:$Y$25,6,FALSE)</f>
        <v>EPS</v>
      </c>
      <c r="N313" s="327">
        <v>0</v>
      </c>
      <c r="O313" s="125">
        <v>1.02</v>
      </c>
      <c r="P313" s="126">
        <v>0.4284722222222222</v>
      </c>
      <c r="Q313" s="334" t="s">
        <v>574</v>
      </c>
    </row>
    <row r="314" spans="2:17" x14ac:dyDescent="0.25">
      <c r="B314">
        <f>WEEKNUM(BSURTIDOR[[#This Row],[FECHA]])</f>
        <v>7</v>
      </c>
      <c r="C314">
        <f>MONTH(BSURTIDOR[[#This Row],[FECHA]])</f>
        <v>2</v>
      </c>
      <c r="D314">
        <f>YEAR(BSURTIDOR[[#This Row],[FECHA]])</f>
        <v>2026</v>
      </c>
      <c r="E314" s="124">
        <v>46065</v>
      </c>
      <c r="F314" s="329" t="s">
        <v>548</v>
      </c>
      <c r="G314" s="123">
        <v>7</v>
      </c>
      <c r="H314" s="123" t="s">
        <v>87</v>
      </c>
      <c r="I314" s="101" t="str">
        <f>VLOOKUP(BDsurtidor!$H314,$T$4:$W$18,2,FALSE)</f>
        <v>CISTERNA</v>
      </c>
      <c r="J314" s="101">
        <f>VLOOKUP(BDsurtidor!$H314,$T$4:$W$25,3,FALSE)</f>
        <v>5000</v>
      </c>
      <c r="K314" s="101">
        <f>VLOOKUP(BDsurtidor!$H314,$T$4:$W$25,4,FALSE)</f>
        <v>17</v>
      </c>
      <c r="L314" s="101">
        <f>VLOOKUP(BDsurtidor!$H314,$T$4:$X$25,5,FALSE)</f>
        <v>0.4</v>
      </c>
      <c r="M314" s="101" t="str">
        <f>VLOOKUP(BDsurtidor!$H314,$T$4:$Y$25,6,FALSE)</f>
        <v>EPS</v>
      </c>
      <c r="N314" s="70">
        <v>0</v>
      </c>
      <c r="O314" s="125">
        <v>1.1299999999999999</v>
      </c>
      <c r="P314" s="126">
        <v>0.43888888888888888</v>
      </c>
      <c r="Q314" s="334" t="s">
        <v>574</v>
      </c>
    </row>
    <row r="315" spans="2:17" x14ac:dyDescent="0.25">
      <c r="B315">
        <f>WEEKNUM(BSURTIDOR[[#This Row],[FECHA]])</f>
        <v>7</v>
      </c>
      <c r="C315">
        <f>MONTH(BSURTIDOR[[#This Row],[FECHA]])</f>
        <v>2</v>
      </c>
      <c r="D315">
        <f>YEAR(BSURTIDOR[[#This Row],[FECHA]])</f>
        <v>2026</v>
      </c>
      <c r="E315" s="124">
        <v>46065</v>
      </c>
      <c r="F315" s="329" t="s">
        <v>548</v>
      </c>
      <c r="G315" s="123">
        <v>8</v>
      </c>
      <c r="H315" s="123" t="s">
        <v>89</v>
      </c>
      <c r="I315" s="101" t="str">
        <f>VLOOKUP(BDsurtidor!$H315,$T$4:$W$18,2,FALSE)</f>
        <v>CISTERNA</v>
      </c>
      <c r="J315" s="101">
        <f>VLOOKUP(BDsurtidor!$H315,$T$4:$W$25,3,FALSE)</f>
        <v>9000</v>
      </c>
      <c r="K315" s="101">
        <f>VLOOKUP(BDsurtidor!$H315,$T$4:$W$25,4,FALSE)</f>
        <v>34</v>
      </c>
      <c r="L315" s="101">
        <f>VLOOKUP(BDsurtidor!$H315,$T$4:$X$25,5,FALSE)</f>
        <v>0.45</v>
      </c>
      <c r="M315" s="101" t="str">
        <f>VLOOKUP(BDsurtidor!$H315,$T$4:$Y$25,6,FALSE)</f>
        <v>VIVIENDA</v>
      </c>
      <c r="N315" s="327">
        <v>0</v>
      </c>
      <c r="O315" s="125">
        <v>1.1100000000000001</v>
      </c>
      <c r="P315" s="126">
        <v>0.53819444444444442</v>
      </c>
      <c r="Q315" s="334" t="s">
        <v>574</v>
      </c>
    </row>
    <row r="316" spans="2:17" x14ac:dyDescent="0.25">
      <c r="B316">
        <f>WEEKNUM(BSURTIDOR[[#This Row],[FECHA]])</f>
        <v>7</v>
      </c>
      <c r="C316">
        <f>MONTH(BSURTIDOR[[#This Row],[FECHA]])</f>
        <v>2</v>
      </c>
      <c r="D316">
        <f>YEAR(BSURTIDOR[[#This Row],[FECHA]])</f>
        <v>2026</v>
      </c>
      <c r="E316" s="124">
        <v>46066</v>
      </c>
      <c r="F316" s="329" t="s">
        <v>548</v>
      </c>
      <c r="G316" s="123">
        <v>1</v>
      </c>
      <c r="H316" s="123" t="s">
        <v>99</v>
      </c>
      <c r="I316" s="101" t="str">
        <f>VLOOKUP(BDsurtidor!$H316,$T$4:$W$18,2,FALSE)</f>
        <v>CISTERNA</v>
      </c>
      <c r="J316" s="101">
        <f>VLOOKUP(BDsurtidor!$H316,$T$4:$W$25,3,FALSE)</f>
        <v>5000</v>
      </c>
      <c r="K316" s="101">
        <f>VLOOKUP(BDsurtidor!$H316,$T$4:$W$25,4,FALSE)</f>
        <v>17</v>
      </c>
      <c r="L316" s="101">
        <f>VLOOKUP(BDsurtidor!$H316,$T$4:$X$25,5,FALSE)</f>
        <v>0.4</v>
      </c>
      <c r="M316" s="101" t="str">
        <f>VLOOKUP(BDsurtidor!$H316,$T$4:$Y$25,6,FALSE)</f>
        <v>EPS</v>
      </c>
      <c r="N316" s="70">
        <v>0</v>
      </c>
      <c r="O316" s="125">
        <v>1</v>
      </c>
      <c r="P316" s="126">
        <v>0.30208333333333331</v>
      </c>
      <c r="Q316" s="334" t="s">
        <v>574</v>
      </c>
    </row>
    <row r="317" spans="2:17" x14ac:dyDescent="0.25">
      <c r="B317">
        <f>WEEKNUM(BSURTIDOR[[#This Row],[FECHA]])</f>
        <v>7</v>
      </c>
      <c r="C317">
        <f>MONTH(BSURTIDOR[[#This Row],[FECHA]])</f>
        <v>2</v>
      </c>
      <c r="D317">
        <f>YEAR(BSURTIDOR[[#This Row],[FECHA]])</f>
        <v>2026</v>
      </c>
      <c r="E317" s="124">
        <v>46066</v>
      </c>
      <c r="F317" s="329" t="s">
        <v>548</v>
      </c>
      <c r="G317" s="123">
        <v>2</v>
      </c>
      <c r="H317" s="123" t="s">
        <v>89</v>
      </c>
      <c r="I317" s="101" t="str">
        <f>VLOOKUP(BDsurtidor!$H317,$T$4:$W$18,2,FALSE)</f>
        <v>CISTERNA</v>
      </c>
      <c r="J317" s="101">
        <f>VLOOKUP(BDsurtidor!$H317,$T$4:$W$25,3,FALSE)</f>
        <v>9000</v>
      </c>
      <c r="K317" s="101">
        <f>VLOOKUP(BDsurtidor!$H317,$T$4:$W$25,4,FALSE)</f>
        <v>34</v>
      </c>
      <c r="L317" s="101">
        <f>VLOOKUP(BDsurtidor!$H317,$T$4:$X$25,5,FALSE)</f>
        <v>0.45</v>
      </c>
      <c r="M317" s="101" t="str">
        <f>VLOOKUP(BDsurtidor!$H317,$T$4:$Y$25,6,FALSE)</f>
        <v>VIVIENDA</v>
      </c>
      <c r="N317" s="327">
        <v>0</v>
      </c>
      <c r="O317" s="125">
        <v>1.04</v>
      </c>
      <c r="P317" s="126">
        <v>0.30972222222222223</v>
      </c>
      <c r="Q317" s="334" t="s">
        <v>574</v>
      </c>
    </row>
    <row r="318" spans="2:17" x14ac:dyDescent="0.25">
      <c r="B318">
        <f>WEEKNUM(BSURTIDOR[[#This Row],[FECHA]])</f>
        <v>7</v>
      </c>
      <c r="C318">
        <f>MONTH(BSURTIDOR[[#This Row],[FECHA]])</f>
        <v>2</v>
      </c>
      <c r="D318">
        <f>YEAR(BSURTIDOR[[#This Row],[FECHA]])</f>
        <v>2026</v>
      </c>
      <c r="E318" s="124">
        <v>46066</v>
      </c>
      <c r="F318" s="329" t="s">
        <v>548</v>
      </c>
      <c r="G318" s="123">
        <v>3</v>
      </c>
      <c r="H318" s="123" t="s">
        <v>90</v>
      </c>
      <c r="I318" s="101" t="str">
        <f>VLOOKUP(BDsurtidor!$H318,$T$4:$W$18,2,FALSE)</f>
        <v>CISTERNA</v>
      </c>
      <c r="J318" s="101">
        <f>VLOOKUP(BDsurtidor!$H318,$T$4:$W$25,3,FALSE)</f>
        <v>5000</v>
      </c>
      <c r="K318" s="101">
        <f>VLOOKUP(BDsurtidor!$H318,$T$4:$W$25,4,FALSE)</f>
        <v>17</v>
      </c>
      <c r="L318" s="101">
        <f>VLOOKUP(BDsurtidor!$H318,$T$4:$X$25,5,FALSE)</f>
        <v>0.4</v>
      </c>
      <c r="M318" s="101" t="str">
        <f>VLOOKUP(BDsurtidor!$H318,$T$4:$Y$25,6,FALSE)</f>
        <v>EPS</v>
      </c>
      <c r="N318" s="70">
        <v>0</v>
      </c>
      <c r="O318" s="125">
        <v>1.02</v>
      </c>
      <c r="P318" s="126">
        <v>0.31597222222222221</v>
      </c>
      <c r="Q318" s="334" t="s">
        <v>574</v>
      </c>
    </row>
    <row r="319" spans="2:17" x14ac:dyDescent="0.25">
      <c r="B319">
        <f>WEEKNUM(BSURTIDOR[[#This Row],[FECHA]])</f>
        <v>7</v>
      </c>
      <c r="C319">
        <f>MONTH(BSURTIDOR[[#This Row],[FECHA]])</f>
        <v>2</v>
      </c>
      <c r="D319">
        <f>YEAR(BSURTIDOR[[#This Row],[FECHA]])</f>
        <v>2026</v>
      </c>
      <c r="E319" s="124">
        <v>46066</v>
      </c>
      <c r="F319" s="329" t="s">
        <v>548</v>
      </c>
      <c r="G319" s="123">
        <v>4</v>
      </c>
      <c r="H319" s="123" t="s">
        <v>87</v>
      </c>
      <c r="I319" s="101" t="str">
        <f>VLOOKUP(BDsurtidor!$H319,$T$4:$W$18,2,FALSE)</f>
        <v>CISTERNA</v>
      </c>
      <c r="J319" s="39">
        <f>VLOOKUP(BDsurtidor!$H319,$T$4:$W$25,3,FALSE)</f>
        <v>5000</v>
      </c>
      <c r="K319" s="101">
        <f>VLOOKUP(BDsurtidor!$H319,$T$4:$W$25,4,FALSE)</f>
        <v>17</v>
      </c>
      <c r="L319" s="101">
        <f>VLOOKUP(BDsurtidor!$H319,$T$4:$X$25,5,FALSE)</f>
        <v>0.4</v>
      </c>
      <c r="M319" s="101" t="str">
        <f>VLOOKUP(BDsurtidor!$H319,$T$4:$Y$25,6,FALSE)</f>
        <v>EPS</v>
      </c>
      <c r="N319" s="327">
        <v>0</v>
      </c>
      <c r="O319" s="125">
        <v>1.1299999999999999</v>
      </c>
      <c r="P319" s="126">
        <v>0.32222222222222224</v>
      </c>
      <c r="Q319" s="334" t="s">
        <v>574</v>
      </c>
    </row>
    <row r="320" spans="2:17" x14ac:dyDescent="0.25">
      <c r="B320">
        <f>WEEKNUM(BSURTIDOR[[#This Row],[FECHA]])</f>
        <v>7</v>
      </c>
      <c r="C320">
        <f>MONTH(BSURTIDOR[[#This Row],[FECHA]])</f>
        <v>2</v>
      </c>
      <c r="D320">
        <f>YEAR(BSURTIDOR[[#This Row],[FECHA]])</f>
        <v>2026</v>
      </c>
      <c r="E320" s="124">
        <v>46066</v>
      </c>
      <c r="F320" s="329" t="s">
        <v>548</v>
      </c>
      <c r="G320" s="123">
        <v>5</v>
      </c>
      <c r="H320" s="123" t="s">
        <v>558</v>
      </c>
      <c r="I320" s="101" t="str">
        <f>VLOOKUP(BDsurtidor!$H320,$T$4:$W$18,2,FALSE)</f>
        <v>HIDROJET</v>
      </c>
      <c r="J320" s="101">
        <f>VLOOKUP(BDsurtidor!$H320,$T$4:$W$25,3,FALSE)</f>
        <v>1000</v>
      </c>
      <c r="K320" s="101">
        <f>VLOOKUP(BDsurtidor!$H320,$T$4:$W$25,4,FALSE)</f>
        <v>1</v>
      </c>
      <c r="L320" s="101">
        <f>VLOOKUP(BDsurtidor!$H320,$T$4:$X$25,5,FALSE)</f>
        <v>0</v>
      </c>
      <c r="M320" s="101" t="str">
        <f>VLOOKUP(BDsurtidor!$H320,$T$4:$Y$25,6,FALSE)</f>
        <v>EPS</v>
      </c>
      <c r="N320" s="70">
        <v>0</v>
      </c>
      <c r="O320" s="125">
        <v>0</v>
      </c>
      <c r="P320" s="126">
        <v>0.33402777777777776</v>
      </c>
      <c r="Q320" s="334" t="s">
        <v>574</v>
      </c>
    </row>
    <row r="321" spans="2:17" x14ac:dyDescent="0.25">
      <c r="B321">
        <f>WEEKNUM(BSURTIDOR[[#This Row],[FECHA]])</f>
        <v>7</v>
      </c>
      <c r="C321">
        <f>MONTH(BSURTIDOR[[#This Row],[FECHA]])</f>
        <v>2</v>
      </c>
      <c r="D321">
        <f>YEAR(BSURTIDOR[[#This Row],[FECHA]])</f>
        <v>2026</v>
      </c>
      <c r="E321" s="124">
        <v>46066</v>
      </c>
      <c r="F321" s="329" t="s">
        <v>548</v>
      </c>
      <c r="G321" s="123">
        <v>6</v>
      </c>
      <c r="H321" s="123" t="s">
        <v>99</v>
      </c>
      <c r="I321" s="101" t="str">
        <f>VLOOKUP(BDsurtidor!$H321,$T$4:$W$18,2,FALSE)</f>
        <v>CISTERNA</v>
      </c>
      <c r="J321" s="101">
        <f>VLOOKUP(BDsurtidor!$H321,$T$4:$W$25,3,FALSE)</f>
        <v>5000</v>
      </c>
      <c r="K321" s="101">
        <f>VLOOKUP(BDsurtidor!$H321,$T$4:$W$25,4,FALSE)</f>
        <v>17</v>
      </c>
      <c r="L321" s="101">
        <f>VLOOKUP(BDsurtidor!$H321,$T$4:$X$25,5,FALSE)</f>
        <v>0.4</v>
      </c>
      <c r="M321" s="101" t="str">
        <f>VLOOKUP(BDsurtidor!$H321,$T$4:$Y$25,6,FALSE)</f>
        <v>EPS</v>
      </c>
      <c r="N321" s="327">
        <v>0</v>
      </c>
      <c r="O321" s="125">
        <v>1.05</v>
      </c>
      <c r="P321" s="126">
        <v>0.39583333333333331</v>
      </c>
      <c r="Q321" s="334" t="s">
        <v>574</v>
      </c>
    </row>
    <row r="322" spans="2:17" x14ac:dyDescent="0.25">
      <c r="B322">
        <f>WEEKNUM(BSURTIDOR[[#This Row],[FECHA]])</f>
        <v>7</v>
      </c>
      <c r="C322">
        <f>MONTH(BSURTIDOR[[#This Row],[FECHA]])</f>
        <v>2</v>
      </c>
      <c r="D322">
        <f>YEAR(BSURTIDOR[[#This Row],[FECHA]])</f>
        <v>2026</v>
      </c>
      <c r="E322" s="124">
        <v>46066</v>
      </c>
      <c r="F322" s="329" t="s">
        <v>548</v>
      </c>
      <c r="G322" s="123">
        <v>7</v>
      </c>
      <c r="H322" s="123" t="s">
        <v>87</v>
      </c>
      <c r="I322" s="101" t="str">
        <f>VLOOKUP(BDsurtidor!$H322,$T$4:$W$18,2,FALSE)</f>
        <v>CISTERNA</v>
      </c>
      <c r="J322" s="39">
        <f>VLOOKUP(BDsurtidor!$H322,$T$4:$W$25,3,FALSE)</f>
        <v>5000</v>
      </c>
      <c r="K322" s="101">
        <f>VLOOKUP(BDsurtidor!$H322,$T$4:$W$25,4,FALSE)</f>
        <v>17</v>
      </c>
      <c r="L322" s="101">
        <f>VLOOKUP(BDsurtidor!$H322,$T$4:$X$25,5,FALSE)</f>
        <v>0.4</v>
      </c>
      <c r="M322" s="101" t="str">
        <f>VLOOKUP(BDsurtidor!$H322,$T$4:$Y$25,6,FALSE)</f>
        <v>EPS</v>
      </c>
      <c r="N322" s="70">
        <v>0</v>
      </c>
      <c r="O322" s="125">
        <v>1.1000000000000001</v>
      </c>
      <c r="P322" s="126">
        <v>0.41180555555555554</v>
      </c>
      <c r="Q322" s="334" t="s">
        <v>574</v>
      </c>
    </row>
    <row r="323" spans="2:17" x14ac:dyDescent="0.25">
      <c r="B323">
        <f>WEEKNUM(BSURTIDOR[[#This Row],[FECHA]])</f>
        <v>7</v>
      </c>
      <c r="C323">
        <f>MONTH(BSURTIDOR[[#This Row],[FECHA]])</f>
        <v>2</v>
      </c>
      <c r="D323">
        <f>YEAR(BSURTIDOR[[#This Row],[FECHA]])</f>
        <v>2026</v>
      </c>
      <c r="E323" s="124">
        <v>46066</v>
      </c>
      <c r="F323" s="329" t="s">
        <v>548</v>
      </c>
      <c r="G323" s="123">
        <v>8</v>
      </c>
      <c r="H323" s="123" t="s">
        <v>89</v>
      </c>
      <c r="I323" s="101" t="str">
        <f>VLOOKUP(BDsurtidor!$H323,$T$4:$W$18,2,FALSE)</f>
        <v>CISTERNA</v>
      </c>
      <c r="J323" s="39">
        <f>VLOOKUP(BDsurtidor!$H323,$T$4:$W$25,3,FALSE)</f>
        <v>9000</v>
      </c>
      <c r="K323" s="101">
        <f>VLOOKUP(BDsurtidor!$H323,$T$4:$W$25,4,FALSE)</f>
        <v>34</v>
      </c>
      <c r="L323" s="101">
        <f>VLOOKUP(BDsurtidor!$H323,$T$4:$X$25,5,FALSE)</f>
        <v>0.45</v>
      </c>
      <c r="M323" s="101" t="str">
        <f>VLOOKUP(BDsurtidor!$H323,$T$4:$Y$25,6,FALSE)</f>
        <v>VIVIENDA</v>
      </c>
      <c r="N323" s="327">
        <v>0</v>
      </c>
      <c r="O323" s="125">
        <v>1.1399999999999999</v>
      </c>
      <c r="P323" s="126">
        <v>0.42916666666666664</v>
      </c>
      <c r="Q323" s="334" t="s">
        <v>574</v>
      </c>
    </row>
    <row r="324" spans="2:17" x14ac:dyDescent="0.25">
      <c r="B324">
        <f>WEEKNUM(BSURTIDOR[[#This Row],[FECHA]])</f>
        <v>7</v>
      </c>
      <c r="C324">
        <f>MONTH(BSURTIDOR[[#This Row],[FECHA]])</f>
        <v>2</v>
      </c>
      <c r="D324">
        <f>YEAR(BSURTIDOR[[#This Row],[FECHA]])</f>
        <v>2026</v>
      </c>
      <c r="E324" s="124">
        <v>46066</v>
      </c>
      <c r="F324" s="329" t="s">
        <v>548</v>
      </c>
      <c r="G324" s="123">
        <v>9</v>
      </c>
      <c r="H324" s="123" t="s">
        <v>558</v>
      </c>
      <c r="I324" s="101" t="str">
        <f>VLOOKUP(BDsurtidor!$H324,$T$4:$W$18,2,FALSE)</f>
        <v>HIDROJET</v>
      </c>
      <c r="J324" s="39">
        <f>VLOOKUP(BDsurtidor!$H324,$T$4:$W$25,3,FALSE)</f>
        <v>1000</v>
      </c>
      <c r="K324" s="101">
        <f>VLOOKUP(BDsurtidor!$H324,$T$4:$W$25,4,FALSE)</f>
        <v>1</v>
      </c>
      <c r="L324" s="101">
        <f>VLOOKUP(BDsurtidor!$H324,$T$4:$X$25,5,FALSE)</f>
        <v>0</v>
      </c>
      <c r="M324" s="101" t="str">
        <f>VLOOKUP(BDsurtidor!$H324,$T$4:$Y$25,6,FALSE)</f>
        <v>EPS</v>
      </c>
      <c r="N324" s="70">
        <v>0</v>
      </c>
      <c r="O324" s="125">
        <v>0</v>
      </c>
      <c r="P324" s="126">
        <v>0.4375</v>
      </c>
      <c r="Q324" s="334" t="s">
        <v>574</v>
      </c>
    </row>
    <row r="325" spans="2:17" x14ac:dyDescent="0.25">
      <c r="B325">
        <f>WEEKNUM(BSURTIDOR[[#This Row],[FECHA]])</f>
        <v>7</v>
      </c>
      <c r="C325">
        <f>MONTH(BSURTIDOR[[#This Row],[FECHA]])</f>
        <v>2</v>
      </c>
      <c r="D325">
        <f>YEAR(BSURTIDOR[[#This Row],[FECHA]])</f>
        <v>2026</v>
      </c>
      <c r="E325" s="124">
        <v>46066</v>
      </c>
      <c r="F325" s="329" t="s">
        <v>548</v>
      </c>
      <c r="G325" s="123">
        <v>10</v>
      </c>
      <c r="H325" s="123" t="s">
        <v>90</v>
      </c>
      <c r="I325" s="101" t="str">
        <f>VLOOKUP(BDsurtidor!$H325,$T$4:$W$18,2,FALSE)</f>
        <v>CISTERNA</v>
      </c>
      <c r="J325" s="39">
        <f>VLOOKUP(BDsurtidor!$H325,$T$4:$W$25,3,FALSE)</f>
        <v>5000</v>
      </c>
      <c r="K325" s="101">
        <f>VLOOKUP(BDsurtidor!$H325,$T$4:$W$25,4,FALSE)</f>
        <v>17</v>
      </c>
      <c r="L325" s="101">
        <f>VLOOKUP(BDsurtidor!$H325,$T$4:$X$25,5,FALSE)</f>
        <v>0.4</v>
      </c>
      <c r="M325" s="101" t="str">
        <f>VLOOKUP(BDsurtidor!$H325,$T$4:$Y$25,6,FALSE)</f>
        <v>EPS</v>
      </c>
      <c r="N325" s="327">
        <v>0</v>
      </c>
      <c r="O325" s="125">
        <v>1.08</v>
      </c>
      <c r="P325" s="126">
        <v>0.45763888888888887</v>
      </c>
      <c r="Q325" s="334" t="s">
        <v>574</v>
      </c>
    </row>
    <row r="326" spans="2:17" x14ac:dyDescent="0.25">
      <c r="B326">
        <f>WEEKNUM(BSURTIDOR[[#This Row],[FECHA]])</f>
        <v>7</v>
      </c>
      <c r="C326">
        <f>MONTH(BSURTIDOR[[#This Row],[FECHA]])</f>
        <v>2</v>
      </c>
      <c r="D326">
        <f>YEAR(BSURTIDOR[[#This Row],[FECHA]])</f>
        <v>2026</v>
      </c>
      <c r="E326" s="124">
        <v>46066</v>
      </c>
      <c r="F326" s="329" t="s">
        <v>548</v>
      </c>
      <c r="G326" s="123">
        <v>11</v>
      </c>
      <c r="H326" s="123" t="s">
        <v>87</v>
      </c>
      <c r="I326" s="101" t="str">
        <f>VLOOKUP(BDsurtidor!$H326,$T$4:$W$18,2,FALSE)</f>
        <v>CISTERNA</v>
      </c>
      <c r="J326" s="39">
        <f>VLOOKUP(BDsurtidor!$H326,$T$4:$W$25,3,FALSE)</f>
        <v>5000</v>
      </c>
      <c r="K326" s="101">
        <f>VLOOKUP(BDsurtidor!$H326,$T$4:$W$25,4,FALSE)</f>
        <v>17</v>
      </c>
      <c r="L326" s="101">
        <f>VLOOKUP(BDsurtidor!$H326,$T$4:$X$25,5,FALSE)</f>
        <v>0.4</v>
      </c>
      <c r="M326" s="101" t="str">
        <f>VLOOKUP(BDsurtidor!$H326,$T$4:$Y$25,6,FALSE)</f>
        <v>EPS</v>
      </c>
      <c r="N326" s="70">
        <v>0</v>
      </c>
      <c r="O326" s="125">
        <v>1.1000000000000001</v>
      </c>
      <c r="P326" s="126">
        <v>0.51388888888888884</v>
      </c>
      <c r="Q326" s="334" t="s">
        <v>574</v>
      </c>
    </row>
    <row r="327" spans="2:17" x14ac:dyDescent="0.25">
      <c r="B327">
        <f>WEEKNUM(BSURTIDOR[[#This Row],[FECHA]])</f>
        <v>7</v>
      </c>
      <c r="C327">
        <f>MONTH(BSURTIDOR[[#This Row],[FECHA]])</f>
        <v>2</v>
      </c>
      <c r="D327">
        <f>YEAR(BSURTIDOR[[#This Row],[FECHA]])</f>
        <v>2026</v>
      </c>
      <c r="E327" s="124">
        <v>46066</v>
      </c>
      <c r="F327" s="329" t="s">
        <v>548</v>
      </c>
      <c r="G327" s="123">
        <v>12</v>
      </c>
      <c r="H327" s="123" t="s">
        <v>99</v>
      </c>
      <c r="I327" s="101" t="str">
        <f>VLOOKUP(BDsurtidor!$H327,$T$4:$W$18,2,FALSE)</f>
        <v>CISTERNA</v>
      </c>
      <c r="J327" s="101">
        <f>VLOOKUP(BDsurtidor!$H327,$T$4:$W$25,3,FALSE)</f>
        <v>5000</v>
      </c>
      <c r="K327" s="101">
        <f>VLOOKUP(BDsurtidor!$H327,$T$4:$W$25,4,FALSE)</f>
        <v>17</v>
      </c>
      <c r="L327" s="101">
        <f>VLOOKUP(BDsurtidor!$H327,$T$4:$X$25,5,FALSE)</f>
        <v>0.4</v>
      </c>
      <c r="M327" s="101" t="str">
        <f>VLOOKUP(BDsurtidor!$H327,$T$4:$Y$25,6,FALSE)</f>
        <v>EPS</v>
      </c>
      <c r="N327" s="327">
        <v>0</v>
      </c>
      <c r="O327" s="125">
        <v>1.05</v>
      </c>
      <c r="P327" s="126">
        <v>0.52777777777777779</v>
      </c>
      <c r="Q327" s="334" t="s">
        <v>574</v>
      </c>
    </row>
    <row r="328" spans="2:17" x14ac:dyDescent="0.25">
      <c r="B328">
        <f>WEEKNUM(BSURTIDOR[[#This Row],[FECHA]])</f>
        <v>7</v>
      </c>
      <c r="C328">
        <f>MONTH(BSURTIDOR[[#This Row],[FECHA]])</f>
        <v>2</v>
      </c>
      <c r="D328">
        <f>YEAR(BSURTIDOR[[#This Row],[FECHA]])</f>
        <v>2026</v>
      </c>
      <c r="E328" s="124">
        <v>46066</v>
      </c>
      <c r="F328" s="329" t="s">
        <v>548</v>
      </c>
      <c r="G328" s="123">
        <v>13</v>
      </c>
      <c r="H328" s="336" t="s">
        <v>95</v>
      </c>
      <c r="I328" s="101" t="str">
        <f>VLOOKUP(BDsurtidor!$H328,$T$4:$W$18,2,FALSE)</f>
        <v>CISTERNA</v>
      </c>
      <c r="J328" s="101">
        <f>VLOOKUP(BDsurtidor!$H328,$T$4:$W$25,3,FALSE)</f>
        <v>2500</v>
      </c>
      <c r="K328" s="101">
        <f>VLOOKUP(BDsurtidor!$H328,$T$4:$W$25,4,FALSE)</f>
        <v>9</v>
      </c>
      <c r="L328" s="101">
        <f>VLOOKUP(BDsurtidor!$H328,$T$4:$X$25,5,FALSE)</f>
        <v>0.22</v>
      </c>
      <c r="M328" s="101" t="str">
        <f>VLOOKUP(BDsurtidor!$H328,$T$4:$Y$25,6,FALSE)</f>
        <v>EPS</v>
      </c>
      <c r="N328" s="70">
        <v>0</v>
      </c>
      <c r="O328" s="125">
        <v>1.1299999999999999</v>
      </c>
      <c r="P328" s="126">
        <v>0.55763888888888891</v>
      </c>
      <c r="Q328" s="334" t="s">
        <v>574</v>
      </c>
    </row>
    <row r="329" spans="2:17" x14ac:dyDescent="0.25">
      <c r="B329">
        <f>WEEKNUM(BSURTIDOR[[#This Row],[FECHA]])</f>
        <v>7</v>
      </c>
      <c r="C329">
        <f>MONTH(BSURTIDOR[[#This Row],[FECHA]])</f>
        <v>2</v>
      </c>
      <c r="D329">
        <f>YEAR(BSURTIDOR[[#This Row],[FECHA]])</f>
        <v>2026</v>
      </c>
      <c r="E329" s="124">
        <v>46066</v>
      </c>
      <c r="F329" s="329" t="s">
        <v>548</v>
      </c>
      <c r="G329" s="123">
        <v>14</v>
      </c>
      <c r="H329" s="123" t="s">
        <v>558</v>
      </c>
      <c r="I329" s="101" t="str">
        <f>VLOOKUP(BDsurtidor!$H329,$T$4:$W$18,2,FALSE)</f>
        <v>HIDROJET</v>
      </c>
      <c r="J329" s="39">
        <f>VLOOKUP(BDsurtidor!$H329,$T$4:$W$25,3,FALSE)</f>
        <v>1000</v>
      </c>
      <c r="K329" s="101">
        <f>VLOOKUP(BDsurtidor!$H329,$T$4:$W$25,4,FALSE)</f>
        <v>1</v>
      </c>
      <c r="L329" s="101">
        <f>VLOOKUP(BDsurtidor!$H329,$T$4:$X$25,5,FALSE)</f>
        <v>0</v>
      </c>
      <c r="M329" s="101" t="str">
        <f>VLOOKUP(BDsurtidor!$H329,$T$4:$Y$25,6,FALSE)</f>
        <v>EPS</v>
      </c>
      <c r="N329" s="327">
        <v>0</v>
      </c>
      <c r="O329" s="125">
        <v>0</v>
      </c>
      <c r="P329" s="126">
        <v>0.5625</v>
      </c>
      <c r="Q329" s="334" t="s">
        <v>574</v>
      </c>
    </row>
    <row r="330" spans="2:17" x14ac:dyDescent="0.25">
      <c r="B330">
        <f>WEEKNUM(BSURTIDOR[[#This Row],[FECHA]])</f>
        <v>7</v>
      </c>
      <c r="C330">
        <f>MONTH(BSURTIDOR[[#This Row],[FECHA]])</f>
        <v>2</v>
      </c>
      <c r="D330">
        <f>YEAR(BSURTIDOR[[#This Row],[FECHA]])</f>
        <v>2026</v>
      </c>
      <c r="E330" s="124">
        <v>46067</v>
      </c>
      <c r="F330" s="329" t="s">
        <v>548</v>
      </c>
      <c r="G330" s="123">
        <v>1</v>
      </c>
      <c r="H330" s="123" t="s">
        <v>89</v>
      </c>
      <c r="I330" s="101" t="str">
        <f>VLOOKUP(BDsurtidor!$H330,$T$4:$W$18,2,FALSE)</f>
        <v>CISTERNA</v>
      </c>
      <c r="J330" s="101">
        <f>VLOOKUP(BDsurtidor!$H330,$T$4:$W$25,3,FALSE)</f>
        <v>9000</v>
      </c>
      <c r="K330" s="101">
        <f>VLOOKUP(BDsurtidor!$H330,$T$4:$W$25,4,FALSE)</f>
        <v>34</v>
      </c>
      <c r="L330" s="101">
        <f>VLOOKUP(BDsurtidor!$H330,$T$4:$X$25,5,FALSE)</f>
        <v>0.45</v>
      </c>
      <c r="M330" s="101" t="str">
        <f>VLOOKUP(BDsurtidor!$H330,$T$4:$Y$25,6,FALSE)</f>
        <v>VIVIENDA</v>
      </c>
      <c r="N330" s="70">
        <v>0</v>
      </c>
      <c r="O330" s="125">
        <v>1.1200000000000001</v>
      </c>
      <c r="P330" s="126">
        <v>0.31111111111111112</v>
      </c>
      <c r="Q330" s="334" t="s">
        <v>574</v>
      </c>
    </row>
    <row r="331" spans="2:17" x14ac:dyDescent="0.25">
      <c r="B331">
        <f>WEEKNUM(BSURTIDOR[[#This Row],[FECHA]])</f>
        <v>7</v>
      </c>
      <c r="C331">
        <f>MONTH(BSURTIDOR[[#This Row],[FECHA]])</f>
        <v>2</v>
      </c>
      <c r="D331">
        <f>YEAR(BSURTIDOR[[#This Row],[FECHA]])</f>
        <v>2026</v>
      </c>
      <c r="E331" s="124">
        <v>46067</v>
      </c>
      <c r="F331" s="329" t="s">
        <v>548</v>
      </c>
      <c r="G331" s="123">
        <v>2</v>
      </c>
      <c r="H331" s="123" t="s">
        <v>99</v>
      </c>
      <c r="I331" s="101" t="str">
        <f>VLOOKUP(BDsurtidor!$H331,$T$4:$W$18,2,FALSE)</f>
        <v>CISTERNA</v>
      </c>
      <c r="J331" s="101">
        <f>VLOOKUP(BDsurtidor!$H331,$T$4:$W$25,3,FALSE)</f>
        <v>5000</v>
      </c>
      <c r="K331" s="101">
        <f>VLOOKUP(BDsurtidor!$H331,$T$4:$W$25,4,FALSE)</f>
        <v>17</v>
      </c>
      <c r="L331" s="101">
        <f>VLOOKUP(BDsurtidor!$H331,$T$4:$X$25,5,FALSE)</f>
        <v>0.4</v>
      </c>
      <c r="M331" s="101" t="str">
        <f>VLOOKUP(BDsurtidor!$H331,$T$4:$Y$25,6,FALSE)</f>
        <v>EPS</v>
      </c>
      <c r="N331" s="327">
        <v>0</v>
      </c>
      <c r="O331" s="125">
        <v>1.0900000000000001</v>
      </c>
      <c r="P331" s="126">
        <v>0.31597222222222221</v>
      </c>
      <c r="Q331" s="334" t="s">
        <v>574</v>
      </c>
    </row>
    <row r="332" spans="2:17" x14ac:dyDescent="0.25">
      <c r="B332">
        <f>WEEKNUM(BSURTIDOR[[#This Row],[FECHA]])</f>
        <v>7</v>
      </c>
      <c r="C332">
        <f>MONTH(BSURTIDOR[[#This Row],[FECHA]])</f>
        <v>2</v>
      </c>
      <c r="D332">
        <f>YEAR(BSURTIDOR[[#This Row],[FECHA]])</f>
        <v>2026</v>
      </c>
      <c r="E332" s="124">
        <v>46067</v>
      </c>
      <c r="F332" s="329" t="s">
        <v>548</v>
      </c>
      <c r="G332" s="123">
        <v>3</v>
      </c>
      <c r="H332" s="123" t="s">
        <v>90</v>
      </c>
      <c r="I332" s="101" t="str">
        <f>VLOOKUP(BDsurtidor!$H332,$T$4:$W$18,2,FALSE)</f>
        <v>CISTERNA</v>
      </c>
      <c r="J332" s="101">
        <f>VLOOKUP(BDsurtidor!$H332,$T$4:$W$25,3,FALSE)</f>
        <v>5000</v>
      </c>
      <c r="K332" s="101">
        <f>VLOOKUP(BDsurtidor!$H332,$T$4:$W$25,4,FALSE)</f>
        <v>17</v>
      </c>
      <c r="L332" s="101">
        <f>VLOOKUP(BDsurtidor!$H332,$T$4:$X$25,5,FALSE)</f>
        <v>0.4</v>
      </c>
      <c r="M332" s="101" t="str">
        <f>VLOOKUP(BDsurtidor!$H332,$T$4:$Y$25,6,FALSE)</f>
        <v>EPS</v>
      </c>
      <c r="N332" s="70">
        <v>0</v>
      </c>
      <c r="O332" s="125">
        <v>1.06</v>
      </c>
      <c r="P332" s="126">
        <v>0.3215277777777778</v>
      </c>
      <c r="Q332" s="334" t="s">
        <v>574</v>
      </c>
    </row>
    <row r="333" spans="2:17" x14ac:dyDescent="0.25">
      <c r="B333">
        <f>WEEKNUM(BSURTIDOR[[#This Row],[FECHA]])</f>
        <v>7</v>
      </c>
      <c r="C333">
        <f>MONTH(BSURTIDOR[[#This Row],[FECHA]])</f>
        <v>2</v>
      </c>
      <c r="D333">
        <f>YEAR(BSURTIDOR[[#This Row],[FECHA]])</f>
        <v>2026</v>
      </c>
      <c r="E333" s="124">
        <v>46067</v>
      </c>
      <c r="F333" s="329" t="s">
        <v>548</v>
      </c>
      <c r="G333" s="123">
        <v>4</v>
      </c>
      <c r="H333" s="123" t="s">
        <v>87</v>
      </c>
      <c r="I333" s="101" t="str">
        <f>VLOOKUP(BDsurtidor!$H333,$T$4:$W$18,2,FALSE)</f>
        <v>CISTERNA</v>
      </c>
      <c r="J333" s="101">
        <f>VLOOKUP(BDsurtidor!$H333,$T$4:$W$25,3,FALSE)</f>
        <v>5000</v>
      </c>
      <c r="K333" s="101">
        <f>VLOOKUP(BDsurtidor!$H333,$T$4:$W$25,4,FALSE)</f>
        <v>17</v>
      </c>
      <c r="L333" s="101">
        <f>VLOOKUP(BDsurtidor!$H333,$T$4:$X$25,5,FALSE)</f>
        <v>0.4</v>
      </c>
      <c r="M333" s="101" t="str">
        <f>VLOOKUP(BDsurtidor!$H333,$T$4:$Y$25,6,FALSE)</f>
        <v>EPS</v>
      </c>
      <c r="N333" s="327">
        <v>0</v>
      </c>
      <c r="O333" s="125">
        <v>1.03</v>
      </c>
      <c r="P333" s="126">
        <v>0.3263888888888889</v>
      </c>
      <c r="Q333" s="334" t="s">
        <v>574</v>
      </c>
    </row>
    <row r="334" spans="2:17" x14ac:dyDescent="0.25">
      <c r="B334">
        <f>WEEKNUM(BSURTIDOR[[#This Row],[FECHA]])</f>
        <v>7</v>
      </c>
      <c r="C334">
        <f>MONTH(BSURTIDOR[[#This Row],[FECHA]])</f>
        <v>2</v>
      </c>
      <c r="D334">
        <f>YEAR(BSURTIDOR[[#This Row],[FECHA]])</f>
        <v>2026</v>
      </c>
      <c r="E334" s="124">
        <v>46067</v>
      </c>
      <c r="F334" s="329" t="s">
        <v>548</v>
      </c>
      <c r="G334" s="123">
        <v>5</v>
      </c>
      <c r="H334" s="123" t="s">
        <v>87</v>
      </c>
      <c r="I334" s="101" t="str">
        <f>VLOOKUP(BDsurtidor!$H334,$T$4:$W$18,2,FALSE)</f>
        <v>CISTERNA</v>
      </c>
      <c r="J334" s="101">
        <f>VLOOKUP(BDsurtidor!$H334,$T$4:$W$25,3,FALSE)</f>
        <v>5000</v>
      </c>
      <c r="K334" s="101">
        <f>VLOOKUP(BDsurtidor!$H334,$T$4:$W$25,4,FALSE)</f>
        <v>17</v>
      </c>
      <c r="L334" s="101">
        <f>VLOOKUP(BDsurtidor!$H334,$T$4:$X$25,5,FALSE)</f>
        <v>0.4</v>
      </c>
      <c r="M334" s="101" t="str">
        <f>VLOOKUP(BDsurtidor!$H334,$T$4:$Y$25,6,FALSE)</f>
        <v>EPS</v>
      </c>
      <c r="N334" s="70">
        <v>0</v>
      </c>
      <c r="O334" s="125">
        <v>1.04</v>
      </c>
      <c r="P334" s="126">
        <v>0.4375</v>
      </c>
      <c r="Q334" s="334" t="s">
        <v>574</v>
      </c>
    </row>
    <row r="335" spans="2:17" x14ac:dyDescent="0.25">
      <c r="B335">
        <f>WEEKNUM(BSURTIDOR[[#This Row],[FECHA]])</f>
        <v>8</v>
      </c>
      <c r="C335">
        <f>MONTH(BSURTIDOR[[#This Row],[FECHA]])</f>
        <v>2</v>
      </c>
      <c r="D335">
        <f>YEAR(BSURTIDOR[[#This Row],[FECHA]])</f>
        <v>2026</v>
      </c>
      <c r="E335" s="124">
        <v>46069</v>
      </c>
      <c r="F335" s="364" t="s">
        <v>109</v>
      </c>
      <c r="G335" s="123">
        <v>1</v>
      </c>
      <c r="H335" s="123" t="s">
        <v>87</v>
      </c>
      <c r="I335" s="101" t="str">
        <f>VLOOKUP(BDsurtidor!$H335,$T$4:$W$18,2,FALSE)</f>
        <v>CISTERNA</v>
      </c>
      <c r="J335" s="101">
        <f>VLOOKUP(BDsurtidor!$H335,$T$4:$W$25,3,FALSE)</f>
        <v>5000</v>
      </c>
      <c r="K335" s="101">
        <f>VLOOKUP(BDsurtidor!$H335,$T$4:$W$25,4,FALSE)</f>
        <v>17</v>
      </c>
      <c r="L335" s="101">
        <f>VLOOKUP(BDsurtidor!$H335,$T$4:$X$25,5,FALSE)</f>
        <v>0.4</v>
      </c>
      <c r="M335" s="101" t="str">
        <f>VLOOKUP(BDsurtidor!$H335,$T$4:$Y$25,6,FALSE)</f>
        <v>EPS</v>
      </c>
      <c r="N335" s="327">
        <v>0</v>
      </c>
      <c r="O335" s="125">
        <v>1</v>
      </c>
      <c r="P335" s="126">
        <v>0.33819444444444446</v>
      </c>
      <c r="Q335" s="123" t="s">
        <v>626</v>
      </c>
    </row>
    <row r="336" spans="2:17" x14ac:dyDescent="0.25">
      <c r="B336">
        <f>WEEKNUM(BSURTIDOR[[#This Row],[FECHA]])</f>
        <v>8</v>
      </c>
      <c r="C336">
        <f>MONTH(BSURTIDOR[[#This Row],[FECHA]])</f>
        <v>2</v>
      </c>
      <c r="D336">
        <f>YEAR(BSURTIDOR[[#This Row],[FECHA]])</f>
        <v>2026</v>
      </c>
      <c r="E336" s="124">
        <v>46069</v>
      </c>
      <c r="F336" s="364" t="s">
        <v>109</v>
      </c>
      <c r="G336" s="123">
        <v>2</v>
      </c>
      <c r="H336" s="123" t="s">
        <v>99</v>
      </c>
      <c r="I336" s="101" t="str">
        <f>VLOOKUP(BDsurtidor!$H336,$T$4:$W$18,2,FALSE)</f>
        <v>CISTERNA</v>
      </c>
      <c r="J336" s="101">
        <f>VLOOKUP(BDsurtidor!$H336,$T$4:$W$25,3,FALSE)</f>
        <v>5000</v>
      </c>
      <c r="K336" s="101">
        <f>VLOOKUP(BDsurtidor!$H336,$T$4:$W$25,4,FALSE)</f>
        <v>17</v>
      </c>
      <c r="L336" s="101">
        <f>VLOOKUP(BDsurtidor!$H336,$T$4:$X$25,5,FALSE)</f>
        <v>0.4</v>
      </c>
      <c r="M336" s="101" t="str">
        <f>VLOOKUP(BDsurtidor!$H336,$T$4:$Y$25,6,FALSE)</f>
        <v>EPS</v>
      </c>
      <c r="N336" s="70">
        <v>0</v>
      </c>
      <c r="O336" s="125">
        <v>1.08</v>
      </c>
      <c r="P336" s="126">
        <v>0.34722222222222221</v>
      </c>
      <c r="Q336" s="123" t="s">
        <v>626</v>
      </c>
    </row>
    <row r="337" spans="2:17" x14ac:dyDescent="0.25">
      <c r="B337">
        <f>WEEKNUM(BSURTIDOR[[#This Row],[FECHA]])</f>
        <v>8</v>
      </c>
      <c r="C337">
        <f>MONTH(BSURTIDOR[[#This Row],[FECHA]])</f>
        <v>2</v>
      </c>
      <c r="D337">
        <f>YEAR(BSURTIDOR[[#This Row],[FECHA]])</f>
        <v>2026</v>
      </c>
      <c r="E337" s="124">
        <v>46069</v>
      </c>
      <c r="F337" s="364" t="s">
        <v>109</v>
      </c>
      <c r="G337" s="123">
        <v>3</v>
      </c>
      <c r="H337" s="123" t="s">
        <v>90</v>
      </c>
      <c r="I337" s="101" t="str">
        <f>VLOOKUP(BDsurtidor!$H337,$T$4:$W$18,2,FALSE)</f>
        <v>CISTERNA</v>
      </c>
      <c r="J337" s="101">
        <f>VLOOKUP(BDsurtidor!$H337,$T$4:$W$25,3,FALSE)</f>
        <v>5000</v>
      </c>
      <c r="K337" s="101">
        <f>VLOOKUP(BDsurtidor!$H337,$T$4:$W$25,4,FALSE)</f>
        <v>17</v>
      </c>
      <c r="L337" s="101">
        <f>VLOOKUP(BDsurtidor!$H337,$T$4:$X$25,5,FALSE)</f>
        <v>0.4</v>
      </c>
      <c r="M337" s="101" t="str">
        <f>VLOOKUP(BDsurtidor!$H337,$T$4:$Y$25,6,FALSE)</f>
        <v>EPS</v>
      </c>
      <c r="N337" s="327">
        <v>0</v>
      </c>
      <c r="O337" s="125">
        <v>1.01</v>
      </c>
      <c r="P337" s="126">
        <v>0.35486111111111113</v>
      </c>
      <c r="Q337" s="123" t="s">
        <v>626</v>
      </c>
    </row>
    <row r="338" spans="2:17" x14ac:dyDescent="0.25">
      <c r="B338">
        <f>WEEKNUM(BSURTIDOR[[#This Row],[FECHA]])</f>
        <v>8</v>
      </c>
      <c r="C338">
        <f>MONTH(BSURTIDOR[[#This Row],[FECHA]])</f>
        <v>2</v>
      </c>
      <c r="D338">
        <f>YEAR(BSURTIDOR[[#This Row],[FECHA]])</f>
        <v>2026</v>
      </c>
      <c r="E338" s="124">
        <v>46069</v>
      </c>
      <c r="F338" s="364" t="s">
        <v>109</v>
      </c>
      <c r="G338" s="123">
        <v>4</v>
      </c>
      <c r="H338" s="123" t="s">
        <v>89</v>
      </c>
      <c r="I338" s="101" t="str">
        <f>VLOOKUP(BDsurtidor!$H338,$T$4:$W$18,2,FALSE)</f>
        <v>CISTERNA</v>
      </c>
      <c r="J338" s="101">
        <f>VLOOKUP(BDsurtidor!$H338,$T$4:$W$25,3,FALSE)</f>
        <v>9000</v>
      </c>
      <c r="K338" s="101">
        <f>VLOOKUP(BDsurtidor!$H338,$T$4:$W$25,4,FALSE)</f>
        <v>34</v>
      </c>
      <c r="L338" s="101">
        <f>VLOOKUP(BDsurtidor!$H338,$T$4:$X$25,5,FALSE)</f>
        <v>0.45</v>
      </c>
      <c r="M338" s="101" t="str">
        <f>VLOOKUP(BDsurtidor!$H338,$T$4:$Y$25,6,FALSE)</f>
        <v>VIVIENDA</v>
      </c>
      <c r="N338" s="70">
        <v>0</v>
      </c>
      <c r="O338" s="125">
        <v>1.1200000000000001</v>
      </c>
      <c r="P338" s="126">
        <v>0.37986111111111109</v>
      </c>
      <c r="Q338" s="123" t="s">
        <v>626</v>
      </c>
    </row>
    <row r="339" spans="2:17" x14ac:dyDescent="0.25">
      <c r="B339">
        <f>WEEKNUM(BSURTIDOR[[#This Row],[FECHA]])</f>
        <v>8</v>
      </c>
      <c r="C339">
        <f>MONTH(BSURTIDOR[[#This Row],[FECHA]])</f>
        <v>2</v>
      </c>
      <c r="D339">
        <f>YEAR(BSURTIDOR[[#This Row],[FECHA]])</f>
        <v>2026</v>
      </c>
      <c r="E339" s="124">
        <v>46069</v>
      </c>
      <c r="F339" s="364" t="s">
        <v>109</v>
      </c>
      <c r="G339" s="123">
        <v>5</v>
      </c>
      <c r="H339" s="123" t="s">
        <v>99</v>
      </c>
      <c r="I339" s="101" t="str">
        <f>VLOOKUP(BDsurtidor!$H339,$T$4:$W$18,2,FALSE)</f>
        <v>CISTERNA</v>
      </c>
      <c r="J339" s="101">
        <f>VLOOKUP(BDsurtidor!$H339,$T$4:$W$25,3,FALSE)</f>
        <v>5000</v>
      </c>
      <c r="K339" s="101">
        <f>VLOOKUP(BDsurtidor!$H339,$T$4:$W$25,4,FALSE)</f>
        <v>17</v>
      </c>
      <c r="L339" s="101">
        <f>VLOOKUP(BDsurtidor!$H339,$T$4:$X$25,5,FALSE)</f>
        <v>0.4</v>
      </c>
      <c r="M339" s="101" t="str">
        <f>VLOOKUP(BDsurtidor!$H339,$T$4:$Y$25,6,FALSE)</f>
        <v>EPS</v>
      </c>
      <c r="N339" s="327">
        <v>0</v>
      </c>
      <c r="O339" s="125">
        <v>1.1599999999999999</v>
      </c>
      <c r="P339" s="126">
        <v>0.5395833333333333</v>
      </c>
      <c r="Q339" s="123" t="s">
        <v>626</v>
      </c>
    </row>
    <row r="340" spans="2:17" x14ac:dyDescent="0.25">
      <c r="B340">
        <f>WEEKNUM(BSURTIDOR[[#This Row],[FECHA]])</f>
        <v>8</v>
      </c>
      <c r="C340">
        <f>MONTH(BSURTIDOR[[#This Row],[FECHA]])</f>
        <v>2</v>
      </c>
      <c r="D340">
        <f>YEAR(BSURTIDOR[[#This Row],[FECHA]])</f>
        <v>2026</v>
      </c>
      <c r="E340" s="124">
        <v>46069</v>
      </c>
      <c r="F340" s="364" t="s">
        <v>109</v>
      </c>
      <c r="G340" s="123">
        <v>6</v>
      </c>
      <c r="H340" s="123" t="s">
        <v>89</v>
      </c>
      <c r="I340" s="101" t="str">
        <f>VLOOKUP(BDsurtidor!$H340,$T$4:$W$18,2,FALSE)</f>
        <v>CISTERNA</v>
      </c>
      <c r="J340" s="101">
        <f>VLOOKUP(BDsurtidor!$H340,$T$4:$W$25,3,FALSE)</f>
        <v>9000</v>
      </c>
      <c r="K340" s="101">
        <f>VLOOKUP(BDsurtidor!$H340,$T$4:$W$25,4,FALSE)</f>
        <v>34</v>
      </c>
      <c r="L340" s="101">
        <f>VLOOKUP(BDsurtidor!$H340,$T$4:$X$25,5,FALSE)</f>
        <v>0.45</v>
      </c>
      <c r="M340" s="101" t="str">
        <f>VLOOKUP(BDsurtidor!$H340,$T$4:$Y$25,6,FALSE)</f>
        <v>VIVIENDA</v>
      </c>
      <c r="N340" s="70">
        <v>0</v>
      </c>
      <c r="O340" s="125">
        <v>1.49</v>
      </c>
      <c r="P340" s="126">
        <v>5.347222222222222E-2</v>
      </c>
      <c r="Q340" s="123" t="s">
        <v>626</v>
      </c>
    </row>
    <row r="341" spans="2:17" x14ac:dyDescent="0.25">
      <c r="B341">
        <f>WEEKNUM(BSURTIDOR[[#This Row],[FECHA]])</f>
        <v>8</v>
      </c>
      <c r="C341">
        <f>MONTH(BSURTIDOR[[#This Row],[FECHA]])</f>
        <v>2</v>
      </c>
      <c r="D341">
        <f>YEAR(BSURTIDOR[[#This Row],[FECHA]])</f>
        <v>2026</v>
      </c>
      <c r="E341" s="124">
        <v>46069</v>
      </c>
      <c r="F341" s="364" t="s">
        <v>109</v>
      </c>
      <c r="G341" s="123">
        <v>7</v>
      </c>
      <c r="H341" s="123" t="s">
        <v>90</v>
      </c>
      <c r="I341" s="101" t="str">
        <f>VLOOKUP(BDsurtidor!$H341,$T$4:$W$18,2,FALSE)</f>
        <v>CISTERNA</v>
      </c>
      <c r="J341" s="101">
        <f>VLOOKUP(BDsurtidor!$H341,$T$4:$W$25,3,FALSE)</f>
        <v>5000</v>
      </c>
      <c r="K341" s="101">
        <f>VLOOKUP(BDsurtidor!$H341,$T$4:$W$25,4,FALSE)</f>
        <v>17</v>
      </c>
      <c r="L341" s="101">
        <f>VLOOKUP(BDsurtidor!$H341,$T$4:$X$25,5,FALSE)</f>
        <v>0.4</v>
      </c>
      <c r="M341" s="101" t="str">
        <f>VLOOKUP(BDsurtidor!$H341,$T$4:$Y$25,6,FALSE)</f>
        <v>EPS</v>
      </c>
      <c r="N341" s="327">
        <v>0</v>
      </c>
      <c r="O341" s="125">
        <v>1.19</v>
      </c>
      <c r="P341" s="126">
        <v>6.9444444444444448E-2</v>
      </c>
      <c r="Q341" s="123" t="s">
        <v>626</v>
      </c>
    </row>
    <row r="342" spans="2:17" x14ac:dyDescent="0.25">
      <c r="B342">
        <f>WEEKNUM(BSURTIDOR[[#This Row],[FECHA]])</f>
        <v>8</v>
      </c>
      <c r="C342">
        <f>MONTH(BSURTIDOR[[#This Row],[FECHA]])</f>
        <v>2</v>
      </c>
      <c r="D342">
        <f>YEAR(BSURTIDOR[[#This Row],[FECHA]])</f>
        <v>2026</v>
      </c>
      <c r="E342" s="124">
        <v>46069</v>
      </c>
      <c r="F342" s="364" t="s">
        <v>109</v>
      </c>
      <c r="G342" s="123">
        <v>8</v>
      </c>
      <c r="H342" s="123" t="s">
        <v>87</v>
      </c>
      <c r="I342" s="101" t="str">
        <f>VLOOKUP(BDsurtidor!$H342,$T$4:$W$18,2,FALSE)</f>
        <v>CISTERNA</v>
      </c>
      <c r="J342" s="101">
        <f>VLOOKUP(BDsurtidor!$H342,$T$4:$W$25,3,FALSE)</f>
        <v>5000</v>
      </c>
      <c r="K342" s="101">
        <f>VLOOKUP(BDsurtidor!$H342,$T$4:$W$25,4,FALSE)</f>
        <v>17</v>
      </c>
      <c r="L342" s="101">
        <f>VLOOKUP(BDsurtidor!$H342,$T$4:$X$25,5,FALSE)</f>
        <v>0.4</v>
      </c>
      <c r="M342" s="101" t="str">
        <f>VLOOKUP(BDsurtidor!$H342,$T$4:$Y$25,6,FALSE)</f>
        <v>EPS</v>
      </c>
      <c r="N342" s="70">
        <v>0</v>
      </c>
      <c r="O342" s="125">
        <v>1.21</v>
      </c>
      <c r="P342" s="126">
        <v>8.1250000000000003E-2</v>
      </c>
      <c r="Q342" s="123" t="s">
        <v>626</v>
      </c>
    </row>
    <row r="343" spans="2:17" x14ac:dyDescent="0.25">
      <c r="B343">
        <f>WEEKNUM(BSURTIDOR[[#This Row],[FECHA]])</f>
        <v>8</v>
      </c>
      <c r="C343">
        <f>MONTH(BSURTIDOR[[#This Row],[FECHA]])</f>
        <v>2</v>
      </c>
      <c r="D343">
        <f>YEAR(BSURTIDOR[[#This Row],[FECHA]])</f>
        <v>2026</v>
      </c>
      <c r="E343" s="124">
        <v>46070</v>
      </c>
      <c r="F343" s="364" t="s">
        <v>109</v>
      </c>
      <c r="G343" s="123">
        <v>1</v>
      </c>
      <c r="H343" s="123" t="s">
        <v>99</v>
      </c>
      <c r="I343" s="101" t="str">
        <f>VLOOKUP(BDsurtidor!$H343,$T$4:$W$18,2,FALSE)</f>
        <v>CISTERNA</v>
      </c>
      <c r="J343" s="101">
        <f>VLOOKUP(BDsurtidor!$H343,$T$4:$W$25,3,FALSE)</f>
        <v>5000</v>
      </c>
      <c r="K343" s="101">
        <f>VLOOKUP(BDsurtidor!$H343,$T$4:$W$25,4,FALSE)</f>
        <v>17</v>
      </c>
      <c r="L343" s="101">
        <f>VLOOKUP(BDsurtidor!$H343,$T$4:$X$25,5,FALSE)</f>
        <v>0.4</v>
      </c>
      <c r="M343" s="101" t="str">
        <f>VLOOKUP(BDsurtidor!$H343,$T$4:$Y$25,6,FALSE)</f>
        <v>EPS</v>
      </c>
      <c r="N343" s="327">
        <v>0</v>
      </c>
      <c r="O343" s="125">
        <v>1.26</v>
      </c>
      <c r="P343" s="126">
        <v>0.33750000000000002</v>
      </c>
      <c r="Q343" s="123" t="s">
        <v>626</v>
      </c>
    </row>
    <row r="344" spans="2:17" x14ac:dyDescent="0.25">
      <c r="B344">
        <f>WEEKNUM(BSURTIDOR[[#This Row],[FECHA]])</f>
        <v>8</v>
      </c>
      <c r="C344">
        <f>MONTH(BSURTIDOR[[#This Row],[FECHA]])</f>
        <v>2</v>
      </c>
      <c r="D344">
        <f>YEAR(BSURTIDOR[[#This Row],[FECHA]])</f>
        <v>2026</v>
      </c>
      <c r="E344" s="124">
        <v>46070</v>
      </c>
      <c r="F344" s="364" t="s">
        <v>109</v>
      </c>
      <c r="G344" s="123">
        <v>2</v>
      </c>
      <c r="H344" s="123" t="s">
        <v>90</v>
      </c>
      <c r="I344" s="101" t="str">
        <f>VLOOKUP(BDsurtidor!$H344,$T$4:$W$18,2,FALSE)</f>
        <v>CISTERNA</v>
      </c>
      <c r="J344" s="101">
        <f>VLOOKUP(BDsurtidor!$H344,$T$4:$W$25,3,FALSE)</f>
        <v>5000</v>
      </c>
      <c r="K344" s="101">
        <f>VLOOKUP(BDsurtidor!$H344,$T$4:$W$25,4,FALSE)</f>
        <v>17</v>
      </c>
      <c r="L344" s="101">
        <f>VLOOKUP(BDsurtidor!$H344,$T$4:$X$25,5,FALSE)</f>
        <v>0.4</v>
      </c>
      <c r="M344" s="101" t="str">
        <f>VLOOKUP(BDsurtidor!$H344,$T$4:$Y$25,6,FALSE)</f>
        <v>EPS</v>
      </c>
      <c r="N344" s="70">
        <v>0</v>
      </c>
      <c r="O344" s="125">
        <v>1.27</v>
      </c>
      <c r="P344" s="126">
        <v>0.35069444444444442</v>
      </c>
      <c r="Q344" s="123" t="s">
        <v>626</v>
      </c>
    </row>
    <row r="345" spans="2:17" x14ac:dyDescent="0.25">
      <c r="B345">
        <f>WEEKNUM(BSURTIDOR[[#This Row],[FECHA]])</f>
        <v>8</v>
      </c>
      <c r="C345">
        <f>MONTH(BSURTIDOR[[#This Row],[FECHA]])</f>
        <v>2</v>
      </c>
      <c r="D345">
        <f>YEAR(BSURTIDOR[[#This Row],[FECHA]])</f>
        <v>2026</v>
      </c>
      <c r="E345" s="124">
        <v>46070</v>
      </c>
      <c r="F345" s="364" t="s">
        <v>109</v>
      </c>
      <c r="G345" s="123">
        <v>3</v>
      </c>
      <c r="H345" s="123" t="s">
        <v>89</v>
      </c>
      <c r="I345" s="101" t="str">
        <f>VLOOKUP(BDsurtidor!$H345,$T$4:$W$18,2,FALSE)</f>
        <v>CISTERNA</v>
      </c>
      <c r="J345" s="101">
        <f>VLOOKUP(BDsurtidor!$H345,$T$4:$W$25,3,FALSE)</f>
        <v>9000</v>
      </c>
      <c r="K345" s="101">
        <f>VLOOKUP(BDsurtidor!$H345,$T$4:$W$25,4,FALSE)</f>
        <v>34</v>
      </c>
      <c r="L345" s="101">
        <f>VLOOKUP(BDsurtidor!$H345,$T$4:$X$25,5,FALSE)</f>
        <v>0.45</v>
      </c>
      <c r="M345" s="101" t="str">
        <f>VLOOKUP(BDsurtidor!$H345,$T$4:$Y$25,6,FALSE)</f>
        <v>VIVIENDA</v>
      </c>
      <c r="N345" s="327">
        <v>0</v>
      </c>
      <c r="O345" s="125">
        <v>1.1100000000000001</v>
      </c>
      <c r="P345" s="126">
        <v>0.36458333333333331</v>
      </c>
      <c r="Q345" s="123" t="s">
        <v>626</v>
      </c>
    </row>
    <row r="346" spans="2:17" x14ac:dyDescent="0.25">
      <c r="B346">
        <f>WEEKNUM(BSURTIDOR[[#This Row],[FECHA]])</f>
        <v>8</v>
      </c>
      <c r="C346">
        <f>MONTH(BSURTIDOR[[#This Row],[FECHA]])</f>
        <v>2</v>
      </c>
      <c r="D346">
        <f>YEAR(BSURTIDOR[[#This Row],[FECHA]])</f>
        <v>2026</v>
      </c>
      <c r="E346" s="124">
        <v>46070</v>
      </c>
      <c r="F346" s="364" t="s">
        <v>109</v>
      </c>
      <c r="G346" s="123">
        <v>4</v>
      </c>
      <c r="H346" s="123" t="s">
        <v>87</v>
      </c>
      <c r="I346" s="101" t="str">
        <f>VLOOKUP(BDsurtidor!$H346,$T$4:$W$18,2,FALSE)</f>
        <v>CISTERNA</v>
      </c>
      <c r="J346" s="101">
        <f>VLOOKUP(BDsurtidor!$H346,$T$4:$W$25,3,FALSE)</f>
        <v>5000</v>
      </c>
      <c r="K346" s="101">
        <f>VLOOKUP(BDsurtidor!$H346,$T$4:$W$25,4,FALSE)</f>
        <v>17</v>
      </c>
      <c r="L346" s="101">
        <f>VLOOKUP(BDsurtidor!$H346,$T$4:$X$25,5,FALSE)</f>
        <v>0.4</v>
      </c>
      <c r="M346" s="101" t="str">
        <f>VLOOKUP(BDsurtidor!$H346,$T$4:$Y$25,6,FALSE)</f>
        <v>EPS</v>
      </c>
      <c r="N346" s="70">
        <v>0</v>
      </c>
      <c r="O346" s="365">
        <v>1.35</v>
      </c>
      <c r="P346" s="126">
        <v>0.49236111111111114</v>
      </c>
      <c r="Q346" s="123" t="s">
        <v>626</v>
      </c>
    </row>
    <row r="347" spans="2:17" x14ac:dyDescent="0.25">
      <c r="B347">
        <f>WEEKNUM(BSURTIDOR[[#This Row],[FECHA]])</f>
        <v>8</v>
      </c>
      <c r="C347">
        <f>MONTH(BSURTIDOR[[#This Row],[FECHA]])</f>
        <v>2</v>
      </c>
      <c r="D347">
        <f>YEAR(BSURTIDOR[[#This Row],[FECHA]])</f>
        <v>2026</v>
      </c>
      <c r="E347" s="124">
        <v>46070</v>
      </c>
      <c r="F347" s="364" t="s">
        <v>109</v>
      </c>
      <c r="G347" s="123">
        <v>5</v>
      </c>
      <c r="H347" s="123" t="s">
        <v>89</v>
      </c>
      <c r="I347" s="101" t="str">
        <f>VLOOKUP(BDsurtidor!$H347,$T$4:$W$18,2,FALSE)</f>
        <v>CISTERNA</v>
      </c>
      <c r="J347" s="101">
        <f>VLOOKUP(BDsurtidor!$H347,$T$4:$W$25,3,FALSE)</f>
        <v>9000</v>
      </c>
      <c r="K347" s="101">
        <f>VLOOKUP(BDsurtidor!$H347,$T$4:$W$25,4,FALSE)</f>
        <v>34</v>
      </c>
      <c r="L347" s="101">
        <f>VLOOKUP(BDsurtidor!$H347,$T$4:$X$25,5,FALSE)</f>
        <v>0.45</v>
      </c>
      <c r="M347" s="101" t="str">
        <f>VLOOKUP(BDsurtidor!$H347,$T$4:$Y$25,6,FALSE)</f>
        <v>VIVIENDA</v>
      </c>
      <c r="N347" s="327">
        <v>0</v>
      </c>
      <c r="O347" s="125">
        <v>1.1399999999999999</v>
      </c>
      <c r="P347" s="126">
        <v>0.54236111111111107</v>
      </c>
      <c r="Q347" s="123" t="s">
        <v>626</v>
      </c>
    </row>
    <row r="348" spans="2:17" x14ac:dyDescent="0.25">
      <c r="B348">
        <f>WEEKNUM(BSURTIDOR[[#This Row],[FECHA]])</f>
        <v>8</v>
      </c>
      <c r="C348">
        <f>MONTH(BSURTIDOR[[#This Row],[FECHA]])</f>
        <v>2</v>
      </c>
      <c r="D348">
        <f>YEAR(BSURTIDOR[[#This Row],[FECHA]])</f>
        <v>2026</v>
      </c>
      <c r="E348" s="124">
        <v>46070</v>
      </c>
      <c r="F348" s="364" t="s">
        <v>109</v>
      </c>
      <c r="G348" s="123">
        <v>6</v>
      </c>
      <c r="H348" s="123" t="s">
        <v>90</v>
      </c>
      <c r="I348" s="101" t="str">
        <f>VLOOKUP(BDsurtidor!$H348,$T$4:$W$18,2,FALSE)</f>
        <v>CISTERNA</v>
      </c>
      <c r="J348" s="101">
        <f>VLOOKUP(BDsurtidor!$H348,$T$4:$W$25,3,FALSE)</f>
        <v>5000</v>
      </c>
      <c r="K348" s="101">
        <f>VLOOKUP(BDsurtidor!$H348,$T$4:$W$25,4,FALSE)</f>
        <v>17</v>
      </c>
      <c r="L348" s="101">
        <f>VLOOKUP(BDsurtidor!$H348,$T$4:$X$25,5,FALSE)</f>
        <v>0.4</v>
      </c>
      <c r="M348" s="101" t="str">
        <f>VLOOKUP(BDsurtidor!$H348,$T$4:$Y$25,6,FALSE)</f>
        <v>EPS</v>
      </c>
      <c r="N348" s="70">
        <v>0</v>
      </c>
      <c r="O348" s="125">
        <v>1.4</v>
      </c>
      <c r="P348" s="126">
        <v>0.55763888888888891</v>
      </c>
      <c r="Q348" s="123" t="s">
        <v>626</v>
      </c>
    </row>
    <row r="349" spans="2:17" x14ac:dyDescent="0.25">
      <c r="B349">
        <f>WEEKNUM(BSURTIDOR[[#This Row],[FECHA]])</f>
        <v>8</v>
      </c>
      <c r="C349">
        <f>MONTH(BSURTIDOR[[#This Row],[FECHA]])</f>
        <v>2</v>
      </c>
      <c r="D349">
        <f>YEAR(BSURTIDOR[[#This Row],[FECHA]])</f>
        <v>2026</v>
      </c>
      <c r="E349" s="124">
        <v>46070</v>
      </c>
      <c r="F349" s="364" t="s">
        <v>109</v>
      </c>
      <c r="G349" s="123">
        <v>7</v>
      </c>
      <c r="H349" s="123" t="s">
        <v>99</v>
      </c>
      <c r="I349" s="101" t="str">
        <f>VLOOKUP(BDsurtidor!$H349,$T$4:$W$18,2,FALSE)</f>
        <v>CISTERNA</v>
      </c>
      <c r="J349" s="101">
        <f>VLOOKUP(BDsurtidor!$H349,$T$4:$W$25,3,FALSE)</f>
        <v>5000</v>
      </c>
      <c r="K349" s="101">
        <f>VLOOKUP(BDsurtidor!$H349,$T$4:$W$25,4,FALSE)</f>
        <v>17</v>
      </c>
      <c r="L349" s="101">
        <f>VLOOKUP(BDsurtidor!$H349,$T$4:$X$25,5,FALSE)</f>
        <v>0.4</v>
      </c>
      <c r="M349" s="101" t="str">
        <f>VLOOKUP(BDsurtidor!$H349,$T$4:$Y$25,6,FALSE)</f>
        <v>EPS</v>
      </c>
      <c r="N349" s="327">
        <v>0</v>
      </c>
      <c r="O349" s="125">
        <v>1.37</v>
      </c>
      <c r="P349" s="126">
        <v>0.56805555555555554</v>
      </c>
      <c r="Q349" s="123" t="s">
        <v>626</v>
      </c>
    </row>
    <row r="350" spans="2:17" x14ac:dyDescent="0.25">
      <c r="B350">
        <f>WEEKNUM(BSURTIDOR[[#This Row],[FECHA]])</f>
        <v>8</v>
      </c>
      <c r="C350">
        <f>MONTH(BSURTIDOR[[#This Row],[FECHA]])</f>
        <v>2</v>
      </c>
      <c r="D350">
        <f>YEAR(BSURTIDOR[[#This Row],[FECHA]])</f>
        <v>2026</v>
      </c>
      <c r="E350" s="124">
        <v>46070</v>
      </c>
      <c r="F350" s="364" t="s">
        <v>109</v>
      </c>
      <c r="G350" s="123">
        <v>8</v>
      </c>
      <c r="H350" s="123" t="s">
        <v>99</v>
      </c>
      <c r="I350" s="101" t="str">
        <f>VLOOKUP(BDsurtidor!$H350,$T$4:$W$18,2,FALSE)</f>
        <v>CISTERNA</v>
      </c>
      <c r="J350" s="101">
        <f>VLOOKUP(BDsurtidor!$H350,$T$4:$W$25,3,FALSE)</f>
        <v>5000</v>
      </c>
      <c r="K350" s="101">
        <f>VLOOKUP(BDsurtidor!$H350,$T$4:$W$25,4,FALSE)</f>
        <v>17</v>
      </c>
      <c r="L350" s="101">
        <f>VLOOKUP(BDsurtidor!$H350,$T$4:$X$25,5,FALSE)</f>
        <v>0.4</v>
      </c>
      <c r="M350" s="101" t="str">
        <f>VLOOKUP(BDsurtidor!$H350,$T$4:$Y$25,6,FALSE)</f>
        <v>EPS</v>
      </c>
      <c r="N350" s="70">
        <v>0</v>
      </c>
      <c r="O350" s="125">
        <v>1.1299999999999999</v>
      </c>
      <c r="P350" s="126">
        <v>0.68472222222222223</v>
      </c>
      <c r="Q350" s="123" t="s">
        <v>626</v>
      </c>
    </row>
    <row r="351" spans="2:17" x14ac:dyDescent="0.25">
      <c r="B351">
        <f>WEEKNUM(BSURTIDOR[[#This Row],[FECHA]])</f>
        <v>8</v>
      </c>
      <c r="C351">
        <f>MONTH(BSURTIDOR[[#This Row],[FECHA]])</f>
        <v>2</v>
      </c>
      <c r="D351">
        <f>YEAR(BSURTIDOR[[#This Row],[FECHA]])</f>
        <v>2026</v>
      </c>
      <c r="E351" s="124">
        <v>46071</v>
      </c>
      <c r="F351" s="364" t="s">
        <v>109</v>
      </c>
      <c r="G351" s="123">
        <v>1</v>
      </c>
      <c r="H351" s="123" t="s">
        <v>99</v>
      </c>
      <c r="I351" s="101" t="str">
        <f>VLOOKUP(BDsurtidor!$H351,$T$4:$W$18,2,FALSE)</f>
        <v>CISTERNA</v>
      </c>
      <c r="J351" s="101">
        <f>VLOOKUP(BDsurtidor!$H351,$T$4:$W$25,3,FALSE)</f>
        <v>5000</v>
      </c>
      <c r="K351" s="101">
        <f>VLOOKUP(BDsurtidor!$H351,$T$4:$W$25,4,FALSE)</f>
        <v>17</v>
      </c>
      <c r="L351" s="101">
        <f>VLOOKUP(BDsurtidor!$H351,$T$4:$X$25,5,FALSE)</f>
        <v>0.4</v>
      </c>
      <c r="M351" s="101" t="str">
        <f>VLOOKUP(BDsurtidor!$H351,$T$4:$Y$25,6,FALSE)</f>
        <v>EPS</v>
      </c>
      <c r="N351" s="327">
        <v>0</v>
      </c>
      <c r="O351" s="125">
        <v>0.81</v>
      </c>
      <c r="P351" s="126">
        <v>0.34861111111111109</v>
      </c>
      <c r="Q351" s="123" t="s">
        <v>626</v>
      </c>
    </row>
    <row r="352" spans="2:17" x14ac:dyDescent="0.25">
      <c r="B352">
        <f>WEEKNUM(BSURTIDOR[[#This Row],[FECHA]])</f>
        <v>8</v>
      </c>
      <c r="C352">
        <f>MONTH(BSURTIDOR[[#This Row],[FECHA]])</f>
        <v>2</v>
      </c>
      <c r="D352">
        <f>YEAR(BSURTIDOR[[#This Row],[FECHA]])</f>
        <v>2026</v>
      </c>
      <c r="E352" s="124">
        <v>46071</v>
      </c>
      <c r="F352" s="364" t="s">
        <v>109</v>
      </c>
      <c r="G352" s="123">
        <v>2</v>
      </c>
      <c r="H352" s="123" t="s">
        <v>90</v>
      </c>
      <c r="I352" s="101" t="str">
        <f>VLOOKUP(BDsurtidor!$H352,$T$4:$W$18,2,FALSE)</f>
        <v>CISTERNA</v>
      </c>
      <c r="J352" s="101">
        <f>VLOOKUP(BDsurtidor!$H352,$T$4:$W$25,3,FALSE)</f>
        <v>5000</v>
      </c>
      <c r="K352" s="101">
        <f>VLOOKUP(BDsurtidor!$H352,$T$4:$W$25,4,FALSE)</f>
        <v>17</v>
      </c>
      <c r="L352" s="101">
        <f>VLOOKUP(BDsurtidor!$H352,$T$4:$X$25,5,FALSE)</f>
        <v>0.4</v>
      </c>
      <c r="M352" s="101" t="str">
        <f>VLOOKUP(BDsurtidor!$H352,$T$4:$Y$25,6,FALSE)</f>
        <v>EPS</v>
      </c>
      <c r="N352" s="70">
        <v>0</v>
      </c>
      <c r="O352" s="125">
        <v>1.07</v>
      </c>
      <c r="P352" s="126">
        <v>0.36041666666666666</v>
      </c>
      <c r="Q352" s="123" t="s">
        <v>626</v>
      </c>
    </row>
    <row r="353" spans="2:17" x14ac:dyDescent="0.25">
      <c r="B353">
        <f>WEEKNUM(BSURTIDOR[[#This Row],[FECHA]])</f>
        <v>8</v>
      </c>
      <c r="C353">
        <f>MONTH(BSURTIDOR[[#This Row],[FECHA]])</f>
        <v>2</v>
      </c>
      <c r="D353">
        <f>YEAR(BSURTIDOR[[#This Row],[FECHA]])</f>
        <v>2026</v>
      </c>
      <c r="E353" s="124">
        <v>46071</v>
      </c>
      <c r="F353" s="364" t="s">
        <v>109</v>
      </c>
      <c r="G353" s="123">
        <v>3</v>
      </c>
      <c r="H353" s="123" t="s">
        <v>87</v>
      </c>
      <c r="I353" s="101" t="str">
        <f>VLOOKUP(BDsurtidor!$H353,$T$4:$W$18,2,FALSE)</f>
        <v>CISTERNA</v>
      </c>
      <c r="J353" s="101">
        <f>VLOOKUP(BDsurtidor!$H353,$T$4:$W$25,3,FALSE)</f>
        <v>5000</v>
      </c>
      <c r="K353" s="101">
        <f>VLOOKUP(BDsurtidor!$H353,$T$4:$W$25,4,FALSE)</f>
        <v>17</v>
      </c>
      <c r="L353" s="101">
        <f>VLOOKUP(BDsurtidor!$H353,$T$4:$X$25,5,FALSE)</f>
        <v>0.4</v>
      </c>
      <c r="M353" s="101" t="str">
        <f>VLOOKUP(BDsurtidor!$H353,$T$4:$Y$25,6,FALSE)</f>
        <v>EPS</v>
      </c>
      <c r="N353" s="327">
        <v>0</v>
      </c>
      <c r="O353" s="125">
        <v>1.31</v>
      </c>
      <c r="P353" s="126">
        <v>0.37152777777777779</v>
      </c>
      <c r="Q353" s="123" t="s">
        <v>626</v>
      </c>
    </row>
    <row r="354" spans="2:17" x14ac:dyDescent="0.25">
      <c r="B354">
        <f>WEEKNUM(BSURTIDOR[[#This Row],[FECHA]])</f>
        <v>8</v>
      </c>
      <c r="C354">
        <f>MONTH(BSURTIDOR[[#This Row],[FECHA]])</f>
        <v>2</v>
      </c>
      <c r="D354">
        <f>YEAR(BSURTIDOR[[#This Row],[FECHA]])</f>
        <v>2026</v>
      </c>
      <c r="E354" s="124">
        <v>46071</v>
      </c>
      <c r="F354" s="364" t="s">
        <v>109</v>
      </c>
      <c r="G354" s="123">
        <v>4</v>
      </c>
      <c r="H354" s="123" t="s">
        <v>89</v>
      </c>
      <c r="I354" s="101" t="str">
        <f>VLOOKUP(BDsurtidor!$H354,$T$4:$W$18,2,FALSE)</f>
        <v>CISTERNA</v>
      </c>
      <c r="J354" s="101">
        <f>VLOOKUP(BDsurtidor!$H354,$T$4:$W$25,3,FALSE)</f>
        <v>9000</v>
      </c>
      <c r="K354" s="101">
        <f>VLOOKUP(BDsurtidor!$H354,$T$4:$W$25,4,FALSE)</f>
        <v>34</v>
      </c>
      <c r="L354" s="101">
        <f>VLOOKUP(BDsurtidor!$H354,$T$4:$X$25,5,FALSE)</f>
        <v>0.45</v>
      </c>
      <c r="M354" s="101" t="str">
        <f>VLOOKUP(BDsurtidor!$H354,$T$4:$Y$25,6,FALSE)</f>
        <v>VIVIENDA</v>
      </c>
      <c r="N354" s="70">
        <v>0</v>
      </c>
      <c r="O354" s="125">
        <v>1.08</v>
      </c>
      <c r="P354" s="126">
        <v>0.39097222222222222</v>
      </c>
      <c r="Q354" s="123" t="s">
        <v>626</v>
      </c>
    </row>
    <row r="355" spans="2:17" x14ac:dyDescent="0.25">
      <c r="B355">
        <f>WEEKNUM(BSURTIDOR[[#This Row],[FECHA]])</f>
        <v>8</v>
      </c>
      <c r="C355">
        <f>MONTH(BSURTIDOR[[#This Row],[FECHA]])</f>
        <v>2</v>
      </c>
      <c r="D355">
        <f>YEAR(BSURTIDOR[[#This Row],[FECHA]])</f>
        <v>2026</v>
      </c>
      <c r="E355" s="124">
        <v>46071</v>
      </c>
      <c r="F355" s="364" t="s">
        <v>109</v>
      </c>
      <c r="G355" s="123">
        <v>5</v>
      </c>
      <c r="H355" s="123" t="s">
        <v>97</v>
      </c>
      <c r="I355" s="101" t="str">
        <f>VLOOKUP(BDsurtidor!$H355,$T$4:$W$18,2,FALSE)</f>
        <v>CISTERNA</v>
      </c>
      <c r="J355" s="39">
        <f>VLOOKUP(BDsurtidor!$H355,$T$4:$W$25,3,FALSE)</f>
        <v>5000</v>
      </c>
      <c r="K355" s="39">
        <f>VLOOKUP(BDsurtidor!$H355,$T$4:$W$25,4,FALSE)</f>
        <v>17</v>
      </c>
      <c r="L355" s="101">
        <f>VLOOKUP(BDsurtidor!$H355,$T$4:$X$25,5,FALSE)</f>
        <v>0.4</v>
      </c>
      <c r="M355" s="39" t="str">
        <f>VLOOKUP(BDsurtidor!$H355,$T$4:$Y$25,6,FALSE)</f>
        <v>EPS</v>
      </c>
      <c r="N355" s="327">
        <v>0</v>
      </c>
      <c r="O355" s="125">
        <v>1.1299999999999999</v>
      </c>
      <c r="P355" s="126">
        <v>0.40069444444444446</v>
      </c>
      <c r="Q355" s="123" t="s">
        <v>626</v>
      </c>
    </row>
    <row r="356" spans="2:17" x14ac:dyDescent="0.25">
      <c r="B356">
        <f>WEEKNUM(BSURTIDOR[[#This Row],[FECHA]])</f>
        <v>8</v>
      </c>
      <c r="C356">
        <f>MONTH(BSURTIDOR[[#This Row],[FECHA]])</f>
        <v>2</v>
      </c>
      <c r="D356">
        <f>YEAR(BSURTIDOR[[#This Row],[FECHA]])</f>
        <v>2026</v>
      </c>
      <c r="E356" s="124">
        <v>46071</v>
      </c>
      <c r="F356" s="364" t="s">
        <v>109</v>
      </c>
      <c r="G356" s="123">
        <v>6</v>
      </c>
      <c r="H356" s="123" t="s">
        <v>98</v>
      </c>
      <c r="I356" s="101" t="str">
        <f>VLOOKUP(BDsurtidor!$H356,$T$4:$W$18,2,FALSE)</f>
        <v>CISTERNA</v>
      </c>
      <c r="J356" s="39">
        <f>VLOOKUP(BDsurtidor!$H356,$T$4:$W$25,3,FALSE)</f>
        <v>9000</v>
      </c>
      <c r="K356" s="39">
        <f>VLOOKUP(BDsurtidor!$H356,$T$4:$W$25,4,FALSE)</f>
        <v>34</v>
      </c>
      <c r="L356" s="101">
        <f>VLOOKUP(BDsurtidor!$H356,$T$4:$X$25,5,FALSE)</f>
        <v>0.45</v>
      </c>
      <c r="M356" s="39" t="str">
        <f>VLOOKUP(BDsurtidor!$H356,$T$4:$Y$25,6,FALSE)</f>
        <v>VIVIENDA</v>
      </c>
      <c r="N356" s="70">
        <v>0</v>
      </c>
      <c r="O356" s="125">
        <v>1.1499999999999999</v>
      </c>
      <c r="P356" s="126">
        <v>0.42152777777777778</v>
      </c>
      <c r="Q356" s="123" t="s">
        <v>626</v>
      </c>
    </row>
    <row r="357" spans="2:17" x14ac:dyDescent="0.25">
      <c r="B357">
        <f>WEEKNUM(BSURTIDOR[[#This Row],[FECHA]])</f>
        <v>8</v>
      </c>
      <c r="C357">
        <f>MONTH(BSURTIDOR[[#This Row],[FECHA]])</f>
        <v>2</v>
      </c>
      <c r="D357">
        <f>YEAR(BSURTIDOR[[#This Row],[FECHA]])</f>
        <v>2026</v>
      </c>
      <c r="E357" s="124">
        <v>46071</v>
      </c>
      <c r="F357" s="364" t="s">
        <v>109</v>
      </c>
      <c r="G357" s="123">
        <v>7</v>
      </c>
      <c r="H357" s="123" t="s">
        <v>99</v>
      </c>
      <c r="I357" s="101" t="str">
        <f>VLOOKUP(BDsurtidor!$H357,$T$4:$W$18,2,FALSE)</f>
        <v>CISTERNA</v>
      </c>
      <c r="J357" s="39">
        <f>VLOOKUP(BDsurtidor!$H357,$T$4:$W$25,3,FALSE)</f>
        <v>5000</v>
      </c>
      <c r="K357" s="39">
        <f>VLOOKUP(BDsurtidor!$H357,$T$4:$W$25,4,FALSE)</f>
        <v>17</v>
      </c>
      <c r="L357" s="101">
        <f>VLOOKUP(BDsurtidor!$H357,$T$4:$X$25,5,FALSE)</f>
        <v>0.4</v>
      </c>
      <c r="M357" s="39" t="str">
        <f>VLOOKUP(BDsurtidor!$H357,$T$4:$Y$25,6,FALSE)</f>
        <v>EPS</v>
      </c>
      <c r="N357" s="327">
        <v>0</v>
      </c>
      <c r="O357" s="125">
        <v>1.08</v>
      </c>
      <c r="P357" s="126">
        <v>0.49444444444444446</v>
      </c>
      <c r="Q357" s="123" t="s">
        <v>626</v>
      </c>
    </row>
    <row r="358" spans="2:17" x14ac:dyDescent="0.25">
      <c r="B358">
        <f>WEEKNUM(BSURTIDOR[[#This Row],[FECHA]])</f>
        <v>8</v>
      </c>
      <c r="C358">
        <f>MONTH(BSURTIDOR[[#This Row],[FECHA]])</f>
        <v>2</v>
      </c>
      <c r="D358">
        <f>YEAR(BSURTIDOR[[#This Row],[FECHA]])</f>
        <v>2026</v>
      </c>
      <c r="E358" s="124">
        <v>46071</v>
      </c>
      <c r="F358" s="364" t="s">
        <v>109</v>
      </c>
      <c r="G358" s="123">
        <v>8</v>
      </c>
      <c r="H358" s="123" t="s">
        <v>90</v>
      </c>
      <c r="I358" s="101" t="str">
        <f>VLOOKUP(BDsurtidor!$H358,$T$4:$W$18,2,FALSE)</f>
        <v>CISTERNA</v>
      </c>
      <c r="J358" s="39">
        <f>VLOOKUP(BDsurtidor!$H358,$T$4:$W$25,3,FALSE)</f>
        <v>5000</v>
      </c>
      <c r="K358" s="39">
        <f>VLOOKUP(BDsurtidor!$H358,$T$4:$W$25,4,FALSE)</f>
        <v>17</v>
      </c>
      <c r="L358" s="101">
        <f>VLOOKUP(BDsurtidor!$H358,$T$4:$X$25,5,FALSE)</f>
        <v>0.4</v>
      </c>
      <c r="M358" s="39" t="str">
        <f>VLOOKUP(BDsurtidor!$H358,$T$4:$Y$25,6,FALSE)</f>
        <v>EPS</v>
      </c>
      <c r="N358" s="70">
        <v>0</v>
      </c>
      <c r="O358" s="125">
        <v>1.17</v>
      </c>
      <c r="P358" s="126">
        <v>0.50416666666666665</v>
      </c>
      <c r="Q358" s="123" t="s">
        <v>626</v>
      </c>
    </row>
    <row r="359" spans="2:17" x14ac:dyDescent="0.25">
      <c r="B359">
        <f>WEEKNUM(BSURTIDOR[[#This Row],[FECHA]])</f>
        <v>8</v>
      </c>
      <c r="C359">
        <f>MONTH(BSURTIDOR[[#This Row],[FECHA]])</f>
        <v>2</v>
      </c>
      <c r="D359">
        <f>YEAR(BSURTIDOR[[#This Row],[FECHA]])</f>
        <v>2026</v>
      </c>
      <c r="E359" s="124">
        <v>46071</v>
      </c>
      <c r="F359" s="364" t="s">
        <v>109</v>
      </c>
      <c r="G359" s="123">
        <v>9</v>
      </c>
      <c r="H359" s="123" t="s">
        <v>89</v>
      </c>
      <c r="I359" s="101" t="str">
        <f>VLOOKUP(BDsurtidor!$H359,$T$4:$W$18,2,FALSE)</f>
        <v>CISTERNA</v>
      </c>
      <c r="J359" s="39">
        <f>VLOOKUP(BDsurtidor!$H359,$T$4:$W$25,3,FALSE)</f>
        <v>9000</v>
      </c>
      <c r="K359" s="39">
        <f>VLOOKUP(BDsurtidor!$H359,$T$4:$W$25,4,FALSE)</f>
        <v>34</v>
      </c>
      <c r="L359" s="101">
        <f>VLOOKUP(BDsurtidor!$H359,$T$4:$X$25,5,FALSE)</f>
        <v>0.45</v>
      </c>
      <c r="M359" s="39" t="str">
        <f>VLOOKUP(BDsurtidor!$H359,$T$4:$Y$25,6,FALSE)</f>
        <v>VIVIENDA</v>
      </c>
      <c r="N359" s="327">
        <v>0</v>
      </c>
      <c r="O359" s="125">
        <v>1.1200000000000001</v>
      </c>
      <c r="P359" s="126">
        <v>0.51458333333333328</v>
      </c>
      <c r="Q359" s="123" t="s">
        <v>626</v>
      </c>
    </row>
    <row r="360" spans="2:17" x14ac:dyDescent="0.25">
      <c r="B360">
        <f>WEEKNUM(BSURTIDOR[[#This Row],[FECHA]])</f>
        <v>8</v>
      </c>
      <c r="C360">
        <f>MONTH(BSURTIDOR[[#This Row],[FECHA]])</f>
        <v>2</v>
      </c>
      <c r="D360">
        <f>YEAR(BSURTIDOR[[#This Row],[FECHA]])</f>
        <v>2026</v>
      </c>
      <c r="E360" s="124">
        <v>46071</v>
      </c>
      <c r="F360" s="364" t="s">
        <v>109</v>
      </c>
      <c r="G360" s="123">
        <v>10</v>
      </c>
      <c r="H360" s="123" t="s">
        <v>88</v>
      </c>
      <c r="I360" s="101" t="str">
        <f>VLOOKUP(BDsurtidor!$H360,$T$4:$W$18,2,FALSE)</f>
        <v>CISTERNA</v>
      </c>
      <c r="J360" s="39">
        <f>VLOOKUP(BDsurtidor!$H360,$T$4:$W$25,3,FALSE)</f>
        <v>5000</v>
      </c>
      <c r="K360" s="39">
        <f>VLOOKUP(BDsurtidor!$H360,$T$4:$W$25,4,FALSE)</f>
        <v>17</v>
      </c>
      <c r="L360" s="101">
        <f>VLOOKUP(BDsurtidor!$H360,$T$4:$X$25,5,FALSE)</f>
        <v>0.4</v>
      </c>
      <c r="M360" s="39" t="str">
        <f>VLOOKUP(BDsurtidor!$H360,$T$4:$Y$25,6,FALSE)</f>
        <v>EPS</v>
      </c>
      <c r="N360" s="70">
        <v>0</v>
      </c>
      <c r="O360" s="125">
        <v>1.1000000000000001</v>
      </c>
      <c r="P360" s="126">
        <v>0.52222222222222225</v>
      </c>
      <c r="Q360" s="123" t="s">
        <v>626</v>
      </c>
    </row>
    <row r="361" spans="2:17" x14ac:dyDescent="0.25">
      <c r="B361">
        <f>WEEKNUM(BSURTIDOR[[#This Row],[FECHA]])</f>
        <v>8</v>
      </c>
      <c r="C361">
        <f>MONTH(BSURTIDOR[[#This Row],[FECHA]])</f>
        <v>2</v>
      </c>
      <c r="D361">
        <f>YEAR(BSURTIDOR[[#This Row],[FECHA]])</f>
        <v>2026</v>
      </c>
      <c r="E361" s="124">
        <v>46071</v>
      </c>
      <c r="F361" s="364" t="s">
        <v>109</v>
      </c>
      <c r="G361" s="123">
        <v>11</v>
      </c>
      <c r="H361" s="123" t="s">
        <v>97</v>
      </c>
      <c r="I361" s="101" t="str">
        <f>VLOOKUP(BDsurtidor!$H361,$T$4:$W$18,2,FALSE)</f>
        <v>CISTERNA</v>
      </c>
      <c r="J361" s="39">
        <f>VLOOKUP(BDsurtidor!$H361,$T$4:$W$25,3,FALSE)</f>
        <v>5000</v>
      </c>
      <c r="K361" s="39">
        <f>VLOOKUP(BDsurtidor!$H361,$T$4:$W$25,4,FALSE)</f>
        <v>17</v>
      </c>
      <c r="L361" s="101">
        <f>VLOOKUP(BDsurtidor!$H361,$T$4:$X$25,5,FALSE)</f>
        <v>0.4</v>
      </c>
      <c r="M361" s="39" t="str">
        <f>VLOOKUP(BDsurtidor!$H361,$T$4:$Y$25,6,FALSE)</f>
        <v>EPS</v>
      </c>
      <c r="N361" s="327">
        <v>0</v>
      </c>
      <c r="O361" s="125">
        <v>1.1499999999999999</v>
      </c>
      <c r="P361" s="126">
        <v>0.53263888888888888</v>
      </c>
      <c r="Q361" s="123" t="s">
        <v>626</v>
      </c>
    </row>
    <row r="362" spans="2:17" x14ac:dyDescent="0.25">
      <c r="B362">
        <f>WEEKNUM(BSURTIDOR[[#This Row],[FECHA]])</f>
        <v>8</v>
      </c>
      <c r="C362">
        <f>MONTH(BSURTIDOR[[#This Row],[FECHA]])</f>
        <v>2</v>
      </c>
      <c r="D362">
        <f>YEAR(BSURTIDOR[[#This Row],[FECHA]])</f>
        <v>2026</v>
      </c>
      <c r="E362" s="124">
        <v>46071</v>
      </c>
      <c r="F362" s="364" t="s">
        <v>109</v>
      </c>
      <c r="G362" s="123">
        <v>12</v>
      </c>
      <c r="H362" s="123" t="s">
        <v>99</v>
      </c>
      <c r="I362" s="101" t="str">
        <f>VLOOKUP(BDsurtidor!$H362,$T$4:$W$18,2,FALSE)</f>
        <v>CISTERNA</v>
      </c>
      <c r="J362" s="39">
        <f>VLOOKUP(BDsurtidor!$H362,$T$4:$W$25,3,FALSE)</f>
        <v>5000</v>
      </c>
      <c r="K362" s="39">
        <f>VLOOKUP(BDsurtidor!$H362,$T$4:$W$25,4,FALSE)</f>
        <v>17</v>
      </c>
      <c r="L362" s="101">
        <f>VLOOKUP(BDsurtidor!$H362,$T$4:$X$25,5,FALSE)</f>
        <v>0.4</v>
      </c>
      <c r="M362" s="39" t="str">
        <f>VLOOKUP(BDsurtidor!$H362,$T$4:$Y$25,6,FALSE)</f>
        <v>EPS</v>
      </c>
      <c r="N362" s="70">
        <v>0</v>
      </c>
      <c r="O362" s="125">
        <v>1.46</v>
      </c>
      <c r="P362" s="126">
        <v>0.56666666666666665</v>
      </c>
      <c r="Q362" s="123" t="s">
        <v>626</v>
      </c>
    </row>
    <row r="363" spans="2:17" x14ac:dyDescent="0.25">
      <c r="B363">
        <f>WEEKNUM(BSURTIDOR[[#This Row],[FECHA]])</f>
        <v>8</v>
      </c>
      <c r="C363">
        <f>MONTH(BSURTIDOR[[#This Row],[FECHA]])</f>
        <v>2</v>
      </c>
      <c r="D363">
        <f>YEAR(BSURTIDOR[[#This Row],[FECHA]])</f>
        <v>2026</v>
      </c>
      <c r="E363" s="124">
        <v>46071</v>
      </c>
      <c r="F363" s="364" t="s">
        <v>109</v>
      </c>
      <c r="G363" s="123">
        <v>13</v>
      </c>
      <c r="H363" s="123" t="s">
        <v>88</v>
      </c>
      <c r="I363" s="101" t="str">
        <f>VLOOKUP(BDsurtidor!$H363,$T$4:$W$18,2,FALSE)</f>
        <v>CISTERNA</v>
      </c>
      <c r="J363" s="39">
        <f>VLOOKUP(BDsurtidor!$H363,$T$4:$W$25,3,FALSE)</f>
        <v>5000</v>
      </c>
      <c r="K363" s="39">
        <f>VLOOKUP(BDsurtidor!$H363,$T$4:$W$25,4,FALSE)</f>
        <v>17</v>
      </c>
      <c r="L363" s="101">
        <f>VLOOKUP(BDsurtidor!$H363,$T$4:$X$25,5,FALSE)</f>
        <v>0.4</v>
      </c>
      <c r="M363" s="39" t="str">
        <f>VLOOKUP(BDsurtidor!$H363,$T$4:$Y$25,6,FALSE)</f>
        <v>EPS</v>
      </c>
      <c r="N363" s="327">
        <v>0</v>
      </c>
      <c r="O363" s="125">
        <v>1.1200000000000001</v>
      </c>
      <c r="P363" s="126">
        <v>9.8611111111111108E-2</v>
      </c>
      <c r="Q363" s="123" t="s">
        <v>626</v>
      </c>
    </row>
    <row r="364" spans="2:17" x14ac:dyDescent="0.25">
      <c r="B364">
        <f>WEEKNUM(BSURTIDOR[[#This Row],[FECHA]])</f>
        <v>8</v>
      </c>
      <c r="C364">
        <f>MONTH(BSURTIDOR[[#This Row],[FECHA]])</f>
        <v>2</v>
      </c>
      <c r="D364">
        <f>YEAR(BSURTIDOR[[#This Row],[FECHA]])</f>
        <v>2026</v>
      </c>
      <c r="E364" s="124">
        <v>46071</v>
      </c>
      <c r="F364" s="364" t="s">
        <v>109</v>
      </c>
      <c r="G364" s="123">
        <v>13</v>
      </c>
      <c r="H364" s="123" t="s">
        <v>89</v>
      </c>
      <c r="I364" s="101" t="str">
        <f>VLOOKUP(BDsurtidor!$H364,$T$4:$W$18,2,FALSE)</f>
        <v>CISTERNA</v>
      </c>
      <c r="J364" s="101">
        <f>VLOOKUP(BDsurtidor!$H364,$T$4:$W$25,3,FALSE)</f>
        <v>9000</v>
      </c>
      <c r="K364" s="101">
        <f>VLOOKUP(BDsurtidor!$H364,$T$4:$W$25,4,FALSE)</f>
        <v>34</v>
      </c>
      <c r="L364" s="101">
        <f>VLOOKUP(BDsurtidor!$H364,$T$4:$X$25,5,FALSE)</f>
        <v>0.45</v>
      </c>
      <c r="M364" s="101" t="str">
        <f>VLOOKUP(BDsurtidor!$H364,$T$4:$Y$25,6,FALSE)</f>
        <v>VIVIENDA</v>
      </c>
      <c r="N364" s="70">
        <v>0</v>
      </c>
      <c r="O364" s="125"/>
      <c r="P364" s="126">
        <v>0.89583333333333337</v>
      </c>
      <c r="Q364" s="123" t="s">
        <v>626</v>
      </c>
    </row>
    <row r="365" spans="2:17" x14ac:dyDescent="0.25">
      <c r="B365">
        <f>WEEKNUM(BSURTIDOR[[#This Row],[FECHA]])</f>
        <v>8</v>
      </c>
      <c r="C365">
        <f>MONTH(BSURTIDOR[[#This Row],[FECHA]])</f>
        <v>2</v>
      </c>
      <c r="D365">
        <f>YEAR(BSURTIDOR[[#This Row],[FECHA]])</f>
        <v>2026</v>
      </c>
      <c r="E365" s="124">
        <v>46072</v>
      </c>
      <c r="F365" s="364" t="s">
        <v>109</v>
      </c>
      <c r="G365" s="123">
        <v>1</v>
      </c>
      <c r="H365" s="123" t="s">
        <v>98</v>
      </c>
      <c r="I365" s="101" t="str">
        <f>VLOOKUP(BDsurtidor!$H365,$T$4:$W$18,2,FALSE)</f>
        <v>CISTERNA</v>
      </c>
      <c r="J365" s="101">
        <f>VLOOKUP(BDsurtidor!$H365,$T$4:$W$25,3,FALSE)</f>
        <v>9000</v>
      </c>
      <c r="K365" s="101">
        <f>VLOOKUP(BDsurtidor!$H365,$T$4:$W$25,4,FALSE)</f>
        <v>34</v>
      </c>
      <c r="L365" s="101">
        <f>VLOOKUP(BDsurtidor!$H365,$T$4:$X$25,5,FALSE)</f>
        <v>0.45</v>
      </c>
      <c r="M365" s="101" t="str">
        <f>VLOOKUP(BDsurtidor!$H365,$T$4:$Y$25,6,FALSE)</f>
        <v>VIVIENDA</v>
      </c>
      <c r="N365" s="327">
        <v>0</v>
      </c>
      <c r="O365" s="125">
        <v>1.4</v>
      </c>
      <c r="P365" s="126">
        <v>0.28819444444444442</v>
      </c>
      <c r="Q365" s="123" t="s">
        <v>626</v>
      </c>
    </row>
    <row r="366" spans="2:17" x14ac:dyDescent="0.25">
      <c r="B366">
        <f>WEEKNUM(BSURTIDOR[[#This Row],[FECHA]])</f>
        <v>8</v>
      </c>
      <c r="C366">
        <f>MONTH(BSURTIDOR[[#This Row],[FECHA]])</f>
        <v>2</v>
      </c>
      <c r="D366">
        <f>YEAR(BSURTIDOR[[#This Row],[FECHA]])</f>
        <v>2026</v>
      </c>
      <c r="E366" s="124">
        <v>46072</v>
      </c>
      <c r="F366" s="364" t="s">
        <v>109</v>
      </c>
      <c r="G366" s="123">
        <v>2</v>
      </c>
      <c r="H366" s="123" t="s">
        <v>99</v>
      </c>
      <c r="I366" s="101" t="str">
        <f>VLOOKUP(BDsurtidor!$H366,$T$4:$W$18,2,FALSE)</f>
        <v>CISTERNA</v>
      </c>
      <c r="J366" s="101">
        <f>VLOOKUP(BDsurtidor!$H366,$T$4:$W$25,3,FALSE)</f>
        <v>5000</v>
      </c>
      <c r="K366" s="101">
        <f>VLOOKUP(BDsurtidor!$H366,$T$4:$W$25,4,FALSE)</f>
        <v>17</v>
      </c>
      <c r="L366" s="101">
        <f>VLOOKUP(BDsurtidor!$H366,$T$4:$X$25,5,FALSE)</f>
        <v>0.4</v>
      </c>
      <c r="M366" s="101" t="str">
        <f>VLOOKUP(BDsurtidor!$H366,$T$4:$Y$25,6,FALSE)</f>
        <v>EPS</v>
      </c>
      <c r="N366" s="70">
        <v>0</v>
      </c>
      <c r="O366" s="125">
        <v>0.9</v>
      </c>
      <c r="P366" s="126">
        <v>0.31944444444444442</v>
      </c>
      <c r="Q366" s="123" t="s">
        <v>626</v>
      </c>
    </row>
    <row r="367" spans="2:17" x14ac:dyDescent="0.25">
      <c r="B367">
        <f>WEEKNUM(BSURTIDOR[[#This Row],[FECHA]])</f>
        <v>8</v>
      </c>
      <c r="C367">
        <f>MONTH(BSURTIDOR[[#This Row],[FECHA]])</f>
        <v>2</v>
      </c>
      <c r="D367">
        <f>YEAR(BSURTIDOR[[#This Row],[FECHA]])</f>
        <v>2026</v>
      </c>
      <c r="E367" s="124">
        <v>46072</v>
      </c>
      <c r="F367" s="364" t="s">
        <v>109</v>
      </c>
      <c r="G367" s="123">
        <v>3</v>
      </c>
      <c r="H367" s="123" t="s">
        <v>87</v>
      </c>
      <c r="I367" s="101" t="str">
        <f>VLOOKUP(BDsurtidor!$H367,$T$4:$W$18,2,FALSE)</f>
        <v>CISTERNA</v>
      </c>
      <c r="J367" s="101">
        <f>VLOOKUP(BDsurtidor!$H367,$T$4:$W$25,3,FALSE)</f>
        <v>5000</v>
      </c>
      <c r="K367" s="101">
        <f>VLOOKUP(BDsurtidor!$H367,$T$4:$W$25,4,FALSE)</f>
        <v>17</v>
      </c>
      <c r="L367" s="101">
        <f>VLOOKUP(BDsurtidor!$H367,$T$4:$X$25,5,FALSE)</f>
        <v>0.4</v>
      </c>
      <c r="M367" s="101" t="str">
        <f>VLOOKUP(BDsurtidor!$H367,$T$4:$Y$25,6,FALSE)</f>
        <v>EPS</v>
      </c>
      <c r="N367" s="327">
        <v>0</v>
      </c>
      <c r="O367" s="125">
        <v>1.04</v>
      </c>
      <c r="P367" s="126">
        <v>0.33750000000000002</v>
      </c>
      <c r="Q367" s="123" t="s">
        <v>626</v>
      </c>
    </row>
    <row r="368" spans="2:17" x14ac:dyDescent="0.25">
      <c r="B368">
        <f>WEEKNUM(BSURTIDOR[[#This Row],[FECHA]])</f>
        <v>8</v>
      </c>
      <c r="C368">
        <f>MONTH(BSURTIDOR[[#This Row],[FECHA]])</f>
        <v>2</v>
      </c>
      <c r="D368">
        <f>YEAR(BSURTIDOR[[#This Row],[FECHA]])</f>
        <v>2026</v>
      </c>
      <c r="E368" s="124">
        <v>46072</v>
      </c>
      <c r="F368" s="364" t="s">
        <v>109</v>
      </c>
      <c r="G368" s="123">
        <v>4</v>
      </c>
      <c r="H368" s="123" t="s">
        <v>89</v>
      </c>
      <c r="I368" s="101" t="str">
        <f>VLOOKUP(BDsurtidor!$H368,$T$4:$W$18,2,FALSE)</f>
        <v>CISTERNA</v>
      </c>
      <c r="J368" s="101">
        <f>VLOOKUP(BDsurtidor!$H368,$T$4:$W$25,3,FALSE)</f>
        <v>9000</v>
      </c>
      <c r="K368" s="101">
        <f>VLOOKUP(BDsurtidor!$H368,$T$4:$W$25,4,FALSE)</f>
        <v>34</v>
      </c>
      <c r="L368" s="101">
        <f>VLOOKUP(BDsurtidor!$H368,$T$4:$X$25,5,FALSE)</f>
        <v>0.45</v>
      </c>
      <c r="M368" s="101" t="str">
        <f>VLOOKUP(BDsurtidor!$H368,$T$4:$Y$25,6,FALSE)</f>
        <v>VIVIENDA</v>
      </c>
      <c r="N368" s="70">
        <v>0</v>
      </c>
      <c r="O368" s="125">
        <v>1.01</v>
      </c>
      <c r="P368" s="126">
        <v>0.35416666666666669</v>
      </c>
      <c r="Q368" s="123" t="s">
        <v>626</v>
      </c>
    </row>
    <row r="369" spans="2:17" x14ac:dyDescent="0.25">
      <c r="B369">
        <f>WEEKNUM(BSURTIDOR[[#This Row],[FECHA]])</f>
        <v>8</v>
      </c>
      <c r="C369">
        <f>MONTH(BSURTIDOR[[#This Row],[FECHA]])</f>
        <v>2</v>
      </c>
      <c r="D369">
        <f>YEAR(BSURTIDOR[[#This Row],[FECHA]])</f>
        <v>2026</v>
      </c>
      <c r="E369" s="124">
        <v>46072</v>
      </c>
      <c r="F369" s="364" t="s">
        <v>109</v>
      </c>
      <c r="G369" s="123">
        <v>5</v>
      </c>
      <c r="H369" s="123" t="s">
        <v>90</v>
      </c>
      <c r="I369" s="101" t="str">
        <f>VLOOKUP(BDsurtidor!$H369,$T$4:$W$18,2,FALSE)</f>
        <v>CISTERNA</v>
      </c>
      <c r="J369" s="101">
        <f>VLOOKUP(BDsurtidor!$H369,$T$4:$W$25,3,FALSE)</f>
        <v>5000</v>
      </c>
      <c r="K369" s="101">
        <f>VLOOKUP(BDsurtidor!$H369,$T$4:$W$25,4,FALSE)</f>
        <v>17</v>
      </c>
      <c r="L369" s="101">
        <f>VLOOKUP(BDsurtidor!$H369,$T$4:$X$25,5,FALSE)</f>
        <v>0.4</v>
      </c>
      <c r="M369" s="101" t="str">
        <f>VLOOKUP(BDsurtidor!$H369,$T$4:$Y$25,6,FALSE)</f>
        <v>EPS</v>
      </c>
      <c r="N369" s="327">
        <v>0</v>
      </c>
      <c r="O369" s="125">
        <v>1.17</v>
      </c>
      <c r="P369" s="126">
        <v>0.36458333333333331</v>
      </c>
      <c r="Q369" s="123" t="s">
        <v>626</v>
      </c>
    </row>
    <row r="370" spans="2:17" x14ac:dyDescent="0.25">
      <c r="B370">
        <f>WEEKNUM(BSURTIDOR[[#This Row],[FECHA]])</f>
        <v>8</v>
      </c>
      <c r="C370">
        <f>MONTH(BSURTIDOR[[#This Row],[FECHA]])</f>
        <v>2</v>
      </c>
      <c r="D370">
        <f>YEAR(BSURTIDOR[[#This Row],[FECHA]])</f>
        <v>2026</v>
      </c>
      <c r="E370" s="124">
        <v>46072</v>
      </c>
      <c r="F370" s="364" t="s">
        <v>109</v>
      </c>
      <c r="G370" s="123">
        <v>6</v>
      </c>
      <c r="H370" s="123" t="s">
        <v>97</v>
      </c>
      <c r="I370" s="101" t="str">
        <f>VLOOKUP(BDsurtidor!$H370,$T$4:$W$18,2,FALSE)</f>
        <v>CISTERNA</v>
      </c>
      <c r="J370" s="101">
        <f>VLOOKUP(BDsurtidor!$H370,$T$4:$W$25,3,FALSE)</f>
        <v>5000</v>
      </c>
      <c r="K370" s="101">
        <f>VLOOKUP(BDsurtidor!$H370,$T$4:$W$25,4,FALSE)</f>
        <v>17</v>
      </c>
      <c r="L370" s="101">
        <f>VLOOKUP(BDsurtidor!$H370,$T$4:$X$25,5,FALSE)</f>
        <v>0.4</v>
      </c>
      <c r="M370" s="101" t="str">
        <f>VLOOKUP(BDsurtidor!$H370,$T$4:$Y$25,6,FALSE)</f>
        <v>EPS</v>
      </c>
      <c r="N370" s="70">
        <v>0</v>
      </c>
      <c r="O370" s="125">
        <v>1.1299999999999999</v>
      </c>
      <c r="P370" s="126">
        <v>0.40763888888888888</v>
      </c>
      <c r="Q370" s="123" t="s">
        <v>626</v>
      </c>
    </row>
    <row r="371" spans="2:17" x14ac:dyDescent="0.25">
      <c r="B371">
        <f>WEEKNUM(BSURTIDOR[[#This Row],[FECHA]])</f>
        <v>8</v>
      </c>
      <c r="C371">
        <f>MONTH(BSURTIDOR[[#This Row],[FECHA]])</f>
        <v>2</v>
      </c>
      <c r="D371">
        <f>YEAR(BSURTIDOR[[#This Row],[FECHA]])</f>
        <v>2026</v>
      </c>
      <c r="E371" s="124">
        <v>46072</v>
      </c>
      <c r="F371" s="364" t="s">
        <v>109</v>
      </c>
      <c r="G371" s="123">
        <v>7</v>
      </c>
      <c r="H371" s="123" t="s">
        <v>88</v>
      </c>
      <c r="I371" s="101" t="str">
        <f>VLOOKUP(BDsurtidor!$H371,$T$4:$W$18,2,FALSE)</f>
        <v>CISTERNA</v>
      </c>
      <c r="J371" s="39">
        <f>VLOOKUP(BDsurtidor!$H371,$T$4:$W$25,3,FALSE)</f>
        <v>5000</v>
      </c>
      <c r="K371" s="39">
        <f>VLOOKUP(BDsurtidor!$H371,$T$4:$W$25,4,FALSE)</f>
        <v>17</v>
      </c>
      <c r="L371" s="101">
        <f>VLOOKUP(BDsurtidor!$H371,$T$4:$X$25,5,FALSE)</f>
        <v>0.4</v>
      </c>
      <c r="M371" s="39" t="str">
        <f>VLOOKUP(BDsurtidor!$H371,$T$4:$Y$25,6,FALSE)</f>
        <v>EPS</v>
      </c>
      <c r="N371" s="327">
        <v>0</v>
      </c>
      <c r="O371" s="125">
        <v>1.04</v>
      </c>
      <c r="P371" s="126">
        <v>0.47569444444444442</v>
      </c>
      <c r="Q371" s="123" t="s">
        <v>626</v>
      </c>
    </row>
    <row r="372" spans="2:17" x14ac:dyDescent="0.25">
      <c r="B372">
        <f>WEEKNUM(BSURTIDOR[[#This Row],[FECHA]])</f>
        <v>8</v>
      </c>
      <c r="C372">
        <f>MONTH(BSURTIDOR[[#This Row],[FECHA]])</f>
        <v>2</v>
      </c>
      <c r="D372">
        <f>YEAR(BSURTIDOR[[#This Row],[FECHA]])</f>
        <v>2026</v>
      </c>
      <c r="E372" s="124">
        <v>46072</v>
      </c>
      <c r="F372" s="364" t="s">
        <v>109</v>
      </c>
      <c r="G372" s="123">
        <v>8</v>
      </c>
      <c r="H372" s="123" t="s">
        <v>87</v>
      </c>
      <c r="I372" s="101" t="str">
        <f>VLOOKUP(BDsurtidor!$H371,$T$4:$W$18,2,FALSE)</f>
        <v>CISTERNA</v>
      </c>
      <c r="J372" s="101">
        <f>VLOOKUP(BDsurtidor!$H371,$T$4:$W$25,3,FALSE)</f>
        <v>5000</v>
      </c>
      <c r="K372" s="101">
        <f>VLOOKUP(BDsurtidor!$H371,$T$4:$W$25,4,FALSE)</f>
        <v>17</v>
      </c>
      <c r="L372" s="101">
        <f>VLOOKUP(BDsurtidor!$H371,$T$4:$X$25,5,FALSE)</f>
        <v>0.4</v>
      </c>
      <c r="M372" s="101" t="str">
        <f>VLOOKUP(BDsurtidor!$H371,$T$4:$Y$25,6,FALSE)</f>
        <v>EPS</v>
      </c>
      <c r="N372" s="70">
        <v>0</v>
      </c>
      <c r="O372" s="125">
        <v>1.27</v>
      </c>
      <c r="P372" s="126">
        <v>0.49305555555555558</v>
      </c>
      <c r="Q372" s="123" t="s">
        <v>626</v>
      </c>
    </row>
    <row r="373" spans="2:17" x14ac:dyDescent="0.25">
      <c r="B373">
        <f>WEEKNUM(BSURTIDOR[[#This Row],[FECHA]])</f>
        <v>8</v>
      </c>
      <c r="C373">
        <f>MONTH(BSURTIDOR[[#This Row],[FECHA]])</f>
        <v>2</v>
      </c>
      <c r="D373">
        <f>YEAR(BSURTIDOR[[#This Row],[FECHA]])</f>
        <v>2026</v>
      </c>
      <c r="E373" s="124">
        <v>46072</v>
      </c>
      <c r="F373" s="364" t="s">
        <v>109</v>
      </c>
      <c r="G373" s="123">
        <v>9</v>
      </c>
      <c r="H373" s="123" t="s">
        <v>89</v>
      </c>
      <c r="I373" s="101" t="str">
        <f>VLOOKUP(BDsurtidor!$H372,$T$4:$W$18,2,FALSE)</f>
        <v>CISTERNA</v>
      </c>
      <c r="J373" s="101">
        <f>VLOOKUP(BDsurtidor!$H372,$T$4:$W$25,3,FALSE)</f>
        <v>5000</v>
      </c>
      <c r="K373" s="101">
        <f>VLOOKUP(BDsurtidor!$H372,$T$4:$W$25,4,FALSE)</f>
        <v>17</v>
      </c>
      <c r="L373" s="101">
        <f>VLOOKUP(BDsurtidor!$H372,$T$4:$X$25,5,FALSE)</f>
        <v>0.4</v>
      </c>
      <c r="M373" s="101" t="str">
        <f>VLOOKUP(BDsurtidor!$H372,$T$4:$Y$25,6,FALSE)</f>
        <v>EPS</v>
      </c>
      <c r="N373" s="327">
        <v>0</v>
      </c>
      <c r="O373" s="125">
        <v>1.25</v>
      </c>
      <c r="P373" s="126">
        <v>0.51736111111111116</v>
      </c>
      <c r="Q373" s="123" t="s">
        <v>626</v>
      </c>
    </row>
    <row r="374" spans="2:17" x14ac:dyDescent="0.25">
      <c r="B374">
        <f>WEEKNUM(BSURTIDOR[[#This Row],[FECHA]])</f>
        <v>8</v>
      </c>
      <c r="C374">
        <f>MONTH(BSURTIDOR[[#This Row],[FECHA]])</f>
        <v>2</v>
      </c>
      <c r="D374">
        <f>YEAR(BSURTIDOR[[#This Row],[FECHA]])</f>
        <v>2026</v>
      </c>
      <c r="E374" s="124">
        <v>46072</v>
      </c>
      <c r="F374" s="364" t="s">
        <v>109</v>
      </c>
      <c r="G374" s="123">
        <v>10</v>
      </c>
      <c r="H374" s="123" t="s">
        <v>90</v>
      </c>
      <c r="I374" s="101" t="str">
        <f>VLOOKUP(BDsurtidor!$H373,$T$4:$W$18,2,FALSE)</f>
        <v>CISTERNA</v>
      </c>
      <c r="J374" s="101">
        <f>VLOOKUP(BDsurtidor!$H373,$T$4:$W$25,3,FALSE)</f>
        <v>9000</v>
      </c>
      <c r="K374" s="101">
        <f>VLOOKUP(BDsurtidor!$H373,$T$4:$W$25,4,FALSE)</f>
        <v>34</v>
      </c>
      <c r="L374" s="101">
        <f>VLOOKUP(BDsurtidor!$H373,$T$4:$X$25,5,FALSE)</f>
        <v>0.45</v>
      </c>
      <c r="M374" s="101" t="str">
        <f>VLOOKUP(BDsurtidor!$H373,$T$4:$Y$25,6,FALSE)</f>
        <v>VIVIENDA</v>
      </c>
      <c r="N374" s="70">
        <v>0</v>
      </c>
      <c r="O374" s="125">
        <v>1.21</v>
      </c>
      <c r="P374" s="126">
        <v>0.52430555555555558</v>
      </c>
      <c r="Q374" s="123" t="s">
        <v>626</v>
      </c>
    </row>
    <row r="375" spans="2:17" x14ac:dyDescent="0.25">
      <c r="B375">
        <f>WEEKNUM(BSURTIDOR[[#This Row],[FECHA]])</f>
        <v>8</v>
      </c>
      <c r="C375">
        <f>MONTH(BSURTIDOR[[#This Row],[FECHA]])</f>
        <v>2</v>
      </c>
      <c r="D375">
        <f>YEAR(BSURTIDOR[[#This Row],[FECHA]])</f>
        <v>2026</v>
      </c>
      <c r="E375" s="124">
        <v>46072</v>
      </c>
      <c r="F375" s="364" t="s">
        <v>109</v>
      </c>
      <c r="G375" s="123">
        <v>11</v>
      </c>
      <c r="H375" s="123" t="s">
        <v>97</v>
      </c>
      <c r="I375" s="101" t="str">
        <f>VLOOKUP(BDsurtidor!$H374,$T$4:$W$18,2,FALSE)</f>
        <v>CISTERNA</v>
      </c>
      <c r="J375" s="101">
        <f>VLOOKUP(BDsurtidor!$H374,$T$4:$W$25,3,FALSE)</f>
        <v>5000</v>
      </c>
      <c r="K375" s="101">
        <f>VLOOKUP(BDsurtidor!$H374,$T$4:$W$25,4,FALSE)</f>
        <v>17</v>
      </c>
      <c r="L375" s="101">
        <f>VLOOKUP(BDsurtidor!$H374,$T$4:$X$25,5,FALSE)</f>
        <v>0.4</v>
      </c>
      <c r="M375" s="101" t="str">
        <f>VLOOKUP(BDsurtidor!$H374,$T$4:$Y$25,6,FALSE)</f>
        <v>EPS</v>
      </c>
      <c r="N375" s="327">
        <v>0</v>
      </c>
      <c r="O375" s="125">
        <v>1.0900000000000001</v>
      </c>
      <c r="P375" s="126">
        <v>0.53263888888888888</v>
      </c>
      <c r="Q375" s="123" t="s">
        <v>626</v>
      </c>
    </row>
    <row r="376" spans="2:17" x14ac:dyDescent="0.25">
      <c r="B376">
        <f>WEEKNUM(BSURTIDOR[[#This Row],[FECHA]])</f>
        <v>8</v>
      </c>
      <c r="C376">
        <f>MONTH(BSURTIDOR[[#This Row],[FECHA]])</f>
        <v>2</v>
      </c>
      <c r="D376">
        <f>YEAR(BSURTIDOR[[#This Row],[FECHA]])</f>
        <v>2026</v>
      </c>
      <c r="E376" s="124">
        <v>46072</v>
      </c>
      <c r="F376" s="364" t="s">
        <v>109</v>
      </c>
      <c r="G376" s="123">
        <v>12</v>
      </c>
      <c r="H376" s="123" t="s">
        <v>100</v>
      </c>
      <c r="I376" s="101" t="str">
        <f>VLOOKUP(BDsurtidor!$H375,$T$4:$W$18,2,FALSE)</f>
        <v>CISTERNA</v>
      </c>
      <c r="J376" s="101">
        <f>VLOOKUP(BDsurtidor!$H375,$T$4:$W$25,3,FALSE)</f>
        <v>5000</v>
      </c>
      <c r="K376" s="101">
        <f>VLOOKUP(BDsurtidor!$H375,$T$4:$W$25,4,FALSE)</f>
        <v>17</v>
      </c>
      <c r="L376" s="101">
        <f>VLOOKUP(BDsurtidor!$H375,$T$4:$X$25,5,FALSE)</f>
        <v>0.4</v>
      </c>
      <c r="M376" s="101" t="str">
        <f>VLOOKUP(BDsurtidor!$H375,$T$4:$Y$25,6,FALSE)</f>
        <v>EPS</v>
      </c>
      <c r="N376" s="70">
        <v>0</v>
      </c>
      <c r="O376" s="125"/>
      <c r="P376" s="126">
        <v>0.37152777777777779</v>
      </c>
      <c r="Q376" s="123" t="s">
        <v>626</v>
      </c>
    </row>
    <row r="377" spans="2:17" x14ac:dyDescent="0.25">
      <c r="B377">
        <f>WEEKNUM(BSURTIDOR[[#This Row],[FECHA]])</f>
        <v>8</v>
      </c>
      <c r="C377">
        <f>MONTH(BSURTIDOR[[#This Row],[FECHA]])</f>
        <v>2</v>
      </c>
      <c r="D377">
        <f>YEAR(BSURTIDOR[[#This Row],[FECHA]])</f>
        <v>2026</v>
      </c>
      <c r="E377" s="124">
        <v>46072</v>
      </c>
      <c r="F377" s="364" t="s">
        <v>109</v>
      </c>
      <c r="G377" s="123">
        <v>13</v>
      </c>
      <c r="H377" s="123" t="s">
        <v>558</v>
      </c>
      <c r="I377" s="101" t="str">
        <f>VLOOKUP(BDsurtidor!$H377,$T$4:$W$18,2,FALSE)</f>
        <v>HIDROJET</v>
      </c>
      <c r="J377" s="101">
        <f>VLOOKUP(BDsurtidor!$H377,$T$4:$W$25,3,FALSE)</f>
        <v>1000</v>
      </c>
      <c r="K377" s="101">
        <f>VLOOKUP(BDsurtidor!$H377,$T$4:$W$25,4,FALSE)</f>
        <v>1</v>
      </c>
      <c r="L377" s="101">
        <f>VLOOKUP(BDsurtidor!$H377,$T$4:$X$25,5,FALSE)</f>
        <v>0</v>
      </c>
      <c r="M377" s="101" t="str">
        <f>VLOOKUP(BDsurtidor!$H377,$T$4:$Y$25,6,FALSE)</f>
        <v>EPS</v>
      </c>
      <c r="N377" s="327">
        <v>0</v>
      </c>
      <c r="O377" s="125"/>
      <c r="P377" s="126">
        <v>0.45902777777777776</v>
      </c>
      <c r="Q377" s="123" t="s">
        <v>626</v>
      </c>
    </row>
    <row r="378" spans="2:17" x14ac:dyDescent="0.25">
      <c r="B378">
        <f>WEEKNUM(BSURTIDOR[[#This Row],[FECHA]])</f>
        <v>8</v>
      </c>
      <c r="C378">
        <f>MONTH(BSURTIDOR[[#This Row],[FECHA]])</f>
        <v>2</v>
      </c>
      <c r="D378">
        <f>YEAR(BSURTIDOR[[#This Row],[FECHA]])</f>
        <v>2026</v>
      </c>
      <c r="E378" s="124">
        <v>46072</v>
      </c>
      <c r="F378" s="364" t="s">
        <v>109</v>
      </c>
      <c r="G378" s="123">
        <v>14</v>
      </c>
      <c r="H378" s="123" t="s">
        <v>100</v>
      </c>
      <c r="I378" s="101" t="str">
        <f>VLOOKUP(BDsurtidor!$H378,$T$4:$W$18,2,FALSE)</f>
        <v>HIDROJET</v>
      </c>
      <c r="J378" s="101">
        <f>VLOOKUP(BDsurtidor!$H378,$T$4:$W$25,3,FALSE)</f>
        <v>1000</v>
      </c>
      <c r="K378" s="101">
        <f>VLOOKUP(BDsurtidor!$H378,$T$4:$W$25,4,FALSE)</f>
        <v>1</v>
      </c>
      <c r="L378" s="101">
        <f>VLOOKUP(BDsurtidor!$H378,$T$4:$X$25,5,FALSE)</f>
        <v>0</v>
      </c>
      <c r="M378" s="101" t="str">
        <f>VLOOKUP(BDsurtidor!$H378,$T$4:$Y$25,6,FALSE)</f>
        <v>EPS</v>
      </c>
      <c r="N378" s="70">
        <v>0</v>
      </c>
      <c r="O378" s="125"/>
      <c r="P378" s="126">
        <v>0.48055555555555557</v>
      </c>
      <c r="Q378" s="123" t="s">
        <v>626</v>
      </c>
    </row>
    <row r="379" spans="2:17" x14ac:dyDescent="0.25">
      <c r="B379">
        <f>WEEKNUM(BSURTIDOR[[#This Row],[FECHA]])</f>
        <v>8</v>
      </c>
      <c r="C379">
        <f>MONTH(BSURTIDOR[[#This Row],[FECHA]])</f>
        <v>2</v>
      </c>
      <c r="D379">
        <f>YEAR(BSURTIDOR[[#This Row],[FECHA]])</f>
        <v>2026</v>
      </c>
      <c r="E379" s="124">
        <v>46073</v>
      </c>
      <c r="F379" s="364" t="s">
        <v>109</v>
      </c>
      <c r="G379" s="123">
        <v>1</v>
      </c>
      <c r="H379" s="123" t="s">
        <v>99</v>
      </c>
      <c r="I379" s="101" t="str">
        <f>VLOOKUP(BDsurtidor!$H379,$T$4:$W$18,2,FALSE)</f>
        <v>CISTERNA</v>
      </c>
      <c r="J379" s="101">
        <f>VLOOKUP(BDsurtidor!$H379,$T$4:$W$25,3,FALSE)</f>
        <v>5000</v>
      </c>
      <c r="K379" s="101">
        <f>VLOOKUP(BDsurtidor!$H379,$T$4:$W$25,4,FALSE)</f>
        <v>17</v>
      </c>
      <c r="L379" s="101">
        <f>VLOOKUP(BDsurtidor!$H379,$T$4:$X$25,5,FALSE)</f>
        <v>0.4</v>
      </c>
      <c r="M379" s="101" t="str">
        <f>VLOOKUP(BDsurtidor!$H379,$T$4:$Y$25,6,FALSE)</f>
        <v>EPS</v>
      </c>
      <c r="N379" s="327">
        <v>0</v>
      </c>
      <c r="O379" s="125">
        <v>1.18</v>
      </c>
      <c r="P379" s="126">
        <v>0.3263888888888889</v>
      </c>
      <c r="Q379" s="123" t="s">
        <v>626</v>
      </c>
    </row>
    <row r="380" spans="2:17" x14ac:dyDescent="0.25">
      <c r="B380">
        <f>WEEKNUM(BSURTIDOR[[#This Row],[FECHA]])</f>
        <v>8</v>
      </c>
      <c r="C380">
        <f>MONTH(BSURTIDOR[[#This Row],[FECHA]])</f>
        <v>2</v>
      </c>
      <c r="D380">
        <f>YEAR(BSURTIDOR[[#This Row],[FECHA]])</f>
        <v>2026</v>
      </c>
      <c r="E380" s="124">
        <v>46073</v>
      </c>
      <c r="F380" s="364" t="s">
        <v>109</v>
      </c>
      <c r="G380" s="123">
        <v>2</v>
      </c>
      <c r="H380" s="123" t="s">
        <v>87</v>
      </c>
      <c r="I380" s="101" t="str">
        <f>VLOOKUP(BDsurtidor!$H380,$T$4:$W$18,2,FALSE)</f>
        <v>CISTERNA</v>
      </c>
      <c r="J380" s="101">
        <f>VLOOKUP(BDsurtidor!$H380,$T$4:$W$25,3,FALSE)</f>
        <v>5000</v>
      </c>
      <c r="K380" s="101">
        <f>VLOOKUP(BDsurtidor!$H380,$T$4:$W$25,4,FALSE)</f>
        <v>17</v>
      </c>
      <c r="L380" s="101">
        <f>VLOOKUP(BDsurtidor!$H380,$T$4:$X$25,5,FALSE)</f>
        <v>0.4</v>
      </c>
      <c r="M380" s="101" t="str">
        <f>VLOOKUP(BDsurtidor!$H380,$T$4:$Y$25,6,FALSE)</f>
        <v>EPS</v>
      </c>
      <c r="N380" s="70">
        <v>0</v>
      </c>
      <c r="O380" s="125">
        <v>1.1100000000000001</v>
      </c>
      <c r="P380" s="126">
        <v>0.33958333333333335</v>
      </c>
      <c r="Q380" s="123" t="s">
        <v>626</v>
      </c>
    </row>
    <row r="381" spans="2:17" x14ac:dyDescent="0.25">
      <c r="B381">
        <f>WEEKNUM(BSURTIDOR[[#This Row],[FECHA]])</f>
        <v>8</v>
      </c>
      <c r="C381">
        <f>MONTH(BSURTIDOR[[#This Row],[FECHA]])</f>
        <v>2</v>
      </c>
      <c r="D381">
        <f>YEAR(BSURTIDOR[[#This Row],[FECHA]])</f>
        <v>2026</v>
      </c>
      <c r="E381" s="124">
        <v>46073</v>
      </c>
      <c r="F381" s="364" t="s">
        <v>109</v>
      </c>
      <c r="G381" s="123">
        <v>3</v>
      </c>
      <c r="H381" s="123" t="s">
        <v>89</v>
      </c>
      <c r="I381" s="101" t="str">
        <f>VLOOKUP(BDsurtidor!$H381,$T$4:$W$18,2,FALSE)</f>
        <v>CISTERNA</v>
      </c>
      <c r="J381" s="101">
        <f>VLOOKUP(BDsurtidor!$H381,$T$4:$W$25,3,FALSE)</f>
        <v>9000</v>
      </c>
      <c r="K381" s="101">
        <f>VLOOKUP(BDsurtidor!$H381,$T$4:$W$25,4,FALSE)</f>
        <v>34</v>
      </c>
      <c r="L381" s="101">
        <f>VLOOKUP(BDsurtidor!$H381,$T$4:$X$25,5,FALSE)</f>
        <v>0.45</v>
      </c>
      <c r="M381" s="101" t="str">
        <f>VLOOKUP(BDsurtidor!$H381,$T$4:$Y$25,6,FALSE)</f>
        <v>VIVIENDA</v>
      </c>
      <c r="N381" s="327">
        <v>0</v>
      </c>
      <c r="O381" s="125">
        <v>1.0669999999999999</v>
      </c>
      <c r="P381" s="126">
        <v>0.35972222222222222</v>
      </c>
      <c r="Q381" s="123" t="s">
        <v>626</v>
      </c>
    </row>
    <row r="382" spans="2:17" x14ac:dyDescent="0.25">
      <c r="B382">
        <f>WEEKNUM(BSURTIDOR[[#This Row],[FECHA]])</f>
        <v>8</v>
      </c>
      <c r="C382">
        <f>MONTH(BSURTIDOR[[#This Row],[FECHA]])</f>
        <v>2</v>
      </c>
      <c r="D382">
        <f>YEAR(BSURTIDOR[[#This Row],[FECHA]])</f>
        <v>2026</v>
      </c>
      <c r="E382" s="124">
        <v>46073</v>
      </c>
      <c r="F382" s="364" t="s">
        <v>109</v>
      </c>
      <c r="G382" s="123">
        <v>4</v>
      </c>
      <c r="H382" s="123" t="s">
        <v>97</v>
      </c>
      <c r="I382" s="101" t="str">
        <f>VLOOKUP(BDsurtidor!$H382,$T$4:$W$18,2,FALSE)</f>
        <v>CISTERNA</v>
      </c>
      <c r="J382" s="101">
        <f>VLOOKUP(BDsurtidor!$H382,$T$4:$W$25,3,FALSE)</f>
        <v>5000</v>
      </c>
      <c r="K382" s="101">
        <f>VLOOKUP(BDsurtidor!$H382,$T$4:$W$25,4,FALSE)</f>
        <v>17</v>
      </c>
      <c r="L382" s="101">
        <f>VLOOKUP(BDsurtidor!$H382,$T$4:$X$25,5,FALSE)</f>
        <v>0.4</v>
      </c>
      <c r="M382" s="101" t="str">
        <f>VLOOKUP(BDsurtidor!$H382,$T$4:$Y$25,6,FALSE)</f>
        <v>EPS</v>
      </c>
      <c r="N382" s="70">
        <v>0</v>
      </c>
      <c r="O382" s="125">
        <v>1.07</v>
      </c>
      <c r="P382" s="126">
        <v>0.38194444444444442</v>
      </c>
      <c r="Q382" s="123" t="s">
        <v>626</v>
      </c>
    </row>
    <row r="383" spans="2:17" x14ac:dyDescent="0.25">
      <c r="B383">
        <f>WEEKNUM(BSURTIDOR[[#This Row],[FECHA]])</f>
        <v>8</v>
      </c>
      <c r="C383">
        <f>MONTH(BSURTIDOR[[#This Row],[FECHA]])</f>
        <v>2</v>
      </c>
      <c r="D383">
        <f>YEAR(BSURTIDOR[[#This Row],[FECHA]])</f>
        <v>2026</v>
      </c>
      <c r="E383" s="124">
        <v>46073</v>
      </c>
      <c r="F383" s="364" t="s">
        <v>109</v>
      </c>
      <c r="G383" s="123">
        <v>5</v>
      </c>
      <c r="H383" s="123" t="s">
        <v>98</v>
      </c>
      <c r="I383" s="101" t="str">
        <f>VLOOKUP(BDsurtidor!$H383,$T$4:$W$18,2,FALSE)</f>
        <v>CISTERNA</v>
      </c>
      <c r="J383" s="101">
        <f>VLOOKUP(BDsurtidor!$H383,$T$4:$W$25,3,FALSE)</f>
        <v>9000</v>
      </c>
      <c r="K383" s="101">
        <f>VLOOKUP(BDsurtidor!$H383,$T$4:$W$25,4,FALSE)</f>
        <v>34</v>
      </c>
      <c r="L383" s="101">
        <f>VLOOKUP(BDsurtidor!$H383,$T$4:$X$25,5,FALSE)</f>
        <v>0.45</v>
      </c>
      <c r="M383" s="101" t="str">
        <f>VLOOKUP(BDsurtidor!$H383,$T$4:$Y$25,6,FALSE)</f>
        <v>VIVIENDA</v>
      </c>
      <c r="N383" s="327">
        <v>0</v>
      </c>
      <c r="O383" s="125">
        <v>1.1100000000000001</v>
      </c>
      <c r="P383" s="126">
        <v>0.43402777777777779</v>
      </c>
      <c r="Q383" s="123" t="s">
        <v>626</v>
      </c>
    </row>
    <row r="384" spans="2:17" x14ac:dyDescent="0.25">
      <c r="B384">
        <f>WEEKNUM(BSURTIDOR[[#This Row],[FECHA]])</f>
        <v>8</v>
      </c>
      <c r="C384">
        <f>MONTH(BSURTIDOR[[#This Row],[FECHA]])</f>
        <v>2</v>
      </c>
      <c r="D384">
        <f>YEAR(BSURTIDOR[[#This Row],[FECHA]])</f>
        <v>2026</v>
      </c>
      <c r="E384" s="124">
        <v>46073</v>
      </c>
      <c r="F384" s="364" t="s">
        <v>109</v>
      </c>
      <c r="G384" s="123">
        <v>6</v>
      </c>
      <c r="H384" s="123" t="s">
        <v>90</v>
      </c>
      <c r="I384" s="101" t="str">
        <f>VLOOKUP(BDsurtidor!$H384,$T$4:$W$18,2,FALSE)</f>
        <v>CISTERNA</v>
      </c>
      <c r="J384" s="101">
        <f>VLOOKUP(BDsurtidor!$H384,$T$4:$W$25,3,FALSE)</f>
        <v>5000</v>
      </c>
      <c r="K384" s="101">
        <f>VLOOKUP(BDsurtidor!$H384,$T$4:$W$25,4,FALSE)</f>
        <v>17</v>
      </c>
      <c r="L384" s="101">
        <f>VLOOKUP(BDsurtidor!$H384,$T$4:$X$25,5,FALSE)</f>
        <v>0.4</v>
      </c>
      <c r="M384" s="101" t="str">
        <f>VLOOKUP(BDsurtidor!$H384,$T$4:$Y$25,6,FALSE)</f>
        <v>EPS</v>
      </c>
      <c r="N384" s="70">
        <v>0</v>
      </c>
      <c r="O384" s="125">
        <v>1.43</v>
      </c>
      <c r="P384" s="126">
        <v>0.46458333333333335</v>
      </c>
      <c r="Q384" s="123" t="s">
        <v>626</v>
      </c>
    </row>
    <row r="385" spans="2:17" x14ac:dyDescent="0.25">
      <c r="B385">
        <f>WEEKNUM(BSURTIDOR[[#This Row],[FECHA]])</f>
        <v>8</v>
      </c>
      <c r="C385">
        <f>MONTH(BSURTIDOR[[#This Row],[FECHA]])</f>
        <v>2</v>
      </c>
      <c r="D385">
        <f>YEAR(BSURTIDOR[[#This Row],[FECHA]])</f>
        <v>2026</v>
      </c>
      <c r="E385" s="124">
        <v>46073</v>
      </c>
      <c r="F385" s="364" t="s">
        <v>109</v>
      </c>
      <c r="G385" s="123">
        <v>7</v>
      </c>
      <c r="H385" s="123" t="s">
        <v>97</v>
      </c>
      <c r="I385" s="101" t="str">
        <f>VLOOKUP(BDsurtidor!$H385,$T$4:$W$18,2,FALSE)</f>
        <v>CISTERNA</v>
      </c>
      <c r="J385" s="101">
        <f>VLOOKUP(BDsurtidor!$H385,$T$4:$W$25,3,FALSE)</f>
        <v>5000</v>
      </c>
      <c r="K385" s="101">
        <f>VLOOKUP(BDsurtidor!$H385,$T$4:$W$25,4,FALSE)</f>
        <v>17</v>
      </c>
      <c r="L385" s="101">
        <f>VLOOKUP(BDsurtidor!$H385,$T$4:$X$25,5,FALSE)</f>
        <v>0.4</v>
      </c>
      <c r="M385" s="101" t="str">
        <f>VLOOKUP(BDsurtidor!$H385,$T$4:$Y$25,6,FALSE)</f>
        <v>EPS</v>
      </c>
      <c r="N385" s="327">
        <v>0</v>
      </c>
      <c r="O385" s="125">
        <v>1.36</v>
      </c>
      <c r="P385" s="126">
        <v>0.50486111111111109</v>
      </c>
      <c r="Q385" s="123" t="s">
        <v>626</v>
      </c>
    </row>
    <row r="386" spans="2:17" x14ac:dyDescent="0.25">
      <c r="B386">
        <f>WEEKNUM(BSURTIDOR[[#This Row],[FECHA]])</f>
        <v>8</v>
      </c>
      <c r="C386">
        <f>MONTH(BSURTIDOR[[#This Row],[FECHA]])</f>
        <v>2</v>
      </c>
      <c r="D386">
        <f>YEAR(BSURTIDOR[[#This Row],[FECHA]])</f>
        <v>2026</v>
      </c>
      <c r="E386" s="124">
        <v>46073</v>
      </c>
      <c r="F386" s="364" t="s">
        <v>109</v>
      </c>
      <c r="G386" s="123">
        <v>8</v>
      </c>
      <c r="H386" s="123" t="s">
        <v>89</v>
      </c>
      <c r="I386" s="101" t="str">
        <f>VLOOKUP(BDsurtidor!$H386,$T$4:$W$18,2,FALSE)</f>
        <v>CISTERNA</v>
      </c>
      <c r="J386" s="101">
        <f>VLOOKUP(BDsurtidor!$H386,$T$4:$W$25,3,FALSE)</f>
        <v>9000</v>
      </c>
      <c r="K386" s="101">
        <f>VLOOKUP(BDsurtidor!$H386,$T$4:$W$25,4,FALSE)</f>
        <v>34</v>
      </c>
      <c r="L386" s="101">
        <f>VLOOKUP(BDsurtidor!$H386,$T$4:$X$25,5,FALSE)</f>
        <v>0.45</v>
      </c>
      <c r="M386" s="101" t="str">
        <f>VLOOKUP(BDsurtidor!$H386,$T$4:$Y$25,6,FALSE)</f>
        <v>VIVIENDA</v>
      </c>
      <c r="N386" s="70">
        <v>0</v>
      </c>
      <c r="O386" s="125">
        <v>1.27</v>
      </c>
      <c r="P386" s="126">
        <v>0.51666666666666672</v>
      </c>
      <c r="Q386" s="123" t="s">
        <v>626</v>
      </c>
    </row>
    <row r="387" spans="2:17" x14ac:dyDescent="0.25">
      <c r="B387">
        <f>WEEKNUM(BSURTIDOR[[#This Row],[FECHA]])</f>
        <v>8</v>
      </c>
      <c r="C387">
        <f>MONTH(BSURTIDOR[[#This Row],[FECHA]])</f>
        <v>2</v>
      </c>
      <c r="D387">
        <f>YEAR(BSURTIDOR[[#This Row],[FECHA]])</f>
        <v>2026</v>
      </c>
      <c r="E387" s="124">
        <v>46073</v>
      </c>
      <c r="F387" s="364" t="s">
        <v>109</v>
      </c>
      <c r="G387" s="123">
        <v>9</v>
      </c>
      <c r="H387" s="123" t="s">
        <v>99</v>
      </c>
      <c r="I387" s="101" t="str">
        <f>VLOOKUP(BDsurtidor!$H387,$T$4:$W$18,2,FALSE)</f>
        <v>CISTERNA</v>
      </c>
      <c r="J387" s="101">
        <f>VLOOKUP(BDsurtidor!$H387,$T$4:$W$25,3,FALSE)</f>
        <v>5000</v>
      </c>
      <c r="K387" s="101">
        <f>VLOOKUP(BDsurtidor!$H387,$T$4:$W$25,4,FALSE)</f>
        <v>17</v>
      </c>
      <c r="L387" s="101">
        <f>VLOOKUP(BDsurtidor!$H387,$T$4:$X$25,5,FALSE)</f>
        <v>0.4</v>
      </c>
      <c r="M387" s="101" t="str">
        <f>VLOOKUP(BDsurtidor!$H387,$T$4:$Y$25,6,FALSE)</f>
        <v>EPS</v>
      </c>
      <c r="N387" s="327">
        <v>0</v>
      </c>
      <c r="O387" s="125">
        <v>1</v>
      </c>
      <c r="P387" s="126">
        <v>0.52847222222222223</v>
      </c>
      <c r="Q387" s="123" t="s">
        <v>626</v>
      </c>
    </row>
    <row r="388" spans="2:17" x14ac:dyDescent="0.25">
      <c r="B388">
        <f>WEEKNUM(BSURTIDOR[[#This Row],[FECHA]])</f>
        <v>8</v>
      </c>
      <c r="C388">
        <f>MONTH(BSURTIDOR[[#This Row],[FECHA]])</f>
        <v>2</v>
      </c>
      <c r="D388">
        <f>YEAR(BSURTIDOR[[#This Row],[FECHA]])</f>
        <v>2026</v>
      </c>
      <c r="E388" s="124">
        <v>46073</v>
      </c>
      <c r="F388" s="364" t="s">
        <v>109</v>
      </c>
      <c r="G388" s="123">
        <v>10</v>
      </c>
      <c r="H388" s="123" t="s">
        <v>87</v>
      </c>
      <c r="I388" s="101" t="str">
        <f>VLOOKUP(BDsurtidor!$H388,$T$4:$W$18,2,FALSE)</f>
        <v>CISTERNA</v>
      </c>
      <c r="J388" s="101">
        <f>VLOOKUP(BDsurtidor!$H388,$T$4:$W$25,3,FALSE)</f>
        <v>5000</v>
      </c>
      <c r="K388" s="101">
        <f>VLOOKUP(BDsurtidor!$H388,$T$4:$W$25,4,FALSE)</f>
        <v>17</v>
      </c>
      <c r="L388" s="101">
        <f>VLOOKUP(BDsurtidor!$H388,$T$4:$X$25,5,FALSE)</f>
        <v>0.4</v>
      </c>
      <c r="M388" s="101" t="str">
        <f>VLOOKUP(BDsurtidor!$H388,$T$4:$Y$25,6,FALSE)</f>
        <v>EPS</v>
      </c>
      <c r="N388" s="70">
        <v>0</v>
      </c>
      <c r="O388" s="125">
        <v>1.0900000000000001</v>
      </c>
      <c r="P388" s="126">
        <v>0.56874999999999998</v>
      </c>
      <c r="Q388" s="123" t="s">
        <v>626</v>
      </c>
    </row>
    <row r="389" spans="2:17" x14ac:dyDescent="0.25">
      <c r="B389">
        <f>WEEKNUM(BSURTIDOR[[#This Row],[FECHA]])</f>
        <v>8</v>
      </c>
      <c r="C389">
        <f>MONTH(BSURTIDOR[[#This Row],[FECHA]])</f>
        <v>2</v>
      </c>
      <c r="D389">
        <f>YEAR(BSURTIDOR[[#This Row],[FECHA]])</f>
        <v>2026</v>
      </c>
      <c r="E389" s="124">
        <v>46073</v>
      </c>
      <c r="F389" s="364" t="s">
        <v>109</v>
      </c>
      <c r="G389" s="123">
        <v>11</v>
      </c>
      <c r="H389" s="123" t="s">
        <v>90</v>
      </c>
      <c r="I389" s="101" t="str">
        <f>VLOOKUP(BDsurtidor!$H389,$T$4:$W$18,2,FALSE)</f>
        <v>CISTERNA</v>
      </c>
      <c r="J389" s="101">
        <f>VLOOKUP(BDsurtidor!$H389,$T$4:$W$25,3,FALSE)</f>
        <v>5000</v>
      </c>
      <c r="K389" s="101">
        <f>VLOOKUP(BDsurtidor!$H389,$T$4:$W$25,4,FALSE)</f>
        <v>17</v>
      </c>
      <c r="L389" s="101">
        <f>VLOOKUP(BDsurtidor!$H389,$T$4:$X$25,5,FALSE)</f>
        <v>0.4</v>
      </c>
      <c r="M389" s="101" t="str">
        <f>VLOOKUP(BDsurtidor!$H389,$T$4:$Y$25,6,FALSE)</f>
        <v>EPS</v>
      </c>
      <c r="N389" s="327">
        <v>0</v>
      </c>
      <c r="O389" s="125">
        <v>1.36</v>
      </c>
      <c r="P389" s="126">
        <v>0.60069444444444442</v>
      </c>
      <c r="Q389" s="123" t="s">
        <v>626</v>
      </c>
    </row>
    <row r="390" spans="2:17" x14ac:dyDescent="0.25">
      <c r="B390">
        <f>WEEKNUM(BSURTIDOR[[#This Row],[FECHA]])</f>
        <v>8</v>
      </c>
      <c r="C390">
        <f>MONTH(BSURTIDOR[[#This Row],[FECHA]])</f>
        <v>2</v>
      </c>
      <c r="D390">
        <f>YEAR(BSURTIDOR[[#This Row],[FECHA]])</f>
        <v>2026</v>
      </c>
      <c r="E390" s="124">
        <v>46073</v>
      </c>
      <c r="F390" s="364" t="s">
        <v>109</v>
      </c>
      <c r="G390" s="123">
        <v>12</v>
      </c>
      <c r="H390" s="123" t="s">
        <v>100</v>
      </c>
      <c r="I390" s="101" t="str">
        <f>VLOOKUP(BDsurtidor!$H390,$T$4:$W$18,2,FALSE)</f>
        <v>HIDROJET</v>
      </c>
      <c r="J390" s="101">
        <f>VLOOKUP(BDsurtidor!$H390,$T$4:$W$25,3,FALSE)</f>
        <v>1000</v>
      </c>
      <c r="K390" s="101">
        <f>VLOOKUP(BDsurtidor!$H390,$T$4:$W$25,4,FALSE)</f>
        <v>1</v>
      </c>
      <c r="L390" s="101">
        <f>VLOOKUP(BDsurtidor!$H390,$T$4:$X$25,5,FALSE)</f>
        <v>0</v>
      </c>
      <c r="M390" s="101" t="str">
        <f>VLOOKUP(BDsurtidor!$H390,$T$4:$Y$25,6,FALSE)</f>
        <v>EPS</v>
      </c>
      <c r="N390" s="70">
        <v>0</v>
      </c>
      <c r="O390" s="125"/>
      <c r="P390" s="126">
        <v>0.45902777777777776</v>
      </c>
      <c r="Q390" s="123" t="s">
        <v>626</v>
      </c>
    </row>
    <row r="391" spans="2:17" x14ac:dyDescent="0.25">
      <c r="B391">
        <f>WEEKNUM(BSURTIDOR[[#This Row],[FECHA]])</f>
        <v>8</v>
      </c>
      <c r="C391">
        <f>MONTH(BSURTIDOR[[#This Row],[FECHA]])</f>
        <v>2</v>
      </c>
      <c r="D391">
        <f>YEAR(BSURTIDOR[[#This Row],[FECHA]])</f>
        <v>2026</v>
      </c>
      <c r="E391" s="124">
        <v>46074</v>
      </c>
      <c r="F391" s="364" t="s">
        <v>109</v>
      </c>
      <c r="G391" s="123">
        <v>1</v>
      </c>
      <c r="H391" s="123" t="s">
        <v>99</v>
      </c>
      <c r="I391" s="101" t="str">
        <f>VLOOKUP(BDsurtidor!$H391,$T$4:$W$18,2,FALSE)</f>
        <v>CISTERNA</v>
      </c>
      <c r="J391" s="101">
        <f>VLOOKUP(BDsurtidor!$H391,$T$4:$W$25,3,FALSE)</f>
        <v>5000</v>
      </c>
      <c r="K391" s="101">
        <f>VLOOKUP(BDsurtidor!$H391,$T$4:$W$25,4,FALSE)</f>
        <v>17</v>
      </c>
      <c r="L391" s="101">
        <f>VLOOKUP(BDsurtidor!$H391,$T$4:$X$25,5,FALSE)</f>
        <v>0.4</v>
      </c>
      <c r="M391" s="101" t="str">
        <f>VLOOKUP(BDsurtidor!$H391,$T$4:$Y$25,6,FALSE)</f>
        <v>EPS</v>
      </c>
      <c r="N391" s="327">
        <v>0</v>
      </c>
      <c r="O391" s="125">
        <v>1.06</v>
      </c>
      <c r="P391" s="126">
        <v>0.3298611111111111</v>
      </c>
      <c r="Q391" s="123" t="s">
        <v>735</v>
      </c>
    </row>
    <row r="392" spans="2:17" x14ac:dyDescent="0.25">
      <c r="B392">
        <f>WEEKNUM(BSURTIDOR[[#This Row],[FECHA]])</f>
        <v>8</v>
      </c>
      <c r="C392">
        <f>MONTH(BSURTIDOR[[#This Row],[FECHA]])</f>
        <v>2</v>
      </c>
      <c r="D392">
        <f>YEAR(BSURTIDOR[[#This Row],[FECHA]])</f>
        <v>2026</v>
      </c>
      <c r="E392" s="124">
        <v>46074</v>
      </c>
      <c r="F392" s="364" t="s">
        <v>109</v>
      </c>
      <c r="G392" s="123">
        <v>2</v>
      </c>
      <c r="H392" s="123" t="s">
        <v>97</v>
      </c>
      <c r="I392" s="101" t="str">
        <f>VLOOKUP(BDsurtidor!$H392,$T$4:$W$18,2,FALSE)</f>
        <v>CISTERNA</v>
      </c>
      <c r="J392" s="101">
        <f>VLOOKUP(BDsurtidor!$H392,$T$4:$W$25,3,FALSE)</f>
        <v>5000</v>
      </c>
      <c r="K392" s="101">
        <f>VLOOKUP(BDsurtidor!$H392,$T$4:$W$25,4,FALSE)</f>
        <v>17</v>
      </c>
      <c r="L392" s="101">
        <f>VLOOKUP(BDsurtidor!$H392,$T$4:$X$25,5,FALSE)</f>
        <v>0.4</v>
      </c>
      <c r="M392" s="101" t="str">
        <f>VLOOKUP(BDsurtidor!$H392,$T$4:$Y$25,6,FALSE)</f>
        <v>EPS</v>
      </c>
      <c r="N392" s="70">
        <v>0</v>
      </c>
      <c r="O392" s="125">
        <v>1.08</v>
      </c>
      <c r="P392" s="126">
        <v>0.34097222222222223</v>
      </c>
      <c r="Q392" s="123" t="s">
        <v>735</v>
      </c>
    </row>
    <row r="393" spans="2:17" x14ac:dyDescent="0.25">
      <c r="B393">
        <f>WEEKNUM(BSURTIDOR[[#This Row],[FECHA]])</f>
        <v>8</v>
      </c>
      <c r="C393">
        <f>MONTH(BSURTIDOR[[#This Row],[FECHA]])</f>
        <v>2</v>
      </c>
      <c r="D393">
        <f>YEAR(BSURTIDOR[[#This Row],[FECHA]])</f>
        <v>2026</v>
      </c>
      <c r="E393" s="124">
        <v>46074</v>
      </c>
      <c r="F393" s="364" t="s">
        <v>109</v>
      </c>
      <c r="G393" s="123">
        <v>3</v>
      </c>
      <c r="H393" s="123" t="s">
        <v>89</v>
      </c>
      <c r="I393" s="101" t="str">
        <f>VLOOKUP(BDsurtidor!$H393,$T$4:$W$18,2,FALSE)</f>
        <v>CISTERNA</v>
      </c>
      <c r="J393" s="101">
        <f>VLOOKUP(BDsurtidor!$H393,$T$4:$W$25,3,FALSE)</f>
        <v>9000</v>
      </c>
      <c r="K393" s="101">
        <f>VLOOKUP(BDsurtidor!$H393,$T$4:$W$25,4,FALSE)</f>
        <v>34</v>
      </c>
      <c r="L393" s="101">
        <f>VLOOKUP(BDsurtidor!$H393,$T$4:$X$25,5,FALSE)</f>
        <v>0.45</v>
      </c>
      <c r="M393" s="101" t="str">
        <f>VLOOKUP(BDsurtidor!$H393,$T$4:$Y$25,6,FALSE)</f>
        <v>VIVIENDA</v>
      </c>
      <c r="N393" s="327">
        <v>0</v>
      </c>
      <c r="O393" s="125">
        <v>1.22</v>
      </c>
      <c r="P393" s="126">
        <v>0.3576388888888889</v>
      </c>
      <c r="Q393" s="123" t="s">
        <v>735</v>
      </c>
    </row>
    <row r="394" spans="2:17" x14ac:dyDescent="0.25">
      <c r="B394">
        <f>WEEKNUM(BSURTIDOR[[#This Row],[FECHA]])</f>
        <v>8</v>
      </c>
      <c r="C394">
        <f>MONTH(BSURTIDOR[[#This Row],[FECHA]])</f>
        <v>2</v>
      </c>
      <c r="D394">
        <f>YEAR(BSURTIDOR[[#This Row],[FECHA]])</f>
        <v>2026</v>
      </c>
      <c r="E394" s="124">
        <v>46074</v>
      </c>
      <c r="F394" s="364" t="s">
        <v>109</v>
      </c>
      <c r="G394" s="123">
        <v>4</v>
      </c>
      <c r="H394" s="123" t="s">
        <v>98</v>
      </c>
      <c r="I394" s="101" t="str">
        <f>VLOOKUP(BDsurtidor!$H394,$T$4:$W$18,2,FALSE)</f>
        <v>CISTERNA</v>
      </c>
      <c r="J394" s="101">
        <f>VLOOKUP(BDsurtidor!$H394,$T$4:$W$25,3,FALSE)</f>
        <v>9000</v>
      </c>
      <c r="K394" s="101">
        <f>VLOOKUP(BDsurtidor!$H394,$T$4:$W$25,4,FALSE)</f>
        <v>34</v>
      </c>
      <c r="L394" s="101">
        <f>VLOOKUP(BDsurtidor!$H394,$T$4:$X$25,5,FALSE)</f>
        <v>0.45</v>
      </c>
      <c r="M394" s="101" t="str">
        <f>VLOOKUP(BDsurtidor!$H394,$T$4:$Y$25,6,FALSE)</f>
        <v>VIVIENDA</v>
      </c>
      <c r="N394" s="70">
        <v>0</v>
      </c>
      <c r="O394" s="125">
        <v>1.1200000000000001</v>
      </c>
      <c r="P394" s="126">
        <v>0.37013888888888891</v>
      </c>
      <c r="Q394" s="123" t="s">
        <v>735</v>
      </c>
    </row>
    <row r="395" spans="2:17" x14ac:dyDescent="0.25">
      <c r="B395">
        <f>WEEKNUM(BSURTIDOR[[#This Row],[FECHA]])</f>
        <v>8</v>
      </c>
      <c r="C395">
        <f>MONTH(BSURTIDOR[[#This Row],[FECHA]])</f>
        <v>2</v>
      </c>
      <c r="D395">
        <f>YEAR(BSURTIDOR[[#This Row],[FECHA]])</f>
        <v>2026</v>
      </c>
      <c r="E395" s="124">
        <v>46074</v>
      </c>
      <c r="F395" s="364" t="s">
        <v>109</v>
      </c>
      <c r="G395" s="123">
        <v>5</v>
      </c>
      <c r="H395" s="123" t="s">
        <v>97</v>
      </c>
      <c r="I395" s="101" t="str">
        <f>VLOOKUP(BDsurtidor!$H395,$T$4:$W$18,2,FALSE)</f>
        <v>CISTERNA</v>
      </c>
      <c r="J395" s="101">
        <f>VLOOKUP(BDsurtidor!$H395,$T$4:$W$25,3,FALSE)</f>
        <v>5000</v>
      </c>
      <c r="K395" s="101">
        <f>VLOOKUP(BDsurtidor!$H395,$T$4:$W$25,4,FALSE)</f>
        <v>17</v>
      </c>
      <c r="L395" s="101">
        <f>VLOOKUP(BDsurtidor!$H395,$T$4:$X$25,5,FALSE)</f>
        <v>0.4</v>
      </c>
      <c r="M395" s="101" t="str">
        <f>VLOOKUP(BDsurtidor!$H395,$T$4:$Y$25,6,FALSE)</f>
        <v>EPS</v>
      </c>
      <c r="N395" s="327">
        <v>0</v>
      </c>
      <c r="O395" s="125">
        <v>1.22</v>
      </c>
      <c r="P395" s="126">
        <v>0.4513888888888889</v>
      </c>
      <c r="Q395" s="123" t="s">
        <v>735</v>
      </c>
    </row>
    <row r="396" spans="2:17" x14ac:dyDescent="0.25">
      <c r="B396">
        <f>WEEKNUM(BSURTIDOR[[#This Row],[FECHA]])</f>
        <v>8</v>
      </c>
      <c r="C396">
        <f>MONTH(BSURTIDOR[[#This Row],[FECHA]])</f>
        <v>2</v>
      </c>
      <c r="D396">
        <f>YEAR(BSURTIDOR[[#This Row],[FECHA]])</f>
        <v>2026</v>
      </c>
      <c r="E396" s="124">
        <v>46074</v>
      </c>
      <c r="F396" s="364" t="s">
        <v>109</v>
      </c>
      <c r="G396" s="123">
        <v>6</v>
      </c>
      <c r="H396" s="123" t="s">
        <v>99</v>
      </c>
      <c r="I396" s="101" t="str">
        <f>VLOOKUP(BDsurtidor!$H396,$T$4:$W$18,2,FALSE)</f>
        <v>CISTERNA</v>
      </c>
      <c r="J396" s="101">
        <f>VLOOKUP(BDsurtidor!$H396,$T$4:$W$25,3,FALSE)</f>
        <v>5000</v>
      </c>
      <c r="K396" s="101">
        <f>VLOOKUP(BDsurtidor!$H396,$T$4:$W$25,4,FALSE)</f>
        <v>17</v>
      </c>
      <c r="L396" s="101">
        <f>VLOOKUP(BDsurtidor!$H396,$T$4:$X$25,5,FALSE)</f>
        <v>0.4</v>
      </c>
      <c r="M396" s="101" t="str">
        <f>VLOOKUP(BDsurtidor!$H396,$T$4:$Y$25,6,FALSE)</f>
        <v>EPS</v>
      </c>
      <c r="N396" s="70">
        <v>0</v>
      </c>
      <c r="O396" s="125">
        <v>1.17</v>
      </c>
      <c r="P396" s="126">
        <v>0.47222222222222221</v>
      </c>
      <c r="Q396" s="123" t="s">
        <v>735</v>
      </c>
    </row>
    <row r="397" spans="2:17" x14ac:dyDescent="0.25">
      <c r="B397">
        <f>WEEKNUM(BSURTIDOR[[#This Row],[FECHA]])</f>
        <v>8</v>
      </c>
      <c r="C397">
        <f>MONTH(BSURTIDOR[[#This Row],[FECHA]])</f>
        <v>2</v>
      </c>
      <c r="D397">
        <f>YEAR(BSURTIDOR[[#This Row],[FECHA]])</f>
        <v>2026</v>
      </c>
      <c r="E397" s="124">
        <v>46074</v>
      </c>
      <c r="F397" s="364" t="s">
        <v>109</v>
      </c>
      <c r="G397" s="123">
        <v>7</v>
      </c>
      <c r="H397" s="123" t="s">
        <v>90</v>
      </c>
      <c r="I397" s="101" t="str">
        <f>VLOOKUP(BDsurtidor!$H397,$T$4:$W$18,2,FALSE)</f>
        <v>CISTERNA</v>
      </c>
      <c r="J397" s="101">
        <f>VLOOKUP(BDsurtidor!$H397,$T$4:$W$25,3,FALSE)</f>
        <v>5000</v>
      </c>
      <c r="K397" s="101">
        <f>VLOOKUP(BDsurtidor!$H397,$T$4:$W$25,4,FALSE)</f>
        <v>17</v>
      </c>
      <c r="L397" s="101">
        <f>VLOOKUP(BDsurtidor!$H397,$T$4:$X$25,5,FALSE)</f>
        <v>0.4</v>
      </c>
      <c r="M397" s="101" t="str">
        <f>VLOOKUP(BDsurtidor!$H397,$T$4:$Y$25,6,FALSE)</f>
        <v>EPS</v>
      </c>
      <c r="N397" s="327">
        <v>0</v>
      </c>
      <c r="O397" s="125">
        <v>1.25</v>
      </c>
      <c r="P397" s="126">
        <v>0.47986111111111113</v>
      </c>
      <c r="Q397" s="123" t="s">
        <v>735</v>
      </c>
    </row>
    <row r="398" spans="2:17" x14ac:dyDescent="0.25">
      <c r="B398">
        <f>WEEKNUM(BSURTIDOR[[#This Row],[FECHA]])</f>
        <v>8</v>
      </c>
      <c r="C398">
        <f>MONTH(BSURTIDOR[[#This Row],[FECHA]])</f>
        <v>2</v>
      </c>
      <c r="D398">
        <f>YEAR(BSURTIDOR[[#This Row],[FECHA]])</f>
        <v>2026</v>
      </c>
      <c r="E398" s="124">
        <v>46074</v>
      </c>
      <c r="F398" s="364" t="s">
        <v>109</v>
      </c>
      <c r="G398" s="123">
        <v>8</v>
      </c>
      <c r="H398" s="123" t="s">
        <v>87</v>
      </c>
      <c r="I398" s="101" t="str">
        <f>VLOOKUP(BDsurtidor!$H398,$T$4:$W$18,2,FALSE)</f>
        <v>CISTERNA</v>
      </c>
      <c r="J398" s="101">
        <f>VLOOKUP(BDsurtidor!$H398,$T$4:$W$25,3,FALSE)</f>
        <v>5000</v>
      </c>
      <c r="K398" s="101">
        <f>VLOOKUP(BDsurtidor!$H398,$T$4:$W$25,4,FALSE)</f>
        <v>17</v>
      </c>
      <c r="L398" s="101">
        <f>VLOOKUP(BDsurtidor!$H398,$T$4:$X$25,5,FALSE)</f>
        <v>0.4</v>
      </c>
      <c r="M398" s="101" t="str">
        <f>VLOOKUP(BDsurtidor!$H398,$T$4:$Y$25,6,FALSE)</f>
        <v>EPS</v>
      </c>
      <c r="N398" s="70">
        <v>0</v>
      </c>
      <c r="O398" s="125">
        <v>1.22</v>
      </c>
      <c r="P398" s="126">
        <v>0.48819444444444443</v>
      </c>
      <c r="Q398" s="123" t="s">
        <v>735</v>
      </c>
    </row>
    <row r="399" spans="2:17" x14ac:dyDescent="0.25">
      <c r="B399">
        <f>WEEKNUM(BSURTIDOR[[#This Row],[FECHA]])</f>
        <v>8</v>
      </c>
      <c r="C399">
        <f>MONTH(BSURTIDOR[[#This Row],[FECHA]])</f>
        <v>2</v>
      </c>
      <c r="D399">
        <f>YEAR(BSURTIDOR[[#This Row],[FECHA]])</f>
        <v>2026</v>
      </c>
      <c r="E399" s="124">
        <v>46074</v>
      </c>
      <c r="F399" s="329" t="s">
        <v>548</v>
      </c>
      <c r="G399" s="123">
        <v>9</v>
      </c>
      <c r="H399" s="123" t="s">
        <v>100</v>
      </c>
      <c r="I399" s="101" t="str">
        <f>VLOOKUP(BDsurtidor!$H399,$T$4:$W$18,2,FALSE)</f>
        <v>HIDROJET</v>
      </c>
      <c r="J399" s="101">
        <f>VLOOKUP(BDsurtidor!$H399,$T$4:$W$25,3,FALSE)</f>
        <v>1000</v>
      </c>
      <c r="K399" s="101">
        <f>VLOOKUP(BDsurtidor!$H399,$T$4:$W$25,4,FALSE)</f>
        <v>1</v>
      </c>
      <c r="L399" s="101">
        <f>VLOOKUP(BDsurtidor!$H399,$T$4:$X$25,5,FALSE)</f>
        <v>0</v>
      </c>
      <c r="M399" s="101" t="str">
        <f>VLOOKUP(BDsurtidor!$H399,$T$4:$Y$25,6,FALSE)</f>
        <v>EPS</v>
      </c>
      <c r="N399" s="70">
        <v>1</v>
      </c>
      <c r="O399" s="125" t="s">
        <v>727</v>
      </c>
      <c r="P399" s="126">
        <v>0.27361111111111114</v>
      </c>
      <c r="Q399" s="334" t="s">
        <v>574</v>
      </c>
    </row>
    <row r="400" spans="2:17" x14ac:dyDescent="0.25">
      <c r="B400">
        <f>WEEKNUM(BSURTIDOR[[#This Row],[FECHA]])</f>
        <v>9</v>
      </c>
      <c r="C400">
        <f>MONTH(BSURTIDOR[[#This Row],[FECHA]])</f>
        <v>2</v>
      </c>
      <c r="D400">
        <f>YEAR(BSURTIDOR[[#This Row],[FECHA]])</f>
        <v>2026</v>
      </c>
      <c r="E400" s="124">
        <v>46076</v>
      </c>
      <c r="F400" s="382" t="s">
        <v>548</v>
      </c>
      <c r="G400" s="123">
        <v>1</v>
      </c>
      <c r="H400" s="123" t="s">
        <v>100</v>
      </c>
      <c r="I400" s="101" t="str">
        <f>VLOOKUP(BDsurtidor!$H400,$T$4:$W$18,2,FALSE)</f>
        <v>HIDROJET</v>
      </c>
      <c r="J400" s="101">
        <f>VLOOKUP(BDsurtidor!$H400,$T$4:$W$25,3,FALSE)</f>
        <v>1000</v>
      </c>
      <c r="K400" s="101">
        <f>VLOOKUP(BDsurtidor!$H400,$T$4:$W$25,4,FALSE)</f>
        <v>1</v>
      </c>
      <c r="L400" s="101">
        <f>VLOOKUP(BDsurtidor!$H400,$T$4:$X$25,5,FALSE)</f>
        <v>0</v>
      </c>
      <c r="M400" s="101" t="str">
        <f>VLOOKUP(BDsurtidor!$H400,$T$4:$Y$25,6,FALSE)</f>
        <v>EPS</v>
      </c>
      <c r="N400" s="70">
        <v>0</v>
      </c>
      <c r="O400" s="125"/>
      <c r="P400" s="126">
        <v>0.27916666666666667</v>
      </c>
      <c r="Q400" s="334" t="s">
        <v>574</v>
      </c>
    </row>
    <row r="401" spans="2:17" x14ac:dyDescent="0.25">
      <c r="B401">
        <f>WEEKNUM(BSURTIDOR[[#This Row],[FECHA]])</f>
        <v>9</v>
      </c>
      <c r="C401">
        <f>MONTH(BSURTIDOR[[#This Row],[FECHA]])</f>
        <v>2</v>
      </c>
      <c r="D401">
        <f>YEAR(BSURTIDOR[[#This Row],[FECHA]])</f>
        <v>2026</v>
      </c>
      <c r="E401" s="124">
        <v>46076</v>
      </c>
      <c r="F401" s="329" t="s">
        <v>548</v>
      </c>
      <c r="G401" s="123">
        <v>2</v>
      </c>
      <c r="H401" s="123" t="s">
        <v>89</v>
      </c>
      <c r="I401" s="101" t="str">
        <f>VLOOKUP(BDsurtidor!$H401,$T$4:$W$18,2,FALSE)</f>
        <v>CISTERNA</v>
      </c>
      <c r="J401" s="101">
        <f>VLOOKUP(BDsurtidor!$H401,$T$4:$W$25,3,FALSE)</f>
        <v>9000</v>
      </c>
      <c r="K401" s="101">
        <f>VLOOKUP(BDsurtidor!$H401,$T$4:$W$25,4,FALSE)</f>
        <v>34</v>
      </c>
      <c r="L401" s="101">
        <f>VLOOKUP(BDsurtidor!$H401,$T$4:$X$25,5,FALSE)</f>
        <v>0.45</v>
      </c>
      <c r="M401" s="101" t="str">
        <f>VLOOKUP(BDsurtidor!$H401,$T$4:$Y$25,6,FALSE)</f>
        <v>VIVIENDA</v>
      </c>
      <c r="N401" s="70">
        <v>0.9</v>
      </c>
      <c r="O401" s="125">
        <v>1.01</v>
      </c>
      <c r="P401" s="126">
        <v>0.3125</v>
      </c>
      <c r="Q401" s="334" t="s">
        <v>574</v>
      </c>
    </row>
    <row r="402" spans="2:17" x14ac:dyDescent="0.25">
      <c r="B402">
        <f>WEEKNUM(BSURTIDOR[[#This Row],[FECHA]])</f>
        <v>9</v>
      </c>
      <c r="C402">
        <f>MONTH(BSURTIDOR[[#This Row],[FECHA]])</f>
        <v>2</v>
      </c>
      <c r="D402">
        <f>YEAR(BSURTIDOR[[#This Row],[FECHA]])</f>
        <v>2026</v>
      </c>
      <c r="E402" s="124">
        <v>46076</v>
      </c>
      <c r="F402" s="382" t="s">
        <v>548</v>
      </c>
      <c r="G402" s="123">
        <v>3</v>
      </c>
      <c r="H402" s="123" t="s">
        <v>99</v>
      </c>
      <c r="I402" s="101" t="str">
        <f>VLOOKUP(BDsurtidor!$H402,$T$4:$W$18,2,FALSE)</f>
        <v>CISTERNA</v>
      </c>
      <c r="J402" s="101">
        <f>VLOOKUP(BDsurtidor!$H402,$T$4:$W$25,3,FALSE)</f>
        <v>5000</v>
      </c>
      <c r="K402" s="101">
        <f>VLOOKUP(BDsurtidor!$H402,$T$4:$W$25,4,FALSE)</f>
        <v>17</v>
      </c>
      <c r="L402" s="101">
        <f>VLOOKUP(BDsurtidor!$H402,$T$4:$X$25,5,FALSE)</f>
        <v>0.4</v>
      </c>
      <c r="M402" s="101" t="str">
        <f>VLOOKUP(BDsurtidor!$H402,$T$4:$Y$25,6,FALSE)</f>
        <v>EPS</v>
      </c>
      <c r="N402" s="70">
        <v>0.5</v>
      </c>
      <c r="O402" s="125">
        <v>1.06</v>
      </c>
      <c r="P402" s="126">
        <v>0.3215277777777778</v>
      </c>
      <c r="Q402" s="334" t="s">
        <v>574</v>
      </c>
    </row>
    <row r="403" spans="2:17" x14ac:dyDescent="0.25">
      <c r="B403">
        <f>WEEKNUM(BSURTIDOR[[#This Row],[FECHA]])</f>
        <v>9</v>
      </c>
      <c r="C403">
        <f>MONTH(BSURTIDOR[[#This Row],[FECHA]])</f>
        <v>2</v>
      </c>
      <c r="D403">
        <f>YEAR(BSURTIDOR[[#This Row],[FECHA]])</f>
        <v>2026</v>
      </c>
      <c r="E403" s="124">
        <v>46076</v>
      </c>
      <c r="F403" s="329" t="s">
        <v>548</v>
      </c>
      <c r="G403" s="123">
        <v>4</v>
      </c>
      <c r="H403" s="123" t="s">
        <v>90</v>
      </c>
      <c r="I403" s="101" t="str">
        <f>VLOOKUP(BDsurtidor!$H403,$T$4:$W$18,2,FALSE)</f>
        <v>CISTERNA</v>
      </c>
      <c r="J403" s="101">
        <f>VLOOKUP(BDsurtidor!$H403,$T$4:$W$25,3,FALSE)</f>
        <v>5000</v>
      </c>
      <c r="K403" s="101">
        <f>VLOOKUP(BDsurtidor!$H403,$T$4:$W$25,4,FALSE)</f>
        <v>17</v>
      </c>
      <c r="L403" s="101">
        <f>VLOOKUP(BDsurtidor!$H403,$T$4:$X$25,5,FALSE)</f>
        <v>0.4</v>
      </c>
      <c r="M403" s="101" t="str">
        <f>VLOOKUP(BDsurtidor!$H403,$T$4:$Y$25,6,FALSE)</f>
        <v>EPS</v>
      </c>
      <c r="N403" s="70">
        <v>0.5</v>
      </c>
      <c r="O403" s="125">
        <v>1.1299999999999999</v>
      </c>
      <c r="P403" s="126">
        <v>0.34375</v>
      </c>
      <c r="Q403" s="334" t="s">
        <v>574</v>
      </c>
    </row>
    <row r="404" spans="2:17" x14ac:dyDescent="0.25">
      <c r="B404">
        <f>WEEKNUM(BSURTIDOR[[#This Row],[FECHA]])</f>
        <v>9</v>
      </c>
      <c r="C404">
        <f>MONTH(BSURTIDOR[[#This Row],[FECHA]])</f>
        <v>2</v>
      </c>
      <c r="D404">
        <f>YEAR(BSURTIDOR[[#This Row],[FECHA]])</f>
        <v>2026</v>
      </c>
      <c r="E404" s="124">
        <v>46076</v>
      </c>
      <c r="F404" s="382" t="s">
        <v>548</v>
      </c>
      <c r="G404" s="123">
        <v>5</v>
      </c>
      <c r="H404" s="123" t="s">
        <v>87</v>
      </c>
      <c r="I404" s="101" t="str">
        <f>VLOOKUP(BDsurtidor!$H404,$T$4:$W$18,2,FALSE)</f>
        <v>CISTERNA</v>
      </c>
      <c r="J404" s="101">
        <f>VLOOKUP(BDsurtidor!$H404,$T$4:$W$25,3,FALSE)</f>
        <v>5000</v>
      </c>
      <c r="K404" s="101">
        <f>VLOOKUP(BDsurtidor!$H404,$T$4:$W$25,4,FALSE)</f>
        <v>17</v>
      </c>
      <c r="L404" s="101">
        <f>VLOOKUP(BDsurtidor!$H404,$T$4:$X$25,5,FALSE)</f>
        <v>0.4</v>
      </c>
      <c r="M404" s="101" t="str">
        <f>VLOOKUP(BDsurtidor!$H404,$T$4:$Y$25,6,FALSE)</f>
        <v>EPS</v>
      </c>
      <c r="N404" s="70">
        <v>0.5</v>
      </c>
      <c r="O404" s="125">
        <v>1.1100000000000001</v>
      </c>
      <c r="P404" s="126">
        <v>0.34722222222222221</v>
      </c>
      <c r="Q404" s="334" t="s">
        <v>574</v>
      </c>
    </row>
    <row r="405" spans="2:17" x14ac:dyDescent="0.25">
      <c r="B405">
        <f>WEEKNUM(BSURTIDOR[[#This Row],[FECHA]])</f>
        <v>9</v>
      </c>
      <c r="C405">
        <f>MONTH(BSURTIDOR[[#This Row],[FECHA]])</f>
        <v>2</v>
      </c>
      <c r="D405">
        <f>YEAR(BSURTIDOR[[#This Row],[FECHA]])</f>
        <v>2026</v>
      </c>
      <c r="E405" s="124">
        <v>46076</v>
      </c>
      <c r="F405" s="329" t="s">
        <v>548</v>
      </c>
      <c r="G405" s="123">
        <v>6</v>
      </c>
      <c r="H405" s="123" t="s">
        <v>100</v>
      </c>
      <c r="I405" s="101" t="str">
        <f>VLOOKUP(BDsurtidor!$H405,$T$4:$W$18,2,FALSE)</f>
        <v>HIDROJET</v>
      </c>
      <c r="J405" s="101">
        <f>VLOOKUP(BDsurtidor!$H405,$T$4:$W$25,3,FALSE)</f>
        <v>1000</v>
      </c>
      <c r="K405" s="101">
        <f>VLOOKUP(BDsurtidor!$H405,$T$4:$W$25,4,FALSE)</f>
        <v>1</v>
      </c>
      <c r="L405" s="101">
        <f>VLOOKUP(BDsurtidor!$H405,$T$4:$X$25,5,FALSE)</f>
        <v>0</v>
      </c>
      <c r="M405" s="101" t="str">
        <f>VLOOKUP(BDsurtidor!$H405,$T$4:$Y$25,6,FALSE)</f>
        <v>EPS</v>
      </c>
      <c r="N405" s="70">
        <v>0</v>
      </c>
      <c r="O405" s="125" t="s">
        <v>727</v>
      </c>
      <c r="P405" s="126">
        <v>0.38541666666666669</v>
      </c>
      <c r="Q405" s="334" t="s">
        <v>574</v>
      </c>
    </row>
    <row r="406" spans="2:17" x14ac:dyDescent="0.25">
      <c r="B406">
        <f>WEEKNUM(BSURTIDOR[[#This Row],[FECHA]])</f>
        <v>9</v>
      </c>
      <c r="C406">
        <f>MONTH(BSURTIDOR[[#This Row],[FECHA]])</f>
        <v>2</v>
      </c>
      <c r="D406">
        <f>YEAR(BSURTIDOR[[#This Row],[FECHA]])</f>
        <v>2026</v>
      </c>
      <c r="E406" s="124">
        <v>46076</v>
      </c>
      <c r="F406" s="382" t="s">
        <v>548</v>
      </c>
      <c r="G406" s="123">
        <v>7</v>
      </c>
      <c r="H406" s="123" t="s">
        <v>90</v>
      </c>
      <c r="I406" s="101" t="str">
        <f>VLOOKUP(BDsurtidor!$H406,$T$4:$W$18,2,FALSE)</f>
        <v>CISTERNA</v>
      </c>
      <c r="J406" s="101">
        <f>VLOOKUP(BDsurtidor!$H406,$T$4:$W$25,3,FALSE)</f>
        <v>5000</v>
      </c>
      <c r="K406" s="101">
        <f>VLOOKUP(BDsurtidor!$H406,$T$4:$W$25,4,FALSE)</f>
        <v>17</v>
      </c>
      <c r="L406" s="101">
        <f>VLOOKUP(BDsurtidor!$H406,$T$4:$X$25,5,FALSE)</f>
        <v>0.4</v>
      </c>
      <c r="M406" s="101" t="str">
        <f>VLOOKUP(BDsurtidor!$H406,$T$4:$Y$25,6,FALSE)</f>
        <v>EPS</v>
      </c>
      <c r="N406" s="70">
        <v>0.5</v>
      </c>
      <c r="O406" s="125">
        <v>1.1399999999999999</v>
      </c>
      <c r="P406" s="126">
        <v>0.47083333333333333</v>
      </c>
      <c r="Q406" s="334" t="s">
        <v>574</v>
      </c>
    </row>
    <row r="407" spans="2:17" x14ac:dyDescent="0.25">
      <c r="B407">
        <f>WEEKNUM(BSURTIDOR[[#This Row],[FECHA]])</f>
        <v>9</v>
      </c>
      <c r="C407">
        <f>MONTH(BSURTIDOR[[#This Row],[FECHA]])</f>
        <v>2</v>
      </c>
      <c r="D407">
        <f>YEAR(BSURTIDOR[[#This Row],[FECHA]])</f>
        <v>2026</v>
      </c>
      <c r="E407" s="124">
        <v>46076</v>
      </c>
      <c r="F407" s="329" t="s">
        <v>548</v>
      </c>
      <c r="G407" s="123">
        <v>8</v>
      </c>
      <c r="H407" s="123" t="s">
        <v>89</v>
      </c>
      <c r="I407" s="101" t="str">
        <f>VLOOKUP(BDsurtidor!$H407,$T$4:$W$18,2,FALSE)</f>
        <v>CISTERNA</v>
      </c>
      <c r="J407" s="101">
        <f>VLOOKUP(BDsurtidor!$H407,$T$4:$W$25,3,FALSE)</f>
        <v>9000</v>
      </c>
      <c r="K407" s="101">
        <f>VLOOKUP(BDsurtidor!$H407,$T$4:$W$25,4,FALSE)</f>
        <v>34</v>
      </c>
      <c r="L407" s="101">
        <f>VLOOKUP(BDsurtidor!$H407,$T$4:$X$25,5,FALSE)</f>
        <v>0.45</v>
      </c>
      <c r="M407" s="101" t="str">
        <f>VLOOKUP(BDsurtidor!$H407,$T$4:$Y$25,6,FALSE)</f>
        <v>VIVIENDA</v>
      </c>
      <c r="N407" s="70">
        <v>0.9</v>
      </c>
      <c r="O407" s="125">
        <v>1.01</v>
      </c>
      <c r="P407" s="126">
        <v>0.48125000000000001</v>
      </c>
      <c r="Q407" s="334" t="s">
        <v>574</v>
      </c>
    </row>
    <row r="408" spans="2:17" x14ac:dyDescent="0.25">
      <c r="B408">
        <f>WEEKNUM(BSURTIDOR[[#This Row],[FECHA]])</f>
        <v>9</v>
      </c>
      <c r="C408">
        <f>MONTH(BSURTIDOR[[#This Row],[FECHA]])</f>
        <v>2</v>
      </c>
      <c r="D408">
        <f>YEAR(BSURTIDOR[[#This Row],[FECHA]])</f>
        <v>2026</v>
      </c>
      <c r="E408" s="124">
        <v>46076</v>
      </c>
      <c r="F408" s="382" t="s">
        <v>548</v>
      </c>
      <c r="G408" s="123">
        <v>9</v>
      </c>
      <c r="H408" s="123" t="s">
        <v>99</v>
      </c>
      <c r="I408" s="101" t="str">
        <f>VLOOKUP(BDsurtidor!$H408,$T$4:$W$18,2,FALSE)</f>
        <v>CISTERNA</v>
      </c>
      <c r="J408" s="101">
        <f>VLOOKUP(BDsurtidor!$H408,$T$4:$W$25,3,FALSE)</f>
        <v>5000</v>
      </c>
      <c r="K408" s="101">
        <f>VLOOKUP(BDsurtidor!$H408,$T$4:$W$25,4,FALSE)</f>
        <v>17</v>
      </c>
      <c r="L408" s="101">
        <f>VLOOKUP(BDsurtidor!$H408,$T$4:$X$25,5,FALSE)</f>
        <v>0.4</v>
      </c>
      <c r="M408" s="101" t="str">
        <f>VLOOKUP(BDsurtidor!$H408,$T$4:$Y$25,6,FALSE)</f>
        <v>EPS</v>
      </c>
      <c r="N408" s="70">
        <v>0.5</v>
      </c>
      <c r="O408" s="125">
        <v>1.08</v>
      </c>
      <c r="P408" s="126">
        <v>0.49513888888888891</v>
      </c>
      <c r="Q408" s="334" t="s">
        <v>574</v>
      </c>
    </row>
    <row r="409" spans="2:17" x14ac:dyDescent="0.25">
      <c r="B409">
        <f>WEEKNUM(BSURTIDOR[[#This Row],[FECHA]])</f>
        <v>9</v>
      </c>
      <c r="C409">
        <f>MONTH(BSURTIDOR[[#This Row],[FECHA]])</f>
        <v>2</v>
      </c>
      <c r="D409">
        <f>YEAR(BSURTIDOR[[#This Row],[FECHA]])</f>
        <v>2026</v>
      </c>
      <c r="E409" s="124">
        <v>46076</v>
      </c>
      <c r="F409" s="329" t="s">
        <v>548</v>
      </c>
      <c r="G409" s="123">
        <v>10</v>
      </c>
      <c r="H409" s="123" t="s">
        <v>87</v>
      </c>
      <c r="I409" s="101" t="str">
        <f>VLOOKUP(BDsurtidor!$H409,$T$4:$W$18,2,FALSE)</f>
        <v>CISTERNA</v>
      </c>
      <c r="J409" s="101">
        <f>VLOOKUP(BDsurtidor!$H409,$T$4:$W$25,3,FALSE)</f>
        <v>5000</v>
      </c>
      <c r="K409" s="101">
        <f>VLOOKUP(BDsurtidor!$H409,$T$4:$W$25,4,FALSE)</f>
        <v>17</v>
      </c>
      <c r="L409" s="101">
        <f>VLOOKUP(BDsurtidor!$H409,$T$4:$X$25,5,FALSE)</f>
        <v>0.4</v>
      </c>
      <c r="M409" s="101" t="str">
        <f>VLOOKUP(BDsurtidor!$H409,$T$4:$Y$25,6,FALSE)</f>
        <v>EPS</v>
      </c>
      <c r="N409" s="70">
        <v>0.5</v>
      </c>
      <c r="O409" s="125">
        <v>1.19</v>
      </c>
      <c r="P409" s="126">
        <v>0.50555555555555554</v>
      </c>
      <c r="Q409" s="334" t="s">
        <v>574</v>
      </c>
    </row>
    <row r="410" spans="2:17" x14ac:dyDescent="0.25">
      <c r="B410">
        <f>WEEKNUM(BSURTIDOR[[#This Row],[FECHA]])</f>
        <v>9</v>
      </c>
      <c r="C410">
        <f>MONTH(BSURTIDOR[[#This Row],[FECHA]])</f>
        <v>2</v>
      </c>
      <c r="D410">
        <f>YEAR(BSURTIDOR[[#This Row],[FECHA]])</f>
        <v>2026</v>
      </c>
      <c r="E410" s="124">
        <v>46076</v>
      </c>
      <c r="F410" s="382" t="s">
        <v>548</v>
      </c>
      <c r="G410" s="123">
        <v>11</v>
      </c>
      <c r="H410" s="123" t="s">
        <v>89</v>
      </c>
      <c r="I410" s="101" t="str">
        <f>VLOOKUP(BDsurtidor!$H410,$T$4:$W$18,2,FALSE)</f>
        <v>CISTERNA</v>
      </c>
      <c r="J410" s="101">
        <f>VLOOKUP(BDsurtidor!$H410,$T$4:$W$25,3,FALSE)</f>
        <v>9000</v>
      </c>
      <c r="K410" s="101">
        <f>VLOOKUP(BDsurtidor!$H410,$T$4:$W$25,4,FALSE)</f>
        <v>34</v>
      </c>
      <c r="L410" s="101">
        <f>VLOOKUP(BDsurtidor!$H410,$T$4:$X$25,5,FALSE)</f>
        <v>0.45</v>
      </c>
      <c r="M410" s="101" t="str">
        <f>VLOOKUP(BDsurtidor!$H410,$T$4:$Y$25,6,FALSE)</f>
        <v>VIVIENDA</v>
      </c>
      <c r="N410" s="101">
        <v>0.9</v>
      </c>
      <c r="O410" s="125">
        <v>1.06</v>
      </c>
      <c r="P410" s="126">
        <v>0.55208333333333337</v>
      </c>
      <c r="Q410" s="334" t="s">
        <v>574</v>
      </c>
    </row>
    <row r="411" spans="2:17" x14ac:dyDescent="0.25">
      <c r="B411">
        <f>WEEKNUM(BSURTIDOR[[#This Row],[FECHA]])</f>
        <v>9</v>
      </c>
      <c r="C411">
        <f>MONTH(BSURTIDOR[[#This Row],[FECHA]])</f>
        <v>2</v>
      </c>
      <c r="D411">
        <f>YEAR(BSURTIDOR[[#This Row],[FECHA]])</f>
        <v>2026</v>
      </c>
      <c r="E411" s="124">
        <v>46077</v>
      </c>
      <c r="F411" s="329" t="s">
        <v>548</v>
      </c>
      <c r="G411" s="123">
        <v>1</v>
      </c>
      <c r="H411" s="123" t="s">
        <v>100</v>
      </c>
      <c r="I411" s="101" t="str">
        <f>VLOOKUP(BDsurtidor!$H411,$T$4:$W$18,2,FALSE)</f>
        <v>HIDROJET</v>
      </c>
      <c r="J411" s="101">
        <f>VLOOKUP(BDsurtidor!$H411,$T$4:$W$25,3,FALSE)</f>
        <v>1000</v>
      </c>
      <c r="K411" s="101">
        <f>VLOOKUP(BDsurtidor!$H411,$T$4:$W$25,4,FALSE)</f>
        <v>1</v>
      </c>
      <c r="L411" s="101">
        <f>VLOOKUP(BDsurtidor!$H411,$T$4:$X$25,5,FALSE)</f>
        <v>0</v>
      </c>
      <c r="M411" s="101" t="str">
        <f>VLOOKUP(BDsurtidor!$H411,$T$4:$Y$25,6,FALSE)</f>
        <v>EPS</v>
      </c>
      <c r="N411" s="70">
        <v>0</v>
      </c>
      <c r="O411" s="125"/>
      <c r="P411" s="126">
        <v>0.28333333333333333</v>
      </c>
      <c r="Q411" s="334" t="s">
        <v>574</v>
      </c>
    </row>
    <row r="412" spans="2:17" x14ac:dyDescent="0.25">
      <c r="B412">
        <f>WEEKNUM(BSURTIDOR[[#This Row],[FECHA]])</f>
        <v>9</v>
      </c>
      <c r="C412">
        <f>MONTH(BSURTIDOR[[#This Row],[FECHA]])</f>
        <v>2</v>
      </c>
      <c r="D412">
        <f>YEAR(BSURTIDOR[[#This Row],[FECHA]])</f>
        <v>2026</v>
      </c>
      <c r="E412" s="124">
        <v>46077</v>
      </c>
      <c r="F412" s="382" t="s">
        <v>548</v>
      </c>
      <c r="G412" s="123">
        <v>2</v>
      </c>
      <c r="H412" s="123" t="s">
        <v>100</v>
      </c>
      <c r="I412" s="101" t="str">
        <f>VLOOKUP(BDsurtidor!$H412,$T$4:$W$18,2,FALSE)</f>
        <v>HIDROJET</v>
      </c>
      <c r="J412" s="101">
        <f>VLOOKUP(BDsurtidor!$H412,$T$4:$W$25,3,FALSE)</f>
        <v>1000</v>
      </c>
      <c r="K412" s="101">
        <f>VLOOKUP(BDsurtidor!$H412,$T$4:$W$25,4,FALSE)</f>
        <v>1</v>
      </c>
      <c r="L412" s="101">
        <f>VLOOKUP(BDsurtidor!$H412,$T$4:$X$25,5,FALSE)</f>
        <v>0</v>
      </c>
      <c r="M412" s="101" t="str">
        <f>VLOOKUP(BDsurtidor!$H412,$T$4:$Y$25,6,FALSE)</f>
        <v>EPS</v>
      </c>
      <c r="N412" s="70">
        <v>0</v>
      </c>
      <c r="O412" s="125"/>
      <c r="P412" s="126">
        <v>0.46875</v>
      </c>
      <c r="Q412" s="334" t="s">
        <v>574</v>
      </c>
    </row>
    <row r="413" spans="2:17" x14ac:dyDescent="0.25">
      <c r="B413">
        <f>WEEKNUM(BSURTIDOR[[#This Row],[FECHA]])</f>
        <v>9</v>
      </c>
      <c r="C413">
        <f>MONTH(BSURTIDOR[[#This Row],[FECHA]])</f>
        <v>2</v>
      </c>
      <c r="D413">
        <f>YEAR(BSURTIDOR[[#This Row],[FECHA]])</f>
        <v>2026</v>
      </c>
      <c r="E413" s="124">
        <v>46077</v>
      </c>
      <c r="F413" s="364" t="s">
        <v>109</v>
      </c>
      <c r="G413" s="123">
        <v>3</v>
      </c>
      <c r="H413" s="123" t="s">
        <v>89</v>
      </c>
      <c r="I413" s="101" t="str">
        <f>VLOOKUP(BDsurtidor!$H413,$T$4:$W$18,2,FALSE)</f>
        <v>CISTERNA</v>
      </c>
      <c r="J413" s="101">
        <f>VLOOKUP(BDsurtidor!$H413,$T$4:$W$25,3,FALSE)</f>
        <v>9000</v>
      </c>
      <c r="K413" s="101">
        <f>VLOOKUP(BDsurtidor!$H413,$T$4:$W$25,4,FALSE)</f>
        <v>34</v>
      </c>
      <c r="L413" s="101">
        <f>VLOOKUP(BDsurtidor!$H413,$T$4:$X$25,5,FALSE)</f>
        <v>0.45</v>
      </c>
      <c r="M413" s="101" t="str">
        <f>VLOOKUP(BDsurtidor!$H413,$T$4:$Y$25,6,FALSE)</f>
        <v>VIVIENDA</v>
      </c>
      <c r="N413" s="327">
        <v>0</v>
      </c>
      <c r="O413" s="125">
        <v>1.06</v>
      </c>
      <c r="P413" s="126">
        <v>0.3527777777777778</v>
      </c>
      <c r="Q413" s="123" t="s">
        <v>626</v>
      </c>
    </row>
    <row r="414" spans="2:17" x14ac:dyDescent="0.25">
      <c r="B414">
        <f>WEEKNUM(BSURTIDOR[[#This Row],[FECHA]])</f>
        <v>9</v>
      </c>
      <c r="C414">
        <f>MONTH(BSURTIDOR[[#This Row],[FECHA]])</f>
        <v>2</v>
      </c>
      <c r="D414">
        <f>YEAR(BSURTIDOR[[#This Row],[FECHA]])</f>
        <v>2026</v>
      </c>
      <c r="E414" s="124">
        <v>46077</v>
      </c>
      <c r="F414" s="364" t="s">
        <v>109</v>
      </c>
      <c r="G414" s="123">
        <v>4</v>
      </c>
      <c r="H414" s="123" t="s">
        <v>90</v>
      </c>
      <c r="I414" s="101" t="str">
        <f>VLOOKUP(BDsurtidor!$H414,$T$4:$W$18,2,FALSE)</f>
        <v>CISTERNA</v>
      </c>
      <c r="J414" s="101">
        <f>VLOOKUP(BDsurtidor!$H414,$T$4:$W$25,3,FALSE)</f>
        <v>5000</v>
      </c>
      <c r="K414" s="101">
        <f>VLOOKUP(BDsurtidor!$H414,$T$4:$W$25,4,FALSE)</f>
        <v>17</v>
      </c>
      <c r="L414" s="101">
        <f>VLOOKUP(BDsurtidor!$H414,$T$4:$X$25,5,FALSE)</f>
        <v>0.4</v>
      </c>
      <c r="M414" s="101" t="str">
        <f>VLOOKUP(BDsurtidor!$H414,$T$4:$Y$25,6,FALSE)</f>
        <v>EPS</v>
      </c>
      <c r="N414" s="70">
        <v>0</v>
      </c>
      <c r="O414" s="125">
        <v>1.18</v>
      </c>
      <c r="P414" s="126">
        <v>0.36458333333333331</v>
      </c>
      <c r="Q414" s="123" t="s">
        <v>626</v>
      </c>
    </row>
    <row r="415" spans="2:17" x14ac:dyDescent="0.25">
      <c r="B415">
        <f>WEEKNUM(BSURTIDOR[[#This Row],[FECHA]])</f>
        <v>9</v>
      </c>
      <c r="C415">
        <f>MONTH(BSURTIDOR[[#This Row],[FECHA]])</f>
        <v>2</v>
      </c>
      <c r="D415">
        <f>YEAR(BSURTIDOR[[#This Row],[FECHA]])</f>
        <v>2026</v>
      </c>
      <c r="E415" s="124">
        <v>46077</v>
      </c>
      <c r="F415" s="364" t="s">
        <v>109</v>
      </c>
      <c r="G415" s="123">
        <v>5</v>
      </c>
      <c r="H415" s="123" t="s">
        <v>99</v>
      </c>
      <c r="I415" s="101" t="str">
        <f>VLOOKUP(BDsurtidor!$H415,$T$4:$W$18,2,FALSE)</f>
        <v>CISTERNA</v>
      </c>
      <c r="J415" s="101">
        <f>VLOOKUP(BDsurtidor!$H415,$T$4:$W$25,3,FALSE)</f>
        <v>5000</v>
      </c>
      <c r="K415" s="101">
        <f>VLOOKUP(BDsurtidor!$H415,$T$4:$W$25,4,FALSE)</f>
        <v>17</v>
      </c>
      <c r="L415" s="101">
        <f>VLOOKUP(BDsurtidor!$H415,$T$4:$X$25,5,FALSE)</f>
        <v>0.4</v>
      </c>
      <c r="M415" s="101" t="str">
        <f>VLOOKUP(BDsurtidor!$H415,$T$4:$Y$25,6,FALSE)</f>
        <v>EPS</v>
      </c>
      <c r="N415" s="327">
        <v>0</v>
      </c>
      <c r="O415" s="125">
        <v>1.1399999999999999</v>
      </c>
      <c r="P415" s="126">
        <v>0.375</v>
      </c>
      <c r="Q415" s="123" t="s">
        <v>626</v>
      </c>
    </row>
    <row r="416" spans="2:17" x14ac:dyDescent="0.25">
      <c r="B416">
        <f>WEEKNUM(BSURTIDOR[[#This Row],[FECHA]])</f>
        <v>9</v>
      </c>
      <c r="C416">
        <f>MONTH(BSURTIDOR[[#This Row],[FECHA]])</f>
        <v>2</v>
      </c>
      <c r="D416">
        <f>YEAR(BSURTIDOR[[#This Row],[FECHA]])</f>
        <v>2026</v>
      </c>
      <c r="E416" s="124">
        <v>46077</v>
      </c>
      <c r="F416" s="364" t="s">
        <v>109</v>
      </c>
      <c r="G416" s="123">
        <v>6</v>
      </c>
      <c r="H416" s="123" t="s">
        <v>87</v>
      </c>
      <c r="I416" s="101" t="str">
        <f>VLOOKUP(BDsurtidor!$H416,$T$4:$W$18,2,FALSE)</f>
        <v>CISTERNA</v>
      </c>
      <c r="J416" s="101">
        <f>VLOOKUP(BDsurtidor!$H416,$T$4:$W$25,3,FALSE)</f>
        <v>5000</v>
      </c>
      <c r="K416" s="101">
        <f>VLOOKUP(BDsurtidor!$H416,$T$4:$W$25,4,FALSE)</f>
        <v>17</v>
      </c>
      <c r="L416" s="101">
        <f>VLOOKUP(BDsurtidor!$H416,$T$4:$X$25,5,FALSE)</f>
        <v>0.4</v>
      </c>
      <c r="M416" s="101" t="str">
        <f>VLOOKUP(BDsurtidor!$H416,$T$4:$Y$25,6,FALSE)</f>
        <v>EPS</v>
      </c>
      <c r="N416" s="70">
        <v>0</v>
      </c>
      <c r="O416" s="125">
        <v>1.1499999999999999</v>
      </c>
      <c r="P416" s="126">
        <v>0.38680555555555557</v>
      </c>
      <c r="Q416" s="123" t="s">
        <v>626</v>
      </c>
    </row>
    <row r="417" spans="2:17" x14ac:dyDescent="0.25">
      <c r="B417">
        <f>WEEKNUM(BSURTIDOR[[#This Row],[FECHA]])</f>
        <v>9</v>
      </c>
      <c r="C417">
        <f>MONTH(BSURTIDOR[[#This Row],[FECHA]])</f>
        <v>2</v>
      </c>
      <c r="D417">
        <f>YEAR(BSURTIDOR[[#This Row],[FECHA]])</f>
        <v>2026</v>
      </c>
      <c r="E417" s="124">
        <v>46077</v>
      </c>
      <c r="F417" s="364" t="s">
        <v>109</v>
      </c>
      <c r="G417" s="123">
        <v>7</v>
      </c>
      <c r="H417" s="123" t="s">
        <v>89</v>
      </c>
      <c r="I417" s="101" t="str">
        <f>VLOOKUP(BDsurtidor!$H417,$T$4:$W$18,2,FALSE)</f>
        <v>CISTERNA</v>
      </c>
      <c r="J417" s="101">
        <f>VLOOKUP(BDsurtidor!$H417,$T$4:$W$25,3,FALSE)</f>
        <v>9000</v>
      </c>
      <c r="K417" s="101">
        <f>VLOOKUP(BDsurtidor!$H417,$T$4:$W$25,4,FALSE)</f>
        <v>34</v>
      </c>
      <c r="L417" s="101">
        <f>VLOOKUP(BDsurtidor!$H417,$T$4:$X$25,5,FALSE)</f>
        <v>0.45</v>
      </c>
      <c r="M417" s="101" t="str">
        <f>VLOOKUP(BDsurtidor!$H417,$T$4:$Y$25,6,FALSE)</f>
        <v>VIVIENDA</v>
      </c>
      <c r="N417" s="327">
        <v>0</v>
      </c>
      <c r="O417" s="125">
        <v>1.17</v>
      </c>
      <c r="P417" s="126">
        <v>0.52013888888888893</v>
      </c>
      <c r="Q417" s="123" t="s">
        <v>626</v>
      </c>
    </row>
    <row r="418" spans="2:17" x14ac:dyDescent="0.25">
      <c r="B418">
        <f>WEEKNUM(BSURTIDOR[[#This Row],[FECHA]])</f>
        <v>9</v>
      </c>
      <c r="C418">
        <f>MONTH(BSURTIDOR[[#This Row],[FECHA]])</f>
        <v>2</v>
      </c>
      <c r="D418">
        <f>YEAR(BSURTIDOR[[#This Row],[FECHA]])</f>
        <v>2026</v>
      </c>
      <c r="E418" s="124">
        <v>46077</v>
      </c>
      <c r="F418" s="364" t="s">
        <v>109</v>
      </c>
      <c r="G418" s="123">
        <v>8</v>
      </c>
      <c r="H418" s="123" t="s">
        <v>90</v>
      </c>
      <c r="I418" s="101" t="str">
        <f>VLOOKUP(BDsurtidor!$H418,$T$4:$W$18,2,FALSE)</f>
        <v>CISTERNA</v>
      </c>
      <c r="J418" s="101">
        <f>VLOOKUP(BDsurtidor!$H418,$T$4:$W$25,3,FALSE)</f>
        <v>5000</v>
      </c>
      <c r="K418" s="101">
        <f>VLOOKUP(BDsurtidor!$H418,$T$4:$W$25,4,FALSE)</f>
        <v>17</v>
      </c>
      <c r="L418" s="101">
        <f>VLOOKUP(BDsurtidor!$H418,$T$4:$X$25,5,FALSE)</f>
        <v>0.4</v>
      </c>
      <c r="M418" s="101" t="str">
        <f>VLOOKUP(BDsurtidor!$H418,$T$4:$Y$25,6,FALSE)</f>
        <v>EPS</v>
      </c>
      <c r="N418" s="70">
        <v>0</v>
      </c>
      <c r="O418" s="125">
        <v>1.1100000000000001</v>
      </c>
      <c r="P418" s="126">
        <v>0.52986111111111112</v>
      </c>
      <c r="Q418" s="123" t="s">
        <v>626</v>
      </c>
    </row>
    <row r="419" spans="2:17" x14ac:dyDescent="0.25">
      <c r="B419">
        <f>WEEKNUM(BSURTIDOR[[#This Row],[FECHA]])</f>
        <v>9</v>
      </c>
      <c r="C419">
        <f>MONTH(BSURTIDOR[[#This Row],[FECHA]])</f>
        <v>2</v>
      </c>
      <c r="D419">
        <f>YEAR(BSURTIDOR[[#This Row],[FECHA]])</f>
        <v>2026</v>
      </c>
      <c r="E419" s="124">
        <v>46077</v>
      </c>
      <c r="F419" s="364" t="s">
        <v>109</v>
      </c>
      <c r="G419" s="123">
        <v>9</v>
      </c>
      <c r="H419" s="123" t="s">
        <v>87</v>
      </c>
      <c r="I419" s="101" t="str">
        <f>VLOOKUP(BDsurtidor!$H419,$T$4:$W$18,2,FALSE)</f>
        <v>CISTERNA</v>
      </c>
      <c r="J419" s="101">
        <f>VLOOKUP(BDsurtidor!$H419,$T$4:$W$25,3,FALSE)</f>
        <v>5000</v>
      </c>
      <c r="K419" s="101">
        <f>VLOOKUP(BDsurtidor!$H419,$T$4:$W$25,4,FALSE)</f>
        <v>17</v>
      </c>
      <c r="L419" s="101">
        <f>VLOOKUP(BDsurtidor!$H419,$T$4:$X$25,5,FALSE)</f>
        <v>0.4</v>
      </c>
      <c r="M419" s="101" t="str">
        <f>VLOOKUP(BDsurtidor!$H419,$T$4:$Y$25,6,FALSE)</f>
        <v>EPS</v>
      </c>
      <c r="N419" s="327">
        <v>0</v>
      </c>
      <c r="O419" s="125">
        <v>1.28</v>
      </c>
      <c r="P419" s="126">
        <v>0.5395833333333333</v>
      </c>
      <c r="Q419" s="123" t="s">
        <v>626</v>
      </c>
    </row>
    <row r="420" spans="2:17" x14ac:dyDescent="0.25">
      <c r="B420">
        <f>WEEKNUM(BSURTIDOR[[#This Row],[FECHA]])</f>
        <v>9</v>
      </c>
      <c r="C420">
        <f>MONTH(BSURTIDOR[[#This Row],[FECHA]])</f>
        <v>2</v>
      </c>
      <c r="D420">
        <f>YEAR(BSURTIDOR[[#This Row],[FECHA]])</f>
        <v>2026</v>
      </c>
      <c r="E420" s="124">
        <v>46077</v>
      </c>
      <c r="F420" s="364" t="s">
        <v>109</v>
      </c>
      <c r="G420" s="123">
        <v>10</v>
      </c>
      <c r="H420" s="123" t="s">
        <v>99</v>
      </c>
      <c r="I420" s="101" t="str">
        <f>VLOOKUP(BDsurtidor!$H420,$T$4:$W$18,2,FALSE)</f>
        <v>CISTERNA</v>
      </c>
      <c r="J420" s="101">
        <f>VLOOKUP(BDsurtidor!$H420,$T$4:$W$25,3,FALSE)</f>
        <v>5000</v>
      </c>
      <c r="K420" s="101">
        <f>VLOOKUP(BDsurtidor!$H420,$T$4:$W$25,4,FALSE)</f>
        <v>17</v>
      </c>
      <c r="L420" s="101">
        <f>VLOOKUP(BDsurtidor!$H420,$T$4:$X$25,5,FALSE)</f>
        <v>0.4</v>
      </c>
      <c r="M420" s="101" t="str">
        <f>VLOOKUP(BDsurtidor!$H420,$T$4:$Y$25,6,FALSE)</f>
        <v>EPS</v>
      </c>
      <c r="N420" s="70">
        <v>0</v>
      </c>
      <c r="O420" s="125">
        <v>1.1499999999999999</v>
      </c>
      <c r="P420" s="126">
        <v>0.54861111111111116</v>
      </c>
      <c r="Q420" s="123" t="s">
        <v>626</v>
      </c>
    </row>
    <row r="421" spans="2:17" x14ac:dyDescent="0.25">
      <c r="B421">
        <f>WEEKNUM(BSURTIDOR[[#This Row],[FECHA]])</f>
        <v>9</v>
      </c>
      <c r="C421">
        <f>MONTH(BSURTIDOR[[#This Row],[FECHA]])</f>
        <v>2</v>
      </c>
      <c r="D421">
        <f>YEAR(BSURTIDOR[[#This Row],[FECHA]])</f>
        <v>2026</v>
      </c>
      <c r="E421" s="124">
        <v>46078</v>
      </c>
      <c r="F421" s="364" t="s">
        <v>109</v>
      </c>
      <c r="G421" s="123">
        <v>1</v>
      </c>
      <c r="H421" s="123" t="s">
        <v>99</v>
      </c>
      <c r="I421" s="101" t="str">
        <f>VLOOKUP(BDsurtidor!$H421,$T$4:$W$18,2,FALSE)</f>
        <v>CISTERNA</v>
      </c>
      <c r="J421" s="101">
        <f>VLOOKUP(BDsurtidor!$H421,$T$4:$W$25,3,FALSE)</f>
        <v>5000</v>
      </c>
      <c r="K421" s="101">
        <f>VLOOKUP(BDsurtidor!$H421,$T$4:$W$25,4,FALSE)</f>
        <v>17</v>
      </c>
      <c r="L421" s="101">
        <f>VLOOKUP(BDsurtidor!$H421,$T$4:$X$25,5,FALSE)</f>
        <v>0.4</v>
      </c>
      <c r="M421" s="101" t="str">
        <f>VLOOKUP(BDsurtidor!$H421,$T$4:$Y$25,6,FALSE)</f>
        <v>EPS</v>
      </c>
      <c r="N421" s="327">
        <v>0</v>
      </c>
      <c r="O421" s="125">
        <v>1.2</v>
      </c>
      <c r="P421" s="126">
        <v>0.33680555555555558</v>
      </c>
      <c r="Q421" s="123" t="s">
        <v>626</v>
      </c>
    </row>
    <row r="422" spans="2:17" x14ac:dyDescent="0.25">
      <c r="B422">
        <f>WEEKNUM(BSURTIDOR[[#This Row],[FECHA]])</f>
        <v>9</v>
      </c>
      <c r="C422">
        <f>MONTH(BSURTIDOR[[#This Row],[FECHA]])</f>
        <v>2</v>
      </c>
      <c r="D422">
        <f>YEAR(BSURTIDOR[[#This Row],[FECHA]])</f>
        <v>2026</v>
      </c>
      <c r="E422" s="124">
        <v>46078</v>
      </c>
      <c r="F422" s="364" t="s">
        <v>109</v>
      </c>
      <c r="G422" s="123">
        <v>2</v>
      </c>
      <c r="H422" s="123" t="s">
        <v>89</v>
      </c>
      <c r="I422" s="101" t="str">
        <f>VLOOKUP(BDsurtidor!$H422,$T$4:$W$18,2,FALSE)</f>
        <v>CISTERNA</v>
      </c>
      <c r="J422" s="101">
        <f>VLOOKUP(BDsurtidor!$H422,$T$4:$W$25,3,FALSE)</f>
        <v>9000</v>
      </c>
      <c r="K422" s="101">
        <f>VLOOKUP(BDsurtidor!$H422,$T$4:$W$25,4,FALSE)</f>
        <v>34</v>
      </c>
      <c r="L422" s="101">
        <f>VLOOKUP(BDsurtidor!$H422,$T$4:$X$25,5,FALSE)</f>
        <v>0.45</v>
      </c>
      <c r="M422" s="101" t="str">
        <f>VLOOKUP(BDsurtidor!$H422,$T$4:$Y$25,6,FALSE)</f>
        <v>VIVIENDA</v>
      </c>
      <c r="N422" s="70">
        <v>0</v>
      </c>
      <c r="O422" s="125">
        <v>1.1599999999999999</v>
      </c>
      <c r="P422" s="126">
        <v>0.35416666666666669</v>
      </c>
      <c r="Q422" s="123" t="s">
        <v>626</v>
      </c>
    </row>
    <row r="423" spans="2:17" x14ac:dyDescent="0.25">
      <c r="B423">
        <f>WEEKNUM(BSURTIDOR[[#This Row],[FECHA]])</f>
        <v>9</v>
      </c>
      <c r="C423">
        <f>MONTH(BSURTIDOR[[#This Row],[FECHA]])</f>
        <v>2</v>
      </c>
      <c r="D423">
        <f>YEAR(BSURTIDOR[[#This Row],[FECHA]])</f>
        <v>2026</v>
      </c>
      <c r="E423" s="124">
        <v>46078</v>
      </c>
      <c r="F423" s="364" t="s">
        <v>109</v>
      </c>
      <c r="G423" s="123">
        <v>3</v>
      </c>
      <c r="H423" s="123" t="s">
        <v>87</v>
      </c>
      <c r="I423" s="101" t="str">
        <f>VLOOKUP(BDsurtidor!$H423,$T$4:$W$18,2,FALSE)</f>
        <v>CISTERNA</v>
      </c>
      <c r="J423" s="101">
        <f>VLOOKUP(BDsurtidor!$H423,$T$4:$W$25,3,FALSE)</f>
        <v>5000</v>
      </c>
      <c r="K423" s="101">
        <f>VLOOKUP(BDsurtidor!$H423,$T$4:$W$25,4,FALSE)</f>
        <v>17</v>
      </c>
      <c r="L423" s="101">
        <f>VLOOKUP(BDsurtidor!$H423,$T$4:$X$25,5,FALSE)</f>
        <v>0.4</v>
      </c>
      <c r="M423" s="101" t="str">
        <f>VLOOKUP(BDsurtidor!$H423,$T$4:$Y$25,6,FALSE)</f>
        <v>EPS</v>
      </c>
      <c r="N423" s="327">
        <v>0</v>
      </c>
      <c r="O423" s="125">
        <v>1.1599999999999999</v>
      </c>
      <c r="P423" s="126">
        <v>0.41736111111111113</v>
      </c>
      <c r="Q423" s="123" t="s">
        <v>626</v>
      </c>
    </row>
    <row r="424" spans="2:17" x14ac:dyDescent="0.25">
      <c r="B424">
        <f>WEEKNUM(BSURTIDOR[[#This Row],[FECHA]])</f>
        <v>9</v>
      </c>
      <c r="C424">
        <f>MONTH(BSURTIDOR[[#This Row],[FECHA]])</f>
        <v>2</v>
      </c>
      <c r="D424">
        <f>YEAR(BSURTIDOR[[#This Row],[FECHA]])</f>
        <v>2026</v>
      </c>
      <c r="E424" s="124">
        <v>46078</v>
      </c>
      <c r="F424" s="364" t="s">
        <v>109</v>
      </c>
      <c r="G424" s="123">
        <v>4</v>
      </c>
      <c r="H424" s="123" t="s">
        <v>90</v>
      </c>
      <c r="I424" s="101" t="str">
        <f>VLOOKUP(BDsurtidor!$H424,$T$4:$W$18,2,FALSE)</f>
        <v>CISTERNA</v>
      </c>
      <c r="J424" s="101">
        <f>VLOOKUP(BDsurtidor!$H424,$T$4:$W$25,3,FALSE)</f>
        <v>5000</v>
      </c>
      <c r="K424" s="101">
        <f>VLOOKUP(BDsurtidor!$H424,$T$4:$W$25,4,FALSE)</f>
        <v>17</v>
      </c>
      <c r="L424" s="101">
        <f>VLOOKUP(BDsurtidor!$H424,$T$4:$X$25,5,FALSE)</f>
        <v>0.4</v>
      </c>
      <c r="M424" s="101" t="str">
        <f>VLOOKUP(BDsurtidor!$H424,$T$4:$Y$25,6,FALSE)</f>
        <v>EPS</v>
      </c>
      <c r="N424" s="70">
        <v>0</v>
      </c>
      <c r="O424" s="125">
        <v>1.21</v>
      </c>
      <c r="P424" s="126">
        <v>0.42638888888888887</v>
      </c>
      <c r="Q424" s="123" t="s">
        <v>626</v>
      </c>
    </row>
    <row r="425" spans="2:17" x14ac:dyDescent="0.25">
      <c r="B425">
        <f>WEEKNUM(BSURTIDOR[[#This Row],[FECHA]])</f>
        <v>9</v>
      </c>
      <c r="C425">
        <f>MONTH(BSURTIDOR[[#This Row],[FECHA]])</f>
        <v>2</v>
      </c>
      <c r="D425">
        <f>YEAR(BSURTIDOR[[#This Row],[FECHA]])</f>
        <v>2026</v>
      </c>
      <c r="E425" s="124">
        <v>46078</v>
      </c>
      <c r="F425" s="364" t="s">
        <v>109</v>
      </c>
      <c r="G425" s="123">
        <v>5</v>
      </c>
      <c r="H425" s="123" t="s">
        <v>99</v>
      </c>
      <c r="I425" s="101" t="str">
        <f>VLOOKUP(BDsurtidor!$H425,$T$4:$W$18,2,FALSE)</f>
        <v>CISTERNA</v>
      </c>
      <c r="J425" s="101">
        <f>VLOOKUP(BDsurtidor!$H425,$T$4:$W$25,3,FALSE)</f>
        <v>5000</v>
      </c>
      <c r="K425" s="101">
        <f>VLOOKUP(BDsurtidor!$H425,$T$4:$W$25,4,FALSE)</f>
        <v>17</v>
      </c>
      <c r="L425" s="101">
        <f>VLOOKUP(BDsurtidor!$H425,$T$4:$X$25,5,FALSE)</f>
        <v>0.4</v>
      </c>
      <c r="M425" s="101" t="str">
        <f>VLOOKUP(BDsurtidor!$H425,$T$4:$Y$25,6,FALSE)</f>
        <v>EPS</v>
      </c>
      <c r="N425" s="327">
        <v>0</v>
      </c>
      <c r="O425" s="125">
        <v>1.36</v>
      </c>
      <c r="P425" s="126">
        <v>0.4777777777777778</v>
      </c>
      <c r="Q425" s="123" t="s">
        <v>626</v>
      </c>
    </row>
    <row r="426" spans="2:17" x14ac:dyDescent="0.25">
      <c r="B426">
        <f>WEEKNUM(BSURTIDOR[[#This Row],[FECHA]])</f>
        <v>9</v>
      </c>
      <c r="C426">
        <f>MONTH(BSURTIDOR[[#This Row],[FECHA]])</f>
        <v>2</v>
      </c>
      <c r="D426">
        <f>YEAR(BSURTIDOR[[#This Row],[FECHA]])</f>
        <v>2026</v>
      </c>
      <c r="E426" s="124">
        <v>46078</v>
      </c>
      <c r="F426" s="364" t="s">
        <v>109</v>
      </c>
      <c r="G426" s="123">
        <v>6</v>
      </c>
      <c r="H426" s="123" t="s">
        <v>87</v>
      </c>
      <c r="I426" s="101" t="str">
        <f>VLOOKUP(BDsurtidor!$H426,$T$4:$W$18,2,FALSE)</f>
        <v>CISTERNA</v>
      </c>
      <c r="J426" s="101">
        <f>VLOOKUP(BDsurtidor!$H426,$T$4:$W$25,3,FALSE)</f>
        <v>5000</v>
      </c>
      <c r="K426" s="101">
        <f>VLOOKUP(BDsurtidor!$H426,$T$4:$W$25,4,FALSE)</f>
        <v>17</v>
      </c>
      <c r="L426" s="101">
        <f>VLOOKUP(BDsurtidor!$H426,$T$4:$X$25,5,FALSE)</f>
        <v>0.4</v>
      </c>
      <c r="M426" s="101" t="str">
        <f>VLOOKUP(BDsurtidor!$H426,$T$4:$Y$25,6,FALSE)</f>
        <v>EPS</v>
      </c>
      <c r="N426" s="70">
        <v>0</v>
      </c>
      <c r="O426" s="125">
        <v>1.34</v>
      </c>
      <c r="P426" s="126">
        <v>0.56458333333333333</v>
      </c>
      <c r="Q426" s="123" t="s">
        <v>626</v>
      </c>
    </row>
    <row r="427" spans="2:17" x14ac:dyDescent="0.25">
      <c r="B427">
        <f>WEEKNUM(BSURTIDOR[[#This Row],[FECHA]])</f>
        <v>9</v>
      </c>
      <c r="C427">
        <f>MONTH(BSURTIDOR[[#This Row],[FECHA]])</f>
        <v>2</v>
      </c>
      <c r="D427">
        <f>YEAR(BSURTIDOR[[#This Row],[FECHA]])</f>
        <v>2026</v>
      </c>
      <c r="E427" s="124">
        <v>46079</v>
      </c>
      <c r="F427" s="382" t="s">
        <v>548</v>
      </c>
      <c r="G427" s="123">
        <v>1</v>
      </c>
      <c r="H427" s="123" t="s">
        <v>100</v>
      </c>
      <c r="I427" s="101" t="str">
        <f>VLOOKUP(BDsurtidor!$H427,$T$4:$W$18,2,FALSE)</f>
        <v>HIDROJET</v>
      </c>
      <c r="J427" s="101">
        <f>VLOOKUP(BDsurtidor!$H427,$T$4:$W$25,3,FALSE)</f>
        <v>1000</v>
      </c>
      <c r="K427" s="101">
        <f>VLOOKUP(BDsurtidor!$H427,$T$4:$W$25,4,FALSE)</f>
        <v>1</v>
      </c>
      <c r="L427" s="101">
        <f>VLOOKUP(BDsurtidor!$H427,$T$4:$X$25,5,FALSE)</f>
        <v>0</v>
      </c>
      <c r="M427" s="101" t="str">
        <f>VLOOKUP(BDsurtidor!$H427,$T$4:$Y$25,6,FALSE)</f>
        <v>EPS</v>
      </c>
      <c r="N427" s="327">
        <v>0</v>
      </c>
      <c r="O427" s="125">
        <v>0</v>
      </c>
      <c r="P427" s="126">
        <v>0.30277777777777776</v>
      </c>
      <c r="Q427" s="334" t="s">
        <v>574</v>
      </c>
    </row>
    <row r="428" spans="2:17" x14ac:dyDescent="0.25">
      <c r="B428">
        <f>WEEKNUM(BSURTIDOR[[#This Row],[FECHA]])</f>
        <v>9</v>
      </c>
      <c r="C428">
        <f>MONTH(BSURTIDOR[[#This Row],[FECHA]])</f>
        <v>2</v>
      </c>
      <c r="D428">
        <f>YEAR(BSURTIDOR[[#This Row],[FECHA]])</f>
        <v>2026</v>
      </c>
      <c r="E428" s="124">
        <v>46079</v>
      </c>
      <c r="F428" s="382" t="s">
        <v>548</v>
      </c>
      <c r="G428" s="123">
        <v>2</v>
      </c>
      <c r="H428" s="123" t="s">
        <v>99</v>
      </c>
      <c r="I428" s="101" t="str">
        <f>VLOOKUP(BDsurtidor!$H428,$T$4:$W$18,2,FALSE)</f>
        <v>CISTERNA</v>
      </c>
      <c r="J428" s="101">
        <f>VLOOKUP(BDsurtidor!$H428,$T$4:$W$25,3,FALSE)</f>
        <v>5000</v>
      </c>
      <c r="K428" s="101">
        <f>VLOOKUP(BDsurtidor!$H428,$T$4:$W$25,4,FALSE)</f>
        <v>17</v>
      </c>
      <c r="L428" s="101">
        <f>VLOOKUP(BDsurtidor!$H428,$T$4:$X$25,5,FALSE)</f>
        <v>0.4</v>
      </c>
      <c r="M428" s="101" t="str">
        <f>VLOOKUP(BDsurtidor!$H428,$T$4:$Y$25,6,FALSE)</f>
        <v>EPS</v>
      </c>
      <c r="N428" s="70">
        <v>0</v>
      </c>
      <c r="O428" s="125">
        <v>1</v>
      </c>
      <c r="P428" s="126">
        <v>0.31597222222222221</v>
      </c>
      <c r="Q428" s="334" t="s">
        <v>574</v>
      </c>
    </row>
    <row r="429" spans="2:17" x14ac:dyDescent="0.25">
      <c r="B429">
        <f>WEEKNUM(BSURTIDOR[[#This Row],[FECHA]])</f>
        <v>9</v>
      </c>
      <c r="C429">
        <f>MONTH(BSURTIDOR[[#This Row],[FECHA]])</f>
        <v>2</v>
      </c>
      <c r="D429">
        <f>YEAR(BSURTIDOR[[#This Row],[FECHA]])</f>
        <v>2026</v>
      </c>
      <c r="E429" s="124">
        <v>46079</v>
      </c>
      <c r="F429" s="382" t="s">
        <v>548</v>
      </c>
      <c r="G429" s="123">
        <v>3</v>
      </c>
      <c r="H429" s="123" t="s">
        <v>89</v>
      </c>
      <c r="I429" s="101" t="str">
        <f>VLOOKUP(BDsurtidor!$H429,$T$4:$W$18,2,FALSE)</f>
        <v>CISTERNA</v>
      </c>
      <c r="J429" s="101">
        <f>VLOOKUP(BDsurtidor!$H429,$T$4:$W$25,3,FALSE)</f>
        <v>9000</v>
      </c>
      <c r="K429" s="101">
        <f>VLOOKUP(BDsurtidor!$H429,$T$4:$W$25,4,FALSE)</f>
        <v>34</v>
      </c>
      <c r="L429" s="101">
        <f>VLOOKUP(BDsurtidor!$H429,$T$4:$X$25,5,FALSE)</f>
        <v>0.45</v>
      </c>
      <c r="M429" s="101" t="str">
        <f>VLOOKUP(BDsurtidor!$H429,$T$4:$Y$25,6,FALSE)</f>
        <v>VIVIENDA</v>
      </c>
      <c r="N429" s="327">
        <v>0</v>
      </c>
      <c r="O429" s="125">
        <v>1.03</v>
      </c>
      <c r="P429" s="126">
        <v>0.3263888888888889</v>
      </c>
      <c r="Q429" s="334" t="s">
        <v>574</v>
      </c>
    </row>
    <row r="430" spans="2:17" x14ac:dyDescent="0.25">
      <c r="B430">
        <f>WEEKNUM(BSURTIDOR[[#This Row],[FECHA]])</f>
        <v>9</v>
      </c>
      <c r="C430">
        <f>MONTH(BSURTIDOR[[#This Row],[FECHA]])</f>
        <v>2</v>
      </c>
      <c r="D430">
        <f>YEAR(BSURTIDOR[[#This Row],[FECHA]])</f>
        <v>2026</v>
      </c>
      <c r="E430" s="124">
        <v>46079</v>
      </c>
      <c r="F430" s="382" t="s">
        <v>548</v>
      </c>
      <c r="G430" s="123">
        <v>4</v>
      </c>
      <c r="H430" s="123" t="s">
        <v>98</v>
      </c>
      <c r="I430" s="101" t="str">
        <f>VLOOKUP(BDsurtidor!$H430,$T$4:$W$18,2,FALSE)</f>
        <v>CISTERNA</v>
      </c>
      <c r="J430" s="101">
        <f>VLOOKUP(BDsurtidor!$H430,$T$4:$W$25,3,FALSE)</f>
        <v>9000</v>
      </c>
      <c r="K430" s="101">
        <f>VLOOKUP(BDsurtidor!$H430,$T$4:$W$25,4,FALSE)</f>
        <v>34</v>
      </c>
      <c r="L430" s="101">
        <f>VLOOKUP(BDsurtidor!$H430,$T$4:$X$25,5,FALSE)</f>
        <v>0.45</v>
      </c>
      <c r="M430" s="101" t="str">
        <f>VLOOKUP(BDsurtidor!$H430,$T$4:$Y$25,6,FALSE)</f>
        <v>VIVIENDA</v>
      </c>
      <c r="N430" s="70">
        <v>0</v>
      </c>
      <c r="O430" s="125">
        <v>0.97</v>
      </c>
      <c r="P430" s="126">
        <v>0.34236111111111112</v>
      </c>
      <c r="Q430" s="334" t="s">
        <v>574</v>
      </c>
    </row>
    <row r="431" spans="2:17" x14ac:dyDescent="0.25">
      <c r="B431">
        <f>WEEKNUM(BSURTIDOR[[#This Row],[FECHA]])</f>
        <v>9</v>
      </c>
      <c r="C431">
        <f>MONTH(BSURTIDOR[[#This Row],[FECHA]])</f>
        <v>2</v>
      </c>
      <c r="D431">
        <f>YEAR(BSURTIDOR[[#This Row],[FECHA]])</f>
        <v>2026</v>
      </c>
      <c r="E431" s="124">
        <v>46079</v>
      </c>
      <c r="F431" s="382" t="s">
        <v>548</v>
      </c>
      <c r="G431" s="123">
        <v>5</v>
      </c>
      <c r="H431" s="123" t="s">
        <v>87</v>
      </c>
      <c r="I431" s="101" t="str">
        <f>VLOOKUP(BDsurtidor!$H431,$T$4:$W$18,2,FALSE)</f>
        <v>CISTERNA</v>
      </c>
      <c r="J431" s="101">
        <f>VLOOKUP(BDsurtidor!$H431,$T$4:$W$25,3,FALSE)</f>
        <v>5000</v>
      </c>
      <c r="K431" s="101">
        <f>VLOOKUP(BDsurtidor!$H431,$T$4:$W$25,4,FALSE)</f>
        <v>17</v>
      </c>
      <c r="L431" s="101">
        <f>VLOOKUP(BDsurtidor!$H431,$T$4:$X$25,5,FALSE)</f>
        <v>0.4</v>
      </c>
      <c r="M431" s="101" t="str">
        <f>VLOOKUP(BDsurtidor!$H431,$T$4:$Y$25,6,FALSE)</f>
        <v>EPS</v>
      </c>
      <c r="N431" s="327">
        <v>0</v>
      </c>
      <c r="O431" s="125">
        <v>1.1599999999999999</v>
      </c>
      <c r="P431" s="126">
        <v>0.34930555555555554</v>
      </c>
      <c r="Q431" s="334" t="s">
        <v>574</v>
      </c>
    </row>
    <row r="432" spans="2:17" x14ac:dyDescent="0.25">
      <c r="B432">
        <f>WEEKNUM(BSURTIDOR[[#This Row],[FECHA]])</f>
        <v>9</v>
      </c>
      <c r="C432">
        <f>MONTH(BSURTIDOR[[#This Row],[FECHA]])</f>
        <v>2</v>
      </c>
      <c r="D432">
        <f>YEAR(BSURTIDOR[[#This Row],[FECHA]])</f>
        <v>2026</v>
      </c>
      <c r="E432" s="124">
        <v>46079</v>
      </c>
      <c r="F432" s="382" t="s">
        <v>548</v>
      </c>
      <c r="G432" s="123">
        <v>6</v>
      </c>
      <c r="H432" s="123" t="s">
        <v>87</v>
      </c>
      <c r="I432" s="101" t="str">
        <f>VLOOKUP(BDsurtidor!$H432,$T$4:$W$18,2,FALSE)</f>
        <v>CISTERNA</v>
      </c>
      <c r="J432" s="101">
        <f>VLOOKUP(BDsurtidor!$H432,$T$4:$W$25,3,FALSE)</f>
        <v>5000</v>
      </c>
      <c r="K432" s="101">
        <f>VLOOKUP(BDsurtidor!$H432,$T$4:$W$25,4,FALSE)</f>
        <v>17</v>
      </c>
      <c r="L432" s="101">
        <f>VLOOKUP(BDsurtidor!$H432,$T$4:$X$25,5,FALSE)</f>
        <v>0.4</v>
      </c>
      <c r="M432" s="101" t="str">
        <f>VLOOKUP(BDsurtidor!$H432,$T$4:$Y$25,6,FALSE)</f>
        <v>EPS</v>
      </c>
      <c r="N432" s="70">
        <v>0</v>
      </c>
      <c r="O432" s="125">
        <v>1.08</v>
      </c>
      <c r="P432" s="126">
        <v>0.41458333333333336</v>
      </c>
      <c r="Q432" s="334" t="s">
        <v>574</v>
      </c>
    </row>
    <row r="433" spans="2:17" x14ac:dyDescent="0.25">
      <c r="B433">
        <f>WEEKNUM(BSURTIDOR[[#This Row],[FECHA]])</f>
        <v>9</v>
      </c>
      <c r="C433">
        <f>MONTH(BSURTIDOR[[#This Row],[FECHA]])</f>
        <v>2</v>
      </c>
      <c r="D433">
        <f>YEAR(BSURTIDOR[[#This Row],[FECHA]])</f>
        <v>2026</v>
      </c>
      <c r="E433" s="124">
        <v>46079</v>
      </c>
      <c r="F433" s="382" t="s">
        <v>548</v>
      </c>
      <c r="G433" s="123">
        <v>7</v>
      </c>
      <c r="H433" s="123" t="s">
        <v>99</v>
      </c>
      <c r="I433" s="101" t="str">
        <f>VLOOKUP(BDsurtidor!$H433,$T$4:$W$18,2,FALSE)</f>
        <v>CISTERNA</v>
      </c>
      <c r="J433" s="101">
        <f>VLOOKUP(BDsurtidor!$H433,$T$4:$W$25,3,FALSE)</f>
        <v>5000</v>
      </c>
      <c r="K433" s="101">
        <f>VLOOKUP(BDsurtidor!$H433,$T$4:$W$25,4,FALSE)</f>
        <v>17</v>
      </c>
      <c r="L433" s="101">
        <f>VLOOKUP(BDsurtidor!$H433,$T$4:$X$25,5,FALSE)</f>
        <v>0.4</v>
      </c>
      <c r="M433" s="101" t="str">
        <f>VLOOKUP(BDsurtidor!$H433,$T$4:$Y$25,6,FALSE)</f>
        <v>EPS</v>
      </c>
      <c r="N433" s="327">
        <v>0</v>
      </c>
      <c r="O433" s="125">
        <v>1.03</v>
      </c>
      <c r="P433" s="126">
        <v>0.48125000000000001</v>
      </c>
      <c r="Q433" s="334" t="s">
        <v>574</v>
      </c>
    </row>
    <row r="434" spans="2:17" x14ac:dyDescent="0.25">
      <c r="B434">
        <f>WEEKNUM(BSURTIDOR[[#This Row],[FECHA]])</f>
        <v>9</v>
      </c>
      <c r="C434">
        <f>MONTH(BSURTIDOR[[#This Row],[FECHA]])</f>
        <v>2</v>
      </c>
      <c r="D434">
        <f>YEAR(BSURTIDOR[[#This Row],[FECHA]])</f>
        <v>2026</v>
      </c>
      <c r="E434" s="124">
        <v>46079</v>
      </c>
      <c r="F434" s="382" t="s">
        <v>548</v>
      </c>
      <c r="G434" s="123">
        <v>8</v>
      </c>
      <c r="H434" s="123" t="s">
        <v>89</v>
      </c>
      <c r="I434" s="101" t="str">
        <f>VLOOKUP(BDsurtidor!$H434,$T$4:$W$18,2,FALSE)</f>
        <v>CISTERNA</v>
      </c>
      <c r="J434" s="101">
        <f>VLOOKUP(BDsurtidor!$H434,$T$4:$W$25,3,FALSE)</f>
        <v>9000</v>
      </c>
      <c r="K434" s="101">
        <f>VLOOKUP(BDsurtidor!$H434,$T$4:$W$25,4,FALSE)</f>
        <v>34</v>
      </c>
      <c r="L434" s="101">
        <f>VLOOKUP(BDsurtidor!$H434,$T$4:$X$25,5,FALSE)</f>
        <v>0.45</v>
      </c>
      <c r="M434" s="101" t="str">
        <f>VLOOKUP(BDsurtidor!$H434,$T$4:$Y$25,6,FALSE)</f>
        <v>VIVIENDA</v>
      </c>
      <c r="N434" s="70">
        <v>0</v>
      </c>
      <c r="O434" s="125">
        <v>1</v>
      </c>
      <c r="P434" s="126">
        <v>0.49652777777777779</v>
      </c>
      <c r="Q434" s="334" t="s">
        <v>574</v>
      </c>
    </row>
    <row r="435" spans="2:17" x14ac:dyDescent="0.25">
      <c r="B435">
        <f>WEEKNUM(BSURTIDOR[[#This Row],[FECHA]])</f>
        <v>9</v>
      </c>
      <c r="C435">
        <f>MONTH(BSURTIDOR[[#This Row],[FECHA]])</f>
        <v>2</v>
      </c>
      <c r="D435">
        <f>YEAR(BSURTIDOR[[#This Row],[FECHA]])</f>
        <v>2026</v>
      </c>
      <c r="E435" s="124">
        <v>46079</v>
      </c>
      <c r="F435" s="382" t="s">
        <v>548</v>
      </c>
      <c r="G435" s="123">
        <v>9</v>
      </c>
      <c r="H435" s="123" t="s">
        <v>98</v>
      </c>
      <c r="I435" s="101" t="str">
        <f>VLOOKUP(BDsurtidor!$H435,$T$4:$W$18,2,FALSE)</f>
        <v>CISTERNA</v>
      </c>
      <c r="J435" s="101">
        <f>VLOOKUP(BDsurtidor!$H435,$T$4:$W$25,3,FALSE)</f>
        <v>9000</v>
      </c>
      <c r="K435" s="101">
        <f>VLOOKUP(BDsurtidor!$H435,$T$4:$W$25,4,FALSE)</f>
        <v>34</v>
      </c>
      <c r="L435" s="101">
        <f>VLOOKUP(BDsurtidor!$H435,$T$4:$X$25,5,FALSE)</f>
        <v>0.45</v>
      </c>
      <c r="M435" s="101" t="str">
        <f>VLOOKUP(BDsurtidor!$H435,$T$4:$Y$25,6,FALSE)</f>
        <v>VIVIENDA</v>
      </c>
      <c r="N435" s="327">
        <v>0</v>
      </c>
      <c r="O435" s="125">
        <v>0.99</v>
      </c>
      <c r="P435" s="126">
        <v>0.56944444444444442</v>
      </c>
      <c r="Q435" s="334" t="s">
        <v>574</v>
      </c>
    </row>
    <row r="436" spans="2:17" x14ac:dyDescent="0.25">
      <c r="B436">
        <f>WEEKNUM(BSURTIDOR[[#This Row],[FECHA]])</f>
        <v>9</v>
      </c>
      <c r="C436">
        <f>MONTH(BSURTIDOR[[#This Row],[FECHA]])</f>
        <v>2</v>
      </c>
      <c r="D436">
        <f>YEAR(BSURTIDOR[[#This Row],[FECHA]])</f>
        <v>2026</v>
      </c>
      <c r="E436" s="124">
        <v>46080</v>
      </c>
      <c r="F436" s="382" t="s">
        <v>548</v>
      </c>
      <c r="G436" s="123">
        <v>1</v>
      </c>
      <c r="H436" s="123" t="s">
        <v>99</v>
      </c>
      <c r="I436" s="101" t="str">
        <f>VLOOKUP(BDsurtidor!$H436,$T$4:$W$18,2,FALSE)</f>
        <v>CISTERNA</v>
      </c>
      <c r="J436" s="101">
        <f>VLOOKUP(BDsurtidor!$H436,$T$4:$W$25,3,FALSE)</f>
        <v>5000</v>
      </c>
      <c r="K436" s="101">
        <f>VLOOKUP(BDsurtidor!$H436,$T$4:$W$25,4,FALSE)</f>
        <v>17</v>
      </c>
      <c r="L436" s="101">
        <f>VLOOKUP(BDsurtidor!$H436,$T$4:$X$25,5,FALSE)</f>
        <v>0.4</v>
      </c>
      <c r="M436" s="101" t="str">
        <f>VLOOKUP(BDsurtidor!$H436,$T$4:$Y$25,6,FALSE)</f>
        <v>EPS</v>
      </c>
      <c r="N436" s="70">
        <v>0</v>
      </c>
      <c r="O436" s="125">
        <v>1.07</v>
      </c>
      <c r="P436" s="126">
        <v>0.3034722222222222</v>
      </c>
      <c r="Q436" s="334" t="s">
        <v>574</v>
      </c>
    </row>
    <row r="437" spans="2:17" x14ac:dyDescent="0.25">
      <c r="B437">
        <f>WEEKNUM(BSURTIDOR[[#This Row],[FECHA]])</f>
        <v>9</v>
      </c>
      <c r="C437">
        <f>MONTH(BSURTIDOR[[#This Row],[FECHA]])</f>
        <v>2</v>
      </c>
      <c r="D437">
        <f>YEAR(BSURTIDOR[[#This Row],[FECHA]])</f>
        <v>2026</v>
      </c>
      <c r="E437" s="124">
        <v>46080</v>
      </c>
      <c r="F437" s="382" t="s">
        <v>548</v>
      </c>
      <c r="G437" s="123">
        <v>2</v>
      </c>
      <c r="H437" s="123" t="s">
        <v>89</v>
      </c>
      <c r="I437" s="101" t="str">
        <f>VLOOKUP(BDsurtidor!$H437,$T$4:$W$18,2,FALSE)</f>
        <v>CISTERNA</v>
      </c>
      <c r="J437" s="101">
        <f>VLOOKUP(BDsurtidor!$H437,$T$4:$W$25,3,FALSE)</f>
        <v>9000</v>
      </c>
      <c r="K437" s="101">
        <f>VLOOKUP(BDsurtidor!$H437,$T$4:$W$25,4,FALSE)</f>
        <v>34</v>
      </c>
      <c r="L437" s="101">
        <f>VLOOKUP(BDsurtidor!$H437,$T$4:$X$25,5,FALSE)</f>
        <v>0.45</v>
      </c>
      <c r="M437" s="101" t="str">
        <f>VLOOKUP(BDsurtidor!$H437,$T$4:$Y$25,6,FALSE)</f>
        <v>VIVIENDA</v>
      </c>
      <c r="N437" s="327">
        <v>0</v>
      </c>
      <c r="O437" s="125">
        <v>1.08</v>
      </c>
      <c r="P437" s="126">
        <v>0.30902777777777779</v>
      </c>
      <c r="Q437" s="334" t="s">
        <v>574</v>
      </c>
    </row>
    <row r="438" spans="2:17" x14ac:dyDescent="0.25">
      <c r="B438">
        <f>WEEKNUM(BSURTIDOR[[#This Row],[FECHA]])</f>
        <v>9</v>
      </c>
      <c r="C438">
        <f>MONTH(BSURTIDOR[[#This Row],[FECHA]])</f>
        <v>2</v>
      </c>
      <c r="D438">
        <f>YEAR(BSURTIDOR[[#This Row],[FECHA]])</f>
        <v>2026</v>
      </c>
      <c r="E438" s="124">
        <v>46080</v>
      </c>
      <c r="F438" s="382" t="s">
        <v>548</v>
      </c>
      <c r="G438" s="123">
        <v>3</v>
      </c>
      <c r="H438" s="123" t="s">
        <v>98</v>
      </c>
      <c r="I438" s="101" t="str">
        <f>VLOOKUP(BDsurtidor!$H438,$T$4:$W$18,2,FALSE)</f>
        <v>CISTERNA</v>
      </c>
      <c r="J438" s="101">
        <f>VLOOKUP(BDsurtidor!$H438,$T$4:$W$25,3,FALSE)</f>
        <v>9000</v>
      </c>
      <c r="K438" s="101">
        <f>VLOOKUP(BDsurtidor!$H438,$T$4:$W$25,4,FALSE)</f>
        <v>34</v>
      </c>
      <c r="L438" s="101">
        <f>VLOOKUP(BDsurtidor!$H438,$T$4:$X$25,5,FALSE)</f>
        <v>0.45</v>
      </c>
      <c r="M438" s="101" t="str">
        <f>VLOOKUP(BDsurtidor!$H438,$T$4:$Y$25,6,FALSE)</f>
        <v>VIVIENDA</v>
      </c>
      <c r="N438" s="70">
        <v>0</v>
      </c>
      <c r="O438" s="125">
        <v>1.04</v>
      </c>
      <c r="P438" s="126">
        <v>0.31597222222222221</v>
      </c>
      <c r="Q438" s="334" t="s">
        <v>574</v>
      </c>
    </row>
    <row r="439" spans="2:17" x14ac:dyDescent="0.25">
      <c r="B439">
        <f>WEEKNUM(BSURTIDOR[[#This Row],[FECHA]])</f>
        <v>9</v>
      </c>
      <c r="C439">
        <f>MONTH(BSURTIDOR[[#This Row],[FECHA]])</f>
        <v>2</v>
      </c>
      <c r="D439">
        <f>YEAR(BSURTIDOR[[#This Row],[FECHA]])</f>
        <v>2026</v>
      </c>
      <c r="E439" s="124">
        <v>46080</v>
      </c>
      <c r="F439" s="382" t="s">
        <v>548</v>
      </c>
      <c r="G439" s="123">
        <v>4</v>
      </c>
      <c r="H439" s="123" t="s">
        <v>100</v>
      </c>
      <c r="I439" s="101" t="str">
        <f>VLOOKUP(BDsurtidor!$H439,$T$4:$W$18,2,FALSE)</f>
        <v>HIDROJET</v>
      </c>
      <c r="J439" s="101">
        <f>VLOOKUP(BDsurtidor!$H439,$T$4:$W$25,3,FALSE)</f>
        <v>1000</v>
      </c>
      <c r="K439" s="101">
        <f>VLOOKUP(BDsurtidor!$H439,$T$4:$W$25,4,FALSE)</f>
        <v>1</v>
      </c>
      <c r="L439" s="101">
        <f>VLOOKUP(BDsurtidor!$H439,$T$4:$X$25,5,FALSE)</f>
        <v>0</v>
      </c>
      <c r="M439" s="101" t="str">
        <f>VLOOKUP(BDsurtidor!$H439,$T$4:$Y$25,6,FALSE)</f>
        <v>EPS</v>
      </c>
      <c r="N439" s="327">
        <v>0</v>
      </c>
      <c r="O439" s="125">
        <v>0</v>
      </c>
      <c r="P439" s="126">
        <v>7.47</v>
      </c>
      <c r="Q439" s="334" t="s">
        <v>574</v>
      </c>
    </row>
    <row r="440" spans="2:17" x14ac:dyDescent="0.25">
      <c r="B440">
        <f>WEEKNUM(BSURTIDOR[[#This Row],[FECHA]])</f>
        <v>9</v>
      </c>
      <c r="C440">
        <f>MONTH(BSURTIDOR[[#This Row],[FECHA]])</f>
        <v>2</v>
      </c>
      <c r="D440">
        <f>YEAR(BSURTIDOR[[#This Row],[FECHA]])</f>
        <v>2026</v>
      </c>
      <c r="E440" s="124">
        <v>46080</v>
      </c>
      <c r="F440" s="382" t="s">
        <v>548</v>
      </c>
      <c r="G440" s="123">
        <v>5</v>
      </c>
      <c r="H440" s="123" t="s">
        <v>87</v>
      </c>
      <c r="I440" s="101" t="str">
        <f>VLOOKUP(BDsurtidor!$H440,$T$4:$W$18,2,FALSE)</f>
        <v>CISTERNA</v>
      </c>
      <c r="J440" s="101">
        <f>VLOOKUP(BDsurtidor!$H440,$T$4:$W$25,3,FALSE)</f>
        <v>5000</v>
      </c>
      <c r="K440" s="101">
        <f>VLOOKUP(BDsurtidor!$H440,$T$4:$W$25,4,FALSE)</f>
        <v>17</v>
      </c>
      <c r="L440" s="101">
        <f>VLOOKUP(BDsurtidor!$H440,$T$4:$X$25,5,FALSE)</f>
        <v>0.4</v>
      </c>
      <c r="M440" s="101" t="str">
        <f>VLOOKUP(BDsurtidor!$H440,$T$4:$Y$25,6,FALSE)</f>
        <v>EPS</v>
      </c>
      <c r="N440" s="70">
        <v>0</v>
      </c>
      <c r="O440" s="125">
        <v>1.0900000000000001</v>
      </c>
      <c r="P440" s="126">
        <v>0.33680555555555558</v>
      </c>
      <c r="Q440" s="334" t="s">
        <v>574</v>
      </c>
    </row>
    <row r="441" spans="2:17" x14ac:dyDescent="0.25">
      <c r="B441">
        <f>WEEKNUM(BSURTIDOR[[#This Row],[FECHA]])</f>
        <v>9</v>
      </c>
      <c r="C441">
        <f>MONTH(BSURTIDOR[[#This Row],[FECHA]])</f>
        <v>2</v>
      </c>
      <c r="D441">
        <f>YEAR(BSURTIDOR[[#This Row],[FECHA]])</f>
        <v>2026</v>
      </c>
      <c r="E441" s="124">
        <v>46080</v>
      </c>
      <c r="F441" s="382" t="s">
        <v>548</v>
      </c>
      <c r="G441" s="123">
        <v>6</v>
      </c>
      <c r="H441" s="123" t="s">
        <v>87</v>
      </c>
      <c r="I441" s="101" t="str">
        <f>VLOOKUP(BDsurtidor!$H441,$T$4:$W$18,2,FALSE)</f>
        <v>CISTERNA</v>
      </c>
      <c r="J441" s="101">
        <f>VLOOKUP(BDsurtidor!$H441,$T$4:$W$25,3,FALSE)</f>
        <v>5000</v>
      </c>
      <c r="K441" s="101">
        <f>VLOOKUP(BDsurtidor!$H441,$T$4:$W$25,4,FALSE)</f>
        <v>17</v>
      </c>
      <c r="L441" s="101">
        <f>VLOOKUP(BDsurtidor!$H441,$T$4:$X$25,5,FALSE)</f>
        <v>0.4</v>
      </c>
      <c r="M441" s="101" t="str">
        <f>VLOOKUP(BDsurtidor!$H441,$T$4:$Y$25,6,FALSE)</f>
        <v>EPS</v>
      </c>
      <c r="N441" s="327">
        <v>0</v>
      </c>
      <c r="O441" s="125">
        <v>1.1100000000000001</v>
      </c>
      <c r="P441" s="126">
        <v>0.46875</v>
      </c>
      <c r="Q441" s="334" t="s">
        <v>574</v>
      </c>
    </row>
    <row r="442" spans="2:17" x14ac:dyDescent="0.25">
      <c r="B442">
        <f>WEEKNUM(BSURTIDOR[[#This Row],[FECHA]])</f>
        <v>9</v>
      </c>
      <c r="C442">
        <f>MONTH(BSURTIDOR[[#This Row],[FECHA]])</f>
        <v>2</v>
      </c>
      <c r="D442">
        <f>YEAR(BSURTIDOR[[#This Row],[FECHA]])</f>
        <v>2026</v>
      </c>
      <c r="E442" s="124">
        <v>46080</v>
      </c>
      <c r="F442" s="382" t="s">
        <v>548</v>
      </c>
      <c r="G442" s="123">
        <v>7</v>
      </c>
      <c r="H442" s="123" t="s">
        <v>99</v>
      </c>
      <c r="I442" s="101" t="str">
        <f>VLOOKUP(BDsurtidor!$H442,$T$4:$W$18,2,FALSE)</f>
        <v>CISTERNA</v>
      </c>
      <c r="J442" s="101">
        <f>VLOOKUP(BDsurtidor!$H442,$T$4:$W$25,3,FALSE)</f>
        <v>5000</v>
      </c>
      <c r="K442" s="101">
        <f>VLOOKUP(BDsurtidor!$H442,$T$4:$W$25,4,FALSE)</f>
        <v>17</v>
      </c>
      <c r="L442" s="101">
        <f>VLOOKUP(BDsurtidor!$H442,$T$4:$X$25,5,FALSE)</f>
        <v>0.4</v>
      </c>
      <c r="M442" s="101" t="str">
        <f>VLOOKUP(BDsurtidor!$H442,$T$4:$Y$25,6,FALSE)</f>
        <v>EPS</v>
      </c>
      <c r="N442" s="70">
        <v>0</v>
      </c>
      <c r="O442" s="125">
        <v>1</v>
      </c>
      <c r="P442" s="126">
        <v>0.49375000000000002</v>
      </c>
      <c r="Q442" s="334" t="s">
        <v>574</v>
      </c>
    </row>
    <row r="443" spans="2:17" x14ac:dyDescent="0.25">
      <c r="B443">
        <f>WEEKNUM(BSURTIDOR[[#This Row],[FECHA]])</f>
        <v>9</v>
      </c>
      <c r="C443">
        <f>MONTH(BSURTIDOR[[#This Row],[FECHA]])</f>
        <v>2</v>
      </c>
      <c r="D443">
        <f>YEAR(BSURTIDOR[[#This Row],[FECHA]])</f>
        <v>2026</v>
      </c>
      <c r="E443" s="124">
        <v>46080</v>
      </c>
      <c r="F443" s="382" t="s">
        <v>548</v>
      </c>
      <c r="G443" s="123">
        <v>8</v>
      </c>
      <c r="H443" s="123" t="s">
        <v>87</v>
      </c>
      <c r="I443" s="101" t="str">
        <f>VLOOKUP(BDsurtidor!$H443,$T$4:$W$18,2,FALSE)</f>
        <v>CISTERNA</v>
      </c>
      <c r="J443" s="101">
        <f>VLOOKUP(BDsurtidor!$H443,$T$4:$W$25,3,FALSE)</f>
        <v>5000</v>
      </c>
      <c r="K443" s="101">
        <f>VLOOKUP(BDsurtidor!$H443,$T$4:$W$25,4,FALSE)</f>
        <v>17</v>
      </c>
      <c r="L443" s="101">
        <f>VLOOKUP(BDsurtidor!$H443,$T$4:$X$25,5,FALSE)</f>
        <v>0.4</v>
      </c>
      <c r="M443" s="101" t="str">
        <f>VLOOKUP(BDsurtidor!$H443,$T$4:$Y$25,6,FALSE)</f>
        <v>EPS</v>
      </c>
      <c r="N443" s="327">
        <v>0</v>
      </c>
      <c r="O443" s="125">
        <v>1.07</v>
      </c>
      <c r="P443" s="126">
        <v>0.53263888888888888</v>
      </c>
      <c r="Q443" s="334" t="s">
        <v>574</v>
      </c>
    </row>
    <row r="444" spans="2:17" x14ac:dyDescent="0.25">
      <c r="B444">
        <f>WEEKNUM(BSURTIDOR[[#This Row],[FECHA]])</f>
        <v>9</v>
      </c>
      <c r="C444">
        <f>MONTH(BSURTIDOR[[#This Row],[FECHA]])</f>
        <v>2</v>
      </c>
      <c r="D444">
        <f>YEAR(BSURTIDOR[[#This Row],[FECHA]])</f>
        <v>2026</v>
      </c>
      <c r="E444" s="124">
        <v>46080</v>
      </c>
      <c r="F444" s="382" t="s">
        <v>548</v>
      </c>
      <c r="G444" s="123">
        <v>9</v>
      </c>
      <c r="H444" s="123" t="s">
        <v>89</v>
      </c>
      <c r="I444" s="101" t="str">
        <f>VLOOKUP(BDsurtidor!$H444,$T$4:$W$18,2,FALSE)</f>
        <v>CISTERNA</v>
      </c>
      <c r="J444" s="101">
        <f>VLOOKUP(BDsurtidor!$H444,$T$4:$W$25,3,FALSE)</f>
        <v>9000</v>
      </c>
      <c r="K444" s="101">
        <f>VLOOKUP(BDsurtidor!$H444,$T$4:$W$25,4,FALSE)</f>
        <v>34</v>
      </c>
      <c r="L444" s="101">
        <f>VLOOKUP(BDsurtidor!$H444,$T$4:$X$25,5,FALSE)</f>
        <v>0.45</v>
      </c>
      <c r="M444" s="101" t="str">
        <f>VLOOKUP(BDsurtidor!$H444,$T$4:$Y$25,6,FALSE)</f>
        <v>VIVIENDA</v>
      </c>
      <c r="N444" s="70">
        <v>0</v>
      </c>
      <c r="O444" s="125">
        <v>1.07</v>
      </c>
      <c r="P444" s="126">
        <v>0.57291666666666663</v>
      </c>
      <c r="Q444" s="334" t="s">
        <v>574</v>
      </c>
    </row>
    <row r="445" spans="2:17" x14ac:dyDescent="0.25">
      <c r="B445">
        <f>WEEKNUM(BSURTIDOR[[#This Row],[FECHA]])</f>
        <v>9</v>
      </c>
      <c r="C445">
        <f>MONTH(BSURTIDOR[[#This Row],[FECHA]])</f>
        <v>2</v>
      </c>
      <c r="D445">
        <f>YEAR(BSURTIDOR[[#This Row],[FECHA]])</f>
        <v>2026</v>
      </c>
      <c r="E445" s="124">
        <v>46081</v>
      </c>
      <c r="F445" s="364" t="s">
        <v>109</v>
      </c>
      <c r="G445" s="123">
        <v>1</v>
      </c>
      <c r="H445" s="123" t="s">
        <v>99</v>
      </c>
      <c r="I445" s="101" t="str">
        <f>VLOOKUP(BDsurtidor!$H445,$T$4:$W$18,2,FALSE)</f>
        <v>CISTERNA</v>
      </c>
      <c r="J445" s="101">
        <f>VLOOKUP(BDsurtidor!$H445,$T$4:$W$25,3,FALSE)</f>
        <v>5000</v>
      </c>
      <c r="K445" s="101">
        <f>VLOOKUP(BDsurtidor!$H445,$T$4:$W$25,4,FALSE)</f>
        <v>17</v>
      </c>
      <c r="L445" s="101">
        <f>VLOOKUP(BDsurtidor!$H445,$T$4:$X$25,5,FALSE)</f>
        <v>0.4</v>
      </c>
      <c r="M445" s="101" t="str">
        <f>VLOOKUP(BDsurtidor!$H445,$T$4:$Y$25,6,FALSE)</f>
        <v>EPS</v>
      </c>
      <c r="N445" s="327">
        <v>0</v>
      </c>
      <c r="O445" s="125">
        <v>1.02</v>
      </c>
      <c r="P445" s="126">
        <v>0.3298611111111111</v>
      </c>
      <c r="Q445" s="123" t="s">
        <v>626</v>
      </c>
    </row>
    <row r="446" spans="2:17" x14ac:dyDescent="0.25">
      <c r="B446">
        <f>WEEKNUM(BSURTIDOR[[#This Row],[FECHA]])</f>
        <v>9</v>
      </c>
      <c r="C446">
        <f>MONTH(BSURTIDOR[[#This Row],[FECHA]])</f>
        <v>2</v>
      </c>
      <c r="D446">
        <f>YEAR(BSURTIDOR[[#This Row],[FECHA]])</f>
        <v>2026</v>
      </c>
      <c r="E446" s="124">
        <v>46081</v>
      </c>
      <c r="F446" s="364" t="s">
        <v>109</v>
      </c>
      <c r="G446" s="123">
        <v>2</v>
      </c>
      <c r="H446" s="123" t="s">
        <v>89</v>
      </c>
      <c r="I446" s="101" t="str">
        <f>VLOOKUP(BDsurtidor!$H446,$T$4:$W$18,2,FALSE)</f>
        <v>CISTERNA</v>
      </c>
      <c r="J446" s="101">
        <f>VLOOKUP(BDsurtidor!$H446,$T$4:$W$25,3,FALSE)</f>
        <v>9000</v>
      </c>
      <c r="K446" s="101">
        <f>VLOOKUP(BDsurtidor!$H446,$T$4:$W$25,4,FALSE)</f>
        <v>34</v>
      </c>
      <c r="L446" s="101">
        <f>VLOOKUP(BDsurtidor!$H446,$T$4:$X$25,5,FALSE)</f>
        <v>0.45</v>
      </c>
      <c r="M446" s="101" t="str">
        <f>VLOOKUP(BDsurtidor!$H446,$T$4:$Y$25,6,FALSE)</f>
        <v>VIVIENDA</v>
      </c>
      <c r="N446" s="70">
        <v>0</v>
      </c>
      <c r="O446" s="125">
        <v>1</v>
      </c>
      <c r="P446" s="126">
        <v>0.34166666666666667</v>
      </c>
      <c r="Q446" s="123" t="s">
        <v>626</v>
      </c>
    </row>
    <row r="447" spans="2:17" x14ac:dyDescent="0.25">
      <c r="B447">
        <f>WEEKNUM(BSURTIDOR[[#This Row],[FECHA]])</f>
        <v>9</v>
      </c>
      <c r="C447">
        <f>MONTH(BSURTIDOR[[#This Row],[FECHA]])</f>
        <v>2</v>
      </c>
      <c r="D447">
        <f>YEAR(BSURTIDOR[[#This Row],[FECHA]])</f>
        <v>2026</v>
      </c>
      <c r="E447" s="124">
        <v>46081</v>
      </c>
      <c r="F447" s="364" t="s">
        <v>109</v>
      </c>
      <c r="G447" s="123">
        <v>3</v>
      </c>
      <c r="H447" s="123" t="s">
        <v>98</v>
      </c>
      <c r="I447" s="101" t="str">
        <f>VLOOKUP(BDsurtidor!$H447,$T$4:$W$18,2,FALSE)</f>
        <v>CISTERNA</v>
      </c>
      <c r="J447" s="101">
        <f>VLOOKUP(BDsurtidor!$H447,$T$4:$W$25,3,FALSE)</f>
        <v>9000</v>
      </c>
      <c r="K447" s="101">
        <f>VLOOKUP(BDsurtidor!$H447,$T$4:$W$25,4,FALSE)</f>
        <v>34</v>
      </c>
      <c r="L447" s="101">
        <f>VLOOKUP(BDsurtidor!$H447,$T$4:$X$25,5,FALSE)</f>
        <v>0.45</v>
      </c>
      <c r="M447" s="101" t="str">
        <f>VLOOKUP(BDsurtidor!$H447,$T$4:$Y$25,6,FALSE)</f>
        <v>VIVIENDA</v>
      </c>
      <c r="N447" s="327">
        <v>0</v>
      </c>
      <c r="O447" s="125">
        <v>1.29</v>
      </c>
      <c r="P447" s="126">
        <v>0.36249999999999999</v>
      </c>
      <c r="Q447" s="123" t="s">
        <v>626</v>
      </c>
    </row>
    <row r="448" spans="2:17" x14ac:dyDescent="0.25">
      <c r="B448">
        <f>WEEKNUM(BSURTIDOR[[#This Row],[FECHA]])</f>
        <v>9</v>
      </c>
      <c r="C448">
        <f>MONTH(BSURTIDOR[[#This Row],[FECHA]])</f>
        <v>2</v>
      </c>
      <c r="D448">
        <f>YEAR(BSURTIDOR[[#This Row],[FECHA]])</f>
        <v>2026</v>
      </c>
      <c r="E448" s="124">
        <v>46081</v>
      </c>
      <c r="F448" s="364" t="s">
        <v>109</v>
      </c>
      <c r="G448" s="123">
        <v>4</v>
      </c>
      <c r="H448" s="123" t="s">
        <v>87</v>
      </c>
      <c r="I448" s="101" t="str">
        <f>VLOOKUP(BDsurtidor!$H448,$T$4:$W$18,2,FALSE)</f>
        <v>CISTERNA</v>
      </c>
      <c r="J448" s="101">
        <f>VLOOKUP(BDsurtidor!$H448,$T$4:$W$25,3,FALSE)</f>
        <v>5000</v>
      </c>
      <c r="K448" s="101">
        <f>VLOOKUP(BDsurtidor!$H448,$T$4:$W$25,4,FALSE)</f>
        <v>17</v>
      </c>
      <c r="L448" s="101">
        <f>VLOOKUP(BDsurtidor!$H448,$T$4:$X$25,5,FALSE)</f>
        <v>0.4</v>
      </c>
      <c r="M448" s="101" t="str">
        <f>VLOOKUP(BDsurtidor!$H448,$T$4:$Y$25,6,FALSE)</f>
        <v>EPS</v>
      </c>
      <c r="N448" s="70">
        <v>0</v>
      </c>
      <c r="O448" s="125">
        <v>1.23</v>
      </c>
      <c r="P448" s="126">
        <v>0.37152777777777779</v>
      </c>
      <c r="Q448" s="123" t="s">
        <v>626</v>
      </c>
    </row>
    <row r="449" spans="2:17" x14ac:dyDescent="0.25">
      <c r="B449">
        <f>WEEKNUM(BSURTIDOR[[#This Row],[FECHA]])</f>
        <v>9</v>
      </c>
      <c r="C449">
        <f>MONTH(BSURTIDOR[[#This Row],[FECHA]])</f>
        <v>2</v>
      </c>
      <c r="D449">
        <f>YEAR(BSURTIDOR[[#This Row],[FECHA]])</f>
        <v>2026</v>
      </c>
      <c r="E449" s="124">
        <v>46081</v>
      </c>
      <c r="F449" s="364" t="s">
        <v>109</v>
      </c>
      <c r="G449" s="123">
        <v>5</v>
      </c>
      <c r="H449" s="123" t="s">
        <v>99</v>
      </c>
      <c r="I449" s="101" t="str">
        <f>VLOOKUP(BDsurtidor!$H449,$T$4:$W$18,2,FALSE)</f>
        <v>CISTERNA</v>
      </c>
      <c r="J449" s="101">
        <f>VLOOKUP(BDsurtidor!$H449,$T$4:$W$25,3,FALSE)</f>
        <v>5000</v>
      </c>
      <c r="K449" s="101">
        <f>VLOOKUP(BDsurtidor!$H449,$T$4:$W$25,4,FALSE)</f>
        <v>17</v>
      </c>
      <c r="L449" s="101">
        <f>VLOOKUP(BDsurtidor!$H449,$T$4:$X$25,5,FALSE)</f>
        <v>0.4</v>
      </c>
      <c r="M449" s="101" t="str">
        <f>VLOOKUP(BDsurtidor!$H449,$T$4:$Y$25,6,FALSE)</f>
        <v>EPS</v>
      </c>
      <c r="N449" s="327">
        <v>0</v>
      </c>
      <c r="O449" s="125">
        <v>1.26</v>
      </c>
      <c r="P449" s="126">
        <v>0.52847222222222223</v>
      </c>
      <c r="Q449" s="123" t="s">
        <v>626</v>
      </c>
    </row>
    <row r="450" spans="2:17" x14ac:dyDescent="0.25">
      <c r="B450">
        <f>WEEKNUM(BSURTIDOR[[#This Row],[FECHA]])</f>
        <v>10</v>
      </c>
      <c r="C450">
        <f>MONTH(BSURTIDOR[[#This Row],[FECHA]])</f>
        <v>3</v>
      </c>
      <c r="D450">
        <f>YEAR(BSURTIDOR[[#This Row],[FECHA]])</f>
        <v>2026</v>
      </c>
      <c r="E450" s="124">
        <v>46083</v>
      </c>
      <c r="F450" s="382" t="s">
        <v>548</v>
      </c>
      <c r="G450" s="123">
        <v>1</v>
      </c>
      <c r="H450" s="123" t="s">
        <v>100</v>
      </c>
      <c r="I450" s="101" t="str">
        <f>VLOOKUP(BDsurtidor!$H450,$T$4:$W$18,2,FALSE)</f>
        <v>HIDROJET</v>
      </c>
      <c r="J450" s="101">
        <f>VLOOKUP(BDsurtidor!$H450,$T$4:$W$25,3,FALSE)</f>
        <v>1000</v>
      </c>
      <c r="K450" s="101">
        <f>VLOOKUP(BDsurtidor!$H450,$T$4:$W$25,4,FALSE)</f>
        <v>1</v>
      </c>
      <c r="L450" s="101">
        <f>VLOOKUP(BDsurtidor!$H450,$T$4:$X$25,5,FALSE)</f>
        <v>0</v>
      </c>
      <c r="M450" s="101" t="str">
        <f>VLOOKUP(BDsurtidor!$H450,$T$4:$Y$25,6,FALSE)</f>
        <v>EPS</v>
      </c>
      <c r="N450" s="70">
        <v>0</v>
      </c>
      <c r="O450" s="125">
        <v>0</v>
      </c>
      <c r="P450" s="126">
        <v>0.27777777777777779</v>
      </c>
      <c r="Q450" s="334" t="s">
        <v>574</v>
      </c>
    </row>
    <row r="451" spans="2:17" x14ac:dyDescent="0.25">
      <c r="B451">
        <f>WEEKNUM(BSURTIDOR[[#This Row],[FECHA]])</f>
        <v>10</v>
      </c>
      <c r="C451">
        <f>MONTH(BSURTIDOR[[#This Row],[FECHA]])</f>
        <v>3</v>
      </c>
      <c r="D451">
        <f>YEAR(BSURTIDOR[[#This Row],[FECHA]])</f>
        <v>2026</v>
      </c>
      <c r="E451" s="124">
        <v>46083</v>
      </c>
      <c r="F451" s="382" t="s">
        <v>548</v>
      </c>
      <c r="G451" s="123">
        <v>2</v>
      </c>
      <c r="H451" s="123" t="s">
        <v>95</v>
      </c>
      <c r="I451" s="101" t="str">
        <f>VLOOKUP(BDsurtidor!$H451,$T$4:$W$18,2,FALSE)</f>
        <v>CISTERNA</v>
      </c>
      <c r="J451" s="101">
        <f>VLOOKUP(BDsurtidor!$H451,$T$4:$W$25,3,FALSE)</f>
        <v>2500</v>
      </c>
      <c r="K451" s="101">
        <f>VLOOKUP(BDsurtidor!$H451,$T$4:$W$25,4,FALSE)</f>
        <v>9</v>
      </c>
      <c r="L451" s="101">
        <f>VLOOKUP(BDsurtidor!$H451,$T$4:$X$25,5,FALSE)</f>
        <v>0.22</v>
      </c>
      <c r="M451" s="101" t="str">
        <f>VLOOKUP(BDsurtidor!$H451,$T$4:$Y$25,6,FALSE)</f>
        <v>EPS</v>
      </c>
      <c r="N451" s="327">
        <v>0</v>
      </c>
      <c r="O451" s="125">
        <v>0</v>
      </c>
      <c r="P451" s="126">
        <v>0.28819444444444442</v>
      </c>
      <c r="Q451" s="334" t="s">
        <v>574</v>
      </c>
    </row>
    <row r="452" spans="2:17" x14ac:dyDescent="0.25">
      <c r="B452">
        <f>WEEKNUM(BSURTIDOR[[#This Row],[FECHA]])</f>
        <v>10</v>
      </c>
      <c r="C452">
        <f>MONTH(BSURTIDOR[[#This Row],[FECHA]])</f>
        <v>3</v>
      </c>
      <c r="D452">
        <f>YEAR(BSURTIDOR[[#This Row],[FECHA]])</f>
        <v>2026</v>
      </c>
      <c r="E452" s="124">
        <v>46083</v>
      </c>
      <c r="F452" s="382" t="s">
        <v>548</v>
      </c>
      <c r="G452" s="123">
        <v>3</v>
      </c>
      <c r="H452" s="123" t="s">
        <v>99</v>
      </c>
      <c r="I452" s="101" t="str">
        <f>VLOOKUP(BDsurtidor!$H452,$T$4:$W$18,2,FALSE)</f>
        <v>CISTERNA</v>
      </c>
      <c r="J452" s="101">
        <f>VLOOKUP(BDsurtidor!$H452,$T$4:$W$25,3,FALSE)</f>
        <v>5000</v>
      </c>
      <c r="K452" s="101">
        <f>VLOOKUP(BDsurtidor!$H452,$T$4:$W$25,4,FALSE)</f>
        <v>17</v>
      </c>
      <c r="L452" s="101">
        <f>VLOOKUP(BDsurtidor!$H452,$T$4:$X$25,5,FALSE)</f>
        <v>0.4</v>
      </c>
      <c r="M452" s="101" t="str">
        <f>VLOOKUP(BDsurtidor!$H452,$T$4:$Y$25,6,FALSE)</f>
        <v>EPS</v>
      </c>
      <c r="N452" s="70">
        <v>0</v>
      </c>
      <c r="O452" s="125">
        <v>1.06</v>
      </c>
      <c r="P452" s="126">
        <v>0.30277777777777776</v>
      </c>
      <c r="Q452" s="334" t="s">
        <v>574</v>
      </c>
    </row>
    <row r="453" spans="2:17" x14ac:dyDescent="0.25">
      <c r="B453">
        <f>WEEKNUM(BSURTIDOR[[#This Row],[FECHA]])</f>
        <v>10</v>
      </c>
      <c r="C453">
        <f>MONTH(BSURTIDOR[[#This Row],[FECHA]])</f>
        <v>3</v>
      </c>
      <c r="D453">
        <f>YEAR(BSURTIDOR[[#This Row],[FECHA]])</f>
        <v>2026</v>
      </c>
      <c r="E453" s="124">
        <v>46083</v>
      </c>
      <c r="F453" s="382" t="s">
        <v>548</v>
      </c>
      <c r="G453" s="123">
        <v>4</v>
      </c>
      <c r="H453" s="123" t="s">
        <v>98</v>
      </c>
      <c r="I453" s="101" t="str">
        <f>VLOOKUP(BDsurtidor!$H453,$T$4:$W$18,2,FALSE)</f>
        <v>CISTERNA</v>
      </c>
      <c r="J453" s="101">
        <f>VLOOKUP(BDsurtidor!$H453,$T$4:$W$25,3,FALSE)</f>
        <v>9000</v>
      </c>
      <c r="K453" s="101">
        <f>VLOOKUP(BDsurtidor!$H453,$T$4:$W$25,4,FALSE)</f>
        <v>34</v>
      </c>
      <c r="L453" s="101">
        <f>VLOOKUP(BDsurtidor!$H453,$T$4:$X$25,5,FALSE)</f>
        <v>0.45</v>
      </c>
      <c r="M453" s="101" t="str">
        <f>VLOOKUP(BDsurtidor!$H453,$T$4:$Y$25,6,FALSE)</f>
        <v>VIVIENDA</v>
      </c>
      <c r="N453" s="327">
        <v>0</v>
      </c>
      <c r="O453" s="125">
        <v>1</v>
      </c>
      <c r="P453" s="126">
        <v>0.31805555555555554</v>
      </c>
      <c r="Q453" s="334" t="s">
        <v>574</v>
      </c>
    </row>
    <row r="454" spans="2:17" x14ac:dyDescent="0.25">
      <c r="B454">
        <f>WEEKNUM(BSURTIDOR[[#This Row],[FECHA]])</f>
        <v>10</v>
      </c>
      <c r="C454">
        <f>MONTH(BSURTIDOR[[#This Row],[FECHA]])</f>
        <v>3</v>
      </c>
      <c r="D454">
        <f>YEAR(BSURTIDOR[[#This Row],[FECHA]])</f>
        <v>2026</v>
      </c>
      <c r="E454" s="124">
        <v>46083</v>
      </c>
      <c r="F454" s="382" t="s">
        <v>548</v>
      </c>
      <c r="G454" s="123">
        <v>5</v>
      </c>
      <c r="H454" s="123" t="s">
        <v>87</v>
      </c>
      <c r="I454" s="101" t="str">
        <f>VLOOKUP(BDsurtidor!$H454,$T$4:$W$18,2,FALSE)</f>
        <v>CISTERNA</v>
      </c>
      <c r="J454" s="101">
        <f>VLOOKUP(BDsurtidor!$H454,$T$4:$W$25,3,FALSE)</f>
        <v>5000</v>
      </c>
      <c r="K454" s="101">
        <f>VLOOKUP(BDsurtidor!$H454,$T$4:$W$25,4,FALSE)</f>
        <v>17</v>
      </c>
      <c r="L454" s="101">
        <f>VLOOKUP(BDsurtidor!$H454,$T$4:$X$25,5,FALSE)</f>
        <v>0.4</v>
      </c>
      <c r="M454" s="101" t="str">
        <f>VLOOKUP(BDsurtidor!$H454,$T$4:$Y$25,6,FALSE)</f>
        <v>EPS</v>
      </c>
      <c r="N454" s="70">
        <v>0</v>
      </c>
      <c r="O454" s="125">
        <v>1.1299999999999999</v>
      </c>
      <c r="P454" s="126">
        <v>0.32847222222222222</v>
      </c>
      <c r="Q454" s="334" t="s">
        <v>574</v>
      </c>
    </row>
    <row r="455" spans="2:17" x14ac:dyDescent="0.25">
      <c r="B455">
        <f>WEEKNUM(BSURTIDOR[[#This Row],[FECHA]])</f>
        <v>10</v>
      </c>
      <c r="C455">
        <f>MONTH(BSURTIDOR[[#This Row],[FECHA]])</f>
        <v>3</v>
      </c>
      <c r="D455">
        <f>YEAR(BSURTIDOR[[#This Row],[FECHA]])</f>
        <v>2026</v>
      </c>
      <c r="E455" s="124">
        <v>46083</v>
      </c>
      <c r="F455" s="382" t="s">
        <v>548</v>
      </c>
      <c r="G455" s="123">
        <v>6</v>
      </c>
      <c r="H455" s="123" t="s">
        <v>87</v>
      </c>
      <c r="I455" s="101" t="str">
        <f>VLOOKUP(BDsurtidor!$H455,$T$4:$W$18,2,FALSE)</f>
        <v>CISTERNA</v>
      </c>
      <c r="J455" s="101">
        <f>VLOOKUP(BDsurtidor!$H455,$T$4:$W$25,3,FALSE)</f>
        <v>5000</v>
      </c>
      <c r="K455" s="101">
        <f>VLOOKUP(BDsurtidor!$H455,$T$4:$W$25,4,FALSE)</f>
        <v>17</v>
      </c>
      <c r="L455" s="101">
        <f>VLOOKUP(BDsurtidor!$H455,$T$4:$X$25,5,FALSE)</f>
        <v>0.4</v>
      </c>
      <c r="M455" s="101" t="str">
        <f>VLOOKUP(BDsurtidor!$H455,$T$4:$Y$25,6,FALSE)</f>
        <v>EPS</v>
      </c>
      <c r="N455" s="327">
        <v>0</v>
      </c>
      <c r="O455" s="125">
        <v>1.1200000000000001</v>
      </c>
      <c r="P455" s="126">
        <v>0.45277777777777778</v>
      </c>
      <c r="Q455" s="334" t="s">
        <v>574</v>
      </c>
    </row>
    <row r="456" spans="2:17" x14ac:dyDescent="0.25">
      <c r="B456">
        <f>WEEKNUM(BSURTIDOR[[#This Row],[FECHA]])</f>
        <v>10</v>
      </c>
      <c r="C456">
        <f>MONTH(BSURTIDOR[[#This Row],[FECHA]])</f>
        <v>3</v>
      </c>
      <c r="D456">
        <f>YEAR(BSURTIDOR[[#This Row],[FECHA]])</f>
        <v>2026</v>
      </c>
      <c r="E456" s="124">
        <v>46083</v>
      </c>
      <c r="F456" s="382" t="s">
        <v>548</v>
      </c>
      <c r="G456" s="123">
        <v>7</v>
      </c>
      <c r="H456" s="123" t="s">
        <v>99</v>
      </c>
      <c r="I456" s="101" t="str">
        <f>VLOOKUP(BDsurtidor!$H456,$T$4:$W$18,2,FALSE)</f>
        <v>CISTERNA</v>
      </c>
      <c r="J456" s="101">
        <f>VLOOKUP(BDsurtidor!$H456,$T$4:$W$25,3,FALSE)</f>
        <v>5000</v>
      </c>
      <c r="K456" s="101">
        <f>VLOOKUP(BDsurtidor!$H456,$T$4:$W$25,4,FALSE)</f>
        <v>17</v>
      </c>
      <c r="L456" s="101">
        <f>VLOOKUP(BDsurtidor!$H456,$T$4:$X$25,5,FALSE)</f>
        <v>0.4</v>
      </c>
      <c r="M456" s="101" t="str">
        <f>VLOOKUP(BDsurtidor!$H456,$T$4:$Y$25,6,FALSE)</f>
        <v>EPS</v>
      </c>
      <c r="N456" s="70">
        <v>0</v>
      </c>
      <c r="O456" s="125">
        <v>1.02</v>
      </c>
      <c r="P456" s="126">
        <v>0.53194444444444444</v>
      </c>
      <c r="Q456" s="334" t="s">
        <v>574</v>
      </c>
    </row>
    <row r="457" spans="2:17" x14ac:dyDescent="0.25">
      <c r="B457">
        <f>WEEKNUM(BSURTIDOR[[#This Row],[FECHA]])</f>
        <v>10</v>
      </c>
      <c r="C457">
        <f>MONTH(BSURTIDOR[[#This Row],[FECHA]])</f>
        <v>3</v>
      </c>
      <c r="D457">
        <f>YEAR(BSURTIDOR[[#This Row],[FECHA]])</f>
        <v>2026</v>
      </c>
      <c r="E457" s="124">
        <v>46084</v>
      </c>
      <c r="F457" s="382" t="s">
        <v>548</v>
      </c>
      <c r="G457" s="336">
        <v>1</v>
      </c>
      <c r="H457" s="336" t="s">
        <v>95</v>
      </c>
      <c r="I457" s="101" t="str">
        <f>VLOOKUP(BDsurtidor!$H457,$T$4:$W$18,2,FALSE)</f>
        <v>CISTERNA</v>
      </c>
      <c r="J457" s="101">
        <f>VLOOKUP(BDsurtidor!$H457,$T$4:$W$25,3,FALSE)</f>
        <v>2500</v>
      </c>
      <c r="K457" s="101">
        <f>VLOOKUP(BDsurtidor!$H457,$T$4:$W$25,4,FALSE)</f>
        <v>9</v>
      </c>
      <c r="L457" s="101">
        <f>VLOOKUP(BDsurtidor!$H457,$T$4:$X$25,5,FALSE)</f>
        <v>0.22</v>
      </c>
      <c r="M457" s="101" t="str">
        <f>VLOOKUP(BDsurtidor!$H457,$T$4:$Y$25,6,FALSE)</f>
        <v>EPS</v>
      </c>
      <c r="N457" s="327">
        <v>0</v>
      </c>
      <c r="O457" s="337">
        <v>0</v>
      </c>
      <c r="P457" s="338">
        <v>0.27638888888888891</v>
      </c>
      <c r="Q457" s="334" t="s">
        <v>574</v>
      </c>
    </row>
    <row r="458" spans="2:17" x14ac:dyDescent="0.25">
      <c r="B458">
        <f>WEEKNUM(BSURTIDOR[[#This Row],[FECHA]])</f>
        <v>10</v>
      </c>
      <c r="C458">
        <f>MONTH(BSURTIDOR[[#This Row],[FECHA]])</f>
        <v>3</v>
      </c>
      <c r="D458">
        <f>YEAR(BSURTIDOR[[#This Row],[FECHA]])</f>
        <v>2026</v>
      </c>
      <c r="E458" s="124">
        <v>46084</v>
      </c>
      <c r="F458" s="382" t="s">
        <v>548</v>
      </c>
      <c r="G458" s="336">
        <v>2</v>
      </c>
      <c r="H458" s="336" t="s">
        <v>89</v>
      </c>
      <c r="I458" s="101" t="str">
        <f>VLOOKUP(BDsurtidor!$H458,$T$4:$W$18,2,FALSE)</f>
        <v>CISTERNA</v>
      </c>
      <c r="J458" s="101">
        <f>VLOOKUP(BDsurtidor!$H458,$T$4:$W$25,3,FALSE)</f>
        <v>9000</v>
      </c>
      <c r="K458" s="101">
        <f>VLOOKUP(BDsurtidor!$H458,$T$4:$W$25,4,FALSE)</f>
        <v>34</v>
      </c>
      <c r="L458" s="101">
        <f>VLOOKUP(BDsurtidor!$H458,$T$4:$X$25,5,FALSE)</f>
        <v>0.45</v>
      </c>
      <c r="M458" s="101" t="str">
        <f>VLOOKUP(BDsurtidor!$H458,$T$4:$Y$25,6,FALSE)</f>
        <v>VIVIENDA</v>
      </c>
      <c r="N458" s="70">
        <v>0</v>
      </c>
      <c r="O458" s="337">
        <v>1.06</v>
      </c>
      <c r="P458" s="338">
        <v>0.30763888888888891</v>
      </c>
      <c r="Q458" s="334" t="s">
        <v>574</v>
      </c>
    </row>
    <row r="459" spans="2:17" x14ac:dyDescent="0.25">
      <c r="B459">
        <f>WEEKNUM(BSURTIDOR[[#This Row],[FECHA]])</f>
        <v>10</v>
      </c>
      <c r="C459">
        <f>MONTH(BSURTIDOR[[#This Row],[FECHA]])</f>
        <v>3</v>
      </c>
      <c r="D459">
        <f>YEAR(BSURTIDOR[[#This Row],[FECHA]])</f>
        <v>2026</v>
      </c>
      <c r="E459" s="124">
        <v>46084</v>
      </c>
      <c r="F459" s="382" t="s">
        <v>548</v>
      </c>
      <c r="G459" s="336">
        <v>3</v>
      </c>
      <c r="H459" s="336" t="s">
        <v>98</v>
      </c>
      <c r="I459" s="101" t="str">
        <f>VLOOKUP(BDsurtidor!$H459,$T$4:$W$18,2,FALSE)</f>
        <v>CISTERNA</v>
      </c>
      <c r="J459" s="101">
        <f>VLOOKUP(BDsurtidor!$H459,$T$4:$W$25,3,FALSE)</f>
        <v>9000</v>
      </c>
      <c r="K459" s="101">
        <f>VLOOKUP(BDsurtidor!$H459,$T$4:$W$25,4,FALSE)</f>
        <v>34</v>
      </c>
      <c r="L459" s="101">
        <f>VLOOKUP(BDsurtidor!$H459,$T$4:$X$25,5,FALSE)</f>
        <v>0.45</v>
      </c>
      <c r="M459" s="101" t="str">
        <f>VLOOKUP(BDsurtidor!$H459,$T$4:$Y$25,6,FALSE)</f>
        <v>VIVIENDA</v>
      </c>
      <c r="N459" s="327">
        <v>0</v>
      </c>
      <c r="O459" s="337">
        <v>1.07</v>
      </c>
      <c r="P459" s="338">
        <v>0.31805555555555554</v>
      </c>
      <c r="Q459" s="334" t="s">
        <v>574</v>
      </c>
    </row>
    <row r="460" spans="2:17" x14ac:dyDescent="0.25">
      <c r="B460">
        <f>WEEKNUM(BSURTIDOR[[#This Row],[FECHA]])</f>
        <v>10</v>
      </c>
      <c r="C460">
        <f>MONTH(BSURTIDOR[[#This Row],[FECHA]])</f>
        <v>3</v>
      </c>
      <c r="D460">
        <f>YEAR(BSURTIDOR[[#This Row],[FECHA]])</f>
        <v>2026</v>
      </c>
      <c r="E460" s="124">
        <v>46084</v>
      </c>
      <c r="F460" s="382" t="s">
        <v>548</v>
      </c>
      <c r="G460" s="336">
        <v>4</v>
      </c>
      <c r="H460" s="336" t="s">
        <v>99</v>
      </c>
      <c r="I460" s="101" t="str">
        <f>VLOOKUP(BDsurtidor!$H460,$T$4:$W$18,2,FALSE)</f>
        <v>CISTERNA</v>
      </c>
      <c r="J460" s="101">
        <f>VLOOKUP(BDsurtidor!$H460,$T$4:$W$25,3,FALSE)</f>
        <v>5000</v>
      </c>
      <c r="K460" s="101">
        <f>VLOOKUP(BDsurtidor!$H460,$T$4:$W$25,4,FALSE)</f>
        <v>17</v>
      </c>
      <c r="L460" s="101">
        <f>VLOOKUP(BDsurtidor!$H460,$T$4:$X$25,5,FALSE)</f>
        <v>0.4</v>
      </c>
      <c r="M460" s="101" t="str">
        <f>VLOOKUP(BDsurtidor!$H460,$T$4:$Y$25,6,FALSE)</f>
        <v>EPS</v>
      </c>
      <c r="N460" s="70">
        <v>0</v>
      </c>
      <c r="O460" s="337">
        <v>1.1100000000000001</v>
      </c>
      <c r="P460" s="338">
        <v>0.32847222222222222</v>
      </c>
      <c r="Q460" s="334" t="s">
        <v>574</v>
      </c>
    </row>
    <row r="461" spans="2:17" x14ac:dyDescent="0.25">
      <c r="B461">
        <f>WEEKNUM(BSURTIDOR[[#This Row],[FECHA]])</f>
        <v>10</v>
      </c>
      <c r="C461">
        <f>MONTH(BSURTIDOR[[#This Row],[FECHA]])</f>
        <v>3</v>
      </c>
      <c r="D461">
        <f>YEAR(BSURTIDOR[[#This Row],[FECHA]])</f>
        <v>2026</v>
      </c>
      <c r="E461" s="124">
        <v>46084</v>
      </c>
      <c r="F461" s="382" t="s">
        <v>548</v>
      </c>
      <c r="G461" s="336">
        <v>5</v>
      </c>
      <c r="H461" s="336" t="s">
        <v>87</v>
      </c>
      <c r="I461" s="101" t="str">
        <f>VLOOKUP(BDsurtidor!$H461,$T$4:$W$18,2,FALSE)</f>
        <v>CISTERNA</v>
      </c>
      <c r="J461" s="101">
        <f>VLOOKUP(BDsurtidor!$H461,$T$4:$W$25,3,FALSE)</f>
        <v>5000</v>
      </c>
      <c r="K461" s="101">
        <f>VLOOKUP(BDsurtidor!$H461,$T$4:$W$25,4,FALSE)</f>
        <v>17</v>
      </c>
      <c r="L461" s="101">
        <f>VLOOKUP(BDsurtidor!$H461,$T$4:$X$25,5,FALSE)</f>
        <v>0.4</v>
      </c>
      <c r="M461" s="101" t="str">
        <f>VLOOKUP(BDsurtidor!$H461,$T$4:$Y$25,6,FALSE)</f>
        <v>EPS</v>
      </c>
      <c r="N461" s="327">
        <v>0</v>
      </c>
      <c r="O461" s="337">
        <v>1.04</v>
      </c>
      <c r="P461" s="338">
        <v>0.33402777777777776</v>
      </c>
      <c r="Q461" s="334" t="s">
        <v>574</v>
      </c>
    </row>
    <row r="462" spans="2:17" x14ac:dyDescent="0.25">
      <c r="B462">
        <f>WEEKNUM(BSURTIDOR[[#This Row],[FECHA]])</f>
        <v>10</v>
      </c>
      <c r="C462">
        <f>MONTH(BSURTIDOR[[#This Row],[FECHA]])</f>
        <v>3</v>
      </c>
      <c r="D462">
        <f>YEAR(BSURTIDOR[[#This Row],[FECHA]])</f>
        <v>2026</v>
      </c>
      <c r="E462" s="124">
        <v>46084</v>
      </c>
      <c r="F462" s="382" t="s">
        <v>548</v>
      </c>
      <c r="G462" s="336">
        <v>6</v>
      </c>
      <c r="H462" s="336" t="s">
        <v>95</v>
      </c>
      <c r="I462" s="101" t="str">
        <f>VLOOKUP(BDsurtidor!$H462,$T$4:$W$18,2,FALSE)</f>
        <v>CISTERNA</v>
      </c>
      <c r="J462" s="101">
        <f>VLOOKUP(BDsurtidor!$H462,$T$4:$W$25,3,FALSE)</f>
        <v>2500</v>
      </c>
      <c r="K462" s="101">
        <f>VLOOKUP(BDsurtidor!$H462,$T$4:$W$25,4,FALSE)</f>
        <v>9</v>
      </c>
      <c r="L462" s="101">
        <f>VLOOKUP(BDsurtidor!$H462,$T$4:$X$25,5,FALSE)</f>
        <v>0.22</v>
      </c>
      <c r="M462" s="101" t="str">
        <f>VLOOKUP(BDsurtidor!$H462,$T$4:$Y$25,6,FALSE)</f>
        <v>EPS</v>
      </c>
      <c r="N462" s="70">
        <v>0</v>
      </c>
      <c r="O462" s="337">
        <v>0</v>
      </c>
      <c r="P462" s="338">
        <v>0.55208333333333337</v>
      </c>
      <c r="Q462" s="334" t="s">
        <v>574</v>
      </c>
    </row>
    <row r="463" spans="2:17" x14ac:dyDescent="0.25">
      <c r="B463">
        <f>WEEKNUM(BSURTIDOR[[#This Row],[FECHA]])</f>
        <v>10</v>
      </c>
      <c r="C463">
        <f>MONTH(BSURTIDOR[[#This Row],[FECHA]])</f>
        <v>3</v>
      </c>
      <c r="D463">
        <f>YEAR(BSURTIDOR[[#This Row],[FECHA]])</f>
        <v>2026</v>
      </c>
      <c r="E463" s="124">
        <v>46084</v>
      </c>
      <c r="F463" s="382" t="s">
        <v>548</v>
      </c>
      <c r="G463" s="336">
        <v>7</v>
      </c>
      <c r="H463" s="336" t="s">
        <v>99</v>
      </c>
      <c r="I463" s="101" t="str">
        <f>VLOOKUP(BDsurtidor!$H463,$T$4:$W$18,2,FALSE)</f>
        <v>CISTERNA</v>
      </c>
      <c r="J463" s="101">
        <f>VLOOKUP(BDsurtidor!$H463,$T$4:$W$25,3,FALSE)</f>
        <v>5000</v>
      </c>
      <c r="K463" s="101">
        <f>VLOOKUP(BDsurtidor!$H463,$T$4:$W$25,4,FALSE)</f>
        <v>17</v>
      </c>
      <c r="L463" s="101">
        <f>VLOOKUP(BDsurtidor!$H463,$T$4:$X$25,5,FALSE)</f>
        <v>0.4</v>
      </c>
      <c r="M463" s="101" t="str">
        <f>VLOOKUP(BDsurtidor!$H463,$T$4:$Y$25,6,FALSE)</f>
        <v>EPS</v>
      </c>
      <c r="N463" s="327">
        <v>0</v>
      </c>
      <c r="O463" s="337">
        <v>1.03</v>
      </c>
      <c r="P463" s="338">
        <v>0.55833333333333335</v>
      </c>
      <c r="Q463" s="334" t="s">
        <v>574</v>
      </c>
    </row>
    <row r="464" spans="2:17" x14ac:dyDescent="0.25">
      <c r="B464">
        <f>WEEKNUM(BSURTIDOR[[#This Row],[FECHA]])</f>
        <v>10</v>
      </c>
      <c r="C464">
        <f>MONTH(BSURTIDOR[[#This Row],[FECHA]])</f>
        <v>3</v>
      </c>
      <c r="D464">
        <f>YEAR(BSURTIDOR[[#This Row],[FECHA]])</f>
        <v>2026</v>
      </c>
      <c r="E464" s="124">
        <v>46084</v>
      </c>
      <c r="F464" s="382" t="s">
        <v>548</v>
      </c>
      <c r="G464" s="336">
        <v>8</v>
      </c>
      <c r="H464" s="336" t="s">
        <v>98</v>
      </c>
      <c r="I464" s="101" t="str">
        <f>VLOOKUP(BDsurtidor!$H464,$T$4:$W$18,2,FALSE)</f>
        <v>CISTERNA</v>
      </c>
      <c r="J464" s="101">
        <f>VLOOKUP(BDsurtidor!$H464,$T$4:$W$25,3,FALSE)</f>
        <v>9000</v>
      </c>
      <c r="K464" s="101">
        <f>VLOOKUP(BDsurtidor!$H464,$T$4:$W$25,4,FALSE)</f>
        <v>34</v>
      </c>
      <c r="L464" s="101">
        <f>VLOOKUP(BDsurtidor!$H464,$T$4:$X$25,5,FALSE)</f>
        <v>0.45</v>
      </c>
      <c r="M464" s="101" t="str">
        <f>VLOOKUP(BDsurtidor!$H464,$T$4:$Y$25,6,FALSE)</f>
        <v>VIVIENDA</v>
      </c>
      <c r="N464" s="70">
        <v>0</v>
      </c>
      <c r="O464" s="337">
        <v>1.05</v>
      </c>
      <c r="P464" s="338">
        <v>0.5756944444444444</v>
      </c>
      <c r="Q464" s="334" t="s">
        <v>574</v>
      </c>
    </row>
    <row r="465" spans="2:17" x14ac:dyDescent="0.25">
      <c r="B465">
        <f>WEEKNUM(BSURTIDOR[[#This Row],[FECHA]])</f>
        <v>10</v>
      </c>
      <c r="C465">
        <f>MONTH(BSURTIDOR[[#This Row],[FECHA]])</f>
        <v>3</v>
      </c>
      <c r="D465">
        <f>YEAR(BSURTIDOR[[#This Row],[FECHA]])</f>
        <v>2026</v>
      </c>
      <c r="E465" s="124">
        <v>46085</v>
      </c>
      <c r="F465" s="382" t="s">
        <v>548</v>
      </c>
      <c r="G465" s="336">
        <v>1</v>
      </c>
      <c r="H465" s="336" t="s">
        <v>95</v>
      </c>
      <c r="I465" s="101" t="str">
        <f>VLOOKUP(BDsurtidor!$H465,$T$4:$W$18,2,FALSE)</f>
        <v>CISTERNA</v>
      </c>
      <c r="J465" s="101">
        <f>VLOOKUP(BDsurtidor!$H465,$T$4:$W$25,3,FALSE)</f>
        <v>2500</v>
      </c>
      <c r="K465" s="101">
        <f>VLOOKUP(BDsurtidor!$H465,$T$4:$W$25,4,FALSE)</f>
        <v>9</v>
      </c>
      <c r="L465" s="101">
        <f>VLOOKUP(BDsurtidor!$H465,$T$4:$X$25,5,FALSE)</f>
        <v>0.22</v>
      </c>
      <c r="M465" s="101" t="str">
        <f>VLOOKUP(BDsurtidor!$H465,$T$4:$Y$25,6,FALSE)</f>
        <v>EPS</v>
      </c>
      <c r="N465" s="70">
        <v>0</v>
      </c>
      <c r="O465" s="337">
        <v>0</v>
      </c>
      <c r="P465" s="338">
        <v>0.27500000000000002</v>
      </c>
      <c r="Q465" s="334" t="s">
        <v>574</v>
      </c>
    </row>
    <row r="466" spans="2:17" x14ac:dyDescent="0.25">
      <c r="B466">
        <f>WEEKNUM(BSURTIDOR[[#This Row],[FECHA]])</f>
        <v>10</v>
      </c>
      <c r="C466">
        <f>MONTH(BSURTIDOR[[#This Row],[FECHA]])</f>
        <v>3</v>
      </c>
      <c r="D466">
        <f>YEAR(BSURTIDOR[[#This Row],[FECHA]])</f>
        <v>2026</v>
      </c>
      <c r="E466" s="124">
        <v>46085</v>
      </c>
      <c r="F466" s="382" t="s">
        <v>548</v>
      </c>
      <c r="G466" s="123">
        <v>2</v>
      </c>
      <c r="H466" s="123" t="s">
        <v>100</v>
      </c>
      <c r="I466" s="101" t="str">
        <f>VLOOKUP(BDsurtidor!$H466,$T$4:$W$18,2,FALSE)</f>
        <v>HIDROJET</v>
      </c>
      <c r="J466" s="101">
        <f>VLOOKUP(BDsurtidor!$H466,$T$4:$W$25,3,FALSE)</f>
        <v>1000</v>
      </c>
      <c r="K466" s="101">
        <f>VLOOKUP(BDsurtidor!$H466,$T$4:$W$25,4,FALSE)</f>
        <v>1</v>
      </c>
      <c r="L466" s="101">
        <f>VLOOKUP(BDsurtidor!$H466,$T$4:$X$25,5,FALSE)</f>
        <v>0</v>
      </c>
      <c r="M466" s="101" t="str">
        <f>VLOOKUP(BDsurtidor!$H466,$T$4:$Y$25,6,FALSE)</f>
        <v>EPS</v>
      </c>
      <c r="N466" s="70">
        <v>0</v>
      </c>
      <c r="O466" s="125">
        <v>0</v>
      </c>
      <c r="P466" s="126">
        <v>0.28263888888888888</v>
      </c>
      <c r="Q466" s="334" t="s">
        <v>574</v>
      </c>
    </row>
    <row r="467" spans="2:17" x14ac:dyDescent="0.25">
      <c r="B467">
        <f>WEEKNUM(BSURTIDOR[[#This Row],[FECHA]])</f>
        <v>10</v>
      </c>
      <c r="C467">
        <f>MONTH(BSURTIDOR[[#This Row],[FECHA]])</f>
        <v>3</v>
      </c>
      <c r="D467">
        <f>YEAR(BSURTIDOR[[#This Row],[FECHA]])</f>
        <v>2026</v>
      </c>
      <c r="E467" s="124">
        <v>46085</v>
      </c>
      <c r="F467" s="382" t="s">
        <v>548</v>
      </c>
      <c r="G467" s="123">
        <v>3</v>
      </c>
      <c r="H467" s="123" t="s">
        <v>99</v>
      </c>
      <c r="I467" s="101" t="str">
        <f>VLOOKUP(BDsurtidor!$H467,$T$4:$W$18,2,FALSE)</f>
        <v>CISTERNA</v>
      </c>
      <c r="J467" s="101">
        <f>VLOOKUP(BDsurtidor!$H467,$T$4:$W$25,3,FALSE)</f>
        <v>5000</v>
      </c>
      <c r="K467" s="101">
        <f>VLOOKUP(BDsurtidor!$H467,$T$4:$W$25,4,FALSE)</f>
        <v>17</v>
      </c>
      <c r="L467" s="101">
        <f>VLOOKUP(BDsurtidor!$H467,$T$4:$X$25,5,FALSE)</f>
        <v>0.4</v>
      </c>
      <c r="M467" s="101" t="str">
        <f>VLOOKUP(BDsurtidor!$H467,$T$4:$Y$25,6,FALSE)</f>
        <v>EPS</v>
      </c>
      <c r="N467" s="327">
        <v>0</v>
      </c>
      <c r="O467" s="125">
        <v>1.08</v>
      </c>
      <c r="P467" s="126">
        <v>0.3</v>
      </c>
      <c r="Q467" s="334" t="s">
        <v>574</v>
      </c>
    </row>
    <row r="468" spans="2:17" x14ac:dyDescent="0.25">
      <c r="B468">
        <f>WEEKNUM(BSURTIDOR[[#This Row],[FECHA]])</f>
        <v>10</v>
      </c>
      <c r="C468">
        <f>MONTH(BSURTIDOR[[#This Row],[FECHA]])</f>
        <v>3</v>
      </c>
      <c r="D468">
        <f>YEAR(BSURTIDOR[[#This Row],[FECHA]])</f>
        <v>2026</v>
      </c>
      <c r="E468" s="124">
        <v>46085</v>
      </c>
      <c r="F468" s="382" t="s">
        <v>548</v>
      </c>
      <c r="G468" s="336">
        <v>4</v>
      </c>
      <c r="H468" s="123" t="s">
        <v>98</v>
      </c>
      <c r="I468" s="101" t="str">
        <f>VLOOKUP(BDsurtidor!$H468,$T$4:$W$18,2,FALSE)</f>
        <v>CISTERNA</v>
      </c>
      <c r="J468" s="101">
        <f>VLOOKUP(BDsurtidor!$H468,$T$4:$W$25,3,FALSE)</f>
        <v>9000</v>
      </c>
      <c r="K468" s="101">
        <f>VLOOKUP(BDsurtidor!$H468,$T$4:$W$25,4,FALSE)</f>
        <v>34</v>
      </c>
      <c r="L468" s="101">
        <f>VLOOKUP(BDsurtidor!$H468,$T$4:$X$25,5,FALSE)</f>
        <v>0.45</v>
      </c>
      <c r="M468" s="101" t="str">
        <f>VLOOKUP(BDsurtidor!$H468,$T$4:$Y$25,6,FALSE)</f>
        <v>VIVIENDA</v>
      </c>
      <c r="N468" s="70">
        <v>0</v>
      </c>
      <c r="O468" s="125">
        <v>1.1000000000000001</v>
      </c>
      <c r="P468" s="126">
        <v>0.32708333333333334</v>
      </c>
      <c r="Q468" s="334" t="s">
        <v>574</v>
      </c>
    </row>
    <row r="469" spans="2:17" x14ac:dyDescent="0.25">
      <c r="B469">
        <f>WEEKNUM(BSURTIDOR[[#This Row],[FECHA]])</f>
        <v>10</v>
      </c>
      <c r="C469">
        <f>MONTH(BSURTIDOR[[#This Row],[FECHA]])</f>
        <v>3</v>
      </c>
      <c r="D469">
        <f>YEAR(BSURTIDOR[[#This Row],[FECHA]])</f>
        <v>2026</v>
      </c>
      <c r="E469" s="124">
        <v>46085</v>
      </c>
      <c r="F469" s="382" t="s">
        <v>548</v>
      </c>
      <c r="G469" s="123">
        <v>5</v>
      </c>
      <c r="H469" s="123" t="s">
        <v>87</v>
      </c>
      <c r="I469" s="101" t="str">
        <f>VLOOKUP(BDsurtidor!$H469,$T$4:$W$18,2,FALSE)</f>
        <v>CISTERNA</v>
      </c>
      <c r="J469" s="101">
        <f>VLOOKUP(BDsurtidor!$H469,$T$4:$W$25,3,FALSE)</f>
        <v>5000</v>
      </c>
      <c r="K469" s="101">
        <f>VLOOKUP(BDsurtidor!$H469,$T$4:$W$25,4,FALSE)</f>
        <v>17</v>
      </c>
      <c r="L469" s="101">
        <f>VLOOKUP(BDsurtidor!$H469,$T$4:$X$25,5,FALSE)</f>
        <v>0.4</v>
      </c>
      <c r="M469" s="101" t="str">
        <f>VLOOKUP(BDsurtidor!$H469,$T$4:$Y$25,6,FALSE)</f>
        <v>EPS</v>
      </c>
      <c r="N469" s="70">
        <v>0</v>
      </c>
      <c r="O469" s="125">
        <v>1.1100000000000001</v>
      </c>
      <c r="P469" s="126">
        <v>0.33402777777777776</v>
      </c>
      <c r="Q469" s="334" t="s">
        <v>574</v>
      </c>
    </row>
    <row r="470" spans="2:17" x14ac:dyDescent="0.25">
      <c r="B470">
        <f>WEEKNUM(BSURTIDOR[[#This Row],[FECHA]])</f>
        <v>10</v>
      </c>
      <c r="C470">
        <f>MONTH(BSURTIDOR[[#This Row],[FECHA]])</f>
        <v>3</v>
      </c>
      <c r="D470">
        <f>YEAR(BSURTIDOR[[#This Row],[FECHA]])</f>
        <v>2026</v>
      </c>
      <c r="E470" s="124">
        <v>46085</v>
      </c>
      <c r="F470" s="382" t="s">
        <v>548</v>
      </c>
      <c r="G470" s="123">
        <v>6</v>
      </c>
      <c r="H470" s="123" t="s">
        <v>99</v>
      </c>
      <c r="I470" s="101" t="str">
        <f>VLOOKUP(BDsurtidor!$H470,$T$4:$W$18,2,FALSE)</f>
        <v>CISTERNA</v>
      </c>
      <c r="J470" s="101">
        <f>VLOOKUP(BDsurtidor!$H470,$T$4:$W$25,3,FALSE)</f>
        <v>5000</v>
      </c>
      <c r="K470" s="101">
        <f>VLOOKUP(BDsurtidor!$H470,$T$4:$W$25,4,FALSE)</f>
        <v>17</v>
      </c>
      <c r="L470" s="101">
        <f>VLOOKUP(BDsurtidor!$H470,$T$4:$X$25,5,FALSE)</f>
        <v>0.4</v>
      </c>
      <c r="M470" s="101" t="str">
        <f>VLOOKUP(BDsurtidor!$H470,$T$4:$Y$25,6,FALSE)</f>
        <v>EPS</v>
      </c>
      <c r="N470" s="70">
        <v>0</v>
      </c>
      <c r="O470" s="125">
        <v>1.1499999999999999</v>
      </c>
      <c r="P470" s="126">
        <v>0.42708333333333331</v>
      </c>
      <c r="Q470" s="334" t="s">
        <v>574</v>
      </c>
    </row>
    <row r="471" spans="2:17" x14ac:dyDescent="0.25">
      <c r="B471">
        <f>WEEKNUM(BSURTIDOR[[#This Row],[FECHA]])</f>
        <v>10</v>
      </c>
      <c r="C471">
        <f>MONTH(BSURTIDOR[[#This Row],[FECHA]])</f>
        <v>3</v>
      </c>
      <c r="D471">
        <f>YEAR(BSURTIDOR[[#This Row],[FECHA]])</f>
        <v>2026</v>
      </c>
      <c r="E471" s="124">
        <v>46085</v>
      </c>
      <c r="F471" s="382" t="s">
        <v>548</v>
      </c>
      <c r="G471" s="336">
        <v>7</v>
      </c>
      <c r="H471" s="123" t="s">
        <v>87</v>
      </c>
      <c r="I471" s="101" t="str">
        <f>VLOOKUP(BDsurtidor!$H471,$T$4:$W$18,2,FALSE)</f>
        <v>CISTERNA</v>
      </c>
      <c r="J471" s="101">
        <f>VLOOKUP(BDsurtidor!$H471,$T$4:$W$25,3,FALSE)</f>
        <v>5000</v>
      </c>
      <c r="K471" s="101">
        <f>VLOOKUP(BDsurtidor!$H471,$T$4:$W$25,4,FALSE)</f>
        <v>17</v>
      </c>
      <c r="L471" s="101">
        <f>VLOOKUP(BDsurtidor!$H471,$T$4:$X$25,5,FALSE)</f>
        <v>0.4</v>
      </c>
      <c r="M471" s="101" t="str">
        <f>VLOOKUP(BDsurtidor!$H471,$T$4:$Y$25,6,FALSE)</f>
        <v>EPS</v>
      </c>
      <c r="N471" s="327">
        <v>0</v>
      </c>
      <c r="O471" s="125">
        <v>1.1000000000000001</v>
      </c>
      <c r="P471" s="126">
        <v>0.44305555555555554</v>
      </c>
      <c r="Q471" s="334" t="s">
        <v>574</v>
      </c>
    </row>
    <row r="472" spans="2:17" x14ac:dyDescent="0.25">
      <c r="B472">
        <f>WEEKNUM(BSURTIDOR[[#This Row],[FECHA]])</f>
        <v>10</v>
      </c>
      <c r="C472">
        <f>MONTH(BSURTIDOR[[#This Row],[FECHA]])</f>
        <v>3</v>
      </c>
      <c r="D472">
        <f>YEAR(BSURTIDOR[[#This Row],[FECHA]])</f>
        <v>2026</v>
      </c>
      <c r="E472" s="124">
        <v>46085</v>
      </c>
      <c r="F472" s="382" t="s">
        <v>548</v>
      </c>
      <c r="G472" s="123">
        <v>8</v>
      </c>
      <c r="H472" s="123" t="s">
        <v>95</v>
      </c>
      <c r="I472" s="101" t="str">
        <f>VLOOKUP(BDsurtidor!$H472,$T$4:$W$18,2,FALSE)</f>
        <v>CISTERNA</v>
      </c>
      <c r="J472" s="101">
        <f>VLOOKUP(BDsurtidor!$H472,$T$4:$W$25,3,FALSE)</f>
        <v>2500</v>
      </c>
      <c r="K472" s="101">
        <f>VLOOKUP(BDsurtidor!$H472,$T$4:$W$25,4,FALSE)</f>
        <v>9</v>
      </c>
      <c r="L472" s="101">
        <f>VLOOKUP(BDsurtidor!$H472,$T$4:$X$25,5,FALSE)</f>
        <v>0.22</v>
      </c>
      <c r="M472" s="101" t="str">
        <f>VLOOKUP(BDsurtidor!$H472,$T$4:$Y$25,6,FALSE)</f>
        <v>EPS</v>
      </c>
      <c r="N472" s="70">
        <v>0</v>
      </c>
      <c r="O472" s="125">
        <v>0</v>
      </c>
      <c r="P472" s="126">
        <v>0.4548611111111111</v>
      </c>
      <c r="Q472" s="334" t="s">
        <v>574</v>
      </c>
    </row>
    <row r="473" spans="2:17" x14ac:dyDescent="0.25">
      <c r="B473">
        <f>WEEKNUM(BSURTIDOR[[#This Row],[FECHA]])</f>
        <v>10</v>
      </c>
      <c r="C473">
        <f>MONTH(BSURTIDOR[[#This Row],[FECHA]])</f>
        <v>3</v>
      </c>
      <c r="D473">
        <f>YEAR(BSURTIDOR[[#This Row],[FECHA]])</f>
        <v>2026</v>
      </c>
      <c r="E473" s="124">
        <v>46086</v>
      </c>
      <c r="F473" s="382" t="s">
        <v>548</v>
      </c>
      <c r="G473" s="123">
        <v>1</v>
      </c>
      <c r="H473" s="123" t="s">
        <v>95</v>
      </c>
      <c r="I473" s="101" t="str">
        <f>VLOOKUP(BDsurtidor!$H473,$T$4:$W$18,2,FALSE)</f>
        <v>CISTERNA</v>
      </c>
      <c r="J473" s="101">
        <f>VLOOKUP(BDsurtidor!$H473,$T$4:$W$25,3,FALSE)</f>
        <v>2500</v>
      </c>
      <c r="K473" s="101">
        <f>VLOOKUP(BDsurtidor!$H473,$T$4:$W$25,4,FALSE)</f>
        <v>9</v>
      </c>
      <c r="L473" s="101">
        <f>VLOOKUP(BDsurtidor!$H473,$T$4:$X$25,5,FALSE)</f>
        <v>0.22</v>
      </c>
      <c r="M473" s="101" t="str">
        <f>VLOOKUP(BDsurtidor!$H473,$T$4:$Y$25,6,FALSE)</f>
        <v>EPS</v>
      </c>
      <c r="N473" s="70">
        <v>0</v>
      </c>
      <c r="O473" s="125">
        <v>0</v>
      </c>
      <c r="P473" s="126">
        <v>0.28125</v>
      </c>
      <c r="Q473" s="334" t="s">
        <v>574</v>
      </c>
    </row>
    <row r="474" spans="2:17" x14ac:dyDescent="0.25">
      <c r="B474">
        <f>WEEKNUM(BSURTIDOR[[#This Row],[FECHA]])</f>
        <v>10</v>
      </c>
      <c r="C474">
        <f>MONTH(BSURTIDOR[[#This Row],[FECHA]])</f>
        <v>3</v>
      </c>
      <c r="D474">
        <f>YEAR(BSURTIDOR[[#This Row],[FECHA]])</f>
        <v>2026</v>
      </c>
      <c r="E474" s="124">
        <v>46086</v>
      </c>
      <c r="F474" s="382" t="s">
        <v>548</v>
      </c>
      <c r="G474" s="123">
        <v>2</v>
      </c>
      <c r="H474" s="123" t="s">
        <v>558</v>
      </c>
      <c r="I474" s="101" t="str">
        <f>VLOOKUP(BDsurtidor!$H474,$T$4:$W$18,2,FALSE)</f>
        <v>HIDROJET</v>
      </c>
      <c r="J474" s="101">
        <f>VLOOKUP(BDsurtidor!$H474,$T$4:$W$25,3,FALSE)</f>
        <v>1000</v>
      </c>
      <c r="K474" s="101">
        <f>VLOOKUP(BDsurtidor!$H474,$T$4:$W$25,4,FALSE)</f>
        <v>1</v>
      </c>
      <c r="L474" s="101">
        <f>VLOOKUP(BDsurtidor!$H474,$T$4:$X$25,5,FALSE)</f>
        <v>0</v>
      </c>
      <c r="M474" s="101" t="str">
        <f>VLOOKUP(BDsurtidor!$H474,$T$4:$Y$25,6,FALSE)</f>
        <v>EPS</v>
      </c>
      <c r="N474" s="70">
        <v>0</v>
      </c>
      <c r="O474" s="125">
        <v>0</v>
      </c>
      <c r="P474" s="126">
        <v>0.2902777777777778</v>
      </c>
      <c r="Q474" s="334" t="s">
        <v>574</v>
      </c>
    </row>
    <row r="475" spans="2:17" x14ac:dyDescent="0.25">
      <c r="B475">
        <f>WEEKNUM(BSURTIDOR[[#This Row],[FECHA]])</f>
        <v>10</v>
      </c>
      <c r="C475">
        <f>MONTH(BSURTIDOR[[#This Row],[FECHA]])</f>
        <v>3</v>
      </c>
      <c r="D475">
        <f>YEAR(BSURTIDOR[[#This Row],[FECHA]])</f>
        <v>2026</v>
      </c>
      <c r="E475" s="124">
        <v>46086</v>
      </c>
      <c r="F475" s="382" t="s">
        <v>548</v>
      </c>
      <c r="G475" s="123">
        <v>3</v>
      </c>
      <c r="H475" s="123" t="s">
        <v>100</v>
      </c>
      <c r="I475" s="101" t="str">
        <f>VLOOKUP(BDsurtidor!$H475,$T$4:$W$18,2,FALSE)</f>
        <v>HIDROJET</v>
      </c>
      <c r="J475" s="101">
        <f>VLOOKUP(BDsurtidor!$H475,$T$4:$W$25,3,FALSE)</f>
        <v>1000</v>
      </c>
      <c r="K475" s="101">
        <f>VLOOKUP(BDsurtidor!$H475,$T$4:$W$25,4,FALSE)</f>
        <v>1</v>
      </c>
      <c r="L475" s="101">
        <f>VLOOKUP(BDsurtidor!$H475,$T$4:$X$25,5,FALSE)</f>
        <v>0</v>
      </c>
      <c r="M475" s="101" t="str">
        <f>VLOOKUP(BDsurtidor!$H475,$T$4:$Y$25,6,FALSE)</f>
        <v>EPS</v>
      </c>
      <c r="N475" s="327">
        <v>0</v>
      </c>
      <c r="O475" s="125">
        <v>0</v>
      </c>
      <c r="P475" s="126">
        <v>0.29652777777777778</v>
      </c>
      <c r="Q475" s="334" t="s">
        <v>574</v>
      </c>
    </row>
    <row r="476" spans="2:17" x14ac:dyDescent="0.25">
      <c r="B476">
        <f>WEEKNUM(BSURTIDOR[[#This Row],[FECHA]])</f>
        <v>10</v>
      </c>
      <c r="C476">
        <f>MONTH(BSURTIDOR[[#This Row],[FECHA]])</f>
        <v>3</v>
      </c>
      <c r="D476">
        <f>YEAR(BSURTIDOR[[#This Row],[FECHA]])</f>
        <v>2026</v>
      </c>
      <c r="E476" s="124">
        <v>46086</v>
      </c>
      <c r="F476" s="382" t="s">
        <v>548</v>
      </c>
      <c r="G476" s="123">
        <v>4</v>
      </c>
      <c r="H476" s="123" t="s">
        <v>99</v>
      </c>
      <c r="I476" s="101" t="str">
        <f>VLOOKUP(BDsurtidor!$H476,$T$4:$W$18,2,FALSE)</f>
        <v>CISTERNA</v>
      </c>
      <c r="J476" s="101">
        <f>VLOOKUP(BDsurtidor!$H476,$T$4:$W$25,3,FALSE)</f>
        <v>5000</v>
      </c>
      <c r="K476" s="101">
        <f>VLOOKUP(BDsurtidor!$H476,$T$4:$W$25,4,FALSE)</f>
        <v>17</v>
      </c>
      <c r="L476" s="101">
        <f>VLOOKUP(BDsurtidor!$H476,$T$4:$X$25,5,FALSE)</f>
        <v>0.4</v>
      </c>
      <c r="M476" s="101" t="str">
        <f>VLOOKUP(BDsurtidor!$H476,$T$4:$Y$25,6,FALSE)</f>
        <v>EPS</v>
      </c>
      <c r="N476" s="70">
        <v>0</v>
      </c>
      <c r="O476" s="125">
        <v>1.1100000000000001</v>
      </c>
      <c r="P476" s="126">
        <v>0.30555555555555558</v>
      </c>
      <c r="Q476" s="334" t="s">
        <v>574</v>
      </c>
    </row>
    <row r="477" spans="2:17" x14ac:dyDescent="0.25">
      <c r="B477">
        <f>WEEKNUM(BSURTIDOR[[#This Row],[FECHA]])</f>
        <v>10</v>
      </c>
      <c r="C477">
        <f>MONTH(BSURTIDOR[[#This Row],[FECHA]])</f>
        <v>3</v>
      </c>
      <c r="D477">
        <f>YEAR(BSURTIDOR[[#This Row],[FECHA]])</f>
        <v>2026</v>
      </c>
      <c r="E477" s="124">
        <v>46086</v>
      </c>
      <c r="F477" s="382" t="s">
        <v>548</v>
      </c>
      <c r="G477" s="123">
        <v>5</v>
      </c>
      <c r="H477" s="123" t="s">
        <v>98</v>
      </c>
      <c r="I477" s="101" t="str">
        <f>VLOOKUP(BDsurtidor!$H477,$T$4:$W$18,2,FALSE)</f>
        <v>CISTERNA</v>
      </c>
      <c r="J477" s="101">
        <f>VLOOKUP(BDsurtidor!$H477,$T$4:$W$25,3,FALSE)</f>
        <v>9000</v>
      </c>
      <c r="K477" s="101">
        <f>VLOOKUP(BDsurtidor!$H477,$T$4:$W$25,4,FALSE)</f>
        <v>34</v>
      </c>
      <c r="L477" s="101">
        <f>VLOOKUP(BDsurtidor!$H477,$T$4:$X$25,5,FALSE)</f>
        <v>0.45</v>
      </c>
      <c r="M477" s="101" t="str">
        <f>VLOOKUP(BDsurtidor!$H477,$T$4:$Y$25,6,FALSE)</f>
        <v>VIVIENDA</v>
      </c>
      <c r="N477" s="70">
        <v>0</v>
      </c>
      <c r="O477" s="125">
        <v>1.06</v>
      </c>
      <c r="P477" s="126">
        <v>0.31597222222222221</v>
      </c>
      <c r="Q477" s="334" t="s">
        <v>574</v>
      </c>
    </row>
    <row r="478" spans="2:17" x14ac:dyDescent="0.25">
      <c r="B478">
        <f>WEEKNUM(BSURTIDOR[[#This Row],[FECHA]])</f>
        <v>10</v>
      </c>
      <c r="C478">
        <f>MONTH(BSURTIDOR[[#This Row],[FECHA]])</f>
        <v>3</v>
      </c>
      <c r="D478">
        <f>YEAR(BSURTIDOR[[#This Row],[FECHA]])</f>
        <v>2026</v>
      </c>
      <c r="E478" s="124">
        <v>46086</v>
      </c>
      <c r="F478" s="382" t="s">
        <v>548</v>
      </c>
      <c r="G478" s="123">
        <v>6</v>
      </c>
      <c r="H478" s="123" t="s">
        <v>87</v>
      </c>
      <c r="I478" s="101" t="str">
        <f>VLOOKUP(BDsurtidor!$H478,$T$4:$W$18,2,FALSE)</f>
        <v>CISTERNA</v>
      </c>
      <c r="J478" s="101">
        <f>VLOOKUP(BDsurtidor!$H478,$T$4:$W$25,3,FALSE)</f>
        <v>5000</v>
      </c>
      <c r="K478" s="101">
        <f>VLOOKUP(BDsurtidor!$H478,$T$4:$W$25,4,FALSE)</f>
        <v>17</v>
      </c>
      <c r="L478" s="101">
        <f>VLOOKUP(BDsurtidor!$H478,$T$4:$X$25,5,FALSE)</f>
        <v>0.4</v>
      </c>
      <c r="M478" s="101" t="str">
        <f>VLOOKUP(BDsurtidor!$H478,$T$4:$Y$25,6,FALSE)</f>
        <v>EPS</v>
      </c>
      <c r="N478" s="70">
        <v>0</v>
      </c>
      <c r="O478" s="125">
        <v>1.1299999999999999</v>
      </c>
      <c r="P478" s="126">
        <v>0.3263888888888889</v>
      </c>
      <c r="Q478" s="334" t="s">
        <v>574</v>
      </c>
    </row>
    <row r="479" spans="2:17" x14ac:dyDescent="0.25">
      <c r="B479">
        <f>WEEKNUM(BSURTIDOR[[#This Row],[FECHA]])</f>
        <v>10</v>
      </c>
      <c r="C479">
        <f>MONTH(BSURTIDOR[[#This Row],[FECHA]])</f>
        <v>3</v>
      </c>
      <c r="D479">
        <f>YEAR(BSURTIDOR[[#This Row],[FECHA]])</f>
        <v>2026</v>
      </c>
      <c r="E479" s="124">
        <v>46086</v>
      </c>
      <c r="F479" s="382" t="s">
        <v>548</v>
      </c>
      <c r="G479" s="123">
        <v>7</v>
      </c>
      <c r="H479" s="123" t="s">
        <v>95</v>
      </c>
      <c r="I479" s="101" t="str">
        <f>VLOOKUP(BDsurtidor!$H479,$T$4:$W$18,2,FALSE)</f>
        <v>CISTERNA</v>
      </c>
      <c r="J479" s="101">
        <f>VLOOKUP(BDsurtidor!$H479,$T$4:$W$25,3,FALSE)</f>
        <v>2500</v>
      </c>
      <c r="K479" s="101">
        <f>VLOOKUP(BDsurtidor!$H479,$T$4:$W$25,4,FALSE)</f>
        <v>9</v>
      </c>
      <c r="L479" s="101">
        <f>VLOOKUP(BDsurtidor!$H479,$T$4:$X$25,5,FALSE)</f>
        <v>0.22</v>
      </c>
      <c r="M479" s="101" t="str">
        <f>VLOOKUP(BDsurtidor!$H479,$T$4:$Y$25,6,FALSE)</f>
        <v>EPS</v>
      </c>
      <c r="N479" s="327">
        <v>0</v>
      </c>
      <c r="O479" s="125">
        <v>0</v>
      </c>
      <c r="P479" s="126">
        <v>0.41041666666666665</v>
      </c>
      <c r="Q479" s="334" t="s">
        <v>574</v>
      </c>
    </row>
    <row r="480" spans="2:17" x14ac:dyDescent="0.25">
      <c r="B480">
        <f>WEEKNUM(BSURTIDOR[[#This Row],[FECHA]])</f>
        <v>10</v>
      </c>
      <c r="C480">
        <f>MONTH(BSURTIDOR[[#This Row],[FECHA]])</f>
        <v>3</v>
      </c>
      <c r="D480">
        <f>YEAR(BSURTIDOR[[#This Row],[FECHA]])</f>
        <v>2026</v>
      </c>
      <c r="E480" s="124">
        <v>46086</v>
      </c>
      <c r="F480" s="382" t="s">
        <v>548</v>
      </c>
      <c r="G480" s="123">
        <v>8</v>
      </c>
      <c r="H480" s="123" t="s">
        <v>99</v>
      </c>
      <c r="I480" s="101" t="str">
        <f>VLOOKUP(BDsurtidor!$H480,$T$4:$W$18,2,FALSE)</f>
        <v>CISTERNA</v>
      </c>
      <c r="J480" s="101">
        <f>VLOOKUP(BDsurtidor!$H480,$T$4:$W$25,3,FALSE)</f>
        <v>5000</v>
      </c>
      <c r="K480" s="101">
        <f>VLOOKUP(BDsurtidor!$H480,$T$4:$W$25,4,FALSE)</f>
        <v>17</v>
      </c>
      <c r="L480" s="101">
        <f>VLOOKUP(BDsurtidor!$H480,$T$4:$X$25,5,FALSE)</f>
        <v>0.4</v>
      </c>
      <c r="M480" s="101" t="str">
        <f>VLOOKUP(BDsurtidor!$H480,$T$4:$Y$25,6,FALSE)</f>
        <v>EPS</v>
      </c>
      <c r="N480" s="70">
        <v>0</v>
      </c>
      <c r="O480" s="125">
        <v>1.45</v>
      </c>
      <c r="P480" s="126">
        <v>0.45624999999999999</v>
      </c>
      <c r="Q480" s="334" t="s">
        <v>574</v>
      </c>
    </row>
    <row r="481" spans="2:17" x14ac:dyDescent="0.25">
      <c r="B481">
        <f>WEEKNUM(BSURTIDOR[[#This Row],[FECHA]])</f>
        <v>10</v>
      </c>
      <c r="C481">
        <f>MONTH(BSURTIDOR[[#This Row],[FECHA]])</f>
        <v>3</v>
      </c>
      <c r="D481">
        <f>YEAR(BSURTIDOR[[#This Row],[FECHA]])</f>
        <v>2026</v>
      </c>
      <c r="E481" s="124">
        <v>46086</v>
      </c>
      <c r="F481" s="382" t="s">
        <v>548</v>
      </c>
      <c r="G481" s="123">
        <v>9</v>
      </c>
      <c r="H481" s="123" t="s">
        <v>87</v>
      </c>
      <c r="I481" s="101" t="str">
        <f>VLOOKUP(BDsurtidor!$H481,$T$4:$W$18,2,FALSE)</f>
        <v>CISTERNA</v>
      </c>
      <c r="J481" s="101">
        <f>VLOOKUP(BDsurtidor!$H481,$T$4:$W$25,3,FALSE)</f>
        <v>5000</v>
      </c>
      <c r="K481" s="101">
        <f>VLOOKUP(BDsurtidor!$H481,$T$4:$W$25,4,FALSE)</f>
        <v>17</v>
      </c>
      <c r="L481" s="101">
        <f>VLOOKUP(BDsurtidor!$H481,$T$4:$X$25,5,FALSE)</f>
        <v>0.4</v>
      </c>
      <c r="M481" s="101" t="str">
        <f>VLOOKUP(BDsurtidor!$H481,$T$4:$Y$25,6,FALSE)</f>
        <v>EPS</v>
      </c>
      <c r="N481" s="70">
        <v>0</v>
      </c>
      <c r="O481" s="125">
        <v>1.32</v>
      </c>
      <c r="P481" s="126">
        <v>0.46805555555555556</v>
      </c>
      <c r="Q481" s="334" t="s">
        <v>574</v>
      </c>
    </row>
    <row r="482" spans="2:17" x14ac:dyDescent="0.25">
      <c r="B482">
        <f>WEEKNUM(BSURTIDOR[[#This Row],[FECHA]])</f>
        <v>10</v>
      </c>
      <c r="C482">
        <f>MONTH(BSURTIDOR[[#This Row],[FECHA]])</f>
        <v>3</v>
      </c>
      <c r="D482">
        <f>YEAR(BSURTIDOR[[#This Row],[FECHA]])</f>
        <v>2026</v>
      </c>
      <c r="E482" s="124">
        <v>46086</v>
      </c>
      <c r="F482" s="382" t="s">
        <v>548</v>
      </c>
      <c r="G482" s="123">
        <v>10</v>
      </c>
      <c r="H482" s="123" t="s">
        <v>87</v>
      </c>
      <c r="I482" s="101" t="str">
        <f>VLOOKUP(BDsurtidor!$H482,$T$4:$W$18,2,FALSE)</f>
        <v>CISTERNA</v>
      </c>
      <c r="J482" s="101">
        <f>VLOOKUP(BDsurtidor!$H482,$T$4:$W$25,3,FALSE)</f>
        <v>5000</v>
      </c>
      <c r="K482" s="101">
        <f>VLOOKUP(BDsurtidor!$H482,$T$4:$W$25,4,FALSE)</f>
        <v>17</v>
      </c>
      <c r="L482" s="101">
        <f>VLOOKUP(BDsurtidor!$H482,$T$4:$X$25,5,FALSE)</f>
        <v>0.4</v>
      </c>
      <c r="M482" s="101" t="str">
        <f>VLOOKUP(BDsurtidor!$H482,$T$4:$Y$25,6,FALSE)</f>
        <v>EPS</v>
      </c>
      <c r="N482" s="70">
        <v>0</v>
      </c>
      <c r="O482" s="125">
        <v>1.1100000000000001</v>
      </c>
      <c r="P482" s="126">
        <v>0.56597222222222221</v>
      </c>
      <c r="Q482" s="334" t="s">
        <v>574</v>
      </c>
    </row>
    <row r="483" spans="2:17" x14ac:dyDescent="0.25">
      <c r="B483">
        <f>WEEKNUM(BSURTIDOR[[#This Row],[FECHA]])</f>
        <v>10</v>
      </c>
      <c r="C483">
        <f>MONTH(BSURTIDOR[[#This Row],[FECHA]])</f>
        <v>3</v>
      </c>
      <c r="D483">
        <f>YEAR(BSURTIDOR[[#This Row],[FECHA]])</f>
        <v>2026</v>
      </c>
      <c r="E483" s="124">
        <v>46086</v>
      </c>
      <c r="F483" s="382" t="s">
        <v>548</v>
      </c>
      <c r="G483" s="123">
        <v>11</v>
      </c>
      <c r="H483" s="123" t="s">
        <v>100</v>
      </c>
      <c r="I483" s="101" t="str">
        <f>VLOOKUP(BDsurtidor!$H483,$T$4:$W$18,2,FALSE)</f>
        <v>HIDROJET</v>
      </c>
      <c r="J483" s="101">
        <f>VLOOKUP(BDsurtidor!$H483,$T$4:$W$25,3,FALSE)</f>
        <v>1000</v>
      </c>
      <c r="K483" s="101">
        <f>VLOOKUP(BDsurtidor!$H483,$T$4:$W$25,4,FALSE)</f>
        <v>1</v>
      </c>
      <c r="L483" s="101">
        <f>VLOOKUP(BDsurtidor!$H483,$T$4:$X$25,5,FALSE)</f>
        <v>0</v>
      </c>
      <c r="M483" s="101" t="str">
        <f>VLOOKUP(BDsurtidor!$H483,$T$4:$Y$25,6,FALSE)</f>
        <v>EPS</v>
      </c>
      <c r="N483" s="70">
        <v>0</v>
      </c>
      <c r="O483" s="125">
        <v>0</v>
      </c>
      <c r="P483" s="126">
        <v>0.58333333333333337</v>
      </c>
      <c r="Q483" s="334" t="s">
        <v>574</v>
      </c>
    </row>
    <row r="484" spans="2:17" x14ac:dyDescent="0.25">
      <c r="B484">
        <f>WEEKNUM(BSURTIDOR[[#This Row],[FECHA]])</f>
        <v>10</v>
      </c>
      <c r="C484">
        <f>MONTH(BSURTIDOR[[#This Row],[FECHA]])</f>
        <v>3</v>
      </c>
      <c r="D484">
        <f>YEAR(BSURTIDOR[[#This Row],[FECHA]])</f>
        <v>2026</v>
      </c>
      <c r="E484" s="124">
        <v>46087</v>
      </c>
      <c r="F484" s="382" t="s">
        <v>548</v>
      </c>
      <c r="G484" s="123">
        <v>1</v>
      </c>
      <c r="H484" s="123" t="s">
        <v>100</v>
      </c>
      <c r="I484" s="101" t="str">
        <f>VLOOKUP(BDsurtidor!$H484,$T$4:$W$18,2,FALSE)</f>
        <v>HIDROJET</v>
      </c>
      <c r="J484" s="101">
        <f>VLOOKUP(BDsurtidor!$H484,$T$4:$W$25,3,FALSE)</f>
        <v>1000</v>
      </c>
      <c r="K484" s="101">
        <f>VLOOKUP(BDsurtidor!$H484,$T$4:$W$25,4,FALSE)</f>
        <v>1</v>
      </c>
      <c r="L484" s="101">
        <f>VLOOKUP(BDsurtidor!$H484,$T$4:$X$25,5,FALSE)</f>
        <v>0</v>
      </c>
      <c r="M484" s="101" t="str">
        <f>VLOOKUP(BDsurtidor!$H484,$T$4:$Y$25,6,FALSE)</f>
        <v>EPS</v>
      </c>
      <c r="N484" s="70">
        <v>0</v>
      </c>
      <c r="O484" s="125">
        <v>0</v>
      </c>
      <c r="P484" s="126">
        <v>0.26527777777777778</v>
      </c>
      <c r="Q484" s="334" t="s">
        <v>574</v>
      </c>
    </row>
    <row r="485" spans="2:17" x14ac:dyDescent="0.25">
      <c r="B485">
        <f>WEEKNUM(BSURTIDOR[[#This Row],[FECHA]])</f>
        <v>10</v>
      </c>
      <c r="C485">
        <f>MONTH(BSURTIDOR[[#This Row],[FECHA]])</f>
        <v>3</v>
      </c>
      <c r="D485">
        <f>YEAR(BSURTIDOR[[#This Row],[FECHA]])</f>
        <v>2026</v>
      </c>
      <c r="E485" s="124">
        <v>46087</v>
      </c>
      <c r="F485" s="382" t="s">
        <v>548</v>
      </c>
      <c r="G485" s="123">
        <v>2</v>
      </c>
      <c r="H485" s="123" t="s">
        <v>95</v>
      </c>
      <c r="I485" s="101" t="str">
        <f>VLOOKUP(BDsurtidor!$H485,$T$4:$W$18,2,FALSE)</f>
        <v>CISTERNA</v>
      </c>
      <c r="J485" s="101">
        <f>VLOOKUP(BDsurtidor!$H485,$T$4:$W$25,3,FALSE)</f>
        <v>2500</v>
      </c>
      <c r="K485" s="101">
        <f>VLOOKUP(BDsurtidor!$H485,$T$4:$W$25,4,FALSE)</f>
        <v>9</v>
      </c>
      <c r="L485" s="101">
        <f>VLOOKUP(BDsurtidor!$H485,$T$4:$X$25,5,FALSE)</f>
        <v>0.22</v>
      </c>
      <c r="M485" s="101" t="str">
        <f>VLOOKUP(BDsurtidor!$H485,$T$4:$Y$25,6,FALSE)</f>
        <v>EPS</v>
      </c>
      <c r="N485" s="70">
        <v>0</v>
      </c>
      <c r="O485" s="125">
        <v>0</v>
      </c>
      <c r="P485" s="126">
        <v>0.27638888888888891</v>
      </c>
      <c r="Q485" s="334" t="s">
        <v>574</v>
      </c>
    </row>
    <row r="486" spans="2:17" x14ac:dyDescent="0.25">
      <c r="B486">
        <f>WEEKNUM(BSURTIDOR[[#This Row],[FECHA]])</f>
        <v>10</v>
      </c>
      <c r="C486">
        <f>MONTH(BSURTIDOR[[#This Row],[FECHA]])</f>
        <v>3</v>
      </c>
      <c r="D486">
        <f>YEAR(BSURTIDOR[[#This Row],[FECHA]])</f>
        <v>2026</v>
      </c>
      <c r="E486" s="124">
        <v>46087</v>
      </c>
      <c r="F486" s="382" t="s">
        <v>548</v>
      </c>
      <c r="G486" s="123">
        <v>3</v>
      </c>
      <c r="H486" s="123" t="s">
        <v>558</v>
      </c>
      <c r="I486" s="101" t="str">
        <f>VLOOKUP(BDsurtidor!$H486,$T$4:$W$18,2,FALSE)</f>
        <v>HIDROJET</v>
      </c>
      <c r="J486" s="101">
        <f>VLOOKUP(BDsurtidor!$H486,$T$4:$W$25,3,FALSE)</f>
        <v>1000</v>
      </c>
      <c r="K486" s="101">
        <f>VLOOKUP(BDsurtidor!$H486,$T$4:$W$25,4,FALSE)</f>
        <v>1</v>
      </c>
      <c r="L486" s="101">
        <f>VLOOKUP(BDsurtidor!$H486,$T$4:$X$25,5,FALSE)</f>
        <v>0</v>
      </c>
      <c r="M486" s="101" t="str">
        <f>VLOOKUP(BDsurtidor!$H486,$T$4:$Y$25,6,FALSE)</f>
        <v>EPS</v>
      </c>
      <c r="N486" s="70">
        <v>0</v>
      </c>
      <c r="O486" s="125">
        <v>0</v>
      </c>
      <c r="P486" s="126">
        <v>0.28888888888888886</v>
      </c>
      <c r="Q486" s="334" t="s">
        <v>574</v>
      </c>
    </row>
    <row r="487" spans="2:17" x14ac:dyDescent="0.25">
      <c r="B487">
        <f>WEEKNUM(BSURTIDOR[[#This Row],[FECHA]])</f>
        <v>10</v>
      </c>
      <c r="C487">
        <f>MONTH(BSURTIDOR[[#This Row],[FECHA]])</f>
        <v>3</v>
      </c>
      <c r="D487">
        <f>YEAR(BSURTIDOR[[#This Row],[FECHA]])</f>
        <v>2026</v>
      </c>
      <c r="E487" s="124">
        <v>46087</v>
      </c>
      <c r="F487" s="382" t="s">
        <v>548</v>
      </c>
      <c r="G487" s="123">
        <v>4</v>
      </c>
      <c r="H487" s="123" t="s">
        <v>99</v>
      </c>
      <c r="I487" s="101" t="str">
        <f>VLOOKUP(BDsurtidor!$H487,$T$4:$W$18,2,FALSE)</f>
        <v>CISTERNA</v>
      </c>
      <c r="J487" s="101">
        <f>VLOOKUP(BDsurtidor!$H487,$T$4:$W$25,3,FALSE)</f>
        <v>5000</v>
      </c>
      <c r="K487" s="101">
        <f>VLOOKUP(BDsurtidor!$H487,$T$4:$W$25,4,FALSE)</f>
        <v>17</v>
      </c>
      <c r="L487" s="101">
        <f>VLOOKUP(BDsurtidor!$H487,$T$4:$X$25,5,FALSE)</f>
        <v>0.4</v>
      </c>
      <c r="M487" s="101" t="str">
        <f>VLOOKUP(BDsurtidor!$H487,$T$4:$Y$25,6,FALSE)</f>
        <v>EPS</v>
      </c>
      <c r="N487" s="70">
        <v>0</v>
      </c>
      <c r="O487" s="125">
        <v>1.4</v>
      </c>
      <c r="P487" s="126">
        <v>0.30208333333333331</v>
      </c>
      <c r="Q487" s="334" t="s">
        <v>574</v>
      </c>
    </row>
    <row r="488" spans="2:17" x14ac:dyDescent="0.25">
      <c r="B488">
        <f>WEEKNUM(BSURTIDOR[[#This Row],[FECHA]])</f>
        <v>10</v>
      </c>
      <c r="C488">
        <f>MONTH(BSURTIDOR[[#This Row],[FECHA]])</f>
        <v>3</v>
      </c>
      <c r="D488">
        <f>YEAR(BSURTIDOR[[#This Row],[FECHA]])</f>
        <v>2026</v>
      </c>
      <c r="E488" s="124">
        <v>46087</v>
      </c>
      <c r="F488" s="382" t="s">
        <v>548</v>
      </c>
      <c r="G488" s="123">
        <v>5</v>
      </c>
      <c r="H488" s="123" t="s">
        <v>87</v>
      </c>
      <c r="I488" s="101" t="str">
        <f>VLOOKUP(BDsurtidor!$H488,$T$4:$W$18,2,FALSE)</f>
        <v>CISTERNA</v>
      </c>
      <c r="J488" s="101">
        <f>VLOOKUP(BDsurtidor!$H488,$T$4:$W$25,3,FALSE)</f>
        <v>5000</v>
      </c>
      <c r="K488" s="101">
        <f>VLOOKUP(BDsurtidor!$H488,$T$4:$W$25,4,FALSE)</f>
        <v>17</v>
      </c>
      <c r="L488" s="101">
        <f>VLOOKUP(BDsurtidor!$H488,$T$4:$X$25,5,FALSE)</f>
        <v>0.4</v>
      </c>
      <c r="M488" s="101" t="str">
        <f>VLOOKUP(BDsurtidor!$H488,$T$4:$Y$25,6,FALSE)</f>
        <v>EPS</v>
      </c>
      <c r="N488" s="70">
        <v>0</v>
      </c>
      <c r="O488" s="125">
        <v>1.36</v>
      </c>
      <c r="P488" s="126">
        <v>0.31111111111111112</v>
      </c>
      <c r="Q488" s="334" t="s">
        <v>574</v>
      </c>
    </row>
    <row r="489" spans="2:17" x14ac:dyDescent="0.25">
      <c r="B489">
        <f>WEEKNUM(BSURTIDOR[[#This Row],[FECHA]])</f>
        <v>10</v>
      </c>
      <c r="C489">
        <f>MONTH(BSURTIDOR[[#This Row],[FECHA]])</f>
        <v>3</v>
      </c>
      <c r="D489">
        <f>YEAR(BSURTIDOR[[#This Row],[FECHA]])</f>
        <v>2026</v>
      </c>
      <c r="E489" s="124">
        <v>46087</v>
      </c>
      <c r="F489" s="382" t="s">
        <v>548</v>
      </c>
      <c r="G489" s="123">
        <v>6</v>
      </c>
      <c r="H489" s="123" t="s">
        <v>98</v>
      </c>
      <c r="I489" s="101" t="str">
        <f>VLOOKUP(BDsurtidor!$H489,$T$4:$W$18,2,FALSE)</f>
        <v>CISTERNA</v>
      </c>
      <c r="J489" s="101">
        <f>VLOOKUP(BDsurtidor!$H489,$T$4:$W$25,3,FALSE)</f>
        <v>9000</v>
      </c>
      <c r="K489" s="101">
        <f>VLOOKUP(BDsurtidor!$H489,$T$4:$W$25,4,FALSE)</f>
        <v>34</v>
      </c>
      <c r="L489" s="101">
        <f>VLOOKUP(BDsurtidor!$H489,$T$4:$X$25,5,FALSE)</f>
        <v>0.45</v>
      </c>
      <c r="M489" s="101" t="str">
        <f>VLOOKUP(BDsurtidor!$H489,$T$4:$Y$25,6,FALSE)</f>
        <v>VIVIENDA</v>
      </c>
      <c r="N489" s="70">
        <v>0</v>
      </c>
      <c r="O489" s="125">
        <v>1.37</v>
      </c>
      <c r="P489" s="126">
        <v>0.32291666666666669</v>
      </c>
      <c r="Q489" s="334" t="s">
        <v>574</v>
      </c>
    </row>
    <row r="490" spans="2:17" x14ac:dyDescent="0.25">
      <c r="B490">
        <f>WEEKNUM(BSURTIDOR[[#This Row],[FECHA]])</f>
        <v>10</v>
      </c>
      <c r="C490">
        <f>MONTH(BSURTIDOR[[#This Row],[FECHA]])</f>
        <v>3</v>
      </c>
      <c r="D490">
        <f>YEAR(BSURTIDOR[[#This Row],[FECHA]])</f>
        <v>2026</v>
      </c>
      <c r="E490" s="124">
        <v>46087</v>
      </c>
      <c r="F490" s="382" t="s">
        <v>548</v>
      </c>
      <c r="G490" s="123">
        <v>7</v>
      </c>
      <c r="H490" s="123" t="s">
        <v>95</v>
      </c>
      <c r="I490" s="101" t="str">
        <f>VLOOKUP(BDsurtidor!$H490,$T$4:$W$18,2,FALSE)</f>
        <v>CISTERNA</v>
      </c>
      <c r="J490" s="101">
        <f>VLOOKUP(BDsurtidor!$H490,$T$4:$W$25,3,FALSE)</f>
        <v>2500</v>
      </c>
      <c r="K490" s="101">
        <f>VLOOKUP(BDsurtidor!$H490,$T$4:$W$25,4,FALSE)</f>
        <v>9</v>
      </c>
      <c r="L490" s="101">
        <f>VLOOKUP(BDsurtidor!$H490,$T$4:$X$25,5,FALSE)</f>
        <v>0.22</v>
      </c>
      <c r="M490" s="101" t="str">
        <f>VLOOKUP(BDsurtidor!$H490,$T$4:$Y$25,6,FALSE)</f>
        <v>EPS</v>
      </c>
      <c r="N490" s="70">
        <v>0</v>
      </c>
      <c r="O490" s="125">
        <v>0</v>
      </c>
      <c r="P490" s="126">
        <v>0.41666666666666669</v>
      </c>
      <c r="Q490" s="334" t="s">
        <v>574</v>
      </c>
    </row>
    <row r="491" spans="2:17" x14ac:dyDescent="0.25">
      <c r="B491">
        <f>WEEKNUM(BSURTIDOR[[#This Row],[FECHA]])</f>
        <v>10</v>
      </c>
      <c r="C491">
        <f>MONTH(BSURTIDOR[[#This Row],[FECHA]])</f>
        <v>3</v>
      </c>
      <c r="D491">
        <f>YEAR(BSURTIDOR[[#This Row],[FECHA]])</f>
        <v>2026</v>
      </c>
      <c r="E491" s="124">
        <v>46087</v>
      </c>
      <c r="F491" s="382" t="s">
        <v>548</v>
      </c>
      <c r="G491" s="123">
        <v>8</v>
      </c>
      <c r="H491" s="123" t="s">
        <v>87</v>
      </c>
      <c r="I491" s="101" t="str">
        <f>VLOOKUP(BDsurtidor!$H491,$T$4:$W$18,2,FALSE)</f>
        <v>CISTERNA</v>
      </c>
      <c r="J491" s="101">
        <f>VLOOKUP(BDsurtidor!$H491,$T$4:$W$25,3,FALSE)</f>
        <v>5000</v>
      </c>
      <c r="K491" s="101">
        <f>VLOOKUP(BDsurtidor!$H491,$T$4:$W$25,4,FALSE)</f>
        <v>17</v>
      </c>
      <c r="L491" s="101">
        <f>VLOOKUP(BDsurtidor!$H491,$T$4:$X$25,5,FALSE)</f>
        <v>0.4</v>
      </c>
      <c r="M491" s="101" t="str">
        <f>VLOOKUP(BDsurtidor!$H491,$T$4:$Y$25,6,FALSE)</f>
        <v>EPS</v>
      </c>
      <c r="N491" s="70">
        <v>0</v>
      </c>
      <c r="O491" s="125">
        <v>1.62</v>
      </c>
      <c r="P491" s="126">
        <v>0.44027777777777777</v>
      </c>
      <c r="Q491" s="334" t="s">
        <v>574</v>
      </c>
    </row>
    <row r="492" spans="2:17" x14ac:dyDescent="0.25">
      <c r="B492">
        <f>WEEKNUM(BSURTIDOR[[#This Row],[FECHA]])</f>
        <v>10</v>
      </c>
      <c r="C492">
        <f>MONTH(BSURTIDOR[[#This Row],[FECHA]])</f>
        <v>3</v>
      </c>
      <c r="D492">
        <f>YEAR(BSURTIDOR[[#This Row],[FECHA]])</f>
        <v>2026</v>
      </c>
      <c r="E492" s="124">
        <v>46087</v>
      </c>
      <c r="F492" s="382" t="s">
        <v>548</v>
      </c>
      <c r="G492" s="123">
        <v>9</v>
      </c>
      <c r="H492" s="123" t="s">
        <v>98</v>
      </c>
      <c r="I492" s="101" t="str">
        <f>VLOOKUP(BDsurtidor!$H492,$T$4:$W$18,2,FALSE)</f>
        <v>CISTERNA</v>
      </c>
      <c r="J492" s="101">
        <f>VLOOKUP(BDsurtidor!$H492,$T$4:$W$25,3,FALSE)</f>
        <v>9000</v>
      </c>
      <c r="K492" s="101">
        <f>VLOOKUP(BDsurtidor!$H492,$T$4:$W$25,4,FALSE)</f>
        <v>34</v>
      </c>
      <c r="L492" s="101">
        <f>VLOOKUP(BDsurtidor!$H492,$T$4:$X$25,5,FALSE)</f>
        <v>0.45</v>
      </c>
      <c r="M492" s="101" t="str">
        <f>VLOOKUP(BDsurtidor!$H492,$T$4:$Y$25,6,FALSE)</f>
        <v>VIVIENDA</v>
      </c>
      <c r="N492" s="70">
        <v>0</v>
      </c>
      <c r="O492" s="125">
        <v>1.51</v>
      </c>
      <c r="P492" s="126">
        <v>0.4597222222222222</v>
      </c>
      <c r="Q492" s="334" t="s">
        <v>574</v>
      </c>
    </row>
    <row r="493" spans="2:17" x14ac:dyDescent="0.25">
      <c r="B493">
        <f>WEEKNUM(BSURTIDOR[[#This Row],[FECHA]])</f>
        <v>10</v>
      </c>
      <c r="C493">
        <f>MONTH(BSURTIDOR[[#This Row],[FECHA]])</f>
        <v>3</v>
      </c>
      <c r="D493">
        <f>YEAR(BSURTIDOR[[#This Row],[FECHA]])</f>
        <v>2026</v>
      </c>
      <c r="E493" s="124">
        <v>46087</v>
      </c>
      <c r="F493" s="382" t="s">
        <v>548</v>
      </c>
      <c r="G493" s="123">
        <v>10</v>
      </c>
      <c r="H493" s="123" t="s">
        <v>99</v>
      </c>
      <c r="I493" s="101" t="str">
        <f>VLOOKUP(BDsurtidor!$H493,$T$4:$W$18,2,FALSE)</f>
        <v>CISTERNA</v>
      </c>
      <c r="J493" s="101">
        <f>VLOOKUP(BDsurtidor!$H493,$T$4:$W$25,3,FALSE)</f>
        <v>5000</v>
      </c>
      <c r="K493" s="101">
        <f>VLOOKUP(BDsurtidor!$H493,$T$4:$W$25,4,FALSE)</f>
        <v>17</v>
      </c>
      <c r="L493" s="101">
        <f>VLOOKUP(BDsurtidor!$H493,$T$4:$X$25,5,FALSE)</f>
        <v>0.4</v>
      </c>
      <c r="M493" s="101" t="str">
        <f>VLOOKUP(BDsurtidor!$H493,$T$4:$Y$25,6,FALSE)</f>
        <v>EPS</v>
      </c>
      <c r="N493" s="70">
        <v>0</v>
      </c>
      <c r="O493" s="125">
        <v>1.41</v>
      </c>
      <c r="P493" s="126">
        <v>0.52013888888888893</v>
      </c>
      <c r="Q493" s="334" t="s">
        <v>574</v>
      </c>
    </row>
    <row r="494" spans="2:17" x14ac:dyDescent="0.25">
      <c r="B494">
        <f>WEEKNUM(BSURTIDOR[[#This Row],[FECHA]])</f>
        <v>10</v>
      </c>
      <c r="C494">
        <f>MONTH(BSURTIDOR[[#This Row],[FECHA]])</f>
        <v>3</v>
      </c>
      <c r="D494">
        <f>YEAR(BSURTIDOR[[#This Row],[FECHA]])</f>
        <v>2026</v>
      </c>
      <c r="E494" s="124">
        <v>46088</v>
      </c>
      <c r="F494" s="382" t="s">
        <v>548</v>
      </c>
      <c r="G494" s="123">
        <v>1</v>
      </c>
      <c r="H494" s="123" t="s">
        <v>95</v>
      </c>
      <c r="I494" s="101" t="str">
        <f>VLOOKUP(BDsurtidor!$H494,$T$4:$W$18,2,FALSE)</f>
        <v>CISTERNA</v>
      </c>
      <c r="J494" s="101">
        <f>VLOOKUP(BDsurtidor!$H494,$T$4:$W$25,3,FALSE)</f>
        <v>2500</v>
      </c>
      <c r="K494" s="101">
        <f>VLOOKUP(BDsurtidor!$H494,$T$4:$W$25,4,FALSE)</f>
        <v>9</v>
      </c>
      <c r="L494" s="101">
        <f>VLOOKUP(BDsurtidor!$H494,$T$4:$X$25,5,FALSE)</f>
        <v>0.22</v>
      </c>
      <c r="M494" s="101" t="str">
        <f>VLOOKUP(BDsurtidor!$H494,$T$4:$Y$25,6,FALSE)</f>
        <v>EPS</v>
      </c>
      <c r="N494" s="70">
        <v>0</v>
      </c>
      <c r="O494" s="125">
        <v>0</v>
      </c>
      <c r="P494" s="126">
        <v>0.25694444444444442</v>
      </c>
      <c r="Q494" s="334" t="s">
        <v>574</v>
      </c>
    </row>
    <row r="495" spans="2:17" x14ac:dyDescent="0.25">
      <c r="B495">
        <f>WEEKNUM(BSURTIDOR[[#This Row],[FECHA]])</f>
        <v>10</v>
      </c>
      <c r="C495">
        <f>MONTH(BSURTIDOR[[#This Row],[FECHA]])</f>
        <v>3</v>
      </c>
      <c r="D495">
        <f>YEAR(BSURTIDOR[[#This Row],[FECHA]])</f>
        <v>2026</v>
      </c>
      <c r="E495" s="124">
        <v>46088</v>
      </c>
      <c r="F495" s="382" t="s">
        <v>548</v>
      </c>
      <c r="G495" s="123">
        <v>2</v>
      </c>
      <c r="H495" s="123" t="s">
        <v>558</v>
      </c>
      <c r="I495" s="101" t="str">
        <f>VLOOKUP(BDsurtidor!$H495,$T$4:$W$18,2,FALSE)</f>
        <v>HIDROJET</v>
      </c>
      <c r="J495" s="101">
        <f>VLOOKUP(BDsurtidor!$H495,$T$4:$W$25,3,FALSE)</f>
        <v>1000</v>
      </c>
      <c r="K495" s="101">
        <f>VLOOKUP(BDsurtidor!$H495,$T$4:$W$25,4,FALSE)</f>
        <v>1</v>
      </c>
      <c r="L495" s="101">
        <f>VLOOKUP(BDsurtidor!$H495,$T$4:$X$25,5,FALSE)</f>
        <v>0</v>
      </c>
      <c r="M495" s="101" t="str">
        <f>VLOOKUP(BDsurtidor!$H495,$T$4:$Y$25,6,FALSE)</f>
        <v>EPS</v>
      </c>
      <c r="N495" s="70">
        <v>0</v>
      </c>
      <c r="O495" s="125">
        <v>0</v>
      </c>
      <c r="P495" s="126">
        <v>0.2638888888888889</v>
      </c>
      <c r="Q495" s="334" t="s">
        <v>574</v>
      </c>
    </row>
    <row r="496" spans="2:17" x14ac:dyDescent="0.25">
      <c r="B496">
        <f>WEEKNUM(BSURTIDOR[[#This Row],[FECHA]])</f>
        <v>10</v>
      </c>
      <c r="C496">
        <f>MONTH(BSURTIDOR[[#This Row],[FECHA]])</f>
        <v>3</v>
      </c>
      <c r="D496">
        <f>YEAR(BSURTIDOR[[#This Row],[FECHA]])</f>
        <v>2026</v>
      </c>
      <c r="E496" s="124">
        <v>46088</v>
      </c>
      <c r="F496" s="382" t="s">
        <v>548</v>
      </c>
      <c r="G496" s="123">
        <v>3</v>
      </c>
      <c r="H496" s="123" t="s">
        <v>99</v>
      </c>
      <c r="I496" s="101" t="str">
        <f>VLOOKUP(BDsurtidor!$H496,$T$4:$W$18,2,FALSE)</f>
        <v>CISTERNA</v>
      </c>
      <c r="J496" s="101">
        <f>VLOOKUP(BDsurtidor!$H496,$T$4:$W$25,3,FALSE)</f>
        <v>5000</v>
      </c>
      <c r="K496" s="101">
        <f>VLOOKUP(BDsurtidor!$H496,$T$4:$W$25,4,FALSE)</f>
        <v>17</v>
      </c>
      <c r="L496" s="101">
        <f>VLOOKUP(BDsurtidor!$H496,$T$4:$X$25,5,FALSE)</f>
        <v>0.4</v>
      </c>
      <c r="M496" s="101" t="str">
        <f>VLOOKUP(BDsurtidor!$H496,$T$4:$Y$25,6,FALSE)</f>
        <v>EPS</v>
      </c>
      <c r="N496" s="70">
        <v>0</v>
      </c>
      <c r="O496" s="125">
        <v>1.28</v>
      </c>
      <c r="P496" s="126">
        <v>0.31319444444444444</v>
      </c>
      <c r="Q496" s="334" t="s">
        <v>574</v>
      </c>
    </row>
    <row r="497" spans="2:17" x14ac:dyDescent="0.25">
      <c r="B497">
        <f>WEEKNUM(BSURTIDOR[[#This Row],[FECHA]])</f>
        <v>10</v>
      </c>
      <c r="C497">
        <f>MONTH(BSURTIDOR[[#This Row],[FECHA]])</f>
        <v>3</v>
      </c>
      <c r="D497">
        <f>YEAR(BSURTIDOR[[#This Row],[FECHA]])</f>
        <v>2026</v>
      </c>
      <c r="E497" s="124">
        <v>46088</v>
      </c>
      <c r="F497" s="382" t="s">
        <v>548</v>
      </c>
      <c r="G497" s="123">
        <v>4</v>
      </c>
      <c r="H497" s="123" t="s">
        <v>98</v>
      </c>
      <c r="I497" s="101" t="str">
        <f>VLOOKUP(BDsurtidor!$H497,$T$4:$W$18,2,FALSE)</f>
        <v>CISTERNA</v>
      </c>
      <c r="J497" s="101">
        <f>VLOOKUP(BDsurtidor!$H497,$T$4:$W$25,3,FALSE)</f>
        <v>9000</v>
      </c>
      <c r="K497" s="101">
        <f>VLOOKUP(BDsurtidor!$H497,$T$4:$W$25,4,FALSE)</f>
        <v>34</v>
      </c>
      <c r="L497" s="101">
        <f>VLOOKUP(BDsurtidor!$H497,$T$4:$X$25,5,FALSE)</f>
        <v>0.45</v>
      </c>
      <c r="M497" s="101" t="str">
        <f>VLOOKUP(BDsurtidor!$H497,$T$4:$Y$25,6,FALSE)</f>
        <v>VIVIENDA</v>
      </c>
      <c r="N497" s="70">
        <v>0</v>
      </c>
      <c r="O497" s="125">
        <v>1.28</v>
      </c>
      <c r="P497" s="126">
        <v>0.3263888888888889</v>
      </c>
      <c r="Q497" s="334" t="s">
        <v>574</v>
      </c>
    </row>
    <row r="498" spans="2:17" x14ac:dyDescent="0.25">
      <c r="B498">
        <f>WEEKNUM(BSURTIDOR[[#This Row],[FECHA]])</f>
        <v>10</v>
      </c>
      <c r="C498">
        <f>MONTH(BSURTIDOR[[#This Row],[FECHA]])</f>
        <v>3</v>
      </c>
      <c r="D498">
        <f>YEAR(BSURTIDOR[[#This Row],[FECHA]])</f>
        <v>2026</v>
      </c>
      <c r="E498" s="124">
        <v>46088</v>
      </c>
      <c r="F498" s="382" t="s">
        <v>548</v>
      </c>
      <c r="G498" s="123">
        <v>5</v>
      </c>
      <c r="H498" s="123" t="s">
        <v>87</v>
      </c>
      <c r="I498" s="101" t="str">
        <f>VLOOKUP(BDsurtidor!$H498,$T$4:$W$18,2,FALSE)</f>
        <v>CISTERNA</v>
      </c>
      <c r="J498" s="101">
        <f>VLOOKUP(BDsurtidor!$H498,$T$4:$W$25,3,FALSE)</f>
        <v>5000</v>
      </c>
      <c r="K498" s="101">
        <f>VLOOKUP(BDsurtidor!$H498,$T$4:$W$25,4,FALSE)</f>
        <v>17</v>
      </c>
      <c r="L498" s="101">
        <f>VLOOKUP(BDsurtidor!$H498,$T$4:$X$25,5,FALSE)</f>
        <v>0.4</v>
      </c>
      <c r="M498" s="101" t="str">
        <f>VLOOKUP(BDsurtidor!$H498,$T$4:$Y$25,6,FALSE)</f>
        <v>EPS</v>
      </c>
      <c r="N498" s="70">
        <v>0</v>
      </c>
      <c r="O498" s="125">
        <v>1.24</v>
      </c>
      <c r="P498" s="126">
        <v>0.34722222222222221</v>
      </c>
      <c r="Q498" s="334" t="s">
        <v>574</v>
      </c>
    </row>
    <row r="499" spans="2:17" x14ac:dyDescent="0.25">
      <c r="B499">
        <f>WEEKNUM(BSURTIDOR[[#This Row],[FECHA]])</f>
        <v>10</v>
      </c>
      <c r="C499">
        <f>MONTH(BSURTIDOR[[#This Row],[FECHA]])</f>
        <v>3</v>
      </c>
      <c r="D499">
        <f>YEAR(BSURTIDOR[[#This Row],[FECHA]])</f>
        <v>2026</v>
      </c>
      <c r="E499" s="124">
        <v>46088</v>
      </c>
      <c r="F499" s="382" t="s">
        <v>548</v>
      </c>
      <c r="G499" s="123">
        <v>6</v>
      </c>
      <c r="H499" s="123" t="s">
        <v>99</v>
      </c>
      <c r="I499" s="101" t="str">
        <f>VLOOKUP(BDsurtidor!$H499,$T$4:$W$18,2,FALSE)</f>
        <v>CISTERNA</v>
      </c>
      <c r="J499" s="101">
        <f>VLOOKUP(BDsurtidor!$H499,$T$4:$W$25,3,FALSE)</f>
        <v>5000</v>
      </c>
      <c r="K499" s="101">
        <f>VLOOKUP(BDsurtidor!$H499,$T$4:$W$25,4,FALSE)</f>
        <v>17</v>
      </c>
      <c r="L499" s="101">
        <f>VLOOKUP(BDsurtidor!$H499,$T$4:$X$25,5,FALSE)</f>
        <v>0.4</v>
      </c>
      <c r="M499" s="101" t="str">
        <f>VLOOKUP(BDsurtidor!$H499,$T$4:$Y$25,6,FALSE)</f>
        <v>EPS</v>
      </c>
      <c r="N499" s="70">
        <v>0</v>
      </c>
      <c r="O499" s="125">
        <v>1.32</v>
      </c>
      <c r="P499" s="126">
        <v>0.49305555555555558</v>
      </c>
      <c r="Q499" s="334" t="s">
        <v>574</v>
      </c>
    </row>
    <row r="500" spans="2:17" x14ac:dyDescent="0.25">
      <c r="B500">
        <f>WEEKNUM(BSURTIDOR[[#This Row],[FECHA]])</f>
        <v>10</v>
      </c>
      <c r="C500">
        <f>MONTH(BSURTIDOR[[#This Row],[FECHA]])</f>
        <v>3</v>
      </c>
      <c r="D500">
        <f>YEAR(BSURTIDOR[[#This Row],[FECHA]])</f>
        <v>2026</v>
      </c>
      <c r="E500" s="124">
        <v>46088</v>
      </c>
      <c r="F500" s="382" t="s">
        <v>548</v>
      </c>
      <c r="G500" s="123">
        <v>7</v>
      </c>
      <c r="H500" s="123" t="s">
        <v>87</v>
      </c>
      <c r="I500" s="101" t="str">
        <f>VLOOKUP(BDsurtidor!$H500,$T$4:$W$18,2,FALSE)</f>
        <v>CISTERNA</v>
      </c>
      <c r="J500" s="101">
        <f>VLOOKUP(BDsurtidor!$H500,$T$4:$W$25,3,FALSE)</f>
        <v>5000</v>
      </c>
      <c r="K500" s="101">
        <f>VLOOKUP(BDsurtidor!$H500,$T$4:$W$25,4,FALSE)</f>
        <v>17</v>
      </c>
      <c r="L500" s="101">
        <f>VLOOKUP(BDsurtidor!$H500,$T$4:$X$25,5,FALSE)</f>
        <v>0.4</v>
      </c>
      <c r="M500" s="101" t="str">
        <f>VLOOKUP(BDsurtidor!$H500,$T$4:$Y$25,6,FALSE)</f>
        <v>EPS</v>
      </c>
      <c r="N500" s="70">
        <v>0</v>
      </c>
      <c r="O500" s="125">
        <v>1.26</v>
      </c>
      <c r="P500" s="126">
        <v>0.50347222222222221</v>
      </c>
      <c r="Q500" s="334" t="s">
        <v>574</v>
      </c>
    </row>
    <row r="501" spans="2:17" x14ac:dyDescent="0.25">
      <c r="B501">
        <f>WEEKNUM(BSURTIDOR[[#This Row],[FECHA]])</f>
        <v>11</v>
      </c>
      <c r="C501">
        <f>MONTH(BSURTIDOR[[#This Row],[FECHA]])</f>
        <v>3</v>
      </c>
      <c r="D501">
        <f>YEAR(BSURTIDOR[[#This Row],[FECHA]])</f>
        <v>2026</v>
      </c>
      <c r="E501" s="124">
        <v>46090</v>
      </c>
      <c r="F501" s="382" t="s">
        <v>548</v>
      </c>
      <c r="G501" s="123">
        <v>1</v>
      </c>
      <c r="H501" s="123" t="s">
        <v>95</v>
      </c>
      <c r="I501" s="101" t="str">
        <f>VLOOKUP(BDsurtidor!$H501,$T$4:$W$18,2,FALSE)</f>
        <v>CISTERNA</v>
      </c>
      <c r="J501" s="101">
        <f>VLOOKUP(BDsurtidor!$H501,$T$4:$W$25,3,FALSE)</f>
        <v>2500</v>
      </c>
      <c r="K501" s="101">
        <f>VLOOKUP(BDsurtidor!$H501,$T$4:$W$25,4,FALSE)</f>
        <v>9</v>
      </c>
      <c r="L501" s="101">
        <f>VLOOKUP(BDsurtidor!$H501,$T$4:$X$25,5,FALSE)</f>
        <v>0.22</v>
      </c>
      <c r="M501" s="101" t="str">
        <f>VLOOKUP(BDsurtidor!$H501,$T$4:$Y$25,6,FALSE)</f>
        <v>EPS</v>
      </c>
      <c r="N501" s="70">
        <v>0</v>
      </c>
      <c r="O501" s="125">
        <v>0</v>
      </c>
      <c r="P501" s="126">
        <v>0.27430555555555558</v>
      </c>
      <c r="Q501" s="334" t="s">
        <v>574</v>
      </c>
    </row>
    <row r="502" spans="2:17" x14ac:dyDescent="0.25">
      <c r="B502">
        <f>WEEKNUM(BSURTIDOR[[#This Row],[FECHA]])</f>
        <v>11</v>
      </c>
      <c r="C502">
        <f>MONTH(BSURTIDOR[[#This Row],[FECHA]])</f>
        <v>3</v>
      </c>
      <c r="D502">
        <f>YEAR(BSURTIDOR[[#This Row],[FECHA]])</f>
        <v>2026</v>
      </c>
      <c r="E502" s="124">
        <v>46090</v>
      </c>
      <c r="F502" s="382" t="s">
        <v>548</v>
      </c>
      <c r="G502" s="123">
        <v>2</v>
      </c>
      <c r="H502" s="123" t="s">
        <v>558</v>
      </c>
      <c r="I502" s="101" t="str">
        <f>VLOOKUP(BDsurtidor!$H502,$T$4:$W$18,2,FALSE)</f>
        <v>HIDROJET</v>
      </c>
      <c r="J502" s="101">
        <f>VLOOKUP(BDsurtidor!$H502,$T$4:$W$25,3,FALSE)</f>
        <v>1000</v>
      </c>
      <c r="K502" s="101">
        <f>VLOOKUP(BDsurtidor!$H502,$T$4:$W$25,4,FALSE)</f>
        <v>1</v>
      </c>
      <c r="L502" s="101">
        <f>VLOOKUP(BDsurtidor!$H502,$T$4:$X$25,5,FALSE)</f>
        <v>0</v>
      </c>
      <c r="M502" s="101" t="str">
        <f>VLOOKUP(BDsurtidor!$H502,$T$4:$Y$25,6,FALSE)</f>
        <v>EPS</v>
      </c>
      <c r="N502" s="70">
        <v>0</v>
      </c>
      <c r="O502" s="125">
        <v>0</v>
      </c>
      <c r="P502" s="126">
        <v>0.28125</v>
      </c>
      <c r="Q502" s="334" t="s">
        <v>574</v>
      </c>
    </row>
    <row r="503" spans="2:17" x14ac:dyDescent="0.25">
      <c r="B503">
        <f>WEEKNUM(BSURTIDOR[[#This Row],[FECHA]])</f>
        <v>11</v>
      </c>
      <c r="C503">
        <f>MONTH(BSURTIDOR[[#This Row],[FECHA]])</f>
        <v>3</v>
      </c>
      <c r="D503">
        <f>YEAR(BSURTIDOR[[#This Row],[FECHA]])</f>
        <v>2026</v>
      </c>
      <c r="E503" s="124">
        <v>46090</v>
      </c>
      <c r="F503" s="382" t="s">
        <v>548</v>
      </c>
      <c r="G503" s="123">
        <v>3</v>
      </c>
      <c r="H503" s="123" t="s">
        <v>100</v>
      </c>
      <c r="I503" s="101" t="str">
        <f>VLOOKUP(BDsurtidor!$H503,$T$4:$W$18,2,FALSE)</f>
        <v>HIDROJET</v>
      </c>
      <c r="J503" s="101">
        <f>VLOOKUP(BDsurtidor!$H503,$T$4:$W$25,3,FALSE)</f>
        <v>1000</v>
      </c>
      <c r="K503" s="101">
        <f>VLOOKUP(BDsurtidor!$H503,$T$4:$W$25,4,FALSE)</f>
        <v>1</v>
      </c>
      <c r="L503" s="101">
        <f>VLOOKUP(BDsurtidor!$H503,$T$4:$X$25,5,FALSE)</f>
        <v>0</v>
      </c>
      <c r="M503" s="101" t="str">
        <f>VLOOKUP(BDsurtidor!$H503,$T$4:$Y$25,6,FALSE)</f>
        <v>EPS</v>
      </c>
      <c r="N503" s="70">
        <v>0</v>
      </c>
      <c r="O503" s="125">
        <v>0</v>
      </c>
      <c r="P503" s="126">
        <v>0.28680555555555554</v>
      </c>
      <c r="Q503" s="334" t="s">
        <v>574</v>
      </c>
    </row>
    <row r="504" spans="2:17" x14ac:dyDescent="0.25">
      <c r="B504">
        <f>WEEKNUM(BSURTIDOR[[#This Row],[FECHA]])</f>
        <v>11</v>
      </c>
      <c r="C504">
        <f>MONTH(BSURTIDOR[[#This Row],[FECHA]])</f>
        <v>3</v>
      </c>
      <c r="D504">
        <f>YEAR(BSURTIDOR[[#This Row],[FECHA]])</f>
        <v>2026</v>
      </c>
      <c r="E504" s="124">
        <v>46090</v>
      </c>
      <c r="F504" s="382" t="s">
        <v>548</v>
      </c>
      <c r="G504" s="123">
        <v>4</v>
      </c>
      <c r="H504" s="123" t="s">
        <v>99</v>
      </c>
      <c r="I504" s="101" t="str">
        <f>VLOOKUP(BDsurtidor!$H504,$T$4:$W$18,2,FALSE)</f>
        <v>CISTERNA</v>
      </c>
      <c r="J504" s="101">
        <f>VLOOKUP(BDsurtidor!$H504,$T$4:$W$25,3,FALSE)</f>
        <v>5000</v>
      </c>
      <c r="K504" s="101">
        <f>VLOOKUP(BDsurtidor!$H504,$T$4:$W$25,4,FALSE)</f>
        <v>17</v>
      </c>
      <c r="L504" s="101">
        <f>VLOOKUP(BDsurtidor!$H504,$T$4:$X$25,5,FALSE)</f>
        <v>0.4</v>
      </c>
      <c r="M504" s="101" t="str">
        <f>VLOOKUP(BDsurtidor!$H504,$T$4:$Y$25,6,FALSE)</f>
        <v>EPS</v>
      </c>
      <c r="N504" s="70">
        <v>0</v>
      </c>
      <c r="O504" s="125">
        <v>1.44</v>
      </c>
      <c r="P504" s="126">
        <v>0.30416666666666664</v>
      </c>
      <c r="Q504" s="334" t="s">
        <v>574</v>
      </c>
    </row>
    <row r="505" spans="2:17" x14ac:dyDescent="0.25">
      <c r="B505">
        <f>WEEKNUM(BSURTIDOR[[#This Row],[FECHA]])</f>
        <v>11</v>
      </c>
      <c r="C505">
        <f>MONTH(BSURTIDOR[[#This Row],[FECHA]])</f>
        <v>3</v>
      </c>
      <c r="D505">
        <f>YEAR(BSURTIDOR[[#This Row],[FECHA]])</f>
        <v>2026</v>
      </c>
      <c r="E505" s="124">
        <v>46090</v>
      </c>
      <c r="F505" s="382" t="s">
        <v>548</v>
      </c>
      <c r="G505" s="123">
        <v>5</v>
      </c>
      <c r="H505" s="123" t="s">
        <v>98</v>
      </c>
      <c r="I505" s="101" t="str">
        <f>VLOOKUP(BDsurtidor!$H505,$T$4:$W$18,2,FALSE)</f>
        <v>CISTERNA</v>
      </c>
      <c r="J505" s="101">
        <f>VLOOKUP(BDsurtidor!$H505,$T$4:$W$25,3,FALSE)</f>
        <v>9000</v>
      </c>
      <c r="K505" s="101">
        <f>VLOOKUP(BDsurtidor!$H505,$T$4:$W$25,4,FALSE)</f>
        <v>34</v>
      </c>
      <c r="L505" s="101">
        <f>VLOOKUP(BDsurtidor!$H505,$T$4:$X$25,5,FALSE)</f>
        <v>0.45</v>
      </c>
      <c r="M505" s="101" t="str">
        <f>VLOOKUP(BDsurtidor!$H505,$T$4:$Y$25,6,FALSE)</f>
        <v>VIVIENDA</v>
      </c>
      <c r="N505" s="70">
        <v>0</v>
      </c>
      <c r="O505" s="125">
        <v>1.53</v>
      </c>
      <c r="P505" s="126">
        <v>0.31597222222222221</v>
      </c>
      <c r="Q505" s="334" t="s">
        <v>574</v>
      </c>
    </row>
    <row r="506" spans="2:17" x14ac:dyDescent="0.25">
      <c r="B506">
        <f>WEEKNUM(BSURTIDOR[[#This Row],[FECHA]])</f>
        <v>11</v>
      </c>
      <c r="C506">
        <f>MONTH(BSURTIDOR[[#This Row],[FECHA]])</f>
        <v>3</v>
      </c>
      <c r="D506">
        <f>YEAR(BSURTIDOR[[#This Row],[FECHA]])</f>
        <v>2026</v>
      </c>
      <c r="E506" s="124">
        <v>46090</v>
      </c>
      <c r="F506" s="382" t="s">
        <v>548</v>
      </c>
      <c r="G506" s="123">
        <v>6</v>
      </c>
      <c r="H506" s="123" t="s">
        <v>87</v>
      </c>
      <c r="I506" s="101" t="str">
        <f>VLOOKUP(BDsurtidor!$H506,$T$4:$W$18,2,FALSE)</f>
        <v>CISTERNA</v>
      </c>
      <c r="J506" s="101">
        <f>VLOOKUP(BDsurtidor!$H506,$T$4:$W$25,3,FALSE)</f>
        <v>5000</v>
      </c>
      <c r="K506" s="101">
        <f>VLOOKUP(BDsurtidor!$H506,$T$4:$W$25,4,FALSE)</f>
        <v>17</v>
      </c>
      <c r="L506" s="101">
        <f>VLOOKUP(BDsurtidor!$H506,$T$4:$X$25,5,FALSE)</f>
        <v>0.4</v>
      </c>
      <c r="M506" s="101" t="str">
        <f>VLOOKUP(BDsurtidor!$H506,$T$4:$Y$25,6,FALSE)</f>
        <v>EPS</v>
      </c>
      <c r="N506" s="70">
        <v>0</v>
      </c>
      <c r="O506" s="125">
        <v>1.48</v>
      </c>
      <c r="P506" s="126">
        <v>0.32708333333333334</v>
      </c>
      <c r="Q506" s="334" t="s">
        <v>574</v>
      </c>
    </row>
    <row r="507" spans="2:17" x14ac:dyDescent="0.25">
      <c r="B507">
        <f>WEEKNUM(BSURTIDOR[[#This Row],[FECHA]])</f>
        <v>11</v>
      </c>
      <c r="C507">
        <f>MONTH(BSURTIDOR[[#This Row],[FECHA]])</f>
        <v>3</v>
      </c>
      <c r="D507">
        <f>YEAR(BSURTIDOR[[#This Row],[FECHA]])</f>
        <v>2026</v>
      </c>
      <c r="E507" s="124">
        <v>46090</v>
      </c>
      <c r="F507" s="382" t="s">
        <v>548</v>
      </c>
      <c r="G507" s="123">
        <v>7</v>
      </c>
      <c r="H507" s="123" t="s">
        <v>95</v>
      </c>
      <c r="I507" s="101" t="str">
        <f>VLOOKUP(BDsurtidor!$H507,$T$4:$W$18,2,FALSE)</f>
        <v>CISTERNA</v>
      </c>
      <c r="J507" s="101">
        <f>VLOOKUP(BDsurtidor!$H507,$T$4:$W$25,3,FALSE)</f>
        <v>2500</v>
      </c>
      <c r="K507" s="101">
        <f>VLOOKUP(BDsurtidor!$H507,$T$4:$W$25,4,FALSE)</f>
        <v>9</v>
      </c>
      <c r="L507" s="101">
        <f>VLOOKUP(BDsurtidor!$H507,$T$4:$X$25,5,FALSE)</f>
        <v>0.22</v>
      </c>
      <c r="M507" s="101" t="str">
        <f>VLOOKUP(BDsurtidor!$H507,$T$4:$Y$25,6,FALSE)</f>
        <v>EPS</v>
      </c>
      <c r="N507" s="70">
        <v>0</v>
      </c>
      <c r="O507" s="125">
        <v>0</v>
      </c>
      <c r="P507" s="126">
        <v>0.4375</v>
      </c>
      <c r="Q507" s="334" t="s">
        <v>574</v>
      </c>
    </row>
    <row r="508" spans="2:17" x14ac:dyDescent="0.25">
      <c r="B508">
        <f>WEEKNUM(BSURTIDOR[[#This Row],[FECHA]])</f>
        <v>11</v>
      </c>
      <c r="C508">
        <f>MONTH(BSURTIDOR[[#This Row],[FECHA]])</f>
        <v>3</v>
      </c>
      <c r="D508">
        <f>YEAR(BSURTIDOR[[#This Row],[FECHA]])</f>
        <v>2026</v>
      </c>
      <c r="E508" s="124">
        <v>46090</v>
      </c>
      <c r="F508" s="382" t="s">
        <v>548</v>
      </c>
      <c r="G508" s="123">
        <v>8</v>
      </c>
      <c r="H508" s="123" t="s">
        <v>87</v>
      </c>
      <c r="I508" s="101" t="str">
        <f>VLOOKUP(BDsurtidor!$H508,$T$4:$W$18,2,FALSE)</f>
        <v>CISTERNA</v>
      </c>
      <c r="J508" s="101">
        <f>VLOOKUP(BDsurtidor!$H508,$T$4:$W$25,3,FALSE)</f>
        <v>5000</v>
      </c>
      <c r="K508" s="101">
        <f>VLOOKUP(BDsurtidor!$H508,$T$4:$W$25,4,FALSE)</f>
        <v>17</v>
      </c>
      <c r="L508" s="101">
        <f>VLOOKUP(BDsurtidor!$H508,$T$4:$X$25,5,FALSE)</f>
        <v>0.4</v>
      </c>
      <c r="M508" s="101" t="str">
        <f>VLOOKUP(BDsurtidor!$H508,$T$4:$Y$25,6,FALSE)</f>
        <v>EPS</v>
      </c>
      <c r="N508" s="70">
        <v>0</v>
      </c>
      <c r="O508" s="125">
        <v>1.57</v>
      </c>
      <c r="P508" s="126">
        <v>0.4826388888888889</v>
      </c>
      <c r="Q508" s="334" t="s">
        <v>574</v>
      </c>
    </row>
    <row r="509" spans="2:17" x14ac:dyDescent="0.25">
      <c r="B509">
        <f>WEEKNUM(BSURTIDOR[[#This Row],[FECHA]])</f>
        <v>11</v>
      </c>
      <c r="C509">
        <f>MONTH(BSURTIDOR[[#This Row],[FECHA]])</f>
        <v>3</v>
      </c>
      <c r="D509">
        <f>YEAR(BSURTIDOR[[#This Row],[FECHA]])</f>
        <v>2026</v>
      </c>
      <c r="E509" s="124">
        <v>46090</v>
      </c>
      <c r="F509" s="382" t="s">
        <v>548</v>
      </c>
      <c r="G509" s="123">
        <v>9</v>
      </c>
      <c r="H509" s="123" t="s">
        <v>99</v>
      </c>
      <c r="I509" s="101" t="str">
        <f>VLOOKUP(BDsurtidor!$H509,$T$4:$W$18,2,FALSE)</f>
        <v>CISTERNA</v>
      </c>
      <c r="J509" s="101">
        <f>VLOOKUP(BDsurtidor!$H509,$T$4:$W$25,3,FALSE)</f>
        <v>5000</v>
      </c>
      <c r="K509" s="101">
        <f>VLOOKUP(BDsurtidor!$H509,$T$4:$W$25,4,FALSE)</f>
        <v>17</v>
      </c>
      <c r="L509" s="101">
        <f>VLOOKUP(BDsurtidor!$H509,$T$4:$X$25,5,FALSE)</f>
        <v>0.4</v>
      </c>
      <c r="M509" s="101" t="str">
        <f>VLOOKUP(BDsurtidor!$H509,$T$4:$Y$25,6,FALSE)</f>
        <v>EPS</v>
      </c>
      <c r="N509" s="70">
        <v>0</v>
      </c>
      <c r="O509" s="125">
        <v>1.51</v>
      </c>
      <c r="P509" s="126">
        <v>0.49722222222222223</v>
      </c>
      <c r="Q509" s="334" t="s">
        <v>574</v>
      </c>
    </row>
    <row r="510" spans="2:17" x14ac:dyDescent="0.25">
      <c r="B510">
        <f>WEEKNUM(BSURTIDOR[[#This Row],[FECHA]])</f>
        <v>11</v>
      </c>
      <c r="C510">
        <f>MONTH(BSURTIDOR[[#This Row],[FECHA]])</f>
        <v>3</v>
      </c>
      <c r="D510">
        <f>YEAR(BSURTIDOR[[#This Row],[FECHA]])</f>
        <v>2026</v>
      </c>
      <c r="E510" s="124">
        <v>46090</v>
      </c>
      <c r="F510" s="382" t="s">
        <v>548</v>
      </c>
      <c r="G510" s="123">
        <v>10</v>
      </c>
      <c r="H510" s="123" t="s">
        <v>95</v>
      </c>
      <c r="I510" s="101" t="str">
        <f>VLOOKUP(BDsurtidor!$H510,$T$4:$W$18,2,FALSE)</f>
        <v>CISTERNA</v>
      </c>
      <c r="J510" s="101">
        <f>VLOOKUP(BDsurtidor!$H510,$T$4:$W$25,3,FALSE)</f>
        <v>2500</v>
      </c>
      <c r="K510" s="101">
        <f>VLOOKUP(BDsurtidor!$H510,$T$4:$W$25,4,FALSE)</f>
        <v>9</v>
      </c>
      <c r="L510" s="101">
        <f>VLOOKUP(BDsurtidor!$H510,$T$4:$X$25,5,FALSE)</f>
        <v>0.22</v>
      </c>
      <c r="M510" s="101" t="str">
        <f>VLOOKUP(BDsurtidor!$H510,$T$4:$Y$25,6,FALSE)</f>
        <v>EPS</v>
      </c>
      <c r="N510" s="70">
        <v>0</v>
      </c>
      <c r="O510" s="125">
        <v>0</v>
      </c>
      <c r="P510" s="126">
        <v>0.50694444444444442</v>
      </c>
      <c r="Q510" s="334" t="s">
        <v>574</v>
      </c>
    </row>
    <row r="511" spans="2:17" x14ac:dyDescent="0.25">
      <c r="B511">
        <f>WEEKNUM(BSURTIDOR[[#This Row],[FECHA]])</f>
        <v>11</v>
      </c>
      <c r="C511">
        <f>MONTH(BSURTIDOR[[#This Row],[FECHA]])</f>
        <v>3</v>
      </c>
      <c r="D511">
        <f>YEAR(BSURTIDOR[[#This Row],[FECHA]])</f>
        <v>2026</v>
      </c>
      <c r="E511" s="124">
        <v>46090</v>
      </c>
      <c r="F511" s="382" t="s">
        <v>548</v>
      </c>
      <c r="G511" s="123">
        <v>11</v>
      </c>
      <c r="H511" s="123" t="s">
        <v>98</v>
      </c>
      <c r="I511" s="101" t="str">
        <f>VLOOKUP(BDsurtidor!$H511,$T$4:$W$18,2,FALSE)</f>
        <v>CISTERNA</v>
      </c>
      <c r="J511" s="101">
        <f>VLOOKUP(BDsurtidor!$H511,$T$4:$W$25,3,FALSE)</f>
        <v>9000</v>
      </c>
      <c r="K511" s="101">
        <f>VLOOKUP(BDsurtidor!$H511,$T$4:$W$25,4,FALSE)</f>
        <v>34</v>
      </c>
      <c r="L511" s="101">
        <f>VLOOKUP(BDsurtidor!$H511,$T$4:$X$25,5,FALSE)</f>
        <v>0.45</v>
      </c>
      <c r="M511" s="101" t="str">
        <f>VLOOKUP(BDsurtidor!$H511,$T$4:$Y$25,6,FALSE)</f>
        <v>VIVIENDA</v>
      </c>
      <c r="N511" s="70">
        <v>0</v>
      </c>
      <c r="O511" s="119">
        <v>1.54</v>
      </c>
      <c r="P511" s="126">
        <v>0.52430555555555558</v>
      </c>
      <c r="Q511" s="334" t="s">
        <v>574</v>
      </c>
    </row>
    <row r="512" spans="2:17" x14ac:dyDescent="0.25">
      <c r="B512">
        <f>WEEKNUM(BSURTIDOR[[#This Row],[FECHA]])</f>
        <v>11</v>
      </c>
      <c r="C512">
        <f>MONTH(BSURTIDOR[[#This Row],[FECHA]])</f>
        <v>3</v>
      </c>
      <c r="D512">
        <f>YEAR(BSURTIDOR[[#This Row],[FECHA]])</f>
        <v>2026</v>
      </c>
      <c r="E512" s="124">
        <v>46091</v>
      </c>
      <c r="F512" s="382" t="s">
        <v>548</v>
      </c>
      <c r="G512" s="123">
        <v>1</v>
      </c>
      <c r="H512" s="123" t="s">
        <v>100</v>
      </c>
      <c r="I512" s="101" t="str">
        <f>VLOOKUP(BDsurtidor!$H512,$T$4:$W$18,2,FALSE)</f>
        <v>HIDROJET</v>
      </c>
      <c r="J512" s="101">
        <f>VLOOKUP(BDsurtidor!$H512,$T$4:$W$25,3,FALSE)</f>
        <v>1000</v>
      </c>
      <c r="K512" s="101">
        <f>VLOOKUP(BDsurtidor!$H512,$T$4:$W$25,4,FALSE)</f>
        <v>1</v>
      </c>
      <c r="L512" s="101">
        <f>VLOOKUP(BDsurtidor!$H512,$T$4:$X$25,5,FALSE)</f>
        <v>0</v>
      </c>
      <c r="M512" s="101" t="str">
        <f>VLOOKUP(BDsurtidor!$H512,$T$4:$Y$25,6,FALSE)</f>
        <v>EPS</v>
      </c>
      <c r="N512" s="70">
        <v>0</v>
      </c>
      <c r="O512" s="125">
        <v>0</v>
      </c>
      <c r="P512" s="126">
        <v>0.27430555555555558</v>
      </c>
      <c r="Q512" s="334" t="s">
        <v>574</v>
      </c>
    </row>
    <row r="513" spans="2:17" x14ac:dyDescent="0.25">
      <c r="B513">
        <f>WEEKNUM(BSURTIDOR[[#This Row],[FECHA]])</f>
        <v>11</v>
      </c>
      <c r="C513">
        <f>MONTH(BSURTIDOR[[#This Row],[FECHA]])</f>
        <v>3</v>
      </c>
      <c r="D513">
        <f>YEAR(BSURTIDOR[[#This Row],[FECHA]])</f>
        <v>2026</v>
      </c>
      <c r="E513" s="124">
        <v>46091</v>
      </c>
      <c r="F513" s="382" t="s">
        <v>548</v>
      </c>
      <c r="G513" s="123">
        <v>2</v>
      </c>
      <c r="H513" s="123" t="s">
        <v>558</v>
      </c>
      <c r="I513" s="101" t="str">
        <f>VLOOKUP(BDsurtidor!$H513,$T$4:$W$18,2,FALSE)</f>
        <v>HIDROJET</v>
      </c>
      <c r="J513" s="101">
        <f>VLOOKUP(BDsurtidor!$H513,$T$4:$W$25,3,FALSE)</f>
        <v>1000</v>
      </c>
      <c r="K513" s="101">
        <f>VLOOKUP(BDsurtidor!$H513,$T$4:$W$25,4,FALSE)</f>
        <v>1</v>
      </c>
      <c r="L513" s="101">
        <f>VLOOKUP(BDsurtidor!$H513,$T$4:$X$25,5,FALSE)</f>
        <v>0</v>
      </c>
      <c r="M513" s="101" t="str">
        <f>VLOOKUP(BDsurtidor!$H513,$T$4:$Y$25,6,FALSE)</f>
        <v>EPS</v>
      </c>
      <c r="N513" s="70">
        <v>0</v>
      </c>
      <c r="O513" s="125">
        <v>0</v>
      </c>
      <c r="P513" s="126">
        <v>0.27916666666666667</v>
      </c>
      <c r="Q513" s="334" t="s">
        <v>574</v>
      </c>
    </row>
    <row r="514" spans="2:17" x14ac:dyDescent="0.25">
      <c r="B514">
        <f>WEEKNUM(BSURTIDOR[[#This Row],[FECHA]])</f>
        <v>11</v>
      </c>
      <c r="C514">
        <f>MONTH(BSURTIDOR[[#This Row],[FECHA]])</f>
        <v>3</v>
      </c>
      <c r="D514">
        <f>YEAR(BSURTIDOR[[#This Row],[FECHA]])</f>
        <v>2026</v>
      </c>
      <c r="E514" s="124">
        <v>46091</v>
      </c>
      <c r="F514" s="382" t="s">
        <v>548</v>
      </c>
      <c r="G514" s="123">
        <v>3</v>
      </c>
      <c r="H514" s="123" t="s">
        <v>99</v>
      </c>
      <c r="I514" s="101" t="str">
        <f>VLOOKUP(BDsurtidor!$H514,$T$4:$W$18,2,FALSE)</f>
        <v>CISTERNA</v>
      </c>
      <c r="J514" s="101">
        <f>VLOOKUP(BDsurtidor!$H514,$T$4:$W$25,3,FALSE)</f>
        <v>5000</v>
      </c>
      <c r="K514" s="101">
        <f>VLOOKUP(BDsurtidor!$H514,$T$4:$W$25,4,FALSE)</f>
        <v>17</v>
      </c>
      <c r="L514" s="101">
        <f>VLOOKUP(BDsurtidor!$H514,$T$4:$X$25,5,FALSE)</f>
        <v>0.4</v>
      </c>
      <c r="M514" s="101" t="str">
        <f>VLOOKUP(BDsurtidor!$H514,$T$4:$Y$25,6,FALSE)</f>
        <v>EPS</v>
      </c>
      <c r="N514" s="70">
        <v>0</v>
      </c>
      <c r="O514" s="125">
        <v>1.67</v>
      </c>
      <c r="P514" s="126">
        <v>0.30416666666666664</v>
      </c>
      <c r="Q514" s="334" t="s">
        <v>574</v>
      </c>
    </row>
    <row r="515" spans="2:17" x14ac:dyDescent="0.25">
      <c r="B515">
        <f>WEEKNUM(BSURTIDOR[[#This Row],[FECHA]])</f>
        <v>11</v>
      </c>
      <c r="C515">
        <f>MONTH(BSURTIDOR[[#This Row],[FECHA]])</f>
        <v>3</v>
      </c>
      <c r="D515">
        <f>YEAR(BSURTIDOR[[#This Row],[FECHA]])</f>
        <v>2026</v>
      </c>
      <c r="E515" s="124">
        <v>46091</v>
      </c>
      <c r="F515" s="382" t="s">
        <v>548</v>
      </c>
      <c r="G515" s="123">
        <v>4</v>
      </c>
      <c r="H515" s="123" t="s">
        <v>98</v>
      </c>
      <c r="I515" s="101" t="str">
        <f>VLOOKUP(BDsurtidor!$H515,$T$4:$W$18,2,FALSE)</f>
        <v>CISTERNA</v>
      </c>
      <c r="J515" s="101">
        <f>VLOOKUP(BDsurtidor!$H515,$T$4:$W$25,3,FALSE)</f>
        <v>9000</v>
      </c>
      <c r="K515" s="101">
        <f>VLOOKUP(BDsurtidor!$H515,$T$4:$W$25,4,FALSE)</f>
        <v>34</v>
      </c>
      <c r="L515" s="101">
        <f>VLOOKUP(BDsurtidor!$H515,$T$4:$X$25,5,FALSE)</f>
        <v>0.45</v>
      </c>
      <c r="M515" s="101" t="str">
        <f>VLOOKUP(BDsurtidor!$H515,$T$4:$Y$25,6,FALSE)</f>
        <v>VIVIENDA</v>
      </c>
      <c r="N515" s="70">
        <v>0</v>
      </c>
      <c r="O515" s="125">
        <v>1.64</v>
      </c>
      <c r="P515" s="126">
        <v>0.31111111111111112</v>
      </c>
      <c r="Q515" s="334" t="s">
        <v>574</v>
      </c>
    </row>
    <row r="516" spans="2:17" x14ac:dyDescent="0.25">
      <c r="B516">
        <f>WEEKNUM(BSURTIDOR[[#This Row],[FECHA]])</f>
        <v>11</v>
      </c>
      <c r="C516">
        <f>MONTH(BSURTIDOR[[#This Row],[FECHA]])</f>
        <v>3</v>
      </c>
      <c r="D516">
        <f>YEAR(BSURTIDOR[[#This Row],[FECHA]])</f>
        <v>2026</v>
      </c>
      <c r="E516" s="124">
        <v>46091</v>
      </c>
      <c r="F516" s="382" t="s">
        <v>548</v>
      </c>
      <c r="G516" s="123">
        <v>5</v>
      </c>
      <c r="H516" s="123" t="s">
        <v>87</v>
      </c>
      <c r="I516" s="101" t="str">
        <f>VLOOKUP(BDsurtidor!$H516,$T$4:$W$18,2,FALSE)</f>
        <v>CISTERNA</v>
      </c>
      <c r="J516" s="101">
        <f>VLOOKUP(BDsurtidor!$H516,$T$4:$W$25,3,FALSE)</f>
        <v>5000</v>
      </c>
      <c r="K516" s="101">
        <f>VLOOKUP(BDsurtidor!$H516,$T$4:$W$25,4,FALSE)</f>
        <v>17</v>
      </c>
      <c r="L516" s="101">
        <f>VLOOKUP(BDsurtidor!$H516,$T$4:$X$25,5,FALSE)</f>
        <v>0.4</v>
      </c>
      <c r="M516" s="101" t="str">
        <f>VLOOKUP(BDsurtidor!$H516,$T$4:$Y$25,6,FALSE)</f>
        <v>EPS</v>
      </c>
      <c r="N516" s="70">
        <v>0</v>
      </c>
      <c r="O516" s="125">
        <v>1.77</v>
      </c>
      <c r="P516" s="126">
        <v>0.31944444444444442</v>
      </c>
      <c r="Q516" s="334" t="s">
        <v>574</v>
      </c>
    </row>
    <row r="517" spans="2:17" x14ac:dyDescent="0.25">
      <c r="B517">
        <f>WEEKNUM(BSURTIDOR[[#This Row],[FECHA]])</f>
        <v>11</v>
      </c>
      <c r="C517">
        <f>MONTH(BSURTIDOR[[#This Row],[FECHA]])</f>
        <v>3</v>
      </c>
      <c r="D517">
        <f>YEAR(BSURTIDOR[[#This Row],[FECHA]])</f>
        <v>2026</v>
      </c>
      <c r="E517" s="124">
        <v>46091</v>
      </c>
      <c r="F517" s="382" t="s">
        <v>548</v>
      </c>
      <c r="G517" s="123">
        <v>6</v>
      </c>
      <c r="H517" s="123" t="s">
        <v>87</v>
      </c>
      <c r="I517" s="101" t="str">
        <f>VLOOKUP(BDsurtidor!$H517,$T$4:$W$18,2,FALSE)</f>
        <v>CISTERNA</v>
      </c>
      <c r="J517" s="101">
        <f>VLOOKUP(BDsurtidor!$H517,$T$4:$W$25,3,FALSE)</f>
        <v>5000</v>
      </c>
      <c r="K517" s="101">
        <f>VLOOKUP(BDsurtidor!$H517,$T$4:$W$25,4,FALSE)</f>
        <v>17</v>
      </c>
      <c r="L517" s="101">
        <f>VLOOKUP(BDsurtidor!$H517,$T$4:$X$25,5,FALSE)</f>
        <v>0.4</v>
      </c>
      <c r="M517" s="101" t="str">
        <f>VLOOKUP(BDsurtidor!$H517,$T$4:$Y$25,6,FALSE)</f>
        <v>EPS</v>
      </c>
      <c r="N517" s="70">
        <v>0</v>
      </c>
      <c r="O517" s="125">
        <v>1.57</v>
      </c>
      <c r="P517" s="126">
        <v>0.41666666666666669</v>
      </c>
      <c r="Q517" s="334" t="s">
        <v>574</v>
      </c>
    </row>
    <row r="518" spans="2:17" x14ac:dyDescent="0.25">
      <c r="B518">
        <f>WEEKNUM(BSURTIDOR[[#This Row],[FECHA]])</f>
        <v>11</v>
      </c>
      <c r="C518">
        <f>MONTH(BSURTIDOR[[#This Row],[FECHA]])</f>
        <v>3</v>
      </c>
      <c r="D518">
        <f>YEAR(BSURTIDOR[[#This Row],[FECHA]])</f>
        <v>2026</v>
      </c>
      <c r="E518" s="124">
        <v>46091</v>
      </c>
      <c r="F518" s="382" t="s">
        <v>548</v>
      </c>
      <c r="G518" s="123">
        <v>7</v>
      </c>
      <c r="H518" s="123" t="s">
        <v>99</v>
      </c>
      <c r="I518" s="101" t="str">
        <f>VLOOKUP(BDsurtidor!$H518,$T$4:$W$18,2,FALSE)</f>
        <v>CISTERNA</v>
      </c>
      <c r="J518" s="101">
        <f>VLOOKUP(BDsurtidor!$H518,$T$4:$W$25,3,FALSE)</f>
        <v>5000</v>
      </c>
      <c r="K518" s="101">
        <f>VLOOKUP(BDsurtidor!$H518,$T$4:$W$25,4,FALSE)</f>
        <v>17</v>
      </c>
      <c r="L518" s="101">
        <f>VLOOKUP(BDsurtidor!$H518,$T$4:$X$25,5,FALSE)</f>
        <v>0.4</v>
      </c>
      <c r="M518" s="101" t="str">
        <f>VLOOKUP(BDsurtidor!$H518,$T$4:$Y$25,6,FALSE)</f>
        <v>EPS</v>
      </c>
      <c r="N518" s="70">
        <v>0</v>
      </c>
      <c r="O518" s="125">
        <v>1.48</v>
      </c>
      <c r="P518" s="126">
        <v>0.47569444444444442</v>
      </c>
      <c r="Q518" s="334" t="s">
        <v>574</v>
      </c>
    </row>
    <row r="519" spans="2:17" x14ac:dyDescent="0.25">
      <c r="B519">
        <f>WEEKNUM(BSURTIDOR[[#This Row],[FECHA]])</f>
        <v>11</v>
      </c>
      <c r="C519">
        <f>MONTH(BSURTIDOR[[#This Row],[FECHA]])</f>
        <v>3</v>
      </c>
      <c r="D519">
        <f>YEAR(BSURTIDOR[[#This Row],[FECHA]])</f>
        <v>2026</v>
      </c>
      <c r="E519" s="124">
        <v>46091</v>
      </c>
      <c r="F519" s="382" t="s">
        <v>548</v>
      </c>
      <c r="G519" s="123">
        <v>8</v>
      </c>
      <c r="H519" s="123" t="s">
        <v>95</v>
      </c>
      <c r="I519" s="101" t="str">
        <f>VLOOKUP(BDsurtidor!$H519,$T$4:$W$18,2,FALSE)</f>
        <v>CISTERNA</v>
      </c>
      <c r="J519" s="101">
        <f>VLOOKUP(BDsurtidor!$H519,$T$4:$W$25,3,FALSE)</f>
        <v>2500</v>
      </c>
      <c r="K519" s="101">
        <f>VLOOKUP(BDsurtidor!$H519,$T$4:$W$25,4,FALSE)</f>
        <v>9</v>
      </c>
      <c r="L519" s="101">
        <f>VLOOKUP(BDsurtidor!$H519,$T$4:$X$25,5,FALSE)</f>
        <v>0.22</v>
      </c>
      <c r="M519" s="101" t="str">
        <f>VLOOKUP(BDsurtidor!$H519,$T$4:$Y$25,6,FALSE)</f>
        <v>EPS</v>
      </c>
      <c r="N519" s="70">
        <v>0</v>
      </c>
      <c r="O519" s="125">
        <v>0</v>
      </c>
      <c r="P519" s="126">
        <v>0.48958333333333331</v>
      </c>
      <c r="Q519" s="334" t="s">
        <v>574</v>
      </c>
    </row>
    <row r="520" spans="2:17" x14ac:dyDescent="0.25">
      <c r="B520">
        <f>WEEKNUM(BSURTIDOR[[#This Row],[FECHA]])</f>
        <v>11</v>
      </c>
      <c r="C520">
        <f>MONTH(BSURTIDOR[[#This Row],[FECHA]])</f>
        <v>3</v>
      </c>
      <c r="D520">
        <f>YEAR(BSURTIDOR[[#This Row],[FECHA]])</f>
        <v>2026</v>
      </c>
      <c r="E520" s="124">
        <v>46092</v>
      </c>
      <c r="F520" s="382" t="s">
        <v>548</v>
      </c>
      <c r="G520" s="123">
        <v>1</v>
      </c>
      <c r="H520" s="123" t="s">
        <v>95</v>
      </c>
      <c r="I520" s="101" t="str">
        <f>VLOOKUP(BDsurtidor!$H520,$T$4:$W$18,2,FALSE)</f>
        <v>CISTERNA</v>
      </c>
      <c r="J520" s="101">
        <f>VLOOKUP(BDsurtidor!$H520,$T$4:$W$25,3,FALSE)</f>
        <v>2500</v>
      </c>
      <c r="K520" s="101">
        <f>VLOOKUP(BDsurtidor!$H520,$T$4:$W$25,4,FALSE)</f>
        <v>9</v>
      </c>
      <c r="L520" s="101">
        <f>VLOOKUP(BDsurtidor!$H520,$T$4:$X$25,5,FALSE)</f>
        <v>0.22</v>
      </c>
      <c r="M520" s="101" t="str">
        <f>VLOOKUP(BDsurtidor!$H520,$T$4:$Y$25,6,FALSE)</f>
        <v>EPS</v>
      </c>
      <c r="N520" s="70">
        <v>0</v>
      </c>
      <c r="O520" s="125">
        <v>0</v>
      </c>
      <c r="P520" s="126">
        <v>0.13958333333333334</v>
      </c>
      <c r="Q520" s="334" t="s">
        <v>574</v>
      </c>
    </row>
    <row r="521" spans="2:17" x14ac:dyDescent="0.25">
      <c r="B521">
        <f>WEEKNUM(BSURTIDOR[[#This Row],[FECHA]])</f>
        <v>11</v>
      </c>
      <c r="C521">
        <f>MONTH(BSURTIDOR[[#This Row],[FECHA]])</f>
        <v>3</v>
      </c>
      <c r="D521">
        <f>YEAR(BSURTIDOR[[#This Row],[FECHA]])</f>
        <v>2026</v>
      </c>
      <c r="E521" s="124">
        <v>46092</v>
      </c>
      <c r="F521" s="382" t="s">
        <v>548</v>
      </c>
      <c r="G521" s="123">
        <v>2</v>
      </c>
      <c r="H521" s="123" t="s">
        <v>558</v>
      </c>
      <c r="I521" s="101" t="str">
        <f>VLOOKUP(BDsurtidor!$H521,$T$4:$W$18,2,FALSE)</f>
        <v>HIDROJET</v>
      </c>
      <c r="J521" s="101">
        <f>VLOOKUP(BDsurtidor!$H521,$T$4:$W$25,3,FALSE)</f>
        <v>1000</v>
      </c>
      <c r="K521" s="101">
        <f>VLOOKUP(BDsurtidor!$H521,$T$4:$W$25,4,FALSE)</f>
        <v>1</v>
      </c>
      <c r="L521" s="101">
        <f>VLOOKUP(BDsurtidor!$H521,$T$4:$X$25,5,FALSE)</f>
        <v>0</v>
      </c>
      <c r="M521" s="101" t="str">
        <f>VLOOKUP(BDsurtidor!$H521,$T$4:$Y$25,6,FALSE)</f>
        <v>EPS</v>
      </c>
      <c r="N521" s="70">
        <v>0</v>
      </c>
      <c r="O521" s="125">
        <v>0</v>
      </c>
      <c r="P521" s="126">
        <v>0.14861111111111111</v>
      </c>
      <c r="Q521" s="334" t="s">
        <v>574</v>
      </c>
    </row>
    <row r="522" spans="2:17" x14ac:dyDescent="0.25">
      <c r="B522">
        <f>WEEKNUM(BSURTIDOR[[#This Row],[FECHA]])</f>
        <v>11</v>
      </c>
      <c r="C522">
        <f>MONTH(BSURTIDOR[[#This Row],[FECHA]])</f>
        <v>3</v>
      </c>
      <c r="D522">
        <f>YEAR(BSURTIDOR[[#This Row],[FECHA]])</f>
        <v>2026</v>
      </c>
      <c r="E522" s="124">
        <v>46092</v>
      </c>
      <c r="F522" s="382" t="s">
        <v>548</v>
      </c>
      <c r="G522" s="123">
        <v>3</v>
      </c>
      <c r="H522" s="123" t="s">
        <v>95</v>
      </c>
      <c r="I522" s="101" t="str">
        <f>VLOOKUP(BDsurtidor!$H522,$T$4:$W$18,2,FALSE)</f>
        <v>CISTERNA</v>
      </c>
      <c r="J522" s="101">
        <f>VLOOKUP(BDsurtidor!$H522,$T$4:$W$25,3,FALSE)</f>
        <v>2500</v>
      </c>
      <c r="K522" s="101">
        <f>VLOOKUP(BDsurtidor!$H522,$T$4:$W$25,4,FALSE)</f>
        <v>9</v>
      </c>
      <c r="L522" s="101">
        <f>VLOOKUP(BDsurtidor!$H522,$T$4:$X$25,5,FALSE)</f>
        <v>0.22</v>
      </c>
      <c r="M522" s="101" t="str">
        <f>VLOOKUP(BDsurtidor!$H522,$T$4:$Y$25,6,FALSE)</f>
        <v>EPS</v>
      </c>
      <c r="N522" s="70">
        <v>0</v>
      </c>
      <c r="O522" s="125">
        <v>0</v>
      </c>
      <c r="P522" s="126">
        <v>0.1736111111111111</v>
      </c>
      <c r="Q522" s="334" t="s">
        <v>574</v>
      </c>
    </row>
    <row r="523" spans="2:17" x14ac:dyDescent="0.25">
      <c r="B523">
        <f>WEEKNUM(BSURTIDOR[[#This Row],[FECHA]])</f>
        <v>11</v>
      </c>
      <c r="C523">
        <f>MONTH(BSURTIDOR[[#This Row],[FECHA]])</f>
        <v>3</v>
      </c>
      <c r="D523">
        <f>YEAR(BSURTIDOR[[#This Row],[FECHA]])</f>
        <v>2026</v>
      </c>
      <c r="E523" s="124">
        <v>46092</v>
      </c>
      <c r="F523" s="382" t="s">
        <v>548</v>
      </c>
      <c r="G523" s="123">
        <v>4</v>
      </c>
      <c r="H523" s="123" t="s">
        <v>100</v>
      </c>
      <c r="I523" s="101" t="str">
        <f>VLOOKUP(BDsurtidor!$H523,$T$4:$W$18,2,FALSE)</f>
        <v>HIDROJET</v>
      </c>
      <c r="J523" s="101">
        <f>VLOOKUP(BDsurtidor!$H523,$T$4:$W$25,3,FALSE)</f>
        <v>1000</v>
      </c>
      <c r="K523" s="101">
        <f>VLOOKUP(BDsurtidor!$H523,$T$4:$W$25,4,FALSE)</f>
        <v>1</v>
      </c>
      <c r="L523" s="101">
        <f>VLOOKUP(BDsurtidor!$H523,$T$4:$X$25,5,FALSE)</f>
        <v>0</v>
      </c>
      <c r="M523" s="101" t="str">
        <f>VLOOKUP(BDsurtidor!$H523,$T$4:$Y$25,6,FALSE)</f>
        <v>EPS</v>
      </c>
      <c r="N523" s="70">
        <v>0</v>
      </c>
      <c r="O523" s="125">
        <v>0</v>
      </c>
      <c r="P523" s="126">
        <v>0.27777777777777779</v>
      </c>
      <c r="Q523" s="334" t="s">
        <v>574</v>
      </c>
    </row>
    <row r="524" spans="2:17" x14ac:dyDescent="0.25">
      <c r="B524">
        <f>WEEKNUM(BSURTIDOR[[#This Row],[FECHA]])</f>
        <v>11</v>
      </c>
      <c r="C524">
        <f>MONTH(BSURTIDOR[[#This Row],[FECHA]])</f>
        <v>3</v>
      </c>
      <c r="D524">
        <f>YEAR(BSURTIDOR[[#This Row],[FECHA]])</f>
        <v>2026</v>
      </c>
      <c r="E524" s="124">
        <v>46092</v>
      </c>
      <c r="F524" s="382" t="s">
        <v>548</v>
      </c>
      <c r="G524" s="123">
        <v>5</v>
      </c>
      <c r="H524" s="123" t="s">
        <v>99</v>
      </c>
      <c r="I524" s="101" t="str">
        <f>VLOOKUP(BDsurtidor!$H524,$T$4:$W$18,2,FALSE)</f>
        <v>CISTERNA</v>
      </c>
      <c r="J524" s="101">
        <f>VLOOKUP(BDsurtidor!$H524,$T$4:$W$25,3,FALSE)</f>
        <v>5000</v>
      </c>
      <c r="K524" s="101">
        <f>VLOOKUP(BDsurtidor!$H524,$T$4:$W$25,4,FALSE)</f>
        <v>17</v>
      </c>
      <c r="L524" s="101">
        <f>VLOOKUP(BDsurtidor!$H524,$T$4:$X$25,5,FALSE)</f>
        <v>0.4</v>
      </c>
      <c r="M524" s="101" t="str">
        <f>VLOOKUP(BDsurtidor!$H524,$T$4:$Y$25,6,FALSE)</f>
        <v>EPS</v>
      </c>
      <c r="N524" s="70">
        <v>0</v>
      </c>
      <c r="O524" s="125">
        <v>1.21</v>
      </c>
      <c r="P524" s="126">
        <v>0.30763888888888891</v>
      </c>
      <c r="Q524" s="334" t="s">
        <v>574</v>
      </c>
    </row>
    <row r="525" spans="2:17" x14ac:dyDescent="0.25">
      <c r="B525">
        <f>WEEKNUM(BSURTIDOR[[#This Row],[FECHA]])</f>
        <v>11</v>
      </c>
      <c r="C525">
        <f>MONTH(BSURTIDOR[[#This Row],[FECHA]])</f>
        <v>3</v>
      </c>
      <c r="D525">
        <f>YEAR(BSURTIDOR[[#This Row],[FECHA]])</f>
        <v>2026</v>
      </c>
      <c r="E525" s="124">
        <v>46092</v>
      </c>
      <c r="F525" s="382" t="s">
        <v>548</v>
      </c>
      <c r="G525" s="123">
        <v>6</v>
      </c>
      <c r="H525" s="123" t="s">
        <v>98</v>
      </c>
      <c r="I525" s="101" t="str">
        <f>VLOOKUP(BDsurtidor!$H525,$T$4:$W$18,2,FALSE)</f>
        <v>CISTERNA</v>
      </c>
      <c r="J525" s="101">
        <f>VLOOKUP(BDsurtidor!$H525,$T$4:$W$25,3,FALSE)</f>
        <v>9000</v>
      </c>
      <c r="K525" s="101">
        <f>VLOOKUP(BDsurtidor!$H525,$T$4:$W$25,4,FALSE)</f>
        <v>34</v>
      </c>
      <c r="L525" s="101">
        <f>VLOOKUP(BDsurtidor!$H525,$T$4:$X$25,5,FALSE)</f>
        <v>0.45</v>
      </c>
      <c r="M525" s="101" t="str">
        <f>VLOOKUP(BDsurtidor!$H525,$T$4:$Y$25,6,FALSE)</f>
        <v>VIVIENDA</v>
      </c>
      <c r="N525" s="70">
        <v>0</v>
      </c>
      <c r="O525" s="125">
        <v>1.65</v>
      </c>
      <c r="P525" s="126">
        <v>0.31458333333333333</v>
      </c>
      <c r="Q525" s="334" t="s">
        <v>574</v>
      </c>
    </row>
    <row r="526" spans="2:17" x14ac:dyDescent="0.25">
      <c r="B526">
        <f>WEEKNUM(BSURTIDOR[[#This Row],[FECHA]])</f>
        <v>11</v>
      </c>
      <c r="C526">
        <f>MONTH(BSURTIDOR[[#This Row],[FECHA]])</f>
        <v>3</v>
      </c>
      <c r="D526">
        <f>YEAR(BSURTIDOR[[#This Row],[FECHA]])</f>
        <v>2026</v>
      </c>
      <c r="E526" s="124">
        <v>46092</v>
      </c>
      <c r="F526" s="382" t="s">
        <v>548</v>
      </c>
      <c r="G526" s="123">
        <v>7</v>
      </c>
      <c r="H526" s="123" t="s">
        <v>87</v>
      </c>
      <c r="I526" s="101" t="str">
        <f>VLOOKUP(BDsurtidor!$H526,$T$4:$W$18,2,FALSE)</f>
        <v>CISTERNA</v>
      </c>
      <c r="J526" s="101">
        <f>VLOOKUP(BDsurtidor!$H526,$T$4:$W$25,3,FALSE)</f>
        <v>5000</v>
      </c>
      <c r="K526" s="101">
        <f>VLOOKUP(BDsurtidor!$H526,$T$4:$W$25,4,FALSE)</f>
        <v>17</v>
      </c>
      <c r="L526" s="101">
        <f>VLOOKUP(BDsurtidor!$H526,$T$4:$X$25,5,FALSE)</f>
        <v>0.4</v>
      </c>
      <c r="M526" s="101" t="str">
        <f>VLOOKUP(BDsurtidor!$H526,$T$4:$Y$25,6,FALSE)</f>
        <v>EPS</v>
      </c>
      <c r="N526" s="70">
        <v>0</v>
      </c>
      <c r="O526" s="125">
        <v>1.63</v>
      </c>
      <c r="P526" s="126">
        <v>0.32708333333333334</v>
      </c>
      <c r="Q526" s="334" t="s">
        <v>574</v>
      </c>
    </row>
    <row r="527" spans="2:17" x14ac:dyDescent="0.25">
      <c r="B527">
        <f>WEEKNUM(BSURTIDOR[[#This Row],[FECHA]])</f>
        <v>11</v>
      </c>
      <c r="C527">
        <f>MONTH(BSURTIDOR[[#This Row],[FECHA]])</f>
        <v>3</v>
      </c>
      <c r="D527">
        <f>YEAR(BSURTIDOR[[#This Row],[FECHA]])</f>
        <v>2026</v>
      </c>
      <c r="E527" s="124">
        <v>46092</v>
      </c>
      <c r="F527" s="382" t="s">
        <v>548</v>
      </c>
      <c r="G527" s="123">
        <v>8</v>
      </c>
      <c r="H527" s="123" t="s">
        <v>95</v>
      </c>
      <c r="I527" s="101" t="str">
        <f>VLOOKUP(BDsurtidor!$H527,$T$4:$W$18,2,FALSE)</f>
        <v>CISTERNA</v>
      </c>
      <c r="J527" s="101">
        <f>VLOOKUP(BDsurtidor!$H527,$T$4:$W$25,3,FALSE)</f>
        <v>2500</v>
      </c>
      <c r="K527" s="101">
        <f>VLOOKUP(BDsurtidor!$H527,$T$4:$W$25,4,FALSE)</f>
        <v>9</v>
      </c>
      <c r="L527" s="101">
        <f>VLOOKUP(BDsurtidor!$H527,$T$4:$X$25,5,FALSE)</f>
        <v>0.22</v>
      </c>
      <c r="M527" s="101" t="str">
        <f>VLOOKUP(BDsurtidor!$H527,$T$4:$Y$25,6,FALSE)</f>
        <v>EPS</v>
      </c>
      <c r="N527" s="70">
        <v>0</v>
      </c>
      <c r="O527" s="125">
        <v>0</v>
      </c>
      <c r="P527" s="126">
        <v>0.38333333333333336</v>
      </c>
      <c r="Q527" s="334" t="s">
        <v>574</v>
      </c>
    </row>
    <row r="528" spans="2:17" x14ac:dyDescent="0.25">
      <c r="B528">
        <f>WEEKNUM(BSURTIDOR[[#This Row],[FECHA]])</f>
        <v>11</v>
      </c>
      <c r="C528">
        <f>MONTH(BSURTIDOR[[#This Row],[FECHA]])</f>
        <v>3</v>
      </c>
      <c r="D528">
        <f>YEAR(BSURTIDOR[[#This Row],[FECHA]])</f>
        <v>2026</v>
      </c>
      <c r="E528" s="124">
        <v>46092</v>
      </c>
      <c r="F528" s="382" t="s">
        <v>548</v>
      </c>
      <c r="G528" s="123">
        <v>9</v>
      </c>
      <c r="H528" s="123" t="s">
        <v>98</v>
      </c>
      <c r="I528" s="101" t="str">
        <f>VLOOKUP(BDsurtidor!$H528,$T$4:$W$18,2,FALSE)</f>
        <v>CISTERNA</v>
      </c>
      <c r="J528" s="101">
        <f>VLOOKUP(BDsurtidor!$H528,$T$4:$W$25,3,FALSE)</f>
        <v>9000</v>
      </c>
      <c r="K528" s="101">
        <f>VLOOKUP(BDsurtidor!$H528,$T$4:$W$25,4,FALSE)</f>
        <v>34</v>
      </c>
      <c r="L528" s="101">
        <f>VLOOKUP(BDsurtidor!$H528,$T$4:$X$25,5,FALSE)</f>
        <v>0.45</v>
      </c>
      <c r="M528" s="101" t="str">
        <f>VLOOKUP(BDsurtidor!$H528,$T$4:$Y$25,6,FALSE)</f>
        <v>VIVIENDA</v>
      </c>
      <c r="N528" s="70">
        <v>0</v>
      </c>
      <c r="O528" s="125">
        <v>1.45</v>
      </c>
      <c r="P528" s="126">
        <v>0.43472222222222223</v>
      </c>
      <c r="Q528" s="334" t="s">
        <v>574</v>
      </c>
    </row>
    <row r="529" spans="2:18" x14ac:dyDescent="0.25">
      <c r="B529">
        <f>WEEKNUM(BSURTIDOR[[#This Row],[FECHA]])</f>
        <v>11</v>
      </c>
      <c r="C529">
        <f>MONTH(BSURTIDOR[[#This Row],[FECHA]])</f>
        <v>3</v>
      </c>
      <c r="D529">
        <f>YEAR(BSURTIDOR[[#This Row],[FECHA]])</f>
        <v>2026</v>
      </c>
      <c r="E529" s="124">
        <v>46092</v>
      </c>
      <c r="F529" s="382" t="s">
        <v>548</v>
      </c>
      <c r="G529" s="123">
        <v>10</v>
      </c>
      <c r="H529" s="123" t="s">
        <v>87</v>
      </c>
      <c r="I529" s="101" t="str">
        <f>VLOOKUP(BDsurtidor!$H529,$T$4:$W$18,2,FALSE)</f>
        <v>CISTERNA</v>
      </c>
      <c r="J529" s="101">
        <f>VLOOKUP(BDsurtidor!$H529,$T$4:$W$25,3,FALSE)</f>
        <v>5000</v>
      </c>
      <c r="K529" s="101">
        <f>VLOOKUP(BDsurtidor!$H529,$T$4:$W$25,4,FALSE)</f>
        <v>17</v>
      </c>
      <c r="L529" s="101">
        <f>VLOOKUP(BDsurtidor!$H529,$T$4:$X$25,5,FALSE)</f>
        <v>0.4</v>
      </c>
      <c r="M529" s="101" t="str">
        <f>VLOOKUP(BDsurtidor!$H529,$T$4:$Y$25,6,FALSE)</f>
        <v>EPS</v>
      </c>
      <c r="N529" s="70">
        <v>0</v>
      </c>
      <c r="O529" s="125">
        <v>1.5</v>
      </c>
      <c r="P529" s="126">
        <v>0.4861111111111111</v>
      </c>
      <c r="Q529" s="334" t="s">
        <v>574</v>
      </c>
    </row>
    <row r="530" spans="2:18" x14ac:dyDescent="0.25">
      <c r="B530">
        <f>WEEKNUM(BSURTIDOR[[#This Row],[FECHA]])</f>
        <v>11</v>
      </c>
      <c r="C530">
        <f>MONTH(BSURTIDOR[[#This Row],[FECHA]])</f>
        <v>3</v>
      </c>
      <c r="D530">
        <f>YEAR(BSURTIDOR[[#This Row],[FECHA]])</f>
        <v>2026</v>
      </c>
      <c r="E530" s="124">
        <v>46093</v>
      </c>
      <c r="F530" s="382" t="s">
        <v>548</v>
      </c>
      <c r="G530" s="123">
        <v>1</v>
      </c>
      <c r="H530" s="123" t="s">
        <v>100</v>
      </c>
      <c r="I530" s="101" t="str">
        <f>VLOOKUP(BDsurtidor!$H530,$T$4:$W$18,2,FALSE)</f>
        <v>HIDROJET</v>
      </c>
      <c r="J530" s="101">
        <f>VLOOKUP(BDsurtidor!$H530,$T$4:$W$25,3,FALSE)</f>
        <v>1000</v>
      </c>
      <c r="K530" s="101">
        <f>VLOOKUP(BDsurtidor!$H530,$T$4:$W$25,4,FALSE)</f>
        <v>1</v>
      </c>
      <c r="L530" s="101">
        <f>VLOOKUP(BDsurtidor!$H530,$T$4:$X$25,5,FALSE)</f>
        <v>0</v>
      </c>
      <c r="M530" s="101" t="str">
        <f>VLOOKUP(BDsurtidor!$H530,$T$4:$Y$25,6,FALSE)</f>
        <v>EPS</v>
      </c>
      <c r="N530" s="70">
        <v>0</v>
      </c>
      <c r="O530" s="309">
        <v>0</v>
      </c>
      <c r="P530" s="126">
        <v>0.27916666666666667</v>
      </c>
      <c r="Q530" s="334" t="s">
        <v>574</v>
      </c>
    </row>
    <row r="531" spans="2:18" x14ac:dyDescent="0.25">
      <c r="B531">
        <f>WEEKNUM(BSURTIDOR[[#This Row],[FECHA]])</f>
        <v>11</v>
      </c>
      <c r="C531">
        <f>MONTH(BSURTIDOR[[#This Row],[FECHA]])</f>
        <v>3</v>
      </c>
      <c r="D531">
        <f>YEAR(BSURTIDOR[[#This Row],[FECHA]])</f>
        <v>2026</v>
      </c>
      <c r="E531" s="124">
        <v>46093</v>
      </c>
      <c r="F531" s="382" t="s">
        <v>548</v>
      </c>
      <c r="G531" s="123">
        <v>2</v>
      </c>
      <c r="H531" s="123" t="s">
        <v>95</v>
      </c>
      <c r="I531" s="101" t="str">
        <f>VLOOKUP(BDsurtidor!$H531,$T$4:$W$18,2,FALSE)</f>
        <v>CISTERNA</v>
      </c>
      <c r="J531" s="101">
        <f>VLOOKUP(BDsurtidor!$H531,$T$4:$W$25,3,FALSE)</f>
        <v>2500</v>
      </c>
      <c r="K531" s="101">
        <f>VLOOKUP(BDsurtidor!$H531,$T$4:$W$25,4,FALSE)</f>
        <v>9</v>
      </c>
      <c r="L531" s="101">
        <f>VLOOKUP(BDsurtidor!$H531,$T$4:$X$25,5,FALSE)</f>
        <v>0.22</v>
      </c>
      <c r="M531" s="101" t="str">
        <f>VLOOKUP(BDsurtidor!$H531,$T$4:$Y$25,6,FALSE)</f>
        <v>EPS</v>
      </c>
      <c r="N531" s="70">
        <v>0</v>
      </c>
      <c r="O531" s="125">
        <v>0</v>
      </c>
      <c r="P531" s="126">
        <v>0.28472222222222221</v>
      </c>
      <c r="Q531" s="334" t="s">
        <v>574</v>
      </c>
    </row>
    <row r="532" spans="2:18" x14ac:dyDescent="0.25">
      <c r="B532">
        <f>WEEKNUM(BSURTIDOR[[#This Row],[FECHA]])</f>
        <v>11</v>
      </c>
      <c r="C532">
        <f>MONTH(BSURTIDOR[[#This Row],[FECHA]])</f>
        <v>3</v>
      </c>
      <c r="D532">
        <f>YEAR(BSURTIDOR[[#This Row],[FECHA]])</f>
        <v>2026</v>
      </c>
      <c r="E532" s="124">
        <v>46093</v>
      </c>
      <c r="F532" s="382" t="s">
        <v>548</v>
      </c>
      <c r="G532" s="123">
        <v>3</v>
      </c>
      <c r="H532" s="123" t="s">
        <v>558</v>
      </c>
      <c r="I532" s="101" t="str">
        <f>VLOOKUP(BDsurtidor!$H532,$T$4:$W$18,2,FALSE)</f>
        <v>HIDROJET</v>
      </c>
      <c r="J532" s="101">
        <f>VLOOKUP(BDsurtidor!$H532,$T$4:$W$25,3,FALSE)</f>
        <v>1000</v>
      </c>
      <c r="K532" s="101">
        <f>VLOOKUP(BDsurtidor!$H532,$T$4:$W$25,4,FALSE)</f>
        <v>1</v>
      </c>
      <c r="L532" s="101">
        <f>VLOOKUP(BDsurtidor!$H532,$T$4:$X$25,5,FALSE)</f>
        <v>0</v>
      </c>
      <c r="M532" s="101" t="str">
        <f>VLOOKUP(BDsurtidor!$H532,$T$4:$Y$25,6,FALSE)</f>
        <v>EPS</v>
      </c>
      <c r="N532" s="70">
        <v>0</v>
      </c>
      <c r="O532" s="125">
        <v>0</v>
      </c>
      <c r="P532" s="126">
        <v>0.29166666666666669</v>
      </c>
      <c r="Q532" s="334" t="s">
        <v>574</v>
      </c>
    </row>
    <row r="533" spans="2:18" x14ac:dyDescent="0.25">
      <c r="B533">
        <f>WEEKNUM(BSURTIDOR[[#This Row],[FECHA]])</f>
        <v>11</v>
      </c>
      <c r="C533">
        <f>MONTH(BSURTIDOR[[#This Row],[FECHA]])</f>
        <v>3</v>
      </c>
      <c r="D533">
        <f>YEAR(BSURTIDOR[[#This Row],[FECHA]])</f>
        <v>2026</v>
      </c>
      <c r="E533" s="124">
        <v>46093</v>
      </c>
      <c r="F533" s="382" t="s">
        <v>548</v>
      </c>
      <c r="G533" s="123">
        <v>4</v>
      </c>
      <c r="H533" s="123" t="s">
        <v>99</v>
      </c>
      <c r="I533" s="101" t="str">
        <f>VLOOKUP(BDsurtidor!$H533,$T$4:$W$18,2,FALSE)</f>
        <v>CISTERNA</v>
      </c>
      <c r="J533" s="101">
        <f>VLOOKUP(BDsurtidor!$H533,$T$4:$W$25,3,FALSE)</f>
        <v>5000</v>
      </c>
      <c r="K533" s="101">
        <f>VLOOKUP(BDsurtidor!$H533,$T$4:$W$25,4,FALSE)</f>
        <v>17</v>
      </c>
      <c r="L533" s="101">
        <f>VLOOKUP(BDsurtidor!$H533,$T$4:$X$25,5,FALSE)</f>
        <v>0.4</v>
      </c>
      <c r="M533" s="101" t="str">
        <f>VLOOKUP(BDsurtidor!$H533,$T$4:$Y$25,6,FALSE)</f>
        <v>EPS</v>
      </c>
      <c r="N533" s="70">
        <v>0</v>
      </c>
      <c r="O533" s="125">
        <v>1.44</v>
      </c>
      <c r="P533" s="126">
        <v>0.30555555555555558</v>
      </c>
      <c r="Q533" s="334" t="s">
        <v>574</v>
      </c>
    </row>
    <row r="534" spans="2:18" x14ac:dyDescent="0.25">
      <c r="B534">
        <f>WEEKNUM(BSURTIDOR[[#This Row],[FECHA]])</f>
        <v>11</v>
      </c>
      <c r="C534">
        <f>MONTH(BSURTIDOR[[#This Row],[FECHA]])</f>
        <v>3</v>
      </c>
      <c r="D534">
        <f>YEAR(BSURTIDOR[[#This Row],[FECHA]])</f>
        <v>2026</v>
      </c>
      <c r="E534" s="124">
        <v>46093</v>
      </c>
      <c r="F534" s="382" t="s">
        <v>548</v>
      </c>
      <c r="G534" s="123">
        <v>5</v>
      </c>
      <c r="H534" s="123" t="s">
        <v>98</v>
      </c>
      <c r="I534" s="101" t="str">
        <f>VLOOKUP(BDsurtidor!$H534,$T$4:$W$18,2,FALSE)</f>
        <v>CISTERNA</v>
      </c>
      <c r="J534" s="39">
        <f>VLOOKUP(BDsurtidor!$H534,$T$4:$W$25,3,FALSE)</f>
        <v>9000</v>
      </c>
      <c r="K534" s="39">
        <f>VLOOKUP(BDsurtidor!$H534,$T$4:$W$25,4,FALSE)</f>
        <v>34</v>
      </c>
      <c r="L534" s="101">
        <f>VLOOKUP(BDsurtidor!$H534,$T$4:$X$25,5,FALSE)</f>
        <v>0.45</v>
      </c>
      <c r="M534" s="39" t="str">
        <f>VLOOKUP(BDsurtidor!$H534,$T$4:$Y$25,6,FALSE)</f>
        <v>VIVIENDA</v>
      </c>
      <c r="N534" s="70">
        <v>0</v>
      </c>
      <c r="O534" s="125">
        <v>1.36</v>
      </c>
      <c r="P534" s="126">
        <v>0.31597222222222221</v>
      </c>
      <c r="Q534" s="334" t="s">
        <v>574</v>
      </c>
    </row>
    <row r="535" spans="2:18" x14ac:dyDescent="0.25">
      <c r="B535">
        <f>WEEKNUM(BSURTIDOR[[#This Row],[FECHA]])</f>
        <v>11</v>
      </c>
      <c r="C535">
        <f>MONTH(BSURTIDOR[[#This Row],[FECHA]])</f>
        <v>3</v>
      </c>
      <c r="D535">
        <f>YEAR(BSURTIDOR[[#This Row],[FECHA]])</f>
        <v>2026</v>
      </c>
      <c r="E535" s="124">
        <v>46093</v>
      </c>
      <c r="F535" s="382" t="s">
        <v>548</v>
      </c>
      <c r="G535" s="123">
        <v>6</v>
      </c>
      <c r="H535" s="123" t="s">
        <v>87</v>
      </c>
      <c r="I535" s="101" t="str">
        <f>VLOOKUP(BDsurtidor!$H535,$T$4:$W$18,2,FALSE)</f>
        <v>CISTERNA</v>
      </c>
      <c r="J535" s="39">
        <f>VLOOKUP(BDsurtidor!$H535,$T$4:$W$25,3,FALSE)</f>
        <v>5000</v>
      </c>
      <c r="K535" s="39">
        <f>VLOOKUP(BDsurtidor!$H535,$T$4:$W$25,4,FALSE)</f>
        <v>17</v>
      </c>
      <c r="L535" s="101">
        <f>VLOOKUP(BDsurtidor!$H535,$T$4:$X$25,5,FALSE)</f>
        <v>0.4</v>
      </c>
      <c r="M535" s="39" t="str">
        <f>VLOOKUP(BDsurtidor!$H535,$T$4:$Y$25,6,FALSE)</f>
        <v>EPS</v>
      </c>
      <c r="N535" s="70">
        <v>0</v>
      </c>
      <c r="O535" s="125">
        <v>1.45</v>
      </c>
      <c r="P535" s="126">
        <v>0.33333333333333331</v>
      </c>
      <c r="Q535" s="334" t="s">
        <v>574</v>
      </c>
    </row>
    <row r="536" spans="2:18" x14ac:dyDescent="0.25">
      <c r="B536">
        <f>WEEKNUM(BSURTIDOR[[#This Row],[FECHA]])</f>
        <v>11</v>
      </c>
      <c r="C536">
        <f>MONTH(BSURTIDOR[[#This Row],[FECHA]])</f>
        <v>3</v>
      </c>
      <c r="D536">
        <f>YEAR(BSURTIDOR[[#This Row],[FECHA]])</f>
        <v>2026</v>
      </c>
      <c r="E536" s="124">
        <v>46093</v>
      </c>
      <c r="F536" s="382" t="s">
        <v>548</v>
      </c>
      <c r="G536" s="123">
        <v>7</v>
      </c>
      <c r="H536" s="123" t="s">
        <v>87</v>
      </c>
      <c r="I536" s="101" t="str">
        <f>VLOOKUP(BDsurtidor!$H536,$T$4:$W$18,2,FALSE)</f>
        <v>CISTERNA</v>
      </c>
      <c r="J536" s="39">
        <f>VLOOKUP(BDsurtidor!$H536,$T$4:$W$25,3,FALSE)</f>
        <v>5000</v>
      </c>
      <c r="K536" s="39">
        <f>VLOOKUP(BDsurtidor!$H536,$T$4:$W$25,4,FALSE)</f>
        <v>17</v>
      </c>
      <c r="L536" s="101">
        <f>VLOOKUP(BDsurtidor!$H536,$T$4:$X$25,5,FALSE)</f>
        <v>0.4</v>
      </c>
      <c r="M536" s="39" t="str">
        <f>VLOOKUP(BDsurtidor!$H536,$T$4:$Y$25,6,FALSE)</f>
        <v>EPS</v>
      </c>
      <c r="N536" s="70">
        <v>0</v>
      </c>
      <c r="O536" s="125">
        <v>1.36</v>
      </c>
      <c r="P536" s="126">
        <v>0.45833333333333331</v>
      </c>
      <c r="Q536" s="334" t="s">
        <v>574</v>
      </c>
    </row>
    <row r="537" spans="2:18" x14ac:dyDescent="0.25">
      <c r="B537">
        <f>WEEKNUM(BSURTIDOR[[#This Row],[FECHA]])</f>
        <v>11</v>
      </c>
      <c r="C537">
        <f>MONTH(BSURTIDOR[[#This Row],[FECHA]])</f>
        <v>3</v>
      </c>
      <c r="D537">
        <f>YEAR(BSURTIDOR[[#This Row],[FECHA]])</f>
        <v>2026</v>
      </c>
      <c r="E537" s="124">
        <v>46093</v>
      </c>
      <c r="F537" s="382" t="s">
        <v>548</v>
      </c>
      <c r="G537" s="123">
        <v>8</v>
      </c>
      <c r="H537" s="123" t="s">
        <v>99</v>
      </c>
      <c r="I537" s="101" t="str">
        <f>VLOOKUP(BDsurtidor!$H537,$T$4:$W$18,2,FALSE)</f>
        <v>CISTERNA</v>
      </c>
      <c r="J537" s="39">
        <f>VLOOKUP(BDsurtidor!$H537,$T$4:$W$25,3,FALSE)</f>
        <v>5000</v>
      </c>
      <c r="K537" s="39">
        <f>VLOOKUP(BDsurtidor!$H537,$T$4:$W$25,4,FALSE)</f>
        <v>17</v>
      </c>
      <c r="L537" s="101">
        <f>VLOOKUP(BDsurtidor!$H537,$T$4:$X$25,5,FALSE)</f>
        <v>0.4</v>
      </c>
      <c r="M537" s="39" t="str">
        <f>VLOOKUP(BDsurtidor!$H537,$T$4:$Y$25,6,FALSE)</f>
        <v>EPS</v>
      </c>
      <c r="N537" s="70">
        <v>0</v>
      </c>
      <c r="O537" s="125">
        <v>1.23</v>
      </c>
      <c r="P537" s="126">
        <v>0.52430555555555558</v>
      </c>
      <c r="Q537" s="334" t="s">
        <v>574</v>
      </c>
    </row>
    <row r="538" spans="2:18" x14ac:dyDescent="0.25">
      <c r="B538">
        <f>WEEKNUM(BSURTIDOR[[#This Row],[FECHA]])</f>
        <v>11</v>
      </c>
      <c r="C538">
        <f>MONTH(BSURTIDOR[[#This Row],[FECHA]])</f>
        <v>3</v>
      </c>
      <c r="D538">
        <f>YEAR(BSURTIDOR[[#This Row],[FECHA]])</f>
        <v>2026</v>
      </c>
      <c r="E538" s="124">
        <v>46094</v>
      </c>
      <c r="F538" s="382" t="s">
        <v>548</v>
      </c>
      <c r="G538" s="123">
        <v>1</v>
      </c>
      <c r="H538" s="123" t="s">
        <v>558</v>
      </c>
      <c r="I538" s="101" t="str">
        <f>VLOOKUP(BDsurtidor!$H538,$T$4:$W$18,2,FALSE)</f>
        <v>HIDROJET</v>
      </c>
      <c r="J538" s="101">
        <f>VLOOKUP(BDsurtidor!$H538,$T$4:$W$25,3,FALSE)</f>
        <v>1000</v>
      </c>
      <c r="K538" s="101">
        <f>VLOOKUP(BDsurtidor!$H538,$T$4:$W$25,4,FALSE)</f>
        <v>1</v>
      </c>
      <c r="L538" s="101">
        <f>VLOOKUP(BDsurtidor!$H538,$T$4:$X$25,5,FALSE)</f>
        <v>0</v>
      </c>
      <c r="M538" s="101" t="str">
        <f>VLOOKUP(BDsurtidor!$H538,$T$4:$Y$25,6,FALSE)</f>
        <v>EPS</v>
      </c>
      <c r="N538" s="70">
        <v>0</v>
      </c>
      <c r="O538" s="125">
        <v>0</v>
      </c>
      <c r="P538" s="126">
        <v>0.2590277777777778</v>
      </c>
      <c r="Q538" s="334" t="s">
        <v>574</v>
      </c>
    </row>
    <row r="539" spans="2:18" x14ac:dyDescent="0.25">
      <c r="B539">
        <f>WEEKNUM(BSURTIDOR[[#This Row],[FECHA]])</f>
        <v>11</v>
      </c>
      <c r="C539">
        <f>MONTH(BSURTIDOR[[#This Row],[FECHA]])</f>
        <v>3</v>
      </c>
      <c r="D539">
        <f>YEAR(BSURTIDOR[[#This Row],[FECHA]])</f>
        <v>2026</v>
      </c>
      <c r="E539" s="124">
        <v>46094</v>
      </c>
      <c r="F539" s="382" t="s">
        <v>548</v>
      </c>
      <c r="G539" s="123">
        <v>2</v>
      </c>
      <c r="H539" s="123" t="s">
        <v>100</v>
      </c>
      <c r="I539" s="101" t="str">
        <f>VLOOKUP(BDsurtidor!$H539,$T$4:$W$18,2,FALSE)</f>
        <v>HIDROJET</v>
      </c>
      <c r="J539" s="101">
        <f>VLOOKUP(BDsurtidor!$H539,$T$4:$W$25,3,FALSE)</f>
        <v>1000</v>
      </c>
      <c r="K539" s="101">
        <f>VLOOKUP(BDsurtidor!$H539,$T$4:$W$25,4,FALSE)</f>
        <v>1</v>
      </c>
      <c r="L539" s="101">
        <f>VLOOKUP(BDsurtidor!$H539,$T$4:$X$25,5,FALSE)</f>
        <v>0</v>
      </c>
      <c r="M539" s="101" t="str">
        <f>VLOOKUP(BDsurtidor!$H539,$T$4:$Y$25,6,FALSE)</f>
        <v>EPS</v>
      </c>
      <c r="N539" s="70">
        <v>0</v>
      </c>
      <c r="O539" s="125">
        <v>0</v>
      </c>
      <c r="P539" s="126">
        <v>0.26527777777777778</v>
      </c>
      <c r="Q539" s="334" t="s">
        <v>574</v>
      </c>
    </row>
    <row r="540" spans="2:18" x14ac:dyDescent="0.25">
      <c r="B540">
        <f>WEEKNUM(BSURTIDOR[[#This Row],[FECHA]])</f>
        <v>11</v>
      </c>
      <c r="C540">
        <f>MONTH(BSURTIDOR[[#This Row],[FECHA]])</f>
        <v>3</v>
      </c>
      <c r="D540">
        <f>YEAR(BSURTIDOR[[#This Row],[FECHA]])</f>
        <v>2026</v>
      </c>
      <c r="E540" s="124">
        <v>46094</v>
      </c>
      <c r="F540" s="382" t="s">
        <v>548</v>
      </c>
      <c r="G540" s="123">
        <v>3</v>
      </c>
      <c r="H540" s="123" t="s">
        <v>558</v>
      </c>
      <c r="I540" s="101" t="str">
        <f>VLOOKUP(BDsurtidor!$H540,$T$4:$W$18,2,FALSE)</f>
        <v>HIDROJET</v>
      </c>
      <c r="J540" s="101">
        <f>VLOOKUP(BDsurtidor!$H540,$T$4:$W$25,3,FALSE)</f>
        <v>1000</v>
      </c>
      <c r="K540" s="101">
        <f>VLOOKUP(BDsurtidor!$H540,$T$4:$W$25,4,FALSE)</f>
        <v>1</v>
      </c>
      <c r="L540" s="101">
        <f>VLOOKUP(BDsurtidor!$H540,$T$4:$X$25,5,FALSE)</f>
        <v>0</v>
      </c>
      <c r="M540" s="101" t="str">
        <f>VLOOKUP(BDsurtidor!$H540,$T$4:$Y$25,6,FALSE)</f>
        <v>EPS</v>
      </c>
      <c r="N540" s="70">
        <v>0</v>
      </c>
      <c r="O540" s="125">
        <v>0</v>
      </c>
      <c r="P540" s="126">
        <v>0.43125000000000002</v>
      </c>
      <c r="Q540" s="334" t="s">
        <v>574</v>
      </c>
    </row>
    <row r="541" spans="2:18" x14ac:dyDescent="0.25">
      <c r="B541">
        <f>WEEKNUM(BSURTIDOR[[#This Row],[FECHA]])</f>
        <v>11</v>
      </c>
      <c r="C541">
        <f>MONTH(BSURTIDOR[[#This Row],[FECHA]])</f>
        <v>3</v>
      </c>
      <c r="D541">
        <f>YEAR(BSURTIDOR[[#This Row],[FECHA]])</f>
        <v>2026</v>
      </c>
      <c r="E541" s="397">
        <v>46095</v>
      </c>
      <c r="F541" s="382" t="s">
        <v>548</v>
      </c>
      <c r="G541" s="398">
        <v>1</v>
      </c>
      <c r="H541" s="398" t="s">
        <v>99</v>
      </c>
      <c r="I541" s="399" t="str">
        <f>VLOOKUP(BDsurtidor!$H541,$T$4:$W$18,2,FALSE)</f>
        <v>CISTERNA</v>
      </c>
      <c r="J541" s="399">
        <f>VLOOKUP(BDsurtidor!$H541,$T$4:$W$25,3,FALSE)</f>
        <v>5000</v>
      </c>
      <c r="K541" s="399">
        <f>VLOOKUP(BDsurtidor!$H541,$T$4:$W$25,4,FALSE)</f>
        <v>17</v>
      </c>
      <c r="L541" s="399">
        <f>VLOOKUP(BDsurtidor!$H541,$T$4:$X$25,5,FALSE)</f>
        <v>0.4</v>
      </c>
      <c r="M541" s="399" t="str">
        <f>VLOOKUP(BDsurtidor!$H541,$T$4:$Y$25,6,FALSE)</f>
        <v>EPS</v>
      </c>
      <c r="N541" s="70">
        <v>0</v>
      </c>
      <c r="O541" s="400">
        <v>1.1299999999999999</v>
      </c>
      <c r="P541" s="401">
        <v>0.30486111111111114</v>
      </c>
      <c r="Q541" s="334" t="s">
        <v>574</v>
      </c>
      <c r="R541" s="402"/>
    </row>
    <row r="542" spans="2:18" x14ac:dyDescent="0.25">
      <c r="B542">
        <f>WEEKNUM(BSURTIDOR[[#This Row],[FECHA]])</f>
        <v>11</v>
      </c>
      <c r="C542">
        <f>MONTH(BSURTIDOR[[#This Row],[FECHA]])</f>
        <v>3</v>
      </c>
      <c r="D542">
        <f>YEAR(BSURTIDOR[[#This Row],[FECHA]])</f>
        <v>2026</v>
      </c>
      <c r="E542" s="397">
        <v>46095</v>
      </c>
      <c r="F542" s="382" t="s">
        <v>548</v>
      </c>
      <c r="G542" s="398">
        <v>2</v>
      </c>
      <c r="H542" s="398" t="s">
        <v>98</v>
      </c>
      <c r="I542" s="399" t="str">
        <f>VLOOKUP(BDsurtidor!$H542,$T$4:$W$18,2,FALSE)</f>
        <v>CISTERNA</v>
      </c>
      <c r="J542" s="399">
        <f>VLOOKUP(BDsurtidor!$H542,$T$4:$W$25,3,FALSE)</f>
        <v>9000</v>
      </c>
      <c r="K542" s="399">
        <f>VLOOKUP(BDsurtidor!$H542,$T$4:$W$25,4,FALSE)</f>
        <v>34</v>
      </c>
      <c r="L542" s="399">
        <f>VLOOKUP(BDsurtidor!$H542,$T$4:$X$25,5,FALSE)</f>
        <v>0.45</v>
      </c>
      <c r="M542" s="399" t="str">
        <f>VLOOKUP(BDsurtidor!$H542,$T$4:$Y$25,6,FALSE)</f>
        <v>VIVIENDA</v>
      </c>
      <c r="N542" s="70">
        <v>0</v>
      </c>
      <c r="O542" s="400">
        <v>1.1499999999999999</v>
      </c>
      <c r="P542" s="401">
        <v>0.31111111111111112</v>
      </c>
      <c r="Q542" s="334" t="s">
        <v>574</v>
      </c>
      <c r="R542" s="402"/>
    </row>
    <row r="543" spans="2:18" x14ac:dyDescent="0.25">
      <c r="B543">
        <f>WEEKNUM(BSURTIDOR[[#This Row],[FECHA]])</f>
        <v>11</v>
      </c>
      <c r="C543">
        <f>MONTH(BSURTIDOR[[#This Row],[FECHA]])</f>
        <v>3</v>
      </c>
      <c r="D543">
        <f>YEAR(BSURTIDOR[[#This Row],[FECHA]])</f>
        <v>2026</v>
      </c>
      <c r="E543" s="397">
        <v>46095</v>
      </c>
      <c r="F543" s="382" t="s">
        <v>548</v>
      </c>
      <c r="G543" s="398">
        <v>3</v>
      </c>
      <c r="H543" s="398" t="s">
        <v>87</v>
      </c>
      <c r="I543" s="399" t="str">
        <f>VLOOKUP(BDsurtidor!$H543,$T$4:$W$18,2,FALSE)</f>
        <v>CISTERNA</v>
      </c>
      <c r="J543" s="399">
        <f>VLOOKUP(BDsurtidor!$H543,$T$4:$W$25,3,FALSE)</f>
        <v>5000</v>
      </c>
      <c r="K543" s="399">
        <f>VLOOKUP(BDsurtidor!$H543,$T$4:$W$25,4,FALSE)</f>
        <v>17</v>
      </c>
      <c r="L543" s="399">
        <f>VLOOKUP(BDsurtidor!$H543,$T$4:$X$25,5,FALSE)</f>
        <v>0.4</v>
      </c>
      <c r="M543" s="399" t="str">
        <f>VLOOKUP(BDsurtidor!$H543,$T$4:$Y$25,6,FALSE)</f>
        <v>EPS</v>
      </c>
      <c r="N543" s="70">
        <v>0</v>
      </c>
      <c r="O543" s="400">
        <v>1.1000000000000001</v>
      </c>
      <c r="P543" s="401">
        <v>0.32013888888888886</v>
      </c>
      <c r="Q543" s="334" t="s">
        <v>574</v>
      </c>
      <c r="R543" s="402"/>
    </row>
    <row r="544" spans="2:18" x14ac:dyDescent="0.25">
      <c r="B544">
        <f>WEEKNUM(BSURTIDOR[[#This Row],[FECHA]])</f>
        <v>11</v>
      </c>
      <c r="C544">
        <f>MONTH(BSURTIDOR[[#This Row],[FECHA]])</f>
        <v>3</v>
      </c>
      <c r="D544">
        <f>YEAR(BSURTIDOR[[#This Row],[FECHA]])</f>
        <v>2026</v>
      </c>
      <c r="E544" s="397">
        <v>46095</v>
      </c>
      <c r="F544" s="382" t="s">
        <v>548</v>
      </c>
      <c r="G544" s="398">
        <v>4</v>
      </c>
      <c r="H544" s="398" t="s">
        <v>99</v>
      </c>
      <c r="I544" s="399" t="str">
        <f>VLOOKUP(BDsurtidor!$H544,$T$4:$W$18,2,FALSE)</f>
        <v>CISTERNA</v>
      </c>
      <c r="J544" s="399">
        <f>VLOOKUP(BDsurtidor!$H544,$T$4:$W$25,3,FALSE)</f>
        <v>5000</v>
      </c>
      <c r="K544" s="399">
        <f>VLOOKUP(BDsurtidor!$H544,$T$4:$W$25,4,FALSE)</f>
        <v>17</v>
      </c>
      <c r="L544" s="399">
        <f>VLOOKUP(BDsurtidor!$H544,$T$4:$X$25,5,FALSE)</f>
        <v>0.4</v>
      </c>
      <c r="M544" s="399" t="str">
        <f>VLOOKUP(BDsurtidor!$H544,$T$4:$Y$25,6,FALSE)</f>
        <v>EPS</v>
      </c>
      <c r="N544" s="70">
        <v>0</v>
      </c>
      <c r="O544" s="400">
        <v>1.06</v>
      </c>
      <c r="P544" s="401">
        <v>0.4861111111111111</v>
      </c>
      <c r="Q544" s="334" t="s">
        <v>574</v>
      </c>
      <c r="R544" s="402"/>
    </row>
    <row r="545" spans="2:18" x14ac:dyDescent="0.25">
      <c r="B545">
        <f>WEEKNUM(BSURTIDOR[[#This Row],[FECHA]])</f>
        <v>11</v>
      </c>
      <c r="C545">
        <f>MONTH(BSURTIDOR[[#This Row],[FECHA]])</f>
        <v>3</v>
      </c>
      <c r="D545">
        <f>YEAR(BSURTIDOR[[#This Row],[FECHA]])</f>
        <v>2026</v>
      </c>
      <c r="E545" s="397">
        <v>46095</v>
      </c>
      <c r="F545" s="382" t="s">
        <v>548</v>
      </c>
      <c r="G545" s="398">
        <v>5</v>
      </c>
      <c r="H545" s="398" t="s">
        <v>87</v>
      </c>
      <c r="I545" s="399" t="str">
        <f>VLOOKUP(BDsurtidor!$H545,$T$4:$W$18,2,FALSE)</f>
        <v>CISTERNA</v>
      </c>
      <c r="J545" s="399">
        <f>VLOOKUP(BDsurtidor!$H545,$T$4:$W$25,3,FALSE)</f>
        <v>5000</v>
      </c>
      <c r="K545" s="399">
        <f>VLOOKUP(BDsurtidor!$H545,$T$4:$W$25,4,FALSE)</f>
        <v>17</v>
      </c>
      <c r="L545" s="399">
        <f>VLOOKUP(BDsurtidor!$H545,$T$4:$X$25,5,FALSE)</f>
        <v>0.4</v>
      </c>
      <c r="M545" s="399" t="str">
        <f>VLOOKUP(BDsurtidor!$H545,$T$4:$Y$25,6,FALSE)</f>
        <v>EPS</v>
      </c>
      <c r="N545" s="70">
        <v>0</v>
      </c>
      <c r="O545" s="400">
        <v>1.07</v>
      </c>
      <c r="P545" s="401">
        <v>0.50347222222222221</v>
      </c>
      <c r="Q545" s="334" t="s">
        <v>574</v>
      </c>
      <c r="R545" s="402"/>
    </row>
    <row r="546" spans="2:18" x14ac:dyDescent="0.25">
      <c r="B546">
        <f>WEEKNUM(BSURTIDOR[[#This Row],[FECHA]])</f>
        <v>12</v>
      </c>
      <c r="C546">
        <f>MONTH(BSURTIDOR[[#This Row],[FECHA]])</f>
        <v>3</v>
      </c>
      <c r="D546">
        <f>YEAR(BSURTIDOR[[#This Row],[FECHA]])</f>
        <v>2026</v>
      </c>
      <c r="E546" s="124">
        <v>46097</v>
      </c>
      <c r="F546" s="382" t="s">
        <v>548</v>
      </c>
      <c r="G546" s="123">
        <v>1</v>
      </c>
      <c r="H546" s="123" t="s">
        <v>95</v>
      </c>
      <c r="I546" s="101" t="str">
        <f>VLOOKUP(BDsurtidor!$H546,$T$4:$W$18,2,FALSE)</f>
        <v>CISTERNA</v>
      </c>
      <c r="J546" s="101">
        <f>VLOOKUP(BDsurtidor!$H546,$T$4:$W$25,3,FALSE)</f>
        <v>2500</v>
      </c>
      <c r="K546" s="101">
        <f>VLOOKUP(BDsurtidor!$H546,$T$4:$W$25,4,FALSE)</f>
        <v>9</v>
      </c>
      <c r="L546" s="101">
        <f>VLOOKUP(BDsurtidor!$H546,$T$4:$X$25,5,FALSE)</f>
        <v>0.22</v>
      </c>
      <c r="M546" s="101" t="str">
        <f>VLOOKUP(BDsurtidor!$H546,$T$4:$Y$25,6,FALSE)</f>
        <v>EPS</v>
      </c>
      <c r="N546" s="70">
        <v>0</v>
      </c>
      <c r="O546" s="125">
        <v>0</v>
      </c>
      <c r="P546" s="126">
        <v>0.27430555555555558</v>
      </c>
      <c r="Q546" s="334" t="s">
        <v>574</v>
      </c>
    </row>
    <row r="547" spans="2:18" x14ac:dyDescent="0.25">
      <c r="B547">
        <f>WEEKNUM(BSURTIDOR[[#This Row],[FECHA]])</f>
        <v>12</v>
      </c>
      <c r="C547">
        <f>MONTH(BSURTIDOR[[#This Row],[FECHA]])</f>
        <v>3</v>
      </c>
      <c r="D547">
        <f>YEAR(BSURTIDOR[[#This Row],[FECHA]])</f>
        <v>2026</v>
      </c>
      <c r="E547" s="124">
        <v>46097</v>
      </c>
      <c r="F547" s="382" t="s">
        <v>548</v>
      </c>
      <c r="G547" s="123">
        <v>2</v>
      </c>
      <c r="H547" s="123" t="s">
        <v>100</v>
      </c>
      <c r="I547" s="101" t="str">
        <f>VLOOKUP(BDsurtidor!$H547,$T$4:$W$18,2,FALSE)</f>
        <v>HIDROJET</v>
      </c>
      <c r="J547" s="101">
        <f>VLOOKUP(BDsurtidor!$H547,$T$4:$W$25,3,FALSE)</f>
        <v>1000</v>
      </c>
      <c r="K547" s="101">
        <f>VLOOKUP(BDsurtidor!$H547,$T$4:$W$25,4,FALSE)</f>
        <v>1</v>
      </c>
      <c r="L547" s="101">
        <f>VLOOKUP(BDsurtidor!$H547,$T$4:$X$25,5,FALSE)</f>
        <v>0</v>
      </c>
      <c r="M547" s="101" t="str">
        <f>VLOOKUP(BDsurtidor!$H547,$T$4:$Y$25,6,FALSE)</f>
        <v>EPS</v>
      </c>
      <c r="N547" s="70">
        <v>0</v>
      </c>
      <c r="O547" s="125">
        <v>0</v>
      </c>
      <c r="P547" s="126">
        <v>0.28611111111111109</v>
      </c>
      <c r="Q547" s="334" t="s">
        <v>574</v>
      </c>
    </row>
    <row r="548" spans="2:18" x14ac:dyDescent="0.25">
      <c r="B548">
        <f>WEEKNUM(BSURTIDOR[[#This Row],[FECHA]])</f>
        <v>12</v>
      </c>
      <c r="C548">
        <f>MONTH(BSURTIDOR[[#This Row],[FECHA]])</f>
        <v>3</v>
      </c>
      <c r="D548">
        <f>YEAR(BSURTIDOR[[#This Row],[FECHA]])</f>
        <v>2026</v>
      </c>
      <c r="E548" s="124">
        <v>46097</v>
      </c>
      <c r="F548" s="382" t="s">
        <v>548</v>
      </c>
      <c r="G548" s="123">
        <v>3</v>
      </c>
      <c r="H548" s="123" t="s">
        <v>99</v>
      </c>
      <c r="I548" s="101" t="str">
        <f>VLOOKUP(BDsurtidor!$H548,$T$4:$W$18,2,FALSE)</f>
        <v>CISTERNA</v>
      </c>
      <c r="J548" s="101">
        <f>VLOOKUP(BDsurtidor!$H548,$T$4:$W$25,3,FALSE)</f>
        <v>5000</v>
      </c>
      <c r="K548" s="101">
        <f>VLOOKUP(BDsurtidor!$H548,$T$4:$W$25,4,FALSE)</f>
        <v>17</v>
      </c>
      <c r="L548" s="101">
        <f>VLOOKUP(BDsurtidor!$H548,$T$4:$X$25,5,FALSE)</f>
        <v>0.4</v>
      </c>
      <c r="M548" s="101" t="str">
        <f>VLOOKUP(BDsurtidor!$H548,$T$4:$Y$25,6,FALSE)</f>
        <v>EPS</v>
      </c>
      <c r="N548" s="70">
        <v>0</v>
      </c>
      <c r="O548" s="125">
        <v>1.25</v>
      </c>
      <c r="P548" s="126">
        <v>0.29930555555555555</v>
      </c>
      <c r="Q548" s="334" t="s">
        <v>574</v>
      </c>
    </row>
    <row r="549" spans="2:18" x14ac:dyDescent="0.25">
      <c r="B549">
        <f>WEEKNUM(BSURTIDOR[[#This Row],[FECHA]])</f>
        <v>12</v>
      </c>
      <c r="C549">
        <f>MONTH(BSURTIDOR[[#This Row],[FECHA]])</f>
        <v>3</v>
      </c>
      <c r="D549">
        <f>YEAR(BSURTIDOR[[#This Row],[FECHA]])</f>
        <v>2026</v>
      </c>
      <c r="E549" s="124">
        <v>46097</v>
      </c>
      <c r="F549" s="382" t="s">
        <v>548</v>
      </c>
      <c r="G549" s="123">
        <v>4</v>
      </c>
      <c r="H549" s="123" t="s">
        <v>98</v>
      </c>
      <c r="I549" s="101" t="str">
        <f>VLOOKUP(BDsurtidor!$H549,$T$4:$W$18,2,FALSE)</f>
        <v>CISTERNA</v>
      </c>
      <c r="J549" s="101">
        <f>VLOOKUP(BDsurtidor!$H549,$T$4:$W$25,3,FALSE)</f>
        <v>9000</v>
      </c>
      <c r="K549" s="101">
        <f>VLOOKUP(BDsurtidor!$H549,$T$4:$W$25,4,FALSE)</f>
        <v>34</v>
      </c>
      <c r="L549" s="101">
        <f>VLOOKUP(BDsurtidor!$H549,$T$4:$X$25,5,FALSE)</f>
        <v>0.45</v>
      </c>
      <c r="M549" s="101" t="str">
        <f>VLOOKUP(BDsurtidor!$H549,$T$4:$Y$25,6,FALSE)</f>
        <v>VIVIENDA</v>
      </c>
      <c r="N549" s="70">
        <v>0</v>
      </c>
      <c r="O549" s="125">
        <v>1.35</v>
      </c>
      <c r="P549" s="126">
        <v>0.30972222222222223</v>
      </c>
      <c r="Q549" s="334" t="s">
        <v>574</v>
      </c>
    </row>
    <row r="550" spans="2:18" x14ac:dyDescent="0.25">
      <c r="B550">
        <f>WEEKNUM(BSURTIDOR[[#This Row],[FECHA]])</f>
        <v>12</v>
      </c>
      <c r="C550">
        <f>MONTH(BSURTIDOR[[#This Row],[FECHA]])</f>
        <v>3</v>
      </c>
      <c r="D550">
        <f>YEAR(BSURTIDOR[[#This Row],[FECHA]])</f>
        <v>2026</v>
      </c>
      <c r="E550" s="124">
        <v>46097</v>
      </c>
      <c r="F550" s="382" t="s">
        <v>548</v>
      </c>
      <c r="G550" s="123">
        <v>5</v>
      </c>
      <c r="H550" s="123" t="s">
        <v>87</v>
      </c>
      <c r="I550" s="101" t="str">
        <f>VLOOKUP(BDsurtidor!$H550,$T$4:$W$18,2,FALSE)</f>
        <v>CISTERNA</v>
      </c>
      <c r="J550" s="39">
        <f>VLOOKUP(BDsurtidor!$H550,$T$4:$W$25,3,FALSE)</f>
        <v>5000</v>
      </c>
      <c r="K550" s="39">
        <f>VLOOKUP(BDsurtidor!$H550,$T$4:$W$25,4,FALSE)</f>
        <v>17</v>
      </c>
      <c r="L550" s="101">
        <f>VLOOKUP(BDsurtidor!$H550,$T$4:$X$25,5,FALSE)</f>
        <v>0.4</v>
      </c>
      <c r="M550" s="39" t="str">
        <f>VLOOKUP(BDsurtidor!$H550,$T$4:$Y$25,6,FALSE)</f>
        <v>EPS</v>
      </c>
      <c r="N550" s="70">
        <v>0</v>
      </c>
      <c r="O550" s="125">
        <v>1.26</v>
      </c>
      <c r="P550" s="126">
        <v>0.32361111111111113</v>
      </c>
      <c r="Q550" s="334" t="s">
        <v>574</v>
      </c>
    </row>
    <row r="551" spans="2:18" x14ac:dyDescent="0.25">
      <c r="B551">
        <f>WEEKNUM(BSURTIDOR[[#This Row],[FECHA]])</f>
        <v>12</v>
      </c>
      <c r="C551">
        <f>MONTH(BSURTIDOR[[#This Row],[FECHA]])</f>
        <v>3</v>
      </c>
      <c r="D551">
        <f>YEAR(BSURTIDOR[[#This Row],[FECHA]])</f>
        <v>2026</v>
      </c>
      <c r="E551" s="124">
        <v>46097</v>
      </c>
      <c r="F551" s="382" t="s">
        <v>548</v>
      </c>
      <c r="G551" s="123">
        <v>6</v>
      </c>
      <c r="H551" s="123" t="s">
        <v>99</v>
      </c>
      <c r="I551" s="101" t="str">
        <f>VLOOKUP(BDsurtidor!$H551,$T$4:$W$18,2,FALSE)</f>
        <v>CISTERNA</v>
      </c>
      <c r="J551" s="39">
        <f>VLOOKUP(BDsurtidor!$H551,$T$4:$W$25,3,FALSE)</f>
        <v>5000</v>
      </c>
      <c r="K551" s="39">
        <f>VLOOKUP(BDsurtidor!$H551,$T$4:$W$25,4,FALSE)</f>
        <v>17</v>
      </c>
      <c r="L551" s="101">
        <f>VLOOKUP(BDsurtidor!$H551,$T$4:$X$25,5,FALSE)</f>
        <v>0.4</v>
      </c>
      <c r="M551" s="39" t="str">
        <f>VLOOKUP(BDsurtidor!$H551,$T$4:$Y$25,6,FALSE)</f>
        <v>EPS</v>
      </c>
      <c r="N551" s="70">
        <v>0</v>
      </c>
      <c r="O551" s="125">
        <v>1.2</v>
      </c>
      <c r="P551" s="126">
        <v>0.44444444444444442</v>
      </c>
      <c r="Q551" s="334" t="s">
        <v>574</v>
      </c>
    </row>
    <row r="552" spans="2:18" x14ac:dyDescent="0.25">
      <c r="B552">
        <f>WEEKNUM(BSURTIDOR[[#This Row],[FECHA]])</f>
        <v>12</v>
      </c>
      <c r="C552">
        <f>MONTH(BSURTIDOR[[#This Row],[FECHA]])</f>
        <v>3</v>
      </c>
      <c r="D552">
        <f>YEAR(BSURTIDOR[[#This Row],[FECHA]])</f>
        <v>2026</v>
      </c>
      <c r="E552" s="124">
        <v>46097</v>
      </c>
      <c r="F552" s="382" t="s">
        <v>548</v>
      </c>
      <c r="G552" s="123">
        <v>7</v>
      </c>
      <c r="H552" s="123" t="s">
        <v>87</v>
      </c>
      <c r="I552" s="101" t="str">
        <f>VLOOKUP(BDsurtidor!$H552,$T$4:$W$18,2,FALSE)</f>
        <v>CISTERNA</v>
      </c>
      <c r="J552" s="39">
        <f>VLOOKUP(BDsurtidor!$H552,$T$4:$W$25,3,FALSE)</f>
        <v>5000</v>
      </c>
      <c r="K552" s="39">
        <f>VLOOKUP(BDsurtidor!$H552,$T$4:$W$25,4,FALSE)</f>
        <v>17</v>
      </c>
      <c r="L552" s="101">
        <f>VLOOKUP(BDsurtidor!$H552,$T$4:$X$25,5,FALSE)</f>
        <v>0.4</v>
      </c>
      <c r="M552" s="39" t="str">
        <f>VLOOKUP(BDsurtidor!$H552,$T$4:$Y$25,6,FALSE)</f>
        <v>EPS</v>
      </c>
      <c r="N552" s="70">
        <v>0</v>
      </c>
      <c r="O552" s="125">
        <v>1.23</v>
      </c>
      <c r="P552" s="126">
        <v>0.52152777777777781</v>
      </c>
      <c r="Q552" s="334" t="s">
        <v>574</v>
      </c>
    </row>
    <row r="553" spans="2:18" x14ac:dyDescent="0.25">
      <c r="B553">
        <f>WEEKNUM(BSURTIDOR[[#This Row],[FECHA]])</f>
        <v>12</v>
      </c>
      <c r="C553">
        <f>MONTH(BSURTIDOR[[#This Row],[FECHA]])</f>
        <v>3</v>
      </c>
      <c r="D553">
        <f>YEAR(BSURTIDOR[[#This Row],[FECHA]])</f>
        <v>2026</v>
      </c>
      <c r="E553" s="124">
        <v>46098</v>
      </c>
      <c r="F553" s="382" t="s">
        <v>548</v>
      </c>
      <c r="G553" s="123">
        <v>1</v>
      </c>
      <c r="H553" s="123" t="s">
        <v>100</v>
      </c>
      <c r="I553" s="101" t="str">
        <f>VLOOKUP(BDsurtidor!$H553,$T$4:$W$18,2,FALSE)</f>
        <v>HIDROJET</v>
      </c>
      <c r="J553" s="39">
        <f>VLOOKUP(BDsurtidor!$H553,$T$4:$W$25,3,FALSE)</f>
        <v>1000</v>
      </c>
      <c r="K553" s="39">
        <f>VLOOKUP(BDsurtidor!$H553,$T$4:$W$25,4,FALSE)</f>
        <v>1</v>
      </c>
      <c r="L553" s="101">
        <f>VLOOKUP(BDsurtidor!$H553,$T$4:$X$25,5,FALSE)</f>
        <v>0</v>
      </c>
      <c r="M553" s="39" t="str">
        <f>VLOOKUP(BDsurtidor!$H553,$T$4:$Y$25,6,FALSE)</f>
        <v>EPS</v>
      </c>
      <c r="N553" s="70">
        <v>0</v>
      </c>
      <c r="O553" s="125">
        <v>0</v>
      </c>
      <c r="P553" s="126">
        <v>0.27569444444444446</v>
      </c>
      <c r="Q553" s="334" t="s">
        <v>574</v>
      </c>
    </row>
    <row r="554" spans="2:18" x14ac:dyDescent="0.25">
      <c r="B554">
        <f>WEEKNUM(BSURTIDOR[[#This Row],[FECHA]])</f>
        <v>12</v>
      </c>
      <c r="C554">
        <f>MONTH(BSURTIDOR[[#This Row],[FECHA]])</f>
        <v>3</v>
      </c>
      <c r="D554">
        <f>YEAR(BSURTIDOR[[#This Row],[FECHA]])</f>
        <v>2026</v>
      </c>
      <c r="E554" s="124">
        <v>46098</v>
      </c>
      <c r="F554" s="382" t="s">
        <v>548</v>
      </c>
      <c r="G554" s="123">
        <v>2</v>
      </c>
      <c r="H554" s="123" t="s">
        <v>99</v>
      </c>
      <c r="I554" s="101" t="str">
        <f>VLOOKUP(BDsurtidor!$H554,$T$4:$W$18,2,FALSE)</f>
        <v>CISTERNA</v>
      </c>
      <c r="J554" s="101">
        <f>VLOOKUP(BDsurtidor!$H554,$T$4:$W$25,3,FALSE)</f>
        <v>5000</v>
      </c>
      <c r="K554" s="101">
        <f>VLOOKUP(BDsurtidor!$H554,$T$4:$W$25,4,FALSE)</f>
        <v>17</v>
      </c>
      <c r="L554" s="101">
        <f>VLOOKUP(BDsurtidor!$H554,$T$4:$X$25,5,FALSE)</f>
        <v>0.4</v>
      </c>
      <c r="M554" s="101" t="str">
        <f>VLOOKUP(BDsurtidor!$H554,$T$4:$Y$25,6,FALSE)</f>
        <v>EPS</v>
      </c>
      <c r="N554" s="70">
        <v>0</v>
      </c>
      <c r="O554" s="125">
        <v>1.24</v>
      </c>
      <c r="P554" s="126">
        <v>0.2986111111111111</v>
      </c>
      <c r="Q554" s="334" t="s">
        <v>574</v>
      </c>
    </row>
    <row r="555" spans="2:18" x14ac:dyDescent="0.25">
      <c r="B555">
        <f>WEEKNUM(BSURTIDOR[[#This Row],[FECHA]])</f>
        <v>12</v>
      </c>
      <c r="C555">
        <f>MONTH(BSURTIDOR[[#This Row],[FECHA]])</f>
        <v>3</v>
      </c>
      <c r="D555">
        <f>YEAR(BSURTIDOR[[#This Row],[FECHA]])</f>
        <v>2026</v>
      </c>
      <c r="E555" s="124">
        <v>46098</v>
      </c>
      <c r="F555" s="382" t="s">
        <v>548</v>
      </c>
      <c r="G555" s="123">
        <v>3</v>
      </c>
      <c r="H555" s="123" t="s">
        <v>98</v>
      </c>
      <c r="I555" s="101" t="str">
        <f>VLOOKUP(BDsurtidor!$H555,$T$4:$W$18,2,FALSE)</f>
        <v>CISTERNA</v>
      </c>
      <c r="J555" s="101">
        <f>VLOOKUP(BDsurtidor!$H555,$T$4:$W$25,3,FALSE)</f>
        <v>9000</v>
      </c>
      <c r="K555" s="101">
        <f>VLOOKUP(BDsurtidor!$H555,$T$4:$W$25,4,FALSE)</f>
        <v>34</v>
      </c>
      <c r="L555" s="101">
        <f>VLOOKUP(BDsurtidor!$H555,$T$4:$X$25,5,FALSE)</f>
        <v>0.45</v>
      </c>
      <c r="M555" s="101" t="str">
        <f>VLOOKUP(BDsurtidor!$H555,$T$4:$Y$25,6,FALSE)</f>
        <v>VIVIENDA</v>
      </c>
      <c r="N555" s="70">
        <v>0</v>
      </c>
      <c r="O555" s="125">
        <v>1.1599999999999999</v>
      </c>
      <c r="P555" s="126">
        <v>0.31319444444444444</v>
      </c>
      <c r="Q555" s="334" t="s">
        <v>574</v>
      </c>
    </row>
    <row r="556" spans="2:18" x14ac:dyDescent="0.25">
      <c r="B556">
        <f>WEEKNUM(BSURTIDOR[[#This Row],[FECHA]])</f>
        <v>12</v>
      </c>
      <c r="C556">
        <f>MONTH(BSURTIDOR[[#This Row],[FECHA]])</f>
        <v>3</v>
      </c>
      <c r="D556">
        <f>YEAR(BSURTIDOR[[#This Row],[FECHA]])</f>
        <v>2026</v>
      </c>
      <c r="E556" s="124">
        <v>46098</v>
      </c>
      <c r="F556" s="382" t="s">
        <v>548</v>
      </c>
      <c r="G556" s="123">
        <v>4</v>
      </c>
      <c r="H556" s="123" t="s">
        <v>558</v>
      </c>
      <c r="I556" s="101" t="str">
        <f>VLOOKUP(BDsurtidor!$H556,$T$4:$W$18,2,FALSE)</f>
        <v>HIDROJET</v>
      </c>
      <c r="J556" s="39">
        <f>VLOOKUP(BDsurtidor!$H556,$T$4:$W$25,3,FALSE)</f>
        <v>1000</v>
      </c>
      <c r="K556" s="39">
        <f>VLOOKUP(BDsurtidor!$H556,$T$4:$W$25,4,FALSE)</f>
        <v>1</v>
      </c>
      <c r="L556" s="101">
        <f>VLOOKUP(BDsurtidor!$H556,$T$4:$X$25,5,FALSE)</f>
        <v>0</v>
      </c>
      <c r="M556" s="39" t="str">
        <f>VLOOKUP(BDsurtidor!$H556,$T$4:$Y$25,6,FALSE)</f>
        <v>EPS</v>
      </c>
      <c r="N556" s="70">
        <v>0</v>
      </c>
      <c r="O556" s="125">
        <v>0</v>
      </c>
      <c r="P556" s="126">
        <v>0.3215277777777778</v>
      </c>
      <c r="Q556" s="334" t="s">
        <v>574</v>
      </c>
    </row>
    <row r="557" spans="2:18" x14ac:dyDescent="0.25">
      <c r="B557">
        <f>WEEKNUM(BSURTIDOR[[#This Row],[FECHA]])</f>
        <v>12</v>
      </c>
      <c r="C557">
        <f>MONTH(BSURTIDOR[[#This Row],[FECHA]])</f>
        <v>3</v>
      </c>
      <c r="D557">
        <f>YEAR(BSURTIDOR[[#This Row],[FECHA]])</f>
        <v>2026</v>
      </c>
      <c r="E557" s="124">
        <v>46098</v>
      </c>
      <c r="F557" s="382" t="s">
        <v>548</v>
      </c>
      <c r="G557" s="123">
        <v>5</v>
      </c>
      <c r="H557" s="123" t="s">
        <v>95</v>
      </c>
      <c r="I557" s="101" t="str">
        <f>VLOOKUP(BDsurtidor!$H557,$T$4:$W$18,2,FALSE)</f>
        <v>CISTERNA</v>
      </c>
      <c r="J557" s="39">
        <f>VLOOKUP(BDsurtidor!$H557,$T$4:$W$25,3,FALSE)</f>
        <v>2500</v>
      </c>
      <c r="K557" s="39">
        <f>VLOOKUP(BDsurtidor!$H557,$T$4:$W$25,4,FALSE)</f>
        <v>9</v>
      </c>
      <c r="L557" s="101">
        <f>VLOOKUP(BDsurtidor!$H557,$T$4:$X$25,5,FALSE)</f>
        <v>0.22</v>
      </c>
      <c r="M557" s="39" t="str">
        <f>VLOOKUP(BDsurtidor!$H557,$T$4:$Y$25,6,FALSE)</f>
        <v>EPS</v>
      </c>
      <c r="N557" s="70">
        <v>0</v>
      </c>
      <c r="O557" s="125">
        <v>0</v>
      </c>
      <c r="P557" s="126">
        <v>0.3263888888888889</v>
      </c>
      <c r="Q557" s="334" t="s">
        <v>574</v>
      </c>
    </row>
    <row r="558" spans="2:18" x14ac:dyDescent="0.25">
      <c r="B558">
        <f>WEEKNUM(BSURTIDOR[[#This Row],[FECHA]])</f>
        <v>12</v>
      </c>
      <c r="C558">
        <f>MONTH(BSURTIDOR[[#This Row],[FECHA]])</f>
        <v>3</v>
      </c>
      <c r="D558">
        <f>YEAR(BSURTIDOR[[#This Row],[FECHA]])</f>
        <v>2026</v>
      </c>
      <c r="E558" s="124">
        <v>46098</v>
      </c>
      <c r="F558" s="382" t="s">
        <v>548</v>
      </c>
      <c r="G558" s="123">
        <v>6</v>
      </c>
      <c r="H558" s="123" t="s">
        <v>87</v>
      </c>
      <c r="I558" s="101" t="str">
        <f>VLOOKUP(BDsurtidor!$H558,$T$4:$W$18,2,FALSE)</f>
        <v>CISTERNA</v>
      </c>
      <c r="J558" s="39">
        <f>VLOOKUP(BDsurtidor!$H558,$T$4:$W$25,3,FALSE)</f>
        <v>5000</v>
      </c>
      <c r="K558" s="39">
        <f>VLOOKUP(BDsurtidor!$H558,$T$4:$W$25,4,FALSE)</f>
        <v>17</v>
      </c>
      <c r="L558" s="101">
        <f>VLOOKUP(BDsurtidor!$H558,$T$4:$X$25,5,FALSE)</f>
        <v>0.4</v>
      </c>
      <c r="M558" s="39" t="str">
        <f>VLOOKUP(BDsurtidor!$H558,$T$4:$Y$25,6,FALSE)</f>
        <v>EPS</v>
      </c>
      <c r="N558" s="70">
        <v>0</v>
      </c>
      <c r="O558" s="125">
        <v>1.24</v>
      </c>
      <c r="P558" s="126">
        <v>0.33333333333333331</v>
      </c>
      <c r="Q558" s="334" t="s">
        <v>574</v>
      </c>
    </row>
    <row r="559" spans="2:18" x14ac:dyDescent="0.25">
      <c r="B559">
        <f>WEEKNUM(BSURTIDOR[[#This Row],[FECHA]])</f>
        <v>12</v>
      </c>
      <c r="C559">
        <f>MONTH(BSURTIDOR[[#This Row],[FECHA]])</f>
        <v>3</v>
      </c>
      <c r="D559">
        <f>YEAR(BSURTIDOR[[#This Row],[FECHA]])</f>
        <v>2026</v>
      </c>
      <c r="E559" s="124">
        <v>46098</v>
      </c>
      <c r="F559" s="382" t="s">
        <v>548</v>
      </c>
      <c r="G559" s="123">
        <v>7</v>
      </c>
      <c r="H559" s="123" t="s">
        <v>95</v>
      </c>
      <c r="I559" s="101" t="str">
        <f>VLOOKUP(BDsurtidor!$H559,$T$4:$W$18,2,FALSE)</f>
        <v>CISTERNA</v>
      </c>
      <c r="J559" s="39">
        <f>VLOOKUP(BDsurtidor!$H559,$T$4:$W$25,3,FALSE)</f>
        <v>2500</v>
      </c>
      <c r="K559" s="39">
        <f>VLOOKUP(BDsurtidor!$H559,$T$4:$W$25,4,FALSE)</f>
        <v>9</v>
      </c>
      <c r="L559" s="101">
        <f>VLOOKUP(BDsurtidor!$H559,$T$4:$X$25,5,FALSE)</f>
        <v>0.22</v>
      </c>
      <c r="M559" s="39" t="str">
        <f>VLOOKUP(BDsurtidor!$H559,$T$4:$Y$25,6,FALSE)</f>
        <v>EPS</v>
      </c>
      <c r="N559" s="70">
        <v>0</v>
      </c>
      <c r="O559" s="125">
        <v>0</v>
      </c>
      <c r="P559" s="126">
        <v>0.40763888888888888</v>
      </c>
      <c r="Q559" s="334" t="s">
        <v>574</v>
      </c>
    </row>
    <row r="560" spans="2:18" x14ac:dyDescent="0.25">
      <c r="B560">
        <f>WEEKNUM(BSURTIDOR[[#This Row],[FECHA]])</f>
        <v>12</v>
      </c>
      <c r="C560">
        <f>MONTH(BSURTIDOR[[#This Row],[FECHA]])</f>
        <v>3</v>
      </c>
      <c r="D560">
        <f>YEAR(BSURTIDOR[[#This Row],[FECHA]])</f>
        <v>2026</v>
      </c>
      <c r="E560" s="124">
        <v>46098</v>
      </c>
      <c r="F560" s="382" t="s">
        <v>548</v>
      </c>
      <c r="G560" s="123">
        <v>8</v>
      </c>
      <c r="H560" s="123" t="s">
        <v>87</v>
      </c>
      <c r="I560" s="101" t="str">
        <f>VLOOKUP(BDsurtidor!$H560,$T$4:$W$18,2,FALSE)</f>
        <v>CISTERNA</v>
      </c>
      <c r="J560" s="39">
        <f>VLOOKUP(BDsurtidor!$H560,$T$4:$W$25,3,FALSE)</f>
        <v>5000</v>
      </c>
      <c r="K560" s="39">
        <f>VLOOKUP(BDsurtidor!$H560,$T$4:$W$25,4,FALSE)</f>
        <v>17</v>
      </c>
      <c r="L560" s="101">
        <f>VLOOKUP(BDsurtidor!$H560,$T$4:$X$25,5,FALSE)</f>
        <v>0.4</v>
      </c>
      <c r="M560" s="39" t="str">
        <f>VLOOKUP(BDsurtidor!$H560,$T$4:$Y$25,6,FALSE)</f>
        <v>EPS</v>
      </c>
      <c r="N560" s="70">
        <v>0</v>
      </c>
      <c r="O560" s="125">
        <v>1.21</v>
      </c>
      <c r="P560" s="126">
        <v>0.41805555555555557</v>
      </c>
      <c r="Q560" s="334" t="s">
        <v>574</v>
      </c>
    </row>
    <row r="561" spans="2:17" x14ac:dyDescent="0.25">
      <c r="B561">
        <f>WEEKNUM(BSURTIDOR[[#This Row],[FECHA]])</f>
        <v>12</v>
      </c>
      <c r="C561">
        <f>MONTH(BSURTIDOR[[#This Row],[FECHA]])</f>
        <v>3</v>
      </c>
      <c r="D561">
        <f>YEAR(BSURTIDOR[[#This Row],[FECHA]])</f>
        <v>2026</v>
      </c>
      <c r="E561" s="124">
        <v>46098</v>
      </c>
      <c r="F561" s="382" t="s">
        <v>548</v>
      </c>
      <c r="G561" s="123">
        <v>9</v>
      </c>
      <c r="H561" s="123" t="s">
        <v>99</v>
      </c>
      <c r="I561" s="101" t="str">
        <f>VLOOKUP(BDsurtidor!$H561,$T$4:$W$18,2,FALSE)</f>
        <v>CISTERNA</v>
      </c>
      <c r="J561" s="39">
        <f>VLOOKUP(BDsurtidor!$H561,$T$4:$W$25,3,FALSE)</f>
        <v>5000</v>
      </c>
      <c r="K561" s="39">
        <f>VLOOKUP(BDsurtidor!$H561,$T$4:$W$25,4,FALSE)</f>
        <v>17</v>
      </c>
      <c r="L561" s="101">
        <f>VLOOKUP(BDsurtidor!$H561,$T$4:$X$25,5,FALSE)</f>
        <v>0.4</v>
      </c>
      <c r="M561" s="39" t="str">
        <f>VLOOKUP(BDsurtidor!$H561,$T$4:$Y$25,6,FALSE)</f>
        <v>EPS</v>
      </c>
      <c r="N561" s="70">
        <v>0</v>
      </c>
      <c r="O561" s="125">
        <v>1.18</v>
      </c>
      <c r="P561" s="126">
        <v>0.42708333333333331</v>
      </c>
      <c r="Q561" s="334" t="s">
        <v>574</v>
      </c>
    </row>
    <row r="562" spans="2:17" x14ac:dyDescent="0.25">
      <c r="B562">
        <f>WEEKNUM(BSURTIDOR[[#This Row],[FECHA]])</f>
        <v>12</v>
      </c>
      <c r="C562">
        <f>MONTH(BSURTIDOR[[#This Row],[FECHA]])</f>
        <v>3</v>
      </c>
      <c r="D562">
        <f>YEAR(BSURTIDOR[[#This Row],[FECHA]])</f>
        <v>2026</v>
      </c>
      <c r="E562" s="124">
        <v>46098</v>
      </c>
      <c r="F562" s="382" t="s">
        <v>548</v>
      </c>
      <c r="G562" s="123">
        <v>10</v>
      </c>
      <c r="H562" s="123" t="s">
        <v>98</v>
      </c>
      <c r="I562" s="101" t="str">
        <f>VLOOKUP(BDsurtidor!$H562,$T$4:$W$18,2,FALSE)</f>
        <v>CISTERNA</v>
      </c>
      <c r="J562" s="101">
        <f>VLOOKUP(BDsurtidor!$H562,$T$4:$W$25,3,FALSE)</f>
        <v>9000</v>
      </c>
      <c r="K562" s="101">
        <f>VLOOKUP(BDsurtidor!$H562,$T$4:$W$25,4,FALSE)</f>
        <v>34</v>
      </c>
      <c r="L562" s="101">
        <f>VLOOKUP(BDsurtidor!$H562,$T$4:$X$25,5,FALSE)</f>
        <v>0.45</v>
      </c>
      <c r="M562" s="101" t="str">
        <f>VLOOKUP(BDsurtidor!$H562,$T$4:$Y$25,6,FALSE)</f>
        <v>VIVIENDA</v>
      </c>
      <c r="N562" s="70">
        <v>0</v>
      </c>
      <c r="O562" s="125">
        <v>1.1599999999999999</v>
      </c>
      <c r="P562" s="126">
        <v>0.44236111111111109</v>
      </c>
      <c r="Q562" s="334" t="s">
        <v>574</v>
      </c>
    </row>
    <row r="563" spans="2:17" x14ac:dyDescent="0.25">
      <c r="B563">
        <f>WEEKNUM(BSURTIDOR[[#This Row],[FECHA]])</f>
        <v>12</v>
      </c>
      <c r="C563">
        <f>MONTH(BSURTIDOR[[#This Row],[FECHA]])</f>
        <v>3</v>
      </c>
      <c r="D563">
        <f>YEAR(BSURTIDOR[[#This Row],[FECHA]])</f>
        <v>2026</v>
      </c>
      <c r="E563" s="124">
        <v>46098</v>
      </c>
      <c r="F563" s="382" t="s">
        <v>548</v>
      </c>
      <c r="G563" s="123">
        <v>11</v>
      </c>
      <c r="H563" s="123" t="s">
        <v>87</v>
      </c>
      <c r="I563" s="101" t="str">
        <f>VLOOKUP(BDsurtidor!$H563,$T$4:$W$18,2,FALSE)</f>
        <v>CISTERNA</v>
      </c>
      <c r="J563" s="39">
        <f>VLOOKUP(BDsurtidor!$H563,$T$4:$W$25,3,FALSE)</f>
        <v>5000</v>
      </c>
      <c r="K563" s="39">
        <f>VLOOKUP(BDsurtidor!$H563,$T$4:$W$25,4,FALSE)</f>
        <v>17</v>
      </c>
      <c r="L563" s="101">
        <f>VLOOKUP(BDsurtidor!$H563,$T$4:$X$25,5,FALSE)</f>
        <v>0.4</v>
      </c>
      <c r="M563" s="39" t="str">
        <f>VLOOKUP(BDsurtidor!$H563,$T$4:$Y$25,6,FALSE)</f>
        <v>EPS</v>
      </c>
      <c r="N563" s="70">
        <v>0</v>
      </c>
      <c r="O563" s="125">
        <v>1.32</v>
      </c>
      <c r="P563" s="126">
        <v>0.53055555555555556</v>
      </c>
      <c r="Q563" s="334" t="s">
        <v>574</v>
      </c>
    </row>
    <row r="564" spans="2:17" x14ac:dyDescent="0.25">
      <c r="B564">
        <f>WEEKNUM(BSURTIDOR[[#This Row],[FECHA]])</f>
        <v>12</v>
      </c>
      <c r="C564">
        <f>MONTH(BSURTIDOR[[#This Row],[FECHA]])</f>
        <v>3</v>
      </c>
      <c r="D564">
        <f>YEAR(BSURTIDOR[[#This Row],[FECHA]])</f>
        <v>2026</v>
      </c>
      <c r="E564" s="124">
        <v>46098</v>
      </c>
      <c r="F564" s="382" t="s">
        <v>548</v>
      </c>
      <c r="G564" s="123">
        <v>12</v>
      </c>
      <c r="H564" s="123" t="s">
        <v>100</v>
      </c>
      <c r="I564" s="101" t="str">
        <f>VLOOKUP(BDsurtidor!$H564,$T$4:$W$18,2,FALSE)</f>
        <v>HIDROJET</v>
      </c>
      <c r="J564" s="39">
        <f>VLOOKUP(BDsurtidor!$H564,$T$4:$W$25,3,FALSE)</f>
        <v>1000</v>
      </c>
      <c r="K564" s="39">
        <f>VLOOKUP(BDsurtidor!$H564,$T$4:$W$25,4,FALSE)</f>
        <v>1</v>
      </c>
      <c r="L564" s="101">
        <f>VLOOKUP(BDsurtidor!$H564,$T$4:$X$25,5,FALSE)</f>
        <v>0</v>
      </c>
      <c r="M564" s="39" t="str">
        <f>VLOOKUP(BDsurtidor!$H564,$T$4:$Y$25,6,FALSE)</f>
        <v>EPS</v>
      </c>
      <c r="N564" s="70">
        <v>0</v>
      </c>
      <c r="O564" s="125">
        <v>0</v>
      </c>
      <c r="P564" s="126">
        <v>0.54513888888888884</v>
      </c>
      <c r="Q564" s="334" t="s">
        <v>574</v>
      </c>
    </row>
    <row r="565" spans="2:17" x14ac:dyDescent="0.25">
      <c r="B565">
        <f>WEEKNUM(BSURTIDOR[[#This Row],[FECHA]])</f>
        <v>12</v>
      </c>
      <c r="C565">
        <f>MONTH(BSURTIDOR[[#This Row],[FECHA]])</f>
        <v>3</v>
      </c>
      <c r="D565">
        <f>YEAR(BSURTIDOR[[#This Row],[FECHA]])</f>
        <v>2026</v>
      </c>
      <c r="E565" s="124">
        <v>46099</v>
      </c>
      <c r="F565" s="382" t="s">
        <v>548</v>
      </c>
      <c r="G565" s="123">
        <v>1</v>
      </c>
      <c r="H565" s="123" t="s">
        <v>95</v>
      </c>
      <c r="I565" s="101" t="str">
        <f>VLOOKUP(BDsurtidor!$H565,$T$4:$W$18,2,FALSE)</f>
        <v>CISTERNA</v>
      </c>
      <c r="J565" s="39">
        <f>VLOOKUP(BDsurtidor!$H565,$T$4:$W$25,3,FALSE)</f>
        <v>2500</v>
      </c>
      <c r="K565" s="39">
        <f>VLOOKUP(BDsurtidor!$H565,$T$4:$W$25,4,FALSE)</f>
        <v>9</v>
      </c>
      <c r="L565" s="101">
        <f>VLOOKUP(BDsurtidor!$H565,$T$4:$X$25,5,FALSE)</f>
        <v>0.22</v>
      </c>
      <c r="M565" s="39" t="str">
        <f>VLOOKUP(BDsurtidor!$H565,$T$4:$Y$25,6,FALSE)</f>
        <v>EPS</v>
      </c>
      <c r="N565" s="70">
        <v>0</v>
      </c>
      <c r="O565" s="125">
        <v>0</v>
      </c>
      <c r="P565" s="126">
        <v>0.16666666666666666</v>
      </c>
      <c r="Q565" s="334" t="s">
        <v>574</v>
      </c>
    </row>
    <row r="566" spans="2:17" x14ac:dyDescent="0.25">
      <c r="B566">
        <f>WEEKNUM(BSURTIDOR[[#This Row],[FECHA]])</f>
        <v>12</v>
      </c>
      <c r="C566">
        <f>MONTH(BSURTIDOR[[#This Row],[FECHA]])</f>
        <v>3</v>
      </c>
      <c r="D566">
        <f>YEAR(BSURTIDOR[[#This Row],[FECHA]])</f>
        <v>2026</v>
      </c>
      <c r="E566" s="124">
        <v>46099</v>
      </c>
      <c r="F566" s="382" t="s">
        <v>548</v>
      </c>
      <c r="G566" s="123">
        <v>2</v>
      </c>
      <c r="H566" s="123" t="s">
        <v>558</v>
      </c>
      <c r="I566" s="101" t="str">
        <f>VLOOKUP(BDsurtidor!$H566,$T$4:$W$18,2,FALSE)</f>
        <v>HIDROJET</v>
      </c>
      <c r="J566" s="101">
        <f>VLOOKUP(BDsurtidor!$H566,$T$4:$W$25,3,FALSE)</f>
        <v>1000</v>
      </c>
      <c r="K566" s="101">
        <f>VLOOKUP(BDsurtidor!$H566,$T$4:$W$25,4,FALSE)</f>
        <v>1</v>
      </c>
      <c r="L566" s="101">
        <f>VLOOKUP(BDsurtidor!$H566,$T$4:$X$25,5,FALSE)</f>
        <v>0</v>
      </c>
      <c r="M566" s="101" t="str">
        <f>VLOOKUP(BDsurtidor!$H566,$T$4:$Y$25,6,FALSE)</f>
        <v>EPS</v>
      </c>
      <c r="N566" s="70">
        <v>0</v>
      </c>
      <c r="O566" s="125">
        <v>0</v>
      </c>
      <c r="P566" s="126">
        <v>0.1736111111111111</v>
      </c>
      <c r="Q566" s="334" t="s">
        <v>574</v>
      </c>
    </row>
    <row r="567" spans="2:17" x14ac:dyDescent="0.25">
      <c r="B567">
        <f>WEEKNUM(BSURTIDOR[[#This Row],[FECHA]])</f>
        <v>12</v>
      </c>
      <c r="C567">
        <f>MONTH(BSURTIDOR[[#This Row],[FECHA]])</f>
        <v>3</v>
      </c>
      <c r="D567">
        <f>YEAR(BSURTIDOR[[#This Row],[FECHA]])</f>
        <v>2026</v>
      </c>
      <c r="E567" s="124">
        <v>46099</v>
      </c>
      <c r="F567" s="382" t="s">
        <v>548</v>
      </c>
      <c r="G567" s="123">
        <v>3</v>
      </c>
      <c r="H567" s="123" t="s">
        <v>95</v>
      </c>
      <c r="I567" s="101" t="str">
        <f>VLOOKUP(BDsurtidor!$H567,$T$4:$W$18,2,FALSE)</f>
        <v>CISTERNA</v>
      </c>
      <c r="J567" s="101">
        <f>VLOOKUP(BDsurtidor!$H567,$T$4:$W$25,3,FALSE)</f>
        <v>2500</v>
      </c>
      <c r="K567" s="101">
        <f>VLOOKUP(BDsurtidor!$H567,$T$4:$W$25,4,FALSE)</f>
        <v>9</v>
      </c>
      <c r="L567" s="101">
        <f>VLOOKUP(BDsurtidor!$H567,$T$4:$X$25,5,FALSE)</f>
        <v>0.22</v>
      </c>
      <c r="M567" s="101" t="str">
        <f>VLOOKUP(BDsurtidor!$H567,$T$4:$Y$25,6,FALSE)</f>
        <v>EPS</v>
      </c>
      <c r="N567" s="70">
        <v>0</v>
      </c>
      <c r="O567" s="125">
        <v>0</v>
      </c>
      <c r="P567" s="126">
        <v>0.18472222222222223</v>
      </c>
      <c r="Q567" s="334" t="s">
        <v>574</v>
      </c>
    </row>
    <row r="568" spans="2:17" x14ac:dyDescent="0.25">
      <c r="B568">
        <f>WEEKNUM(BSURTIDOR[[#This Row],[FECHA]])</f>
        <v>12</v>
      </c>
      <c r="C568">
        <f>MONTH(BSURTIDOR[[#This Row],[FECHA]])</f>
        <v>3</v>
      </c>
      <c r="D568">
        <f>YEAR(BSURTIDOR[[#This Row],[FECHA]])</f>
        <v>2026</v>
      </c>
      <c r="E568" s="124">
        <v>46099</v>
      </c>
      <c r="F568" s="382" t="s">
        <v>548</v>
      </c>
      <c r="G568" s="123">
        <v>4</v>
      </c>
      <c r="H568" s="123" t="s">
        <v>99</v>
      </c>
      <c r="I568" s="101" t="str">
        <f>VLOOKUP(BDsurtidor!$H568,$T$4:$W$18,2,FALSE)</f>
        <v>CISTERNA</v>
      </c>
      <c r="J568" s="101">
        <f>VLOOKUP(BDsurtidor!$H568,$T$4:$W$25,3,FALSE)</f>
        <v>5000</v>
      </c>
      <c r="K568" s="101">
        <f>VLOOKUP(BDsurtidor!$H568,$T$4:$W$25,4,FALSE)</f>
        <v>17</v>
      </c>
      <c r="L568" s="101">
        <f>VLOOKUP(BDsurtidor!$H568,$T$4:$X$25,5,FALSE)</f>
        <v>0.4</v>
      </c>
      <c r="M568" s="101" t="str">
        <f>VLOOKUP(BDsurtidor!$H568,$T$4:$Y$25,6,FALSE)</f>
        <v>EPS</v>
      </c>
      <c r="N568" s="70">
        <v>0</v>
      </c>
      <c r="O568" s="125">
        <v>1.31</v>
      </c>
      <c r="P568" s="126">
        <v>0.30625000000000002</v>
      </c>
      <c r="Q568" s="334" t="s">
        <v>574</v>
      </c>
    </row>
    <row r="569" spans="2:17" x14ac:dyDescent="0.25">
      <c r="B569">
        <f>WEEKNUM(BSURTIDOR[[#This Row],[FECHA]])</f>
        <v>12</v>
      </c>
      <c r="C569">
        <f>MONTH(BSURTIDOR[[#This Row],[FECHA]])</f>
        <v>3</v>
      </c>
      <c r="D569">
        <f>YEAR(BSURTIDOR[[#This Row],[FECHA]])</f>
        <v>2026</v>
      </c>
      <c r="E569" s="124">
        <v>46099</v>
      </c>
      <c r="F569" s="382" t="s">
        <v>548</v>
      </c>
      <c r="G569" s="123">
        <v>5</v>
      </c>
      <c r="H569" s="123" t="s">
        <v>98</v>
      </c>
      <c r="I569" s="101" t="str">
        <f>VLOOKUP(BDsurtidor!$H569,$T$4:$W$18,2,FALSE)</f>
        <v>CISTERNA</v>
      </c>
      <c r="J569" s="101">
        <f>VLOOKUP(BDsurtidor!$H569,$T$4:$W$25,3,FALSE)</f>
        <v>9000</v>
      </c>
      <c r="K569" s="101">
        <f>VLOOKUP(BDsurtidor!$H569,$T$4:$W$25,4,FALSE)</f>
        <v>34</v>
      </c>
      <c r="L569" s="101">
        <f>VLOOKUP(BDsurtidor!$H569,$T$4:$X$25,5,FALSE)</f>
        <v>0.45</v>
      </c>
      <c r="M569" s="101" t="str">
        <f>VLOOKUP(BDsurtidor!$H569,$T$4:$Y$25,6,FALSE)</f>
        <v>VIVIENDA</v>
      </c>
      <c r="N569" s="70">
        <v>0</v>
      </c>
      <c r="O569" s="125">
        <v>1.3</v>
      </c>
      <c r="P569" s="126">
        <v>0.31597222222222221</v>
      </c>
      <c r="Q569" s="334" t="s">
        <v>574</v>
      </c>
    </row>
    <row r="570" spans="2:17" x14ac:dyDescent="0.25">
      <c r="B570">
        <f>WEEKNUM(BSURTIDOR[[#This Row],[FECHA]])</f>
        <v>12</v>
      </c>
      <c r="C570">
        <f>MONTH(BSURTIDOR[[#This Row],[FECHA]])</f>
        <v>3</v>
      </c>
      <c r="D570">
        <f>YEAR(BSURTIDOR[[#This Row],[FECHA]])</f>
        <v>2026</v>
      </c>
      <c r="E570" s="124">
        <v>46099</v>
      </c>
      <c r="F570" s="382" t="s">
        <v>548</v>
      </c>
      <c r="G570" s="123">
        <v>6</v>
      </c>
      <c r="H570" s="123" t="s">
        <v>87</v>
      </c>
      <c r="I570" s="101" t="str">
        <f>VLOOKUP(BDsurtidor!$H570,$T$4:$W$18,2,FALSE)</f>
        <v>CISTERNA</v>
      </c>
      <c r="J570" s="101">
        <f>VLOOKUP(BDsurtidor!$H570,$T$4:$W$25,3,FALSE)</f>
        <v>5000</v>
      </c>
      <c r="K570" s="101">
        <f>VLOOKUP(BDsurtidor!$H570,$T$4:$W$25,4,FALSE)</f>
        <v>17</v>
      </c>
      <c r="L570" s="101">
        <f>VLOOKUP(BDsurtidor!$H570,$T$4:$X$25,5,FALSE)</f>
        <v>0.4</v>
      </c>
      <c r="M570" s="101" t="str">
        <f>VLOOKUP(BDsurtidor!$H570,$T$4:$Y$25,6,FALSE)</f>
        <v>EPS</v>
      </c>
      <c r="N570" s="70">
        <v>0</v>
      </c>
      <c r="O570" s="125">
        <v>1.17</v>
      </c>
      <c r="P570" s="126">
        <v>0.3263888888888889</v>
      </c>
      <c r="Q570" s="334" t="s">
        <v>574</v>
      </c>
    </row>
    <row r="571" spans="2:17" x14ac:dyDescent="0.25">
      <c r="B571">
        <f>WEEKNUM(BSURTIDOR[[#This Row],[FECHA]])</f>
        <v>12</v>
      </c>
      <c r="C571">
        <f>MONTH(BSURTIDOR[[#This Row],[FECHA]])</f>
        <v>3</v>
      </c>
      <c r="D571">
        <f>YEAR(BSURTIDOR[[#This Row],[FECHA]])</f>
        <v>2026</v>
      </c>
      <c r="E571" s="124">
        <v>46099</v>
      </c>
      <c r="F571" s="382" t="s">
        <v>548</v>
      </c>
      <c r="G571" s="123">
        <v>7</v>
      </c>
      <c r="H571" s="123" t="s">
        <v>95</v>
      </c>
      <c r="I571" s="101" t="str">
        <f>VLOOKUP(BDsurtidor!$H571,$T$4:$W$18,2,FALSE)</f>
        <v>CISTERNA</v>
      </c>
      <c r="J571" s="101">
        <f>VLOOKUP(BDsurtidor!$H571,$T$4:$W$25,3,FALSE)</f>
        <v>2500</v>
      </c>
      <c r="K571" s="101">
        <f>VLOOKUP(BDsurtidor!$H571,$T$4:$W$25,4,FALSE)</f>
        <v>9</v>
      </c>
      <c r="L571" s="101">
        <f>VLOOKUP(BDsurtidor!$H571,$T$4:$X$25,5,FALSE)</f>
        <v>0.22</v>
      </c>
      <c r="M571" s="101" t="str">
        <f>VLOOKUP(BDsurtidor!$H571,$T$4:$Y$25,6,FALSE)</f>
        <v>EPS</v>
      </c>
      <c r="N571" s="70">
        <v>0</v>
      </c>
      <c r="O571" s="125">
        <v>0</v>
      </c>
      <c r="P571" s="126">
        <v>0.36666666666666664</v>
      </c>
      <c r="Q571" s="334" t="s">
        <v>574</v>
      </c>
    </row>
    <row r="572" spans="2:17" x14ac:dyDescent="0.25">
      <c r="B572">
        <f>WEEKNUM(BSURTIDOR[[#This Row],[FECHA]])</f>
        <v>12</v>
      </c>
      <c r="C572">
        <f>MONTH(BSURTIDOR[[#This Row],[FECHA]])</f>
        <v>3</v>
      </c>
      <c r="D572">
        <f>YEAR(BSURTIDOR[[#This Row],[FECHA]])</f>
        <v>2026</v>
      </c>
      <c r="E572" s="124">
        <v>46099</v>
      </c>
      <c r="F572" s="382" t="s">
        <v>548</v>
      </c>
      <c r="G572" s="123">
        <v>8</v>
      </c>
      <c r="H572" s="123" t="s">
        <v>87</v>
      </c>
      <c r="I572" s="101" t="str">
        <f>VLOOKUP(BDsurtidor!$H572,$T$4:$W$18,2,FALSE)</f>
        <v>CISTERNA</v>
      </c>
      <c r="J572" s="101">
        <f>VLOOKUP(BDsurtidor!$H572,$T$4:$W$25,3,FALSE)</f>
        <v>5000</v>
      </c>
      <c r="K572" s="101">
        <f>VLOOKUP(BDsurtidor!$H572,$T$4:$W$25,4,FALSE)</f>
        <v>17</v>
      </c>
      <c r="L572" s="101">
        <f>VLOOKUP(BDsurtidor!$H572,$T$4:$X$25,5,FALSE)</f>
        <v>0.4</v>
      </c>
      <c r="M572" s="101" t="str">
        <f>VLOOKUP(BDsurtidor!$H572,$T$4:$Y$25,6,FALSE)</f>
        <v>EPS</v>
      </c>
      <c r="N572" s="70">
        <v>0</v>
      </c>
      <c r="O572" s="125">
        <v>1.2</v>
      </c>
      <c r="P572" s="126">
        <v>0.46527777777777779</v>
      </c>
      <c r="Q572" s="334" t="s">
        <v>574</v>
      </c>
    </row>
    <row r="573" spans="2:17" x14ac:dyDescent="0.25">
      <c r="B573">
        <f>WEEKNUM(BSURTIDOR[[#This Row],[FECHA]])</f>
        <v>12</v>
      </c>
      <c r="C573">
        <f>MONTH(BSURTIDOR[[#This Row],[FECHA]])</f>
        <v>3</v>
      </c>
      <c r="D573">
        <f>YEAR(BSURTIDOR[[#This Row],[FECHA]])</f>
        <v>2026</v>
      </c>
      <c r="E573" s="124">
        <v>46099</v>
      </c>
      <c r="F573" s="382" t="s">
        <v>548</v>
      </c>
      <c r="G573" s="123">
        <v>9</v>
      </c>
      <c r="H573" s="123" t="s">
        <v>100</v>
      </c>
      <c r="I573" s="101" t="str">
        <f>VLOOKUP(BDsurtidor!$H573,$T$4:$W$18,2,FALSE)</f>
        <v>HIDROJET</v>
      </c>
      <c r="J573" s="101">
        <f>VLOOKUP(BDsurtidor!$H573,$T$4:$W$25,3,FALSE)</f>
        <v>1000</v>
      </c>
      <c r="K573" s="101">
        <f>VLOOKUP(BDsurtidor!$H573,$T$4:$W$25,4,FALSE)</f>
        <v>1</v>
      </c>
      <c r="L573" s="101">
        <f>VLOOKUP(BDsurtidor!$H573,$T$4:$X$25,5,FALSE)</f>
        <v>0</v>
      </c>
      <c r="M573" s="101" t="str">
        <f>VLOOKUP(BDsurtidor!$H573,$T$4:$Y$25,6,FALSE)</f>
        <v>EPS</v>
      </c>
      <c r="N573" s="70">
        <v>0</v>
      </c>
      <c r="O573" s="125">
        <v>0</v>
      </c>
      <c r="P573" s="126">
        <v>0.50069444444444444</v>
      </c>
      <c r="Q573" s="334" t="s">
        <v>574</v>
      </c>
    </row>
    <row r="574" spans="2:17" x14ac:dyDescent="0.25">
      <c r="B574">
        <f>WEEKNUM(BSURTIDOR[[#This Row],[FECHA]])</f>
        <v>12</v>
      </c>
      <c r="C574">
        <f>MONTH(BSURTIDOR[[#This Row],[FECHA]])</f>
        <v>3</v>
      </c>
      <c r="D574">
        <f>YEAR(BSURTIDOR[[#This Row],[FECHA]])</f>
        <v>2026</v>
      </c>
      <c r="E574" s="124">
        <v>46099</v>
      </c>
      <c r="F574" s="382" t="s">
        <v>548</v>
      </c>
      <c r="G574" s="123">
        <v>10</v>
      </c>
      <c r="H574" s="123" t="s">
        <v>99</v>
      </c>
      <c r="I574" s="101" t="str">
        <f>VLOOKUP(BDsurtidor!$H574,$T$4:$W$18,2,FALSE)</f>
        <v>CISTERNA</v>
      </c>
      <c r="J574" s="101">
        <f>VLOOKUP(BDsurtidor!$H574,$T$4:$W$25,3,FALSE)</f>
        <v>5000</v>
      </c>
      <c r="K574" s="101">
        <f>VLOOKUP(BDsurtidor!$H574,$T$4:$W$25,4,FALSE)</f>
        <v>17</v>
      </c>
      <c r="L574" s="101">
        <f>VLOOKUP(BDsurtidor!$H574,$T$4:$X$25,5,FALSE)</f>
        <v>0.4</v>
      </c>
      <c r="M574" s="101" t="str">
        <f>VLOOKUP(BDsurtidor!$H574,$T$4:$Y$25,6,FALSE)</f>
        <v>EPS</v>
      </c>
      <c r="N574" s="70">
        <v>0</v>
      </c>
      <c r="O574" s="125">
        <v>1.3</v>
      </c>
      <c r="P574" s="126">
        <v>0.5083333333333333</v>
      </c>
      <c r="Q574" s="334" t="s">
        <v>574</v>
      </c>
    </row>
    <row r="575" spans="2:17" x14ac:dyDescent="0.25">
      <c r="B575">
        <f>WEEKNUM(BSURTIDOR[[#This Row],[FECHA]])</f>
        <v>12</v>
      </c>
      <c r="C575">
        <f>MONTH(BSURTIDOR[[#This Row],[FECHA]])</f>
        <v>3</v>
      </c>
      <c r="D575">
        <f>YEAR(BSURTIDOR[[#This Row],[FECHA]])</f>
        <v>2026</v>
      </c>
      <c r="E575" s="124">
        <v>46100</v>
      </c>
      <c r="F575" s="382" t="s">
        <v>548</v>
      </c>
      <c r="G575" s="123">
        <v>1</v>
      </c>
      <c r="H575" s="123" t="s">
        <v>558</v>
      </c>
      <c r="I575" s="101" t="str">
        <f>VLOOKUP(BDsurtidor!$H575,$T$4:$W$18,2,FALSE)</f>
        <v>HIDROJET</v>
      </c>
      <c r="J575" s="101">
        <f>VLOOKUP(BDsurtidor!$H575,$T$4:$W$25,3,FALSE)</f>
        <v>1000</v>
      </c>
      <c r="K575" s="101">
        <f>VLOOKUP(BDsurtidor!$H575,$T$4:$W$25,4,FALSE)</f>
        <v>1</v>
      </c>
      <c r="L575" s="101">
        <f>VLOOKUP(BDsurtidor!$H575,$T$4:$X$25,5,FALSE)</f>
        <v>0</v>
      </c>
      <c r="M575" s="101" t="str">
        <f>VLOOKUP(BDsurtidor!$H575,$T$4:$Y$25,6,FALSE)</f>
        <v>EPS</v>
      </c>
      <c r="N575" s="70">
        <v>0</v>
      </c>
      <c r="O575" s="125">
        <v>0</v>
      </c>
      <c r="P575" s="126">
        <v>0.28819444444444442</v>
      </c>
      <c r="Q575" s="334" t="s">
        <v>574</v>
      </c>
    </row>
    <row r="576" spans="2:17" x14ac:dyDescent="0.25">
      <c r="B576">
        <f>WEEKNUM(BSURTIDOR[[#This Row],[FECHA]])</f>
        <v>12</v>
      </c>
      <c r="C576">
        <f>MONTH(BSURTIDOR[[#This Row],[FECHA]])</f>
        <v>3</v>
      </c>
      <c r="D576">
        <f>YEAR(BSURTIDOR[[#This Row],[FECHA]])</f>
        <v>2026</v>
      </c>
      <c r="E576" s="124">
        <v>46100</v>
      </c>
      <c r="F576" s="382" t="s">
        <v>548</v>
      </c>
      <c r="G576" s="123">
        <v>2</v>
      </c>
      <c r="H576" s="123" t="s">
        <v>95</v>
      </c>
      <c r="I576" s="101" t="str">
        <f>VLOOKUP(BDsurtidor!$H576,$T$4:$W$18,2,FALSE)</f>
        <v>CISTERNA</v>
      </c>
      <c r="J576" s="101">
        <f>VLOOKUP(BDsurtidor!$H576,$T$4:$W$25,3,FALSE)</f>
        <v>2500</v>
      </c>
      <c r="K576" s="101">
        <f>VLOOKUP(BDsurtidor!$H576,$T$4:$W$25,4,FALSE)</f>
        <v>9</v>
      </c>
      <c r="L576" s="101">
        <f>VLOOKUP(BDsurtidor!$H576,$T$4:$X$25,5,FALSE)</f>
        <v>0.22</v>
      </c>
      <c r="M576" s="101" t="str">
        <f>VLOOKUP(BDsurtidor!$H576,$T$4:$Y$25,6,FALSE)</f>
        <v>EPS</v>
      </c>
      <c r="N576" s="70">
        <v>0</v>
      </c>
      <c r="O576" s="125">
        <v>0</v>
      </c>
      <c r="P576" s="126">
        <v>0.2951388888888889</v>
      </c>
      <c r="Q576" s="334" t="s">
        <v>574</v>
      </c>
    </row>
    <row r="577" spans="2:17" x14ac:dyDescent="0.25">
      <c r="B577">
        <f>WEEKNUM(BSURTIDOR[[#This Row],[FECHA]])</f>
        <v>12</v>
      </c>
      <c r="C577">
        <f>MONTH(BSURTIDOR[[#This Row],[FECHA]])</f>
        <v>3</v>
      </c>
      <c r="D577">
        <f>YEAR(BSURTIDOR[[#This Row],[FECHA]])</f>
        <v>2026</v>
      </c>
      <c r="E577" s="124">
        <v>46100</v>
      </c>
      <c r="F577" s="382" t="s">
        <v>548</v>
      </c>
      <c r="G577" s="123">
        <v>3</v>
      </c>
      <c r="H577" s="123" t="s">
        <v>98</v>
      </c>
      <c r="I577" s="101" t="str">
        <f>VLOOKUP(BDsurtidor!$H577,$T$4:$W$18,2,FALSE)</f>
        <v>CISTERNA</v>
      </c>
      <c r="J577" s="101">
        <f>VLOOKUP(BDsurtidor!$H577,$T$4:$W$25,3,FALSE)</f>
        <v>9000</v>
      </c>
      <c r="K577" s="101">
        <f>VLOOKUP(BDsurtidor!$H577,$T$4:$W$25,4,FALSE)</f>
        <v>34</v>
      </c>
      <c r="L577" s="101">
        <f>VLOOKUP(BDsurtidor!$H577,$T$4:$X$25,5,FALSE)</f>
        <v>0.45</v>
      </c>
      <c r="M577" s="101" t="str">
        <f>VLOOKUP(BDsurtidor!$H577,$T$4:$Y$25,6,FALSE)</f>
        <v>VIVIENDA</v>
      </c>
      <c r="N577" s="70">
        <v>0</v>
      </c>
      <c r="O577" s="125">
        <v>1.01</v>
      </c>
      <c r="P577" s="126">
        <v>0.31458333333333333</v>
      </c>
      <c r="Q577" s="334" t="s">
        <v>574</v>
      </c>
    </row>
    <row r="578" spans="2:17" x14ac:dyDescent="0.25">
      <c r="B578">
        <f>WEEKNUM(BSURTIDOR[[#This Row],[FECHA]])</f>
        <v>12</v>
      </c>
      <c r="C578">
        <f>MONTH(BSURTIDOR[[#This Row],[FECHA]])</f>
        <v>3</v>
      </c>
      <c r="D578">
        <f>YEAR(BSURTIDOR[[#This Row],[FECHA]])</f>
        <v>2026</v>
      </c>
      <c r="E578" s="124">
        <v>46100</v>
      </c>
      <c r="F578" s="382" t="s">
        <v>548</v>
      </c>
      <c r="G578" s="123">
        <v>4</v>
      </c>
      <c r="H578" s="123" t="s">
        <v>87</v>
      </c>
      <c r="I578" s="101" t="str">
        <f>VLOOKUP(BDsurtidor!$H578,$T$4:$W$18,2,FALSE)</f>
        <v>CISTERNA</v>
      </c>
      <c r="J578" s="101">
        <f>VLOOKUP(BDsurtidor!$H578,$T$4:$W$25,3,FALSE)</f>
        <v>5000</v>
      </c>
      <c r="K578" s="101">
        <f>VLOOKUP(BDsurtidor!$H578,$T$4:$W$25,4,FALSE)</f>
        <v>17</v>
      </c>
      <c r="L578" s="101">
        <f>VLOOKUP(BDsurtidor!$H578,$T$4:$X$25,5,FALSE)</f>
        <v>0.4</v>
      </c>
      <c r="M578" s="101" t="str">
        <f>VLOOKUP(BDsurtidor!$H578,$T$4:$Y$25,6,FALSE)</f>
        <v>EPS</v>
      </c>
      <c r="N578" s="70">
        <v>0</v>
      </c>
      <c r="O578" s="125">
        <v>1.1299999999999999</v>
      </c>
      <c r="P578" s="126">
        <v>0.32083333333333336</v>
      </c>
      <c r="Q578" s="334" t="s">
        <v>574</v>
      </c>
    </row>
    <row r="579" spans="2:17" x14ac:dyDescent="0.25">
      <c r="B579">
        <f>WEEKNUM(BSURTIDOR[[#This Row],[FECHA]])</f>
        <v>12</v>
      </c>
      <c r="C579">
        <f>MONTH(BSURTIDOR[[#This Row],[FECHA]])</f>
        <v>3</v>
      </c>
      <c r="D579">
        <f>YEAR(BSURTIDOR[[#This Row],[FECHA]])</f>
        <v>2026</v>
      </c>
      <c r="E579" s="124">
        <v>46100</v>
      </c>
      <c r="F579" s="382" t="s">
        <v>548</v>
      </c>
      <c r="G579" s="123">
        <v>5</v>
      </c>
      <c r="H579" s="123" t="s">
        <v>95</v>
      </c>
      <c r="I579" s="101" t="str">
        <f>VLOOKUP(BDsurtidor!$H579,$T$4:$W$18,2,FALSE)</f>
        <v>CISTERNA</v>
      </c>
      <c r="J579" s="101">
        <f>VLOOKUP(BDsurtidor!$H579,$T$4:$W$25,3,FALSE)</f>
        <v>2500</v>
      </c>
      <c r="K579" s="101">
        <f>VLOOKUP(BDsurtidor!$H579,$T$4:$W$25,4,FALSE)</f>
        <v>9</v>
      </c>
      <c r="L579" s="101">
        <f>VLOOKUP(BDsurtidor!$H579,$T$4:$X$25,5,FALSE)</f>
        <v>0.22</v>
      </c>
      <c r="M579" s="101" t="str">
        <f>VLOOKUP(BDsurtidor!$H579,$T$4:$Y$25,6,FALSE)</f>
        <v>EPS</v>
      </c>
      <c r="N579" s="70">
        <v>0</v>
      </c>
      <c r="O579" s="125">
        <v>0</v>
      </c>
      <c r="P579" s="126">
        <v>0.3576388888888889</v>
      </c>
      <c r="Q579" s="334" t="s">
        <v>574</v>
      </c>
    </row>
    <row r="580" spans="2:17" x14ac:dyDescent="0.25">
      <c r="B580">
        <f>WEEKNUM(BSURTIDOR[[#This Row],[FECHA]])</f>
        <v>12</v>
      </c>
      <c r="C580">
        <f>MONTH(BSURTIDOR[[#This Row],[FECHA]])</f>
        <v>3</v>
      </c>
      <c r="D580">
        <f>YEAR(BSURTIDOR[[#This Row],[FECHA]])</f>
        <v>2026</v>
      </c>
      <c r="E580" s="124">
        <v>46100</v>
      </c>
      <c r="F580" s="382" t="s">
        <v>548</v>
      </c>
      <c r="G580" s="123">
        <v>6</v>
      </c>
      <c r="H580" s="123" t="s">
        <v>95</v>
      </c>
      <c r="I580" s="101" t="str">
        <f>VLOOKUP(BDsurtidor!$H580,$T$4:$W$18,2,FALSE)</f>
        <v>CISTERNA</v>
      </c>
      <c r="J580" s="101">
        <f>VLOOKUP(BDsurtidor!$H580,$T$4:$W$25,3,FALSE)</f>
        <v>2500</v>
      </c>
      <c r="K580" s="101">
        <f>VLOOKUP(BDsurtidor!$H580,$T$4:$W$25,4,FALSE)</f>
        <v>9</v>
      </c>
      <c r="L580" s="101">
        <f>VLOOKUP(BDsurtidor!$H580,$T$4:$X$25,5,FALSE)</f>
        <v>0.22</v>
      </c>
      <c r="M580" s="101" t="str">
        <f>VLOOKUP(BDsurtidor!$H580,$T$4:$Y$25,6,FALSE)</f>
        <v>EPS</v>
      </c>
      <c r="N580" s="70">
        <v>0</v>
      </c>
      <c r="O580" s="125">
        <v>0</v>
      </c>
      <c r="P580" s="126">
        <v>0.43194444444444446</v>
      </c>
      <c r="Q580" s="334" t="s">
        <v>574</v>
      </c>
    </row>
    <row r="581" spans="2:17" x14ac:dyDescent="0.25">
      <c r="B581">
        <f>WEEKNUM(BSURTIDOR[[#This Row],[FECHA]])</f>
        <v>12</v>
      </c>
      <c r="C581">
        <f>MONTH(BSURTIDOR[[#This Row],[FECHA]])</f>
        <v>3</v>
      </c>
      <c r="D581">
        <f>YEAR(BSURTIDOR[[#This Row],[FECHA]])</f>
        <v>2026</v>
      </c>
      <c r="E581" s="124">
        <v>46100</v>
      </c>
      <c r="F581" s="382" t="s">
        <v>548</v>
      </c>
      <c r="G581" s="123">
        <v>7</v>
      </c>
      <c r="H581" s="123" t="s">
        <v>87</v>
      </c>
      <c r="I581" s="101" t="str">
        <f>VLOOKUP(BDsurtidor!$H581,$T$4:$W$18,2,FALSE)</f>
        <v>CISTERNA</v>
      </c>
      <c r="J581" s="101">
        <f>VLOOKUP(BDsurtidor!$H581,$T$4:$W$25,3,FALSE)</f>
        <v>5000</v>
      </c>
      <c r="K581" s="101">
        <f>VLOOKUP(BDsurtidor!$H581,$T$4:$W$25,4,FALSE)</f>
        <v>17</v>
      </c>
      <c r="L581" s="101">
        <f>VLOOKUP(BDsurtidor!$H581,$T$4:$X$25,5,FALSE)</f>
        <v>0.4</v>
      </c>
      <c r="M581" s="101" t="str">
        <f>VLOOKUP(BDsurtidor!$H581,$T$4:$Y$25,6,FALSE)</f>
        <v>EPS</v>
      </c>
      <c r="N581" s="70">
        <v>0</v>
      </c>
      <c r="O581" s="125">
        <v>1.1599999999999999</v>
      </c>
      <c r="P581" s="126">
        <v>0.44444444444444442</v>
      </c>
      <c r="Q581" s="334" t="s">
        <v>574</v>
      </c>
    </row>
    <row r="582" spans="2:17" x14ac:dyDescent="0.25">
      <c r="B582">
        <f>WEEKNUM(BSURTIDOR[[#This Row],[FECHA]])</f>
        <v>12</v>
      </c>
      <c r="C582">
        <f>MONTH(BSURTIDOR[[#This Row],[FECHA]])</f>
        <v>3</v>
      </c>
      <c r="D582">
        <f>YEAR(BSURTIDOR[[#This Row],[FECHA]])</f>
        <v>2026</v>
      </c>
      <c r="E582" s="124">
        <v>46101</v>
      </c>
      <c r="F582" s="382" t="s">
        <v>548</v>
      </c>
      <c r="G582" s="123">
        <v>1</v>
      </c>
      <c r="H582" s="123" t="s">
        <v>100</v>
      </c>
      <c r="I582" s="101" t="str">
        <f>VLOOKUP(BDsurtidor!$H582,$T$4:$W$18,2,FALSE)</f>
        <v>HIDROJET</v>
      </c>
      <c r="J582" s="101">
        <f>VLOOKUP(BDsurtidor!$H582,$T$4:$W$25,3,FALSE)</f>
        <v>1000</v>
      </c>
      <c r="K582" s="101">
        <f>VLOOKUP(BDsurtidor!$H582,$T$4:$W$25,4,FALSE)</f>
        <v>1</v>
      </c>
      <c r="L582" s="101">
        <f>VLOOKUP(BDsurtidor!$H582,$T$4:$X$25,5,FALSE)</f>
        <v>0</v>
      </c>
      <c r="M582" s="101" t="str">
        <f>VLOOKUP(BDsurtidor!$H582,$T$4:$Y$25,6,FALSE)</f>
        <v>EPS</v>
      </c>
      <c r="N582" s="70">
        <v>0</v>
      </c>
      <c r="O582" s="125">
        <v>0</v>
      </c>
      <c r="P582" s="126">
        <v>0.27569444444444446</v>
      </c>
      <c r="Q582" s="334" t="s">
        <v>574</v>
      </c>
    </row>
    <row r="583" spans="2:17" x14ac:dyDescent="0.25">
      <c r="B583">
        <f>WEEKNUM(BSURTIDOR[[#This Row],[FECHA]])</f>
        <v>12</v>
      </c>
      <c r="C583">
        <f>MONTH(BSURTIDOR[[#This Row],[FECHA]])</f>
        <v>3</v>
      </c>
      <c r="D583">
        <f>YEAR(BSURTIDOR[[#This Row],[FECHA]])</f>
        <v>2026</v>
      </c>
      <c r="E583" s="124">
        <v>46101</v>
      </c>
      <c r="F583" s="382" t="s">
        <v>548</v>
      </c>
      <c r="G583" s="123">
        <v>2</v>
      </c>
      <c r="H583" s="123" t="s">
        <v>95</v>
      </c>
      <c r="I583" s="101" t="str">
        <f>VLOOKUP(BDsurtidor!$H583,$T$4:$W$18,2,FALSE)</f>
        <v>CISTERNA</v>
      </c>
      <c r="J583" s="101">
        <f>VLOOKUP(BDsurtidor!$H583,$T$4:$W$25,3,FALSE)</f>
        <v>2500</v>
      </c>
      <c r="K583" s="101">
        <f>VLOOKUP(BDsurtidor!$H583,$T$4:$W$25,4,FALSE)</f>
        <v>9</v>
      </c>
      <c r="L583" s="101">
        <f>VLOOKUP(BDsurtidor!$H583,$T$4:$X$25,5,FALSE)</f>
        <v>0.22</v>
      </c>
      <c r="M583" s="101" t="str">
        <f>VLOOKUP(BDsurtidor!$H583,$T$4:$Y$25,6,FALSE)</f>
        <v>EPS</v>
      </c>
      <c r="N583" s="70">
        <v>0</v>
      </c>
      <c r="O583" s="125">
        <v>0</v>
      </c>
      <c r="P583" s="126">
        <v>0.31527777777777777</v>
      </c>
      <c r="Q583" s="334" t="s">
        <v>574</v>
      </c>
    </row>
    <row r="584" spans="2:17" x14ac:dyDescent="0.25">
      <c r="B584">
        <f>WEEKNUM(BSURTIDOR[[#This Row],[FECHA]])</f>
        <v>12</v>
      </c>
      <c r="C584">
        <f>MONTH(BSURTIDOR[[#This Row],[FECHA]])</f>
        <v>3</v>
      </c>
      <c r="D584">
        <f>YEAR(BSURTIDOR[[#This Row],[FECHA]])</f>
        <v>2026</v>
      </c>
      <c r="E584" s="124">
        <v>46101</v>
      </c>
      <c r="F584" s="382" t="s">
        <v>548</v>
      </c>
      <c r="G584" s="123">
        <v>3</v>
      </c>
      <c r="H584" s="123" t="s">
        <v>98</v>
      </c>
      <c r="I584" s="101" t="str">
        <f>VLOOKUP(BDsurtidor!$H584,$T$4:$W$18,2,FALSE)</f>
        <v>CISTERNA</v>
      </c>
      <c r="J584" s="101">
        <f>VLOOKUP(BDsurtidor!$H584,$T$4:$W$25,3,FALSE)</f>
        <v>9000</v>
      </c>
      <c r="K584" s="101">
        <f>VLOOKUP(BDsurtidor!$H584,$T$4:$W$25,4,FALSE)</f>
        <v>34</v>
      </c>
      <c r="L584" s="101">
        <f>VLOOKUP(BDsurtidor!$H584,$T$4:$X$25,5,FALSE)</f>
        <v>0.45</v>
      </c>
      <c r="M584" s="101" t="str">
        <f>VLOOKUP(BDsurtidor!$H584,$T$4:$Y$25,6,FALSE)</f>
        <v>VIVIENDA</v>
      </c>
      <c r="N584" s="70">
        <v>0</v>
      </c>
      <c r="O584" s="125">
        <v>1.1299999999999999</v>
      </c>
      <c r="P584" s="126">
        <v>0.33680555555555558</v>
      </c>
      <c r="Q584" s="334" t="s">
        <v>574</v>
      </c>
    </row>
    <row r="585" spans="2:17" x14ac:dyDescent="0.25">
      <c r="B585">
        <f>WEEKNUM(BSURTIDOR[[#This Row],[FECHA]])</f>
        <v>12</v>
      </c>
      <c r="C585">
        <f>MONTH(BSURTIDOR[[#This Row],[FECHA]])</f>
        <v>3</v>
      </c>
      <c r="D585">
        <f>YEAR(BSURTIDOR[[#This Row],[FECHA]])</f>
        <v>2026</v>
      </c>
      <c r="E585" s="124">
        <v>46101</v>
      </c>
      <c r="F585" s="382" t="s">
        <v>548</v>
      </c>
      <c r="G585" s="123">
        <v>4</v>
      </c>
      <c r="H585" s="123" t="s">
        <v>87</v>
      </c>
      <c r="I585" s="101" t="str">
        <f>VLOOKUP(BDsurtidor!$H585,$T$4:$W$18,2,FALSE)</f>
        <v>CISTERNA</v>
      </c>
      <c r="J585" s="101">
        <f>VLOOKUP(BDsurtidor!$H585,$T$4:$W$25,3,FALSE)</f>
        <v>5000</v>
      </c>
      <c r="K585" s="101">
        <f>VLOOKUP(BDsurtidor!$H585,$T$4:$W$25,4,FALSE)</f>
        <v>17</v>
      </c>
      <c r="L585" s="101">
        <f>VLOOKUP(BDsurtidor!$H585,$T$4:$X$25,5,FALSE)</f>
        <v>0.4</v>
      </c>
      <c r="M585" s="101" t="str">
        <f>VLOOKUP(BDsurtidor!$H585,$T$4:$Y$25,6,FALSE)</f>
        <v>EPS</v>
      </c>
      <c r="N585" s="70">
        <v>0</v>
      </c>
      <c r="O585" s="125">
        <v>1.08</v>
      </c>
      <c r="P585" s="126">
        <v>0.34236111111111112</v>
      </c>
      <c r="Q585" s="334" t="s">
        <v>574</v>
      </c>
    </row>
    <row r="586" spans="2:17" x14ac:dyDescent="0.25">
      <c r="B586">
        <f>WEEKNUM(BSURTIDOR[[#This Row],[FECHA]])</f>
        <v>12</v>
      </c>
      <c r="C586">
        <f>MONTH(BSURTIDOR[[#This Row],[FECHA]])</f>
        <v>3</v>
      </c>
      <c r="D586">
        <f>YEAR(BSURTIDOR[[#This Row],[FECHA]])</f>
        <v>2026</v>
      </c>
      <c r="E586" s="124">
        <v>46101</v>
      </c>
      <c r="F586" s="382" t="s">
        <v>548</v>
      </c>
      <c r="G586" s="123">
        <v>5</v>
      </c>
      <c r="H586" s="123" t="s">
        <v>87</v>
      </c>
      <c r="I586" s="101" t="str">
        <f>VLOOKUP(BDsurtidor!$H586,$T$4:$W$18,2,FALSE)</f>
        <v>CISTERNA</v>
      </c>
      <c r="J586" s="101">
        <f>VLOOKUP(BDsurtidor!$H586,$T$4:$W$25,3,FALSE)</f>
        <v>5000</v>
      </c>
      <c r="K586" s="101">
        <f>VLOOKUP(BDsurtidor!$H586,$T$4:$W$25,4,FALSE)</f>
        <v>17</v>
      </c>
      <c r="L586" s="101">
        <f>VLOOKUP(BDsurtidor!$H586,$T$4:$X$25,5,FALSE)</f>
        <v>0.4</v>
      </c>
      <c r="M586" s="101" t="str">
        <f>VLOOKUP(BDsurtidor!$H586,$T$4:$Y$25,6,FALSE)</f>
        <v>EPS</v>
      </c>
      <c r="N586" s="70">
        <v>0</v>
      </c>
      <c r="O586" s="125">
        <v>1.0900000000000001</v>
      </c>
      <c r="P586" s="126">
        <v>0.50555555555555554</v>
      </c>
      <c r="Q586" s="334" t="s">
        <v>574</v>
      </c>
    </row>
    <row r="587" spans="2:17" x14ac:dyDescent="0.25">
      <c r="B587">
        <f>WEEKNUM(BSURTIDOR[[#This Row],[FECHA]])</f>
        <v>12</v>
      </c>
      <c r="C587">
        <f>MONTH(BSURTIDOR[[#This Row],[FECHA]])</f>
        <v>3</v>
      </c>
      <c r="D587">
        <f>YEAR(BSURTIDOR[[#This Row],[FECHA]])</f>
        <v>2026</v>
      </c>
      <c r="E587" s="124">
        <v>46102</v>
      </c>
      <c r="F587" s="382" t="s">
        <v>548</v>
      </c>
      <c r="G587" s="123">
        <v>1</v>
      </c>
      <c r="H587" s="123" t="s">
        <v>98</v>
      </c>
      <c r="I587" s="101" t="str">
        <f>VLOOKUP(BDsurtidor!$H587,$T$4:$W$18,2,FALSE)</f>
        <v>CISTERNA</v>
      </c>
      <c r="J587" s="101">
        <f>VLOOKUP(BDsurtidor!$H587,$T$4:$W$25,3,FALSE)</f>
        <v>9000</v>
      </c>
      <c r="K587" s="101">
        <f>VLOOKUP(BDsurtidor!$H587,$T$4:$W$25,4,FALSE)</f>
        <v>34</v>
      </c>
      <c r="L587" s="101">
        <f>VLOOKUP(BDsurtidor!$H587,$T$4:$X$25,5,FALSE)</f>
        <v>0.45</v>
      </c>
      <c r="M587" s="101" t="str">
        <f>VLOOKUP(BDsurtidor!$H587,$T$4:$Y$25,6,FALSE)</f>
        <v>VIVIENDA</v>
      </c>
      <c r="N587" s="70">
        <v>0</v>
      </c>
      <c r="O587" s="125">
        <v>1.03</v>
      </c>
      <c r="P587" s="126">
        <v>0.31458333333333333</v>
      </c>
      <c r="Q587" s="334" t="s">
        <v>574</v>
      </c>
    </row>
    <row r="588" spans="2:17" x14ac:dyDescent="0.25">
      <c r="B588">
        <f>WEEKNUM(BSURTIDOR[[#This Row],[FECHA]])</f>
        <v>12</v>
      </c>
      <c r="C588">
        <f>MONTH(BSURTIDOR[[#This Row],[FECHA]])</f>
        <v>3</v>
      </c>
      <c r="D588">
        <f>YEAR(BSURTIDOR[[#This Row],[FECHA]])</f>
        <v>2026</v>
      </c>
      <c r="E588" s="124">
        <v>46102</v>
      </c>
      <c r="F588" s="382" t="s">
        <v>548</v>
      </c>
      <c r="G588" s="123">
        <v>2</v>
      </c>
      <c r="H588" s="123" t="s">
        <v>87</v>
      </c>
      <c r="I588" s="101" t="str">
        <f>VLOOKUP(BDsurtidor!$H588,$T$4:$W$18,2,FALSE)</f>
        <v>CISTERNA</v>
      </c>
      <c r="J588" s="101">
        <f>VLOOKUP(BDsurtidor!$H588,$T$4:$W$25,3,FALSE)</f>
        <v>5000</v>
      </c>
      <c r="K588" s="101">
        <f>VLOOKUP(BDsurtidor!$H588,$T$4:$W$25,4,FALSE)</f>
        <v>17</v>
      </c>
      <c r="L588" s="101">
        <f>VLOOKUP(BDsurtidor!$H588,$T$4:$X$25,5,FALSE)</f>
        <v>0.4</v>
      </c>
      <c r="M588" s="101" t="str">
        <f>VLOOKUP(BDsurtidor!$H588,$T$4:$Y$25,6,FALSE)</f>
        <v>EPS</v>
      </c>
      <c r="N588" s="70">
        <v>0</v>
      </c>
      <c r="O588" s="125">
        <v>1.1299999999999999</v>
      </c>
      <c r="P588" s="126">
        <v>0.32291666666666669</v>
      </c>
      <c r="Q588" s="334" t="s">
        <v>574</v>
      </c>
    </row>
    <row r="589" spans="2:17" x14ac:dyDescent="0.25">
      <c r="B589">
        <f>WEEKNUM(BSURTIDOR[[#This Row],[FECHA]])</f>
        <v>12</v>
      </c>
      <c r="C589">
        <f>MONTH(BSURTIDOR[[#This Row],[FECHA]])</f>
        <v>3</v>
      </c>
      <c r="D589">
        <f>YEAR(BSURTIDOR[[#This Row],[FECHA]])</f>
        <v>2026</v>
      </c>
      <c r="E589" s="124">
        <v>46102</v>
      </c>
      <c r="F589" s="382" t="s">
        <v>548</v>
      </c>
      <c r="G589" s="123">
        <v>3</v>
      </c>
      <c r="H589" s="123" t="s">
        <v>95</v>
      </c>
      <c r="I589" s="101" t="str">
        <f>VLOOKUP(BDsurtidor!$H589,$T$4:$W$18,2,FALSE)</f>
        <v>CISTERNA</v>
      </c>
      <c r="J589" s="101">
        <f>VLOOKUP(BDsurtidor!$H589,$T$4:$W$25,3,FALSE)</f>
        <v>2500</v>
      </c>
      <c r="K589" s="101">
        <f>VLOOKUP(BDsurtidor!$H589,$T$4:$W$25,4,FALSE)</f>
        <v>9</v>
      </c>
      <c r="L589" s="101">
        <f>VLOOKUP(BDsurtidor!$H589,$T$4:$X$25,5,FALSE)</f>
        <v>0.22</v>
      </c>
      <c r="M589" s="101" t="str">
        <f>VLOOKUP(BDsurtidor!$H589,$T$4:$Y$25,6,FALSE)</f>
        <v>EPS</v>
      </c>
      <c r="N589" s="70">
        <v>0</v>
      </c>
      <c r="O589" s="125">
        <v>0</v>
      </c>
      <c r="P589" s="126">
        <v>0.33194444444444443</v>
      </c>
      <c r="Q589" s="334" t="s">
        <v>574</v>
      </c>
    </row>
    <row r="590" spans="2:17" x14ac:dyDescent="0.25">
      <c r="B590">
        <f>WEEKNUM(BSURTIDOR[[#This Row],[FECHA]])</f>
        <v>12</v>
      </c>
      <c r="C590">
        <f>MONTH(BSURTIDOR[[#This Row],[FECHA]])</f>
        <v>3</v>
      </c>
      <c r="D590">
        <f>YEAR(BSURTIDOR[[#This Row],[FECHA]])</f>
        <v>2026</v>
      </c>
      <c r="E590" s="124">
        <v>46102</v>
      </c>
      <c r="F590" s="382" t="s">
        <v>548</v>
      </c>
      <c r="G590" s="123">
        <v>4</v>
      </c>
      <c r="H590" s="123" t="s">
        <v>87</v>
      </c>
      <c r="I590" s="101" t="str">
        <f>VLOOKUP(BDsurtidor!$H590,$T$4:$W$18,2,FALSE)</f>
        <v>CISTERNA</v>
      </c>
      <c r="J590" s="101">
        <f>VLOOKUP(BDsurtidor!$H590,$T$4:$W$25,3,FALSE)</f>
        <v>5000</v>
      </c>
      <c r="K590" s="101">
        <f>VLOOKUP(BDsurtidor!$H590,$T$4:$W$25,4,FALSE)</f>
        <v>17</v>
      </c>
      <c r="L590" s="101">
        <f>VLOOKUP(BDsurtidor!$H590,$T$4:$X$25,5,FALSE)</f>
        <v>0.4</v>
      </c>
      <c r="M590" s="101" t="str">
        <f>VLOOKUP(BDsurtidor!$H590,$T$4:$Y$25,6,FALSE)</f>
        <v>EPS</v>
      </c>
      <c r="N590" s="70">
        <v>0</v>
      </c>
      <c r="O590" s="125">
        <v>1.1000000000000001</v>
      </c>
      <c r="P590" s="126">
        <v>0.47361111111111109</v>
      </c>
      <c r="Q590" s="334" t="s">
        <v>574</v>
      </c>
    </row>
    <row r="591" spans="2:17" x14ac:dyDescent="0.25">
      <c r="B591">
        <f>WEEKNUM(BSURTIDOR[[#This Row],[FECHA]])</f>
        <v>13</v>
      </c>
      <c r="C591">
        <f>MONTH(BSURTIDOR[[#This Row],[FECHA]])</f>
        <v>3</v>
      </c>
      <c r="D591">
        <f>YEAR(BSURTIDOR[[#This Row],[FECHA]])</f>
        <v>2026</v>
      </c>
      <c r="E591" s="124">
        <v>46103</v>
      </c>
      <c r="F591" s="382" t="s">
        <v>548</v>
      </c>
      <c r="G591" s="123">
        <v>1</v>
      </c>
      <c r="H591" s="123" t="s">
        <v>87</v>
      </c>
      <c r="I591" s="101" t="str">
        <f>VLOOKUP(BDsurtidor!$H591,$T$4:$W$18,2,FALSE)</f>
        <v>CISTERNA</v>
      </c>
      <c r="J591" s="101">
        <f>VLOOKUP(BDsurtidor!$H591,$T$4:$W$25,3,FALSE)</f>
        <v>5000</v>
      </c>
      <c r="K591" s="101">
        <f>VLOOKUP(BDsurtidor!$H591,$T$4:$W$25,4,FALSE)</f>
        <v>17</v>
      </c>
      <c r="L591" s="101">
        <f>VLOOKUP(BDsurtidor!$H591,$T$4:$X$25,5,FALSE)</f>
        <v>0.4</v>
      </c>
      <c r="M591" s="101" t="str">
        <f>VLOOKUP(BDsurtidor!$H591,$T$4:$Y$25,6,FALSE)</f>
        <v>EPS</v>
      </c>
      <c r="N591" s="70">
        <v>0</v>
      </c>
      <c r="O591" s="125">
        <v>1.1299999999999999</v>
      </c>
      <c r="P591" s="126">
        <v>0.31597222222222221</v>
      </c>
      <c r="Q591" s="334" t="s">
        <v>574</v>
      </c>
    </row>
    <row r="592" spans="2:17" x14ac:dyDescent="0.25">
      <c r="B592">
        <f>WEEKNUM(BSURTIDOR[[#This Row],[FECHA]])</f>
        <v>13</v>
      </c>
      <c r="C592">
        <f>MONTH(BSURTIDOR[[#This Row],[FECHA]])</f>
        <v>3</v>
      </c>
      <c r="D592">
        <f>YEAR(BSURTIDOR[[#This Row],[FECHA]])</f>
        <v>2026</v>
      </c>
      <c r="E592" s="124">
        <v>46103</v>
      </c>
      <c r="F592" s="382" t="s">
        <v>548</v>
      </c>
      <c r="G592" s="123">
        <v>2</v>
      </c>
      <c r="H592" s="123" t="s">
        <v>87</v>
      </c>
      <c r="I592" s="101" t="str">
        <f>VLOOKUP(BDsurtidor!$H592,$T$4:$W$18,2,FALSE)</f>
        <v>CISTERNA</v>
      </c>
      <c r="J592" s="101">
        <f>VLOOKUP(BDsurtidor!$H592,$T$4:$W$25,3,FALSE)</f>
        <v>5000</v>
      </c>
      <c r="K592" s="101">
        <f>VLOOKUP(BDsurtidor!$H592,$T$4:$W$25,4,FALSE)</f>
        <v>17</v>
      </c>
      <c r="L592" s="101">
        <f>VLOOKUP(BDsurtidor!$H592,$T$4:$X$25,5,FALSE)</f>
        <v>0.4</v>
      </c>
      <c r="M592" s="101" t="str">
        <f>VLOOKUP(BDsurtidor!$H592,$T$4:$Y$25,6,FALSE)</f>
        <v>EPS</v>
      </c>
      <c r="N592" s="101">
        <v>0</v>
      </c>
      <c r="O592" s="125">
        <v>1.1399999999999999</v>
      </c>
      <c r="P592" s="126">
        <v>0.45902777777777776</v>
      </c>
      <c r="Q592" s="334" t="s">
        <v>574</v>
      </c>
    </row>
    <row r="593" spans="2:17" x14ac:dyDescent="0.25">
      <c r="B593">
        <f>WEEKNUM(BSURTIDOR[[#This Row],[FECHA]])</f>
        <v>13</v>
      </c>
      <c r="C593">
        <f>MONTH(BSURTIDOR[[#This Row],[FECHA]])</f>
        <v>3</v>
      </c>
      <c r="D593">
        <f>YEAR(BSURTIDOR[[#This Row],[FECHA]])</f>
        <v>2026</v>
      </c>
      <c r="E593" s="124">
        <v>46104</v>
      </c>
      <c r="F593" s="382" t="s">
        <v>548</v>
      </c>
      <c r="G593" s="123">
        <v>1</v>
      </c>
      <c r="H593" s="123" t="s">
        <v>100</v>
      </c>
      <c r="I593" s="101" t="str">
        <f>VLOOKUP(BDsurtidor!$H593,$T$4:$W$18,2,FALSE)</f>
        <v>HIDROJET</v>
      </c>
      <c r="J593" s="101">
        <f>VLOOKUP(BDsurtidor!$H593,$T$4:$W$25,3,FALSE)</f>
        <v>1000</v>
      </c>
      <c r="K593" s="101">
        <f>VLOOKUP(BDsurtidor!$H593,$T$4:$W$25,4,FALSE)</f>
        <v>1</v>
      </c>
      <c r="L593" s="101">
        <f>VLOOKUP(BDsurtidor!$H593,$T$4:$X$25,5,FALSE)</f>
        <v>0</v>
      </c>
      <c r="M593" s="101" t="str">
        <f>VLOOKUP(BDsurtidor!$H593,$T$4:$Y$25,6,FALSE)</f>
        <v>EPS</v>
      </c>
      <c r="N593" s="101">
        <v>0</v>
      </c>
      <c r="O593" s="309">
        <v>0</v>
      </c>
      <c r="P593" s="126">
        <v>0.28055555555555556</v>
      </c>
      <c r="Q593" s="334" t="s">
        <v>574</v>
      </c>
    </row>
    <row r="594" spans="2:17" x14ac:dyDescent="0.25">
      <c r="B594">
        <f>WEEKNUM(BSURTIDOR[[#This Row],[FECHA]])</f>
        <v>13</v>
      </c>
      <c r="C594">
        <f>MONTH(BSURTIDOR[[#This Row],[FECHA]])</f>
        <v>3</v>
      </c>
      <c r="D594">
        <f>YEAR(BSURTIDOR[[#This Row],[FECHA]])</f>
        <v>2026</v>
      </c>
      <c r="E594" s="124">
        <v>46104</v>
      </c>
      <c r="F594" s="382" t="s">
        <v>548</v>
      </c>
      <c r="G594" s="123">
        <v>2</v>
      </c>
      <c r="H594" s="123" t="s">
        <v>87</v>
      </c>
      <c r="I594" s="101" t="str">
        <f>VLOOKUP(BDsurtidor!$H594,$T$4:$W$18,2,FALSE)</f>
        <v>CISTERNA</v>
      </c>
      <c r="J594" s="101">
        <f>VLOOKUP(BDsurtidor!$H594,$T$4:$W$25,3,FALSE)</f>
        <v>5000</v>
      </c>
      <c r="K594" s="101">
        <f>VLOOKUP(BDsurtidor!$H594,$T$4:$W$25,4,FALSE)</f>
        <v>17</v>
      </c>
      <c r="L594" s="101">
        <f>VLOOKUP(BDsurtidor!$H594,$T$4:$X$25,5,FALSE)</f>
        <v>0.4</v>
      </c>
      <c r="M594" s="101" t="str">
        <f>VLOOKUP(BDsurtidor!$H594,$T$4:$Y$25,6,FALSE)</f>
        <v>EPS</v>
      </c>
      <c r="N594" s="101">
        <v>0</v>
      </c>
      <c r="O594" s="125">
        <v>1.02</v>
      </c>
      <c r="P594" s="126">
        <v>0.31805555555555554</v>
      </c>
      <c r="Q594" s="334" t="s">
        <v>574</v>
      </c>
    </row>
    <row r="595" spans="2:17" x14ac:dyDescent="0.25">
      <c r="B595">
        <f>WEEKNUM(BSURTIDOR[[#This Row],[FECHA]])</f>
        <v>13</v>
      </c>
      <c r="C595">
        <f>MONTH(BSURTIDOR[[#This Row],[FECHA]])</f>
        <v>3</v>
      </c>
      <c r="D595">
        <f>YEAR(BSURTIDOR[[#This Row],[FECHA]])</f>
        <v>2026</v>
      </c>
      <c r="E595" s="124">
        <v>46104</v>
      </c>
      <c r="F595" s="382" t="s">
        <v>548</v>
      </c>
      <c r="G595" s="123">
        <v>3</v>
      </c>
      <c r="H595" s="123" t="s">
        <v>98</v>
      </c>
      <c r="I595" s="101" t="str">
        <f>VLOOKUP(BDsurtidor!$H595,$T$4:$W$18,2,FALSE)</f>
        <v>CISTERNA</v>
      </c>
      <c r="J595" s="101">
        <f>VLOOKUP(BDsurtidor!$H595,$T$4:$W$25,3,FALSE)</f>
        <v>9000</v>
      </c>
      <c r="K595" s="101">
        <f>VLOOKUP(BDsurtidor!$H595,$T$4:$W$25,4,FALSE)</f>
        <v>34</v>
      </c>
      <c r="L595" s="101">
        <f>VLOOKUP(BDsurtidor!$H595,$T$4:$X$25,5,FALSE)</f>
        <v>0.45</v>
      </c>
      <c r="M595" s="101" t="str">
        <f>VLOOKUP(BDsurtidor!$H595,$T$4:$Y$25,6,FALSE)</f>
        <v>VIVIENDA</v>
      </c>
      <c r="N595" s="101">
        <v>0</v>
      </c>
      <c r="O595" s="125">
        <v>1.04</v>
      </c>
      <c r="P595" s="126">
        <v>0.33055555555555555</v>
      </c>
      <c r="Q595" s="334" t="s">
        <v>574</v>
      </c>
    </row>
    <row r="596" spans="2:17" x14ac:dyDescent="0.25">
      <c r="B596">
        <f>WEEKNUM(BSURTIDOR[[#This Row],[FECHA]])</f>
        <v>13</v>
      </c>
      <c r="C596">
        <f>MONTH(BSURTIDOR[[#This Row],[FECHA]])</f>
        <v>3</v>
      </c>
      <c r="D596">
        <f>YEAR(BSURTIDOR[[#This Row],[FECHA]])</f>
        <v>2026</v>
      </c>
      <c r="E596" s="124">
        <v>46104</v>
      </c>
      <c r="F596" s="382" t="s">
        <v>548</v>
      </c>
      <c r="G596" s="123">
        <v>4</v>
      </c>
      <c r="H596" s="123" t="s">
        <v>95</v>
      </c>
      <c r="I596" s="101" t="str">
        <f>VLOOKUP(BDsurtidor!$H596,$T$4:$W$18,2,FALSE)</f>
        <v>CISTERNA</v>
      </c>
      <c r="J596" s="101">
        <f>VLOOKUP(BDsurtidor!$H596,$T$4:$W$25,3,FALSE)</f>
        <v>2500</v>
      </c>
      <c r="K596" s="101">
        <f>VLOOKUP(BDsurtidor!$H596,$T$4:$W$25,4,FALSE)</f>
        <v>9</v>
      </c>
      <c r="L596" s="101">
        <f>VLOOKUP(BDsurtidor!$H596,$T$4:$X$25,5,FALSE)</f>
        <v>0.22</v>
      </c>
      <c r="M596" s="101" t="str">
        <f>VLOOKUP(BDsurtidor!$H596,$T$4:$Y$25,6,FALSE)</f>
        <v>EPS</v>
      </c>
      <c r="N596" s="101">
        <v>0</v>
      </c>
      <c r="O596" s="125">
        <v>0</v>
      </c>
      <c r="P596" s="126">
        <v>0.54166666666666663</v>
      </c>
      <c r="Q596" s="334" t="s">
        <v>574</v>
      </c>
    </row>
    <row r="597" spans="2:17" x14ac:dyDescent="0.25">
      <c r="B597">
        <f>WEEKNUM(BSURTIDOR[[#This Row],[FECHA]])</f>
        <v>13</v>
      </c>
      <c r="C597">
        <f>MONTH(BSURTIDOR[[#This Row],[FECHA]])</f>
        <v>3</v>
      </c>
      <c r="D597">
        <f>YEAR(BSURTIDOR[[#This Row],[FECHA]])</f>
        <v>2026</v>
      </c>
      <c r="E597" s="124">
        <v>46105</v>
      </c>
      <c r="F597" s="382" t="s">
        <v>548</v>
      </c>
      <c r="G597" s="123">
        <v>1</v>
      </c>
      <c r="H597" s="123" t="s">
        <v>100</v>
      </c>
      <c r="I597" s="101" t="str">
        <f>VLOOKUP(BDsurtidor!$H597,$T$4:$W$18,2,FALSE)</f>
        <v>HIDROJET</v>
      </c>
      <c r="J597" s="101">
        <f>VLOOKUP(BDsurtidor!$H597,$T$4:$W$25,3,FALSE)</f>
        <v>1000</v>
      </c>
      <c r="K597" s="101">
        <f>VLOOKUP(BDsurtidor!$H597,$T$4:$W$25,4,FALSE)</f>
        <v>1</v>
      </c>
      <c r="L597" s="101">
        <f>VLOOKUP(BDsurtidor!$H597,$T$4:$X$25,5,FALSE)</f>
        <v>0</v>
      </c>
      <c r="M597" s="101" t="str">
        <f>VLOOKUP(BDsurtidor!$H597,$T$4:$Y$25,6,FALSE)</f>
        <v>EPS</v>
      </c>
      <c r="N597" s="101">
        <v>0</v>
      </c>
      <c r="O597" s="125">
        <v>0</v>
      </c>
      <c r="P597" s="126">
        <v>0.2902777777777778</v>
      </c>
      <c r="Q597" s="334" t="s">
        <v>574</v>
      </c>
    </row>
    <row r="598" spans="2:17" x14ac:dyDescent="0.25">
      <c r="B598">
        <f>WEEKNUM(BSURTIDOR[[#This Row],[FECHA]])</f>
        <v>13</v>
      </c>
      <c r="C598">
        <f>MONTH(BSURTIDOR[[#This Row],[FECHA]])</f>
        <v>3</v>
      </c>
      <c r="D598">
        <f>YEAR(BSURTIDOR[[#This Row],[FECHA]])</f>
        <v>2026</v>
      </c>
      <c r="E598" s="124">
        <v>46105</v>
      </c>
      <c r="F598" s="382" t="s">
        <v>548</v>
      </c>
      <c r="G598" s="123">
        <v>2</v>
      </c>
      <c r="H598" s="123" t="s">
        <v>98</v>
      </c>
      <c r="I598" s="101" t="str">
        <f>VLOOKUP(BDsurtidor!$H598,$T$4:$W$18,2,FALSE)</f>
        <v>CISTERNA</v>
      </c>
      <c r="J598" s="101">
        <f>VLOOKUP(BDsurtidor!$H598,$T$4:$W$25,3,FALSE)</f>
        <v>9000</v>
      </c>
      <c r="K598" s="101">
        <f>VLOOKUP(BDsurtidor!$H598,$T$4:$W$25,4,FALSE)</f>
        <v>34</v>
      </c>
      <c r="L598" s="101">
        <f>VLOOKUP(BDsurtidor!$H598,$T$4:$X$25,5,FALSE)</f>
        <v>0.45</v>
      </c>
      <c r="M598" s="101" t="str">
        <f>VLOOKUP(BDsurtidor!$H598,$T$4:$Y$25,6,FALSE)</f>
        <v>VIVIENDA</v>
      </c>
      <c r="N598" s="101">
        <v>0</v>
      </c>
      <c r="O598" s="125">
        <v>1.19</v>
      </c>
      <c r="P598" s="126">
        <v>0.3263888888888889</v>
      </c>
      <c r="Q598" s="334" t="s">
        <v>574</v>
      </c>
    </row>
    <row r="599" spans="2:17" x14ac:dyDescent="0.25">
      <c r="B599">
        <f>WEEKNUM(BSURTIDOR[[#This Row],[FECHA]])</f>
        <v>13</v>
      </c>
      <c r="C599">
        <f>MONTH(BSURTIDOR[[#This Row],[FECHA]])</f>
        <v>3</v>
      </c>
      <c r="D599">
        <f>YEAR(BSURTIDOR[[#This Row],[FECHA]])</f>
        <v>2026</v>
      </c>
      <c r="E599" s="124">
        <v>46105</v>
      </c>
      <c r="F599" s="382" t="s">
        <v>548</v>
      </c>
      <c r="G599" s="123">
        <v>3</v>
      </c>
      <c r="H599" s="123" t="s">
        <v>87</v>
      </c>
      <c r="I599" s="101" t="str">
        <f>VLOOKUP(BDsurtidor!$H599,$T$4:$W$18,2,FALSE)</f>
        <v>CISTERNA</v>
      </c>
      <c r="J599" s="101">
        <f>VLOOKUP(BDsurtidor!$H599,$T$4:$W$25,3,FALSE)</f>
        <v>5000</v>
      </c>
      <c r="K599" s="101">
        <f>VLOOKUP(BDsurtidor!$H599,$T$4:$W$25,4,FALSE)</f>
        <v>17</v>
      </c>
      <c r="L599" s="101">
        <f>VLOOKUP(BDsurtidor!$H599,$T$4:$X$25,5,FALSE)</f>
        <v>0.4</v>
      </c>
      <c r="M599" s="101" t="str">
        <f>VLOOKUP(BDsurtidor!$H599,$T$4:$Y$25,6,FALSE)</f>
        <v>EPS</v>
      </c>
      <c r="N599" s="101">
        <v>0</v>
      </c>
      <c r="O599" s="125">
        <v>1.21</v>
      </c>
      <c r="P599" s="126">
        <v>0.33680555555555558</v>
      </c>
      <c r="Q599" s="334" t="s">
        <v>574</v>
      </c>
    </row>
    <row r="600" spans="2:17" x14ac:dyDescent="0.25">
      <c r="B600">
        <f>WEEKNUM(BSURTIDOR[[#This Row],[FECHA]])</f>
        <v>13</v>
      </c>
      <c r="C600">
        <f>MONTH(BSURTIDOR[[#This Row],[FECHA]])</f>
        <v>3</v>
      </c>
      <c r="D600">
        <f>YEAR(BSURTIDOR[[#This Row],[FECHA]])</f>
        <v>2026</v>
      </c>
      <c r="E600" s="124">
        <v>46105</v>
      </c>
      <c r="F600" s="382" t="s">
        <v>548</v>
      </c>
      <c r="G600" s="123">
        <v>4</v>
      </c>
      <c r="H600" s="123" t="s">
        <v>95</v>
      </c>
      <c r="I600" s="101" t="str">
        <f>VLOOKUP(BDsurtidor!$H600,$T$4:$W$18,2,FALSE)</f>
        <v>CISTERNA</v>
      </c>
      <c r="J600" s="101">
        <f>VLOOKUP(BDsurtidor!$H600,$T$4:$W$25,3,FALSE)</f>
        <v>2500</v>
      </c>
      <c r="K600" s="101">
        <f>VLOOKUP(BDsurtidor!$H600,$T$4:$W$25,4,FALSE)</f>
        <v>9</v>
      </c>
      <c r="L600" s="101">
        <f>VLOOKUP(BDsurtidor!$H600,$T$4:$X$25,5,FALSE)</f>
        <v>0.22</v>
      </c>
      <c r="M600" s="101" t="str">
        <f>VLOOKUP(BDsurtidor!$H600,$T$4:$Y$25,6,FALSE)</f>
        <v>EPS</v>
      </c>
      <c r="N600" s="101">
        <v>0</v>
      </c>
      <c r="O600" s="125">
        <v>0</v>
      </c>
      <c r="P600" s="126">
        <v>0.44236111111111109</v>
      </c>
      <c r="Q600" s="334" t="s">
        <v>574</v>
      </c>
    </row>
    <row r="601" spans="2:17" x14ac:dyDescent="0.25">
      <c r="B601">
        <f>WEEKNUM(BSURTIDOR[[#This Row],[FECHA]])</f>
        <v>13</v>
      </c>
      <c r="C601">
        <f>MONTH(BSURTIDOR[[#This Row],[FECHA]])</f>
        <v>3</v>
      </c>
      <c r="D601">
        <f>YEAR(BSURTIDOR[[#This Row],[FECHA]])</f>
        <v>2026</v>
      </c>
      <c r="E601" s="124">
        <v>46105</v>
      </c>
      <c r="F601" s="382" t="s">
        <v>548</v>
      </c>
      <c r="G601" s="123">
        <v>5</v>
      </c>
      <c r="H601" s="123" t="s">
        <v>87</v>
      </c>
      <c r="I601" s="101" t="str">
        <f>VLOOKUP(BDsurtidor!$H601,$T$4:$W$18,2,FALSE)</f>
        <v>CISTERNA</v>
      </c>
      <c r="J601" s="101">
        <f>VLOOKUP(BDsurtidor!$H601,$T$4:$W$25,3,FALSE)</f>
        <v>5000</v>
      </c>
      <c r="K601" s="101">
        <f>VLOOKUP(BDsurtidor!$H601,$T$4:$W$25,4,FALSE)</f>
        <v>17</v>
      </c>
      <c r="L601" s="101">
        <f>VLOOKUP(BDsurtidor!$H601,$T$4:$X$25,5,FALSE)</f>
        <v>0.4</v>
      </c>
      <c r="M601" s="101" t="str">
        <f>VLOOKUP(BDsurtidor!$H601,$T$4:$Y$25,6,FALSE)</f>
        <v>EPS</v>
      </c>
      <c r="N601" s="101">
        <v>0</v>
      </c>
      <c r="O601" s="125">
        <v>1.18</v>
      </c>
      <c r="P601" s="126">
        <v>0.4548611111111111</v>
      </c>
      <c r="Q601" s="334" t="s">
        <v>574</v>
      </c>
    </row>
    <row r="602" spans="2:17" x14ac:dyDescent="0.25">
      <c r="B602">
        <f>WEEKNUM(BSURTIDOR[[#This Row],[FECHA]])</f>
        <v>13</v>
      </c>
      <c r="C602">
        <f>MONTH(BSURTIDOR[[#This Row],[FECHA]])</f>
        <v>3</v>
      </c>
      <c r="D602">
        <f>YEAR(BSURTIDOR[[#This Row],[FECHA]])</f>
        <v>2026</v>
      </c>
      <c r="E602" s="124">
        <v>46105</v>
      </c>
      <c r="F602" s="382" t="s">
        <v>548</v>
      </c>
      <c r="G602" s="123">
        <v>6</v>
      </c>
      <c r="H602" s="123" t="s">
        <v>98</v>
      </c>
      <c r="I602" s="101" t="str">
        <f>VLOOKUP(BDsurtidor!$H602,$T$4:$W$18,2,FALSE)</f>
        <v>CISTERNA</v>
      </c>
      <c r="J602" s="101">
        <f>VLOOKUP(BDsurtidor!$H602,$T$4:$W$25,3,FALSE)</f>
        <v>9000</v>
      </c>
      <c r="K602" s="101">
        <f>VLOOKUP(BDsurtidor!$H602,$T$4:$W$25,4,FALSE)</f>
        <v>34</v>
      </c>
      <c r="L602" s="101">
        <f>VLOOKUP(BDsurtidor!$H602,$T$4:$X$25,5,FALSE)</f>
        <v>0.45</v>
      </c>
      <c r="M602" s="101" t="str">
        <f>VLOOKUP(BDsurtidor!$H602,$T$4:$Y$25,6,FALSE)</f>
        <v>VIVIENDA</v>
      </c>
      <c r="N602" s="101">
        <v>0</v>
      </c>
      <c r="O602" s="125">
        <v>1.23</v>
      </c>
      <c r="P602" s="126">
        <v>0.50347222222222221</v>
      </c>
      <c r="Q602" s="334" t="s">
        <v>574</v>
      </c>
    </row>
    <row r="603" spans="2:17" x14ac:dyDescent="0.25">
      <c r="B603">
        <f>WEEKNUM(BSURTIDOR[[#This Row],[FECHA]])</f>
        <v>13</v>
      </c>
      <c r="C603">
        <f>MONTH(BSURTIDOR[[#This Row],[FECHA]])</f>
        <v>3</v>
      </c>
      <c r="D603">
        <f>YEAR(BSURTIDOR[[#This Row],[FECHA]])</f>
        <v>2026</v>
      </c>
      <c r="E603" s="124">
        <v>46106</v>
      </c>
      <c r="F603" s="382" t="s">
        <v>548</v>
      </c>
      <c r="G603" s="123">
        <v>1</v>
      </c>
      <c r="H603" s="123" t="s">
        <v>100</v>
      </c>
      <c r="I603" s="101" t="str">
        <f>VLOOKUP(BDsurtidor!$H603,$T$4:$W$18,2,FALSE)</f>
        <v>HIDROJET</v>
      </c>
      <c r="J603" s="101">
        <f>VLOOKUP(BDsurtidor!$H603,$T$4:$W$25,3,FALSE)</f>
        <v>1000</v>
      </c>
      <c r="K603" s="101">
        <f>VLOOKUP(BDsurtidor!$H603,$T$4:$W$25,4,FALSE)</f>
        <v>1</v>
      </c>
      <c r="L603" s="101">
        <f>VLOOKUP(BDsurtidor!$H603,$T$4:$X$25,5,FALSE)</f>
        <v>0</v>
      </c>
      <c r="M603" s="101" t="str">
        <f>VLOOKUP(BDsurtidor!$H603,$T$4:$Y$25,6,FALSE)</f>
        <v>EPS</v>
      </c>
      <c r="N603" s="101">
        <v>0</v>
      </c>
      <c r="O603" s="125">
        <v>0</v>
      </c>
      <c r="P603" s="126">
        <v>0.27986111111111112</v>
      </c>
      <c r="Q603" s="334" t="s">
        <v>574</v>
      </c>
    </row>
    <row r="604" spans="2:17" x14ac:dyDescent="0.25">
      <c r="B604">
        <f>WEEKNUM(BSURTIDOR[[#This Row],[FECHA]])</f>
        <v>13</v>
      </c>
      <c r="C604">
        <f>MONTH(BSURTIDOR[[#This Row],[FECHA]])</f>
        <v>3</v>
      </c>
      <c r="D604">
        <f>YEAR(BSURTIDOR[[#This Row],[FECHA]])</f>
        <v>2026</v>
      </c>
      <c r="E604" s="124">
        <v>46106</v>
      </c>
      <c r="F604" s="382" t="s">
        <v>548</v>
      </c>
      <c r="G604" s="123">
        <v>2</v>
      </c>
      <c r="H604" s="123" t="s">
        <v>87</v>
      </c>
      <c r="I604" s="101" t="str">
        <f>VLOOKUP(BDsurtidor!$H604,$T$4:$W$18,2,FALSE)</f>
        <v>CISTERNA</v>
      </c>
      <c r="J604" s="101">
        <f>VLOOKUP(BDsurtidor!$H604,$T$4:$W$25,3,FALSE)</f>
        <v>5000</v>
      </c>
      <c r="K604" s="101">
        <f>VLOOKUP(BDsurtidor!$H604,$T$4:$W$25,4,FALSE)</f>
        <v>17</v>
      </c>
      <c r="L604" s="101">
        <f>VLOOKUP(BDsurtidor!$H604,$T$4:$X$25,5,FALSE)</f>
        <v>0.4</v>
      </c>
      <c r="M604" s="101" t="str">
        <f>VLOOKUP(BDsurtidor!$H604,$T$4:$Y$25,6,FALSE)</f>
        <v>EPS</v>
      </c>
      <c r="N604" s="101">
        <v>0</v>
      </c>
      <c r="O604" s="125">
        <v>1.07</v>
      </c>
      <c r="P604" s="126">
        <v>0.30555555555555558</v>
      </c>
      <c r="Q604" s="334" t="s">
        <v>574</v>
      </c>
    </row>
    <row r="605" spans="2:17" x14ac:dyDescent="0.25">
      <c r="B605">
        <f>WEEKNUM(BSURTIDOR[[#This Row],[FECHA]])</f>
        <v>13</v>
      </c>
      <c r="C605">
        <f>MONTH(BSURTIDOR[[#This Row],[FECHA]])</f>
        <v>3</v>
      </c>
      <c r="D605">
        <f>YEAR(BSURTIDOR[[#This Row],[FECHA]])</f>
        <v>2026</v>
      </c>
      <c r="E605" s="124">
        <v>46106</v>
      </c>
      <c r="F605" s="382" t="s">
        <v>548</v>
      </c>
      <c r="G605" s="123">
        <v>3</v>
      </c>
      <c r="H605" s="123" t="s">
        <v>98</v>
      </c>
      <c r="I605" s="101" t="str">
        <f>VLOOKUP(BDsurtidor!$H605,$T$4:$W$18,2,FALSE)</f>
        <v>CISTERNA</v>
      </c>
      <c r="J605" s="101">
        <f>VLOOKUP(BDsurtidor!$H605,$T$4:$W$25,3,FALSE)</f>
        <v>9000</v>
      </c>
      <c r="K605" s="101">
        <f>VLOOKUP(BDsurtidor!$H605,$T$4:$W$25,4,FALSE)</f>
        <v>34</v>
      </c>
      <c r="L605" s="101">
        <f>VLOOKUP(BDsurtidor!$H605,$T$4:$X$25,5,FALSE)</f>
        <v>0.45</v>
      </c>
      <c r="M605" s="101" t="str">
        <f>VLOOKUP(BDsurtidor!$H605,$T$4:$Y$25,6,FALSE)</f>
        <v>VIVIENDA</v>
      </c>
      <c r="N605" s="101">
        <v>0</v>
      </c>
      <c r="O605" s="125">
        <v>1.1100000000000001</v>
      </c>
      <c r="P605" s="126">
        <v>0.31458333333333333</v>
      </c>
      <c r="Q605" s="334" t="s">
        <v>574</v>
      </c>
    </row>
    <row r="606" spans="2:17" x14ac:dyDescent="0.25">
      <c r="B606">
        <f>WEEKNUM(BSURTIDOR[[#This Row],[FECHA]])</f>
        <v>13</v>
      </c>
      <c r="C606">
        <f>MONTH(BSURTIDOR[[#This Row],[FECHA]])</f>
        <v>3</v>
      </c>
      <c r="D606">
        <f>YEAR(BSURTIDOR[[#This Row],[FECHA]])</f>
        <v>2026</v>
      </c>
      <c r="E606" s="124">
        <v>46106</v>
      </c>
      <c r="F606" s="382" t="s">
        <v>548</v>
      </c>
      <c r="G606" s="123">
        <v>4</v>
      </c>
      <c r="H606" s="123" t="s">
        <v>558</v>
      </c>
      <c r="I606" s="101" t="str">
        <f>VLOOKUP(BDsurtidor!$H606,$T$4:$W$18,2,FALSE)</f>
        <v>HIDROJET</v>
      </c>
      <c r="J606" s="101">
        <f>VLOOKUP(BDsurtidor!$H606,$T$4:$W$25,3,FALSE)</f>
        <v>1000</v>
      </c>
      <c r="K606" s="101">
        <f>VLOOKUP(BDsurtidor!$H606,$T$4:$W$25,4,FALSE)</f>
        <v>1</v>
      </c>
      <c r="L606" s="101">
        <f>VLOOKUP(BDsurtidor!$H606,$T$4:$X$25,5,FALSE)</f>
        <v>0</v>
      </c>
      <c r="M606" s="101" t="str">
        <f>VLOOKUP(BDsurtidor!$H606,$T$4:$Y$25,6,FALSE)</f>
        <v>EPS</v>
      </c>
      <c r="N606" s="101">
        <v>0</v>
      </c>
      <c r="O606" s="125">
        <v>0</v>
      </c>
      <c r="P606" s="126">
        <v>0.32291666666666669</v>
      </c>
      <c r="Q606" s="334" t="s">
        <v>574</v>
      </c>
    </row>
    <row r="607" spans="2:17" x14ac:dyDescent="0.25">
      <c r="B607">
        <f>WEEKNUM(BSURTIDOR[[#This Row],[FECHA]])</f>
        <v>13</v>
      </c>
      <c r="C607">
        <f>MONTH(BSURTIDOR[[#This Row],[FECHA]])</f>
        <v>3</v>
      </c>
      <c r="D607">
        <f>YEAR(BSURTIDOR[[#This Row],[FECHA]])</f>
        <v>2026</v>
      </c>
      <c r="E607" s="124">
        <v>46106</v>
      </c>
      <c r="F607" s="382" t="s">
        <v>548</v>
      </c>
      <c r="G607" s="123">
        <v>5</v>
      </c>
      <c r="H607" s="123" t="s">
        <v>95</v>
      </c>
      <c r="I607" s="101" t="str">
        <f>VLOOKUP(BDsurtidor!$H607,$T$4:$W$18,2,FALSE)</f>
        <v>CISTERNA</v>
      </c>
      <c r="J607" s="101">
        <f>VLOOKUP(BDsurtidor!$H607,$T$4:$W$25,3,FALSE)</f>
        <v>2500</v>
      </c>
      <c r="K607" s="101">
        <f>VLOOKUP(BDsurtidor!$H607,$T$4:$W$25,4,FALSE)</f>
        <v>9</v>
      </c>
      <c r="L607" s="101">
        <f>VLOOKUP(BDsurtidor!$H607,$T$4:$X$25,5,FALSE)</f>
        <v>0.22</v>
      </c>
      <c r="M607" s="101" t="str">
        <f>VLOOKUP(BDsurtidor!$H607,$T$4:$Y$25,6,FALSE)</f>
        <v>EPS</v>
      </c>
      <c r="N607" s="101">
        <v>0</v>
      </c>
      <c r="O607" s="125">
        <v>0</v>
      </c>
      <c r="P607" s="126">
        <v>0.33750000000000002</v>
      </c>
      <c r="Q607" s="334" t="s">
        <v>574</v>
      </c>
    </row>
    <row r="608" spans="2:17" x14ac:dyDescent="0.25">
      <c r="B608">
        <f>WEEKNUM(BSURTIDOR[[#This Row],[FECHA]])</f>
        <v>13</v>
      </c>
      <c r="C608">
        <f>MONTH(BSURTIDOR[[#This Row],[FECHA]])</f>
        <v>3</v>
      </c>
      <c r="D608">
        <f>YEAR(BSURTIDOR[[#This Row],[FECHA]])</f>
        <v>2026</v>
      </c>
      <c r="E608" s="124">
        <v>46106</v>
      </c>
      <c r="F608" s="382" t="s">
        <v>548</v>
      </c>
      <c r="G608" s="123">
        <v>6</v>
      </c>
      <c r="H608" s="123" t="s">
        <v>87</v>
      </c>
      <c r="I608" s="101" t="str">
        <f>VLOOKUP(BDsurtidor!$H608,$T$4:$W$18,2,FALSE)</f>
        <v>CISTERNA</v>
      </c>
      <c r="J608" s="101">
        <f>VLOOKUP(BDsurtidor!$H608,$T$4:$W$25,3,FALSE)</f>
        <v>5000</v>
      </c>
      <c r="K608" s="101">
        <f>VLOOKUP(BDsurtidor!$H608,$T$4:$W$25,4,FALSE)</f>
        <v>17</v>
      </c>
      <c r="L608" s="101">
        <f>VLOOKUP(BDsurtidor!$H608,$T$4:$X$25,5,FALSE)</f>
        <v>0.4</v>
      </c>
      <c r="M608" s="101" t="str">
        <f>VLOOKUP(BDsurtidor!$H608,$T$4:$Y$25,6,FALSE)</f>
        <v>EPS</v>
      </c>
      <c r="N608" s="101">
        <v>0</v>
      </c>
      <c r="O608" s="125">
        <v>1.1200000000000001</v>
      </c>
      <c r="P608" s="126">
        <v>0.43472222222222223</v>
      </c>
      <c r="Q608" s="334" t="s">
        <v>574</v>
      </c>
    </row>
    <row r="609" spans="2:17" x14ac:dyDescent="0.25">
      <c r="B609">
        <f>WEEKNUM(BSURTIDOR[[#This Row],[FECHA]])</f>
        <v>13</v>
      </c>
      <c r="C609">
        <f>MONTH(BSURTIDOR[[#This Row],[FECHA]])</f>
        <v>3</v>
      </c>
      <c r="D609">
        <f>YEAR(BSURTIDOR[[#This Row],[FECHA]])</f>
        <v>2026</v>
      </c>
      <c r="E609" s="124">
        <v>46106</v>
      </c>
      <c r="F609" s="382" t="s">
        <v>548</v>
      </c>
      <c r="G609" s="123">
        <v>7</v>
      </c>
      <c r="H609" s="123" t="s">
        <v>95</v>
      </c>
      <c r="I609" s="101" t="str">
        <f>VLOOKUP(BDsurtidor!$H609,$T$4:$W$18,2,FALSE)</f>
        <v>CISTERNA</v>
      </c>
      <c r="J609" s="101">
        <f>VLOOKUP(BDsurtidor!$H609,$T$4:$W$25,3,FALSE)</f>
        <v>2500</v>
      </c>
      <c r="K609" s="101">
        <f>VLOOKUP(BDsurtidor!$H609,$T$4:$W$25,4,FALSE)</f>
        <v>9</v>
      </c>
      <c r="L609" s="101">
        <f>VLOOKUP(BDsurtidor!$H609,$T$4:$X$25,5,FALSE)</f>
        <v>0.22</v>
      </c>
      <c r="M609" s="101" t="str">
        <f>VLOOKUP(BDsurtidor!$H609,$T$4:$Y$25,6,FALSE)</f>
        <v>EPS</v>
      </c>
      <c r="N609" s="101">
        <v>0</v>
      </c>
      <c r="O609" s="125">
        <v>0</v>
      </c>
      <c r="P609" s="126">
        <v>0.51111111111111107</v>
      </c>
      <c r="Q609" s="334" t="s">
        <v>574</v>
      </c>
    </row>
    <row r="610" spans="2:17" x14ac:dyDescent="0.25">
      <c r="B610">
        <f>WEEKNUM(BSURTIDOR[[#This Row],[FECHA]])</f>
        <v>13</v>
      </c>
      <c r="C610">
        <f>MONTH(BSURTIDOR[[#This Row],[FECHA]])</f>
        <v>3</v>
      </c>
      <c r="D610">
        <f>YEAR(BSURTIDOR[[#This Row],[FECHA]])</f>
        <v>2026</v>
      </c>
      <c r="E610" s="124">
        <v>46107</v>
      </c>
      <c r="F610" s="382" t="s">
        <v>548</v>
      </c>
      <c r="G610" s="123">
        <v>1</v>
      </c>
      <c r="H610" s="123" t="s">
        <v>95</v>
      </c>
      <c r="I610" s="101" t="str">
        <f>VLOOKUP(BDsurtidor!$H610,$T$4:$W$18,2,FALSE)</f>
        <v>CISTERNA</v>
      </c>
      <c r="J610" s="101">
        <f>VLOOKUP(BDsurtidor!$H610,$T$4:$W$25,3,FALSE)</f>
        <v>2500</v>
      </c>
      <c r="K610" s="101">
        <f>VLOOKUP(BDsurtidor!$H610,$T$4:$W$25,4,FALSE)</f>
        <v>9</v>
      </c>
      <c r="L610" s="101">
        <f>VLOOKUP(BDsurtidor!$H610,$T$4:$X$25,5,FALSE)</f>
        <v>0.22</v>
      </c>
      <c r="M610" s="101" t="str">
        <f>VLOOKUP(BDsurtidor!$H610,$T$4:$Y$25,6,FALSE)</f>
        <v>EPS</v>
      </c>
      <c r="N610" s="101">
        <v>0</v>
      </c>
      <c r="O610" s="125">
        <v>0</v>
      </c>
      <c r="P610" s="126">
        <v>0.1736111111111111</v>
      </c>
      <c r="Q610" s="334" t="s">
        <v>574</v>
      </c>
    </row>
    <row r="611" spans="2:17" x14ac:dyDescent="0.25">
      <c r="B611">
        <f>WEEKNUM(BSURTIDOR[[#This Row],[FECHA]])</f>
        <v>13</v>
      </c>
      <c r="C611">
        <f>MONTH(BSURTIDOR[[#This Row],[FECHA]])</f>
        <v>3</v>
      </c>
      <c r="D611">
        <f>YEAR(BSURTIDOR[[#This Row],[FECHA]])</f>
        <v>2026</v>
      </c>
      <c r="E611" s="124">
        <v>46107</v>
      </c>
      <c r="F611" s="382" t="s">
        <v>548</v>
      </c>
      <c r="G611" s="123">
        <v>2</v>
      </c>
      <c r="H611" s="123" t="s">
        <v>87</v>
      </c>
      <c r="I611" s="101" t="str">
        <f>VLOOKUP(BDsurtidor!$H611,$T$4:$W$18,2,FALSE)</f>
        <v>CISTERNA</v>
      </c>
      <c r="J611" s="101">
        <f>VLOOKUP(BDsurtidor!$H611,$T$4:$W$25,3,FALSE)</f>
        <v>5000</v>
      </c>
      <c r="K611" s="101">
        <f>VLOOKUP(BDsurtidor!$H611,$T$4:$W$25,4,FALSE)</f>
        <v>17</v>
      </c>
      <c r="L611" s="101">
        <f>VLOOKUP(BDsurtidor!$H611,$T$4:$X$25,5,FALSE)</f>
        <v>0.4</v>
      </c>
      <c r="M611" s="101" t="str">
        <f>VLOOKUP(BDsurtidor!$H611,$T$4:$Y$25,6,FALSE)</f>
        <v>EPS</v>
      </c>
      <c r="N611" s="101">
        <v>0</v>
      </c>
      <c r="O611" s="125">
        <v>1.23</v>
      </c>
      <c r="P611" s="126">
        <v>0.31180555555555556</v>
      </c>
      <c r="Q611" s="334" t="s">
        <v>574</v>
      </c>
    </row>
    <row r="612" spans="2:17" x14ac:dyDescent="0.25">
      <c r="B612">
        <f>WEEKNUM(BSURTIDOR[[#This Row],[FECHA]])</f>
        <v>13</v>
      </c>
      <c r="C612">
        <f>MONTH(BSURTIDOR[[#This Row],[FECHA]])</f>
        <v>3</v>
      </c>
      <c r="D612">
        <f>YEAR(BSURTIDOR[[#This Row],[FECHA]])</f>
        <v>2026</v>
      </c>
      <c r="E612" s="124">
        <v>46107</v>
      </c>
      <c r="F612" s="382" t="s">
        <v>548</v>
      </c>
      <c r="G612" s="123">
        <v>3</v>
      </c>
      <c r="H612" s="123" t="s">
        <v>98</v>
      </c>
      <c r="I612" s="101" t="str">
        <f>VLOOKUP(BDsurtidor!$H612,$T$4:$W$18,2,FALSE)</f>
        <v>CISTERNA</v>
      </c>
      <c r="J612" s="101">
        <f>VLOOKUP(BDsurtidor!$H612,$T$4:$W$25,3,FALSE)</f>
        <v>9000</v>
      </c>
      <c r="K612" s="101">
        <f>VLOOKUP(BDsurtidor!$H612,$T$4:$W$25,4,FALSE)</f>
        <v>34</v>
      </c>
      <c r="L612" s="101">
        <f>VLOOKUP(BDsurtidor!$H612,$T$4:$X$25,5,FALSE)</f>
        <v>0.45</v>
      </c>
      <c r="M612" s="101" t="str">
        <f>VLOOKUP(BDsurtidor!$H612,$T$4:$Y$25,6,FALSE)</f>
        <v>VIVIENDA</v>
      </c>
      <c r="N612" s="101">
        <v>0</v>
      </c>
      <c r="O612" s="125">
        <v>1.18</v>
      </c>
      <c r="P612" s="126">
        <v>0.32083333333333336</v>
      </c>
      <c r="Q612" s="334" t="s">
        <v>574</v>
      </c>
    </row>
    <row r="613" spans="2:17" x14ac:dyDescent="0.25">
      <c r="B613">
        <f>WEEKNUM(BSURTIDOR[[#This Row],[FECHA]])</f>
        <v>13</v>
      </c>
      <c r="C613">
        <f>MONTH(BSURTIDOR[[#This Row],[FECHA]])</f>
        <v>3</v>
      </c>
      <c r="D613">
        <f>YEAR(BSURTIDOR[[#This Row],[FECHA]])</f>
        <v>2026</v>
      </c>
      <c r="E613" s="124">
        <v>46107</v>
      </c>
      <c r="F613" s="382" t="s">
        <v>548</v>
      </c>
      <c r="G613" s="123">
        <v>4</v>
      </c>
      <c r="H613" s="123" t="s">
        <v>87</v>
      </c>
      <c r="I613" s="101" t="str">
        <f>VLOOKUP(BDsurtidor!$H613,$T$4:$W$18,2,FALSE)</f>
        <v>CISTERNA</v>
      </c>
      <c r="J613" s="101">
        <f>VLOOKUP(BDsurtidor!$H613,$T$4:$W$25,3,FALSE)</f>
        <v>5000</v>
      </c>
      <c r="K613" s="101">
        <f>VLOOKUP(BDsurtidor!$H613,$T$4:$W$25,4,FALSE)</f>
        <v>17</v>
      </c>
      <c r="L613" s="101">
        <f>VLOOKUP(BDsurtidor!$H613,$T$4:$X$25,5,FALSE)</f>
        <v>0.4</v>
      </c>
      <c r="M613" s="101" t="str">
        <f>VLOOKUP(BDsurtidor!$H613,$T$4:$Y$25,6,FALSE)</f>
        <v>EPS</v>
      </c>
      <c r="N613" s="101">
        <v>0</v>
      </c>
      <c r="O613" s="125">
        <v>1.19</v>
      </c>
      <c r="P613" s="126">
        <v>0.5</v>
      </c>
      <c r="Q613" s="334" t="s">
        <v>574</v>
      </c>
    </row>
    <row r="614" spans="2:17" x14ac:dyDescent="0.25">
      <c r="B614">
        <f>WEEKNUM(BSURTIDOR[[#This Row],[FECHA]])</f>
        <v>13</v>
      </c>
      <c r="C614">
        <f>MONTH(BSURTIDOR[[#This Row],[FECHA]])</f>
        <v>3</v>
      </c>
      <c r="D614">
        <f>YEAR(BSURTIDOR[[#This Row],[FECHA]])</f>
        <v>2026</v>
      </c>
      <c r="E614" s="124">
        <v>46107</v>
      </c>
      <c r="F614" s="382" t="s">
        <v>548</v>
      </c>
      <c r="G614" s="123">
        <v>5</v>
      </c>
      <c r="H614" s="123" t="s">
        <v>87</v>
      </c>
      <c r="I614" s="101" t="str">
        <f>VLOOKUP(BDsurtidor!$H614,$T$4:$W$18,2,FALSE)</f>
        <v>CISTERNA</v>
      </c>
      <c r="J614" s="101">
        <f>VLOOKUP(BDsurtidor!$H614,$T$4:$W$25,3,FALSE)</f>
        <v>5000</v>
      </c>
      <c r="K614" s="101">
        <f>VLOOKUP(BDsurtidor!$H614,$T$4:$W$25,4,FALSE)</f>
        <v>17</v>
      </c>
      <c r="L614" s="101">
        <f>VLOOKUP(BDsurtidor!$H614,$T$4:$X$25,5,FALSE)</f>
        <v>0.4</v>
      </c>
      <c r="M614" s="101" t="str">
        <f>VLOOKUP(BDsurtidor!$H614,$T$4:$Y$25,6,FALSE)</f>
        <v>EPS</v>
      </c>
      <c r="N614" s="101">
        <v>0</v>
      </c>
      <c r="O614" s="125">
        <v>1.08</v>
      </c>
      <c r="P614" s="126">
        <v>0.1361111111111111</v>
      </c>
      <c r="Q614" s="334" t="s">
        <v>574</v>
      </c>
    </row>
    <row r="615" spans="2:17" x14ac:dyDescent="0.25">
      <c r="B615">
        <f>WEEKNUM(BSURTIDOR[[#This Row],[FECHA]])</f>
        <v>13</v>
      </c>
      <c r="C615">
        <f>MONTH(BSURTIDOR[[#This Row],[FECHA]])</f>
        <v>3</v>
      </c>
      <c r="D615">
        <f>YEAR(BSURTIDOR[[#This Row],[FECHA]])</f>
        <v>2026</v>
      </c>
      <c r="E615" s="124">
        <v>46107</v>
      </c>
      <c r="F615" s="382" t="s">
        <v>548</v>
      </c>
      <c r="G615" s="123">
        <v>6</v>
      </c>
      <c r="H615" s="123" t="s">
        <v>99</v>
      </c>
      <c r="I615" s="101" t="str">
        <f>VLOOKUP(BDsurtidor!$H615,$T$4:$W$18,2,FALSE)</f>
        <v>CISTERNA</v>
      </c>
      <c r="J615" s="101">
        <f>VLOOKUP(BDsurtidor!$H615,$T$4:$W$25,3,FALSE)</f>
        <v>5000</v>
      </c>
      <c r="K615" s="101">
        <f>VLOOKUP(BDsurtidor!$H615,$T$4:$W$25,4,FALSE)</f>
        <v>17</v>
      </c>
      <c r="L615" s="101">
        <f>VLOOKUP(BDsurtidor!$H615,$T$4:$X$25,5,FALSE)</f>
        <v>0.4</v>
      </c>
      <c r="M615" s="101" t="str">
        <f>VLOOKUP(BDsurtidor!$H615,$T$4:$Y$25,6,FALSE)</f>
        <v>EPS</v>
      </c>
      <c r="N615" s="101">
        <v>0</v>
      </c>
      <c r="O615" s="125">
        <v>1.1100000000000001</v>
      </c>
      <c r="P615" s="126">
        <v>0.1451388888888889</v>
      </c>
      <c r="Q615" s="334" t="s">
        <v>574</v>
      </c>
    </row>
    <row r="616" spans="2:17" x14ac:dyDescent="0.25">
      <c r="B616">
        <f>WEEKNUM(BSURTIDOR[[#This Row],[FECHA]])</f>
        <v>13</v>
      </c>
      <c r="C616">
        <f>MONTH(BSURTIDOR[[#This Row],[FECHA]])</f>
        <v>3</v>
      </c>
      <c r="D616">
        <f>YEAR(BSURTIDOR[[#This Row],[FECHA]])</f>
        <v>2026</v>
      </c>
      <c r="E616" s="124">
        <v>46108</v>
      </c>
      <c r="F616" s="382" t="s">
        <v>548</v>
      </c>
      <c r="G616" s="123">
        <v>1</v>
      </c>
      <c r="H616" s="123" t="s">
        <v>100</v>
      </c>
      <c r="I616" s="101" t="str">
        <f>VLOOKUP(BDsurtidor!$H616,$T$4:$W$18,2,FALSE)</f>
        <v>HIDROJET</v>
      </c>
      <c r="J616" s="101">
        <f>VLOOKUP(BDsurtidor!$H616,$T$4:$W$25,3,FALSE)</f>
        <v>1000</v>
      </c>
      <c r="K616" s="101">
        <f>VLOOKUP(BDsurtidor!$H616,$T$4:$W$25,4,FALSE)</f>
        <v>1</v>
      </c>
      <c r="L616" s="101">
        <f>VLOOKUP(BDsurtidor!$H616,$T$4:$X$25,5,FALSE)</f>
        <v>0</v>
      </c>
      <c r="M616" s="101" t="str">
        <f>VLOOKUP(BDsurtidor!$H616,$T$4:$Y$25,6,FALSE)</f>
        <v>EPS</v>
      </c>
      <c r="N616" s="101">
        <v>0</v>
      </c>
      <c r="O616" s="125">
        <v>0</v>
      </c>
      <c r="P616" s="126">
        <v>0.28680555555555554</v>
      </c>
      <c r="Q616" s="334" t="s">
        <v>574</v>
      </c>
    </row>
    <row r="617" spans="2:17" x14ac:dyDescent="0.25">
      <c r="B617">
        <f>WEEKNUM(BSURTIDOR[[#This Row],[FECHA]])</f>
        <v>13</v>
      </c>
      <c r="C617">
        <f>MONTH(BSURTIDOR[[#This Row],[FECHA]])</f>
        <v>3</v>
      </c>
      <c r="D617">
        <f>YEAR(BSURTIDOR[[#This Row],[FECHA]])</f>
        <v>2026</v>
      </c>
      <c r="E617" s="124">
        <v>46108</v>
      </c>
      <c r="F617" s="382" t="s">
        <v>548</v>
      </c>
      <c r="G617" s="123">
        <v>2</v>
      </c>
      <c r="H617" s="123" t="s">
        <v>98</v>
      </c>
      <c r="I617" s="101" t="str">
        <f>VLOOKUP(BDsurtidor!$H617,$T$4:$W$18,2,FALSE)</f>
        <v>CISTERNA</v>
      </c>
      <c r="J617" s="101">
        <f>VLOOKUP(BDsurtidor!$H617,$T$4:$W$25,3,FALSE)</f>
        <v>9000</v>
      </c>
      <c r="K617" s="101">
        <f>VLOOKUP(BDsurtidor!$H617,$T$4:$W$25,4,FALSE)</f>
        <v>34</v>
      </c>
      <c r="L617" s="101">
        <f>VLOOKUP(BDsurtidor!$H617,$T$4:$X$25,5,FALSE)</f>
        <v>0.45</v>
      </c>
      <c r="M617" s="101" t="str">
        <f>VLOOKUP(BDsurtidor!$H617,$T$4:$Y$25,6,FALSE)</f>
        <v>VIVIENDA</v>
      </c>
      <c r="N617" s="101">
        <v>0</v>
      </c>
      <c r="O617" s="125">
        <v>1.1100000000000001</v>
      </c>
      <c r="P617" s="126">
        <v>0.3125</v>
      </c>
      <c r="Q617" s="334" t="s">
        <v>574</v>
      </c>
    </row>
    <row r="618" spans="2:17" x14ac:dyDescent="0.25">
      <c r="B618">
        <f>WEEKNUM(BSURTIDOR[[#This Row],[FECHA]])</f>
        <v>13</v>
      </c>
      <c r="C618">
        <f>MONTH(BSURTIDOR[[#This Row],[FECHA]])</f>
        <v>3</v>
      </c>
      <c r="D618">
        <f>YEAR(BSURTIDOR[[#This Row],[FECHA]])</f>
        <v>2026</v>
      </c>
      <c r="E618" s="124">
        <v>46108</v>
      </c>
      <c r="F618" s="382" t="s">
        <v>548</v>
      </c>
      <c r="G618" s="123">
        <v>3</v>
      </c>
      <c r="H618" s="123" t="s">
        <v>558</v>
      </c>
      <c r="I618" s="101" t="str">
        <f>VLOOKUP(BDsurtidor!$H618,$T$4:$W$18,2,FALSE)</f>
        <v>HIDROJET</v>
      </c>
      <c r="J618" s="101">
        <f>VLOOKUP(BDsurtidor!$H618,$T$4:$W$25,3,FALSE)</f>
        <v>1000</v>
      </c>
      <c r="K618" s="101">
        <f>VLOOKUP(BDsurtidor!$H618,$T$4:$W$25,4,FALSE)</f>
        <v>1</v>
      </c>
      <c r="L618" s="101">
        <f>VLOOKUP(BDsurtidor!$H618,$T$4:$X$25,5,FALSE)</f>
        <v>0</v>
      </c>
      <c r="M618" s="101" t="str">
        <f>VLOOKUP(BDsurtidor!$H618,$T$4:$Y$25,6,FALSE)</f>
        <v>EPS</v>
      </c>
      <c r="N618" s="101">
        <v>0</v>
      </c>
      <c r="O618" s="125">
        <v>0</v>
      </c>
      <c r="P618" s="126">
        <v>0.32291666666666669</v>
      </c>
      <c r="Q618" s="334" t="s">
        <v>574</v>
      </c>
    </row>
    <row r="619" spans="2:17" x14ac:dyDescent="0.25">
      <c r="B619">
        <f>WEEKNUM(BSURTIDOR[[#This Row],[FECHA]])</f>
        <v>13</v>
      </c>
      <c r="C619">
        <f>MONTH(BSURTIDOR[[#This Row],[FECHA]])</f>
        <v>3</v>
      </c>
      <c r="D619">
        <f>YEAR(BSURTIDOR[[#This Row],[FECHA]])</f>
        <v>2026</v>
      </c>
      <c r="E619" s="124">
        <v>46108</v>
      </c>
      <c r="F619" s="382" t="s">
        <v>548</v>
      </c>
      <c r="G619" s="123">
        <v>4</v>
      </c>
      <c r="H619" s="123" t="s">
        <v>87</v>
      </c>
      <c r="I619" s="101" t="str">
        <f>VLOOKUP(BDsurtidor!$H619,$T$4:$W$18,2,FALSE)</f>
        <v>CISTERNA</v>
      </c>
      <c r="J619" s="101">
        <f>VLOOKUP(BDsurtidor!$H619,$T$4:$W$25,3,FALSE)</f>
        <v>5000</v>
      </c>
      <c r="K619" s="101">
        <f>VLOOKUP(BDsurtidor!$H619,$T$4:$W$25,4,FALSE)</f>
        <v>17</v>
      </c>
      <c r="L619" s="101">
        <f>VLOOKUP(BDsurtidor!$H619,$T$4:$X$25,5,FALSE)</f>
        <v>0.4</v>
      </c>
      <c r="M619" s="101" t="str">
        <f>VLOOKUP(BDsurtidor!$H619,$T$4:$Y$25,6,FALSE)</f>
        <v>EPS</v>
      </c>
      <c r="N619" s="101">
        <v>0</v>
      </c>
      <c r="O619" s="125">
        <v>1.08</v>
      </c>
      <c r="P619" s="126">
        <v>0.33333333333333331</v>
      </c>
      <c r="Q619" s="334" t="s">
        <v>574</v>
      </c>
    </row>
    <row r="620" spans="2:17" x14ac:dyDescent="0.25">
      <c r="B620">
        <f>WEEKNUM(BSURTIDOR[[#This Row],[FECHA]])</f>
        <v>13</v>
      </c>
      <c r="C620">
        <f>MONTH(BSURTIDOR[[#This Row],[FECHA]])</f>
        <v>3</v>
      </c>
      <c r="D620">
        <f>YEAR(BSURTIDOR[[#This Row],[FECHA]])</f>
        <v>2026</v>
      </c>
      <c r="E620" s="124">
        <v>46108</v>
      </c>
      <c r="F620" s="382" t="s">
        <v>548</v>
      </c>
      <c r="G620" s="123">
        <v>5</v>
      </c>
      <c r="H620" s="123" t="s">
        <v>95</v>
      </c>
      <c r="I620" s="101" t="str">
        <f>VLOOKUP(BDsurtidor!$H620,$T$4:$W$18,2,FALSE)</f>
        <v>CISTERNA</v>
      </c>
      <c r="J620" s="101">
        <f>VLOOKUP(BDsurtidor!$H620,$T$4:$W$25,3,FALSE)</f>
        <v>2500</v>
      </c>
      <c r="K620" s="101">
        <f>VLOOKUP(BDsurtidor!$H620,$T$4:$W$25,4,FALSE)</f>
        <v>9</v>
      </c>
      <c r="L620" s="101">
        <f>VLOOKUP(BDsurtidor!$H620,$T$4:$X$25,5,FALSE)</f>
        <v>0.22</v>
      </c>
      <c r="M620" s="101" t="str">
        <f>VLOOKUP(BDsurtidor!$H620,$T$4:$Y$25,6,FALSE)</f>
        <v>EPS</v>
      </c>
      <c r="N620" s="101">
        <v>0</v>
      </c>
      <c r="O620" s="125">
        <v>0</v>
      </c>
      <c r="P620" s="126">
        <v>0.34027777777777779</v>
      </c>
      <c r="Q620" s="334" t="s">
        <v>574</v>
      </c>
    </row>
    <row r="621" spans="2:17" x14ac:dyDescent="0.25">
      <c r="B621">
        <f>WEEKNUM(BSURTIDOR[[#This Row],[FECHA]])</f>
        <v>13</v>
      </c>
      <c r="C621">
        <f>MONTH(BSURTIDOR[[#This Row],[FECHA]])</f>
        <v>3</v>
      </c>
      <c r="D621">
        <f>YEAR(BSURTIDOR[[#This Row],[FECHA]])</f>
        <v>2026</v>
      </c>
      <c r="E621" s="124">
        <v>46108</v>
      </c>
      <c r="F621" s="382" t="s">
        <v>548</v>
      </c>
      <c r="G621" s="123">
        <v>6</v>
      </c>
      <c r="H621" s="123" t="s">
        <v>87</v>
      </c>
      <c r="I621" s="101" t="str">
        <f>VLOOKUP(BDsurtidor!$H621,$T$4:$W$18,2,FALSE)</f>
        <v>CISTERNA</v>
      </c>
      <c r="J621" s="101">
        <f>VLOOKUP(BDsurtidor!$H621,$T$4:$W$25,3,FALSE)</f>
        <v>5000</v>
      </c>
      <c r="K621" s="101">
        <f>VLOOKUP(BDsurtidor!$H621,$T$4:$W$25,4,FALSE)</f>
        <v>17</v>
      </c>
      <c r="L621" s="101">
        <f>VLOOKUP(BDsurtidor!$H621,$T$4:$X$25,5,FALSE)</f>
        <v>0.4</v>
      </c>
      <c r="M621" s="101" t="str">
        <f>VLOOKUP(BDsurtidor!$H621,$T$4:$Y$25,6,FALSE)</f>
        <v>EPS</v>
      </c>
      <c r="N621" s="101">
        <v>0</v>
      </c>
      <c r="O621" s="125">
        <v>1.07</v>
      </c>
      <c r="P621" s="126">
        <v>0.40972222222222221</v>
      </c>
      <c r="Q621" s="334" t="s">
        <v>574</v>
      </c>
    </row>
    <row r="622" spans="2:17" x14ac:dyDescent="0.25">
      <c r="B622">
        <f>WEEKNUM(BSURTIDOR[[#This Row],[FECHA]])</f>
        <v>13</v>
      </c>
      <c r="C622">
        <f>MONTH(BSURTIDOR[[#This Row],[FECHA]])</f>
        <v>3</v>
      </c>
      <c r="D622">
        <f>YEAR(BSURTIDOR[[#This Row],[FECHA]])</f>
        <v>2026</v>
      </c>
      <c r="E622" s="124">
        <v>46108</v>
      </c>
      <c r="F622" s="382" t="s">
        <v>548</v>
      </c>
      <c r="G622" s="123">
        <v>7</v>
      </c>
      <c r="H622" s="123" t="s">
        <v>100</v>
      </c>
      <c r="I622" s="101" t="str">
        <f>VLOOKUP(BDsurtidor!$H622,$T$4:$W$18,2,FALSE)</f>
        <v>HIDROJET</v>
      </c>
      <c r="J622" s="101">
        <f>VLOOKUP(BDsurtidor!$H622,$T$4:$W$25,3,FALSE)</f>
        <v>1000</v>
      </c>
      <c r="K622" s="101">
        <f>VLOOKUP(BDsurtidor!$H622,$T$4:$W$25,4,FALSE)</f>
        <v>1</v>
      </c>
      <c r="L622" s="101">
        <f>VLOOKUP(BDsurtidor!$H622,$T$4:$X$25,5,FALSE)</f>
        <v>0</v>
      </c>
      <c r="M622" s="101" t="str">
        <f>VLOOKUP(BDsurtidor!$H622,$T$4:$Y$25,6,FALSE)</f>
        <v>EPS</v>
      </c>
      <c r="N622" s="101">
        <v>0</v>
      </c>
      <c r="O622" s="125">
        <v>0</v>
      </c>
      <c r="P622" s="126">
        <v>0.41666666666666669</v>
      </c>
      <c r="Q622" s="334" t="s">
        <v>574</v>
      </c>
    </row>
    <row r="623" spans="2:17" x14ac:dyDescent="0.25">
      <c r="B623">
        <f>WEEKNUM(BSURTIDOR[[#This Row],[FECHA]])</f>
        <v>13</v>
      </c>
      <c r="C623">
        <f>MONTH(BSURTIDOR[[#This Row],[FECHA]])</f>
        <v>3</v>
      </c>
      <c r="D623">
        <f>YEAR(BSURTIDOR[[#This Row],[FECHA]])</f>
        <v>2026</v>
      </c>
      <c r="E623" s="124">
        <v>46108</v>
      </c>
      <c r="F623" s="382" t="s">
        <v>548</v>
      </c>
      <c r="G623" s="123">
        <v>8</v>
      </c>
      <c r="H623" s="123" t="s">
        <v>87</v>
      </c>
      <c r="I623" s="101" t="str">
        <f>VLOOKUP(BDsurtidor!$H623,$T$4:$W$18,2,FALSE)</f>
        <v>CISTERNA</v>
      </c>
      <c r="J623" s="101">
        <f>VLOOKUP(BDsurtidor!$H623,$T$4:$W$25,3,FALSE)</f>
        <v>5000</v>
      </c>
      <c r="K623" s="101">
        <f>VLOOKUP(BDsurtidor!$H623,$T$4:$W$25,4,FALSE)</f>
        <v>17</v>
      </c>
      <c r="L623" s="101">
        <f>VLOOKUP(BDsurtidor!$H623,$T$4:$X$25,5,FALSE)</f>
        <v>0.4</v>
      </c>
      <c r="M623" s="101" t="str">
        <f>VLOOKUP(BDsurtidor!$H623,$T$4:$Y$25,6,FALSE)</f>
        <v>EPS</v>
      </c>
      <c r="N623" s="101">
        <v>0</v>
      </c>
      <c r="O623" s="125">
        <v>1.1299999999999999</v>
      </c>
      <c r="P623" s="126">
        <v>0.46875</v>
      </c>
      <c r="Q623" s="334" t="s">
        <v>574</v>
      </c>
    </row>
    <row r="624" spans="2:17" x14ac:dyDescent="0.25">
      <c r="B624">
        <f>WEEKNUM(BSURTIDOR[[#This Row],[FECHA]])</f>
        <v>13</v>
      </c>
      <c r="C624">
        <f>MONTH(BSURTIDOR[[#This Row],[FECHA]])</f>
        <v>3</v>
      </c>
      <c r="D624">
        <f>YEAR(BSURTIDOR[[#This Row],[FECHA]])</f>
        <v>2026</v>
      </c>
      <c r="E624" s="124">
        <v>46109</v>
      </c>
      <c r="F624" s="382" t="s">
        <v>548</v>
      </c>
      <c r="G624" s="123">
        <v>1</v>
      </c>
      <c r="H624" s="123" t="s">
        <v>100</v>
      </c>
      <c r="I624" s="101" t="str">
        <f>VLOOKUP(BDsurtidor!$H624,$T$4:$W$18,2,FALSE)</f>
        <v>HIDROJET</v>
      </c>
      <c r="J624" s="101">
        <f>VLOOKUP(BDsurtidor!$H624,$T$4:$W$25,3,FALSE)</f>
        <v>1000</v>
      </c>
      <c r="K624" s="101">
        <f>VLOOKUP(BDsurtidor!$H624,$T$4:$W$25,4,FALSE)</f>
        <v>1</v>
      </c>
      <c r="L624" s="101">
        <f>VLOOKUP(BDsurtidor!$H624,$T$4:$X$25,5,FALSE)</f>
        <v>0</v>
      </c>
      <c r="M624" s="101" t="str">
        <f>VLOOKUP(BDsurtidor!$H624,$T$4:$Y$25,6,FALSE)</f>
        <v>EPS</v>
      </c>
      <c r="N624" s="101">
        <v>0</v>
      </c>
      <c r="O624" s="125">
        <v>0</v>
      </c>
      <c r="P624" s="126">
        <v>0.29652777777777778</v>
      </c>
      <c r="Q624" s="334" t="s">
        <v>574</v>
      </c>
    </row>
    <row r="625" spans="2:17" x14ac:dyDescent="0.25">
      <c r="B625">
        <f>WEEKNUM(BSURTIDOR[[#This Row],[FECHA]])</f>
        <v>13</v>
      </c>
      <c r="C625">
        <f>MONTH(BSURTIDOR[[#This Row],[FECHA]])</f>
        <v>3</v>
      </c>
      <c r="D625">
        <f>YEAR(BSURTIDOR[[#This Row],[FECHA]])</f>
        <v>2026</v>
      </c>
      <c r="E625" s="124">
        <v>46109</v>
      </c>
      <c r="F625" s="382" t="s">
        <v>548</v>
      </c>
      <c r="G625" s="123">
        <v>2</v>
      </c>
      <c r="H625" s="123" t="s">
        <v>99</v>
      </c>
      <c r="I625" s="101" t="str">
        <f>VLOOKUP(BDsurtidor!$H625,$T$4:$W$18,2,FALSE)</f>
        <v>CISTERNA</v>
      </c>
      <c r="J625" s="101">
        <f>VLOOKUP(BDsurtidor!$H625,$T$4:$W$25,3,FALSE)</f>
        <v>5000</v>
      </c>
      <c r="K625" s="101">
        <f>VLOOKUP(BDsurtidor!$H625,$T$4:$W$25,4,FALSE)</f>
        <v>17</v>
      </c>
      <c r="L625" s="101">
        <f>VLOOKUP(BDsurtidor!$H625,$T$4:$X$25,5,FALSE)</f>
        <v>0.4</v>
      </c>
      <c r="M625" s="101" t="str">
        <f>VLOOKUP(BDsurtidor!$H625,$T$4:$Y$25,6,FALSE)</f>
        <v>EPS</v>
      </c>
      <c r="N625" s="101">
        <v>0</v>
      </c>
      <c r="O625" s="125">
        <v>1.54</v>
      </c>
      <c r="P625" s="126">
        <v>0.31180555555555556</v>
      </c>
      <c r="Q625" s="334" t="s">
        <v>574</v>
      </c>
    </row>
    <row r="626" spans="2:17" x14ac:dyDescent="0.25">
      <c r="B626">
        <f>WEEKNUM(BSURTIDOR[[#This Row],[FECHA]])</f>
        <v>13</v>
      </c>
      <c r="C626">
        <f>MONTH(BSURTIDOR[[#This Row],[FECHA]])</f>
        <v>3</v>
      </c>
      <c r="D626">
        <f>YEAR(BSURTIDOR[[#This Row],[FECHA]])</f>
        <v>2026</v>
      </c>
      <c r="E626" s="124">
        <v>46109</v>
      </c>
      <c r="F626" s="382" t="s">
        <v>548</v>
      </c>
      <c r="G626" s="123">
        <v>3</v>
      </c>
      <c r="H626" s="123" t="s">
        <v>95</v>
      </c>
      <c r="I626" s="101" t="str">
        <f>VLOOKUP(BDsurtidor!$H626,$T$4:$W$18,2,FALSE)</f>
        <v>CISTERNA</v>
      </c>
      <c r="J626" s="101">
        <f>VLOOKUP(BDsurtidor!$H626,$T$4:$W$25,3,FALSE)</f>
        <v>2500</v>
      </c>
      <c r="K626" s="101">
        <f>VLOOKUP(BDsurtidor!$H626,$T$4:$W$25,4,FALSE)</f>
        <v>9</v>
      </c>
      <c r="L626" s="101">
        <f>VLOOKUP(BDsurtidor!$H626,$T$4:$X$25,5,FALSE)</f>
        <v>0.22</v>
      </c>
      <c r="M626" s="101" t="str">
        <f>VLOOKUP(BDsurtidor!$H626,$T$4:$Y$25,6,FALSE)</f>
        <v>EPS</v>
      </c>
      <c r="N626" s="101">
        <v>0</v>
      </c>
      <c r="O626" s="125">
        <v>0</v>
      </c>
      <c r="P626" s="126">
        <v>0.32708333333333334</v>
      </c>
      <c r="Q626" s="334" t="s">
        <v>574</v>
      </c>
    </row>
    <row r="627" spans="2:17" x14ac:dyDescent="0.25">
      <c r="B627">
        <f>WEEKNUM(BSURTIDOR[[#This Row],[FECHA]])</f>
        <v>13</v>
      </c>
      <c r="C627">
        <f>MONTH(BSURTIDOR[[#This Row],[FECHA]])</f>
        <v>3</v>
      </c>
      <c r="D627">
        <f>YEAR(BSURTIDOR[[#This Row],[FECHA]])</f>
        <v>2026</v>
      </c>
      <c r="E627" s="124">
        <v>46109</v>
      </c>
      <c r="F627" s="382" t="s">
        <v>548</v>
      </c>
      <c r="G627" s="123">
        <v>4</v>
      </c>
      <c r="H627" s="123" t="s">
        <v>99</v>
      </c>
      <c r="I627" s="101" t="str">
        <f>VLOOKUP(BDsurtidor!$H627,$T$4:$W$18,2,FALSE)</f>
        <v>CISTERNA</v>
      </c>
      <c r="J627" s="101">
        <f>VLOOKUP(BDsurtidor!$H627,$T$4:$W$25,3,FALSE)</f>
        <v>5000</v>
      </c>
      <c r="K627" s="101">
        <f>VLOOKUP(BDsurtidor!$H627,$T$4:$W$25,4,FALSE)</f>
        <v>17</v>
      </c>
      <c r="L627" s="101">
        <f>VLOOKUP(BDsurtidor!$H627,$T$4:$X$25,5,FALSE)</f>
        <v>0.4</v>
      </c>
      <c r="M627" s="101" t="str">
        <f>VLOOKUP(BDsurtidor!$H627,$T$4:$Y$25,6,FALSE)</f>
        <v>EPS</v>
      </c>
      <c r="N627" s="101">
        <v>0</v>
      </c>
      <c r="O627" s="125">
        <v>1.53</v>
      </c>
      <c r="P627" s="126">
        <v>0.50347222222222221</v>
      </c>
      <c r="Q627" s="334" t="s">
        <v>574</v>
      </c>
    </row>
    <row r="628" spans="2:17" x14ac:dyDescent="0.25">
      <c r="B628">
        <f>WEEKNUM(BSURTIDOR[[#This Row],[FECHA]])</f>
        <v>14</v>
      </c>
      <c r="C628">
        <f>MONTH(BSURTIDOR[[#This Row],[FECHA]])</f>
        <v>3</v>
      </c>
      <c r="D628">
        <f>YEAR(BSURTIDOR[[#This Row],[FECHA]])</f>
        <v>2026</v>
      </c>
      <c r="E628" s="124">
        <v>46111</v>
      </c>
      <c r="F628" s="382" t="s">
        <v>548</v>
      </c>
      <c r="G628" s="123">
        <v>1</v>
      </c>
      <c r="H628" s="123" t="s">
        <v>100</v>
      </c>
      <c r="I628" s="101" t="str">
        <f>VLOOKUP(BDsurtidor!$H628,$T$4:$W$18,2,FALSE)</f>
        <v>HIDROJET</v>
      </c>
      <c r="J628" s="101">
        <f>VLOOKUP(BDsurtidor!$H628,$T$4:$W$25,3,FALSE)</f>
        <v>1000</v>
      </c>
      <c r="K628" s="101">
        <f>VLOOKUP(BDsurtidor!$H628,$T$4:$W$25,4,FALSE)</f>
        <v>1</v>
      </c>
      <c r="L628" s="101">
        <f>VLOOKUP(BDsurtidor!$H628,$T$4:$X$25,5,FALSE)</f>
        <v>0</v>
      </c>
      <c r="M628" s="101" t="str">
        <f>VLOOKUP(BDsurtidor!$H628,$T$4:$Y$25,6,FALSE)</f>
        <v>EPS</v>
      </c>
      <c r="N628" s="101">
        <v>0</v>
      </c>
      <c r="O628" s="125"/>
      <c r="P628" s="126">
        <v>0.27777777777777779</v>
      </c>
      <c r="Q628" s="334" t="s">
        <v>574</v>
      </c>
    </row>
    <row r="629" spans="2:17" x14ac:dyDescent="0.25">
      <c r="B629">
        <f>WEEKNUM(BSURTIDOR[[#This Row],[FECHA]])</f>
        <v>14</v>
      </c>
      <c r="C629">
        <f>MONTH(BSURTIDOR[[#This Row],[FECHA]])</f>
        <v>3</v>
      </c>
      <c r="D629">
        <f>YEAR(BSURTIDOR[[#This Row],[FECHA]])</f>
        <v>2026</v>
      </c>
      <c r="E629" s="124">
        <v>46111</v>
      </c>
      <c r="F629" s="382" t="s">
        <v>548</v>
      </c>
      <c r="G629" s="123">
        <v>2</v>
      </c>
      <c r="H629" s="123" t="s">
        <v>100</v>
      </c>
      <c r="I629" s="101" t="str">
        <f>VLOOKUP(BDsurtidor!$H629,$T$4:$W$18,2,FALSE)</f>
        <v>HIDROJET</v>
      </c>
      <c r="J629" s="101">
        <f>VLOOKUP(BDsurtidor!$H629,$T$4:$W$25,3,FALSE)</f>
        <v>1000</v>
      </c>
      <c r="K629" s="101">
        <f>VLOOKUP(BDsurtidor!$H629,$T$4:$W$25,4,FALSE)</f>
        <v>1</v>
      </c>
      <c r="L629" s="101">
        <f>VLOOKUP(BDsurtidor!$H629,$T$4:$X$25,5,FALSE)</f>
        <v>0</v>
      </c>
      <c r="M629" s="101" t="str">
        <f>VLOOKUP(BDsurtidor!$H629,$T$4:$Y$25,6,FALSE)</f>
        <v>EPS</v>
      </c>
      <c r="N629" s="101">
        <v>0</v>
      </c>
      <c r="O629" s="125"/>
      <c r="P629" s="126">
        <v>0.47916666666666669</v>
      </c>
      <c r="Q629" s="334" t="s">
        <v>574</v>
      </c>
    </row>
    <row r="630" spans="2:17" x14ac:dyDescent="0.25">
      <c r="B630">
        <f>WEEKNUM(BSURTIDOR[[#This Row],[FECHA]])</f>
        <v>14</v>
      </c>
      <c r="C630">
        <f>MONTH(BSURTIDOR[[#This Row],[FECHA]])</f>
        <v>3</v>
      </c>
      <c r="D630">
        <f>YEAR(BSURTIDOR[[#This Row],[FECHA]])</f>
        <v>2026</v>
      </c>
      <c r="E630" s="124">
        <v>46111</v>
      </c>
      <c r="F630" s="364" t="s">
        <v>109</v>
      </c>
      <c r="G630" s="123">
        <v>1</v>
      </c>
      <c r="H630" s="123" t="s">
        <v>99</v>
      </c>
      <c r="I630" s="101" t="str">
        <f>VLOOKUP(BDsurtidor!$H630,$T$4:$W$18,2,FALSE)</f>
        <v>CISTERNA</v>
      </c>
      <c r="J630" s="101">
        <f>VLOOKUP(BDsurtidor!$H630,$T$4:$W$25,3,FALSE)</f>
        <v>5000</v>
      </c>
      <c r="K630" s="101">
        <f>VLOOKUP(BDsurtidor!$H630,$T$4:$W$25,4,FALSE)</f>
        <v>17</v>
      </c>
      <c r="L630" s="101">
        <f>VLOOKUP(BDsurtidor!$H630,$T$4:$X$25,5,FALSE)</f>
        <v>0.4</v>
      </c>
      <c r="M630" s="101" t="str">
        <f>VLOOKUP(BDsurtidor!$H630,$T$4:$Y$25,6,FALSE)</f>
        <v>EPS</v>
      </c>
      <c r="N630" s="101">
        <v>0</v>
      </c>
      <c r="O630" s="125">
        <v>1.76</v>
      </c>
      <c r="P630" s="126">
        <v>0.3576388888888889</v>
      </c>
      <c r="Q630" s="123" t="s">
        <v>626</v>
      </c>
    </row>
    <row r="631" spans="2:17" x14ac:dyDescent="0.25">
      <c r="B631">
        <f>WEEKNUM(BSURTIDOR[[#This Row],[FECHA]])</f>
        <v>14</v>
      </c>
      <c r="C631">
        <f>MONTH(BSURTIDOR[[#This Row],[FECHA]])</f>
        <v>3</v>
      </c>
      <c r="D631">
        <f>YEAR(BSURTIDOR[[#This Row],[FECHA]])</f>
        <v>2026</v>
      </c>
      <c r="E631" s="124">
        <v>46111</v>
      </c>
      <c r="F631" s="364" t="s">
        <v>109</v>
      </c>
      <c r="G631" s="123">
        <v>2</v>
      </c>
      <c r="H631" s="123" t="s">
        <v>87</v>
      </c>
      <c r="I631" s="101" t="str">
        <f>VLOOKUP(BDsurtidor!$H631,$T$4:$W$18,2,FALSE)</f>
        <v>CISTERNA</v>
      </c>
      <c r="J631" s="39">
        <f>VLOOKUP(BDsurtidor!$H631,$T$4:$W$25,3,FALSE)</f>
        <v>5000</v>
      </c>
      <c r="K631" s="39">
        <f>VLOOKUP(BDsurtidor!$H631,$T$4:$W$25,4,FALSE)</f>
        <v>17</v>
      </c>
      <c r="L631" s="101">
        <f>VLOOKUP(BDsurtidor!$H631,$T$4:$X$25,5,FALSE)</f>
        <v>0.4</v>
      </c>
      <c r="M631" s="39" t="str">
        <f>VLOOKUP(BDsurtidor!$H631,$T$4:$Y$25,6,FALSE)</f>
        <v>EPS</v>
      </c>
      <c r="N631" s="101">
        <v>0</v>
      </c>
      <c r="O631" s="125">
        <v>1.59</v>
      </c>
      <c r="P631" s="126">
        <v>0.375</v>
      </c>
      <c r="Q631" s="123" t="s">
        <v>626</v>
      </c>
    </row>
    <row r="632" spans="2:17" x14ac:dyDescent="0.25">
      <c r="B632">
        <f>WEEKNUM(BSURTIDOR[[#This Row],[FECHA]])</f>
        <v>14</v>
      </c>
      <c r="C632">
        <f>MONTH(BSURTIDOR[[#This Row],[FECHA]])</f>
        <v>3</v>
      </c>
      <c r="D632">
        <f>YEAR(BSURTIDOR[[#This Row],[FECHA]])</f>
        <v>2026</v>
      </c>
      <c r="E632" s="124">
        <v>46111</v>
      </c>
      <c r="F632" s="364" t="s">
        <v>109</v>
      </c>
      <c r="G632" s="123">
        <v>3</v>
      </c>
      <c r="H632" s="123" t="s">
        <v>87</v>
      </c>
      <c r="I632" s="101" t="str">
        <f>VLOOKUP(BDsurtidor!$H632,$T$4:$W$18,2,FALSE)</f>
        <v>CISTERNA</v>
      </c>
      <c r="J632" s="101">
        <f>VLOOKUP(BDsurtidor!$H632,$T$4:$W$25,3,FALSE)</f>
        <v>5000</v>
      </c>
      <c r="K632" s="101">
        <f>VLOOKUP(BDsurtidor!$H632,$T$4:$W$25,4,FALSE)</f>
        <v>17</v>
      </c>
      <c r="L632" s="101">
        <f>VLOOKUP(BDsurtidor!$H632,$T$4:$X$25,5,FALSE)</f>
        <v>0.4</v>
      </c>
      <c r="M632" s="101" t="str">
        <f>VLOOKUP(BDsurtidor!$H632,$T$4:$Y$25,6,FALSE)</f>
        <v>EPS</v>
      </c>
      <c r="N632" s="101">
        <v>0</v>
      </c>
      <c r="O632" s="125">
        <v>1.22</v>
      </c>
      <c r="P632" s="126">
        <v>0.53611111111111109</v>
      </c>
      <c r="Q632" s="123" t="s">
        <v>626</v>
      </c>
    </row>
    <row r="633" spans="2:17" x14ac:dyDescent="0.25">
      <c r="B633">
        <f>WEEKNUM(BSURTIDOR[[#This Row],[FECHA]])</f>
        <v>14</v>
      </c>
      <c r="C633">
        <f>MONTH(BSURTIDOR[[#This Row],[FECHA]])</f>
        <v>3</v>
      </c>
      <c r="D633">
        <f>YEAR(BSURTIDOR[[#This Row],[FECHA]])</f>
        <v>2026</v>
      </c>
      <c r="E633" s="124">
        <v>46111</v>
      </c>
      <c r="F633" s="364" t="s">
        <v>109</v>
      </c>
      <c r="G633" s="123">
        <v>4</v>
      </c>
      <c r="H633" s="123" t="s">
        <v>99</v>
      </c>
      <c r="I633" s="101" t="str">
        <f>VLOOKUP(BDsurtidor!$H633,$T$4:$W$18,2,FALSE)</f>
        <v>CISTERNA</v>
      </c>
      <c r="J633" s="101">
        <f>VLOOKUP(BDsurtidor!$H633,$T$4:$W$25,3,FALSE)</f>
        <v>5000</v>
      </c>
      <c r="K633" s="101">
        <f>VLOOKUP(BDsurtidor!$H633,$T$4:$W$25,4,FALSE)</f>
        <v>17</v>
      </c>
      <c r="L633" s="101">
        <f>VLOOKUP(BDsurtidor!$H633,$T$4:$X$25,5,FALSE)</f>
        <v>0.4</v>
      </c>
      <c r="M633" s="101" t="str">
        <f>VLOOKUP(BDsurtidor!$H633,$T$4:$Y$25,6,FALSE)</f>
        <v>EPS</v>
      </c>
      <c r="N633" s="101">
        <v>0</v>
      </c>
      <c r="O633" s="125">
        <v>1.32</v>
      </c>
      <c r="P633" s="126">
        <v>0.55138888888888893</v>
      </c>
      <c r="Q633" s="123" t="s">
        <v>626</v>
      </c>
    </row>
    <row r="634" spans="2:17" x14ac:dyDescent="0.25">
      <c r="B634">
        <f>WEEKNUM(BSURTIDOR[[#This Row],[FECHA]])</f>
        <v>14</v>
      </c>
      <c r="C634">
        <f>MONTH(BSURTIDOR[[#This Row],[FECHA]])</f>
        <v>3</v>
      </c>
      <c r="D634">
        <f>YEAR(BSURTIDOR[[#This Row],[FECHA]])</f>
        <v>2026</v>
      </c>
      <c r="E634" s="124">
        <v>46112</v>
      </c>
      <c r="F634" s="382" t="s">
        <v>548</v>
      </c>
      <c r="G634" s="123">
        <v>1</v>
      </c>
      <c r="H634" s="123" t="s">
        <v>100</v>
      </c>
      <c r="I634" s="101" t="str">
        <f>VLOOKUP(BDsurtidor!$H634,$T$4:$W$18,2,FALSE)</f>
        <v>HIDROJET</v>
      </c>
      <c r="J634" s="101">
        <f>VLOOKUP(BDsurtidor!$H634,$T$4:$W$25,3,FALSE)</f>
        <v>1000</v>
      </c>
      <c r="K634" s="101">
        <f>VLOOKUP(BDsurtidor!$H634,$T$4:$W$25,4,FALSE)</f>
        <v>1</v>
      </c>
      <c r="L634" s="101">
        <f>VLOOKUP(BDsurtidor!$H634,$T$4:$X$25,5,FALSE)</f>
        <v>0</v>
      </c>
      <c r="M634" s="101" t="str">
        <f>VLOOKUP(BDsurtidor!$H634,$T$4:$Y$25,6,FALSE)</f>
        <v>EPS</v>
      </c>
      <c r="N634" s="101">
        <v>0</v>
      </c>
      <c r="O634" s="125">
        <v>0</v>
      </c>
      <c r="P634" s="126">
        <v>0.27777777777777779</v>
      </c>
      <c r="Q634" s="334" t="s">
        <v>574</v>
      </c>
    </row>
    <row r="635" spans="2:17" x14ac:dyDescent="0.25">
      <c r="B635">
        <f>WEEKNUM(BSURTIDOR[[#This Row],[FECHA]])</f>
        <v>14</v>
      </c>
      <c r="C635">
        <f>MONTH(BSURTIDOR[[#This Row],[FECHA]])</f>
        <v>3</v>
      </c>
      <c r="D635">
        <f>YEAR(BSURTIDOR[[#This Row],[FECHA]])</f>
        <v>2026</v>
      </c>
      <c r="E635" s="124">
        <v>46112</v>
      </c>
      <c r="F635" s="382" t="s">
        <v>548</v>
      </c>
      <c r="G635" s="123">
        <v>2</v>
      </c>
      <c r="H635" s="123" t="s">
        <v>95</v>
      </c>
      <c r="I635" s="101" t="str">
        <f>VLOOKUP(BDsurtidor!$H635,$T$4:$W$18,2,FALSE)</f>
        <v>CISTERNA</v>
      </c>
      <c r="J635" s="101">
        <f>VLOOKUP(BDsurtidor!$H635,$T$4:$W$25,3,FALSE)</f>
        <v>2500</v>
      </c>
      <c r="K635" s="101">
        <f>VLOOKUP(BDsurtidor!$H635,$T$4:$W$25,4,FALSE)</f>
        <v>9</v>
      </c>
      <c r="L635" s="101">
        <f>VLOOKUP(BDsurtidor!$H635,$T$4:$X$25,5,FALSE)</f>
        <v>0.22</v>
      </c>
      <c r="M635" s="101" t="str">
        <f>VLOOKUP(BDsurtidor!$H635,$T$4:$Y$25,6,FALSE)</f>
        <v>EPS</v>
      </c>
      <c r="N635" s="101">
        <v>0</v>
      </c>
      <c r="O635" s="125">
        <v>0</v>
      </c>
      <c r="P635" s="126">
        <v>0.28472222222222221</v>
      </c>
      <c r="Q635" s="334" t="s">
        <v>574</v>
      </c>
    </row>
    <row r="636" spans="2:17" x14ac:dyDescent="0.25">
      <c r="B636">
        <f>WEEKNUM(BSURTIDOR[[#This Row],[FECHA]])</f>
        <v>14</v>
      </c>
      <c r="C636">
        <f>MONTH(BSURTIDOR[[#This Row],[FECHA]])</f>
        <v>3</v>
      </c>
      <c r="D636">
        <f>YEAR(BSURTIDOR[[#This Row],[FECHA]])</f>
        <v>2026</v>
      </c>
      <c r="E636" s="124">
        <v>46112</v>
      </c>
      <c r="F636" s="382" t="s">
        <v>548</v>
      </c>
      <c r="G636" s="123">
        <v>3</v>
      </c>
      <c r="H636" s="123" t="s">
        <v>99</v>
      </c>
      <c r="I636" s="101" t="str">
        <f>VLOOKUP(BDsurtidor!$H636,$T$4:$W$18,2,FALSE)</f>
        <v>CISTERNA</v>
      </c>
      <c r="J636" s="39">
        <f>VLOOKUP(BDsurtidor!$H636,$T$4:$W$25,3,FALSE)</f>
        <v>5000</v>
      </c>
      <c r="K636" s="39">
        <f>VLOOKUP(BDsurtidor!$H636,$T$4:$W$25,4,FALSE)</f>
        <v>17</v>
      </c>
      <c r="L636" s="101">
        <f>VLOOKUP(BDsurtidor!$H636,$T$4:$X$25,5,FALSE)</f>
        <v>0.4</v>
      </c>
      <c r="M636" s="39" t="str">
        <f>VLOOKUP(BDsurtidor!$H636,$T$4:$Y$25,6,FALSE)</f>
        <v>EPS</v>
      </c>
      <c r="N636" s="101">
        <v>0</v>
      </c>
      <c r="O636" s="125">
        <v>1.51</v>
      </c>
      <c r="P636" s="126">
        <v>0.31111111111111112</v>
      </c>
      <c r="Q636" s="334" t="s">
        <v>574</v>
      </c>
    </row>
    <row r="637" spans="2:17" x14ac:dyDescent="0.25">
      <c r="B637">
        <f>WEEKNUM(BSURTIDOR[[#This Row],[FECHA]])</f>
        <v>14</v>
      </c>
      <c r="C637">
        <f>MONTH(BSURTIDOR[[#This Row],[FECHA]])</f>
        <v>3</v>
      </c>
      <c r="D637">
        <f>YEAR(BSURTIDOR[[#This Row],[FECHA]])</f>
        <v>2026</v>
      </c>
      <c r="E637" s="124">
        <v>46112</v>
      </c>
      <c r="F637" s="382" t="s">
        <v>548</v>
      </c>
      <c r="G637" s="123">
        <v>4</v>
      </c>
      <c r="H637" s="123" t="s">
        <v>87</v>
      </c>
      <c r="I637" s="101" t="str">
        <f>VLOOKUP(BDsurtidor!$H637,$T$4:$W$18,2,FALSE)</f>
        <v>CISTERNA</v>
      </c>
      <c r="J637" s="39">
        <f>VLOOKUP(BDsurtidor!$H637,$T$4:$W$25,3,FALSE)</f>
        <v>5000</v>
      </c>
      <c r="K637" s="39">
        <f>VLOOKUP(BDsurtidor!$H637,$T$4:$W$25,4,FALSE)</f>
        <v>17</v>
      </c>
      <c r="L637" s="101">
        <f>VLOOKUP(BDsurtidor!$H637,$T$4:$X$25,5,FALSE)</f>
        <v>0.4</v>
      </c>
      <c r="M637" s="39" t="str">
        <f>VLOOKUP(BDsurtidor!$H637,$T$4:$Y$25,6,FALSE)</f>
        <v>EPS</v>
      </c>
      <c r="N637" s="101">
        <v>0</v>
      </c>
      <c r="O637" s="125">
        <v>1.37</v>
      </c>
      <c r="P637" s="126">
        <v>0.29166666666666669</v>
      </c>
      <c r="Q637" s="334" t="s">
        <v>574</v>
      </c>
    </row>
    <row r="638" spans="2:17" x14ac:dyDescent="0.25">
      <c r="B638">
        <f>WEEKNUM(BSURTIDOR[[#This Row],[FECHA]])</f>
        <v>14</v>
      </c>
      <c r="C638">
        <f>MONTH(BSURTIDOR[[#This Row],[FECHA]])</f>
        <v>3</v>
      </c>
      <c r="D638">
        <f>YEAR(BSURTIDOR[[#This Row],[FECHA]])</f>
        <v>2026</v>
      </c>
      <c r="E638" s="124">
        <v>46112</v>
      </c>
      <c r="F638" s="382" t="s">
        <v>548</v>
      </c>
      <c r="G638" s="123">
        <v>5</v>
      </c>
      <c r="H638" s="123" t="s">
        <v>99</v>
      </c>
      <c r="I638" s="101" t="str">
        <f>VLOOKUP(BDsurtidor!$H638,$T$4:$W$18,2,FALSE)</f>
        <v>CISTERNA</v>
      </c>
      <c r="J638" s="101">
        <f>VLOOKUP(BDsurtidor!$H638,$T$4:$W$25,3,FALSE)</f>
        <v>5000</v>
      </c>
      <c r="K638" s="101">
        <f>VLOOKUP(BDsurtidor!$H638,$T$4:$W$25,4,FALSE)</f>
        <v>17</v>
      </c>
      <c r="L638" s="101">
        <f>VLOOKUP(BDsurtidor!$H638,$T$4:$X$25,5,FALSE)</f>
        <v>0.4</v>
      </c>
      <c r="M638" s="101" t="str">
        <f>VLOOKUP(BDsurtidor!$H638,$T$4:$Y$25,6,FALSE)</f>
        <v>EPS</v>
      </c>
      <c r="N638" s="101">
        <v>0</v>
      </c>
      <c r="O638" s="125">
        <v>1.75</v>
      </c>
      <c r="P638" s="126">
        <v>0.43194444444444446</v>
      </c>
      <c r="Q638" s="334" t="s">
        <v>574</v>
      </c>
    </row>
    <row r="639" spans="2:17" x14ac:dyDescent="0.25">
      <c r="B639">
        <f>WEEKNUM(BSURTIDOR[[#This Row],[FECHA]])</f>
        <v>14</v>
      </c>
      <c r="C639">
        <f>MONTH(BSURTIDOR[[#This Row],[FECHA]])</f>
        <v>3</v>
      </c>
      <c r="D639">
        <f>YEAR(BSURTIDOR[[#This Row],[FECHA]])</f>
        <v>2026</v>
      </c>
      <c r="E639" s="124">
        <v>46112</v>
      </c>
      <c r="F639" s="382" t="s">
        <v>548</v>
      </c>
      <c r="G639" s="123">
        <v>6</v>
      </c>
      <c r="H639" s="123" t="s">
        <v>87</v>
      </c>
      <c r="I639" s="101" t="str">
        <f>VLOOKUP(BDsurtidor!$H639,$T$4:$W$18,2,FALSE)</f>
        <v>CISTERNA</v>
      </c>
      <c r="J639" s="39">
        <f>VLOOKUP(BDsurtidor!$H639,$T$4:$W$25,3,FALSE)</f>
        <v>5000</v>
      </c>
      <c r="K639" s="39">
        <f>VLOOKUP(BDsurtidor!$H639,$T$4:$W$25,4,FALSE)</f>
        <v>17</v>
      </c>
      <c r="L639" s="101">
        <f>VLOOKUP(BDsurtidor!$H639,$T$4:$X$25,5,FALSE)</f>
        <v>0.4</v>
      </c>
      <c r="M639" s="39" t="str">
        <f>VLOOKUP(BDsurtidor!$H639,$T$4:$Y$25,6,FALSE)</f>
        <v>EPS</v>
      </c>
      <c r="N639" s="101">
        <v>0</v>
      </c>
      <c r="O639" s="125">
        <v>1.64</v>
      </c>
      <c r="P639" s="126">
        <v>0.52777777777777779</v>
      </c>
      <c r="Q639" s="334" t="s">
        <v>574</v>
      </c>
    </row>
    <row r="640" spans="2:17" x14ac:dyDescent="0.25">
      <c r="B640">
        <f>WEEKNUM(BSURTIDOR[[#This Row],[FECHA]])</f>
        <v>14</v>
      </c>
      <c r="C640">
        <f>MONTH(BSURTIDOR[[#This Row],[FECHA]])</f>
        <v>3</v>
      </c>
      <c r="D640">
        <f>YEAR(BSURTIDOR[[#This Row],[FECHA]])</f>
        <v>2026</v>
      </c>
      <c r="E640" s="124">
        <v>46112</v>
      </c>
      <c r="F640" s="382" t="s">
        <v>548</v>
      </c>
      <c r="G640" s="123">
        <v>7</v>
      </c>
      <c r="H640" s="123" t="s">
        <v>99</v>
      </c>
      <c r="I640" s="101" t="str">
        <f>VLOOKUP(BDsurtidor!$H640,$T$4:$W$18,2,FALSE)</f>
        <v>CISTERNA</v>
      </c>
      <c r="J640" s="39">
        <f>VLOOKUP(BDsurtidor!$H640,$T$4:$W$25,3,FALSE)</f>
        <v>5000</v>
      </c>
      <c r="K640" s="39">
        <f>VLOOKUP(BDsurtidor!$H640,$T$4:$W$25,4,FALSE)</f>
        <v>17</v>
      </c>
      <c r="L640" s="101">
        <f>VLOOKUP(BDsurtidor!$H640,$T$4:$X$25,5,FALSE)</f>
        <v>0.4</v>
      </c>
      <c r="M640" s="39" t="str">
        <f>VLOOKUP(BDsurtidor!$H640,$T$4:$Y$25,6,FALSE)</f>
        <v>EPS</v>
      </c>
      <c r="N640" s="101">
        <v>0</v>
      </c>
      <c r="O640" s="125">
        <v>1.5</v>
      </c>
      <c r="P640" s="126">
        <v>0.54027777777777775</v>
      </c>
      <c r="Q640" s="334" t="s">
        <v>574</v>
      </c>
    </row>
    <row r="641" spans="2:17" x14ac:dyDescent="0.25">
      <c r="B641">
        <f>WEEKNUM(BSURTIDOR[[#This Row],[FECHA]])</f>
        <v>14</v>
      </c>
      <c r="C641">
        <f>MONTH(BSURTIDOR[[#This Row],[FECHA]])</f>
        <v>4</v>
      </c>
      <c r="D641">
        <f>YEAR(BSURTIDOR[[#This Row],[FECHA]])</f>
        <v>2026</v>
      </c>
      <c r="E641" s="124">
        <v>46113</v>
      </c>
      <c r="F641" s="382" t="s">
        <v>548</v>
      </c>
      <c r="G641" s="123">
        <v>1</v>
      </c>
      <c r="H641" s="123" t="s">
        <v>99</v>
      </c>
      <c r="I641" s="101" t="str">
        <f>VLOOKUP(BDsurtidor!$H641,$T$4:$W$18,2,FALSE)</f>
        <v>CISTERNA</v>
      </c>
      <c r="J641" s="39">
        <f>VLOOKUP(BDsurtidor!$H641,$T$4:$W$25,3,FALSE)</f>
        <v>5000</v>
      </c>
      <c r="K641" s="39">
        <f>VLOOKUP(BDsurtidor!$H641,$T$4:$W$25,4,FALSE)</f>
        <v>17</v>
      </c>
      <c r="L641" s="101">
        <f>VLOOKUP(BDsurtidor!$H641,$T$4:$X$25,5,FALSE)</f>
        <v>0.4</v>
      </c>
      <c r="M641" s="39" t="str">
        <f>VLOOKUP(BDsurtidor!$H641,$T$4:$Y$25,6,FALSE)</f>
        <v>EPS</v>
      </c>
      <c r="N641" s="101">
        <v>0</v>
      </c>
      <c r="O641" s="125">
        <v>1.2</v>
      </c>
      <c r="P641" s="126">
        <v>0.32013888888888886</v>
      </c>
      <c r="Q641" s="334" t="s">
        <v>574</v>
      </c>
    </row>
    <row r="642" spans="2:17" x14ac:dyDescent="0.25">
      <c r="B642">
        <f>WEEKNUM(BSURTIDOR[[#This Row],[FECHA]])</f>
        <v>14</v>
      </c>
      <c r="C642">
        <f>MONTH(BSURTIDOR[[#This Row],[FECHA]])</f>
        <v>4</v>
      </c>
      <c r="D642">
        <f>YEAR(BSURTIDOR[[#This Row],[FECHA]])</f>
        <v>2026</v>
      </c>
      <c r="E642" s="124">
        <v>46113</v>
      </c>
      <c r="F642" s="382" t="s">
        <v>548</v>
      </c>
      <c r="G642" s="123">
        <v>2</v>
      </c>
      <c r="H642" s="123" t="s">
        <v>87</v>
      </c>
      <c r="I642" s="101" t="str">
        <f>VLOOKUP(BDsurtidor!$H642,$T$4:$W$18,2,FALSE)</f>
        <v>CISTERNA</v>
      </c>
      <c r="J642" s="39">
        <f>VLOOKUP(BDsurtidor!$H642,$T$4:$W$25,3,FALSE)</f>
        <v>5000</v>
      </c>
      <c r="K642" s="39">
        <f>VLOOKUP(BDsurtidor!$H642,$T$4:$W$25,4,FALSE)</f>
        <v>17</v>
      </c>
      <c r="L642" s="101">
        <f>VLOOKUP(BDsurtidor!$H642,$T$4:$X$25,5,FALSE)</f>
        <v>0.4</v>
      </c>
      <c r="M642" s="39" t="str">
        <f>VLOOKUP(BDsurtidor!$H642,$T$4:$Y$25,6,FALSE)</f>
        <v>EPS</v>
      </c>
      <c r="N642" s="101">
        <v>0</v>
      </c>
      <c r="O642" s="125">
        <v>1.51</v>
      </c>
      <c r="P642" s="126">
        <v>7.5</v>
      </c>
      <c r="Q642" s="334" t="s">
        <v>574</v>
      </c>
    </row>
    <row r="643" spans="2:17" x14ac:dyDescent="0.25">
      <c r="B643">
        <f>WEEKNUM(BSURTIDOR[[#This Row],[FECHA]])</f>
        <v>14</v>
      </c>
      <c r="C643">
        <f>MONTH(BSURTIDOR[[#This Row],[FECHA]])</f>
        <v>4</v>
      </c>
      <c r="D643">
        <f>YEAR(BSURTIDOR[[#This Row],[FECHA]])</f>
        <v>2026</v>
      </c>
      <c r="E643" s="124">
        <v>46113</v>
      </c>
      <c r="F643" s="382" t="s">
        <v>548</v>
      </c>
      <c r="G643" s="123">
        <v>3</v>
      </c>
      <c r="H643" s="123" t="s">
        <v>87</v>
      </c>
      <c r="I643" s="101" t="str">
        <f>VLOOKUP(BDsurtidor!$H643,$T$4:$W$18,2,FALSE)</f>
        <v>CISTERNA</v>
      </c>
      <c r="J643" s="39">
        <f>VLOOKUP(BDsurtidor!$H643,$T$4:$W$25,3,FALSE)</f>
        <v>5000</v>
      </c>
      <c r="K643" s="39">
        <f>VLOOKUP(BDsurtidor!$H643,$T$4:$W$25,4,FALSE)</f>
        <v>17</v>
      </c>
      <c r="L643" s="101">
        <f>VLOOKUP(BDsurtidor!$H643,$T$4:$X$25,5,FALSE)</f>
        <v>0.4</v>
      </c>
      <c r="M643" s="39" t="str">
        <f>VLOOKUP(BDsurtidor!$H643,$T$4:$Y$25,6,FALSE)</f>
        <v>EPS</v>
      </c>
      <c r="N643" s="101">
        <v>0</v>
      </c>
      <c r="O643" s="125">
        <v>1.28</v>
      </c>
      <c r="P643" s="126">
        <v>0.45</v>
      </c>
      <c r="Q643" s="334" t="s">
        <v>574</v>
      </c>
    </row>
    <row r="644" spans="2:17" x14ac:dyDescent="0.25">
      <c r="B644">
        <f>WEEKNUM(BSURTIDOR[[#This Row],[FECHA]])</f>
        <v>14</v>
      </c>
      <c r="C644">
        <f>MONTH(BSURTIDOR[[#This Row],[FECHA]])</f>
        <v>4</v>
      </c>
      <c r="D644">
        <f>YEAR(BSURTIDOR[[#This Row],[FECHA]])</f>
        <v>2026</v>
      </c>
      <c r="E644" s="124">
        <v>46113</v>
      </c>
      <c r="F644" s="382" t="s">
        <v>548</v>
      </c>
      <c r="G644" s="123">
        <v>4</v>
      </c>
      <c r="H644" s="123" t="s">
        <v>99</v>
      </c>
      <c r="I644" s="101" t="str">
        <f>VLOOKUP(BDsurtidor!$H644,$T$4:$W$18,2,FALSE)</f>
        <v>CISTERNA</v>
      </c>
      <c r="J644" s="39">
        <f>VLOOKUP(BDsurtidor!$H644,$T$4:$W$25,3,FALSE)</f>
        <v>5000</v>
      </c>
      <c r="K644" s="39">
        <f>VLOOKUP(BDsurtidor!$H644,$T$4:$W$25,4,FALSE)</f>
        <v>17</v>
      </c>
      <c r="L644" s="101">
        <f>VLOOKUP(BDsurtidor!$H644,$T$4:$X$25,5,FALSE)</f>
        <v>0.4</v>
      </c>
      <c r="M644" s="39" t="str">
        <f>VLOOKUP(BDsurtidor!$H644,$T$4:$Y$25,6,FALSE)</f>
        <v>EPS</v>
      </c>
      <c r="N644" s="101">
        <v>0</v>
      </c>
      <c r="O644" s="125">
        <v>1.3</v>
      </c>
      <c r="P644" s="126">
        <v>0.45902777777777776</v>
      </c>
      <c r="Q644" s="334" t="s">
        <v>574</v>
      </c>
    </row>
    <row r="645" spans="2:17" x14ac:dyDescent="0.25">
      <c r="B645">
        <f>WEEKNUM(BSURTIDOR[[#This Row],[FECHA]])</f>
        <v>14</v>
      </c>
      <c r="C645">
        <f>MONTH(BSURTIDOR[[#This Row],[FECHA]])</f>
        <v>4</v>
      </c>
      <c r="D645">
        <f>YEAR(BSURTIDOR[[#This Row],[FECHA]])</f>
        <v>2026</v>
      </c>
      <c r="E645" s="124">
        <v>46113</v>
      </c>
      <c r="F645" s="382" t="s">
        <v>548</v>
      </c>
      <c r="G645" s="123">
        <v>5</v>
      </c>
      <c r="H645" s="123" t="s">
        <v>100</v>
      </c>
      <c r="I645" s="101" t="str">
        <f>VLOOKUP(BDsurtidor!$H645,$T$4:$W$18,2,FALSE)</f>
        <v>HIDROJET</v>
      </c>
      <c r="J645" s="39">
        <f>VLOOKUP(BDsurtidor!$H645,$T$4:$W$25,3,FALSE)</f>
        <v>1000</v>
      </c>
      <c r="K645" s="39">
        <f>VLOOKUP(BDsurtidor!$H645,$T$4:$W$25,4,FALSE)</f>
        <v>1</v>
      </c>
      <c r="L645" s="101">
        <f>VLOOKUP(BDsurtidor!$H645,$T$4:$X$25,5,FALSE)</f>
        <v>0</v>
      </c>
      <c r="M645" s="39" t="str">
        <f>VLOOKUP(BDsurtidor!$H645,$T$4:$Y$25,6,FALSE)</f>
        <v>EPS</v>
      </c>
      <c r="N645" s="101">
        <v>0</v>
      </c>
      <c r="O645" s="125">
        <v>0</v>
      </c>
      <c r="P645" s="126">
        <v>0.51527777777777772</v>
      </c>
      <c r="Q645" s="334" t="s">
        <v>574</v>
      </c>
    </row>
    <row r="646" spans="2:17" x14ac:dyDescent="0.25">
      <c r="B646">
        <f>WEEKNUM(BSURTIDOR[[#This Row],[FECHA]])</f>
        <v>14</v>
      </c>
      <c r="C646">
        <f>MONTH(BSURTIDOR[[#This Row],[FECHA]])</f>
        <v>4</v>
      </c>
      <c r="D646">
        <f>YEAR(BSURTIDOR[[#This Row],[FECHA]])</f>
        <v>2026</v>
      </c>
      <c r="E646" s="124">
        <v>46114</v>
      </c>
      <c r="F646" s="382" t="s">
        <v>548</v>
      </c>
      <c r="G646" s="123">
        <v>1</v>
      </c>
      <c r="H646" s="123" t="s">
        <v>99</v>
      </c>
      <c r="I646" s="101" t="str">
        <f>VLOOKUP(BDsurtidor!$H646,$T$4:$W$18,2,FALSE)</f>
        <v>CISTERNA</v>
      </c>
      <c r="J646" s="39">
        <f>VLOOKUP(BDsurtidor!$H646,$T$4:$W$25,3,FALSE)</f>
        <v>5000</v>
      </c>
      <c r="K646" s="39">
        <f>VLOOKUP(BDsurtidor!$H646,$T$4:$W$25,4,FALSE)</f>
        <v>17</v>
      </c>
      <c r="L646" s="101">
        <f>VLOOKUP(BDsurtidor!$H646,$T$4:$X$25,5,FALSE)</f>
        <v>0.4</v>
      </c>
      <c r="M646" s="39" t="str">
        <f>VLOOKUP(BDsurtidor!$H646,$T$4:$Y$25,6,FALSE)</f>
        <v>EPS</v>
      </c>
      <c r="N646" s="101">
        <v>0</v>
      </c>
      <c r="O646" s="125">
        <v>1.25</v>
      </c>
      <c r="P646" s="126">
        <v>0.30972222222222223</v>
      </c>
      <c r="Q646" s="334" t="s">
        <v>574</v>
      </c>
    </row>
    <row r="647" spans="2:17" x14ac:dyDescent="0.25">
      <c r="B647">
        <f>WEEKNUM(BSURTIDOR[[#This Row],[FECHA]])</f>
        <v>14</v>
      </c>
      <c r="C647">
        <f>MONTH(BSURTIDOR[[#This Row],[FECHA]])</f>
        <v>4</v>
      </c>
      <c r="D647">
        <f>YEAR(BSURTIDOR[[#This Row],[FECHA]])</f>
        <v>2026</v>
      </c>
      <c r="E647" s="124">
        <v>46114</v>
      </c>
      <c r="F647" s="382" t="s">
        <v>548</v>
      </c>
      <c r="G647" s="123">
        <v>2</v>
      </c>
      <c r="H647" s="123" t="s">
        <v>99</v>
      </c>
      <c r="I647" s="101" t="str">
        <f>VLOOKUP(BDsurtidor!$H647,$T$4:$W$18,2,FALSE)</f>
        <v>CISTERNA</v>
      </c>
      <c r="J647" s="39">
        <f>VLOOKUP(BDsurtidor!$H647,$T$4:$W$25,3,FALSE)</f>
        <v>5000</v>
      </c>
      <c r="K647" s="39">
        <f>VLOOKUP(BDsurtidor!$H647,$T$4:$W$25,4,FALSE)</f>
        <v>17</v>
      </c>
      <c r="L647" s="101">
        <f>VLOOKUP(BDsurtidor!$H647,$T$4:$X$25,5,FALSE)</f>
        <v>0.4</v>
      </c>
      <c r="M647" s="39" t="str">
        <f>VLOOKUP(BDsurtidor!$H647,$T$4:$Y$25,6,FALSE)</f>
        <v>EPS</v>
      </c>
      <c r="N647" s="101">
        <v>0</v>
      </c>
      <c r="O647" s="125">
        <v>1.1599999999999999</v>
      </c>
      <c r="P647" s="126">
        <v>0.43958333333333333</v>
      </c>
      <c r="Q647" s="334" t="s">
        <v>574</v>
      </c>
    </row>
    <row r="648" spans="2:17" x14ac:dyDescent="0.25">
      <c r="B648">
        <f>WEEKNUM(BSURTIDOR[[#This Row],[FECHA]])</f>
        <v>14</v>
      </c>
      <c r="C648">
        <f>MONTH(BSURTIDOR[[#This Row],[FECHA]])</f>
        <v>4</v>
      </c>
      <c r="D648">
        <f>YEAR(BSURTIDOR[[#This Row],[FECHA]])</f>
        <v>2026</v>
      </c>
      <c r="E648" s="124">
        <v>46116</v>
      </c>
      <c r="F648" s="411" t="s">
        <v>548</v>
      </c>
      <c r="G648" s="123">
        <v>1</v>
      </c>
      <c r="H648" s="123" t="s">
        <v>99</v>
      </c>
      <c r="I648" s="101" t="str">
        <f>VLOOKUP(BDsurtidor!$H648,$T$4:$W$18,2,FALSE)</f>
        <v>CISTERNA</v>
      </c>
      <c r="J648" s="39">
        <f>VLOOKUP(BDsurtidor!$H648,$T$4:$W$25,3,FALSE)</f>
        <v>5000</v>
      </c>
      <c r="K648" s="39">
        <f>VLOOKUP(BDsurtidor!$H648,$T$4:$W$25,4,FALSE)</f>
        <v>17</v>
      </c>
      <c r="L648" s="101">
        <f>VLOOKUP(BDsurtidor!$H648,$T$4:$X$25,5,FALSE)</f>
        <v>0.4</v>
      </c>
      <c r="M648" s="39" t="str">
        <f>VLOOKUP(BDsurtidor!$H648,$T$4:$Y$25,6,FALSE)</f>
        <v>EPS</v>
      </c>
      <c r="N648" s="101">
        <v>0</v>
      </c>
      <c r="O648" s="125">
        <v>1.23</v>
      </c>
      <c r="P648" s="126">
        <v>0.3125</v>
      </c>
      <c r="Q648" s="334" t="s">
        <v>574</v>
      </c>
    </row>
    <row r="649" spans="2:17" x14ac:dyDescent="0.25">
      <c r="B649">
        <f>WEEKNUM(BSURTIDOR[[#This Row],[FECHA]])</f>
        <v>14</v>
      </c>
      <c r="C649">
        <f>MONTH(BSURTIDOR[[#This Row],[FECHA]])</f>
        <v>4</v>
      </c>
      <c r="D649">
        <f>YEAR(BSURTIDOR[[#This Row],[FECHA]])</f>
        <v>2026</v>
      </c>
      <c r="E649" s="124">
        <v>46116</v>
      </c>
      <c r="F649" s="382" t="s">
        <v>548</v>
      </c>
      <c r="G649" s="123">
        <v>2</v>
      </c>
      <c r="H649" s="123" t="s">
        <v>87</v>
      </c>
      <c r="I649" s="101" t="str">
        <f>VLOOKUP(BDsurtidor!$H649,$T$4:$W$18,2,FALSE)</f>
        <v>CISTERNA</v>
      </c>
      <c r="J649" s="39">
        <f>VLOOKUP(BDsurtidor!$H649,$T$4:$W$25,3,FALSE)</f>
        <v>5000</v>
      </c>
      <c r="K649" s="39">
        <f>VLOOKUP(BDsurtidor!$H649,$T$4:$W$25,4,FALSE)</f>
        <v>17</v>
      </c>
      <c r="L649" s="101">
        <f>VLOOKUP(BDsurtidor!$H649,$T$4:$X$25,5,FALSE)</f>
        <v>0.4</v>
      </c>
      <c r="M649" s="39" t="str">
        <f>VLOOKUP(BDsurtidor!$H649,$T$4:$Y$25,6,FALSE)</f>
        <v>EPS</v>
      </c>
      <c r="N649" s="101">
        <v>0</v>
      </c>
      <c r="O649" s="125">
        <v>1.22</v>
      </c>
      <c r="P649" s="126">
        <v>0.32013888888888886</v>
      </c>
      <c r="Q649" s="334" t="s">
        <v>574</v>
      </c>
    </row>
    <row r="650" spans="2:17" x14ac:dyDescent="0.25">
      <c r="B650">
        <f>WEEKNUM(BSURTIDOR[[#This Row],[FECHA]])</f>
        <v>15</v>
      </c>
      <c r="C650">
        <f>MONTH(BSURTIDOR[[#This Row],[FECHA]])</f>
        <v>4</v>
      </c>
      <c r="D650">
        <f>YEAR(BSURTIDOR[[#This Row],[FECHA]])</f>
        <v>2026</v>
      </c>
      <c r="E650" s="124">
        <v>46117</v>
      </c>
      <c r="F650" s="382" t="s">
        <v>548</v>
      </c>
      <c r="G650" s="123">
        <v>1</v>
      </c>
      <c r="H650" s="123" t="s">
        <v>99</v>
      </c>
      <c r="I650" s="101" t="str">
        <f>VLOOKUP(BDsurtidor!$H650,$T$4:$W$18,2,FALSE)</f>
        <v>CISTERNA</v>
      </c>
      <c r="J650" s="39">
        <f>VLOOKUP(BDsurtidor!$H650,$T$4:$W$25,3,FALSE)</f>
        <v>5000</v>
      </c>
      <c r="K650" s="39">
        <f>VLOOKUP(BDsurtidor!$H650,$T$4:$W$25,4,FALSE)</f>
        <v>17</v>
      </c>
      <c r="L650" s="101">
        <f>VLOOKUP(BDsurtidor!$H650,$T$4:$X$25,5,FALSE)</f>
        <v>0.4</v>
      </c>
      <c r="M650" s="39" t="str">
        <f>VLOOKUP(BDsurtidor!$H650,$T$4:$Y$25,6,FALSE)</f>
        <v>EPS</v>
      </c>
      <c r="N650" s="101">
        <v>0</v>
      </c>
      <c r="O650" s="125">
        <v>1.59</v>
      </c>
      <c r="P650" s="126">
        <v>0.30625000000000002</v>
      </c>
      <c r="Q650" s="334" t="s">
        <v>574</v>
      </c>
    </row>
    <row r="651" spans="2:17" x14ac:dyDescent="0.25">
      <c r="B651">
        <f>WEEKNUM(BSURTIDOR[[#This Row],[FECHA]])</f>
        <v>15</v>
      </c>
      <c r="C651">
        <f>MONTH(BSURTIDOR[[#This Row],[FECHA]])</f>
        <v>4</v>
      </c>
      <c r="D651">
        <f>YEAR(BSURTIDOR[[#This Row],[FECHA]])</f>
        <v>2026</v>
      </c>
      <c r="E651" s="124">
        <v>46117</v>
      </c>
      <c r="F651" s="411" t="s">
        <v>548</v>
      </c>
      <c r="G651" s="123">
        <v>2</v>
      </c>
      <c r="H651" s="123" t="s">
        <v>87</v>
      </c>
      <c r="I651" s="101" t="str">
        <f>VLOOKUP(BDsurtidor!$H651,$T$4:$W$18,2,FALSE)</f>
        <v>CISTERNA</v>
      </c>
      <c r="J651" s="39">
        <f>VLOOKUP(BDsurtidor!$H651,$T$4:$W$25,3,FALSE)</f>
        <v>5000</v>
      </c>
      <c r="K651" s="39">
        <f>VLOOKUP(BDsurtidor!$H651,$T$4:$W$25,4,FALSE)</f>
        <v>17</v>
      </c>
      <c r="L651" s="101">
        <f>VLOOKUP(BDsurtidor!$H651,$T$4:$X$25,5,FALSE)</f>
        <v>0.4</v>
      </c>
      <c r="M651" s="39" t="str">
        <f>VLOOKUP(BDsurtidor!$H651,$T$4:$Y$25,6,FALSE)</f>
        <v>EPS</v>
      </c>
      <c r="N651" s="101">
        <v>0</v>
      </c>
      <c r="O651" s="125">
        <v>1.49</v>
      </c>
      <c r="P651" s="126">
        <v>0.31597222222222221</v>
      </c>
      <c r="Q651" s="334" t="s">
        <v>574</v>
      </c>
    </row>
    <row r="652" spans="2:17" x14ac:dyDescent="0.25">
      <c r="B652">
        <f>WEEKNUM(BSURTIDOR[[#This Row],[FECHA]])</f>
        <v>15</v>
      </c>
      <c r="C652">
        <f>MONTH(BSURTIDOR[[#This Row],[FECHA]])</f>
        <v>4</v>
      </c>
      <c r="D652">
        <f>YEAR(BSURTIDOR[[#This Row],[FECHA]])</f>
        <v>2026</v>
      </c>
      <c r="E652" s="124">
        <v>46117</v>
      </c>
      <c r="F652" s="382" t="s">
        <v>548</v>
      </c>
      <c r="G652" s="123">
        <v>3</v>
      </c>
      <c r="H652" s="123" t="s">
        <v>99</v>
      </c>
      <c r="I652" s="101" t="str">
        <f>VLOOKUP(BDsurtidor!$H652,$T$4:$W$18,2,FALSE)</f>
        <v>CISTERNA</v>
      </c>
      <c r="J652" s="39">
        <f>VLOOKUP(BDsurtidor!$H652,$T$4:$W$25,3,FALSE)</f>
        <v>5000</v>
      </c>
      <c r="K652" s="39">
        <f>VLOOKUP(BDsurtidor!$H652,$T$4:$W$25,4,FALSE)</f>
        <v>17</v>
      </c>
      <c r="L652" s="101">
        <f>VLOOKUP(BDsurtidor!$H652,$T$4:$X$25,5,FALSE)</f>
        <v>0.4</v>
      </c>
      <c r="M652" s="39" t="str">
        <f>VLOOKUP(BDsurtidor!$H652,$T$4:$Y$25,6,FALSE)</f>
        <v>EPS</v>
      </c>
      <c r="N652" s="101">
        <v>0</v>
      </c>
      <c r="O652" s="125">
        <v>1.47</v>
      </c>
      <c r="P652" s="126">
        <v>0.43125000000000002</v>
      </c>
      <c r="Q652" s="334" t="s">
        <v>574</v>
      </c>
    </row>
    <row r="653" spans="2:17" x14ac:dyDescent="0.25">
      <c r="B653">
        <f>WEEKNUM(BSURTIDOR[[#This Row],[FECHA]])</f>
        <v>15</v>
      </c>
      <c r="C653">
        <f>MONTH(BSURTIDOR[[#This Row],[FECHA]])</f>
        <v>4</v>
      </c>
      <c r="D653">
        <f>YEAR(BSURTIDOR[[#This Row],[FECHA]])</f>
        <v>2026</v>
      </c>
      <c r="E653" s="124">
        <v>46117</v>
      </c>
      <c r="F653" s="382" t="s">
        <v>548</v>
      </c>
      <c r="G653" s="123">
        <v>4</v>
      </c>
      <c r="H653" s="123" t="s">
        <v>87</v>
      </c>
      <c r="I653" s="101" t="str">
        <f>VLOOKUP(BDsurtidor!$H653,$T$4:$W$18,2,FALSE)</f>
        <v>CISTERNA</v>
      </c>
      <c r="J653" s="101">
        <f>VLOOKUP(BDsurtidor!$H653,$T$4:$W$25,3,FALSE)</f>
        <v>5000</v>
      </c>
      <c r="K653" s="101">
        <f>VLOOKUP(BDsurtidor!$H653,$T$4:$W$25,4,FALSE)</f>
        <v>17</v>
      </c>
      <c r="L653" s="101">
        <f>VLOOKUP(BDsurtidor!$H653,$T$4:$X$25,5,FALSE)</f>
        <v>0.4</v>
      </c>
      <c r="M653" s="101" t="str">
        <f>VLOOKUP(BDsurtidor!$H653,$T$4:$Y$25,6,FALSE)</f>
        <v>EPS</v>
      </c>
      <c r="N653" s="101">
        <v>0</v>
      </c>
      <c r="O653" s="125">
        <v>1.56</v>
      </c>
      <c r="P653" s="126">
        <v>0.48333333333333334</v>
      </c>
      <c r="Q653" s="334" t="s">
        <v>574</v>
      </c>
    </row>
    <row r="654" spans="2:17" x14ac:dyDescent="0.25">
      <c r="B654">
        <f>WEEKNUM(BSURTIDOR[[#This Row],[FECHA]])</f>
        <v>15</v>
      </c>
      <c r="C654">
        <f>MONTH(BSURTIDOR[[#This Row],[FECHA]])</f>
        <v>4</v>
      </c>
      <c r="D654">
        <f>YEAR(BSURTIDOR[[#This Row],[FECHA]])</f>
        <v>2026</v>
      </c>
      <c r="E654" s="124">
        <v>46118</v>
      </c>
      <c r="F654" s="411" t="s">
        <v>548</v>
      </c>
      <c r="G654" s="123">
        <v>1</v>
      </c>
      <c r="H654" s="123" t="s">
        <v>99</v>
      </c>
      <c r="I654" s="101" t="str">
        <f>VLOOKUP(BDsurtidor!$H654,$T$4:$W$18,2,FALSE)</f>
        <v>CISTERNA</v>
      </c>
      <c r="J654" s="101">
        <f>VLOOKUP(BDsurtidor!$H654,$T$4:$W$25,3,FALSE)</f>
        <v>5000</v>
      </c>
      <c r="K654" s="101">
        <f>VLOOKUP(BDsurtidor!$H654,$T$4:$W$25,4,FALSE)</f>
        <v>17</v>
      </c>
      <c r="L654" s="101">
        <f>VLOOKUP(BDsurtidor!$H654,$T$4:$X$25,5,FALSE)</f>
        <v>0.4</v>
      </c>
      <c r="M654" s="101" t="str">
        <f>VLOOKUP(BDsurtidor!$H654,$T$4:$Y$25,6,FALSE)</f>
        <v>EPS</v>
      </c>
      <c r="N654" s="101">
        <v>0</v>
      </c>
      <c r="O654" s="125">
        <v>1.52</v>
      </c>
      <c r="P654" s="126">
        <v>0.3125</v>
      </c>
      <c r="Q654" s="334" t="s">
        <v>574</v>
      </c>
    </row>
    <row r="655" spans="2:17" x14ac:dyDescent="0.25">
      <c r="B655">
        <f>WEEKNUM(BSURTIDOR[[#This Row],[FECHA]])</f>
        <v>15</v>
      </c>
      <c r="C655">
        <f>MONTH(BSURTIDOR[[#This Row],[FECHA]])</f>
        <v>4</v>
      </c>
      <c r="D655">
        <f>YEAR(BSURTIDOR[[#This Row],[FECHA]])</f>
        <v>2026</v>
      </c>
      <c r="E655" s="124">
        <v>46118</v>
      </c>
      <c r="F655" s="382" t="s">
        <v>548</v>
      </c>
      <c r="G655" s="123">
        <v>2</v>
      </c>
      <c r="H655" s="123" t="s">
        <v>87</v>
      </c>
      <c r="I655" s="101" t="str">
        <f>VLOOKUP(BDsurtidor!$H655,$T$4:$W$18,2,FALSE)</f>
        <v>CISTERNA</v>
      </c>
      <c r="J655" s="101">
        <f>VLOOKUP(BDsurtidor!$H655,$T$4:$W$25,3,FALSE)</f>
        <v>5000</v>
      </c>
      <c r="K655" s="101">
        <f>VLOOKUP(BDsurtidor!$H655,$T$4:$W$25,4,FALSE)</f>
        <v>17</v>
      </c>
      <c r="L655" s="101">
        <f>VLOOKUP(BDsurtidor!$H655,$T$4:$X$25,5,FALSE)</f>
        <v>0.4</v>
      </c>
      <c r="M655" s="101" t="str">
        <f>VLOOKUP(BDsurtidor!$H655,$T$4:$Y$25,6,FALSE)</f>
        <v>EPS</v>
      </c>
      <c r="N655" s="101">
        <v>0</v>
      </c>
      <c r="O655" s="125">
        <v>1.53</v>
      </c>
      <c r="P655" s="126">
        <v>0.32083333333333336</v>
      </c>
      <c r="Q655" s="334" t="s">
        <v>574</v>
      </c>
    </row>
    <row r="656" spans="2:17" x14ac:dyDescent="0.25">
      <c r="B656">
        <f>WEEKNUM(BSURTIDOR[[#This Row],[FECHA]])</f>
        <v>15</v>
      </c>
      <c r="C656">
        <f>MONTH(BSURTIDOR[[#This Row],[FECHA]])</f>
        <v>4</v>
      </c>
      <c r="D656">
        <f>YEAR(BSURTIDOR[[#This Row],[FECHA]])</f>
        <v>2026</v>
      </c>
      <c r="E656" s="124">
        <v>46118</v>
      </c>
      <c r="F656" s="382" t="s">
        <v>548</v>
      </c>
      <c r="G656" s="123">
        <v>3</v>
      </c>
      <c r="H656" s="123" t="s">
        <v>100</v>
      </c>
      <c r="I656" s="101" t="str">
        <f>VLOOKUP(BDsurtidor!$H656,$T$4:$W$18,2,FALSE)</f>
        <v>HIDROJET</v>
      </c>
      <c r="J656" s="101">
        <f>VLOOKUP(BDsurtidor!$H656,$T$4:$W$25,3,FALSE)</f>
        <v>1000</v>
      </c>
      <c r="K656" s="101">
        <f>VLOOKUP(BDsurtidor!$H656,$T$4:$W$25,4,FALSE)</f>
        <v>1</v>
      </c>
      <c r="L656" s="101">
        <f>VLOOKUP(BDsurtidor!$H656,$T$4:$X$25,5,FALSE)</f>
        <v>0</v>
      </c>
      <c r="M656" s="101" t="str">
        <f>VLOOKUP(BDsurtidor!$H656,$T$4:$Y$25,6,FALSE)</f>
        <v>EPS</v>
      </c>
      <c r="N656" s="101"/>
      <c r="O656" s="125">
        <v>0</v>
      </c>
      <c r="P656" s="126">
        <v>0.3298611111111111</v>
      </c>
      <c r="Q656" s="334" t="s">
        <v>574</v>
      </c>
    </row>
    <row r="657" spans="2:17" x14ac:dyDescent="0.25">
      <c r="B657">
        <f>WEEKNUM(BSURTIDOR[[#This Row],[FECHA]])</f>
        <v>15</v>
      </c>
      <c r="C657">
        <f>MONTH(BSURTIDOR[[#This Row],[FECHA]])</f>
        <v>4</v>
      </c>
      <c r="D657">
        <f>YEAR(BSURTIDOR[[#This Row],[FECHA]])</f>
        <v>2026</v>
      </c>
      <c r="E657" s="124">
        <v>46118</v>
      </c>
      <c r="F657" s="411" t="s">
        <v>548</v>
      </c>
      <c r="G657" s="123">
        <v>4</v>
      </c>
      <c r="H657" s="123" t="s">
        <v>95</v>
      </c>
      <c r="I657" s="101" t="str">
        <f>VLOOKUP(BDsurtidor!$H657,$T$4:$W$18,2,FALSE)</f>
        <v>CISTERNA</v>
      </c>
      <c r="J657" s="101">
        <f>VLOOKUP(BDsurtidor!$H657,$T$4:$W$25,3,FALSE)</f>
        <v>2500</v>
      </c>
      <c r="K657" s="101">
        <f>VLOOKUP(BDsurtidor!$H657,$T$4:$W$25,4,FALSE)</f>
        <v>9</v>
      </c>
      <c r="L657" s="101">
        <f>VLOOKUP(BDsurtidor!$H657,$T$4:$X$25,5,FALSE)</f>
        <v>0.22</v>
      </c>
      <c r="M657" s="101" t="str">
        <f>VLOOKUP(BDsurtidor!$H657,$T$4:$Y$25,6,FALSE)</f>
        <v>EPS</v>
      </c>
      <c r="N657" s="101"/>
      <c r="O657" s="125">
        <v>0</v>
      </c>
      <c r="P657" s="126">
        <v>0.34722222222222221</v>
      </c>
      <c r="Q657" s="334" t="s">
        <v>574</v>
      </c>
    </row>
    <row r="658" spans="2:17" x14ac:dyDescent="0.25">
      <c r="B658">
        <f>WEEKNUM(BSURTIDOR[[#This Row],[FECHA]])</f>
        <v>15</v>
      </c>
      <c r="C658">
        <f>MONTH(BSURTIDOR[[#This Row],[FECHA]])</f>
        <v>4</v>
      </c>
      <c r="D658">
        <f>YEAR(BSURTIDOR[[#This Row],[FECHA]])</f>
        <v>2026</v>
      </c>
      <c r="E658" s="124">
        <v>46118</v>
      </c>
      <c r="F658" s="382" t="s">
        <v>548</v>
      </c>
      <c r="G658" s="123">
        <v>5</v>
      </c>
      <c r="H658" s="123" t="s">
        <v>87</v>
      </c>
      <c r="I658" s="101" t="str">
        <f>VLOOKUP(BDsurtidor!$H658,$T$4:$W$18,2,FALSE)</f>
        <v>CISTERNA</v>
      </c>
      <c r="J658" s="101">
        <f>VLOOKUP(BDsurtidor!$H658,$T$4:$W$25,3,FALSE)</f>
        <v>5000</v>
      </c>
      <c r="K658" s="101">
        <f>VLOOKUP(BDsurtidor!$H658,$T$4:$W$25,4,FALSE)</f>
        <v>17</v>
      </c>
      <c r="L658" s="101">
        <f>VLOOKUP(BDsurtidor!$H658,$T$4:$X$25,5,FALSE)</f>
        <v>0.4</v>
      </c>
      <c r="M658" s="101" t="str">
        <f>VLOOKUP(BDsurtidor!$H658,$T$4:$Y$25,6,FALSE)</f>
        <v>EPS</v>
      </c>
      <c r="N658" s="101">
        <v>0</v>
      </c>
      <c r="O658" s="125">
        <v>1.56</v>
      </c>
      <c r="P658" s="126">
        <v>0.40277777777777779</v>
      </c>
      <c r="Q658" s="334" t="s">
        <v>574</v>
      </c>
    </row>
    <row r="659" spans="2:17" x14ac:dyDescent="0.25">
      <c r="B659">
        <f>WEEKNUM(BSURTIDOR[[#This Row],[FECHA]])</f>
        <v>15</v>
      </c>
      <c r="C659">
        <f>MONTH(BSURTIDOR[[#This Row],[FECHA]])</f>
        <v>4</v>
      </c>
      <c r="D659">
        <f>YEAR(BSURTIDOR[[#This Row],[FECHA]])</f>
        <v>2026</v>
      </c>
      <c r="E659" s="124">
        <v>46118</v>
      </c>
      <c r="F659" s="382" t="s">
        <v>548</v>
      </c>
      <c r="G659" s="123">
        <v>6</v>
      </c>
      <c r="H659" s="123" t="s">
        <v>99</v>
      </c>
      <c r="I659" s="101" t="str">
        <f>VLOOKUP(BDsurtidor!$H659,$T$4:$W$18,2,FALSE)</f>
        <v>CISTERNA</v>
      </c>
      <c r="J659" s="101">
        <f>VLOOKUP(BDsurtidor!$H659,$T$4:$W$25,3,FALSE)</f>
        <v>5000</v>
      </c>
      <c r="K659" s="101">
        <f>VLOOKUP(BDsurtidor!$H659,$T$4:$W$25,4,FALSE)</f>
        <v>17</v>
      </c>
      <c r="L659" s="101">
        <f>VLOOKUP(BDsurtidor!$H659,$T$4:$X$25,5,FALSE)</f>
        <v>0.4</v>
      </c>
      <c r="M659" s="101" t="str">
        <f>VLOOKUP(BDsurtidor!$H659,$T$4:$Y$25,6,FALSE)</f>
        <v>EPS</v>
      </c>
      <c r="N659" s="101">
        <v>0</v>
      </c>
      <c r="O659" s="125">
        <v>1.64</v>
      </c>
      <c r="P659" s="126">
        <v>0.43263888888888891</v>
      </c>
      <c r="Q659" s="334" t="s">
        <v>574</v>
      </c>
    </row>
    <row r="660" spans="2:17" x14ac:dyDescent="0.25">
      <c r="B660">
        <f>WEEKNUM(BSURTIDOR[[#This Row],[FECHA]])</f>
        <v>15</v>
      </c>
      <c r="C660">
        <f>MONTH(BSURTIDOR[[#This Row],[FECHA]])</f>
        <v>4</v>
      </c>
      <c r="D660">
        <f>YEAR(BSURTIDOR[[#This Row],[FECHA]])</f>
        <v>2026</v>
      </c>
      <c r="E660" s="124">
        <v>46118</v>
      </c>
      <c r="F660" s="411" t="s">
        <v>548</v>
      </c>
      <c r="G660" s="123">
        <v>7</v>
      </c>
      <c r="H660" s="123" t="s">
        <v>87</v>
      </c>
      <c r="I660" s="101" t="str">
        <f>VLOOKUP(BDsurtidor!$H660,$T$4:$W$18,2,FALSE)</f>
        <v>CISTERNA</v>
      </c>
      <c r="J660" s="101">
        <f>VLOOKUP(BDsurtidor!$H660,$T$4:$W$25,3,FALSE)</f>
        <v>5000</v>
      </c>
      <c r="K660" s="101">
        <f>VLOOKUP(BDsurtidor!$H660,$T$4:$W$25,4,FALSE)</f>
        <v>17</v>
      </c>
      <c r="L660" s="101">
        <f>VLOOKUP(BDsurtidor!$H660,$T$4:$X$25,5,FALSE)</f>
        <v>0.4</v>
      </c>
      <c r="M660" s="101" t="str">
        <f>VLOOKUP(BDsurtidor!$H660,$T$4:$Y$25,6,FALSE)</f>
        <v>EPS</v>
      </c>
      <c r="N660" s="101">
        <v>0</v>
      </c>
      <c r="O660" s="125">
        <v>1.61</v>
      </c>
      <c r="P660" s="126">
        <v>0.52916666666666667</v>
      </c>
      <c r="Q660" s="334" t="s">
        <v>574</v>
      </c>
    </row>
    <row r="661" spans="2:17" x14ac:dyDescent="0.25">
      <c r="B661">
        <f>WEEKNUM(BSURTIDOR[[#This Row],[FECHA]])</f>
        <v>15</v>
      </c>
      <c r="C661">
        <f>MONTH(BSURTIDOR[[#This Row],[FECHA]])</f>
        <v>4</v>
      </c>
      <c r="D661">
        <f>YEAR(BSURTIDOR[[#This Row],[FECHA]])</f>
        <v>2026</v>
      </c>
      <c r="E661" s="124">
        <v>46119</v>
      </c>
      <c r="F661" s="382" t="s">
        <v>548</v>
      </c>
      <c r="G661" s="123">
        <v>1</v>
      </c>
      <c r="H661" s="123" t="s">
        <v>99</v>
      </c>
      <c r="I661" s="101" t="str">
        <f>VLOOKUP(BDsurtidor!$H661,$T$4:$W$18,2,FALSE)</f>
        <v>CISTERNA</v>
      </c>
      <c r="J661" s="101">
        <f>VLOOKUP(BDsurtidor!$H661,$T$4:$W$25,3,FALSE)</f>
        <v>5000</v>
      </c>
      <c r="K661" s="101">
        <f>VLOOKUP(BDsurtidor!$H661,$T$4:$W$25,4,FALSE)</f>
        <v>17</v>
      </c>
      <c r="L661" s="101">
        <f>VLOOKUP(BDsurtidor!$H661,$T$4:$X$25,5,FALSE)</f>
        <v>0.4</v>
      </c>
      <c r="M661" s="101" t="str">
        <f>VLOOKUP(BDsurtidor!$H661,$T$4:$Y$25,6,FALSE)</f>
        <v>EPS</v>
      </c>
      <c r="N661" s="101">
        <v>0</v>
      </c>
      <c r="O661" s="125">
        <v>1.33</v>
      </c>
      <c r="P661" s="126">
        <v>0.30972222222222223</v>
      </c>
      <c r="Q661" s="334" t="s">
        <v>574</v>
      </c>
    </row>
    <row r="662" spans="2:17" x14ac:dyDescent="0.25">
      <c r="B662">
        <f>WEEKNUM(BSURTIDOR[[#This Row],[FECHA]])</f>
        <v>15</v>
      </c>
      <c r="C662">
        <f>MONTH(BSURTIDOR[[#This Row],[FECHA]])</f>
        <v>4</v>
      </c>
      <c r="D662">
        <f>YEAR(BSURTIDOR[[#This Row],[FECHA]])</f>
        <v>2026</v>
      </c>
      <c r="E662" s="124">
        <v>46119</v>
      </c>
      <c r="F662" s="411" t="s">
        <v>548</v>
      </c>
      <c r="G662" s="123">
        <v>2</v>
      </c>
      <c r="H662" s="123" t="s">
        <v>87</v>
      </c>
      <c r="I662" s="101" t="str">
        <f>VLOOKUP(BDsurtidor!$H662,$T$4:$W$18,2,FALSE)</f>
        <v>CISTERNA</v>
      </c>
      <c r="J662" s="101">
        <f>VLOOKUP(BDsurtidor!$H662,$T$4:$W$25,3,FALSE)</f>
        <v>5000</v>
      </c>
      <c r="K662" s="101">
        <f>VLOOKUP(BDsurtidor!$H662,$T$4:$W$25,4,FALSE)</f>
        <v>17</v>
      </c>
      <c r="L662" s="101">
        <f>VLOOKUP(BDsurtidor!$H662,$T$4:$X$25,5,FALSE)</f>
        <v>0.4</v>
      </c>
      <c r="M662" s="101" t="str">
        <f>VLOOKUP(BDsurtidor!$H662,$T$4:$Y$25,6,FALSE)</f>
        <v>EPS</v>
      </c>
      <c r="N662" s="101">
        <v>0</v>
      </c>
      <c r="O662" s="125">
        <v>1.38</v>
      </c>
      <c r="P662" s="126">
        <v>0.31944444444444442</v>
      </c>
      <c r="Q662" s="334" t="s">
        <v>574</v>
      </c>
    </row>
    <row r="663" spans="2:17" x14ac:dyDescent="0.25">
      <c r="B663">
        <f>WEEKNUM(BSURTIDOR[[#This Row],[FECHA]])</f>
        <v>15</v>
      </c>
      <c r="C663">
        <f>MONTH(BSURTIDOR[[#This Row],[FECHA]])</f>
        <v>4</v>
      </c>
      <c r="D663">
        <f>YEAR(BSURTIDOR[[#This Row],[FECHA]])</f>
        <v>2026</v>
      </c>
      <c r="E663" s="124">
        <v>46119</v>
      </c>
      <c r="F663" s="382" t="s">
        <v>548</v>
      </c>
      <c r="G663" s="123">
        <v>3</v>
      </c>
      <c r="H663" s="123" t="s">
        <v>95</v>
      </c>
      <c r="I663" s="101" t="str">
        <f>VLOOKUP(BDsurtidor!$H663,$T$4:$W$18,2,FALSE)</f>
        <v>CISTERNA</v>
      </c>
      <c r="J663" s="101">
        <f>VLOOKUP(BDsurtidor!$H663,$T$4:$W$25,3,FALSE)</f>
        <v>2500</v>
      </c>
      <c r="K663" s="101">
        <f>VLOOKUP(BDsurtidor!$H663,$T$4:$W$25,4,FALSE)</f>
        <v>9</v>
      </c>
      <c r="L663" s="101">
        <f>VLOOKUP(BDsurtidor!$H663,$T$4:$X$25,5,FALSE)</f>
        <v>0.22</v>
      </c>
      <c r="M663" s="101" t="str">
        <f>VLOOKUP(BDsurtidor!$H663,$T$4:$Y$25,6,FALSE)</f>
        <v>EPS</v>
      </c>
      <c r="N663" s="101"/>
      <c r="O663" s="125">
        <v>0</v>
      </c>
      <c r="P663" s="126">
        <v>0.33124999999999999</v>
      </c>
      <c r="Q663" s="334" t="s">
        <v>574</v>
      </c>
    </row>
    <row r="664" spans="2:17" x14ac:dyDescent="0.25">
      <c r="B664">
        <f>WEEKNUM(BSURTIDOR[[#This Row],[FECHA]])</f>
        <v>15</v>
      </c>
      <c r="C664">
        <f>MONTH(BSURTIDOR[[#This Row],[FECHA]])</f>
        <v>4</v>
      </c>
      <c r="D664">
        <f>YEAR(BSURTIDOR[[#This Row],[FECHA]])</f>
        <v>2026</v>
      </c>
      <c r="E664" s="124">
        <v>46119</v>
      </c>
      <c r="F664" s="411" t="s">
        <v>548</v>
      </c>
      <c r="G664" s="123">
        <v>4</v>
      </c>
      <c r="H664" s="123" t="s">
        <v>99</v>
      </c>
      <c r="I664" s="101" t="str">
        <f>VLOOKUP(BDsurtidor!$H664,$T$4:$W$18,2,FALSE)</f>
        <v>CISTERNA</v>
      </c>
      <c r="J664" s="101">
        <f>VLOOKUP(BDsurtidor!$H664,$T$4:$W$25,3,FALSE)</f>
        <v>5000</v>
      </c>
      <c r="K664" s="101">
        <f>VLOOKUP(BDsurtidor!$H664,$T$4:$W$25,4,FALSE)</f>
        <v>17</v>
      </c>
      <c r="L664" s="101">
        <f>VLOOKUP(BDsurtidor!$H664,$T$4:$X$25,5,FALSE)</f>
        <v>0.4</v>
      </c>
      <c r="M664" s="101" t="str">
        <f>VLOOKUP(BDsurtidor!$H664,$T$4:$Y$25,6,FALSE)</f>
        <v>EPS</v>
      </c>
      <c r="N664" s="101">
        <v>0</v>
      </c>
      <c r="O664" s="125">
        <v>1.54</v>
      </c>
      <c r="P664" s="126">
        <v>0.43472222222222223</v>
      </c>
      <c r="Q664" s="334" t="s">
        <v>574</v>
      </c>
    </row>
    <row r="665" spans="2:17" x14ac:dyDescent="0.25">
      <c r="B665">
        <f>WEEKNUM(BSURTIDOR[[#This Row],[FECHA]])</f>
        <v>15</v>
      </c>
      <c r="C665">
        <f>MONTH(BSURTIDOR[[#This Row],[FECHA]])</f>
        <v>4</v>
      </c>
      <c r="D665">
        <f>YEAR(BSURTIDOR[[#This Row],[FECHA]])</f>
        <v>2026</v>
      </c>
      <c r="E665" s="124">
        <v>46119</v>
      </c>
      <c r="F665" s="382" t="s">
        <v>548</v>
      </c>
      <c r="G665" s="123">
        <v>5</v>
      </c>
      <c r="H665" s="123" t="s">
        <v>87</v>
      </c>
      <c r="I665" s="101" t="str">
        <f>VLOOKUP(BDsurtidor!$H665,$T$4:$W$18,2,FALSE)</f>
        <v>CISTERNA</v>
      </c>
      <c r="J665" s="101">
        <f>VLOOKUP(BDsurtidor!$H665,$T$4:$W$25,3,FALSE)</f>
        <v>5000</v>
      </c>
      <c r="K665" s="101">
        <f>VLOOKUP(BDsurtidor!$H665,$T$4:$W$25,4,FALSE)</f>
        <v>17</v>
      </c>
      <c r="L665" s="101">
        <f>VLOOKUP(BDsurtidor!$H665,$T$4:$X$25,5,FALSE)</f>
        <v>0.4</v>
      </c>
      <c r="M665" s="101" t="str">
        <f>VLOOKUP(BDsurtidor!$H665,$T$4:$Y$25,6,FALSE)</f>
        <v>EPS</v>
      </c>
      <c r="N665" s="101">
        <v>0</v>
      </c>
      <c r="O665" s="125">
        <v>1.57</v>
      </c>
      <c r="P665" s="126">
        <v>0.47499999999999998</v>
      </c>
      <c r="Q665" s="334" t="s">
        <v>574</v>
      </c>
    </row>
    <row r="666" spans="2:17" x14ac:dyDescent="0.25">
      <c r="B666">
        <f>WEEKNUM(BSURTIDOR[[#This Row],[FECHA]])</f>
        <v>15</v>
      </c>
      <c r="C666">
        <f>MONTH(BSURTIDOR[[#This Row],[FECHA]])</f>
        <v>4</v>
      </c>
      <c r="D666">
        <f>YEAR(BSURTIDOR[[#This Row],[FECHA]])</f>
        <v>2026</v>
      </c>
      <c r="E666" s="124">
        <v>46119</v>
      </c>
      <c r="F666" s="411" t="s">
        <v>548</v>
      </c>
      <c r="G666" s="123">
        <v>6</v>
      </c>
      <c r="H666" s="123" t="s">
        <v>95</v>
      </c>
      <c r="I666" s="101" t="str">
        <f>VLOOKUP(BDsurtidor!$H666,$T$4:$W$18,2,FALSE)</f>
        <v>CISTERNA</v>
      </c>
      <c r="J666" s="101">
        <f>VLOOKUP(BDsurtidor!$H666,$T$4:$W$25,3,FALSE)</f>
        <v>2500</v>
      </c>
      <c r="K666" s="101">
        <f>VLOOKUP(BDsurtidor!$H666,$T$4:$W$25,4,FALSE)</f>
        <v>9</v>
      </c>
      <c r="L666" s="101">
        <f>VLOOKUP(BDsurtidor!$H666,$T$4:$X$25,5,FALSE)</f>
        <v>0.22</v>
      </c>
      <c r="M666" s="101" t="str">
        <f>VLOOKUP(BDsurtidor!$H666,$T$4:$Y$25,6,FALSE)</f>
        <v>EPS</v>
      </c>
      <c r="N666" s="101">
        <v>0</v>
      </c>
      <c r="O666" s="125">
        <v>0</v>
      </c>
      <c r="P666" s="126">
        <v>0.53611111111111109</v>
      </c>
      <c r="Q666" s="334" t="s">
        <v>574</v>
      </c>
    </row>
    <row r="667" spans="2:17" x14ac:dyDescent="0.25">
      <c r="B667">
        <f>WEEKNUM(BSURTIDOR[[#This Row],[FECHA]])</f>
        <v>15</v>
      </c>
      <c r="C667">
        <f>MONTH(BSURTIDOR[[#This Row],[FECHA]])</f>
        <v>4</v>
      </c>
      <c r="D667">
        <f>YEAR(BSURTIDOR[[#This Row],[FECHA]])</f>
        <v>2026</v>
      </c>
      <c r="E667" s="124">
        <v>46120</v>
      </c>
      <c r="F667" s="382" t="s">
        <v>548</v>
      </c>
      <c r="G667" s="123">
        <v>1</v>
      </c>
      <c r="H667" s="123" t="s">
        <v>95</v>
      </c>
      <c r="I667" s="101" t="str">
        <f>VLOOKUP(BDsurtidor!$H667,$T$4:$W$18,2,FALSE)</f>
        <v>CISTERNA</v>
      </c>
      <c r="J667" s="101">
        <f>VLOOKUP(BDsurtidor!$H667,$T$4:$W$25,3,FALSE)</f>
        <v>2500</v>
      </c>
      <c r="K667" s="101">
        <f>VLOOKUP(BDsurtidor!$H667,$T$4:$W$25,4,FALSE)</f>
        <v>9</v>
      </c>
      <c r="L667" s="101">
        <f>VLOOKUP(BDsurtidor!$H667,$T$4:$X$25,5,FALSE)</f>
        <v>0.22</v>
      </c>
      <c r="M667" s="101" t="str">
        <f>VLOOKUP(BDsurtidor!$H667,$T$4:$Y$25,6,FALSE)</f>
        <v>EPS</v>
      </c>
      <c r="N667" s="101">
        <v>0</v>
      </c>
      <c r="O667" s="125">
        <v>0</v>
      </c>
      <c r="P667" s="126">
        <v>0.27986111111111112</v>
      </c>
      <c r="Q667" s="334" t="s">
        <v>574</v>
      </c>
    </row>
    <row r="668" spans="2:17" x14ac:dyDescent="0.25">
      <c r="B668">
        <f>WEEKNUM(BSURTIDOR[[#This Row],[FECHA]])</f>
        <v>15</v>
      </c>
      <c r="C668">
        <f>MONTH(BSURTIDOR[[#This Row],[FECHA]])</f>
        <v>4</v>
      </c>
      <c r="D668">
        <f>YEAR(BSURTIDOR[[#This Row],[FECHA]])</f>
        <v>2026</v>
      </c>
      <c r="E668" s="124">
        <v>46120</v>
      </c>
      <c r="F668" s="411" t="s">
        <v>548</v>
      </c>
      <c r="G668" s="123">
        <v>2</v>
      </c>
      <c r="H668" s="123" t="s">
        <v>99</v>
      </c>
      <c r="I668" s="101" t="str">
        <f>VLOOKUP(BDsurtidor!$H668,$T$4:$W$18,2,FALSE)</f>
        <v>CISTERNA</v>
      </c>
      <c r="J668" s="101">
        <f>VLOOKUP(BDsurtidor!$H668,$T$4:$W$25,3,FALSE)</f>
        <v>5000</v>
      </c>
      <c r="K668" s="101">
        <f>VLOOKUP(BDsurtidor!$H668,$T$4:$W$25,4,FALSE)</f>
        <v>17</v>
      </c>
      <c r="L668" s="101">
        <f>VLOOKUP(BDsurtidor!$H668,$T$4:$X$25,5,FALSE)</f>
        <v>0.4</v>
      </c>
      <c r="M668" s="101" t="str">
        <f>VLOOKUP(BDsurtidor!$H668,$T$4:$Y$25,6,FALSE)</f>
        <v>EPS</v>
      </c>
      <c r="N668" s="101">
        <v>0</v>
      </c>
      <c r="O668" s="125">
        <v>1.0900000000000001</v>
      </c>
      <c r="P668" s="126">
        <v>0.31666666666666665</v>
      </c>
      <c r="Q668" s="334" t="s">
        <v>574</v>
      </c>
    </row>
    <row r="669" spans="2:17" x14ac:dyDescent="0.25">
      <c r="B669">
        <f>WEEKNUM(BSURTIDOR[[#This Row],[FECHA]])</f>
        <v>15</v>
      </c>
      <c r="C669">
        <f>MONTH(BSURTIDOR[[#This Row],[FECHA]])</f>
        <v>4</v>
      </c>
      <c r="D669">
        <f>YEAR(BSURTIDOR[[#This Row],[FECHA]])</f>
        <v>2026</v>
      </c>
      <c r="E669" s="124">
        <v>46120</v>
      </c>
      <c r="F669" s="382" t="s">
        <v>548</v>
      </c>
      <c r="G669" s="123">
        <v>3</v>
      </c>
      <c r="H669" s="123" t="s">
        <v>87</v>
      </c>
      <c r="I669" s="101" t="str">
        <f>VLOOKUP(BDsurtidor!$H669,$T$4:$W$18,2,FALSE)</f>
        <v>CISTERNA</v>
      </c>
      <c r="J669" s="101">
        <f>VLOOKUP(BDsurtidor!$H669,$T$4:$W$25,3,FALSE)</f>
        <v>5000</v>
      </c>
      <c r="K669" s="101">
        <f>VLOOKUP(BDsurtidor!$H669,$T$4:$W$25,4,FALSE)</f>
        <v>17</v>
      </c>
      <c r="L669" s="101">
        <f>VLOOKUP(BDsurtidor!$H669,$T$4:$X$25,5,FALSE)</f>
        <v>0.4</v>
      </c>
      <c r="M669" s="101" t="str">
        <f>VLOOKUP(BDsurtidor!$H669,$T$4:$Y$25,6,FALSE)</f>
        <v>EPS</v>
      </c>
      <c r="N669" s="101">
        <v>0</v>
      </c>
      <c r="O669" s="125">
        <v>1.1100000000000001</v>
      </c>
      <c r="P669" s="126">
        <v>0.3263888888888889</v>
      </c>
      <c r="Q669" s="334" t="s">
        <v>574</v>
      </c>
    </row>
    <row r="670" spans="2:17" x14ac:dyDescent="0.25">
      <c r="B670">
        <f>WEEKNUM(BSURTIDOR[[#This Row],[FECHA]])</f>
        <v>15</v>
      </c>
      <c r="C670">
        <f>MONTH(BSURTIDOR[[#This Row],[FECHA]])</f>
        <v>4</v>
      </c>
      <c r="D670">
        <f>YEAR(BSURTIDOR[[#This Row],[FECHA]])</f>
        <v>2026</v>
      </c>
      <c r="E670" s="124">
        <v>46120</v>
      </c>
      <c r="F670" s="411" t="s">
        <v>548</v>
      </c>
      <c r="G670" s="123">
        <v>4</v>
      </c>
      <c r="H670" s="123" t="s">
        <v>87</v>
      </c>
      <c r="I670" s="101" t="str">
        <f>VLOOKUP(BDsurtidor!$H670,$T$4:$W$18,2,FALSE)</f>
        <v>CISTERNA</v>
      </c>
      <c r="J670" s="101">
        <f>VLOOKUP(BDsurtidor!$H670,$T$4:$W$25,3,FALSE)</f>
        <v>5000</v>
      </c>
      <c r="K670" s="101">
        <f>VLOOKUP(BDsurtidor!$H670,$T$4:$W$25,4,FALSE)</f>
        <v>17</v>
      </c>
      <c r="L670" s="101">
        <f>VLOOKUP(BDsurtidor!$H670,$T$4:$X$25,5,FALSE)</f>
        <v>0.4</v>
      </c>
      <c r="M670" s="101" t="str">
        <f>VLOOKUP(BDsurtidor!$H670,$T$4:$Y$25,6,FALSE)</f>
        <v>EPS</v>
      </c>
      <c r="N670" s="101">
        <v>0</v>
      </c>
      <c r="O670" s="125">
        <v>1.07</v>
      </c>
      <c r="P670" s="126">
        <v>0.40138888888888891</v>
      </c>
      <c r="Q670" s="334" t="s">
        <v>574</v>
      </c>
    </row>
    <row r="671" spans="2:17" x14ac:dyDescent="0.25">
      <c r="B671">
        <f>WEEKNUM(BSURTIDOR[[#This Row],[FECHA]])</f>
        <v>15</v>
      </c>
      <c r="C671">
        <f>MONTH(BSURTIDOR[[#This Row],[FECHA]])</f>
        <v>4</v>
      </c>
      <c r="D671">
        <f>YEAR(BSURTIDOR[[#This Row],[FECHA]])</f>
        <v>2026</v>
      </c>
      <c r="E671" s="124">
        <v>46120</v>
      </c>
      <c r="F671" s="382" t="s">
        <v>548</v>
      </c>
      <c r="G671" s="123">
        <v>5</v>
      </c>
      <c r="H671" s="123" t="s">
        <v>99</v>
      </c>
      <c r="I671" s="101" t="str">
        <f>VLOOKUP(BDsurtidor!$H671,$T$4:$W$18,2,FALSE)</f>
        <v>CISTERNA</v>
      </c>
      <c r="J671" s="101">
        <f>VLOOKUP(BDsurtidor!$H671,$T$4:$W$25,3,FALSE)</f>
        <v>5000</v>
      </c>
      <c r="K671" s="101">
        <f>VLOOKUP(BDsurtidor!$H671,$T$4:$W$25,4,FALSE)</f>
        <v>17</v>
      </c>
      <c r="L671" s="101">
        <f>VLOOKUP(BDsurtidor!$H671,$T$4:$X$25,5,FALSE)</f>
        <v>0.4</v>
      </c>
      <c r="M671" s="101" t="str">
        <f>VLOOKUP(BDsurtidor!$H671,$T$4:$Y$25,6,FALSE)</f>
        <v>EPS</v>
      </c>
      <c r="N671" s="101">
        <v>0</v>
      </c>
      <c r="O671" s="125">
        <v>1.1200000000000001</v>
      </c>
      <c r="P671" s="126">
        <v>0.48958333333333331</v>
      </c>
      <c r="Q671" s="334" t="s">
        <v>574</v>
      </c>
    </row>
    <row r="672" spans="2:17" x14ac:dyDescent="0.25">
      <c r="B672">
        <f>WEEKNUM(BSURTIDOR[[#This Row],[FECHA]])</f>
        <v>15</v>
      </c>
      <c r="C672">
        <f>MONTH(BSURTIDOR[[#This Row],[FECHA]])</f>
        <v>4</v>
      </c>
      <c r="D672">
        <f>YEAR(BSURTIDOR[[#This Row],[FECHA]])</f>
        <v>2026</v>
      </c>
      <c r="E672" s="124">
        <v>46120</v>
      </c>
      <c r="F672" s="411" t="s">
        <v>548</v>
      </c>
      <c r="G672" s="123">
        <v>6</v>
      </c>
      <c r="H672" s="123" t="s">
        <v>87</v>
      </c>
      <c r="I672" s="101" t="str">
        <f>VLOOKUP(BDsurtidor!$H672,$T$4:$W$18,2,FALSE)</f>
        <v>CISTERNA</v>
      </c>
      <c r="J672" s="101">
        <f>VLOOKUP(BDsurtidor!$H672,$T$4:$W$25,3,FALSE)</f>
        <v>5000</v>
      </c>
      <c r="K672" s="101">
        <f>VLOOKUP(BDsurtidor!$H672,$T$4:$W$25,4,FALSE)</f>
        <v>17</v>
      </c>
      <c r="L672" s="101">
        <f>VLOOKUP(BDsurtidor!$H672,$T$4:$X$25,5,FALSE)</f>
        <v>0.4</v>
      </c>
      <c r="M672" s="101" t="str">
        <f>VLOOKUP(BDsurtidor!$H672,$T$4:$Y$25,6,FALSE)</f>
        <v>EPS</v>
      </c>
      <c r="N672" s="101">
        <v>0</v>
      </c>
      <c r="O672" s="125">
        <v>1.1000000000000001</v>
      </c>
      <c r="P672" s="126">
        <v>0.52986111111111112</v>
      </c>
      <c r="Q672" s="334" t="s">
        <v>574</v>
      </c>
    </row>
    <row r="673" spans="2:17" x14ac:dyDescent="0.25">
      <c r="B673">
        <f>WEEKNUM(BSURTIDOR[[#This Row],[FECHA]])</f>
        <v>15</v>
      </c>
      <c r="C673">
        <f>MONTH(BSURTIDOR[[#This Row],[FECHA]])</f>
        <v>4</v>
      </c>
      <c r="D673">
        <f>YEAR(BSURTIDOR[[#This Row],[FECHA]])</f>
        <v>2026</v>
      </c>
      <c r="E673" s="124">
        <v>46120</v>
      </c>
      <c r="F673" s="382" t="s">
        <v>548</v>
      </c>
      <c r="G673" s="123">
        <v>7</v>
      </c>
      <c r="H673" s="123" t="s">
        <v>95</v>
      </c>
      <c r="I673" s="101" t="str">
        <f>VLOOKUP(BDsurtidor!$H673,$T$4:$W$18,2,FALSE)</f>
        <v>CISTERNA</v>
      </c>
      <c r="J673" s="101">
        <f>VLOOKUP(BDsurtidor!$H673,$T$4:$W$25,3,FALSE)</f>
        <v>2500</v>
      </c>
      <c r="K673" s="101">
        <f>VLOOKUP(BDsurtidor!$H673,$T$4:$W$25,4,FALSE)</f>
        <v>9</v>
      </c>
      <c r="L673" s="101">
        <f>VLOOKUP(BDsurtidor!$H673,$T$4:$X$25,5,FALSE)</f>
        <v>0.22</v>
      </c>
      <c r="M673" s="101" t="str">
        <f>VLOOKUP(BDsurtidor!$H673,$T$4:$Y$25,6,FALSE)</f>
        <v>EPS</v>
      </c>
      <c r="N673" s="101">
        <v>0</v>
      </c>
      <c r="O673" s="125">
        <v>0</v>
      </c>
      <c r="P673" s="126">
        <v>0.63402777777777775</v>
      </c>
      <c r="Q673" s="334" t="s">
        <v>574</v>
      </c>
    </row>
    <row r="674" spans="2:17" x14ac:dyDescent="0.25">
      <c r="B674">
        <f>WEEKNUM(BSURTIDOR[[#This Row],[FECHA]])</f>
        <v>15</v>
      </c>
      <c r="C674">
        <f>MONTH(BSURTIDOR[[#This Row],[FECHA]])</f>
        <v>4</v>
      </c>
      <c r="D674">
        <f>YEAR(BSURTIDOR[[#This Row],[FECHA]])</f>
        <v>2026</v>
      </c>
      <c r="E674" s="124">
        <v>46121</v>
      </c>
      <c r="F674" s="382" t="s">
        <v>548</v>
      </c>
      <c r="G674" s="123">
        <v>1</v>
      </c>
      <c r="H674" s="123" t="s">
        <v>99</v>
      </c>
      <c r="I674" s="101" t="str">
        <f>VLOOKUP(BDsurtidor!$H674,$T$4:$W$18,2,FALSE)</f>
        <v>CISTERNA</v>
      </c>
      <c r="J674" s="101">
        <f>VLOOKUP(BDsurtidor!$H674,$T$4:$W$25,3,FALSE)</f>
        <v>5000</v>
      </c>
      <c r="K674" s="101">
        <f>VLOOKUP(BDsurtidor!$H674,$T$4:$W$25,4,FALSE)</f>
        <v>17</v>
      </c>
      <c r="L674" s="101">
        <f>VLOOKUP(BDsurtidor!$H674,$T$4:$X$25,5,FALSE)</f>
        <v>0.4</v>
      </c>
      <c r="M674" s="101" t="str">
        <f>VLOOKUP(BDsurtidor!$H674,$T$4:$Y$25,6,FALSE)</f>
        <v>EPS</v>
      </c>
      <c r="N674" s="101">
        <v>0</v>
      </c>
      <c r="O674" s="125">
        <v>1.0900000000000001</v>
      </c>
      <c r="P674" s="126">
        <v>0.31736111111111109</v>
      </c>
      <c r="Q674" s="334" t="s">
        <v>574</v>
      </c>
    </row>
    <row r="675" spans="2:17" x14ac:dyDescent="0.25">
      <c r="B675">
        <f>WEEKNUM(BSURTIDOR[[#This Row],[FECHA]])</f>
        <v>15</v>
      </c>
      <c r="C675">
        <f>MONTH(BSURTIDOR[[#This Row],[FECHA]])</f>
        <v>4</v>
      </c>
      <c r="D675">
        <f>YEAR(BSURTIDOR[[#This Row],[FECHA]])</f>
        <v>2026</v>
      </c>
      <c r="E675" s="124">
        <v>46121</v>
      </c>
      <c r="F675" s="411" t="s">
        <v>548</v>
      </c>
      <c r="G675" s="123">
        <v>2</v>
      </c>
      <c r="H675" s="123" t="s">
        <v>87</v>
      </c>
      <c r="I675" s="101" t="str">
        <f>VLOOKUP(BDsurtidor!$H675,$T$4:$W$18,2,FALSE)</f>
        <v>CISTERNA</v>
      </c>
      <c r="J675" s="101">
        <f>VLOOKUP(BDsurtidor!$H675,$T$4:$W$25,3,FALSE)</f>
        <v>5000</v>
      </c>
      <c r="K675" s="101">
        <f>VLOOKUP(BDsurtidor!$H675,$T$4:$W$25,4,FALSE)</f>
        <v>17</v>
      </c>
      <c r="L675" s="101">
        <f>VLOOKUP(BDsurtidor!$H675,$T$4:$X$25,5,FALSE)</f>
        <v>0.4</v>
      </c>
      <c r="M675" s="101" t="str">
        <f>VLOOKUP(BDsurtidor!$H675,$T$4:$Y$25,6,FALSE)</f>
        <v>EPS</v>
      </c>
      <c r="N675" s="101">
        <v>0</v>
      </c>
      <c r="O675" s="125">
        <v>1.1100000000000001</v>
      </c>
      <c r="P675" s="126">
        <v>0.32777777777777778</v>
      </c>
      <c r="Q675" s="334" t="s">
        <v>574</v>
      </c>
    </row>
    <row r="676" spans="2:17" x14ac:dyDescent="0.25">
      <c r="B676">
        <f>WEEKNUM(BSURTIDOR[[#This Row],[FECHA]])</f>
        <v>15</v>
      </c>
      <c r="C676">
        <f>MONTH(BSURTIDOR[[#This Row],[FECHA]])</f>
        <v>4</v>
      </c>
      <c r="D676">
        <f>YEAR(BSURTIDOR[[#This Row],[FECHA]])</f>
        <v>2026</v>
      </c>
      <c r="E676" s="124">
        <v>46121</v>
      </c>
      <c r="F676" s="382" t="s">
        <v>548</v>
      </c>
      <c r="G676" s="123">
        <v>3</v>
      </c>
      <c r="H676" s="123" t="s">
        <v>95</v>
      </c>
      <c r="I676" s="101" t="str">
        <f>VLOOKUP(BDsurtidor!$H676,$T$4:$W$18,2,FALSE)</f>
        <v>CISTERNA</v>
      </c>
      <c r="J676" s="101">
        <f>VLOOKUP(BDsurtidor!$H676,$T$4:$W$25,3,FALSE)</f>
        <v>2500</v>
      </c>
      <c r="K676" s="101">
        <f>VLOOKUP(BDsurtidor!$H676,$T$4:$W$25,4,FALSE)</f>
        <v>9</v>
      </c>
      <c r="L676" s="101">
        <f>VLOOKUP(BDsurtidor!$H676,$T$4:$X$25,5,FALSE)</f>
        <v>0.22</v>
      </c>
      <c r="M676" s="101" t="str">
        <f>VLOOKUP(BDsurtidor!$H676,$T$4:$Y$25,6,FALSE)</f>
        <v>EPS</v>
      </c>
      <c r="N676" s="101">
        <v>0</v>
      </c>
      <c r="O676" s="125">
        <v>0</v>
      </c>
      <c r="P676" s="126">
        <v>0.33680555555555558</v>
      </c>
      <c r="Q676" s="334" t="s">
        <v>574</v>
      </c>
    </row>
    <row r="677" spans="2:17" x14ac:dyDescent="0.25">
      <c r="B677">
        <f>WEEKNUM(BSURTIDOR[[#This Row],[FECHA]])</f>
        <v>15</v>
      </c>
      <c r="C677">
        <f>MONTH(BSURTIDOR[[#This Row],[FECHA]])</f>
        <v>4</v>
      </c>
      <c r="D677">
        <f>YEAR(BSURTIDOR[[#This Row],[FECHA]])</f>
        <v>2026</v>
      </c>
      <c r="E677" s="124">
        <v>46121</v>
      </c>
      <c r="F677" s="382" t="s">
        <v>548</v>
      </c>
      <c r="G677" s="123">
        <v>4</v>
      </c>
      <c r="H677" s="123" t="s">
        <v>99</v>
      </c>
      <c r="I677" s="101" t="str">
        <f>VLOOKUP(BDsurtidor!$H677,$T$4:$W$18,2,FALSE)</f>
        <v>CISTERNA</v>
      </c>
      <c r="J677" s="101">
        <f>VLOOKUP(BDsurtidor!$H677,$T$4:$W$25,3,FALSE)</f>
        <v>5000</v>
      </c>
      <c r="K677" s="101">
        <f>VLOOKUP(BDsurtidor!$H677,$T$4:$W$25,4,FALSE)</f>
        <v>17</v>
      </c>
      <c r="L677" s="101">
        <f>VLOOKUP(BDsurtidor!$H677,$T$4:$X$25,5,FALSE)</f>
        <v>0.4</v>
      </c>
      <c r="M677" s="101" t="str">
        <f>VLOOKUP(BDsurtidor!$H677,$T$4:$Y$25,6,FALSE)</f>
        <v>EPS</v>
      </c>
      <c r="N677" s="101">
        <v>0</v>
      </c>
      <c r="O677" s="125">
        <v>1.0900000000000001</v>
      </c>
      <c r="P677" s="126">
        <v>0.44444444444444442</v>
      </c>
      <c r="Q677" s="334" t="s">
        <v>574</v>
      </c>
    </row>
    <row r="678" spans="2:17" x14ac:dyDescent="0.25">
      <c r="B678">
        <f>WEEKNUM(BSURTIDOR[[#This Row],[FECHA]])</f>
        <v>15</v>
      </c>
      <c r="C678">
        <f>MONTH(BSURTIDOR[[#This Row],[FECHA]])</f>
        <v>4</v>
      </c>
      <c r="D678">
        <f>YEAR(BSURTIDOR[[#This Row],[FECHA]])</f>
        <v>2026</v>
      </c>
      <c r="E678" s="124">
        <v>46121</v>
      </c>
      <c r="F678" s="411" t="s">
        <v>548</v>
      </c>
      <c r="G678" s="123">
        <v>5</v>
      </c>
      <c r="H678" s="123" t="s">
        <v>95</v>
      </c>
      <c r="I678" s="101" t="str">
        <f>VLOOKUP(BDsurtidor!$H678,$T$4:$W$18,2,FALSE)</f>
        <v>CISTERNA</v>
      </c>
      <c r="J678" s="101">
        <f>VLOOKUP(BDsurtidor!$H678,$T$4:$W$25,3,FALSE)</f>
        <v>2500</v>
      </c>
      <c r="K678" s="101">
        <f>VLOOKUP(BDsurtidor!$H678,$T$4:$W$25,4,FALSE)</f>
        <v>9</v>
      </c>
      <c r="L678" s="101">
        <f>VLOOKUP(BDsurtidor!$H678,$T$4:$X$25,5,FALSE)</f>
        <v>0.22</v>
      </c>
      <c r="M678" s="101" t="str">
        <f>VLOOKUP(BDsurtidor!$H678,$T$4:$Y$25,6,FALSE)</f>
        <v>EPS</v>
      </c>
      <c r="N678" s="101">
        <v>0</v>
      </c>
      <c r="O678" s="125">
        <v>0</v>
      </c>
      <c r="P678" s="126">
        <v>0.46388888888888891</v>
      </c>
      <c r="Q678" s="334" t="s">
        <v>574</v>
      </c>
    </row>
    <row r="679" spans="2:17" x14ac:dyDescent="0.25">
      <c r="B679">
        <f>WEEKNUM(BSURTIDOR[[#This Row],[FECHA]])</f>
        <v>15</v>
      </c>
      <c r="C679">
        <f>MONTH(BSURTIDOR[[#This Row],[FECHA]])</f>
        <v>4</v>
      </c>
      <c r="D679">
        <f>YEAR(BSURTIDOR[[#This Row],[FECHA]])</f>
        <v>2026</v>
      </c>
      <c r="E679" s="124">
        <v>46121</v>
      </c>
      <c r="F679" s="382" t="s">
        <v>548</v>
      </c>
      <c r="G679" s="123">
        <v>6</v>
      </c>
      <c r="H679" s="123" t="s">
        <v>87</v>
      </c>
      <c r="I679" s="101" t="str">
        <f>VLOOKUP(BDsurtidor!$H679,$T$4:$W$18,2,FALSE)</f>
        <v>CISTERNA</v>
      </c>
      <c r="J679" s="101">
        <f>VLOOKUP(BDsurtidor!$H679,$T$4:$W$25,3,FALSE)</f>
        <v>5000</v>
      </c>
      <c r="K679" s="101">
        <f>VLOOKUP(BDsurtidor!$H679,$T$4:$W$25,4,FALSE)</f>
        <v>17</v>
      </c>
      <c r="L679" s="101">
        <f>VLOOKUP(BDsurtidor!$H679,$T$4:$X$25,5,FALSE)</f>
        <v>0.4</v>
      </c>
      <c r="M679" s="101" t="str">
        <f>VLOOKUP(BDsurtidor!$H679,$T$4:$Y$25,6,FALSE)</f>
        <v>EPS</v>
      </c>
      <c r="N679" s="101">
        <v>0</v>
      </c>
      <c r="O679" s="125">
        <v>1.06</v>
      </c>
      <c r="P679" s="126">
        <v>0.50972222222222219</v>
      </c>
      <c r="Q679" s="334" t="s">
        <v>574</v>
      </c>
    </row>
    <row r="680" spans="2:17" x14ac:dyDescent="0.25">
      <c r="B680">
        <f>WEEKNUM(BSURTIDOR[[#This Row],[FECHA]])</f>
        <v>15</v>
      </c>
      <c r="C680">
        <f>MONTH(BSURTIDOR[[#This Row],[FECHA]])</f>
        <v>4</v>
      </c>
      <c r="D680">
        <f>YEAR(BSURTIDOR[[#This Row],[FECHA]])</f>
        <v>2026</v>
      </c>
      <c r="E680" s="124">
        <v>46122</v>
      </c>
      <c r="F680" s="382" t="s">
        <v>548</v>
      </c>
      <c r="G680" s="123">
        <v>1</v>
      </c>
      <c r="H680" s="123" t="s">
        <v>99</v>
      </c>
      <c r="I680" s="101" t="str">
        <f>VLOOKUP(BDsurtidor!$H680,$T$4:$W$18,2,FALSE)</f>
        <v>CISTERNA</v>
      </c>
      <c r="J680" s="101">
        <f>VLOOKUP(BDsurtidor!$H680,$T$4:$W$25,3,FALSE)</f>
        <v>5000</v>
      </c>
      <c r="K680" s="101">
        <f>VLOOKUP(BDsurtidor!$H680,$T$4:$W$25,4,FALSE)</f>
        <v>17</v>
      </c>
      <c r="L680" s="101">
        <f>VLOOKUP(BDsurtidor!$H680,$T$4:$X$25,5,FALSE)</f>
        <v>0.4</v>
      </c>
      <c r="M680" s="101" t="str">
        <f>VLOOKUP(BDsurtidor!$H680,$T$4:$Y$25,6,FALSE)</f>
        <v>EPS</v>
      </c>
      <c r="N680" s="101">
        <v>0</v>
      </c>
      <c r="O680" s="125">
        <v>1.1000000000000001</v>
      </c>
      <c r="P680" s="126">
        <v>0.30763888888888891</v>
      </c>
      <c r="Q680" s="334" t="s">
        <v>574</v>
      </c>
    </row>
    <row r="681" spans="2:17" x14ac:dyDescent="0.25">
      <c r="B681">
        <f>WEEKNUM(BSURTIDOR[[#This Row],[FECHA]])</f>
        <v>15</v>
      </c>
      <c r="C681">
        <f>MONTH(BSURTIDOR[[#This Row],[FECHA]])</f>
        <v>4</v>
      </c>
      <c r="D681">
        <f>YEAR(BSURTIDOR[[#This Row],[FECHA]])</f>
        <v>2026</v>
      </c>
      <c r="E681" s="124">
        <v>46122</v>
      </c>
      <c r="F681" s="382" t="s">
        <v>548</v>
      </c>
      <c r="G681" s="123">
        <v>2</v>
      </c>
      <c r="H681" s="123" t="s">
        <v>87</v>
      </c>
      <c r="I681" s="101" t="str">
        <f>VLOOKUP(BDsurtidor!$H681,$T$4:$W$18,2,FALSE)</f>
        <v>CISTERNA</v>
      </c>
      <c r="J681" s="101">
        <f>VLOOKUP(BDsurtidor!$H681,$T$4:$W$25,3,FALSE)</f>
        <v>5000</v>
      </c>
      <c r="K681" s="101">
        <f>VLOOKUP(BDsurtidor!$H681,$T$4:$W$25,4,FALSE)</f>
        <v>17</v>
      </c>
      <c r="L681" s="101">
        <f>VLOOKUP(BDsurtidor!$H681,$T$4:$X$25,5,FALSE)</f>
        <v>0.4</v>
      </c>
      <c r="M681" s="101" t="str">
        <f>VLOOKUP(BDsurtidor!$H681,$T$4:$Y$25,6,FALSE)</f>
        <v>EPS</v>
      </c>
      <c r="N681" s="101">
        <v>0</v>
      </c>
      <c r="O681" s="125">
        <v>1.1100000000000001</v>
      </c>
      <c r="P681" s="126">
        <v>0.31527777777777777</v>
      </c>
      <c r="Q681" s="334" t="s">
        <v>574</v>
      </c>
    </row>
    <row r="682" spans="2:17" x14ac:dyDescent="0.25">
      <c r="B682">
        <f>WEEKNUM(BSURTIDOR[[#This Row],[FECHA]])</f>
        <v>15</v>
      </c>
      <c r="C682">
        <f>MONTH(BSURTIDOR[[#This Row],[FECHA]])</f>
        <v>4</v>
      </c>
      <c r="D682">
        <f>YEAR(BSURTIDOR[[#This Row],[FECHA]])</f>
        <v>2026</v>
      </c>
      <c r="E682" s="124">
        <v>46122</v>
      </c>
      <c r="F682" s="411" t="s">
        <v>548</v>
      </c>
      <c r="G682" s="123">
        <v>3</v>
      </c>
      <c r="H682" s="123" t="s">
        <v>99</v>
      </c>
      <c r="I682" s="101" t="str">
        <f>VLOOKUP(BDsurtidor!$H682,$T$4:$W$18,2,FALSE)</f>
        <v>CISTERNA</v>
      </c>
      <c r="J682" s="101">
        <f>VLOOKUP(BDsurtidor!$H682,$T$4:$W$25,3,FALSE)</f>
        <v>5000</v>
      </c>
      <c r="K682" s="101">
        <f>VLOOKUP(BDsurtidor!$H682,$T$4:$W$25,4,FALSE)</f>
        <v>17</v>
      </c>
      <c r="L682" s="101">
        <f>VLOOKUP(BDsurtidor!$H682,$T$4:$X$25,5,FALSE)</f>
        <v>0.4</v>
      </c>
      <c r="M682" s="101" t="str">
        <f>VLOOKUP(BDsurtidor!$H682,$T$4:$Y$25,6,FALSE)</f>
        <v>EPS</v>
      </c>
      <c r="N682" s="101">
        <v>0</v>
      </c>
      <c r="O682" s="125">
        <v>1.18</v>
      </c>
      <c r="P682" s="126">
        <v>0.40902777777777777</v>
      </c>
      <c r="Q682" s="334" t="s">
        <v>574</v>
      </c>
    </row>
    <row r="683" spans="2:17" x14ac:dyDescent="0.25">
      <c r="B683">
        <f>WEEKNUM(BSURTIDOR[[#This Row],[FECHA]])</f>
        <v>15</v>
      </c>
      <c r="C683">
        <f>MONTH(BSURTIDOR[[#This Row],[FECHA]])</f>
        <v>4</v>
      </c>
      <c r="D683">
        <f>YEAR(BSURTIDOR[[#This Row],[FECHA]])</f>
        <v>2026</v>
      </c>
      <c r="E683" s="124">
        <v>46122</v>
      </c>
      <c r="F683" s="382" t="s">
        <v>548</v>
      </c>
      <c r="G683" s="123">
        <v>4</v>
      </c>
      <c r="H683" s="123" t="s">
        <v>87</v>
      </c>
      <c r="I683" s="101" t="str">
        <f>VLOOKUP(BDsurtidor!$H683,$T$4:$W$18,2,FALSE)</f>
        <v>CISTERNA</v>
      </c>
      <c r="J683" s="101">
        <f>VLOOKUP(BDsurtidor!$H683,$T$4:$W$25,3,FALSE)</f>
        <v>5000</v>
      </c>
      <c r="K683" s="101">
        <f>VLOOKUP(BDsurtidor!$H683,$T$4:$W$25,4,FALSE)</f>
        <v>17</v>
      </c>
      <c r="L683" s="101">
        <f>VLOOKUP(BDsurtidor!$H683,$T$4:$X$25,5,FALSE)</f>
        <v>0.4</v>
      </c>
      <c r="M683" s="101" t="str">
        <f>VLOOKUP(BDsurtidor!$H683,$T$4:$Y$25,6,FALSE)</f>
        <v>EPS</v>
      </c>
      <c r="N683" s="101">
        <v>0</v>
      </c>
      <c r="O683" s="125">
        <v>1.21</v>
      </c>
      <c r="P683" s="126">
        <v>0.41736111111111113</v>
      </c>
      <c r="Q683" s="334" t="s">
        <v>574</v>
      </c>
    </row>
    <row r="684" spans="2:17" x14ac:dyDescent="0.25">
      <c r="B684">
        <f>WEEKNUM(BSURTIDOR[[#This Row],[FECHA]])</f>
        <v>15</v>
      </c>
      <c r="C684">
        <f>MONTH(BSURTIDOR[[#This Row],[FECHA]])</f>
        <v>4</v>
      </c>
      <c r="D684">
        <f>YEAR(BSURTIDOR[[#This Row],[FECHA]])</f>
        <v>2026</v>
      </c>
      <c r="E684" s="124">
        <v>46122</v>
      </c>
      <c r="F684" s="382" t="s">
        <v>548</v>
      </c>
      <c r="G684" s="123">
        <v>5</v>
      </c>
      <c r="H684" s="123" t="s">
        <v>99</v>
      </c>
      <c r="I684" s="101" t="str">
        <f>VLOOKUP(BDsurtidor!$H684,$T$4:$W$18,2,FALSE)</f>
        <v>CISTERNA</v>
      </c>
      <c r="J684" s="101">
        <f>VLOOKUP(BDsurtidor!$H684,$T$4:$W$25,3,FALSE)</f>
        <v>5000</v>
      </c>
      <c r="K684" s="101">
        <f>VLOOKUP(BDsurtidor!$H684,$T$4:$W$25,4,FALSE)</f>
        <v>17</v>
      </c>
      <c r="L684" s="101">
        <f>VLOOKUP(BDsurtidor!$H684,$T$4:$X$25,5,FALSE)</f>
        <v>0.4</v>
      </c>
      <c r="M684" s="101" t="str">
        <f>VLOOKUP(BDsurtidor!$H684,$T$4:$Y$25,6,FALSE)</f>
        <v>EPS</v>
      </c>
      <c r="N684" s="101">
        <v>0</v>
      </c>
      <c r="O684" s="125">
        <v>1.17</v>
      </c>
      <c r="P684" s="126">
        <v>0.50416666666666665</v>
      </c>
      <c r="Q684" s="334" t="s">
        <v>574</v>
      </c>
    </row>
    <row r="685" spans="2:17" x14ac:dyDescent="0.25">
      <c r="B685">
        <f>WEEKNUM(BSURTIDOR[[#This Row],[FECHA]])</f>
        <v>15</v>
      </c>
      <c r="C685">
        <f>MONTH(BSURTIDOR[[#This Row],[FECHA]])</f>
        <v>4</v>
      </c>
      <c r="D685">
        <f>YEAR(BSURTIDOR[[#This Row],[FECHA]])</f>
        <v>2026</v>
      </c>
      <c r="E685" s="124">
        <v>46122</v>
      </c>
      <c r="F685" s="382" t="s">
        <v>548</v>
      </c>
      <c r="G685" s="123">
        <v>6</v>
      </c>
      <c r="H685" s="123" t="s">
        <v>87</v>
      </c>
      <c r="I685" s="101" t="str">
        <f>VLOOKUP(BDsurtidor!$H685,$T$4:$W$18,2,FALSE)</f>
        <v>CISTERNA</v>
      </c>
      <c r="J685" s="101">
        <f>VLOOKUP(BDsurtidor!$H685,$T$4:$W$25,3,FALSE)</f>
        <v>5000</v>
      </c>
      <c r="K685" s="101">
        <f>VLOOKUP(BDsurtidor!$H685,$T$4:$W$25,4,FALSE)</f>
        <v>17</v>
      </c>
      <c r="L685" s="101">
        <f>VLOOKUP(BDsurtidor!$H685,$T$4:$X$25,5,FALSE)</f>
        <v>0.4</v>
      </c>
      <c r="M685" s="101" t="str">
        <f>VLOOKUP(BDsurtidor!$H685,$T$4:$Y$25,6,FALSE)</f>
        <v>EPS</v>
      </c>
      <c r="N685" s="101">
        <v>0</v>
      </c>
      <c r="O685" s="125">
        <v>1.24</v>
      </c>
      <c r="P685" s="126">
        <v>0.62847222222222221</v>
      </c>
      <c r="Q685" s="334" t="s">
        <v>574</v>
      </c>
    </row>
    <row r="686" spans="2:17" x14ac:dyDescent="0.25">
      <c r="B686">
        <f>WEEKNUM(BSURTIDOR[[#This Row],[FECHA]])</f>
        <v>15</v>
      </c>
      <c r="C686">
        <f>MONTH(BSURTIDOR[[#This Row],[FECHA]])</f>
        <v>4</v>
      </c>
      <c r="D686">
        <f>YEAR(BSURTIDOR[[#This Row],[FECHA]])</f>
        <v>2026</v>
      </c>
      <c r="E686" s="124">
        <v>46123</v>
      </c>
      <c r="F686" s="382" t="s">
        <v>548</v>
      </c>
      <c r="G686" s="123">
        <v>1</v>
      </c>
      <c r="H686" s="123" t="s">
        <v>100</v>
      </c>
      <c r="I686" s="101" t="str">
        <f>VLOOKUP(BDsurtidor!$H686,$T$4:$W$18,2,FALSE)</f>
        <v>HIDROJET</v>
      </c>
      <c r="J686" s="101">
        <f>VLOOKUP(BDsurtidor!$H686,$T$4:$W$25,3,FALSE)</f>
        <v>1000</v>
      </c>
      <c r="K686" s="101">
        <f>VLOOKUP(BDsurtidor!$H686,$T$4:$W$25,4,FALSE)</f>
        <v>1</v>
      </c>
      <c r="L686" s="101">
        <f>VLOOKUP(BDsurtidor!$H686,$T$4:$X$25,5,FALSE)</f>
        <v>0</v>
      </c>
      <c r="M686" s="101" t="str">
        <f>VLOOKUP(BDsurtidor!$H686,$T$4:$Y$25,6,FALSE)</f>
        <v>EPS</v>
      </c>
      <c r="N686" s="101">
        <v>0</v>
      </c>
      <c r="O686" s="125">
        <v>0</v>
      </c>
      <c r="P686" s="126">
        <v>0.28263888888888888</v>
      </c>
      <c r="Q686" s="334" t="s">
        <v>574</v>
      </c>
    </row>
    <row r="687" spans="2:17" x14ac:dyDescent="0.25">
      <c r="B687">
        <f>WEEKNUM(BSURTIDOR[[#This Row],[FECHA]])</f>
        <v>15</v>
      </c>
      <c r="C687">
        <f>MONTH(BSURTIDOR[[#This Row],[FECHA]])</f>
        <v>4</v>
      </c>
      <c r="D687">
        <f>YEAR(BSURTIDOR[[#This Row],[FECHA]])</f>
        <v>2026</v>
      </c>
      <c r="E687" s="124">
        <v>46123</v>
      </c>
      <c r="F687" s="382" t="s">
        <v>548</v>
      </c>
      <c r="G687" s="123">
        <v>2</v>
      </c>
      <c r="H687" s="123" t="s">
        <v>99</v>
      </c>
      <c r="I687" s="101" t="str">
        <f>VLOOKUP(BDsurtidor!$H687,$T$4:$W$18,2,FALSE)</f>
        <v>CISTERNA</v>
      </c>
      <c r="J687" s="101">
        <f>VLOOKUP(BDsurtidor!$H687,$T$4:$W$25,3,FALSE)</f>
        <v>5000</v>
      </c>
      <c r="K687" s="101">
        <f>VLOOKUP(BDsurtidor!$H687,$T$4:$W$25,4,FALSE)</f>
        <v>17</v>
      </c>
      <c r="L687" s="101">
        <f>VLOOKUP(BDsurtidor!$H687,$T$4:$X$25,5,FALSE)</f>
        <v>0.4</v>
      </c>
      <c r="M687" s="101" t="str">
        <f>VLOOKUP(BDsurtidor!$H687,$T$4:$Y$25,6,FALSE)</f>
        <v>EPS</v>
      </c>
      <c r="N687" s="101">
        <v>0</v>
      </c>
      <c r="O687" s="125">
        <v>1.06</v>
      </c>
      <c r="P687" s="126">
        <v>0.30069444444444443</v>
      </c>
      <c r="Q687" s="334" t="s">
        <v>574</v>
      </c>
    </row>
    <row r="688" spans="2:17" x14ac:dyDescent="0.25">
      <c r="B688">
        <f>WEEKNUM(BSURTIDOR[[#This Row],[FECHA]])</f>
        <v>15</v>
      </c>
      <c r="C688">
        <f>MONTH(BSURTIDOR[[#This Row],[FECHA]])</f>
        <v>4</v>
      </c>
      <c r="D688">
        <f>YEAR(BSURTIDOR[[#This Row],[FECHA]])</f>
        <v>2026</v>
      </c>
      <c r="E688" s="124">
        <v>46123</v>
      </c>
      <c r="F688" s="382" t="s">
        <v>548</v>
      </c>
      <c r="G688" s="123">
        <v>3</v>
      </c>
      <c r="H688" s="123" t="s">
        <v>558</v>
      </c>
      <c r="I688" s="101" t="str">
        <f>VLOOKUP(BDsurtidor!$H688,$T$4:$W$18,2,FALSE)</f>
        <v>HIDROJET</v>
      </c>
      <c r="J688" s="101">
        <f>VLOOKUP(BDsurtidor!$H688,$T$4:$W$25,3,FALSE)</f>
        <v>1000</v>
      </c>
      <c r="K688" s="101">
        <f>VLOOKUP(BDsurtidor!$H688,$T$4:$W$25,4,FALSE)</f>
        <v>1</v>
      </c>
      <c r="L688" s="101">
        <f>VLOOKUP(BDsurtidor!$H688,$T$4:$X$25,5,FALSE)</f>
        <v>0</v>
      </c>
      <c r="M688" s="101" t="str">
        <f>VLOOKUP(BDsurtidor!$H688,$T$4:$Y$25,6,FALSE)</f>
        <v>EPS</v>
      </c>
      <c r="N688" s="101">
        <v>0</v>
      </c>
      <c r="O688" s="125">
        <v>0</v>
      </c>
      <c r="P688" s="126">
        <v>0.31527777777777777</v>
      </c>
      <c r="Q688" s="334" t="s">
        <v>574</v>
      </c>
    </row>
    <row r="689" spans="2:17" x14ac:dyDescent="0.25">
      <c r="B689">
        <f>WEEKNUM(BSURTIDOR[[#This Row],[FECHA]])</f>
        <v>15</v>
      </c>
      <c r="C689">
        <f>MONTH(BSURTIDOR[[#This Row],[FECHA]])</f>
        <v>4</v>
      </c>
      <c r="D689">
        <f>YEAR(BSURTIDOR[[#This Row],[FECHA]])</f>
        <v>2026</v>
      </c>
      <c r="E689" s="124">
        <v>46123</v>
      </c>
      <c r="F689" s="382" t="s">
        <v>548</v>
      </c>
      <c r="G689" s="123">
        <v>4</v>
      </c>
      <c r="H689" s="123" t="s">
        <v>99</v>
      </c>
      <c r="I689" s="101" t="str">
        <f>VLOOKUP(BDsurtidor!$H689,$T$4:$W$18,2,FALSE)</f>
        <v>CISTERNA</v>
      </c>
      <c r="J689" s="101">
        <f>VLOOKUP(BDsurtidor!$H689,$T$4:$W$25,3,FALSE)</f>
        <v>5000</v>
      </c>
      <c r="K689" s="101">
        <f>VLOOKUP(BDsurtidor!$H689,$T$4:$W$25,4,FALSE)</f>
        <v>17</v>
      </c>
      <c r="L689" s="101">
        <f>VLOOKUP(BDsurtidor!$H689,$T$4:$X$25,5,FALSE)</f>
        <v>0.4</v>
      </c>
      <c r="M689" s="101" t="str">
        <f>VLOOKUP(BDsurtidor!$H689,$T$4:$Y$25,6,FALSE)</f>
        <v>EPS</v>
      </c>
      <c r="N689" s="101">
        <v>0</v>
      </c>
      <c r="O689" s="125">
        <v>1.1000000000000001</v>
      </c>
      <c r="P689" s="126">
        <v>0.51249999999999996</v>
      </c>
      <c r="Q689" s="334" t="s">
        <v>574</v>
      </c>
    </row>
    <row r="690" spans="2:17" x14ac:dyDescent="0.25">
      <c r="B690">
        <f>WEEKNUM(BSURTIDOR[[#This Row],[FECHA]])</f>
        <v>16</v>
      </c>
      <c r="C690">
        <f>MONTH(BSURTIDOR[[#This Row],[FECHA]])</f>
        <v>4</v>
      </c>
      <c r="D690">
        <f>YEAR(BSURTIDOR[[#This Row],[FECHA]])</f>
        <v>2026</v>
      </c>
      <c r="E690" s="124">
        <v>46125</v>
      </c>
      <c r="F690" s="382" t="s">
        <v>548</v>
      </c>
      <c r="G690" s="123">
        <v>1</v>
      </c>
      <c r="H690" s="123" t="s">
        <v>99</v>
      </c>
      <c r="I690" s="101" t="str">
        <f>VLOOKUP(BDsurtidor!$H690,$T$4:$W$18,2,FALSE)</f>
        <v>CISTERNA</v>
      </c>
      <c r="J690" s="101">
        <f>VLOOKUP(BDsurtidor!$H690,$T$4:$W$25,3,FALSE)</f>
        <v>5000</v>
      </c>
      <c r="K690" s="101">
        <f>VLOOKUP(BDsurtidor!$H690,$T$4:$W$25,4,FALSE)</f>
        <v>17</v>
      </c>
      <c r="L690" s="101">
        <f>VLOOKUP(BDsurtidor!$H690,$T$4:$X$25,5,FALSE)</f>
        <v>0.4</v>
      </c>
      <c r="M690" s="101" t="str">
        <f>VLOOKUP(BDsurtidor!$H690,$T$4:$Y$25,6,FALSE)</f>
        <v>EPS</v>
      </c>
      <c r="N690" s="101">
        <v>0</v>
      </c>
      <c r="O690" s="125">
        <v>1.54</v>
      </c>
      <c r="P690" s="126">
        <v>0.30902777777777779</v>
      </c>
      <c r="Q690" s="334" t="s">
        <v>574</v>
      </c>
    </row>
    <row r="691" spans="2:17" x14ac:dyDescent="0.25">
      <c r="B691">
        <f>WEEKNUM(BSURTIDOR[[#This Row],[FECHA]])</f>
        <v>16</v>
      </c>
      <c r="C691">
        <f>MONTH(BSURTIDOR[[#This Row],[FECHA]])</f>
        <v>4</v>
      </c>
      <c r="D691">
        <f>YEAR(BSURTIDOR[[#This Row],[FECHA]])</f>
        <v>2026</v>
      </c>
      <c r="E691" s="124">
        <v>46125</v>
      </c>
      <c r="F691" s="382" t="s">
        <v>548</v>
      </c>
      <c r="G691" s="123">
        <v>2</v>
      </c>
      <c r="H691" s="123" t="s">
        <v>87</v>
      </c>
      <c r="I691" s="101" t="str">
        <f>VLOOKUP(BDsurtidor!$H691,$T$4:$W$18,2,FALSE)</f>
        <v>CISTERNA</v>
      </c>
      <c r="J691" s="101">
        <f>VLOOKUP(BDsurtidor!$H691,$T$4:$W$25,3,FALSE)</f>
        <v>5000</v>
      </c>
      <c r="K691" s="101">
        <f>VLOOKUP(BDsurtidor!$H691,$T$4:$W$25,4,FALSE)</f>
        <v>17</v>
      </c>
      <c r="L691" s="101">
        <f>VLOOKUP(BDsurtidor!$H691,$T$4:$X$25,5,FALSE)</f>
        <v>0.4</v>
      </c>
      <c r="M691" s="101" t="str">
        <f>VLOOKUP(BDsurtidor!$H691,$T$4:$Y$25,6,FALSE)</f>
        <v>EPS</v>
      </c>
      <c r="N691" s="101">
        <v>0</v>
      </c>
      <c r="O691" s="125">
        <v>1.41</v>
      </c>
      <c r="P691" s="126">
        <v>0.31388888888888888</v>
      </c>
      <c r="Q691" s="334" t="s">
        <v>574</v>
      </c>
    </row>
    <row r="692" spans="2:17" x14ac:dyDescent="0.25">
      <c r="B692">
        <f>WEEKNUM(BSURTIDOR[[#This Row],[FECHA]])</f>
        <v>16</v>
      </c>
      <c r="C692">
        <f>MONTH(BSURTIDOR[[#This Row],[FECHA]])</f>
        <v>4</v>
      </c>
      <c r="D692">
        <f>YEAR(BSURTIDOR[[#This Row],[FECHA]])</f>
        <v>2026</v>
      </c>
      <c r="E692" s="124">
        <v>46125</v>
      </c>
      <c r="F692" s="382" t="s">
        <v>548</v>
      </c>
      <c r="G692" s="123">
        <v>3</v>
      </c>
      <c r="H692" s="123" t="s">
        <v>100</v>
      </c>
      <c r="I692" s="101" t="str">
        <f>VLOOKUP(BDsurtidor!$H692,$T$4:$W$18,2,FALSE)</f>
        <v>HIDROJET</v>
      </c>
      <c r="J692" s="101">
        <f>VLOOKUP(BDsurtidor!$H692,$T$4:$W$25,3,FALSE)</f>
        <v>1000</v>
      </c>
      <c r="K692" s="101">
        <f>VLOOKUP(BDsurtidor!$H692,$T$4:$W$25,4,FALSE)</f>
        <v>1</v>
      </c>
      <c r="L692" s="101">
        <f>VLOOKUP(BDsurtidor!$H692,$T$4:$X$25,5,FALSE)</f>
        <v>0</v>
      </c>
      <c r="M692" s="101" t="str">
        <f>VLOOKUP(BDsurtidor!$H692,$T$4:$Y$25,6,FALSE)</f>
        <v>EPS</v>
      </c>
      <c r="N692" s="101">
        <v>0</v>
      </c>
      <c r="O692" s="125">
        <v>0</v>
      </c>
      <c r="P692" s="126">
        <v>0.32222222222222224</v>
      </c>
      <c r="Q692" s="334" t="s">
        <v>574</v>
      </c>
    </row>
    <row r="693" spans="2:17" x14ac:dyDescent="0.25">
      <c r="B693">
        <f>WEEKNUM(BSURTIDOR[[#This Row],[FECHA]])</f>
        <v>16</v>
      </c>
      <c r="C693">
        <f>MONTH(BSURTIDOR[[#This Row],[FECHA]])</f>
        <v>4</v>
      </c>
      <c r="D693">
        <f>YEAR(BSURTIDOR[[#This Row],[FECHA]])</f>
        <v>2026</v>
      </c>
      <c r="E693" s="124">
        <v>46125</v>
      </c>
      <c r="F693" s="382" t="s">
        <v>548</v>
      </c>
      <c r="G693" s="123">
        <v>4</v>
      </c>
      <c r="H693" s="123" t="s">
        <v>95</v>
      </c>
      <c r="I693" s="101" t="str">
        <f>VLOOKUP(BDsurtidor!$H693,$T$4:$W$18,2,FALSE)</f>
        <v>CISTERNA</v>
      </c>
      <c r="J693" s="101">
        <f>VLOOKUP(BDsurtidor!$H693,$T$4:$W$25,3,FALSE)</f>
        <v>2500</v>
      </c>
      <c r="K693" s="101">
        <f>VLOOKUP(BDsurtidor!$H693,$T$4:$W$25,4,FALSE)</f>
        <v>9</v>
      </c>
      <c r="L693" s="101">
        <f>VLOOKUP(BDsurtidor!$H693,$T$4:$X$25,5,FALSE)</f>
        <v>0.22</v>
      </c>
      <c r="M693" s="101" t="str">
        <f>VLOOKUP(BDsurtidor!$H693,$T$4:$Y$25,6,FALSE)</f>
        <v>EPS</v>
      </c>
      <c r="N693" s="101">
        <v>0</v>
      </c>
      <c r="O693" s="125">
        <v>0</v>
      </c>
      <c r="P693" s="126">
        <v>0.35069444444444442</v>
      </c>
      <c r="Q693" s="334" t="s">
        <v>574</v>
      </c>
    </row>
    <row r="694" spans="2:17" x14ac:dyDescent="0.25">
      <c r="B694">
        <f>WEEKNUM(BSURTIDOR[[#This Row],[FECHA]])</f>
        <v>16</v>
      </c>
      <c r="C694">
        <f>MONTH(BSURTIDOR[[#This Row],[FECHA]])</f>
        <v>4</v>
      </c>
      <c r="D694">
        <f>YEAR(BSURTIDOR[[#This Row],[FECHA]])</f>
        <v>2026</v>
      </c>
      <c r="E694" s="124">
        <v>46125</v>
      </c>
      <c r="F694" s="382" t="s">
        <v>548</v>
      </c>
      <c r="G694" s="123">
        <v>5</v>
      </c>
      <c r="H694" s="123" t="s">
        <v>99</v>
      </c>
      <c r="I694" s="101" t="str">
        <f>VLOOKUP(BDsurtidor!$H694,$T$4:$W$18,2,FALSE)</f>
        <v>CISTERNA</v>
      </c>
      <c r="J694" s="101">
        <f>VLOOKUP(BDsurtidor!$H694,$T$4:$W$25,3,FALSE)</f>
        <v>5000</v>
      </c>
      <c r="K694" s="101">
        <f>VLOOKUP(BDsurtidor!$H694,$T$4:$W$25,4,FALSE)</f>
        <v>17</v>
      </c>
      <c r="L694" s="101">
        <f>VLOOKUP(BDsurtidor!$H694,$T$4:$X$25,5,FALSE)</f>
        <v>0.4</v>
      </c>
      <c r="M694" s="101" t="str">
        <f>VLOOKUP(BDsurtidor!$H694,$T$4:$Y$25,6,FALSE)</f>
        <v>EPS</v>
      </c>
      <c r="N694" s="101">
        <v>0</v>
      </c>
      <c r="O694" s="125">
        <v>1.46</v>
      </c>
      <c r="P694" s="126">
        <v>0.43819444444444444</v>
      </c>
      <c r="Q694" s="334" t="s">
        <v>574</v>
      </c>
    </row>
    <row r="695" spans="2:17" x14ac:dyDescent="0.25">
      <c r="B695">
        <f>WEEKNUM(BSURTIDOR[[#This Row],[FECHA]])</f>
        <v>16</v>
      </c>
      <c r="C695">
        <f>MONTH(BSURTIDOR[[#This Row],[FECHA]])</f>
        <v>4</v>
      </c>
      <c r="D695">
        <f>YEAR(BSURTIDOR[[#This Row],[FECHA]])</f>
        <v>2026</v>
      </c>
      <c r="E695" s="124">
        <v>46125</v>
      </c>
      <c r="F695" s="382" t="s">
        <v>548</v>
      </c>
      <c r="G695" s="123">
        <v>6</v>
      </c>
      <c r="H695" s="123" t="s">
        <v>87</v>
      </c>
      <c r="I695" s="101" t="str">
        <f>VLOOKUP(BDsurtidor!$H695,$T$4:$W$18,2,FALSE)</f>
        <v>CISTERNA</v>
      </c>
      <c r="J695" s="101">
        <f>VLOOKUP(BDsurtidor!$H695,$T$4:$W$25,3,FALSE)</f>
        <v>5000</v>
      </c>
      <c r="K695" s="101">
        <f>VLOOKUP(BDsurtidor!$H695,$T$4:$W$25,4,FALSE)</f>
        <v>17</v>
      </c>
      <c r="L695" s="101">
        <f>VLOOKUP(BDsurtidor!$H695,$T$4:$X$25,5,FALSE)</f>
        <v>0.4</v>
      </c>
      <c r="M695" s="101" t="str">
        <f>VLOOKUP(BDsurtidor!$H695,$T$4:$Y$25,6,FALSE)</f>
        <v>EPS</v>
      </c>
      <c r="N695" s="101">
        <v>0</v>
      </c>
      <c r="O695" s="125">
        <v>1.37</v>
      </c>
      <c r="P695" s="126">
        <v>0.46875</v>
      </c>
      <c r="Q695" s="334" t="s">
        <v>574</v>
      </c>
    </row>
    <row r="696" spans="2:17" x14ac:dyDescent="0.25">
      <c r="B696">
        <f>WEEKNUM(BSURTIDOR[[#This Row],[FECHA]])</f>
        <v>16</v>
      </c>
      <c r="C696">
        <f>MONTH(BSURTIDOR[[#This Row],[FECHA]])</f>
        <v>4</v>
      </c>
      <c r="D696">
        <f>YEAR(BSURTIDOR[[#This Row],[FECHA]])</f>
        <v>2026</v>
      </c>
      <c r="E696" s="124">
        <v>46125</v>
      </c>
      <c r="F696" s="382" t="s">
        <v>548</v>
      </c>
      <c r="G696" s="123">
        <v>7</v>
      </c>
      <c r="H696" s="123" t="s">
        <v>99</v>
      </c>
      <c r="I696" s="101" t="str">
        <f>VLOOKUP(BDsurtidor!$H696,$T$4:$W$18,2,FALSE)</f>
        <v>CISTERNA</v>
      </c>
      <c r="J696" s="101">
        <f>VLOOKUP(BDsurtidor!$H696,$T$4:$W$25,3,FALSE)</f>
        <v>5000</v>
      </c>
      <c r="K696" s="101">
        <f>VLOOKUP(BDsurtidor!$H696,$T$4:$W$25,4,FALSE)</f>
        <v>17</v>
      </c>
      <c r="L696" s="101">
        <f>VLOOKUP(BDsurtidor!$H696,$T$4:$X$25,5,FALSE)</f>
        <v>0.4</v>
      </c>
      <c r="M696" s="101" t="str">
        <f>VLOOKUP(BDsurtidor!$H696,$T$4:$Y$25,6,FALSE)</f>
        <v>EPS</v>
      </c>
      <c r="N696" s="101">
        <v>0</v>
      </c>
      <c r="O696" s="125">
        <v>1.46</v>
      </c>
      <c r="P696" s="126">
        <v>0.5444444444444444</v>
      </c>
      <c r="Q696" s="334" t="s">
        <v>574</v>
      </c>
    </row>
    <row r="697" spans="2:17" x14ac:dyDescent="0.25">
      <c r="B697">
        <f>WEEKNUM(BSURTIDOR[[#This Row],[FECHA]])</f>
        <v>16</v>
      </c>
      <c r="C697">
        <f>MONTH(BSURTIDOR[[#This Row],[FECHA]])</f>
        <v>4</v>
      </c>
      <c r="D697">
        <f>YEAR(BSURTIDOR[[#This Row],[FECHA]])</f>
        <v>2026</v>
      </c>
      <c r="E697" s="124">
        <v>46125</v>
      </c>
      <c r="F697" s="382" t="s">
        <v>548</v>
      </c>
      <c r="G697" s="123">
        <v>8</v>
      </c>
      <c r="H697" s="123" t="s">
        <v>87</v>
      </c>
      <c r="I697" s="101" t="str">
        <f>VLOOKUP(BDsurtidor!$H697,$T$4:$W$18,2,FALSE)</f>
        <v>CISTERNA</v>
      </c>
      <c r="J697" s="101">
        <f>VLOOKUP(BDsurtidor!$H697,$T$4:$W$25,3,FALSE)</f>
        <v>5000</v>
      </c>
      <c r="K697" s="101">
        <f>VLOOKUP(BDsurtidor!$H697,$T$4:$W$25,4,FALSE)</f>
        <v>17</v>
      </c>
      <c r="L697" s="101">
        <f>VLOOKUP(BDsurtidor!$H697,$T$4:$X$25,5,FALSE)</f>
        <v>0.4</v>
      </c>
      <c r="M697" s="101" t="str">
        <f>VLOOKUP(BDsurtidor!$H697,$T$4:$Y$25,6,FALSE)</f>
        <v>EPS</v>
      </c>
      <c r="N697" s="101">
        <v>0</v>
      </c>
      <c r="O697" s="125">
        <v>1.35</v>
      </c>
      <c r="P697" s="126">
        <v>0.58333333333333337</v>
      </c>
      <c r="Q697" s="334" t="s">
        <v>574</v>
      </c>
    </row>
    <row r="698" spans="2:17" x14ac:dyDescent="0.25">
      <c r="B698">
        <f>WEEKNUM(BSURTIDOR[[#This Row],[FECHA]])</f>
        <v>16</v>
      </c>
      <c r="C698">
        <f>MONTH(BSURTIDOR[[#This Row],[FECHA]])</f>
        <v>4</v>
      </c>
      <c r="D698">
        <f>YEAR(BSURTIDOR[[#This Row],[FECHA]])</f>
        <v>2026</v>
      </c>
      <c r="E698" s="124">
        <v>46126</v>
      </c>
      <c r="F698" s="382" t="s">
        <v>548</v>
      </c>
      <c r="G698" s="123">
        <v>1</v>
      </c>
      <c r="H698" s="123" t="s">
        <v>99</v>
      </c>
      <c r="I698" s="101" t="str">
        <f>VLOOKUP(BDsurtidor!$H698,$T$4:$W$18,2,FALSE)</f>
        <v>CISTERNA</v>
      </c>
      <c r="J698" s="101">
        <f>VLOOKUP(BDsurtidor!$H698,$T$4:$W$25,3,FALSE)</f>
        <v>5000</v>
      </c>
      <c r="K698" s="101">
        <f>VLOOKUP(BDsurtidor!$H698,$T$4:$W$25,4,FALSE)</f>
        <v>17</v>
      </c>
      <c r="L698" s="101">
        <f>VLOOKUP(BDsurtidor!$H698,$T$4:$X$25,5,FALSE)</f>
        <v>0.4</v>
      </c>
      <c r="M698" s="101" t="str">
        <f>VLOOKUP(BDsurtidor!$H698,$T$4:$Y$25,6,FALSE)</f>
        <v>EPS</v>
      </c>
      <c r="N698" s="101">
        <v>0</v>
      </c>
      <c r="O698" s="125">
        <v>1.04</v>
      </c>
      <c r="P698" s="126">
        <v>0.30694444444444446</v>
      </c>
      <c r="Q698" s="334" t="s">
        <v>574</v>
      </c>
    </row>
    <row r="699" spans="2:17" x14ac:dyDescent="0.25">
      <c r="B699">
        <f>WEEKNUM(BSURTIDOR[[#This Row],[FECHA]])</f>
        <v>16</v>
      </c>
      <c r="C699">
        <f>MONTH(BSURTIDOR[[#This Row],[FECHA]])</f>
        <v>4</v>
      </c>
      <c r="D699">
        <f>YEAR(BSURTIDOR[[#This Row],[FECHA]])</f>
        <v>2026</v>
      </c>
      <c r="E699" s="124">
        <v>46126</v>
      </c>
      <c r="F699" s="382" t="s">
        <v>548</v>
      </c>
      <c r="G699" s="123">
        <v>2</v>
      </c>
      <c r="H699" s="123" t="s">
        <v>87</v>
      </c>
      <c r="I699" s="101" t="str">
        <f>VLOOKUP(BDsurtidor!$H699,$T$4:$W$18,2,FALSE)</f>
        <v>CISTERNA</v>
      </c>
      <c r="J699" s="101">
        <f>VLOOKUP(BDsurtidor!$H699,$T$4:$W$25,3,FALSE)</f>
        <v>5000</v>
      </c>
      <c r="K699" s="101">
        <f>VLOOKUP(BDsurtidor!$H699,$T$4:$W$25,4,FALSE)</f>
        <v>17</v>
      </c>
      <c r="L699" s="101">
        <f>VLOOKUP(BDsurtidor!$H699,$T$4:$X$25,5,FALSE)</f>
        <v>0.4</v>
      </c>
      <c r="M699" s="101" t="str">
        <f>VLOOKUP(BDsurtidor!$H699,$T$4:$Y$25,6,FALSE)</f>
        <v>EPS</v>
      </c>
      <c r="N699" s="101">
        <v>0</v>
      </c>
      <c r="O699" s="125">
        <v>1.1599999999999999</v>
      </c>
      <c r="P699" s="126">
        <v>0.31874999999999998</v>
      </c>
      <c r="Q699" s="334" t="s">
        <v>574</v>
      </c>
    </row>
    <row r="700" spans="2:17" x14ac:dyDescent="0.25">
      <c r="B700">
        <f>WEEKNUM(BSURTIDOR[[#This Row],[FECHA]])</f>
        <v>16</v>
      </c>
      <c r="C700">
        <f>MONTH(BSURTIDOR[[#This Row],[FECHA]])</f>
        <v>4</v>
      </c>
      <c r="D700">
        <f>YEAR(BSURTIDOR[[#This Row],[FECHA]])</f>
        <v>2026</v>
      </c>
      <c r="E700" s="124">
        <v>46126</v>
      </c>
      <c r="F700" s="382" t="s">
        <v>548</v>
      </c>
      <c r="G700" s="123">
        <v>3</v>
      </c>
      <c r="H700" s="123" t="s">
        <v>95</v>
      </c>
      <c r="I700" s="101" t="str">
        <f>VLOOKUP(BDsurtidor!$H700,$T$4:$W$18,2,FALSE)</f>
        <v>CISTERNA</v>
      </c>
      <c r="J700" s="101">
        <f>VLOOKUP(BDsurtidor!$H700,$T$4:$W$25,3,FALSE)</f>
        <v>2500</v>
      </c>
      <c r="K700" s="101">
        <f>VLOOKUP(BDsurtidor!$H700,$T$4:$W$25,4,FALSE)</f>
        <v>9</v>
      </c>
      <c r="L700" s="101">
        <f>VLOOKUP(BDsurtidor!$H700,$T$4:$X$25,5,FALSE)</f>
        <v>0.22</v>
      </c>
      <c r="M700" s="101" t="str">
        <f>VLOOKUP(BDsurtidor!$H700,$T$4:$Y$25,6,FALSE)</f>
        <v>EPS</v>
      </c>
      <c r="N700" s="101">
        <v>0</v>
      </c>
      <c r="O700" s="125">
        <v>0</v>
      </c>
      <c r="P700" s="126">
        <v>0.32222222222222224</v>
      </c>
      <c r="Q700" s="334" t="s">
        <v>574</v>
      </c>
    </row>
    <row r="701" spans="2:17" x14ac:dyDescent="0.25">
      <c r="B701">
        <f>WEEKNUM(BSURTIDOR[[#This Row],[FECHA]])</f>
        <v>16</v>
      </c>
      <c r="C701">
        <f>MONTH(BSURTIDOR[[#This Row],[FECHA]])</f>
        <v>4</v>
      </c>
      <c r="D701">
        <f>YEAR(BSURTIDOR[[#This Row],[FECHA]])</f>
        <v>2026</v>
      </c>
      <c r="E701" s="124">
        <v>46126</v>
      </c>
      <c r="F701" s="382" t="s">
        <v>548</v>
      </c>
      <c r="G701" s="123">
        <v>4</v>
      </c>
      <c r="H701" s="123" t="s">
        <v>558</v>
      </c>
      <c r="I701" s="101" t="str">
        <f>VLOOKUP(BDsurtidor!$H701,$T$4:$W$18,2,FALSE)</f>
        <v>HIDROJET</v>
      </c>
      <c r="J701" s="101">
        <f>VLOOKUP(BDsurtidor!$H701,$T$4:$W$25,3,FALSE)</f>
        <v>1000</v>
      </c>
      <c r="K701" s="101">
        <f>VLOOKUP(BDsurtidor!$H701,$T$4:$W$25,4,FALSE)</f>
        <v>1</v>
      </c>
      <c r="L701" s="101">
        <f>VLOOKUP(BDsurtidor!$H701,$T$4:$X$25,5,FALSE)</f>
        <v>0</v>
      </c>
      <c r="M701" s="101" t="str">
        <f>VLOOKUP(BDsurtidor!$H701,$T$4:$Y$25,6,FALSE)</f>
        <v>EPS</v>
      </c>
      <c r="N701" s="101">
        <v>0</v>
      </c>
      <c r="O701" s="125">
        <v>0</v>
      </c>
      <c r="P701" s="126">
        <v>0.33055555555555555</v>
      </c>
      <c r="Q701" s="334" t="s">
        <v>574</v>
      </c>
    </row>
    <row r="702" spans="2:17" x14ac:dyDescent="0.25">
      <c r="B702">
        <f>WEEKNUM(BSURTIDOR[[#This Row],[FECHA]])</f>
        <v>16</v>
      </c>
      <c r="C702">
        <f>MONTH(BSURTIDOR[[#This Row],[FECHA]])</f>
        <v>4</v>
      </c>
      <c r="D702">
        <f>YEAR(BSURTIDOR[[#This Row],[FECHA]])</f>
        <v>2026</v>
      </c>
      <c r="E702" s="124">
        <v>46126</v>
      </c>
      <c r="F702" s="382" t="s">
        <v>548</v>
      </c>
      <c r="G702" s="123">
        <v>5</v>
      </c>
      <c r="H702" s="123" t="s">
        <v>87</v>
      </c>
      <c r="I702" s="101" t="str">
        <f>VLOOKUP(BDsurtidor!$H702,$T$4:$W$18,2,FALSE)</f>
        <v>CISTERNA</v>
      </c>
      <c r="J702" s="101">
        <f>VLOOKUP(BDsurtidor!$H702,$T$4:$W$25,3,FALSE)</f>
        <v>5000</v>
      </c>
      <c r="K702" s="101">
        <f>VLOOKUP(BDsurtidor!$H702,$T$4:$W$25,4,FALSE)</f>
        <v>17</v>
      </c>
      <c r="L702" s="101">
        <f>VLOOKUP(BDsurtidor!$H702,$T$4:$X$25,5,FALSE)</f>
        <v>0.4</v>
      </c>
      <c r="M702" s="101" t="str">
        <f>VLOOKUP(BDsurtidor!$H702,$T$4:$Y$25,6,FALSE)</f>
        <v>EPS</v>
      </c>
      <c r="N702" s="101">
        <v>0</v>
      </c>
      <c r="O702" s="125">
        <v>1.08</v>
      </c>
      <c r="P702" s="126">
        <v>0.47291666666666665</v>
      </c>
      <c r="Q702" s="334" t="s">
        <v>574</v>
      </c>
    </row>
    <row r="703" spans="2:17" x14ac:dyDescent="0.25">
      <c r="B703">
        <f>WEEKNUM(BSURTIDOR[[#This Row],[FECHA]])</f>
        <v>16</v>
      </c>
      <c r="C703">
        <f>MONTH(BSURTIDOR[[#This Row],[FECHA]])</f>
        <v>4</v>
      </c>
      <c r="D703">
        <f>YEAR(BSURTIDOR[[#This Row],[FECHA]])</f>
        <v>2026</v>
      </c>
      <c r="E703" s="124">
        <v>46127</v>
      </c>
      <c r="F703" s="382" t="s">
        <v>548</v>
      </c>
      <c r="G703" s="123">
        <v>1</v>
      </c>
      <c r="H703" s="123" t="s">
        <v>99</v>
      </c>
      <c r="I703" s="101" t="str">
        <f>VLOOKUP(BDsurtidor!$H703,$T$4:$W$18,2,FALSE)</f>
        <v>CISTERNA</v>
      </c>
      <c r="J703" s="101">
        <f>VLOOKUP(BDsurtidor!$H703,$T$4:$W$25,3,FALSE)</f>
        <v>5000</v>
      </c>
      <c r="K703" s="101">
        <f>VLOOKUP(BDsurtidor!$H703,$T$4:$W$25,4,FALSE)</f>
        <v>17</v>
      </c>
      <c r="L703" s="101">
        <f>VLOOKUP(BDsurtidor!$H703,$T$4:$X$25,5,FALSE)</f>
        <v>0.4</v>
      </c>
      <c r="M703" s="101" t="str">
        <f>VLOOKUP(BDsurtidor!$H703,$T$4:$Y$25,6,FALSE)</f>
        <v>EPS</v>
      </c>
      <c r="N703" s="101">
        <v>0</v>
      </c>
      <c r="O703" s="125">
        <v>1.1000000000000001</v>
      </c>
      <c r="P703" s="126">
        <v>0.30694444444444446</v>
      </c>
      <c r="Q703" s="334" t="s">
        <v>574</v>
      </c>
    </row>
    <row r="704" spans="2:17" x14ac:dyDescent="0.25">
      <c r="B704">
        <f>WEEKNUM(BSURTIDOR[[#This Row],[FECHA]])</f>
        <v>16</v>
      </c>
      <c r="C704">
        <f>MONTH(BSURTIDOR[[#This Row],[FECHA]])</f>
        <v>4</v>
      </c>
      <c r="D704">
        <f>YEAR(BSURTIDOR[[#This Row],[FECHA]])</f>
        <v>2026</v>
      </c>
      <c r="E704" s="124">
        <v>46127</v>
      </c>
      <c r="F704" s="382" t="s">
        <v>548</v>
      </c>
      <c r="G704" s="123">
        <v>2</v>
      </c>
      <c r="H704" s="123" t="s">
        <v>87</v>
      </c>
      <c r="I704" s="101" t="str">
        <f>VLOOKUP(BDsurtidor!$H704,$T$4:$W$18,2,FALSE)</f>
        <v>CISTERNA</v>
      </c>
      <c r="J704" s="101">
        <f>VLOOKUP(BDsurtidor!$H704,$T$4:$W$25,3,FALSE)</f>
        <v>5000</v>
      </c>
      <c r="K704" s="101">
        <f>VLOOKUP(BDsurtidor!$H704,$T$4:$W$25,4,FALSE)</f>
        <v>17</v>
      </c>
      <c r="L704" s="101">
        <f>VLOOKUP(BDsurtidor!$H704,$T$4:$X$25,5,FALSE)</f>
        <v>0.4</v>
      </c>
      <c r="M704" s="101" t="str">
        <f>VLOOKUP(BDsurtidor!$H704,$T$4:$Y$25,6,FALSE)</f>
        <v>EPS</v>
      </c>
      <c r="N704" s="101">
        <v>0</v>
      </c>
      <c r="O704" s="125">
        <v>1.07</v>
      </c>
      <c r="P704" s="126">
        <v>0.3263888888888889</v>
      </c>
      <c r="Q704" s="334" t="s">
        <v>574</v>
      </c>
    </row>
    <row r="705" spans="2:17" x14ac:dyDescent="0.25">
      <c r="B705">
        <f>WEEKNUM(BSURTIDOR[[#This Row],[FECHA]])</f>
        <v>16</v>
      </c>
      <c r="C705">
        <f>MONTH(BSURTIDOR[[#This Row],[FECHA]])</f>
        <v>4</v>
      </c>
      <c r="D705">
        <f>YEAR(BSURTIDOR[[#This Row],[FECHA]])</f>
        <v>2026</v>
      </c>
      <c r="E705" s="124">
        <v>46127</v>
      </c>
      <c r="F705" s="382" t="s">
        <v>548</v>
      </c>
      <c r="G705" s="123">
        <v>3</v>
      </c>
      <c r="H705" s="123" t="s">
        <v>99</v>
      </c>
      <c r="I705" s="101" t="str">
        <f>VLOOKUP(BDsurtidor!$H705,$T$4:$W$18,2,FALSE)</f>
        <v>CISTERNA</v>
      </c>
      <c r="J705" s="101">
        <f>VLOOKUP(BDsurtidor!$H705,$T$4:$W$25,3,FALSE)</f>
        <v>5000</v>
      </c>
      <c r="K705" s="101">
        <f>VLOOKUP(BDsurtidor!$H705,$T$4:$W$25,4,FALSE)</f>
        <v>17</v>
      </c>
      <c r="L705" s="101">
        <f>VLOOKUP(BDsurtidor!$H705,$T$4:$X$25,5,FALSE)</f>
        <v>0.4</v>
      </c>
      <c r="M705" s="101" t="str">
        <f>VLOOKUP(BDsurtidor!$H705,$T$4:$Y$25,6,FALSE)</f>
        <v>EPS</v>
      </c>
      <c r="N705" s="101">
        <v>0</v>
      </c>
      <c r="O705" s="125">
        <v>1.28</v>
      </c>
      <c r="P705" s="126">
        <v>0.52361111111111114</v>
      </c>
      <c r="Q705" s="334" t="s">
        <v>574</v>
      </c>
    </row>
    <row r="706" spans="2:17" x14ac:dyDescent="0.25">
      <c r="B706">
        <f>WEEKNUM(BSURTIDOR[[#This Row],[FECHA]])</f>
        <v>16</v>
      </c>
      <c r="C706">
        <f>MONTH(BSURTIDOR[[#This Row],[FECHA]])</f>
        <v>4</v>
      </c>
      <c r="D706">
        <f>YEAR(BSURTIDOR[[#This Row],[FECHA]])</f>
        <v>2026</v>
      </c>
      <c r="E706" s="124">
        <v>46127</v>
      </c>
      <c r="F706" s="382" t="s">
        <v>548</v>
      </c>
      <c r="G706" s="123">
        <v>4</v>
      </c>
      <c r="H706" s="123" t="s">
        <v>87</v>
      </c>
      <c r="I706" s="101" t="str">
        <f>VLOOKUP(BDsurtidor!$H706,$T$4:$W$18,2,FALSE)</f>
        <v>CISTERNA</v>
      </c>
      <c r="J706" s="101">
        <f>VLOOKUP(BDsurtidor!$H706,$T$4:$W$25,3,FALSE)</f>
        <v>5000</v>
      </c>
      <c r="K706" s="101">
        <f>VLOOKUP(BDsurtidor!$H706,$T$4:$W$25,4,FALSE)</f>
        <v>17</v>
      </c>
      <c r="L706" s="101">
        <f>VLOOKUP(BDsurtidor!$H706,$T$4:$X$25,5,FALSE)</f>
        <v>0.4</v>
      </c>
      <c r="M706" s="101" t="str">
        <f>VLOOKUP(BDsurtidor!$H706,$T$4:$Y$25,6,FALSE)</f>
        <v>EPS</v>
      </c>
      <c r="N706" s="101">
        <v>0</v>
      </c>
      <c r="O706" s="125">
        <v>1.34</v>
      </c>
      <c r="P706" s="126">
        <v>0.53472222222222221</v>
      </c>
      <c r="Q706" s="334" t="s">
        <v>574</v>
      </c>
    </row>
    <row r="707" spans="2:17" x14ac:dyDescent="0.25">
      <c r="B707">
        <f>WEEKNUM(BSURTIDOR[[#This Row],[FECHA]])</f>
        <v>16</v>
      </c>
      <c r="C707">
        <f>MONTH(BSURTIDOR[[#This Row],[FECHA]])</f>
        <v>4</v>
      </c>
      <c r="D707">
        <f>YEAR(BSURTIDOR[[#This Row],[FECHA]])</f>
        <v>2026</v>
      </c>
      <c r="E707" s="124">
        <v>46128</v>
      </c>
      <c r="F707" s="382" t="s">
        <v>548</v>
      </c>
      <c r="G707" s="123">
        <v>1</v>
      </c>
      <c r="H707" s="123" t="s">
        <v>99</v>
      </c>
      <c r="I707" s="101" t="str">
        <f>VLOOKUP(BDsurtidor!$H707,$T$4:$W$18,2,FALSE)</f>
        <v>CISTERNA</v>
      </c>
      <c r="J707" s="101">
        <f>VLOOKUP(BDsurtidor!$H707,$T$4:$W$25,3,FALSE)</f>
        <v>5000</v>
      </c>
      <c r="K707" s="101">
        <f>VLOOKUP(BDsurtidor!$H707,$T$4:$W$25,4,FALSE)</f>
        <v>17</v>
      </c>
      <c r="L707" s="101">
        <f>VLOOKUP(BDsurtidor!$H707,$T$4:$X$25,5,FALSE)</f>
        <v>0.4</v>
      </c>
      <c r="M707" s="101" t="str">
        <f>VLOOKUP(BDsurtidor!$H707,$T$4:$Y$25,6,FALSE)</f>
        <v>EPS</v>
      </c>
      <c r="N707" s="101">
        <v>0</v>
      </c>
      <c r="O707" s="125">
        <v>1.1100000000000001</v>
      </c>
      <c r="P707" s="126">
        <v>0.3125</v>
      </c>
      <c r="Q707" s="334" t="s">
        <v>574</v>
      </c>
    </row>
    <row r="708" spans="2:17" x14ac:dyDescent="0.25">
      <c r="B708">
        <f>WEEKNUM(BSURTIDOR[[#This Row],[FECHA]])</f>
        <v>16</v>
      </c>
      <c r="C708">
        <f>MONTH(BSURTIDOR[[#This Row],[FECHA]])</f>
        <v>4</v>
      </c>
      <c r="D708">
        <f>YEAR(BSURTIDOR[[#This Row],[FECHA]])</f>
        <v>2026</v>
      </c>
      <c r="E708" s="124">
        <v>46128</v>
      </c>
      <c r="F708" s="382" t="s">
        <v>548</v>
      </c>
      <c r="G708" s="123">
        <v>2</v>
      </c>
      <c r="H708" s="123" t="s">
        <v>87</v>
      </c>
      <c r="I708" s="101" t="str">
        <f>VLOOKUP(BDsurtidor!$H708,$T$4:$W$18,2,FALSE)</f>
        <v>CISTERNA</v>
      </c>
      <c r="J708" s="101">
        <f>VLOOKUP(BDsurtidor!$H708,$T$4:$W$25,3,FALSE)</f>
        <v>5000</v>
      </c>
      <c r="K708" s="101">
        <f>VLOOKUP(BDsurtidor!$H708,$T$4:$W$25,4,FALSE)</f>
        <v>17</v>
      </c>
      <c r="L708" s="101">
        <f>VLOOKUP(BDsurtidor!$H708,$T$4:$X$25,5,FALSE)</f>
        <v>0.4</v>
      </c>
      <c r="M708" s="101" t="str">
        <f>VLOOKUP(BDsurtidor!$H708,$T$4:$Y$25,6,FALSE)</f>
        <v>EPS</v>
      </c>
      <c r="N708" s="101">
        <v>0</v>
      </c>
      <c r="O708" s="125">
        <v>1.3</v>
      </c>
      <c r="P708" s="126">
        <v>0.31944444444444442</v>
      </c>
      <c r="Q708" s="334" t="s">
        <v>574</v>
      </c>
    </row>
    <row r="709" spans="2:17" x14ac:dyDescent="0.25">
      <c r="B709">
        <f>WEEKNUM(BSURTIDOR[[#This Row],[FECHA]])</f>
        <v>16</v>
      </c>
      <c r="C709">
        <f>MONTH(BSURTIDOR[[#This Row],[FECHA]])</f>
        <v>4</v>
      </c>
      <c r="D709">
        <f>YEAR(BSURTIDOR[[#This Row],[FECHA]])</f>
        <v>2026</v>
      </c>
      <c r="E709" s="124">
        <v>46128</v>
      </c>
      <c r="F709" s="382" t="s">
        <v>548</v>
      </c>
      <c r="G709" s="123">
        <v>3</v>
      </c>
      <c r="H709" s="123" t="s">
        <v>95</v>
      </c>
      <c r="I709" s="101" t="str">
        <f>VLOOKUP(BDsurtidor!$H709,$T$4:$W$18,2,FALSE)</f>
        <v>CISTERNA</v>
      </c>
      <c r="J709" s="101">
        <f>VLOOKUP(BDsurtidor!$H709,$T$4:$W$25,3,FALSE)</f>
        <v>2500</v>
      </c>
      <c r="K709" s="101">
        <f>VLOOKUP(BDsurtidor!$H709,$T$4:$W$25,4,FALSE)</f>
        <v>9</v>
      </c>
      <c r="L709" s="101">
        <f>VLOOKUP(BDsurtidor!$H709,$T$4:$X$25,5,FALSE)</f>
        <v>0.22</v>
      </c>
      <c r="M709" s="101" t="str">
        <f>VLOOKUP(BDsurtidor!$H709,$T$4:$Y$25,6,FALSE)</f>
        <v>EPS</v>
      </c>
      <c r="N709" s="101">
        <v>0</v>
      </c>
      <c r="O709" s="125">
        <v>0</v>
      </c>
      <c r="P709" s="126">
        <v>0.33541666666666664</v>
      </c>
      <c r="Q709" s="334" t="s">
        <v>574</v>
      </c>
    </row>
    <row r="710" spans="2:17" x14ac:dyDescent="0.25">
      <c r="B710">
        <f>WEEKNUM(BSURTIDOR[[#This Row],[FECHA]])</f>
        <v>16</v>
      </c>
      <c r="C710">
        <f>MONTH(BSURTIDOR[[#This Row],[FECHA]])</f>
        <v>4</v>
      </c>
      <c r="D710">
        <f>YEAR(BSURTIDOR[[#This Row],[FECHA]])</f>
        <v>2026</v>
      </c>
      <c r="E710" s="124">
        <v>46128</v>
      </c>
      <c r="F710" s="382" t="s">
        <v>548</v>
      </c>
      <c r="G710" s="123">
        <v>4</v>
      </c>
      <c r="H710" s="123" t="s">
        <v>87</v>
      </c>
      <c r="I710" s="101" t="str">
        <f>VLOOKUP(BDsurtidor!$H710,$T$4:$W$18,2,FALSE)</f>
        <v>CISTERNA</v>
      </c>
      <c r="J710" s="101">
        <f>VLOOKUP(BDsurtidor!$H710,$T$4:$W$25,3,FALSE)</f>
        <v>5000</v>
      </c>
      <c r="K710" s="101">
        <f>VLOOKUP(BDsurtidor!$H710,$T$4:$W$25,4,FALSE)</f>
        <v>17</v>
      </c>
      <c r="L710" s="101">
        <f>VLOOKUP(BDsurtidor!$H710,$T$4:$X$25,5,FALSE)</f>
        <v>0.4</v>
      </c>
      <c r="M710" s="101" t="str">
        <f>VLOOKUP(BDsurtidor!$H710,$T$4:$Y$25,6,FALSE)</f>
        <v>EPS</v>
      </c>
      <c r="N710" s="101">
        <v>0</v>
      </c>
      <c r="O710" s="125">
        <v>1.4</v>
      </c>
      <c r="P710" s="126">
        <v>0.44791666666666669</v>
      </c>
      <c r="Q710" s="334" t="s">
        <v>574</v>
      </c>
    </row>
    <row r="711" spans="2:17" x14ac:dyDescent="0.25">
      <c r="B711">
        <f>WEEKNUM(BSURTIDOR[[#This Row],[FECHA]])</f>
        <v>16</v>
      </c>
      <c r="C711">
        <f>MONTH(BSURTIDOR[[#This Row],[FECHA]])</f>
        <v>4</v>
      </c>
      <c r="D711">
        <f>YEAR(BSURTIDOR[[#This Row],[FECHA]])</f>
        <v>2026</v>
      </c>
      <c r="E711" s="124">
        <v>46128</v>
      </c>
      <c r="F711" s="382" t="s">
        <v>548</v>
      </c>
      <c r="G711" s="123">
        <v>5</v>
      </c>
      <c r="H711" s="123" t="s">
        <v>99</v>
      </c>
      <c r="I711" s="101" t="str">
        <f>VLOOKUP(BDsurtidor!$H711,$T$4:$W$18,2,FALSE)</f>
        <v>CISTERNA</v>
      </c>
      <c r="J711" s="101">
        <f>VLOOKUP(BDsurtidor!$H711,$T$4:$W$25,3,FALSE)</f>
        <v>5000</v>
      </c>
      <c r="K711" s="101">
        <f>VLOOKUP(BDsurtidor!$H711,$T$4:$W$25,4,FALSE)</f>
        <v>17</v>
      </c>
      <c r="L711" s="101">
        <f>VLOOKUP(BDsurtidor!$H711,$T$4:$X$25,5,FALSE)</f>
        <v>0.4</v>
      </c>
      <c r="M711" s="101" t="str">
        <f>VLOOKUP(BDsurtidor!$H711,$T$4:$Y$25,6,FALSE)</f>
        <v>EPS</v>
      </c>
      <c r="N711" s="101">
        <v>0</v>
      </c>
      <c r="O711" s="125">
        <v>1.44</v>
      </c>
      <c r="P711" s="126">
        <v>0.4826388888888889</v>
      </c>
      <c r="Q711" s="334" t="s">
        <v>574</v>
      </c>
    </row>
    <row r="712" spans="2:17" x14ac:dyDescent="0.25">
      <c r="B712">
        <f>WEEKNUM(BSURTIDOR[[#This Row],[FECHA]])</f>
        <v>16</v>
      </c>
      <c r="C712">
        <f>MONTH(BSURTIDOR[[#This Row],[FECHA]])</f>
        <v>4</v>
      </c>
      <c r="D712">
        <f>YEAR(BSURTIDOR[[#This Row],[FECHA]])</f>
        <v>2026</v>
      </c>
      <c r="E712" s="124">
        <v>46129</v>
      </c>
      <c r="F712" s="382" t="s">
        <v>548</v>
      </c>
      <c r="G712" s="123">
        <v>1</v>
      </c>
      <c r="H712" s="123" t="s">
        <v>100</v>
      </c>
      <c r="I712" s="101" t="str">
        <f>VLOOKUP(BDsurtidor!$H712,$T$4:$W$18,2,FALSE)</f>
        <v>HIDROJET</v>
      </c>
      <c r="J712" s="101">
        <f>VLOOKUP(BDsurtidor!$H712,$T$4:$W$25,3,FALSE)</f>
        <v>1000</v>
      </c>
      <c r="K712" s="101">
        <f>VLOOKUP(BDsurtidor!$H712,$T$4:$W$25,4,FALSE)</f>
        <v>1</v>
      </c>
      <c r="L712" s="101">
        <f>VLOOKUP(BDsurtidor!$H712,$T$4:$X$25,5,FALSE)</f>
        <v>0</v>
      </c>
      <c r="M712" s="101" t="str">
        <f>VLOOKUP(BDsurtidor!$H712,$T$4:$Y$25,6,FALSE)</f>
        <v>EPS</v>
      </c>
      <c r="N712" s="101">
        <v>0</v>
      </c>
      <c r="O712" s="125">
        <v>0</v>
      </c>
      <c r="P712" s="126">
        <v>0.28333333333333333</v>
      </c>
      <c r="Q712" s="334" t="s">
        <v>574</v>
      </c>
    </row>
    <row r="713" spans="2:17" x14ac:dyDescent="0.25">
      <c r="B713">
        <f>WEEKNUM(BSURTIDOR[[#This Row],[FECHA]])</f>
        <v>16</v>
      </c>
      <c r="C713">
        <f>MONTH(BSURTIDOR[[#This Row],[FECHA]])</f>
        <v>4</v>
      </c>
      <c r="D713">
        <f>YEAR(BSURTIDOR[[#This Row],[FECHA]])</f>
        <v>2026</v>
      </c>
      <c r="E713" s="124">
        <v>46129</v>
      </c>
      <c r="F713" s="382" t="s">
        <v>548</v>
      </c>
      <c r="G713" s="123">
        <v>2</v>
      </c>
      <c r="H713" s="123" t="s">
        <v>99</v>
      </c>
      <c r="I713" s="101" t="str">
        <f>VLOOKUP(BDsurtidor!$H713,$T$4:$W$18,2,FALSE)</f>
        <v>CISTERNA</v>
      </c>
      <c r="J713" s="101">
        <f>VLOOKUP(BDsurtidor!$H713,$T$4:$W$25,3,FALSE)</f>
        <v>5000</v>
      </c>
      <c r="K713" s="101">
        <f>VLOOKUP(BDsurtidor!$H713,$T$4:$W$25,4,FALSE)</f>
        <v>17</v>
      </c>
      <c r="L713" s="101">
        <f>VLOOKUP(BDsurtidor!$H713,$T$4:$X$25,5,FALSE)</f>
        <v>0.4</v>
      </c>
      <c r="M713" s="101" t="str">
        <f>VLOOKUP(BDsurtidor!$H713,$T$4:$Y$25,6,FALSE)</f>
        <v>EPS</v>
      </c>
      <c r="N713" s="101">
        <v>0</v>
      </c>
      <c r="O713" s="125">
        <v>1.27</v>
      </c>
      <c r="P713" s="126">
        <v>0.30208333333333331</v>
      </c>
      <c r="Q713" s="334" t="s">
        <v>574</v>
      </c>
    </row>
    <row r="714" spans="2:17" x14ac:dyDescent="0.25">
      <c r="B714">
        <f>WEEKNUM(BSURTIDOR[[#This Row],[FECHA]])</f>
        <v>16</v>
      </c>
      <c r="C714">
        <f>MONTH(BSURTIDOR[[#This Row],[FECHA]])</f>
        <v>4</v>
      </c>
      <c r="D714">
        <f>YEAR(BSURTIDOR[[#This Row],[FECHA]])</f>
        <v>2026</v>
      </c>
      <c r="E714" s="124">
        <v>46129</v>
      </c>
      <c r="F714" s="382" t="s">
        <v>548</v>
      </c>
      <c r="G714" s="123">
        <v>3</v>
      </c>
      <c r="H714" s="123" t="s">
        <v>87</v>
      </c>
      <c r="I714" s="101" t="str">
        <f>VLOOKUP(BDsurtidor!$H714,$T$4:$W$18,2,FALSE)</f>
        <v>CISTERNA</v>
      </c>
      <c r="J714" s="101">
        <f>VLOOKUP(BDsurtidor!$H714,$T$4:$W$25,3,FALSE)</f>
        <v>5000</v>
      </c>
      <c r="K714" s="101">
        <f>VLOOKUP(BDsurtidor!$H714,$T$4:$W$25,4,FALSE)</f>
        <v>17</v>
      </c>
      <c r="L714" s="101">
        <f>VLOOKUP(BDsurtidor!$H714,$T$4:$X$25,5,FALSE)</f>
        <v>0.4</v>
      </c>
      <c r="M714" s="101" t="str">
        <f>VLOOKUP(BDsurtidor!$H714,$T$4:$Y$25,6,FALSE)</f>
        <v>EPS</v>
      </c>
      <c r="N714" s="101">
        <v>0</v>
      </c>
      <c r="O714" s="125">
        <v>1.36</v>
      </c>
      <c r="P714" s="126">
        <v>0.31388888888888888</v>
      </c>
      <c r="Q714" s="334" t="s">
        <v>574</v>
      </c>
    </row>
    <row r="715" spans="2:17" x14ac:dyDescent="0.25">
      <c r="B715">
        <f>WEEKNUM(BSURTIDOR[[#This Row],[FECHA]])</f>
        <v>16</v>
      </c>
      <c r="C715">
        <f>MONTH(BSURTIDOR[[#This Row],[FECHA]])</f>
        <v>4</v>
      </c>
      <c r="D715">
        <f>YEAR(BSURTIDOR[[#This Row],[FECHA]])</f>
        <v>2026</v>
      </c>
      <c r="E715" s="124">
        <v>46129</v>
      </c>
      <c r="F715" s="382" t="s">
        <v>548</v>
      </c>
      <c r="G715" s="123">
        <v>4</v>
      </c>
      <c r="H715" s="123" t="s">
        <v>558</v>
      </c>
      <c r="I715" s="101" t="str">
        <f>VLOOKUP(BDsurtidor!$H715,$T$4:$W$18,2,FALSE)</f>
        <v>HIDROJET</v>
      </c>
      <c r="J715" s="101">
        <f>VLOOKUP(BDsurtidor!$H715,$T$4:$W$25,3,FALSE)</f>
        <v>1000</v>
      </c>
      <c r="K715" s="101">
        <f>VLOOKUP(BDsurtidor!$H715,$T$4:$W$25,4,FALSE)</f>
        <v>1</v>
      </c>
      <c r="L715" s="101">
        <f>VLOOKUP(BDsurtidor!$H715,$T$4:$X$25,5,FALSE)</f>
        <v>0</v>
      </c>
      <c r="M715" s="101" t="str">
        <f>VLOOKUP(BDsurtidor!$H715,$T$4:$Y$25,6,FALSE)</f>
        <v>EPS</v>
      </c>
      <c r="N715" s="101">
        <v>0</v>
      </c>
      <c r="O715" s="125">
        <v>0</v>
      </c>
      <c r="P715" s="126">
        <v>0.35208333333333336</v>
      </c>
      <c r="Q715" s="334" t="s">
        <v>574</v>
      </c>
    </row>
    <row r="716" spans="2:17" x14ac:dyDescent="0.25">
      <c r="B716">
        <f>WEEKNUM(BSURTIDOR[[#This Row],[FECHA]])</f>
        <v>16</v>
      </c>
      <c r="C716">
        <f>MONTH(BSURTIDOR[[#This Row],[FECHA]])</f>
        <v>4</v>
      </c>
      <c r="D716">
        <f>YEAR(BSURTIDOR[[#This Row],[FECHA]])</f>
        <v>2026</v>
      </c>
      <c r="E716" s="124">
        <v>46129</v>
      </c>
      <c r="F716" s="364" t="s">
        <v>109</v>
      </c>
      <c r="G716" s="123">
        <v>5</v>
      </c>
      <c r="H716" s="123" t="s">
        <v>99</v>
      </c>
      <c r="I716" s="101" t="str">
        <f>VLOOKUP(BDsurtidor!$H716,$T$4:$W$18,2,FALSE)</f>
        <v>CISTERNA</v>
      </c>
      <c r="J716" s="101">
        <f>VLOOKUP(BDsurtidor!$H716,$T$4:$W$25,3,FALSE)</f>
        <v>5000</v>
      </c>
      <c r="K716" s="101">
        <f>VLOOKUP(BDsurtidor!$H716,$T$4:$W$25,4,FALSE)</f>
        <v>17</v>
      </c>
      <c r="L716" s="101">
        <f>VLOOKUP(BDsurtidor!$H716,$T$4:$X$25,5,FALSE)</f>
        <v>0.4</v>
      </c>
      <c r="M716" s="101" t="str">
        <f>VLOOKUP(BDsurtidor!$H716,$T$4:$Y$25,6,FALSE)</f>
        <v>EPS</v>
      </c>
      <c r="N716" s="101">
        <v>0</v>
      </c>
      <c r="O716" s="125">
        <v>1.71</v>
      </c>
      <c r="P716" s="126">
        <v>0.44861111111111113</v>
      </c>
      <c r="Q716" s="334" t="s">
        <v>574</v>
      </c>
    </row>
    <row r="717" spans="2:17" x14ac:dyDescent="0.25">
      <c r="B717">
        <f>WEEKNUM(BSURTIDOR[[#This Row],[FECHA]])</f>
        <v>16</v>
      </c>
      <c r="C717">
        <f>MONTH(BSURTIDOR[[#This Row],[FECHA]])</f>
        <v>4</v>
      </c>
      <c r="D717">
        <f>YEAR(BSURTIDOR[[#This Row],[FECHA]])</f>
        <v>2026</v>
      </c>
      <c r="E717" s="124">
        <v>46129</v>
      </c>
      <c r="F717" s="364" t="s">
        <v>109</v>
      </c>
      <c r="G717" s="123">
        <v>6</v>
      </c>
      <c r="H717" s="123" t="s">
        <v>87</v>
      </c>
      <c r="I717" s="101" t="str">
        <f>VLOOKUP(BDsurtidor!$H717,$T$4:$W$18,2,FALSE)</f>
        <v>CISTERNA</v>
      </c>
      <c r="J717" s="101">
        <f>VLOOKUP(BDsurtidor!$H717,$T$4:$W$25,3,FALSE)</f>
        <v>5000</v>
      </c>
      <c r="K717" s="101">
        <f>VLOOKUP(BDsurtidor!$H717,$T$4:$W$25,4,FALSE)</f>
        <v>17</v>
      </c>
      <c r="L717" s="101">
        <f>VLOOKUP(BDsurtidor!$H717,$T$4:$X$25,5,FALSE)</f>
        <v>0.4</v>
      </c>
      <c r="M717" s="101" t="str">
        <f>VLOOKUP(BDsurtidor!$H717,$T$4:$Y$25,6,FALSE)</f>
        <v>EPS</v>
      </c>
      <c r="N717" s="101">
        <v>0</v>
      </c>
      <c r="O717" s="125">
        <v>1.3</v>
      </c>
      <c r="P717" s="126">
        <v>0.45694444444444443</v>
      </c>
      <c r="Q717" s="123" t="s">
        <v>626</v>
      </c>
    </row>
    <row r="718" spans="2:17" x14ac:dyDescent="0.25">
      <c r="B718">
        <f>WEEKNUM(BSURTIDOR[[#This Row],[FECHA]])</f>
        <v>16</v>
      </c>
      <c r="C718">
        <f>MONTH(BSURTIDOR[[#This Row],[FECHA]])</f>
        <v>4</v>
      </c>
      <c r="D718">
        <f>YEAR(BSURTIDOR[[#This Row],[FECHA]])</f>
        <v>2026</v>
      </c>
      <c r="E718" s="124">
        <v>46130</v>
      </c>
      <c r="F718" s="364" t="s">
        <v>109</v>
      </c>
      <c r="G718" s="123">
        <v>1</v>
      </c>
      <c r="H718" s="123" t="s">
        <v>99</v>
      </c>
      <c r="I718" s="101" t="str">
        <f>VLOOKUP(BDsurtidor!$H718,$T$4:$W$18,2,FALSE)</f>
        <v>CISTERNA</v>
      </c>
      <c r="J718" s="101">
        <f>VLOOKUP(BDsurtidor!$H718,$T$4:$W$25,3,FALSE)</f>
        <v>5000</v>
      </c>
      <c r="K718" s="101">
        <f>VLOOKUP(BDsurtidor!$H718,$T$4:$W$25,4,FALSE)</f>
        <v>17</v>
      </c>
      <c r="L718" s="101">
        <f>VLOOKUP(BDsurtidor!$H718,$T$4:$X$25,5,FALSE)</f>
        <v>0.4</v>
      </c>
      <c r="M718" s="101" t="str">
        <f>VLOOKUP(BDsurtidor!$H718,$T$4:$Y$25,6,FALSE)</f>
        <v>EPS</v>
      </c>
      <c r="N718" s="101">
        <v>0</v>
      </c>
      <c r="O718" s="125">
        <v>1.1299999999999999</v>
      </c>
      <c r="P718" s="425">
        <v>0.40972222222222221</v>
      </c>
      <c r="Q718" s="123" t="s">
        <v>626</v>
      </c>
    </row>
    <row r="719" spans="2:17" x14ac:dyDescent="0.25">
      <c r="B719">
        <f>WEEKNUM(BSURTIDOR[[#This Row],[FECHA]])</f>
        <v>16</v>
      </c>
      <c r="C719">
        <f>MONTH(BSURTIDOR[[#This Row],[FECHA]])</f>
        <v>4</v>
      </c>
      <c r="D719">
        <f>YEAR(BSURTIDOR[[#This Row],[FECHA]])</f>
        <v>2026</v>
      </c>
      <c r="E719" s="124">
        <v>46130</v>
      </c>
      <c r="F719" s="364" t="s">
        <v>109</v>
      </c>
      <c r="G719" s="123">
        <v>2</v>
      </c>
      <c r="H719" s="123" t="s">
        <v>87</v>
      </c>
      <c r="I719" s="101" t="str">
        <f>VLOOKUP(BDsurtidor!$H719,$T$4:$W$18,2,FALSE)</f>
        <v>CISTERNA</v>
      </c>
      <c r="J719" s="101">
        <f>VLOOKUP(BDsurtidor!$H719,$T$4:$W$25,3,FALSE)</f>
        <v>5000</v>
      </c>
      <c r="K719" s="101">
        <f>VLOOKUP(BDsurtidor!$H719,$T$4:$W$25,4,FALSE)</f>
        <v>17</v>
      </c>
      <c r="L719" s="101">
        <f>VLOOKUP(BDsurtidor!$H719,$T$4:$X$25,5,FALSE)</f>
        <v>0.4</v>
      </c>
      <c r="M719" s="101" t="str">
        <f>VLOOKUP(BDsurtidor!$H719,$T$4:$Y$25,6,FALSE)</f>
        <v>EPS</v>
      </c>
      <c r="N719" s="101">
        <v>0</v>
      </c>
      <c r="O719" s="125">
        <v>1.22</v>
      </c>
      <c r="P719" s="425">
        <v>0.42777777777777776</v>
      </c>
      <c r="Q719" s="123" t="s">
        <v>626</v>
      </c>
    </row>
    <row r="720" spans="2:17" x14ac:dyDescent="0.25">
      <c r="B720">
        <f>WEEKNUM(BSURTIDOR[[#This Row],[FECHA]])</f>
        <v>16</v>
      </c>
      <c r="C720">
        <f>MONTH(BSURTIDOR[[#This Row],[FECHA]])</f>
        <v>4</v>
      </c>
      <c r="D720">
        <f>YEAR(BSURTIDOR[[#This Row],[FECHA]])</f>
        <v>2026</v>
      </c>
      <c r="E720" s="124">
        <v>46130</v>
      </c>
      <c r="F720" s="382" t="s">
        <v>548</v>
      </c>
      <c r="G720" s="123">
        <v>3</v>
      </c>
      <c r="H720" s="123" t="s">
        <v>99</v>
      </c>
      <c r="I720" s="101" t="str">
        <f>VLOOKUP(BDsurtidor!$H720,$T$4:$W$18,2,FALSE)</f>
        <v>CISTERNA</v>
      </c>
      <c r="J720" s="101">
        <f>VLOOKUP(BDsurtidor!$H720,$T$4:$W$25,3,FALSE)</f>
        <v>5000</v>
      </c>
      <c r="K720" s="101">
        <f>VLOOKUP(BDsurtidor!$H720,$T$4:$W$25,4,FALSE)</f>
        <v>17</v>
      </c>
      <c r="L720" s="101">
        <f>VLOOKUP(BDsurtidor!$H720,$T$4:$X$25,5,FALSE)</f>
        <v>0.4</v>
      </c>
      <c r="M720" s="101" t="str">
        <f>VLOOKUP(BDsurtidor!$H720,$T$4:$Y$25,6,FALSE)</f>
        <v>EPS</v>
      </c>
      <c r="N720" s="101">
        <v>0</v>
      </c>
      <c r="O720" s="125">
        <v>1.07</v>
      </c>
      <c r="P720" s="126">
        <v>0.30625000000000002</v>
      </c>
      <c r="Q720" s="334" t="s">
        <v>574</v>
      </c>
    </row>
    <row r="721" spans="2:17" x14ac:dyDescent="0.25">
      <c r="B721">
        <f>WEEKNUM(BSURTIDOR[[#This Row],[FECHA]])</f>
        <v>16</v>
      </c>
      <c r="C721">
        <f>MONTH(BSURTIDOR[[#This Row],[FECHA]])</f>
        <v>4</v>
      </c>
      <c r="D721">
        <f>YEAR(BSURTIDOR[[#This Row],[FECHA]])</f>
        <v>2026</v>
      </c>
      <c r="E721" s="124">
        <v>46130</v>
      </c>
      <c r="F721" s="382" t="s">
        <v>548</v>
      </c>
      <c r="G721" s="123">
        <v>4</v>
      </c>
      <c r="H721" s="123" t="s">
        <v>87</v>
      </c>
      <c r="I721" s="101" t="str">
        <f>VLOOKUP(BDsurtidor!$H721,$T$4:$W$18,2,FALSE)</f>
        <v>CISTERNA</v>
      </c>
      <c r="J721" s="101">
        <f>VLOOKUP(BDsurtidor!$H721,$T$4:$W$25,3,FALSE)</f>
        <v>5000</v>
      </c>
      <c r="K721" s="101">
        <f>VLOOKUP(BDsurtidor!$H721,$T$4:$W$25,4,FALSE)</f>
        <v>17</v>
      </c>
      <c r="L721" s="101">
        <f>VLOOKUP(BDsurtidor!$H721,$T$4:$X$25,5,FALSE)</f>
        <v>0.4</v>
      </c>
      <c r="M721" s="101" t="str">
        <f>VLOOKUP(BDsurtidor!$H721,$T$4:$Y$25,6,FALSE)</f>
        <v>EPS</v>
      </c>
      <c r="N721" s="101">
        <v>0</v>
      </c>
      <c r="O721" s="125">
        <v>1.1200000000000001</v>
      </c>
      <c r="P721" s="126">
        <v>0.31666666666666665</v>
      </c>
      <c r="Q721" s="334" t="s">
        <v>574</v>
      </c>
    </row>
    <row r="722" spans="2:17" x14ac:dyDescent="0.25">
      <c r="B722">
        <f>WEEKNUM(BSURTIDOR[[#This Row],[FECHA]])</f>
        <v>16</v>
      </c>
      <c r="C722">
        <f>MONTH(BSURTIDOR[[#This Row],[FECHA]])</f>
        <v>4</v>
      </c>
      <c r="D722">
        <f>YEAR(BSURTIDOR[[#This Row],[FECHA]])</f>
        <v>2026</v>
      </c>
      <c r="E722" s="124">
        <v>46130</v>
      </c>
      <c r="F722" s="382" t="s">
        <v>548</v>
      </c>
      <c r="G722" s="123">
        <v>5</v>
      </c>
      <c r="H722" s="123" t="s">
        <v>558</v>
      </c>
      <c r="I722" s="101" t="str">
        <f>VLOOKUP(BDsurtidor!$H722,$T$4:$W$18,2,FALSE)</f>
        <v>HIDROJET</v>
      </c>
      <c r="J722" s="101">
        <f>VLOOKUP(BDsurtidor!$H722,$T$4:$W$25,3,FALSE)</f>
        <v>1000</v>
      </c>
      <c r="K722" s="101">
        <f>VLOOKUP(BDsurtidor!$H722,$T$4:$W$25,4,FALSE)</f>
        <v>1</v>
      </c>
      <c r="L722" s="101">
        <f>VLOOKUP(BDsurtidor!$H722,$T$4:$X$25,5,FALSE)</f>
        <v>0</v>
      </c>
      <c r="M722" s="101" t="str">
        <f>VLOOKUP(BDsurtidor!$H722,$T$4:$Y$25,6,FALSE)</f>
        <v>EPS</v>
      </c>
      <c r="N722" s="101">
        <v>0</v>
      </c>
      <c r="O722" s="125">
        <v>0</v>
      </c>
      <c r="P722" s="126">
        <v>0.32916666666666666</v>
      </c>
      <c r="Q722" s="334" t="s">
        <v>574</v>
      </c>
    </row>
    <row r="723" spans="2:17" x14ac:dyDescent="0.25">
      <c r="B723">
        <f>WEEKNUM(BSURTIDOR[[#This Row],[FECHA]])</f>
        <v>16</v>
      </c>
      <c r="C723">
        <f>MONTH(BSURTIDOR[[#This Row],[FECHA]])</f>
        <v>4</v>
      </c>
      <c r="D723">
        <f>YEAR(BSURTIDOR[[#This Row],[FECHA]])</f>
        <v>2026</v>
      </c>
      <c r="E723" s="124">
        <v>46130</v>
      </c>
      <c r="F723" s="382" t="s">
        <v>548</v>
      </c>
      <c r="G723" s="123">
        <v>6</v>
      </c>
      <c r="H723" s="123" t="s">
        <v>87</v>
      </c>
      <c r="I723" s="101" t="str">
        <f>VLOOKUP(BDsurtidor!$H723,$T$4:$W$18,2,FALSE)</f>
        <v>CISTERNA</v>
      </c>
      <c r="J723" s="101">
        <f>VLOOKUP(BDsurtidor!$H723,$T$4:$W$25,3,FALSE)</f>
        <v>5000</v>
      </c>
      <c r="K723" s="101">
        <f>VLOOKUP(BDsurtidor!$H723,$T$4:$W$25,4,FALSE)</f>
        <v>17</v>
      </c>
      <c r="L723" s="101">
        <f>VLOOKUP(BDsurtidor!$H723,$T$4:$X$25,5,FALSE)</f>
        <v>0.4</v>
      </c>
      <c r="M723" s="101" t="str">
        <f>VLOOKUP(BDsurtidor!$H723,$T$4:$Y$25,6,FALSE)</f>
        <v>EPS</v>
      </c>
      <c r="N723" s="101">
        <v>0</v>
      </c>
      <c r="O723" s="125">
        <v>1.1000000000000001</v>
      </c>
      <c r="P723" s="126">
        <v>0.54374999999999996</v>
      </c>
      <c r="Q723" s="334" t="s">
        <v>574</v>
      </c>
    </row>
    <row r="724" spans="2:17" x14ac:dyDescent="0.25">
      <c r="B724">
        <f>WEEKNUM(BSURTIDOR[[#This Row],[FECHA]])</f>
        <v>17</v>
      </c>
      <c r="C724">
        <f>MONTH(BSURTIDOR[[#This Row],[FECHA]])</f>
        <v>4</v>
      </c>
      <c r="D724">
        <f>YEAR(BSURTIDOR[[#This Row],[FECHA]])</f>
        <v>2026</v>
      </c>
      <c r="E724" s="124">
        <v>46131</v>
      </c>
      <c r="F724" s="382" t="s">
        <v>548</v>
      </c>
      <c r="G724" s="123">
        <v>1</v>
      </c>
      <c r="H724" s="123" t="s">
        <v>99</v>
      </c>
      <c r="I724" s="101" t="str">
        <f>VLOOKUP(BDsurtidor!$H724,$T$4:$W$18,2,FALSE)</f>
        <v>CISTERNA</v>
      </c>
      <c r="J724" s="101">
        <f>VLOOKUP(BDsurtidor!$H724,$T$4:$W$25,3,FALSE)</f>
        <v>5000</v>
      </c>
      <c r="K724" s="101">
        <f>VLOOKUP(BDsurtidor!$H724,$T$4:$W$25,4,FALSE)</f>
        <v>17</v>
      </c>
      <c r="L724" s="101">
        <f>VLOOKUP(BDsurtidor!$H724,$T$4:$X$25,5,FALSE)</f>
        <v>0.4</v>
      </c>
      <c r="M724" s="101" t="str">
        <f>VLOOKUP(BDsurtidor!$H724,$T$4:$Y$25,6,FALSE)</f>
        <v>EPS</v>
      </c>
      <c r="N724" s="101">
        <v>0</v>
      </c>
      <c r="O724" s="125">
        <v>1.1100000000000001</v>
      </c>
      <c r="P724" s="126">
        <v>0.30555555555555558</v>
      </c>
      <c r="Q724" s="334" t="s">
        <v>574</v>
      </c>
    </row>
    <row r="725" spans="2:17" x14ac:dyDescent="0.25">
      <c r="B725">
        <f>WEEKNUM(BSURTIDOR[[#This Row],[FECHA]])</f>
        <v>17</v>
      </c>
      <c r="C725">
        <f>MONTH(BSURTIDOR[[#This Row],[FECHA]])</f>
        <v>4</v>
      </c>
      <c r="D725">
        <f>YEAR(BSURTIDOR[[#This Row],[FECHA]])</f>
        <v>2026</v>
      </c>
      <c r="E725" s="124">
        <v>46131</v>
      </c>
      <c r="F725" s="382" t="s">
        <v>548</v>
      </c>
      <c r="G725" s="123">
        <v>2</v>
      </c>
      <c r="H725" s="123" t="s">
        <v>87</v>
      </c>
      <c r="I725" s="101" t="str">
        <f>VLOOKUP(BDsurtidor!$H725,$T$4:$W$18,2,FALSE)</f>
        <v>CISTERNA</v>
      </c>
      <c r="J725" s="101">
        <f>VLOOKUP(BDsurtidor!$H725,$T$4:$W$25,3,FALSE)</f>
        <v>5000</v>
      </c>
      <c r="K725" s="101">
        <f>VLOOKUP(BDsurtidor!$H725,$T$4:$W$25,4,FALSE)</f>
        <v>17</v>
      </c>
      <c r="L725" s="101">
        <f>VLOOKUP(BDsurtidor!$H725,$T$4:$X$25,5,FALSE)</f>
        <v>0.4</v>
      </c>
      <c r="M725" s="101" t="str">
        <f>VLOOKUP(BDsurtidor!$H725,$T$4:$Y$25,6,FALSE)</f>
        <v>EPS</v>
      </c>
      <c r="N725" s="101">
        <v>0</v>
      </c>
      <c r="O725" s="125">
        <v>1.1399999999999999</v>
      </c>
      <c r="P725" s="126">
        <v>0.31874999999999998</v>
      </c>
      <c r="Q725" s="334" t="s">
        <v>574</v>
      </c>
    </row>
    <row r="726" spans="2:17" x14ac:dyDescent="0.25">
      <c r="B726">
        <f>WEEKNUM(BSURTIDOR[[#This Row],[FECHA]])</f>
        <v>17</v>
      </c>
      <c r="C726">
        <f>MONTH(BSURTIDOR[[#This Row],[FECHA]])</f>
        <v>4</v>
      </c>
      <c r="D726">
        <f>YEAR(BSURTIDOR[[#This Row],[FECHA]])</f>
        <v>2026</v>
      </c>
      <c r="E726" s="124">
        <v>46132</v>
      </c>
      <c r="F726" s="382" t="s">
        <v>548</v>
      </c>
      <c r="G726" s="123">
        <v>1</v>
      </c>
      <c r="H726" s="123" t="s">
        <v>99</v>
      </c>
      <c r="I726" s="101" t="str">
        <f>VLOOKUP(BDsurtidor!$H726,$T$4:$W$18,2,FALSE)</f>
        <v>CISTERNA</v>
      </c>
      <c r="J726" s="101">
        <f>VLOOKUP(BDsurtidor!$H726,$T$4:$W$25,3,FALSE)</f>
        <v>5000</v>
      </c>
      <c r="K726" s="101">
        <f>VLOOKUP(BDsurtidor!$H726,$T$4:$W$25,4,FALSE)</f>
        <v>17</v>
      </c>
      <c r="L726" s="101">
        <f>VLOOKUP(BDsurtidor!$H726,$T$4:$X$25,5,FALSE)</f>
        <v>0.4</v>
      </c>
      <c r="M726" s="101" t="str">
        <f>VLOOKUP(BDsurtidor!$H726,$T$4:$Y$25,6,FALSE)</f>
        <v>EPS</v>
      </c>
      <c r="N726" s="101">
        <v>0</v>
      </c>
      <c r="O726" s="125">
        <v>1.1599999999999999</v>
      </c>
      <c r="P726" s="126">
        <v>0.30625000000000002</v>
      </c>
      <c r="Q726" s="334" t="s">
        <v>574</v>
      </c>
    </row>
    <row r="727" spans="2:17" x14ac:dyDescent="0.25">
      <c r="B727">
        <f>WEEKNUM(BSURTIDOR[[#This Row],[FECHA]])</f>
        <v>17</v>
      </c>
      <c r="C727">
        <f>MONTH(BSURTIDOR[[#This Row],[FECHA]])</f>
        <v>4</v>
      </c>
      <c r="D727">
        <f>YEAR(BSURTIDOR[[#This Row],[FECHA]])</f>
        <v>2026</v>
      </c>
      <c r="E727" s="124">
        <v>46132</v>
      </c>
      <c r="F727" s="382" t="s">
        <v>548</v>
      </c>
      <c r="G727" s="123">
        <v>2</v>
      </c>
      <c r="H727" s="123" t="s">
        <v>87</v>
      </c>
      <c r="I727" s="101" t="str">
        <f>VLOOKUP(BDsurtidor!$H727,$T$4:$W$18,2,FALSE)</f>
        <v>CISTERNA</v>
      </c>
      <c r="J727" s="101">
        <f>VLOOKUP(BDsurtidor!$H727,$T$4:$W$25,3,FALSE)</f>
        <v>5000</v>
      </c>
      <c r="K727" s="101">
        <f>VLOOKUP(BDsurtidor!$H727,$T$4:$W$25,4,FALSE)</f>
        <v>17</v>
      </c>
      <c r="L727" s="101">
        <f>VLOOKUP(BDsurtidor!$H727,$T$4:$X$25,5,FALSE)</f>
        <v>0.4</v>
      </c>
      <c r="M727" s="101" t="str">
        <f>VLOOKUP(BDsurtidor!$H727,$T$4:$Y$25,6,FALSE)</f>
        <v>EPS</v>
      </c>
      <c r="N727" s="101">
        <v>0</v>
      </c>
      <c r="O727" s="125">
        <v>1.17</v>
      </c>
      <c r="P727" s="126">
        <v>0.31944444444444442</v>
      </c>
      <c r="Q727" s="334" t="s">
        <v>574</v>
      </c>
    </row>
    <row r="728" spans="2:17" x14ac:dyDescent="0.25">
      <c r="B728">
        <f>WEEKNUM(BSURTIDOR[[#This Row],[FECHA]])</f>
        <v>17</v>
      </c>
      <c r="C728">
        <f>MONTH(BSURTIDOR[[#This Row],[FECHA]])</f>
        <v>4</v>
      </c>
      <c r="D728">
        <f>YEAR(BSURTIDOR[[#This Row],[FECHA]])</f>
        <v>2026</v>
      </c>
      <c r="E728" s="124">
        <v>46132</v>
      </c>
      <c r="F728" s="382" t="s">
        <v>548</v>
      </c>
      <c r="G728" s="123">
        <v>3</v>
      </c>
      <c r="H728" s="123" t="s">
        <v>95</v>
      </c>
      <c r="I728" s="101" t="str">
        <f>VLOOKUP(BDsurtidor!$H728,$T$4:$W$18,2,FALSE)</f>
        <v>CISTERNA</v>
      </c>
      <c r="J728" s="101">
        <f>VLOOKUP(BDsurtidor!$H728,$T$4:$W$25,3,FALSE)</f>
        <v>2500</v>
      </c>
      <c r="K728" s="101">
        <f>VLOOKUP(BDsurtidor!$H728,$T$4:$W$25,4,FALSE)</f>
        <v>9</v>
      </c>
      <c r="L728" s="101">
        <f>VLOOKUP(BDsurtidor!$H728,$T$4:$X$25,5,FALSE)</f>
        <v>0.22</v>
      </c>
      <c r="M728" s="101" t="str">
        <f>VLOOKUP(BDsurtidor!$H728,$T$4:$Y$25,6,FALSE)</f>
        <v>EPS</v>
      </c>
      <c r="N728" s="101">
        <v>0</v>
      </c>
      <c r="O728" s="125">
        <v>0</v>
      </c>
      <c r="P728" s="126">
        <v>0.3263888888888889</v>
      </c>
      <c r="Q728" s="334" t="s">
        <v>574</v>
      </c>
    </row>
    <row r="729" spans="2:17" x14ac:dyDescent="0.25">
      <c r="B729">
        <f>WEEKNUM(BSURTIDOR[[#This Row],[FECHA]])</f>
        <v>17</v>
      </c>
      <c r="C729">
        <f>MONTH(BSURTIDOR[[#This Row],[FECHA]])</f>
        <v>4</v>
      </c>
      <c r="D729">
        <f>YEAR(BSURTIDOR[[#This Row],[FECHA]])</f>
        <v>2026</v>
      </c>
      <c r="E729" s="124">
        <v>46132</v>
      </c>
      <c r="F729" s="382" t="s">
        <v>548</v>
      </c>
      <c r="G729" s="123">
        <v>4</v>
      </c>
      <c r="H729" s="123" t="s">
        <v>87</v>
      </c>
      <c r="I729" s="101" t="str">
        <f>VLOOKUP(BDsurtidor!$H729,$T$4:$W$18,2,FALSE)</f>
        <v>CISTERNA</v>
      </c>
      <c r="J729" s="101">
        <f>VLOOKUP(BDsurtidor!$H729,$T$4:$W$25,3,FALSE)</f>
        <v>5000</v>
      </c>
      <c r="K729" s="101">
        <f>VLOOKUP(BDsurtidor!$H729,$T$4:$W$25,4,FALSE)</f>
        <v>17</v>
      </c>
      <c r="L729" s="101">
        <f>VLOOKUP(BDsurtidor!$H729,$T$4:$X$25,5,FALSE)</f>
        <v>0.4</v>
      </c>
      <c r="M729" s="101" t="str">
        <f>VLOOKUP(BDsurtidor!$H729,$T$4:$Y$25,6,FALSE)</f>
        <v>EPS</v>
      </c>
      <c r="N729" s="101">
        <v>0</v>
      </c>
      <c r="O729" s="125">
        <v>1.32</v>
      </c>
      <c r="P729" s="126">
        <v>0.51388888888888884</v>
      </c>
      <c r="Q729" s="334" t="s">
        <v>574</v>
      </c>
    </row>
    <row r="730" spans="2:17" x14ac:dyDescent="0.25">
      <c r="B730">
        <f>WEEKNUM(BSURTIDOR[[#This Row],[FECHA]])</f>
        <v>17</v>
      </c>
      <c r="C730">
        <f>MONTH(BSURTIDOR[[#This Row],[FECHA]])</f>
        <v>4</v>
      </c>
      <c r="D730">
        <f>YEAR(BSURTIDOR[[#This Row],[FECHA]])</f>
        <v>2026</v>
      </c>
      <c r="E730" s="124">
        <v>46132</v>
      </c>
      <c r="F730" s="382" t="s">
        <v>548</v>
      </c>
      <c r="G730" s="123">
        <v>5</v>
      </c>
      <c r="H730" s="123" t="s">
        <v>99</v>
      </c>
      <c r="I730" s="101" t="str">
        <f>VLOOKUP(BDsurtidor!$H730,$T$4:$W$18,2,FALSE)</f>
        <v>CISTERNA</v>
      </c>
      <c r="J730" s="101">
        <f>VLOOKUP(BDsurtidor!$H730,$T$4:$W$25,3,FALSE)</f>
        <v>5000</v>
      </c>
      <c r="K730" s="101">
        <f>VLOOKUP(BDsurtidor!$H730,$T$4:$W$25,4,FALSE)</f>
        <v>17</v>
      </c>
      <c r="L730" s="101">
        <f>VLOOKUP(BDsurtidor!$H730,$T$4:$X$25,5,FALSE)</f>
        <v>0.4</v>
      </c>
      <c r="M730" s="101" t="str">
        <f>VLOOKUP(BDsurtidor!$H730,$T$4:$Y$25,6,FALSE)</f>
        <v>EPS</v>
      </c>
      <c r="N730" s="101">
        <v>0</v>
      </c>
      <c r="O730" s="125">
        <v>1.3</v>
      </c>
      <c r="P730" s="126">
        <v>0.52222222222222225</v>
      </c>
      <c r="Q730" s="334" t="s">
        <v>574</v>
      </c>
    </row>
    <row r="731" spans="2:17" x14ac:dyDescent="0.25">
      <c r="B731">
        <f>WEEKNUM(BSURTIDOR[[#This Row],[FECHA]])</f>
        <v>17</v>
      </c>
      <c r="C731">
        <f>MONTH(BSURTIDOR[[#This Row],[FECHA]])</f>
        <v>4</v>
      </c>
      <c r="D731">
        <f>YEAR(BSURTIDOR[[#This Row],[FECHA]])</f>
        <v>2026</v>
      </c>
      <c r="E731" s="124">
        <v>46132</v>
      </c>
      <c r="F731" s="382" t="s">
        <v>548</v>
      </c>
      <c r="G731" s="123">
        <v>6</v>
      </c>
      <c r="H731" s="123" t="s">
        <v>87</v>
      </c>
      <c r="I731" s="101" t="str">
        <f>VLOOKUP(BDsurtidor!$H731,$T$4:$W$18,2,FALSE)</f>
        <v>CISTERNA</v>
      </c>
      <c r="J731" s="101">
        <f>VLOOKUP(BDsurtidor!$H731,$T$4:$W$25,3,FALSE)</f>
        <v>5000</v>
      </c>
      <c r="K731" s="101">
        <f>VLOOKUP(BDsurtidor!$H731,$T$4:$W$25,4,FALSE)</f>
        <v>17</v>
      </c>
      <c r="L731" s="101">
        <f>VLOOKUP(BDsurtidor!$H731,$T$4:$X$25,5,FALSE)</f>
        <v>0.4</v>
      </c>
      <c r="M731" s="101" t="str">
        <f>VLOOKUP(BDsurtidor!$H731,$T$4:$Y$25,6,FALSE)</f>
        <v>EPS</v>
      </c>
      <c r="N731" s="101">
        <v>0</v>
      </c>
      <c r="O731" s="125">
        <v>1.2</v>
      </c>
      <c r="P731" s="126">
        <v>0.50555555555555554</v>
      </c>
      <c r="Q731" s="334" t="s">
        <v>574</v>
      </c>
    </row>
    <row r="732" spans="2:17" x14ac:dyDescent="0.25">
      <c r="B732">
        <f>WEEKNUM(BSURTIDOR[[#This Row],[FECHA]])</f>
        <v>17</v>
      </c>
      <c r="C732">
        <f>MONTH(BSURTIDOR[[#This Row],[FECHA]])</f>
        <v>4</v>
      </c>
      <c r="D732">
        <f>YEAR(BSURTIDOR[[#This Row],[FECHA]])</f>
        <v>2026</v>
      </c>
      <c r="E732" s="124">
        <v>46132</v>
      </c>
      <c r="F732" s="364" t="s">
        <v>109</v>
      </c>
      <c r="G732" s="123">
        <v>7</v>
      </c>
      <c r="H732" s="123" t="s">
        <v>99</v>
      </c>
      <c r="I732" s="101" t="str">
        <f>VLOOKUP(BDsurtidor!$H732,$T$4:$W$18,2,FALSE)</f>
        <v>CISTERNA</v>
      </c>
      <c r="J732" s="101">
        <f>VLOOKUP(BDsurtidor!$H732,$T$4:$W$25,3,FALSE)</f>
        <v>5000</v>
      </c>
      <c r="K732" s="101">
        <f>VLOOKUP(BDsurtidor!$H732,$T$4:$W$25,4,FALSE)</f>
        <v>17</v>
      </c>
      <c r="L732" s="101">
        <f>VLOOKUP(BDsurtidor!$H732,$T$4:$X$25,5,FALSE)</f>
        <v>0.4</v>
      </c>
      <c r="M732" s="101" t="str">
        <f>VLOOKUP(BDsurtidor!$H732,$T$4:$Y$25,6,FALSE)</f>
        <v>EPS</v>
      </c>
      <c r="N732" s="101">
        <v>0</v>
      </c>
      <c r="O732" s="125">
        <v>1.48</v>
      </c>
      <c r="P732" s="126">
        <v>0.40486111111111112</v>
      </c>
      <c r="Q732" s="123" t="s">
        <v>626</v>
      </c>
    </row>
    <row r="733" spans="2:17" x14ac:dyDescent="0.25">
      <c r="B733">
        <f>WEEKNUM(BSURTIDOR[[#This Row],[FECHA]])</f>
        <v>17</v>
      </c>
      <c r="C733">
        <f>MONTH(BSURTIDOR[[#This Row],[FECHA]])</f>
        <v>4</v>
      </c>
      <c r="D733">
        <f>YEAR(BSURTIDOR[[#This Row],[FECHA]])</f>
        <v>2026</v>
      </c>
      <c r="E733" s="124">
        <v>46133</v>
      </c>
      <c r="F733" s="382" t="s">
        <v>548</v>
      </c>
      <c r="G733" s="123">
        <v>1</v>
      </c>
      <c r="H733" s="123" t="s">
        <v>99</v>
      </c>
      <c r="I733" s="101" t="str">
        <f>VLOOKUP(BDsurtidor!$H733,$T$4:$W$18,2,FALSE)</f>
        <v>CISTERNA</v>
      </c>
      <c r="J733" s="101">
        <f>VLOOKUP(BDsurtidor!$H733,$T$4:$W$25,3,FALSE)</f>
        <v>5000</v>
      </c>
      <c r="K733" s="101">
        <f>VLOOKUP(BDsurtidor!$H733,$T$4:$W$25,4,FALSE)</f>
        <v>17</v>
      </c>
      <c r="L733" s="101">
        <f>VLOOKUP(BDsurtidor!$H733,$T$4:$X$25,5,FALSE)</f>
        <v>0.4</v>
      </c>
      <c r="M733" s="101" t="str">
        <f>VLOOKUP(BDsurtidor!$H733,$T$4:$Y$25,6,FALSE)</f>
        <v>EPS</v>
      </c>
      <c r="N733" s="101">
        <v>0</v>
      </c>
      <c r="O733" s="125">
        <v>1.35</v>
      </c>
      <c r="P733" s="126">
        <v>0.30555555555555558</v>
      </c>
      <c r="Q733" s="334" t="s">
        <v>574</v>
      </c>
    </row>
    <row r="734" spans="2:17" x14ac:dyDescent="0.25">
      <c r="B734">
        <f>WEEKNUM(BSURTIDOR[[#This Row],[FECHA]])</f>
        <v>17</v>
      </c>
      <c r="C734">
        <f>MONTH(BSURTIDOR[[#This Row],[FECHA]])</f>
        <v>4</v>
      </c>
      <c r="D734">
        <f>YEAR(BSURTIDOR[[#This Row],[FECHA]])</f>
        <v>2026</v>
      </c>
      <c r="E734" s="124">
        <v>46133</v>
      </c>
      <c r="F734" s="382" t="s">
        <v>548</v>
      </c>
      <c r="G734" s="123">
        <v>2</v>
      </c>
      <c r="H734" s="123" t="s">
        <v>87</v>
      </c>
      <c r="I734" s="101" t="str">
        <f>VLOOKUP(BDsurtidor!$H734,$T$4:$W$18,2,FALSE)</f>
        <v>CISTERNA</v>
      </c>
      <c r="J734" s="101">
        <f>VLOOKUP(BDsurtidor!$H734,$T$4:$W$25,3,FALSE)</f>
        <v>5000</v>
      </c>
      <c r="K734" s="101">
        <f>VLOOKUP(BDsurtidor!$H734,$T$4:$W$25,4,FALSE)</f>
        <v>17</v>
      </c>
      <c r="L734" s="101">
        <f>VLOOKUP(BDsurtidor!$H734,$T$4:$X$25,5,FALSE)</f>
        <v>0.4</v>
      </c>
      <c r="M734" s="101" t="str">
        <f>VLOOKUP(BDsurtidor!$H734,$T$4:$Y$25,6,FALSE)</f>
        <v>EPS</v>
      </c>
      <c r="N734" s="101">
        <v>0</v>
      </c>
      <c r="O734" s="125">
        <v>1.38</v>
      </c>
      <c r="P734" s="126">
        <v>0.31597222222222221</v>
      </c>
      <c r="Q734" s="334" t="s">
        <v>574</v>
      </c>
    </row>
    <row r="735" spans="2:17" x14ac:dyDescent="0.25">
      <c r="B735">
        <f>WEEKNUM(BSURTIDOR[[#This Row],[FECHA]])</f>
        <v>17</v>
      </c>
      <c r="C735">
        <f>MONTH(BSURTIDOR[[#This Row],[FECHA]])</f>
        <v>4</v>
      </c>
      <c r="D735">
        <f>YEAR(BSURTIDOR[[#This Row],[FECHA]])</f>
        <v>2026</v>
      </c>
      <c r="E735" s="124">
        <v>46133</v>
      </c>
      <c r="F735" s="382" t="s">
        <v>548</v>
      </c>
      <c r="G735" s="123">
        <v>3</v>
      </c>
      <c r="H735" s="123" t="s">
        <v>95</v>
      </c>
      <c r="I735" s="101" t="str">
        <f>VLOOKUP(BDsurtidor!$H735,$T$4:$W$18,2,FALSE)</f>
        <v>CISTERNA</v>
      </c>
      <c r="J735" s="101">
        <f>VLOOKUP(BDsurtidor!$H735,$T$4:$W$25,3,FALSE)</f>
        <v>2500</v>
      </c>
      <c r="K735" s="101">
        <f>VLOOKUP(BDsurtidor!$H735,$T$4:$W$25,4,FALSE)</f>
        <v>9</v>
      </c>
      <c r="L735" s="101">
        <f>VLOOKUP(BDsurtidor!$H735,$T$4:$X$25,5,FALSE)</f>
        <v>0.22</v>
      </c>
      <c r="M735" s="101" t="str">
        <f>VLOOKUP(BDsurtidor!$H735,$T$4:$Y$25,6,FALSE)</f>
        <v>EPS</v>
      </c>
      <c r="N735" s="101">
        <v>0</v>
      </c>
      <c r="O735" s="125">
        <v>0</v>
      </c>
      <c r="P735" s="126">
        <v>0.33541666666666664</v>
      </c>
      <c r="Q735" s="334" t="s">
        <v>574</v>
      </c>
    </row>
    <row r="736" spans="2:17" x14ac:dyDescent="0.25">
      <c r="B736">
        <f>WEEKNUM(BSURTIDOR[[#This Row],[FECHA]])</f>
        <v>17</v>
      </c>
      <c r="C736">
        <f>MONTH(BSURTIDOR[[#This Row],[FECHA]])</f>
        <v>4</v>
      </c>
      <c r="D736">
        <f>YEAR(BSURTIDOR[[#This Row],[FECHA]])</f>
        <v>2026</v>
      </c>
      <c r="E736" s="124">
        <v>46133</v>
      </c>
      <c r="F736" s="382" t="s">
        <v>548</v>
      </c>
      <c r="G736" s="123">
        <v>4</v>
      </c>
      <c r="H736" s="123" t="s">
        <v>99</v>
      </c>
      <c r="I736" s="101" t="str">
        <f>VLOOKUP(BDsurtidor!$H736,$T$4:$W$18,2,FALSE)</f>
        <v>CISTERNA</v>
      </c>
      <c r="J736" s="101">
        <f>VLOOKUP(BDsurtidor!$H736,$T$4:$W$25,3,FALSE)</f>
        <v>5000</v>
      </c>
      <c r="K736" s="101">
        <f>VLOOKUP(BDsurtidor!$H736,$T$4:$W$25,4,FALSE)</f>
        <v>17</v>
      </c>
      <c r="L736" s="101">
        <f>VLOOKUP(BDsurtidor!$H736,$T$4:$X$25,5,FALSE)</f>
        <v>0.4</v>
      </c>
      <c r="M736" s="101" t="str">
        <f>VLOOKUP(BDsurtidor!$H736,$T$4:$Y$25,6,FALSE)</f>
        <v>EPS</v>
      </c>
      <c r="N736" s="101">
        <v>0</v>
      </c>
      <c r="O736" s="125">
        <v>1.4</v>
      </c>
      <c r="P736" s="126">
        <v>0.42777777777777776</v>
      </c>
      <c r="Q736" s="334" t="s">
        <v>574</v>
      </c>
    </row>
    <row r="737" spans="2:17" x14ac:dyDescent="0.25">
      <c r="B737">
        <f>WEEKNUM(BSURTIDOR[[#This Row],[FECHA]])</f>
        <v>17</v>
      </c>
      <c r="C737">
        <f>MONTH(BSURTIDOR[[#This Row],[FECHA]])</f>
        <v>4</v>
      </c>
      <c r="D737">
        <f>YEAR(BSURTIDOR[[#This Row],[FECHA]])</f>
        <v>2026</v>
      </c>
      <c r="E737" s="124">
        <v>46133</v>
      </c>
      <c r="F737" s="382" t="s">
        <v>548</v>
      </c>
      <c r="G737" s="123">
        <v>5</v>
      </c>
      <c r="H737" s="123" t="s">
        <v>87</v>
      </c>
      <c r="I737" s="101" t="str">
        <f>VLOOKUP(BDsurtidor!$H737,$T$4:$W$18,2,FALSE)</f>
        <v>CISTERNA</v>
      </c>
      <c r="J737" s="101">
        <f>VLOOKUP(BDsurtidor!$H737,$T$4:$W$25,3,FALSE)</f>
        <v>5000</v>
      </c>
      <c r="K737" s="101">
        <f>VLOOKUP(BDsurtidor!$H737,$T$4:$W$25,4,FALSE)</f>
        <v>17</v>
      </c>
      <c r="L737" s="101">
        <f>VLOOKUP(BDsurtidor!$H737,$T$4:$X$25,5,FALSE)</f>
        <v>0.4</v>
      </c>
      <c r="M737" s="101" t="str">
        <f>VLOOKUP(BDsurtidor!$H737,$T$4:$Y$25,6,FALSE)</f>
        <v>EPS</v>
      </c>
      <c r="N737" s="101">
        <v>0</v>
      </c>
      <c r="O737" s="125">
        <v>1.34</v>
      </c>
      <c r="P737" s="126">
        <v>0.44583333333333336</v>
      </c>
      <c r="Q737" s="334" t="s">
        <v>574</v>
      </c>
    </row>
    <row r="738" spans="2:17" x14ac:dyDescent="0.25">
      <c r="B738">
        <f>WEEKNUM(BSURTIDOR[[#This Row],[FECHA]])</f>
        <v>17</v>
      </c>
      <c r="C738">
        <f>MONTH(BSURTIDOR[[#This Row],[FECHA]])</f>
        <v>4</v>
      </c>
      <c r="D738">
        <f>YEAR(BSURTIDOR[[#This Row],[FECHA]])</f>
        <v>2026</v>
      </c>
      <c r="E738" s="124">
        <v>46133</v>
      </c>
      <c r="F738" s="382" t="s">
        <v>548</v>
      </c>
      <c r="G738" s="123">
        <v>6</v>
      </c>
      <c r="H738" s="123" t="s">
        <v>99</v>
      </c>
      <c r="I738" s="101" t="str">
        <f>VLOOKUP(BDsurtidor!$H738,$T$4:$W$18,2,FALSE)</f>
        <v>CISTERNA</v>
      </c>
      <c r="J738" s="101">
        <f>VLOOKUP(BDsurtidor!$H738,$T$4:$W$25,3,FALSE)</f>
        <v>5000</v>
      </c>
      <c r="K738" s="101">
        <f>VLOOKUP(BDsurtidor!$H738,$T$4:$W$25,4,FALSE)</f>
        <v>17</v>
      </c>
      <c r="L738" s="101">
        <f>VLOOKUP(BDsurtidor!$H738,$T$4:$X$25,5,FALSE)</f>
        <v>0.4</v>
      </c>
      <c r="M738" s="101" t="str">
        <f>VLOOKUP(BDsurtidor!$H738,$T$4:$Y$25,6,FALSE)</f>
        <v>EPS</v>
      </c>
      <c r="N738" s="101">
        <v>0</v>
      </c>
      <c r="O738" s="125">
        <v>1.43</v>
      </c>
      <c r="P738" s="126">
        <v>0.51736111111111116</v>
      </c>
      <c r="Q738" s="334" t="s">
        <v>574</v>
      </c>
    </row>
    <row r="739" spans="2:17" x14ac:dyDescent="0.25">
      <c r="B739">
        <f>WEEKNUM(BSURTIDOR[[#This Row],[FECHA]])</f>
        <v>17</v>
      </c>
      <c r="C739">
        <f>MONTH(BSURTIDOR[[#This Row],[FECHA]])</f>
        <v>4</v>
      </c>
      <c r="D739">
        <f>YEAR(BSURTIDOR[[#This Row],[FECHA]])</f>
        <v>2026</v>
      </c>
      <c r="E739" s="124">
        <v>46133</v>
      </c>
      <c r="F739" s="382" t="s">
        <v>548</v>
      </c>
      <c r="G739" s="123">
        <v>7</v>
      </c>
      <c r="H739" s="123" t="s">
        <v>87</v>
      </c>
      <c r="I739" s="101" t="str">
        <f>VLOOKUP(BDsurtidor!$H739,$T$4:$W$18,2,FALSE)</f>
        <v>CISTERNA</v>
      </c>
      <c r="J739" s="101">
        <f>VLOOKUP(BDsurtidor!$H739,$T$4:$W$25,3,FALSE)</f>
        <v>5000</v>
      </c>
      <c r="K739" s="101">
        <f>VLOOKUP(BDsurtidor!$H739,$T$4:$W$25,4,FALSE)</f>
        <v>17</v>
      </c>
      <c r="L739" s="101">
        <f>VLOOKUP(BDsurtidor!$H739,$T$4:$X$25,5,FALSE)</f>
        <v>0.4</v>
      </c>
      <c r="M739" s="101" t="str">
        <f>VLOOKUP(BDsurtidor!$H739,$T$4:$Y$25,6,FALSE)</f>
        <v>EPS</v>
      </c>
      <c r="N739" s="101">
        <v>0</v>
      </c>
      <c r="O739" s="125">
        <v>1.41</v>
      </c>
      <c r="P739" s="126">
        <v>0.55555555555555558</v>
      </c>
      <c r="Q739" s="334" t="s">
        <v>574</v>
      </c>
    </row>
    <row r="740" spans="2:17" x14ac:dyDescent="0.25">
      <c r="B740">
        <f>WEEKNUM(BSURTIDOR[[#This Row],[FECHA]])</f>
        <v>17</v>
      </c>
      <c r="C740">
        <f>MONTH(BSURTIDOR[[#This Row],[FECHA]])</f>
        <v>4</v>
      </c>
      <c r="D740">
        <f>YEAR(BSURTIDOR[[#This Row],[FECHA]])</f>
        <v>2026</v>
      </c>
      <c r="E740" s="124">
        <v>46134</v>
      </c>
      <c r="F740" s="364" t="s">
        <v>109</v>
      </c>
      <c r="G740" s="123">
        <v>1</v>
      </c>
      <c r="H740" s="123" t="s">
        <v>99</v>
      </c>
      <c r="I740" s="101" t="str">
        <f>VLOOKUP(BDsurtidor!$H740,$T$4:$W$18,2,FALSE)</f>
        <v>CISTERNA</v>
      </c>
      <c r="J740" s="101">
        <f>VLOOKUP(BDsurtidor!$H740,$T$4:$W$25,3,FALSE)</f>
        <v>5000</v>
      </c>
      <c r="K740" s="101">
        <f>VLOOKUP(BDsurtidor!$H740,$T$4:$W$25,4,FALSE)</f>
        <v>17</v>
      </c>
      <c r="L740" s="101">
        <f>VLOOKUP(BDsurtidor!$H740,$T$4:$X$25,5,FALSE)</f>
        <v>0.4</v>
      </c>
      <c r="M740" s="101" t="str">
        <f>VLOOKUP(BDsurtidor!$H740,$T$4:$Y$25,6,FALSE)</f>
        <v>EPS</v>
      </c>
      <c r="N740" s="101">
        <v>0</v>
      </c>
      <c r="O740" s="125">
        <v>1.24</v>
      </c>
      <c r="P740" s="126">
        <v>0.41388888888888886</v>
      </c>
      <c r="Q740" s="123" t="s">
        <v>626</v>
      </c>
    </row>
    <row r="741" spans="2:17" x14ac:dyDescent="0.25">
      <c r="B741">
        <f>WEEKNUM(BSURTIDOR[[#This Row],[FECHA]])</f>
        <v>17</v>
      </c>
      <c r="C741">
        <f>MONTH(BSURTIDOR[[#This Row],[FECHA]])</f>
        <v>4</v>
      </c>
      <c r="D741">
        <f>YEAR(BSURTIDOR[[#This Row],[FECHA]])</f>
        <v>2026</v>
      </c>
      <c r="E741" s="124">
        <v>46134</v>
      </c>
      <c r="F741" s="382" t="s">
        <v>548</v>
      </c>
      <c r="G741" s="123">
        <v>1</v>
      </c>
      <c r="H741" s="123" t="s">
        <v>100</v>
      </c>
      <c r="I741" s="101" t="str">
        <f>VLOOKUP(BDsurtidor!$H741,$T$4:$W$18,2,FALSE)</f>
        <v>HIDROJET</v>
      </c>
      <c r="J741" s="101">
        <f>VLOOKUP(BDsurtidor!$H741,$T$4:$W$25,3,FALSE)</f>
        <v>1000</v>
      </c>
      <c r="K741" s="101">
        <f>VLOOKUP(BDsurtidor!$H741,$T$4:$W$25,4,FALSE)</f>
        <v>1</v>
      </c>
      <c r="L741" s="101">
        <f>VLOOKUP(BDsurtidor!$H741,$T$4:$X$25,5,FALSE)</f>
        <v>0</v>
      </c>
      <c r="M741" s="101" t="str">
        <f>VLOOKUP(BDsurtidor!$H741,$T$4:$Y$25,6,FALSE)</f>
        <v>EPS</v>
      </c>
      <c r="N741" s="101">
        <v>0</v>
      </c>
      <c r="O741" s="125">
        <v>0</v>
      </c>
      <c r="P741" s="126">
        <v>0.29166666666666669</v>
      </c>
      <c r="Q741" s="334" t="s">
        <v>574</v>
      </c>
    </row>
    <row r="742" spans="2:17" x14ac:dyDescent="0.25">
      <c r="B742">
        <f>WEEKNUM(BSURTIDOR[[#This Row],[FECHA]])</f>
        <v>17</v>
      </c>
      <c r="C742">
        <f>MONTH(BSURTIDOR[[#This Row],[FECHA]])</f>
        <v>4</v>
      </c>
      <c r="D742">
        <f>YEAR(BSURTIDOR[[#This Row],[FECHA]])</f>
        <v>2026</v>
      </c>
      <c r="E742" s="124">
        <v>46134</v>
      </c>
      <c r="F742" s="382" t="s">
        <v>548</v>
      </c>
      <c r="G742" s="123">
        <v>2</v>
      </c>
      <c r="H742" s="123" t="s">
        <v>95</v>
      </c>
      <c r="I742" s="101" t="str">
        <f>VLOOKUP(BDsurtidor!$H742,$T$4:$W$18,2,FALSE)</f>
        <v>CISTERNA</v>
      </c>
      <c r="J742" s="101">
        <f>VLOOKUP(BDsurtidor!$H742,$T$4:$W$25,3,FALSE)</f>
        <v>2500</v>
      </c>
      <c r="K742" s="101">
        <f>VLOOKUP(BDsurtidor!$H742,$T$4:$W$25,4,FALSE)</f>
        <v>9</v>
      </c>
      <c r="L742" s="101">
        <f>VLOOKUP(BDsurtidor!$H742,$T$4:$X$25,5,FALSE)</f>
        <v>0.22</v>
      </c>
      <c r="M742" s="101" t="str">
        <f>VLOOKUP(BDsurtidor!$H742,$T$4:$Y$25,6,FALSE)</f>
        <v>EPS</v>
      </c>
      <c r="N742" s="101">
        <v>0</v>
      </c>
      <c r="O742" s="125">
        <v>0</v>
      </c>
      <c r="P742" s="126">
        <v>0.2986111111111111</v>
      </c>
      <c r="Q742" s="334" t="s">
        <v>574</v>
      </c>
    </row>
    <row r="743" spans="2:17" x14ac:dyDescent="0.25">
      <c r="B743">
        <f>WEEKNUM(BSURTIDOR[[#This Row],[FECHA]])</f>
        <v>17</v>
      </c>
      <c r="C743">
        <f>MONTH(BSURTIDOR[[#This Row],[FECHA]])</f>
        <v>4</v>
      </c>
      <c r="D743">
        <f>YEAR(BSURTIDOR[[#This Row],[FECHA]])</f>
        <v>2026</v>
      </c>
      <c r="E743" s="124">
        <v>46134</v>
      </c>
      <c r="F743" s="382" t="s">
        <v>548</v>
      </c>
      <c r="G743" s="123">
        <v>3</v>
      </c>
      <c r="H743" s="123" t="s">
        <v>99</v>
      </c>
      <c r="I743" s="101" t="str">
        <f>VLOOKUP(BDsurtidor!$H743,$T$4:$W$18,2,FALSE)</f>
        <v>CISTERNA</v>
      </c>
      <c r="J743" s="101">
        <f>VLOOKUP(BDsurtidor!$H743,$T$4:$W$25,3,FALSE)</f>
        <v>5000</v>
      </c>
      <c r="K743" s="101">
        <f>VLOOKUP(BDsurtidor!$H743,$T$4:$W$25,4,FALSE)</f>
        <v>17</v>
      </c>
      <c r="L743" s="101">
        <f>VLOOKUP(BDsurtidor!$H743,$T$4:$X$25,5,FALSE)</f>
        <v>0.4</v>
      </c>
      <c r="M743" s="101" t="str">
        <f>VLOOKUP(BDsurtidor!$H743,$T$4:$Y$25,6,FALSE)</f>
        <v>EPS</v>
      </c>
      <c r="N743" s="101">
        <v>0</v>
      </c>
      <c r="O743" s="125">
        <v>1.36</v>
      </c>
      <c r="P743" s="126">
        <v>0.31111111111111112</v>
      </c>
      <c r="Q743" s="334" t="s">
        <v>574</v>
      </c>
    </row>
    <row r="744" spans="2:17" x14ac:dyDescent="0.25">
      <c r="B744">
        <f>WEEKNUM(BSURTIDOR[[#This Row],[FECHA]])</f>
        <v>17</v>
      </c>
      <c r="C744">
        <f>MONTH(BSURTIDOR[[#This Row],[FECHA]])</f>
        <v>4</v>
      </c>
      <c r="D744">
        <f>YEAR(BSURTIDOR[[#This Row],[FECHA]])</f>
        <v>2026</v>
      </c>
      <c r="E744" s="124">
        <v>46134</v>
      </c>
      <c r="F744" s="382" t="s">
        <v>548</v>
      </c>
      <c r="G744" s="123">
        <v>4</v>
      </c>
      <c r="H744" s="123" t="s">
        <v>87</v>
      </c>
      <c r="I744" s="101" t="str">
        <f>VLOOKUP(BDsurtidor!$H744,$T$4:$W$18,2,FALSE)</f>
        <v>CISTERNA</v>
      </c>
      <c r="J744" s="101">
        <f>VLOOKUP(BDsurtidor!$H744,$T$4:$W$25,3,FALSE)</f>
        <v>5000</v>
      </c>
      <c r="K744" s="101">
        <f>VLOOKUP(BDsurtidor!$H744,$T$4:$W$25,4,FALSE)</f>
        <v>17</v>
      </c>
      <c r="L744" s="101">
        <f>VLOOKUP(BDsurtidor!$H744,$T$4:$X$25,5,FALSE)</f>
        <v>0.4</v>
      </c>
      <c r="M744" s="101" t="str">
        <f>VLOOKUP(BDsurtidor!$H744,$T$4:$Y$25,6,FALSE)</f>
        <v>EPS</v>
      </c>
      <c r="N744" s="101">
        <v>0</v>
      </c>
      <c r="O744" s="125">
        <v>1.4</v>
      </c>
      <c r="P744" s="126">
        <v>0.31944444444444442</v>
      </c>
      <c r="Q744" s="334" t="s">
        <v>574</v>
      </c>
    </row>
    <row r="745" spans="2:17" x14ac:dyDescent="0.25">
      <c r="B745">
        <f>WEEKNUM(BSURTIDOR[[#This Row],[FECHA]])</f>
        <v>17</v>
      </c>
      <c r="C745">
        <f>MONTH(BSURTIDOR[[#This Row],[FECHA]])</f>
        <v>4</v>
      </c>
      <c r="D745">
        <f>YEAR(BSURTIDOR[[#This Row],[FECHA]])</f>
        <v>2026</v>
      </c>
      <c r="E745" s="124">
        <v>46134</v>
      </c>
      <c r="F745" s="382" t="s">
        <v>548</v>
      </c>
      <c r="G745" s="123">
        <v>5</v>
      </c>
      <c r="H745" s="123" t="s">
        <v>87</v>
      </c>
      <c r="I745" s="101" t="str">
        <f>VLOOKUP(BDsurtidor!$H745,$T$4:$W$18,2,FALSE)</f>
        <v>CISTERNA</v>
      </c>
      <c r="J745" s="101">
        <f>VLOOKUP(BDsurtidor!$H745,$T$4:$W$25,3,FALSE)</f>
        <v>5000</v>
      </c>
      <c r="K745" s="101">
        <f>VLOOKUP(BDsurtidor!$H745,$T$4:$W$25,4,FALSE)</f>
        <v>17</v>
      </c>
      <c r="L745" s="101">
        <f>VLOOKUP(BDsurtidor!$H745,$T$4:$X$25,5,FALSE)</f>
        <v>0.4</v>
      </c>
      <c r="M745" s="101" t="str">
        <f>VLOOKUP(BDsurtidor!$H745,$T$4:$Y$25,6,FALSE)</f>
        <v>EPS</v>
      </c>
      <c r="N745" s="101">
        <v>0</v>
      </c>
      <c r="O745" s="125">
        <v>1.24</v>
      </c>
      <c r="P745" s="126">
        <v>0.47013888888888888</v>
      </c>
      <c r="Q745" s="334" t="s">
        <v>574</v>
      </c>
    </row>
    <row r="746" spans="2:17" x14ac:dyDescent="0.25">
      <c r="B746">
        <f>WEEKNUM(BSURTIDOR[[#This Row],[FECHA]])</f>
        <v>17</v>
      </c>
      <c r="C746">
        <f>MONTH(BSURTIDOR[[#This Row],[FECHA]])</f>
        <v>4</v>
      </c>
      <c r="D746">
        <f>YEAR(BSURTIDOR[[#This Row],[FECHA]])</f>
        <v>2026</v>
      </c>
      <c r="E746" s="124">
        <v>46134</v>
      </c>
      <c r="F746" s="382" t="s">
        <v>548</v>
      </c>
      <c r="G746" s="123">
        <v>6</v>
      </c>
      <c r="H746" s="123" t="s">
        <v>99</v>
      </c>
      <c r="I746" s="101" t="str">
        <f>VLOOKUP(BDsurtidor!$H746,$T$4:$W$18,2,FALSE)</f>
        <v>CISTERNA</v>
      </c>
      <c r="J746" s="101">
        <f>VLOOKUP(BDsurtidor!$H746,$T$4:$W$25,3,FALSE)</f>
        <v>5000</v>
      </c>
      <c r="K746" s="101">
        <f>VLOOKUP(BDsurtidor!$H746,$T$4:$W$25,4,FALSE)</f>
        <v>17</v>
      </c>
      <c r="L746" s="101">
        <f>VLOOKUP(BDsurtidor!$H746,$T$4:$X$25,5,FALSE)</f>
        <v>0.4</v>
      </c>
      <c r="M746" s="101" t="str">
        <f>VLOOKUP(BDsurtidor!$H746,$T$4:$Y$25,6,FALSE)</f>
        <v>EPS</v>
      </c>
      <c r="N746" s="101">
        <v>0</v>
      </c>
      <c r="O746" s="125">
        <v>1.29</v>
      </c>
      <c r="P746" s="126">
        <v>0.51944444444444449</v>
      </c>
      <c r="Q746" s="334" t="s">
        <v>574</v>
      </c>
    </row>
    <row r="747" spans="2:17" x14ac:dyDescent="0.25">
      <c r="B747">
        <f>WEEKNUM(BSURTIDOR[[#This Row],[FECHA]])</f>
        <v>17</v>
      </c>
      <c r="C747">
        <f>MONTH(BSURTIDOR[[#This Row],[FECHA]])</f>
        <v>4</v>
      </c>
      <c r="D747">
        <f>YEAR(BSURTIDOR[[#This Row],[FECHA]])</f>
        <v>2026</v>
      </c>
      <c r="E747" s="124">
        <v>46134</v>
      </c>
      <c r="F747" s="382" t="s">
        <v>548</v>
      </c>
      <c r="G747" s="123">
        <v>7</v>
      </c>
      <c r="H747" s="123" t="s">
        <v>87</v>
      </c>
      <c r="I747" s="101" t="str">
        <f>VLOOKUP(BDsurtidor!$H747,$T$4:$W$18,2,FALSE)</f>
        <v>CISTERNA</v>
      </c>
      <c r="J747" s="101">
        <f>VLOOKUP(BDsurtidor!$H747,$T$4:$W$25,3,FALSE)</f>
        <v>5000</v>
      </c>
      <c r="K747" s="101">
        <f>VLOOKUP(BDsurtidor!$H747,$T$4:$W$25,4,FALSE)</f>
        <v>17</v>
      </c>
      <c r="L747" s="101">
        <f>VLOOKUP(BDsurtidor!$H747,$T$4:$X$25,5,FALSE)</f>
        <v>0.4</v>
      </c>
      <c r="M747" s="101" t="str">
        <f>VLOOKUP(BDsurtidor!$H747,$T$4:$Y$25,6,FALSE)</f>
        <v>EPS</v>
      </c>
      <c r="N747" s="101">
        <v>0</v>
      </c>
      <c r="O747" s="125">
        <v>1.4</v>
      </c>
      <c r="P747" s="126">
        <v>0.57638888888888884</v>
      </c>
      <c r="Q747" s="334" t="s">
        <v>574</v>
      </c>
    </row>
    <row r="748" spans="2:17" x14ac:dyDescent="0.25">
      <c r="B748">
        <f>WEEKNUM(BSURTIDOR[[#This Row],[FECHA]])</f>
        <v>17</v>
      </c>
      <c r="C748">
        <f>MONTH(BSURTIDOR[[#This Row],[FECHA]])</f>
        <v>4</v>
      </c>
      <c r="D748">
        <f>YEAR(BSURTIDOR[[#This Row],[FECHA]])</f>
        <v>2026</v>
      </c>
      <c r="E748" s="124">
        <v>46135</v>
      </c>
      <c r="F748" s="382" t="s">
        <v>548</v>
      </c>
      <c r="G748" s="123">
        <v>1</v>
      </c>
      <c r="H748" s="123" t="s">
        <v>100</v>
      </c>
      <c r="I748" s="101" t="str">
        <f>VLOOKUP(BDsurtidor!$H748,$T$4:$W$18,2,FALSE)</f>
        <v>HIDROJET</v>
      </c>
      <c r="J748" s="101">
        <f>VLOOKUP(BDsurtidor!$H748,$T$4:$W$25,3,FALSE)</f>
        <v>1000</v>
      </c>
      <c r="K748" s="101">
        <f>VLOOKUP(BDsurtidor!$H748,$T$4:$W$25,4,FALSE)</f>
        <v>1</v>
      </c>
      <c r="L748" s="101">
        <f>VLOOKUP(BDsurtidor!$H748,$T$4:$X$25,5,FALSE)</f>
        <v>0</v>
      </c>
      <c r="M748" s="101" t="str">
        <f>VLOOKUP(BDsurtidor!$H748,$T$4:$Y$25,6,FALSE)</f>
        <v>EPS</v>
      </c>
      <c r="N748" s="101">
        <v>0</v>
      </c>
      <c r="O748" s="125">
        <v>0</v>
      </c>
      <c r="P748" s="126">
        <v>0.30069444444444443</v>
      </c>
      <c r="Q748" s="334" t="s">
        <v>574</v>
      </c>
    </row>
    <row r="749" spans="2:17" x14ac:dyDescent="0.25">
      <c r="B749">
        <f>WEEKNUM(BSURTIDOR[[#This Row],[FECHA]])</f>
        <v>17</v>
      </c>
      <c r="C749">
        <f>MONTH(BSURTIDOR[[#This Row],[FECHA]])</f>
        <v>4</v>
      </c>
      <c r="D749">
        <f>YEAR(BSURTIDOR[[#This Row],[FECHA]])</f>
        <v>2026</v>
      </c>
      <c r="E749" s="124">
        <v>46135</v>
      </c>
      <c r="F749" s="382" t="s">
        <v>548</v>
      </c>
      <c r="G749" s="123">
        <v>2</v>
      </c>
      <c r="H749" s="123" t="s">
        <v>95</v>
      </c>
      <c r="I749" s="101" t="str">
        <f>VLOOKUP(BDsurtidor!$H749,$T$4:$W$18,2,FALSE)</f>
        <v>CISTERNA</v>
      </c>
      <c r="J749" s="101">
        <f>VLOOKUP(BDsurtidor!$H749,$T$4:$W$25,3,FALSE)</f>
        <v>2500</v>
      </c>
      <c r="K749" s="101">
        <f>VLOOKUP(BDsurtidor!$H749,$T$4:$W$25,4,FALSE)</f>
        <v>9</v>
      </c>
      <c r="L749" s="101">
        <f>VLOOKUP(BDsurtidor!$H749,$T$4:$X$25,5,FALSE)</f>
        <v>0.22</v>
      </c>
      <c r="M749" s="101" t="str">
        <f>VLOOKUP(BDsurtidor!$H749,$T$4:$Y$25,6,FALSE)</f>
        <v>EPS</v>
      </c>
      <c r="N749" s="101">
        <v>0</v>
      </c>
      <c r="O749" s="125">
        <v>0</v>
      </c>
      <c r="P749" s="126">
        <v>0.30555555555555558</v>
      </c>
      <c r="Q749" s="334" t="s">
        <v>574</v>
      </c>
    </row>
    <row r="750" spans="2:17" x14ac:dyDescent="0.25">
      <c r="B750">
        <f>WEEKNUM(BSURTIDOR[[#This Row],[FECHA]])</f>
        <v>17</v>
      </c>
      <c r="C750">
        <f>MONTH(BSURTIDOR[[#This Row],[FECHA]])</f>
        <v>4</v>
      </c>
      <c r="D750">
        <f>YEAR(BSURTIDOR[[#This Row],[FECHA]])</f>
        <v>2026</v>
      </c>
      <c r="E750" s="124">
        <v>46135</v>
      </c>
      <c r="F750" s="382" t="s">
        <v>548</v>
      </c>
      <c r="G750" s="123">
        <v>3</v>
      </c>
      <c r="H750" s="123" t="s">
        <v>99</v>
      </c>
      <c r="I750" s="101" t="str">
        <f>VLOOKUP(BDsurtidor!$H750,$T$4:$W$18,2,FALSE)</f>
        <v>CISTERNA</v>
      </c>
      <c r="J750" s="101">
        <f>VLOOKUP(BDsurtidor!$H750,$T$4:$W$25,3,FALSE)</f>
        <v>5000</v>
      </c>
      <c r="K750" s="101">
        <f>VLOOKUP(BDsurtidor!$H750,$T$4:$W$25,4,FALSE)</f>
        <v>17</v>
      </c>
      <c r="L750" s="101">
        <f>VLOOKUP(BDsurtidor!$H750,$T$4:$X$25,5,FALSE)</f>
        <v>0.4</v>
      </c>
      <c r="M750" s="101" t="str">
        <f>VLOOKUP(BDsurtidor!$H750,$T$4:$Y$25,6,FALSE)</f>
        <v>EPS</v>
      </c>
      <c r="N750" s="101">
        <v>0</v>
      </c>
      <c r="O750" s="125">
        <v>1.25</v>
      </c>
      <c r="P750" s="126">
        <v>0.31527777777777777</v>
      </c>
      <c r="Q750" s="334" t="s">
        <v>574</v>
      </c>
    </row>
    <row r="751" spans="2:17" x14ac:dyDescent="0.25">
      <c r="B751">
        <f>WEEKNUM(BSURTIDOR[[#This Row],[FECHA]])</f>
        <v>17</v>
      </c>
      <c r="C751">
        <f>MONTH(BSURTIDOR[[#This Row],[FECHA]])</f>
        <v>4</v>
      </c>
      <c r="D751">
        <f>YEAR(BSURTIDOR[[#This Row],[FECHA]])</f>
        <v>2026</v>
      </c>
      <c r="E751" s="124">
        <v>46135</v>
      </c>
      <c r="F751" s="382" t="s">
        <v>548</v>
      </c>
      <c r="G751" s="123">
        <v>4</v>
      </c>
      <c r="H751" s="123" t="s">
        <v>87</v>
      </c>
      <c r="I751" s="101" t="str">
        <f>VLOOKUP(BDsurtidor!$H751,$T$4:$W$18,2,FALSE)</f>
        <v>CISTERNA</v>
      </c>
      <c r="J751" s="101">
        <f>VLOOKUP(BDsurtidor!$H751,$T$4:$W$25,3,FALSE)</f>
        <v>5000</v>
      </c>
      <c r="K751" s="101">
        <f>VLOOKUP(BDsurtidor!$H751,$T$4:$W$25,4,FALSE)</f>
        <v>17</v>
      </c>
      <c r="L751" s="101">
        <f>VLOOKUP(BDsurtidor!$H751,$T$4:$X$25,5,FALSE)</f>
        <v>0.4</v>
      </c>
      <c r="M751" s="101" t="str">
        <f>VLOOKUP(BDsurtidor!$H751,$T$4:$Y$25,6,FALSE)</f>
        <v>EPS</v>
      </c>
      <c r="N751" s="101">
        <v>0</v>
      </c>
      <c r="O751" s="125">
        <v>1.3</v>
      </c>
      <c r="P751" s="126">
        <v>0.41319444444444442</v>
      </c>
      <c r="Q751" s="334" t="s">
        <v>574</v>
      </c>
    </row>
    <row r="752" spans="2:17" x14ac:dyDescent="0.25">
      <c r="B752">
        <f>WEEKNUM(BSURTIDOR[[#This Row],[FECHA]])</f>
        <v>17</v>
      </c>
      <c r="C752">
        <f>MONTH(BSURTIDOR[[#This Row],[FECHA]])</f>
        <v>4</v>
      </c>
      <c r="D752">
        <f>YEAR(BSURTIDOR[[#This Row],[FECHA]])</f>
        <v>2026</v>
      </c>
      <c r="E752" s="124">
        <v>46135</v>
      </c>
      <c r="F752" s="382" t="s">
        <v>548</v>
      </c>
      <c r="G752" s="123">
        <v>5</v>
      </c>
      <c r="H752" s="123" t="s">
        <v>99</v>
      </c>
      <c r="I752" s="101" t="str">
        <f>VLOOKUP(BDsurtidor!$H752,$T$4:$W$18,2,FALSE)</f>
        <v>CISTERNA</v>
      </c>
      <c r="J752" s="101">
        <f>VLOOKUP(BDsurtidor!$H752,$T$4:$W$25,3,FALSE)</f>
        <v>5000</v>
      </c>
      <c r="K752" s="101">
        <f>VLOOKUP(BDsurtidor!$H752,$T$4:$W$25,4,FALSE)</f>
        <v>17</v>
      </c>
      <c r="L752" s="101">
        <f>VLOOKUP(BDsurtidor!$H752,$T$4:$X$25,5,FALSE)</f>
        <v>0.4</v>
      </c>
      <c r="M752" s="101" t="str">
        <f>VLOOKUP(BDsurtidor!$H752,$T$4:$Y$25,6,FALSE)</f>
        <v>EPS</v>
      </c>
      <c r="N752" s="101">
        <v>0</v>
      </c>
      <c r="O752" s="125">
        <v>1.32</v>
      </c>
      <c r="P752" s="126">
        <v>0.4513888888888889</v>
      </c>
      <c r="Q752" s="334" t="s">
        <v>574</v>
      </c>
    </row>
    <row r="753" spans="2:17" x14ac:dyDescent="0.25">
      <c r="B753">
        <f>WEEKNUM(BSURTIDOR[[#This Row],[FECHA]])</f>
        <v>17</v>
      </c>
      <c r="C753">
        <f>MONTH(BSURTIDOR[[#This Row],[FECHA]])</f>
        <v>4</v>
      </c>
      <c r="D753">
        <f>YEAR(BSURTIDOR[[#This Row],[FECHA]])</f>
        <v>2026</v>
      </c>
      <c r="E753" s="124">
        <v>46135</v>
      </c>
      <c r="F753" s="382" t="s">
        <v>548</v>
      </c>
      <c r="G753" s="123">
        <v>6</v>
      </c>
      <c r="H753" s="123" t="s">
        <v>99</v>
      </c>
      <c r="I753" s="101" t="str">
        <f>VLOOKUP(BDsurtidor!$H753,$T$4:$W$18,2,FALSE)</f>
        <v>CISTERNA</v>
      </c>
      <c r="J753" s="101">
        <f>VLOOKUP(BDsurtidor!$H753,$T$4:$W$25,3,FALSE)</f>
        <v>5000</v>
      </c>
      <c r="K753" s="101">
        <f>VLOOKUP(BDsurtidor!$H753,$T$4:$W$25,4,FALSE)</f>
        <v>17</v>
      </c>
      <c r="L753" s="101">
        <f>VLOOKUP(BDsurtidor!$H753,$T$4:$X$25,5,FALSE)</f>
        <v>0.4</v>
      </c>
      <c r="M753" s="101" t="str">
        <f>VLOOKUP(BDsurtidor!$H753,$T$4:$Y$25,6,FALSE)</f>
        <v>EPS</v>
      </c>
      <c r="N753" s="101">
        <v>0</v>
      </c>
      <c r="O753" s="125">
        <v>1.5</v>
      </c>
      <c r="P753" s="126">
        <v>0.52986111111111112</v>
      </c>
      <c r="Q753" s="334" t="s">
        <v>574</v>
      </c>
    </row>
    <row r="754" spans="2:17" x14ac:dyDescent="0.25">
      <c r="B754">
        <f>WEEKNUM(BSURTIDOR[[#This Row],[FECHA]])</f>
        <v>17</v>
      </c>
      <c r="C754">
        <f>MONTH(BSURTIDOR[[#This Row],[FECHA]])</f>
        <v>4</v>
      </c>
      <c r="D754">
        <f>YEAR(BSURTIDOR[[#This Row],[FECHA]])</f>
        <v>2026</v>
      </c>
      <c r="E754" s="124">
        <v>46135</v>
      </c>
      <c r="F754" s="382" t="s">
        <v>548</v>
      </c>
      <c r="G754" s="123">
        <v>7</v>
      </c>
      <c r="H754" s="123" t="s">
        <v>87</v>
      </c>
      <c r="I754" s="101" t="str">
        <f>VLOOKUP(BDsurtidor!$H754,$T$4:$W$18,2,FALSE)</f>
        <v>CISTERNA</v>
      </c>
      <c r="J754" s="101">
        <f>VLOOKUP(BDsurtidor!$H754,$T$4:$W$25,3,FALSE)</f>
        <v>5000</v>
      </c>
      <c r="K754" s="101">
        <f>VLOOKUP(BDsurtidor!$H754,$T$4:$W$25,4,FALSE)</f>
        <v>17</v>
      </c>
      <c r="L754" s="101">
        <f>VLOOKUP(BDsurtidor!$H754,$T$4:$X$25,5,FALSE)</f>
        <v>0.4</v>
      </c>
      <c r="M754" s="101" t="str">
        <f>VLOOKUP(BDsurtidor!$H754,$T$4:$Y$25,6,FALSE)</f>
        <v>EPS</v>
      </c>
      <c r="N754" s="101">
        <v>0</v>
      </c>
      <c r="O754" s="125">
        <v>1.43</v>
      </c>
      <c r="P754" s="126">
        <v>0.54027777777777775</v>
      </c>
      <c r="Q754" s="334" t="s">
        <v>574</v>
      </c>
    </row>
    <row r="755" spans="2:17" x14ac:dyDescent="0.25">
      <c r="B755">
        <f>WEEKNUM(BSURTIDOR[[#This Row],[FECHA]])</f>
        <v>17</v>
      </c>
      <c r="C755">
        <f>MONTH(BSURTIDOR[[#This Row],[FECHA]])</f>
        <v>4</v>
      </c>
      <c r="D755">
        <f>YEAR(BSURTIDOR[[#This Row],[FECHA]])</f>
        <v>2026</v>
      </c>
      <c r="E755" s="124">
        <v>46135</v>
      </c>
      <c r="F755" s="382" t="s">
        <v>548</v>
      </c>
      <c r="G755" s="123">
        <v>8</v>
      </c>
      <c r="H755" s="123" t="s">
        <v>95</v>
      </c>
      <c r="I755" s="101" t="str">
        <f>VLOOKUP(BDsurtidor!$H755,$T$4:$W$18,2,FALSE)</f>
        <v>CISTERNA</v>
      </c>
      <c r="J755" s="101">
        <f>VLOOKUP(BDsurtidor!$H755,$T$4:$W$25,3,FALSE)</f>
        <v>2500</v>
      </c>
      <c r="K755" s="101">
        <f>VLOOKUP(BDsurtidor!$H755,$T$4:$W$25,4,FALSE)</f>
        <v>9</v>
      </c>
      <c r="L755" s="101">
        <f>VLOOKUP(BDsurtidor!$H755,$T$4:$X$25,5,FALSE)</f>
        <v>0.22</v>
      </c>
      <c r="M755" s="101" t="str">
        <f>VLOOKUP(BDsurtidor!$H755,$T$4:$Y$25,6,FALSE)</f>
        <v>EPS</v>
      </c>
      <c r="N755" s="101">
        <v>0</v>
      </c>
      <c r="O755" s="125">
        <v>0</v>
      </c>
      <c r="P755" s="126">
        <v>0.61319444444444449</v>
      </c>
      <c r="Q755" s="334" t="s">
        <v>574</v>
      </c>
    </row>
    <row r="756" spans="2:17" x14ac:dyDescent="0.25">
      <c r="B756">
        <f>WEEKNUM(BSURTIDOR[[#This Row],[FECHA]])</f>
        <v>17</v>
      </c>
      <c r="C756">
        <f>MONTH(BSURTIDOR[[#This Row],[FECHA]])</f>
        <v>4</v>
      </c>
      <c r="D756">
        <f>YEAR(BSURTIDOR[[#This Row],[FECHA]])</f>
        <v>2026</v>
      </c>
      <c r="E756" s="124">
        <v>46136</v>
      </c>
      <c r="F756" s="382" t="s">
        <v>548</v>
      </c>
      <c r="G756" s="123">
        <v>1</v>
      </c>
      <c r="H756" s="123" t="s">
        <v>100</v>
      </c>
      <c r="I756" s="101" t="str">
        <f>VLOOKUP(BDsurtidor!$H756,$T$4:$W$18,2,FALSE)</f>
        <v>HIDROJET</v>
      </c>
      <c r="J756" s="101">
        <f>VLOOKUP(BDsurtidor!$H756,$T$4:$W$25,3,FALSE)</f>
        <v>1000</v>
      </c>
      <c r="K756" s="101">
        <f>VLOOKUP(BDsurtidor!$H756,$T$4:$W$25,4,FALSE)</f>
        <v>1</v>
      </c>
      <c r="L756" s="101">
        <f>VLOOKUP(BDsurtidor!$H756,$T$4:$X$25,5,FALSE)</f>
        <v>0</v>
      </c>
      <c r="M756" s="101" t="str">
        <f>VLOOKUP(BDsurtidor!$H756,$T$4:$Y$25,6,FALSE)</f>
        <v>EPS</v>
      </c>
      <c r="N756" s="101">
        <v>0</v>
      </c>
      <c r="O756" s="125">
        <v>0</v>
      </c>
      <c r="P756" s="126">
        <v>0.29166666666666669</v>
      </c>
      <c r="Q756" s="334" t="s">
        <v>574</v>
      </c>
    </row>
    <row r="757" spans="2:17" x14ac:dyDescent="0.25">
      <c r="B757">
        <f>WEEKNUM(BSURTIDOR[[#This Row],[FECHA]])</f>
        <v>17</v>
      </c>
      <c r="C757">
        <f>MONTH(BSURTIDOR[[#This Row],[FECHA]])</f>
        <v>4</v>
      </c>
      <c r="D757">
        <f>YEAR(BSURTIDOR[[#This Row],[FECHA]])</f>
        <v>2026</v>
      </c>
      <c r="E757" s="124">
        <v>46136</v>
      </c>
      <c r="F757" s="382" t="s">
        <v>548</v>
      </c>
      <c r="G757" s="123">
        <v>2</v>
      </c>
      <c r="H757" s="123" t="s">
        <v>99</v>
      </c>
      <c r="I757" s="101" t="str">
        <f>VLOOKUP(BDsurtidor!$H757,$T$4:$W$18,2,FALSE)</f>
        <v>CISTERNA</v>
      </c>
      <c r="J757" s="101">
        <f>VLOOKUP(BDsurtidor!$H757,$T$4:$W$25,3,FALSE)</f>
        <v>5000</v>
      </c>
      <c r="K757" s="101">
        <f>VLOOKUP(BDsurtidor!$H757,$T$4:$W$25,4,FALSE)</f>
        <v>17</v>
      </c>
      <c r="L757" s="101">
        <f>VLOOKUP(BDsurtidor!$H757,$T$4:$X$25,5,FALSE)</f>
        <v>0.4</v>
      </c>
      <c r="M757" s="101" t="str">
        <f>VLOOKUP(BDsurtidor!$H757,$T$4:$Y$25,6,FALSE)</f>
        <v>EPS</v>
      </c>
      <c r="N757" s="101">
        <v>0</v>
      </c>
      <c r="O757" s="125">
        <v>1.27</v>
      </c>
      <c r="P757" s="126">
        <v>0.30763888888888891</v>
      </c>
      <c r="Q757" s="334" t="s">
        <v>574</v>
      </c>
    </row>
    <row r="758" spans="2:17" x14ac:dyDescent="0.25">
      <c r="B758">
        <f>WEEKNUM(BSURTIDOR[[#This Row],[FECHA]])</f>
        <v>17</v>
      </c>
      <c r="C758">
        <f>MONTH(BSURTIDOR[[#This Row],[FECHA]])</f>
        <v>4</v>
      </c>
      <c r="D758">
        <f>YEAR(BSURTIDOR[[#This Row],[FECHA]])</f>
        <v>2026</v>
      </c>
      <c r="E758" s="124">
        <v>46136</v>
      </c>
      <c r="F758" s="382" t="s">
        <v>548</v>
      </c>
      <c r="G758" s="123">
        <v>3</v>
      </c>
      <c r="H758" s="123" t="s">
        <v>87</v>
      </c>
      <c r="I758" s="101" t="str">
        <f>VLOOKUP(BDsurtidor!$H758,$T$4:$W$18,2,FALSE)</f>
        <v>CISTERNA</v>
      </c>
      <c r="J758" s="101">
        <f>VLOOKUP(BDsurtidor!$H758,$T$4:$W$25,3,FALSE)</f>
        <v>5000</v>
      </c>
      <c r="K758" s="101">
        <f>VLOOKUP(BDsurtidor!$H758,$T$4:$W$25,4,FALSE)</f>
        <v>17</v>
      </c>
      <c r="L758" s="101">
        <f>VLOOKUP(BDsurtidor!$H758,$T$4:$X$25,5,FALSE)</f>
        <v>0.4</v>
      </c>
      <c r="M758" s="101" t="str">
        <f>VLOOKUP(BDsurtidor!$H758,$T$4:$Y$25,6,FALSE)</f>
        <v>EPS</v>
      </c>
      <c r="N758" s="101">
        <v>0</v>
      </c>
      <c r="O758" s="125">
        <v>1.24</v>
      </c>
      <c r="P758" s="126">
        <v>0.3263888888888889</v>
      </c>
      <c r="Q758" s="334" t="s">
        <v>574</v>
      </c>
    </row>
    <row r="759" spans="2:17" x14ac:dyDescent="0.25">
      <c r="B759">
        <f>WEEKNUM(BSURTIDOR[[#This Row],[FECHA]])</f>
        <v>17</v>
      </c>
      <c r="C759">
        <f>MONTH(BSURTIDOR[[#This Row],[FECHA]])</f>
        <v>4</v>
      </c>
      <c r="D759">
        <f>YEAR(BSURTIDOR[[#This Row],[FECHA]])</f>
        <v>2026</v>
      </c>
      <c r="E759" s="124">
        <v>46136</v>
      </c>
      <c r="F759" s="382" t="s">
        <v>548</v>
      </c>
      <c r="G759" s="123">
        <v>4</v>
      </c>
      <c r="H759" s="123" t="s">
        <v>95</v>
      </c>
      <c r="I759" s="101" t="str">
        <f>VLOOKUP(BDsurtidor!$H759,$T$4:$W$18,2,FALSE)</f>
        <v>CISTERNA</v>
      </c>
      <c r="J759" s="101">
        <f>VLOOKUP(BDsurtidor!$H759,$T$4:$W$25,3,FALSE)</f>
        <v>2500</v>
      </c>
      <c r="K759" s="101">
        <f>VLOOKUP(BDsurtidor!$H759,$T$4:$W$25,4,FALSE)</f>
        <v>9</v>
      </c>
      <c r="L759" s="101">
        <f>VLOOKUP(BDsurtidor!$H759,$T$4:$X$25,5,FALSE)</f>
        <v>0.22</v>
      </c>
      <c r="M759" s="101" t="str">
        <f>VLOOKUP(BDsurtidor!$H759,$T$4:$Y$25,6,FALSE)</f>
        <v>EPS</v>
      </c>
      <c r="N759" s="101">
        <v>0</v>
      </c>
      <c r="O759" s="125">
        <v>0</v>
      </c>
      <c r="P759" s="126">
        <v>0.33750000000000002</v>
      </c>
      <c r="Q759" s="334" t="s">
        <v>574</v>
      </c>
    </row>
    <row r="760" spans="2:17" x14ac:dyDescent="0.25">
      <c r="B760">
        <f>WEEKNUM(BSURTIDOR[[#This Row],[FECHA]])</f>
        <v>17</v>
      </c>
      <c r="C760">
        <f>MONTH(BSURTIDOR[[#This Row],[FECHA]])</f>
        <v>4</v>
      </c>
      <c r="D760">
        <f>YEAR(BSURTIDOR[[#This Row],[FECHA]])</f>
        <v>2026</v>
      </c>
      <c r="E760" s="124">
        <v>46136</v>
      </c>
      <c r="F760" s="382" t="s">
        <v>548</v>
      </c>
      <c r="G760" s="123">
        <v>5</v>
      </c>
      <c r="H760" s="123" t="s">
        <v>87</v>
      </c>
      <c r="I760" s="101" t="str">
        <f>VLOOKUP(BDsurtidor!$H760,$T$4:$W$18,2,FALSE)</f>
        <v>CISTERNA</v>
      </c>
      <c r="J760" s="101">
        <f>VLOOKUP(BDsurtidor!$H760,$T$4:$W$25,3,FALSE)</f>
        <v>5000</v>
      </c>
      <c r="K760" s="101">
        <f>VLOOKUP(BDsurtidor!$H760,$T$4:$W$25,4,FALSE)</f>
        <v>17</v>
      </c>
      <c r="L760" s="101">
        <f>VLOOKUP(BDsurtidor!$H760,$T$4:$X$25,5,FALSE)</f>
        <v>0.4</v>
      </c>
      <c r="M760" s="101" t="str">
        <f>VLOOKUP(BDsurtidor!$H760,$T$4:$Y$25,6,FALSE)</f>
        <v>EPS</v>
      </c>
      <c r="N760" s="101">
        <v>0</v>
      </c>
      <c r="O760" s="125">
        <v>1.59</v>
      </c>
      <c r="P760" s="126">
        <v>0.49861111111111112</v>
      </c>
      <c r="Q760" s="334" t="s">
        <v>574</v>
      </c>
    </row>
    <row r="761" spans="2:17" x14ac:dyDescent="0.25">
      <c r="B761">
        <f>WEEKNUM(BSURTIDOR[[#This Row],[FECHA]])</f>
        <v>17</v>
      </c>
      <c r="C761">
        <f>MONTH(BSURTIDOR[[#This Row],[FECHA]])</f>
        <v>4</v>
      </c>
      <c r="D761">
        <f>YEAR(BSURTIDOR[[#This Row],[FECHA]])</f>
        <v>2026</v>
      </c>
      <c r="E761" s="124">
        <v>46136</v>
      </c>
      <c r="F761" s="382" t="s">
        <v>548</v>
      </c>
      <c r="G761" s="123">
        <v>6</v>
      </c>
      <c r="H761" s="123" t="s">
        <v>99</v>
      </c>
      <c r="I761" s="101" t="str">
        <f>VLOOKUP(BDsurtidor!$H761,$T$4:$W$18,2,FALSE)</f>
        <v>CISTERNA</v>
      </c>
      <c r="J761" s="101">
        <f>VLOOKUP(BDsurtidor!$H761,$T$4:$W$25,3,FALSE)</f>
        <v>5000</v>
      </c>
      <c r="K761" s="101">
        <f>VLOOKUP(BDsurtidor!$H761,$T$4:$W$25,4,FALSE)</f>
        <v>17</v>
      </c>
      <c r="L761" s="101">
        <f>VLOOKUP(BDsurtidor!$H761,$T$4:$X$25,5,FALSE)</f>
        <v>0.4</v>
      </c>
      <c r="M761" s="101" t="str">
        <f>VLOOKUP(BDsurtidor!$H761,$T$4:$Y$25,6,FALSE)</f>
        <v>EPS</v>
      </c>
      <c r="N761" s="101">
        <v>0</v>
      </c>
      <c r="O761" s="125">
        <v>1.54</v>
      </c>
      <c r="P761" s="126">
        <v>0.50694444444444442</v>
      </c>
      <c r="Q761" s="334" t="s">
        <v>574</v>
      </c>
    </row>
    <row r="762" spans="2:17" x14ac:dyDescent="0.25">
      <c r="B762">
        <f>WEEKNUM(BSURTIDOR[[#This Row],[FECHA]])</f>
        <v>17</v>
      </c>
      <c r="C762">
        <f>MONTH(BSURTIDOR[[#This Row],[FECHA]])</f>
        <v>4</v>
      </c>
      <c r="D762">
        <f>YEAR(BSURTIDOR[[#This Row],[FECHA]])</f>
        <v>2026</v>
      </c>
      <c r="E762" s="124">
        <v>46137</v>
      </c>
      <c r="F762" s="382" t="s">
        <v>548</v>
      </c>
      <c r="G762" s="123">
        <v>1</v>
      </c>
      <c r="H762" s="123" t="s">
        <v>99</v>
      </c>
      <c r="I762" s="101" t="str">
        <f>VLOOKUP(BDsurtidor!$H762,$T$4:$W$18,2,FALSE)</f>
        <v>CISTERNA</v>
      </c>
      <c r="J762" s="101">
        <f>VLOOKUP(BDsurtidor!$H762,$T$4:$W$25,3,FALSE)</f>
        <v>5000</v>
      </c>
      <c r="K762" s="101">
        <f>VLOOKUP(BDsurtidor!$H762,$T$4:$W$25,4,FALSE)</f>
        <v>17</v>
      </c>
      <c r="L762" s="101">
        <f>VLOOKUP(BDsurtidor!$H762,$T$4:$X$25,5,FALSE)</f>
        <v>0.4</v>
      </c>
      <c r="M762" s="101" t="str">
        <f>VLOOKUP(BDsurtidor!$H762,$T$4:$Y$25,6,FALSE)</f>
        <v>EPS</v>
      </c>
      <c r="N762" s="101">
        <v>0</v>
      </c>
      <c r="O762" s="125">
        <v>1.52</v>
      </c>
      <c r="P762" s="126">
        <v>0.30416666666666664</v>
      </c>
      <c r="Q762" s="334" t="s">
        <v>574</v>
      </c>
    </row>
    <row r="763" spans="2:17" x14ac:dyDescent="0.25">
      <c r="B763">
        <f>WEEKNUM(BSURTIDOR[[#This Row],[FECHA]])</f>
        <v>17</v>
      </c>
      <c r="C763">
        <f>MONTH(BSURTIDOR[[#This Row],[FECHA]])</f>
        <v>4</v>
      </c>
      <c r="D763">
        <f>YEAR(BSURTIDOR[[#This Row],[FECHA]])</f>
        <v>2026</v>
      </c>
      <c r="E763" s="124">
        <v>46137</v>
      </c>
      <c r="F763" s="382" t="s">
        <v>548</v>
      </c>
      <c r="G763" s="123">
        <v>2</v>
      </c>
      <c r="H763" s="123" t="s">
        <v>100</v>
      </c>
      <c r="I763" s="101" t="str">
        <f>VLOOKUP(BDsurtidor!$H763,$T$4:$W$18,2,FALSE)</f>
        <v>HIDROJET</v>
      </c>
      <c r="J763" s="101">
        <f>VLOOKUP(BDsurtidor!$H763,$T$4:$W$25,3,FALSE)</f>
        <v>1000</v>
      </c>
      <c r="K763" s="101">
        <f>VLOOKUP(BDsurtidor!$H763,$T$4:$W$25,4,FALSE)</f>
        <v>1</v>
      </c>
      <c r="L763" s="101">
        <f>VLOOKUP(BDsurtidor!$H763,$T$4:$X$25,5,FALSE)</f>
        <v>0</v>
      </c>
      <c r="M763" s="101" t="str">
        <f>VLOOKUP(BDsurtidor!$H763,$T$4:$Y$25,6,FALSE)</f>
        <v>EPS</v>
      </c>
      <c r="N763" s="101">
        <v>0</v>
      </c>
      <c r="O763" s="125">
        <v>0</v>
      </c>
      <c r="P763" s="126">
        <v>0.32500000000000001</v>
      </c>
      <c r="Q763" s="334" t="s">
        <v>574</v>
      </c>
    </row>
    <row r="764" spans="2:17" x14ac:dyDescent="0.25">
      <c r="B764">
        <f>WEEKNUM(BSURTIDOR[[#This Row],[FECHA]])</f>
        <v>17</v>
      </c>
      <c r="C764">
        <f>MONTH(BSURTIDOR[[#This Row],[FECHA]])</f>
        <v>4</v>
      </c>
      <c r="D764">
        <f>YEAR(BSURTIDOR[[#This Row],[FECHA]])</f>
        <v>2026</v>
      </c>
      <c r="E764" s="124">
        <v>46137</v>
      </c>
      <c r="F764" s="382" t="s">
        <v>548</v>
      </c>
      <c r="G764" s="123">
        <v>3</v>
      </c>
      <c r="H764" s="123" t="s">
        <v>95</v>
      </c>
      <c r="I764" s="101" t="str">
        <f>VLOOKUP(BDsurtidor!$H764,$T$4:$W$18,2,FALSE)</f>
        <v>CISTERNA</v>
      </c>
      <c r="J764" s="101">
        <f>VLOOKUP(BDsurtidor!$H764,$T$4:$W$25,3,FALSE)</f>
        <v>2500</v>
      </c>
      <c r="K764" s="101">
        <f>VLOOKUP(BDsurtidor!$H764,$T$4:$W$25,4,FALSE)</f>
        <v>9</v>
      </c>
      <c r="L764" s="101">
        <f>VLOOKUP(BDsurtidor!$H764,$T$4:$X$25,5,FALSE)</f>
        <v>0.22</v>
      </c>
      <c r="M764" s="101" t="str">
        <f>VLOOKUP(BDsurtidor!$H764,$T$4:$Y$25,6,FALSE)</f>
        <v>EPS</v>
      </c>
      <c r="N764" s="101">
        <v>0</v>
      </c>
      <c r="O764" s="125">
        <v>0</v>
      </c>
      <c r="P764" s="126">
        <v>0.33611111111111114</v>
      </c>
      <c r="Q764" s="334" t="s">
        <v>574</v>
      </c>
    </row>
    <row r="765" spans="2:17" x14ac:dyDescent="0.25">
      <c r="B765">
        <f>WEEKNUM(BSURTIDOR[[#This Row],[FECHA]])</f>
        <v>17</v>
      </c>
      <c r="C765">
        <f>MONTH(BSURTIDOR[[#This Row],[FECHA]])</f>
        <v>4</v>
      </c>
      <c r="D765">
        <f>YEAR(BSURTIDOR[[#This Row],[FECHA]])</f>
        <v>2026</v>
      </c>
      <c r="E765" s="124">
        <v>46137</v>
      </c>
      <c r="F765" s="382" t="s">
        <v>548</v>
      </c>
      <c r="G765" s="123">
        <v>4</v>
      </c>
      <c r="H765" s="123" t="s">
        <v>99</v>
      </c>
      <c r="I765" s="101" t="str">
        <f>VLOOKUP(BDsurtidor!$H765,$T$4:$W$18,2,FALSE)</f>
        <v>CISTERNA</v>
      </c>
      <c r="J765" s="101">
        <f>VLOOKUP(BDsurtidor!$H765,$T$4:$W$25,3,FALSE)</f>
        <v>5000</v>
      </c>
      <c r="K765" s="101">
        <f>VLOOKUP(BDsurtidor!$H765,$T$4:$W$25,4,FALSE)</f>
        <v>17</v>
      </c>
      <c r="L765" s="101">
        <f>VLOOKUP(BDsurtidor!$H765,$T$4:$X$25,5,FALSE)</f>
        <v>0.4</v>
      </c>
      <c r="M765" s="101" t="str">
        <f>VLOOKUP(BDsurtidor!$H765,$T$4:$Y$25,6,FALSE)</f>
        <v>EPS</v>
      </c>
      <c r="N765" s="101">
        <v>0</v>
      </c>
      <c r="O765" s="125">
        <v>1.49</v>
      </c>
      <c r="P765" s="126">
        <v>0.43958333333333333</v>
      </c>
      <c r="Q765" s="334" t="s">
        <v>574</v>
      </c>
    </row>
  </sheetData>
  <phoneticPr fontId="60" type="noConversion"/>
  <pageMargins left="0.7" right="0.7" top="0.75" bottom="0.75" header="0.3" footer="0.3"/>
  <pageSetup paperSize="9" orientation="portrait" r:id="rId3"/>
  <tableParts count="2">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BD36F-2A5B-4381-AA59-35216D2E30FA}">
  <sheetPr codeName="Hoja5"/>
  <dimension ref="B1:X3574"/>
  <sheetViews>
    <sheetView showGridLines="0" zoomScale="73" zoomScaleNormal="73" workbookViewId="0">
      <selection activeCell="K12" sqref="K12"/>
    </sheetView>
  </sheetViews>
  <sheetFormatPr baseColWidth="10" defaultColWidth="11.42578125" defaultRowHeight="15" x14ac:dyDescent="0.25"/>
  <cols>
    <col min="1" max="3" width="11.42578125" style="48"/>
    <col min="4" max="4" width="13" style="48" customWidth="1"/>
    <col min="5" max="10" width="11.42578125" style="48"/>
    <col min="11" max="11" width="18.7109375" style="48" bestFit="1" customWidth="1"/>
    <col min="12" max="12" width="21.140625" style="48" bestFit="1" customWidth="1"/>
    <col min="13" max="13" width="11.85546875" style="48" bestFit="1" customWidth="1"/>
    <col min="14" max="14" width="3" style="48" customWidth="1"/>
    <col min="15" max="17" width="11.85546875" style="48" bestFit="1" customWidth="1"/>
    <col min="18" max="18" width="12.5703125" style="48" bestFit="1" customWidth="1"/>
    <col min="19" max="24" width="11.42578125" style="48"/>
    <col min="25" max="25" width="3.42578125" style="48" customWidth="1"/>
    <col min="26" max="16384" width="11.42578125" style="48"/>
  </cols>
  <sheetData>
    <row r="1" spans="2:17" x14ac:dyDescent="0.25">
      <c r="B1" s="48" t="s">
        <v>428</v>
      </c>
    </row>
    <row r="2" spans="2:17" x14ac:dyDescent="0.25">
      <c r="B2" s="59" t="s">
        <v>447</v>
      </c>
      <c r="C2" s="48" t="s">
        <v>446</v>
      </c>
    </row>
    <row r="3" spans="2:17" x14ac:dyDescent="0.25">
      <c r="B3" s="59" t="s">
        <v>445</v>
      </c>
      <c r="C3" s="48" t="s">
        <v>444</v>
      </c>
    </row>
    <row r="4" spans="2:17" x14ac:dyDescent="0.25">
      <c r="B4" s="59" t="s">
        <v>443</v>
      </c>
      <c r="C4" s="48" t="s">
        <v>442</v>
      </c>
    </row>
    <row r="5" spans="2:17" x14ac:dyDescent="0.25">
      <c r="B5" s="59" t="s">
        <v>441</v>
      </c>
      <c r="C5" s="48" t="s">
        <v>440</v>
      </c>
    </row>
    <row r="6" spans="2:17" x14ac:dyDescent="0.25">
      <c r="B6" s="59" t="s">
        <v>439</v>
      </c>
      <c r="C6" s="48" t="s">
        <v>438</v>
      </c>
    </row>
    <row r="7" spans="2:17" x14ac:dyDescent="0.25">
      <c r="B7" s="59" t="s">
        <v>437</v>
      </c>
      <c r="C7" s="48" t="s">
        <v>436</v>
      </c>
    </row>
    <row r="8" spans="2:17" x14ac:dyDescent="0.25">
      <c r="B8" s="59" t="s">
        <v>435</v>
      </c>
      <c r="C8" s="48" t="s">
        <v>434</v>
      </c>
    </row>
    <row r="9" spans="2:17" x14ac:dyDescent="0.25">
      <c r="B9" s="59" t="s">
        <v>433</v>
      </c>
      <c r="C9" s="48" t="s">
        <v>432</v>
      </c>
    </row>
    <row r="10" spans="2:17" x14ac:dyDescent="0.25">
      <c r="B10" s="59" t="s">
        <v>431</v>
      </c>
      <c r="C10" s="48" t="s">
        <v>430</v>
      </c>
    </row>
    <row r="11" spans="2:17" x14ac:dyDescent="0.25">
      <c r="B11" s="48" t="s">
        <v>428</v>
      </c>
      <c r="K11" s="36" t="s">
        <v>427</v>
      </c>
      <c r="L11" s="37">
        <v>2026</v>
      </c>
    </row>
    <row r="12" spans="2:17" ht="32.25" customHeight="1" x14ac:dyDescent="0.25">
      <c r="B12" s="437" t="s">
        <v>429</v>
      </c>
      <c r="C12" s="437"/>
      <c r="D12" s="437"/>
      <c r="E12" s="437"/>
      <c r="F12" s="437"/>
      <c r="K12" s="36" t="s">
        <v>562</v>
      </c>
      <c r="L12" s="37">
        <v>4</v>
      </c>
      <c r="P12" s="48" t="s">
        <v>471</v>
      </c>
      <c r="Q12" s="48">
        <v>70</v>
      </c>
    </row>
    <row r="13" spans="2:17" x14ac:dyDescent="0.25">
      <c r="B13" s="48" t="s">
        <v>428</v>
      </c>
      <c r="P13" s="48" t="s">
        <v>472</v>
      </c>
      <c r="Q13" s="48">
        <v>140</v>
      </c>
    </row>
    <row r="14" spans="2:17" x14ac:dyDescent="0.25">
      <c r="B14" s="58" t="s">
        <v>427</v>
      </c>
      <c r="C14" s="57" t="s">
        <v>426</v>
      </c>
      <c r="D14" s="56" t="s">
        <v>80</v>
      </c>
      <c r="E14" s="55" t="s">
        <v>81</v>
      </c>
      <c r="F14" s="54" t="s">
        <v>425</v>
      </c>
      <c r="K14" s="36" t="s">
        <v>84</v>
      </c>
      <c r="L14" t="s">
        <v>448</v>
      </c>
      <c r="P14" s="48" t="s">
        <v>473</v>
      </c>
      <c r="Q14" s="48">
        <v>250</v>
      </c>
    </row>
    <row r="15" spans="2:17" x14ac:dyDescent="0.25">
      <c r="B15" s="53">
        <f>YEAR(BDRIOSJ[[#This Row],[FECHA]])</f>
        <v>2023</v>
      </c>
      <c r="C15" s="53">
        <f>MONTH(BDRIOSJ[[#This Row],[FECHA]])</f>
        <v>1</v>
      </c>
      <c r="D15" s="50" t="s">
        <v>112</v>
      </c>
      <c r="E15" s="49" t="s">
        <v>115</v>
      </c>
      <c r="F15" s="65">
        <v>10.679600000000001</v>
      </c>
      <c r="K15" s="64">
        <v>46113</v>
      </c>
      <c r="L15" s="68">
        <v>35.909999999999997</v>
      </c>
    </row>
    <row r="16" spans="2:17" x14ac:dyDescent="0.25">
      <c r="B16" s="51">
        <f>YEAR(BDRIOSJ[[#This Row],[FECHA]])</f>
        <v>2023</v>
      </c>
      <c r="C16" s="51">
        <f>MONTH(BDRIOSJ[[#This Row],[FECHA]])</f>
        <v>1</v>
      </c>
      <c r="D16" s="50" t="s">
        <v>112</v>
      </c>
      <c r="E16" s="49" t="s">
        <v>114</v>
      </c>
      <c r="F16" s="65">
        <v>10.679600000000001</v>
      </c>
      <c r="K16" s="64">
        <v>46114</v>
      </c>
      <c r="L16" s="68">
        <v>39.67</v>
      </c>
    </row>
    <row r="17" spans="2:24" x14ac:dyDescent="0.25">
      <c r="B17" s="51">
        <f>YEAR(BDRIOSJ[[#This Row],[FECHA]])</f>
        <v>2023</v>
      </c>
      <c r="C17" s="51">
        <f>MONTH(BDRIOSJ[[#This Row],[FECHA]])</f>
        <v>1</v>
      </c>
      <c r="D17" s="50" t="s">
        <v>112</v>
      </c>
      <c r="E17" s="49" t="s">
        <v>113</v>
      </c>
      <c r="F17" s="65">
        <v>10.679600000000001</v>
      </c>
      <c r="K17" s="64">
        <v>46115</v>
      </c>
      <c r="L17" s="68">
        <v>35.909999999999997</v>
      </c>
    </row>
    <row r="18" spans="2:24" x14ac:dyDescent="0.25">
      <c r="B18" s="51">
        <f>YEAR(BDRIOSJ[[#This Row],[FECHA]])</f>
        <v>2023</v>
      </c>
      <c r="C18" s="51">
        <f>MONTH(BDRIOSJ[[#This Row],[FECHA]])</f>
        <v>1</v>
      </c>
      <c r="D18" s="50" t="s">
        <v>112</v>
      </c>
      <c r="E18" s="49" t="s">
        <v>111</v>
      </c>
      <c r="F18" s="65">
        <v>10.679600000000001</v>
      </c>
      <c r="K18" s="64">
        <v>46116</v>
      </c>
      <c r="L18" s="68">
        <v>34.07</v>
      </c>
      <c r="M18" s="48" t="s">
        <v>562</v>
      </c>
    </row>
    <row r="19" spans="2:24" x14ac:dyDescent="0.25">
      <c r="B19" s="51">
        <f>YEAR(BDRIOSJ[[#This Row],[FECHA]])</f>
        <v>2023</v>
      </c>
      <c r="C19" s="51">
        <f>MONTH(BDRIOSJ[[#This Row],[FECHA]])</f>
        <v>1</v>
      </c>
      <c r="D19" s="50" t="s">
        <v>116</v>
      </c>
      <c r="E19" s="49" t="s">
        <v>115</v>
      </c>
      <c r="F19" s="65">
        <v>12.591699999999999</v>
      </c>
      <c r="K19" s="64">
        <v>46117</v>
      </c>
      <c r="L19" s="68">
        <v>32.270000000000003</v>
      </c>
    </row>
    <row r="20" spans="2:24" x14ac:dyDescent="0.25">
      <c r="B20" s="51">
        <f>YEAR(BDRIOSJ[[#This Row],[FECHA]])</f>
        <v>2023</v>
      </c>
      <c r="C20" s="51">
        <f>MONTH(BDRIOSJ[[#This Row],[FECHA]])</f>
        <v>1</v>
      </c>
      <c r="D20" s="50" t="s">
        <v>116</v>
      </c>
      <c r="E20" s="49" t="s">
        <v>114</v>
      </c>
      <c r="F20" s="65">
        <v>12.591699999999999</v>
      </c>
      <c r="K20" s="64">
        <v>46118</v>
      </c>
      <c r="L20" s="68">
        <v>28.75</v>
      </c>
    </row>
    <row r="21" spans="2:24" x14ac:dyDescent="0.25">
      <c r="B21" s="51">
        <f>YEAR(BDRIOSJ[[#This Row],[FECHA]])</f>
        <v>2023</v>
      </c>
      <c r="C21" s="51">
        <f>MONTH(BDRIOSJ[[#This Row],[FECHA]])</f>
        <v>1</v>
      </c>
      <c r="D21" s="50" t="s">
        <v>116</v>
      </c>
      <c r="E21" s="49" t="s">
        <v>113</v>
      </c>
      <c r="F21" s="65">
        <v>10.679600000000001</v>
      </c>
      <c r="K21" s="64">
        <v>46119</v>
      </c>
      <c r="L21" s="68">
        <v>28.75</v>
      </c>
    </row>
    <row r="22" spans="2:24" ht="15" customHeight="1" x14ac:dyDescent="0.3">
      <c r="B22" s="51">
        <f>YEAR(BDRIOSJ[[#This Row],[FECHA]])</f>
        <v>2023</v>
      </c>
      <c r="C22" s="51">
        <f>MONTH(BDRIOSJ[[#This Row],[FECHA]])</f>
        <v>1</v>
      </c>
      <c r="D22" s="50" t="s">
        <v>116</v>
      </c>
      <c r="E22" s="49" t="s">
        <v>111</v>
      </c>
      <c r="F22" s="65">
        <v>9.7845999999999993</v>
      </c>
      <c r="K22" s="64">
        <v>46120</v>
      </c>
      <c r="L22" s="68">
        <v>28.75</v>
      </c>
      <c r="O22" s="438" t="s">
        <v>539</v>
      </c>
      <c r="P22" s="438"/>
      <c r="Q22" s="438"/>
      <c r="R22" s="438"/>
      <c r="S22" s="438"/>
      <c r="T22" s="438"/>
      <c r="U22" s="438"/>
      <c r="V22" s="438"/>
      <c r="W22" s="438"/>
      <c r="X22" s="438"/>
    </row>
    <row r="23" spans="2:24" x14ac:dyDescent="0.25">
      <c r="B23" s="51">
        <f>YEAR(BDRIOSJ[[#This Row],[FECHA]])</f>
        <v>2023</v>
      </c>
      <c r="C23" s="51">
        <f>MONTH(BDRIOSJ[[#This Row],[FECHA]])</f>
        <v>1</v>
      </c>
      <c r="D23" s="50" t="s">
        <v>117</v>
      </c>
      <c r="E23" s="49" t="s">
        <v>115</v>
      </c>
      <c r="F23" s="65">
        <v>11.6153</v>
      </c>
      <c r="K23" s="64">
        <v>46121</v>
      </c>
      <c r="L23" s="68">
        <v>28.75</v>
      </c>
    </row>
    <row r="24" spans="2:24" x14ac:dyDescent="0.25">
      <c r="B24" s="51">
        <f>YEAR(BDRIOSJ[[#This Row],[FECHA]])</f>
        <v>2023</v>
      </c>
      <c r="C24" s="51">
        <f>MONTH(BDRIOSJ[[#This Row],[FECHA]])</f>
        <v>1</v>
      </c>
      <c r="D24" s="50" t="s">
        <v>117</v>
      </c>
      <c r="E24" s="49" t="s">
        <v>114</v>
      </c>
      <c r="F24" s="65">
        <v>11.6153</v>
      </c>
      <c r="K24" s="64">
        <v>46122</v>
      </c>
      <c r="L24" s="68">
        <v>28.41</v>
      </c>
    </row>
    <row r="25" spans="2:24" x14ac:dyDescent="0.25">
      <c r="B25" s="51">
        <f>YEAR(BDRIOSJ[[#This Row],[FECHA]])</f>
        <v>2023</v>
      </c>
      <c r="C25" s="51">
        <f>MONTH(BDRIOSJ[[#This Row],[FECHA]])</f>
        <v>1</v>
      </c>
      <c r="D25" s="50" t="s">
        <v>117</v>
      </c>
      <c r="E25" s="49" t="s">
        <v>113</v>
      </c>
      <c r="F25" s="65">
        <v>13.6088</v>
      </c>
      <c r="K25" s="64">
        <v>46123</v>
      </c>
      <c r="L25" s="68">
        <v>28.07</v>
      </c>
    </row>
    <row r="26" spans="2:24" x14ac:dyDescent="0.25">
      <c r="B26" s="51">
        <f>YEAR(BDRIOSJ[[#This Row],[FECHA]])</f>
        <v>2023</v>
      </c>
      <c r="C26" s="51">
        <f>MONTH(BDRIOSJ[[#This Row],[FECHA]])</f>
        <v>1</v>
      </c>
      <c r="D26" s="50" t="s">
        <v>117</v>
      </c>
      <c r="E26" s="49" t="s">
        <v>111</v>
      </c>
      <c r="F26" s="65">
        <v>13.6088</v>
      </c>
      <c r="K26" s="64">
        <v>46124</v>
      </c>
      <c r="L26" s="68">
        <v>28.07</v>
      </c>
    </row>
    <row r="27" spans="2:24" x14ac:dyDescent="0.25">
      <c r="B27" s="51">
        <f>YEAR(BDRIOSJ[[#This Row],[FECHA]])</f>
        <v>2023</v>
      </c>
      <c r="C27" s="51">
        <f>MONTH(BDRIOSJ[[#This Row],[FECHA]])</f>
        <v>1</v>
      </c>
      <c r="D27" s="50" t="s">
        <v>118</v>
      </c>
      <c r="E27" s="49" t="s">
        <v>115</v>
      </c>
      <c r="F27" s="65">
        <v>18.0839</v>
      </c>
      <c r="K27" s="64">
        <v>46125</v>
      </c>
      <c r="L27" s="68">
        <v>28.07</v>
      </c>
    </row>
    <row r="28" spans="2:24" x14ac:dyDescent="0.25">
      <c r="B28" s="51">
        <f>YEAR(BDRIOSJ[[#This Row],[FECHA]])</f>
        <v>2023</v>
      </c>
      <c r="C28" s="51">
        <f>MONTH(BDRIOSJ[[#This Row],[FECHA]])</f>
        <v>1</v>
      </c>
      <c r="D28" s="50" t="s">
        <v>118</v>
      </c>
      <c r="E28" s="49" t="s">
        <v>114</v>
      </c>
      <c r="F28" s="65">
        <v>21.8674</v>
      </c>
      <c r="K28" s="64">
        <v>46126</v>
      </c>
      <c r="L28" s="68">
        <v>27.38</v>
      </c>
    </row>
    <row r="29" spans="2:24" x14ac:dyDescent="0.25">
      <c r="B29" s="51">
        <f>YEAR(BDRIOSJ[[#This Row],[FECHA]])</f>
        <v>2023</v>
      </c>
      <c r="C29" s="51">
        <f>MONTH(BDRIOSJ[[#This Row],[FECHA]])</f>
        <v>1</v>
      </c>
      <c r="D29" s="50" t="s">
        <v>118</v>
      </c>
      <c r="E29" s="49" t="s">
        <v>113</v>
      </c>
      <c r="F29" s="65">
        <v>26.017199999999999</v>
      </c>
      <c r="K29" s="64">
        <v>46127</v>
      </c>
      <c r="L29" s="68">
        <v>26.71</v>
      </c>
    </row>
    <row r="30" spans="2:24" x14ac:dyDescent="0.25">
      <c r="B30" s="51">
        <f>YEAR(BDRIOSJ[[#This Row],[FECHA]])</f>
        <v>2023</v>
      </c>
      <c r="C30" s="51">
        <f>MONTH(BDRIOSJ[[#This Row],[FECHA]])</f>
        <v>1</v>
      </c>
      <c r="D30" s="50" t="s">
        <v>118</v>
      </c>
      <c r="E30" s="49" t="s">
        <v>111</v>
      </c>
      <c r="F30" s="65">
        <v>26.017199999999999</v>
      </c>
      <c r="K30" s="64">
        <v>46128</v>
      </c>
      <c r="L30" s="68">
        <v>27.38</v>
      </c>
    </row>
    <row r="31" spans="2:24" x14ac:dyDescent="0.25">
      <c r="B31" s="51">
        <f>YEAR(BDRIOSJ[[#This Row],[FECHA]])</f>
        <v>2023</v>
      </c>
      <c r="C31" s="51">
        <f>MONTH(BDRIOSJ[[#This Row],[FECHA]])</f>
        <v>1</v>
      </c>
      <c r="D31" s="50" t="s">
        <v>119</v>
      </c>
      <c r="E31" s="49" t="s">
        <v>115</v>
      </c>
      <c r="F31" s="65">
        <v>9.7845999999999993</v>
      </c>
      <c r="K31" s="64">
        <v>46129</v>
      </c>
      <c r="L31" s="68">
        <v>26.71</v>
      </c>
    </row>
    <row r="32" spans="2:24" x14ac:dyDescent="0.25">
      <c r="B32" s="51">
        <f>YEAR(BDRIOSJ[[#This Row],[FECHA]])</f>
        <v>2023</v>
      </c>
      <c r="C32" s="51">
        <f>MONTH(BDRIOSJ[[#This Row],[FECHA]])</f>
        <v>1</v>
      </c>
      <c r="D32" s="50" t="s">
        <v>119</v>
      </c>
      <c r="E32" s="49" t="s">
        <v>114</v>
      </c>
      <c r="F32" s="65">
        <v>9.7845999999999993</v>
      </c>
      <c r="K32" s="64">
        <v>46130</v>
      </c>
      <c r="L32" s="68">
        <v>26.71</v>
      </c>
    </row>
    <row r="33" spans="2:12" x14ac:dyDescent="0.25">
      <c r="B33" s="51">
        <f>YEAR(BDRIOSJ[[#This Row],[FECHA]])</f>
        <v>2023</v>
      </c>
      <c r="C33" s="51">
        <f>MONTH(BDRIOSJ[[#This Row],[FECHA]])</f>
        <v>1</v>
      </c>
      <c r="D33" s="50" t="s">
        <v>119</v>
      </c>
      <c r="E33" s="49" t="s">
        <v>113</v>
      </c>
      <c r="F33" s="65">
        <v>9.7845999999999993</v>
      </c>
      <c r="K33" s="64">
        <v>46131</v>
      </c>
      <c r="L33" s="68">
        <v>26.71</v>
      </c>
    </row>
    <row r="34" spans="2:12" x14ac:dyDescent="0.25">
      <c r="B34" s="51">
        <f>YEAR(BDRIOSJ[[#This Row],[FECHA]])</f>
        <v>2023</v>
      </c>
      <c r="C34" s="51">
        <f>MONTH(BDRIOSJ[[#This Row],[FECHA]])</f>
        <v>1</v>
      </c>
      <c r="D34" s="50" t="s">
        <v>119</v>
      </c>
      <c r="E34" s="49" t="s">
        <v>111</v>
      </c>
      <c r="F34" s="65">
        <v>9.7845999999999993</v>
      </c>
      <c r="K34" s="64">
        <v>46132</v>
      </c>
      <c r="L34" s="68">
        <v>26.71</v>
      </c>
    </row>
    <row r="35" spans="2:12" x14ac:dyDescent="0.25">
      <c r="B35" s="51">
        <f>YEAR(BDRIOSJ[[#This Row],[FECHA]])</f>
        <v>2023</v>
      </c>
      <c r="C35" s="51">
        <f>MONTH(BDRIOSJ[[#This Row],[FECHA]])</f>
        <v>1</v>
      </c>
      <c r="D35" s="50" t="s">
        <v>120</v>
      </c>
      <c r="E35" s="49" t="s">
        <v>111</v>
      </c>
      <c r="F35" s="65">
        <v>8.9303000000000008</v>
      </c>
      <c r="K35" s="64">
        <v>46133</v>
      </c>
      <c r="L35" s="68">
        <v>26.71</v>
      </c>
    </row>
    <row r="36" spans="2:12" x14ac:dyDescent="0.25">
      <c r="B36" s="51">
        <f>YEAR(BDRIOSJ[[#This Row],[FECHA]])</f>
        <v>2023</v>
      </c>
      <c r="C36" s="51">
        <f>MONTH(BDRIOSJ[[#This Row],[FECHA]])</f>
        <v>1</v>
      </c>
      <c r="D36" s="50" t="s">
        <v>121</v>
      </c>
      <c r="E36" s="49" t="s">
        <v>115</v>
      </c>
      <c r="F36" s="65">
        <v>8.9303000000000008</v>
      </c>
      <c r="K36" s="64">
        <v>46134</v>
      </c>
      <c r="L36" s="68">
        <v>26.71</v>
      </c>
    </row>
    <row r="37" spans="2:12" x14ac:dyDescent="0.25">
      <c r="B37" s="51">
        <f>YEAR(BDRIOSJ[[#This Row],[FECHA]])</f>
        <v>2023</v>
      </c>
      <c r="C37" s="51">
        <f>MONTH(BDRIOSJ[[#This Row],[FECHA]])</f>
        <v>1</v>
      </c>
      <c r="D37" s="50" t="s">
        <v>121</v>
      </c>
      <c r="E37" s="49" t="s">
        <v>114</v>
      </c>
      <c r="F37" s="65">
        <v>8.9303000000000008</v>
      </c>
      <c r="K37" s="64">
        <v>46135</v>
      </c>
      <c r="L37" s="68">
        <v>26.03</v>
      </c>
    </row>
    <row r="38" spans="2:12" x14ac:dyDescent="0.25">
      <c r="B38" s="51">
        <f>YEAR(BDRIOSJ[[#This Row],[FECHA]])</f>
        <v>2023</v>
      </c>
      <c r="C38" s="51">
        <f>MONTH(BDRIOSJ[[#This Row],[FECHA]])</f>
        <v>1</v>
      </c>
      <c r="D38" s="50" t="s">
        <v>121</v>
      </c>
      <c r="E38" s="49" t="s">
        <v>113</v>
      </c>
      <c r="F38" s="65">
        <v>8.9303000000000008</v>
      </c>
      <c r="K38" s="64">
        <v>46136</v>
      </c>
      <c r="L38" s="68">
        <v>26.03</v>
      </c>
    </row>
    <row r="39" spans="2:12" x14ac:dyDescent="0.25">
      <c r="B39" s="51">
        <f>YEAR(BDRIOSJ[[#This Row],[FECHA]])</f>
        <v>2023</v>
      </c>
      <c r="C39" s="51">
        <f>MONTH(BDRIOSJ[[#This Row],[FECHA]])</f>
        <v>1</v>
      </c>
      <c r="D39" s="50" t="s">
        <v>121</v>
      </c>
      <c r="E39" s="49" t="s">
        <v>111</v>
      </c>
      <c r="F39" s="65">
        <v>8.9303000000000008</v>
      </c>
      <c r="K39" s="64">
        <v>46137</v>
      </c>
      <c r="L39" s="68">
        <v>26.03</v>
      </c>
    </row>
    <row r="40" spans="2:12" x14ac:dyDescent="0.25">
      <c r="B40" s="51">
        <f>YEAR(BDRIOSJ[[#This Row],[FECHA]])</f>
        <v>2023</v>
      </c>
      <c r="C40" s="51">
        <f>MONTH(BDRIOSJ[[#This Row],[FECHA]])</f>
        <v>1</v>
      </c>
      <c r="D40" s="50" t="s">
        <v>122</v>
      </c>
      <c r="E40" s="49" t="s">
        <v>115</v>
      </c>
      <c r="F40" s="65">
        <v>4.6588000000000003</v>
      </c>
      <c r="K40" s="64">
        <v>46138</v>
      </c>
      <c r="L40" s="68">
        <v>23.22</v>
      </c>
    </row>
    <row r="41" spans="2:12" x14ac:dyDescent="0.25">
      <c r="B41" s="51">
        <f>YEAR(BDRIOSJ[[#This Row],[FECHA]])</f>
        <v>2023</v>
      </c>
      <c r="C41" s="51">
        <f>MONTH(BDRIOSJ[[#This Row],[FECHA]])</f>
        <v>1</v>
      </c>
      <c r="D41" s="50" t="s">
        <v>122</v>
      </c>
      <c r="E41" s="49" t="s">
        <v>114</v>
      </c>
      <c r="F41" s="65">
        <v>4.6588000000000003</v>
      </c>
      <c r="K41" s="64">
        <v>46139</v>
      </c>
      <c r="L41" s="68"/>
    </row>
    <row r="42" spans="2:12" x14ac:dyDescent="0.25">
      <c r="B42" s="51">
        <f>YEAR(BDRIOSJ[[#This Row],[FECHA]])</f>
        <v>2023</v>
      </c>
      <c r="C42" s="51">
        <f>MONTH(BDRIOSJ[[#This Row],[FECHA]])</f>
        <v>1</v>
      </c>
      <c r="D42" s="50" t="s">
        <v>122</v>
      </c>
      <c r="E42" s="49" t="s">
        <v>113</v>
      </c>
      <c r="F42" s="65">
        <v>4.6588000000000003</v>
      </c>
      <c r="K42" s="64">
        <v>46140</v>
      </c>
      <c r="L42" s="68"/>
    </row>
    <row r="43" spans="2:12" x14ac:dyDescent="0.25">
      <c r="B43" s="51">
        <f>YEAR(BDRIOSJ[[#This Row],[FECHA]])</f>
        <v>2023</v>
      </c>
      <c r="C43" s="51">
        <f>MONTH(BDRIOSJ[[#This Row],[FECHA]])</f>
        <v>1</v>
      </c>
      <c r="D43" s="50" t="s">
        <v>122</v>
      </c>
      <c r="E43" s="49" t="s">
        <v>111</v>
      </c>
      <c r="F43" s="65">
        <v>4.6588000000000003</v>
      </c>
      <c r="K43" s="64">
        <v>46141</v>
      </c>
      <c r="L43" s="68"/>
    </row>
    <row r="44" spans="2:12" x14ac:dyDescent="0.25">
      <c r="B44" s="51">
        <f>YEAR(BDRIOSJ[[#This Row],[FECHA]])</f>
        <v>2023</v>
      </c>
      <c r="C44" s="51">
        <f>MONTH(BDRIOSJ[[#This Row],[FECHA]])</f>
        <v>1</v>
      </c>
      <c r="D44" s="50" t="s">
        <v>123</v>
      </c>
      <c r="E44" s="49" t="s">
        <v>115</v>
      </c>
      <c r="F44" s="65">
        <v>2.6248</v>
      </c>
      <c r="K44" s="64">
        <v>46142</v>
      </c>
      <c r="L44" s="68"/>
    </row>
    <row r="45" spans="2:12" x14ac:dyDescent="0.25">
      <c r="B45" s="51">
        <f>YEAR(BDRIOSJ[[#This Row],[FECHA]])</f>
        <v>2023</v>
      </c>
      <c r="C45" s="51">
        <f>MONTH(BDRIOSJ[[#This Row],[FECHA]])</f>
        <v>1</v>
      </c>
      <c r="D45" s="50" t="s">
        <v>123</v>
      </c>
      <c r="E45" s="49" t="s">
        <v>114</v>
      </c>
      <c r="F45" s="65">
        <v>2.6248</v>
      </c>
      <c r="K45" s="37" t="s">
        <v>85</v>
      </c>
      <c r="L45" s="68">
        <v>39.67</v>
      </c>
    </row>
    <row r="46" spans="2:12" x14ac:dyDescent="0.25">
      <c r="B46" s="51">
        <f>YEAR(BDRIOSJ[[#This Row],[FECHA]])</f>
        <v>2023</v>
      </c>
      <c r="C46" s="51">
        <f>MONTH(BDRIOSJ[[#This Row],[FECHA]])</f>
        <v>1</v>
      </c>
      <c r="D46" s="50" t="s">
        <v>123</v>
      </c>
      <c r="E46" s="49" t="s">
        <v>113</v>
      </c>
      <c r="F46" s="65">
        <v>2.6248</v>
      </c>
      <c r="K46"/>
      <c r="L46"/>
    </row>
    <row r="47" spans="2:12" x14ac:dyDescent="0.25">
      <c r="B47" s="51">
        <f>YEAR(BDRIOSJ[[#This Row],[FECHA]])</f>
        <v>2023</v>
      </c>
      <c r="C47" s="51">
        <f>MONTH(BDRIOSJ[[#This Row],[FECHA]])</f>
        <v>1</v>
      </c>
      <c r="D47" s="50" t="s">
        <v>123</v>
      </c>
      <c r="E47" s="49" t="s">
        <v>111</v>
      </c>
      <c r="F47" s="65">
        <v>2.6248</v>
      </c>
      <c r="K47"/>
      <c r="L47"/>
    </row>
    <row r="48" spans="2:12" x14ac:dyDescent="0.25">
      <c r="B48" s="51">
        <f>YEAR(BDRIOSJ[[#This Row],[FECHA]])</f>
        <v>2023</v>
      </c>
      <c r="C48" s="51">
        <f>MONTH(BDRIOSJ[[#This Row],[FECHA]])</f>
        <v>1</v>
      </c>
      <c r="D48" s="50" t="s">
        <v>124</v>
      </c>
      <c r="E48" s="49" t="s">
        <v>115</v>
      </c>
      <c r="F48" s="65">
        <v>2.218</v>
      </c>
      <c r="K48"/>
      <c r="L48"/>
    </row>
    <row r="49" spans="2:12" x14ac:dyDescent="0.25">
      <c r="B49" s="51">
        <f>YEAR(BDRIOSJ[[#This Row],[FECHA]])</f>
        <v>2023</v>
      </c>
      <c r="C49" s="51">
        <f>MONTH(BDRIOSJ[[#This Row],[FECHA]])</f>
        <v>1</v>
      </c>
      <c r="D49" s="50" t="s">
        <v>124</v>
      </c>
      <c r="E49" s="49" t="s">
        <v>114</v>
      </c>
      <c r="F49" s="65">
        <v>2.218</v>
      </c>
      <c r="K49" s="36" t="s">
        <v>427</v>
      </c>
      <c r="L49" s="37">
        <v>2023</v>
      </c>
    </row>
    <row r="50" spans="2:12" x14ac:dyDescent="0.25">
      <c r="B50" s="51">
        <f>YEAR(BDRIOSJ[[#This Row],[FECHA]])</f>
        <v>2023</v>
      </c>
      <c r="C50" s="51">
        <f>MONTH(BDRIOSJ[[#This Row],[FECHA]])</f>
        <v>1</v>
      </c>
      <c r="D50" s="50" t="s">
        <v>124</v>
      </c>
      <c r="E50" s="49" t="s">
        <v>113</v>
      </c>
      <c r="F50" s="65">
        <v>2.218</v>
      </c>
      <c r="K50" s="36" t="s">
        <v>426</v>
      </c>
      <c r="L50" s="37">
        <v>1</v>
      </c>
    </row>
    <row r="51" spans="2:12" x14ac:dyDescent="0.25">
      <c r="B51" s="51">
        <f>YEAR(BDRIOSJ[[#This Row],[FECHA]])</f>
        <v>2023</v>
      </c>
      <c r="C51" s="51">
        <f>MONTH(BDRIOSJ[[#This Row],[FECHA]])</f>
        <v>1</v>
      </c>
      <c r="D51" s="50" t="s">
        <v>124</v>
      </c>
      <c r="E51" s="49" t="s">
        <v>111</v>
      </c>
      <c r="F51" s="65">
        <v>2.218</v>
      </c>
    </row>
    <row r="52" spans="2:12" x14ac:dyDescent="0.25">
      <c r="B52" s="51">
        <f>YEAR(BDRIOSJ[[#This Row],[FECHA]])</f>
        <v>2023</v>
      </c>
      <c r="C52" s="51">
        <f>MONTH(BDRIOSJ[[#This Row],[FECHA]])</f>
        <v>1</v>
      </c>
      <c r="D52" s="50" t="s">
        <v>125</v>
      </c>
      <c r="E52" s="49" t="s">
        <v>115</v>
      </c>
      <c r="F52" s="65">
        <v>1.5265</v>
      </c>
      <c r="K52" s="36" t="s">
        <v>84</v>
      </c>
      <c r="L52" t="s">
        <v>448</v>
      </c>
    </row>
    <row r="53" spans="2:12" x14ac:dyDescent="0.25">
      <c r="B53" s="51">
        <f>YEAR(BDRIOSJ[[#This Row],[FECHA]])</f>
        <v>2023</v>
      </c>
      <c r="C53" s="51">
        <f>MONTH(BDRIOSJ[[#This Row],[FECHA]])</f>
        <v>1</v>
      </c>
      <c r="D53" s="50" t="s">
        <v>125</v>
      </c>
      <c r="E53" s="49" t="s">
        <v>114</v>
      </c>
      <c r="F53" s="65">
        <v>1.5265</v>
      </c>
      <c r="K53" s="37" t="s">
        <v>112</v>
      </c>
      <c r="L53" s="68">
        <v>10.679600000000001</v>
      </c>
    </row>
    <row r="54" spans="2:12" x14ac:dyDescent="0.25">
      <c r="B54" s="51">
        <f>YEAR(BDRIOSJ[[#This Row],[FECHA]])</f>
        <v>2023</v>
      </c>
      <c r="C54" s="51">
        <f>MONTH(BDRIOSJ[[#This Row],[FECHA]])</f>
        <v>1</v>
      </c>
      <c r="D54" s="50" t="s">
        <v>125</v>
      </c>
      <c r="E54" s="49" t="s">
        <v>113</v>
      </c>
      <c r="F54" s="65">
        <v>1.5265</v>
      </c>
      <c r="K54" s="37" t="s">
        <v>116</v>
      </c>
      <c r="L54" s="68">
        <v>12.591699999999999</v>
      </c>
    </row>
    <row r="55" spans="2:12" x14ac:dyDescent="0.25">
      <c r="B55" s="51">
        <f>YEAR(BDRIOSJ[[#This Row],[FECHA]])</f>
        <v>2023</v>
      </c>
      <c r="C55" s="51">
        <f>MONTH(BDRIOSJ[[#This Row],[FECHA]])</f>
        <v>1</v>
      </c>
      <c r="D55" s="50" t="s">
        <v>125</v>
      </c>
      <c r="E55" s="49" t="s">
        <v>111</v>
      </c>
      <c r="F55" s="65">
        <v>1.5265</v>
      </c>
      <c r="K55" s="37" t="s">
        <v>117</v>
      </c>
      <c r="L55" s="68">
        <v>13.6088</v>
      </c>
    </row>
    <row r="56" spans="2:12" x14ac:dyDescent="0.25">
      <c r="B56" s="51">
        <f>YEAR(BDRIOSJ[[#This Row],[FECHA]])</f>
        <v>2023</v>
      </c>
      <c r="C56" s="51">
        <f>MONTH(BDRIOSJ[[#This Row],[FECHA]])</f>
        <v>1</v>
      </c>
      <c r="D56" s="50" t="s">
        <v>126</v>
      </c>
      <c r="E56" s="49" t="s">
        <v>115</v>
      </c>
      <c r="F56" s="65">
        <v>0.99780000000000002</v>
      </c>
      <c r="K56" s="37" t="s">
        <v>118</v>
      </c>
      <c r="L56" s="68">
        <v>26.017199999999999</v>
      </c>
    </row>
    <row r="57" spans="2:12" x14ac:dyDescent="0.25">
      <c r="B57" s="51">
        <f>YEAR(BDRIOSJ[[#This Row],[FECHA]])</f>
        <v>2023</v>
      </c>
      <c r="C57" s="51">
        <f>MONTH(BDRIOSJ[[#This Row],[FECHA]])</f>
        <v>1</v>
      </c>
      <c r="D57" s="50" t="s">
        <v>126</v>
      </c>
      <c r="E57" s="49" t="s">
        <v>114</v>
      </c>
      <c r="F57" s="65">
        <v>0.99780000000000002</v>
      </c>
      <c r="K57" s="37" t="s">
        <v>119</v>
      </c>
      <c r="L57" s="68">
        <v>9.7845999999999993</v>
      </c>
    </row>
    <row r="58" spans="2:12" x14ac:dyDescent="0.25">
      <c r="B58" s="51">
        <f>YEAR(BDRIOSJ[[#This Row],[FECHA]])</f>
        <v>2023</v>
      </c>
      <c r="C58" s="51">
        <f>MONTH(BDRIOSJ[[#This Row],[FECHA]])</f>
        <v>1</v>
      </c>
      <c r="D58" s="50" t="s">
        <v>126</v>
      </c>
      <c r="E58" s="49" t="s">
        <v>113</v>
      </c>
      <c r="F58" s="65">
        <v>0.99780000000000002</v>
      </c>
      <c r="K58" s="37" t="s">
        <v>120</v>
      </c>
      <c r="L58" s="68">
        <v>8.9303000000000008</v>
      </c>
    </row>
    <row r="59" spans="2:12" x14ac:dyDescent="0.25">
      <c r="B59" s="51">
        <f>YEAR(BDRIOSJ[[#This Row],[FECHA]])</f>
        <v>2023</v>
      </c>
      <c r="C59" s="51">
        <f>MONTH(BDRIOSJ[[#This Row],[FECHA]])</f>
        <v>1</v>
      </c>
      <c r="D59" s="50" t="s">
        <v>126</v>
      </c>
      <c r="E59" s="49" t="s">
        <v>111</v>
      </c>
      <c r="F59" s="65">
        <v>0.99780000000000002</v>
      </c>
      <c r="K59" s="37" t="s">
        <v>121</v>
      </c>
      <c r="L59" s="68">
        <v>8.9303000000000008</v>
      </c>
    </row>
    <row r="60" spans="2:12" x14ac:dyDescent="0.25">
      <c r="B60" s="51">
        <f>YEAR(BDRIOSJ[[#This Row],[FECHA]])</f>
        <v>2023</v>
      </c>
      <c r="C60" s="51">
        <f>MONTH(BDRIOSJ[[#This Row],[FECHA]])</f>
        <v>1</v>
      </c>
      <c r="D60" s="50" t="s">
        <v>127</v>
      </c>
      <c r="E60" s="49" t="s">
        <v>115</v>
      </c>
      <c r="F60" s="65">
        <v>0.99780000000000002</v>
      </c>
      <c r="K60" s="37" t="s">
        <v>122</v>
      </c>
      <c r="L60" s="68">
        <v>4.6588000000000003</v>
      </c>
    </row>
    <row r="61" spans="2:12" x14ac:dyDescent="0.25">
      <c r="B61" s="51">
        <f>YEAR(BDRIOSJ[[#This Row],[FECHA]])</f>
        <v>2023</v>
      </c>
      <c r="C61" s="51">
        <f>MONTH(BDRIOSJ[[#This Row],[FECHA]])</f>
        <v>1</v>
      </c>
      <c r="D61" s="50" t="s">
        <v>127</v>
      </c>
      <c r="E61" s="49" t="s">
        <v>114</v>
      </c>
      <c r="F61" s="65">
        <v>0.99780000000000002</v>
      </c>
      <c r="K61" s="37" t="s">
        <v>123</v>
      </c>
      <c r="L61" s="68">
        <v>2.6248</v>
      </c>
    </row>
    <row r="62" spans="2:12" x14ac:dyDescent="0.25">
      <c r="B62" s="51">
        <f>YEAR(BDRIOSJ[[#This Row],[FECHA]])</f>
        <v>2023</v>
      </c>
      <c r="C62" s="51">
        <f>MONTH(BDRIOSJ[[#This Row],[FECHA]])</f>
        <v>1</v>
      </c>
      <c r="D62" s="50" t="s">
        <v>127</v>
      </c>
      <c r="E62" s="49" t="s">
        <v>113</v>
      </c>
      <c r="F62" s="65">
        <v>0.99780000000000002</v>
      </c>
      <c r="K62" s="37" t="s">
        <v>124</v>
      </c>
      <c r="L62" s="68">
        <v>2.218</v>
      </c>
    </row>
    <row r="63" spans="2:12" x14ac:dyDescent="0.25">
      <c r="B63" s="51">
        <f>YEAR(BDRIOSJ[[#This Row],[FECHA]])</f>
        <v>2023</v>
      </c>
      <c r="C63" s="51">
        <f>MONTH(BDRIOSJ[[#This Row],[FECHA]])</f>
        <v>1</v>
      </c>
      <c r="D63" s="50" t="s">
        <v>127</v>
      </c>
      <c r="E63" s="49" t="s">
        <v>111</v>
      </c>
      <c r="F63" s="65">
        <v>0.99780000000000002</v>
      </c>
      <c r="K63" s="37" t="s">
        <v>125</v>
      </c>
      <c r="L63" s="68">
        <v>1.5265</v>
      </c>
    </row>
    <row r="64" spans="2:12" x14ac:dyDescent="0.25">
      <c r="B64" s="51">
        <f>YEAR(BDRIOSJ[[#This Row],[FECHA]])</f>
        <v>2023</v>
      </c>
      <c r="C64" s="51">
        <f>MONTH(BDRIOSJ[[#This Row],[FECHA]])</f>
        <v>1</v>
      </c>
      <c r="D64" s="50" t="s">
        <v>128</v>
      </c>
      <c r="E64" s="49" t="s">
        <v>115</v>
      </c>
      <c r="F64" s="65">
        <v>0.99780000000000002</v>
      </c>
      <c r="K64" s="37" t="s">
        <v>126</v>
      </c>
      <c r="L64" s="68">
        <v>0.99780000000000002</v>
      </c>
    </row>
    <row r="65" spans="2:12" x14ac:dyDescent="0.25">
      <c r="B65" s="51">
        <f>YEAR(BDRIOSJ[[#This Row],[FECHA]])</f>
        <v>2023</v>
      </c>
      <c r="C65" s="51">
        <f>MONTH(BDRIOSJ[[#This Row],[FECHA]])</f>
        <v>1</v>
      </c>
      <c r="D65" s="50" t="s">
        <v>128</v>
      </c>
      <c r="E65" s="49" t="s">
        <v>114</v>
      </c>
      <c r="F65" s="65">
        <v>0.99780000000000002</v>
      </c>
      <c r="K65" s="37" t="s">
        <v>127</v>
      </c>
      <c r="L65" s="68">
        <v>0.99780000000000002</v>
      </c>
    </row>
    <row r="66" spans="2:12" x14ac:dyDescent="0.25">
      <c r="B66" s="51">
        <f>YEAR(BDRIOSJ[[#This Row],[FECHA]])</f>
        <v>2023</v>
      </c>
      <c r="C66" s="51">
        <f>MONTH(BDRIOSJ[[#This Row],[FECHA]])</f>
        <v>1</v>
      </c>
      <c r="D66" s="50" t="s">
        <v>128</v>
      </c>
      <c r="E66" s="49" t="s">
        <v>113</v>
      </c>
      <c r="F66" s="65">
        <v>0.99780000000000002</v>
      </c>
      <c r="K66" s="37" t="s">
        <v>128</v>
      </c>
      <c r="L66" s="68">
        <v>0.99780000000000002</v>
      </c>
    </row>
    <row r="67" spans="2:12" x14ac:dyDescent="0.25">
      <c r="B67" s="51">
        <f>YEAR(BDRIOSJ[[#This Row],[FECHA]])</f>
        <v>2023</v>
      </c>
      <c r="C67" s="51">
        <f>MONTH(BDRIOSJ[[#This Row],[FECHA]])</f>
        <v>1</v>
      </c>
      <c r="D67" s="50" t="s">
        <v>128</v>
      </c>
      <c r="E67" s="49" t="s">
        <v>111</v>
      </c>
      <c r="F67" s="65">
        <v>0.99780000000000002</v>
      </c>
      <c r="K67" s="37" t="s">
        <v>129</v>
      </c>
      <c r="L67" s="68">
        <v>0.99780000000000002</v>
      </c>
    </row>
    <row r="68" spans="2:12" x14ac:dyDescent="0.25">
      <c r="B68" s="51">
        <f>YEAR(BDRIOSJ[[#This Row],[FECHA]])</f>
        <v>2023</v>
      </c>
      <c r="C68" s="51">
        <f>MONTH(BDRIOSJ[[#This Row],[FECHA]])</f>
        <v>1</v>
      </c>
      <c r="D68" s="50" t="s">
        <v>129</v>
      </c>
      <c r="E68" s="49" t="s">
        <v>115</v>
      </c>
      <c r="F68" s="65">
        <v>0.99780000000000002</v>
      </c>
      <c r="K68" s="37" t="s">
        <v>130</v>
      </c>
      <c r="L68" s="68">
        <v>0.7944</v>
      </c>
    </row>
    <row r="69" spans="2:12" x14ac:dyDescent="0.25">
      <c r="B69" s="51">
        <f>YEAR(BDRIOSJ[[#This Row],[FECHA]])</f>
        <v>2023</v>
      </c>
      <c r="C69" s="51">
        <f>MONTH(BDRIOSJ[[#This Row],[FECHA]])</f>
        <v>1</v>
      </c>
      <c r="D69" s="50" t="s">
        <v>129</v>
      </c>
      <c r="E69" s="49" t="s">
        <v>114</v>
      </c>
      <c r="F69" s="65">
        <v>0.99780000000000002</v>
      </c>
      <c r="K69" s="37" t="s">
        <v>131</v>
      </c>
      <c r="L69" s="68">
        <v>0.7944</v>
      </c>
    </row>
    <row r="70" spans="2:12" x14ac:dyDescent="0.25">
      <c r="B70" s="51">
        <f>YEAR(BDRIOSJ[[#This Row],[FECHA]])</f>
        <v>2023</v>
      </c>
      <c r="C70" s="51">
        <f>MONTH(BDRIOSJ[[#This Row],[FECHA]])</f>
        <v>1</v>
      </c>
      <c r="D70" s="50" t="s">
        <v>129</v>
      </c>
      <c r="E70" s="49" t="s">
        <v>113</v>
      </c>
      <c r="F70" s="65">
        <v>0.99780000000000002</v>
      </c>
      <c r="K70" s="37" t="s">
        <v>132</v>
      </c>
      <c r="L70" s="68">
        <v>0.99780000000000002</v>
      </c>
    </row>
    <row r="71" spans="2:12" x14ac:dyDescent="0.25">
      <c r="B71" s="51">
        <f>YEAR(BDRIOSJ[[#This Row],[FECHA]])</f>
        <v>2023</v>
      </c>
      <c r="C71" s="51">
        <f>MONTH(BDRIOSJ[[#This Row],[FECHA]])</f>
        <v>1</v>
      </c>
      <c r="D71" s="50" t="s">
        <v>129</v>
      </c>
      <c r="E71" s="49" t="s">
        <v>111</v>
      </c>
      <c r="F71" s="65">
        <v>0.99780000000000002</v>
      </c>
      <c r="K71" s="37" t="s">
        <v>133</v>
      </c>
      <c r="L71" s="68">
        <v>1.5265</v>
      </c>
    </row>
    <row r="72" spans="2:12" x14ac:dyDescent="0.25">
      <c r="B72" s="51">
        <f>YEAR(BDRIOSJ[[#This Row],[FECHA]])</f>
        <v>2023</v>
      </c>
      <c r="C72" s="51">
        <f>MONTH(BDRIOSJ[[#This Row],[FECHA]])</f>
        <v>1</v>
      </c>
      <c r="D72" s="50" t="s">
        <v>130</v>
      </c>
      <c r="E72" s="49" t="s">
        <v>115</v>
      </c>
      <c r="F72" s="65">
        <v>0.7944</v>
      </c>
      <c r="K72" s="37" t="s">
        <v>134</v>
      </c>
      <c r="L72" s="68">
        <v>18.0839</v>
      </c>
    </row>
    <row r="73" spans="2:12" x14ac:dyDescent="0.25">
      <c r="B73" s="51">
        <f>YEAR(BDRIOSJ[[#This Row],[FECHA]])</f>
        <v>2023</v>
      </c>
      <c r="C73" s="51">
        <f>MONTH(BDRIOSJ[[#This Row],[FECHA]])</f>
        <v>1</v>
      </c>
      <c r="D73" s="50" t="s">
        <v>130</v>
      </c>
      <c r="E73" s="49" t="s">
        <v>114</v>
      </c>
      <c r="F73" s="65">
        <v>0.7944</v>
      </c>
      <c r="K73" s="37" t="s">
        <v>135</v>
      </c>
      <c r="L73" s="68">
        <v>16.9041</v>
      </c>
    </row>
    <row r="74" spans="2:12" x14ac:dyDescent="0.25">
      <c r="B74" s="51">
        <f>YEAR(BDRIOSJ[[#This Row],[FECHA]])</f>
        <v>2023</v>
      </c>
      <c r="C74" s="51">
        <f>MONTH(BDRIOSJ[[#This Row],[FECHA]])</f>
        <v>1</v>
      </c>
      <c r="D74" s="50" t="s">
        <v>130</v>
      </c>
      <c r="E74" s="49" t="s">
        <v>113</v>
      </c>
      <c r="F74" s="65">
        <v>0.7944</v>
      </c>
      <c r="K74" s="37" t="s">
        <v>136</v>
      </c>
      <c r="L74" s="68">
        <v>20.5656</v>
      </c>
    </row>
    <row r="75" spans="2:12" x14ac:dyDescent="0.25">
      <c r="B75" s="51">
        <f>YEAR(BDRIOSJ[[#This Row],[FECHA]])</f>
        <v>2023</v>
      </c>
      <c r="C75" s="51">
        <f>MONTH(BDRIOSJ[[#This Row],[FECHA]])</f>
        <v>1</v>
      </c>
      <c r="D75" s="50" t="s">
        <v>130</v>
      </c>
      <c r="E75" s="49" t="s">
        <v>111</v>
      </c>
      <c r="F75" s="65">
        <v>0.7944</v>
      </c>
      <c r="K75" s="37" t="s">
        <v>137</v>
      </c>
      <c r="L75" s="68">
        <v>16.9041</v>
      </c>
    </row>
    <row r="76" spans="2:12" x14ac:dyDescent="0.25">
      <c r="B76" s="51">
        <f>YEAR(BDRIOSJ[[#This Row],[FECHA]])</f>
        <v>2023</v>
      </c>
      <c r="C76" s="51">
        <f>MONTH(BDRIOSJ[[#This Row],[FECHA]])</f>
        <v>1</v>
      </c>
      <c r="D76" s="50" t="s">
        <v>131</v>
      </c>
      <c r="E76" s="49" t="s">
        <v>115</v>
      </c>
      <c r="F76" s="65">
        <v>0.63180000000000003</v>
      </c>
      <c r="K76" s="37" t="s">
        <v>138</v>
      </c>
      <c r="L76" s="68">
        <v>15.765000000000001</v>
      </c>
    </row>
    <row r="77" spans="2:12" x14ac:dyDescent="0.25">
      <c r="B77" s="51">
        <f>YEAR(BDRIOSJ[[#This Row],[FECHA]])</f>
        <v>2023</v>
      </c>
      <c r="C77" s="51">
        <f>MONTH(BDRIOSJ[[#This Row],[FECHA]])</f>
        <v>1</v>
      </c>
      <c r="D77" s="50" t="s">
        <v>131</v>
      </c>
      <c r="E77" s="49" t="s">
        <v>114</v>
      </c>
      <c r="F77" s="65">
        <v>0.63180000000000003</v>
      </c>
      <c r="K77" s="37" t="s">
        <v>139</v>
      </c>
      <c r="L77" s="68">
        <v>18.0839</v>
      </c>
    </row>
    <row r="78" spans="2:12" x14ac:dyDescent="0.25">
      <c r="B78" s="51">
        <f>YEAR(BDRIOSJ[[#This Row],[FECHA]])</f>
        <v>2023</v>
      </c>
      <c r="C78" s="51">
        <f>MONTH(BDRIOSJ[[#This Row],[FECHA]])</f>
        <v>1</v>
      </c>
      <c r="D78" s="50" t="s">
        <v>131</v>
      </c>
      <c r="E78" s="49" t="s">
        <v>113</v>
      </c>
      <c r="F78" s="65">
        <v>0.63180000000000003</v>
      </c>
      <c r="K78" s="37" t="s">
        <v>140</v>
      </c>
      <c r="L78" s="68">
        <v>18.0839</v>
      </c>
    </row>
    <row r="79" spans="2:12" x14ac:dyDescent="0.25">
      <c r="B79" s="51">
        <f>YEAR(BDRIOSJ[[#This Row],[FECHA]])</f>
        <v>2023</v>
      </c>
      <c r="C79" s="51">
        <f>MONTH(BDRIOSJ[[#This Row],[FECHA]])</f>
        <v>1</v>
      </c>
      <c r="D79" s="50" t="s">
        <v>131</v>
      </c>
      <c r="E79" s="49" t="s">
        <v>111</v>
      </c>
      <c r="F79" s="65">
        <v>0.7944</v>
      </c>
      <c r="K79" s="37" t="s">
        <v>141</v>
      </c>
      <c r="L79" s="68">
        <v>16.9041</v>
      </c>
    </row>
    <row r="80" spans="2:12" x14ac:dyDescent="0.25">
      <c r="B80" s="51">
        <f>YEAR(BDRIOSJ[[#This Row],[FECHA]])</f>
        <v>2023</v>
      </c>
      <c r="C80" s="51">
        <f>MONTH(BDRIOSJ[[#This Row],[FECHA]])</f>
        <v>1</v>
      </c>
      <c r="D80" s="50" t="s">
        <v>132</v>
      </c>
      <c r="E80" s="49" t="s">
        <v>115</v>
      </c>
      <c r="F80" s="65">
        <v>0.99780000000000002</v>
      </c>
      <c r="K80" s="37" t="s">
        <v>142</v>
      </c>
      <c r="L80" s="68">
        <v>21.8674</v>
      </c>
    </row>
    <row r="81" spans="2:12" x14ac:dyDescent="0.25">
      <c r="B81" s="51">
        <f>YEAR(BDRIOSJ[[#This Row],[FECHA]])</f>
        <v>2023</v>
      </c>
      <c r="C81" s="51">
        <f>MONTH(BDRIOSJ[[#This Row],[FECHA]])</f>
        <v>1</v>
      </c>
      <c r="D81" s="50" t="s">
        <v>132</v>
      </c>
      <c r="E81" s="49" t="s">
        <v>114</v>
      </c>
      <c r="F81" s="65">
        <v>0.99780000000000002</v>
      </c>
      <c r="K81" s="37" t="s">
        <v>143</v>
      </c>
      <c r="L81" s="68">
        <v>72.397199999999998</v>
      </c>
    </row>
    <row r="82" spans="2:12" x14ac:dyDescent="0.25">
      <c r="B82" s="51">
        <f>YEAR(BDRIOSJ[[#This Row],[FECHA]])</f>
        <v>2023</v>
      </c>
      <c r="C82" s="51">
        <f>MONTH(BDRIOSJ[[#This Row],[FECHA]])</f>
        <v>1</v>
      </c>
      <c r="D82" s="50" t="s">
        <v>132</v>
      </c>
      <c r="E82" s="49" t="s">
        <v>113</v>
      </c>
      <c r="F82" s="65">
        <v>0.99780000000000002</v>
      </c>
      <c r="K82" s="37" t="s">
        <v>144</v>
      </c>
      <c r="L82" s="68">
        <v>85.009399999999999</v>
      </c>
    </row>
    <row r="83" spans="2:12" x14ac:dyDescent="0.25">
      <c r="B83" s="51">
        <f>YEAR(BDRIOSJ[[#This Row],[FECHA]])</f>
        <v>2023</v>
      </c>
      <c r="C83" s="51">
        <f>MONTH(BDRIOSJ[[#This Row],[FECHA]])</f>
        <v>1</v>
      </c>
      <c r="D83" s="50" t="s">
        <v>132</v>
      </c>
      <c r="E83" s="49" t="s">
        <v>111</v>
      </c>
      <c r="F83" s="65">
        <v>0.7944</v>
      </c>
      <c r="K83" s="37" t="s">
        <v>145</v>
      </c>
      <c r="L83" s="68">
        <v>37.123800000000003</v>
      </c>
    </row>
    <row r="84" spans="2:12" x14ac:dyDescent="0.25">
      <c r="B84" s="51">
        <f>YEAR(BDRIOSJ[[#This Row],[FECHA]])</f>
        <v>2023</v>
      </c>
      <c r="C84" s="51">
        <f>MONTH(BDRIOSJ[[#This Row],[FECHA]])</f>
        <v>1</v>
      </c>
      <c r="D84" s="50" t="s">
        <v>133</v>
      </c>
      <c r="E84" s="49" t="s">
        <v>115</v>
      </c>
      <c r="F84" s="65">
        <v>1.5265</v>
      </c>
      <c r="K84" s="37" t="s">
        <v>85</v>
      </c>
      <c r="L84" s="68">
        <v>85.009399999999999</v>
      </c>
    </row>
    <row r="85" spans="2:12" x14ac:dyDescent="0.25">
      <c r="B85" s="51">
        <f>YEAR(BDRIOSJ[[#This Row],[FECHA]])</f>
        <v>2023</v>
      </c>
      <c r="C85" s="51">
        <f>MONTH(BDRIOSJ[[#This Row],[FECHA]])</f>
        <v>1</v>
      </c>
      <c r="D85" s="50" t="s">
        <v>133</v>
      </c>
      <c r="E85" s="49" t="s">
        <v>114</v>
      </c>
      <c r="F85" s="65">
        <v>0.99780000000000002</v>
      </c>
      <c r="K85"/>
      <c r="L85"/>
    </row>
    <row r="86" spans="2:12" x14ac:dyDescent="0.25">
      <c r="B86" s="51">
        <f>YEAR(BDRIOSJ[[#This Row],[FECHA]])</f>
        <v>2023</v>
      </c>
      <c r="C86" s="51">
        <f>MONTH(BDRIOSJ[[#This Row],[FECHA]])</f>
        <v>1</v>
      </c>
      <c r="D86" s="50" t="s">
        <v>133</v>
      </c>
      <c r="E86" s="49" t="s">
        <v>113</v>
      </c>
      <c r="F86" s="65">
        <v>0.7944</v>
      </c>
      <c r="K86"/>
      <c r="L86"/>
    </row>
    <row r="87" spans="2:12" ht="16.5" customHeight="1" x14ac:dyDescent="0.25">
      <c r="B87" s="51">
        <f>YEAR(BDRIOSJ[[#This Row],[FECHA]])</f>
        <v>2023</v>
      </c>
      <c r="C87" s="51">
        <f>MONTH(BDRIOSJ[[#This Row],[FECHA]])</f>
        <v>1</v>
      </c>
      <c r="D87" s="50" t="s">
        <v>133</v>
      </c>
      <c r="E87" s="49" t="s">
        <v>111</v>
      </c>
      <c r="F87" s="65">
        <v>0.7944</v>
      </c>
      <c r="K87"/>
      <c r="L87"/>
    </row>
    <row r="88" spans="2:12" hidden="1" x14ac:dyDescent="0.25">
      <c r="B88" s="51">
        <f>YEAR(BDRIOSJ[[#This Row],[FECHA]])</f>
        <v>2023</v>
      </c>
      <c r="C88" s="51">
        <f>MONTH(BDRIOSJ[[#This Row],[FECHA]])</f>
        <v>1</v>
      </c>
      <c r="D88" s="50" t="s">
        <v>134</v>
      </c>
      <c r="E88" s="49" t="s">
        <v>115</v>
      </c>
      <c r="F88" s="65">
        <v>18.0839</v>
      </c>
      <c r="K88"/>
      <c r="L88"/>
    </row>
    <row r="89" spans="2:12" hidden="1" x14ac:dyDescent="0.25">
      <c r="B89" s="51">
        <f>YEAR(BDRIOSJ[[#This Row],[FECHA]])</f>
        <v>2023</v>
      </c>
      <c r="C89" s="51">
        <f>MONTH(BDRIOSJ[[#This Row],[FECHA]])</f>
        <v>1</v>
      </c>
      <c r="D89" s="50" t="s">
        <v>134</v>
      </c>
      <c r="E89" s="49" t="s">
        <v>114</v>
      </c>
      <c r="F89" s="65">
        <v>18.0839</v>
      </c>
      <c r="K89"/>
      <c r="L89"/>
    </row>
    <row r="90" spans="2:12" hidden="1" x14ac:dyDescent="0.25">
      <c r="B90" s="51">
        <f>YEAR(BDRIOSJ[[#This Row],[FECHA]])</f>
        <v>2023</v>
      </c>
      <c r="C90" s="51">
        <f>MONTH(BDRIOSJ[[#This Row],[FECHA]])</f>
        <v>1</v>
      </c>
      <c r="D90" s="50" t="s">
        <v>134</v>
      </c>
      <c r="E90" s="49" t="s">
        <v>113</v>
      </c>
      <c r="F90" s="65">
        <v>10.679600000000001</v>
      </c>
      <c r="K90"/>
      <c r="L90"/>
    </row>
    <row r="91" spans="2:12" hidden="1" x14ac:dyDescent="0.25">
      <c r="B91" s="51">
        <f>YEAR(BDRIOSJ[[#This Row],[FECHA]])</f>
        <v>2023</v>
      </c>
      <c r="C91" s="51">
        <f>MONTH(BDRIOSJ[[#This Row],[FECHA]])</f>
        <v>1</v>
      </c>
      <c r="D91" s="50" t="s">
        <v>134</v>
      </c>
      <c r="E91" s="49" t="s">
        <v>111</v>
      </c>
      <c r="F91" s="65">
        <v>14.666499999999999</v>
      </c>
      <c r="K91"/>
      <c r="L91"/>
    </row>
    <row r="92" spans="2:12" hidden="1" x14ac:dyDescent="0.25">
      <c r="B92" s="51">
        <f>YEAR(BDRIOSJ[[#This Row],[FECHA]])</f>
        <v>2023</v>
      </c>
      <c r="C92" s="51">
        <f>MONTH(BDRIOSJ[[#This Row],[FECHA]])</f>
        <v>1</v>
      </c>
      <c r="D92" s="50" t="s">
        <v>135</v>
      </c>
      <c r="E92" s="49" t="s">
        <v>115</v>
      </c>
      <c r="F92" s="65">
        <v>14.666499999999999</v>
      </c>
      <c r="K92"/>
      <c r="L92"/>
    </row>
    <row r="93" spans="2:12" hidden="1" x14ac:dyDescent="0.25">
      <c r="B93" s="51">
        <f>YEAR(BDRIOSJ[[#This Row],[FECHA]])</f>
        <v>2023</v>
      </c>
      <c r="C93" s="51">
        <f>MONTH(BDRIOSJ[[#This Row],[FECHA]])</f>
        <v>1</v>
      </c>
      <c r="D93" s="50" t="s">
        <v>135</v>
      </c>
      <c r="E93" s="49" t="s">
        <v>114</v>
      </c>
      <c r="F93" s="65">
        <v>16.9041</v>
      </c>
      <c r="K93"/>
      <c r="L93"/>
    </row>
    <row r="94" spans="2:12" hidden="1" x14ac:dyDescent="0.25">
      <c r="B94" s="51">
        <f>YEAR(BDRIOSJ[[#This Row],[FECHA]])</f>
        <v>2023</v>
      </c>
      <c r="C94" s="51">
        <f>MONTH(BDRIOSJ[[#This Row],[FECHA]])</f>
        <v>1</v>
      </c>
      <c r="D94" s="50" t="s">
        <v>135</v>
      </c>
      <c r="E94" s="49" t="s">
        <v>113</v>
      </c>
      <c r="F94" s="65">
        <v>16.9041</v>
      </c>
      <c r="K94"/>
      <c r="L94"/>
    </row>
    <row r="95" spans="2:12" hidden="1" x14ac:dyDescent="0.25">
      <c r="B95" s="51">
        <f>YEAR(BDRIOSJ[[#This Row],[FECHA]])</f>
        <v>2023</v>
      </c>
      <c r="C95" s="51">
        <f>MONTH(BDRIOSJ[[#This Row],[FECHA]])</f>
        <v>1</v>
      </c>
      <c r="D95" s="50" t="s">
        <v>135</v>
      </c>
      <c r="E95" s="49" t="s">
        <v>111</v>
      </c>
      <c r="F95" s="65">
        <v>10.679600000000001</v>
      </c>
      <c r="K95"/>
      <c r="L95"/>
    </row>
    <row r="96" spans="2:12" hidden="1" x14ac:dyDescent="0.25">
      <c r="B96" s="51">
        <f>YEAR(BDRIOSJ[[#This Row],[FECHA]])</f>
        <v>2023</v>
      </c>
      <c r="C96" s="51">
        <f>MONTH(BDRIOSJ[[#This Row],[FECHA]])</f>
        <v>1</v>
      </c>
      <c r="D96" s="50" t="s">
        <v>136</v>
      </c>
      <c r="E96" s="49" t="s">
        <v>115</v>
      </c>
      <c r="F96" s="65">
        <v>14.666499999999999</v>
      </c>
      <c r="K96"/>
      <c r="L96"/>
    </row>
    <row r="97" spans="2:6" hidden="1" x14ac:dyDescent="0.25">
      <c r="B97" s="51">
        <f>YEAR(BDRIOSJ[[#This Row],[FECHA]])</f>
        <v>2023</v>
      </c>
      <c r="C97" s="51">
        <f>MONTH(BDRIOSJ[[#This Row],[FECHA]])</f>
        <v>1</v>
      </c>
      <c r="D97" s="50" t="s">
        <v>136</v>
      </c>
      <c r="E97" s="49" t="s">
        <v>114</v>
      </c>
      <c r="F97" s="65">
        <v>16.9041</v>
      </c>
    </row>
    <row r="98" spans="2:6" hidden="1" x14ac:dyDescent="0.25">
      <c r="B98" s="51">
        <f>YEAR(BDRIOSJ[[#This Row],[FECHA]])</f>
        <v>2023</v>
      </c>
      <c r="C98" s="51">
        <f>MONTH(BDRIOSJ[[#This Row],[FECHA]])</f>
        <v>1</v>
      </c>
      <c r="D98" s="50" t="s">
        <v>136</v>
      </c>
      <c r="E98" s="49" t="s">
        <v>113</v>
      </c>
      <c r="F98" s="65">
        <v>16.9041</v>
      </c>
    </row>
    <row r="99" spans="2:6" hidden="1" x14ac:dyDescent="0.25">
      <c r="B99" s="51">
        <f>YEAR(BDRIOSJ[[#This Row],[FECHA]])</f>
        <v>2023</v>
      </c>
      <c r="C99" s="51">
        <f>MONTH(BDRIOSJ[[#This Row],[FECHA]])</f>
        <v>1</v>
      </c>
      <c r="D99" s="50" t="s">
        <v>136</v>
      </c>
      <c r="E99" s="49" t="s">
        <v>111</v>
      </c>
      <c r="F99" s="65">
        <v>20.5656</v>
      </c>
    </row>
    <row r="100" spans="2:6" hidden="1" x14ac:dyDescent="0.25">
      <c r="B100" s="51">
        <f>YEAR(BDRIOSJ[[#This Row],[FECHA]])</f>
        <v>2023</v>
      </c>
      <c r="C100" s="51">
        <f>MONTH(BDRIOSJ[[#This Row],[FECHA]])</f>
        <v>1</v>
      </c>
      <c r="D100" s="50" t="s">
        <v>137</v>
      </c>
      <c r="E100" s="49" t="s">
        <v>115</v>
      </c>
      <c r="F100" s="65">
        <v>16.9041</v>
      </c>
    </row>
    <row r="101" spans="2:6" hidden="1" x14ac:dyDescent="0.25">
      <c r="B101" s="51">
        <f>YEAR(BDRIOSJ[[#This Row],[FECHA]])</f>
        <v>2023</v>
      </c>
      <c r="C101" s="51">
        <f>MONTH(BDRIOSJ[[#This Row],[FECHA]])</f>
        <v>1</v>
      </c>
      <c r="D101" s="50" t="s">
        <v>137</v>
      </c>
      <c r="E101" s="49" t="s">
        <v>114</v>
      </c>
      <c r="F101" s="65">
        <v>16.9041</v>
      </c>
    </row>
    <row r="102" spans="2:6" hidden="1" x14ac:dyDescent="0.25">
      <c r="B102" s="51">
        <f>YEAR(BDRIOSJ[[#This Row],[FECHA]])</f>
        <v>2023</v>
      </c>
      <c r="C102" s="51">
        <f>MONTH(BDRIOSJ[[#This Row],[FECHA]])</f>
        <v>1</v>
      </c>
      <c r="D102" s="50" t="s">
        <v>137</v>
      </c>
      <c r="E102" s="49" t="s">
        <v>113</v>
      </c>
      <c r="F102" s="65">
        <v>14.666499999999999</v>
      </c>
    </row>
    <row r="103" spans="2:6" hidden="1" x14ac:dyDescent="0.25">
      <c r="B103" s="51">
        <f>YEAR(BDRIOSJ[[#This Row],[FECHA]])</f>
        <v>2023</v>
      </c>
      <c r="C103" s="51">
        <f>MONTH(BDRIOSJ[[#This Row],[FECHA]])</f>
        <v>1</v>
      </c>
      <c r="D103" s="50" t="s">
        <v>137</v>
      </c>
      <c r="E103" s="49" t="s">
        <v>111</v>
      </c>
      <c r="F103" s="65">
        <v>11.6153</v>
      </c>
    </row>
    <row r="104" spans="2:6" hidden="1" x14ac:dyDescent="0.25">
      <c r="B104" s="51">
        <f>YEAR(BDRIOSJ[[#This Row],[FECHA]])</f>
        <v>2023</v>
      </c>
      <c r="C104" s="51">
        <f>MONTH(BDRIOSJ[[#This Row],[FECHA]])</f>
        <v>1</v>
      </c>
      <c r="D104" s="50" t="s">
        <v>138</v>
      </c>
      <c r="E104" s="49" t="s">
        <v>115</v>
      </c>
      <c r="F104" s="65">
        <v>15.765000000000001</v>
      </c>
    </row>
    <row r="105" spans="2:6" hidden="1" x14ac:dyDescent="0.25">
      <c r="B105" s="51">
        <f>YEAR(BDRIOSJ[[#This Row],[FECHA]])</f>
        <v>2023</v>
      </c>
      <c r="C105" s="51">
        <f>MONTH(BDRIOSJ[[#This Row],[FECHA]])</f>
        <v>1</v>
      </c>
      <c r="D105" s="50" t="s">
        <v>138</v>
      </c>
      <c r="E105" s="49" t="s">
        <v>114</v>
      </c>
      <c r="F105" s="65">
        <v>15.765000000000001</v>
      </c>
    </row>
    <row r="106" spans="2:6" hidden="1" x14ac:dyDescent="0.25">
      <c r="B106" s="51">
        <f>YEAR(BDRIOSJ[[#This Row],[FECHA]])</f>
        <v>2023</v>
      </c>
      <c r="C106" s="51">
        <f>MONTH(BDRIOSJ[[#This Row],[FECHA]])</f>
        <v>1</v>
      </c>
      <c r="D106" s="50" t="s">
        <v>138</v>
      </c>
      <c r="E106" s="49" t="s">
        <v>113</v>
      </c>
      <c r="F106" s="65">
        <v>15.765000000000001</v>
      </c>
    </row>
    <row r="107" spans="2:6" hidden="1" x14ac:dyDescent="0.25">
      <c r="B107" s="51">
        <f>YEAR(BDRIOSJ[[#This Row],[FECHA]])</f>
        <v>2023</v>
      </c>
      <c r="C107" s="51">
        <f>MONTH(BDRIOSJ[[#This Row],[FECHA]])</f>
        <v>1</v>
      </c>
      <c r="D107" s="50" t="s">
        <v>138</v>
      </c>
      <c r="E107" s="49" t="s">
        <v>111</v>
      </c>
      <c r="F107" s="65">
        <v>15.765000000000001</v>
      </c>
    </row>
    <row r="108" spans="2:6" hidden="1" x14ac:dyDescent="0.25">
      <c r="B108" s="51">
        <f>YEAR(BDRIOSJ[[#This Row],[FECHA]])</f>
        <v>2023</v>
      </c>
      <c r="C108" s="51">
        <f>MONTH(BDRIOSJ[[#This Row],[FECHA]])</f>
        <v>1</v>
      </c>
      <c r="D108" s="50" t="s">
        <v>139</v>
      </c>
      <c r="E108" s="49" t="s">
        <v>115</v>
      </c>
      <c r="F108" s="65">
        <v>16.9041</v>
      </c>
    </row>
    <row r="109" spans="2:6" hidden="1" x14ac:dyDescent="0.25">
      <c r="B109" s="51">
        <f>YEAR(BDRIOSJ[[#This Row],[FECHA]])</f>
        <v>2023</v>
      </c>
      <c r="C109" s="51">
        <f>MONTH(BDRIOSJ[[#This Row],[FECHA]])</f>
        <v>1</v>
      </c>
      <c r="D109" s="50" t="s">
        <v>139</v>
      </c>
      <c r="E109" s="49" t="s">
        <v>114</v>
      </c>
      <c r="F109" s="65">
        <v>18.0839</v>
      </c>
    </row>
    <row r="110" spans="2:6" hidden="1" x14ac:dyDescent="0.25">
      <c r="B110" s="51">
        <f>YEAR(BDRIOSJ[[#This Row],[FECHA]])</f>
        <v>2023</v>
      </c>
      <c r="C110" s="51">
        <f>MONTH(BDRIOSJ[[#This Row],[FECHA]])</f>
        <v>1</v>
      </c>
      <c r="D110" s="50" t="s">
        <v>139</v>
      </c>
      <c r="E110" s="49" t="s">
        <v>113</v>
      </c>
      <c r="F110" s="65">
        <v>18.0839</v>
      </c>
    </row>
    <row r="111" spans="2:6" hidden="1" x14ac:dyDescent="0.25">
      <c r="B111" s="51">
        <f>YEAR(BDRIOSJ[[#This Row],[FECHA]])</f>
        <v>2023</v>
      </c>
      <c r="C111" s="51">
        <f>MONTH(BDRIOSJ[[#This Row],[FECHA]])</f>
        <v>1</v>
      </c>
      <c r="D111" s="50" t="s">
        <v>139</v>
      </c>
      <c r="E111" s="49" t="s">
        <v>111</v>
      </c>
      <c r="F111" s="65">
        <v>13.6088</v>
      </c>
    </row>
    <row r="112" spans="2:6" hidden="1" x14ac:dyDescent="0.25">
      <c r="B112" s="51">
        <f>YEAR(BDRIOSJ[[#This Row],[FECHA]])</f>
        <v>2023</v>
      </c>
      <c r="C112" s="51">
        <f>MONTH(BDRIOSJ[[#This Row],[FECHA]])</f>
        <v>1</v>
      </c>
      <c r="D112" s="50" t="s">
        <v>140</v>
      </c>
      <c r="E112" s="49" t="s">
        <v>115</v>
      </c>
      <c r="F112" s="65">
        <v>18.0839</v>
      </c>
    </row>
    <row r="113" spans="2:6" hidden="1" x14ac:dyDescent="0.25">
      <c r="B113" s="51">
        <f>YEAR(BDRIOSJ[[#This Row],[FECHA]])</f>
        <v>2023</v>
      </c>
      <c r="C113" s="51">
        <f>MONTH(BDRIOSJ[[#This Row],[FECHA]])</f>
        <v>1</v>
      </c>
      <c r="D113" s="50" t="s">
        <v>140</v>
      </c>
      <c r="E113" s="49" t="s">
        <v>114</v>
      </c>
      <c r="F113" s="65">
        <v>18.0839</v>
      </c>
    </row>
    <row r="114" spans="2:6" hidden="1" x14ac:dyDescent="0.25">
      <c r="B114" s="51">
        <f>YEAR(BDRIOSJ[[#This Row],[FECHA]])</f>
        <v>2023</v>
      </c>
      <c r="C114" s="51">
        <f>MONTH(BDRIOSJ[[#This Row],[FECHA]])</f>
        <v>1</v>
      </c>
      <c r="D114" s="50" t="s">
        <v>140</v>
      </c>
      <c r="E114" s="49" t="s">
        <v>113</v>
      </c>
      <c r="F114" s="65">
        <v>18.0839</v>
      </c>
    </row>
    <row r="115" spans="2:6" hidden="1" x14ac:dyDescent="0.25">
      <c r="B115" s="51">
        <f>YEAR(BDRIOSJ[[#This Row],[FECHA]])</f>
        <v>2023</v>
      </c>
      <c r="C115" s="51">
        <f>MONTH(BDRIOSJ[[#This Row],[FECHA]])</f>
        <v>1</v>
      </c>
      <c r="D115" s="50" t="s">
        <v>140</v>
      </c>
      <c r="E115" s="49" t="s">
        <v>111</v>
      </c>
      <c r="F115" s="65">
        <v>18.0839</v>
      </c>
    </row>
    <row r="116" spans="2:6" hidden="1" x14ac:dyDescent="0.25">
      <c r="B116" s="51">
        <f>YEAR(BDRIOSJ[[#This Row],[FECHA]])</f>
        <v>2023</v>
      </c>
      <c r="C116" s="51">
        <f>MONTH(BDRIOSJ[[#This Row],[FECHA]])</f>
        <v>1</v>
      </c>
      <c r="D116" s="50" t="s">
        <v>141</v>
      </c>
      <c r="E116" s="49" t="s">
        <v>115</v>
      </c>
      <c r="F116" s="65">
        <v>16.9041</v>
      </c>
    </row>
    <row r="117" spans="2:6" hidden="1" x14ac:dyDescent="0.25">
      <c r="B117" s="51">
        <f>YEAR(BDRIOSJ[[#This Row],[FECHA]])</f>
        <v>2023</v>
      </c>
      <c r="C117" s="51">
        <f>MONTH(BDRIOSJ[[#This Row],[FECHA]])</f>
        <v>1</v>
      </c>
      <c r="D117" s="50" t="s">
        <v>141</v>
      </c>
      <c r="E117" s="49" t="s">
        <v>114</v>
      </c>
      <c r="F117" s="65">
        <v>16.9041</v>
      </c>
    </row>
    <row r="118" spans="2:6" hidden="1" x14ac:dyDescent="0.25">
      <c r="B118" s="51">
        <f>YEAR(BDRIOSJ[[#This Row],[FECHA]])</f>
        <v>2023</v>
      </c>
      <c r="C118" s="51">
        <f>MONTH(BDRIOSJ[[#This Row],[FECHA]])</f>
        <v>1</v>
      </c>
      <c r="D118" s="50" t="s">
        <v>141</v>
      </c>
      <c r="E118" s="49" t="s">
        <v>113</v>
      </c>
      <c r="F118" s="65">
        <v>14.666499999999999</v>
      </c>
    </row>
    <row r="119" spans="2:6" hidden="1" x14ac:dyDescent="0.25">
      <c r="B119" s="51">
        <f>YEAR(BDRIOSJ[[#This Row],[FECHA]])</f>
        <v>2023</v>
      </c>
      <c r="C119" s="51">
        <f>MONTH(BDRIOSJ[[#This Row],[FECHA]])</f>
        <v>1</v>
      </c>
      <c r="D119" s="50" t="s">
        <v>141</v>
      </c>
      <c r="E119" s="49" t="s">
        <v>111</v>
      </c>
      <c r="F119" s="65">
        <v>14.666499999999999</v>
      </c>
    </row>
    <row r="120" spans="2:6" hidden="1" x14ac:dyDescent="0.25">
      <c r="B120" s="51">
        <f>YEAR(BDRIOSJ[[#This Row],[FECHA]])</f>
        <v>2023</v>
      </c>
      <c r="C120" s="51">
        <f>MONTH(BDRIOSJ[[#This Row],[FECHA]])</f>
        <v>1</v>
      </c>
      <c r="D120" s="50" t="s">
        <v>142</v>
      </c>
      <c r="E120" s="49" t="s">
        <v>115</v>
      </c>
      <c r="F120" s="65">
        <v>21.8674</v>
      </c>
    </row>
    <row r="121" spans="2:6" hidden="1" x14ac:dyDescent="0.25">
      <c r="B121" s="51">
        <f>YEAR(BDRIOSJ[[#This Row],[FECHA]])</f>
        <v>2023</v>
      </c>
      <c r="C121" s="51">
        <f>MONTH(BDRIOSJ[[#This Row],[FECHA]])</f>
        <v>1</v>
      </c>
      <c r="D121" s="50" t="s">
        <v>142</v>
      </c>
      <c r="E121" s="49" t="s">
        <v>114</v>
      </c>
      <c r="F121" s="65">
        <v>20.5656</v>
      </c>
    </row>
    <row r="122" spans="2:6" hidden="1" x14ac:dyDescent="0.25">
      <c r="B122" s="51">
        <f>YEAR(BDRIOSJ[[#This Row],[FECHA]])</f>
        <v>2023</v>
      </c>
      <c r="C122" s="51">
        <f>MONTH(BDRIOSJ[[#This Row],[FECHA]])</f>
        <v>1</v>
      </c>
      <c r="D122" s="50" t="s">
        <v>142</v>
      </c>
      <c r="E122" s="49" t="s">
        <v>113</v>
      </c>
      <c r="F122" s="65">
        <v>16.9041</v>
      </c>
    </row>
    <row r="123" spans="2:6" hidden="1" x14ac:dyDescent="0.25">
      <c r="B123" s="51">
        <f>YEAR(BDRIOSJ[[#This Row],[FECHA]])</f>
        <v>2023</v>
      </c>
      <c r="C123" s="51">
        <f>MONTH(BDRIOSJ[[#This Row],[FECHA]])</f>
        <v>1</v>
      </c>
      <c r="D123" s="50" t="s">
        <v>142</v>
      </c>
      <c r="E123" s="49" t="s">
        <v>111</v>
      </c>
      <c r="F123" s="65">
        <v>16.9041</v>
      </c>
    </row>
    <row r="124" spans="2:6" hidden="1" x14ac:dyDescent="0.25">
      <c r="B124" s="51">
        <f>YEAR(BDRIOSJ[[#This Row],[FECHA]])</f>
        <v>2023</v>
      </c>
      <c r="C124" s="51">
        <f>MONTH(BDRIOSJ[[#This Row],[FECHA]])</f>
        <v>1</v>
      </c>
      <c r="D124" s="50" t="s">
        <v>143</v>
      </c>
      <c r="E124" s="49" t="s">
        <v>115</v>
      </c>
      <c r="F124" s="65">
        <v>72.397199999999998</v>
      </c>
    </row>
    <row r="125" spans="2:6" hidden="1" x14ac:dyDescent="0.25">
      <c r="B125" s="51">
        <f>YEAR(BDRIOSJ[[#This Row],[FECHA]])</f>
        <v>2023</v>
      </c>
      <c r="C125" s="51">
        <f>MONTH(BDRIOSJ[[#This Row],[FECHA]])</f>
        <v>1</v>
      </c>
      <c r="D125" s="50" t="s">
        <v>143</v>
      </c>
      <c r="E125" s="49" t="s">
        <v>114</v>
      </c>
      <c r="F125" s="65">
        <v>72.397199999999998</v>
      </c>
    </row>
    <row r="126" spans="2:6" hidden="1" x14ac:dyDescent="0.25">
      <c r="B126" s="51">
        <f>YEAR(BDRIOSJ[[#This Row],[FECHA]])</f>
        <v>2023</v>
      </c>
      <c r="C126" s="51">
        <f>MONTH(BDRIOSJ[[#This Row],[FECHA]])</f>
        <v>1</v>
      </c>
      <c r="D126" s="50" t="s">
        <v>143</v>
      </c>
      <c r="E126" s="49" t="s">
        <v>113</v>
      </c>
      <c r="F126" s="65">
        <v>40.663400000000003</v>
      </c>
    </row>
    <row r="127" spans="2:6" hidden="1" x14ac:dyDescent="0.25">
      <c r="B127" s="51">
        <f>YEAR(BDRIOSJ[[#This Row],[FECHA]])</f>
        <v>2023</v>
      </c>
      <c r="C127" s="51">
        <f>MONTH(BDRIOSJ[[#This Row],[FECHA]])</f>
        <v>1</v>
      </c>
      <c r="D127" s="50" t="s">
        <v>143</v>
      </c>
      <c r="E127" s="49" t="s">
        <v>111</v>
      </c>
      <c r="F127" s="65">
        <v>32.119700000000002</v>
      </c>
    </row>
    <row r="128" spans="2:6" hidden="1" x14ac:dyDescent="0.25">
      <c r="B128" s="51">
        <f>YEAR(BDRIOSJ[[#This Row],[FECHA]])</f>
        <v>2023</v>
      </c>
      <c r="C128" s="51">
        <f>MONTH(BDRIOSJ[[#This Row],[FECHA]])</f>
        <v>1</v>
      </c>
      <c r="D128" s="50" t="s">
        <v>144</v>
      </c>
      <c r="E128" s="49" t="s">
        <v>115</v>
      </c>
      <c r="F128" s="65">
        <v>67.637100000000004</v>
      </c>
    </row>
    <row r="129" spans="2:6" hidden="1" x14ac:dyDescent="0.25">
      <c r="B129" s="51">
        <f>YEAR(BDRIOSJ[[#This Row],[FECHA]])</f>
        <v>2023</v>
      </c>
      <c r="C129" s="51">
        <f>MONTH(BDRIOSJ[[#This Row],[FECHA]])</f>
        <v>1</v>
      </c>
      <c r="D129" s="50" t="s">
        <v>144</v>
      </c>
      <c r="E129" s="49" t="s">
        <v>114</v>
      </c>
      <c r="F129" s="65">
        <v>72.397199999999998</v>
      </c>
    </row>
    <row r="130" spans="2:6" hidden="1" x14ac:dyDescent="0.25">
      <c r="B130" s="51">
        <f>YEAR(BDRIOSJ[[#This Row],[FECHA]])</f>
        <v>2023</v>
      </c>
      <c r="C130" s="51">
        <f>MONTH(BDRIOSJ[[#This Row],[FECHA]])</f>
        <v>1</v>
      </c>
      <c r="D130" s="50" t="s">
        <v>144</v>
      </c>
      <c r="E130" s="49" t="s">
        <v>113</v>
      </c>
      <c r="F130" s="65">
        <v>72.397199999999998</v>
      </c>
    </row>
    <row r="131" spans="2:6" hidden="1" x14ac:dyDescent="0.25">
      <c r="B131" s="51">
        <f>YEAR(BDRIOSJ[[#This Row],[FECHA]])</f>
        <v>2023</v>
      </c>
      <c r="C131" s="51">
        <f>MONTH(BDRIOSJ[[#This Row],[FECHA]])</f>
        <v>1</v>
      </c>
      <c r="D131" s="50" t="s">
        <v>144</v>
      </c>
      <c r="E131" s="49" t="s">
        <v>111</v>
      </c>
      <c r="F131" s="65">
        <v>85.009399999999999</v>
      </c>
    </row>
    <row r="132" spans="2:6" hidden="1" x14ac:dyDescent="0.25">
      <c r="B132" s="51">
        <f>YEAR(BDRIOSJ[[#This Row],[FECHA]])</f>
        <v>2023</v>
      </c>
      <c r="C132" s="51">
        <f>MONTH(BDRIOSJ[[#This Row],[FECHA]])</f>
        <v>1</v>
      </c>
      <c r="D132" s="50" t="s">
        <v>145</v>
      </c>
      <c r="E132" s="49" t="s">
        <v>115</v>
      </c>
      <c r="F132" s="65">
        <v>35.415100000000002</v>
      </c>
    </row>
    <row r="133" spans="2:6" hidden="1" x14ac:dyDescent="0.25">
      <c r="B133" s="51">
        <f>YEAR(BDRIOSJ[[#This Row],[FECHA]])</f>
        <v>2023</v>
      </c>
      <c r="C133" s="51">
        <f>MONTH(BDRIOSJ[[#This Row],[FECHA]])</f>
        <v>1</v>
      </c>
      <c r="D133" s="50" t="s">
        <v>145</v>
      </c>
      <c r="E133" s="49" t="s">
        <v>114</v>
      </c>
      <c r="F133" s="65">
        <v>35.415100000000002</v>
      </c>
    </row>
    <row r="134" spans="2:6" hidden="1" x14ac:dyDescent="0.25">
      <c r="B134" s="51">
        <f>YEAR(BDRIOSJ[[#This Row],[FECHA]])</f>
        <v>2023</v>
      </c>
      <c r="C134" s="51">
        <f>MONTH(BDRIOSJ[[#This Row],[FECHA]])</f>
        <v>1</v>
      </c>
      <c r="D134" s="50" t="s">
        <v>145</v>
      </c>
      <c r="E134" s="49" t="s">
        <v>113</v>
      </c>
      <c r="F134" s="65">
        <v>37.123800000000003</v>
      </c>
    </row>
    <row r="135" spans="2:6" hidden="1" x14ac:dyDescent="0.25">
      <c r="B135" s="51">
        <f>YEAR(BDRIOSJ[[#This Row],[FECHA]])</f>
        <v>2023</v>
      </c>
      <c r="C135" s="51">
        <f>MONTH(BDRIOSJ[[#This Row],[FECHA]])</f>
        <v>1</v>
      </c>
      <c r="D135" s="50" t="s">
        <v>145</v>
      </c>
      <c r="E135" s="49" t="s">
        <v>111</v>
      </c>
      <c r="F135" s="65">
        <v>37.123800000000003</v>
      </c>
    </row>
    <row r="136" spans="2:6" hidden="1" x14ac:dyDescent="0.25">
      <c r="B136" s="51">
        <f>YEAR(BDRIOSJ[[#This Row],[FECHA]])</f>
        <v>2023</v>
      </c>
      <c r="C136" s="51">
        <f>MONTH(BDRIOSJ[[#This Row],[FECHA]])</f>
        <v>2</v>
      </c>
      <c r="D136" s="50" t="s">
        <v>146</v>
      </c>
      <c r="E136" s="49" t="s">
        <v>115</v>
      </c>
      <c r="F136" s="65">
        <v>32.119700000000002</v>
      </c>
    </row>
    <row r="137" spans="2:6" hidden="1" x14ac:dyDescent="0.25">
      <c r="B137" s="51">
        <f>YEAR(BDRIOSJ[[#This Row],[FECHA]])</f>
        <v>2023</v>
      </c>
      <c r="C137" s="51">
        <f>MONTH(BDRIOSJ[[#This Row],[FECHA]])</f>
        <v>2</v>
      </c>
      <c r="D137" s="50" t="s">
        <v>146</v>
      </c>
      <c r="E137" s="49" t="s">
        <v>114</v>
      </c>
      <c r="F137" s="65">
        <v>32.119700000000002</v>
      </c>
    </row>
    <row r="138" spans="2:6" hidden="1" x14ac:dyDescent="0.25">
      <c r="B138" s="51">
        <f>YEAR(BDRIOSJ[[#This Row],[FECHA]])</f>
        <v>2023</v>
      </c>
      <c r="C138" s="51">
        <f>MONTH(BDRIOSJ[[#This Row],[FECHA]])</f>
        <v>2</v>
      </c>
      <c r="D138" s="50" t="s">
        <v>146</v>
      </c>
      <c r="E138" s="49" t="s">
        <v>113</v>
      </c>
      <c r="F138" s="65">
        <v>32.119700000000002</v>
      </c>
    </row>
    <row r="139" spans="2:6" hidden="1" x14ac:dyDescent="0.25">
      <c r="B139" s="51">
        <f>YEAR(BDRIOSJ[[#This Row],[FECHA]])</f>
        <v>2023</v>
      </c>
      <c r="C139" s="51">
        <f>MONTH(BDRIOSJ[[#This Row],[FECHA]])</f>
        <v>2</v>
      </c>
      <c r="D139" s="50" t="s">
        <v>146</v>
      </c>
      <c r="E139" s="49" t="s">
        <v>111</v>
      </c>
      <c r="F139" s="65">
        <v>32.119700000000002</v>
      </c>
    </row>
    <row r="140" spans="2:6" hidden="1" x14ac:dyDescent="0.25">
      <c r="B140" s="51">
        <f>YEAR(BDRIOSJ[[#This Row],[FECHA]])</f>
        <v>2023</v>
      </c>
      <c r="C140" s="51">
        <f>MONTH(BDRIOSJ[[#This Row],[FECHA]])</f>
        <v>2</v>
      </c>
      <c r="D140" s="50" t="s">
        <v>147</v>
      </c>
      <c r="E140" s="49" t="s">
        <v>115</v>
      </c>
      <c r="F140" s="65">
        <v>60.802100000000003</v>
      </c>
    </row>
    <row r="141" spans="2:6" hidden="1" x14ac:dyDescent="0.25">
      <c r="B141" s="51">
        <f>YEAR(BDRIOSJ[[#This Row],[FECHA]])</f>
        <v>2023</v>
      </c>
      <c r="C141" s="51">
        <f>MONTH(BDRIOSJ[[#This Row],[FECHA]])</f>
        <v>2</v>
      </c>
      <c r="D141" s="50" t="s">
        <v>147</v>
      </c>
      <c r="E141" s="49" t="s">
        <v>114</v>
      </c>
      <c r="F141" s="65">
        <v>72.397199999999998</v>
      </c>
    </row>
    <row r="142" spans="2:6" hidden="1" x14ac:dyDescent="0.25">
      <c r="B142" s="51">
        <f>YEAR(BDRIOSJ[[#This Row],[FECHA]])</f>
        <v>2023</v>
      </c>
      <c r="C142" s="51">
        <f>MONTH(BDRIOSJ[[#This Row],[FECHA]])</f>
        <v>2</v>
      </c>
      <c r="D142" s="50" t="s">
        <v>147</v>
      </c>
      <c r="E142" s="49" t="s">
        <v>113</v>
      </c>
      <c r="F142" s="65">
        <v>90.339100000000002</v>
      </c>
    </row>
    <row r="143" spans="2:6" hidden="1" x14ac:dyDescent="0.25">
      <c r="B143" s="51">
        <f>YEAR(BDRIOSJ[[#This Row],[FECHA]])</f>
        <v>2023</v>
      </c>
      <c r="C143" s="51">
        <f>MONTH(BDRIOSJ[[#This Row],[FECHA]])</f>
        <v>2</v>
      </c>
      <c r="D143" s="50" t="s">
        <v>147</v>
      </c>
      <c r="E143" s="49" t="s">
        <v>148</v>
      </c>
      <c r="F143" s="65">
        <v>98.638800000000003</v>
      </c>
    </row>
    <row r="144" spans="2:6" hidden="1" x14ac:dyDescent="0.25">
      <c r="B144" s="51">
        <f>YEAR(BDRIOSJ[[#This Row],[FECHA]])</f>
        <v>2023</v>
      </c>
      <c r="C144" s="51">
        <f>MONTH(BDRIOSJ[[#This Row],[FECHA]])</f>
        <v>2</v>
      </c>
      <c r="D144" s="50" t="s">
        <v>147</v>
      </c>
      <c r="E144" s="49" t="s">
        <v>111</v>
      </c>
      <c r="F144" s="65">
        <v>98.638800000000003</v>
      </c>
    </row>
    <row r="145" spans="2:6" hidden="1" x14ac:dyDescent="0.25">
      <c r="B145" s="51">
        <f>YEAR(BDRIOSJ[[#This Row],[FECHA]])</f>
        <v>2023</v>
      </c>
      <c r="C145" s="51">
        <f>MONTH(BDRIOSJ[[#This Row],[FECHA]])</f>
        <v>2</v>
      </c>
      <c r="D145" s="50" t="s">
        <v>149</v>
      </c>
      <c r="E145" s="49" t="s">
        <v>115</v>
      </c>
      <c r="F145" s="65">
        <v>98.638800000000003</v>
      </c>
    </row>
    <row r="146" spans="2:6" hidden="1" x14ac:dyDescent="0.25">
      <c r="B146" s="51">
        <f>YEAR(BDRIOSJ[[#This Row],[FECHA]])</f>
        <v>2023</v>
      </c>
      <c r="C146" s="51">
        <f>MONTH(BDRIOSJ[[#This Row],[FECHA]])</f>
        <v>2</v>
      </c>
      <c r="D146" s="50" t="s">
        <v>149</v>
      </c>
      <c r="E146" s="49" t="s">
        <v>114</v>
      </c>
      <c r="F146" s="65">
        <v>128.94900000000001</v>
      </c>
    </row>
    <row r="147" spans="2:6" hidden="1" x14ac:dyDescent="0.25">
      <c r="B147" s="51">
        <f>YEAR(BDRIOSJ[[#This Row],[FECHA]])</f>
        <v>2023</v>
      </c>
      <c r="C147" s="51">
        <f>MONTH(BDRIOSJ[[#This Row],[FECHA]])</f>
        <v>2</v>
      </c>
      <c r="D147" s="50" t="s">
        <v>149</v>
      </c>
      <c r="E147" s="49" t="s">
        <v>113</v>
      </c>
      <c r="F147" s="65">
        <v>163.3279</v>
      </c>
    </row>
    <row r="148" spans="2:6" hidden="1" x14ac:dyDescent="0.25">
      <c r="B148" s="51">
        <f>YEAR(BDRIOSJ[[#This Row],[FECHA]])</f>
        <v>2023</v>
      </c>
      <c r="C148" s="51">
        <f>MONTH(BDRIOSJ[[#This Row],[FECHA]])</f>
        <v>2</v>
      </c>
      <c r="D148" s="50" t="s">
        <v>149</v>
      </c>
      <c r="E148" s="49" t="s">
        <v>111</v>
      </c>
      <c r="F148" s="65">
        <v>201.77529999999999</v>
      </c>
    </row>
    <row r="149" spans="2:6" hidden="1" x14ac:dyDescent="0.25">
      <c r="B149" s="51">
        <f>YEAR(BDRIOSJ[[#This Row],[FECHA]])</f>
        <v>2023</v>
      </c>
      <c r="C149" s="51">
        <f>MONTH(BDRIOSJ[[#This Row],[FECHA]])</f>
        <v>2</v>
      </c>
      <c r="D149" s="50" t="s">
        <v>150</v>
      </c>
      <c r="E149" s="49" t="s">
        <v>115</v>
      </c>
      <c r="F149" s="65">
        <v>50.224200000000003</v>
      </c>
    </row>
    <row r="150" spans="2:6" hidden="1" x14ac:dyDescent="0.25">
      <c r="B150" s="51">
        <f>YEAR(BDRIOSJ[[#This Row],[FECHA]])</f>
        <v>2023</v>
      </c>
      <c r="C150" s="51">
        <f>MONTH(BDRIOSJ[[#This Row],[FECHA]])</f>
        <v>2</v>
      </c>
      <c r="D150" s="50" t="s">
        <v>150</v>
      </c>
      <c r="E150" s="49" t="s">
        <v>114</v>
      </c>
      <c r="F150" s="65">
        <v>56.448900000000002</v>
      </c>
    </row>
    <row r="151" spans="2:6" hidden="1" x14ac:dyDescent="0.25">
      <c r="B151" s="51">
        <f>YEAR(BDRIOSJ[[#This Row],[FECHA]])</f>
        <v>2023</v>
      </c>
      <c r="C151" s="51">
        <f>MONTH(BDRIOSJ[[#This Row],[FECHA]])</f>
        <v>2</v>
      </c>
      <c r="D151" s="50" t="s">
        <v>150</v>
      </c>
      <c r="E151" s="49" t="s">
        <v>113</v>
      </c>
      <c r="F151" s="65">
        <v>60.802100000000003</v>
      </c>
    </row>
    <row r="152" spans="2:6" hidden="1" x14ac:dyDescent="0.25">
      <c r="B152" s="51">
        <f>YEAR(BDRIOSJ[[#This Row],[FECHA]])</f>
        <v>2023</v>
      </c>
      <c r="C152" s="51">
        <f>MONTH(BDRIOSJ[[#This Row],[FECHA]])</f>
        <v>2</v>
      </c>
      <c r="D152" s="50" t="s">
        <v>150</v>
      </c>
      <c r="E152" s="49" t="s">
        <v>111</v>
      </c>
      <c r="F152" s="65">
        <v>60.802100000000003</v>
      </c>
    </row>
    <row r="153" spans="2:6" hidden="1" x14ac:dyDescent="0.25">
      <c r="B153" s="51">
        <f>YEAR(BDRIOSJ[[#This Row],[FECHA]])</f>
        <v>2023</v>
      </c>
      <c r="C153" s="51">
        <f>MONTH(BDRIOSJ[[#This Row],[FECHA]])</f>
        <v>2</v>
      </c>
      <c r="D153" s="50" t="s">
        <v>151</v>
      </c>
      <c r="E153" s="49" t="s">
        <v>115</v>
      </c>
      <c r="F153" s="65">
        <v>72.397199999999998</v>
      </c>
    </row>
    <row r="154" spans="2:6" hidden="1" x14ac:dyDescent="0.25">
      <c r="B154" s="51">
        <f>YEAR(BDRIOSJ[[#This Row],[FECHA]])</f>
        <v>2023</v>
      </c>
      <c r="C154" s="51">
        <f>MONTH(BDRIOSJ[[#This Row],[FECHA]])</f>
        <v>2</v>
      </c>
      <c r="D154" s="50" t="s">
        <v>151</v>
      </c>
      <c r="E154" s="49" t="s">
        <v>114</v>
      </c>
      <c r="F154" s="65">
        <v>113.2854</v>
      </c>
    </row>
    <row r="155" spans="2:6" hidden="1" x14ac:dyDescent="0.25">
      <c r="B155" s="51">
        <f>YEAR(BDRIOSJ[[#This Row],[FECHA]])</f>
        <v>2023</v>
      </c>
      <c r="C155" s="51">
        <f>MONTH(BDRIOSJ[[#This Row],[FECHA]])</f>
        <v>2</v>
      </c>
      <c r="D155" s="50" t="s">
        <v>151</v>
      </c>
      <c r="E155" s="49" t="s">
        <v>113</v>
      </c>
      <c r="F155" s="65">
        <v>128.94900000000001</v>
      </c>
    </row>
    <row r="156" spans="2:6" hidden="1" x14ac:dyDescent="0.25">
      <c r="B156" s="51">
        <f>YEAR(BDRIOSJ[[#This Row],[FECHA]])</f>
        <v>2023</v>
      </c>
      <c r="C156" s="51">
        <f>MONTH(BDRIOSJ[[#This Row],[FECHA]])</f>
        <v>2</v>
      </c>
      <c r="D156" s="50" t="s">
        <v>151</v>
      </c>
      <c r="E156" s="49" t="s">
        <v>152</v>
      </c>
      <c r="F156" s="65">
        <v>128.94900000000001</v>
      </c>
    </row>
    <row r="157" spans="2:6" hidden="1" x14ac:dyDescent="0.25">
      <c r="B157" s="51">
        <f>YEAR(BDRIOSJ[[#This Row],[FECHA]])</f>
        <v>2023</v>
      </c>
      <c r="C157" s="51">
        <f>MONTH(BDRIOSJ[[#This Row],[FECHA]])</f>
        <v>2</v>
      </c>
      <c r="D157" s="50" t="s">
        <v>151</v>
      </c>
      <c r="E157" s="49" t="s">
        <v>111</v>
      </c>
      <c r="F157" s="65">
        <v>50.224200000000003</v>
      </c>
    </row>
    <row r="158" spans="2:6" hidden="1" x14ac:dyDescent="0.25">
      <c r="B158" s="51">
        <f>YEAR(BDRIOSJ[[#This Row],[FECHA]])</f>
        <v>2023</v>
      </c>
      <c r="C158" s="51">
        <f>MONTH(BDRIOSJ[[#This Row],[FECHA]])</f>
        <v>2</v>
      </c>
      <c r="D158" s="50" t="s">
        <v>153</v>
      </c>
      <c r="E158" s="49" t="s">
        <v>115</v>
      </c>
      <c r="F158" s="65">
        <v>60.802100000000003</v>
      </c>
    </row>
    <row r="159" spans="2:6" hidden="1" x14ac:dyDescent="0.25">
      <c r="B159" s="51">
        <f>YEAR(BDRIOSJ[[#This Row],[FECHA]])</f>
        <v>2023</v>
      </c>
      <c r="C159" s="51">
        <f>MONTH(BDRIOSJ[[#This Row],[FECHA]])</f>
        <v>2</v>
      </c>
      <c r="D159" s="50" t="s">
        <v>153</v>
      </c>
      <c r="E159" s="49" t="s">
        <v>114</v>
      </c>
      <c r="F159" s="65">
        <v>60.802100000000003</v>
      </c>
    </row>
    <row r="160" spans="2:6" hidden="1" x14ac:dyDescent="0.25">
      <c r="B160" s="51">
        <f>YEAR(BDRIOSJ[[#This Row],[FECHA]])</f>
        <v>2023</v>
      </c>
      <c r="C160" s="51">
        <f>MONTH(BDRIOSJ[[#This Row],[FECHA]])</f>
        <v>2</v>
      </c>
      <c r="D160" s="50" t="s">
        <v>153</v>
      </c>
      <c r="E160" s="49" t="s">
        <v>113</v>
      </c>
      <c r="F160" s="65">
        <v>72.397199999999998</v>
      </c>
    </row>
    <row r="161" spans="2:6" hidden="1" x14ac:dyDescent="0.25">
      <c r="B161" s="51">
        <f>YEAR(BDRIOSJ[[#This Row],[FECHA]])</f>
        <v>2023</v>
      </c>
      <c r="C161" s="51">
        <f>MONTH(BDRIOSJ[[#This Row],[FECHA]])</f>
        <v>2</v>
      </c>
      <c r="D161" s="50" t="s">
        <v>153</v>
      </c>
      <c r="E161" s="49" t="s">
        <v>111</v>
      </c>
      <c r="F161" s="65">
        <v>72.397199999999998</v>
      </c>
    </row>
    <row r="162" spans="2:6" hidden="1" x14ac:dyDescent="0.25">
      <c r="B162" s="51">
        <f>YEAR(BDRIOSJ[[#This Row],[FECHA]])</f>
        <v>2023</v>
      </c>
      <c r="C162" s="51">
        <f>MONTH(BDRIOSJ[[#This Row],[FECHA]])</f>
        <v>2</v>
      </c>
      <c r="D162" s="50" t="s">
        <v>154</v>
      </c>
      <c r="E162" s="49" t="s">
        <v>115</v>
      </c>
      <c r="F162" s="65">
        <v>90.339100000000002</v>
      </c>
    </row>
    <row r="163" spans="2:6" hidden="1" x14ac:dyDescent="0.25">
      <c r="B163" s="51">
        <f>YEAR(BDRIOSJ[[#This Row],[FECHA]])</f>
        <v>2023</v>
      </c>
      <c r="C163" s="51">
        <f>MONTH(BDRIOSJ[[#This Row],[FECHA]])</f>
        <v>2</v>
      </c>
      <c r="D163" s="50" t="s">
        <v>154</v>
      </c>
      <c r="E163" s="49" t="s">
        <v>114</v>
      </c>
      <c r="F163" s="65">
        <v>85.009399999999999</v>
      </c>
    </row>
    <row r="164" spans="2:6" hidden="1" x14ac:dyDescent="0.25">
      <c r="B164" s="51">
        <f>YEAR(BDRIOSJ[[#This Row],[FECHA]])</f>
        <v>2023</v>
      </c>
      <c r="C164" s="51">
        <f>MONTH(BDRIOSJ[[#This Row],[FECHA]])</f>
        <v>2</v>
      </c>
      <c r="D164" s="50" t="s">
        <v>154</v>
      </c>
      <c r="E164" s="49" t="s">
        <v>113</v>
      </c>
      <c r="F164" s="65">
        <v>85.009399999999999</v>
      </c>
    </row>
    <row r="165" spans="2:6" hidden="1" x14ac:dyDescent="0.25">
      <c r="B165" s="51">
        <f>YEAR(BDRIOSJ[[#This Row],[FECHA]])</f>
        <v>2023</v>
      </c>
      <c r="C165" s="51">
        <f>MONTH(BDRIOSJ[[#This Row],[FECHA]])</f>
        <v>2</v>
      </c>
      <c r="D165" s="50" t="s">
        <v>154</v>
      </c>
      <c r="E165" s="49" t="s">
        <v>111</v>
      </c>
      <c r="F165" s="65">
        <v>72.397199999999998</v>
      </c>
    </row>
    <row r="166" spans="2:6" hidden="1" x14ac:dyDescent="0.25">
      <c r="B166" s="51">
        <f>YEAR(BDRIOSJ[[#This Row],[FECHA]])</f>
        <v>2023</v>
      </c>
      <c r="C166" s="51">
        <f>MONTH(BDRIOSJ[[#This Row],[FECHA]])</f>
        <v>2</v>
      </c>
      <c r="D166" s="50" t="s">
        <v>155</v>
      </c>
      <c r="E166" s="49" t="s">
        <v>115</v>
      </c>
      <c r="F166" s="65">
        <v>128.94900000000001</v>
      </c>
    </row>
    <row r="167" spans="2:6" hidden="1" x14ac:dyDescent="0.25">
      <c r="B167" s="51">
        <f>YEAR(BDRIOSJ[[#This Row],[FECHA]])</f>
        <v>2023</v>
      </c>
      <c r="C167" s="51">
        <f>MONTH(BDRIOSJ[[#This Row],[FECHA]])</f>
        <v>2</v>
      </c>
      <c r="D167" s="50" t="s">
        <v>155</v>
      </c>
      <c r="E167" s="49" t="s">
        <v>114</v>
      </c>
      <c r="F167" s="65">
        <v>128.94900000000001</v>
      </c>
    </row>
    <row r="168" spans="2:6" hidden="1" x14ac:dyDescent="0.25">
      <c r="B168" s="51">
        <f>YEAR(BDRIOSJ[[#This Row],[FECHA]])</f>
        <v>2023</v>
      </c>
      <c r="C168" s="51">
        <f>MONTH(BDRIOSJ[[#This Row],[FECHA]])</f>
        <v>2</v>
      </c>
      <c r="D168" s="50" t="s">
        <v>155</v>
      </c>
      <c r="E168" s="49" t="s">
        <v>113</v>
      </c>
      <c r="F168" s="65">
        <v>113.2854</v>
      </c>
    </row>
    <row r="169" spans="2:6" hidden="1" x14ac:dyDescent="0.25">
      <c r="B169" s="51">
        <f>YEAR(BDRIOSJ[[#This Row],[FECHA]])</f>
        <v>2023</v>
      </c>
      <c r="C169" s="51">
        <f>MONTH(BDRIOSJ[[#This Row],[FECHA]])</f>
        <v>2</v>
      </c>
      <c r="D169" s="50" t="s">
        <v>155</v>
      </c>
      <c r="E169" s="49" t="s">
        <v>111</v>
      </c>
      <c r="F169" s="65">
        <v>98.638800000000003</v>
      </c>
    </row>
    <row r="170" spans="2:6" hidden="1" x14ac:dyDescent="0.25">
      <c r="B170" s="51">
        <f>YEAR(BDRIOSJ[[#This Row],[FECHA]])</f>
        <v>2023</v>
      </c>
      <c r="C170" s="51">
        <f>MONTH(BDRIOSJ[[#This Row],[FECHA]])</f>
        <v>2</v>
      </c>
      <c r="D170" s="50" t="s">
        <v>156</v>
      </c>
      <c r="E170" s="49" t="s">
        <v>115</v>
      </c>
      <c r="F170" s="65">
        <v>94.427400000000006</v>
      </c>
    </row>
    <row r="171" spans="2:6" hidden="1" x14ac:dyDescent="0.25">
      <c r="B171" s="51">
        <f>YEAR(BDRIOSJ[[#This Row],[FECHA]])</f>
        <v>2023</v>
      </c>
      <c r="C171" s="51">
        <f>MONTH(BDRIOSJ[[#This Row],[FECHA]])</f>
        <v>2</v>
      </c>
      <c r="D171" s="50" t="s">
        <v>156</v>
      </c>
      <c r="E171" s="49" t="s">
        <v>114</v>
      </c>
      <c r="F171" s="65">
        <v>125.4855</v>
      </c>
    </row>
    <row r="172" spans="2:6" hidden="1" x14ac:dyDescent="0.25">
      <c r="B172" s="51">
        <f>YEAR(BDRIOSJ[[#This Row],[FECHA]])</f>
        <v>2023</v>
      </c>
      <c r="C172" s="51">
        <f>MONTH(BDRIOSJ[[#This Row],[FECHA]])</f>
        <v>2</v>
      </c>
      <c r="D172" s="50" t="s">
        <v>156</v>
      </c>
      <c r="E172" s="49" t="s">
        <v>113</v>
      </c>
      <c r="F172" s="65">
        <v>125.4855</v>
      </c>
    </row>
    <row r="173" spans="2:6" hidden="1" x14ac:dyDescent="0.25">
      <c r="B173" s="51">
        <f>YEAR(BDRIOSJ[[#This Row],[FECHA]])</f>
        <v>2023</v>
      </c>
      <c r="C173" s="51">
        <f>MONTH(BDRIOSJ[[#This Row],[FECHA]])</f>
        <v>2</v>
      </c>
      <c r="D173" s="50" t="s">
        <v>156</v>
      </c>
      <c r="E173" s="49" t="s">
        <v>111</v>
      </c>
      <c r="F173" s="65">
        <v>200.4477</v>
      </c>
    </row>
    <row r="174" spans="2:6" hidden="1" x14ac:dyDescent="0.25">
      <c r="B174" s="51">
        <f>YEAR(BDRIOSJ[[#This Row],[FECHA]])</f>
        <v>2023</v>
      </c>
      <c r="C174" s="51">
        <f>MONTH(BDRIOSJ[[#This Row],[FECHA]])</f>
        <v>2</v>
      </c>
      <c r="D174" s="50" t="s">
        <v>157</v>
      </c>
      <c r="E174" s="49" t="s">
        <v>115</v>
      </c>
      <c r="F174" s="65">
        <v>53.640999999999998</v>
      </c>
    </row>
    <row r="175" spans="2:6" hidden="1" x14ac:dyDescent="0.25">
      <c r="B175" s="51">
        <f>YEAR(BDRIOSJ[[#This Row],[FECHA]])</f>
        <v>2023</v>
      </c>
      <c r="C175" s="51">
        <f>MONTH(BDRIOSJ[[#This Row],[FECHA]])</f>
        <v>2</v>
      </c>
      <c r="D175" s="50" t="s">
        <v>157</v>
      </c>
      <c r="E175" s="49" t="s">
        <v>114</v>
      </c>
      <c r="F175" s="65">
        <v>55.869</v>
      </c>
    </row>
    <row r="176" spans="2:6" hidden="1" x14ac:dyDescent="0.25">
      <c r="B176" s="51">
        <f>YEAR(BDRIOSJ[[#This Row],[FECHA]])</f>
        <v>2023</v>
      </c>
      <c r="C176" s="51">
        <f>MONTH(BDRIOSJ[[#This Row],[FECHA]])</f>
        <v>2</v>
      </c>
      <c r="D176" s="50" t="s">
        <v>157</v>
      </c>
      <c r="E176" s="49" t="s">
        <v>113</v>
      </c>
      <c r="F176" s="65">
        <v>60.453499999999998</v>
      </c>
    </row>
    <row r="177" spans="2:6" hidden="1" x14ac:dyDescent="0.25">
      <c r="B177" s="51">
        <f>YEAR(BDRIOSJ[[#This Row],[FECHA]])</f>
        <v>2023</v>
      </c>
      <c r="C177" s="51">
        <f>MONTH(BDRIOSJ[[#This Row],[FECHA]])</f>
        <v>2</v>
      </c>
      <c r="D177" s="50" t="s">
        <v>157</v>
      </c>
      <c r="E177" s="49" t="s">
        <v>111</v>
      </c>
      <c r="F177" s="65">
        <v>60.453499999999998</v>
      </c>
    </row>
    <row r="178" spans="2:6" hidden="1" x14ac:dyDescent="0.25">
      <c r="B178" s="51">
        <f>YEAR(BDRIOSJ[[#This Row],[FECHA]])</f>
        <v>2023</v>
      </c>
      <c r="C178" s="51">
        <f>MONTH(BDRIOSJ[[#This Row],[FECHA]])</f>
        <v>2</v>
      </c>
      <c r="D178" s="50" t="s">
        <v>158</v>
      </c>
      <c r="E178" s="49" t="s">
        <v>115</v>
      </c>
      <c r="F178" s="65">
        <v>49.313499999999998</v>
      </c>
    </row>
    <row r="179" spans="2:6" hidden="1" x14ac:dyDescent="0.25">
      <c r="B179" s="51">
        <f>YEAR(BDRIOSJ[[#This Row],[FECHA]])</f>
        <v>2023</v>
      </c>
      <c r="C179" s="51">
        <f>MONTH(BDRIOSJ[[#This Row],[FECHA]])</f>
        <v>2</v>
      </c>
      <c r="D179" s="50" t="s">
        <v>158</v>
      </c>
      <c r="E179" s="49" t="s">
        <v>114</v>
      </c>
      <c r="F179" s="65">
        <v>49.313499999999998</v>
      </c>
    </row>
    <row r="180" spans="2:6" hidden="1" x14ac:dyDescent="0.25">
      <c r="B180" s="51">
        <f>YEAR(BDRIOSJ[[#This Row],[FECHA]])</f>
        <v>2023</v>
      </c>
      <c r="C180" s="51">
        <f>MONTH(BDRIOSJ[[#This Row],[FECHA]])</f>
        <v>2</v>
      </c>
      <c r="D180" s="50" t="s">
        <v>158</v>
      </c>
      <c r="E180" s="49" t="s">
        <v>113</v>
      </c>
      <c r="F180" s="65">
        <v>51.455800000000004</v>
      </c>
    </row>
    <row r="181" spans="2:6" hidden="1" x14ac:dyDescent="0.25">
      <c r="B181" s="51">
        <f>YEAR(BDRIOSJ[[#This Row],[FECHA]])</f>
        <v>2023</v>
      </c>
      <c r="C181" s="51">
        <f>MONTH(BDRIOSJ[[#This Row],[FECHA]])</f>
        <v>2</v>
      </c>
      <c r="D181" s="50" t="s">
        <v>158</v>
      </c>
      <c r="E181" s="49" t="s">
        <v>111</v>
      </c>
      <c r="F181" s="65">
        <v>53.640999999999998</v>
      </c>
    </row>
    <row r="182" spans="2:6" hidden="1" x14ac:dyDescent="0.25">
      <c r="B182" s="51">
        <f>YEAR(BDRIOSJ[[#This Row],[FECHA]])</f>
        <v>2023</v>
      </c>
      <c r="C182" s="51">
        <f>MONTH(BDRIOSJ[[#This Row],[FECHA]])</f>
        <v>2</v>
      </c>
      <c r="D182" s="50" t="s">
        <v>159</v>
      </c>
      <c r="E182" s="49" t="s">
        <v>115</v>
      </c>
      <c r="F182" s="65">
        <v>53.640999999999998</v>
      </c>
    </row>
    <row r="183" spans="2:6" hidden="1" x14ac:dyDescent="0.25">
      <c r="B183" s="51">
        <f>YEAR(BDRIOSJ[[#This Row],[FECHA]])</f>
        <v>2023</v>
      </c>
      <c r="C183" s="51">
        <f>MONTH(BDRIOSJ[[#This Row],[FECHA]])</f>
        <v>2</v>
      </c>
      <c r="D183" s="50" t="s">
        <v>159</v>
      </c>
      <c r="E183" s="49" t="s">
        <v>114</v>
      </c>
      <c r="F183" s="65">
        <v>53.640999999999998</v>
      </c>
    </row>
    <row r="184" spans="2:6" hidden="1" x14ac:dyDescent="0.25">
      <c r="B184" s="51">
        <f>YEAR(BDRIOSJ[[#This Row],[FECHA]])</f>
        <v>2023</v>
      </c>
      <c r="C184" s="51">
        <f>MONTH(BDRIOSJ[[#This Row],[FECHA]])</f>
        <v>2</v>
      </c>
      <c r="D184" s="50" t="s">
        <v>159</v>
      </c>
      <c r="E184" s="49" t="s">
        <v>113</v>
      </c>
      <c r="F184" s="65">
        <v>55.869</v>
      </c>
    </row>
    <row r="185" spans="2:6" hidden="1" x14ac:dyDescent="0.25">
      <c r="B185" s="51">
        <f>YEAR(BDRIOSJ[[#This Row],[FECHA]])</f>
        <v>2023</v>
      </c>
      <c r="C185" s="51">
        <f>MONTH(BDRIOSJ[[#This Row],[FECHA]])</f>
        <v>2</v>
      </c>
      <c r="D185" s="50" t="s">
        <v>159</v>
      </c>
      <c r="E185" s="49" t="s">
        <v>111</v>
      </c>
      <c r="F185" s="65">
        <v>55.869</v>
      </c>
    </row>
    <row r="186" spans="2:6" hidden="1" x14ac:dyDescent="0.25">
      <c r="B186" s="51">
        <f>YEAR(BDRIOSJ[[#This Row],[FECHA]])</f>
        <v>2023</v>
      </c>
      <c r="C186" s="51">
        <f>MONTH(BDRIOSJ[[#This Row],[FECHA]])</f>
        <v>2</v>
      </c>
      <c r="D186" s="50" t="s">
        <v>160</v>
      </c>
      <c r="E186" s="49" t="s">
        <v>115</v>
      </c>
      <c r="F186" s="65">
        <v>53.640999999999998</v>
      </c>
    </row>
    <row r="187" spans="2:6" hidden="1" x14ac:dyDescent="0.25">
      <c r="B187" s="51">
        <f>YEAR(BDRIOSJ[[#This Row],[FECHA]])</f>
        <v>2023</v>
      </c>
      <c r="C187" s="51">
        <f>MONTH(BDRIOSJ[[#This Row],[FECHA]])</f>
        <v>2</v>
      </c>
      <c r="D187" s="50" t="s">
        <v>160</v>
      </c>
      <c r="E187" s="49" t="s">
        <v>114</v>
      </c>
      <c r="F187" s="65">
        <v>53.640999999999998</v>
      </c>
    </row>
    <row r="188" spans="2:6" hidden="1" x14ac:dyDescent="0.25">
      <c r="B188" s="51">
        <f>YEAR(BDRIOSJ[[#This Row],[FECHA]])</f>
        <v>2023</v>
      </c>
      <c r="C188" s="51">
        <f>MONTH(BDRIOSJ[[#This Row],[FECHA]])</f>
        <v>2</v>
      </c>
      <c r="D188" s="50" t="s">
        <v>160</v>
      </c>
      <c r="E188" s="49" t="s">
        <v>113</v>
      </c>
      <c r="F188" s="65">
        <v>60.453499999999998</v>
      </c>
    </row>
    <row r="189" spans="2:6" hidden="1" x14ac:dyDescent="0.25">
      <c r="B189" s="51">
        <f>YEAR(BDRIOSJ[[#This Row],[FECHA]])</f>
        <v>2023</v>
      </c>
      <c r="C189" s="51">
        <f>MONTH(BDRIOSJ[[#This Row],[FECHA]])</f>
        <v>2</v>
      </c>
      <c r="D189" s="50" t="s">
        <v>160</v>
      </c>
      <c r="E189" s="49" t="s">
        <v>111</v>
      </c>
      <c r="F189" s="65">
        <v>60.453499999999998</v>
      </c>
    </row>
    <row r="190" spans="2:6" hidden="1" x14ac:dyDescent="0.25">
      <c r="B190" s="51">
        <f>YEAR(BDRIOSJ[[#This Row],[FECHA]])</f>
        <v>2023</v>
      </c>
      <c r="C190" s="51">
        <f>MONTH(BDRIOSJ[[#This Row],[FECHA]])</f>
        <v>2</v>
      </c>
      <c r="D190" s="50" t="s">
        <v>161</v>
      </c>
      <c r="E190" s="49" t="s">
        <v>115</v>
      </c>
      <c r="F190" s="65">
        <v>60.453499999999998</v>
      </c>
    </row>
    <row r="191" spans="2:6" hidden="1" x14ac:dyDescent="0.25">
      <c r="B191" s="51">
        <f>YEAR(BDRIOSJ[[#This Row],[FECHA]])</f>
        <v>2023</v>
      </c>
      <c r="C191" s="51">
        <f>MONTH(BDRIOSJ[[#This Row],[FECHA]])</f>
        <v>2</v>
      </c>
      <c r="D191" s="50" t="s">
        <v>161</v>
      </c>
      <c r="E191" s="49" t="s">
        <v>114</v>
      </c>
      <c r="F191" s="65">
        <v>60.453499999999998</v>
      </c>
    </row>
    <row r="192" spans="2:6" hidden="1" x14ac:dyDescent="0.25">
      <c r="B192" s="51">
        <f>YEAR(BDRIOSJ[[#This Row],[FECHA]])</f>
        <v>2023</v>
      </c>
      <c r="C192" s="51">
        <f>MONTH(BDRIOSJ[[#This Row],[FECHA]])</f>
        <v>2</v>
      </c>
      <c r="D192" s="50" t="s">
        <v>161</v>
      </c>
      <c r="E192" s="49" t="s">
        <v>113</v>
      </c>
      <c r="F192" s="65">
        <v>60.453499999999998</v>
      </c>
    </row>
    <row r="193" spans="2:6" hidden="1" x14ac:dyDescent="0.25">
      <c r="B193" s="51">
        <f>YEAR(BDRIOSJ[[#This Row],[FECHA]])</f>
        <v>2023</v>
      </c>
      <c r="C193" s="51">
        <f>MONTH(BDRIOSJ[[#This Row],[FECHA]])</f>
        <v>2</v>
      </c>
      <c r="D193" s="50" t="s">
        <v>161</v>
      </c>
      <c r="E193" s="49" t="s">
        <v>111</v>
      </c>
      <c r="F193" s="65">
        <v>62.809899999999999</v>
      </c>
    </row>
    <row r="194" spans="2:6" hidden="1" x14ac:dyDescent="0.25">
      <c r="B194" s="51">
        <f>YEAR(BDRIOSJ[[#This Row],[FECHA]])</f>
        <v>2023</v>
      </c>
      <c r="C194" s="51">
        <f>MONTH(BDRIOSJ[[#This Row],[FECHA]])</f>
        <v>2</v>
      </c>
      <c r="D194" s="50" t="s">
        <v>162</v>
      </c>
      <c r="E194" s="49" t="s">
        <v>115</v>
      </c>
      <c r="F194" s="65">
        <v>94.427400000000006</v>
      </c>
    </row>
    <row r="195" spans="2:6" hidden="1" x14ac:dyDescent="0.25">
      <c r="B195" s="51">
        <f>YEAR(BDRIOSJ[[#This Row],[FECHA]])</f>
        <v>2023</v>
      </c>
      <c r="C195" s="51">
        <f>MONTH(BDRIOSJ[[#This Row],[FECHA]])</f>
        <v>2</v>
      </c>
      <c r="D195" s="50" t="s">
        <v>162</v>
      </c>
      <c r="E195" s="49" t="s">
        <v>114</v>
      </c>
      <c r="F195" s="65">
        <v>94.427400000000006</v>
      </c>
    </row>
    <row r="196" spans="2:6" hidden="1" x14ac:dyDescent="0.25">
      <c r="B196" s="51">
        <f>YEAR(BDRIOSJ[[#This Row],[FECHA]])</f>
        <v>2023</v>
      </c>
      <c r="C196" s="51">
        <f>MONTH(BDRIOSJ[[#This Row],[FECHA]])</f>
        <v>2</v>
      </c>
      <c r="D196" s="50" t="s">
        <v>162</v>
      </c>
      <c r="E196" s="49" t="s">
        <v>113</v>
      </c>
      <c r="F196" s="65">
        <v>94.427400000000006</v>
      </c>
    </row>
    <row r="197" spans="2:6" hidden="1" x14ac:dyDescent="0.25">
      <c r="B197" s="51">
        <f>YEAR(BDRIOSJ[[#This Row],[FECHA]])</f>
        <v>2023</v>
      </c>
      <c r="C197" s="51">
        <f>MONTH(BDRIOSJ[[#This Row],[FECHA]])</f>
        <v>2</v>
      </c>
      <c r="D197" s="50" t="s">
        <v>162</v>
      </c>
      <c r="E197" s="49" t="s">
        <v>111</v>
      </c>
      <c r="F197" s="65">
        <v>94.427400000000006</v>
      </c>
    </row>
    <row r="198" spans="2:6" hidden="1" x14ac:dyDescent="0.25">
      <c r="B198" s="51">
        <f>YEAR(BDRIOSJ[[#This Row],[FECHA]])</f>
        <v>2023</v>
      </c>
      <c r="C198" s="51">
        <f>MONTH(BDRIOSJ[[#This Row],[FECHA]])</f>
        <v>2</v>
      </c>
      <c r="D198" s="50" t="s">
        <v>163</v>
      </c>
      <c r="E198" s="49" t="s">
        <v>115</v>
      </c>
      <c r="F198" s="65">
        <v>109.4212</v>
      </c>
    </row>
    <row r="199" spans="2:6" hidden="1" x14ac:dyDescent="0.25">
      <c r="B199" s="51">
        <f>YEAR(BDRIOSJ[[#This Row],[FECHA]])</f>
        <v>2023</v>
      </c>
      <c r="C199" s="51">
        <f>MONTH(BDRIOSJ[[#This Row],[FECHA]])</f>
        <v>2</v>
      </c>
      <c r="D199" s="50" t="s">
        <v>163</v>
      </c>
      <c r="E199" s="49" t="s">
        <v>114</v>
      </c>
      <c r="F199" s="65">
        <v>109.4212</v>
      </c>
    </row>
    <row r="200" spans="2:6" hidden="1" x14ac:dyDescent="0.25">
      <c r="B200" s="51">
        <f>YEAR(BDRIOSJ[[#This Row],[FECHA]])</f>
        <v>2023</v>
      </c>
      <c r="C200" s="51">
        <f>MONTH(BDRIOSJ[[#This Row],[FECHA]])</f>
        <v>2</v>
      </c>
      <c r="D200" s="50" t="s">
        <v>163</v>
      </c>
      <c r="E200" s="49" t="s">
        <v>113</v>
      </c>
      <c r="F200" s="65">
        <v>118.93129999999999</v>
      </c>
    </row>
    <row r="201" spans="2:6" hidden="1" x14ac:dyDescent="0.25">
      <c r="B201" s="51">
        <f>YEAR(BDRIOSJ[[#This Row],[FECHA]])</f>
        <v>2023</v>
      </c>
      <c r="C201" s="51">
        <f>MONTH(BDRIOSJ[[#This Row],[FECHA]])</f>
        <v>2</v>
      </c>
      <c r="D201" s="50" t="s">
        <v>163</v>
      </c>
      <c r="E201" s="49" t="s">
        <v>111</v>
      </c>
      <c r="F201" s="65">
        <v>125.4855</v>
      </c>
    </row>
    <row r="202" spans="2:6" hidden="1" x14ac:dyDescent="0.25">
      <c r="B202" s="51">
        <f>YEAR(BDRIOSJ[[#This Row],[FECHA]])</f>
        <v>2023</v>
      </c>
      <c r="C202" s="51">
        <f>MONTH(BDRIOSJ[[#This Row],[FECHA]])</f>
        <v>2</v>
      </c>
      <c r="D202" s="50" t="s">
        <v>164</v>
      </c>
      <c r="E202" s="49" t="s">
        <v>115</v>
      </c>
      <c r="F202" s="65">
        <v>200.4477</v>
      </c>
    </row>
    <row r="203" spans="2:6" hidden="1" x14ac:dyDescent="0.25">
      <c r="B203" s="51">
        <f>YEAR(BDRIOSJ[[#This Row],[FECHA]])</f>
        <v>2023</v>
      </c>
      <c r="C203" s="51">
        <f>MONTH(BDRIOSJ[[#This Row],[FECHA]])</f>
        <v>2</v>
      </c>
      <c r="D203" s="50" t="s">
        <v>164</v>
      </c>
      <c r="E203" s="49" t="s">
        <v>114</v>
      </c>
      <c r="F203" s="65">
        <v>200.4477</v>
      </c>
    </row>
    <row r="204" spans="2:6" hidden="1" x14ac:dyDescent="0.25">
      <c r="B204" s="51">
        <f>YEAR(BDRIOSJ[[#This Row],[FECHA]])</f>
        <v>2023</v>
      </c>
      <c r="C204" s="51">
        <f>MONTH(BDRIOSJ[[#This Row],[FECHA]])</f>
        <v>2</v>
      </c>
      <c r="D204" s="50" t="s">
        <v>164</v>
      </c>
      <c r="E204" s="49" t="s">
        <v>113</v>
      </c>
      <c r="F204" s="65">
        <v>200.4477</v>
      </c>
    </row>
    <row r="205" spans="2:6" hidden="1" x14ac:dyDescent="0.25">
      <c r="B205" s="51">
        <f>YEAR(BDRIOSJ[[#This Row],[FECHA]])</f>
        <v>2023</v>
      </c>
      <c r="C205" s="51">
        <f>MONTH(BDRIOSJ[[#This Row],[FECHA]])</f>
        <v>2</v>
      </c>
      <c r="D205" s="50" t="s">
        <v>164</v>
      </c>
      <c r="E205" s="49" t="s">
        <v>111</v>
      </c>
      <c r="F205" s="65">
        <v>200.4477</v>
      </c>
    </row>
    <row r="206" spans="2:6" hidden="1" x14ac:dyDescent="0.25">
      <c r="B206" s="51">
        <f>YEAR(BDRIOSJ[[#This Row],[FECHA]])</f>
        <v>2023</v>
      </c>
      <c r="C206" s="51">
        <f>MONTH(BDRIOSJ[[#This Row],[FECHA]])</f>
        <v>2</v>
      </c>
      <c r="D206" s="50" t="s">
        <v>165</v>
      </c>
      <c r="E206" s="49" t="s">
        <v>115</v>
      </c>
      <c r="F206" s="65">
        <v>180.10140000000001</v>
      </c>
    </row>
    <row r="207" spans="2:6" hidden="1" x14ac:dyDescent="0.25">
      <c r="B207" s="51">
        <f>YEAR(BDRIOSJ[[#This Row],[FECHA]])</f>
        <v>2023</v>
      </c>
      <c r="C207" s="51">
        <f>MONTH(BDRIOSJ[[#This Row],[FECHA]])</f>
        <v>2</v>
      </c>
      <c r="D207" s="50" t="s">
        <v>165</v>
      </c>
      <c r="E207" s="49" t="s">
        <v>114</v>
      </c>
      <c r="F207" s="65">
        <v>200.4477</v>
      </c>
    </row>
    <row r="208" spans="2:6" hidden="1" x14ac:dyDescent="0.25">
      <c r="B208" s="51">
        <f>YEAR(BDRIOSJ[[#This Row],[FECHA]])</f>
        <v>2023</v>
      </c>
      <c r="C208" s="51">
        <f>MONTH(BDRIOSJ[[#This Row],[FECHA]])</f>
        <v>2</v>
      </c>
      <c r="D208" s="50" t="s">
        <v>165</v>
      </c>
      <c r="E208" s="49" t="s">
        <v>113</v>
      </c>
      <c r="F208" s="65">
        <v>200.4477</v>
      </c>
    </row>
    <row r="209" spans="2:6" hidden="1" x14ac:dyDescent="0.25">
      <c r="B209" s="51">
        <f>YEAR(BDRIOSJ[[#This Row],[FECHA]])</f>
        <v>2023</v>
      </c>
      <c r="C209" s="51">
        <f>MONTH(BDRIOSJ[[#This Row],[FECHA]])</f>
        <v>2</v>
      </c>
      <c r="D209" s="50" t="s">
        <v>165</v>
      </c>
      <c r="E209" s="49" t="s">
        <v>111</v>
      </c>
      <c r="F209" s="65">
        <v>200.4477</v>
      </c>
    </row>
    <row r="210" spans="2:6" hidden="1" x14ac:dyDescent="0.25">
      <c r="B210" s="51">
        <f>YEAR(BDRIOSJ[[#This Row],[FECHA]])</f>
        <v>2023</v>
      </c>
      <c r="C210" s="51">
        <f>MONTH(BDRIOSJ[[#This Row],[FECHA]])</f>
        <v>2</v>
      </c>
      <c r="D210" s="50" t="s">
        <v>166</v>
      </c>
      <c r="E210" s="49" t="s">
        <v>115</v>
      </c>
      <c r="F210" s="65">
        <v>94.427400000000006</v>
      </c>
    </row>
    <row r="211" spans="2:6" hidden="1" x14ac:dyDescent="0.25">
      <c r="B211" s="51">
        <f>YEAR(BDRIOSJ[[#This Row],[FECHA]])</f>
        <v>2023</v>
      </c>
      <c r="C211" s="51">
        <f>MONTH(BDRIOSJ[[#This Row],[FECHA]])</f>
        <v>2</v>
      </c>
      <c r="D211" s="50" t="s">
        <v>166</v>
      </c>
      <c r="E211" s="49" t="s">
        <v>114</v>
      </c>
      <c r="F211" s="65">
        <v>94.427400000000006</v>
      </c>
    </row>
    <row r="212" spans="2:6" hidden="1" x14ac:dyDescent="0.25">
      <c r="B212" s="51">
        <f>YEAR(BDRIOSJ[[#This Row],[FECHA]])</f>
        <v>2023</v>
      </c>
      <c r="C212" s="51">
        <f>MONTH(BDRIOSJ[[#This Row],[FECHA]])</f>
        <v>2</v>
      </c>
      <c r="D212" s="50" t="s">
        <v>166</v>
      </c>
      <c r="E212" s="49" t="s">
        <v>113</v>
      </c>
      <c r="F212" s="65">
        <v>109.4212</v>
      </c>
    </row>
    <row r="213" spans="2:6" hidden="1" x14ac:dyDescent="0.25">
      <c r="B213" s="51">
        <f>YEAR(BDRIOSJ[[#This Row],[FECHA]])</f>
        <v>2023</v>
      </c>
      <c r="C213" s="51">
        <f>MONTH(BDRIOSJ[[#This Row],[FECHA]])</f>
        <v>2</v>
      </c>
      <c r="D213" s="50" t="s">
        <v>166</v>
      </c>
      <c r="E213" s="49" t="s">
        <v>111</v>
      </c>
      <c r="F213" s="65">
        <v>125.4855</v>
      </c>
    </row>
    <row r="214" spans="2:6" hidden="1" x14ac:dyDescent="0.25">
      <c r="B214" s="51">
        <f>YEAR(BDRIOSJ[[#This Row],[FECHA]])</f>
        <v>2023</v>
      </c>
      <c r="C214" s="51">
        <f>MONTH(BDRIOSJ[[#This Row],[FECHA]])</f>
        <v>2</v>
      </c>
      <c r="D214" s="50" t="s">
        <v>167</v>
      </c>
      <c r="E214" s="49" t="s">
        <v>115</v>
      </c>
      <c r="F214" s="65">
        <v>55.869</v>
      </c>
    </row>
    <row r="215" spans="2:6" hidden="1" x14ac:dyDescent="0.25">
      <c r="B215" s="51">
        <f>YEAR(BDRIOSJ[[#This Row],[FECHA]])</f>
        <v>2023</v>
      </c>
      <c r="C215" s="51">
        <f>MONTH(BDRIOSJ[[#This Row],[FECHA]])</f>
        <v>2</v>
      </c>
      <c r="D215" s="50" t="s">
        <v>167</v>
      </c>
      <c r="E215" s="49" t="s">
        <v>114</v>
      </c>
      <c r="F215" s="65">
        <v>55.869</v>
      </c>
    </row>
    <row r="216" spans="2:6" hidden="1" x14ac:dyDescent="0.25">
      <c r="B216" s="51">
        <f>YEAR(BDRIOSJ[[#This Row],[FECHA]])</f>
        <v>2023</v>
      </c>
      <c r="C216" s="51">
        <f>MONTH(BDRIOSJ[[#This Row],[FECHA]])</f>
        <v>2</v>
      </c>
      <c r="D216" s="50" t="s">
        <v>167</v>
      </c>
      <c r="E216" s="49" t="s">
        <v>113</v>
      </c>
      <c r="F216" s="65">
        <v>67.651300000000006</v>
      </c>
    </row>
    <row r="217" spans="2:6" hidden="1" x14ac:dyDescent="0.25">
      <c r="B217" s="51">
        <f>YEAR(BDRIOSJ[[#This Row],[FECHA]])</f>
        <v>2023</v>
      </c>
      <c r="C217" s="51">
        <f>MONTH(BDRIOSJ[[#This Row],[FECHA]])</f>
        <v>2</v>
      </c>
      <c r="D217" s="50" t="s">
        <v>167</v>
      </c>
      <c r="E217" s="49" t="s">
        <v>111</v>
      </c>
      <c r="F217" s="65">
        <v>80.504099999999994</v>
      </c>
    </row>
    <row r="218" spans="2:6" hidden="1" x14ac:dyDescent="0.25">
      <c r="B218" s="51">
        <f>YEAR(BDRIOSJ[[#This Row],[FECHA]])</f>
        <v>2023</v>
      </c>
      <c r="C218" s="51">
        <f>MONTH(BDRIOSJ[[#This Row],[FECHA]])</f>
        <v>2</v>
      </c>
      <c r="D218" s="50" t="s">
        <v>168</v>
      </c>
      <c r="E218" s="49" t="s">
        <v>115</v>
      </c>
      <c r="F218" s="65">
        <v>55.869</v>
      </c>
    </row>
    <row r="219" spans="2:6" hidden="1" x14ac:dyDescent="0.25">
      <c r="B219" s="51">
        <f>YEAR(BDRIOSJ[[#This Row],[FECHA]])</f>
        <v>2023</v>
      </c>
      <c r="C219" s="51">
        <f>MONTH(BDRIOSJ[[#This Row],[FECHA]])</f>
        <v>2</v>
      </c>
      <c r="D219" s="50" t="s">
        <v>168</v>
      </c>
      <c r="E219" s="49" t="s">
        <v>114</v>
      </c>
      <c r="F219" s="65">
        <v>55.869</v>
      </c>
    </row>
    <row r="220" spans="2:6" hidden="1" x14ac:dyDescent="0.25">
      <c r="B220" s="51">
        <f>YEAR(BDRIOSJ[[#This Row],[FECHA]])</f>
        <v>2023</v>
      </c>
      <c r="C220" s="51">
        <f>MONTH(BDRIOSJ[[#This Row],[FECHA]])</f>
        <v>2</v>
      </c>
      <c r="D220" s="50" t="s">
        <v>168</v>
      </c>
      <c r="E220" s="49" t="s">
        <v>113</v>
      </c>
      <c r="F220" s="65">
        <v>55.869</v>
      </c>
    </row>
    <row r="221" spans="2:6" hidden="1" x14ac:dyDescent="0.25">
      <c r="B221" s="51">
        <f>YEAR(BDRIOSJ[[#This Row],[FECHA]])</f>
        <v>2023</v>
      </c>
      <c r="C221" s="51">
        <f>MONTH(BDRIOSJ[[#This Row],[FECHA]])</f>
        <v>2</v>
      </c>
      <c r="D221" s="50" t="s">
        <v>168</v>
      </c>
      <c r="E221" s="49" t="s">
        <v>111</v>
      </c>
      <c r="F221" s="65">
        <v>55.869</v>
      </c>
    </row>
    <row r="222" spans="2:6" hidden="1" x14ac:dyDescent="0.25">
      <c r="B222" s="51">
        <f>YEAR(BDRIOSJ[[#This Row],[FECHA]])</f>
        <v>2023</v>
      </c>
      <c r="C222" s="51">
        <f>MONTH(BDRIOSJ[[#This Row],[FECHA]])</f>
        <v>2</v>
      </c>
      <c r="D222" s="50" t="s">
        <v>169</v>
      </c>
      <c r="E222" s="49" t="s">
        <v>115</v>
      </c>
      <c r="F222" s="65">
        <v>45.157200000000003</v>
      </c>
    </row>
    <row r="223" spans="2:6" hidden="1" x14ac:dyDescent="0.25">
      <c r="B223" s="51">
        <f>YEAR(BDRIOSJ[[#This Row],[FECHA]])</f>
        <v>2023</v>
      </c>
      <c r="C223" s="51">
        <f>MONTH(BDRIOSJ[[#This Row],[FECHA]])</f>
        <v>2</v>
      </c>
      <c r="D223" s="50" t="s">
        <v>169</v>
      </c>
      <c r="E223" s="49" t="s">
        <v>114</v>
      </c>
      <c r="F223" s="65">
        <v>45.157200000000003</v>
      </c>
    </row>
    <row r="224" spans="2:6" hidden="1" x14ac:dyDescent="0.25">
      <c r="B224" s="51">
        <f>YEAR(BDRIOSJ[[#This Row],[FECHA]])</f>
        <v>2023</v>
      </c>
      <c r="C224" s="51">
        <f>MONTH(BDRIOSJ[[#This Row],[FECHA]])</f>
        <v>2</v>
      </c>
      <c r="D224" s="50" t="s">
        <v>169</v>
      </c>
      <c r="E224" s="49" t="s">
        <v>113</v>
      </c>
      <c r="F224" s="65">
        <v>45.157200000000003</v>
      </c>
    </row>
    <row r="225" spans="2:6" hidden="1" x14ac:dyDescent="0.25">
      <c r="B225" s="51">
        <f>YEAR(BDRIOSJ[[#This Row],[FECHA]])</f>
        <v>2023</v>
      </c>
      <c r="C225" s="51">
        <f>MONTH(BDRIOSJ[[#This Row],[FECHA]])</f>
        <v>2</v>
      </c>
      <c r="D225" s="50" t="s">
        <v>169</v>
      </c>
      <c r="E225" s="49" t="s">
        <v>111</v>
      </c>
      <c r="F225" s="65">
        <v>45.157200000000003</v>
      </c>
    </row>
    <row r="226" spans="2:6" hidden="1" x14ac:dyDescent="0.25">
      <c r="B226" s="51">
        <f>YEAR(BDRIOSJ[[#This Row],[FECHA]])</f>
        <v>2023</v>
      </c>
      <c r="C226" s="51">
        <f>MONTH(BDRIOSJ[[#This Row],[FECHA]])</f>
        <v>2</v>
      </c>
      <c r="D226" s="50" t="s">
        <v>170</v>
      </c>
      <c r="E226" s="49" t="s">
        <v>115</v>
      </c>
      <c r="F226" s="65">
        <v>45.157200000000003</v>
      </c>
    </row>
    <row r="227" spans="2:6" hidden="1" x14ac:dyDescent="0.25">
      <c r="B227" s="51">
        <f>YEAR(BDRIOSJ[[#This Row],[FECHA]])</f>
        <v>2023</v>
      </c>
      <c r="C227" s="51">
        <f>MONTH(BDRIOSJ[[#This Row],[FECHA]])</f>
        <v>2</v>
      </c>
      <c r="D227" s="50" t="s">
        <v>170</v>
      </c>
      <c r="E227" s="49" t="s">
        <v>114</v>
      </c>
      <c r="F227" s="65">
        <v>55.869</v>
      </c>
    </row>
    <row r="228" spans="2:6" hidden="1" x14ac:dyDescent="0.25">
      <c r="B228" s="51">
        <f>YEAR(BDRIOSJ[[#This Row],[FECHA]])</f>
        <v>2023</v>
      </c>
      <c r="C228" s="51">
        <f>MONTH(BDRIOSJ[[#This Row],[FECHA]])</f>
        <v>2</v>
      </c>
      <c r="D228" s="50" t="s">
        <v>170</v>
      </c>
      <c r="E228" s="49" t="s">
        <v>113</v>
      </c>
      <c r="F228" s="65">
        <v>55.869</v>
      </c>
    </row>
    <row r="229" spans="2:6" hidden="1" x14ac:dyDescent="0.25">
      <c r="B229" s="51">
        <f>YEAR(BDRIOSJ[[#This Row],[FECHA]])</f>
        <v>2023</v>
      </c>
      <c r="C229" s="51">
        <f>MONTH(BDRIOSJ[[#This Row],[FECHA]])</f>
        <v>2</v>
      </c>
      <c r="D229" s="50" t="s">
        <v>170</v>
      </c>
      <c r="E229" s="49" t="s">
        <v>111</v>
      </c>
      <c r="F229" s="65">
        <v>51.455800000000004</v>
      </c>
    </row>
    <row r="230" spans="2:6" hidden="1" x14ac:dyDescent="0.25">
      <c r="B230" s="51">
        <f>YEAR(BDRIOSJ[[#This Row],[FECHA]])</f>
        <v>2023</v>
      </c>
      <c r="C230" s="51">
        <f>MONTH(BDRIOSJ[[#This Row],[FECHA]])</f>
        <v>2</v>
      </c>
      <c r="D230" s="50" t="s">
        <v>171</v>
      </c>
      <c r="E230" s="49" t="s">
        <v>115</v>
      </c>
      <c r="F230" s="65">
        <v>31.959099999999999</v>
      </c>
    </row>
    <row r="231" spans="2:6" hidden="1" x14ac:dyDescent="0.25">
      <c r="B231" s="51">
        <f>YEAR(BDRIOSJ[[#This Row],[FECHA]])</f>
        <v>2023</v>
      </c>
      <c r="C231" s="51">
        <f>MONTH(BDRIOSJ[[#This Row],[FECHA]])</f>
        <v>2</v>
      </c>
      <c r="D231" s="50" t="s">
        <v>171</v>
      </c>
      <c r="E231" s="49" t="s">
        <v>114</v>
      </c>
      <c r="F231" s="65">
        <v>35.515900000000002</v>
      </c>
    </row>
    <row r="232" spans="2:6" hidden="1" x14ac:dyDescent="0.25">
      <c r="B232" s="51">
        <f>YEAR(BDRIOSJ[[#This Row],[FECHA]])</f>
        <v>2023</v>
      </c>
      <c r="C232" s="51">
        <f>MONTH(BDRIOSJ[[#This Row],[FECHA]])</f>
        <v>2</v>
      </c>
      <c r="D232" s="50" t="s">
        <v>171</v>
      </c>
      <c r="E232" s="49" t="s">
        <v>113</v>
      </c>
      <c r="F232" s="65">
        <v>35.515900000000002</v>
      </c>
    </row>
    <row r="233" spans="2:6" hidden="1" x14ac:dyDescent="0.25">
      <c r="B233" s="51">
        <f>YEAR(BDRIOSJ[[#This Row],[FECHA]])</f>
        <v>2023</v>
      </c>
      <c r="C233" s="51">
        <f>MONTH(BDRIOSJ[[#This Row],[FECHA]])</f>
        <v>2</v>
      </c>
      <c r="D233" s="50" t="s">
        <v>171</v>
      </c>
      <c r="E233" s="49" t="s">
        <v>111</v>
      </c>
      <c r="F233" s="65">
        <v>26.9451</v>
      </c>
    </row>
    <row r="234" spans="2:6" hidden="1" x14ac:dyDescent="0.25">
      <c r="B234" s="51">
        <f>YEAR(BDRIOSJ[[#This Row],[FECHA]])</f>
        <v>2023</v>
      </c>
      <c r="C234" s="51">
        <f>MONTH(BDRIOSJ[[#This Row],[FECHA]])</f>
        <v>2</v>
      </c>
      <c r="D234" s="50" t="s">
        <v>172</v>
      </c>
      <c r="E234" s="49" t="s">
        <v>115</v>
      </c>
      <c r="F234" s="65">
        <v>94.427400000000006</v>
      </c>
    </row>
    <row r="235" spans="2:6" hidden="1" x14ac:dyDescent="0.25">
      <c r="B235" s="51">
        <f>YEAR(BDRIOSJ[[#This Row],[FECHA]])</f>
        <v>2023</v>
      </c>
      <c r="C235" s="51">
        <f>MONTH(BDRIOSJ[[#This Row],[FECHA]])</f>
        <v>2</v>
      </c>
      <c r="D235" s="50" t="s">
        <v>172</v>
      </c>
      <c r="E235" s="49" t="s">
        <v>114</v>
      </c>
      <c r="F235" s="65">
        <v>112.5484</v>
      </c>
    </row>
    <row r="236" spans="2:6" hidden="1" x14ac:dyDescent="0.25">
      <c r="B236" s="51">
        <f>YEAR(BDRIOSJ[[#This Row],[FECHA]])</f>
        <v>2023</v>
      </c>
      <c r="C236" s="51">
        <f>MONTH(BDRIOSJ[[#This Row],[FECHA]])</f>
        <v>2</v>
      </c>
      <c r="D236" s="50" t="s">
        <v>172</v>
      </c>
      <c r="E236" s="49" t="s">
        <v>113</v>
      </c>
      <c r="F236" s="65">
        <v>125.4855</v>
      </c>
    </row>
    <row r="237" spans="2:6" hidden="1" x14ac:dyDescent="0.25">
      <c r="B237" s="51">
        <f>YEAR(BDRIOSJ[[#This Row],[FECHA]])</f>
        <v>2023</v>
      </c>
      <c r="C237" s="51">
        <f>MONTH(BDRIOSJ[[#This Row],[FECHA]])</f>
        <v>2</v>
      </c>
      <c r="D237" s="50" t="s">
        <v>172</v>
      </c>
      <c r="E237" s="49" t="s">
        <v>111</v>
      </c>
      <c r="F237" s="65">
        <v>125.4855</v>
      </c>
    </row>
    <row r="238" spans="2:6" hidden="1" x14ac:dyDescent="0.25">
      <c r="B238" s="51">
        <f>YEAR(BDRIOSJ[[#This Row],[FECHA]])</f>
        <v>2023</v>
      </c>
      <c r="C238" s="51">
        <f>MONTH(BDRIOSJ[[#This Row],[FECHA]])</f>
        <v>2</v>
      </c>
      <c r="D238" s="50" t="s">
        <v>173</v>
      </c>
      <c r="E238" s="49" t="s">
        <v>115</v>
      </c>
      <c r="F238" s="65">
        <v>55.869</v>
      </c>
    </row>
    <row r="239" spans="2:6" hidden="1" x14ac:dyDescent="0.25">
      <c r="B239" s="51">
        <f>YEAR(BDRIOSJ[[#This Row],[FECHA]])</f>
        <v>2023</v>
      </c>
      <c r="C239" s="51">
        <f>MONTH(BDRIOSJ[[#This Row],[FECHA]])</f>
        <v>2</v>
      </c>
      <c r="D239" s="50" t="s">
        <v>173</v>
      </c>
      <c r="E239" s="49" t="s">
        <v>114</v>
      </c>
      <c r="F239" s="65">
        <v>55.869</v>
      </c>
    </row>
    <row r="240" spans="2:6" hidden="1" x14ac:dyDescent="0.25">
      <c r="B240" s="51">
        <f>YEAR(BDRIOSJ[[#This Row],[FECHA]])</f>
        <v>2023</v>
      </c>
      <c r="C240" s="51">
        <f>MONTH(BDRIOSJ[[#This Row],[FECHA]])</f>
        <v>2</v>
      </c>
      <c r="D240" s="50" t="s">
        <v>173</v>
      </c>
      <c r="E240" s="49" t="s">
        <v>113</v>
      </c>
      <c r="F240" s="65">
        <v>67.651300000000006</v>
      </c>
    </row>
    <row r="241" spans="2:6" hidden="1" x14ac:dyDescent="0.25">
      <c r="B241" s="51">
        <f>YEAR(BDRIOSJ[[#This Row],[FECHA]])</f>
        <v>2023</v>
      </c>
      <c r="C241" s="51">
        <f>MONTH(BDRIOSJ[[#This Row],[FECHA]])</f>
        <v>2</v>
      </c>
      <c r="D241" s="50" t="s">
        <v>173</v>
      </c>
      <c r="E241" s="49" t="s">
        <v>111</v>
      </c>
      <c r="F241" s="65">
        <v>67.651300000000006</v>
      </c>
    </row>
    <row r="242" spans="2:6" hidden="1" x14ac:dyDescent="0.25">
      <c r="B242" s="51">
        <f>YEAR(BDRIOSJ[[#This Row],[FECHA]])</f>
        <v>2023</v>
      </c>
      <c r="C242" s="51">
        <f>MONTH(BDRIOSJ[[#This Row],[FECHA]])</f>
        <v>2</v>
      </c>
      <c r="D242" s="50" t="s">
        <v>174</v>
      </c>
      <c r="E242" s="49" t="s">
        <v>115</v>
      </c>
      <c r="F242" s="65">
        <v>19.444800000000001</v>
      </c>
    </row>
    <row r="243" spans="2:6" hidden="1" x14ac:dyDescent="0.25">
      <c r="B243" s="51">
        <f>YEAR(BDRIOSJ[[#This Row],[FECHA]])</f>
        <v>2023</v>
      </c>
      <c r="C243" s="51">
        <f>MONTH(BDRIOSJ[[#This Row],[FECHA]])</f>
        <v>2</v>
      </c>
      <c r="D243" s="50" t="s">
        <v>174</v>
      </c>
      <c r="E243" s="49" t="s">
        <v>114</v>
      </c>
      <c r="F243" s="65">
        <v>19.444800000000001</v>
      </c>
    </row>
    <row r="244" spans="2:6" hidden="1" x14ac:dyDescent="0.25">
      <c r="B244" s="51">
        <f>YEAR(BDRIOSJ[[#This Row],[FECHA]])</f>
        <v>2023</v>
      </c>
      <c r="C244" s="51">
        <f>MONTH(BDRIOSJ[[#This Row],[FECHA]])</f>
        <v>2</v>
      </c>
      <c r="D244" s="50" t="s">
        <v>174</v>
      </c>
      <c r="E244" s="49" t="s">
        <v>113</v>
      </c>
      <c r="F244" s="65">
        <v>20.859200000000001</v>
      </c>
    </row>
    <row r="245" spans="2:6" hidden="1" x14ac:dyDescent="0.25">
      <c r="B245" s="51">
        <f>YEAR(BDRIOSJ[[#This Row],[FECHA]])</f>
        <v>2023</v>
      </c>
      <c r="C245" s="51">
        <f>MONTH(BDRIOSJ[[#This Row],[FECHA]])</f>
        <v>2</v>
      </c>
      <c r="D245" s="50" t="s">
        <v>174</v>
      </c>
      <c r="E245" s="49" t="s">
        <v>111</v>
      </c>
      <c r="F245" s="65">
        <v>45.157200000000003</v>
      </c>
    </row>
    <row r="246" spans="2:6" hidden="1" x14ac:dyDescent="0.25">
      <c r="B246" s="51">
        <f>YEAR(BDRIOSJ[[#This Row],[FECHA]])</f>
        <v>2023</v>
      </c>
      <c r="C246" s="51">
        <f>MONTH(BDRIOSJ[[#This Row],[FECHA]])</f>
        <v>2</v>
      </c>
      <c r="D246" s="50" t="s">
        <v>175</v>
      </c>
      <c r="E246" s="49" t="s">
        <v>115</v>
      </c>
      <c r="F246" s="65">
        <v>6.7122999999999999</v>
      </c>
    </row>
    <row r="247" spans="2:6" hidden="1" x14ac:dyDescent="0.25">
      <c r="B247" s="51">
        <f>YEAR(BDRIOSJ[[#This Row],[FECHA]])</f>
        <v>2023</v>
      </c>
      <c r="C247" s="51">
        <f>MONTH(BDRIOSJ[[#This Row],[FECHA]])</f>
        <v>2</v>
      </c>
      <c r="D247" s="50" t="s">
        <v>175</v>
      </c>
      <c r="E247" s="49" t="s">
        <v>114</v>
      </c>
      <c r="F247" s="65">
        <v>6.7122999999999999</v>
      </c>
    </row>
    <row r="248" spans="2:6" hidden="1" x14ac:dyDescent="0.25">
      <c r="B248" s="51">
        <f>YEAR(BDRIOSJ[[#This Row],[FECHA]])</f>
        <v>2023</v>
      </c>
      <c r="C248" s="51">
        <f>MONTH(BDRIOSJ[[#This Row],[FECHA]])</f>
        <v>2</v>
      </c>
      <c r="D248" s="50" t="s">
        <v>175</v>
      </c>
      <c r="E248" s="49" t="s">
        <v>113</v>
      </c>
      <c r="F248" s="65">
        <v>7.6557000000000004</v>
      </c>
    </row>
    <row r="249" spans="2:6" hidden="1" x14ac:dyDescent="0.25">
      <c r="B249" s="51">
        <f>YEAR(BDRIOSJ[[#This Row],[FECHA]])</f>
        <v>2023</v>
      </c>
      <c r="C249" s="51">
        <f>MONTH(BDRIOSJ[[#This Row],[FECHA]])</f>
        <v>2</v>
      </c>
      <c r="D249" s="50" t="s">
        <v>175</v>
      </c>
      <c r="E249" s="49" t="s">
        <v>111</v>
      </c>
      <c r="F249" s="65">
        <v>7.6557000000000004</v>
      </c>
    </row>
    <row r="250" spans="2:6" hidden="1" x14ac:dyDescent="0.25">
      <c r="B250" s="51">
        <f>YEAR(BDRIOSJ[[#This Row],[FECHA]])</f>
        <v>2023</v>
      </c>
      <c r="C250" s="51">
        <f>MONTH(BDRIOSJ[[#This Row],[FECHA]])</f>
        <v>3</v>
      </c>
      <c r="D250" s="50" t="s">
        <v>176</v>
      </c>
      <c r="E250" s="49" t="s">
        <v>115</v>
      </c>
      <c r="F250" s="65">
        <v>51.455800000000004</v>
      </c>
    </row>
    <row r="251" spans="2:6" hidden="1" x14ac:dyDescent="0.25">
      <c r="B251" s="51">
        <f>YEAR(BDRIOSJ[[#This Row],[FECHA]])</f>
        <v>2023</v>
      </c>
      <c r="C251" s="51">
        <f>MONTH(BDRIOSJ[[#This Row],[FECHA]])</f>
        <v>3</v>
      </c>
      <c r="D251" s="50" t="s">
        <v>176</v>
      </c>
      <c r="E251" s="49" t="s">
        <v>114</v>
      </c>
      <c r="F251" s="65">
        <v>49.313499999999998</v>
      </c>
    </row>
    <row r="252" spans="2:6" hidden="1" x14ac:dyDescent="0.25">
      <c r="B252" s="51">
        <f>YEAR(BDRIOSJ[[#This Row],[FECHA]])</f>
        <v>2023</v>
      </c>
      <c r="C252" s="51">
        <f>MONTH(BDRIOSJ[[#This Row],[FECHA]])</f>
        <v>3</v>
      </c>
      <c r="D252" s="50" t="s">
        <v>176</v>
      </c>
      <c r="E252" s="49" t="s">
        <v>113</v>
      </c>
      <c r="F252" s="65">
        <v>94.427400000000006</v>
      </c>
    </row>
    <row r="253" spans="2:6" hidden="1" x14ac:dyDescent="0.25">
      <c r="B253" s="51">
        <f>YEAR(BDRIOSJ[[#This Row],[FECHA]])</f>
        <v>2023</v>
      </c>
      <c r="C253" s="51">
        <f>MONTH(BDRIOSJ[[#This Row],[FECHA]])</f>
        <v>3</v>
      </c>
      <c r="D253" s="50" t="s">
        <v>176</v>
      </c>
      <c r="E253" s="49" t="s">
        <v>111</v>
      </c>
      <c r="F253" s="65">
        <v>94.427400000000006</v>
      </c>
    </row>
    <row r="254" spans="2:6" hidden="1" x14ac:dyDescent="0.25">
      <c r="B254" s="51">
        <f>YEAR(BDRIOSJ[[#This Row],[FECHA]])</f>
        <v>2023</v>
      </c>
      <c r="C254" s="51">
        <f>MONTH(BDRIOSJ[[#This Row],[FECHA]])</f>
        <v>3</v>
      </c>
      <c r="D254" s="50" t="s">
        <v>177</v>
      </c>
      <c r="E254" s="49" t="s">
        <v>115</v>
      </c>
      <c r="F254" s="65">
        <v>30.245000000000001</v>
      </c>
    </row>
    <row r="255" spans="2:6" hidden="1" x14ac:dyDescent="0.25">
      <c r="B255" s="51">
        <f>YEAR(BDRIOSJ[[#This Row],[FECHA]])</f>
        <v>2023</v>
      </c>
      <c r="C255" s="51">
        <f>MONTH(BDRIOSJ[[#This Row],[FECHA]])</f>
        <v>3</v>
      </c>
      <c r="D255" s="50" t="s">
        <v>177</v>
      </c>
      <c r="E255" s="49" t="s">
        <v>114</v>
      </c>
      <c r="F255" s="65">
        <v>37.358499999999999</v>
      </c>
    </row>
    <row r="256" spans="2:6" hidden="1" x14ac:dyDescent="0.25">
      <c r="B256" s="51">
        <f>YEAR(BDRIOSJ[[#This Row],[FECHA]])</f>
        <v>2023</v>
      </c>
      <c r="C256" s="51">
        <f>MONTH(BDRIOSJ[[#This Row],[FECHA]])</f>
        <v>3</v>
      </c>
      <c r="D256" s="50" t="s">
        <v>177</v>
      </c>
      <c r="E256" s="49" t="s">
        <v>113</v>
      </c>
      <c r="F256" s="65">
        <v>45.157200000000003</v>
      </c>
    </row>
    <row r="257" spans="2:6" hidden="1" x14ac:dyDescent="0.25">
      <c r="B257" s="51">
        <f>YEAR(BDRIOSJ[[#This Row],[FECHA]])</f>
        <v>2023</v>
      </c>
      <c r="C257" s="51">
        <f>MONTH(BDRIOSJ[[#This Row],[FECHA]])</f>
        <v>3</v>
      </c>
      <c r="D257" s="50" t="s">
        <v>177</v>
      </c>
      <c r="E257" s="49" t="s">
        <v>111</v>
      </c>
      <c r="F257" s="65">
        <v>53.640999999999998</v>
      </c>
    </row>
    <row r="258" spans="2:6" hidden="1" x14ac:dyDescent="0.25">
      <c r="B258" s="51">
        <f>YEAR(BDRIOSJ[[#This Row],[FECHA]])</f>
        <v>2023</v>
      </c>
      <c r="C258" s="51">
        <f>MONTH(BDRIOSJ[[#This Row],[FECHA]])</f>
        <v>3</v>
      </c>
      <c r="D258" s="50" t="s">
        <v>178</v>
      </c>
      <c r="E258" s="49" t="s">
        <v>115</v>
      </c>
      <c r="F258" s="65">
        <v>26.9451</v>
      </c>
    </row>
    <row r="259" spans="2:6" hidden="1" x14ac:dyDescent="0.25">
      <c r="B259" s="51">
        <f>YEAR(BDRIOSJ[[#This Row],[FECHA]])</f>
        <v>2023</v>
      </c>
      <c r="C259" s="51">
        <f>MONTH(BDRIOSJ[[#This Row],[FECHA]])</f>
        <v>3</v>
      </c>
      <c r="D259" s="50" t="s">
        <v>178</v>
      </c>
      <c r="E259" s="49" t="s">
        <v>114</v>
      </c>
      <c r="F259" s="65">
        <v>26.9451</v>
      </c>
    </row>
    <row r="260" spans="2:6" hidden="1" x14ac:dyDescent="0.25">
      <c r="B260" s="51">
        <f>YEAR(BDRIOSJ[[#This Row],[FECHA]])</f>
        <v>2023</v>
      </c>
      <c r="C260" s="51">
        <f>MONTH(BDRIOSJ[[#This Row],[FECHA]])</f>
        <v>3</v>
      </c>
      <c r="D260" s="50" t="s">
        <v>178</v>
      </c>
      <c r="E260" s="49" t="s">
        <v>113</v>
      </c>
      <c r="F260" s="65">
        <v>26.9451</v>
      </c>
    </row>
    <row r="261" spans="2:6" hidden="1" x14ac:dyDescent="0.25">
      <c r="B261" s="51">
        <f>YEAR(BDRIOSJ[[#This Row],[FECHA]])</f>
        <v>2023</v>
      </c>
      <c r="C261" s="51">
        <f>MONTH(BDRIOSJ[[#This Row],[FECHA]])</f>
        <v>3</v>
      </c>
      <c r="D261" s="50" t="s">
        <v>178</v>
      </c>
      <c r="E261" s="49" t="s">
        <v>111</v>
      </c>
      <c r="F261" s="65">
        <v>33.716099999999997</v>
      </c>
    </row>
    <row r="262" spans="2:6" hidden="1" x14ac:dyDescent="0.25">
      <c r="B262" s="51">
        <f>YEAR(BDRIOSJ[[#This Row],[FECHA]])</f>
        <v>2023</v>
      </c>
      <c r="C262" s="51">
        <f>MONTH(BDRIOSJ[[#This Row],[FECHA]])</f>
        <v>3</v>
      </c>
      <c r="D262" s="50" t="s">
        <v>179</v>
      </c>
      <c r="E262" s="49" t="s">
        <v>115</v>
      </c>
      <c r="F262" s="65">
        <v>23.816500000000001</v>
      </c>
    </row>
    <row r="263" spans="2:6" hidden="1" x14ac:dyDescent="0.25">
      <c r="B263" s="51">
        <f>YEAR(BDRIOSJ[[#This Row],[FECHA]])</f>
        <v>2023</v>
      </c>
      <c r="C263" s="51">
        <f>MONTH(BDRIOSJ[[#This Row],[FECHA]])</f>
        <v>3</v>
      </c>
      <c r="D263" s="50" t="s">
        <v>179</v>
      </c>
      <c r="E263" s="49" t="s">
        <v>114</v>
      </c>
      <c r="F263" s="65">
        <v>26.9451</v>
      </c>
    </row>
    <row r="264" spans="2:6" hidden="1" x14ac:dyDescent="0.25">
      <c r="B264" s="51">
        <f>YEAR(BDRIOSJ[[#This Row],[FECHA]])</f>
        <v>2023</v>
      </c>
      <c r="C264" s="51">
        <f>MONTH(BDRIOSJ[[#This Row],[FECHA]])</f>
        <v>3</v>
      </c>
      <c r="D264" s="50" t="s">
        <v>179</v>
      </c>
      <c r="E264" s="49" t="s">
        <v>113</v>
      </c>
      <c r="F264" s="65">
        <v>30.245000000000001</v>
      </c>
    </row>
    <row r="265" spans="2:6" hidden="1" x14ac:dyDescent="0.25">
      <c r="B265" s="51">
        <f>YEAR(BDRIOSJ[[#This Row],[FECHA]])</f>
        <v>2023</v>
      </c>
      <c r="C265" s="51">
        <f>MONTH(BDRIOSJ[[#This Row],[FECHA]])</f>
        <v>3</v>
      </c>
      <c r="D265" s="50" t="s">
        <v>179</v>
      </c>
      <c r="E265" s="49" t="s">
        <v>111</v>
      </c>
      <c r="F265" s="65">
        <v>33.716099999999997</v>
      </c>
    </row>
    <row r="266" spans="2:6" hidden="1" x14ac:dyDescent="0.25">
      <c r="B266" s="51">
        <f>YEAR(BDRIOSJ[[#This Row],[FECHA]])</f>
        <v>2023</v>
      </c>
      <c r="C266" s="51">
        <f>MONTH(BDRIOSJ[[#This Row],[FECHA]])</f>
        <v>3</v>
      </c>
      <c r="D266" s="50" t="s">
        <v>180</v>
      </c>
      <c r="E266" s="49" t="s">
        <v>115</v>
      </c>
      <c r="F266" s="65">
        <v>26.9451</v>
      </c>
    </row>
    <row r="267" spans="2:6" hidden="1" x14ac:dyDescent="0.25">
      <c r="B267" s="51">
        <f>YEAR(BDRIOSJ[[#This Row],[FECHA]])</f>
        <v>2023</v>
      </c>
      <c r="C267" s="51">
        <f>MONTH(BDRIOSJ[[#This Row],[FECHA]])</f>
        <v>3</v>
      </c>
      <c r="D267" s="50" t="s">
        <v>180</v>
      </c>
      <c r="E267" s="49" t="s">
        <v>114</v>
      </c>
      <c r="F267" s="65">
        <v>33.716099999999997</v>
      </c>
    </row>
    <row r="268" spans="2:6" hidden="1" x14ac:dyDescent="0.25">
      <c r="B268" s="51">
        <f>YEAR(BDRIOSJ[[#This Row],[FECHA]])</f>
        <v>2023</v>
      </c>
      <c r="C268" s="51">
        <f>MONTH(BDRIOSJ[[#This Row],[FECHA]])</f>
        <v>3</v>
      </c>
      <c r="D268" s="50" t="s">
        <v>180</v>
      </c>
      <c r="E268" s="49" t="s">
        <v>113</v>
      </c>
      <c r="F268" s="65">
        <v>33.716099999999997</v>
      </c>
    </row>
    <row r="269" spans="2:6" hidden="1" x14ac:dyDescent="0.25">
      <c r="B269" s="51">
        <f>YEAR(BDRIOSJ[[#This Row],[FECHA]])</f>
        <v>2023</v>
      </c>
      <c r="C269" s="51">
        <f>MONTH(BDRIOSJ[[#This Row],[FECHA]])</f>
        <v>3</v>
      </c>
      <c r="D269" s="50" t="s">
        <v>180</v>
      </c>
      <c r="E269" s="49" t="s">
        <v>111</v>
      </c>
      <c r="F269" s="65">
        <v>33.716099999999997</v>
      </c>
    </row>
    <row r="270" spans="2:6" hidden="1" x14ac:dyDescent="0.25">
      <c r="B270" s="51">
        <f>YEAR(BDRIOSJ[[#This Row],[FECHA]])</f>
        <v>2023</v>
      </c>
      <c r="C270" s="51">
        <f>MONTH(BDRIOSJ[[#This Row],[FECHA]])</f>
        <v>3</v>
      </c>
      <c r="D270" s="50" t="s">
        <v>181</v>
      </c>
      <c r="E270" s="49" t="s">
        <v>115</v>
      </c>
      <c r="F270" s="65">
        <v>30.245000000000001</v>
      </c>
    </row>
    <row r="271" spans="2:6" hidden="1" x14ac:dyDescent="0.25">
      <c r="B271" s="51">
        <f>YEAR(BDRIOSJ[[#This Row],[FECHA]])</f>
        <v>2023</v>
      </c>
      <c r="C271" s="51">
        <f>MONTH(BDRIOSJ[[#This Row],[FECHA]])</f>
        <v>3</v>
      </c>
      <c r="D271" s="50" t="s">
        <v>181</v>
      </c>
      <c r="E271" s="49" t="s">
        <v>114</v>
      </c>
      <c r="F271" s="65">
        <v>30.245000000000001</v>
      </c>
    </row>
    <row r="272" spans="2:6" hidden="1" x14ac:dyDescent="0.25">
      <c r="B272" s="51">
        <f>YEAR(BDRIOSJ[[#This Row],[FECHA]])</f>
        <v>2023</v>
      </c>
      <c r="C272" s="51">
        <f>MONTH(BDRIOSJ[[#This Row],[FECHA]])</f>
        <v>3</v>
      </c>
      <c r="D272" s="50" t="s">
        <v>181</v>
      </c>
      <c r="E272" s="49" t="s">
        <v>113</v>
      </c>
      <c r="F272" s="65">
        <v>30.245000000000001</v>
      </c>
    </row>
    <row r="273" spans="2:6" hidden="1" x14ac:dyDescent="0.25">
      <c r="B273" s="51">
        <f>YEAR(BDRIOSJ[[#This Row],[FECHA]])</f>
        <v>2023</v>
      </c>
      <c r="C273" s="51">
        <f>MONTH(BDRIOSJ[[#This Row],[FECHA]])</f>
        <v>3</v>
      </c>
      <c r="D273" s="50" t="s">
        <v>181</v>
      </c>
      <c r="E273" s="49" t="s">
        <v>111</v>
      </c>
      <c r="F273" s="65">
        <v>30.245000000000001</v>
      </c>
    </row>
    <row r="274" spans="2:6" hidden="1" x14ac:dyDescent="0.25">
      <c r="B274" s="51">
        <f>YEAR(BDRIOSJ[[#This Row],[FECHA]])</f>
        <v>2023</v>
      </c>
      <c r="C274" s="51">
        <f>MONTH(BDRIOSJ[[#This Row],[FECHA]])</f>
        <v>3</v>
      </c>
      <c r="D274" s="50" t="s">
        <v>182</v>
      </c>
      <c r="E274" s="49" t="s">
        <v>115</v>
      </c>
      <c r="F274" s="65">
        <v>31.959099999999999</v>
      </c>
    </row>
    <row r="275" spans="2:6" hidden="1" x14ac:dyDescent="0.25">
      <c r="B275" s="51">
        <f>YEAR(BDRIOSJ[[#This Row],[FECHA]])</f>
        <v>2023</v>
      </c>
      <c r="C275" s="51">
        <f>MONTH(BDRIOSJ[[#This Row],[FECHA]])</f>
        <v>3</v>
      </c>
      <c r="D275" s="50" t="s">
        <v>182</v>
      </c>
      <c r="E275" s="49" t="s">
        <v>114</v>
      </c>
      <c r="F275" s="65">
        <v>31.959099999999999</v>
      </c>
    </row>
    <row r="276" spans="2:6" hidden="1" x14ac:dyDescent="0.25">
      <c r="B276" s="51">
        <f>YEAR(BDRIOSJ[[#This Row],[FECHA]])</f>
        <v>2023</v>
      </c>
      <c r="C276" s="51">
        <f>MONTH(BDRIOSJ[[#This Row],[FECHA]])</f>
        <v>3</v>
      </c>
      <c r="D276" s="50" t="s">
        <v>182</v>
      </c>
      <c r="E276" s="49" t="s">
        <v>113</v>
      </c>
      <c r="F276" s="65">
        <v>31.959099999999999</v>
      </c>
    </row>
    <row r="277" spans="2:6" hidden="1" x14ac:dyDescent="0.25">
      <c r="B277" s="51">
        <f>YEAR(BDRIOSJ[[#This Row],[FECHA]])</f>
        <v>2023</v>
      </c>
      <c r="C277" s="51">
        <f>MONTH(BDRIOSJ[[#This Row],[FECHA]])</f>
        <v>3</v>
      </c>
      <c r="D277" s="50" t="s">
        <v>182</v>
      </c>
      <c r="E277" s="49" t="s">
        <v>111</v>
      </c>
      <c r="F277" s="65">
        <v>31.959099999999999</v>
      </c>
    </row>
    <row r="278" spans="2:6" hidden="1" x14ac:dyDescent="0.25">
      <c r="B278" s="51">
        <f>YEAR(BDRIOSJ[[#This Row],[FECHA]])</f>
        <v>2023</v>
      </c>
      <c r="C278" s="51">
        <f>MONTH(BDRIOSJ[[#This Row],[FECHA]])</f>
        <v>3</v>
      </c>
      <c r="D278" s="50" t="s">
        <v>183</v>
      </c>
      <c r="E278" s="49" t="s">
        <v>115</v>
      </c>
      <c r="F278" s="65">
        <v>31.959099999999999</v>
      </c>
    </row>
    <row r="279" spans="2:6" hidden="1" x14ac:dyDescent="0.25">
      <c r="B279" s="51">
        <f>YEAR(BDRIOSJ[[#This Row],[FECHA]])</f>
        <v>2023</v>
      </c>
      <c r="C279" s="51">
        <f>MONTH(BDRIOSJ[[#This Row],[FECHA]])</f>
        <v>3</v>
      </c>
      <c r="D279" s="50" t="s">
        <v>183</v>
      </c>
      <c r="E279" s="49" t="s">
        <v>114</v>
      </c>
      <c r="F279" s="65">
        <v>31.959099999999999</v>
      </c>
    </row>
    <row r="280" spans="2:6" hidden="1" x14ac:dyDescent="0.25">
      <c r="B280" s="51">
        <f>YEAR(BDRIOSJ[[#This Row],[FECHA]])</f>
        <v>2023</v>
      </c>
      <c r="C280" s="51">
        <f>MONTH(BDRIOSJ[[#This Row],[FECHA]])</f>
        <v>3</v>
      </c>
      <c r="D280" s="50" t="s">
        <v>183</v>
      </c>
      <c r="E280" s="49" t="s">
        <v>113</v>
      </c>
      <c r="F280" s="65">
        <v>31.959099999999999</v>
      </c>
    </row>
    <row r="281" spans="2:6" hidden="1" x14ac:dyDescent="0.25">
      <c r="B281" s="51">
        <f>YEAR(BDRIOSJ[[#This Row],[FECHA]])</f>
        <v>2023</v>
      </c>
      <c r="C281" s="51">
        <f>MONTH(BDRIOSJ[[#This Row],[FECHA]])</f>
        <v>3</v>
      </c>
      <c r="D281" s="50" t="s">
        <v>183</v>
      </c>
      <c r="E281" s="49" t="s">
        <v>111</v>
      </c>
      <c r="F281" s="65">
        <v>26.9451</v>
      </c>
    </row>
    <row r="282" spans="2:6" hidden="1" x14ac:dyDescent="0.25">
      <c r="B282" s="51">
        <f>YEAR(BDRIOSJ[[#This Row],[FECHA]])</f>
        <v>2023</v>
      </c>
      <c r="C282" s="51">
        <f>MONTH(BDRIOSJ[[#This Row],[FECHA]])</f>
        <v>3</v>
      </c>
      <c r="D282" s="50" t="s">
        <v>185</v>
      </c>
      <c r="E282" s="49" t="s">
        <v>186</v>
      </c>
      <c r="F282" s="65">
        <v>160.82560000000001</v>
      </c>
    </row>
    <row r="283" spans="2:6" hidden="1" x14ac:dyDescent="0.25">
      <c r="B283" s="51">
        <f>YEAR(BDRIOSJ[[#This Row],[FECHA]])</f>
        <v>2023</v>
      </c>
      <c r="C283" s="51">
        <f>MONTH(BDRIOSJ[[#This Row],[FECHA]])</f>
        <v>3</v>
      </c>
      <c r="D283" s="50" t="s">
        <v>185</v>
      </c>
      <c r="E283" s="49" t="s">
        <v>115</v>
      </c>
      <c r="F283" s="65">
        <v>72.664000000000001</v>
      </c>
    </row>
    <row r="284" spans="2:6" hidden="1" x14ac:dyDescent="0.25">
      <c r="B284" s="51">
        <f>YEAR(BDRIOSJ[[#This Row],[FECHA]])</f>
        <v>2023</v>
      </c>
      <c r="C284" s="51">
        <f>MONTH(BDRIOSJ[[#This Row],[FECHA]])</f>
        <v>3</v>
      </c>
      <c r="D284" s="50" t="s">
        <v>185</v>
      </c>
      <c r="E284" s="49" t="s">
        <v>114</v>
      </c>
      <c r="F284" s="65">
        <v>72.664000000000001</v>
      </c>
    </row>
    <row r="285" spans="2:6" hidden="1" x14ac:dyDescent="0.25">
      <c r="B285" s="51">
        <f>YEAR(BDRIOSJ[[#This Row],[FECHA]])</f>
        <v>2023</v>
      </c>
      <c r="C285" s="51">
        <f>MONTH(BDRIOSJ[[#This Row],[FECHA]])</f>
        <v>3</v>
      </c>
      <c r="D285" s="50" t="s">
        <v>185</v>
      </c>
      <c r="E285" s="49" t="s">
        <v>113</v>
      </c>
      <c r="F285" s="65">
        <v>77.847899999999996</v>
      </c>
    </row>
    <row r="286" spans="2:6" hidden="1" x14ac:dyDescent="0.25">
      <c r="B286" s="51">
        <f>YEAR(BDRIOSJ[[#This Row],[FECHA]])</f>
        <v>2023</v>
      </c>
      <c r="C286" s="51">
        <f>MONTH(BDRIOSJ[[#This Row],[FECHA]])</f>
        <v>3</v>
      </c>
      <c r="D286" s="50" t="s">
        <v>185</v>
      </c>
      <c r="E286" s="49" t="s">
        <v>152</v>
      </c>
      <c r="F286" s="65">
        <v>77.847899999999996</v>
      </c>
    </row>
    <row r="287" spans="2:6" hidden="1" x14ac:dyDescent="0.25">
      <c r="B287" s="51">
        <f>YEAR(BDRIOSJ[[#This Row],[FECHA]])</f>
        <v>2023</v>
      </c>
      <c r="C287" s="51">
        <f>MONTH(BDRIOSJ[[#This Row],[FECHA]])</f>
        <v>3</v>
      </c>
      <c r="D287" s="50" t="s">
        <v>185</v>
      </c>
      <c r="E287" s="49" t="s">
        <v>184</v>
      </c>
      <c r="F287" s="65">
        <v>28.573599999999999</v>
      </c>
    </row>
    <row r="288" spans="2:6" hidden="1" x14ac:dyDescent="0.25">
      <c r="B288" s="51">
        <f>YEAR(BDRIOSJ[[#This Row],[FECHA]])</f>
        <v>2023</v>
      </c>
      <c r="C288" s="51">
        <f>MONTH(BDRIOSJ[[#This Row],[FECHA]])</f>
        <v>3</v>
      </c>
      <c r="D288" s="50" t="s">
        <v>187</v>
      </c>
      <c r="E288" s="49" t="s">
        <v>115</v>
      </c>
      <c r="F288" s="65">
        <v>55.869</v>
      </c>
    </row>
    <row r="289" spans="2:6" hidden="1" x14ac:dyDescent="0.25">
      <c r="B289" s="51">
        <f>YEAR(BDRIOSJ[[#This Row],[FECHA]])</f>
        <v>2023</v>
      </c>
      <c r="C289" s="51">
        <f>MONTH(BDRIOSJ[[#This Row],[FECHA]])</f>
        <v>3</v>
      </c>
      <c r="D289" s="50" t="s">
        <v>187</v>
      </c>
      <c r="E289" s="49" t="s">
        <v>114</v>
      </c>
      <c r="F289" s="65">
        <v>109.4212</v>
      </c>
    </row>
    <row r="290" spans="2:6" hidden="1" x14ac:dyDescent="0.25">
      <c r="B290" s="51">
        <f>YEAR(BDRIOSJ[[#This Row],[FECHA]])</f>
        <v>2023</v>
      </c>
      <c r="C290" s="51">
        <f>MONTH(BDRIOSJ[[#This Row],[FECHA]])</f>
        <v>3</v>
      </c>
      <c r="D290" s="50" t="s">
        <v>187</v>
      </c>
      <c r="E290" s="49" t="s">
        <v>113</v>
      </c>
      <c r="F290" s="65">
        <v>109.4212</v>
      </c>
    </row>
    <row r="291" spans="2:6" hidden="1" x14ac:dyDescent="0.25">
      <c r="B291" s="51">
        <f>YEAR(BDRIOSJ[[#This Row],[FECHA]])</f>
        <v>2023</v>
      </c>
      <c r="C291" s="51">
        <f>MONTH(BDRIOSJ[[#This Row],[FECHA]])</f>
        <v>3</v>
      </c>
      <c r="D291" s="50" t="s">
        <v>187</v>
      </c>
      <c r="E291" s="49" t="s">
        <v>111</v>
      </c>
      <c r="F291" s="65">
        <v>125.4855</v>
      </c>
    </row>
    <row r="292" spans="2:6" hidden="1" x14ac:dyDescent="0.25">
      <c r="B292" s="51">
        <f>YEAR(BDRIOSJ[[#This Row],[FECHA]])</f>
        <v>2023</v>
      </c>
      <c r="C292" s="51">
        <f>MONTH(BDRIOSJ[[#This Row],[FECHA]])</f>
        <v>3</v>
      </c>
      <c r="D292" s="50" t="s">
        <v>188</v>
      </c>
      <c r="E292" s="49" t="s">
        <v>115</v>
      </c>
      <c r="F292" s="65">
        <v>94.427400000000006</v>
      </c>
    </row>
    <row r="293" spans="2:6" hidden="1" x14ac:dyDescent="0.25">
      <c r="B293" s="51">
        <f>YEAR(BDRIOSJ[[#This Row],[FECHA]])</f>
        <v>2023</v>
      </c>
      <c r="C293" s="51">
        <f>MONTH(BDRIOSJ[[#This Row],[FECHA]])</f>
        <v>3</v>
      </c>
      <c r="D293" s="50" t="s">
        <v>188</v>
      </c>
      <c r="E293" s="49" t="s">
        <v>114</v>
      </c>
      <c r="F293" s="65">
        <v>94.427400000000006</v>
      </c>
    </row>
    <row r="294" spans="2:6" hidden="1" x14ac:dyDescent="0.25">
      <c r="B294" s="51">
        <f>YEAR(BDRIOSJ[[#This Row],[FECHA]])</f>
        <v>2023</v>
      </c>
      <c r="C294" s="51">
        <f>MONTH(BDRIOSJ[[#This Row],[FECHA]])</f>
        <v>3</v>
      </c>
      <c r="D294" s="50" t="s">
        <v>188</v>
      </c>
      <c r="E294" s="49" t="s">
        <v>113</v>
      </c>
      <c r="F294" s="65">
        <v>94.427400000000006</v>
      </c>
    </row>
    <row r="295" spans="2:6" hidden="1" x14ac:dyDescent="0.25">
      <c r="B295" s="51">
        <f>YEAR(BDRIOSJ[[#This Row],[FECHA]])</f>
        <v>2023</v>
      </c>
      <c r="C295" s="51">
        <f>MONTH(BDRIOSJ[[#This Row],[FECHA]])</f>
        <v>3</v>
      </c>
      <c r="D295" s="50" t="s">
        <v>188</v>
      </c>
      <c r="E295" s="49" t="s">
        <v>111</v>
      </c>
      <c r="F295" s="65">
        <v>45.157200000000003</v>
      </c>
    </row>
    <row r="296" spans="2:6" hidden="1" x14ac:dyDescent="0.25">
      <c r="B296" s="51">
        <f>YEAR(BDRIOSJ[[#This Row],[FECHA]])</f>
        <v>2023</v>
      </c>
      <c r="C296" s="51">
        <f>MONTH(BDRIOSJ[[#This Row],[FECHA]])</f>
        <v>3</v>
      </c>
      <c r="D296" s="50" t="s">
        <v>189</v>
      </c>
      <c r="E296" s="49" t="s">
        <v>115</v>
      </c>
      <c r="F296" s="65">
        <v>94.427400000000006</v>
      </c>
    </row>
    <row r="297" spans="2:6" hidden="1" x14ac:dyDescent="0.25">
      <c r="B297" s="51">
        <f>YEAR(BDRIOSJ[[#This Row],[FECHA]])</f>
        <v>2023</v>
      </c>
      <c r="C297" s="51">
        <f>MONTH(BDRIOSJ[[#This Row],[FECHA]])</f>
        <v>3</v>
      </c>
      <c r="D297" s="50" t="s">
        <v>189</v>
      </c>
      <c r="E297" s="49" t="s">
        <v>114</v>
      </c>
      <c r="F297" s="65">
        <v>94.427400000000006</v>
      </c>
    </row>
    <row r="298" spans="2:6" hidden="1" x14ac:dyDescent="0.25">
      <c r="B298" s="51">
        <f>YEAR(BDRIOSJ[[#This Row],[FECHA]])</f>
        <v>2023</v>
      </c>
      <c r="C298" s="51">
        <f>MONTH(BDRIOSJ[[#This Row],[FECHA]])</f>
        <v>3</v>
      </c>
      <c r="D298" s="50" t="s">
        <v>189</v>
      </c>
      <c r="E298" s="49" t="s">
        <v>113</v>
      </c>
      <c r="F298" s="65">
        <v>94.427400000000006</v>
      </c>
    </row>
    <row r="299" spans="2:6" hidden="1" x14ac:dyDescent="0.25">
      <c r="B299" s="51">
        <f>YEAR(BDRIOSJ[[#This Row],[FECHA]])</f>
        <v>2023</v>
      </c>
      <c r="C299" s="51">
        <f>MONTH(BDRIOSJ[[#This Row],[FECHA]])</f>
        <v>3</v>
      </c>
      <c r="D299" s="50" t="s">
        <v>189</v>
      </c>
      <c r="E299" s="49" t="s">
        <v>111</v>
      </c>
      <c r="F299" s="65">
        <v>94.427400000000006</v>
      </c>
    </row>
    <row r="300" spans="2:6" hidden="1" x14ac:dyDescent="0.25">
      <c r="B300" s="51">
        <f>YEAR(BDRIOSJ[[#This Row],[FECHA]])</f>
        <v>2023</v>
      </c>
      <c r="C300" s="51">
        <f>MONTH(BDRIOSJ[[#This Row],[FECHA]])</f>
        <v>3</v>
      </c>
      <c r="D300" s="50" t="s">
        <v>190</v>
      </c>
      <c r="E300" s="49" t="s">
        <v>115</v>
      </c>
      <c r="F300" s="65">
        <v>94.427400000000006</v>
      </c>
    </row>
    <row r="301" spans="2:6" hidden="1" x14ac:dyDescent="0.25">
      <c r="B301" s="51">
        <f>YEAR(BDRIOSJ[[#This Row],[FECHA]])</f>
        <v>2023</v>
      </c>
      <c r="C301" s="51">
        <f>MONTH(BDRIOSJ[[#This Row],[FECHA]])</f>
        <v>3</v>
      </c>
      <c r="D301" s="50" t="s">
        <v>190</v>
      </c>
      <c r="E301" s="49" t="s">
        <v>114</v>
      </c>
      <c r="F301" s="65">
        <v>94.427400000000006</v>
      </c>
    </row>
    <row r="302" spans="2:6" hidden="1" x14ac:dyDescent="0.25">
      <c r="B302" s="51">
        <f>YEAR(BDRIOSJ[[#This Row],[FECHA]])</f>
        <v>2023</v>
      </c>
      <c r="C302" s="51">
        <f>MONTH(BDRIOSJ[[#This Row],[FECHA]])</f>
        <v>3</v>
      </c>
      <c r="D302" s="50" t="s">
        <v>190</v>
      </c>
      <c r="E302" s="49" t="s">
        <v>113</v>
      </c>
      <c r="F302" s="65">
        <v>94.427400000000006</v>
      </c>
    </row>
    <row r="303" spans="2:6" hidden="1" x14ac:dyDescent="0.25">
      <c r="B303" s="51">
        <f>YEAR(BDRIOSJ[[#This Row],[FECHA]])</f>
        <v>2023</v>
      </c>
      <c r="C303" s="51">
        <f>MONTH(BDRIOSJ[[#This Row],[FECHA]])</f>
        <v>3</v>
      </c>
      <c r="D303" s="50" t="s">
        <v>190</v>
      </c>
      <c r="E303" s="49" t="s">
        <v>111</v>
      </c>
      <c r="F303" s="65">
        <v>94.427400000000006</v>
      </c>
    </row>
    <row r="304" spans="2:6" hidden="1" x14ac:dyDescent="0.25">
      <c r="B304" s="51">
        <f>YEAR(BDRIOSJ[[#This Row],[FECHA]])</f>
        <v>2023</v>
      </c>
      <c r="C304" s="51">
        <f>MONTH(BDRIOSJ[[#This Row],[FECHA]])</f>
        <v>3</v>
      </c>
      <c r="D304" s="50" t="s">
        <v>191</v>
      </c>
      <c r="E304" s="49" t="s">
        <v>115</v>
      </c>
      <c r="F304" s="65">
        <v>94.427400000000006</v>
      </c>
    </row>
    <row r="305" spans="2:6" hidden="1" x14ac:dyDescent="0.25">
      <c r="B305" s="51">
        <f>YEAR(BDRIOSJ[[#This Row],[FECHA]])</f>
        <v>2023</v>
      </c>
      <c r="C305" s="51">
        <f>MONTH(BDRIOSJ[[#This Row],[FECHA]])</f>
        <v>3</v>
      </c>
      <c r="D305" s="50" t="s">
        <v>191</v>
      </c>
      <c r="E305" s="49" t="s">
        <v>114</v>
      </c>
      <c r="F305" s="65">
        <v>94.427400000000006</v>
      </c>
    </row>
    <row r="306" spans="2:6" hidden="1" x14ac:dyDescent="0.25">
      <c r="B306" s="51">
        <f>YEAR(BDRIOSJ[[#This Row],[FECHA]])</f>
        <v>2023</v>
      </c>
      <c r="C306" s="51">
        <f>MONTH(BDRIOSJ[[#This Row],[FECHA]])</f>
        <v>3</v>
      </c>
      <c r="D306" s="50" t="s">
        <v>191</v>
      </c>
      <c r="E306" s="49" t="s">
        <v>113</v>
      </c>
      <c r="F306" s="65">
        <v>94.427400000000006</v>
      </c>
    </row>
    <row r="307" spans="2:6" hidden="1" x14ac:dyDescent="0.25">
      <c r="B307" s="51">
        <f>YEAR(BDRIOSJ[[#This Row],[FECHA]])</f>
        <v>2023</v>
      </c>
      <c r="C307" s="51">
        <f>MONTH(BDRIOSJ[[#This Row],[FECHA]])</f>
        <v>3</v>
      </c>
      <c r="D307" s="50" t="s">
        <v>191</v>
      </c>
      <c r="E307" s="49" t="s">
        <v>111</v>
      </c>
      <c r="F307" s="65">
        <v>94.427400000000006</v>
      </c>
    </row>
    <row r="308" spans="2:6" hidden="1" x14ac:dyDescent="0.25">
      <c r="B308" s="51">
        <f>YEAR(BDRIOSJ[[#This Row],[FECHA]])</f>
        <v>2023</v>
      </c>
      <c r="C308" s="51">
        <f>MONTH(BDRIOSJ[[#This Row],[FECHA]])</f>
        <v>3</v>
      </c>
      <c r="D308" s="50" t="s">
        <v>192</v>
      </c>
      <c r="E308" s="49" t="s">
        <v>115</v>
      </c>
      <c r="F308" s="65">
        <v>67.651300000000006</v>
      </c>
    </row>
    <row r="309" spans="2:6" hidden="1" x14ac:dyDescent="0.25">
      <c r="B309" s="51">
        <f>YEAR(BDRIOSJ[[#This Row],[FECHA]])</f>
        <v>2023</v>
      </c>
      <c r="C309" s="51">
        <f>MONTH(BDRIOSJ[[#This Row],[FECHA]])</f>
        <v>3</v>
      </c>
      <c r="D309" s="50" t="s">
        <v>192</v>
      </c>
      <c r="E309" s="49" t="s">
        <v>114</v>
      </c>
      <c r="F309" s="65">
        <v>67.651300000000006</v>
      </c>
    </row>
    <row r="310" spans="2:6" hidden="1" x14ac:dyDescent="0.25">
      <c r="B310" s="51">
        <f>YEAR(BDRIOSJ[[#This Row],[FECHA]])</f>
        <v>2023</v>
      </c>
      <c r="C310" s="51">
        <f>MONTH(BDRIOSJ[[#This Row],[FECHA]])</f>
        <v>3</v>
      </c>
      <c r="D310" s="50" t="s">
        <v>192</v>
      </c>
      <c r="E310" s="49" t="s">
        <v>113</v>
      </c>
      <c r="F310" s="65">
        <v>67.651300000000006</v>
      </c>
    </row>
    <row r="311" spans="2:6" hidden="1" x14ac:dyDescent="0.25">
      <c r="B311" s="51">
        <f>YEAR(BDRIOSJ[[#This Row],[FECHA]])</f>
        <v>2023</v>
      </c>
      <c r="C311" s="51">
        <f>MONTH(BDRIOSJ[[#This Row],[FECHA]])</f>
        <v>3</v>
      </c>
      <c r="D311" s="50" t="s">
        <v>192</v>
      </c>
      <c r="E311" s="49" t="s">
        <v>111</v>
      </c>
      <c r="F311" s="65">
        <v>67.651300000000006</v>
      </c>
    </row>
    <row r="312" spans="2:6" hidden="1" x14ac:dyDescent="0.25">
      <c r="B312" s="51">
        <f>YEAR(BDRIOSJ[[#This Row],[FECHA]])</f>
        <v>2023</v>
      </c>
      <c r="C312" s="51">
        <f>MONTH(BDRIOSJ[[#This Row],[FECHA]])</f>
        <v>3</v>
      </c>
      <c r="D312" s="50" t="s">
        <v>193</v>
      </c>
      <c r="E312" s="49" t="s">
        <v>115</v>
      </c>
      <c r="F312" s="65">
        <v>41.172199999999997</v>
      </c>
    </row>
    <row r="313" spans="2:6" hidden="1" x14ac:dyDescent="0.25">
      <c r="B313" s="51">
        <f>YEAR(BDRIOSJ[[#This Row],[FECHA]])</f>
        <v>2023</v>
      </c>
      <c r="C313" s="51">
        <f>MONTH(BDRIOSJ[[#This Row],[FECHA]])</f>
        <v>3</v>
      </c>
      <c r="D313" s="50" t="s">
        <v>193</v>
      </c>
      <c r="E313" s="49" t="s">
        <v>114</v>
      </c>
      <c r="F313" s="65">
        <v>41.172199999999997</v>
      </c>
    </row>
    <row r="314" spans="2:6" hidden="1" x14ac:dyDescent="0.25">
      <c r="B314" s="51">
        <f>YEAR(BDRIOSJ[[#This Row],[FECHA]])</f>
        <v>2023</v>
      </c>
      <c r="C314" s="51">
        <f>MONTH(BDRIOSJ[[#This Row],[FECHA]])</f>
        <v>3</v>
      </c>
      <c r="D314" s="50" t="s">
        <v>193</v>
      </c>
      <c r="E314" s="49" t="s">
        <v>113</v>
      </c>
      <c r="F314" s="65">
        <v>41.172199999999997</v>
      </c>
    </row>
    <row r="315" spans="2:6" hidden="1" x14ac:dyDescent="0.25">
      <c r="B315" s="51">
        <f>YEAR(BDRIOSJ[[#This Row],[FECHA]])</f>
        <v>2023</v>
      </c>
      <c r="C315" s="51">
        <f>MONTH(BDRIOSJ[[#This Row],[FECHA]])</f>
        <v>3</v>
      </c>
      <c r="D315" s="50" t="s">
        <v>193</v>
      </c>
      <c r="E315" s="49" t="s">
        <v>111</v>
      </c>
      <c r="F315" s="65">
        <v>41.172199999999997</v>
      </c>
    </row>
    <row r="316" spans="2:6" hidden="1" x14ac:dyDescent="0.25">
      <c r="B316" s="51">
        <f>YEAR(BDRIOSJ[[#This Row],[FECHA]])</f>
        <v>2023</v>
      </c>
      <c r="C316" s="51">
        <f>MONTH(BDRIOSJ[[#This Row],[FECHA]])</f>
        <v>3</v>
      </c>
      <c r="D316" s="50" t="s">
        <v>194</v>
      </c>
      <c r="E316" s="49" t="s">
        <v>115</v>
      </c>
      <c r="F316" s="65">
        <v>37.358499999999999</v>
      </c>
    </row>
    <row r="317" spans="2:6" hidden="1" x14ac:dyDescent="0.25">
      <c r="B317" s="51">
        <f>YEAR(BDRIOSJ[[#This Row],[FECHA]])</f>
        <v>2023</v>
      </c>
      <c r="C317" s="51">
        <f>MONTH(BDRIOSJ[[#This Row],[FECHA]])</f>
        <v>3</v>
      </c>
      <c r="D317" s="50" t="s">
        <v>194</v>
      </c>
      <c r="E317" s="49" t="s">
        <v>114</v>
      </c>
      <c r="F317" s="65">
        <v>37.358499999999999</v>
      </c>
    </row>
    <row r="318" spans="2:6" hidden="1" x14ac:dyDescent="0.25">
      <c r="B318" s="51">
        <f>YEAR(BDRIOSJ[[#This Row],[FECHA]])</f>
        <v>2023</v>
      </c>
      <c r="C318" s="51">
        <f>MONTH(BDRIOSJ[[#This Row],[FECHA]])</f>
        <v>3</v>
      </c>
      <c r="D318" s="50" t="s">
        <v>194</v>
      </c>
      <c r="E318" s="49" t="s">
        <v>113</v>
      </c>
      <c r="F318" s="65">
        <v>37.358499999999999</v>
      </c>
    </row>
    <row r="319" spans="2:6" hidden="1" x14ac:dyDescent="0.25">
      <c r="B319" s="51">
        <f>YEAR(BDRIOSJ[[#This Row],[FECHA]])</f>
        <v>2023</v>
      </c>
      <c r="C319" s="51">
        <f>MONTH(BDRIOSJ[[#This Row],[FECHA]])</f>
        <v>3</v>
      </c>
      <c r="D319" s="50" t="s">
        <v>194</v>
      </c>
      <c r="E319" s="49" t="s">
        <v>111</v>
      </c>
      <c r="F319" s="65">
        <v>37.358499999999999</v>
      </c>
    </row>
    <row r="320" spans="2:6" hidden="1" x14ac:dyDescent="0.25">
      <c r="B320" s="51">
        <f>YEAR(BDRIOSJ[[#This Row],[FECHA]])</f>
        <v>2023</v>
      </c>
      <c r="C320" s="51">
        <f>MONTH(BDRIOSJ[[#This Row],[FECHA]])</f>
        <v>3</v>
      </c>
      <c r="D320" s="50" t="s">
        <v>195</v>
      </c>
      <c r="E320" s="49" t="s">
        <v>115</v>
      </c>
      <c r="F320" s="65">
        <v>35.515900000000002</v>
      </c>
    </row>
    <row r="321" spans="2:6" hidden="1" x14ac:dyDescent="0.25">
      <c r="B321" s="51">
        <f>YEAR(BDRIOSJ[[#This Row],[FECHA]])</f>
        <v>2023</v>
      </c>
      <c r="C321" s="51">
        <f>MONTH(BDRIOSJ[[#This Row],[FECHA]])</f>
        <v>3</v>
      </c>
      <c r="D321" s="50" t="s">
        <v>195</v>
      </c>
      <c r="E321" s="49" t="s">
        <v>114</v>
      </c>
      <c r="F321" s="65">
        <v>35.515900000000002</v>
      </c>
    </row>
    <row r="322" spans="2:6" hidden="1" x14ac:dyDescent="0.25">
      <c r="B322" s="51">
        <f>YEAR(BDRIOSJ[[#This Row],[FECHA]])</f>
        <v>2023</v>
      </c>
      <c r="C322" s="51">
        <f>MONTH(BDRIOSJ[[#This Row],[FECHA]])</f>
        <v>3</v>
      </c>
      <c r="D322" s="50" t="s">
        <v>195</v>
      </c>
      <c r="E322" s="49" t="s">
        <v>113</v>
      </c>
      <c r="F322" s="65">
        <v>35.515900000000002</v>
      </c>
    </row>
    <row r="323" spans="2:6" hidden="1" x14ac:dyDescent="0.25">
      <c r="B323" s="51">
        <f>YEAR(BDRIOSJ[[#This Row],[FECHA]])</f>
        <v>2023</v>
      </c>
      <c r="C323" s="51">
        <f>MONTH(BDRIOSJ[[#This Row],[FECHA]])</f>
        <v>3</v>
      </c>
      <c r="D323" s="50" t="s">
        <v>195</v>
      </c>
      <c r="E323" s="49" t="s">
        <v>111</v>
      </c>
      <c r="F323" s="65">
        <v>35.515900000000002</v>
      </c>
    </row>
    <row r="324" spans="2:6" hidden="1" x14ac:dyDescent="0.25">
      <c r="B324" s="51">
        <f>YEAR(BDRIOSJ[[#This Row],[FECHA]])</f>
        <v>2023</v>
      </c>
      <c r="C324" s="51">
        <f>MONTH(BDRIOSJ[[#This Row],[FECHA]])</f>
        <v>3</v>
      </c>
      <c r="D324" s="50" t="s">
        <v>196</v>
      </c>
      <c r="E324" s="49" t="s">
        <v>115</v>
      </c>
      <c r="F324" s="65">
        <v>31.959099999999999</v>
      </c>
    </row>
    <row r="325" spans="2:6" hidden="1" x14ac:dyDescent="0.25">
      <c r="B325" s="51">
        <f>YEAR(BDRIOSJ[[#This Row],[FECHA]])</f>
        <v>2023</v>
      </c>
      <c r="C325" s="51">
        <f>MONTH(BDRIOSJ[[#This Row],[FECHA]])</f>
        <v>3</v>
      </c>
      <c r="D325" s="50" t="s">
        <v>196</v>
      </c>
      <c r="E325" s="49" t="s">
        <v>114</v>
      </c>
      <c r="F325" s="65">
        <v>31.959099999999999</v>
      </c>
    </row>
    <row r="326" spans="2:6" hidden="1" x14ac:dyDescent="0.25">
      <c r="B326" s="51">
        <f>YEAR(BDRIOSJ[[#This Row],[FECHA]])</f>
        <v>2023</v>
      </c>
      <c r="C326" s="51">
        <f>MONTH(BDRIOSJ[[#This Row],[FECHA]])</f>
        <v>3</v>
      </c>
      <c r="D326" s="50" t="s">
        <v>196</v>
      </c>
      <c r="E326" s="49" t="s">
        <v>113</v>
      </c>
      <c r="F326" s="65">
        <v>31.959099999999999</v>
      </c>
    </row>
    <row r="327" spans="2:6" hidden="1" x14ac:dyDescent="0.25">
      <c r="B327" s="51">
        <f>YEAR(BDRIOSJ[[#This Row],[FECHA]])</f>
        <v>2023</v>
      </c>
      <c r="C327" s="51">
        <f>MONTH(BDRIOSJ[[#This Row],[FECHA]])</f>
        <v>3</v>
      </c>
      <c r="D327" s="50" t="s">
        <v>196</v>
      </c>
      <c r="E327" s="49" t="s">
        <v>111</v>
      </c>
      <c r="F327" s="65">
        <v>31.959099999999999</v>
      </c>
    </row>
    <row r="328" spans="2:6" hidden="1" x14ac:dyDescent="0.25">
      <c r="B328" s="51">
        <f>YEAR(BDRIOSJ[[#This Row],[FECHA]])</f>
        <v>2023</v>
      </c>
      <c r="C328" s="51">
        <f>MONTH(BDRIOSJ[[#This Row],[FECHA]])</f>
        <v>3</v>
      </c>
      <c r="D328" s="50" t="s">
        <v>197</v>
      </c>
      <c r="E328" s="49" t="s">
        <v>115</v>
      </c>
      <c r="F328" s="65">
        <v>55.869</v>
      </c>
    </row>
    <row r="329" spans="2:6" hidden="1" x14ac:dyDescent="0.25">
      <c r="B329" s="51">
        <f>YEAR(BDRIOSJ[[#This Row],[FECHA]])</f>
        <v>2023</v>
      </c>
      <c r="C329" s="51">
        <f>MONTH(BDRIOSJ[[#This Row],[FECHA]])</f>
        <v>3</v>
      </c>
      <c r="D329" s="50" t="s">
        <v>197</v>
      </c>
      <c r="E329" s="49" t="s">
        <v>114</v>
      </c>
      <c r="F329" s="65">
        <v>55.869</v>
      </c>
    </row>
    <row r="330" spans="2:6" hidden="1" x14ac:dyDescent="0.25">
      <c r="B330" s="51">
        <f>YEAR(BDRIOSJ[[#This Row],[FECHA]])</f>
        <v>2023</v>
      </c>
      <c r="C330" s="51">
        <f>MONTH(BDRIOSJ[[#This Row],[FECHA]])</f>
        <v>3</v>
      </c>
      <c r="D330" s="50" t="s">
        <v>197</v>
      </c>
      <c r="E330" s="49" t="s">
        <v>113</v>
      </c>
      <c r="F330" s="65">
        <v>51.455800000000004</v>
      </c>
    </row>
    <row r="331" spans="2:6" hidden="1" x14ac:dyDescent="0.25">
      <c r="B331" s="51">
        <f>YEAR(BDRIOSJ[[#This Row],[FECHA]])</f>
        <v>2023</v>
      </c>
      <c r="C331" s="51">
        <f>MONTH(BDRIOSJ[[#This Row],[FECHA]])</f>
        <v>3</v>
      </c>
      <c r="D331" s="50" t="s">
        <v>197</v>
      </c>
      <c r="E331" s="49" t="s">
        <v>111</v>
      </c>
      <c r="F331" s="65">
        <v>55.869</v>
      </c>
    </row>
    <row r="332" spans="2:6" hidden="1" x14ac:dyDescent="0.25">
      <c r="B332" s="51">
        <f>YEAR(BDRIOSJ[[#This Row],[FECHA]])</f>
        <v>2023</v>
      </c>
      <c r="C332" s="51">
        <f>MONTH(BDRIOSJ[[#This Row],[FECHA]])</f>
        <v>3</v>
      </c>
      <c r="D332" s="50" t="s">
        <v>198</v>
      </c>
      <c r="E332" s="49" t="s">
        <v>115</v>
      </c>
      <c r="F332" s="65">
        <v>62.809899999999999</v>
      </c>
    </row>
    <row r="333" spans="2:6" hidden="1" x14ac:dyDescent="0.25">
      <c r="B333" s="51">
        <f>YEAR(BDRIOSJ[[#This Row],[FECHA]])</f>
        <v>2023</v>
      </c>
      <c r="C333" s="51">
        <f>MONTH(BDRIOSJ[[#This Row],[FECHA]])</f>
        <v>3</v>
      </c>
      <c r="D333" s="50" t="s">
        <v>198</v>
      </c>
      <c r="E333" s="49" t="s">
        <v>114</v>
      </c>
      <c r="F333" s="65">
        <v>62.809899999999999</v>
      </c>
    </row>
    <row r="334" spans="2:6" hidden="1" x14ac:dyDescent="0.25">
      <c r="B334" s="51">
        <f>YEAR(BDRIOSJ[[#This Row],[FECHA]])</f>
        <v>2023</v>
      </c>
      <c r="C334" s="51">
        <f>MONTH(BDRIOSJ[[#This Row],[FECHA]])</f>
        <v>3</v>
      </c>
      <c r="D334" s="50" t="s">
        <v>198</v>
      </c>
      <c r="E334" s="49" t="s">
        <v>113</v>
      </c>
      <c r="F334" s="65">
        <v>67.651300000000006</v>
      </c>
    </row>
    <row r="335" spans="2:6" hidden="1" x14ac:dyDescent="0.25">
      <c r="B335" s="51">
        <f>YEAR(BDRIOSJ[[#This Row],[FECHA]])</f>
        <v>2023</v>
      </c>
      <c r="C335" s="51">
        <f>MONTH(BDRIOSJ[[#This Row],[FECHA]])</f>
        <v>3</v>
      </c>
      <c r="D335" s="50" t="s">
        <v>198</v>
      </c>
      <c r="E335" s="49" t="s">
        <v>111</v>
      </c>
      <c r="F335" s="65">
        <v>67.651300000000006</v>
      </c>
    </row>
    <row r="336" spans="2:6" hidden="1" x14ac:dyDescent="0.25">
      <c r="B336" s="51">
        <f>YEAR(BDRIOSJ[[#This Row],[FECHA]])</f>
        <v>2023</v>
      </c>
      <c r="C336" s="51">
        <f>MONTH(BDRIOSJ[[#This Row],[FECHA]])</f>
        <v>3</v>
      </c>
      <c r="D336" s="50" t="s">
        <v>199</v>
      </c>
      <c r="E336" s="49" t="s">
        <v>115</v>
      </c>
      <c r="F336" s="65">
        <v>51.455800000000004</v>
      </c>
    </row>
    <row r="337" spans="2:6" hidden="1" x14ac:dyDescent="0.25">
      <c r="B337" s="51">
        <f>YEAR(BDRIOSJ[[#This Row],[FECHA]])</f>
        <v>2023</v>
      </c>
      <c r="C337" s="51">
        <f>MONTH(BDRIOSJ[[#This Row],[FECHA]])</f>
        <v>3</v>
      </c>
      <c r="D337" s="50" t="s">
        <v>199</v>
      </c>
      <c r="E337" s="49" t="s">
        <v>114</v>
      </c>
      <c r="F337" s="65">
        <v>51.455800000000004</v>
      </c>
    </row>
    <row r="338" spans="2:6" hidden="1" x14ac:dyDescent="0.25">
      <c r="B338" s="51">
        <f>YEAR(BDRIOSJ[[#This Row],[FECHA]])</f>
        <v>2023</v>
      </c>
      <c r="C338" s="51">
        <f>MONTH(BDRIOSJ[[#This Row],[FECHA]])</f>
        <v>3</v>
      </c>
      <c r="D338" s="50" t="s">
        <v>199</v>
      </c>
      <c r="E338" s="49" t="s">
        <v>113</v>
      </c>
      <c r="F338" s="65">
        <v>55.869</v>
      </c>
    </row>
    <row r="339" spans="2:6" hidden="1" x14ac:dyDescent="0.25">
      <c r="B339" s="51">
        <f>YEAR(BDRIOSJ[[#This Row],[FECHA]])</f>
        <v>2023</v>
      </c>
      <c r="C339" s="51">
        <f>MONTH(BDRIOSJ[[#This Row],[FECHA]])</f>
        <v>3</v>
      </c>
      <c r="D339" s="50" t="s">
        <v>199</v>
      </c>
      <c r="E339" s="49" t="s">
        <v>111</v>
      </c>
      <c r="F339" s="65">
        <v>55.869</v>
      </c>
    </row>
    <row r="340" spans="2:6" hidden="1" x14ac:dyDescent="0.25">
      <c r="B340" s="51">
        <f>YEAR(BDRIOSJ[[#This Row],[FECHA]])</f>
        <v>2023</v>
      </c>
      <c r="C340" s="51">
        <f>MONTH(BDRIOSJ[[#This Row],[FECHA]])</f>
        <v>3</v>
      </c>
      <c r="D340" s="50" t="s">
        <v>200</v>
      </c>
      <c r="E340" s="49" t="s">
        <v>115</v>
      </c>
      <c r="F340" s="65">
        <v>45.157200000000003</v>
      </c>
    </row>
    <row r="341" spans="2:6" hidden="1" x14ac:dyDescent="0.25">
      <c r="B341" s="51">
        <f>YEAR(BDRIOSJ[[#This Row],[FECHA]])</f>
        <v>2023</v>
      </c>
      <c r="C341" s="51">
        <f>MONTH(BDRIOSJ[[#This Row],[FECHA]])</f>
        <v>3</v>
      </c>
      <c r="D341" s="50" t="s">
        <v>200</v>
      </c>
      <c r="E341" s="49" t="s">
        <v>114</v>
      </c>
      <c r="F341" s="65">
        <v>45.157200000000003</v>
      </c>
    </row>
    <row r="342" spans="2:6" hidden="1" x14ac:dyDescent="0.25">
      <c r="B342" s="51">
        <f>YEAR(BDRIOSJ[[#This Row],[FECHA]])</f>
        <v>2023</v>
      </c>
      <c r="C342" s="51">
        <f>MONTH(BDRIOSJ[[#This Row],[FECHA]])</f>
        <v>3</v>
      </c>
      <c r="D342" s="50" t="s">
        <v>200</v>
      </c>
      <c r="E342" s="49" t="s">
        <v>113</v>
      </c>
      <c r="F342" s="65">
        <v>45.157200000000003</v>
      </c>
    </row>
    <row r="343" spans="2:6" hidden="1" x14ac:dyDescent="0.25">
      <c r="B343" s="51">
        <f>YEAR(BDRIOSJ[[#This Row],[FECHA]])</f>
        <v>2023</v>
      </c>
      <c r="C343" s="51">
        <f>MONTH(BDRIOSJ[[#This Row],[FECHA]])</f>
        <v>3</v>
      </c>
      <c r="D343" s="50" t="s">
        <v>200</v>
      </c>
      <c r="E343" s="49" t="s">
        <v>111</v>
      </c>
      <c r="F343" s="65">
        <v>45.157200000000003</v>
      </c>
    </row>
    <row r="344" spans="2:6" hidden="1" x14ac:dyDescent="0.25">
      <c r="B344" s="51">
        <f>YEAR(BDRIOSJ[[#This Row],[FECHA]])</f>
        <v>2023</v>
      </c>
      <c r="C344" s="51">
        <f>MONTH(BDRIOSJ[[#This Row],[FECHA]])</f>
        <v>3</v>
      </c>
      <c r="D344" s="50" t="s">
        <v>201</v>
      </c>
      <c r="E344" s="49" t="s">
        <v>115</v>
      </c>
      <c r="F344" s="65">
        <v>41.172199999999997</v>
      </c>
    </row>
    <row r="345" spans="2:6" hidden="1" x14ac:dyDescent="0.25">
      <c r="B345" s="51">
        <f>YEAR(BDRIOSJ[[#This Row],[FECHA]])</f>
        <v>2023</v>
      </c>
      <c r="C345" s="51">
        <f>MONTH(BDRIOSJ[[#This Row],[FECHA]])</f>
        <v>3</v>
      </c>
      <c r="D345" s="50" t="s">
        <v>201</v>
      </c>
      <c r="E345" s="49" t="s">
        <v>114</v>
      </c>
      <c r="F345" s="65">
        <v>41.172199999999997</v>
      </c>
    </row>
    <row r="346" spans="2:6" hidden="1" x14ac:dyDescent="0.25">
      <c r="B346" s="51">
        <f>YEAR(BDRIOSJ[[#This Row],[FECHA]])</f>
        <v>2023</v>
      </c>
      <c r="C346" s="51">
        <f>MONTH(BDRIOSJ[[#This Row],[FECHA]])</f>
        <v>3</v>
      </c>
      <c r="D346" s="50" t="s">
        <v>201</v>
      </c>
      <c r="E346" s="49" t="s">
        <v>113</v>
      </c>
      <c r="F346" s="65">
        <v>41.172199999999997</v>
      </c>
    </row>
    <row r="347" spans="2:6" hidden="1" x14ac:dyDescent="0.25">
      <c r="B347" s="51">
        <f>YEAR(BDRIOSJ[[#This Row],[FECHA]])</f>
        <v>2023</v>
      </c>
      <c r="C347" s="51">
        <f>MONTH(BDRIOSJ[[#This Row],[FECHA]])</f>
        <v>3</v>
      </c>
      <c r="D347" s="50" t="s">
        <v>201</v>
      </c>
      <c r="E347" s="49" t="s">
        <v>111</v>
      </c>
      <c r="F347" s="65">
        <v>41.172199999999997</v>
      </c>
    </row>
    <row r="348" spans="2:6" hidden="1" x14ac:dyDescent="0.25">
      <c r="B348" s="51">
        <f>YEAR(BDRIOSJ[[#This Row],[FECHA]])</f>
        <v>2023</v>
      </c>
      <c r="C348" s="51">
        <f>MONTH(BDRIOSJ[[#This Row],[FECHA]])</f>
        <v>3</v>
      </c>
      <c r="D348" s="50" t="s">
        <v>202</v>
      </c>
      <c r="E348" s="49" t="s">
        <v>115</v>
      </c>
      <c r="F348" s="65">
        <v>13.015000000000001</v>
      </c>
    </row>
    <row r="349" spans="2:6" hidden="1" x14ac:dyDescent="0.25">
      <c r="B349" s="51">
        <f>YEAR(BDRIOSJ[[#This Row],[FECHA]])</f>
        <v>2023</v>
      </c>
      <c r="C349" s="51">
        <f>MONTH(BDRIOSJ[[#This Row],[FECHA]])</f>
        <v>3</v>
      </c>
      <c r="D349" s="50" t="s">
        <v>202</v>
      </c>
      <c r="E349" s="49" t="s">
        <v>114</v>
      </c>
      <c r="F349" s="65">
        <v>16.744399999999999</v>
      </c>
    </row>
    <row r="350" spans="2:6" hidden="1" x14ac:dyDescent="0.25">
      <c r="B350" s="51">
        <f>YEAR(BDRIOSJ[[#This Row],[FECHA]])</f>
        <v>2023</v>
      </c>
      <c r="C350" s="51">
        <f>MONTH(BDRIOSJ[[#This Row],[FECHA]])</f>
        <v>3</v>
      </c>
      <c r="D350" s="50" t="s">
        <v>202</v>
      </c>
      <c r="E350" s="49" t="s">
        <v>113</v>
      </c>
      <c r="F350" s="65">
        <v>19.444800000000001</v>
      </c>
    </row>
    <row r="351" spans="2:6" hidden="1" x14ac:dyDescent="0.25">
      <c r="B351" s="51">
        <f>YEAR(BDRIOSJ[[#This Row],[FECHA]])</f>
        <v>2023</v>
      </c>
      <c r="C351" s="51">
        <f>MONTH(BDRIOSJ[[#This Row],[FECHA]])</f>
        <v>3</v>
      </c>
      <c r="D351" s="50" t="s">
        <v>202</v>
      </c>
      <c r="E351" s="49" t="s">
        <v>111</v>
      </c>
      <c r="F351" s="65">
        <v>26.9451</v>
      </c>
    </row>
    <row r="352" spans="2:6" hidden="1" x14ac:dyDescent="0.25">
      <c r="B352" s="51">
        <f>YEAR(BDRIOSJ[[#This Row],[FECHA]])</f>
        <v>2023</v>
      </c>
      <c r="C352" s="51">
        <f>MONTH(BDRIOSJ[[#This Row],[FECHA]])</f>
        <v>3</v>
      </c>
      <c r="D352" s="50" t="s">
        <v>203</v>
      </c>
      <c r="E352" s="49" t="s">
        <v>115</v>
      </c>
      <c r="F352" s="65">
        <v>9.6709999999999994</v>
      </c>
    </row>
    <row r="353" spans="2:6" hidden="1" x14ac:dyDescent="0.25">
      <c r="B353" s="51">
        <f>YEAR(BDRIOSJ[[#This Row],[FECHA]])</f>
        <v>2023</v>
      </c>
      <c r="C353" s="51">
        <f>MONTH(BDRIOSJ[[#This Row],[FECHA]])</f>
        <v>3</v>
      </c>
      <c r="D353" s="50" t="s">
        <v>203</v>
      </c>
      <c r="E353" s="49" t="s">
        <v>114</v>
      </c>
      <c r="F353" s="65">
        <v>9.6709999999999994</v>
      </c>
    </row>
    <row r="354" spans="2:6" hidden="1" x14ac:dyDescent="0.25">
      <c r="B354" s="51">
        <f>YEAR(BDRIOSJ[[#This Row],[FECHA]])</f>
        <v>2023</v>
      </c>
      <c r="C354" s="51">
        <f>MONTH(BDRIOSJ[[#This Row],[FECHA]])</f>
        <v>3</v>
      </c>
      <c r="D354" s="50" t="s">
        <v>203</v>
      </c>
      <c r="E354" s="49" t="s">
        <v>113</v>
      </c>
      <c r="F354" s="65">
        <v>9.6709999999999994</v>
      </c>
    </row>
    <row r="355" spans="2:6" hidden="1" x14ac:dyDescent="0.25">
      <c r="B355" s="51">
        <f>YEAR(BDRIOSJ[[#This Row],[FECHA]])</f>
        <v>2023</v>
      </c>
      <c r="C355" s="51">
        <f>MONTH(BDRIOSJ[[#This Row],[FECHA]])</f>
        <v>3</v>
      </c>
      <c r="D355" s="50" t="s">
        <v>203</v>
      </c>
      <c r="E355" s="49" t="s">
        <v>111</v>
      </c>
      <c r="F355" s="65">
        <v>9.6709999999999994</v>
      </c>
    </row>
    <row r="356" spans="2:6" hidden="1" x14ac:dyDescent="0.25">
      <c r="B356" s="51">
        <f>YEAR(BDRIOSJ[[#This Row],[FECHA]])</f>
        <v>2023</v>
      </c>
      <c r="C356" s="51">
        <f>MONTH(BDRIOSJ[[#This Row],[FECHA]])</f>
        <v>4</v>
      </c>
      <c r="D356" s="50" t="s">
        <v>204</v>
      </c>
      <c r="E356" s="49" t="s">
        <v>115</v>
      </c>
      <c r="F356" s="65">
        <v>13.015000000000001</v>
      </c>
    </row>
    <row r="357" spans="2:6" hidden="1" x14ac:dyDescent="0.25">
      <c r="B357" s="51">
        <f>YEAR(BDRIOSJ[[#This Row],[FECHA]])</f>
        <v>2023</v>
      </c>
      <c r="C357" s="51">
        <f>MONTH(BDRIOSJ[[#This Row],[FECHA]])</f>
        <v>4</v>
      </c>
      <c r="D357" s="50" t="s">
        <v>204</v>
      </c>
      <c r="E357" s="49" t="s">
        <v>114</v>
      </c>
      <c r="F357" s="65">
        <v>13.015000000000001</v>
      </c>
    </row>
    <row r="358" spans="2:6" hidden="1" x14ac:dyDescent="0.25">
      <c r="B358" s="51">
        <f>YEAR(BDRIOSJ[[#This Row],[FECHA]])</f>
        <v>2023</v>
      </c>
      <c r="C358" s="51">
        <f>MONTH(BDRIOSJ[[#This Row],[FECHA]])</f>
        <v>4</v>
      </c>
      <c r="D358" s="50" t="s">
        <v>204</v>
      </c>
      <c r="E358" s="49" t="s">
        <v>113</v>
      </c>
      <c r="F358" s="65">
        <v>13.015000000000001</v>
      </c>
    </row>
    <row r="359" spans="2:6" hidden="1" x14ac:dyDescent="0.25">
      <c r="B359" s="51">
        <f>YEAR(BDRIOSJ[[#This Row],[FECHA]])</f>
        <v>2023</v>
      </c>
      <c r="C359" s="51">
        <f>MONTH(BDRIOSJ[[#This Row],[FECHA]])</f>
        <v>4</v>
      </c>
      <c r="D359" s="50" t="s">
        <v>204</v>
      </c>
      <c r="E359" s="49" t="s">
        <v>111</v>
      </c>
      <c r="F359" s="65">
        <v>13.015000000000001</v>
      </c>
    </row>
    <row r="360" spans="2:6" hidden="1" x14ac:dyDescent="0.25">
      <c r="B360" s="51">
        <f>YEAR(BDRIOSJ[[#This Row],[FECHA]])</f>
        <v>2023</v>
      </c>
      <c r="C360" s="51">
        <f>MONTH(BDRIOSJ[[#This Row],[FECHA]])</f>
        <v>4</v>
      </c>
      <c r="D360" s="50" t="s">
        <v>205</v>
      </c>
      <c r="E360" s="49" t="s">
        <v>115</v>
      </c>
      <c r="F360" s="65">
        <v>16.744399999999999</v>
      </c>
    </row>
    <row r="361" spans="2:6" hidden="1" x14ac:dyDescent="0.25">
      <c r="B361" s="51">
        <f>YEAR(BDRIOSJ[[#This Row],[FECHA]])</f>
        <v>2023</v>
      </c>
      <c r="C361" s="51">
        <f>MONTH(BDRIOSJ[[#This Row],[FECHA]])</f>
        <v>4</v>
      </c>
      <c r="D361" s="50" t="s">
        <v>205</v>
      </c>
      <c r="E361" s="49" t="s">
        <v>114</v>
      </c>
      <c r="F361" s="65">
        <v>16.744399999999999</v>
      </c>
    </row>
    <row r="362" spans="2:6" hidden="1" x14ac:dyDescent="0.25">
      <c r="B362" s="51">
        <f>YEAR(BDRIOSJ[[#This Row],[FECHA]])</f>
        <v>2023</v>
      </c>
      <c r="C362" s="51">
        <f>MONTH(BDRIOSJ[[#This Row],[FECHA]])</f>
        <v>4</v>
      </c>
      <c r="D362" s="50" t="s">
        <v>205</v>
      </c>
      <c r="E362" s="49" t="s">
        <v>113</v>
      </c>
      <c r="F362" s="65">
        <v>16.744399999999999</v>
      </c>
    </row>
    <row r="363" spans="2:6" hidden="1" x14ac:dyDescent="0.25">
      <c r="B363" s="51">
        <f>YEAR(BDRIOSJ[[#This Row],[FECHA]])</f>
        <v>2023</v>
      </c>
      <c r="C363" s="51">
        <f>MONTH(BDRIOSJ[[#This Row],[FECHA]])</f>
        <v>4</v>
      </c>
      <c r="D363" s="50" t="s">
        <v>205</v>
      </c>
      <c r="E363" s="49" t="s">
        <v>111</v>
      </c>
      <c r="F363" s="65">
        <v>16.744399999999999</v>
      </c>
    </row>
    <row r="364" spans="2:6" hidden="1" x14ac:dyDescent="0.25">
      <c r="B364" s="51">
        <f>YEAR(BDRIOSJ[[#This Row],[FECHA]])</f>
        <v>2023</v>
      </c>
      <c r="C364" s="51">
        <f>MONTH(BDRIOSJ[[#This Row],[FECHA]])</f>
        <v>4</v>
      </c>
      <c r="D364" s="50" t="s">
        <v>206</v>
      </c>
      <c r="E364" s="49" t="s">
        <v>115</v>
      </c>
      <c r="F364" s="65">
        <v>19.444800000000001</v>
      </c>
    </row>
    <row r="365" spans="2:6" hidden="1" x14ac:dyDescent="0.25">
      <c r="B365" s="51">
        <f>YEAR(BDRIOSJ[[#This Row],[FECHA]])</f>
        <v>2023</v>
      </c>
      <c r="C365" s="51">
        <f>MONTH(BDRIOSJ[[#This Row],[FECHA]])</f>
        <v>4</v>
      </c>
      <c r="D365" s="50" t="s">
        <v>206</v>
      </c>
      <c r="E365" s="49" t="s">
        <v>114</v>
      </c>
      <c r="F365" s="65">
        <v>19.444800000000001</v>
      </c>
    </row>
    <row r="366" spans="2:6" hidden="1" x14ac:dyDescent="0.25">
      <c r="B366" s="51">
        <f>YEAR(BDRIOSJ[[#This Row],[FECHA]])</f>
        <v>2023</v>
      </c>
      <c r="C366" s="51">
        <f>MONTH(BDRIOSJ[[#This Row],[FECHA]])</f>
        <v>4</v>
      </c>
      <c r="D366" s="50" t="s">
        <v>206</v>
      </c>
      <c r="E366" s="49" t="s">
        <v>113</v>
      </c>
      <c r="F366" s="65">
        <v>19.444800000000001</v>
      </c>
    </row>
    <row r="367" spans="2:6" hidden="1" x14ac:dyDescent="0.25">
      <c r="B367" s="51">
        <f>YEAR(BDRIOSJ[[#This Row],[FECHA]])</f>
        <v>2023</v>
      </c>
      <c r="C367" s="51">
        <f>MONTH(BDRIOSJ[[#This Row],[FECHA]])</f>
        <v>4</v>
      </c>
      <c r="D367" s="50" t="s">
        <v>206</v>
      </c>
      <c r="E367" s="49" t="s">
        <v>111</v>
      </c>
      <c r="F367" s="65">
        <v>19.444800000000001</v>
      </c>
    </row>
    <row r="368" spans="2:6" hidden="1" x14ac:dyDescent="0.25">
      <c r="B368" s="51">
        <f>YEAR(BDRIOSJ[[#This Row],[FECHA]])</f>
        <v>2023</v>
      </c>
      <c r="C368" s="51">
        <f>MONTH(BDRIOSJ[[#This Row],[FECHA]])</f>
        <v>4</v>
      </c>
      <c r="D368" s="50" t="s">
        <v>207</v>
      </c>
      <c r="E368" s="49" t="s">
        <v>115</v>
      </c>
      <c r="F368" s="65">
        <v>18.0732</v>
      </c>
    </row>
    <row r="369" spans="2:6" hidden="1" x14ac:dyDescent="0.25">
      <c r="B369" s="51">
        <f>YEAR(BDRIOSJ[[#This Row],[FECHA]])</f>
        <v>2023</v>
      </c>
      <c r="C369" s="51">
        <f>MONTH(BDRIOSJ[[#This Row],[FECHA]])</f>
        <v>4</v>
      </c>
      <c r="D369" s="50" t="s">
        <v>207</v>
      </c>
      <c r="E369" s="49" t="s">
        <v>114</v>
      </c>
      <c r="F369" s="65">
        <v>18.0732</v>
      </c>
    </row>
    <row r="370" spans="2:6" hidden="1" x14ac:dyDescent="0.25">
      <c r="B370" s="51">
        <f>YEAR(BDRIOSJ[[#This Row],[FECHA]])</f>
        <v>2023</v>
      </c>
      <c r="C370" s="51">
        <f>MONTH(BDRIOSJ[[#This Row],[FECHA]])</f>
        <v>4</v>
      </c>
      <c r="D370" s="50" t="s">
        <v>207</v>
      </c>
      <c r="E370" s="49" t="s">
        <v>113</v>
      </c>
      <c r="F370" s="65">
        <v>18.0732</v>
      </c>
    </row>
    <row r="371" spans="2:6" hidden="1" x14ac:dyDescent="0.25">
      <c r="B371" s="51">
        <f>YEAR(BDRIOSJ[[#This Row],[FECHA]])</f>
        <v>2023</v>
      </c>
      <c r="C371" s="51">
        <f>MONTH(BDRIOSJ[[#This Row],[FECHA]])</f>
        <v>4</v>
      </c>
      <c r="D371" s="50" t="s">
        <v>207</v>
      </c>
      <c r="E371" s="49" t="s">
        <v>111</v>
      </c>
      <c r="F371" s="65">
        <v>19.444800000000001</v>
      </c>
    </row>
    <row r="372" spans="2:6" hidden="1" x14ac:dyDescent="0.25">
      <c r="B372" s="51">
        <f>YEAR(BDRIOSJ[[#This Row],[FECHA]])</f>
        <v>2023</v>
      </c>
      <c r="C372" s="51">
        <f>MONTH(BDRIOSJ[[#This Row],[FECHA]])</f>
        <v>4</v>
      </c>
      <c r="D372" s="50" t="s">
        <v>208</v>
      </c>
      <c r="E372" s="49" t="s">
        <v>115</v>
      </c>
      <c r="F372" s="65">
        <v>16.744399999999999</v>
      </c>
    </row>
    <row r="373" spans="2:6" hidden="1" x14ac:dyDescent="0.25">
      <c r="B373" s="51">
        <f>YEAR(BDRIOSJ[[#This Row],[FECHA]])</f>
        <v>2023</v>
      </c>
      <c r="C373" s="51">
        <f>MONTH(BDRIOSJ[[#This Row],[FECHA]])</f>
        <v>4</v>
      </c>
      <c r="D373" s="50" t="s">
        <v>208</v>
      </c>
      <c r="E373" s="49" t="s">
        <v>114</v>
      </c>
      <c r="F373" s="65">
        <v>16.744399999999999</v>
      </c>
    </row>
    <row r="374" spans="2:6" hidden="1" x14ac:dyDescent="0.25">
      <c r="B374" s="51">
        <f>YEAR(BDRIOSJ[[#This Row],[FECHA]])</f>
        <v>2023</v>
      </c>
      <c r="C374" s="51">
        <f>MONTH(BDRIOSJ[[#This Row],[FECHA]])</f>
        <v>4</v>
      </c>
      <c r="D374" s="50" t="s">
        <v>208</v>
      </c>
      <c r="E374" s="49" t="s">
        <v>113</v>
      </c>
      <c r="F374" s="65">
        <v>16.744399999999999</v>
      </c>
    </row>
    <row r="375" spans="2:6" hidden="1" x14ac:dyDescent="0.25">
      <c r="B375" s="51">
        <f>YEAR(BDRIOSJ[[#This Row],[FECHA]])</f>
        <v>2023</v>
      </c>
      <c r="C375" s="51">
        <f>MONTH(BDRIOSJ[[#This Row],[FECHA]])</f>
        <v>4</v>
      </c>
      <c r="D375" s="50" t="s">
        <v>208</v>
      </c>
      <c r="E375" s="49" t="s">
        <v>111</v>
      </c>
      <c r="F375" s="65">
        <v>16.744399999999999</v>
      </c>
    </row>
    <row r="376" spans="2:6" hidden="1" x14ac:dyDescent="0.25">
      <c r="B376" s="51">
        <f>YEAR(BDRIOSJ[[#This Row],[FECHA]])</f>
        <v>2023</v>
      </c>
      <c r="C376" s="51">
        <f>MONTH(BDRIOSJ[[#This Row],[FECHA]])</f>
        <v>4</v>
      </c>
      <c r="D376" s="50" t="s">
        <v>209</v>
      </c>
      <c r="E376" s="49" t="s">
        <v>115</v>
      </c>
      <c r="F376" s="65">
        <v>13.015000000000001</v>
      </c>
    </row>
    <row r="377" spans="2:6" hidden="1" x14ac:dyDescent="0.25">
      <c r="B377" s="51">
        <f>YEAR(BDRIOSJ[[#This Row],[FECHA]])</f>
        <v>2023</v>
      </c>
      <c r="C377" s="51">
        <f>MONTH(BDRIOSJ[[#This Row],[FECHA]])</f>
        <v>4</v>
      </c>
      <c r="D377" s="50" t="s">
        <v>209</v>
      </c>
      <c r="E377" s="49" t="s">
        <v>114</v>
      </c>
      <c r="F377" s="65">
        <v>13.015000000000001</v>
      </c>
    </row>
    <row r="378" spans="2:6" hidden="1" x14ac:dyDescent="0.25">
      <c r="B378" s="51">
        <f>YEAR(BDRIOSJ[[#This Row],[FECHA]])</f>
        <v>2023</v>
      </c>
      <c r="C378" s="51">
        <f>MONTH(BDRIOSJ[[#This Row],[FECHA]])</f>
        <v>4</v>
      </c>
      <c r="D378" s="50" t="s">
        <v>209</v>
      </c>
      <c r="E378" s="49" t="s">
        <v>113</v>
      </c>
      <c r="F378" s="65">
        <v>13.015000000000001</v>
      </c>
    </row>
    <row r="379" spans="2:6" hidden="1" x14ac:dyDescent="0.25">
      <c r="B379" s="51">
        <f>YEAR(BDRIOSJ[[#This Row],[FECHA]])</f>
        <v>2023</v>
      </c>
      <c r="C379" s="51">
        <f>MONTH(BDRIOSJ[[#This Row],[FECHA]])</f>
        <v>4</v>
      </c>
      <c r="D379" s="50" t="s">
        <v>209</v>
      </c>
      <c r="E379" s="49" t="s">
        <v>111</v>
      </c>
      <c r="F379" s="65">
        <v>13.015000000000001</v>
      </c>
    </row>
    <row r="380" spans="2:6" hidden="1" x14ac:dyDescent="0.25">
      <c r="B380" s="51">
        <f>YEAR(BDRIOSJ[[#This Row],[FECHA]])</f>
        <v>2023</v>
      </c>
      <c r="C380" s="51">
        <f>MONTH(BDRIOSJ[[#This Row],[FECHA]])</f>
        <v>4</v>
      </c>
      <c r="D380" s="50" t="s">
        <v>210</v>
      </c>
      <c r="E380" s="49" t="s">
        <v>115</v>
      </c>
      <c r="F380" s="65">
        <v>18.0732</v>
      </c>
    </row>
    <row r="381" spans="2:6" hidden="1" x14ac:dyDescent="0.25">
      <c r="B381" s="51">
        <f>YEAR(BDRIOSJ[[#This Row],[FECHA]])</f>
        <v>2023</v>
      </c>
      <c r="C381" s="51">
        <f>MONTH(BDRIOSJ[[#This Row],[FECHA]])</f>
        <v>4</v>
      </c>
      <c r="D381" s="50" t="s">
        <v>210</v>
      </c>
      <c r="E381" s="49" t="s">
        <v>114</v>
      </c>
      <c r="F381" s="65">
        <v>18.0732</v>
      </c>
    </row>
    <row r="382" spans="2:6" hidden="1" x14ac:dyDescent="0.25">
      <c r="B382" s="51">
        <f>YEAR(BDRIOSJ[[#This Row],[FECHA]])</f>
        <v>2023</v>
      </c>
      <c r="C382" s="51">
        <f>MONTH(BDRIOSJ[[#This Row],[FECHA]])</f>
        <v>4</v>
      </c>
      <c r="D382" s="50" t="s">
        <v>210</v>
      </c>
      <c r="E382" s="49" t="s">
        <v>113</v>
      </c>
      <c r="F382" s="65">
        <v>20.859200000000001</v>
      </c>
    </row>
    <row r="383" spans="2:6" hidden="1" x14ac:dyDescent="0.25">
      <c r="B383" s="51">
        <f>YEAR(BDRIOSJ[[#This Row],[FECHA]])</f>
        <v>2023</v>
      </c>
      <c r="C383" s="51">
        <f>MONTH(BDRIOSJ[[#This Row],[FECHA]])</f>
        <v>4</v>
      </c>
      <c r="D383" s="50" t="s">
        <v>210</v>
      </c>
      <c r="E383" s="49" t="s">
        <v>111</v>
      </c>
      <c r="F383" s="65">
        <v>20.859200000000001</v>
      </c>
    </row>
    <row r="384" spans="2:6" hidden="1" x14ac:dyDescent="0.25">
      <c r="B384" s="51">
        <f>YEAR(BDRIOSJ[[#This Row],[FECHA]])</f>
        <v>2023</v>
      </c>
      <c r="C384" s="51">
        <f>MONTH(BDRIOSJ[[#This Row],[FECHA]])</f>
        <v>4</v>
      </c>
      <c r="D384" s="50" t="s">
        <v>211</v>
      </c>
      <c r="E384" s="49" t="s">
        <v>115</v>
      </c>
      <c r="F384" s="65">
        <v>20.859200000000001</v>
      </c>
    </row>
    <row r="385" spans="2:6" hidden="1" x14ac:dyDescent="0.25">
      <c r="B385" s="51">
        <f>YEAR(BDRIOSJ[[#This Row],[FECHA]])</f>
        <v>2023</v>
      </c>
      <c r="C385" s="51">
        <f>MONTH(BDRIOSJ[[#This Row],[FECHA]])</f>
        <v>4</v>
      </c>
      <c r="D385" s="50" t="s">
        <v>211</v>
      </c>
      <c r="E385" s="49" t="s">
        <v>114</v>
      </c>
      <c r="F385" s="65">
        <v>20.859200000000001</v>
      </c>
    </row>
    <row r="386" spans="2:6" hidden="1" x14ac:dyDescent="0.25">
      <c r="B386" s="51">
        <f>YEAR(BDRIOSJ[[#This Row],[FECHA]])</f>
        <v>2023</v>
      </c>
      <c r="C386" s="51">
        <f>MONTH(BDRIOSJ[[#This Row],[FECHA]])</f>
        <v>4</v>
      </c>
      <c r="D386" s="50" t="s">
        <v>211</v>
      </c>
      <c r="E386" s="49" t="s">
        <v>113</v>
      </c>
      <c r="F386" s="65">
        <v>20.859200000000001</v>
      </c>
    </row>
    <row r="387" spans="2:6" hidden="1" x14ac:dyDescent="0.25">
      <c r="B387" s="51">
        <f>YEAR(BDRIOSJ[[#This Row],[FECHA]])</f>
        <v>2023</v>
      </c>
      <c r="C387" s="51">
        <f>MONTH(BDRIOSJ[[#This Row],[FECHA]])</f>
        <v>4</v>
      </c>
      <c r="D387" s="50" t="s">
        <v>211</v>
      </c>
      <c r="E387" s="49" t="s">
        <v>111</v>
      </c>
      <c r="F387" s="65">
        <v>20.859200000000001</v>
      </c>
    </row>
    <row r="388" spans="2:6" hidden="1" x14ac:dyDescent="0.25">
      <c r="B388" s="51">
        <f>YEAR(BDRIOSJ[[#This Row],[FECHA]])</f>
        <v>2023</v>
      </c>
      <c r="C388" s="51">
        <f>MONTH(BDRIOSJ[[#This Row],[FECHA]])</f>
        <v>4</v>
      </c>
      <c r="D388" s="50" t="s">
        <v>212</v>
      </c>
      <c r="E388" s="49" t="s">
        <v>115</v>
      </c>
      <c r="F388" s="65">
        <v>19.444800000000001</v>
      </c>
    </row>
    <row r="389" spans="2:6" hidden="1" x14ac:dyDescent="0.25">
      <c r="B389" s="51">
        <f>YEAR(BDRIOSJ[[#This Row],[FECHA]])</f>
        <v>2023</v>
      </c>
      <c r="C389" s="51">
        <f>MONTH(BDRIOSJ[[#This Row],[FECHA]])</f>
        <v>4</v>
      </c>
      <c r="D389" s="50" t="s">
        <v>212</v>
      </c>
      <c r="E389" s="49" t="s">
        <v>114</v>
      </c>
      <c r="F389" s="65">
        <v>19.444800000000001</v>
      </c>
    </row>
    <row r="390" spans="2:6" hidden="1" x14ac:dyDescent="0.25">
      <c r="B390" s="51">
        <f>YEAR(BDRIOSJ[[#This Row],[FECHA]])</f>
        <v>2023</v>
      </c>
      <c r="C390" s="51">
        <f>MONTH(BDRIOSJ[[#This Row],[FECHA]])</f>
        <v>4</v>
      </c>
      <c r="D390" s="50" t="s">
        <v>212</v>
      </c>
      <c r="E390" s="49" t="s">
        <v>113</v>
      </c>
      <c r="F390" s="65">
        <v>19.444800000000001</v>
      </c>
    </row>
    <row r="391" spans="2:6" hidden="1" x14ac:dyDescent="0.25">
      <c r="B391" s="51">
        <f>YEAR(BDRIOSJ[[#This Row],[FECHA]])</f>
        <v>2023</v>
      </c>
      <c r="C391" s="51">
        <f>MONTH(BDRIOSJ[[#This Row],[FECHA]])</f>
        <v>4</v>
      </c>
      <c r="D391" s="50" t="s">
        <v>212</v>
      </c>
      <c r="E391" s="49" t="s">
        <v>111</v>
      </c>
      <c r="F391" s="65">
        <v>19.444800000000001</v>
      </c>
    </row>
    <row r="392" spans="2:6" hidden="1" x14ac:dyDescent="0.25">
      <c r="B392" s="51">
        <f>YEAR(BDRIOSJ[[#This Row],[FECHA]])</f>
        <v>2023</v>
      </c>
      <c r="C392" s="51">
        <f>MONTH(BDRIOSJ[[#This Row],[FECHA]])</f>
        <v>4</v>
      </c>
      <c r="D392" s="50" t="s">
        <v>213</v>
      </c>
      <c r="E392" s="49" t="s">
        <v>115</v>
      </c>
      <c r="F392" s="65">
        <v>16.744399999999999</v>
      </c>
    </row>
    <row r="393" spans="2:6" hidden="1" x14ac:dyDescent="0.25">
      <c r="B393" s="51">
        <f>YEAR(BDRIOSJ[[#This Row],[FECHA]])</f>
        <v>2023</v>
      </c>
      <c r="C393" s="51">
        <f>MONTH(BDRIOSJ[[#This Row],[FECHA]])</f>
        <v>4</v>
      </c>
      <c r="D393" s="50" t="s">
        <v>213</v>
      </c>
      <c r="E393" s="49" t="s">
        <v>114</v>
      </c>
      <c r="F393" s="65">
        <v>16.744399999999999</v>
      </c>
    </row>
    <row r="394" spans="2:6" hidden="1" x14ac:dyDescent="0.25">
      <c r="B394" s="51">
        <f>YEAR(BDRIOSJ[[#This Row],[FECHA]])</f>
        <v>2023</v>
      </c>
      <c r="C394" s="51">
        <f>MONTH(BDRIOSJ[[#This Row],[FECHA]])</f>
        <v>4</v>
      </c>
      <c r="D394" s="50" t="s">
        <v>213</v>
      </c>
      <c r="E394" s="49" t="s">
        <v>113</v>
      </c>
      <c r="F394" s="65">
        <v>16.744399999999999</v>
      </c>
    </row>
    <row r="395" spans="2:6" hidden="1" x14ac:dyDescent="0.25">
      <c r="B395" s="51">
        <f>YEAR(BDRIOSJ[[#This Row],[FECHA]])</f>
        <v>2023</v>
      </c>
      <c r="C395" s="51">
        <f>MONTH(BDRIOSJ[[#This Row],[FECHA]])</f>
        <v>4</v>
      </c>
      <c r="D395" s="50" t="s">
        <v>213</v>
      </c>
      <c r="E395" s="49" t="s">
        <v>111</v>
      </c>
      <c r="F395" s="65">
        <v>16.744399999999999</v>
      </c>
    </row>
    <row r="396" spans="2:6" hidden="1" x14ac:dyDescent="0.25">
      <c r="B396" s="51">
        <f>YEAR(BDRIOSJ[[#This Row],[FECHA]])</f>
        <v>2023</v>
      </c>
      <c r="C396" s="51">
        <f>MONTH(BDRIOSJ[[#This Row],[FECHA]])</f>
        <v>4</v>
      </c>
      <c r="D396" s="50" t="s">
        <v>214</v>
      </c>
      <c r="E396" s="49" t="s">
        <v>115</v>
      </c>
      <c r="F396" s="65">
        <v>41.172199999999997</v>
      </c>
    </row>
    <row r="397" spans="2:6" hidden="1" x14ac:dyDescent="0.25">
      <c r="B397" s="51">
        <f>YEAR(BDRIOSJ[[#This Row],[FECHA]])</f>
        <v>2023</v>
      </c>
      <c r="C397" s="51">
        <f>MONTH(BDRIOSJ[[#This Row],[FECHA]])</f>
        <v>4</v>
      </c>
      <c r="D397" s="50" t="s">
        <v>214</v>
      </c>
      <c r="E397" s="49" t="s">
        <v>114</v>
      </c>
      <c r="F397" s="65">
        <v>41.172199999999997</v>
      </c>
    </row>
    <row r="398" spans="2:6" hidden="1" x14ac:dyDescent="0.25">
      <c r="B398" s="51">
        <f>YEAR(BDRIOSJ[[#This Row],[FECHA]])</f>
        <v>2023</v>
      </c>
      <c r="C398" s="51">
        <f>MONTH(BDRIOSJ[[#This Row],[FECHA]])</f>
        <v>4</v>
      </c>
      <c r="D398" s="50" t="s">
        <v>214</v>
      </c>
      <c r="E398" s="49" t="s">
        <v>113</v>
      </c>
      <c r="F398" s="65">
        <v>45.157200000000003</v>
      </c>
    </row>
    <row r="399" spans="2:6" hidden="1" x14ac:dyDescent="0.25">
      <c r="B399" s="51">
        <f>YEAR(BDRIOSJ[[#This Row],[FECHA]])</f>
        <v>2023</v>
      </c>
      <c r="C399" s="51">
        <f>MONTH(BDRIOSJ[[#This Row],[FECHA]])</f>
        <v>4</v>
      </c>
      <c r="D399" s="50" t="s">
        <v>214</v>
      </c>
      <c r="E399" s="49" t="s">
        <v>111</v>
      </c>
      <c r="F399" s="65">
        <v>45.157200000000003</v>
      </c>
    </row>
    <row r="400" spans="2:6" hidden="1" x14ac:dyDescent="0.25">
      <c r="B400" s="51">
        <f>YEAR(BDRIOSJ[[#This Row],[FECHA]])</f>
        <v>2023</v>
      </c>
      <c r="C400" s="51">
        <f>MONTH(BDRIOSJ[[#This Row],[FECHA]])</f>
        <v>4</v>
      </c>
      <c r="D400" s="50" t="s">
        <v>215</v>
      </c>
      <c r="E400" s="49" t="s">
        <v>115</v>
      </c>
      <c r="F400" s="65">
        <v>37.358499999999999</v>
      </c>
    </row>
    <row r="401" spans="2:6" hidden="1" x14ac:dyDescent="0.25">
      <c r="B401" s="51">
        <f>YEAR(BDRIOSJ[[#This Row],[FECHA]])</f>
        <v>2023</v>
      </c>
      <c r="C401" s="51">
        <f>MONTH(BDRIOSJ[[#This Row],[FECHA]])</f>
        <v>4</v>
      </c>
      <c r="D401" s="50" t="s">
        <v>215</v>
      </c>
      <c r="E401" s="49" t="s">
        <v>114</v>
      </c>
      <c r="F401" s="65">
        <v>37.358499999999999</v>
      </c>
    </row>
    <row r="402" spans="2:6" hidden="1" x14ac:dyDescent="0.25">
      <c r="B402" s="51">
        <f>YEAR(BDRIOSJ[[#This Row],[FECHA]])</f>
        <v>2023</v>
      </c>
      <c r="C402" s="51">
        <f>MONTH(BDRIOSJ[[#This Row],[FECHA]])</f>
        <v>4</v>
      </c>
      <c r="D402" s="50" t="s">
        <v>215</v>
      </c>
      <c r="E402" s="49" t="s">
        <v>113</v>
      </c>
      <c r="F402" s="65">
        <v>37.358499999999999</v>
      </c>
    </row>
    <row r="403" spans="2:6" hidden="1" x14ac:dyDescent="0.25">
      <c r="B403" s="51">
        <f>YEAR(BDRIOSJ[[#This Row],[FECHA]])</f>
        <v>2023</v>
      </c>
      <c r="C403" s="51">
        <f>MONTH(BDRIOSJ[[#This Row],[FECHA]])</f>
        <v>4</v>
      </c>
      <c r="D403" s="50" t="s">
        <v>215</v>
      </c>
      <c r="E403" s="49" t="s">
        <v>111</v>
      </c>
      <c r="F403" s="65">
        <v>37.358499999999999</v>
      </c>
    </row>
    <row r="404" spans="2:6" hidden="1" x14ac:dyDescent="0.25">
      <c r="B404" s="51">
        <f>YEAR(BDRIOSJ[[#This Row],[FECHA]])</f>
        <v>2023</v>
      </c>
      <c r="C404" s="51">
        <f>MONTH(BDRIOSJ[[#This Row],[FECHA]])</f>
        <v>4</v>
      </c>
      <c r="D404" s="50" t="s">
        <v>216</v>
      </c>
      <c r="E404" s="49" t="s">
        <v>115</v>
      </c>
      <c r="F404" s="65">
        <v>26.9451</v>
      </c>
    </row>
    <row r="405" spans="2:6" hidden="1" x14ac:dyDescent="0.25">
      <c r="B405" s="51">
        <f>YEAR(BDRIOSJ[[#This Row],[FECHA]])</f>
        <v>2023</v>
      </c>
      <c r="C405" s="51">
        <f>MONTH(BDRIOSJ[[#This Row],[FECHA]])</f>
        <v>4</v>
      </c>
      <c r="D405" s="50" t="s">
        <v>216</v>
      </c>
      <c r="E405" s="49" t="s">
        <v>114</v>
      </c>
      <c r="F405" s="65">
        <v>26.9451</v>
      </c>
    </row>
    <row r="406" spans="2:6" hidden="1" x14ac:dyDescent="0.25">
      <c r="B406" s="51">
        <f>YEAR(BDRIOSJ[[#This Row],[FECHA]])</f>
        <v>2023</v>
      </c>
      <c r="C406" s="51">
        <f>MONTH(BDRIOSJ[[#This Row],[FECHA]])</f>
        <v>4</v>
      </c>
      <c r="D406" s="50" t="s">
        <v>216</v>
      </c>
      <c r="E406" s="49" t="s">
        <v>113</v>
      </c>
      <c r="F406" s="65">
        <v>23.816500000000001</v>
      </c>
    </row>
    <row r="407" spans="2:6" hidden="1" x14ac:dyDescent="0.25">
      <c r="B407" s="51">
        <f>YEAR(BDRIOSJ[[#This Row],[FECHA]])</f>
        <v>2023</v>
      </c>
      <c r="C407" s="51">
        <f>MONTH(BDRIOSJ[[#This Row],[FECHA]])</f>
        <v>4</v>
      </c>
      <c r="D407" s="50" t="s">
        <v>216</v>
      </c>
      <c r="E407" s="49" t="s">
        <v>111</v>
      </c>
      <c r="F407" s="65">
        <v>26.9451</v>
      </c>
    </row>
    <row r="408" spans="2:6" hidden="1" x14ac:dyDescent="0.25">
      <c r="B408" s="51">
        <f>YEAR(BDRIOSJ[[#This Row],[FECHA]])</f>
        <v>2023</v>
      </c>
      <c r="C408" s="51">
        <f>MONTH(BDRIOSJ[[#This Row],[FECHA]])</f>
        <v>4</v>
      </c>
      <c r="D408" s="50" t="s">
        <v>217</v>
      </c>
      <c r="E408" s="49" t="s">
        <v>115</v>
      </c>
      <c r="F408" s="65">
        <v>13.015000000000001</v>
      </c>
    </row>
    <row r="409" spans="2:6" hidden="1" x14ac:dyDescent="0.25">
      <c r="B409" s="51">
        <f>YEAR(BDRIOSJ[[#This Row],[FECHA]])</f>
        <v>2023</v>
      </c>
      <c r="C409" s="51">
        <f>MONTH(BDRIOSJ[[#This Row],[FECHA]])</f>
        <v>4</v>
      </c>
      <c r="D409" s="50" t="s">
        <v>217</v>
      </c>
      <c r="E409" s="49" t="s">
        <v>114</v>
      </c>
      <c r="F409" s="65">
        <v>13.015000000000001</v>
      </c>
    </row>
    <row r="410" spans="2:6" hidden="1" x14ac:dyDescent="0.25">
      <c r="B410" s="51">
        <f>YEAR(BDRIOSJ[[#This Row],[FECHA]])</f>
        <v>2023</v>
      </c>
      <c r="C410" s="51">
        <f>MONTH(BDRIOSJ[[#This Row],[FECHA]])</f>
        <v>4</v>
      </c>
      <c r="D410" s="50" t="s">
        <v>217</v>
      </c>
      <c r="E410" s="49" t="s">
        <v>113</v>
      </c>
      <c r="F410" s="65">
        <v>13.015000000000001</v>
      </c>
    </row>
    <row r="411" spans="2:6" hidden="1" x14ac:dyDescent="0.25">
      <c r="B411" s="51">
        <f>YEAR(BDRIOSJ[[#This Row],[FECHA]])</f>
        <v>2023</v>
      </c>
      <c r="C411" s="51">
        <f>MONTH(BDRIOSJ[[#This Row],[FECHA]])</f>
        <v>4</v>
      </c>
      <c r="D411" s="50" t="s">
        <v>217</v>
      </c>
      <c r="E411" s="49" t="s">
        <v>111</v>
      </c>
      <c r="F411" s="65">
        <v>19.444800000000001</v>
      </c>
    </row>
    <row r="412" spans="2:6" hidden="1" x14ac:dyDescent="0.25">
      <c r="B412" s="51">
        <f>YEAR(BDRIOSJ[[#This Row],[FECHA]])</f>
        <v>2023</v>
      </c>
      <c r="C412" s="51">
        <f>MONTH(BDRIOSJ[[#This Row],[FECHA]])</f>
        <v>4</v>
      </c>
      <c r="D412" s="50" t="s">
        <v>218</v>
      </c>
      <c r="E412" s="49" t="s">
        <v>115</v>
      </c>
      <c r="F412" s="65">
        <v>10.742800000000001</v>
      </c>
    </row>
    <row r="413" spans="2:6" hidden="1" x14ac:dyDescent="0.25">
      <c r="B413" s="51">
        <f>YEAR(BDRIOSJ[[#This Row],[FECHA]])</f>
        <v>2023</v>
      </c>
      <c r="C413" s="51">
        <f>MONTH(BDRIOSJ[[#This Row],[FECHA]])</f>
        <v>4</v>
      </c>
      <c r="D413" s="50" t="s">
        <v>218</v>
      </c>
      <c r="E413" s="49" t="s">
        <v>114</v>
      </c>
      <c r="F413" s="65">
        <v>10.742800000000001</v>
      </c>
    </row>
    <row r="414" spans="2:6" hidden="1" x14ac:dyDescent="0.25">
      <c r="B414" s="51">
        <f>YEAR(BDRIOSJ[[#This Row],[FECHA]])</f>
        <v>2023</v>
      </c>
      <c r="C414" s="51">
        <f>MONTH(BDRIOSJ[[#This Row],[FECHA]])</f>
        <v>4</v>
      </c>
      <c r="D414" s="50" t="s">
        <v>218</v>
      </c>
      <c r="E414" s="49" t="s">
        <v>113</v>
      </c>
      <c r="F414" s="65">
        <v>10.742800000000001</v>
      </c>
    </row>
    <row r="415" spans="2:6" hidden="1" x14ac:dyDescent="0.25">
      <c r="B415" s="51">
        <f>YEAR(BDRIOSJ[[#This Row],[FECHA]])</f>
        <v>2023</v>
      </c>
      <c r="C415" s="51">
        <f>MONTH(BDRIOSJ[[#This Row],[FECHA]])</f>
        <v>4</v>
      </c>
      <c r="D415" s="50" t="s">
        <v>218</v>
      </c>
      <c r="E415" s="49" t="s">
        <v>111</v>
      </c>
      <c r="F415" s="65">
        <v>10.742800000000001</v>
      </c>
    </row>
    <row r="416" spans="2:6" hidden="1" x14ac:dyDescent="0.25">
      <c r="B416" s="51">
        <f>YEAR(BDRIOSJ[[#This Row],[FECHA]])</f>
        <v>2023</v>
      </c>
      <c r="C416" s="51">
        <f>MONTH(BDRIOSJ[[#This Row],[FECHA]])</f>
        <v>4</v>
      </c>
      <c r="D416" s="50" t="s">
        <v>219</v>
      </c>
      <c r="E416" s="49" t="s">
        <v>115</v>
      </c>
      <c r="F416" s="65">
        <v>9.6709999999999994</v>
      </c>
    </row>
    <row r="417" spans="2:6" hidden="1" x14ac:dyDescent="0.25">
      <c r="B417" s="51">
        <f>YEAR(BDRIOSJ[[#This Row],[FECHA]])</f>
        <v>2023</v>
      </c>
      <c r="C417" s="51">
        <f>MONTH(BDRIOSJ[[#This Row],[FECHA]])</f>
        <v>4</v>
      </c>
      <c r="D417" s="50" t="s">
        <v>219</v>
      </c>
      <c r="E417" s="49" t="s">
        <v>114</v>
      </c>
      <c r="F417" s="65">
        <v>9.6709999999999994</v>
      </c>
    </row>
    <row r="418" spans="2:6" hidden="1" x14ac:dyDescent="0.25">
      <c r="B418" s="51">
        <f>YEAR(BDRIOSJ[[#This Row],[FECHA]])</f>
        <v>2023</v>
      </c>
      <c r="C418" s="51">
        <f>MONTH(BDRIOSJ[[#This Row],[FECHA]])</f>
        <v>4</v>
      </c>
      <c r="D418" s="50" t="s">
        <v>219</v>
      </c>
      <c r="E418" s="49" t="s">
        <v>113</v>
      </c>
      <c r="F418" s="65">
        <v>9.6709999999999994</v>
      </c>
    </row>
    <row r="419" spans="2:6" hidden="1" x14ac:dyDescent="0.25">
      <c r="B419" s="51">
        <f>YEAR(BDRIOSJ[[#This Row],[FECHA]])</f>
        <v>2023</v>
      </c>
      <c r="C419" s="51">
        <f>MONTH(BDRIOSJ[[#This Row],[FECHA]])</f>
        <v>4</v>
      </c>
      <c r="D419" s="50" t="s">
        <v>219</v>
      </c>
      <c r="E419" s="49" t="s">
        <v>111</v>
      </c>
      <c r="F419" s="65">
        <v>10.742800000000001</v>
      </c>
    </row>
    <row r="420" spans="2:6" hidden="1" x14ac:dyDescent="0.25">
      <c r="B420" s="51">
        <f>YEAR(BDRIOSJ[[#This Row],[FECHA]])</f>
        <v>2023</v>
      </c>
      <c r="C420" s="51">
        <f>MONTH(BDRIOSJ[[#This Row],[FECHA]])</f>
        <v>4</v>
      </c>
      <c r="D420" s="50" t="s">
        <v>220</v>
      </c>
      <c r="E420" s="49" t="s">
        <v>115</v>
      </c>
      <c r="F420" s="65">
        <v>11.8575</v>
      </c>
    </row>
    <row r="421" spans="2:6" hidden="1" x14ac:dyDescent="0.25">
      <c r="B421" s="51">
        <f>YEAR(BDRIOSJ[[#This Row],[FECHA]])</f>
        <v>2023</v>
      </c>
      <c r="C421" s="51">
        <f>MONTH(BDRIOSJ[[#This Row],[FECHA]])</f>
        <v>4</v>
      </c>
      <c r="D421" s="50" t="s">
        <v>220</v>
      </c>
      <c r="E421" s="49" t="s">
        <v>114</v>
      </c>
      <c r="F421" s="65">
        <v>11.8575</v>
      </c>
    </row>
    <row r="422" spans="2:6" hidden="1" x14ac:dyDescent="0.25">
      <c r="B422" s="51">
        <f>YEAR(BDRIOSJ[[#This Row],[FECHA]])</f>
        <v>2023</v>
      </c>
      <c r="C422" s="51">
        <f>MONTH(BDRIOSJ[[#This Row],[FECHA]])</f>
        <v>4</v>
      </c>
      <c r="D422" s="50" t="s">
        <v>220</v>
      </c>
      <c r="E422" s="49" t="s">
        <v>113</v>
      </c>
      <c r="F422" s="65">
        <v>11.8575</v>
      </c>
    </row>
    <row r="423" spans="2:6" hidden="1" x14ac:dyDescent="0.25">
      <c r="B423" s="51">
        <f>YEAR(BDRIOSJ[[#This Row],[FECHA]])</f>
        <v>2023</v>
      </c>
      <c r="C423" s="51">
        <f>MONTH(BDRIOSJ[[#This Row],[FECHA]])</f>
        <v>4</v>
      </c>
      <c r="D423" s="50" t="s">
        <v>220</v>
      </c>
      <c r="E423" s="49" t="s">
        <v>111</v>
      </c>
      <c r="F423" s="65">
        <v>11.8575</v>
      </c>
    </row>
    <row r="424" spans="2:6" hidden="1" x14ac:dyDescent="0.25">
      <c r="B424" s="51">
        <f>YEAR(BDRIOSJ[[#This Row],[FECHA]])</f>
        <v>2023</v>
      </c>
      <c r="C424" s="51">
        <f>MONTH(BDRIOSJ[[#This Row],[FECHA]])</f>
        <v>4</v>
      </c>
      <c r="D424" s="50" t="s">
        <v>221</v>
      </c>
      <c r="E424" s="49" t="s">
        <v>115</v>
      </c>
      <c r="F424" s="65">
        <v>10.742800000000001</v>
      </c>
    </row>
    <row r="425" spans="2:6" hidden="1" x14ac:dyDescent="0.25">
      <c r="B425" s="51">
        <f>YEAR(BDRIOSJ[[#This Row],[FECHA]])</f>
        <v>2023</v>
      </c>
      <c r="C425" s="51">
        <f>MONTH(BDRIOSJ[[#This Row],[FECHA]])</f>
        <v>4</v>
      </c>
      <c r="D425" s="50" t="s">
        <v>221</v>
      </c>
      <c r="E425" s="49" t="s">
        <v>114</v>
      </c>
      <c r="F425" s="65">
        <v>10.742800000000001</v>
      </c>
    </row>
    <row r="426" spans="2:6" hidden="1" x14ac:dyDescent="0.25">
      <c r="B426" s="51">
        <f>YEAR(BDRIOSJ[[#This Row],[FECHA]])</f>
        <v>2023</v>
      </c>
      <c r="C426" s="51">
        <f>MONTH(BDRIOSJ[[#This Row],[FECHA]])</f>
        <v>4</v>
      </c>
      <c r="D426" s="50" t="s">
        <v>221</v>
      </c>
      <c r="E426" s="49" t="s">
        <v>113</v>
      </c>
      <c r="F426" s="65">
        <v>10.742800000000001</v>
      </c>
    </row>
    <row r="427" spans="2:6" hidden="1" x14ac:dyDescent="0.25">
      <c r="B427" s="51">
        <f>YEAR(BDRIOSJ[[#This Row],[FECHA]])</f>
        <v>2023</v>
      </c>
      <c r="C427" s="51">
        <f>MONTH(BDRIOSJ[[#This Row],[FECHA]])</f>
        <v>4</v>
      </c>
      <c r="D427" s="50" t="s">
        <v>221</v>
      </c>
      <c r="E427" s="49" t="s">
        <v>111</v>
      </c>
      <c r="F427" s="65">
        <v>10.742800000000001</v>
      </c>
    </row>
    <row r="428" spans="2:6" hidden="1" x14ac:dyDescent="0.25">
      <c r="B428" s="51">
        <f>YEAR(BDRIOSJ[[#This Row],[FECHA]])</f>
        <v>2023</v>
      </c>
      <c r="C428" s="51">
        <f>MONTH(BDRIOSJ[[#This Row],[FECHA]])</f>
        <v>4</v>
      </c>
      <c r="D428" s="50" t="s">
        <v>222</v>
      </c>
      <c r="E428" s="49" t="s">
        <v>111</v>
      </c>
      <c r="F428" s="65">
        <v>9.6709999999999994</v>
      </c>
    </row>
    <row r="429" spans="2:6" hidden="1" x14ac:dyDescent="0.25">
      <c r="B429" s="51">
        <f>YEAR(BDRIOSJ[[#This Row],[FECHA]])</f>
        <v>2023</v>
      </c>
      <c r="C429" s="51">
        <f>MONTH(BDRIOSJ[[#This Row],[FECHA]])</f>
        <v>10</v>
      </c>
      <c r="D429" s="50" t="s">
        <v>223</v>
      </c>
      <c r="E429" s="49" t="s">
        <v>115</v>
      </c>
      <c r="F429" s="65">
        <v>6.2291999999999996</v>
      </c>
    </row>
    <row r="430" spans="2:6" hidden="1" x14ac:dyDescent="0.25">
      <c r="B430" s="51">
        <f>YEAR(BDRIOSJ[[#This Row],[FECHA]])</f>
        <v>2023</v>
      </c>
      <c r="C430" s="51">
        <f>MONTH(BDRIOSJ[[#This Row],[FECHA]])</f>
        <v>10</v>
      </c>
      <c r="D430" s="50" t="s">
        <v>223</v>
      </c>
      <c r="E430" s="49" t="s">
        <v>114</v>
      </c>
      <c r="F430" s="65">
        <v>5.3689999999999998</v>
      </c>
    </row>
    <row r="431" spans="2:6" hidden="1" x14ac:dyDescent="0.25">
      <c r="B431" s="51">
        <f>YEAR(BDRIOSJ[[#This Row],[FECHA]])</f>
        <v>2023</v>
      </c>
      <c r="C431" s="51">
        <f>MONTH(BDRIOSJ[[#This Row],[FECHA]])</f>
        <v>10</v>
      </c>
      <c r="D431" s="50" t="s">
        <v>223</v>
      </c>
      <c r="E431" s="49" t="s">
        <v>113</v>
      </c>
      <c r="F431" s="65">
        <v>5.3689999999999998</v>
      </c>
    </row>
    <row r="432" spans="2:6" hidden="1" x14ac:dyDescent="0.25">
      <c r="B432" s="51">
        <f>YEAR(BDRIOSJ[[#This Row],[FECHA]])</f>
        <v>2023</v>
      </c>
      <c r="C432" s="51">
        <f>MONTH(BDRIOSJ[[#This Row],[FECHA]])</f>
        <v>10</v>
      </c>
      <c r="D432" s="50" t="s">
        <v>223</v>
      </c>
      <c r="E432" s="49" t="s">
        <v>111</v>
      </c>
      <c r="F432" s="65">
        <v>5.3689999999999998</v>
      </c>
    </row>
    <row r="433" spans="2:6" hidden="1" x14ac:dyDescent="0.25">
      <c r="B433" s="51">
        <f>YEAR(BDRIOSJ[[#This Row],[FECHA]])</f>
        <v>2023</v>
      </c>
      <c r="C433" s="51">
        <f>MONTH(BDRIOSJ[[#This Row],[FECHA]])</f>
        <v>10</v>
      </c>
      <c r="D433" s="50" t="s">
        <v>224</v>
      </c>
      <c r="E433" s="49" t="s">
        <v>115</v>
      </c>
      <c r="F433" s="65">
        <v>6.2291999999999996</v>
      </c>
    </row>
    <row r="434" spans="2:6" hidden="1" x14ac:dyDescent="0.25">
      <c r="B434" s="51">
        <f>YEAR(BDRIOSJ[[#This Row],[FECHA]])</f>
        <v>2023</v>
      </c>
      <c r="C434" s="51">
        <f>MONTH(BDRIOSJ[[#This Row],[FECHA]])</f>
        <v>10</v>
      </c>
      <c r="D434" s="50" t="s">
        <v>224</v>
      </c>
      <c r="E434" s="49" t="s">
        <v>114</v>
      </c>
      <c r="F434" s="65">
        <v>5.3689999999999998</v>
      </c>
    </row>
    <row r="435" spans="2:6" hidden="1" x14ac:dyDescent="0.25">
      <c r="B435" s="51">
        <f>YEAR(BDRIOSJ[[#This Row],[FECHA]])</f>
        <v>2023</v>
      </c>
      <c r="C435" s="51">
        <f>MONTH(BDRIOSJ[[#This Row],[FECHA]])</f>
        <v>10</v>
      </c>
      <c r="D435" s="50" t="s">
        <v>224</v>
      </c>
      <c r="E435" s="49" t="s">
        <v>113</v>
      </c>
      <c r="F435" s="65">
        <v>6.2291999999999996</v>
      </c>
    </row>
    <row r="436" spans="2:6" hidden="1" x14ac:dyDescent="0.25">
      <c r="B436" s="51">
        <f>YEAR(BDRIOSJ[[#This Row],[FECHA]])</f>
        <v>2023</v>
      </c>
      <c r="C436" s="51">
        <f>MONTH(BDRIOSJ[[#This Row],[FECHA]])</f>
        <v>10</v>
      </c>
      <c r="D436" s="50" t="s">
        <v>224</v>
      </c>
      <c r="E436" s="49" t="s">
        <v>111</v>
      </c>
      <c r="F436" s="65">
        <v>6.2291999999999996</v>
      </c>
    </row>
    <row r="437" spans="2:6" hidden="1" x14ac:dyDescent="0.25">
      <c r="B437" s="51">
        <f>YEAR(BDRIOSJ[[#This Row],[FECHA]])</f>
        <v>2023</v>
      </c>
      <c r="C437" s="51">
        <f>MONTH(BDRIOSJ[[#This Row],[FECHA]])</f>
        <v>10</v>
      </c>
      <c r="D437" s="50" t="s">
        <v>225</v>
      </c>
      <c r="E437" s="49" t="s">
        <v>115</v>
      </c>
      <c r="F437" s="65">
        <v>6.2291999999999996</v>
      </c>
    </row>
    <row r="438" spans="2:6" hidden="1" x14ac:dyDescent="0.25">
      <c r="B438" s="51">
        <f>YEAR(BDRIOSJ[[#This Row],[FECHA]])</f>
        <v>2023</v>
      </c>
      <c r="C438" s="51">
        <f>MONTH(BDRIOSJ[[#This Row],[FECHA]])</f>
        <v>10</v>
      </c>
      <c r="D438" s="50" t="s">
        <v>225</v>
      </c>
      <c r="E438" s="49" t="s">
        <v>114</v>
      </c>
      <c r="F438" s="65">
        <v>6.2291999999999996</v>
      </c>
    </row>
    <row r="439" spans="2:6" hidden="1" x14ac:dyDescent="0.25">
      <c r="B439" s="51">
        <f>YEAR(BDRIOSJ[[#This Row],[FECHA]])</f>
        <v>2023</v>
      </c>
      <c r="C439" s="51">
        <f>MONTH(BDRIOSJ[[#This Row],[FECHA]])</f>
        <v>10</v>
      </c>
      <c r="D439" s="50" t="s">
        <v>225</v>
      </c>
      <c r="E439" s="49" t="s">
        <v>113</v>
      </c>
      <c r="F439" s="65">
        <v>6.2291999999999996</v>
      </c>
    </row>
    <row r="440" spans="2:6" hidden="1" x14ac:dyDescent="0.25">
      <c r="B440" s="51">
        <f>YEAR(BDRIOSJ[[#This Row],[FECHA]])</f>
        <v>2023</v>
      </c>
      <c r="C440" s="51">
        <f>MONTH(BDRIOSJ[[#This Row],[FECHA]])</f>
        <v>10</v>
      </c>
      <c r="D440" s="50" t="s">
        <v>225</v>
      </c>
      <c r="E440" s="49" t="s">
        <v>111</v>
      </c>
      <c r="F440" s="65">
        <v>6.2291999999999996</v>
      </c>
    </row>
    <row r="441" spans="2:6" hidden="1" x14ac:dyDescent="0.25">
      <c r="B441" s="51">
        <f>YEAR(BDRIOSJ[[#This Row],[FECHA]])</f>
        <v>2023</v>
      </c>
      <c r="C441" s="51">
        <f>MONTH(BDRIOSJ[[#This Row],[FECHA]])</f>
        <v>10</v>
      </c>
      <c r="D441" s="50" t="s">
        <v>226</v>
      </c>
      <c r="E441" s="49" t="s">
        <v>115</v>
      </c>
      <c r="F441" s="65">
        <v>6.2291999999999996</v>
      </c>
    </row>
    <row r="442" spans="2:6" hidden="1" x14ac:dyDescent="0.25">
      <c r="B442" s="51">
        <f>YEAR(BDRIOSJ[[#This Row],[FECHA]])</f>
        <v>2023</v>
      </c>
      <c r="C442" s="51">
        <f>MONTH(BDRIOSJ[[#This Row],[FECHA]])</f>
        <v>10</v>
      </c>
      <c r="D442" s="50" t="s">
        <v>226</v>
      </c>
      <c r="E442" s="49" t="s">
        <v>114</v>
      </c>
      <c r="F442" s="65">
        <v>6.2291999999999996</v>
      </c>
    </row>
    <row r="443" spans="2:6" hidden="1" x14ac:dyDescent="0.25">
      <c r="B443" s="51">
        <f>YEAR(BDRIOSJ[[#This Row],[FECHA]])</f>
        <v>2023</v>
      </c>
      <c r="C443" s="51">
        <f>MONTH(BDRIOSJ[[#This Row],[FECHA]])</f>
        <v>10</v>
      </c>
      <c r="D443" s="50" t="s">
        <v>226</v>
      </c>
      <c r="E443" s="49" t="s">
        <v>113</v>
      </c>
      <c r="F443" s="65">
        <v>6.2291999999999996</v>
      </c>
    </row>
    <row r="444" spans="2:6" hidden="1" x14ac:dyDescent="0.25">
      <c r="B444" s="51">
        <f>YEAR(BDRIOSJ[[#This Row],[FECHA]])</f>
        <v>2023</v>
      </c>
      <c r="C444" s="51">
        <f>MONTH(BDRIOSJ[[#This Row],[FECHA]])</f>
        <v>10</v>
      </c>
      <c r="D444" s="50" t="s">
        <v>226</v>
      </c>
      <c r="E444" s="49" t="s">
        <v>111</v>
      </c>
      <c r="F444" s="65">
        <v>6.2291999999999996</v>
      </c>
    </row>
    <row r="445" spans="2:6" hidden="1" x14ac:dyDescent="0.25">
      <c r="B445" s="51">
        <f>YEAR(BDRIOSJ[[#This Row],[FECHA]])</f>
        <v>2023</v>
      </c>
      <c r="C445" s="51">
        <f>MONTH(BDRIOSJ[[#This Row],[FECHA]])</f>
        <v>10</v>
      </c>
      <c r="D445" s="50" t="s">
        <v>227</v>
      </c>
      <c r="E445" s="49" t="s">
        <v>115</v>
      </c>
      <c r="F445" s="65">
        <v>5.3689999999999998</v>
      </c>
    </row>
    <row r="446" spans="2:6" hidden="1" x14ac:dyDescent="0.25">
      <c r="B446" s="51">
        <f>YEAR(BDRIOSJ[[#This Row],[FECHA]])</f>
        <v>2023</v>
      </c>
      <c r="C446" s="51">
        <f>MONTH(BDRIOSJ[[#This Row],[FECHA]])</f>
        <v>10</v>
      </c>
      <c r="D446" s="50" t="s">
        <v>227</v>
      </c>
      <c r="E446" s="49" t="s">
        <v>114</v>
      </c>
      <c r="F446" s="65">
        <v>6.2291999999999996</v>
      </c>
    </row>
    <row r="447" spans="2:6" hidden="1" x14ac:dyDescent="0.25">
      <c r="B447" s="51">
        <f>YEAR(BDRIOSJ[[#This Row],[FECHA]])</f>
        <v>2023</v>
      </c>
      <c r="C447" s="51">
        <f>MONTH(BDRIOSJ[[#This Row],[FECHA]])</f>
        <v>10</v>
      </c>
      <c r="D447" s="50" t="s">
        <v>227</v>
      </c>
      <c r="E447" s="49" t="s">
        <v>113</v>
      </c>
      <c r="F447" s="65">
        <v>6.2291999999999996</v>
      </c>
    </row>
    <row r="448" spans="2:6" hidden="1" x14ac:dyDescent="0.25">
      <c r="B448" s="51">
        <f>YEAR(BDRIOSJ[[#This Row],[FECHA]])</f>
        <v>2023</v>
      </c>
      <c r="C448" s="51">
        <f>MONTH(BDRIOSJ[[#This Row],[FECHA]])</f>
        <v>10</v>
      </c>
      <c r="D448" s="50" t="s">
        <v>227</v>
      </c>
      <c r="E448" s="49" t="s">
        <v>111</v>
      </c>
      <c r="F448" s="65">
        <v>6.2291999999999996</v>
      </c>
    </row>
    <row r="449" spans="2:6" hidden="1" x14ac:dyDescent="0.25">
      <c r="B449" s="51">
        <f>YEAR(BDRIOSJ[[#This Row],[FECHA]])</f>
        <v>2023</v>
      </c>
      <c r="C449" s="51">
        <f>MONTH(BDRIOSJ[[#This Row],[FECHA]])</f>
        <v>10</v>
      </c>
      <c r="D449" s="50" t="s">
        <v>228</v>
      </c>
      <c r="E449" s="49" t="s">
        <v>115</v>
      </c>
      <c r="F449" s="65">
        <v>5.3689999999999998</v>
      </c>
    </row>
    <row r="450" spans="2:6" hidden="1" x14ac:dyDescent="0.25">
      <c r="B450" s="51">
        <f>YEAR(BDRIOSJ[[#This Row],[FECHA]])</f>
        <v>2023</v>
      </c>
      <c r="C450" s="51">
        <f>MONTH(BDRIOSJ[[#This Row],[FECHA]])</f>
        <v>10</v>
      </c>
      <c r="D450" s="50" t="s">
        <v>228</v>
      </c>
      <c r="E450" s="49" t="s">
        <v>114</v>
      </c>
      <c r="F450" s="65">
        <v>6.2291999999999996</v>
      </c>
    </row>
    <row r="451" spans="2:6" hidden="1" x14ac:dyDescent="0.25">
      <c r="B451" s="51">
        <f>YEAR(BDRIOSJ[[#This Row],[FECHA]])</f>
        <v>2023</v>
      </c>
      <c r="C451" s="51">
        <f>MONTH(BDRIOSJ[[#This Row],[FECHA]])</f>
        <v>10</v>
      </c>
      <c r="D451" s="50" t="s">
        <v>228</v>
      </c>
      <c r="E451" s="49" t="s">
        <v>113</v>
      </c>
      <c r="F451" s="65">
        <v>6.2291999999999996</v>
      </c>
    </row>
    <row r="452" spans="2:6" hidden="1" x14ac:dyDescent="0.25">
      <c r="B452" s="51">
        <f>YEAR(BDRIOSJ[[#This Row],[FECHA]])</f>
        <v>2023</v>
      </c>
      <c r="C452" s="51">
        <f>MONTH(BDRIOSJ[[#This Row],[FECHA]])</f>
        <v>10</v>
      </c>
      <c r="D452" s="50" t="s">
        <v>228</v>
      </c>
      <c r="E452" s="49" t="s">
        <v>111</v>
      </c>
      <c r="F452" s="65">
        <v>6.2291999999999996</v>
      </c>
    </row>
    <row r="453" spans="2:6" hidden="1" x14ac:dyDescent="0.25">
      <c r="B453" s="51">
        <f>YEAR(BDRIOSJ[[#This Row],[FECHA]])</f>
        <v>2023</v>
      </c>
      <c r="C453" s="51">
        <f>MONTH(BDRIOSJ[[#This Row],[FECHA]])</f>
        <v>10</v>
      </c>
      <c r="D453" s="50" t="s">
        <v>229</v>
      </c>
      <c r="E453" s="49" t="s">
        <v>115</v>
      </c>
      <c r="F453" s="65">
        <v>6.2291999999999996</v>
      </c>
    </row>
    <row r="454" spans="2:6" hidden="1" x14ac:dyDescent="0.25">
      <c r="B454" s="51">
        <f>YEAR(BDRIOSJ[[#This Row],[FECHA]])</f>
        <v>2023</v>
      </c>
      <c r="C454" s="51">
        <f>MONTH(BDRIOSJ[[#This Row],[FECHA]])</f>
        <v>10</v>
      </c>
      <c r="D454" s="50" t="s">
        <v>229</v>
      </c>
      <c r="E454" s="49" t="s">
        <v>114</v>
      </c>
      <c r="F454" s="65">
        <v>5.7914000000000003</v>
      </c>
    </row>
    <row r="455" spans="2:6" hidden="1" x14ac:dyDescent="0.25">
      <c r="B455" s="51">
        <f>YEAR(BDRIOSJ[[#This Row],[FECHA]])</f>
        <v>2023</v>
      </c>
      <c r="C455" s="51">
        <f>MONTH(BDRIOSJ[[#This Row],[FECHA]])</f>
        <v>10</v>
      </c>
      <c r="D455" s="50" t="s">
        <v>229</v>
      </c>
      <c r="E455" s="49" t="s">
        <v>113</v>
      </c>
      <c r="F455" s="65">
        <v>6.2291999999999996</v>
      </c>
    </row>
    <row r="456" spans="2:6" hidden="1" x14ac:dyDescent="0.25">
      <c r="B456" s="51">
        <f>YEAR(BDRIOSJ[[#This Row],[FECHA]])</f>
        <v>2023</v>
      </c>
      <c r="C456" s="51">
        <f>MONTH(BDRIOSJ[[#This Row],[FECHA]])</f>
        <v>10</v>
      </c>
      <c r="D456" s="50" t="s">
        <v>229</v>
      </c>
      <c r="E456" s="49" t="s">
        <v>111</v>
      </c>
      <c r="F456" s="65">
        <v>6.2291999999999996</v>
      </c>
    </row>
    <row r="457" spans="2:6" hidden="1" x14ac:dyDescent="0.25">
      <c r="B457" s="51">
        <f>YEAR(BDRIOSJ[[#This Row],[FECHA]])</f>
        <v>2023</v>
      </c>
      <c r="C457" s="51">
        <f>MONTH(BDRIOSJ[[#This Row],[FECHA]])</f>
        <v>10</v>
      </c>
      <c r="D457" s="50" t="s">
        <v>230</v>
      </c>
      <c r="E457" s="49" t="s">
        <v>115</v>
      </c>
      <c r="F457" s="65">
        <v>6.6825000000000001</v>
      </c>
    </row>
    <row r="458" spans="2:6" hidden="1" x14ac:dyDescent="0.25">
      <c r="B458" s="51">
        <f>YEAR(BDRIOSJ[[#This Row],[FECHA]])</f>
        <v>2023</v>
      </c>
      <c r="C458" s="51">
        <f>MONTH(BDRIOSJ[[#This Row],[FECHA]])</f>
        <v>10</v>
      </c>
      <c r="D458" s="50" t="s">
        <v>230</v>
      </c>
      <c r="E458" s="49" t="s">
        <v>114</v>
      </c>
      <c r="F458" s="65">
        <v>6.2291999999999996</v>
      </c>
    </row>
    <row r="459" spans="2:6" hidden="1" x14ac:dyDescent="0.25">
      <c r="B459" s="51">
        <f>YEAR(BDRIOSJ[[#This Row],[FECHA]])</f>
        <v>2023</v>
      </c>
      <c r="C459" s="51">
        <f>MONTH(BDRIOSJ[[#This Row],[FECHA]])</f>
        <v>10</v>
      </c>
      <c r="D459" s="50" t="s">
        <v>230</v>
      </c>
      <c r="E459" s="49" t="s">
        <v>113</v>
      </c>
      <c r="F459" s="65">
        <v>6.2291999999999996</v>
      </c>
    </row>
    <row r="460" spans="2:6" hidden="1" x14ac:dyDescent="0.25">
      <c r="B460" s="51">
        <f>YEAR(BDRIOSJ[[#This Row],[FECHA]])</f>
        <v>2023</v>
      </c>
      <c r="C460" s="51">
        <f>MONTH(BDRIOSJ[[#This Row],[FECHA]])</f>
        <v>10</v>
      </c>
      <c r="D460" s="50" t="s">
        <v>230</v>
      </c>
      <c r="E460" s="49" t="s">
        <v>111</v>
      </c>
      <c r="F460" s="65">
        <v>6.2291999999999996</v>
      </c>
    </row>
    <row r="461" spans="2:6" hidden="1" x14ac:dyDescent="0.25">
      <c r="B461" s="51">
        <f>YEAR(BDRIOSJ[[#This Row],[FECHA]])</f>
        <v>2023</v>
      </c>
      <c r="C461" s="51">
        <f>MONTH(BDRIOSJ[[#This Row],[FECHA]])</f>
        <v>10</v>
      </c>
      <c r="D461" s="50" t="s">
        <v>231</v>
      </c>
      <c r="E461" s="49" t="s">
        <v>115</v>
      </c>
      <c r="F461" s="65">
        <v>7.1512000000000002</v>
      </c>
    </row>
    <row r="462" spans="2:6" hidden="1" x14ac:dyDescent="0.25">
      <c r="B462" s="51">
        <f>YEAR(BDRIOSJ[[#This Row],[FECHA]])</f>
        <v>2023</v>
      </c>
      <c r="C462" s="51">
        <f>MONTH(BDRIOSJ[[#This Row],[FECHA]])</f>
        <v>10</v>
      </c>
      <c r="D462" s="50" t="s">
        <v>231</v>
      </c>
      <c r="E462" s="49" t="s">
        <v>114</v>
      </c>
      <c r="F462" s="65">
        <v>7.1512000000000002</v>
      </c>
    </row>
    <row r="463" spans="2:6" hidden="1" x14ac:dyDescent="0.25">
      <c r="B463" s="51">
        <f>YEAR(BDRIOSJ[[#This Row],[FECHA]])</f>
        <v>2023</v>
      </c>
      <c r="C463" s="51">
        <f>MONTH(BDRIOSJ[[#This Row],[FECHA]])</f>
        <v>10</v>
      </c>
      <c r="D463" s="50" t="s">
        <v>231</v>
      </c>
      <c r="E463" s="49" t="s">
        <v>113</v>
      </c>
      <c r="F463" s="65">
        <v>6.6825000000000001</v>
      </c>
    </row>
    <row r="464" spans="2:6" hidden="1" x14ac:dyDescent="0.25">
      <c r="B464" s="51">
        <f>YEAR(BDRIOSJ[[#This Row],[FECHA]])</f>
        <v>2023</v>
      </c>
      <c r="C464" s="51">
        <f>MONTH(BDRIOSJ[[#This Row],[FECHA]])</f>
        <v>10</v>
      </c>
      <c r="D464" s="50" t="s">
        <v>231</v>
      </c>
      <c r="E464" s="49" t="s">
        <v>111</v>
      </c>
      <c r="F464" s="65">
        <v>6.2291999999999996</v>
      </c>
    </row>
    <row r="465" spans="2:6" hidden="1" x14ac:dyDescent="0.25">
      <c r="B465" s="51">
        <f>YEAR(BDRIOSJ[[#This Row],[FECHA]])</f>
        <v>2023</v>
      </c>
      <c r="C465" s="51">
        <f>MONTH(BDRIOSJ[[#This Row],[FECHA]])</f>
        <v>10</v>
      </c>
      <c r="D465" s="50" t="s">
        <v>232</v>
      </c>
      <c r="E465" s="49" t="s">
        <v>115</v>
      </c>
      <c r="F465" s="65">
        <v>7.1512000000000002</v>
      </c>
    </row>
    <row r="466" spans="2:6" hidden="1" x14ac:dyDescent="0.25">
      <c r="B466" s="51">
        <f>YEAR(BDRIOSJ[[#This Row],[FECHA]])</f>
        <v>2023</v>
      </c>
      <c r="C466" s="51">
        <f>MONTH(BDRIOSJ[[#This Row],[FECHA]])</f>
        <v>10</v>
      </c>
      <c r="D466" s="50" t="s">
        <v>232</v>
      </c>
      <c r="E466" s="49" t="s">
        <v>114</v>
      </c>
      <c r="F466" s="65">
        <v>7.1512000000000002</v>
      </c>
    </row>
    <row r="467" spans="2:6" hidden="1" x14ac:dyDescent="0.25">
      <c r="B467" s="51">
        <f>YEAR(BDRIOSJ[[#This Row],[FECHA]])</f>
        <v>2023</v>
      </c>
      <c r="C467" s="51">
        <f>MONTH(BDRIOSJ[[#This Row],[FECHA]])</f>
        <v>10</v>
      </c>
      <c r="D467" s="50" t="s">
        <v>232</v>
      </c>
      <c r="E467" s="49" t="s">
        <v>113</v>
      </c>
      <c r="F467" s="65">
        <v>7.1512000000000002</v>
      </c>
    </row>
    <row r="468" spans="2:6" hidden="1" x14ac:dyDescent="0.25">
      <c r="B468" s="51">
        <f>YEAR(BDRIOSJ[[#This Row],[FECHA]])</f>
        <v>2023</v>
      </c>
      <c r="C468" s="51">
        <f>MONTH(BDRIOSJ[[#This Row],[FECHA]])</f>
        <v>10</v>
      </c>
      <c r="D468" s="50" t="s">
        <v>232</v>
      </c>
      <c r="E468" s="49" t="s">
        <v>111</v>
      </c>
      <c r="F468" s="65">
        <v>7.1512000000000002</v>
      </c>
    </row>
    <row r="469" spans="2:6" hidden="1" x14ac:dyDescent="0.25">
      <c r="B469" s="51">
        <f>YEAR(BDRIOSJ[[#This Row],[FECHA]])</f>
        <v>2023</v>
      </c>
      <c r="C469" s="51">
        <f>MONTH(BDRIOSJ[[#This Row],[FECHA]])</f>
        <v>10</v>
      </c>
      <c r="D469" s="50" t="s">
        <v>233</v>
      </c>
      <c r="E469" s="49" t="s">
        <v>115</v>
      </c>
      <c r="F469" s="65">
        <v>5.3689999999999998</v>
      </c>
    </row>
    <row r="470" spans="2:6" hidden="1" x14ac:dyDescent="0.25">
      <c r="B470" s="51">
        <f>YEAR(BDRIOSJ[[#This Row],[FECHA]])</f>
        <v>2023</v>
      </c>
      <c r="C470" s="51">
        <f>MONTH(BDRIOSJ[[#This Row],[FECHA]])</f>
        <v>10</v>
      </c>
      <c r="D470" s="50" t="s">
        <v>233</v>
      </c>
      <c r="E470" s="49" t="s">
        <v>114</v>
      </c>
      <c r="F470" s="65">
        <v>5.3689999999999998</v>
      </c>
    </row>
    <row r="471" spans="2:6" hidden="1" x14ac:dyDescent="0.25">
      <c r="B471" s="51">
        <f>YEAR(BDRIOSJ[[#This Row],[FECHA]])</f>
        <v>2023</v>
      </c>
      <c r="C471" s="51">
        <f>MONTH(BDRIOSJ[[#This Row],[FECHA]])</f>
        <v>10</v>
      </c>
      <c r="D471" s="50" t="s">
        <v>233</v>
      </c>
      <c r="E471" s="49" t="s">
        <v>113</v>
      </c>
      <c r="F471" s="65">
        <v>5.7914000000000003</v>
      </c>
    </row>
    <row r="472" spans="2:6" hidden="1" x14ac:dyDescent="0.25">
      <c r="B472" s="51">
        <f>YEAR(BDRIOSJ[[#This Row],[FECHA]])</f>
        <v>2023</v>
      </c>
      <c r="C472" s="51">
        <f>MONTH(BDRIOSJ[[#This Row],[FECHA]])</f>
        <v>10</v>
      </c>
      <c r="D472" s="50" t="s">
        <v>233</v>
      </c>
      <c r="E472" s="49" t="s">
        <v>111</v>
      </c>
      <c r="F472" s="65">
        <v>6.6825000000000001</v>
      </c>
    </row>
    <row r="473" spans="2:6" hidden="1" x14ac:dyDescent="0.25">
      <c r="B473" s="51">
        <f>YEAR(BDRIOSJ[[#This Row],[FECHA]])</f>
        <v>2023</v>
      </c>
      <c r="C473" s="51">
        <f>MONTH(BDRIOSJ[[#This Row],[FECHA]])</f>
        <v>10</v>
      </c>
      <c r="D473" s="50" t="s">
        <v>234</v>
      </c>
      <c r="E473" s="49" t="s">
        <v>115</v>
      </c>
      <c r="F473" s="65">
        <v>5.3689999999999998</v>
      </c>
    </row>
    <row r="474" spans="2:6" hidden="1" x14ac:dyDescent="0.25">
      <c r="B474" s="51">
        <f>YEAR(BDRIOSJ[[#This Row],[FECHA]])</f>
        <v>2023</v>
      </c>
      <c r="C474" s="51">
        <f>MONTH(BDRIOSJ[[#This Row],[FECHA]])</f>
        <v>10</v>
      </c>
      <c r="D474" s="50" t="s">
        <v>234</v>
      </c>
      <c r="E474" s="49" t="s">
        <v>114</v>
      </c>
      <c r="F474" s="65">
        <v>5.3689999999999998</v>
      </c>
    </row>
    <row r="475" spans="2:6" hidden="1" x14ac:dyDescent="0.25">
      <c r="B475" s="51">
        <f>YEAR(BDRIOSJ[[#This Row],[FECHA]])</f>
        <v>2023</v>
      </c>
      <c r="C475" s="51">
        <f>MONTH(BDRIOSJ[[#This Row],[FECHA]])</f>
        <v>10</v>
      </c>
      <c r="D475" s="50" t="s">
        <v>234</v>
      </c>
      <c r="E475" s="49" t="s">
        <v>111</v>
      </c>
      <c r="F475" s="65">
        <v>5.3689999999999998</v>
      </c>
    </row>
    <row r="476" spans="2:6" hidden="1" x14ac:dyDescent="0.25">
      <c r="B476" s="51">
        <f>YEAR(BDRIOSJ[[#This Row],[FECHA]])</f>
        <v>2023</v>
      </c>
      <c r="C476" s="51">
        <f>MONTH(BDRIOSJ[[#This Row],[FECHA]])</f>
        <v>10</v>
      </c>
      <c r="D476" s="50" t="s">
        <v>235</v>
      </c>
      <c r="E476" s="49" t="s">
        <v>115</v>
      </c>
      <c r="F476" s="65">
        <v>4.5705999999999998</v>
      </c>
    </row>
    <row r="477" spans="2:6" hidden="1" x14ac:dyDescent="0.25">
      <c r="B477" s="51">
        <f>YEAR(BDRIOSJ[[#This Row],[FECHA]])</f>
        <v>2023</v>
      </c>
      <c r="C477" s="51">
        <f>MONTH(BDRIOSJ[[#This Row],[FECHA]])</f>
        <v>10</v>
      </c>
      <c r="D477" s="50" t="s">
        <v>235</v>
      </c>
      <c r="E477" s="49" t="s">
        <v>114</v>
      </c>
      <c r="F477" s="65">
        <v>4.5705999999999998</v>
      </c>
    </row>
    <row r="478" spans="2:6" hidden="1" x14ac:dyDescent="0.25">
      <c r="B478" s="51">
        <f>YEAR(BDRIOSJ[[#This Row],[FECHA]])</f>
        <v>2023</v>
      </c>
      <c r="C478" s="51">
        <f>MONTH(BDRIOSJ[[#This Row],[FECHA]])</f>
        <v>10</v>
      </c>
      <c r="D478" s="50" t="s">
        <v>235</v>
      </c>
      <c r="E478" s="49" t="s">
        <v>111</v>
      </c>
      <c r="F478" s="65">
        <v>5.3689999999999998</v>
      </c>
    </row>
    <row r="479" spans="2:6" hidden="1" x14ac:dyDescent="0.25">
      <c r="B479" s="51">
        <f>YEAR(BDRIOSJ[[#This Row],[FECHA]])</f>
        <v>2023</v>
      </c>
      <c r="C479" s="51">
        <f>MONTH(BDRIOSJ[[#This Row],[FECHA]])</f>
        <v>11</v>
      </c>
      <c r="D479" s="50" t="s">
        <v>236</v>
      </c>
      <c r="E479" s="49" t="s">
        <v>115</v>
      </c>
      <c r="F479" s="65">
        <v>4.5705999999999998</v>
      </c>
    </row>
    <row r="480" spans="2:6" hidden="1" x14ac:dyDescent="0.25">
      <c r="B480" s="51">
        <f>YEAR(BDRIOSJ[[#This Row],[FECHA]])</f>
        <v>2023</v>
      </c>
      <c r="C480" s="51">
        <f>MONTH(BDRIOSJ[[#This Row],[FECHA]])</f>
        <v>11</v>
      </c>
      <c r="D480" s="50" t="s">
        <v>236</v>
      </c>
      <c r="E480" s="49" t="s">
        <v>114</v>
      </c>
      <c r="F480" s="65">
        <v>4.5705999999999998</v>
      </c>
    </row>
    <row r="481" spans="2:6" hidden="1" x14ac:dyDescent="0.25">
      <c r="B481" s="51">
        <f>YEAR(BDRIOSJ[[#This Row],[FECHA]])</f>
        <v>2023</v>
      </c>
      <c r="C481" s="51">
        <f>MONTH(BDRIOSJ[[#This Row],[FECHA]])</f>
        <v>11</v>
      </c>
      <c r="D481" s="50" t="s">
        <v>236</v>
      </c>
      <c r="E481" s="49" t="s">
        <v>113</v>
      </c>
      <c r="F481" s="65">
        <v>4.5705999999999998</v>
      </c>
    </row>
    <row r="482" spans="2:6" hidden="1" x14ac:dyDescent="0.25">
      <c r="B482" s="51">
        <f>YEAR(BDRIOSJ[[#This Row],[FECHA]])</f>
        <v>2023</v>
      </c>
      <c r="C482" s="51">
        <f>MONTH(BDRIOSJ[[#This Row],[FECHA]])</f>
        <v>11</v>
      </c>
      <c r="D482" s="50" t="s">
        <v>236</v>
      </c>
      <c r="E482" s="49" t="s">
        <v>111</v>
      </c>
      <c r="F482" s="65">
        <v>4.5705999999999998</v>
      </c>
    </row>
    <row r="483" spans="2:6" hidden="1" x14ac:dyDescent="0.25">
      <c r="B483" s="51">
        <f>YEAR(BDRIOSJ[[#This Row],[FECHA]])</f>
        <v>2023</v>
      </c>
      <c r="C483" s="51">
        <f>MONTH(BDRIOSJ[[#This Row],[FECHA]])</f>
        <v>11</v>
      </c>
      <c r="D483" s="50" t="s">
        <v>237</v>
      </c>
      <c r="E483" s="49" t="s">
        <v>115</v>
      </c>
      <c r="F483" s="65">
        <v>4.5705999999999998</v>
      </c>
    </row>
    <row r="484" spans="2:6" hidden="1" x14ac:dyDescent="0.25">
      <c r="B484" s="51">
        <f>YEAR(BDRIOSJ[[#This Row],[FECHA]])</f>
        <v>2023</v>
      </c>
      <c r="C484" s="51">
        <f>MONTH(BDRIOSJ[[#This Row],[FECHA]])</f>
        <v>11</v>
      </c>
      <c r="D484" s="50" t="s">
        <v>237</v>
      </c>
      <c r="E484" s="49" t="s">
        <v>114</v>
      </c>
      <c r="F484" s="65">
        <v>4.5705999999999998</v>
      </c>
    </row>
    <row r="485" spans="2:6" hidden="1" x14ac:dyDescent="0.25">
      <c r="B485" s="51">
        <f>YEAR(BDRIOSJ[[#This Row],[FECHA]])</f>
        <v>2023</v>
      </c>
      <c r="C485" s="51">
        <f>MONTH(BDRIOSJ[[#This Row],[FECHA]])</f>
        <v>11</v>
      </c>
      <c r="D485" s="50" t="s">
        <v>237</v>
      </c>
      <c r="E485" s="49" t="s">
        <v>113</v>
      </c>
      <c r="F485" s="65">
        <v>4.5705999999999998</v>
      </c>
    </row>
    <row r="486" spans="2:6" hidden="1" x14ac:dyDescent="0.25">
      <c r="B486" s="51">
        <f>YEAR(BDRIOSJ[[#This Row],[FECHA]])</f>
        <v>2023</v>
      </c>
      <c r="C486" s="51">
        <f>MONTH(BDRIOSJ[[#This Row],[FECHA]])</f>
        <v>11</v>
      </c>
      <c r="D486" s="50" t="s">
        <v>237</v>
      </c>
      <c r="E486" s="49" t="s">
        <v>111</v>
      </c>
      <c r="F486" s="65">
        <v>4.5705999999999998</v>
      </c>
    </row>
    <row r="487" spans="2:6" hidden="1" x14ac:dyDescent="0.25">
      <c r="B487" s="51">
        <f>YEAR(BDRIOSJ[[#This Row],[FECHA]])</f>
        <v>2023</v>
      </c>
      <c r="C487" s="51">
        <f>MONTH(BDRIOSJ[[#This Row],[FECHA]])</f>
        <v>11</v>
      </c>
      <c r="D487" s="50" t="s">
        <v>238</v>
      </c>
      <c r="E487" s="49" t="s">
        <v>115</v>
      </c>
      <c r="F487" s="65">
        <v>4.1944999999999997</v>
      </c>
    </row>
    <row r="488" spans="2:6" hidden="1" x14ac:dyDescent="0.25">
      <c r="B488" s="51">
        <f>YEAR(BDRIOSJ[[#This Row],[FECHA]])</f>
        <v>2023</v>
      </c>
      <c r="C488" s="51">
        <f>MONTH(BDRIOSJ[[#This Row],[FECHA]])</f>
        <v>11</v>
      </c>
      <c r="D488" s="50" t="s">
        <v>238</v>
      </c>
      <c r="E488" s="49" t="s">
        <v>114</v>
      </c>
      <c r="F488" s="65">
        <v>4.5705999999999998</v>
      </c>
    </row>
    <row r="489" spans="2:6" hidden="1" x14ac:dyDescent="0.25">
      <c r="B489" s="51">
        <f>YEAR(BDRIOSJ[[#This Row],[FECHA]])</f>
        <v>2023</v>
      </c>
      <c r="C489" s="51">
        <f>MONTH(BDRIOSJ[[#This Row],[FECHA]])</f>
        <v>11</v>
      </c>
      <c r="D489" s="50" t="s">
        <v>238</v>
      </c>
      <c r="E489" s="49" t="s">
        <v>113</v>
      </c>
      <c r="F489" s="65">
        <v>4.5705999999999998</v>
      </c>
    </row>
    <row r="490" spans="2:6" hidden="1" x14ac:dyDescent="0.25">
      <c r="B490" s="51">
        <f>YEAR(BDRIOSJ[[#This Row],[FECHA]])</f>
        <v>2023</v>
      </c>
      <c r="C490" s="51">
        <f>MONTH(BDRIOSJ[[#This Row],[FECHA]])</f>
        <v>11</v>
      </c>
      <c r="D490" s="50" t="s">
        <v>238</v>
      </c>
      <c r="E490" s="49" t="s">
        <v>111</v>
      </c>
      <c r="F490" s="65">
        <v>4.5705999999999998</v>
      </c>
    </row>
    <row r="491" spans="2:6" hidden="1" x14ac:dyDescent="0.25">
      <c r="B491" s="51">
        <f>YEAR(BDRIOSJ[[#This Row],[FECHA]])</f>
        <v>2023</v>
      </c>
      <c r="C491" s="51">
        <f>MONTH(BDRIOSJ[[#This Row],[FECHA]])</f>
        <v>11</v>
      </c>
      <c r="D491" s="50" t="s">
        <v>239</v>
      </c>
      <c r="E491" s="49" t="s">
        <v>115</v>
      </c>
      <c r="F491" s="65">
        <v>4.5705999999999998</v>
      </c>
    </row>
    <row r="492" spans="2:6" hidden="1" x14ac:dyDescent="0.25">
      <c r="B492" s="51">
        <f>YEAR(BDRIOSJ[[#This Row],[FECHA]])</f>
        <v>2023</v>
      </c>
      <c r="C492" s="51">
        <f>MONTH(BDRIOSJ[[#This Row],[FECHA]])</f>
        <v>11</v>
      </c>
      <c r="D492" s="50" t="s">
        <v>239</v>
      </c>
      <c r="E492" s="49" t="s">
        <v>114</v>
      </c>
      <c r="F492" s="65">
        <v>4.5705999999999998</v>
      </c>
    </row>
    <row r="493" spans="2:6" hidden="1" x14ac:dyDescent="0.25">
      <c r="B493" s="51">
        <f>YEAR(BDRIOSJ[[#This Row],[FECHA]])</f>
        <v>2023</v>
      </c>
      <c r="C493" s="51">
        <f>MONTH(BDRIOSJ[[#This Row],[FECHA]])</f>
        <v>11</v>
      </c>
      <c r="D493" s="50" t="s">
        <v>239</v>
      </c>
      <c r="E493" s="49" t="s">
        <v>113</v>
      </c>
      <c r="F493" s="65">
        <v>4.5705999999999998</v>
      </c>
    </row>
    <row r="494" spans="2:6" hidden="1" x14ac:dyDescent="0.25">
      <c r="B494" s="51">
        <f>YEAR(BDRIOSJ[[#This Row],[FECHA]])</f>
        <v>2023</v>
      </c>
      <c r="C494" s="51">
        <f>MONTH(BDRIOSJ[[#This Row],[FECHA]])</f>
        <v>11</v>
      </c>
      <c r="D494" s="50" t="s">
        <v>239</v>
      </c>
      <c r="E494" s="49" t="s">
        <v>111</v>
      </c>
      <c r="F494" s="65">
        <v>4.5705999999999998</v>
      </c>
    </row>
    <row r="495" spans="2:6" hidden="1" x14ac:dyDescent="0.25">
      <c r="B495" s="51">
        <f>YEAR(BDRIOSJ[[#This Row],[FECHA]])</f>
        <v>2023</v>
      </c>
      <c r="C495" s="51">
        <f>MONTH(BDRIOSJ[[#This Row],[FECHA]])</f>
        <v>11</v>
      </c>
      <c r="D495" s="50" t="s">
        <v>240</v>
      </c>
      <c r="E495" s="49" t="s">
        <v>115</v>
      </c>
      <c r="F495" s="65">
        <v>4.5705999999999998</v>
      </c>
    </row>
    <row r="496" spans="2:6" hidden="1" x14ac:dyDescent="0.25">
      <c r="B496" s="51">
        <f>YEAR(BDRIOSJ[[#This Row],[FECHA]])</f>
        <v>2023</v>
      </c>
      <c r="C496" s="51">
        <f>MONTH(BDRIOSJ[[#This Row],[FECHA]])</f>
        <v>11</v>
      </c>
      <c r="D496" s="50" t="s">
        <v>240</v>
      </c>
      <c r="E496" s="49" t="s">
        <v>114</v>
      </c>
      <c r="F496" s="65">
        <v>4.5705999999999998</v>
      </c>
    </row>
    <row r="497" spans="2:6" hidden="1" x14ac:dyDescent="0.25">
      <c r="B497" s="51">
        <f>YEAR(BDRIOSJ[[#This Row],[FECHA]])</f>
        <v>2023</v>
      </c>
      <c r="C497" s="51">
        <f>MONTH(BDRIOSJ[[#This Row],[FECHA]])</f>
        <v>11</v>
      </c>
      <c r="D497" s="50" t="s">
        <v>240</v>
      </c>
      <c r="E497" s="49" t="s">
        <v>113</v>
      </c>
      <c r="F497" s="65">
        <v>4.5705999999999998</v>
      </c>
    </row>
    <row r="498" spans="2:6" hidden="1" x14ac:dyDescent="0.25">
      <c r="B498" s="51">
        <f>YEAR(BDRIOSJ[[#This Row],[FECHA]])</f>
        <v>2023</v>
      </c>
      <c r="C498" s="51">
        <f>MONTH(BDRIOSJ[[#This Row],[FECHA]])</f>
        <v>11</v>
      </c>
      <c r="D498" s="50" t="s">
        <v>240</v>
      </c>
      <c r="E498" s="49" t="s">
        <v>111</v>
      </c>
      <c r="F498" s="65">
        <v>4.5705999999999998</v>
      </c>
    </row>
    <row r="499" spans="2:6" hidden="1" x14ac:dyDescent="0.25">
      <c r="B499" s="51">
        <f>YEAR(BDRIOSJ[[#This Row],[FECHA]])</f>
        <v>2023</v>
      </c>
      <c r="C499" s="51">
        <f>MONTH(BDRIOSJ[[#This Row],[FECHA]])</f>
        <v>11</v>
      </c>
      <c r="D499" s="50" t="s">
        <v>241</v>
      </c>
      <c r="E499" s="49" t="s">
        <v>115</v>
      </c>
      <c r="F499" s="65">
        <v>3.8340000000000001</v>
      </c>
    </row>
    <row r="500" spans="2:6" hidden="1" x14ac:dyDescent="0.25">
      <c r="B500" s="51">
        <f>YEAR(BDRIOSJ[[#This Row],[FECHA]])</f>
        <v>2023</v>
      </c>
      <c r="C500" s="51">
        <f>MONTH(BDRIOSJ[[#This Row],[FECHA]])</f>
        <v>11</v>
      </c>
      <c r="D500" s="50" t="s">
        <v>241</v>
      </c>
      <c r="E500" s="49" t="s">
        <v>114</v>
      </c>
      <c r="F500" s="65">
        <v>3.8340000000000001</v>
      </c>
    </row>
    <row r="501" spans="2:6" hidden="1" x14ac:dyDescent="0.25">
      <c r="B501" s="51">
        <f>YEAR(BDRIOSJ[[#This Row],[FECHA]])</f>
        <v>2023</v>
      </c>
      <c r="C501" s="51">
        <f>MONTH(BDRIOSJ[[#This Row],[FECHA]])</f>
        <v>11</v>
      </c>
      <c r="D501" s="50" t="s">
        <v>241</v>
      </c>
      <c r="E501" s="49" t="s">
        <v>113</v>
      </c>
      <c r="F501" s="65">
        <v>3.8340000000000001</v>
      </c>
    </row>
    <row r="502" spans="2:6" hidden="1" x14ac:dyDescent="0.25">
      <c r="B502" s="51">
        <f>YEAR(BDRIOSJ[[#This Row],[FECHA]])</f>
        <v>2023</v>
      </c>
      <c r="C502" s="51">
        <f>MONTH(BDRIOSJ[[#This Row],[FECHA]])</f>
        <v>11</v>
      </c>
      <c r="D502" s="50" t="s">
        <v>241</v>
      </c>
      <c r="E502" s="49" t="s">
        <v>111</v>
      </c>
      <c r="F502" s="65">
        <v>4.5705999999999998</v>
      </c>
    </row>
    <row r="503" spans="2:6" hidden="1" x14ac:dyDescent="0.25">
      <c r="B503" s="51">
        <f>YEAR(BDRIOSJ[[#This Row],[FECHA]])</f>
        <v>2023</v>
      </c>
      <c r="C503" s="51">
        <f>MONTH(BDRIOSJ[[#This Row],[FECHA]])</f>
        <v>11</v>
      </c>
      <c r="D503" s="50" t="s">
        <v>242</v>
      </c>
      <c r="E503" s="49" t="s">
        <v>115</v>
      </c>
      <c r="F503" s="65">
        <v>4.5705999999999998</v>
      </c>
    </row>
    <row r="504" spans="2:6" hidden="1" x14ac:dyDescent="0.25">
      <c r="B504" s="51">
        <f>YEAR(BDRIOSJ[[#This Row],[FECHA]])</f>
        <v>2023</v>
      </c>
      <c r="C504" s="51">
        <f>MONTH(BDRIOSJ[[#This Row],[FECHA]])</f>
        <v>11</v>
      </c>
      <c r="D504" s="50" t="s">
        <v>242</v>
      </c>
      <c r="E504" s="49" t="s">
        <v>114</v>
      </c>
      <c r="F504" s="65">
        <v>4.5705999999999998</v>
      </c>
    </row>
    <row r="505" spans="2:6" hidden="1" x14ac:dyDescent="0.25">
      <c r="B505" s="51">
        <f>YEAR(BDRIOSJ[[#This Row],[FECHA]])</f>
        <v>2023</v>
      </c>
      <c r="C505" s="51">
        <f>MONTH(BDRIOSJ[[#This Row],[FECHA]])</f>
        <v>11</v>
      </c>
      <c r="D505" s="50" t="s">
        <v>242</v>
      </c>
      <c r="E505" s="49" t="s">
        <v>113</v>
      </c>
      <c r="F505" s="65">
        <v>4.5705999999999998</v>
      </c>
    </row>
    <row r="506" spans="2:6" hidden="1" x14ac:dyDescent="0.25">
      <c r="B506" s="51">
        <f>YEAR(BDRIOSJ[[#This Row],[FECHA]])</f>
        <v>2023</v>
      </c>
      <c r="C506" s="51">
        <f>MONTH(BDRIOSJ[[#This Row],[FECHA]])</f>
        <v>11</v>
      </c>
      <c r="D506" s="50" t="s">
        <v>242</v>
      </c>
      <c r="E506" s="49" t="s">
        <v>111</v>
      </c>
      <c r="F506" s="65">
        <v>3.8340000000000001</v>
      </c>
    </row>
    <row r="507" spans="2:6" hidden="1" x14ac:dyDescent="0.25">
      <c r="B507" s="51">
        <f>YEAR(BDRIOSJ[[#This Row],[FECHA]])</f>
        <v>2023</v>
      </c>
      <c r="C507" s="51">
        <f>MONTH(BDRIOSJ[[#This Row],[FECHA]])</f>
        <v>11</v>
      </c>
      <c r="D507" s="50" t="s">
        <v>243</v>
      </c>
      <c r="E507" s="49" t="s">
        <v>115</v>
      </c>
      <c r="F507" s="65">
        <v>4.5705999999999998</v>
      </c>
    </row>
    <row r="508" spans="2:6" hidden="1" x14ac:dyDescent="0.25">
      <c r="B508" s="51">
        <f>YEAR(BDRIOSJ[[#This Row],[FECHA]])</f>
        <v>2023</v>
      </c>
      <c r="C508" s="51">
        <f>MONTH(BDRIOSJ[[#This Row],[FECHA]])</f>
        <v>11</v>
      </c>
      <c r="D508" s="50" t="s">
        <v>243</v>
      </c>
      <c r="E508" s="49" t="s">
        <v>114</v>
      </c>
      <c r="F508" s="65">
        <v>4.5705999999999998</v>
      </c>
    </row>
    <row r="509" spans="2:6" hidden="1" x14ac:dyDescent="0.25">
      <c r="B509" s="51">
        <f>YEAR(BDRIOSJ[[#This Row],[FECHA]])</f>
        <v>2023</v>
      </c>
      <c r="C509" s="51">
        <f>MONTH(BDRIOSJ[[#This Row],[FECHA]])</f>
        <v>11</v>
      </c>
      <c r="D509" s="50" t="s">
        <v>243</v>
      </c>
      <c r="E509" s="49" t="s">
        <v>113</v>
      </c>
      <c r="F509" s="65">
        <v>4.5705999999999998</v>
      </c>
    </row>
    <row r="510" spans="2:6" hidden="1" x14ac:dyDescent="0.25">
      <c r="B510" s="51">
        <f>YEAR(BDRIOSJ[[#This Row],[FECHA]])</f>
        <v>2023</v>
      </c>
      <c r="C510" s="51">
        <f>MONTH(BDRIOSJ[[#This Row],[FECHA]])</f>
        <v>11</v>
      </c>
      <c r="D510" s="50" t="s">
        <v>243</v>
      </c>
      <c r="E510" s="49" t="s">
        <v>111</v>
      </c>
      <c r="F510" s="65">
        <v>4.5705999999999998</v>
      </c>
    </row>
    <row r="511" spans="2:6" hidden="1" x14ac:dyDescent="0.25">
      <c r="B511" s="51">
        <f>YEAR(BDRIOSJ[[#This Row],[FECHA]])</f>
        <v>2023</v>
      </c>
      <c r="C511" s="51">
        <f>MONTH(BDRIOSJ[[#This Row],[FECHA]])</f>
        <v>11</v>
      </c>
      <c r="D511" s="50" t="s">
        <v>244</v>
      </c>
      <c r="E511" s="49" t="s">
        <v>115</v>
      </c>
      <c r="F511" s="65">
        <v>4.5705999999999998</v>
      </c>
    </row>
    <row r="512" spans="2:6" hidden="1" x14ac:dyDescent="0.25">
      <c r="B512" s="51">
        <f>YEAR(BDRIOSJ[[#This Row],[FECHA]])</f>
        <v>2023</v>
      </c>
      <c r="C512" s="51">
        <f>MONTH(BDRIOSJ[[#This Row],[FECHA]])</f>
        <v>11</v>
      </c>
      <c r="D512" s="50" t="s">
        <v>244</v>
      </c>
      <c r="E512" s="49" t="s">
        <v>114</v>
      </c>
      <c r="F512" s="65">
        <v>4.5705999999999998</v>
      </c>
    </row>
    <row r="513" spans="2:6" hidden="1" x14ac:dyDescent="0.25">
      <c r="B513" s="51">
        <f>YEAR(BDRIOSJ[[#This Row],[FECHA]])</f>
        <v>2023</v>
      </c>
      <c r="C513" s="51">
        <f>MONTH(BDRIOSJ[[#This Row],[FECHA]])</f>
        <v>11</v>
      </c>
      <c r="D513" s="50" t="s">
        <v>244</v>
      </c>
      <c r="E513" s="49" t="s">
        <v>113</v>
      </c>
      <c r="F513" s="65">
        <v>4.5705999999999998</v>
      </c>
    </row>
    <row r="514" spans="2:6" hidden="1" x14ac:dyDescent="0.25">
      <c r="B514" s="51">
        <f>YEAR(BDRIOSJ[[#This Row],[FECHA]])</f>
        <v>2023</v>
      </c>
      <c r="C514" s="51">
        <f>MONTH(BDRIOSJ[[#This Row],[FECHA]])</f>
        <v>11</v>
      </c>
      <c r="D514" s="50" t="s">
        <v>244</v>
      </c>
      <c r="E514" s="49" t="s">
        <v>111</v>
      </c>
      <c r="F514" s="65">
        <v>4.5705999999999998</v>
      </c>
    </row>
    <row r="515" spans="2:6" hidden="1" x14ac:dyDescent="0.25">
      <c r="B515" s="51">
        <f>YEAR(BDRIOSJ[[#This Row],[FECHA]])</f>
        <v>2023</v>
      </c>
      <c r="C515" s="51">
        <f>MONTH(BDRIOSJ[[#This Row],[FECHA]])</f>
        <v>11</v>
      </c>
      <c r="D515" s="50" t="s">
        <v>245</v>
      </c>
      <c r="E515" s="49" t="s">
        <v>115</v>
      </c>
      <c r="F515" s="65">
        <v>4.5705999999999998</v>
      </c>
    </row>
    <row r="516" spans="2:6" hidden="1" x14ac:dyDescent="0.25">
      <c r="B516" s="51">
        <f>YEAR(BDRIOSJ[[#This Row],[FECHA]])</f>
        <v>2023</v>
      </c>
      <c r="C516" s="51">
        <f>MONTH(BDRIOSJ[[#This Row],[FECHA]])</f>
        <v>11</v>
      </c>
      <c r="D516" s="50" t="s">
        <v>245</v>
      </c>
      <c r="E516" s="49" t="s">
        <v>114</v>
      </c>
      <c r="F516" s="65">
        <v>4.5705999999999998</v>
      </c>
    </row>
    <row r="517" spans="2:6" hidden="1" x14ac:dyDescent="0.25">
      <c r="B517" s="51">
        <f>YEAR(BDRIOSJ[[#This Row],[FECHA]])</f>
        <v>2023</v>
      </c>
      <c r="C517" s="51">
        <f>MONTH(BDRIOSJ[[#This Row],[FECHA]])</f>
        <v>11</v>
      </c>
      <c r="D517" s="50" t="s">
        <v>245</v>
      </c>
      <c r="E517" s="49" t="s">
        <v>113</v>
      </c>
      <c r="F517" s="65">
        <v>4.5705999999999998</v>
      </c>
    </row>
    <row r="518" spans="2:6" hidden="1" x14ac:dyDescent="0.25">
      <c r="B518" s="51">
        <f>YEAR(BDRIOSJ[[#This Row],[FECHA]])</f>
        <v>2023</v>
      </c>
      <c r="C518" s="51">
        <f>MONTH(BDRIOSJ[[#This Row],[FECHA]])</f>
        <v>11</v>
      </c>
      <c r="D518" s="50" t="s">
        <v>245</v>
      </c>
      <c r="E518" s="49" t="s">
        <v>111</v>
      </c>
      <c r="F518" s="65">
        <v>4.5705999999999998</v>
      </c>
    </row>
    <row r="519" spans="2:6" hidden="1" x14ac:dyDescent="0.25">
      <c r="B519" s="51">
        <f>YEAR(BDRIOSJ[[#This Row],[FECHA]])</f>
        <v>2023</v>
      </c>
      <c r="C519" s="51">
        <f>MONTH(BDRIOSJ[[#This Row],[FECHA]])</f>
        <v>11</v>
      </c>
      <c r="D519" s="50" t="s">
        <v>246</v>
      </c>
      <c r="E519" s="49" t="s">
        <v>115</v>
      </c>
      <c r="F519" s="65">
        <v>4.5705999999999998</v>
      </c>
    </row>
    <row r="520" spans="2:6" hidden="1" x14ac:dyDescent="0.25">
      <c r="B520" s="51">
        <f>YEAR(BDRIOSJ[[#This Row],[FECHA]])</f>
        <v>2023</v>
      </c>
      <c r="C520" s="51">
        <f>MONTH(BDRIOSJ[[#This Row],[FECHA]])</f>
        <v>11</v>
      </c>
      <c r="D520" s="50" t="s">
        <v>246</v>
      </c>
      <c r="E520" s="49" t="s">
        <v>114</v>
      </c>
      <c r="F520" s="65">
        <v>4.5705999999999998</v>
      </c>
    </row>
    <row r="521" spans="2:6" hidden="1" x14ac:dyDescent="0.25">
      <c r="B521" s="51">
        <f>YEAR(BDRIOSJ[[#This Row],[FECHA]])</f>
        <v>2023</v>
      </c>
      <c r="C521" s="51">
        <f>MONTH(BDRIOSJ[[#This Row],[FECHA]])</f>
        <v>11</v>
      </c>
      <c r="D521" s="50" t="s">
        <v>246</v>
      </c>
      <c r="E521" s="49" t="s">
        <v>113</v>
      </c>
      <c r="F521" s="65">
        <v>4.5705999999999998</v>
      </c>
    </row>
    <row r="522" spans="2:6" hidden="1" x14ac:dyDescent="0.25">
      <c r="B522" s="51">
        <f>YEAR(BDRIOSJ[[#This Row],[FECHA]])</f>
        <v>2023</v>
      </c>
      <c r="C522" s="51">
        <f>MONTH(BDRIOSJ[[#This Row],[FECHA]])</f>
        <v>11</v>
      </c>
      <c r="D522" s="50" t="s">
        <v>246</v>
      </c>
      <c r="E522" s="49" t="s">
        <v>111</v>
      </c>
      <c r="F522" s="65">
        <v>4.5705999999999998</v>
      </c>
    </row>
    <row r="523" spans="2:6" hidden="1" x14ac:dyDescent="0.25">
      <c r="B523" s="51">
        <f>YEAR(BDRIOSJ[[#This Row],[FECHA]])</f>
        <v>2023</v>
      </c>
      <c r="C523" s="51">
        <f>MONTH(BDRIOSJ[[#This Row],[FECHA]])</f>
        <v>11</v>
      </c>
      <c r="D523" s="50" t="s">
        <v>247</v>
      </c>
      <c r="E523" s="49" t="s">
        <v>115</v>
      </c>
      <c r="F523" s="65">
        <v>4.5705999999999998</v>
      </c>
    </row>
    <row r="524" spans="2:6" hidden="1" x14ac:dyDescent="0.25">
      <c r="B524" s="51">
        <f>YEAR(BDRIOSJ[[#This Row],[FECHA]])</f>
        <v>2023</v>
      </c>
      <c r="C524" s="51">
        <f>MONTH(BDRIOSJ[[#This Row],[FECHA]])</f>
        <v>11</v>
      </c>
      <c r="D524" s="50" t="s">
        <v>247</v>
      </c>
      <c r="E524" s="49" t="s">
        <v>114</v>
      </c>
      <c r="F524" s="65">
        <v>4.5705999999999998</v>
      </c>
    </row>
    <row r="525" spans="2:6" hidden="1" x14ac:dyDescent="0.25">
      <c r="B525" s="51">
        <f>YEAR(BDRIOSJ[[#This Row],[FECHA]])</f>
        <v>2023</v>
      </c>
      <c r="C525" s="51">
        <f>MONTH(BDRIOSJ[[#This Row],[FECHA]])</f>
        <v>11</v>
      </c>
      <c r="D525" s="50" t="s">
        <v>247</v>
      </c>
      <c r="E525" s="49" t="s">
        <v>113</v>
      </c>
      <c r="F525" s="65">
        <v>4.5705999999999998</v>
      </c>
    </row>
    <row r="526" spans="2:6" hidden="1" x14ac:dyDescent="0.25">
      <c r="B526" s="51">
        <f>YEAR(BDRIOSJ[[#This Row],[FECHA]])</f>
        <v>2023</v>
      </c>
      <c r="C526" s="51">
        <f>MONTH(BDRIOSJ[[#This Row],[FECHA]])</f>
        <v>11</v>
      </c>
      <c r="D526" s="50" t="s">
        <v>247</v>
      </c>
      <c r="E526" s="49" t="s">
        <v>111</v>
      </c>
      <c r="F526" s="65">
        <v>4.5705999999999998</v>
      </c>
    </row>
    <row r="527" spans="2:6" hidden="1" x14ac:dyDescent="0.25">
      <c r="B527" s="51">
        <f>YEAR(BDRIOSJ[[#This Row],[FECHA]])</f>
        <v>2023</v>
      </c>
      <c r="C527" s="51">
        <f>MONTH(BDRIOSJ[[#This Row],[FECHA]])</f>
        <v>11</v>
      </c>
      <c r="D527" s="50" t="s">
        <v>248</v>
      </c>
      <c r="E527" s="49" t="s">
        <v>115</v>
      </c>
      <c r="F527" s="65">
        <v>2.8334999999999999</v>
      </c>
    </row>
    <row r="528" spans="2:6" hidden="1" x14ac:dyDescent="0.25">
      <c r="B528" s="51">
        <f>YEAR(BDRIOSJ[[#This Row],[FECHA]])</f>
        <v>2023</v>
      </c>
      <c r="C528" s="51">
        <f>MONTH(BDRIOSJ[[#This Row],[FECHA]])</f>
        <v>11</v>
      </c>
      <c r="D528" s="50" t="s">
        <v>248</v>
      </c>
      <c r="E528" s="49" t="s">
        <v>114</v>
      </c>
      <c r="F528" s="65">
        <v>2.8334999999999999</v>
      </c>
    </row>
    <row r="529" spans="2:6" hidden="1" x14ac:dyDescent="0.25">
      <c r="B529" s="51">
        <f>YEAR(BDRIOSJ[[#This Row],[FECHA]])</f>
        <v>2023</v>
      </c>
      <c r="C529" s="51">
        <f>MONTH(BDRIOSJ[[#This Row],[FECHA]])</f>
        <v>11</v>
      </c>
      <c r="D529" s="50" t="s">
        <v>248</v>
      </c>
      <c r="E529" s="49" t="s">
        <v>113</v>
      </c>
      <c r="F529" s="65">
        <v>2.8334999999999999</v>
      </c>
    </row>
    <row r="530" spans="2:6" hidden="1" x14ac:dyDescent="0.25">
      <c r="B530" s="51">
        <f>YEAR(BDRIOSJ[[#This Row],[FECHA]])</f>
        <v>2023</v>
      </c>
      <c r="C530" s="51">
        <f>MONTH(BDRIOSJ[[#This Row],[FECHA]])</f>
        <v>11</v>
      </c>
      <c r="D530" s="50" t="s">
        <v>248</v>
      </c>
      <c r="E530" s="49" t="s">
        <v>111</v>
      </c>
      <c r="F530" s="65">
        <v>2.8334999999999999</v>
      </c>
    </row>
    <row r="531" spans="2:6" hidden="1" x14ac:dyDescent="0.25">
      <c r="B531" s="51">
        <f>YEAR(BDRIOSJ[[#This Row],[FECHA]])</f>
        <v>2023</v>
      </c>
      <c r="C531" s="51">
        <f>MONTH(BDRIOSJ[[#This Row],[FECHA]])</f>
        <v>11</v>
      </c>
      <c r="D531" s="50" t="s">
        <v>249</v>
      </c>
      <c r="E531" s="49" t="s">
        <v>115</v>
      </c>
      <c r="F531" s="65">
        <v>2.8334999999999999</v>
      </c>
    </row>
    <row r="532" spans="2:6" hidden="1" x14ac:dyDescent="0.25">
      <c r="B532" s="51">
        <f>YEAR(BDRIOSJ[[#This Row],[FECHA]])</f>
        <v>2023</v>
      </c>
      <c r="C532" s="51">
        <f>MONTH(BDRIOSJ[[#This Row],[FECHA]])</f>
        <v>11</v>
      </c>
      <c r="D532" s="50" t="s">
        <v>249</v>
      </c>
      <c r="E532" s="49" t="s">
        <v>114</v>
      </c>
      <c r="F532" s="65">
        <v>2.8334999999999999</v>
      </c>
    </row>
    <row r="533" spans="2:6" hidden="1" x14ac:dyDescent="0.25">
      <c r="B533" s="51">
        <f>YEAR(BDRIOSJ[[#This Row],[FECHA]])</f>
        <v>2023</v>
      </c>
      <c r="C533" s="51">
        <f>MONTH(BDRIOSJ[[#This Row],[FECHA]])</f>
        <v>11</v>
      </c>
      <c r="D533" s="50" t="s">
        <v>249</v>
      </c>
      <c r="E533" s="49" t="s">
        <v>113</v>
      </c>
      <c r="F533" s="65">
        <v>2.8334999999999999</v>
      </c>
    </row>
    <row r="534" spans="2:6" hidden="1" x14ac:dyDescent="0.25">
      <c r="B534" s="51">
        <f>YEAR(BDRIOSJ[[#This Row],[FECHA]])</f>
        <v>2023</v>
      </c>
      <c r="C534" s="51">
        <f>MONTH(BDRIOSJ[[#This Row],[FECHA]])</f>
        <v>11</v>
      </c>
      <c r="D534" s="50" t="s">
        <v>249</v>
      </c>
      <c r="E534" s="49" t="s">
        <v>111</v>
      </c>
      <c r="F534" s="65">
        <v>2.8334999999999999</v>
      </c>
    </row>
    <row r="535" spans="2:6" hidden="1" x14ac:dyDescent="0.25">
      <c r="B535" s="51">
        <f>YEAR(BDRIOSJ[[#This Row],[FECHA]])</f>
        <v>2023</v>
      </c>
      <c r="C535" s="51">
        <f>MONTH(BDRIOSJ[[#This Row],[FECHA]])</f>
        <v>11</v>
      </c>
      <c r="D535" s="50" t="s">
        <v>250</v>
      </c>
      <c r="E535" s="49" t="s">
        <v>115</v>
      </c>
      <c r="F535" s="65">
        <v>2.4662999999999999</v>
      </c>
    </row>
    <row r="536" spans="2:6" hidden="1" x14ac:dyDescent="0.25">
      <c r="B536" s="51">
        <f>YEAR(BDRIOSJ[[#This Row],[FECHA]])</f>
        <v>2023</v>
      </c>
      <c r="C536" s="51">
        <f>MONTH(BDRIOSJ[[#This Row],[FECHA]])</f>
        <v>11</v>
      </c>
      <c r="D536" s="50" t="s">
        <v>250</v>
      </c>
      <c r="E536" s="49" t="s">
        <v>114</v>
      </c>
      <c r="F536" s="65">
        <v>2.8334999999999999</v>
      </c>
    </row>
    <row r="537" spans="2:6" hidden="1" x14ac:dyDescent="0.25">
      <c r="B537" s="51">
        <f>YEAR(BDRIOSJ[[#This Row],[FECHA]])</f>
        <v>2023</v>
      </c>
      <c r="C537" s="51">
        <f>MONTH(BDRIOSJ[[#This Row],[FECHA]])</f>
        <v>11</v>
      </c>
      <c r="D537" s="50" t="s">
        <v>250</v>
      </c>
      <c r="E537" s="49" t="s">
        <v>113</v>
      </c>
      <c r="F537" s="65">
        <v>2.8334999999999999</v>
      </c>
    </row>
    <row r="538" spans="2:6" hidden="1" x14ac:dyDescent="0.25">
      <c r="B538" s="51">
        <f>YEAR(BDRIOSJ[[#This Row],[FECHA]])</f>
        <v>2023</v>
      </c>
      <c r="C538" s="51">
        <f>MONTH(BDRIOSJ[[#This Row],[FECHA]])</f>
        <v>11</v>
      </c>
      <c r="D538" s="50" t="s">
        <v>250</v>
      </c>
      <c r="E538" s="49" t="s">
        <v>111</v>
      </c>
      <c r="F538" s="65">
        <v>2.8334999999999999</v>
      </c>
    </row>
    <row r="539" spans="2:6" hidden="1" x14ac:dyDescent="0.25">
      <c r="B539" s="51">
        <f>YEAR(BDRIOSJ[[#This Row],[FECHA]])</f>
        <v>2023</v>
      </c>
      <c r="C539" s="51">
        <f>MONTH(BDRIOSJ[[#This Row],[FECHA]])</f>
        <v>11</v>
      </c>
      <c r="D539" s="50" t="s">
        <v>251</v>
      </c>
      <c r="E539" s="49" t="s">
        <v>115</v>
      </c>
      <c r="F539" s="65">
        <v>3.2193999999999998</v>
      </c>
    </row>
    <row r="540" spans="2:6" hidden="1" x14ac:dyDescent="0.25">
      <c r="B540" s="51">
        <f>YEAR(BDRIOSJ[[#This Row],[FECHA]])</f>
        <v>2023</v>
      </c>
      <c r="C540" s="51">
        <f>MONTH(BDRIOSJ[[#This Row],[FECHA]])</f>
        <v>11</v>
      </c>
      <c r="D540" s="50" t="s">
        <v>251</v>
      </c>
      <c r="E540" s="49" t="s">
        <v>114</v>
      </c>
      <c r="F540" s="65">
        <v>3.2193999999999998</v>
      </c>
    </row>
    <row r="541" spans="2:6" hidden="1" x14ac:dyDescent="0.25">
      <c r="B541" s="51">
        <f>YEAR(BDRIOSJ[[#This Row],[FECHA]])</f>
        <v>2023</v>
      </c>
      <c r="C541" s="51">
        <f>MONTH(BDRIOSJ[[#This Row],[FECHA]])</f>
        <v>11</v>
      </c>
      <c r="D541" s="50" t="s">
        <v>251</v>
      </c>
      <c r="E541" s="49" t="s">
        <v>113</v>
      </c>
      <c r="F541" s="65">
        <v>3.2193999999999998</v>
      </c>
    </row>
    <row r="542" spans="2:6" hidden="1" x14ac:dyDescent="0.25">
      <c r="B542" s="51">
        <f>YEAR(BDRIOSJ[[#This Row],[FECHA]])</f>
        <v>2023</v>
      </c>
      <c r="C542" s="51">
        <f>MONTH(BDRIOSJ[[#This Row],[FECHA]])</f>
        <v>11</v>
      </c>
      <c r="D542" s="50" t="s">
        <v>251</v>
      </c>
      <c r="E542" s="49" t="s">
        <v>111</v>
      </c>
      <c r="F542" s="65">
        <v>2.8334999999999999</v>
      </c>
    </row>
    <row r="543" spans="2:6" hidden="1" x14ac:dyDescent="0.25">
      <c r="B543" s="51">
        <f>YEAR(BDRIOSJ[[#This Row],[FECHA]])</f>
        <v>2023</v>
      </c>
      <c r="C543" s="51">
        <f>MONTH(BDRIOSJ[[#This Row],[FECHA]])</f>
        <v>11</v>
      </c>
      <c r="D543" s="50" t="s">
        <v>252</v>
      </c>
      <c r="E543" s="49" t="s">
        <v>115</v>
      </c>
      <c r="F543" s="65">
        <v>3.2193999999999998</v>
      </c>
    </row>
    <row r="544" spans="2:6" hidden="1" x14ac:dyDescent="0.25">
      <c r="B544" s="51">
        <f>YEAR(BDRIOSJ[[#This Row],[FECHA]])</f>
        <v>2023</v>
      </c>
      <c r="C544" s="51">
        <f>MONTH(BDRIOSJ[[#This Row],[FECHA]])</f>
        <v>11</v>
      </c>
      <c r="D544" s="50" t="s">
        <v>252</v>
      </c>
      <c r="E544" s="49" t="s">
        <v>114</v>
      </c>
      <c r="F544" s="65">
        <v>3.2193999999999998</v>
      </c>
    </row>
    <row r="545" spans="2:6" hidden="1" x14ac:dyDescent="0.25">
      <c r="B545" s="51">
        <f>YEAR(BDRIOSJ[[#This Row],[FECHA]])</f>
        <v>2023</v>
      </c>
      <c r="C545" s="51">
        <f>MONTH(BDRIOSJ[[#This Row],[FECHA]])</f>
        <v>11</v>
      </c>
      <c r="D545" s="50" t="s">
        <v>252</v>
      </c>
      <c r="E545" s="49" t="s">
        <v>113</v>
      </c>
      <c r="F545" s="65">
        <v>3.2193999999999998</v>
      </c>
    </row>
    <row r="546" spans="2:6" hidden="1" x14ac:dyDescent="0.25">
      <c r="B546" s="51">
        <f>YEAR(BDRIOSJ[[#This Row],[FECHA]])</f>
        <v>2023</v>
      </c>
      <c r="C546" s="51">
        <f>MONTH(BDRIOSJ[[#This Row],[FECHA]])</f>
        <v>11</v>
      </c>
      <c r="D546" s="50" t="s">
        <v>252</v>
      </c>
      <c r="E546" s="49" t="s">
        <v>111</v>
      </c>
      <c r="F546" s="65">
        <v>3.2193999999999998</v>
      </c>
    </row>
    <row r="547" spans="2:6" hidden="1" x14ac:dyDescent="0.25">
      <c r="B547" s="51">
        <f>YEAR(BDRIOSJ[[#This Row],[FECHA]])</f>
        <v>2023</v>
      </c>
      <c r="C547" s="51">
        <f>MONTH(BDRIOSJ[[#This Row],[FECHA]])</f>
        <v>11</v>
      </c>
      <c r="D547" s="50" t="s">
        <v>253</v>
      </c>
      <c r="E547" s="49" t="s">
        <v>115</v>
      </c>
      <c r="F547" s="65">
        <v>3.6238999999999999</v>
      </c>
    </row>
    <row r="548" spans="2:6" hidden="1" x14ac:dyDescent="0.25">
      <c r="B548" s="51">
        <f>YEAR(BDRIOSJ[[#This Row],[FECHA]])</f>
        <v>2023</v>
      </c>
      <c r="C548" s="51">
        <f>MONTH(BDRIOSJ[[#This Row],[FECHA]])</f>
        <v>11</v>
      </c>
      <c r="D548" s="50" t="s">
        <v>253</v>
      </c>
      <c r="E548" s="49" t="s">
        <v>114</v>
      </c>
      <c r="F548" s="65">
        <v>3.6238999999999999</v>
      </c>
    </row>
    <row r="549" spans="2:6" hidden="1" x14ac:dyDescent="0.25">
      <c r="B549" s="51">
        <f>YEAR(BDRIOSJ[[#This Row],[FECHA]])</f>
        <v>2023</v>
      </c>
      <c r="C549" s="51">
        <f>MONTH(BDRIOSJ[[#This Row],[FECHA]])</f>
        <v>11</v>
      </c>
      <c r="D549" s="50" t="s">
        <v>253</v>
      </c>
      <c r="E549" s="49" t="s">
        <v>113</v>
      </c>
      <c r="F549" s="65">
        <v>3.6238999999999999</v>
      </c>
    </row>
    <row r="550" spans="2:6" hidden="1" x14ac:dyDescent="0.25">
      <c r="B550" s="51">
        <f>YEAR(BDRIOSJ[[#This Row],[FECHA]])</f>
        <v>2023</v>
      </c>
      <c r="C550" s="51">
        <f>MONTH(BDRIOSJ[[#This Row],[FECHA]])</f>
        <v>11</v>
      </c>
      <c r="D550" s="50" t="s">
        <v>253</v>
      </c>
      <c r="E550" s="49" t="s">
        <v>111</v>
      </c>
      <c r="F550" s="65">
        <v>3.2193999999999998</v>
      </c>
    </row>
    <row r="551" spans="2:6" hidden="1" x14ac:dyDescent="0.25">
      <c r="B551" s="51">
        <f>YEAR(BDRIOSJ[[#This Row],[FECHA]])</f>
        <v>2023</v>
      </c>
      <c r="C551" s="51">
        <f>MONTH(BDRIOSJ[[#This Row],[FECHA]])</f>
        <v>11</v>
      </c>
      <c r="D551" s="50" t="s">
        <v>254</v>
      </c>
      <c r="E551" s="49" t="s">
        <v>115</v>
      </c>
      <c r="F551" s="65">
        <v>3.6238999999999999</v>
      </c>
    </row>
    <row r="552" spans="2:6" hidden="1" x14ac:dyDescent="0.25">
      <c r="B552" s="51">
        <f>YEAR(BDRIOSJ[[#This Row],[FECHA]])</f>
        <v>2023</v>
      </c>
      <c r="C552" s="51">
        <f>MONTH(BDRIOSJ[[#This Row],[FECHA]])</f>
        <v>11</v>
      </c>
      <c r="D552" s="50" t="s">
        <v>254</v>
      </c>
      <c r="E552" s="49" t="s">
        <v>114</v>
      </c>
      <c r="F552" s="65">
        <v>3.6238999999999999</v>
      </c>
    </row>
    <row r="553" spans="2:6" hidden="1" x14ac:dyDescent="0.25">
      <c r="B553" s="51">
        <f>YEAR(BDRIOSJ[[#This Row],[FECHA]])</f>
        <v>2023</v>
      </c>
      <c r="C553" s="51">
        <f>MONTH(BDRIOSJ[[#This Row],[FECHA]])</f>
        <v>11</v>
      </c>
      <c r="D553" s="50" t="s">
        <v>254</v>
      </c>
      <c r="E553" s="49" t="s">
        <v>113</v>
      </c>
      <c r="F553" s="65">
        <v>3.6238999999999999</v>
      </c>
    </row>
    <row r="554" spans="2:6" hidden="1" x14ac:dyDescent="0.25">
      <c r="B554" s="51">
        <f>YEAR(BDRIOSJ[[#This Row],[FECHA]])</f>
        <v>2023</v>
      </c>
      <c r="C554" s="51">
        <f>MONTH(BDRIOSJ[[#This Row],[FECHA]])</f>
        <v>11</v>
      </c>
      <c r="D554" s="50" t="s">
        <v>254</v>
      </c>
      <c r="E554" s="49" t="s">
        <v>111</v>
      </c>
      <c r="F554" s="65">
        <v>3.6238999999999999</v>
      </c>
    </row>
    <row r="555" spans="2:6" hidden="1" x14ac:dyDescent="0.25">
      <c r="B555" s="51">
        <f>YEAR(BDRIOSJ[[#This Row],[FECHA]])</f>
        <v>2023</v>
      </c>
      <c r="C555" s="51">
        <f>MONTH(BDRIOSJ[[#This Row],[FECHA]])</f>
        <v>11</v>
      </c>
      <c r="D555" s="50" t="s">
        <v>255</v>
      </c>
      <c r="E555" s="49" t="s">
        <v>115</v>
      </c>
      <c r="F555" s="65">
        <v>4.0472000000000001</v>
      </c>
    </row>
    <row r="556" spans="2:6" hidden="1" x14ac:dyDescent="0.25">
      <c r="B556" s="51">
        <f>YEAR(BDRIOSJ[[#This Row],[FECHA]])</f>
        <v>2023</v>
      </c>
      <c r="C556" s="51">
        <f>MONTH(BDRIOSJ[[#This Row],[FECHA]])</f>
        <v>11</v>
      </c>
      <c r="D556" s="50" t="s">
        <v>255</v>
      </c>
      <c r="E556" s="49" t="s">
        <v>114</v>
      </c>
      <c r="F556" s="65">
        <v>4.0472000000000001</v>
      </c>
    </row>
    <row r="557" spans="2:6" hidden="1" x14ac:dyDescent="0.25">
      <c r="B557" s="51">
        <f>YEAR(BDRIOSJ[[#This Row],[FECHA]])</f>
        <v>2023</v>
      </c>
      <c r="C557" s="51">
        <f>MONTH(BDRIOSJ[[#This Row],[FECHA]])</f>
        <v>11</v>
      </c>
      <c r="D557" s="50" t="s">
        <v>255</v>
      </c>
      <c r="E557" s="49" t="s">
        <v>113</v>
      </c>
      <c r="F557" s="65">
        <v>3.6238999999999999</v>
      </c>
    </row>
    <row r="558" spans="2:6" hidden="1" x14ac:dyDescent="0.25">
      <c r="B558" s="51">
        <f>YEAR(BDRIOSJ[[#This Row],[FECHA]])</f>
        <v>2023</v>
      </c>
      <c r="C558" s="51">
        <f>MONTH(BDRIOSJ[[#This Row],[FECHA]])</f>
        <v>11</v>
      </c>
      <c r="D558" s="50" t="s">
        <v>255</v>
      </c>
      <c r="E558" s="49" t="s">
        <v>111</v>
      </c>
      <c r="F558" s="65">
        <v>3.6238999999999999</v>
      </c>
    </row>
    <row r="559" spans="2:6" hidden="1" x14ac:dyDescent="0.25">
      <c r="B559" s="51">
        <f>YEAR(BDRIOSJ[[#This Row],[FECHA]])</f>
        <v>2023</v>
      </c>
      <c r="C559" s="51">
        <f>MONTH(BDRIOSJ[[#This Row],[FECHA]])</f>
        <v>11</v>
      </c>
      <c r="D559" s="50" t="s">
        <v>256</v>
      </c>
      <c r="E559" s="49" t="s">
        <v>115</v>
      </c>
      <c r="F559" s="65">
        <v>4.0472000000000001</v>
      </c>
    </row>
    <row r="560" spans="2:6" hidden="1" x14ac:dyDescent="0.25">
      <c r="B560" s="51">
        <f>YEAR(BDRIOSJ[[#This Row],[FECHA]])</f>
        <v>2023</v>
      </c>
      <c r="C560" s="51">
        <f>MONTH(BDRIOSJ[[#This Row],[FECHA]])</f>
        <v>11</v>
      </c>
      <c r="D560" s="50" t="s">
        <v>256</v>
      </c>
      <c r="E560" s="49" t="s">
        <v>114</v>
      </c>
      <c r="F560" s="65">
        <v>4.0472000000000001</v>
      </c>
    </row>
    <row r="561" spans="2:6" hidden="1" x14ac:dyDescent="0.25">
      <c r="B561" s="51">
        <f>YEAR(BDRIOSJ[[#This Row],[FECHA]])</f>
        <v>2023</v>
      </c>
      <c r="C561" s="51">
        <f>MONTH(BDRIOSJ[[#This Row],[FECHA]])</f>
        <v>11</v>
      </c>
      <c r="D561" s="50" t="s">
        <v>256</v>
      </c>
      <c r="E561" s="49" t="s">
        <v>113</v>
      </c>
      <c r="F561" s="65">
        <v>3.6238999999999999</v>
      </c>
    </row>
    <row r="562" spans="2:6" hidden="1" x14ac:dyDescent="0.25">
      <c r="B562" s="51">
        <f>YEAR(BDRIOSJ[[#This Row],[FECHA]])</f>
        <v>2023</v>
      </c>
      <c r="C562" s="51">
        <f>MONTH(BDRIOSJ[[#This Row],[FECHA]])</f>
        <v>11</v>
      </c>
      <c r="D562" s="50" t="s">
        <v>256</v>
      </c>
      <c r="E562" s="49" t="s">
        <v>111</v>
      </c>
      <c r="F562" s="65">
        <v>4.0472000000000001</v>
      </c>
    </row>
    <row r="563" spans="2:6" hidden="1" x14ac:dyDescent="0.25">
      <c r="B563" s="51">
        <f>YEAR(BDRIOSJ[[#This Row],[FECHA]])</f>
        <v>2023</v>
      </c>
      <c r="C563" s="51">
        <f>MONTH(BDRIOSJ[[#This Row],[FECHA]])</f>
        <v>11</v>
      </c>
      <c r="D563" s="50" t="s">
        <v>257</v>
      </c>
      <c r="E563" s="49" t="s">
        <v>115</v>
      </c>
      <c r="F563" s="65">
        <v>4.0472000000000001</v>
      </c>
    </row>
    <row r="564" spans="2:6" hidden="1" x14ac:dyDescent="0.25">
      <c r="B564" s="51">
        <f>YEAR(BDRIOSJ[[#This Row],[FECHA]])</f>
        <v>2023</v>
      </c>
      <c r="C564" s="51">
        <f>MONTH(BDRIOSJ[[#This Row],[FECHA]])</f>
        <v>11</v>
      </c>
      <c r="D564" s="50" t="s">
        <v>257</v>
      </c>
      <c r="E564" s="49" t="s">
        <v>114</v>
      </c>
      <c r="F564" s="65">
        <v>4.0472000000000001</v>
      </c>
    </row>
    <row r="565" spans="2:6" hidden="1" x14ac:dyDescent="0.25">
      <c r="B565" s="51">
        <f>YEAR(BDRIOSJ[[#This Row],[FECHA]])</f>
        <v>2023</v>
      </c>
      <c r="C565" s="51">
        <f>MONTH(BDRIOSJ[[#This Row],[FECHA]])</f>
        <v>11</v>
      </c>
      <c r="D565" s="50" t="s">
        <v>257</v>
      </c>
      <c r="E565" s="49" t="s">
        <v>113</v>
      </c>
      <c r="F565" s="65">
        <v>4.0472000000000001</v>
      </c>
    </row>
    <row r="566" spans="2:6" hidden="1" x14ac:dyDescent="0.25">
      <c r="B566" s="51">
        <f>YEAR(BDRIOSJ[[#This Row],[FECHA]])</f>
        <v>2023</v>
      </c>
      <c r="C566" s="51">
        <f>MONTH(BDRIOSJ[[#This Row],[FECHA]])</f>
        <v>11</v>
      </c>
      <c r="D566" s="50" t="s">
        <v>257</v>
      </c>
      <c r="E566" s="49" t="s">
        <v>111</v>
      </c>
      <c r="F566" s="65">
        <v>4.0472000000000001</v>
      </c>
    </row>
    <row r="567" spans="2:6" hidden="1" x14ac:dyDescent="0.25">
      <c r="B567" s="51">
        <f>YEAR(BDRIOSJ[[#This Row],[FECHA]])</f>
        <v>2023</v>
      </c>
      <c r="C567" s="51">
        <f>MONTH(BDRIOSJ[[#This Row],[FECHA]])</f>
        <v>11</v>
      </c>
      <c r="D567" s="50" t="s">
        <v>258</v>
      </c>
      <c r="E567" s="49" t="s">
        <v>115</v>
      </c>
      <c r="F567" s="65">
        <v>3.6238999999999999</v>
      </c>
    </row>
    <row r="568" spans="2:6" hidden="1" x14ac:dyDescent="0.25">
      <c r="B568" s="51">
        <f>YEAR(BDRIOSJ[[#This Row],[FECHA]])</f>
        <v>2023</v>
      </c>
      <c r="C568" s="51">
        <f>MONTH(BDRIOSJ[[#This Row],[FECHA]])</f>
        <v>11</v>
      </c>
      <c r="D568" s="50" t="s">
        <v>258</v>
      </c>
      <c r="E568" s="49" t="s">
        <v>114</v>
      </c>
      <c r="F568" s="65">
        <v>3.6238999999999999</v>
      </c>
    </row>
    <row r="569" spans="2:6" hidden="1" x14ac:dyDescent="0.25">
      <c r="B569" s="51">
        <f>YEAR(BDRIOSJ[[#This Row],[FECHA]])</f>
        <v>2023</v>
      </c>
      <c r="C569" s="51">
        <f>MONTH(BDRIOSJ[[#This Row],[FECHA]])</f>
        <v>11</v>
      </c>
      <c r="D569" s="50" t="s">
        <v>258</v>
      </c>
      <c r="E569" s="49" t="s">
        <v>113</v>
      </c>
      <c r="F569" s="65">
        <v>4.0472000000000001</v>
      </c>
    </row>
    <row r="570" spans="2:6" hidden="1" x14ac:dyDescent="0.25">
      <c r="B570" s="51">
        <f>YEAR(BDRIOSJ[[#This Row],[FECHA]])</f>
        <v>2023</v>
      </c>
      <c r="C570" s="51">
        <f>MONTH(BDRIOSJ[[#This Row],[FECHA]])</f>
        <v>11</v>
      </c>
      <c r="D570" s="50" t="s">
        <v>258</v>
      </c>
      <c r="E570" s="49" t="s">
        <v>111</v>
      </c>
      <c r="F570" s="65">
        <v>4.0472000000000001</v>
      </c>
    </row>
    <row r="571" spans="2:6" hidden="1" x14ac:dyDescent="0.25">
      <c r="B571" s="51">
        <f>YEAR(BDRIOSJ[[#This Row],[FECHA]])</f>
        <v>2023</v>
      </c>
      <c r="C571" s="51">
        <f>MONTH(BDRIOSJ[[#This Row],[FECHA]])</f>
        <v>11</v>
      </c>
      <c r="D571" s="50" t="s">
        <v>259</v>
      </c>
      <c r="E571" s="49" t="s">
        <v>115</v>
      </c>
      <c r="F571" s="65">
        <v>3.6238999999999999</v>
      </c>
    </row>
    <row r="572" spans="2:6" hidden="1" x14ac:dyDescent="0.25">
      <c r="B572" s="51">
        <f>YEAR(BDRIOSJ[[#This Row],[FECHA]])</f>
        <v>2023</v>
      </c>
      <c r="C572" s="51">
        <f>MONTH(BDRIOSJ[[#This Row],[FECHA]])</f>
        <v>11</v>
      </c>
      <c r="D572" s="50" t="s">
        <v>259</v>
      </c>
      <c r="E572" s="49" t="s">
        <v>114</v>
      </c>
      <c r="F572" s="65">
        <v>3.6238999999999999</v>
      </c>
    </row>
    <row r="573" spans="2:6" hidden="1" x14ac:dyDescent="0.25">
      <c r="B573" s="51">
        <f>YEAR(BDRIOSJ[[#This Row],[FECHA]])</f>
        <v>2023</v>
      </c>
      <c r="C573" s="51">
        <f>MONTH(BDRIOSJ[[#This Row],[FECHA]])</f>
        <v>11</v>
      </c>
      <c r="D573" s="50" t="s">
        <v>259</v>
      </c>
      <c r="E573" s="49" t="s">
        <v>113</v>
      </c>
      <c r="F573" s="65">
        <v>3.6238999999999999</v>
      </c>
    </row>
    <row r="574" spans="2:6" hidden="1" x14ac:dyDescent="0.25">
      <c r="B574" s="51">
        <f>YEAR(BDRIOSJ[[#This Row],[FECHA]])</f>
        <v>2023</v>
      </c>
      <c r="C574" s="51">
        <f>MONTH(BDRIOSJ[[#This Row],[FECHA]])</f>
        <v>11</v>
      </c>
      <c r="D574" s="50" t="s">
        <v>259</v>
      </c>
      <c r="E574" s="49" t="s">
        <v>111</v>
      </c>
      <c r="F574" s="65">
        <v>3.6238999999999999</v>
      </c>
    </row>
    <row r="575" spans="2:6" hidden="1" x14ac:dyDescent="0.25">
      <c r="B575" s="51">
        <f>YEAR(BDRIOSJ[[#This Row],[FECHA]])</f>
        <v>2023</v>
      </c>
      <c r="C575" s="51">
        <f>MONTH(BDRIOSJ[[#This Row],[FECHA]])</f>
        <v>11</v>
      </c>
      <c r="D575" s="50" t="s">
        <v>260</v>
      </c>
      <c r="E575" s="49" t="s">
        <v>115</v>
      </c>
      <c r="F575" s="65">
        <v>3.6238999999999999</v>
      </c>
    </row>
    <row r="576" spans="2:6" hidden="1" x14ac:dyDescent="0.25">
      <c r="B576" s="51">
        <f>YEAR(BDRIOSJ[[#This Row],[FECHA]])</f>
        <v>2023</v>
      </c>
      <c r="C576" s="51">
        <f>MONTH(BDRIOSJ[[#This Row],[FECHA]])</f>
        <v>11</v>
      </c>
      <c r="D576" s="50" t="s">
        <v>260</v>
      </c>
      <c r="E576" s="49" t="s">
        <v>114</v>
      </c>
      <c r="F576" s="65">
        <v>3.6238999999999999</v>
      </c>
    </row>
    <row r="577" spans="2:6" hidden="1" x14ac:dyDescent="0.25">
      <c r="B577" s="51">
        <f>YEAR(BDRIOSJ[[#This Row],[FECHA]])</f>
        <v>2023</v>
      </c>
      <c r="C577" s="51">
        <f>MONTH(BDRIOSJ[[#This Row],[FECHA]])</f>
        <v>11</v>
      </c>
      <c r="D577" s="50" t="s">
        <v>260</v>
      </c>
      <c r="E577" s="49" t="s">
        <v>113</v>
      </c>
      <c r="F577" s="65">
        <v>3.6238999999999999</v>
      </c>
    </row>
    <row r="578" spans="2:6" hidden="1" x14ac:dyDescent="0.25">
      <c r="B578" s="51">
        <f>YEAR(BDRIOSJ[[#This Row],[FECHA]])</f>
        <v>2023</v>
      </c>
      <c r="C578" s="51">
        <f>MONTH(BDRIOSJ[[#This Row],[FECHA]])</f>
        <v>11</v>
      </c>
      <c r="D578" s="50" t="s">
        <v>260</v>
      </c>
      <c r="E578" s="49" t="s">
        <v>111</v>
      </c>
      <c r="F578" s="65">
        <v>3.6238999999999999</v>
      </c>
    </row>
    <row r="579" spans="2:6" hidden="1" x14ac:dyDescent="0.25">
      <c r="B579" s="51">
        <f>YEAR(BDRIOSJ[[#This Row],[FECHA]])</f>
        <v>2023</v>
      </c>
      <c r="C579" s="51">
        <f>MONTH(BDRIOSJ[[#This Row],[FECHA]])</f>
        <v>11</v>
      </c>
      <c r="D579" s="50" t="s">
        <v>261</v>
      </c>
      <c r="E579" s="49" t="s">
        <v>115</v>
      </c>
      <c r="F579" s="65">
        <v>5.9269999999999996</v>
      </c>
    </row>
    <row r="580" spans="2:6" hidden="1" x14ac:dyDescent="0.25">
      <c r="B580" s="51">
        <f>YEAR(BDRIOSJ[[#This Row],[FECHA]])</f>
        <v>2023</v>
      </c>
      <c r="C580" s="51">
        <f>MONTH(BDRIOSJ[[#This Row],[FECHA]])</f>
        <v>11</v>
      </c>
      <c r="D580" s="50" t="s">
        <v>261</v>
      </c>
      <c r="E580" s="49" t="s">
        <v>114</v>
      </c>
      <c r="F580" s="65">
        <v>5.9269999999999996</v>
      </c>
    </row>
    <row r="581" spans="2:6" hidden="1" x14ac:dyDescent="0.25">
      <c r="B581" s="51">
        <f>YEAR(BDRIOSJ[[#This Row],[FECHA]])</f>
        <v>2023</v>
      </c>
      <c r="C581" s="51">
        <f>MONTH(BDRIOSJ[[#This Row],[FECHA]])</f>
        <v>11</v>
      </c>
      <c r="D581" s="50" t="s">
        <v>261</v>
      </c>
      <c r="E581" s="49" t="s">
        <v>113</v>
      </c>
      <c r="F581" s="65">
        <v>5.9269999999999996</v>
      </c>
    </row>
    <row r="582" spans="2:6" hidden="1" x14ac:dyDescent="0.25">
      <c r="B582" s="51">
        <f>YEAR(BDRIOSJ[[#This Row],[FECHA]])</f>
        <v>2023</v>
      </c>
      <c r="C582" s="51">
        <f>MONTH(BDRIOSJ[[#This Row],[FECHA]])</f>
        <v>11</v>
      </c>
      <c r="D582" s="50" t="s">
        <v>261</v>
      </c>
      <c r="E582" s="49" t="s">
        <v>111</v>
      </c>
      <c r="F582" s="65">
        <v>3.6238999999999999</v>
      </c>
    </row>
    <row r="583" spans="2:6" hidden="1" x14ac:dyDescent="0.25">
      <c r="B583" s="51">
        <f>YEAR(BDRIOSJ[[#This Row],[FECHA]])</f>
        <v>2023</v>
      </c>
      <c r="C583" s="51">
        <f>MONTH(BDRIOSJ[[#This Row],[FECHA]])</f>
        <v>11</v>
      </c>
      <c r="D583" s="50" t="s">
        <v>262</v>
      </c>
      <c r="E583" s="49" t="s">
        <v>115</v>
      </c>
      <c r="F583" s="65">
        <v>4.4890999999999996</v>
      </c>
    </row>
    <row r="584" spans="2:6" hidden="1" x14ac:dyDescent="0.25">
      <c r="B584" s="51">
        <f>YEAR(BDRIOSJ[[#This Row],[FECHA]])</f>
        <v>2023</v>
      </c>
      <c r="C584" s="51">
        <f>MONTH(BDRIOSJ[[#This Row],[FECHA]])</f>
        <v>11</v>
      </c>
      <c r="D584" s="50" t="s">
        <v>262</v>
      </c>
      <c r="E584" s="49" t="s">
        <v>114</v>
      </c>
      <c r="F584" s="65">
        <v>4.4890999999999996</v>
      </c>
    </row>
    <row r="585" spans="2:6" hidden="1" x14ac:dyDescent="0.25">
      <c r="B585" s="51">
        <f>YEAR(BDRIOSJ[[#This Row],[FECHA]])</f>
        <v>2023</v>
      </c>
      <c r="C585" s="51">
        <f>MONTH(BDRIOSJ[[#This Row],[FECHA]])</f>
        <v>11</v>
      </c>
      <c r="D585" s="50" t="s">
        <v>262</v>
      </c>
      <c r="E585" s="49" t="s">
        <v>113</v>
      </c>
      <c r="F585" s="65">
        <v>4.4890999999999996</v>
      </c>
    </row>
    <row r="586" spans="2:6" hidden="1" x14ac:dyDescent="0.25">
      <c r="B586" s="51">
        <f>YEAR(BDRIOSJ[[#This Row],[FECHA]])</f>
        <v>2023</v>
      </c>
      <c r="C586" s="51">
        <f>MONTH(BDRIOSJ[[#This Row],[FECHA]])</f>
        <v>11</v>
      </c>
      <c r="D586" s="50" t="s">
        <v>262</v>
      </c>
      <c r="E586" s="49" t="s">
        <v>111</v>
      </c>
      <c r="F586" s="65">
        <v>5.9269999999999996</v>
      </c>
    </row>
    <row r="587" spans="2:6" hidden="1" x14ac:dyDescent="0.25">
      <c r="B587" s="51">
        <f>YEAR(BDRIOSJ[[#This Row],[FECHA]])</f>
        <v>2023</v>
      </c>
      <c r="C587" s="51">
        <f>MONTH(BDRIOSJ[[#This Row],[FECHA]])</f>
        <v>11</v>
      </c>
      <c r="D587" s="50" t="s">
        <v>263</v>
      </c>
      <c r="E587" s="49" t="s">
        <v>115</v>
      </c>
      <c r="F587" s="65">
        <v>5.9269999999999996</v>
      </c>
    </row>
    <row r="588" spans="2:6" hidden="1" x14ac:dyDescent="0.25">
      <c r="B588" s="51">
        <f>YEAR(BDRIOSJ[[#This Row],[FECHA]])</f>
        <v>2023</v>
      </c>
      <c r="C588" s="51">
        <f>MONTH(BDRIOSJ[[#This Row],[FECHA]])</f>
        <v>11</v>
      </c>
      <c r="D588" s="50" t="s">
        <v>263</v>
      </c>
      <c r="E588" s="49" t="s">
        <v>114</v>
      </c>
      <c r="F588" s="65">
        <v>5.9269999999999996</v>
      </c>
    </row>
    <row r="589" spans="2:6" hidden="1" x14ac:dyDescent="0.25">
      <c r="B589" s="51">
        <f>YEAR(BDRIOSJ[[#This Row],[FECHA]])</f>
        <v>2023</v>
      </c>
      <c r="C589" s="51">
        <f>MONTH(BDRIOSJ[[#This Row],[FECHA]])</f>
        <v>11</v>
      </c>
      <c r="D589" s="50" t="s">
        <v>263</v>
      </c>
      <c r="E589" s="49" t="s">
        <v>113</v>
      </c>
      <c r="F589" s="65">
        <v>5.9269999999999996</v>
      </c>
    </row>
    <row r="590" spans="2:6" hidden="1" x14ac:dyDescent="0.25">
      <c r="B590" s="51">
        <f>YEAR(BDRIOSJ[[#This Row],[FECHA]])</f>
        <v>2023</v>
      </c>
      <c r="C590" s="51">
        <f>MONTH(BDRIOSJ[[#This Row],[FECHA]])</f>
        <v>11</v>
      </c>
      <c r="D590" s="50" t="s">
        <v>263</v>
      </c>
      <c r="E590" s="49" t="s">
        <v>111</v>
      </c>
      <c r="F590" s="65">
        <v>5.4290000000000003</v>
      </c>
    </row>
    <row r="591" spans="2:6" hidden="1" x14ac:dyDescent="0.25">
      <c r="B591" s="51">
        <f>YEAR(BDRIOSJ[[#This Row],[FECHA]])</f>
        <v>2023</v>
      </c>
      <c r="C591" s="51">
        <f>MONTH(BDRIOSJ[[#This Row],[FECHA]])</f>
        <v>11</v>
      </c>
      <c r="D591" s="50" t="s">
        <v>264</v>
      </c>
      <c r="E591" s="49" t="s">
        <v>115</v>
      </c>
      <c r="F591" s="65">
        <v>5.4290000000000003</v>
      </c>
    </row>
    <row r="592" spans="2:6" hidden="1" x14ac:dyDescent="0.25">
      <c r="B592" s="51">
        <f>YEAR(BDRIOSJ[[#This Row],[FECHA]])</f>
        <v>2023</v>
      </c>
      <c r="C592" s="51">
        <f>MONTH(BDRIOSJ[[#This Row],[FECHA]])</f>
        <v>11</v>
      </c>
      <c r="D592" s="50" t="s">
        <v>264</v>
      </c>
      <c r="E592" s="49" t="s">
        <v>114</v>
      </c>
      <c r="F592" s="65">
        <v>5.4290000000000003</v>
      </c>
    </row>
    <row r="593" spans="2:6" hidden="1" x14ac:dyDescent="0.25">
      <c r="B593" s="51">
        <f>YEAR(BDRIOSJ[[#This Row],[FECHA]])</f>
        <v>2023</v>
      </c>
      <c r="C593" s="51">
        <f>MONTH(BDRIOSJ[[#This Row],[FECHA]])</f>
        <v>11</v>
      </c>
      <c r="D593" s="50" t="s">
        <v>264</v>
      </c>
      <c r="E593" s="49" t="s">
        <v>113</v>
      </c>
      <c r="F593" s="65">
        <v>5.4290000000000003</v>
      </c>
    </row>
    <row r="594" spans="2:6" hidden="1" x14ac:dyDescent="0.25">
      <c r="B594" s="51">
        <f>YEAR(BDRIOSJ[[#This Row],[FECHA]])</f>
        <v>2023</v>
      </c>
      <c r="C594" s="51">
        <f>MONTH(BDRIOSJ[[#This Row],[FECHA]])</f>
        <v>11</v>
      </c>
      <c r="D594" s="50" t="s">
        <v>264</v>
      </c>
      <c r="E594" s="49" t="s">
        <v>111</v>
      </c>
      <c r="F594" s="65">
        <v>5.4290000000000003</v>
      </c>
    </row>
    <row r="595" spans="2:6" hidden="1" x14ac:dyDescent="0.25">
      <c r="B595" s="51">
        <f>YEAR(BDRIOSJ[[#This Row],[FECHA]])</f>
        <v>2023</v>
      </c>
      <c r="C595" s="51">
        <f>MONTH(BDRIOSJ[[#This Row],[FECHA]])</f>
        <v>11</v>
      </c>
      <c r="D595" s="50" t="s">
        <v>265</v>
      </c>
      <c r="E595" s="49" t="s">
        <v>115</v>
      </c>
      <c r="F595" s="65">
        <v>4.9497</v>
      </c>
    </row>
    <row r="596" spans="2:6" hidden="1" x14ac:dyDescent="0.25">
      <c r="B596" s="51">
        <f>YEAR(BDRIOSJ[[#This Row],[FECHA]])</f>
        <v>2023</v>
      </c>
      <c r="C596" s="51">
        <f>MONTH(BDRIOSJ[[#This Row],[FECHA]])</f>
        <v>11</v>
      </c>
      <c r="D596" s="50" t="s">
        <v>265</v>
      </c>
      <c r="E596" s="49" t="s">
        <v>114</v>
      </c>
      <c r="F596" s="65">
        <v>4.9497</v>
      </c>
    </row>
    <row r="597" spans="2:6" hidden="1" x14ac:dyDescent="0.25">
      <c r="B597" s="51">
        <f>YEAR(BDRIOSJ[[#This Row],[FECHA]])</f>
        <v>2023</v>
      </c>
      <c r="C597" s="51">
        <f>MONTH(BDRIOSJ[[#This Row],[FECHA]])</f>
        <v>11</v>
      </c>
      <c r="D597" s="50" t="s">
        <v>265</v>
      </c>
      <c r="E597" s="49" t="s">
        <v>113</v>
      </c>
      <c r="F597" s="65">
        <v>4.9497</v>
      </c>
    </row>
    <row r="598" spans="2:6" hidden="1" x14ac:dyDescent="0.25">
      <c r="B598" s="51">
        <f>YEAR(BDRIOSJ[[#This Row],[FECHA]])</f>
        <v>2023</v>
      </c>
      <c r="C598" s="51">
        <f>MONTH(BDRIOSJ[[#This Row],[FECHA]])</f>
        <v>11</v>
      </c>
      <c r="D598" s="50" t="s">
        <v>265</v>
      </c>
      <c r="E598" s="49" t="s">
        <v>111</v>
      </c>
      <c r="F598" s="65">
        <v>5.4290000000000003</v>
      </c>
    </row>
    <row r="599" spans="2:6" hidden="1" x14ac:dyDescent="0.25">
      <c r="B599" s="51">
        <f>YEAR(BDRIOSJ[[#This Row],[FECHA]])</f>
        <v>2023</v>
      </c>
      <c r="C599" s="51">
        <f>MONTH(BDRIOSJ[[#This Row],[FECHA]])</f>
        <v>12</v>
      </c>
      <c r="D599" s="50" t="s">
        <v>266</v>
      </c>
      <c r="E599" s="49" t="s">
        <v>115</v>
      </c>
      <c r="F599" s="65">
        <v>5.9269999999999996</v>
      </c>
    </row>
    <row r="600" spans="2:6" hidden="1" x14ac:dyDescent="0.25">
      <c r="B600" s="51">
        <f>YEAR(BDRIOSJ[[#This Row],[FECHA]])</f>
        <v>2023</v>
      </c>
      <c r="C600" s="51">
        <f>MONTH(BDRIOSJ[[#This Row],[FECHA]])</f>
        <v>12</v>
      </c>
      <c r="D600" s="50" t="s">
        <v>266</v>
      </c>
      <c r="E600" s="49" t="s">
        <v>114</v>
      </c>
      <c r="F600" s="65">
        <v>5.9269999999999996</v>
      </c>
    </row>
    <row r="601" spans="2:6" hidden="1" x14ac:dyDescent="0.25">
      <c r="B601" s="51">
        <f>YEAR(BDRIOSJ[[#This Row],[FECHA]])</f>
        <v>2023</v>
      </c>
      <c r="C601" s="51">
        <f>MONTH(BDRIOSJ[[#This Row],[FECHA]])</f>
        <v>12</v>
      </c>
      <c r="D601" s="50" t="s">
        <v>266</v>
      </c>
      <c r="E601" s="49" t="s">
        <v>113</v>
      </c>
      <c r="F601" s="65">
        <v>4.9497</v>
      </c>
    </row>
    <row r="602" spans="2:6" hidden="1" x14ac:dyDescent="0.25">
      <c r="B602" s="51">
        <f>YEAR(BDRIOSJ[[#This Row],[FECHA]])</f>
        <v>2023</v>
      </c>
      <c r="C602" s="51">
        <f>MONTH(BDRIOSJ[[#This Row],[FECHA]])</f>
        <v>12</v>
      </c>
      <c r="D602" s="50" t="s">
        <v>266</v>
      </c>
      <c r="E602" s="49" t="s">
        <v>111</v>
      </c>
      <c r="F602" s="65">
        <v>4.9497</v>
      </c>
    </row>
    <row r="603" spans="2:6" hidden="1" x14ac:dyDescent="0.25">
      <c r="B603" s="51">
        <f>YEAR(BDRIOSJ[[#This Row],[FECHA]])</f>
        <v>2023</v>
      </c>
      <c r="C603" s="51">
        <f>MONTH(BDRIOSJ[[#This Row],[FECHA]])</f>
        <v>12</v>
      </c>
      <c r="D603" s="50" t="s">
        <v>267</v>
      </c>
      <c r="E603" s="49" t="s">
        <v>115</v>
      </c>
      <c r="F603" s="65">
        <v>6.4436</v>
      </c>
    </row>
    <row r="604" spans="2:6" hidden="1" x14ac:dyDescent="0.25">
      <c r="B604" s="51">
        <f>YEAR(BDRIOSJ[[#This Row],[FECHA]])</f>
        <v>2023</v>
      </c>
      <c r="C604" s="51">
        <f>MONTH(BDRIOSJ[[#This Row],[FECHA]])</f>
        <v>12</v>
      </c>
      <c r="D604" s="50" t="s">
        <v>267</v>
      </c>
      <c r="E604" s="49" t="s">
        <v>114</v>
      </c>
      <c r="F604" s="65">
        <v>6.4436</v>
      </c>
    </row>
    <row r="605" spans="2:6" hidden="1" x14ac:dyDescent="0.25">
      <c r="B605" s="51">
        <f>YEAR(BDRIOSJ[[#This Row],[FECHA]])</f>
        <v>2023</v>
      </c>
      <c r="C605" s="51">
        <f>MONTH(BDRIOSJ[[#This Row],[FECHA]])</f>
        <v>12</v>
      </c>
      <c r="D605" s="50" t="s">
        <v>267</v>
      </c>
      <c r="E605" s="49" t="s">
        <v>113</v>
      </c>
      <c r="F605" s="65">
        <v>6.4436</v>
      </c>
    </row>
    <row r="606" spans="2:6" hidden="1" x14ac:dyDescent="0.25">
      <c r="B606" s="51">
        <f>YEAR(BDRIOSJ[[#This Row],[FECHA]])</f>
        <v>2023</v>
      </c>
      <c r="C606" s="51">
        <f>MONTH(BDRIOSJ[[#This Row],[FECHA]])</f>
        <v>12</v>
      </c>
      <c r="D606" s="50" t="s">
        <v>267</v>
      </c>
      <c r="E606" s="49" t="s">
        <v>111</v>
      </c>
      <c r="F606" s="65">
        <v>5.9269999999999996</v>
      </c>
    </row>
    <row r="607" spans="2:6" hidden="1" x14ac:dyDescent="0.25">
      <c r="B607" s="51">
        <f>YEAR(BDRIOSJ[[#This Row],[FECHA]])</f>
        <v>2023</v>
      </c>
      <c r="C607" s="51">
        <f>MONTH(BDRIOSJ[[#This Row],[FECHA]])</f>
        <v>12</v>
      </c>
      <c r="D607" s="50" t="s">
        <v>268</v>
      </c>
      <c r="E607" s="49" t="s">
        <v>115</v>
      </c>
      <c r="F607" s="65">
        <v>6.9790000000000001</v>
      </c>
    </row>
    <row r="608" spans="2:6" hidden="1" x14ac:dyDescent="0.25">
      <c r="B608" s="51">
        <f>YEAR(BDRIOSJ[[#This Row],[FECHA]])</f>
        <v>2023</v>
      </c>
      <c r="C608" s="51">
        <f>MONTH(BDRIOSJ[[#This Row],[FECHA]])</f>
        <v>12</v>
      </c>
      <c r="D608" s="50" t="s">
        <v>268</v>
      </c>
      <c r="E608" s="49" t="s">
        <v>114</v>
      </c>
      <c r="F608" s="65">
        <v>6.9790000000000001</v>
      </c>
    </row>
    <row r="609" spans="2:6" hidden="1" x14ac:dyDescent="0.25">
      <c r="B609" s="51">
        <f>YEAR(BDRIOSJ[[#This Row],[FECHA]])</f>
        <v>2023</v>
      </c>
      <c r="C609" s="51">
        <f>MONTH(BDRIOSJ[[#This Row],[FECHA]])</f>
        <v>12</v>
      </c>
      <c r="D609" s="50" t="s">
        <v>268</v>
      </c>
      <c r="E609" s="49" t="s">
        <v>113</v>
      </c>
      <c r="F609" s="65">
        <v>6.4436</v>
      </c>
    </row>
    <row r="610" spans="2:6" hidden="1" x14ac:dyDescent="0.25">
      <c r="B610" s="51">
        <f>YEAR(BDRIOSJ[[#This Row],[FECHA]])</f>
        <v>2023</v>
      </c>
      <c r="C610" s="51">
        <f>MONTH(BDRIOSJ[[#This Row],[FECHA]])</f>
        <v>12</v>
      </c>
      <c r="D610" s="50" t="s">
        <v>268</v>
      </c>
      <c r="E610" s="49" t="s">
        <v>111</v>
      </c>
      <c r="F610" s="65">
        <v>6.4436</v>
      </c>
    </row>
    <row r="611" spans="2:6" hidden="1" x14ac:dyDescent="0.25">
      <c r="B611" s="51">
        <f>YEAR(BDRIOSJ[[#This Row],[FECHA]])</f>
        <v>2023</v>
      </c>
      <c r="C611" s="51">
        <f>MONTH(BDRIOSJ[[#This Row],[FECHA]])</f>
        <v>12</v>
      </c>
      <c r="D611" s="50" t="s">
        <v>269</v>
      </c>
      <c r="E611" s="49" t="s">
        <v>115</v>
      </c>
      <c r="F611" s="65">
        <v>7.5330000000000004</v>
      </c>
    </row>
    <row r="612" spans="2:6" hidden="1" x14ac:dyDescent="0.25">
      <c r="B612" s="51">
        <f>YEAR(BDRIOSJ[[#This Row],[FECHA]])</f>
        <v>2023</v>
      </c>
      <c r="C612" s="51">
        <f>MONTH(BDRIOSJ[[#This Row],[FECHA]])</f>
        <v>12</v>
      </c>
      <c r="D612" s="50" t="s">
        <v>269</v>
      </c>
      <c r="E612" s="49" t="s">
        <v>114</v>
      </c>
      <c r="F612" s="65">
        <v>6.9790000000000001</v>
      </c>
    </row>
    <row r="613" spans="2:6" hidden="1" x14ac:dyDescent="0.25">
      <c r="B613" s="51">
        <f>YEAR(BDRIOSJ[[#This Row],[FECHA]])</f>
        <v>2023</v>
      </c>
      <c r="C613" s="51">
        <f>MONTH(BDRIOSJ[[#This Row],[FECHA]])</f>
        <v>12</v>
      </c>
      <c r="D613" s="50" t="s">
        <v>269</v>
      </c>
      <c r="E613" s="49" t="s">
        <v>113</v>
      </c>
      <c r="F613" s="65">
        <v>7.5330000000000004</v>
      </c>
    </row>
    <row r="614" spans="2:6" hidden="1" x14ac:dyDescent="0.25">
      <c r="B614" s="51">
        <f>YEAR(BDRIOSJ[[#This Row],[FECHA]])</f>
        <v>2023</v>
      </c>
      <c r="C614" s="51">
        <f>MONTH(BDRIOSJ[[#This Row],[FECHA]])</f>
        <v>12</v>
      </c>
      <c r="D614" s="50" t="s">
        <v>269</v>
      </c>
      <c r="E614" s="49" t="s">
        <v>111</v>
      </c>
      <c r="F614" s="65">
        <v>7.5330000000000004</v>
      </c>
    </row>
    <row r="615" spans="2:6" hidden="1" x14ac:dyDescent="0.25">
      <c r="B615" s="51">
        <f>YEAR(BDRIOSJ[[#This Row],[FECHA]])</f>
        <v>2023</v>
      </c>
      <c r="C615" s="51">
        <f>MONTH(BDRIOSJ[[#This Row],[FECHA]])</f>
        <v>12</v>
      </c>
      <c r="D615" s="50" t="s">
        <v>270</v>
      </c>
      <c r="E615" s="49" t="s">
        <v>115</v>
      </c>
      <c r="F615" s="65">
        <v>6.4436</v>
      </c>
    </row>
    <row r="616" spans="2:6" hidden="1" x14ac:dyDescent="0.25">
      <c r="B616" s="51">
        <f>YEAR(BDRIOSJ[[#This Row],[FECHA]])</f>
        <v>2023</v>
      </c>
      <c r="C616" s="51">
        <f>MONTH(BDRIOSJ[[#This Row],[FECHA]])</f>
        <v>12</v>
      </c>
      <c r="D616" s="50" t="s">
        <v>270</v>
      </c>
      <c r="E616" s="49" t="s">
        <v>114</v>
      </c>
      <c r="F616" s="65">
        <v>6.4436</v>
      </c>
    </row>
    <row r="617" spans="2:6" hidden="1" x14ac:dyDescent="0.25">
      <c r="B617" s="51">
        <f>YEAR(BDRIOSJ[[#This Row],[FECHA]])</f>
        <v>2023</v>
      </c>
      <c r="C617" s="51">
        <f>MONTH(BDRIOSJ[[#This Row],[FECHA]])</f>
        <v>12</v>
      </c>
      <c r="D617" s="50" t="s">
        <v>270</v>
      </c>
      <c r="E617" s="49" t="s">
        <v>113</v>
      </c>
      <c r="F617" s="65">
        <v>6.4436</v>
      </c>
    </row>
    <row r="618" spans="2:6" hidden="1" x14ac:dyDescent="0.25">
      <c r="B618" s="51">
        <f>YEAR(BDRIOSJ[[#This Row],[FECHA]])</f>
        <v>2023</v>
      </c>
      <c r="C618" s="51">
        <f>MONTH(BDRIOSJ[[#This Row],[FECHA]])</f>
        <v>12</v>
      </c>
      <c r="D618" s="50" t="s">
        <v>270</v>
      </c>
      <c r="E618" s="49" t="s">
        <v>111</v>
      </c>
      <c r="F618" s="65">
        <v>6.4436</v>
      </c>
    </row>
    <row r="619" spans="2:6" hidden="1" x14ac:dyDescent="0.25">
      <c r="B619" s="51">
        <f>YEAR(BDRIOSJ[[#This Row],[FECHA]])</f>
        <v>2023</v>
      </c>
      <c r="C619" s="51">
        <f>MONTH(BDRIOSJ[[#This Row],[FECHA]])</f>
        <v>12</v>
      </c>
      <c r="D619" s="50" t="s">
        <v>271</v>
      </c>
      <c r="E619" s="49" t="s">
        <v>115</v>
      </c>
      <c r="F619" s="65">
        <v>7.5068999999999999</v>
      </c>
    </row>
    <row r="620" spans="2:6" hidden="1" x14ac:dyDescent="0.25">
      <c r="B620" s="51">
        <f>YEAR(BDRIOSJ[[#This Row],[FECHA]])</f>
        <v>2023</v>
      </c>
      <c r="C620" s="51">
        <f>MONTH(BDRIOSJ[[#This Row],[FECHA]])</f>
        <v>12</v>
      </c>
      <c r="D620" s="50" t="s">
        <v>271</v>
      </c>
      <c r="E620" s="49" t="s">
        <v>114</v>
      </c>
      <c r="F620" s="65">
        <v>8.2965</v>
      </c>
    </row>
    <row r="621" spans="2:6" hidden="1" x14ac:dyDescent="0.25">
      <c r="B621" s="51">
        <f>YEAR(BDRIOSJ[[#This Row],[FECHA]])</f>
        <v>2023</v>
      </c>
      <c r="C621" s="51">
        <f>MONTH(BDRIOSJ[[#This Row],[FECHA]])</f>
        <v>12</v>
      </c>
      <c r="D621" s="50" t="s">
        <v>271</v>
      </c>
      <c r="E621" s="49" t="s">
        <v>113</v>
      </c>
      <c r="F621" s="65">
        <v>8.2965</v>
      </c>
    </row>
    <row r="622" spans="2:6" hidden="1" x14ac:dyDescent="0.25">
      <c r="B622" s="51">
        <f>YEAR(BDRIOSJ[[#This Row],[FECHA]])</f>
        <v>2023</v>
      </c>
      <c r="C622" s="51">
        <f>MONTH(BDRIOSJ[[#This Row],[FECHA]])</f>
        <v>12</v>
      </c>
      <c r="D622" s="50" t="s">
        <v>271</v>
      </c>
      <c r="E622" s="49" t="s">
        <v>111</v>
      </c>
      <c r="F622" s="65">
        <v>8.2965</v>
      </c>
    </row>
    <row r="623" spans="2:6" hidden="1" x14ac:dyDescent="0.25">
      <c r="B623" s="51">
        <f>YEAR(BDRIOSJ[[#This Row],[FECHA]])</f>
        <v>2023</v>
      </c>
      <c r="C623" s="51">
        <f>MONTH(BDRIOSJ[[#This Row],[FECHA]])</f>
        <v>12</v>
      </c>
      <c r="D623" s="50" t="s">
        <v>272</v>
      </c>
      <c r="E623" s="49" t="s">
        <v>115</v>
      </c>
      <c r="F623" s="65">
        <v>6.7572999999999999</v>
      </c>
    </row>
    <row r="624" spans="2:6" hidden="1" x14ac:dyDescent="0.25">
      <c r="B624" s="51">
        <f>YEAR(BDRIOSJ[[#This Row],[FECHA]])</f>
        <v>2023</v>
      </c>
      <c r="C624" s="51">
        <f>MONTH(BDRIOSJ[[#This Row],[FECHA]])</f>
        <v>12</v>
      </c>
      <c r="D624" s="50" t="s">
        <v>272</v>
      </c>
      <c r="E624" s="49" t="s">
        <v>114</v>
      </c>
      <c r="F624" s="65">
        <v>6.7572999999999999</v>
      </c>
    </row>
    <row r="625" spans="2:6" hidden="1" x14ac:dyDescent="0.25">
      <c r="B625" s="51">
        <f>YEAR(BDRIOSJ[[#This Row],[FECHA]])</f>
        <v>2023</v>
      </c>
      <c r="C625" s="51">
        <f>MONTH(BDRIOSJ[[#This Row],[FECHA]])</f>
        <v>12</v>
      </c>
      <c r="D625" s="50" t="s">
        <v>272</v>
      </c>
      <c r="E625" s="49" t="s">
        <v>113</v>
      </c>
      <c r="F625" s="65">
        <v>6.0476000000000001</v>
      </c>
    </row>
    <row r="626" spans="2:6" hidden="1" x14ac:dyDescent="0.25">
      <c r="B626" s="51">
        <f>YEAR(BDRIOSJ[[#This Row],[FECHA]])</f>
        <v>2023</v>
      </c>
      <c r="C626" s="51">
        <f>MONTH(BDRIOSJ[[#This Row],[FECHA]])</f>
        <v>12</v>
      </c>
      <c r="D626" s="50" t="s">
        <v>272</v>
      </c>
      <c r="E626" s="49" t="s">
        <v>111</v>
      </c>
      <c r="F626" s="65">
        <v>6.7572999999999999</v>
      </c>
    </row>
    <row r="627" spans="2:6" hidden="1" x14ac:dyDescent="0.25">
      <c r="B627" s="51">
        <f>YEAR(BDRIOSJ[[#This Row],[FECHA]])</f>
        <v>2023</v>
      </c>
      <c r="C627" s="51">
        <f>MONTH(BDRIOSJ[[#This Row],[FECHA]])</f>
        <v>12</v>
      </c>
      <c r="D627" s="50" t="s">
        <v>273</v>
      </c>
      <c r="E627" s="49" t="s">
        <v>115</v>
      </c>
      <c r="F627" s="65">
        <v>5.3779000000000003</v>
      </c>
    </row>
    <row r="628" spans="2:6" hidden="1" x14ac:dyDescent="0.25">
      <c r="B628" s="51">
        <f>YEAR(BDRIOSJ[[#This Row],[FECHA]])</f>
        <v>2023</v>
      </c>
      <c r="C628" s="51">
        <f>MONTH(BDRIOSJ[[#This Row],[FECHA]])</f>
        <v>12</v>
      </c>
      <c r="D628" s="50" t="s">
        <v>273</v>
      </c>
      <c r="E628" s="49" t="s">
        <v>114</v>
      </c>
      <c r="F628" s="65">
        <v>5.3779000000000003</v>
      </c>
    </row>
    <row r="629" spans="2:6" hidden="1" x14ac:dyDescent="0.25">
      <c r="B629" s="51">
        <f>YEAR(BDRIOSJ[[#This Row],[FECHA]])</f>
        <v>2023</v>
      </c>
      <c r="C629" s="51">
        <f>MONTH(BDRIOSJ[[#This Row],[FECHA]])</f>
        <v>12</v>
      </c>
      <c r="D629" s="50" t="s">
        <v>273</v>
      </c>
      <c r="E629" s="49" t="s">
        <v>113</v>
      </c>
      <c r="F629" s="65">
        <v>5.3779000000000003</v>
      </c>
    </row>
    <row r="630" spans="2:6" hidden="1" x14ac:dyDescent="0.25">
      <c r="B630" s="51">
        <f>YEAR(BDRIOSJ[[#This Row],[FECHA]])</f>
        <v>2023</v>
      </c>
      <c r="C630" s="51">
        <f>MONTH(BDRIOSJ[[#This Row],[FECHA]])</f>
        <v>12</v>
      </c>
      <c r="D630" s="50" t="s">
        <v>273</v>
      </c>
      <c r="E630" s="49" t="s">
        <v>111</v>
      </c>
      <c r="F630" s="65">
        <v>5.3779000000000003</v>
      </c>
    </row>
    <row r="631" spans="2:6" hidden="1" x14ac:dyDescent="0.25">
      <c r="B631" s="51">
        <f>YEAR(BDRIOSJ[[#This Row],[FECHA]])</f>
        <v>2023</v>
      </c>
      <c r="C631" s="51">
        <f>MONTH(BDRIOSJ[[#This Row],[FECHA]])</f>
        <v>12</v>
      </c>
      <c r="D631" s="50" t="s">
        <v>274</v>
      </c>
      <c r="E631" s="49" t="s">
        <v>115</v>
      </c>
      <c r="F631" s="65">
        <v>5.3779000000000003</v>
      </c>
    </row>
    <row r="632" spans="2:6" hidden="1" x14ac:dyDescent="0.25">
      <c r="B632" s="51">
        <f>YEAR(BDRIOSJ[[#This Row],[FECHA]])</f>
        <v>2023</v>
      </c>
      <c r="C632" s="51">
        <f>MONTH(BDRIOSJ[[#This Row],[FECHA]])</f>
        <v>12</v>
      </c>
      <c r="D632" s="50" t="s">
        <v>274</v>
      </c>
      <c r="E632" s="49" t="s">
        <v>114</v>
      </c>
      <c r="F632" s="65">
        <v>5.3779000000000003</v>
      </c>
    </row>
    <row r="633" spans="2:6" hidden="1" x14ac:dyDescent="0.25">
      <c r="B633" s="51">
        <f>YEAR(BDRIOSJ[[#This Row],[FECHA]])</f>
        <v>2023</v>
      </c>
      <c r="C633" s="51">
        <f>MONTH(BDRIOSJ[[#This Row],[FECHA]])</f>
        <v>12</v>
      </c>
      <c r="D633" s="50" t="s">
        <v>274</v>
      </c>
      <c r="E633" s="49" t="s">
        <v>113</v>
      </c>
      <c r="F633" s="65">
        <v>5.3779000000000003</v>
      </c>
    </row>
    <row r="634" spans="2:6" hidden="1" x14ac:dyDescent="0.25">
      <c r="B634" s="51">
        <f>YEAR(BDRIOSJ[[#This Row],[FECHA]])</f>
        <v>2023</v>
      </c>
      <c r="C634" s="51">
        <f>MONTH(BDRIOSJ[[#This Row],[FECHA]])</f>
        <v>12</v>
      </c>
      <c r="D634" s="50" t="s">
        <v>274</v>
      </c>
      <c r="E634" s="49" t="s">
        <v>111</v>
      </c>
      <c r="F634" s="65">
        <v>5.3779000000000003</v>
      </c>
    </row>
    <row r="635" spans="2:6" hidden="1" x14ac:dyDescent="0.25">
      <c r="B635" s="51">
        <f>YEAR(BDRIOSJ[[#This Row],[FECHA]])</f>
        <v>2023</v>
      </c>
      <c r="C635" s="51">
        <f>MONTH(BDRIOSJ[[#This Row],[FECHA]])</f>
        <v>12</v>
      </c>
      <c r="D635" s="50" t="s">
        <v>275</v>
      </c>
      <c r="E635" s="49" t="s">
        <v>115</v>
      </c>
      <c r="F635" s="65">
        <v>5.3779000000000003</v>
      </c>
    </row>
    <row r="636" spans="2:6" hidden="1" x14ac:dyDescent="0.25">
      <c r="B636" s="51">
        <f>YEAR(BDRIOSJ[[#This Row],[FECHA]])</f>
        <v>2023</v>
      </c>
      <c r="C636" s="51">
        <f>MONTH(BDRIOSJ[[#This Row],[FECHA]])</f>
        <v>12</v>
      </c>
      <c r="D636" s="50" t="s">
        <v>275</v>
      </c>
      <c r="E636" s="49" t="s">
        <v>114</v>
      </c>
      <c r="F636" s="65">
        <v>5.3779000000000003</v>
      </c>
    </row>
    <row r="637" spans="2:6" hidden="1" x14ac:dyDescent="0.25">
      <c r="B637" s="51">
        <f>YEAR(BDRIOSJ[[#This Row],[FECHA]])</f>
        <v>2023</v>
      </c>
      <c r="C637" s="51">
        <f>MONTH(BDRIOSJ[[#This Row],[FECHA]])</f>
        <v>12</v>
      </c>
      <c r="D637" s="50" t="s">
        <v>275</v>
      </c>
      <c r="E637" s="49" t="s">
        <v>113</v>
      </c>
      <c r="F637" s="65">
        <v>5.3779000000000003</v>
      </c>
    </row>
    <row r="638" spans="2:6" hidden="1" x14ac:dyDescent="0.25">
      <c r="B638" s="51">
        <f>YEAR(BDRIOSJ[[#This Row],[FECHA]])</f>
        <v>2023</v>
      </c>
      <c r="C638" s="51">
        <f>MONTH(BDRIOSJ[[#This Row],[FECHA]])</f>
        <v>12</v>
      </c>
      <c r="D638" s="50" t="s">
        <v>275</v>
      </c>
      <c r="E638" s="49" t="s">
        <v>111</v>
      </c>
      <c r="F638" s="65">
        <v>5.3779000000000003</v>
      </c>
    </row>
    <row r="639" spans="2:6" hidden="1" x14ac:dyDescent="0.25">
      <c r="B639" s="51">
        <f>YEAR(BDRIOSJ[[#This Row],[FECHA]])</f>
        <v>2023</v>
      </c>
      <c r="C639" s="51">
        <f>MONTH(BDRIOSJ[[#This Row],[FECHA]])</f>
        <v>12</v>
      </c>
      <c r="D639" s="50" t="s">
        <v>276</v>
      </c>
      <c r="E639" s="49" t="s">
        <v>115</v>
      </c>
      <c r="F639" s="65">
        <v>6.0476000000000001</v>
      </c>
    </row>
    <row r="640" spans="2:6" hidden="1" x14ac:dyDescent="0.25">
      <c r="B640" s="51">
        <f>YEAR(BDRIOSJ[[#This Row],[FECHA]])</f>
        <v>2023</v>
      </c>
      <c r="C640" s="51">
        <f>MONTH(BDRIOSJ[[#This Row],[FECHA]])</f>
        <v>12</v>
      </c>
      <c r="D640" s="50" t="s">
        <v>276</v>
      </c>
      <c r="E640" s="49" t="s">
        <v>114</v>
      </c>
      <c r="F640" s="65">
        <v>6.0476000000000001</v>
      </c>
    </row>
    <row r="641" spans="2:6" hidden="1" x14ac:dyDescent="0.25">
      <c r="B641" s="51">
        <f>YEAR(BDRIOSJ[[#This Row],[FECHA]])</f>
        <v>2023</v>
      </c>
      <c r="C641" s="51">
        <f>MONTH(BDRIOSJ[[#This Row],[FECHA]])</f>
        <v>12</v>
      </c>
      <c r="D641" s="50" t="s">
        <v>276</v>
      </c>
      <c r="E641" s="49" t="s">
        <v>113</v>
      </c>
      <c r="F641" s="65">
        <v>6.0476000000000001</v>
      </c>
    </row>
    <row r="642" spans="2:6" hidden="1" x14ac:dyDescent="0.25">
      <c r="B642" s="51">
        <f>YEAR(BDRIOSJ[[#This Row],[FECHA]])</f>
        <v>2023</v>
      </c>
      <c r="C642" s="51">
        <f>MONTH(BDRIOSJ[[#This Row],[FECHA]])</f>
        <v>12</v>
      </c>
      <c r="D642" s="50" t="s">
        <v>276</v>
      </c>
      <c r="E642" s="49" t="s">
        <v>111</v>
      </c>
      <c r="F642" s="65">
        <v>5.3779000000000003</v>
      </c>
    </row>
    <row r="643" spans="2:6" hidden="1" x14ac:dyDescent="0.25">
      <c r="B643" s="51">
        <f>YEAR(BDRIOSJ[[#This Row],[FECHA]])</f>
        <v>2023</v>
      </c>
      <c r="C643" s="51">
        <f>MONTH(BDRIOSJ[[#This Row],[FECHA]])</f>
        <v>12</v>
      </c>
      <c r="D643" s="50" t="s">
        <v>277</v>
      </c>
      <c r="E643" s="49" t="s">
        <v>115</v>
      </c>
      <c r="F643" s="65">
        <v>9.1260999999999992</v>
      </c>
    </row>
    <row r="644" spans="2:6" hidden="1" x14ac:dyDescent="0.25">
      <c r="B644" s="51">
        <f>YEAR(BDRIOSJ[[#This Row],[FECHA]])</f>
        <v>2023</v>
      </c>
      <c r="C644" s="51">
        <f>MONTH(BDRIOSJ[[#This Row],[FECHA]])</f>
        <v>12</v>
      </c>
      <c r="D644" s="50" t="s">
        <v>277</v>
      </c>
      <c r="E644" s="49" t="s">
        <v>114</v>
      </c>
      <c r="F644" s="65">
        <v>9.9955999999999996</v>
      </c>
    </row>
    <row r="645" spans="2:6" hidden="1" x14ac:dyDescent="0.25">
      <c r="B645" s="51">
        <f>YEAR(BDRIOSJ[[#This Row],[FECHA]])</f>
        <v>2023</v>
      </c>
      <c r="C645" s="51">
        <f>MONTH(BDRIOSJ[[#This Row],[FECHA]])</f>
        <v>12</v>
      </c>
      <c r="D645" s="50" t="s">
        <v>277</v>
      </c>
      <c r="E645" s="49" t="s">
        <v>113</v>
      </c>
      <c r="F645" s="65">
        <v>9.9955999999999996</v>
      </c>
    </row>
    <row r="646" spans="2:6" hidden="1" x14ac:dyDescent="0.25">
      <c r="B646" s="51">
        <f>YEAR(BDRIOSJ[[#This Row],[FECHA]])</f>
        <v>2023</v>
      </c>
      <c r="C646" s="51">
        <f>MONTH(BDRIOSJ[[#This Row],[FECHA]])</f>
        <v>12</v>
      </c>
      <c r="D646" s="50" t="s">
        <v>277</v>
      </c>
      <c r="E646" s="49" t="s">
        <v>111</v>
      </c>
      <c r="F646" s="65">
        <v>9.9955999999999996</v>
      </c>
    </row>
    <row r="647" spans="2:6" hidden="1" x14ac:dyDescent="0.25">
      <c r="B647" s="51">
        <f>YEAR(BDRIOSJ[[#This Row],[FECHA]])</f>
        <v>2023</v>
      </c>
      <c r="C647" s="51">
        <f>MONTH(BDRIOSJ[[#This Row],[FECHA]])</f>
        <v>12</v>
      </c>
      <c r="D647" s="50" t="s">
        <v>278</v>
      </c>
      <c r="E647" s="49" t="s">
        <v>115</v>
      </c>
      <c r="F647" s="65">
        <v>7.5068999999999999</v>
      </c>
    </row>
    <row r="648" spans="2:6" hidden="1" x14ac:dyDescent="0.25">
      <c r="B648" s="51">
        <f>YEAR(BDRIOSJ[[#This Row],[FECHA]])</f>
        <v>2023</v>
      </c>
      <c r="C648" s="51">
        <f>MONTH(BDRIOSJ[[#This Row],[FECHA]])</f>
        <v>12</v>
      </c>
      <c r="D648" s="50" t="s">
        <v>278</v>
      </c>
      <c r="E648" s="49" t="s">
        <v>114</v>
      </c>
      <c r="F648" s="65">
        <v>7.5068999999999999</v>
      </c>
    </row>
    <row r="649" spans="2:6" hidden="1" x14ac:dyDescent="0.25">
      <c r="B649" s="51">
        <f>YEAR(BDRIOSJ[[#This Row],[FECHA]])</f>
        <v>2023</v>
      </c>
      <c r="C649" s="51">
        <f>MONTH(BDRIOSJ[[#This Row],[FECHA]])</f>
        <v>12</v>
      </c>
      <c r="D649" s="50" t="s">
        <v>278</v>
      </c>
      <c r="E649" s="49" t="s">
        <v>113</v>
      </c>
      <c r="F649" s="65">
        <v>7.5068999999999999</v>
      </c>
    </row>
    <row r="650" spans="2:6" hidden="1" x14ac:dyDescent="0.25">
      <c r="B650" s="51">
        <f>YEAR(BDRIOSJ[[#This Row],[FECHA]])</f>
        <v>2023</v>
      </c>
      <c r="C650" s="51">
        <f>MONTH(BDRIOSJ[[#This Row],[FECHA]])</f>
        <v>12</v>
      </c>
      <c r="D650" s="50" t="s">
        <v>278</v>
      </c>
      <c r="E650" s="49" t="s">
        <v>111</v>
      </c>
      <c r="F650" s="65">
        <v>7.5068999999999999</v>
      </c>
    </row>
    <row r="651" spans="2:6" hidden="1" x14ac:dyDescent="0.25">
      <c r="B651" s="51">
        <f>YEAR(BDRIOSJ[[#This Row],[FECHA]])</f>
        <v>2023</v>
      </c>
      <c r="C651" s="51">
        <f>MONTH(BDRIOSJ[[#This Row],[FECHA]])</f>
        <v>12</v>
      </c>
      <c r="D651" s="50" t="s">
        <v>279</v>
      </c>
      <c r="E651" s="49" t="s">
        <v>115</v>
      </c>
      <c r="F651" s="65">
        <v>9.9955999999999996</v>
      </c>
    </row>
    <row r="652" spans="2:6" hidden="1" x14ac:dyDescent="0.25">
      <c r="B652" s="51">
        <f>YEAR(BDRIOSJ[[#This Row],[FECHA]])</f>
        <v>2023</v>
      </c>
      <c r="C652" s="51">
        <f>MONTH(BDRIOSJ[[#This Row],[FECHA]])</f>
        <v>12</v>
      </c>
      <c r="D652" s="50" t="s">
        <v>279</v>
      </c>
      <c r="E652" s="49" t="s">
        <v>114</v>
      </c>
      <c r="F652" s="65">
        <v>9.9955999999999996</v>
      </c>
    </row>
    <row r="653" spans="2:6" hidden="1" x14ac:dyDescent="0.25">
      <c r="B653" s="51">
        <f>YEAR(BDRIOSJ[[#This Row],[FECHA]])</f>
        <v>2023</v>
      </c>
      <c r="C653" s="51">
        <f>MONTH(BDRIOSJ[[#This Row],[FECHA]])</f>
        <v>12</v>
      </c>
      <c r="D653" s="50" t="s">
        <v>279</v>
      </c>
      <c r="E653" s="49" t="s">
        <v>113</v>
      </c>
      <c r="F653" s="65">
        <v>10.904999999999999</v>
      </c>
    </row>
    <row r="654" spans="2:6" hidden="1" x14ac:dyDescent="0.25">
      <c r="B654" s="51">
        <f>YEAR(BDRIOSJ[[#This Row],[FECHA]])</f>
        <v>2023</v>
      </c>
      <c r="C654" s="51">
        <f>MONTH(BDRIOSJ[[#This Row],[FECHA]])</f>
        <v>12</v>
      </c>
      <c r="D654" s="50" t="s">
        <v>279</v>
      </c>
      <c r="E654" s="49" t="s">
        <v>111</v>
      </c>
      <c r="F654" s="65">
        <v>8.2965</v>
      </c>
    </row>
    <row r="655" spans="2:6" hidden="1" x14ac:dyDescent="0.25">
      <c r="B655" s="51">
        <f>YEAR(BDRIOSJ[[#This Row],[FECHA]])</f>
        <v>2023</v>
      </c>
      <c r="C655" s="51">
        <f>MONTH(BDRIOSJ[[#This Row],[FECHA]])</f>
        <v>12</v>
      </c>
      <c r="D655" s="50" t="s">
        <v>280</v>
      </c>
      <c r="E655" s="49" t="s">
        <v>115</v>
      </c>
      <c r="F655" s="65">
        <v>8.2965</v>
      </c>
    </row>
    <row r="656" spans="2:6" hidden="1" x14ac:dyDescent="0.25">
      <c r="B656" s="51">
        <f>YEAR(BDRIOSJ[[#This Row],[FECHA]])</f>
        <v>2023</v>
      </c>
      <c r="C656" s="51">
        <f>MONTH(BDRIOSJ[[#This Row],[FECHA]])</f>
        <v>12</v>
      </c>
      <c r="D656" s="50" t="s">
        <v>280</v>
      </c>
      <c r="E656" s="49" t="s">
        <v>114</v>
      </c>
      <c r="F656" s="65">
        <v>8.2965</v>
      </c>
    </row>
    <row r="657" spans="2:6" hidden="1" x14ac:dyDescent="0.25">
      <c r="B657" s="51">
        <f>YEAR(BDRIOSJ[[#This Row],[FECHA]])</f>
        <v>2023</v>
      </c>
      <c r="C657" s="51">
        <f>MONTH(BDRIOSJ[[#This Row],[FECHA]])</f>
        <v>12</v>
      </c>
      <c r="D657" s="50" t="s">
        <v>280</v>
      </c>
      <c r="E657" s="49" t="s">
        <v>113</v>
      </c>
      <c r="F657" s="65">
        <v>9.9955999999999996</v>
      </c>
    </row>
    <row r="658" spans="2:6" hidden="1" x14ac:dyDescent="0.25">
      <c r="B658" s="51">
        <f>YEAR(BDRIOSJ[[#This Row],[FECHA]])</f>
        <v>2023</v>
      </c>
      <c r="C658" s="51">
        <f>MONTH(BDRIOSJ[[#This Row],[FECHA]])</f>
        <v>12</v>
      </c>
      <c r="D658" s="50" t="s">
        <v>280</v>
      </c>
      <c r="E658" s="49" t="s">
        <v>111</v>
      </c>
      <c r="F658" s="65">
        <v>9.9955999999999996</v>
      </c>
    </row>
    <row r="659" spans="2:6" hidden="1" x14ac:dyDescent="0.25">
      <c r="B659" s="51">
        <f>YEAR(BDRIOSJ[[#This Row],[FECHA]])</f>
        <v>2023</v>
      </c>
      <c r="C659" s="51">
        <f>MONTH(BDRIOSJ[[#This Row],[FECHA]])</f>
        <v>12</v>
      </c>
      <c r="D659" s="50" t="s">
        <v>281</v>
      </c>
      <c r="E659" s="49" t="s">
        <v>115</v>
      </c>
      <c r="F659" s="65">
        <v>8.2965</v>
      </c>
    </row>
    <row r="660" spans="2:6" hidden="1" x14ac:dyDescent="0.25">
      <c r="B660" s="51">
        <f>YEAR(BDRIOSJ[[#This Row],[FECHA]])</f>
        <v>2023</v>
      </c>
      <c r="C660" s="51">
        <f>MONTH(BDRIOSJ[[#This Row],[FECHA]])</f>
        <v>12</v>
      </c>
      <c r="D660" s="50" t="s">
        <v>281</v>
      </c>
      <c r="E660" s="49" t="s">
        <v>114</v>
      </c>
      <c r="F660" s="65">
        <v>8.2965</v>
      </c>
    </row>
    <row r="661" spans="2:6" hidden="1" x14ac:dyDescent="0.25">
      <c r="B661" s="51">
        <f>YEAR(BDRIOSJ[[#This Row],[FECHA]])</f>
        <v>2023</v>
      </c>
      <c r="C661" s="51">
        <f>MONTH(BDRIOSJ[[#This Row],[FECHA]])</f>
        <v>12</v>
      </c>
      <c r="D661" s="50" t="s">
        <v>281</v>
      </c>
      <c r="E661" s="49" t="s">
        <v>113</v>
      </c>
      <c r="F661" s="65">
        <v>7.5068999999999999</v>
      </c>
    </row>
    <row r="662" spans="2:6" hidden="1" x14ac:dyDescent="0.25">
      <c r="B662" s="51">
        <f>YEAR(BDRIOSJ[[#This Row],[FECHA]])</f>
        <v>2023</v>
      </c>
      <c r="C662" s="51">
        <f>MONTH(BDRIOSJ[[#This Row],[FECHA]])</f>
        <v>12</v>
      </c>
      <c r="D662" s="50" t="s">
        <v>281</v>
      </c>
      <c r="E662" s="49" t="s">
        <v>111</v>
      </c>
      <c r="F662" s="65">
        <v>7.5068999999999999</v>
      </c>
    </row>
    <row r="663" spans="2:6" hidden="1" x14ac:dyDescent="0.25">
      <c r="B663" s="51">
        <f>YEAR(BDRIOSJ[[#This Row],[FECHA]])</f>
        <v>2023</v>
      </c>
      <c r="C663" s="51">
        <f>MONTH(BDRIOSJ[[#This Row],[FECHA]])</f>
        <v>12</v>
      </c>
      <c r="D663" s="50" t="s">
        <v>282</v>
      </c>
      <c r="E663" s="49" t="s">
        <v>115</v>
      </c>
      <c r="F663" s="65">
        <v>8.2965</v>
      </c>
    </row>
    <row r="664" spans="2:6" hidden="1" x14ac:dyDescent="0.25">
      <c r="B664" s="51">
        <f>YEAR(BDRIOSJ[[#This Row],[FECHA]])</f>
        <v>2023</v>
      </c>
      <c r="C664" s="51">
        <f>MONTH(BDRIOSJ[[#This Row],[FECHA]])</f>
        <v>12</v>
      </c>
      <c r="D664" s="50" t="s">
        <v>282</v>
      </c>
      <c r="E664" s="49" t="s">
        <v>114</v>
      </c>
      <c r="F664" s="65">
        <v>8.2965</v>
      </c>
    </row>
    <row r="665" spans="2:6" hidden="1" x14ac:dyDescent="0.25">
      <c r="B665" s="51">
        <f>YEAR(BDRIOSJ[[#This Row],[FECHA]])</f>
        <v>2023</v>
      </c>
      <c r="C665" s="51">
        <f>MONTH(BDRIOSJ[[#This Row],[FECHA]])</f>
        <v>12</v>
      </c>
      <c r="D665" s="50" t="s">
        <v>282</v>
      </c>
      <c r="E665" s="49" t="s">
        <v>113</v>
      </c>
      <c r="F665" s="65">
        <v>8.2965</v>
      </c>
    </row>
    <row r="666" spans="2:6" hidden="1" x14ac:dyDescent="0.25">
      <c r="B666" s="51">
        <f>YEAR(BDRIOSJ[[#This Row],[FECHA]])</f>
        <v>2023</v>
      </c>
      <c r="C666" s="51">
        <f>MONTH(BDRIOSJ[[#This Row],[FECHA]])</f>
        <v>12</v>
      </c>
      <c r="D666" s="50" t="s">
        <v>282</v>
      </c>
      <c r="E666" s="49" t="s">
        <v>111</v>
      </c>
      <c r="F666" s="65">
        <v>7.5068999999999999</v>
      </c>
    </row>
    <row r="667" spans="2:6" hidden="1" x14ac:dyDescent="0.25">
      <c r="B667" s="51">
        <f>YEAR(BDRIOSJ[[#This Row],[FECHA]])</f>
        <v>2023</v>
      </c>
      <c r="C667" s="51">
        <f>MONTH(BDRIOSJ[[#This Row],[FECHA]])</f>
        <v>12</v>
      </c>
      <c r="D667" s="50" t="s">
        <v>283</v>
      </c>
      <c r="E667" s="49" t="s">
        <v>115</v>
      </c>
      <c r="F667" s="65">
        <v>9.1260999999999992</v>
      </c>
    </row>
    <row r="668" spans="2:6" hidden="1" x14ac:dyDescent="0.25">
      <c r="B668" s="51">
        <f>YEAR(BDRIOSJ[[#This Row],[FECHA]])</f>
        <v>2023</v>
      </c>
      <c r="C668" s="51">
        <f>MONTH(BDRIOSJ[[#This Row],[FECHA]])</f>
        <v>12</v>
      </c>
      <c r="D668" s="50" t="s">
        <v>283</v>
      </c>
      <c r="E668" s="49" t="s">
        <v>114</v>
      </c>
      <c r="F668" s="65">
        <v>9.1260999999999992</v>
      </c>
    </row>
    <row r="669" spans="2:6" hidden="1" x14ac:dyDescent="0.25">
      <c r="B669" s="51">
        <f>YEAR(BDRIOSJ[[#This Row],[FECHA]])</f>
        <v>2023</v>
      </c>
      <c r="C669" s="51">
        <f>MONTH(BDRIOSJ[[#This Row],[FECHA]])</f>
        <v>12</v>
      </c>
      <c r="D669" s="50" t="s">
        <v>283</v>
      </c>
      <c r="E669" s="49" t="s">
        <v>113</v>
      </c>
      <c r="F669" s="65">
        <v>9.1260999999999992</v>
      </c>
    </row>
    <row r="670" spans="2:6" hidden="1" x14ac:dyDescent="0.25">
      <c r="B670" s="51">
        <f>YEAR(BDRIOSJ[[#This Row],[FECHA]])</f>
        <v>2023</v>
      </c>
      <c r="C670" s="51">
        <f>MONTH(BDRIOSJ[[#This Row],[FECHA]])</f>
        <v>12</v>
      </c>
      <c r="D670" s="50" t="s">
        <v>283</v>
      </c>
      <c r="E670" s="49" t="s">
        <v>111</v>
      </c>
      <c r="F670" s="65">
        <v>7.5068999999999999</v>
      </c>
    </row>
    <row r="671" spans="2:6" hidden="1" x14ac:dyDescent="0.25">
      <c r="B671" s="51">
        <f>YEAR(BDRIOSJ[[#This Row],[FECHA]])</f>
        <v>2023</v>
      </c>
      <c r="C671" s="51">
        <f>MONTH(BDRIOSJ[[#This Row],[FECHA]])</f>
        <v>12</v>
      </c>
      <c r="D671" s="50" t="s">
        <v>284</v>
      </c>
      <c r="E671" s="49" t="s">
        <v>115</v>
      </c>
      <c r="F671" s="65">
        <v>9.1260999999999992</v>
      </c>
    </row>
    <row r="672" spans="2:6" hidden="1" x14ac:dyDescent="0.25">
      <c r="B672" s="51">
        <f>YEAR(BDRIOSJ[[#This Row],[FECHA]])</f>
        <v>2023</v>
      </c>
      <c r="C672" s="51">
        <f>MONTH(BDRIOSJ[[#This Row],[FECHA]])</f>
        <v>12</v>
      </c>
      <c r="D672" s="50" t="s">
        <v>284</v>
      </c>
      <c r="E672" s="49" t="s">
        <v>114</v>
      </c>
      <c r="F672" s="65">
        <v>9.1260999999999992</v>
      </c>
    </row>
    <row r="673" spans="2:6" hidden="1" x14ac:dyDescent="0.25">
      <c r="B673" s="51">
        <f>YEAR(BDRIOSJ[[#This Row],[FECHA]])</f>
        <v>2023</v>
      </c>
      <c r="C673" s="51">
        <f>MONTH(BDRIOSJ[[#This Row],[FECHA]])</f>
        <v>12</v>
      </c>
      <c r="D673" s="50" t="s">
        <v>284</v>
      </c>
      <c r="E673" s="49" t="s">
        <v>113</v>
      </c>
      <c r="F673" s="65">
        <v>9.1260999999999992</v>
      </c>
    </row>
    <row r="674" spans="2:6" hidden="1" x14ac:dyDescent="0.25">
      <c r="B674" s="51">
        <f>YEAR(BDRIOSJ[[#This Row],[FECHA]])</f>
        <v>2023</v>
      </c>
      <c r="C674" s="51">
        <f>MONTH(BDRIOSJ[[#This Row],[FECHA]])</f>
        <v>12</v>
      </c>
      <c r="D674" s="50" t="s">
        <v>284</v>
      </c>
      <c r="E674" s="49" t="s">
        <v>111</v>
      </c>
      <c r="F674" s="65">
        <v>9.1260999999999992</v>
      </c>
    </row>
    <row r="675" spans="2:6" hidden="1" x14ac:dyDescent="0.25">
      <c r="B675" s="51">
        <f>YEAR(BDRIOSJ[[#This Row],[FECHA]])</f>
        <v>2023</v>
      </c>
      <c r="C675" s="51">
        <f>MONTH(BDRIOSJ[[#This Row],[FECHA]])</f>
        <v>12</v>
      </c>
      <c r="D675" s="50" t="s">
        <v>285</v>
      </c>
      <c r="E675" s="49" t="s">
        <v>115</v>
      </c>
      <c r="F675" s="65">
        <v>7.5068999999999999</v>
      </c>
    </row>
    <row r="676" spans="2:6" hidden="1" x14ac:dyDescent="0.25">
      <c r="B676" s="51">
        <f>YEAR(BDRIOSJ[[#This Row],[FECHA]])</f>
        <v>2023</v>
      </c>
      <c r="C676" s="51">
        <f>MONTH(BDRIOSJ[[#This Row],[FECHA]])</f>
        <v>12</v>
      </c>
      <c r="D676" s="50" t="s">
        <v>285</v>
      </c>
      <c r="E676" s="49" t="s">
        <v>114</v>
      </c>
      <c r="F676" s="65">
        <v>8.2965</v>
      </c>
    </row>
    <row r="677" spans="2:6" hidden="1" x14ac:dyDescent="0.25">
      <c r="B677" s="51">
        <f>YEAR(BDRIOSJ[[#This Row],[FECHA]])</f>
        <v>2023</v>
      </c>
      <c r="C677" s="51">
        <f>MONTH(BDRIOSJ[[#This Row],[FECHA]])</f>
        <v>12</v>
      </c>
      <c r="D677" s="50" t="s">
        <v>285</v>
      </c>
      <c r="E677" s="49" t="s">
        <v>113</v>
      </c>
      <c r="F677" s="65">
        <v>8.2965</v>
      </c>
    </row>
    <row r="678" spans="2:6" hidden="1" x14ac:dyDescent="0.25">
      <c r="B678" s="51">
        <f>YEAR(BDRIOSJ[[#This Row],[FECHA]])</f>
        <v>2023</v>
      </c>
      <c r="C678" s="51">
        <f>MONTH(BDRIOSJ[[#This Row],[FECHA]])</f>
        <v>12</v>
      </c>
      <c r="D678" s="50" t="s">
        <v>285</v>
      </c>
      <c r="E678" s="49" t="s">
        <v>111</v>
      </c>
      <c r="F678" s="65">
        <v>9.1260999999999992</v>
      </c>
    </row>
    <row r="679" spans="2:6" hidden="1" x14ac:dyDescent="0.25">
      <c r="B679" s="51">
        <f>YEAR(BDRIOSJ[[#This Row],[FECHA]])</f>
        <v>2023</v>
      </c>
      <c r="C679" s="51">
        <f>MONTH(BDRIOSJ[[#This Row],[FECHA]])</f>
        <v>12</v>
      </c>
      <c r="D679" s="50" t="s">
        <v>286</v>
      </c>
      <c r="E679" s="49" t="s">
        <v>115</v>
      </c>
      <c r="F679" s="65">
        <v>9.1260999999999992</v>
      </c>
    </row>
    <row r="680" spans="2:6" hidden="1" x14ac:dyDescent="0.25">
      <c r="B680" s="51">
        <f>YEAR(BDRIOSJ[[#This Row],[FECHA]])</f>
        <v>2023</v>
      </c>
      <c r="C680" s="51">
        <f>MONTH(BDRIOSJ[[#This Row],[FECHA]])</f>
        <v>12</v>
      </c>
      <c r="D680" s="50" t="s">
        <v>286</v>
      </c>
      <c r="E680" s="49" t="s">
        <v>114</v>
      </c>
      <c r="F680" s="65">
        <v>9.1260999999999992</v>
      </c>
    </row>
    <row r="681" spans="2:6" hidden="1" x14ac:dyDescent="0.25">
      <c r="B681" s="51">
        <f>YEAR(BDRIOSJ[[#This Row],[FECHA]])</f>
        <v>2023</v>
      </c>
      <c r="C681" s="51">
        <f>MONTH(BDRIOSJ[[#This Row],[FECHA]])</f>
        <v>12</v>
      </c>
      <c r="D681" s="50" t="s">
        <v>286</v>
      </c>
      <c r="E681" s="49" t="s">
        <v>113</v>
      </c>
      <c r="F681" s="65">
        <v>9.1260999999999992</v>
      </c>
    </row>
    <row r="682" spans="2:6" hidden="1" x14ac:dyDescent="0.25">
      <c r="B682" s="51">
        <f>YEAR(BDRIOSJ[[#This Row],[FECHA]])</f>
        <v>2023</v>
      </c>
      <c r="C682" s="51">
        <f>MONTH(BDRIOSJ[[#This Row],[FECHA]])</f>
        <v>12</v>
      </c>
      <c r="D682" s="50" t="s">
        <v>286</v>
      </c>
      <c r="E682" s="49" t="s">
        <v>111</v>
      </c>
      <c r="F682" s="65">
        <v>8.2965</v>
      </c>
    </row>
    <row r="683" spans="2:6" hidden="1" x14ac:dyDescent="0.25">
      <c r="B683" s="51">
        <f>YEAR(BDRIOSJ[[#This Row],[FECHA]])</f>
        <v>2023</v>
      </c>
      <c r="C683" s="51">
        <f>MONTH(BDRIOSJ[[#This Row],[FECHA]])</f>
        <v>12</v>
      </c>
      <c r="D683" s="50" t="s">
        <v>287</v>
      </c>
      <c r="E683" s="49" t="s">
        <v>115</v>
      </c>
      <c r="F683" s="65">
        <v>9.1260999999999992</v>
      </c>
    </row>
    <row r="684" spans="2:6" hidden="1" x14ac:dyDescent="0.25">
      <c r="B684" s="51">
        <f>YEAR(BDRIOSJ[[#This Row],[FECHA]])</f>
        <v>2023</v>
      </c>
      <c r="C684" s="51">
        <f>MONTH(BDRIOSJ[[#This Row],[FECHA]])</f>
        <v>12</v>
      </c>
      <c r="D684" s="50" t="s">
        <v>287</v>
      </c>
      <c r="E684" s="49" t="s">
        <v>114</v>
      </c>
      <c r="F684" s="65">
        <v>9.1260999999999992</v>
      </c>
    </row>
    <row r="685" spans="2:6" hidden="1" x14ac:dyDescent="0.25">
      <c r="B685" s="51">
        <f>YEAR(BDRIOSJ[[#This Row],[FECHA]])</f>
        <v>2023</v>
      </c>
      <c r="C685" s="51">
        <f>MONTH(BDRIOSJ[[#This Row],[FECHA]])</f>
        <v>12</v>
      </c>
      <c r="D685" s="50" t="s">
        <v>287</v>
      </c>
      <c r="E685" s="49" t="s">
        <v>113</v>
      </c>
      <c r="F685" s="65">
        <v>9.1260999999999992</v>
      </c>
    </row>
    <row r="686" spans="2:6" hidden="1" x14ac:dyDescent="0.25">
      <c r="B686" s="51">
        <f>YEAR(BDRIOSJ[[#This Row],[FECHA]])</f>
        <v>2023</v>
      </c>
      <c r="C686" s="51">
        <f>MONTH(BDRIOSJ[[#This Row],[FECHA]])</f>
        <v>12</v>
      </c>
      <c r="D686" s="50" t="s">
        <v>287</v>
      </c>
      <c r="E686" s="49" t="s">
        <v>111</v>
      </c>
      <c r="F686" s="65">
        <v>8.2965</v>
      </c>
    </row>
    <row r="687" spans="2:6" hidden="1" x14ac:dyDescent="0.25">
      <c r="B687" s="51">
        <f>YEAR(BDRIOSJ[[#This Row],[FECHA]])</f>
        <v>2023</v>
      </c>
      <c r="C687" s="51">
        <f>MONTH(BDRIOSJ[[#This Row],[FECHA]])</f>
        <v>12</v>
      </c>
      <c r="D687" s="50" t="s">
        <v>288</v>
      </c>
      <c r="E687" s="49" t="s">
        <v>115</v>
      </c>
      <c r="F687" s="65">
        <v>7.5068999999999999</v>
      </c>
    </row>
    <row r="688" spans="2:6" hidden="1" x14ac:dyDescent="0.25">
      <c r="B688" s="51">
        <f>YEAR(BDRIOSJ[[#This Row],[FECHA]])</f>
        <v>2023</v>
      </c>
      <c r="C688" s="51">
        <f>MONTH(BDRIOSJ[[#This Row],[FECHA]])</f>
        <v>12</v>
      </c>
      <c r="D688" s="50" t="s">
        <v>288</v>
      </c>
      <c r="E688" s="49" t="s">
        <v>114</v>
      </c>
      <c r="F688" s="65">
        <v>7.5068999999999999</v>
      </c>
    </row>
    <row r="689" spans="2:6" hidden="1" x14ac:dyDescent="0.25">
      <c r="B689" s="51">
        <f>YEAR(BDRIOSJ[[#This Row],[FECHA]])</f>
        <v>2023</v>
      </c>
      <c r="C689" s="51">
        <f>MONTH(BDRIOSJ[[#This Row],[FECHA]])</f>
        <v>12</v>
      </c>
      <c r="D689" s="50" t="s">
        <v>288</v>
      </c>
      <c r="E689" s="49" t="s">
        <v>113</v>
      </c>
      <c r="F689" s="65">
        <v>7.5068999999999999</v>
      </c>
    </row>
    <row r="690" spans="2:6" hidden="1" x14ac:dyDescent="0.25">
      <c r="B690" s="51">
        <f>YEAR(BDRIOSJ[[#This Row],[FECHA]])</f>
        <v>2023</v>
      </c>
      <c r="C690" s="51">
        <f>MONTH(BDRIOSJ[[#This Row],[FECHA]])</f>
        <v>12</v>
      </c>
      <c r="D690" s="50" t="s">
        <v>288</v>
      </c>
      <c r="E690" s="49" t="s">
        <v>111</v>
      </c>
      <c r="F690" s="65">
        <v>9.1260999999999992</v>
      </c>
    </row>
    <row r="691" spans="2:6" hidden="1" x14ac:dyDescent="0.25">
      <c r="B691" s="51">
        <f>YEAR(BDRIOSJ[[#This Row],[FECHA]])</f>
        <v>2023</v>
      </c>
      <c r="C691" s="51">
        <f>MONTH(BDRIOSJ[[#This Row],[FECHA]])</f>
        <v>12</v>
      </c>
      <c r="D691" s="50" t="s">
        <v>289</v>
      </c>
      <c r="E691" s="49" t="s">
        <v>115</v>
      </c>
      <c r="F691" s="65">
        <v>7.5068999999999999</v>
      </c>
    </row>
    <row r="692" spans="2:6" hidden="1" x14ac:dyDescent="0.25">
      <c r="B692" s="51">
        <f>YEAR(BDRIOSJ[[#This Row],[FECHA]])</f>
        <v>2023</v>
      </c>
      <c r="C692" s="51">
        <f>MONTH(BDRIOSJ[[#This Row],[FECHA]])</f>
        <v>12</v>
      </c>
      <c r="D692" s="50" t="s">
        <v>289</v>
      </c>
      <c r="E692" s="49" t="s">
        <v>114</v>
      </c>
      <c r="F692" s="65">
        <v>7.5068999999999999</v>
      </c>
    </row>
    <row r="693" spans="2:6" hidden="1" x14ac:dyDescent="0.25">
      <c r="B693" s="51">
        <f>YEAR(BDRIOSJ[[#This Row],[FECHA]])</f>
        <v>2023</v>
      </c>
      <c r="C693" s="51">
        <f>MONTH(BDRIOSJ[[#This Row],[FECHA]])</f>
        <v>12</v>
      </c>
      <c r="D693" s="50" t="s">
        <v>289</v>
      </c>
      <c r="E693" s="49" t="s">
        <v>113</v>
      </c>
      <c r="F693" s="65">
        <v>7.5068999999999999</v>
      </c>
    </row>
    <row r="694" spans="2:6" hidden="1" x14ac:dyDescent="0.25">
      <c r="B694" s="51">
        <f>YEAR(BDRIOSJ[[#This Row],[FECHA]])</f>
        <v>2023</v>
      </c>
      <c r="C694" s="51">
        <f>MONTH(BDRIOSJ[[#This Row],[FECHA]])</f>
        <v>12</v>
      </c>
      <c r="D694" s="50" t="s">
        <v>289</v>
      </c>
      <c r="E694" s="49" t="s">
        <v>111</v>
      </c>
      <c r="F694" s="65">
        <v>7.5068999999999999</v>
      </c>
    </row>
    <row r="695" spans="2:6" hidden="1" x14ac:dyDescent="0.25">
      <c r="B695" s="51">
        <f>YEAR(BDRIOSJ[[#This Row],[FECHA]])</f>
        <v>2023</v>
      </c>
      <c r="C695" s="51">
        <f>MONTH(BDRIOSJ[[#This Row],[FECHA]])</f>
        <v>12</v>
      </c>
      <c r="D695" s="50" t="s">
        <v>290</v>
      </c>
      <c r="E695" s="49" t="s">
        <v>115</v>
      </c>
      <c r="F695" s="65">
        <v>8.2965</v>
      </c>
    </row>
    <row r="696" spans="2:6" hidden="1" x14ac:dyDescent="0.25">
      <c r="B696" s="51">
        <f>YEAR(BDRIOSJ[[#This Row],[FECHA]])</f>
        <v>2023</v>
      </c>
      <c r="C696" s="51">
        <f>MONTH(BDRIOSJ[[#This Row],[FECHA]])</f>
        <v>12</v>
      </c>
      <c r="D696" s="50" t="s">
        <v>290</v>
      </c>
      <c r="E696" s="49" t="s">
        <v>114</v>
      </c>
      <c r="F696" s="65">
        <v>8.2965</v>
      </c>
    </row>
    <row r="697" spans="2:6" hidden="1" x14ac:dyDescent="0.25">
      <c r="B697" s="51">
        <f>YEAR(BDRIOSJ[[#This Row],[FECHA]])</f>
        <v>2023</v>
      </c>
      <c r="C697" s="51">
        <f>MONTH(BDRIOSJ[[#This Row],[FECHA]])</f>
        <v>12</v>
      </c>
      <c r="D697" s="50" t="s">
        <v>290</v>
      </c>
      <c r="E697" s="49" t="s">
        <v>113</v>
      </c>
      <c r="F697" s="65">
        <v>8.2965</v>
      </c>
    </row>
    <row r="698" spans="2:6" hidden="1" x14ac:dyDescent="0.25">
      <c r="B698" s="51">
        <f>YEAR(BDRIOSJ[[#This Row],[FECHA]])</f>
        <v>2023</v>
      </c>
      <c r="C698" s="51">
        <f>MONTH(BDRIOSJ[[#This Row],[FECHA]])</f>
        <v>12</v>
      </c>
      <c r="D698" s="50" t="s">
        <v>290</v>
      </c>
      <c r="E698" s="49" t="s">
        <v>111</v>
      </c>
      <c r="F698" s="65">
        <v>8.2965</v>
      </c>
    </row>
    <row r="699" spans="2:6" hidden="1" x14ac:dyDescent="0.25">
      <c r="B699" s="51">
        <f>YEAR(BDRIOSJ[[#This Row],[FECHA]])</f>
        <v>2023</v>
      </c>
      <c r="C699" s="51">
        <f>MONTH(BDRIOSJ[[#This Row],[FECHA]])</f>
        <v>12</v>
      </c>
      <c r="D699" s="50" t="s">
        <v>291</v>
      </c>
      <c r="E699" s="49" t="s">
        <v>115</v>
      </c>
      <c r="F699" s="65">
        <v>8.2965</v>
      </c>
    </row>
    <row r="700" spans="2:6" hidden="1" x14ac:dyDescent="0.25">
      <c r="B700" s="51">
        <f>YEAR(BDRIOSJ[[#This Row],[FECHA]])</f>
        <v>2023</v>
      </c>
      <c r="C700" s="51">
        <f>MONTH(BDRIOSJ[[#This Row],[FECHA]])</f>
        <v>12</v>
      </c>
      <c r="D700" s="50" t="s">
        <v>291</v>
      </c>
      <c r="E700" s="49" t="s">
        <v>114</v>
      </c>
      <c r="F700" s="65">
        <v>8.2965</v>
      </c>
    </row>
    <row r="701" spans="2:6" hidden="1" x14ac:dyDescent="0.25">
      <c r="B701" s="51">
        <f>YEAR(BDRIOSJ[[#This Row],[FECHA]])</f>
        <v>2023</v>
      </c>
      <c r="C701" s="51">
        <f>MONTH(BDRIOSJ[[#This Row],[FECHA]])</f>
        <v>12</v>
      </c>
      <c r="D701" s="50" t="s">
        <v>291</v>
      </c>
      <c r="E701" s="49" t="s">
        <v>113</v>
      </c>
      <c r="F701" s="65">
        <v>8.2965</v>
      </c>
    </row>
    <row r="702" spans="2:6" hidden="1" x14ac:dyDescent="0.25">
      <c r="B702" s="51">
        <f>YEAR(BDRIOSJ[[#This Row],[FECHA]])</f>
        <v>2023</v>
      </c>
      <c r="C702" s="51">
        <f>MONTH(BDRIOSJ[[#This Row],[FECHA]])</f>
        <v>12</v>
      </c>
      <c r="D702" s="50" t="s">
        <v>291</v>
      </c>
      <c r="E702" s="49" t="s">
        <v>111</v>
      </c>
      <c r="F702" s="65">
        <v>8.2965</v>
      </c>
    </row>
    <row r="703" spans="2:6" hidden="1" x14ac:dyDescent="0.25">
      <c r="B703" s="51">
        <f>YEAR(BDRIOSJ[[#This Row],[FECHA]])</f>
        <v>2023</v>
      </c>
      <c r="C703" s="51">
        <f>MONTH(BDRIOSJ[[#This Row],[FECHA]])</f>
        <v>12</v>
      </c>
      <c r="D703" s="50" t="s">
        <v>292</v>
      </c>
      <c r="E703" s="49" t="s">
        <v>115</v>
      </c>
      <c r="F703" s="65">
        <v>7.5068999999999999</v>
      </c>
    </row>
    <row r="704" spans="2:6" hidden="1" x14ac:dyDescent="0.25">
      <c r="B704" s="51">
        <f>YEAR(BDRIOSJ[[#This Row],[FECHA]])</f>
        <v>2023</v>
      </c>
      <c r="C704" s="51">
        <f>MONTH(BDRIOSJ[[#This Row],[FECHA]])</f>
        <v>12</v>
      </c>
      <c r="D704" s="50" t="s">
        <v>292</v>
      </c>
      <c r="E704" s="49" t="s">
        <v>114</v>
      </c>
      <c r="F704" s="65">
        <v>7.5068999999999999</v>
      </c>
    </row>
    <row r="705" spans="2:6" hidden="1" x14ac:dyDescent="0.25">
      <c r="B705" s="51">
        <f>YEAR(BDRIOSJ[[#This Row],[FECHA]])</f>
        <v>2023</v>
      </c>
      <c r="C705" s="51">
        <f>MONTH(BDRIOSJ[[#This Row],[FECHA]])</f>
        <v>12</v>
      </c>
      <c r="D705" s="50" t="s">
        <v>292</v>
      </c>
      <c r="E705" s="49" t="s">
        <v>113</v>
      </c>
      <c r="F705" s="65">
        <v>9.1260999999999992</v>
      </c>
    </row>
    <row r="706" spans="2:6" hidden="1" x14ac:dyDescent="0.25">
      <c r="B706" s="51">
        <f>YEAR(BDRIOSJ[[#This Row],[FECHA]])</f>
        <v>2023</v>
      </c>
      <c r="C706" s="51">
        <f>MONTH(BDRIOSJ[[#This Row],[FECHA]])</f>
        <v>12</v>
      </c>
      <c r="D706" s="50" t="s">
        <v>292</v>
      </c>
      <c r="E706" s="49" t="s">
        <v>111</v>
      </c>
      <c r="F706" s="65">
        <v>8.2965</v>
      </c>
    </row>
    <row r="707" spans="2:6" hidden="1" x14ac:dyDescent="0.25">
      <c r="B707" s="51">
        <f>YEAR(BDRIOSJ[[#This Row],[FECHA]])</f>
        <v>2023</v>
      </c>
      <c r="C707" s="51">
        <f>MONTH(BDRIOSJ[[#This Row],[FECHA]])</f>
        <v>12</v>
      </c>
      <c r="D707" s="50" t="s">
        <v>293</v>
      </c>
      <c r="E707" s="49" t="s">
        <v>115</v>
      </c>
      <c r="F707" s="65">
        <v>9.1260999999999992</v>
      </c>
    </row>
    <row r="708" spans="2:6" hidden="1" x14ac:dyDescent="0.25">
      <c r="B708" s="51">
        <f>YEAR(BDRIOSJ[[#This Row],[FECHA]])</f>
        <v>2023</v>
      </c>
      <c r="C708" s="51">
        <f>MONTH(BDRIOSJ[[#This Row],[FECHA]])</f>
        <v>12</v>
      </c>
      <c r="D708" s="50" t="s">
        <v>293</v>
      </c>
      <c r="E708" s="49" t="s">
        <v>114</v>
      </c>
      <c r="F708" s="65">
        <v>9.1260999999999992</v>
      </c>
    </row>
    <row r="709" spans="2:6" hidden="1" x14ac:dyDescent="0.25">
      <c r="B709" s="51">
        <f>YEAR(BDRIOSJ[[#This Row],[FECHA]])</f>
        <v>2023</v>
      </c>
      <c r="C709" s="51">
        <f>MONTH(BDRIOSJ[[#This Row],[FECHA]])</f>
        <v>12</v>
      </c>
      <c r="D709" s="50" t="s">
        <v>293</v>
      </c>
      <c r="E709" s="49" t="s">
        <v>113</v>
      </c>
      <c r="F709" s="65">
        <v>9.1260999999999992</v>
      </c>
    </row>
    <row r="710" spans="2:6" hidden="1" x14ac:dyDescent="0.25">
      <c r="B710" s="51">
        <f>YEAR(BDRIOSJ[[#This Row],[FECHA]])</f>
        <v>2023</v>
      </c>
      <c r="C710" s="51">
        <f>MONTH(BDRIOSJ[[#This Row],[FECHA]])</f>
        <v>12</v>
      </c>
      <c r="D710" s="50" t="s">
        <v>293</v>
      </c>
      <c r="E710" s="49" t="s">
        <v>111</v>
      </c>
      <c r="F710" s="65">
        <v>8.2965</v>
      </c>
    </row>
    <row r="711" spans="2:6" hidden="1" x14ac:dyDescent="0.25">
      <c r="B711" s="51">
        <f>YEAR(BDRIOSJ[[#This Row],[FECHA]])</f>
        <v>2023</v>
      </c>
      <c r="C711" s="51">
        <f>MONTH(BDRIOSJ[[#This Row],[FECHA]])</f>
        <v>12</v>
      </c>
      <c r="D711" s="50" t="s">
        <v>294</v>
      </c>
      <c r="E711" s="49" t="s">
        <v>115</v>
      </c>
      <c r="F711" s="65">
        <v>10.904999999999999</v>
      </c>
    </row>
    <row r="712" spans="2:6" hidden="1" x14ac:dyDescent="0.25">
      <c r="B712" s="51">
        <f>YEAR(BDRIOSJ[[#This Row],[FECHA]])</f>
        <v>2023</v>
      </c>
      <c r="C712" s="51">
        <f>MONTH(BDRIOSJ[[#This Row],[FECHA]])</f>
        <v>12</v>
      </c>
      <c r="D712" s="50" t="s">
        <v>294</v>
      </c>
      <c r="E712" s="49" t="s">
        <v>114</v>
      </c>
      <c r="F712" s="65">
        <v>10.904999999999999</v>
      </c>
    </row>
    <row r="713" spans="2:6" hidden="1" x14ac:dyDescent="0.25">
      <c r="B713" s="51">
        <f>YEAR(BDRIOSJ[[#This Row],[FECHA]])</f>
        <v>2023</v>
      </c>
      <c r="C713" s="51">
        <f>MONTH(BDRIOSJ[[#This Row],[FECHA]])</f>
        <v>12</v>
      </c>
      <c r="D713" s="50" t="s">
        <v>294</v>
      </c>
      <c r="E713" s="49" t="s">
        <v>113</v>
      </c>
      <c r="F713" s="65">
        <v>10.904999999999999</v>
      </c>
    </row>
    <row r="714" spans="2:6" hidden="1" x14ac:dyDescent="0.25">
      <c r="B714" s="51">
        <f>YEAR(BDRIOSJ[[#This Row],[FECHA]])</f>
        <v>2023</v>
      </c>
      <c r="C714" s="51">
        <f>MONTH(BDRIOSJ[[#This Row],[FECHA]])</f>
        <v>12</v>
      </c>
      <c r="D714" s="50" t="s">
        <v>294</v>
      </c>
      <c r="E714" s="49" t="s">
        <v>111</v>
      </c>
      <c r="F714" s="65">
        <v>10.904999999999999</v>
      </c>
    </row>
    <row r="715" spans="2:6" hidden="1" x14ac:dyDescent="0.25">
      <c r="B715" s="51">
        <f>YEAR(BDRIOSJ[[#This Row],[FECHA]])</f>
        <v>2023</v>
      </c>
      <c r="C715" s="51">
        <f>MONTH(BDRIOSJ[[#This Row],[FECHA]])</f>
        <v>12</v>
      </c>
      <c r="D715" s="50" t="s">
        <v>295</v>
      </c>
      <c r="E715" s="49" t="s">
        <v>115</v>
      </c>
      <c r="F715" s="65">
        <v>11.8545</v>
      </c>
    </row>
    <row r="716" spans="2:6" hidden="1" x14ac:dyDescent="0.25">
      <c r="B716" s="51">
        <f>YEAR(BDRIOSJ[[#This Row],[FECHA]])</f>
        <v>2023</v>
      </c>
      <c r="C716" s="51">
        <f>MONTH(BDRIOSJ[[#This Row],[FECHA]])</f>
        <v>12</v>
      </c>
      <c r="D716" s="50" t="s">
        <v>295</v>
      </c>
      <c r="E716" s="49" t="s">
        <v>114</v>
      </c>
      <c r="F716" s="65">
        <v>11.8545</v>
      </c>
    </row>
    <row r="717" spans="2:6" hidden="1" x14ac:dyDescent="0.25">
      <c r="B717" s="51">
        <f>YEAR(BDRIOSJ[[#This Row],[FECHA]])</f>
        <v>2023</v>
      </c>
      <c r="C717" s="51">
        <f>MONTH(BDRIOSJ[[#This Row],[FECHA]])</f>
        <v>12</v>
      </c>
      <c r="D717" s="50" t="s">
        <v>295</v>
      </c>
      <c r="E717" s="49" t="s">
        <v>113</v>
      </c>
      <c r="F717" s="65">
        <v>11.8545</v>
      </c>
    </row>
    <row r="718" spans="2:6" hidden="1" x14ac:dyDescent="0.25">
      <c r="B718" s="51">
        <f>YEAR(BDRIOSJ[[#This Row],[FECHA]])</f>
        <v>2023</v>
      </c>
      <c r="C718" s="51">
        <f>MONTH(BDRIOSJ[[#This Row],[FECHA]])</f>
        <v>12</v>
      </c>
      <c r="D718" s="50" t="s">
        <v>295</v>
      </c>
      <c r="E718" s="49" t="s">
        <v>111</v>
      </c>
      <c r="F718" s="65">
        <v>12.8438</v>
      </c>
    </row>
    <row r="719" spans="2:6" hidden="1" x14ac:dyDescent="0.25">
      <c r="B719" s="51">
        <f>YEAR(BDRIOSJ[[#This Row],[FECHA]])</f>
        <v>2023</v>
      </c>
      <c r="C719" s="51">
        <f>MONTH(BDRIOSJ[[#This Row],[FECHA]])</f>
        <v>12</v>
      </c>
      <c r="D719" s="50" t="s">
        <v>296</v>
      </c>
      <c r="E719" s="49" t="s">
        <v>115</v>
      </c>
      <c r="F719" s="65">
        <v>12.8438</v>
      </c>
    </row>
    <row r="720" spans="2:6" hidden="1" x14ac:dyDescent="0.25">
      <c r="B720" s="51">
        <f>YEAR(BDRIOSJ[[#This Row],[FECHA]])</f>
        <v>2023</v>
      </c>
      <c r="C720" s="51">
        <f>MONTH(BDRIOSJ[[#This Row],[FECHA]])</f>
        <v>12</v>
      </c>
      <c r="D720" s="50" t="s">
        <v>296</v>
      </c>
      <c r="E720" s="49" t="s">
        <v>114</v>
      </c>
      <c r="F720" s="65">
        <v>12.8438</v>
      </c>
    </row>
    <row r="721" spans="2:6" hidden="1" x14ac:dyDescent="0.25">
      <c r="B721" s="51">
        <f>YEAR(BDRIOSJ[[#This Row],[FECHA]])</f>
        <v>2023</v>
      </c>
      <c r="C721" s="51">
        <f>MONTH(BDRIOSJ[[#This Row],[FECHA]])</f>
        <v>12</v>
      </c>
      <c r="D721" s="50" t="s">
        <v>296</v>
      </c>
      <c r="E721" s="49" t="s">
        <v>113</v>
      </c>
      <c r="F721" s="65">
        <v>12.8438</v>
      </c>
    </row>
    <row r="722" spans="2:6" hidden="1" x14ac:dyDescent="0.25">
      <c r="B722" s="51">
        <f>YEAR(BDRIOSJ[[#This Row],[FECHA]])</f>
        <v>2023</v>
      </c>
      <c r="C722" s="51">
        <f>MONTH(BDRIOSJ[[#This Row],[FECHA]])</f>
        <v>12</v>
      </c>
      <c r="D722" s="50" t="s">
        <v>296</v>
      </c>
      <c r="E722" s="49" t="s">
        <v>111</v>
      </c>
      <c r="F722" s="65">
        <v>12.8438</v>
      </c>
    </row>
    <row r="723" spans="2:6" hidden="1" x14ac:dyDescent="0.25">
      <c r="B723" s="51">
        <f>YEAR(BDRIOSJ[[#This Row],[FECHA]])</f>
        <v>2024</v>
      </c>
      <c r="C723" s="51">
        <f>MONTH(BDRIOSJ[[#This Row],[FECHA]])</f>
        <v>1</v>
      </c>
      <c r="D723" s="50" t="s">
        <v>297</v>
      </c>
      <c r="E723" s="49" t="s">
        <v>115</v>
      </c>
      <c r="F723" s="65">
        <v>54.661799999999999</v>
      </c>
    </row>
    <row r="724" spans="2:6" hidden="1" x14ac:dyDescent="0.25">
      <c r="B724" s="51">
        <f>YEAR(BDRIOSJ[[#This Row],[FECHA]])</f>
        <v>2024</v>
      </c>
      <c r="C724" s="51">
        <f>MONTH(BDRIOSJ[[#This Row],[FECHA]])</f>
        <v>1</v>
      </c>
      <c r="D724" s="50" t="s">
        <v>297</v>
      </c>
      <c r="E724" s="49" t="s">
        <v>114</v>
      </c>
      <c r="F724" s="65">
        <v>54.661799999999999</v>
      </c>
    </row>
    <row r="725" spans="2:6" hidden="1" x14ac:dyDescent="0.25">
      <c r="B725" s="51">
        <f>YEAR(BDRIOSJ[[#This Row],[FECHA]])</f>
        <v>2024</v>
      </c>
      <c r="C725" s="51">
        <f>MONTH(BDRIOSJ[[#This Row],[FECHA]])</f>
        <v>1</v>
      </c>
      <c r="D725" s="50" t="s">
        <v>297</v>
      </c>
      <c r="E725" s="49" t="s">
        <v>113</v>
      </c>
      <c r="F725" s="65">
        <v>54.661799999999999</v>
      </c>
    </row>
    <row r="726" spans="2:6" hidden="1" x14ac:dyDescent="0.25">
      <c r="B726" s="51">
        <f>YEAR(BDRIOSJ[[#This Row],[FECHA]])</f>
        <v>2024</v>
      </c>
      <c r="C726" s="51">
        <f>MONTH(BDRIOSJ[[#This Row],[FECHA]])</f>
        <v>1</v>
      </c>
      <c r="D726" s="50" t="s">
        <v>297</v>
      </c>
      <c r="E726" s="49" t="s">
        <v>111</v>
      </c>
      <c r="F726" s="65">
        <v>54.661799999999999</v>
      </c>
    </row>
    <row r="727" spans="2:6" hidden="1" x14ac:dyDescent="0.25">
      <c r="B727" s="51">
        <f>YEAR(BDRIOSJ[[#This Row],[FECHA]])</f>
        <v>2024</v>
      </c>
      <c r="C727" s="51">
        <f>MONTH(BDRIOSJ[[#This Row],[FECHA]])</f>
        <v>1</v>
      </c>
      <c r="D727" s="50" t="s">
        <v>298</v>
      </c>
      <c r="E727" s="49" t="s">
        <v>114</v>
      </c>
      <c r="F727" s="65">
        <v>80.050200000000004</v>
      </c>
    </row>
    <row r="728" spans="2:6" hidden="1" x14ac:dyDescent="0.25">
      <c r="B728" s="51">
        <f>YEAR(BDRIOSJ[[#This Row],[FECHA]])</f>
        <v>2024</v>
      </c>
      <c r="C728" s="51">
        <f>MONTH(BDRIOSJ[[#This Row],[FECHA]])</f>
        <v>1</v>
      </c>
      <c r="D728" s="50" t="s">
        <v>298</v>
      </c>
      <c r="E728" s="49" t="s">
        <v>113</v>
      </c>
      <c r="F728" s="65">
        <v>80.050200000000004</v>
      </c>
    </row>
    <row r="729" spans="2:6" hidden="1" x14ac:dyDescent="0.25">
      <c r="B729" s="51">
        <f>YEAR(BDRIOSJ[[#This Row],[FECHA]])</f>
        <v>2024</v>
      </c>
      <c r="C729" s="51">
        <f>MONTH(BDRIOSJ[[#This Row],[FECHA]])</f>
        <v>1</v>
      </c>
      <c r="D729" s="50" t="s">
        <v>298</v>
      </c>
      <c r="E729" s="49" t="s">
        <v>111</v>
      </c>
      <c r="F729" s="65">
        <v>54.661799999999999</v>
      </c>
    </row>
    <row r="730" spans="2:6" hidden="1" x14ac:dyDescent="0.25">
      <c r="B730" s="51">
        <f>YEAR(BDRIOSJ[[#This Row],[FECHA]])</f>
        <v>2024</v>
      </c>
      <c r="C730" s="51">
        <f>MONTH(BDRIOSJ[[#This Row],[FECHA]])</f>
        <v>1</v>
      </c>
      <c r="D730" s="50" t="s">
        <v>299</v>
      </c>
      <c r="E730" s="49" t="s">
        <v>115</v>
      </c>
      <c r="F730" s="65">
        <v>56.77</v>
      </c>
    </row>
    <row r="731" spans="2:6" hidden="1" x14ac:dyDescent="0.25">
      <c r="B731" s="51">
        <f>YEAR(BDRIOSJ[[#This Row],[FECHA]])</f>
        <v>2024</v>
      </c>
      <c r="C731" s="51">
        <f>MONTH(BDRIOSJ[[#This Row],[FECHA]])</f>
        <v>1</v>
      </c>
      <c r="D731" s="50" t="s">
        <v>299</v>
      </c>
      <c r="E731" s="49" t="s">
        <v>114</v>
      </c>
      <c r="F731" s="65">
        <v>54.661799999999999</v>
      </c>
    </row>
    <row r="732" spans="2:6" hidden="1" x14ac:dyDescent="0.25">
      <c r="B732" s="51">
        <f>YEAR(BDRIOSJ[[#This Row],[FECHA]])</f>
        <v>2024</v>
      </c>
      <c r="C732" s="51">
        <f>MONTH(BDRIOSJ[[#This Row],[FECHA]])</f>
        <v>1</v>
      </c>
      <c r="D732" s="50" t="s">
        <v>299</v>
      </c>
      <c r="E732" s="49" t="s">
        <v>113</v>
      </c>
      <c r="F732" s="65">
        <v>80.050200000000004</v>
      </c>
    </row>
    <row r="733" spans="2:6" hidden="1" x14ac:dyDescent="0.25">
      <c r="B733" s="51">
        <f>YEAR(BDRIOSJ[[#This Row],[FECHA]])</f>
        <v>2024</v>
      </c>
      <c r="C733" s="51">
        <f>MONTH(BDRIOSJ[[#This Row],[FECHA]])</f>
        <v>1</v>
      </c>
      <c r="D733" s="50" t="s">
        <v>299</v>
      </c>
      <c r="E733" s="49" t="s">
        <v>111</v>
      </c>
      <c r="F733" s="65">
        <v>80.050200000000004</v>
      </c>
    </row>
    <row r="734" spans="2:6" hidden="1" x14ac:dyDescent="0.25">
      <c r="B734" s="51">
        <f>YEAR(BDRIOSJ[[#This Row],[FECHA]])</f>
        <v>2024</v>
      </c>
      <c r="C734" s="51">
        <f>MONTH(BDRIOSJ[[#This Row],[FECHA]])</f>
        <v>1</v>
      </c>
      <c r="D734" s="50" t="s">
        <v>300</v>
      </c>
      <c r="E734" s="49" t="s">
        <v>115</v>
      </c>
      <c r="F734" s="65">
        <v>41.0229</v>
      </c>
    </row>
    <row r="735" spans="2:6" hidden="1" x14ac:dyDescent="0.25">
      <c r="B735" s="51">
        <f>YEAR(BDRIOSJ[[#This Row],[FECHA]])</f>
        <v>2024</v>
      </c>
      <c r="C735" s="51">
        <f>MONTH(BDRIOSJ[[#This Row],[FECHA]])</f>
        <v>1</v>
      </c>
      <c r="D735" s="50" t="s">
        <v>300</v>
      </c>
      <c r="E735" s="49" t="s">
        <v>114</v>
      </c>
      <c r="F735" s="65">
        <v>41.0229</v>
      </c>
    </row>
    <row r="736" spans="2:6" hidden="1" x14ac:dyDescent="0.25">
      <c r="B736" s="51">
        <f>YEAR(BDRIOSJ[[#This Row],[FECHA]])</f>
        <v>2024</v>
      </c>
      <c r="C736" s="51">
        <f>MONTH(BDRIOSJ[[#This Row],[FECHA]])</f>
        <v>1</v>
      </c>
      <c r="D736" s="50" t="s">
        <v>300</v>
      </c>
      <c r="E736" s="49" t="s">
        <v>113</v>
      </c>
      <c r="F736" s="65">
        <v>41.0229</v>
      </c>
    </row>
    <row r="737" spans="2:6" hidden="1" x14ac:dyDescent="0.25">
      <c r="B737" s="51">
        <f>YEAR(BDRIOSJ[[#This Row],[FECHA]])</f>
        <v>2024</v>
      </c>
      <c r="C737" s="51">
        <f>MONTH(BDRIOSJ[[#This Row],[FECHA]])</f>
        <v>1</v>
      </c>
      <c r="D737" s="50" t="s">
        <v>300</v>
      </c>
      <c r="E737" s="49" t="s">
        <v>111</v>
      </c>
      <c r="F737" s="65">
        <v>39.234400000000001</v>
      </c>
    </row>
    <row r="738" spans="2:6" hidden="1" x14ac:dyDescent="0.25">
      <c r="B738" s="51">
        <f>YEAR(BDRIOSJ[[#This Row],[FECHA]])</f>
        <v>2024</v>
      </c>
      <c r="C738" s="51">
        <f>MONTH(BDRIOSJ[[#This Row],[FECHA]])</f>
        <v>1</v>
      </c>
      <c r="D738" s="50" t="s">
        <v>301</v>
      </c>
      <c r="E738" s="49" t="s">
        <v>115</v>
      </c>
      <c r="F738" s="65">
        <v>24.935400000000001</v>
      </c>
    </row>
    <row r="739" spans="2:6" hidden="1" x14ac:dyDescent="0.25">
      <c r="B739" s="51">
        <f>YEAR(BDRIOSJ[[#This Row],[FECHA]])</f>
        <v>2024</v>
      </c>
      <c r="C739" s="51">
        <f>MONTH(BDRIOSJ[[#This Row],[FECHA]])</f>
        <v>1</v>
      </c>
      <c r="D739" s="50" t="s">
        <v>301</v>
      </c>
      <c r="E739" s="49" t="s">
        <v>114</v>
      </c>
      <c r="F739" s="65">
        <v>24.935400000000001</v>
      </c>
    </row>
    <row r="740" spans="2:6" hidden="1" x14ac:dyDescent="0.25">
      <c r="B740" s="51">
        <f>YEAR(BDRIOSJ[[#This Row],[FECHA]])</f>
        <v>2024</v>
      </c>
      <c r="C740" s="51">
        <f>MONTH(BDRIOSJ[[#This Row],[FECHA]])</f>
        <v>1</v>
      </c>
      <c r="D740" s="50" t="s">
        <v>301</v>
      </c>
      <c r="E740" s="49" t="s">
        <v>113</v>
      </c>
      <c r="F740" s="65">
        <v>24.935400000000001</v>
      </c>
    </row>
    <row r="741" spans="2:6" hidden="1" x14ac:dyDescent="0.25">
      <c r="B741" s="51">
        <f>YEAR(BDRIOSJ[[#This Row],[FECHA]])</f>
        <v>2024</v>
      </c>
      <c r="C741" s="51">
        <f>MONTH(BDRIOSJ[[#This Row],[FECHA]])</f>
        <v>1</v>
      </c>
      <c r="D741" s="50" t="s">
        <v>301</v>
      </c>
      <c r="E741" s="49" t="s">
        <v>111</v>
      </c>
      <c r="F741" s="65">
        <v>24.935400000000001</v>
      </c>
    </row>
    <row r="742" spans="2:6" hidden="1" x14ac:dyDescent="0.25">
      <c r="B742" s="51">
        <f>YEAR(BDRIOSJ[[#This Row],[FECHA]])</f>
        <v>2024</v>
      </c>
      <c r="C742" s="51">
        <f>MONTH(BDRIOSJ[[#This Row],[FECHA]])</f>
        <v>1</v>
      </c>
      <c r="D742" s="50" t="s">
        <v>302</v>
      </c>
      <c r="E742" s="49" t="s">
        <v>115</v>
      </c>
      <c r="F742" s="65">
        <v>30.890899999999998</v>
      </c>
    </row>
    <row r="743" spans="2:6" hidden="1" x14ac:dyDescent="0.25">
      <c r="B743" s="51">
        <f>YEAR(BDRIOSJ[[#This Row],[FECHA]])</f>
        <v>2024</v>
      </c>
      <c r="C743" s="51">
        <f>MONTH(BDRIOSJ[[#This Row],[FECHA]])</f>
        <v>1</v>
      </c>
      <c r="D743" s="50" t="s">
        <v>302</v>
      </c>
      <c r="E743" s="49" t="s">
        <v>114</v>
      </c>
      <c r="F743" s="65">
        <v>24.935400000000001</v>
      </c>
    </row>
    <row r="744" spans="2:6" hidden="1" x14ac:dyDescent="0.25">
      <c r="B744" s="51">
        <f>YEAR(BDRIOSJ[[#This Row],[FECHA]])</f>
        <v>2024</v>
      </c>
      <c r="C744" s="51">
        <f>MONTH(BDRIOSJ[[#This Row],[FECHA]])</f>
        <v>1</v>
      </c>
      <c r="D744" s="50" t="s">
        <v>302</v>
      </c>
      <c r="E744" s="49" t="s">
        <v>113</v>
      </c>
      <c r="F744" s="65">
        <v>24.935400000000001</v>
      </c>
    </row>
    <row r="745" spans="2:6" hidden="1" x14ac:dyDescent="0.25">
      <c r="B745" s="51">
        <f>YEAR(BDRIOSJ[[#This Row],[FECHA]])</f>
        <v>2024</v>
      </c>
      <c r="C745" s="51">
        <f>MONTH(BDRIOSJ[[#This Row],[FECHA]])</f>
        <v>1</v>
      </c>
      <c r="D745" s="50" t="s">
        <v>302</v>
      </c>
      <c r="E745" s="49" t="s">
        <v>111</v>
      </c>
      <c r="F745" s="65">
        <v>24.935400000000001</v>
      </c>
    </row>
    <row r="746" spans="2:6" hidden="1" x14ac:dyDescent="0.25">
      <c r="B746" s="51">
        <f>YEAR(BDRIOSJ[[#This Row],[FECHA]])</f>
        <v>2024</v>
      </c>
      <c r="C746" s="51">
        <f>MONTH(BDRIOSJ[[#This Row],[FECHA]])</f>
        <v>1</v>
      </c>
      <c r="D746" s="50" t="s">
        <v>303</v>
      </c>
      <c r="E746" s="49" t="s">
        <v>115</v>
      </c>
      <c r="F746" s="65">
        <v>24.935400000000001</v>
      </c>
    </row>
    <row r="747" spans="2:6" hidden="1" x14ac:dyDescent="0.25">
      <c r="B747" s="51">
        <f>YEAR(BDRIOSJ[[#This Row],[FECHA]])</f>
        <v>2024</v>
      </c>
      <c r="C747" s="51">
        <f>MONTH(BDRIOSJ[[#This Row],[FECHA]])</f>
        <v>1</v>
      </c>
      <c r="D747" s="50" t="s">
        <v>303</v>
      </c>
      <c r="E747" s="49" t="s">
        <v>114</v>
      </c>
      <c r="F747" s="65">
        <v>29.342099999999999</v>
      </c>
    </row>
    <row r="748" spans="2:6" hidden="1" x14ac:dyDescent="0.25">
      <c r="B748" s="51">
        <f>YEAR(BDRIOSJ[[#This Row],[FECHA]])</f>
        <v>2024</v>
      </c>
      <c r="C748" s="51">
        <f>MONTH(BDRIOSJ[[#This Row],[FECHA]])</f>
        <v>1</v>
      </c>
      <c r="D748" s="50" t="s">
        <v>303</v>
      </c>
      <c r="E748" s="49" t="s">
        <v>113</v>
      </c>
      <c r="F748" s="65">
        <v>32.479700000000001</v>
      </c>
    </row>
    <row r="749" spans="2:6" hidden="1" x14ac:dyDescent="0.25">
      <c r="B749" s="51">
        <f>YEAR(BDRIOSJ[[#This Row],[FECHA]])</f>
        <v>2024</v>
      </c>
      <c r="C749" s="51">
        <f>MONTH(BDRIOSJ[[#This Row],[FECHA]])</f>
        <v>1</v>
      </c>
      <c r="D749" s="50" t="s">
        <v>303</v>
      </c>
      <c r="E749" s="49" t="s">
        <v>111</v>
      </c>
      <c r="F749" s="65">
        <v>32.479700000000001</v>
      </c>
    </row>
    <row r="750" spans="2:6" hidden="1" x14ac:dyDescent="0.25">
      <c r="B750" s="51">
        <f>YEAR(BDRIOSJ[[#This Row],[FECHA]])</f>
        <v>2024</v>
      </c>
      <c r="C750" s="51">
        <f>MONTH(BDRIOSJ[[#This Row],[FECHA]])</f>
        <v>1</v>
      </c>
      <c r="D750" s="50" t="s">
        <v>304</v>
      </c>
      <c r="E750" s="49" t="s">
        <v>115</v>
      </c>
      <c r="F750" s="65">
        <v>24.935400000000001</v>
      </c>
    </row>
    <row r="751" spans="2:6" hidden="1" x14ac:dyDescent="0.25">
      <c r="B751" s="51">
        <f>YEAR(BDRIOSJ[[#This Row],[FECHA]])</f>
        <v>2024</v>
      </c>
      <c r="C751" s="51">
        <f>MONTH(BDRIOSJ[[#This Row],[FECHA]])</f>
        <v>1</v>
      </c>
      <c r="D751" s="50" t="s">
        <v>304</v>
      </c>
      <c r="E751" s="49" t="s">
        <v>114</v>
      </c>
      <c r="F751" s="65">
        <v>24.935400000000001</v>
      </c>
    </row>
    <row r="752" spans="2:6" hidden="1" x14ac:dyDescent="0.25">
      <c r="B752" s="51">
        <f>YEAR(BDRIOSJ[[#This Row],[FECHA]])</f>
        <v>2024</v>
      </c>
      <c r="C752" s="51">
        <f>MONTH(BDRIOSJ[[#This Row],[FECHA]])</f>
        <v>1</v>
      </c>
      <c r="D752" s="50" t="s">
        <v>304</v>
      </c>
      <c r="E752" s="49" t="s">
        <v>113</v>
      </c>
      <c r="F752" s="65">
        <v>24.935400000000001</v>
      </c>
    </row>
    <row r="753" spans="2:6" hidden="1" x14ac:dyDescent="0.25">
      <c r="B753" s="51">
        <f>YEAR(BDRIOSJ[[#This Row],[FECHA]])</f>
        <v>2024</v>
      </c>
      <c r="C753" s="51">
        <f>MONTH(BDRIOSJ[[#This Row],[FECHA]])</f>
        <v>1</v>
      </c>
      <c r="D753" s="50" t="s">
        <v>304</v>
      </c>
      <c r="E753" s="49" t="s">
        <v>111</v>
      </c>
      <c r="F753" s="65">
        <v>24.935400000000001</v>
      </c>
    </row>
    <row r="754" spans="2:6" hidden="1" x14ac:dyDescent="0.25">
      <c r="B754" s="51">
        <f>YEAR(BDRIOSJ[[#This Row],[FECHA]])</f>
        <v>2024</v>
      </c>
      <c r="C754" s="51">
        <f>MONTH(BDRIOSJ[[#This Row],[FECHA]])</f>
        <v>1</v>
      </c>
      <c r="D754" s="50" t="s">
        <v>305</v>
      </c>
      <c r="E754" s="49" t="s">
        <v>115</v>
      </c>
      <c r="F754" s="65">
        <v>30.890899999999998</v>
      </c>
    </row>
    <row r="755" spans="2:6" hidden="1" x14ac:dyDescent="0.25">
      <c r="B755" s="51">
        <f>YEAR(BDRIOSJ[[#This Row],[FECHA]])</f>
        <v>2024</v>
      </c>
      <c r="C755" s="51">
        <f>MONTH(BDRIOSJ[[#This Row],[FECHA]])</f>
        <v>1</v>
      </c>
      <c r="D755" s="50" t="s">
        <v>305</v>
      </c>
      <c r="E755" s="49" t="s">
        <v>114</v>
      </c>
      <c r="F755" s="65">
        <v>30.890899999999998</v>
      </c>
    </row>
    <row r="756" spans="2:6" hidden="1" x14ac:dyDescent="0.25">
      <c r="B756" s="51">
        <f>YEAR(BDRIOSJ[[#This Row],[FECHA]])</f>
        <v>2024</v>
      </c>
      <c r="C756" s="51">
        <f>MONTH(BDRIOSJ[[#This Row],[FECHA]])</f>
        <v>1</v>
      </c>
      <c r="D756" s="50" t="s">
        <v>305</v>
      </c>
      <c r="E756" s="49" t="s">
        <v>113</v>
      </c>
      <c r="F756" s="65">
        <v>30.890899999999998</v>
      </c>
    </row>
    <row r="757" spans="2:6" hidden="1" x14ac:dyDescent="0.25">
      <c r="B757" s="51">
        <f>YEAR(BDRIOSJ[[#This Row],[FECHA]])</f>
        <v>2024</v>
      </c>
      <c r="C757" s="51">
        <f>MONTH(BDRIOSJ[[#This Row],[FECHA]])</f>
        <v>1</v>
      </c>
      <c r="D757" s="50" t="s">
        <v>305</v>
      </c>
      <c r="E757" s="49" t="s">
        <v>111</v>
      </c>
      <c r="F757" s="65">
        <v>30.890899999999998</v>
      </c>
    </row>
    <row r="758" spans="2:6" hidden="1" x14ac:dyDescent="0.25">
      <c r="B758" s="51">
        <f>YEAR(BDRIOSJ[[#This Row],[FECHA]])</f>
        <v>2024</v>
      </c>
      <c r="C758" s="51">
        <f>MONTH(BDRIOSJ[[#This Row],[FECHA]])</f>
        <v>1</v>
      </c>
      <c r="D758" s="50" t="s">
        <v>306</v>
      </c>
      <c r="E758" s="49" t="s">
        <v>115</v>
      </c>
      <c r="F758" s="65">
        <v>29.342099999999999</v>
      </c>
    </row>
    <row r="759" spans="2:6" hidden="1" x14ac:dyDescent="0.25">
      <c r="B759" s="51">
        <f>YEAR(BDRIOSJ[[#This Row],[FECHA]])</f>
        <v>2024</v>
      </c>
      <c r="C759" s="51">
        <f>MONTH(BDRIOSJ[[#This Row],[FECHA]])</f>
        <v>1</v>
      </c>
      <c r="D759" s="50" t="s">
        <v>306</v>
      </c>
      <c r="E759" s="49" t="s">
        <v>114</v>
      </c>
      <c r="F759" s="65">
        <v>30.890899999999998</v>
      </c>
    </row>
    <row r="760" spans="2:6" hidden="1" x14ac:dyDescent="0.25">
      <c r="B760" s="51">
        <f>YEAR(BDRIOSJ[[#This Row],[FECHA]])</f>
        <v>2024</v>
      </c>
      <c r="C760" s="51">
        <f>MONTH(BDRIOSJ[[#This Row],[FECHA]])</f>
        <v>1</v>
      </c>
      <c r="D760" s="50" t="s">
        <v>306</v>
      </c>
      <c r="E760" s="49" t="s">
        <v>113</v>
      </c>
      <c r="F760" s="65">
        <v>30.890899999999998</v>
      </c>
    </row>
    <row r="761" spans="2:6" hidden="1" x14ac:dyDescent="0.25">
      <c r="B761" s="51">
        <f>YEAR(BDRIOSJ[[#This Row],[FECHA]])</f>
        <v>2024</v>
      </c>
      <c r="C761" s="51">
        <f>MONTH(BDRIOSJ[[#This Row],[FECHA]])</f>
        <v>1</v>
      </c>
      <c r="D761" s="50" t="s">
        <v>306</v>
      </c>
      <c r="E761" s="49" t="s">
        <v>111</v>
      </c>
      <c r="F761" s="65">
        <v>30.890899999999998</v>
      </c>
    </row>
    <row r="762" spans="2:6" hidden="1" x14ac:dyDescent="0.25">
      <c r="B762" s="51">
        <f>YEAR(BDRIOSJ[[#This Row],[FECHA]])</f>
        <v>2024</v>
      </c>
      <c r="C762" s="51">
        <f>MONTH(BDRIOSJ[[#This Row],[FECHA]])</f>
        <v>1</v>
      </c>
      <c r="D762" s="50" t="s">
        <v>307</v>
      </c>
      <c r="E762" s="49" t="s">
        <v>115</v>
      </c>
      <c r="F762" s="65">
        <v>22.197399999999998</v>
      </c>
    </row>
    <row r="763" spans="2:6" hidden="1" x14ac:dyDescent="0.25">
      <c r="B763" s="51">
        <f>YEAR(BDRIOSJ[[#This Row],[FECHA]])</f>
        <v>2024</v>
      </c>
      <c r="C763" s="51">
        <f>MONTH(BDRIOSJ[[#This Row],[FECHA]])</f>
        <v>1</v>
      </c>
      <c r="D763" s="50" t="s">
        <v>307</v>
      </c>
      <c r="E763" s="49" t="s">
        <v>114</v>
      </c>
      <c r="F763" s="65">
        <v>22.197399999999998</v>
      </c>
    </row>
    <row r="764" spans="2:6" hidden="1" x14ac:dyDescent="0.25">
      <c r="B764" s="51">
        <f>YEAR(BDRIOSJ[[#This Row],[FECHA]])</f>
        <v>2024</v>
      </c>
      <c r="C764" s="51">
        <f>MONTH(BDRIOSJ[[#This Row],[FECHA]])</f>
        <v>1</v>
      </c>
      <c r="D764" s="50" t="s">
        <v>307</v>
      </c>
      <c r="E764" s="49" t="s">
        <v>113</v>
      </c>
      <c r="F764" s="65">
        <v>27.833300000000001</v>
      </c>
    </row>
    <row r="765" spans="2:6" hidden="1" x14ac:dyDescent="0.25">
      <c r="B765" s="51">
        <f>YEAR(BDRIOSJ[[#This Row],[FECHA]])</f>
        <v>2024</v>
      </c>
      <c r="C765" s="51">
        <f>MONTH(BDRIOSJ[[#This Row],[FECHA]])</f>
        <v>1</v>
      </c>
      <c r="D765" s="50" t="s">
        <v>307</v>
      </c>
      <c r="E765" s="49" t="s">
        <v>111</v>
      </c>
      <c r="F765" s="65">
        <v>27.833300000000001</v>
      </c>
    </row>
    <row r="766" spans="2:6" hidden="1" x14ac:dyDescent="0.25">
      <c r="B766" s="51">
        <f>YEAR(BDRIOSJ[[#This Row],[FECHA]])</f>
        <v>2024</v>
      </c>
      <c r="C766" s="51">
        <f>MONTH(BDRIOSJ[[#This Row],[FECHA]])</f>
        <v>1</v>
      </c>
      <c r="D766" s="50" t="s">
        <v>308</v>
      </c>
      <c r="E766" s="49" t="s">
        <v>115</v>
      </c>
      <c r="F766" s="65">
        <v>27.833300000000001</v>
      </c>
    </row>
    <row r="767" spans="2:6" hidden="1" x14ac:dyDescent="0.25">
      <c r="B767" s="51">
        <f>YEAR(BDRIOSJ[[#This Row],[FECHA]])</f>
        <v>2024</v>
      </c>
      <c r="C767" s="51">
        <f>MONTH(BDRIOSJ[[#This Row],[FECHA]])</f>
        <v>1</v>
      </c>
      <c r="D767" s="50" t="s">
        <v>308</v>
      </c>
      <c r="E767" s="49" t="s">
        <v>114</v>
      </c>
      <c r="F767" s="65">
        <v>27.833300000000001</v>
      </c>
    </row>
    <row r="768" spans="2:6" hidden="1" x14ac:dyDescent="0.25">
      <c r="B768" s="51">
        <f>YEAR(BDRIOSJ[[#This Row],[FECHA]])</f>
        <v>2024</v>
      </c>
      <c r="C768" s="51">
        <f>MONTH(BDRIOSJ[[#This Row],[FECHA]])</f>
        <v>1</v>
      </c>
      <c r="D768" s="50" t="s">
        <v>308</v>
      </c>
      <c r="E768" s="49" t="s">
        <v>111</v>
      </c>
      <c r="F768" s="65">
        <v>27.833300000000001</v>
      </c>
    </row>
    <row r="769" spans="2:6" hidden="1" x14ac:dyDescent="0.25">
      <c r="B769" s="51">
        <f>YEAR(BDRIOSJ[[#This Row],[FECHA]])</f>
        <v>2024</v>
      </c>
      <c r="C769" s="51">
        <f>MONTH(BDRIOSJ[[#This Row],[FECHA]])</f>
        <v>1</v>
      </c>
      <c r="D769" s="50" t="s">
        <v>309</v>
      </c>
      <c r="E769" s="49" t="s">
        <v>115</v>
      </c>
      <c r="F769" s="65">
        <v>27.833300000000001</v>
      </c>
    </row>
    <row r="770" spans="2:6" hidden="1" x14ac:dyDescent="0.25">
      <c r="B770" s="51">
        <f>YEAR(BDRIOSJ[[#This Row],[FECHA]])</f>
        <v>2024</v>
      </c>
      <c r="C770" s="51">
        <f>MONTH(BDRIOSJ[[#This Row],[FECHA]])</f>
        <v>1</v>
      </c>
      <c r="D770" s="50" t="s">
        <v>309</v>
      </c>
      <c r="E770" s="49" t="s">
        <v>114</v>
      </c>
      <c r="F770" s="65">
        <v>27.833300000000001</v>
      </c>
    </row>
    <row r="771" spans="2:6" hidden="1" x14ac:dyDescent="0.25">
      <c r="B771" s="51">
        <f>YEAR(BDRIOSJ[[#This Row],[FECHA]])</f>
        <v>2024</v>
      </c>
      <c r="C771" s="51">
        <f>MONTH(BDRIOSJ[[#This Row],[FECHA]])</f>
        <v>1</v>
      </c>
      <c r="D771" s="50" t="s">
        <v>309</v>
      </c>
      <c r="E771" s="49" t="s">
        <v>113</v>
      </c>
      <c r="F771" s="65">
        <v>27.833300000000001</v>
      </c>
    </row>
    <row r="772" spans="2:6" hidden="1" x14ac:dyDescent="0.25">
      <c r="B772" s="51">
        <f>YEAR(BDRIOSJ[[#This Row],[FECHA]])</f>
        <v>2024</v>
      </c>
      <c r="C772" s="51">
        <f>MONTH(BDRIOSJ[[#This Row],[FECHA]])</f>
        <v>1</v>
      </c>
      <c r="D772" s="50" t="s">
        <v>309</v>
      </c>
      <c r="E772" s="49" t="s">
        <v>111</v>
      </c>
      <c r="F772" s="65">
        <v>27.833300000000001</v>
      </c>
    </row>
    <row r="773" spans="2:6" hidden="1" x14ac:dyDescent="0.25">
      <c r="B773" s="51">
        <f>YEAR(BDRIOSJ[[#This Row],[FECHA]])</f>
        <v>2024</v>
      </c>
      <c r="C773" s="51">
        <f>MONTH(BDRIOSJ[[#This Row],[FECHA]])</f>
        <v>1</v>
      </c>
      <c r="D773" s="50" t="s">
        <v>310</v>
      </c>
      <c r="E773" s="49" t="s">
        <v>115</v>
      </c>
      <c r="F773" s="65">
        <v>37.485799999999998</v>
      </c>
    </row>
    <row r="774" spans="2:6" hidden="1" x14ac:dyDescent="0.25">
      <c r="B774" s="51">
        <f>YEAR(BDRIOSJ[[#This Row],[FECHA]])</f>
        <v>2024</v>
      </c>
      <c r="C774" s="51">
        <f>MONTH(BDRIOSJ[[#This Row],[FECHA]])</f>
        <v>1</v>
      </c>
      <c r="D774" s="50" t="s">
        <v>310</v>
      </c>
      <c r="E774" s="49" t="s">
        <v>114</v>
      </c>
      <c r="F774" s="65">
        <v>39.234400000000001</v>
      </c>
    </row>
    <row r="775" spans="2:6" hidden="1" x14ac:dyDescent="0.25">
      <c r="B775" s="51">
        <f>YEAR(BDRIOSJ[[#This Row],[FECHA]])</f>
        <v>2024</v>
      </c>
      <c r="C775" s="51">
        <f>MONTH(BDRIOSJ[[#This Row],[FECHA]])</f>
        <v>1</v>
      </c>
      <c r="D775" s="50" t="s">
        <v>310</v>
      </c>
      <c r="E775" s="49" t="s">
        <v>113</v>
      </c>
      <c r="F775" s="65">
        <v>39.234400000000001</v>
      </c>
    </row>
    <row r="776" spans="2:6" hidden="1" x14ac:dyDescent="0.25">
      <c r="B776" s="51">
        <f>YEAR(BDRIOSJ[[#This Row],[FECHA]])</f>
        <v>2024</v>
      </c>
      <c r="C776" s="51">
        <f>MONTH(BDRIOSJ[[#This Row],[FECHA]])</f>
        <v>1</v>
      </c>
      <c r="D776" s="50" t="s">
        <v>310</v>
      </c>
      <c r="E776" s="49" t="s">
        <v>111</v>
      </c>
      <c r="F776" s="65">
        <v>39.234400000000001</v>
      </c>
    </row>
    <row r="777" spans="2:6" hidden="1" x14ac:dyDescent="0.25">
      <c r="B777" s="51">
        <f>YEAR(BDRIOSJ[[#This Row],[FECHA]])</f>
        <v>2024</v>
      </c>
      <c r="C777" s="51">
        <f>MONTH(BDRIOSJ[[#This Row],[FECHA]])</f>
        <v>1</v>
      </c>
      <c r="D777" s="50" t="s">
        <v>311</v>
      </c>
      <c r="E777" s="49" t="s">
        <v>115</v>
      </c>
      <c r="F777" s="65">
        <v>32.479700000000001</v>
      </c>
    </row>
    <row r="778" spans="2:6" hidden="1" x14ac:dyDescent="0.25">
      <c r="B778" s="51">
        <f>YEAR(BDRIOSJ[[#This Row],[FECHA]])</f>
        <v>2024</v>
      </c>
      <c r="C778" s="51">
        <f>MONTH(BDRIOSJ[[#This Row],[FECHA]])</f>
        <v>1</v>
      </c>
      <c r="D778" s="50" t="s">
        <v>311</v>
      </c>
      <c r="E778" s="49" t="s">
        <v>114</v>
      </c>
      <c r="F778" s="65">
        <v>37.485799999999998</v>
      </c>
    </row>
    <row r="779" spans="2:6" hidden="1" x14ac:dyDescent="0.25">
      <c r="B779" s="51">
        <f>YEAR(BDRIOSJ[[#This Row],[FECHA]])</f>
        <v>2024</v>
      </c>
      <c r="C779" s="51">
        <f>MONTH(BDRIOSJ[[#This Row],[FECHA]])</f>
        <v>1</v>
      </c>
      <c r="D779" s="50" t="s">
        <v>311</v>
      </c>
      <c r="E779" s="49" t="s">
        <v>113</v>
      </c>
      <c r="F779" s="65">
        <v>37.485799999999998</v>
      </c>
    </row>
    <row r="780" spans="2:6" hidden="1" x14ac:dyDescent="0.25">
      <c r="B780" s="51">
        <f>YEAR(BDRIOSJ[[#This Row],[FECHA]])</f>
        <v>2024</v>
      </c>
      <c r="C780" s="51">
        <f>MONTH(BDRIOSJ[[#This Row],[FECHA]])</f>
        <v>1</v>
      </c>
      <c r="D780" s="50" t="s">
        <v>311</v>
      </c>
      <c r="E780" s="49" t="s">
        <v>111</v>
      </c>
      <c r="F780" s="65">
        <v>39.234400000000001</v>
      </c>
    </row>
    <row r="781" spans="2:6" hidden="1" x14ac:dyDescent="0.25">
      <c r="B781" s="51">
        <f>YEAR(BDRIOSJ[[#This Row],[FECHA]])</f>
        <v>2024</v>
      </c>
      <c r="C781" s="51">
        <f>MONTH(BDRIOSJ[[#This Row],[FECHA]])</f>
        <v>1</v>
      </c>
      <c r="D781" s="50" t="s">
        <v>312</v>
      </c>
      <c r="E781" s="49" t="s">
        <v>115</v>
      </c>
      <c r="F781" s="65">
        <v>29.342099999999999</v>
      </c>
    </row>
    <row r="782" spans="2:6" hidden="1" x14ac:dyDescent="0.25">
      <c r="B782" s="51">
        <f>YEAR(BDRIOSJ[[#This Row],[FECHA]])</f>
        <v>2024</v>
      </c>
      <c r="C782" s="51">
        <f>MONTH(BDRIOSJ[[#This Row],[FECHA]])</f>
        <v>1</v>
      </c>
      <c r="D782" s="50" t="s">
        <v>312</v>
      </c>
      <c r="E782" s="49" t="s">
        <v>114</v>
      </c>
      <c r="F782" s="65">
        <v>32.479700000000001</v>
      </c>
    </row>
    <row r="783" spans="2:6" hidden="1" x14ac:dyDescent="0.25">
      <c r="B783" s="51">
        <f>YEAR(BDRIOSJ[[#This Row],[FECHA]])</f>
        <v>2024</v>
      </c>
      <c r="C783" s="51">
        <f>MONTH(BDRIOSJ[[#This Row],[FECHA]])</f>
        <v>1</v>
      </c>
      <c r="D783" s="50" t="s">
        <v>312</v>
      </c>
      <c r="E783" s="49" t="s">
        <v>113</v>
      </c>
      <c r="F783" s="65">
        <v>32.479700000000001</v>
      </c>
    </row>
    <row r="784" spans="2:6" hidden="1" x14ac:dyDescent="0.25">
      <c r="B784" s="51">
        <f>YEAR(BDRIOSJ[[#This Row],[FECHA]])</f>
        <v>2024</v>
      </c>
      <c r="C784" s="51">
        <f>MONTH(BDRIOSJ[[#This Row],[FECHA]])</f>
        <v>1</v>
      </c>
      <c r="D784" s="50" t="s">
        <v>312</v>
      </c>
      <c r="E784" s="49" t="s">
        <v>111</v>
      </c>
      <c r="F784" s="65">
        <v>32.479700000000001</v>
      </c>
    </row>
    <row r="785" spans="2:6" hidden="1" x14ac:dyDescent="0.25">
      <c r="B785" s="51">
        <f>YEAR(BDRIOSJ[[#This Row],[FECHA]])</f>
        <v>2024</v>
      </c>
      <c r="C785" s="51">
        <f>MONTH(BDRIOSJ[[#This Row],[FECHA]])</f>
        <v>1</v>
      </c>
      <c r="D785" s="50" t="s">
        <v>313</v>
      </c>
      <c r="E785" s="49" t="s">
        <v>115</v>
      </c>
      <c r="F785" s="65">
        <v>80.050200000000004</v>
      </c>
    </row>
    <row r="786" spans="2:6" hidden="1" x14ac:dyDescent="0.25">
      <c r="B786" s="51">
        <f>YEAR(BDRIOSJ[[#This Row],[FECHA]])</f>
        <v>2024</v>
      </c>
      <c r="C786" s="51">
        <f>MONTH(BDRIOSJ[[#This Row],[FECHA]])</f>
        <v>1</v>
      </c>
      <c r="D786" s="50" t="s">
        <v>313</v>
      </c>
      <c r="E786" s="49" t="s">
        <v>114</v>
      </c>
      <c r="F786" s="65">
        <v>67.910600000000002</v>
      </c>
    </row>
    <row r="787" spans="2:6" hidden="1" x14ac:dyDescent="0.25">
      <c r="B787" s="51">
        <f>YEAR(BDRIOSJ[[#This Row],[FECHA]])</f>
        <v>2024</v>
      </c>
      <c r="C787" s="51">
        <f>MONTH(BDRIOSJ[[#This Row],[FECHA]])</f>
        <v>1</v>
      </c>
      <c r="D787" s="50" t="s">
        <v>313</v>
      </c>
      <c r="E787" s="49" t="s">
        <v>113</v>
      </c>
      <c r="F787" s="65">
        <v>67.910600000000002</v>
      </c>
    </row>
    <row r="788" spans="2:6" hidden="1" x14ac:dyDescent="0.25">
      <c r="B788" s="51">
        <f>YEAR(BDRIOSJ[[#This Row],[FECHA]])</f>
        <v>2024</v>
      </c>
      <c r="C788" s="51">
        <f>MONTH(BDRIOSJ[[#This Row],[FECHA]])</f>
        <v>1</v>
      </c>
      <c r="D788" s="50" t="s">
        <v>313</v>
      </c>
      <c r="E788" s="49" t="s">
        <v>111</v>
      </c>
      <c r="F788" s="65">
        <v>67.910600000000002</v>
      </c>
    </row>
    <row r="789" spans="2:6" hidden="1" x14ac:dyDescent="0.25">
      <c r="B789" s="51">
        <f>YEAR(BDRIOSJ[[#This Row],[FECHA]])</f>
        <v>2024</v>
      </c>
      <c r="C789" s="51">
        <f>MONTH(BDRIOSJ[[#This Row],[FECHA]])</f>
        <v>1</v>
      </c>
      <c r="D789" s="50" t="s">
        <v>314</v>
      </c>
      <c r="E789" s="49" t="s">
        <v>115</v>
      </c>
      <c r="F789" s="65">
        <v>54.661799999999999</v>
      </c>
    </row>
    <row r="790" spans="2:6" hidden="1" x14ac:dyDescent="0.25">
      <c r="B790" s="51">
        <f>YEAR(BDRIOSJ[[#This Row],[FECHA]])</f>
        <v>2024</v>
      </c>
      <c r="C790" s="51">
        <f>MONTH(BDRIOSJ[[#This Row],[FECHA]])</f>
        <v>1</v>
      </c>
      <c r="D790" s="50" t="s">
        <v>314</v>
      </c>
      <c r="E790" s="49" t="s">
        <v>114</v>
      </c>
      <c r="F790" s="65">
        <v>80.050200000000004</v>
      </c>
    </row>
    <row r="791" spans="2:6" hidden="1" x14ac:dyDescent="0.25">
      <c r="B791" s="51">
        <f>YEAR(BDRIOSJ[[#This Row],[FECHA]])</f>
        <v>2024</v>
      </c>
      <c r="C791" s="51">
        <f>MONTH(BDRIOSJ[[#This Row],[FECHA]])</f>
        <v>1</v>
      </c>
      <c r="D791" s="50" t="s">
        <v>314</v>
      </c>
      <c r="E791" s="49" t="s">
        <v>113</v>
      </c>
      <c r="F791" s="65">
        <v>80.050200000000004</v>
      </c>
    </row>
    <row r="792" spans="2:6" hidden="1" x14ac:dyDescent="0.25">
      <c r="B792" s="51">
        <f>YEAR(BDRIOSJ[[#This Row],[FECHA]])</f>
        <v>2024</v>
      </c>
      <c r="C792" s="51">
        <f>MONTH(BDRIOSJ[[#This Row],[FECHA]])</f>
        <v>1</v>
      </c>
      <c r="D792" s="50" t="s">
        <v>314</v>
      </c>
      <c r="E792" s="49" t="s">
        <v>111</v>
      </c>
      <c r="F792" s="65">
        <v>80.050200000000004</v>
      </c>
    </row>
    <row r="793" spans="2:6" hidden="1" x14ac:dyDescent="0.25">
      <c r="B793" s="51">
        <f>YEAR(BDRIOSJ[[#This Row],[FECHA]])</f>
        <v>2024</v>
      </c>
      <c r="C793" s="51">
        <f>MONTH(BDRIOSJ[[#This Row],[FECHA]])</f>
        <v>1</v>
      </c>
      <c r="D793" s="50" t="s">
        <v>315</v>
      </c>
      <c r="E793" s="49" t="s">
        <v>115</v>
      </c>
      <c r="F793" s="65">
        <v>80.050200000000004</v>
      </c>
    </row>
    <row r="794" spans="2:6" hidden="1" x14ac:dyDescent="0.25">
      <c r="B794" s="51">
        <f>YEAR(BDRIOSJ[[#This Row],[FECHA]])</f>
        <v>2024</v>
      </c>
      <c r="C794" s="51">
        <f>MONTH(BDRIOSJ[[#This Row],[FECHA]])</f>
        <v>1</v>
      </c>
      <c r="D794" s="50" t="s">
        <v>315</v>
      </c>
      <c r="E794" s="49" t="s">
        <v>114</v>
      </c>
      <c r="F794" s="65">
        <v>80.050200000000004</v>
      </c>
    </row>
    <row r="795" spans="2:6" hidden="1" x14ac:dyDescent="0.25">
      <c r="B795" s="51">
        <f>YEAR(BDRIOSJ[[#This Row],[FECHA]])</f>
        <v>2024</v>
      </c>
      <c r="C795" s="51">
        <f>MONTH(BDRIOSJ[[#This Row],[FECHA]])</f>
        <v>1</v>
      </c>
      <c r="D795" s="50" t="s">
        <v>315</v>
      </c>
      <c r="E795" s="49" t="s">
        <v>113</v>
      </c>
      <c r="F795" s="65">
        <v>80.050200000000004</v>
      </c>
    </row>
    <row r="796" spans="2:6" hidden="1" x14ac:dyDescent="0.25">
      <c r="B796" s="51">
        <f>YEAR(BDRIOSJ[[#This Row],[FECHA]])</f>
        <v>2024</v>
      </c>
      <c r="C796" s="51">
        <f>MONTH(BDRIOSJ[[#This Row],[FECHA]])</f>
        <v>1</v>
      </c>
      <c r="D796" s="50" t="s">
        <v>315</v>
      </c>
      <c r="E796" s="49" t="s">
        <v>111</v>
      </c>
      <c r="F796" s="65">
        <v>80.050200000000004</v>
      </c>
    </row>
    <row r="797" spans="2:6" hidden="1" x14ac:dyDescent="0.25">
      <c r="B797" s="51">
        <f>YEAR(BDRIOSJ[[#This Row],[FECHA]])</f>
        <v>2024</v>
      </c>
      <c r="C797" s="51">
        <f>MONTH(BDRIOSJ[[#This Row],[FECHA]])</f>
        <v>1</v>
      </c>
      <c r="D797" s="50" t="s">
        <v>316</v>
      </c>
      <c r="E797" s="49" t="s">
        <v>115</v>
      </c>
      <c r="F797" s="65">
        <v>93.188699999999997</v>
      </c>
    </row>
    <row r="798" spans="2:6" hidden="1" x14ac:dyDescent="0.25">
      <c r="B798" s="51">
        <f>YEAR(BDRIOSJ[[#This Row],[FECHA]])</f>
        <v>2024</v>
      </c>
      <c r="C798" s="51">
        <f>MONTH(BDRIOSJ[[#This Row],[FECHA]])</f>
        <v>1</v>
      </c>
      <c r="D798" s="50" t="s">
        <v>316</v>
      </c>
      <c r="E798" s="49" t="s">
        <v>114</v>
      </c>
      <c r="F798" s="65">
        <v>93.188699999999997</v>
      </c>
    </row>
    <row r="799" spans="2:6" hidden="1" x14ac:dyDescent="0.25">
      <c r="B799" s="51">
        <f>YEAR(BDRIOSJ[[#This Row],[FECHA]])</f>
        <v>2024</v>
      </c>
      <c r="C799" s="51">
        <f>MONTH(BDRIOSJ[[#This Row],[FECHA]])</f>
        <v>1</v>
      </c>
      <c r="D799" s="50" t="s">
        <v>316</v>
      </c>
      <c r="E799" s="49" t="s">
        <v>113</v>
      </c>
      <c r="F799" s="65">
        <v>93.188699999999997</v>
      </c>
    </row>
    <row r="800" spans="2:6" hidden="1" x14ac:dyDescent="0.25">
      <c r="B800" s="51">
        <f>YEAR(BDRIOSJ[[#This Row],[FECHA]])</f>
        <v>2024</v>
      </c>
      <c r="C800" s="51">
        <f>MONTH(BDRIOSJ[[#This Row],[FECHA]])</f>
        <v>1</v>
      </c>
      <c r="D800" s="50" t="s">
        <v>316</v>
      </c>
      <c r="E800" s="49" t="s">
        <v>111</v>
      </c>
      <c r="F800" s="65">
        <v>93.188699999999997</v>
      </c>
    </row>
    <row r="801" spans="2:6" hidden="1" x14ac:dyDescent="0.25">
      <c r="B801" s="51">
        <f>YEAR(BDRIOSJ[[#This Row],[FECHA]])</f>
        <v>2024</v>
      </c>
      <c r="C801" s="51">
        <f>MONTH(BDRIOSJ[[#This Row],[FECHA]])</f>
        <v>1</v>
      </c>
      <c r="D801" s="50" t="s">
        <v>317</v>
      </c>
      <c r="E801" s="49" t="s">
        <v>115</v>
      </c>
      <c r="F801" s="65">
        <v>107.3262</v>
      </c>
    </row>
    <row r="802" spans="2:6" hidden="1" x14ac:dyDescent="0.25">
      <c r="B802" s="51">
        <f>YEAR(BDRIOSJ[[#This Row],[FECHA]])</f>
        <v>2024</v>
      </c>
      <c r="C802" s="51">
        <f>MONTH(BDRIOSJ[[#This Row],[FECHA]])</f>
        <v>1</v>
      </c>
      <c r="D802" s="50" t="s">
        <v>317</v>
      </c>
      <c r="E802" s="49" t="s">
        <v>114</v>
      </c>
      <c r="F802" s="65">
        <v>107.3262</v>
      </c>
    </row>
    <row r="803" spans="2:6" hidden="1" x14ac:dyDescent="0.25">
      <c r="B803" s="51">
        <f>YEAR(BDRIOSJ[[#This Row],[FECHA]])</f>
        <v>2024</v>
      </c>
      <c r="C803" s="51">
        <f>MONTH(BDRIOSJ[[#This Row],[FECHA]])</f>
        <v>1</v>
      </c>
      <c r="D803" s="50" t="s">
        <v>317</v>
      </c>
      <c r="E803" s="49" t="s">
        <v>113</v>
      </c>
      <c r="F803" s="65">
        <v>107.3262</v>
      </c>
    </row>
    <row r="804" spans="2:6" hidden="1" x14ac:dyDescent="0.25">
      <c r="B804" s="51">
        <f>YEAR(BDRIOSJ[[#This Row],[FECHA]])</f>
        <v>2024</v>
      </c>
      <c r="C804" s="51">
        <f>MONTH(BDRIOSJ[[#This Row],[FECHA]])</f>
        <v>1</v>
      </c>
      <c r="D804" s="50" t="s">
        <v>317</v>
      </c>
      <c r="E804" s="49" t="s">
        <v>111</v>
      </c>
      <c r="F804" s="65">
        <v>107.3262</v>
      </c>
    </row>
    <row r="805" spans="2:6" hidden="1" x14ac:dyDescent="0.25">
      <c r="B805" s="51">
        <f>YEAR(BDRIOSJ[[#This Row],[FECHA]])</f>
        <v>2024</v>
      </c>
      <c r="C805" s="51">
        <f>MONTH(BDRIOSJ[[#This Row],[FECHA]])</f>
        <v>1</v>
      </c>
      <c r="D805" s="50" t="s">
        <v>318</v>
      </c>
      <c r="E805" s="49" t="s">
        <v>115</v>
      </c>
      <c r="F805" s="65">
        <v>122.4628</v>
      </c>
    </row>
    <row r="806" spans="2:6" hidden="1" x14ac:dyDescent="0.25">
      <c r="B806" s="51">
        <f>YEAR(BDRIOSJ[[#This Row],[FECHA]])</f>
        <v>2024</v>
      </c>
      <c r="C806" s="51">
        <f>MONTH(BDRIOSJ[[#This Row],[FECHA]])</f>
        <v>1</v>
      </c>
      <c r="D806" s="50" t="s">
        <v>318</v>
      </c>
      <c r="E806" s="49" t="s">
        <v>114</v>
      </c>
      <c r="F806" s="65">
        <v>122.4628</v>
      </c>
    </row>
    <row r="807" spans="2:6" hidden="1" x14ac:dyDescent="0.25">
      <c r="B807" s="51">
        <f>YEAR(BDRIOSJ[[#This Row],[FECHA]])</f>
        <v>2024</v>
      </c>
      <c r="C807" s="51">
        <f>MONTH(BDRIOSJ[[#This Row],[FECHA]])</f>
        <v>1</v>
      </c>
      <c r="D807" s="50" t="s">
        <v>318</v>
      </c>
      <c r="E807" s="49" t="s">
        <v>113</v>
      </c>
      <c r="F807" s="65">
        <v>122.4628</v>
      </c>
    </row>
    <row r="808" spans="2:6" hidden="1" x14ac:dyDescent="0.25">
      <c r="B808" s="51">
        <f>YEAR(BDRIOSJ[[#This Row],[FECHA]])</f>
        <v>2024</v>
      </c>
      <c r="C808" s="51">
        <f>MONTH(BDRIOSJ[[#This Row],[FECHA]])</f>
        <v>1</v>
      </c>
      <c r="D808" s="50" t="s">
        <v>318</v>
      </c>
      <c r="E808" s="49" t="s">
        <v>111</v>
      </c>
      <c r="F808" s="65">
        <v>122.4628</v>
      </c>
    </row>
    <row r="809" spans="2:6" hidden="1" x14ac:dyDescent="0.25">
      <c r="B809" s="51">
        <f>YEAR(BDRIOSJ[[#This Row],[FECHA]])</f>
        <v>2024</v>
      </c>
      <c r="C809" s="51">
        <f>MONTH(BDRIOSJ[[#This Row],[FECHA]])</f>
        <v>1</v>
      </c>
      <c r="D809" s="50" t="s">
        <v>319</v>
      </c>
      <c r="E809" s="49" t="s">
        <v>115</v>
      </c>
      <c r="F809" s="65">
        <v>107.3262</v>
      </c>
    </row>
    <row r="810" spans="2:6" hidden="1" x14ac:dyDescent="0.25">
      <c r="B810" s="51">
        <f>YEAR(BDRIOSJ[[#This Row],[FECHA]])</f>
        <v>2024</v>
      </c>
      <c r="C810" s="51">
        <f>MONTH(BDRIOSJ[[#This Row],[FECHA]])</f>
        <v>1</v>
      </c>
      <c r="D810" s="50" t="s">
        <v>319</v>
      </c>
      <c r="E810" s="49" t="s">
        <v>114</v>
      </c>
      <c r="F810" s="65">
        <v>107.3262</v>
      </c>
    </row>
    <row r="811" spans="2:6" hidden="1" x14ac:dyDescent="0.25">
      <c r="B811" s="51">
        <f>YEAR(BDRIOSJ[[#This Row],[FECHA]])</f>
        <v>2024</v>
      </c>
      <c r="C811" s="51">
        <f>MONTH(BDRIOSJ[[#This Row],[FECHA]])</f>
        <v>1</v>
      </c>
      <c r="D811" s="50" t="s">
        <v>319</v>
      </c>
      <c r="E811" s="49" t="s">
        <v>113</v>
      </c>
      <c r="F811" s="65">
        <v>107.3262</v>
      </c>
    </row>
    <row r="812" spans="2:6" hidden="1" x14ac:dyDescent="0.25">
      <c r="B812" s="51">
        <f>YEAR(BDRIOSJ[[#This Row],[FECHA]])</f>
        <v>2024</v>
      </c>
      <c r="C812" s="51">
        <f>MONTH(BDRIOSJ[[#This Row],[FECHA]])</f>
        <v>1</v>
      </c>
      <c r="D812" s="50" t="s">
        <v>319</v>
      </c>
      <c r="E812" s="49" t="s">
        <v>111</v>
      </c>
      <c r="F812" s="65">
        <v>122.4628</v>
      </c>
    </row>
    <row r="813" spans="2:6" hidden="1" x14ac:dyDescent="0.25">
      <c r="B813" s="51">
        <f>YEAR(BDRIOSJ[[#This Row],[FECHA]])</f>
        <v>2024</v>
      </c>
      <c r="C813" s="51">
        <f>MONTH(BDRIOSJ[[#This Row],[FECHA]])</f>
        <v>1</v>
      </c>
      <c r="D813" s="50" t="s">
        <v>320</v>
      </c>
      <c r="E813" s="49" t="s">
        <v>115</v>
      </c>
      <c r="F813" s="65">
        <v>9.1260999999999992</v>
      </c>
    </row>
    <row r="814" spans="2:6" hidden="1" x14ac:dyDescent="0.25">
      <c r="B814" s="51">
        <f>YEAR(BDRIOSJ[[#This Row],[FECHA]])</f>
        <v>2024</v>
      </c>
      <c r="C814" s="51">
        <f>MONTH(BDRIOSJ[[#This Row],[FECHA]])</f>
        <v>1</v>
      </c>
      <c r="D814" s="50" t="s">
        <v>320</v>
      </c>
      <c r="E814" s="49" t="s">
        <v>114</v>
      </c>
      <c r="F814" s="65">
        <v>16.0518</v>
      </c>
    </row>
    <row r="815" spans="2:6" hidden="1" x14ac:dyDescent="0.25">
      <c r="B815" s="51">
        <f>YEAR(BDRIOSJ[[#This Row],[FECHA]])</f>
        <v>2024</v>
      </c>
      <c r="C815" s="51">
        <f>MONTH(BDRIOSJ[[#This Row],[FECHA]])</f>
        <v>1</v>
      </c>
      <c r="D815" s="50" t="s">
        <v>320</v>
      </c>
      <c r="E815" s="49" t="s">
        <v>113</v>
      </c>
      <c r="F815" s="65">
        <v>16.0518</v>
      </c>
    </row>
    <row r="816" spans="2:6" hidden="1" x14ac:dyDescent="0.25">
      <c r="B816" s="51">
        <f>YEAR(BDRIOSJ[[#This Row],[FECHA]])</f>
        <v>2024</v>
      </c>
      <c r="C816" s="51">
        <f>MONTH(BDRIOSJ[[#This Row],[FECHA]])</f>
        <v>1</v>
      </c>
      <c r="D816" s="50" t="s">
        <v>320</v>
      </c>
      <c r="E816" s="49" t="s">
        <v>111</v>
      </c>
      <c r="F816" s="65">
        <v>122.4628</v>
      </c>
    </row>
    <row r="817" spans="2:6" hidden="1" x14ac:dyDescent="0.25">
      <c r="B817" s="51">
        <f>YEAR(BDRIOSJ[[#This Row],[FECHA]])</f>
        <v>2024</v>
      </c>
      <c r="C817" s="51">
        <f>MONTH(BDRIOSJ[[#This Row],[FECHA]])</f>
        <v>1</v>
      </c>
      <c r="D817" s="50" t="s">
        <v>321</v>
      </c>
      <c r="E817" s="49" t="s">
        <v>115</v>
      </c>
      <c r="F817" s="65">
        <v>37.485799999999998</v>
      </c>
    </row>
    <row r="818" spans="2:6" hidden="1" x14ac:dyDescent="0.25">
      <c r="B818" s="51">
        <f>YEAR(BDRIOSJ[[#This Row],[FECHA]])</f>
        <v>2024</v>
      </c>
      <c r="C818" s="51">
        <f>MONTH(BDRIOSJ[[#This Row],[FECHA]])</f>
        <v>1</v>
      </c>
      <c r="D818" s="50" t="s">
        <v>321</v>
      </c>
      <c r="E818" s="49" t="s">
        <v>114</v>
      </c>
      <c r="F818" s="65">
        <v>37.485799999999998</v>
      </c>
    </row>
    <row r="819" spans="2:6" hidden="1" x14ac:dyDescent="0.25">
      <c r="B819" s="51">
        <f>YEAR(BDRIOSJ[[#This Row],[FECHA]])</f>
        <v>2024</v>
      </c>
      <c r="C819" s="51">
        <f>MONTH(BDRIOSJ[[#This Row],[FECHA]])</f>
        <v>1</v>
      </c>
      <c r="D819" s="50" t="s">
        <v>321</v>
      </c>
      <c r="E819" s="49" t="s">
        <v>113</v>
      </c>
      <c r="F819" s="65">
        <v>37.485799999999998</v>
      </c>
    </row>
    <row r="820" spans="2:6" hidden="1" x14ac:dyDescent="0.25">
      <c r="B820" s="51">
        <f>YEAR(BDRIOSJ[[#This Row],[FECHA]])</f>
        <v>2024</v>
      </c>
      <c r="C820" s="51">
        <f>MONTH(BDRIOSJ[[#This Row],[FECHA]])</f>
        <v>1</v>
      </c>
      <c r="D820" s="50" t="s">
        <v>321</v>
      </c>
      <c r="E820" s="49" t="s">
        <v>111</v>
      </c>
      <c r="F820" s="65">
        <v>37.485799999999998</v>
      </c>
    </row>
    <row r="821" spans="2:6" hidden="1" x14ac:dyDescent="0.25">
      <c r="B821" s="51">
        <f>YEAR(BDRIOSJ[[#This Row],[FECHA]])</f>
        <v>2024</v>
      </c>
      <c r="C821" s="51">
        <f>MONTH(BDRIOSJ[[#This Row],[FECHA]])</f>
        <v>1</v>
      </c>
      <c r="D821" s="50" t="s">
        <v>322</v>
      </c>
      <c r="E821" s="49" t="s">
        <v>114</v>
      </c>
      <c r="F821" s="65">
        <v>35.777099999999997</v>
      </c>
    </row>
    <row r="822" spans="2:6" hidden="1" x14ac:dyDescent="0.25">
      <c r="B822" s="51">
        <f>YEAR(BDRIOSJ[[#This Row],[FECHA]])</f>
        <v>2024</v>
      </c>
      <c r="C822" s="51">
        <f>MONTH(BDRIOSJ[[#This Row],[FECHA]])</f>
        <v>1</v>
      </c>
      <c r="D822" s="50" t="s">
        <v>322</v>
      </c>
      <c r="E822" s="49" t="s">
        <v>113</v>
      </c>
      <c r="F822" s="65">
        <v>35.777099999999997</v>
      </c>
    </row>
    <row r="823" spans="2:6" hidden="1" x14ac:dyDescent="0.25">
      <c r="B823" s="51">
        <f>YEAR(BDRIOSJ[[#This Row],[FECHA]])</f>
        <v>2024</v>
      </c>
      <c r="C823" s="51">
        <f>MONTH(BDRIOSJ[[#This Row],[FECHA]])</f>
        <v>1</v>
      </c>
      <c r="D823" s="50" t="s">
        <v>322</v>
      </c>
      <c r="E823" s="49" t="s">
        <v>111</v>
      </c>
      <c r="F823" s="65">
        <v>37.485799999999998</v>
      </c>
    </row>
    <row r="824" spans="2:6" hidden="1" x14ac:dyDescent="0.25">
      <c r="B824" s="51">
        <f>YEAR(BDRIOSJ[[#This Row],[FECHA]])</f>
        <v>2024</v>
      </c>
      <c r="C824" s="51">
        <f>MONTH(BDRIOSJ[[#This Row],[FECHA]])</f>
        <v>1</v>
      </c>
      <c r="D824" s="50" t="s">
        <v>323</v>
      </c>
      <c r="E824" s="49" t="s">
        <v>115</v>
      </c>
      <c r="F824" s="65">
        <v>17.201000000000001</v>
      </c>
    </row>
    <row r="825" spans="2:6" hidden="1" x14ac:dyDescent="0.25">
      <c r="B825" s="51">
        <f>YEAR(BDRIOSJ[[#This Row],[FECHA]])</f>
        <v>2024</v>
      </c>
      <c r="C825" s="51">
        <f>MONTH(BDRIOSJ[[#This Row],[FECHA]])</f>
        <v>1</v>
      </c>
      <c r="D825" s="50" t="s">
        <v>323</v>
      </c>
      <c r="E825" s="49" t="s">
        <v>114</v>
      </c>
      <c r="F825" s="65">
        <v>35.777099999999997</v>
      </c>
    </row>
    <row r="826" spans="2:6" hidden="1" x14ac:dyDescent="0.25">
      <c r="B826" s="51">
        <f>YEAR(BDRIOSJ[[#This Row],[FECHA]])</f>
        <v>2024</v>
      </c>
      <c r="C826" s="51">
        <f>MONTH(BDRIOSJ[[#This Row],[FECHA]])</f>
        <v>1</v>
      </c>
      <c r="D826" s="50" t="s">
        <v>323</v>
      </c>
      <c r="E826" s="49" t="s">
        <v>113</v>
      </c>
      <c r="F826" s="65">
        <v>35.777099999999997</v>
      </c>
    </row>
    <row r="827" spans="2:6" hidden="1" x14ac:dyDescent="0.25">
      <c r="B827" s="51">
        <f>YEAR(BDRIOSJ[[#This Row],[FECHA]])</f>
        <v>2024</v>
      </c>
      <c r="C827" s="51">
        <f>MONTH(BDRIOSJ[[#This Row],[FECHA]])</f>
        <v>1</v>
      </c>
      <c r="D827" s="50" t="s">
        <v>323</v>
      </c>
      <c r="E827" s="49" t="s">
        <v>111</v>
      </c>
      <c r="F827" s="65">
        <v>34.108400000000003</v>
      </c>
    </row>
    <row r="828" spans="2:6" hidden="1" x14ac:dyDescent="0.25">
      <c r="B828" s="51">
        <f>YEAR(BDRIOSJ[[#This Row],[FECHA]])</f>
        <v>2024</v>
      </c>
      <c r="C828" s="51">
        <f>MONTH(BDRIOSJ[[#This Row],[FECHA]])</f>
        <v>1</v>
      </c>
      <c r="D828" s="50" t="s">
        <v>324</v>
      </c>
      <c r="E828" s="49" t="s">
        <v>115</v>
      </c>
      <c r="F828" s="65">
        <v>35.777099999999997</v>
      </c>
    </row>
    <row r="829" spans="2:6" hidden="1" x14ac:dyDescent="0.25">
      <c r="B829" s="51">
        <f>YEAR(BDRIOSJ[[#This Row],[FECHA]])</f>
        <v>2024</v>
      </c>
      <c r="C829" s="51">
        <f>MONTH(BDRIOSJ[[#This Row],[FECHA]])</f>
        <v>1</v>
      </c>
      <c r="D829" s="50" t="s">
        <v>324</v>
      </c>
      <c r="E829" s="49" t="s">
        <v>114</v>
      </c>
      <c r="F829" s="65">
        <v>35.777099999999997</v>
      </c>
    </row>
    <row r="830" spans="2:6" hidden="1" x14ac:dyDescent="0.25">
      <c r="B830" s="51">
        <f>YEAR(BDRIOSJ[[#This Row],[FECHA]])</f>
        <v>2024</v>
      </c>
      <c r="C830" s="51">
        <f>MONTH(BDRIOSJ[[#This Row],[FECHA]])</f>
        <v>1</v>
      </c>
      <c r="D830" s="50" t="s">
        <v>324</v>
      </c>
      <c r="E830" s="49" t="s">
        <v>113</v>
      </c>
      <c r="F830" s="65">
        <v>35.777099999999997</v>
      </c>
    </row>
    <row r="831" spans="2:6" hidden="1" x14ac:dyDescent="0.25">
      <c r="B831" s="51">
        <f>YEAR(BDRIOSJ[[#This Row],[FECHA]])</f>
        <v>2024</v>
      </c>
      <c r="C831" s="51">
        <f>MONTH(BDRIOSJ[[#This Row],[FECHA]])</f>
        <v>1</v>
      </c>
      <c r="D831" s="50" t="s">
        <v>324</v>
      </c>
      <c r="E831" s="49" t="s">
        <v>111</v>
      </c>
      <c r="F831" s="65">
        <v>35.777099999999997</v>
      </c>
    </row>
    <row r="832" spans="2:6" hidden="1" x14ac:dyDescent="0.25">
      <c r="B832" s="51">
        <f>YEAR(BDRIOSJ[[#This Row],[FECHA]])</f>
        <v>2024</v>
      </c>
      <c r="C832" s="51">
        <f>MONTH(BDRIOSJ[[#This Row],[FECHA]])</f>
        <v>1</v>
      </c>
      <c r="D832" s="50" t="s">
        <v>325</v>
      </c>
      <c r="E832" s="49" t="s">
        <v>115</v>
      </c>
      <c r="F832" s="65">
        <v>35.777099999999997</v>
      </c>
    </row>
    <row r="833" spans="2:6" hidden="1" x14ac:dyDescent="0.25">
      <c r="B833" s="51">
        <f>YEAR(BDRIOSJ[[#This Row],[FECHA]])</f>
        <v>2024</v>
      </c>
      <c r="C833" s="51">
        <f>MONTH(BDRIOSJ[[#This Row],[FECHA]])</f>
        <v>1</v>
      </c>
      <c r="D833" s="50" t="s">
        <v>325</v>
      </c>
      <c r="E833" s="49" t="s">
        <v>114</v>
      </c>
      <c r="F833" s="65">
        <v>30.890899999999998</v>
      </c>
    </row>
    <row r="834" spans="2:6" hidden="1" x14ac:dyDescent="0.25">
      <c r="B834" s="51">
        <f>YEAR(BDRIOSJ[[#This Row],[FECHA]])</f>
        <v>2024</v>
      </c>
      <c r="C834" s="51">
        <f>MONTH(BDRIOSJ[[#This Row],[FECHA]])</f>
        <v>1</v>
      </c>
      <c r="D834" s="50" t="s">
        <v>325</v>
      </c>
      <c r="E834" s="49" t="s">
        <v>113</v>
      </c>
      <c r="F834" s="65">
        <v>30.890899999999998</v>
      </c>
    </row>
    <row r="835" spans="2:6" hidden="1" x14ac:dyDescent="0.25">
      <c r="B835" s="51">
        <f>YEAR(BDRIOSJ[[#This Row],[FECHA]])</f>
        <v>2024</v>
      </c>
      <c r="C835" s="51">
        <f>MONTH(BDRIOSJ[[#This Row],[FECHA]])</f>
        <v>1</v>
      </c>
      <c r="D835" s="50" t="s">
        <v>325</v>
      </c>
      <c r="E835" s="49" t="s">
        <v>111</v>
      </c>
      <c r="F835" s="65">
        <v>35.777099999999997</v>
      </c>
    </row>
    <row r="836" spans="2:6" hidden="1" x14ac:dyDescent="0.25">
      <c r="B836" s="51">
        <f>YEAR(BDRIOSJ[[#This Row],[FECHA]])</f>
        <v>2024</v>
      </c>
      <c r="C836" s="51">
        <f>MONTH(BDRIOSJ[[#This Row],[FECHA]])</f>
        <v>1</v>
      </c>
      <c r="D836" s="50" t="s">
        <v>326</v>
      </c>
      <c r="E836" s="49" t="s">
        <v>115</v>
      </c>
      <c r="F836" s="65">
        <v>37.485799999999998</v>
      </c>
    </row>
    <row r="837" spans="2:6" hidden="1" x14ac:dyDescent="0.25">
      <c r="B837" s="51">
        <f>YEAR(BDRIOSJ[[#This Row],[FECHA]])</f>
        <v>2024</v>
      </c>
      <c r="C837" s="51">
        <f>MONTH(BDRIOSJ[[#This Row],[FECHA]])</f>
        <v>1</v>
      </c>
      <c r="D837" s="50" t="s">
        <v>326</v>
      </c>
      <c r="E837" s="49" t="s">
        <v>114</v>
      </c>
      <c r="F837" s="65">
        <v>37.485799999999998</v>
      </c>
    </row>
    <row r="838" spans="2:6" hidden="1" x14ac:dyDescent="0.25">
      <c r="B838" s="51">
        <f>YEAR(BDRIOSJ[[#This Row],[FECHA]])</f>
        <v>2024</v>
      </c>
      <c r="C838" s="51">
        <f>MONTH(BDRIOSJ[[#This Row],[FECHA]])</f>
        <v>1</v>
      </c>
      <c r="D838" s="50" t="s">
        <v>326</v>
      </c>
      <c r="E838" s="49" t="s">
        <v>113</v>
      </c>
      <c r="F838" s="65">
        <v>37.485799999999998</v>
      </c>
    </row>
    <row r="839" spans="2:6" hidden="1" x14ac:dyDescent="0.25">
      <c r="B839" s="51">
        <f>YEAR(BDRIOSJ[[#This Row],[FECHA]])</f>
        <v>2024</v>
      </c>
      <c r="C839" s="51">
        <f>MONTH(BDRIOSJ[[#This Row],[FECHA]])</f>
        <v>1</v>
      </c>
      <c r="D839" s="50" t="s">
        <v>326</v>
      </c>
      <c r="E839" s="49" t="s">
        <v>111</v>
      </c>
      <c r="F839" s="65">
        <v>37.485799999999998</v>
      </c>
    </row>
    <row r="840" spans="2:6" hidden="1" x14ac:dyDescent="0.25">
      <c r="B840" s="51">
        <f>YEAR(BDRIOSJ[[#This Row],[FECHA]])</f>
        <v>2024</v>
      </c>
      <c r="C840" s="51">
        <f>MONTH(BDRIOSJ[[#This Row],[FECHA]])</f>
        <v>1</v>
      </c>
      <c r="D840" s="50" t="s">
        <v>327</v>
      </c>
      <c r="E840" s="49" t="s">
        <v>115</v>
      </c>
      <c r="F840" s="65">
        <v>37.485799999999998</v>
      </c>
    </row>
    <row r="841" spans="2:6" hidden="1" x14ac:dyDescent="0.25">
      <c r="B841" s="51">
        <f>YEAR(BDRIOSJ[[#This Row],[FECHA]])</f>
        <v>2024</v>
      </c>
      <c r="C841" s="51">
        <f>MONTH(BDRIOSJ[[#This Row],[FECHA]])</f>
        <v>1</v>
      </c>
      <c r="D841" s="50" t="s">
        <v>327</v>
      </c>
      <c r="E841" s="49" t="s">
        <v>114</v>
      </c>
      <c r="F841" s="65">
        <v>39.234400000000001</v>
      </c>
    </row>
    <row r="842" spans="2:6" hidden="1" x14ac:dyDescent="0.25">
      <c r="B842" s="51">
        <f>YEAR(BDRIOSJ[[#This Row],[FECHA]])</f>
        <v>2024</v>
      </c>
      <c r="C842" s="51">
        <f>MONTH(BDRIOSJ[[#This Row],[FECHA]])</f>
        <v>1</v>
      </c>
      <c r="D842" s="50" t="s">
        <v>327</v>
      </c>
      <c r="E842" s="49" t="s">
        <v>113</v>
      </c>
      <c r="F842" s="65">
        <v>39.234400000000001</v>
      </c>
    </row>
    <row r="843" spans="2:6" hidden="1" x14ac:dyDescent="0.25">
      <c r="B843" s="51">
        <f>YEAR(BDRIOSJ[[#This Row],[FECHA]])</f>
        <v>2024</v>
      </c>
      <c r="C843" s="51">
        <f>MONTH(BDRIOSJ[[#This Row],[FECHA]])</f>
        <v>1</v>
      </c>
      <c r="D843" s="50" t="s">
        <v>327</v>
      </c>
      <c r="E843" s="49" t="s">
        <v>111</v>
      </c>
      <c r="F843" s="65">
        <v>37.485799999999998</v>
      </c>
    </row>
    <row r="844" spans="2:6" hidden="1" x14ac:dyDescent="0.25">
      <c r="B844" s="51">
        <f>YEAR(BDRIOSJ[[#This Row],[FECHA]])</f>
        <v>2024</v>
      </c>
      <c r="C844" s="51">
        <f>MONTH(BDRIOSJ[[#This Row],[FECHA]])</f>
        <v>2</v>
      </c>
      <c r="D844" s="50" t="s">
        <v>328</v>
      </c>
      <c r="E844" s="49" t="s">
        <v>115</v>
      </c>
      <c r="F844" s="65">
        <v>35.777099999999997</v>
      </c>
    </row>
    <row r="845" spans="2:6" hidden="1" x14ac:dyDescent="0.25">
      <c r="B845" s="51">
        <f>YEAR(BDRIOSJ[[#This Row],[FECHA]])</f>
        <v>2024</v>
      </c>
      <c r="C845" s="51">
        <f>MONTH(BDRIOSJ[[#This Row],[FECHA]])</f>
        <v>2</v>
      </c>
      <c r="D845" s="50" t="s">
        <v>328</v>
      </c>
      <c r="E845" s="49" t="s">
        <v>114</v>
      </c>
      <c r="F845" s="65">
        <v>39.234400000000001</v>
      </c>
    </row>
    <row r="846" spans="2:6" hidden="1" x14ac:dyDescent="0.25">
      <c r="B846" s="51">
        <f>YEAR(BDRIOSJ[[#This Row],[FECHA]])</f>
        <v>2024</v>
      </c>
      <c r="C846" s="51">
        <f>MONTH(BDRIOSJ[[#This Row],[FECHA]])</f>
        <v>2</v>
      </c>
      <c r="D846" s="50" t="s">
        <v>328</v>
      </c>
      <c r="E846" s="49" t="s">
        <v>113</v>
      </c>
      <c r="F846" s="65">
        <v>39.234400000000001</v>
      </c>
    </row>
    <row r="847" spans="2:6" hidden="1" x14ac:dyDescent="0.25">
      <c r="B847" s="51">
        <f>YEAR(BDRIOSJ[[#This Row],[FECHA]])</f>
        <v>2024</v>
      </c>
      <c r="C847" s="51">
        <f>MONTH(BDRIOSJ[[#This Row],[FECHA]])</f>
        <v>2</v>
      </c>
      <c r="D847" s="50" t="s">
        <v>328</v>
      </c>
      <c r="E847" s="49" t="s">
        <v>111</v>
      </c>
      <c r="F847" s="65">
        <v>39.234400000000001</v>
      </c>
    </row>
    <row r="848" spans="2:6" hidden="1" x14ac:dyDescent="0.25">
      <c r="B848" s="51">
        <f>YEAR(BDRIOSJ[[#This Row],[FECHA]])</f>
        <v>2024</v>
      </c>
      <c r="C848" s="51">
        <f>MONTH(BDRIOSJ[[#This Row],[FECHA]])</f>
        <v>2</v>
      </c>
      <c r="D848" s="50" t="s">
        <v>329</v>
      </c>
      <c r="E848" s="49" t="s">
        <v>115</v>
      </c>
      <c r="F848" s="65">
        <v>37.485799999999998</v>
      </c>
    </row>
    <row r="849" spans="2:6" hidden="1" x14ac:dyDescent="0.25">
      <c r="B849" s="51">
        <f>YEAR(BDRIOSJ[[#This Row],[FECHA]])</f>
        <v>2024</v>
      </c>
      <c r="C849" s="51">
        <f>MONTH(BDRIOSJ[[#This Row],[FECHA]])</f>
        <v>2</v>
      </c>
      <c r="D849" s="50" t="s">
        <v>329</v>
      </c>
      <c r="E849" s="49" t="s">
        <v>114</v>
      </c>
      <c r="F849" s="65">
        <v>39.234400000000001</v>
      </c>
    </row>
    <row r="850" spans="2:6" hidden="1" x14ac:dyDescent="0.25">
      <c r="B850" s="51">
        <f>YEAR(BDRIOSJ[[#This Row],[FECHA]])</f>
        <v>2024</v>
      </c>
      <c r="C850" s="51">
        <f>MONTH(BDRIOSJ[[#This Row],[FECHA]])</f>
        <v>2</v>
      </c>
      <c r="D850" s="50" t="s">
        <v>329</v>
      </c>
      <c r="E850" s="49" t="s">
        <v>113</v>
      </c>
      <c r="F850" s="65">
        <v>39.234400000000001</v>
      </c>
    </row>
    <row r="851" spans="2:6" hidden="1" x14ac:dyDescent="0.25">
      <c r="B851" s="51">
        <f>YEAR(BDRIOSJ[[#This Row],[FECHA]])</f>
        <v>2024</v>
      </c>
      <c r="C851" s="51">
        <f>MONTH(BDRIOSJ[[#This Row],[FECHA]])</f>
        <v>2</v>
      </c>
      <c r="D851" s="50" t="s">
        <v>329</v>
      </c>
      <c r="E851" s="49" t="s">
        <v>111</v>
      </c>
      <c r="F851" s="65">
        <v>39.234400000000001</v>
      </c>
    </row>
    <row r="852" spans="2:6" hidden="1" x14ac:dyDescent="0.25">
      <c r="B852" s="51">
        <f>YEAR(BDRIOSJ[[#This Row],[FECHA]])</f>
        <v>2024</v>
      </c>
      <c r="C852" s="51">
        <f>MONTH(BDRIOSJ[[#This Row],[FECHA]])</f>
        <v>2</v>
      </c>
      <c r="D852" s="50" t="s">
        <v>330</v>
      </c>
      <c r="E852" s="49" t="s">
        <v>115</v>
      </c>
      <c r="F852" s="65">
        <v>16.0518</v>
      </c>
    </row>
    <row r="853" spans="2:6" hidden="1" x14ac:dyDescent="0.25">
      <c r="B853" s="51">
        <f>YEAR(BDRIOSJ[[#This Row],[FECHA]])</f>
        <v>2024</v>
      </c>
      <c r="C853" s="51">
        <f>MONTH(BDRIOSJ[[#This Row],[FECHA]])</f>
        <v>2</v>
      </c>
      <c r="D853" s="50" t="s">
        <v>330</v>
      </c>
      <c r="E853" s="49" t="s">
        <v>114</v>
      </c>
      <c r="F853" s="65">
        <v>16.0518</v>
      </c>
    </row>
    <row r="854" spans="2:6" hidden="1" x14ac:dyDescent="0.25">
      <c r="B854" s="51">
        <f>YEAR(BDRIOSJ[[#This Row],[FECHA]])</f>
        <v>2024</v>
      </c>
      <c r="C854" s="51">
        <f>MONTH(BDRIOSJ[[#This Row],[FECHA]])</f>
        <v>2</v>
      </c>
      <c r="D854" s="50" t="s">
        <v>330</v>
      </c>
      <c r="E854" s="49" t="s">
        <v>113</v>
      </c>
      <c r="F854" s="65">
        <v>37.485799999999998</v>
      </c>
    </row>
    <row r="855" spans="2:6" hidden="1" x14ac:dyDescent="0.25">
      <c r="B855" s="51">
        <f>YEAR(BDRIOSJ[[#This Row],[FECHA]])</f>
        <v>2024</v>
      </c>
      <c r="C855" s="51">
        <f>MONTH(BDRIOSJ[[#This Row],[FECHA]])</f>
        <v>2</v>
      </c>
      <c r="D855" s="50" t="s">
        <v>330</v>
      </c>
      <c r="E855" s="49" t="s">
        <v>111</v>
      </c>
      <c r="F855" s="65">
        <v>35.777099999999997</v>
      </c>
    </row>
    <row r="856" spans="2:6" hidden="1" x14ac:dyDescent="0.25">
      <c r="B856" s="51">
        <f>YEAR(BDRIOSJ[[#This Row],[FECHA]])</f>
        <v>2024</v>
      </c>
      <c r="C856" s="51">
        <f>MONTH(BDRIOSJ[[#This Row],[FECHA]])</f>
        <v>2</v>
      </c>
      <c r="D856" s="50" t="s">
        <v>331</v>
      </c>
      <c r="E856" s="49" t="s">
        <v>115</v>
      </c>
      <c r="F856" s="65">
        <v>27.833300000000001</v>
      </c>
    </row>
    <row r="857" spans="2:6" hidden="1" x14ac:dyDescent="0.25">
      <c r="B857" s="51">
        <f>YEAR(BDRIOSJ[[#This Row],[FECHA]])</f>
        <v>2024</v>
      </c>
      <c r="C857" s="51">
        <f>MONTH(BDRIOSJ[[#This Row],[FECHA]])</f>
        <v>2</v>
      </c>
      <c r="D857" s="50" t="s">
        <v>331</v>
      </c>
      <c r="E857" s="49" t="s">
        <v>114</v>
      </c>
      <c r="F857" s="65">
        <v>24.935400000000001</v>
      </c>
    </row>
    <row r="858" spans="2:6" hidden="1" x14ac:dyDescent="0.25">
      <c r="B858" s="51">
        <f>YEAR(BDRIOSJ[[#This Row],[FECHA]])</f>
        <v>2024</v>
      </c>
      <c r="C858" s="51">
        <f>MONTH(BDRIOSJ[[#This Row],[FECHA]])</f>
        <v>2</v>
      </c>
      <c r="D858" s="50" t="s">
        <v>331</v>
      </c>
      <c r="E858" s="49" t="s">
        <v>113</v>
      </c>
      <c r="F858" s="65">
        <v>24.935400000000001</v>
      </c>
    </row>
    <row r="859" spans="2:6" hidden="1" x14ac:dyDescent="0.25">
      <c r="B859" s="51">
        <f>YEAR(BDRIOSJ[[#This Row],[FECHA]])</f>
        <v>2024</v>
      </c>
      <c r="C859" s="51">
        <f>MONTH(BDRIOSJ[[#This Row],[FECHA]])</f>
        <v>2</v>
      </c>
      <c r="D859" s="50" t="s">
        <v>331</v>
      </c>
      <c r="E859" s="49" t="s">
        <v>111</v>
      </c>
      <c r="F859" s="65">
        <v>25.6449</v>
      </c>
    </row>
    <row r="860" spans="2:6" hidden="1" x14ac:dyDescent="0.25">
      <c r="B860" s="51">
        <f>YEAR(BDRIOSJ[[#This Row],[FECHA]])</f>
        <v>2024</v>
      </c>
      <c r="C860" s="51">
        <f>MONTH(BDRIOSJ[[#This Row],[FECHA]])</f>
        <v>2</v>
      </c>
      <c r="D860" s="50" t="s">
        <v>332</v>
      </c>
      <c r="E860" s="49" t="s">
        <v>333</v>
      </c>
      <c r="F860" s="65">
        <v>80.049599999999998</v>
      </c>
    </row>
    <row r="861" spans="2:6" hidden="1" x14ac:dyDescent="0.25">
      <c r="B861" s="51">
        <f>YEAR(BDRIOSJ[[#This Row],[FECHA]])</f>
        <v>2024</v>
      </c>
      <c r="C861" s="51">
        <f>MONTH(BDRIOSJ[[#This Row],[FECHA]])</f>
        <v>2</v>
      </c>
      <c r="D861" s="50" t="s">
        <v>332</v>
      </c>
      <c r="E861" s="49" t="s">
        <v>115</v>
      </c>
      <c r="F861" s="65">
        <v>23.546500000000002</v>
      </c>
    </row>
    <row r="862" spans="2:6" hidden="1" x14ac:dyDescent="0.25">
      <c r="B862" s="51">
        <f>YEAR(BDRIOSJ[[#This Row],[FECHA]])</f>
        <v>2024</v>
      </c>
      <c r="C862" s="51">
        <f>MONTH(BDRIOSJ[[#This Row],[FECHA]])</f>
        <v>2</v>
      </c>
      <c r="D862" s="50" t="s">
        <v>332</v>
      </c>
      <c r="E862" s="49" t="s">
        <v>114</v>
      </c>
      <c r="F862" s="65">
        <v>16.0518</v>
      </c>
    </row>
    <row r="863" spans="2:6" hidden="1" x14ac:dyDescent="0.25">
      <c r="B863" s="51">
        <f>YEAR(BDRIOSJ[[#This Row],[FECHA]])</f>
        <v>2024</v>
      </c>
      <c r="C863" s="51">
        <f>MONTH(BDRIOSJ[[#This Row],[FECHA]])</f>
        <v>2</v>
      </c>
      <c r="D863" s="50" t="s">
        <v>332</v>
      </c>
      <c r="E863" s="49" t="s">
        <v>113</v>
      </c>
      <c r="F863" s="65">
        <v>16.0518</v>
      </c>
    </row>
    <row r="864" spans="2:6" hidden="1" x14ac:dyDescent="0.25">
      <c r="B864" s="51">
        <f>YEAR(BDRIOSJ[[#This Row],[FECHA]])</f>
        <v>2024</v>
      </c>
      <c r="C864" s="51">
        <f>MONTH(BDRIOSJ[[#This Row],[FECHA]])</f>
        <v>2</v>
      </c>
      <c r="D864" s="50" t="s">
        <v>332</v>
      </c>
      <c r="E864" s="49" t="s">
        <v>111</v>
      </c>
      <c r="F864" s="65">
        <v>14.942500000000001</v>
      </c>
    </row>
    <row r="865" spans="2:6" hidden="1" x14ac:dyDescent="0.25">
      <c r="B865" s="51">
        <f>YEAR(BDRIOSJ[[#This Row],[FECHA]])</f>
        <v>2024</v>
      </c>
      <c r="C865" s="51">
        <f>MONTH(BDRIOSJ[[#This Row],[FECHA]])</f>
        <v>2</v>
      </c>
      <c r="D865" s="50" t="s">
        <v>334</v>
      </c>
      <c r="E865" s="49" t="s">
        <v>115</v>
      </c>
      <c r="F865" s="65">
        <v>27.833300000000001</v>
      </c>
    </row>
    <row r="866" spans="2:6" hidden="1" x14ac:dyDescent="0.25">
      <c r="B866" s="51">
        <f>YEAR(BDRIOSJ[[#This Row],[FECHA]])</f>
        <v>2024</v>
      </c>
      <c r="C866" s="51">
        <f>MONTH(BDRIOSJ[[#This Row],[FECHA]])</f>
        <v>2</v>
      </c>
      <c r="D866" s="50" t="s">
        <v>334</v>
      </c>
      <c r="E866" s="49" t="s">
        <v>114</v>
      </c>
      <c r="F866" s="65">
        <v>27.833300000000001</v>
      </c>
    </row>
    <row r="867" spans="2:6" hidden="1" x14ac:dyDescent="0.25">
      <c r="B867" s="51">
        <f>YEAR(BDRIOSJ[[#This Row],[FECHA]])</f>
        <v>2024</v>
      </c>
      <c r="C867" s="51">
        <f>MONTH(BDRIOSJ[[#This Row],[FECHA]])</f>
        <v>2</v>
      </c>
      <c r="D867" s="50" t="s">
        <v>334</v>
      </c>
      <c r="E867" s="49" t="s">
        <v>113</v>
      </c>
      <c r="F867" s="65">
        <v>27.833300000000001</v>
      </c>
    </row>
    <row r="868" spans="2:6" hidden="1" x14ac:dyDescent="0.25">
      <c r="B868" s="51">
        <f>YEAR(BDRIOSJ[[#This Row],[FECHA]])</f>
        <v>2024</v>
      </c>
      <c r="C868" s="51">
        <f>MONTH(BDRIOSJ[[#This Row],[FECHA]])</f>
        <v>2</v>
      </c>
      <c r="D868" s="50" t="s">
        <v>334</v>
      </c>
      <c r="E868" s="49" t="s">
        <v>111</v>
      </c>
      <c r="F868" s="65">
        <v>27.833300000000001</v>
      </c>
    </row>
    <row r="869" spans="2:6" hidden="1" x14ac:dyDescent="0.25">
      <c r="B869" s="51">
        <f>YEAR(BDRIOSJ[[#This Row],[FECHA]])</f>
        <v>2024</v>
      </c>
      <c r="C869" s="51">
        <f>MONTH(BDRIOSJ[[#This Row],[FECHA]])</f>
        <v>2</v>
      </c>
      <c r="D869" s="50" t="s">
        <v>335</v>
      </c>
      <c r="E869" s="49" t="s">
        <v>115</v>
      </c>
      <c r="F869" s="65">
        <v>16.0518</v>
      </c>
    </row>
    <row r="870" spans="2:6" hidden="1" x14ac:dyDescent="0.25">
      <c r="B870" s="51">
        <f>YEAR(BDRIOSJ[[#This Row],[FECHA]])</f>
        <v>2024</v>
      </c>
      <c r="C870" s="51">
        <f>MONTH(BDRIOSJ[[#This Row],[FECHA]])</f>
        <v>2</v>
      </c>
      <c r="D870" s="50" t="s">
        <v>335</v>
      </c>
      <c r="E870" s="49" t="s">
        <v>114</v>
      </c>
      <c r="F870" s="65">
        <v>27.833300000000001</v>
      </c>
    </row>
    <row r="871" spans="2:6" hidden="1" x14ac:dyDescent="0.25">
      <c r="B871" s="51">
        <f>YEAR(BDRIOSJ[[#This Row],[FECHA]])</f>
        <v>2024</v>
      </c>
      <c r="C871" s="51">
        <f>MONTH(BDRIOSJ[[#This Row],[FECHA]])</f>
        <v>2</v>
      </c>
      <c r="D871" s="50" t="s">
        <v>335</v>
      </c>
      <c r="E871" s="49" t="s">
        <v>113</v>
      </c>
      <c r="F871" s="65">
        <v>35.777099999999997</v>
      </c>
    </row>
    <row r="872" spans="2:6" hidden="1" x14ac:dyDescent="0.25">
      <c r="B872" s="51">
        <f>YEAR(BDRIOSJ[[#This Row],[FECHA]])</f>
        <v>2024</v>
      </c>
      <c r="C872" s="51">
        <f>MONTH(BDRIOSJ[[#This Row],[FECHA]])</f>
        <v>2</v>
      </c>
      <c r="D872" s="50" t="s">
        <v>335</v>
      </c>
      <c r="E872" s="49" t="s">
        <v>111</v>
      </c>
      <c r="F872" s="65">
        <v>17.201000000000001</v>
      </c>
    </row>
    <row r="873" spans="2:6" hidden="1" x14ac:dyDescent="0.25">
      <c r="B873" s="51">
        <f>YEAR(BDRIOSJ[[#This Row],[FECHA]])</f>
        <v>2024</v>
      </c>
      <c r="C873" s="51">
        <f>MONTH(BDRIOSJ[[#This Row],[FECHA]])</f>
        <v>2</v>
      </c>
      <c r="D873" s="50" t="s">
        <v>336</v>
      </c>
      <c r="E873" s="49" t="s">
        <v>115</v>
      </c>
      <c r="F873" s="65">
        <v>17.201000000000001</v>
      </c>
    </row>
    <row r="874" spans="2:6" hidden="1" x14ac:dyDescent="0.25">
      <c r="B874" s="51">
        <f>YEAR(BDRIOSJ[[#This Row],[FECHA]])</f>
        <v>2024</v>
      </c>
      <c r="C874" s="51">
        <f>MONTH(BDRIOSJ[[#This Row],[FECHA]])</f>
        <v>2</v>
      </c>
      <c r="D874" s="50" t="s">
        <v>336</v>
      </c>
      <c r="E874" s="49" t="s">
        <v>114</v>
      </c>
      <c r="F874" s="65">
        <v>17.201000000000001</v>
      </c>
    </row>
    <row r="875" spans="2:6" hidden="1" x14ac:dyDescent="0.25">
      <c r="B875" s="51">
        <f>YEAR(BDRIOSJ[[#This Row],[FECHA]])</f>
        <v>2024</v>
      </c>
      <c r="C875" s="51">
        <f>MONTH(BDRIOSJ[[#This Row],[FECHA]])</f>
        <v>2</v>
      </c>
      <c r="D875" s="50" t="s">
        <v>336</v>
      </c>
      <c r="E875" s="49" t="s">
        <v>113</v>
      </c>
      <c r="F875" s="65">
        <v>17.201000000000001</v>
      </c>
    </row>
    <row r="876" spans="2:6" hidden="1" x14ac:dyDescent="0.25">
      <c r="B876" s="51">
        <f>YEAR(BDRIOSJ[[#This Row],[FECHA]])</f>
        <v>2024</v>
      </c>
      <c r="C876" s="51">
        <f>MONTH(BDRIOSJ[[#This Row],[FECHA]])</f>
        <v>2</v>
      </c>
      <c r="D876" s="50" t="s">
        <v>336</v>
      </c>
      <c r="E876" s="49" t="s">
        <v>111</v>
      </c>
      <c r="F876" s="65">
        <v>17.201000000000001</v>
      </c>
    </row>
    <row r="877" spans="2:6" hidden="1" x14ac:dyDescent="0.25">
      <c r="B877" s="51">
        <f>YEAR(BDRIOSJ[[#This Row],[FECHA]])</f>
        <v>2024</v>
      </c>
      <c r="C877" s="51">
        <f>MONTH(BDRIOSJ[[#This Row],[FECHA]])</f>
        <v>2</v>
      </c>
      <c r="D877" s="50" t="s">
        <v>337</v>
      </c>
      <c r="E877" s="49" t="s">
        <v>115</v>
      </c>
      <c r="F877" s="65">
        <v>16.0518</v>
      </c>
    </row>
    <row r="878" spans="2:6" hidden="1" x14ac:dyDescent="0.25">
      <c r="B878" s="51">
        <f>YEAR(BDRIOSJ[[#This Row],[FECHA]])</f>
        <v>2024</v>
      </c>
      <c r="C878" s="51">
        <f>MONTH(BDRIOSJ[[#This Row],[FECHA]])</f>
        <v>2</v>
      </c>
      <c r="D878" s="50" t="s">
        <v>337</v>
      </c>
      <c r="E878" s="49" t="s">
        <v>114</v>
      </c>
      <c r="F878" s="65">
        <v>16.0518</v>
      </c>
    </row>
    <row r="879" spans="2:6" hidden="1" x14ac:dyDescent="0.25">
      <c r="B879" s="51">
        <f>YEAR(BDRIOSJ[[#This Row],[FECHA]])</f>
        <v>2024</v>
      </c>
      <c r="C879" s="51">
        <f>MONTH(BDRIOSJ[[#This Row],[FECHA]])</f>
        <v>2</v>
      </c>
      <c r="D879" s="50" t="s">
        <v>337</v>
      </c>
      <c r="E879" s="49" t="s">
        <v>113</v>
      </c>
      <c r="F879" s="65">
        <v>17.201000000000001</v>
      </c>
    </row>
    <row r="880" spans="2:6" hidden="1" x14ac:dyDescent="0.25">
      <c r="B880" s="51">
        <f>YEAR(BDRIOSJ[[#This Row],[FECHA]])</f>
        <v>2024</v>
      </c>
      <c r="C880" s="51">
        <f>MONTH(BDRIOSJ[[#This Row],[FECHA]])</f>
        <v>2</v>
      </c>
      <c r="D880" s="50" t="s">
        <v>337</v>
      </c>
      <c r="E880" s="49" t="s">
        <v>111</v>
      </c>
      <c r="F880" s="65">
        <v>23.546500000000002</v>
      </c>
    </row>
    <row r="881" spans="2:6" hidden="1" x14ac:dyDescent="0.25">
      <c r="B881" s="51">
        <f>YEAR(BDRIOSJ[[#This Row],[FECHA]])</f>
        <v>2024</v>
      </c>
      <c r="C881" s="51">
        <f>MONTH(BDRIOSJ[[#This Row],[FECHA]])</f>
        <v>2</v>
      </c>
      <c r="D881" s="50" t="s">
        <v>338</v>
      </c>
      <c r="E881" s="49" t="s">
        <v>115</v>
      </c>
      <c r="F881" s="65">
        <v>5.0580999999999996</v>
      </c>
    </row>
    <row r="882" spans="2:6" hidden="1" x14ac:dyDescent="0.25">
      <c r="B882" s="51">
        <f>YEAR(BDRIOSJ[[#This Row],[FECHA]])</f>
        <v>2024</v>
      </c>
      <c r="C882" s="51">
        <f>MONTH(BDRIOSJ[[#This Row],[FECHA]])</f>
        <v>2</v>
      </c>
      <c r="D882" s="50" t="s">
        <v>338</v>
      </c>
      <c r="E882" s="49" t="s">
        <v>114</v>
      </c>
      <c r="F882" s="65">
        <v>5.0580999999999996</v>
      </c>
    </row>
    <row r="883" spans="2:6" hidden="1" x14ac:dyDescent="0.25">
      <c r="B883" s="51">
        <f>YEAR(BDRIOSJ[[#This Row],[FECHA]])</f>
        <v>2024</v>
      </c>
      <c r="C883" s="51">
        <f>MONTH(BDRIOSJ[[#This Row],[FECHA]])</f>
        <v>2</v>
      </c>
      <c r="D883" s="50" t="s">
        <v>338</v>
      </c>
      <c r="E883" s="49" t="s">
        <v>113</v>
      </c>
      <c r="F883" s="65">
        <v>6.7572999999999999</v>
      </c>
    </row>
    <row r="884" spans="2:6" hidden="1" x14ac:dyDescent="0.25">
      <c r="B884" s="51">
        <f>YEAR(BDRIOSJ[[#This Row],[FECHA]])</f>
        <v>2024</v>
      </c>
      <c r="C884" s="51">
        <f>MONTH(BDRIOSJ[[#This Row],[FECHA]])</f>
        <v>2</v>
      </c>
      <c r="D884" s="50" t="s">
        <v>338</v>
      </c>
      <c r="E884" s="49" t="s">
        <v>111</v>
      </c>
      <c r="F884" s="65">
        <v>6.7572999999999999</v>
      </c>
    </row>
    <row r="885" spans="2:6" hidden="1" x14ac:dyDescent="0.25">
      <c r="B885" s="51">
        <f>YEAR(BDRIOSJ[[#This Row],[FECHA]])</f>
        <v>2024</v>
      </c>
      <c r="C885" s="51">
        <f>MONTH(BDRIOSJ[[#This Row],[FECHA]])</f>
        <v>2</v>
      </c>
      <c r="D885" s="50" t="s">
        <v>339</v>
      </c>
      <c r="E885" s="49" t="s">
        <v>115</v>
      </c>
      <c r="F885" s="65">
        <v>3.0987</v>
      </c>
    </row>
    <row r="886" spans="2:6" hidden="1" x14ac:dyDescent="0.25">
      <c r="B886" s="51">
        <f>YEAR(BDRIOSJ[[#This Row],[FECHA]])</f>
        <v>2024</v>
      </c>
      <c r="C886" s="51">
        <f>MONTH(BDRIOSJ[[#This Row],[FECHA]])</f>
        <v>2</v>
      </c>
      <c r="D886" s="50" t="s">
        <v>339</v>
      </c>
      <c r="E886" s="49" t="s">
        <v>114</v>
      </c>
      <c r="F886" s="65">
        <v>3.6086</v>
      </c>
    </row>
    <row r="887" spans="2:6" hidden="1" x14ac:dyDescent="0.25">
      <c r="B887" s="51">
        <f>YEAR(BDRIOSJ[[#This Row],[FECHA]])</f>
        <v>2024</v>
      </c>
      <c r="C887" s="51">
        <f>MONTH(BDRIOSJ[[#This Row],[FECHA]])</f>
        <v>2</v>
      </c>
      <c r="D887" s="50" t="s">
        <v>339</v>
      </c>
      <c r="E887" s="49" t="s">
        <v>113</v>
      </c>
      <c r="F887" s="65">
        <v>3.6086</v>
      </c>
    </row>
    <row r="888" spans="2:6" hidden="1" x14ac:dyDescent="0.25">
      <c r="B888" s="51">
        <f>YEAR(BDRIOSJ[[#This Row],[FECHA]])</f>
        <v>2024</v>
      </c>
      <c r="C888" s="51">
        <f>MONTH(BDRIOSJ[[#This Row],[FECHA]])</f>
        <v>2</v>
      </c>
      <c r="D888" s="50" t="s">
        <v>339</v>
      </c>
      <c r="E888" s="49" t="s">
        <v>111</v>
      </c>
      <c r="F888" s="65">
        <v>3.6086</v>
      </c>
    </row>
    <row r="889" spans="2:6" hidden="1" x14ac:dyDescent="0.25">
      <c r="B889" s="51">
        <f>YEAR(BDRIOSJ[[#This Row],[FECHA]])</f>
        <v>2024</v>
      </c>
      <c r="C889" s="51">
        <f>MONTH(BDRIOSJ[[#This Row],[FECHA]])</f>
        <v>2</v>
      </c>
      <c r="D889" s="50" t="s">
        <v>340</v>
      </c>
      <c r="E889" s="49" t="s">
        <v>115</v>
      </c>
      <c r="F889" s="65">
        <v>1.8088</v>
      </c>
    </row>
    <row r="890" spans="2:6" hidden="1" x14ac:dyDescent="0.25">
      <c r="B890" s="51">
        <f>YEAR(BDRIOSJ[[#This Row],[FECHA]])</f>
        <v>2024</v>
      </c>
      <c r="C890" s="51">
        <f>MONTH(BDRIOSJ[[#This Row],[FECHA]])</f>
        <v>2</v>
      </c>
      <c r="D890" s="50" t="s">
        <v>340</v>
      </c>
      <c r="E890" s="49" t="s">
        <v>114</v>
      </c>
      <c r="F890" s="65">
        <v>3.6086</v>
      </c>
    </row>
    <row r="891" spans="2:6" hidden="1" x14ac:dyDescent="0.25">
      <c r="B891" s="51">
        <f>YEAR(BDRIOSJ[[#This Row],[FECHA]])</f>
        <v>2024</v>
      </c>
      <c r="C891" s="51">
        <f>MONTH(BDRIOSJ[[#This Row],[FECHA]])</f>
        <v>2</v>
      </c>
      <c r="D891" s="50" t="s">
        <v>340</v>
      </c>
      <c r="E891" s="49" t="s">
        <v>113</v>
      </c>
      <c r="F891" s="65">
        <v>0.308</v>
      </c>
    </row>
    <row r="892" spans="2:6" hidden="1" x14ac:dyDescent="0.25">
      <c r="B892" s="51">
        <f>YEAR(BDRIOSJ[[#This Row],[FECHA]])</f>
        <v>2024</v>
      </c>
      <c r="C892" s="51">
        <f>MONTH(BDRIOSJ[[#This Row],[FECHA]])</f>
        <v>2</v>
      </c>
      <c r="D892" s="50" t="s">
        <v>340</v>
      </c>
      <c r="E892" s="49" t="s">
        <v>111</v>
      </c>
      <c r="F892" s="65">
        <v>3.0987</v>
      </c>
    </row>
    <row r="893" spans="2:6" hidden="1" x14ac:dyDescent="0.25">
      <c r="B893" s="51">
        <f>YEAR(BDRIOSJ[[#This Row],[FECHA]])</f>
        <v>2024</v>
      </c>
      <c r="C893" s="51">
        <f>MONTH(BDRIOSJ[[#This Row],[FECHA]])</f>
        <v>2</v>
      </c>
      <c r="D893" s="50" t="s">
        <v>341</v>
      </c>
      <c r="E893" s="49" t="s">
        <v>115</v>
      </c>
      <c r="F893" s="65">
        <v>1.8088</v>
      </c>
    </row>
    <row r="894" spans="2:6" hidden="1" x14ac:dyDescent="0.25">
      <c r="B894" s="51">
        <f>YEAR(BDRIOSJ[[#This Row],[FECHA]])</f>
        <v>2024</v>
      </c>
      <c r="C894" s="51">
        <f>MONTH(BDRIOSJ[[#This Row],[FECHA]])</f>
        <v>2</v>
      </c>
      <c r="D894" s="50" t="s">
        <v>341</v>
      </c>
      <c r="E894" s="49" t="s">
        <v>114</v>
      </c>
      <c r="F894" s="65">
        <v>1.8088</v>
      </c>
    </row>
    <row r="895" spans="2:6" hidden="1" x14ac:dyDescent="0.25">
      <c r="B895" s="51">
        <f>YEAR(BDRIOSJ[[#This Row],[FECHA]])</f>
        <v>2024</v>
      </c>
      <c r="C895" s="51">
        <f>MONTH(BDRIOSJ[[#This Row],[FECHA]])</f>
        <v>2</v>
      </c>
      <c r="D895" s="50" t="s">
        <v>341</v>
      </c>
      <c r="E895" s="49" t="s">
        <v>113</v>
      </c>
      <c r="F895" s="65">
        <v>1.8088</v>
      </c>
    </row>
    <row r="896" spans="2:6" hidden="1" x14ac:dyDescent="0.25">
      <c r="B896" s="51">
        <f>YEAR(BDRIOSJ[[#This Row],[FECHA]])</f>
        <v>2024</v>
      </c>
      <c r="C896" s="51">
        <f>MONTH(BDRIOSJ[[#This Row],[FECHA]])</f>
        <v>2</v>
      </c>
      <c r="D896" s="50" t="s">
        <v>341</v>
      </c>
      <c r="E896" s="49" t="s">
        <v>111</v>
      </c>
      <c r="F896" s="65">
        <v>1.8088</v>
      </c>
    </row>
    <row r="897" spans="2:6" hidden="1" x14ac:dyDescent="0.25">
      <c r="B897" s="51">
        <f>YEAR(BDRIOSJ[[#This Row],[FECHA]])</f>
        <v>2024</v>
      </c>
      <c r="C897" s="51">
        <f>MONTH(BDRIOSJ[[#This Row],[FECHA]])</f>
        <v>2</v>
      </c>
      <c r="D897" s="50" t="s">
        <v>342</v>
      </c>
      <c r="E897" s="49" t="s">
        <v>115</v>
      </c>
      <c r="F897" s="65">
        <v>17.393899999999999</v>
      </c>
    </row>
    <row r="898" spans="2:6" hidden="1" x14ac:dyDescent="0.25">
      <c r="B898" s="51">
        <f>YEAR(BDRIOSJ[[#This Row],[FECHA]])</f>
        <v>2024</v>
      </c>
      <c r="C898" s="51">
        <f>MONTH(BDRIOSJ[[#This Row],[FECHA]])</f>
        <v>2</v>
      </c>
      <c r="D898" s="50" t="s">
        <v>342</v>
      </c>
      <c r="E898" s="49" t="s">
        <v>114</v>
      </c>
      <c r="F898" s="65">
        <v>20.801300000000001</v>
      </c>
    </row>
    <row r="899" spans="2:6" hidden="1" x14ac:dyDescent="0.25">
      <c r="B899" s="51">
        <f>YEAR(BDRIOSJ[[#This Row],[FECHA]])</f>
        <v>2024</v>
      </c>
      <c r="C899" s="51">
        <f>MONTH(BDRIOSJ[[#This Row],[FECHA]])</f>
        <v>2</v>
      </c>
      <c r="D899" s="50" t="s">
        <v>342</v>
      </c>
      <c r="E899" s="49" t="s">
        <v>113</v>
      </c>
      <c r="F899" s="65">
        <v>20.801300000000001</v>
      </c>
    </row>
    <row r="900" spans="2:6" hidden="1" x14ac:dyDescent="0.25">
      <c r="B900" s="51">
        <f>YEAR(BDRIOSJ[[#This Row],[FECHA]])</f>
        <v>2024</v>
      </c>
      <c r="C900" s="51">
        <f>MONTH(BDRIOSJ[[#This Row],[FECHA]])</f>
        <v>2</v>
      </c>
      <c r="D900" s="50" t="s">
        <v>342</v>
      </c>
      <c r="E900" s="49" t="s">
        <v>111</v>
      </c>
      <c r="F900" s="65">
        <v>20.801300000000001</v>
      </c>
    </row>
    <row r="901" spans="2:6" hidden="1" x14ac:dyDescent="0.25">
      <c r="B901" s="51">
        <f>YEAR(BDRIOSJ[[#This Row],[FECHA]])</f>
        <v>2024</v>
      </c>
      <c r="C901" s="51">
        <f>MONTH(BDRIOSJ[[#This Row],[FECHA]])</f>
        <v>2</v>
      </c>
      <c r="D901" s="50" t="s">
        <v>343</v>
      </c>
      <c r="E901" s="49" t="s">
        <v>115</v>
      </c>
      <c r="F901" s="65">
        <v>27.777200000000001</v>
      </c>
    </row>
    <row r="902" spans="2:6" hidden="1" x14ac:dyDescent="0.25">
      <c r="B902" s="51">
        <f>YEAR(BDRIOSJ[[#This Row],[FECHA]])</f>
        <v>2024</v>
      </c>
      <c r="C902" s="51">
        <f>MONTH(BDRIOSJ[[#This Row],[FECHA]])</f>
        <v>2</v>
      </c>
      <c r="D902" s="50" t="s">
        <v>343</v>
      </c>
      <c r="E902" s="49" t="s">
        <v>114</v>
      </c>
      <c r="F902" s="65">
        <v>49.993499999999997</v>
      </c>
    </row>
    <row r="903" spans="2:6" hidden="1" x14ac:dyDescent="0.25">
      <c r="B903" s="51">
        <f>YEAR(BDRIOSJ[[#This Row],[FECHA]])</f>
        <v>2024</v>
      </c>
      <c r="C903" s="51">
        <f>MONTH(BDRIOSJ[[#This Row],[FECHA]])</f>
        <v>2</v>
      </c>
      <c r="D903" s="50" t="s">
        <v>343</v>
      </c>
      <c r="E903" s="49" t="s">
        <v>113</v>
      </c>
      <c r="F903" s="65">
        <v>49.993499999999997</v>
      </c>
    </row>
    <row r="904" spans="2:6" hidden="1" x14ac:dyDescent="0.25">
      <c r="B904" s="51">
        <f>YEAR(BDRIOSJ[[#This Row],[FECHA]])</f>
        <v>2024</v>
      </c>
      <c r="C904" s="51">
        <f>MONTH(BDRIOSJ[[#This Row],[FECHA]])</f>
        <v>2</v>
      </c>
      <c r="D904" s="50" t="s">
        <v>343</v>
      </c>
      <c r="E904" s="49" t="s">
        <v>111</v>
      </c>
      <c r="F904" s="65">
        <v>49.993499999999997</v>
      </c>
    </row>
    <row r="905" spans="2:6" hidden="1" x14ac:dyDescent="0.25">
      <c r="B905" s="51">
        <f>YEAR(BDRIOSJ[[#This Row],[FECHA]])</f>
        <v>2024</v>
      </c>
      <c r="C905" s="51">
        <f>MONTH(BDRIOSJ[[#This Row],[FECHA]])</f>
        <v>2</v>
      </c>
      <c r="D905" s="50" t="s">
        <v>344</v>
      </c>
      <c r="E905" s="49" t="s">
        <v>115</v>
      </c>
      <c r="F905" s="65">
        <v>31.345700000000001</v>
      </c>
    </row>
    <row r="906" spans="2:6" hidden="1" x14ac:dyDescent="0.25">
      <c r="B906" s="51">
        <f>YEAR(BDRIOSJ[[#This Row],[FECHA]])</f>
        <v>2024</v>
      </c>
      <c r="C906" s="51">
        <f>MONTH(BDRIOSJ[[#This Row],[FECHA]])</f>
        <v>2</v>
      </c>
      <c r="D906" s="50" t="s">
        <v>344</v>
      </c>
      <c r="E906" s="49" t="s">
        <v>114</v>
      </c>
      <c r="F906" s="65">
        <v>31.345700000000001</v>
      </c>
    </row>
    <row r="907" spans="2:6" hidden="1" x14ac:dyDescent="0.25">
      <c r="B907" s="51">
        <f>YEAR(BDRIOSJ[[#This Row],[FECHA]])</f>
        <v>2024</v>
      </c>
      <c r="C907" s="51">
        <f>MONTH(BDRIOSJ[[#This Row],[FECHA]])</f>
        <v>2</v>
      </c>
      <c r="D907" s="50" t="s">
        <v>344</v>
      </c>
      <c r="E907" s="49" t="s">
        <v>113</v>
      </c>
      <c r="F907" s="65">
        <v>31.345700000000001</v>
      </c>
    </row>
    <row r="908" spans="2:6" hidden="1" x14ac:dyDescent="0.25">
      <c r="B908" s="51">
        <f>YEAR(BDRIOSJ[[#This Row],[FECHA]])</f>
        <v>2024</v>
      </c>
      <c r="C908" s="51">
        <f>MONTH(BDRIOSJ[[#This Row],[FECHA]])</f>
        <v>2</v>
      </c>
      <c r="D908" s="50" t="s">
        <v>344</v>
      </c>
      <c r="E908" s="49" t="s">
        <v>111</v>
      </c>
      <c r="F908" s="65">
        <v>31.345700000000001</v>
      </c>
    </row>
    <row r="909" spans="2:6" hidden="1" x14ac:dyDescent="0.25">
      <c r="B909" s="51">
        <f>YEAR(BDRIOSJ[[#This Row],[FECHA]])</f>
        <v>2024</v>
      </c>
      <c r="C909" s="51">
        <f>MONTH(BDRIOSJ[[#This Row],[FECHA]])</f>
        <v>2</v>
      </c>
      <c r="D909" s="50" t="s">
        <v>345</v>
      </c>
      <c r="E909" s="49" t="s">
        <v>115</v>
      </c>
      <c r="F909" s="65">
        <v>27.777200000000001</v>
      </c>
    </row>
    <row r="910" spans="2:6" hidden="1" x14ac:dyDescent="0.25">
      <c r="B910" s="51">
        <f>YEAR(BDRIOSJ[[#This Row],[FECHA]])</f>
        <v>2024</v>
      </c>
      <c r="C910" s="51">
        <f>MONTH(BDRIOSJ[[#This Row],[FECHA]])</f>
        <v>2</v>
      </c>
      <c r="D910" s="50" t="s">
        <v>345</v>
      </c>
      <c r="E910" s="49" t="s">
        <v>114</v>
      </c>
      <c r="F910" s="65">
        <v>46.156599999999997</v>
      </c>
    </row>
    <row r="911" spans="2:6" hidden="1" x14ac:dyDescent="0.25">
      <c r="B911" s="51">
        <f>YEAR(BDRIOSJ[[#This Row],[FECHA]])</f>
        <v>2024</v>
      </c>
      <c r="C911" s="51">
        <f>MONTH(BDRIOSJ[[#This Row],[FECHA]])</f>
        <v>2</v>
      </c>
      <c r="D911" s="50" t="s">
        <v>345</v>
      </c>
      <c r="E911" s="49" t="s">
        <v>113</v>
      </c>
      <c r="F911" s="65">
        <v>46.156599999999997</v>
      </c>
    </row>
    <row r="912" spans="2:6" hidden="1" x14ac:dyDescent="0.25">
      <c r="B912" s="51">
        <f>YEAR(BDRIOSJ[[#This Row],[FECHA]])</f>
        <v>2024</v>
      </c>
      <c r="C912" s="51">
        <f>MONTH(BDRIOSJ[[#This Row],[FECHA]])</f>
        <v>2</v>
      </c>
      <c r="D912" s="50" t="s">
        <v>345</v>
      </c>
      <c r="E912" s="49" t="s">
        <v>111</v>
      </c>
      <c r="F912" s="65">
        <v>27.777200000000001</v>
      </c>
    </row>
    <row r="913" spans="2:6" hidden="1" x14ac:dyDescent="0.25">
      <c r="B913" s="51">
        <f>YEAR(BDRIOSJ[[#This Row],[FECHA]])</f>
        <v>2024</v>
      </c>
      <c r="C913" s="51">
        <f>MONTH(BDRIOSJ[[#This Row],[FECHA]])</f>
        <v>2</v>
      </c>
      <c r="D913" s="50" t="s">
        <v>346</v>
      </c>
      <c r="E913" s="49" t="s">
        <v>115</v>
      </c>
      <c r="F913" s="65">
        <v>27.777200000000001</v>
      </c>
    </row>
    <row r="914" spans="2:6" hidden="1" x14ac:dyDescent="0.25">
      <c r="B914" s="51">
        <f>YEAR(BDRIOSJ[[#This Row],[FECHA]])</f>
        <v>2024</v>
      </c>
      <c r="C914" s="51">
        <f>MONTH(BDRIOSJ[[#This Row],[FECHA]])</f>
        <v>2</v>
      </c>
      <c r="D914" s="50" t="s">
        <v>346</v>
      </c>
      <c r="E914" s="49" t="s">
        <v>114</v>
      </c>
      <c r="F914" s="65">
        <v>27.777200000000001</v>
      </c>
    </row>
    <row r="915" spans="2:6" hidden="1" x14ac:dyDescent="0.25">
      <c r="B915" s="51">
        <f>YEAR(BDRIOSJ[[#This Row],[FECHA]])</f>
        <v>2024</v>
      </c>
      <c r="C915" s="51">
        <f>MONTH(BDRIOSJ[[#This Row],[FECHA]])</f>
        <v>2</v>
      </c>
      <c r="D915" s="50" t="s">
        <v>346</v>
      </c>
      <c r="E915" s="49" t="s">
        <v>113</v>
      </c>
      <c r="F915" s="65">
        <v>27.777200000000001</v>
      </c>
    </row>
    <row r="916" spans="2:6" hidden="1" x14ac:dyDescent="0.25">
      <c r="B916" s="51">
        <f>YEAR(BDRIOSJ[[#This Row],[FECHA]])</f>
        <v>2024</v>
      </c>
      <c r="C916" s="51">
        <f>MONTH(BDRIOSJ[[#This Row],[FECHA]])</f>
        <v>2</v>
      </c>
      <c r="D916" s="50" t="s">
        <v>346</v>
      </c>
      <c r="E916" s="49" t="s">
        <v>111</v>
      </c>
      <c r="F916" s="65">
        <v>27.777200000000001</v>
      </c>
    </row>
    <row r="917" spans="2:6" hidden="1" x14ac:dyDescent="0.25">
      <c r="B917" s="51">
        <f>YEAR(BDRIOSJ[[#This Row],[FECHA]])</f>
        <v>2024</v>
      </c>
      <c r="C917" s="51">
        <f>MONTH(BDRIOSJ[[#This Row],[FECHA]])</f>
        <v>2</v>
      </c>
      <c r="D917" s="50" t="s">
        <v>347</v>
      </c>
      <c r="E917" s="49" t="s">
        <v>115</v>
      </c>
      <c r="F917" s="65">
        <v>95.743799999999993</v>
      </c>
    </row>
    <row r="918" spans="2:6" hidden="1" x14ac:dyDescent="0.25">
      <c r="B918" s="51">
        <f>YEAR(BDRIOSJ[[#This Row],[FECHA]])</f>
        <v>2024</v>
      </c>
      <c r="C918" s="51">
        <f>MONTH(BDRIOSJ[[#This Row],[FECHA]])</f>
        <v>2</v>
      </c>
      <c r="D918" s="50" t="s">
        <v>347</v>
      </c>
      <c r="E918" s="49" t="s">
        <v>114</v>
      </c>
      <c r="F918" s="65">
        <v>104.76009999999999</v>
      </c>
    </row>
    <row r="919" spans="2:6" hidden="1" x14ac:dyDescent="0.25">
      <c r="B919" s="51">
        <f>YEAR(BDRIOSJ[[#This Row],[FECHA]])</f>
        <v>2024</v>
      </c>
      <c r="C919" s="51">
        <f>MONTH(BDRIOSJ[[#This Row],[FECHA]])</f>
        <v>2</v>
      </c>
      <c r="D919" s="50" t="s">
        <v>347</v>
      </c>
      <c r="E919" s="49" t="s">
        <v>113</v>
      </c>
      <c r="F919" s="65">
        <v>91.316299999999998</v>
      </c>
    </row>
    <row r="920" spans="2:6" hidden="1" x14ac:dyDescent="0.25">
      <c r="B920" s="51">
        <f>YEAR(BDRIOSJ[[#This Row],[FECHA]])</f>
        <v>2024</v>
      </c>
      <c r="C920" s="51">
        <f>MONTH(BDRIOSJ[[#This Row],[FECHA]])</f>
        <v>2</v>
      </c>
      <c r="D920" s="50" t="s">
        <v>347</v>
      </c>
      <c r="E920" s="49" t="s">
        <v>111</v>
      </c>
      <c r="F920" s="65">
        <v>91.316299999999998</v>
      </c>
    </row>
    <row r="921" spans="2:6" hidden="1" x14ac:dyDescent="0.25">
      <c r="B921" s="51">
        <f>YEAR(BDRIOSJ[[#This Row],[FECHA]])</f>
        <v>2024</v>
      </c>
      <c r="C921" s="51">
        <f>MONTH(BDRIOSJ[[#This Row],[FECHA]])</f>
        <v>2</v>
      </c>
      <c r="D921" s="50" t="s">
        <v>348</v>
      </c>
      <c r="E921" s="49" t="s">
        <v>115</v>
      </c>
      <c r="F921" s="65">
        <v>118.6872</v>
      </c>
    </row>
    <row r="922" spans="2:6" hidden="1" x14ac:dyDescent="0.25">
      <c r="B922" s="51">
        <f>YEAR(BDRIOSJ[[#This Row],[FECHA]])</f>
        <v>2024</v>
      </c>
      <c r="C922" s="51">
        <f>MONTH(BDRIOSJ[[#This Row],[FECHA]])</f>
        <v>2</v>
      </c>
      <c r="D922" s="50" t="s">
        <v>348</v>
      </c>
      <c r="E922" s="49" t="s">
        <v>114</v>
      </c>
      <c r="F922" s="65">
        <v>113.9911</v>
      </c>
    </row>
    <row r="923" spans="2:6" hidden="1" x14ac:dyDescent="0.25">
      <c r="B923" s="51">
        <f>YEAR(BDRIOSJ[[#This Row],[FECHA]])</f>
        <v>2024</v>
      </c>
      <c r="C923" s="51">
        <f>MONTH(BDRIOSJ[[#This Row],[FECHA]])</f>
        <v>2</v>
      </c>
      <c r="D923" s="50" t="s">
        <v>348</v>
      </c>
      <c r="E923" s="49" t="s">
        <v>113</v>
      </c>
      <c r="F923" s="65">
        <v>113.9911</v>
      </c>
    </row>
    <row r="924" spans="2:6" hidden="1" x14ac:dyDescent="0.25">
      <c r="B924" s="51">
        <f>YEAR(BDRIOSJ[[#This Row],[FECHA]])</f>
        <v>2024</v>
      </c>
      <c r="C924" s="51">
        <f>MONTH(BDRIOSJ[[#This Row],[FECHA]])</f>
        <v>2</v>
      </c>
      <c r="D924" s="50" t="s">
        <v>348</v>
      </c>
      <c r="E924" s="49" t="s">
        <v>111</v>
      </c>
      <c r="F924" s="65">
        <v>118.6872</v>
      </c>
    </row>
    <row r="925" spans="2:6" hidden="1" x14ac:dyDescent="0.25">
      <c r="B925" s="51">
        <f>YEAR(BDRIOSJ[[#This Row],[FECHA]])</f>
        <v>2024</v>
      </c>
      <c r="C925" s="51">
        <f>MONTH(BDRIOSJ[[#This Row],[FECHA]])</f>
        <v>2</v>
      </c>
      <c r="D925" s="50" t="s">
        <v>349</v>
      </c>
      <c r="E925" s="49" t="s">
        <v>115</v>
      </c>
      <c r="F925" s="65">
        <v>65.878299999999996</v>
      </c>
    </row>
    <row r="926" spans="2:6" hidden="1" x14ac:dyDescent="0.25">
      <c r="B926" s="51">
        <f>YEAR(BDRIOSJ[[#This Row],[FECHA]])</f>
        <v>2024</v>
      </c>
      <c r="C926" s="51">
        <f>MONTH(BDRIOSJ[[#This Row],[FECHA]])</f>
        <v>2</v>
      </c>
      <c r="D926" s="50" t="s">
        <v>349</v>
      </c>
      <c r="E926" s="49" t="s">
        <v>114</v>
      </c>
      <c r="F926" s="65">
        <v>74.142799999999994</v>
      </c>
    </row>
    <row r="927" spans="2:6" hidden="1" x14ac:dyDescent="0.25">
      <c r="B927" s="51">
        <f>YEAR(BDRIOSJ[[#This Row],[FECHA]])</f>
        <v>2024</v>
      </c>
      <c r="C927" s="51">
        <f>MONTH(BDRIOSJ[[#This Row],[FECHA]])</f>
        <v>2</v>
      </c>
      <c r="D927" s="50" t="s">
        <v>349</v>
      </c>
      <c r="E927" s="49" t="s">
        <v>113</v>
      </c>
      <c r="F927" s="65">
        <v>74.142799999999994</v>
      </c>
    </row>
    <row r="928" spans="2:6" hidden="1" x14ac:dyDescent="0.25">
      <c r="B928" s="51">
        <f>YEAR(BDRIOSJ[[#This Row],[FECHA]])</f>
        <v>2024</v>
      </c>
      <c r="C928" s="51">
        <f>MONTH(BDRIOSJ[[#This Row],[FECHA]])</f>
        <v>2</v>
      </c>
      <c r="D928" s="50" t="s">
        <v>349</v>
      </c>
      <c r="E928" s="49" t="s">
        <v>111</v>
      </c>
      <c r="F928" s="65">
        <v>74.142799999999994</v>
      </c>
    </row>
    <row r="929" spans="2:6" hidden="1" x14ac:dyDescent="0.25">
      <c r="B929" s="51">
        <f>YEAR(BDRIOSJ[[#This Row],[FECHA]])</f>
        <v>2024</v>
      </c>
      <c r="C929" s="51">
        <f>MONTH(BDRIOSJ[[#This Row],[FECHA]])</f>
        <v>2</v>
      </c>
      <c r="D929" s="50" t="s">
        <v>350</v>
      </c>
      <c r="E929" s="49" t="s">
        <v>115</v>
      </c>
      <c r="F929" s="65">
        <v>27.777200000000001</v>
      </c>
    </row>
    <row r="930" spans="2:6" hidden="1" x14ac:dyDescent="0.25">
      <c r="B930" s="51">
        <f>YEAR(BDRIOSJ[[#This Row],[FECHA]])</f>
        <v>2024</v>
      </c>
      <c r="C930" s="51">
        <f>MONTH(BDRIOSJ[[#This Row],[FECHA]])</f>
        <v>2</v>
      </c>
      <c r="D930" s="50" t="s">
        <v>350</v>
      </c>
      <c r="E930" s="49" t="s">
        <v>114</v>
      </c>
      <c r="F930" s="65">
        <v>53.8842</v>
      </c>
    </row>
    <row r="931" spans="2:6" hidden="1" x14ac:dyDescent="0.25">
      <c r="B931" s="51">
        <f>YEAR(BDRIOSJ[[#This Row],[FECHA]])</f>
        <v>2024</v>
      </c>
      <c r="C931" s="51">
        <f>MONTH(BDRIOSJ[[#This Row],[FECHA]])</f>
        <v>2</v>
      </c>
      <c r="D931" s="50" t="s">
        <v>350</v>
      </c>
      <c r="E931" s="49" t="s">
        <v>113</v>
      </c>
      <c r="F931" s="65">
        <v>53.8842</v>
      </c>
    </row>
    <row r="932" spans="2:6" hidden="1" x14ac:dyDescent="0.25">
      <c r="B932" s="51">
        <f>YEAR(BDRIOSJ[[#This Row],[FECHA]])</f>
        <v>2024</v>
      </c>
      <c r="C932" s="51">
        <f>MONTH(BDRIOSJ[[#This Row],[FECHA]])</f>
        <v>2</v>
      </c>
      <c r="D932" s="50" t="s">
        <v>350</v>
      </c>
      <c r="E932" s="49" t="s">
        <v>111</v>
      </c>
      <c r="F932" s="65">
        <v>49.993499999999997</v>
      </c>
    </row>
    <row r="933" spans="2:6" hidden="1" x14ac:dyDescent="0.25">
      <c r="B933" s="51">
        <f>YEAR(BDRIOSJ[[#This Row],[FECHA]])</f>
        <v>2024</v>
      </c>
      <c r="C933" s="51">
        <f>MONTH(BDRIOSJ[[#This Row],[FECHA]])</f>
        <v>2</v>
      </c>
      <c r="D933" s="50" t="s">
        <v>351</v>
      </c>
      <c r="E933" s="49" t="s">
        <v>115</v>
      </c>
      <c r="F933" s="65">
        <v>17.393899999999999</v>
      </c>
    </row>
    <row r="934" spans="2:6" hidden="1" x14ac:dyDescent="0.25">
      <c r="B934" s="51">
        <f>YEAR(BDRIOSJ[[#This Row],[FECHA]])</f>
        <v>2024</v>
      </c>
      <c r="C934" s="51">
        <f>MONTH(BDRIOSJ[[#This Row],[FECHA]])</f>
        <v>2</v>
      </c>
      <c r="D934" s="50" t="s">
        <v>351</v>
      </c>
      <c r="E934" s="49" t="s">
        <v>114</v>
      </c>
      <c r="F934" s="65">
        <v>24.2624</v>
      </c>
    </row>
    <row r="935" spans="2:6" hidden="1" x14ac:dyDescent="0.25">
      <c r="B935" s="51">
        <f>YEAR(BDRIOSJ[[#This Row],[FECHA]])</f>
        <v>2024</v>
      </c>
      <c r="C935" s="51">
        <f>MONTH(BDRIOSJ[[#This Row],[FECHA]])</f>
        <v>2</v>
      </c>
      <c r="D935" s="50" t="s">
        <v>351</v>
      </c>
      <c r="E935" s="49" t="s">
        <v>113</v>
      </c>
      <c r="F935" s="65">
        <v>27.777200000000001</v>
      </c>
    </row>
    <row r="936" spans="2:6" hidden="1" x14ac:dyDescent="0.25">
      <c r="B936" s="51">
        <f>YEAR(BDRIOSJ[[#This Row],[FECHA]])</f>
        <v>2024</v>
      </c>
      <c r="C936" s="51">
        <f>MONTH(BDRIOSJ[[#This Row],[FECHA]])</f>
        <v>2</v>
      </c>
      <c r="D936" s="50" t="s">
        <v>351</v>
      </c>
      <c r="E936" s="49" t="s">
        <v>111</v>
      </c>
      <c r="F936" s="65">
        <v>24.2624</v>
      </c>
    </row>
    <row r="937" spans="2:6" hidden="1" x14ac:dyDescent="0.25">
      <c r="B937" s="51">
        <f>YEAR(BDRIOSJ[[#This Row],[FECHA]])</f>
        <v>2024</v>
      </c>
      <c r="C937" s="51">
        <f>MONTH(BDRIOSJ[[#This Row],[FECHA]])</f>
        <v>2</v>
      </c>
      <c r="D937" s="50" t="s">
        <v>352</v>
      </c>
      <c r="E937" s="49" t="s">
        <v>115</v>
      </c>
      <c r="F937" s="65">
        <v>27.777200000000001</v>
      </c>
    </row>
    <row r="938" spans="2:6" hidden="1" x14ac:dyDescent="0.25">
      <c r="B938" s="51">
        <f>YEAR(BDRIOSJ[[#This Row],[FECHA]])</f>
        <v>2024</v>
      </c>
      <c r="C938" s="51">
        <f>MONTH(BDRIOSJ[[#This Row],[FECHA]])</f>
        <v>2</v>
      </c>
      <c r="D938" s="50" t="s">
        <v>352</v>
      </c>
      <c r="E938" s="49" t="s">
        <v>114</v>
      </c>
      <c r="F938" s="65">
        <v>27.777200000000001</v>
      </c>
    </row>
    <row r="939" spans="2:6" hidden="1" x14ac:dyDescent="0.25">
      <c r="B939" s="51">
        <f>YEAR(BDRIOSJ[[#This Row],[FECHA]])</f>
        <v>2024</v>
      </c>
      <c r="C939" s="51">
        <f>MONTH(BDRIOSJ[[#This Row],[FECHA]])</f>
        <v>2</v>
      </c>
      <c r="D939" s="50" t="s">
        <v>352</v>
      </c>
      <c r="E939" s="49" t="s">
        <v>113</v>
      </c>
      <c r="F939" s="65">
        <v>27.777200000000001</v>
      </c>
    </row>
    <row r="940" spans="2:6" hidden="1" x14ac:dyDescent="0.25">
      <c r="B940" s="51">
        <f>YEAR(BDRIOSJ[[#This Row],[FECHA]])</f>
        <v>2024</v>
      </c>
      <c r="C940" s="51">
        <f>MONTH(BDRIOSJ[[#This Row],[FECHA]])</f>
        <v>2</v>
      </c>
      <c r="D940" s="50" t="s">
        <v>352</v>
      </c>
      <c r="E940" s="49" t="s">
        <v>111</v>
      </c>
      <c r="F940" s="65">
        <v>27.777200000000001</v>
      </c>
    </row>
    <row r="941" spans="2:6" hidden="1" x14ac:dyDescent="0.25">
      <c r="B941" s="51">
        <f>YEAR(BDRIOSJ[[#This Row],[FECHA]])</f>
        <v>2024</v>
      </c>
      <c r="C941" s="51">
        <f>MONTH(BDRIOSJ[[#This Row],[FECHA]])</f>
        <v>2</v>
      </c>
      <c r="D941" s="50" t="s">
        <v>353</v>
      </c>
      <c r="E941" s="49" t="s">
        <v>115</v>
      </c>
      <c r="F941" s="65">
        <v>27.777200000000001</v>
      </c>
    </row>
    <row r="942" spans="2:6" hidden="1" x14ac:dyDescent="0.25">
      <c r="B942" s="51">
        <f>YEAR(BDRIOSJ[[#This Row],[FECHA]])</f>
        <v>2024</v>
      </c>
      <c r="C942" s="51">
        <f>MONTH(BDRIOSJ[[#This Row],[FECHA]])</f>
        <v>2</v>
      </c>
      <c r="D942" s="50" t="s">
        <v>353</v>
      </c>
      <c r="E942" s="49" t="s">
        <v>114</v>
      </c>
      <c r="F942" s="65">
        <v>27.777200000000001</v>
      </c>
    </row>
    <row r="943" spans="2:6" hidden="1" x14ac:dyDescent="0.25">
      <c r="B943" s="51">
        <f>YEAR(BDRIOSJ[[#This Row],[FECHA]])</f>
        <v>2024</v>
      </c>
      <c r="C943" s="51">
        <f>MONTH(BDRIOSJ[[#This Row],[FECHA]])</f>
        <v>2</v>
      </c>
      <c r="D943" s="50" t="s">
        <v>353</v>
      </c>
      <c r="E943" s="49" t="s">
        <v>113</v>
      </c>
      <c r="F943" s="65">
        <v>27.777200000000001</v>
      </c>
    </row>
    <row r="944" spans="2:6" hidden="1" x14ac:dyDescent="0.25">
      <c r="B944" s="51">
        <f>YEAR(BDRIOSJ[[#This Row],[FECHA]])</f>
        <v>2024</v>
      </c>
      <c r="C944" s="51">
        <f>MONTH(BDRIOSJ[[#This Row],[FECHA]])</f>
        <v>2</v>
      </c>
      <c r="D944" s="50" t="s">
        <v>353</v>
      </c>
      <c r="E944" s="49" t="s">
        <v>111</v>
      </c>
      <c r="F944" s="65">
        <v>27.777200000000001</v>
      </c>
    </row>
    <row r="945" spans="2:6" hidden="1" x14ac:dyDescent="0.25">
      <c r="B945" s="51">
        <f>YEAR(BDRIOSJ[[#This Row],[FECHA]])</f>
        <v>2024</v>
      </c>
      <c r="C945" s="51">
        <f>MONTH(BDRIOSJ[[#This Row],[FECHA]])</f>
        <v>2</v>
      </c>
      <c r="D945" s="50" t="s">
        <v>354</v>
      </c>
      <c r="E945" s="49" t="s">
        <v>115</v>
      </c>
      <c r="F945" s="65">
        <v>138.00829999999999</v>
      </c>
    </row>
    <row r="946" spans="2:6" hidden="1" x14ac:dyDescent="0.25">
      <c r="B946" s="51">
        <f>YEAR(BDRIOSJ[[#This Row],[FECHA]])</f>
        <v>2024</v>
      </c>
      <c r="C946" s="51">
        <f>MONTH(BDRIOSJ[[#This Row],[FECHA]])</f>
        <v>2</v>
      </c>
      <c r="D946" s="50" t="s">
        <v>354</v>
      </c>
      <c r="E946" s="49" t="s">
        <v>114</v>
      </c>
      <c r="F946" s="65">
        <v>142.97290000000001</v>
      </c>
    </row>
    <row r="947" spans="2:6" hidden="1" x14ac:dyDescent="0.25">
      <c r="B947" s="51">
        <f>YEAR(BDRIOSJ[[#This Row],[FECHA]])</f>
        <v>2024</v>
      </c>
      <c r="C947" s="51">
        <f>MONTH(BDRIOSJ[[#This Row],[FECHA]])</f>
        <v>2</v>
      </c>
      <c r="D947" s="50" t="s">
        <v>354</v>
      </c>
      <c r="E947" s="49" t="s">
        <v>113</v>
      </c>
      <c r="F947" s="65">
        <v>142.97290000000001</v>
      </c>
    </row>
    <row r="948" spans="2:6" hidden="1" x14ac:dyDescent="0.25">
      <c r="B948" s="51">
        <f>YEAR(BDRIOSJ[[#This Row],[FECHA]])</f>
        <v>2024</v>
      </c>
      <c r="C948" s="51">
        <f>MONTH(BDRIOSJ[[#This Row],[FECHA]])</f>
        <v>2</v>
      </c>
      <c r="D948" s="50" t="s">
        <v>354</v>
      </c>
      <c r="E948" s="49" t="s">
        <v>111</v>
      </c>
      <c r="F948" s="65">
        <v>142.97290000000001</v>
      </c>
    </row>
    <row r="949" spans="2:6" hidden="1" x14ac:dyDescent="0.25">
      <c r="B949" s="51">
        <f>YEAR(BDRIOSJ[[#This Row],[FECHA]])</f>
        <v>2024</v>
      </c>
      <c r="C949" s="51">
        <f>MONTH(BDRIOSJ[[#This Row],[FECHA]])</f>
        <v>2</v>
      </c>
      <c r="D949" s="50" t="s">
        <v>355</v>
      </c>
      <c r="E949" s="49" t="s">
        <v>115</v>
      </c>
      <c r="F949" s="65">
        <v>195.5712</v>
      </c>
    </row>
    <row r="950" spans="2:6" hidden="1" x14ac:dyDescent="0.25">
      <c r="B950" s="51">
        <f>YEAR(BDRIOSJ[[#This Row],[FECHA]])</f>
        <v>2024</v>
      </c>
      <c r="C950" s="51">
        <f>MONTH(BDRIOSJ[[#This Row],[FECHA]])</f>
        <v>2</v>
      </c>
      <c r="D950" s="50" t="s">
        <v>355</v>
      </c>
      <c r="E950" s="49" t="s">
        <v>114</v>
      </c>
      <c r="F950" s="65">
        <v>195.5712</v>
      </c>
    </row>
    <row r="951" spans="2:6" hidden="1" x14ac:dyDescent="0.25">
      <c r="B951" s="51">
        <f>YEAR(BDRIOSJ[[#This Row],[FECHA]])</f>
        <v>2024</v>
      </c>
      <c r="C951" s="51">
        <f>MONTH(BDRIOSJ[[#This Row],[FECHA]])</f>
        <v>2</v>
      </c>
      <c r="D951" s="50" t="s">
        <v>355</v>
      </c>
      <c r="E951" s="49" t="s">
        <v>113</v>
      </c>
      <c r="F951" s="65">
        <v>195.5712</v>
      </c>
    </row>
    <row r="952" spans="2:6" hidden="1" x14ac:dyDescent="0.25">
      <c r="B952" s="51">
        <f>YEAR(BDRIOSJ[[#This Row],[FECHA]])</f>
        <v>2024</v>
      </c>
      <c r="C952" s="51">
        <f>MONTH(BDRIOSJ[[#This Row],[FECHA]])</f>
        <v>2</v>
      </c>
      <c r="D952" s="50" t="s">
        <v>355</v>
      </c>
      <c r="E952" s="49" t="s">
        <v>111</v>
      </c>
      <c r="F952" s="65">
        <v>195.5712</v>
      </c>
    </row>
    <row r="953" spans="2:6" hidden="1" x14ac:dyDescent="0.25">
      <c r="B953" s="51">
        <f>YEAR(BDRIOSJ[[#This Row],[FECHA]])</f>
        <v>2024</v>
      </c>
      <c r="C953" s="51">
        <f>MONTH(BDRIOSJ[[#This Row],[FECHA]])</f>
        <v>2</v>
      </c>
      <c r="D953" s="50" t="s">
        <v>356</v>
      </c>
      <c r="E953" s="49" t="s">
        <v>115</v>
      </c>
      <c r="F953" s="65">
        <v>142.97290000000001</v>
      </c>
    </row>
    <row r="954" spans="2:6" hidden="1" x14ac:dyDescent="0.25">
      <c r="B954" s="51">
        <f>YEAR(BDRIOSJ[[#This Row],[FECHA]])</f>
        <v>2024</v>
      </c>
      <c r="C954" s="51">
        <f>MONTH(BDRIOSJ[[#This Row],[FECHA]])</f>
        <v>2</v>
      </c>
      <c r="D954" s="50" t="s">
        <v>356</v>
      </c>
      <c r="E954" s="49" t="s">
        <v>114</v>
      </c>
      <c r="F954" s="65">
        <v>206.73519999999999</v>
      </c>
    </row>
    <row r="955" spans="2:6" hidden="1" x14ac:dyDescent="0.25">
      <c r="B955" s="51">
        <f>YEAR(BDRIOSJ[[#This Row],[FECHA]])</f>
        <v>2024</v>
      </c>
      <c r="C955" s="51">
        <f>MONTH(BDRIOSJ[[#This Row],[FECHA]])</f>
        <v>2</v>
      </c>
      <c r="D955" s="50" t="s">
        <v>356</v>
      </c>
      <c r="E955" s="49" t="s">
        <v>113</v>
      </c>
      <c r="F955" s="65">
        <v>206.73519999999999</v>
      </c>
    </row>
    <row r="956" spans="2:6" hidden="1" x14ac:dyDescent="0.25">
      <c r="B956" s="51">
        <f>YEAR(BDRIOSJ[[#This Row],[FECHA]])</f>
        <v>2024</v>
      </c>
      <c r="C956" s="51">
        <f>MONTH(BDRIOSJ[[#This Row],[FECHA]])</f>
        <v>2</v>
      </c>
      <c r="D956" s="50" t="s">
        <v>356</v>
      </c>
      <c r="E956" s="49" t="s">
        <v>111</v>
      </c>
      <c r="F956" s="65">
        <v>190.06979999999999</v>
      </c>
    </row>
    <row r="957" spans="2:6" hidden="1" x14ac:dyDescent="0.25">
      <c r="B957" s="51">
        <f>YEAR(BDRIOSJ[[#This Row],[FECHA]])</f>
        <v>2024</v>
      </c>
      <c r="C957" s="51">
        <f>MONTH(BDRIOSJ[[#This Row],[FECHA]])</f>
        <v>2</v>
      </c>
      <c r="D957" s="50" t="s">
        <v>357</v>
      </c>
      <c r="E957" s="49" t="s">
        <v>115</v>
      </c>
      <c r="F957" s="65">
        <v>247.50059999999999</v>
      </c>
    </row>
    <row r="958" spans="2:6" hidden="1" x14ac:dyDescent="0.25">
      <c r="B958" s="51">
        <f>YEAR(BDRIOSJ[[#This Row],[FECHA]])</f>
        <v>2024</v>
      </c>
      <c r="C958" s="51">
        <f>MONTH(BDRIOSJ[[#This Row],[FECHA]])</f>
        <v>2</v>
      </c>
      <c r="D958" s="50" t="s">
        <v>357</v>
      </c>
      <c r="E958" s="49" t="s">
        <v>114</v>
      </c>
      <c r="F958" s="65">
        <v>247.50059999999999</v>
      </c>
    </row>
    <row r="959" spans="2:6" hidden="1" x14ac:dyDescent="0.25">
      <c r="B959" s="51">
        <f>YEAR(BDRIOSJ[[#This Row],[FECHA]])</f>
        <v>2024</v>
      </c>
      <c r="C959" s="51">
        <f>MONTH(BDRIOSJ[[#This Row],[FECHA]])</f>
        <v>2</v>
      </c>
      <c r="D959" s="50" t="s">
        <v>357</v>
      </c>
      <c r="E959" s="49" t="s">
        <v>113</v>
      </c>
      <c r="F959" s="65">
        <v>247.50059999999999</v>
      </c>
    </row>
    <row r="960" spans="2:6" hidden="1" x14ac:dyDescent="0.25">
      <c r="B960" s="51">
        <f>YEAR(BDRIOSJ[[#This Row],[FECHA]])</f>
        <v>2024</v>
      </c>
      <c r="C960" s="51">
        <f>MONTH(BDRIOSJ[[#This Row],[FECHA]])</f>
        <v>2</v>
      </c>
      <c r="D960" s="50" t="s">
        <v>357</v>
      </c>
      <c r="E960" s="49" t="s">
        <v>111</v>
      </c>
      <c r="F960" s="65">
        <v>223.88390000000001</v>
      </c>
    </row>
    <row r="961" spans="2:6" hidden="1" x14ac:dyDescent="0.25">
      <c r="B961" s="51">
        <f>YEAR(BDRIOSJ[[#This Row],[FECHA]])</f>
        <v>2024</v>
      </c>
      <c r="C961" s="51">
        <f>MONTH(BDRIOSJ[[#This Row],[FECHA]])</f>
        <v>3</v>
      </c>
      <c r="D961" s="50" t="s">
        <v>358</v>
      </c>
      <c r="E961" s="49" t="s">
        <v>115</v>
      </c>
      <c r="F961" s="65">
        <v>163.36789999999999</v>
      </c>
    </row>
    <row r="962" spans="2:6" hidden="1" x14ac:dyDescent="0.25">
      <c r="B962" s="51">
        <f>YEAR(BDRIOSJ[[#This Row],[FECHA]])</f>
        <v>2024</v>
      </c>
      <c r="C962" s="51">
        <f>MONTH(BDRIOSJ[[#This Row],[FECHA]])</f>
        <v>3</v>
      </c>
      <c r="D962" s="50" t="s">
        <v>358</v>
      </c>
      <c r="E962" s="49" t="s">
        <v>114</v>
      </c>
      <c r="F962" s="65">
        <v>218.114</v>
      </c>
    </row>
    <row r="963" spans="2:6" hidden="1" x14ac:dyDescent="0.25">
      <c r="B963" s="51">
        <f>YEAR(BDRIOSJ[[#This Row],[FECHA]])</f>
        <v>2024</v>
      </c>
      <c r="C963" s="51">
        <f>MONTH(BDRIOSJ[[#This Row],[FECHA]])</f>
        <v>3</v>
      </c>
      <c r="D963" s="50" t="s">
        <v>358</v>
      </c>
      <c r="E963" s="49" t="s">
        <v>113</v>
      </c>
      <c r="F963" s="65">
        <v>218.114</v>
      </c>
    </row>
    <row r="964" spans="2:6" hidden="1" x14ac:dyDescent="0.25">
      <c r="B964" s="51">
        <f>YEAR(BDRIOSJ[[#This Row],[FECHA]])</f>
        <v>2024</v>
      </c>
      <c r="C964" s="51">
        <f>MONTH(BDRIOSJ[[#This Row],[FECHA]])</f>
        <v>3</v>
      </c>
      <c r="D964" s="50" t="s">
        <v>358</v>
      </c>
      <c r="E964" s="49" t="s">
        <v>111</v>
      </c>
      <c r="F964" s="65">
        <v>247.50059999999999</v>
      </c>
    </row>
    <row r="965" spans="2:6" hidden="1" x14ac:dyDescent="0.25">
      <c r="B965" s="51">
        <f>YEAR(BDRIOSJ[[#This Row],[FECHA]])</f>
        <v>2024</v>
      </c>
      <c r="C965" s="51">
        <f>MONTH(BDRIOSJ[[#This Row],[FECHA]])</f>
        <v>3</v>
      </c>
      <c r="D965" s="50" t="s">
        <v>359</v>
      </c>
      <c r="E965" s="49" t="s">
        <v>115</v>
      </c>
      <c r="F965" s="65">
        <v>168.6009</v>
      </c>
    </row>
    <row r="966" spans="2:6" hidden="1" x14ac:dyDescent="0.25">
      <c r="B966" s="51">
        <f>YEAR(BDRIOSJ[[#This Row],[FECHA]])</f>
        <v>2024</v>
      </c>
      <c r="C966" s="51">
        <f>MONTH(BDRIOSJ[[#This Row],[FECHA]])</f>
        <v>3</v>
      </c>
      <c r="D966" s="50" t="s">
        <v>359</v>
      </c>
      <c r="E966" s="49" t="s">
        <v>114</v>
      </c>
      <c r="F966" s="65">
        <v>179.22790000000001</v>
      </c>
    </row>
    <row r="967" spans="2:6" hidden="1" x14ac:dyDescent="0.25">
      <c r="B967" s="51">
        <f>YEAR(BDRIOSJ[[#This Row],[FECHA]])</f>
        <v>2024</v>
      </c>
      <c r="C967" s="51">
        <f>MONTH(BDRIOSJ[[#This Row],[FECHA]])</f>
        <v>3</v>
      </c>
      <c r="D967" s="50" t="s">
        <v>359</v>
      </c>
      <c r="E967" s="49" t="s">
        <v>113</v>
      </c>
      <c r="F967" s="65">
        <v>179.22790000000001</v>
      </c>
    </row>
    <row r="968" spans="2:6" hidden="1" x14ac:dyDescent="0.25">
      <c r="B968" s="51">
        <f>YEAR(BDRIOSJ[[#This Row],[FECHA]])</f>
        <v>2024</v>
      </c>
      <c r="C968" s="51">
        <f>MONTH(BDRIOSJ[[#This Row],[FECHA]])</f>
        <v>3</v>
      </c>
      <c r="D968" s="50" t="s">
        <v>359</v>
      </c>
      <c r="E968" s="49" t="s">
        <v>111</v>
      </c>
      <c r="F968" s="65">
        <v>195.5712</v>
      </c>
    </row>
    <row r="969" spans="2:6" hidden="1" x14ac:dyDescent="0.25">
      <c r="B969" s="51">
        <f>YEAR(BDRIOSJ[[#This Row],[FECHA]])</f>
        <v>2024</v>
      </c>
      <c r="C969" s="51">
        <f>MONTH(BDRIOSJ[[#This Row],[FECHA]])</f>
        <v>3</v>
      </c>
      <c r="D969" s="50" t="s">
        <v>360</v>
      </c>
      <c r="E969" s="49" t="s">
        <v>115</v>
      </c>
      <c r="F969" s="65">
        <v>91.316299999999998</v>
      </c>
    </row>
    <row r="970" spans="2:6" hidden="1" x14ac:dyDescent="0.25">
      <c r="B970" s="51">
        <f>YEAR(BDRIOSJ[[#This Row],[FECHA]])</f>
        <v>2024</v>
      </c>
      <c r="C970" s="51">
        <f>MONTH(BDRIOSJ[[#This Row],[FECHA]])</f>
        <v>3</v>
      </c>
      <c r="D970" s="50" t="s">
        <v>360</v>
      </c>
      <c r="E970" s="49" t="s">
        <v>114</v>
      </c>
      <c r="F970" s="65">
        <v>91.316299999999998</v>
      </c>
    </row>
    <row r="971" spans="2:6" hidden="1" x14ac:dyDescent="0.25">
      <c r="B971" s="51">
        <f>YEAR(BDRIOSJ[[#This Row],[FECHA]])</f>
        <v>2024</v>
      </c>
      <c r="C971" s="51">
        <f>MONTH(BDRIOSJ[[#This Row],[FECHA]])</f>
        <v>3</v>
      </c>
      <c r="D971" s="50" t="s">
        <v>360</v>
      </c>
      <c r="E971" s="49" t="s">
        <v>113</v>
      </c>
      <c r="F971" s="65">
        <v>91.316299999999998</v>
      </c>
    </row>
    <row r="972" spans="2:6" hidden="1" x14ac:dyDescent="0.25">
      <c r="B972" s="51">
        <f>YEAR(BDRIOSJ[[#This Row],[FECHA]])</f>
        <v>2024</v>
      </c>
      <c r="C972" s="51">
        <f>MONTH(BDRIOSJ[[#This Row],[FECHA]])</f>
        <v>3</v>
      </c>
      <c r="D972" s="50" t="s">
        <v>360</v>
      </c>
      <c r="E972" s="49" t="s">
        <v>111</v>
      </c>
      <c r="F972" s="65">
        <v>91.316299999999998</v>
      </c>
    </row>
    <row r="973" spans="2:6" hidden="1" x14ac:dyDescent="0.25">
      <c r="B973" s="51">
        <f>YEAR(BDRIOSJ[[#This Row],[FECHA]])</f>
        <v>2024</v>
      </c>
      <c r="C973" s="51">
        <f>MONTH(BDRIOSJ[[#This Row],[FECHA]])</f>
        <v>3</v>
      </c>
      <c r="D973" s="50" t="s">
        <v>361</v>
      </c>
      <c r="E973" s="49" t="s">
        <v>115</v>
      </c>
      <c r="F973" s="65">
        <v>218.114</v>
      </c>
    </row>
    <row r="974" spans="2:6" hidden="1" x14ac:dyDescent="0.25">
      <c r="B974" s="51">
        <f>YEAR(BDRIOSJ[[#This Row],[FECHA]])</f>
        <v>2024</v>
      </c>
      <c r="C974" s="51">
        <f>MONTH(BDRIOSJ[[#This Row],[FECHA]])</f>
        <v>3</v>
      </c>
      <c r="D974" s="50" t="s">
        <v>361</v>
      </c>
      <c r="E974" s="49" t="s">
        <v>114</v>
      </c>
      <c r="F974" s="65">
        <v>247.50059999999999</v>
      </c>
    </row>
    <row r="975" spans="2:6" hidden="1" x14ac:dyDescent="0.25">
      <c r="B975" s="51">
        <f>YEAR(BDRIOSJ[[#This Row],[FECHA]])</f>
        <v>2024</v>
      </c>
      <c r="C975" s="51">
        <f>MONTH(BDRIOSJ[[#This Row],[FECHA]])</f>
        <v>3</v>
      </c>
      <c r="D975" s="50" t="s">
        <v>361</v>
      </c>
      <c r="E975" s="49" t="s">
        <v>113</v>
      </c>
      <c r="F975" s="65">
        <v>247.50059999999999</v>
      </c>
    </row>
    <row r="976" spans="2:6" hidden="1" x14ac:dyDescent="0.25">
      <c r="B976" s="51">
        <f>YEAR(BDRIOSJ[[#This Row],[FECHA]])</f>
        <v>2024</v>
      </c>
      <c r="C976" s="51">
        <f>MONTH(BDRIOSJ[[#This Row],[FECHA]])</f>
        <v>3</v>
      </c>
      <c r="D976" s="50" t="s">
        <v>361</v>
      </c>
      <c r="E976" s="49" t="s">
        <v>111</v>
      </c>
      <c r="F976" s="65">
        <v>247.50059999999999</v>
      </c>
    </row>
    <row r="977" spans="2:6" hidden="1" x14ac:dyDescent="0.25">
      <c r="B977" s="51">
        <f>YEAR(BDRIOSJ[[#This Row],[FECHA]])</f>
        <v>2024</v>
      </c>
      <c r="C977" s="51">
        <f>MONTH(BDRIOSJ[[#This Row],[FECHA]])</f>
        <v>3</v>
      </c>
      <c r="D977" s="50" t="s">
        <v>362</v>
      </c>
      <c r="E977" s="49" t="s">
        <v>115</v>
      </c>
      <c r="F977" s="65">
        <v>218.114</v>
      </c>
    </row>
    <row r="978" spans="2:6" hidden="1" x14ac:dyDescent="0.25">
      <c r="B978" s="51">
        <f>YEAR(BDRIOSJ[[#This Row],[FECHA]])</f>
        <v>2024</v>
      </c>
      <c r="C978" s="51">
        <f>MONTH(BDRIOSJ[[#This Row],[FECHA]])</f>
        <v>3</v>
      </c>
      <c r="D978" s="50" t="s">
        <v>362</v>
      </c>
      <c r="E978" s="49" t="s">
        <v>114</v>
      </c>
      <c r="F978" s="65">
        <v>247.50059999999999</v>
      </c>
    </row>
    <row r="979" spans="2:6" hidden="1" x14ac:dyDescent="0.25">
      <c r="B979" s="51">
        <f>YEAR(BDRIOSJ[[#This Row],[FECHA]])</f>
        <v>2024</v>
      </c>
      <c r="C979" s="51">
        <f>MONTH(BDRIOSJ[[#This Row],[FECHA]])</f>
        <v>3</v>
      </c>
      <c r="D979" s="50" t="s">
        <v>362</v>
      </c>
      <c r="E979" s="49" t="s">
        <v>113</v>
      </c>
      <c r="F979" s="65">
        <v>218.114</v>
      </c>
    </row>
    <row r="980" spans="2:6" hidden="1" x14ac:dyDescent="0.25">
      <c r="B980" s="51">
        <f>YEAR(BDRIOSJ[[#This Row],[FECHA]])</f>
        <v>2024</v>
      </c>
      <c r="C980" s="51">
        <f>MONTH(BDRIOSJ[[#This Row],[FECHA]])</f>
        <v>3</v>
      </c>
      <c r="D980" s="50" t="s">
        <v>362</v>
      </c>
      <c r="E980" s="49" t="s">
        <v>111</v>
      </c>
      <c r="F980" s="65">
        <v>218.114</v>
      </c>
    </row>
    <row r="981" spans="2:6" hidden="1" x14ac:dyDescent="0.25">
      <c r="B981" s="51">
        <f>YEAR(BDRIOSJ[[#This Row],[FECHA]])</f>
        <v>2024</v>
      </c>
      <c r="C981" s="51">
        <f>MONTH(BDRIOSJ[[#This Row],[FECHA]])</f>
        <v>3</v>
      </c>
      <c r="D981" s="50" t="s">
        <v>363</v>
      </c>
      <c r="E981" s="49" t="s">
        <v>115</v>
      </c>
      <c r="F981" s="65">
        <v>190.06979999999999</v>
      </c>
    </row>
    <row r="982" spans="2:6" hidden="1" x14ac:dyDescent="0.25">
      <c r="B982" s="51">
        <f>YEAR(BDRIOSJ[[#This Row],[FECHA]])</f>
        <v>2024</v>
      </c>
      <c r="C982" s="51">
        <f>MONTH(BDRIOSJ[[#This Row],[FECHA]])</f>
        <v>3</v>
      </c>
      <c r="D982" s="50" t="s">
        <v>363</v>
      </c>
      <c r="E982" s="49" t="s">
        <v>114</v>
      </c>
      <c r="F982" s="65">
        <v>218.114</v>
      </c>
    </row>
    <row r="983" spans="2:6" hidden="1" x14ac:dyDescent="0.25">
      <c r="B983" s="51">
        <f>YEAR(BDRIOSJ[[#This Row],[FECHA]])</f>
        <v>2024</v>
      </c>
      <c r="C983" s="51">
        <f>MONTH(BDRIOSJ[[#This Row],[FECHA]])</f>
        <v>3</v>
      </c>
      <c r="D983" s="50" t="s">
        <v>363</v>
      </c>
      <c r="E983" s="49" t="s">
        <v>113</v>
      </c>
      <c r="F983" s="65">
        <v>218.114</v>
      </c>
    </row>
    <row r="984" spans="2:6" hidden="1" x14ac:dyDescent="0.25">
      <c r="B984" s="51">
        <f>YEAR(BDRIOSJ[[#This Row],[FECHA]])</f>
        <v>2024</v>
      </c>
      <c r="C984" s="51">
        <f>MONTH(BDRIOSJ[[#This Row],[FECHA]])</f>
        <v>3</v>
      </c>
      <c r="D984" s="50" t="s">
        <v>363</v>
      </c>
      <c r="E984" s="49" t="s">
        <v>111</v>
      </c>
      <c r="F984" s="65">
        <v>195.5712</v>
      </c>
    </row>
    <row r="985" spans="2:6" hidden="1" x14ac:dyDescent="0.25">
      <c r="B985" s="51">
        <f>YEAR(BDRIOSJ[[#This Row],[FECHA]])</f>
        <v>2024</v>
      </c>
      <c r="C985" s="51">
        <f>MONTH(BDRIOSJ[[#This Row],[FECHA]])</f>
        <v>3</v>
      </c>
      <c r="D985" s="50" t="s">
        <v>364</v>
      </c>
      <c r="E985" s="49" t="s">
        <v>115</v>
      </c>
      <c r="F985" s="65">
        <v>190.06979999999999</v>
      </c>
    </row>
    <row r="986" spans="2:6" hidden="1" x14ac:dyDescent="0.25">
      <c r="B986" s="51">
        <f>YEAR(BDRIOSJ[[#This Row],[FECHA]])</f>
        <v>2024</v>
      </c>
      <c r="C986" s="51">
        <f>MONTH(BDRIOSJ[[#This Row],[FECHA]])</f>
        <v>3</v>
      </c>
      <c r="D986" s="50" t="s">
        <v>364</v>
      </c>
      <c r="E986" s="49" t="s">
        <v>114</v>
      </c>
      <c r="F986" s="65">
        <v>195.5712</v>
      </c>
    </row>
    <row r="987" spans="2:6" hidden="1" x14ac:dyDescent="0.25">
      <c r="B987" s="51">
        <f>YEAR(BDRIOSJ[[#This Row],[FECHA]])</f>
        <v>2024</v>
      </c>
      <c r="C987" s="51">
        <f>MONTH(BDRIOSJ[[#This Row],[FECHA]])</f>
        <v>3</v>
      </c>
      <c r="D987" s="50" t="s">
        <v>364</v>
      </c>
      <c r="E987" s="49" t="s">
        <v>113</v>
      </c>
      <c r="F987" s="65">
        <v>190.06979999999999</v>
      </c>
    </row>
    <row r="988" spans="2:6" hidden="1" x14ac:dyDescent="0.25">
      <c r="B988" s="51">
        <f>YEAR(BDRIOSJ[[#This Row],[FECHA]])</f>
        <v>2024</v>
      </c>
      <c r="C988" s="51">
        <f>MONTH(BDRIOSJ[[#This Row],[FECHA]])</f>
        <v>3</v>
      </c>
      <c r="D988" s="50" t="s">
        <v>364</v>
      </c>
      <c r="E988" s="49" t="s">
        <v>111</v>
      </c>
      <c r="F988" s="65">
        <v>190.06979999999999</v>
      </c>
    </row>
    <row r="989" spans="2:6" hidden="1" x14ac:dyDescent="0.25">
      <c r="B989" s="51">
        <f>YEAR(BDRIOSJ[[#This Row],[FECHA]])</f>
        <v>2024</v>
      </c>
      <c r="C989" s="51">
        <f>MONTH(BDRIOSJ[[#This Row],[FECHA]])</f>
        <v>3</v>
      </c>
      <c r="D989" s="50" t="s">
        <v>365</v>
      </c>
      <c r="E989" s="49" t="s">
        <v>115</v>
      </c>
      <c r="F989" s="65">
        <v>138.00829999999999</v>
      </c>
    </row>
    <row r="990" spans="2:6" hidden="1" x14ac:dyDescent="0.25">
      <c r="B990" s="51">
        <f>YEAR(BDRIOSJ[[#This Row],[FECHA]])</f>
        <v>2024</v>
      </c>
      <c r="C990" s="51">
        <f>MONTH(BDRIOSJ[[#This Row],[FECHA]])</f>
        <v>3</v>
      </c>
      <c r="D990" s="50" t="s">
        <v>365</v>
      </c>
      <c r="E990" s="49" t="s">
        <v>114</v>
      </c>
      <c r="F990" s="65">
        <v>113.9911</v>
      </c>
    </row>
    <row r="991" spans="2:6" hidden="1" x14ac:dyDescent="0.25">
      <c r="B991" s="51">
        <f>YEAR(BDRIOSJ[[#This Row],[FECHA]])</f>
        <v>2024</v>
      </c>
      <c r="C991" s="51">
        <f>MONTH(BDRIOSJ[[#This Row],[FECHA]])</f>
        <v>3</v>
      </c>
      <c r="D991" s="50" t="s">
        <v>365</v>
      </c>
      <c r="E991" s="49" t="s">
        <v>113</v>
      </c>
      <c r="F991" s="65">
        <v>113.9911</v>
      </c>
    </row>
    <row r="992" spans="2:6" hidden="1" x14ac:dyDescent="0.25">
      <c r="B992" s="51">
        <f>YEAR(BDRIOSJ[[#This Row],[FECHA]])</f>
        <v>2024</v>
      </c>
      <c r="C992" s="51">
        <f>MONTH(BDRIOSJ[[#This Row],[FECHA]])</f>
        <v>3</v>
      </c>
      <c r="D992" s="50" t="s">
        <v>365</v>
      </c>
      <c r="E992" s="49" t="s">
        <v>111</v>
      </c>
      <c r="F992" s="65">
        <v>113.9911</v>
      </c>
    </row>
    <row r="993" spans="2:6" hidden="1" x14ac:dyDescent="0.25">
      <c r="B993" s="51">
        <f>YEAR(BDRIOSJ[[#This Row],[FECHA]])</f>
        <v>2024</v>
      </c>
      <c r="C993" s="51">
        <f>MONTH(BDRIOSJ[[#This Row],[FECHA]])</f>
        <v>3</v>
      </c>
      <c r="D993" s="50" t="s">
        <v>366</v>
      </c>
      <c r="E993" s="49" t="s">
        <v>115</v>
      </c>
      <c r="F993" s="65">
        <v>138.00829999999999</v>
      </c>
    </row>
    <row r="994" spans="2:6" hidden="1" x14ac:dyDescent="0.25">
      <c r="B994" s="51">
        <f>YEAR(BDRIOSJ[[#This Row],[FECHA]])</f>
        <v>2024</v>
      </c>
      <c r="C994" s="51">
        <f>MONTH(BDRIOSJ[[#This Row],[FECHA]])</f>
        <v>3</v>
      </c>
      <c r="D994" s="50" t="s">
        <v>366</v>
      </c>
      <c r="E994" s="49" t="s">
        <v>114</v>
      </c>
      <c r="F994" s="65">
        <v>158.18860000000001</v>
      </c>
    </row>
    <row r="995" spans="2:6" hidden="1" x14ac:dyDescent="0.25">
      <c r="B995" s="51">
        <f>YEAR(BDRIOSJ[[#This Row],[FECHA]])</f>
        <v>2024</v>
      </c>
      <c r="C995" s="51">
        <f>MONTH(BDRIOSJ[[#This Row],[FECHA]])</f>
        <v>3</v>
      </c>
      <c r="D995" s="50" t="s">
        <v>366</v>
      </c>
      <c r="E995" s="49" t="s">
        <v>113</v>
      </c>
      <c r="F995" s="65">
        <v>158.18860000000001</v>
      </c>
    </row>
    <row r="996" spans="2:6" hidden="1" x14ac:dyDescent="0.25">
      <c r="B996" s="51">
        <f>YEAR(BDRIOSJ[[#This Row],[FECHA]])</f>
        <v>2024</v>
      </c>
      <c r="C996" s="51">
        <f>MONTH(BDRIOSJ[[#This Row],[FECHA]])</f>
        <v>3</v>
      </c>
      <c r="D996" s="50" t="s">
        <v>366</v>
      </c>
      <c r="E996" s="49" t="s">
        <v>111</v>
      </c>
      <c r="F996" s="65">
        <v>218.114</v>
      </c>
    </row>
    <row r="997" spans="2:6" hidden="1" x14ac:dyDescent="0.25">
      <c r="B997" s="51">
        <f>YEAR(BDRIOSJ[[#This Row],[FECHA]])</f>
        <v>2024</v>
      </c>
      <c r="C997" s="51">
        <f>MONTH(BDRIOSJ[[#This Row],[FECHA]])</f>
        <v>3</v>
      </c>
      <c r="D997" s="50" t="s">
        <v>367</v>
      </c>
      <c r="E997" s="49" t="s">
        <v>115</v>
      </c>
      <c r="F997" s="65">
        <v>138.00829999999999</v>
      </c>
    </row>
    <row r="998" spans="2:6" hidden="1" x14ac:dyDescent="0.25">
      <c r="B998" s="51">
        <f>YEAR(BDRIOSJ[[#This Row],[FECHA]])</f>
        <v>2024</v>
      </c>
      <c r="C998" s="51">
        <f>MONTH(BDRIOSJ[[#This Row],[FECHA]])</f>
        <v>3</v>
      </c>
      <c r="D998" s="50" t="s">
        <v>367</v>
      </c>
      <c r="E998" s="49" t="s">
        <v>114</v>
      </c>
      <c r="F998" s="65">
        <v>138.00829999999999</v>
      </c>
    </row>
    <row r="999" spans="2:6" hidden="1" x14ac:dyDescent="0.25">
      <c r="B999" s="51">
        <f>YEAR(BDRIOSJ[[#This Row],[FECHA]])</f>
        <v>2024</v>
      </c>
      <c r="C999" s="51">
        <f>MONTH(BDRIOSJ[[#This Row],[FECHA]])</f>
        <v>3</v>
      </c>
      <c r="D999" s="50" t="s">
        <v>367</v>
      </c>
      <c r="E999" s="49" t="s">
        <v>113</v>
      </c>
      <c r="F999" s="65">
        <v>138.00829999999999</v>
      </c>
    </row>
    <row r="1000" spans="2:6" hidden="1" x14ac:dyDescent="0.25">
      <c r="B1000" s="51">
        <f>YEAR(BDRIOSJ[[#This Row],[FECHA]])</f>
        <v>2024</v>
      </c>
      <c r="C1000" s="51">
        <f>MONTH(BDRIOSJ[[#This Row],[FECHA]])</f>
        <v>3</v>
      </c>
      <c r="D1000" s="50" t="s">
        <v>367</v>
      </c>
      <c r="E1000" s="49" t="s">
        <v>111</v>
      </c>
      <c r="F1000" s="65">
        <v>138.00829999999999</v>
      </c>
    </row>
    <row r="1001" spans="2:6" hidden="1" x14ac:dyDescent="0.25">
      <c r="B1001" s="51">
        <f>YEAR(BDRIOSJ[[#This Row],[FECHA]])</f>
        <v>2024</v>
      </c>
      <c r="C1001" s="51">
        <f>MONTH(BDRIOSJ[[#This Row],[FECHA]])</f>
        <v>3</v>
      </c>
      <c r="D1001" s="50" t="s">
        <v>368</v>
      </c>
      <c r="E1001" s="49" t="s">
        <v>115</v>
      </c>
      <c r="F1001" s="65">
        <v>142.97290000000001</v>
      </c>
    </row>
    <row r="1002" spans="2:6" hidden="1" x14ac:dyDescent="0.25">
      <c r="B1002" s="51">
        <f>YEAR(BDRIOSJ[[#This Row],[FECHA]])</f>
        <v>2024</v>
      </c>
      <c r="C1002" s="51">
        <f>MONTH(BDRIOSJ[[#This Row],[FECHA]])</f>
        <v>3</v>
      </c>
      <c r="D1002" s="50" t="s">
        <v>368</v>
      </c>
      <c r="E1002" s="49" t="s">
        <v>114</v>
      </c>
      <c r="F1002" s="65">
        <v>138.00829999999999</v>
      </c>
    </row>
    <row r="1003" spans="2:6" hidden="1" x14ac:dyDescent="0.25">
      <c r="B1003" s="51">
        <f>YEAR(BDRIOSJ[[#This Row],[FECHA]])</f>
        <v>2024</v>
      </c>
      <c r="C1003" s="51">
        <f>MONTH(BDRIOSJ[[#This Row],[FECHA]])</f>
        <v>3</v>
      </c>
      <c r="D1003" s="50" t="s">
        <v>368</v>
      </c>
      <c r="E1003" s="49" t="s">
        <v>113</v>
      </c>
      <c r="F1003" s="65">
        <v>138.00829999999999</v>
      </c>
    </row>
    <row r="1004" spans="2:6" hidden="1" x14ac:dyDescent="0.25">
      <c r="B1004" s="51">
        <f>YEAR(BDRIOSJ[[#This Row],[FECHA]])</f>
        <v>2024</v>
      </c>
      <c r="C1004" s="51">
        <f>MONTH(BDRIOSJ[[#This Row],[FECHA]])</f>
        <v>3</v>
      </c>
      <c r="D1004" s="50" t="s">
        <v>368</v>
      </c>
      <c r="E1004" s="49" t="s">
        <v>111</v>
      </c>
      <c r="F1004" s="65">
        <v>138.00829999999999</v>
      </c>
    </row>
    <row r="1005" spans="2:6" hidden="1" x14ac:dyDescent="0.25">
      <c r="B1005" s="51">
        <f>YEAR(BDRIOSJ[[#This Row],[FECHA]])</f>
        <v>2024</v>
      </c>
      <c r="C1005" s="51">
        <f>MONTH(BDRIOSJ[[#This Row],[FECHA]])</f>
        <v>3</v>
      </c>
      <c r="D1005" s="50" t="s">
        <v>369</v>
      </c>
      <c r="E1005" s="49" t="s">
        <v>115</v>
      </c>
      <c r="F1005" s="65">
        <v>138.00829999999999</v>
      </c>
    </row>
    <row r="1006" spans="2:6" hidden="1" x14ac:dyDescent="0.25">
      <c r="B1006" s="51">
        <f>YEAR(BDRIOSJ[[#This Row],[FECHA]])</f>
        <v>2024</v>
      </c>
      <c r="C1006" s="51">
        <f>MONTH(BDRIOSJ[[#This Row],[FECHA]])</f>
        <v>3</v>
      </c>
      <c r="D1006" s="50" t="s">
        <v>369</v>
      </c>
      <c r="E1006" s="49" t="s">
        <v>114</v>
      </c>
      <c r="F1006" s="65">
        <v>138.00829999999999</v>
      </c>
    </row>
    <row r="1007" spans="2:6" hidden="1" x14ac:dyDescent="0.25">
      <c r="B1007" s="51">
        <f>YEAR(BDRIOSJ[[#This Row],[FECHA]])</f>
        <v>2024</v>
      </c>
      <c r="C1007" s="51">
        <f>MONTH(BDRIOSJ[[#This Row],[FECHA]])</f>
        <v>3</v>
      </c>
      <c r="D1007" s="50" t="s">
        <v>369</v>
      </c>
      <c r="E1007" s="49" t="s">
        <v>113</v>
      </c>
      <c r="F1007" s="65">
        <v>138.00829999999999</v>
      </c>
    </row>
    <row r="1008" spans="2:6" hidden="1" x14ac:dyDescent="0.25">
      <c r="B1008" s="51">
        <f>YEAR(BDRIOSJ[[#This Row],[FECHA]])</f>
        <v>2024</v>
      </c>
      <c r="C1008" s="51">
        <f>MONTH(BDRIOSJ[[#This Row],[FECHA]])</f>
        <v>3</v>
      </c>
      <c r="D1008" s="50" t="s">
        <v>369</v>
      </c>
      <c r="E1008" s="49" t="s">
        <v>111</v>
      </c>
      <c r="F1008" s="65">
        <v>138.00829999999999</v>
      </c>
    </row>
    <row r="1009" spans="2:6" hidden="1" x14ac:dyDescent="0.25">
      <c r="B1009" s="51">
        <f>YEAR(BDRIOSJ[[#This Row],[FECHA]])</f>
        <v>2024</v>
      </c>
      <c r="C1009" s="51">
        <f>MONTH(BDRIOSJ[[#This Row],[FECHA]])</f>
        <v>3</v>
      </c>
      <c r="D1009" s="50" t="s">
        <v>370</v>
      </c>
      <c r="E1009" s="49" t="s">
        <v>115</v>
      </c>
      <c r="F1009" s="65">
        <v>138.00829999999999</v>
      </c>
    </row>
    <row r="1010" spans="2:6" hidden="1" x14ac:dyDescent="0.25">
      <c r="B1010" s="51">
        <f>YEAR(BDRIOSJ[[#This Row],[FECHA]])</f>
        <v>2024</v>
      </c>
      <c r="C1010" s="51">
        <f>MONTH(BDRIOSJ[[#This Row],[FECHA]])</f>
        <v>3</v>
      </c>
      <c r="D1010" s="50" t="s">
        <v>370</v>
      </c>
      <c r="E1010" s="49" t="s">
        <v>114</v>
      </c>
      <c r="F1010" s="65">
        <v>138.00829999999999</v>
      </c>
    </row>
    <row r="1011" spans="2:6" hidden="1" x14ac:dyDescent="0.25">
      <c r="B1011" s="51">
        <f>YEAR(BDRIOSJ[[#This Row],[FECHA]])</f>
        <v>2024</v>
      </c>
      <c r="C1011" s="51">
        <f>MONTH(BDRIOSJ[[#This Row],[FECHA]])</f>
        <v>3</v>
      </c>
      <c r="D1011" s="50" t="s">
        <v>370</v>
      </c>
      <c r="E1011" s="49" t="s">
        <v>113</v>
      </c>
      <c r="F1011" s="65">
        <v>138.00829999999999</v>
      </c>
    </row>
    <row r="1012" spans="2:6" hidden="1" x14ac:dyDescent="0.25">
      <c r="B1012" s="51">
        <f>YEAR(BDRIOSJ[[#This Row],[FECHA]])</f>
        <v>2024</v>
      </c>
      <c r="C1012" s="51">
        <f>MONTH(BDRIOSJ[[#This Row],[FECHA]])</f>
        <v>3</v>
      </c>
      <c r="D1012" s="50" t="s">
        <v>370</v>
      </c>
      <c r="E1012" s="49" t="s">
        <v>111</v>
      </c>
      <c r="F1012" s="65">
        <v>142.97290000000001</v>
      </c>
    </row>
    <row r="1013" spans="2:6" hidden="1" x14ac:dyDescent="0.25">
      <c r="B1013" s="51">
        <f>YEAR(BDRIOSJ[[#This Row],[FECHA]])</f>
        <v>2024</v>
      </c>
      <c r="C1013" s="51">
        <f>MONTH(BDRIOSJ[[#This Row],[FECHA]])</f>
        <v>3</v>
      </c>
      <c r="D1013" s="50" t="s">
        <v>371</v>
      </c>
      <c r="E1013" s="49" t="s">
        <v>115</v>
      </c>
      <c r="F1013" s="65">
        <v>133.0975</v>
      </c>
    </row>
    <row r="1014" spans="2:6" hidden="1" x14ac:dyDescent="0.25">
      <c r="B1014" s="51">
        <f>YEAR(BDRIOSJ[[#This Row],[FECHA]])</f>
        <v>2024</v>
      </c>
      <c r="C1014" s="51">
        <f>MONTH(BDRIOSJ[[#This Row],[FECHA]])</f>
        <v>3</v>
      </c>
      <c r="D1014" s="50" t="s">
        <v>371</v>
      </c>
      <c r="E1014" s="49" t="s">
        <v>114</v>
      </c>
      <c r="F1014" s="65">
        <v>138.00829999999999</v>
      </c>
    </row>
    <row r="1015" spans="2:6" hidden="1" x14ac:dyDescent="0.25">
      <c r="B1015" s="51">
        <f>YEAR(BDRIOSJ[[#This Row],[FECHA]])</f>
        <v>2024</v>
      </c>
      <c r="C1015" s="51">
        <f>MONTH(BDRIOSJ[[#This Row],[FECHA]])</f>
        <v>3</v>
      </c>
      <c r="D1015" s="50" t="s">
        <v>371</v>
      </c>
      <c r="E1015" s="49" t="s">
        <v>113</v>
      </c>
      <c r="F1015" s="65">
        <v>138.00829999999999</v>
      </c>
    </row>
    <row r="1016" spans="2:6" hidden="1" x14ac:dyDescent="0.25">
      <c r="B1016" s="51">
        <f>YEAR(BDRIOSJ[[#This Row],[FECHA]])</f>
        <v>2024</v>
      </c>
      <c r="C1016" s="51">
        <f>MONTH(BDRIOSJ[[#This Row],[FECHA]])</f>
        <v>3</v>
      </c>
      <c r="D1016" s="50" t="s">
        <v>371</v>
      </c>
      <c r="E1016" s="49" t="s">
        <v>111</v>
      </c>
      <c r="F1016" s="65">
        <v>138.00829999999999</v>
      </c>
    </row>
    <row r="1017" spans="2:6" hidden="1" x14ac:dyDescent="0.25">
      <c r="B1017" s="51">
        <f>YEAR(BDRIOSJ[[#This Row],[FECHA]])</f>
        <v>2024</v>
      </c>
      <c r="C1017" s="51">
        <f>MONTH(BDRIOSJ[[#This Row],[FECHA]])</f>
        <v>3</v>
      </c>
      <c r="D1017" s="50" t="s">
        <v>372</v>
      </c>
      <c r="E1017" s="49" t="s">
        <v>115</v>
      </c>
      <c r="F1017" s="65">
        <v>109.3488</v>
      </c>
    </row>
    <row r="1018" spans="2:6" hidden="1" x14ac:dyDescent="0.25">
      <c r="B1018" s="51">
        <f>YEAR(BDRIOSJ[[#This Row],[FECHA]])</f>
        <v>2024</v>
      </c>
      <c r="C1018" s="51">
        <f>MONTH(BDRIOSJ[[#This Row],[FECHA]])</f>
        <v>3</v>
      </c>
      <c r="D1018" s="50" t="s">
        <v>372</v>
      </c>
      <c r="E1018" s="49" t="s">
        <v>114</v>
      </c>
      <c r="F1018" s="65">
        <v>113.9911</v>
      </c>
    </row>
    <row r="1019" spans="2:6" hidden="1" x14ac:dyDescent="0.25">
      <c r="B1019" s="51">
        <f>YEAR(BDRIOSJ[[#This Row],[FECHA]])</f>
        <v>2024</v>
      </c>
      <c r="C1019" s="51">
        <f>MONTH(BDRIOSJ[[#This Row],[FECHA]])</f>
        <v>3</v>
      </c>
      <c r="D1019" s="50" t="s">
        <v>372</v>
      </c>
      <c r="E1019" s="49" t="s">
        <v>113</v>
      </c>
      <c r="F1019" s="65">
        <v>113.9911</v>
      </c>
    </row>
    <row r="1020" spans="2:6" hidden="1" x14ac:dyDescent="0.25">
      <c r="B1020" s="51">
        <f>YEAR(BDRIOSJ[[#This Row],[FECHA]])</f>
        <v>2024</v>
      </c>
      <c r="C1020" s="51">
        <f>MONTH(BDRIOSJ[[#This Row],[FECHA]])</f>
        <v>3</v>
      </c>
      <c r="D1020" s="50" t="s">
        <v>372</v>
      </c>
      <c r="E1020" s="49" t="s">
        <v>111</v>
      </c>
      <c r="F1020" s="65">
        <v>113.9911</v>
      </c>
    </row>
    <row r="1021" spans="2:6" hidden="1" x14ac:dyDescent="0.25">
      <c r="B1021" s="51">
        <f>YEAR(BDRIOSJ[[#This Row],[FECHA]])</f>
        <v>2024</v>
      </c>
      <c r="C1021" s="51">
        <f>MONTH(BDRIOSJ[[#This Row],[FECHA]])</f>
        <v>3</v>
      </c>
      <c r="D1021" s="50" t="s">
        <v>373</v>
      </c>
      <c r="E1021" s="49" t="s">
        <v>115</v>
      </c>
      <c r="F1021" s="65">
        <v>118.6872</v>
      </c>
    </row>
    <row r="1022" spans="2:6" hidden="1" x14ac:dyDescent="0.25">
      <c r="B1022" s="51">
        <f>YEAR(BDRIOSJ[[#This Row],[FECHA]])</f>
        <v>2024</v>
      </c>
      <c r="C1022" s="51">
        <f>MONTH(BDRIOSJ[[#This Row],[FECHA]])</f>
        <v>3</v>
      </c>
      <c r="D1022" s="50" t="s">
        <v>373</v>
      </c>
      <c r="E1022" s="49" t="s">
        <v>114</v>
      </c>
      <c r="F1022" s="65">
        <v>118.6872</v>
      </c>
    </row>
    <row r="1023" spans="2:6" hidden="1" x14ac:dyDescent="0.25">
      <c r="B1023" s="51">
        <f>YEAR(BDRIOSJ[[#This Row],[FECHA]])</f>
        <v>2024</v>
      </c>
      <c r="C1023" s="51">
        <f>MONTH(BDRIOSJ[[#This Row],[FECHA]])</f>
        <v>3</v>
      </c>
      <c r="D1023" s="50" t="s">
        <v>373</v>
      </c>
      <c r="E1023" s="49" t="s">
        <v>113</v>
      </c>
      <c r="F1023" s="65">
        <v>113.9911</v>
      </c>
    </row>
    <row r="1024" spans="2:6" hidden="1" x14ac:dyDescent="0.25">
      <c r="B1024" s="51">
        <f>YEAR(BDRIOSJ[[#This Row],[FECHA]])</f>
        <v>2024</v>
      </c>
      <c r="C1024" s="51">
        <f>MONTH(BDRIOSJ[[#This Row],[FECHA]])</f>
        <v>3</v>
      </c>
      <c r="D1024" s="50" t="s">
        <v>373</v>
      </c>
      <c r="E1024" s="49" t="s">
        <v>111</v>
      </c>
      <c r="F1024" s="65">
        <v>113.9911</v>
      </c>
    </row>
    <row r="1025" spans="2:6" hidden="1" x14ac:dyDescent="0.25">
      <c r="B1025" s="51">
        <f>YEAR(BDRIOSJ[[#This Row],[FECHA]])</f>
        <v>2024</v>
      </c>
      <c r="C1025" s="51">
        <f>MONTH(BDRIOSJ[[#This Row],[FECHA]])</f>
        <v>3</v>
      </c>
      <c r="D1025" s="50" t="s">
        <v>374</v>
      </c>
      <c r="E1025" s="49" t="s">
        <v>115</v>
      </c>
      <c r="F1025" s="65">
        <v>118.6872</v>
      </c>
    </row>
    <row r="1026" spans="2:6" hidden="1" x14ac:dyDescent="0.25">
      <c r="B1026" s="51">
        <f>YEAR(BDRIOSJ[[#This Row],[FECHA]])</f>
        <v>2024</v>
      </c>
      <c r="C1026" s="51">
        <f>MONTH(BDRIOSJ[[#This Row],[FECHA]])</f>
        <v>3</v>
      </c>
      <c r="D1026" s="50" t="s">
        <v>374</v>
      </c>
      <c r="E1026" s="49" t="s">
        <v>114</v>
      </c>
      <c r="F1026" s="65">
        <v>118.6872</v>
      </c>
    </row>
    <row r="1027" spans="2:6" hidden="1" x14ac:dyDescent="0.25">
      <c r="B1027" s="51">
        <f>YEAR(BDRIOSJ[[#This Row],[FECHA]])</f>
        <v>2024</v>
      </c>
      <c r="C1027" s="51">
        <f>MONTH(BDRIOSJ[[#This Row],[FECHA]])</f>
        <v>3</v>
      </c>
      <c r="D1027" s="50" t="s">
        <v>374</v>
      </c>
      <c r="E1027" s="49" t="s">
        <v>113</v>
      </c>
      <c r="F1027" s="65">
        <v>118.6872</v>
      </c>
    </row>
    <row r="1028" spans="2:6" hidden="1" x14ac:dyDescent="0.25">
      <c r="B1028" s="51">
        <f>YEAR(BDRIOSJ[[#This Row],[FECHA]])</f>
        <v>2024</v>
      </c>
      <c r="C1028" s="51">
        <f>MONTH(BDRIOSJ[[#This Row],[FECHA]])</f>
        <v>3</v>
      </c>
      <c r="D1028" s="50" t="s">
        <v>374</v>
      </c>
      <c r="E1028" s="49" t="s">
        <v>111</v>
      </c>
      <c r="F1028" s="65">
        <v>118.6872</v>
      </c>
    </row>
    <row r="1029" spans="2:6" hidden="1" x14ac:dyDescent="0.25">
      <c r="B1029" s="51">
        <f>YEAR(BDRIOSJ[[#This Row],[FECHA]])</f>
        <v>2024</v>
      </c>
      <c r="C1029" s="51">
        <f>MONTH(BDRIOSJ[[#This Row],[FECHA]])</f>
        <v>3</v>
      </c>
      <c r="D1029" s="50" t="s">
        <v>375</v>
      </c>
      <c r="E1029" s="49" t="s">
        <v>115</v>
      </c>
      <c r="F1029" s="65">
        <v>118.6872</v>
      </c>
    </row>
    <row r="1030" spans="2:6" hidden="1" x14ac:dyDescent="0.25">
      <c r="B1030" s="51">
        <f>YEAR(BDRIOSJ[[#This Row],[FECHA]])</f>
        <v>2024</v>
      </c>
      <c r="C1030" s="51">
        <f>MONTH(BDRIOSJ[[#This Row],[FECHA]])</f>
        <v>3</v>
      </c>
      <c r="D1030" s="50" t="s">
        <v>375</v>
      </c>
      <c r="E1030" s="49" t="s">
        <v>114</v>
      </c>
      <c r="F1030" s="65">
        <v>118.6872</v>
      </c>
    </row>
    <row r="1031" spans="2:6" hidden="1" x14ac:dyDescent="0.25">
      <c r="B1031" s="51">
        <f>YEAR(BDRIOSJ[[#This Row],[FECHA]])</f>
        <v>2024</v>
      </c>
      <c r="C1031" s="51">
        <f>MONTH(BDRIOSJ[[#This Row],[FECHA]])</f>
        <v>3</v>
      </c>
      <c r="D1031" s="50" t="s">
        <v>375</v>
      </c>
      <c r="E1031" s="49" t="s">
        <v>113</v>
      </c>
      <c r="F1031" s="65">
        <v>118.6872</v>
      </c>
    </row>
    <row r="1032" spans="2:6" hidden="1" x14ac:dyDescent="0.25">
      <c r="B1032" s="51">
        <f>YEAR(BDRIOSJ[[#This Row],[FECHA]])</f>
        <v>2024</v>
      </c>
      <c r="C1032" s="51">
        <f>MONTH(BDRIOSJ[[#This Row],[FECHA]])</f>
        <v>3</v>
      </c>
      <c r="D1032" s="50" t="s">
        <v>375</v>
      </c>
      <c r="E1032" s="49" t="s">
        <v>111</v>
      </c>
      <c r="F1032" s="65">
        <v>118.6872</v>
      </c>
    </row>
    <row r="1033" spans="2:6" hidden="1" x14ac:dyDescent="0.25">
      <c r="B1033" s="51">
        <f>YEAR(BDRIOSJ[[#This Row],[FECHA]])</f>
        <v>2024</v>
      </c>
      <c r="C1033" s="51">
        <f>MONTH(BDRIOSJ[[#This Row],[FECHA]])</f>
        <v>3</v>
      </c>
      <c r="D1033" s="50" t="s">
        <v>376</v>
      </c>
      <c r="E1033" s="49" t="s">
        <v>115</v>
      </c>
      <c r="F1033" s="65">
        <v>91.316299999999998</v>
      </c>
    </row>
    <row r="1034" spans="2:6" hidden="1" x14ac:dyDescent="0.25">
      <c r="B1034" s="51">
        <f>YEAR(BDRIOSJ[[#This Row],[FECHA]])</f>
        <v>2024</v>
      </c>
      <c r="C1034" s="51">
        <f>MONTH(BDRIOSJ[[#This Row],[FECHA]])</f>
        <v>3</v>
      </c>
      <c r="D1034" s="50" t="s">
        <v>376</v>
      </c>
      <c r="E1034" s="49" t="s">
        <v>114</v>
      </c>
      <c r="F1034" s="65">
        <v>118.6872</v>
      </c>
    </row>
    <row r="1035" spans="2:6" hidden="1" x14ac:dyDescent="0.25">
      <c r="B1035" s="51">
        <f>YEAR(BDRIOSJ[[#This Row],[FECHA]])</f>
        <v>2024</v>
      </c>
      <c r="C1035" s="51">
        <f>MONTH(BDRIOSJ[[#This Row],[FECHA]])</f>
        <v>3</v>
      </c>
      <c r="D1035" s="50" t="s">
        <v>376</v>
      </c>
      <c r="E1035" s="49" t="s">
        <v>113</v>
      </c>
      <c r="F1035" s="65">
        <v>91.316299999999998</v>
      </c>
    </row>
    <row r="1036" spans="2:6" hidden="1" x14ac:dyDescent="0.25">
      <c r="B1036" s="51">
        <f>YEAR(BDRIOSJ[[#This Row],[FECHA]])</f>
        <v>2024</v>
      </c>
      <c r="C1036" s="51">
        <f>MONTH(BDRIOSJ[[#This Row],[FECHA]])</f>
        <v>3</v>
      </c>
      <c r="D1036" s="50" t="s">
        <v>376</v>
      </c>
      <c r="E1036" s="49" t="s">
        <v>111</v>
      </c>
      <c r="F1036" s="65">
        <v>91.316299999999998</v>
      </c>
    </row>
    <row r="1037" spans="2:6" hidden="1" x14ac:dyDescent="0.25">
      <c r="B1037" s="51">
        <f>YEAR(BDRIOSJ[[#This Row],[FECHA]])</f>
        <v>2024</v>
      </c>
      <c r="C1037" s="51">
        <f>MONTH(BDRIOSJ[[#This Row],[FECHA]])</f>
        <v>3</v>
      </c>
      <c r="D1037" s="50" t="s">
        <v>377</v>
      </c>
      <c r="E1037" s="49" t="s">
        <v>115</v>
      </c>
      <c r="F1037" s="65">
        <v>91.316299999999998</v>
      </c>
    </row>
    <row r="1038" spans="2:6" hidden="1" x14ac:dyDescent="0.25">
      <c r="B1038" s="51">
        <f>YEAR(BDRIOSJ[[#This Row],[FECHA]])</f>
        <v>2024</v>
      </c>
      <c r="C1038" s="51">
        <f>MONTH(BDRIOSJ[[#This Row],[FECHA]])</f>
        <v>3</v>
      </c>
      <c r="D1038" s="50" t="s">
        <v>377</v>
      </c>
      <c r="E1038" s="49" t="s">
        <v>114</v>
      </c>
      <c r="F1038" s="65">
        <v>91.316299999999998</v>
      </c>
    </row>
    <row r="1039" spans="2:6" hidden="1" x14ac:dyDescent="0.25">
      <c r="B1039" s="51">
        <f>YEAR(BDRIOSJ[[#This Row],[FECHA]])</f>
        <v>2024</v>
      </c>
      <c r="C1039" s="51">
        <f>MONTH(BDRIOSJ[[#This Row],[FECHA]])</f>
        <v>3</v>
      </c>
      <c r="D1039" s="50" t="s">
        <v>377</v>
      </c>
      <c r="E1039" s="49" t="s">
        <v>113</v>
      </c>
      <c r="F1039" s="65">
        <v>91.316299999999998</v>
      </c>
    </row>
    <row r="1040" spans="2:6" hidden="1" x14ac:dyDescent="0.25">
      <c r="B1040" s="51">
        <f>YEAR(BDRIOSJ[[#This Row],[FECHA]])</f>
        <v>2024</v>
      </c>
      <c r="C1040" s="51">
        <f>MONTH(BDRIOSJ[[#This Row],[FECHA]])</f>
        <v>3</v>
      </c>
      <c r="D1040" s="50" t="s">
        <v>377</v>
      </c>
      <c r="E1040" s="49" t="s">
        <v>111</v>
      </c>
      <c r="F1040" s="65">
        <v>91.316299999999998</v>
      </c>
    </row>
    <row r="1041" spans="2:6" hidden="1" x14ac:dyDescent="0.25">
      <c r="B1041" s="51">
        <f>YEAR(BDRIOSJ[[#This Row],[FECHA]])</f>
        <v>2024</v>
      </c>
      <c r="C1041" s="51">
        <f>MONTH(BDRIOSJ[[#This Row],[FECHA]])</f>
        <v>3</v>
      </c>
      <c r="D1041" s="50" t="s">
        <v>378</v>
      </c>
      <c r="E1041" s="49" t="s">
        <v>115</v>
      </c>
      <c r="F1041" s="65">
        <v>86.942400000000006</v>
      </c>
    </row>
    <row r="1042" spans="2:6" hidden="1" x14ac:dyDescent="0.25">
      <c r="B1042" s="51">
        <f>YEAR(BDRIOSJ[[#This Row],[FECHA]])</f>
        <v>2024</v>
      </c>
      <c r="C1042" s="51">
        <f>MONTH(BDRIOSJ[[#This Row],[FECHA]])</f>
        <v>3</v>
      </c>
      <c r="D1042" s="50" t="s">
        <v>378</v>
      </c>
      <c r="E1042" s="49" t="s">
        <v>114</v>
      </c>
      <c r="F1042" s="65">
        <v>86.942400000000006</v>
      </c>
    </row>
    <row r="1043" spans="2:6" hidden="1" x14ac:dyDescent="0.25">
      <c r="B1043" s="51">
        <f>YEAR(BDRIOSJ[[#This Row],[FECHA]])</f>
        <v>2024</v>
      </c>
      <c r="C1043" s="51">
        <f>MONTH(BDRIOSJ[[#This Row],[FECHA]])</f>
        <v>3</v>
      </c>
      <c r="D1043" s="50" t="s">
        <v>378</v>
      </c>
      <c r="E1043" s="49" t="s">
        <v>113</v>
      </c>
      <c r="F1043" s="65">
        <v>86.942400000000006</v>
      </c>
    </row>
    <row r="1044" spans="2:6" hidden="1" x14ac:dyDescent="0.25">
      <c r="B1044" s="51">
        <f>YEAR(BDRIOSJ[[#This Row],[FECHA]])</f>
        <v>2024</v>
      </c>
      <c r="C1044" s="51">
        <f>MONTH(BDRIOSJ[[#This Row],[FECHA]])</f>
        <v>3</v>
      </c>
      <c r="D1044" s="50" t="s">
        <v>378</v>
      </c>
      <c r="E1044" s="49" t="s">
        <v>111</v>
      </c>
      <c r="F1044" s="65">
        <v>86.942400000000006</v>
      </c>
    </row>
    <row r="1045" spans="2:6" hidden="1" x14ac:dyDescent="0.25">
      <c r="B1045" s="51">
        <f>YEAR(BDRIOSJ[[#This Row],[FECHA]])</f>
        <v>2024</v>
      </c>
      <c r="C1045" s="51">
        <f>MONTH(BDRIOSJ[[#This Row],[FECHA]])</f>
        <v>3</v>
      </c>
      <c r="D1045" s="50" t="s">
        <v>379</v>
      </c>
      <c r="E1045" s="49" t="s">
        <v>115</v>
      </c>
      <c r="F1045" s="65">
        <v>91.316299999999998</v>
      </c>
    </row>
    <row r="1046" spans="2:6" hidden="1" x14ac:dyDescent="0.25">
      <c r="B1046" s="51">
        <f>YEAR(BDRIOSJ[[#This Row],[FECHA]])</f>
        <v>2024</v>
      </c>
      <c r="C1046" s="51">
        <f>MONTH(BDRIOSJ[[#This Row],[FECHA]])</f>
        <v>3</v>
      </c>
      <c r="D1046" s="50" t="s">
        <v>379</v>
      </c>
      <c r="E1046" s="49" t="s">
        <v>114</v>
      </c>
      <c r="F1046" s="65">
        <v>86.942400000000006</v>
      </c>
    </row>
    <row r="1047" spans="2:6" hidden="1" x14ac:dyDescent="0.25">
      <c r="B1047" s="51">
        <f>YEAR(BDRIOSJ[[#This Row],[FECHA]])</f>
        <v>2024</v>
      </c>
      <c r="C1047" s="51">
        <f>MONTH(BDRIOSJ[[#This Row],[FECHA]])</f>
        <v>3</v>
      </c>
      <c r="D1047" s="50" t="s">
        <v>379</v>
      </c>
      <c r="E1047" s="49" t="s">
        <v>113</v>
      </c>
      <c r="F1047" s="65">
        <v>86.942400000000006</v>
      </c>
    </row>
    <row r="1048" spans="2:6" hidden="1" x14ac:dyDescent="0.25">
      <c r="B1048" s="51">
        <f>YEAR(BDRIOSJ[[#This Row],[FECHA]])</f>
        <v>2024</v>
      </c>
      <c r="C1048" s="51">
        <f>MONTH(BDRIOSJ[[#This Row],[FECHA]])</f>
        <v>3</v>
      </c>
      <c r="D1048" s="50" t="s">
        <v>379</v>
      </c>
      <c r="E1048" s="49" t="s">
        <v>111</v>
      </c>
      <c r="F1048" s="65">
        <v>86.942400000000006</v>
      </c>
    </row>
    <row r="1049" spans="2:6" hidden="1" x14ac:dyDescent="0.25">
      <c r="B1049" s="51">
        <f>YEAR(BDRIOSJ[[#This Row],[FECHA]])</f>
        <v>2024</v>
      </c>
      <c r="C1049" s="51">
        <f>MONTH(BDRIOSJ[[#This Row],[FECHA]])</f>
        <v>3</v>
      </c>
      <c r="D1049" s="50" t="s">
        <v>380</v>
      </c>
      <c r="E1049" s="49" t="s">
        <v>115</v>
      </c>
      <c r="F1049" s="65">
        <v>86.942400000000006</v>
      </c>
    </row>
    <row r="1050" spans="2:6" hidden="1" x14ac:dyDescent="0.25">
      <c r="B1050" s="51">
        <f>YEAR(BDRIOSJ[[#This Row],[FECHA]])</f>
        <v>2024</v>
      </c>
      <c r="C1050" s="51">
        <f>MONTH(BDRIOSJ[[#This Row],[FECHA]])</f>
        <v>3</v>
      </c>
      <c r="D1050" s="50" t="s">
        <v>380</v>
      </c>
      <c r="E1050" s="49" t="s">
        <v>114</v>
      </c>
      <c r="F1050" s="65">
        <v>86.942400000000006</v>
      </c>
    </row>
    <row r="1051" spans="2:6" hidden="1" x14ac:dyDescent="0.25">
      <c r="B1051" s="51">
        <f>YEAR(BDRIOSJ[[#This Row],[FECHA]])</f>
        <v>2024</v>
      </c>
      <c r="C1051" s="51">
        <f>MONTH(BDRIOSJ[[#This Row],[FECHA]])</f>
        <v>3</v>
      </c>
      <c r="D1051" s="50" t="s">
        <v>380</v>
      </c>
      <c r="E1051" s="49" t="s">
        <v>113</v>
      </c>
      <c r="F1051" s="65">
        <v>86.942400000000006</v>
      </c>
    </row>
    <row r="1052" spans="2:6" hidden="1" x14ac:dyDescent="0.25">
      <c r="B1052" s="51">
        <f>YEAR(BDRIOSJ[[#This Row],[FECHA]])</f>
        <v>2024</v>
      </c>
      <c r="C1052" s="51">
        <f>MONTH(BDRIOSJ[[#This Row],[FECHA]])</f>
        <v>3</v>
      </c>
      <c r="D1052" s="50" t="s">
        <v>380</v>
      </c>
      <c r="E1052" s="49" t="s">
        <v>111</v>
      </c>
      <c r="F1052" s="65">
        <v>86.942400000000006</v>
      </c>
    </row>
    <row r="1053" spans="2:6" hidden="1" x14ac:dyDescent="0.25">
      <c r="B1053" s="51">
        <f>YEAR(BDRIOSJ[[#This Row],[FECHA]])</f>
        <v>2024</v>
      </c>
      <c r="C1053" s="51">
        <f>MONTH(BDRIOSJ[[#This Row],[FECHA]])</f>
        <v>3</v>
      </c>
      <c r="D1053" s="50" t="s">
        <v>381</v>
      </c>
      <c r="E1053" s="49" t="s">
        <v>115</v>
      </c>
      <c r="F1053" s="65">
        <v>133.0975</v>
      </c>
    </row>
    <row r="1054" spans="2:6" hidden="1" x14ac:dyDescent="0.25">
      <c r="B1054" s="51">
        <f>YEAR(BDRIOSJ[[#This Row],[FECHA]])</f>
        <v>2024</v>
      </c>
      <c r="C1054" s="51">
        <f>MONTH(BDRIOSJ[[#This Row],[FECHA]])</f>
        <v>3</v>
      </c>
      <c r="D1054" s="50" t="s">
        <v>381</v>
      </c>
      <c r="E1054" s="49" t="s">
        <v>114</v>
      </c>
      <c r="F1054" s="65">
        <v>133.0975</v>
      </c>
    </row>
    <row r="1055" spans="2:6" hidden="1" x14ac:dyDescent="0.25">
      <c r="B1055" s="51">
        <f>YEAR(BDRIOSJ[[#This Row],[FECHA]])</f>
        <v>2024</v>
      </c>
      <c r="C1055" s="51">
        <f>MONTH(BDRIOSJ[[#This Row],[FECHA]])</f>
        <v>3</v>
      </c>
      <c r="D1055" s="50" t="s">
        <v>381</v>
      </c>
      <c r="E1055" s="49" t="s">
        <v>113</v>
      </c>
      <c r="F1055" s="65">
        <v>133.0975</v>
      </c>
    </row>
    <row r="1056" spans="2:6" hidden="1" x14ac:dyDescent="0.25">
      <c r="B1056" s="51">
        <f>YEAR(BDRIOSJ[[#This Row],[FECHA]])</f>
        <v>2024</v>
      </c>
      <c r="C1056" s="51">
        <f>MONTH(BDRIOSJ[[#This Row],[FECHA]])</f>
        <v>3</v>
      </c>
      <c r="D1056" s="50" t="s">
        <v>381</v>
      </c>
      <c r="E1056" s="49" t="s">
        <v>111</v>
      </c>
      <c r="F1056" s="65">
        <v>133.0975</v>
      </c>
    </row>
    <row r="1057" spans="2:6" hidden="1" x14ac:dyDescent="0.25">
      <c r="B1057" s="51">
        <f>YEAR(BDRIOSJ[[#This Row],[FECHA]])</f>
        <v>2024</v>
      </c>
      <c r="C1057" s="51">
        <f>MONTH(BDRIOSJ[[#This Row],[FECHA]])</f>
        <v>3</v>
      </c>
      <c r="D1057" s="50" t="s">
        <v>382</v>
      </c>
      <c r="E1057" s="49" t="s">
        <v>115</v>
      </c>
      <c r="F1057" s="65">
        <v>113.9911</v>
      </c>
    </row>
    <row r="1058" spans="2:6" hidden="1" x14ac:dyDescent="0.25">
      <c r="B1058" s="51">
        <f>YEAR(BDRIOSJ[[#This Row],[FECHA]])</f>
        <v>2024</v>
      </c>
      <c r="C1058" s="51">
        <f>MONTH(BDRIOSJ[[#This Row],[FECHA]])</f>
        <v>3</v>
      </c>
      <c r="D1058" s="50" t="s">
        <v>382</v>
      </c>
      <c r="E1058" s="49" t="s">
        <v>114</v>
      </c>
      <c r="F1058" s="65">
        <v>133.0975</v>
      </c>
    </row>
    <row r="1059" spans="2:6" hidden="1" x14ac:dyDescent="0.25">
      <c r="B1059" s="51">
        <f>YEAR(BDRIOSJ[[#This Row],[FECHA]])</f>
        <v>2024</v>
      </c>
      <c r="C1059" s="51">
        <f>MONTH(BDRIOSJ[[#This Row],[FECHA]])</f>
        <v>3</v>
      </c>
      <c r="D1059" s="50" t="s">
        <v>382</v>
      </c>
      <c r="E1059" s="49" t="s">
        <v>113</v>
      </c>
      <c r="F1059" s="65">
        <v>133.0975</v>
      </c>
    </row>
    <row r="1060" spans="2:6" hidden="1" x14ac:dyDescent="0.25">
      <c r="B1060" s="51">
        <f>YEAR(BDRIOSJ[[#This Row],[FECHA]])</f>
        <v>2024</v>
      </c>
      <c r="C1060" s="51">
        <f>MONTH(BDRIOSJ[[#This Row],[FECHA]])</f>
        <v>3</v>
      </c>
      <c r="D1060" s="50" t="s">
        <v>382</v>
      </c>
      <c r="E1060" s="49" t="s">
        <v>111</v>
      </c>
      <c r="F1060" s="65">
        <v>133.0975</v>
      </c>
    </row>
    <row r="1061" spans="2:6" hidden="1" x14ac:dyDescent="0.25">
      <c r="B1061" s="51">
        <f>YEAR(BDRIOSJ[[#This Row],[FECHA]])</f>
        <v>2024</v>
      </c>
      <c r="C1061" s="51">
        <f>MONTH(BDRIOSJ[[#This Row],[FECHA]])</f>
        <v>3</v>
      </c>
      <c r="D1061" s="50" t="s">
        <v>383</v>
      </c>
      <c r="E1061" s="49" t="s">
        <v>115</v>
      </c>
      <c r="F1061" s="65">
        <v>133.0975</v>
      </c>
    </row>
    <row r="1062" spans="2:6" hidden="1" x14ac:dyDescent="0.25">
      <c r="B1062" s="51">
        <f>YEAR(BDRIOSJ[[#This Row],[FECHA]])</f>
        <v>2024</v>
      </c>
      <c r="C1062" s="51">
        <f>MONTH(BDRIOSJ[[#This Row],[FECHA]])</f>
        <v>3</v>
      </c>
      <c r="D1062" s="50" t="s">
        <v>383</v>
      </c>
      <c r="E1062" s="49" t="s">
        <v>114</v>
      </c>
      <c r="F1062" s="65">
        <v>113.9911</v>
      </c>
    </row>
    <row r="1063" spans="2:6" hidden="1" x14ac:dyDescent="0.25">
      <c r="B1063" s="51">
        <f>YEAR(BDRIOSJ[[#This Row],[FECHA]])</f>
        <v>2024</v>
      </c>
      <c r="C1063" s="51">
        <f>MONTH(BDRIOSJ[[#This Row],[FECHA]])</f>
        <v>3</v>
      </c>
      <c r="D1063" s="50" t="s">
        <v>383</v>
      </c>
      <c r="E1063" s="49" t="s">
        <v>113</v>
      </c>
      <c r="F1063" s="65">
        <v>113.9911</v>
      </c>
    </row>
    <row r="1064" spans="2:6" hidden="1" x14ac:dyDescent="0.25">
      <c r="B1064" s="51">
        <f>YEAR(BDRIOSJ[[#This Row],[FECHA]])</f>
        <v>2024</v>
      </c>
      <c r="C1064" s="51">
        <f>MONTH(BDRIOSJ[[#This Row],[FECHA]])</f>
        <v>3</v>
      </c>
      <c r="D1064" s="50" t="s">
        <v>383</v>
      </c>
      <c r="E1064" s="49" t="s">
        <v>111</v>
      </c>
      <c r="F1064" s="65">
        <v>113.9911</v>
      </c>
    </row>
    <row r="1065" spans="2:6" hidden="1" x14ac:dyDescent="0.25">
      <c r="B1065" s="51">
        <f>YEAR(BDRIOSJ[[#This Row],[FECHA]])</f>
        <v>2024</v>
      </c>
      <c r="C1065" s="51">
        <f>MONTH(BDRIOSJ[[#This Row],[FECHA]])</f>
        <v>3</v>
      </c>
      <c r="D1065" s="50" t="s">
        <v>384</v>
      </c>
      <c r="E1065" s="49" t="s">
        <v>115</v>
      </c>
      <c r="F1065" s="65">
        <v>133.0975</v>
      </c>
    </row>
    <row r="1066" spans="2:6" hidden="1" x14ac:dyDescent="0.25">
      <c r="B1066" s="51">
        <f>YEAR(BDRIOSJ[[#This Row],[FECHA]])</f>
        <v>2024</v>
      </c>
      <c r="C1066" s="51">
        <f>MONTH(BDRIOSJ[[#This Row],[FECHA]])</f>
        <v>3</v>
      </c>
      <c r="D1066" s="50" t="s">
        <v>384</v>
      </c>
      <c r="E1066" s="49" t="s">
        <v>114</v>
      </c>
      <c r="F1066" s="65">
        <v>133.0975</v>
      </c>
    </row>
    <row r="1067" spans="2:6" hidden="1" x14ac:dyDescent="0.25">
      <c r="B1067" s="51">
        <f>YEAR(BDRIOSJ[[#This Row],[FECHA]])</f>
        <v>2024</v>
      </c>
      <c r="C1067" s="51">
        <f>MONTH(BDRIOSJ[[#This Row],[FECHA]])</f>
        <v>3</v>
      </c>
      <c r="D1067" s="50" t="s">
        <v>384</v>
      </c>
      <c r="E1067" s="49" t="s">
        <v>113</v>
      </c>
      <c r="F1067" s="65">
        <v>133.0975</v>
      </c>
    </row>
    <row r="1068" spans="2:6" hidden="1" x14ac:dyDescent="0.25">
      <c r="B1068" s="51">
        <f>YEAR(BDRIOSJ[[#This Row],[FECHA]])</f>
        <v>2024</v>
      </c>
      <c r="C1068" s="51">
        <f>MONTH(BDRIOSJ[[#This Row],[FECHA]])</f>
        <v>3</v>
      </c>
      <c r="D1068" s="50" t="s">
        <v>384</v>
      </c>
      <c r="E1068" s="49" t="s">
        <v>111</v>
      </c>
      <c r="F1068" s="65">
        <v>133.0975</v>
      </c>
    </row>
    <row r="1069" spans="2:6" hidden="1" x14ac:dyDescent="0.25">
      <c r="B1069" s="51">
        <f>YEAR(BDRIOSJ[[#This Row],[FECHA]])</f>
        <v>2024</v>
      </c>
      <c r="C1069" s="51">
        <f>MONTH(BDRIOSJ[[#This Row],[FECHA]])</f>
        <v>3</v>
      </c>
      <c r="D1069" s="50" t="s">
        <v>385</v>
      </c>
      <c r="E1069" s="49" t="s">
        <v>115</v>
      </c>
      <c r="F1069" s="65">
        <v>65.878299999999996</v>
      </c>
    </row>
    <row r="1070" spans="2:6" hidden="1" x14ac:dyDescent="0.25">
      <c r="B1070" s="51">
        <f>YEAR(BDRIOSJ[[#This Row],[FECHA]])</f>
        <v>2024</v>
      </c>
      <c r="C1070" s="51">
        <f>MONTH(BDRIOSJ[[#This Row],[FECHA]])</f>
        <v>3</v>
      </c>
      <c r="D1070" s="50" t="s">
        <v>385</v>
      </c>
      <c r="E1070" s="49" t="s">
        <v>114</v>
      </c>
      <c r="F1070" s="65">
        <v>53.8842</v>
      </c>
    </row>
    <row r="1071" spans="2:6" hidden="1" x14ac:dyDescent="0.25">
      <c r="B1071" s="51">
        <f>YEAR(BDRIOSJ[[#This Row],[FECHA]])</f>
        <v>2024</v>
      </c>
      <c r="C1071" s="51">
        <f>MONTH(BDRIOSJ[[#This Row],[FECHA]])</f>
        <v>3</v>
      </c>
      <c r="D1071" s="50" t="s">
        <v>385</v>
      </c>
      <c r="E1071" s="49" t="s">
        <v>113</v>
      </c>
      <c r="F1071" s="65">
        <v>65.878299999999996</v>
      </c>
    </row>
    <row r="1072" spans="2:6" hidden="1" x14ac:dyDescent="0.25">
      <c r="B1072" s="51">
        <f>YEAR(BDRIOSJ[[#This Row],[FECHA]])</f>
        <v>2024</v>
      </c>
      <c r="C1072" s="51">
        <f>MONTH(BDRIOSJ[[#This Row],[FECHA]])</f>
        <v>3</v>
      </c>
      <c r="D1072" s="50" t="s">
        <v>385</v>
      </c>
      <c r="E1072" s="49" t="s">
        <v>111</v>
      </c>
      <c r="F1072" s="65">
        <v>91.316299999999998</v>
      </c>
    </row>
    <row r="1073" spans="2:6" hidden="1" x14ac:dyDescent="0.25">
      <c r="B1073" s="51">
        <f>YEAR(BDRIOSJ[[#This Row],[FECHA]])</f>
        <v>2024</v>
      </c>
      <c r="C1073" s="51">
        <f>MONTH(BDRIOSJ[[#This Row],[FECHA]])</f>
        <v>3</v>
      </c>
      <c r="D1073" s="50" t="s">
        <v>386</v>
      </c>
      <c r="E1073" s="49" t="s">
        <v>115</v>
      </c>
      <c r="F1073" s="65">
        <v>65.878299999999996</v>
      </c>
    </row>
    <row r="1074" spans="2:6" hidden="1" x14ac:dyDescent="0.25">
      <c r="B1074" s="51">
        <f>YEAR(BDRIOSJ[[#This Row],[FECHA]])</f>
        <v>2024</v>
      </c>
      <c r="C1074" s="51">
        <f>MONTH(BDRIOSJ[[#This Row],[FECHA]])</f>
        <v>3</v>
      </c>
      <c r="D1074" s="50" t="s">
        <v>386</v>
      </c>
      <c r="E1074" s="49" t="s">
        <v>114</v>
      </c>
      <c r="F1074" s="65">
        <v>65.878299999999996</v>
      </c>
    </row>
    <row r="1075" spans="2:6" hidden="1" x14ac:dyDescent="0.25">
      <c r="B1075" s="51">
        <f>YEAR(BDRIOSJ[[#This Row],[FECHA]])</f>
        <v>2024</v>
      </c>
      <c r="C1075" s="51">
        <f>MONTH(BDRIOSJ[[#This Row],[FECHA]])</f>
        <v>3</v>
      </c>
      <c r="D1075" s="50" t="s">
        <v>386</v>
      </c>
      <c r="E1075" s="49" t="s">
        <v>113</v>
      </c>
      <c r="F1075" s="65">
        <v>65.878299999999996</v>
      </c>
    </row>
    <row r="1076" spans="2:6" hidden="1" x14ac:dyDescent="0.25">
      <c r="B1076" s="51">
        <f>YEAR(BDRIOSJ[[#This Row],[FECHA]])</f>
        <v>2024</v>
      </c>
      <c r="C1076" s="51">
        <f>MONTH(BDRIOSJ[[#This Row],[FECHA]])</f>
        <v>3</v>
      </c>
      <c r="D1076" s="50" t="s">
        <v>386</v>
      </c>
      <c r="E1076" s="49" t="s">
        <v>111</v>
      </c>
      <c r="F1076" s="65">
        <v>65.878299999999996</v>
      </c>
    </row>
    <row r="1077" spans="2:6" hidden="1" x14ac:dyDescent="0.25">
      <c r="B1077" s="51">
        <f>YEAR(BDRIOSJ[[#This Row],[FECHA]])</f>
        <v>2024</v>
      </c>
      <c r="C1077" s="51">
        <f>MONTH(BDRIOSJ[[#This Row],[FECHA]])</f>
        <v>3</v>
      </c>
      <c r="D1077" s="50" t="s">
        <v>387</v>
      </c>
      <c r="E1077" s="49" t="s">
        <v>115</v>
      </c>
      <c r="F1077" s="65">
        <v>65.878299999999996</v>
      </c>
    </row>
    <row r="1078" spans="2:6" hidden="1" x14ac:dyDescent="0.25">
      <c r="B1078" s="51">
        <f>YEAR(BDRIOSJ[[#This Row],[FECHA]])</f>
        <v>2024</v>
      </c>
      <c r="C1078" s="51">
        <f>MONTH(BDRIOSJ[[#This Row],[FECHA]])</f>
        <v>3</v>
      </c>
      <c r="D1078" s="50" t="s">
        <v>387</v>
      </c>
      <c r="E1078" s="49" t="s">
        <v>114</v>
      </c>
      <c r="F1078" s="65">
        <v>65.878299999999996</v>
      </c>
    </row>
    <row r="1079" spans="2:6" hidden="1" x14ac:dyDescent="0.25">
      <c r="B1079" s="51">
        <f>YEAR(BDRIOSJ[[#This Row],[FECHA]])</f>
        <v>2024</v>
      </c>
      <c r="C1079" s="51">
        <f>MONTH(BDRIOSJ[[#This Row],[FECHA]])</f>
        <v>3</v>
      </c>
      <c r="D1079" s="50" t="s">
        <v>387</v>
      </c>
      <c r="E1079" s="49" t="s">
        <v>113</v>
      </c>
      <c r="F1079" s="65">
        <v>57.828499999999998</v>
      </c>
    </row>
    <row r="1080" spans="2:6" hidden="1" x14ac:dyDescent="0.25">
      <c r="B1080" s="51">
        <f>YEAR(BDRIOSJ[[#This Row],[FECHA]])</f>
        <v>2024</v>
      </c>
      <c r="C1080" s="51">
        <f>MONTH(BDRIOSJ[[#This Row],[FECHA]])</f>
        <v>3</v>
      </c>
      <c r="D1080" s="50" t="s">
        <v>387</v>
      </c>
      <c r="E1080" s="49" t="s">
        <v>111</v>
      </c>
      <c r="F1080" s="65">
        <v>57.828499999999998</v>
      </c>
    </row>
    <row r="1081" spans="2:6" hidden="1" x14ac:dyDescent="0.25">
      <c r="B1081" s="51">
        <f>YEAR(BDRIOSJ[[#This Row],[FECHA]])</f>
        <v>2024</v>
      </c>
      <c r="C1081" s="51">
        <f>MONTH(BDRIOSJ[[#This Row],[FECHA]])</f>
        <v>3</v>
      </c>
      <c r="D1081" s="50" t="s">
        <v>388</v>
      </c>
      <c r="E1081" s="49" t="s">
        <v>111</v>
      </c>
      <c r="F1081" s="65">
        <v>65.878299999999996</v>
      </c>
    </row>
    <row r="1082" spans="2:6" hidden="1" x14ac:dyDescent="0.25">
      <c r="B1082" s="51">
        <f>YEAR(BDRIOSJ[[#This Row],[FECHA]])</f>
        <v>2024</v>
      </c>
      <c r="C1082" s="51">
        <f>MONTH(BDRIOSJ[[#This Row],[FECHA]])</f>
        <v>4</v>
      </c>
      <c r="D1082" s="50" t="s">
        <v>389</v>
      </c>
      <c r="E1082" s="49" t="s">
        <v>115</v>
      </c>
      <c r="F1082" s="65">
        <v>65.878299999999996</v>
      </c>
    </row>
    <row r="1083" spans="2:6" hidden="1" x14ac:dyDescent="0.25">
      <c r="B1083" s="51">
        <f>YEAR(BDRIOSJ[[#This Row],[FECHA]])</f>
        <v>2024</v>
      </c>
      <c r="C1083" s="51">
        <f>MONTH(BDRIOSJ[[#This Row],[FECHA]])</f>
        <v>4</v>
      </c>
      <c r="D1083" s="50" t="s">
        <v>389</v>
      </c>
      <c r="E1083" s="49" t="s">
        <v>114</v>
      </c>
      <c r="F1083" s="65">
        <v>65.878299999999996</v>
      </c>
    </row>
    <row r="1084" spans="2:6" hidden="1" x14ac:dyDescent="0.25">
      <c r="B1084" s="51">
        <f>YEAR(BDRIOSJ[[#This Row],[FECHA]])</f>
        <v>2024</v>
      </c>
      <c r="C1084" s="51">
        <f>MONTH(BDRIOSJ[[#This Row],[FECHA]])</f>
        <v>4</v>
      </c>
      <c r="D1084" s="50" t="s">
        <v>389</v>
      </c>
      <c r="E1084" s="49" t="s">
        <v>113</v>
      </c>
      <c r="F1084" s="65">
        <v>65.878299999999996</v>
      </c>
    </row>
    <row r="1085" spans="2:6" hidden="1" x14ac:dyDescent="0.25">
      <c r="B1085" s="51">
        <f>YEAR(BDRIOSJ[[#This Row],[FECHA]])</f>
        <v>2024</v>
      </c>
      <c r="C1085" s="51">
        <f>MONTH(BDRIOSJ[[#This Row],[FECHA]])</f>
        <v>4</v>
      </c>
      <c r="D1085" s="50" t="s">
        <v>389</v>
      </c>
      <c r="E1085" s="49" t="s">
        <v>111</v>
      </c>
      <c r="F1085" s="65">
        <v>65.878299999999996</v>
      </c>
    </row>
    <row r="1086" spans="2:6" hidden="1" x14ac:dyDescent="0.25">
      <c r="B1086" s="51">
        <f>YEAR(BDRIOSJ[[#This Row],[FECHA]])</f>
        <v>2024</v>
      </c>
      <c r="C1086" s="51">
        <f>MONTH(BDRIOSJ[[#This Row],[FECHA]])</f>
        <v>4</v>
      </c>
      <c r="D1086" s="50" t="s">
        <v>390</v>
      </c>
      <c r="E1086" s="49" t="s">
        <v>115</v>
      </c>
      <c r="F1086" s="65">
        <v>49.993499999999997</v>
      </c>
    </row>
    <row r="1087" spans="2:6" hidden="1" x14ac:dyDescent="0.25">
      <c r="B1087" s="51">
        <f>YEAR(BDRIOSJ[[#This Row],[FECHA]])</f>
        <v>2024</v>
      </c>
      <c r="C1087" s="51">
        <f>MONTH(BDRIOSJ[[#This Row],[FECHA]])</f>
        <v>4</v>
      </c>
      <c r="D1087" s="50" t="s">
        <v>390</v>
      </c>
      <c r="E1087" s="49" t="s">
        <v>114</v>
      </c>
      <c r="F1087" s="65">
        <v>65.878299999999996</v>
      </c>
    </row>
    <row r="1088" spans="2:6" hidden="1" x14ac:dyDescent="0.25">
      <c r="B1088" s="51">
        <f>YEAR(BDRIOSJ[[#This Row],[FECHA]])</f>
        <v>2024</v>
      </c>
      <c r="C1088" s="51">
        <f>MONTH(BDRIOSJ[[#This Row],[FECHA]])</f>
        <v>4</v>
      </c>
      <c r="D1088" s="50" t="s">
        <v>390</v>
      </c>
      <c r="E1088" s="49" t="s">
        <v>113</v>
      </c>
      <c r="F1088" s="65">
        <v>65.878299999999996</v>
      </c>
    </row>
    <row r="1089" spans="2:6" hidden="1" x14ac:dyDescent="0.25">
      <c r="B1089" s="51">
        <f>YEAR(BDRIOSJ[[#This Row],[FECHA]])</f>
        <v>2024</v>
      </c>
      <c r="C1089" s="51">
        <f>MONTH(BDRIOSJ[[#This Row],[FECHA]])</f>
        <v>4</v>
      </c>
      <c r="D1089" s="50" t="s">
        <v>390</v>
      </c>
      <c r="E1089" s="49" t="s">
        <v>111</v>
      </c>
      <c r="F1089" s="65">
        <v>65.878299999999996</v>
      </c>
    </row>
    <row r="1090" spans="2:6" hidden="1" x14ac:dyDescent="0.25">
      <c r="B1090" s="51">
        <f>YEAR(BDRIOSJ[[#This Row],[FECHA]])</f>
        <v>2024</v>
      </c>
      <c r="C1090" s="51">
        <f>MONTH(BDRIOSJ[[#This Row],[FECHA]])</f>
        <v>4</v>
      </c>
      <c r="D1090" s="50" t="s">
        <v>391</v>
      </c>
      <c r="E1090" s="49" t="s">
        <v>115</v>
      </c>
      <c r="F1090" s="65">
        <v>69.983699999999999</v>
      </c>
    </row>
    <row r="1091" spans="2:6" hidden="1" x14ac:dyDescent="0.25">
      <c r="B1091" s="51">
        <f>YEAR(BDRIOSJ[[#This Row],[FECHA]])</f>
        <v>2024</v>
      </c>
      <c r="C1091" s="51">
        <f>MONTH(BDRIOSJ[[#This Row],[FECHA]])</f>
        <v>4</v>
      </c>
      <c r="D1091" s="50" t="s">
        <v>391</v>
      </c>
      <c r="E1091" s="49" t="s">
        <v>114</v>
      </c>
      <c r="F1091" s="65">
        <v>78.355699999999999</v>
      </c>
    </row>
    <row r="1092" spans="2:6" hidden="1" x14ac:dyDescent="0.25">
      <c r="B1092" s="51">
        <f>YEAR(BDRIOSJ[[#This Row],[FECHA]])</f>
        <v>2024</v>
      </c>
      <c r="C1092" s="51">
        <f>MONTH(BDRIOSJ[[#This Row],[FECHA]])</f>
        <v>4</v>
      </c>
      <c r="D1092" s="50" t="s">
        <v>391</v>
      </c>
      <c r="E1092" s="49" t="s">
        <v>113</v>
      </c>
      <c r="F1092" s="65">
        <v>78.355699999999999</v>
      </c>
    </row>
    <row r="1093" spans="2:6" hidden="1" x14ac:dyDescent="0.25">
      <c r="B1093" s="51">
        <f>YEAR(BDRIOSJ[[#This Row],[FECHA]])</f>
        <v>2024</v>
      </c>
      <c r="C1093" s="51">
        <f>MONTH(BDRIOSJ[[#This Row],[FECHA]])</f>
        <v>4</v>
      </c>
      <c r="D1093" s="50" t="s">
        <v>391</v>
      </c>
      <c r="E1093" s="49" t="s">
        <v>111</v>
      </c>
      <c r="F1093" s="65">
        <v>78.355699999999999</v>
      </c>
    </row>
    <row r="1094" spans="2:6" hidden="1" x14ac:dyDescent="0.25">
      <c r="B1094" s="51">
        <f>YEAR(BDRIOSJ[[#This Row],[FECHA]])</f>
        <v>2024</v>
      </c>
      <c r="C1094" s="51">
        <f>MONTH(BDRIOSJ[[#This Row],[FECHA]])</f>
        <v>4</v>
      </c>
      <c r="D1094" s="50" t="s">
        <v>392</v>
      </c>
      <c r="E1094" s="49" t="s">
        <v>115</v>
      </c>
      <c r="F1094" s="65">
        <v>91.316299999999998</v>
      </c>
    </row>
    <row r="1095" spans="2:6" hidden="1" x14ac:dyDescent="0.25">
      <c r="B1095" s="51">
        <f>YEAR(BDRIOSJ[[#This Row],[FECHA]])</f>
        <v>2024</v>
      </c>
      <c r="C1095" s="51">
        <f>MONTH(BDRIOSJ[[#This Row],[FECHA]])</f>
        <v>4</v>
      </c>
      <c r="D1095" s="50" t="s">
        <v>392</v>
      </c>
      <c r="E1095" s="49" t="s">
        <v>114</v>
      </c>
      <c r="F1095" s="65">
        <v>91.316299999999998</v>
      </c>
    </row>
    <row r="1096" spans="2:6" hidden="1" x14ac:dyDescent="0.25">
      <c r="B1096" s="51">
        <f>YEAR(BDRIOSJ[[#This Row],[FECHA]])</f>
        <v>2024</v>
      </c>
      <c r="C1096" s="51">
        <f>MONTH(BDRIOSJ[[#This Row],[FECHA]])</f>
        <v>4</v>
      </c>
      <c r="D1096" s="50" t="s">
        <v>392</v>
      </c>
      <c r="E1096" s="49" t="s">
        <v>113</v>
      </c>
      <c r="F1096" s="65">
        <v>91.316299999999998</v>
      </c>
    </row>
    <row r="1097" spans="2:6" hidden="1" x14ac:dyDescent="0.25">
      <c r="B1097" s="51">
        <f>YEAR(BDRIOSJ[[#This Row],[FECHA]])</f>
        <v>2024</v>
      </c>
      <c r="C1097" s="51">
        <f>MONTH(BDRIOSJ[[#This Row],[FECHA]])</f>
        <v>4</v>
      </c>
      <c r="D1097" s="50" t="s">
        <v>392</v>
      </c>
      <c r="E1097" s="49" t="s">
        <v>111</v>
      </c>
      <c r="F1097" s="65">
        <v>91.316299999999998</v>
      </c>
    </row>
    <row r="1098" spans="2:6" hidden="1" x14ac:dyDescent="0.25">
      <c r="B1098" s="51">
        <f>YEAR(BDRIOSJ[[#This Row],[FECHA]])</f>
        <v>2024</v>
      </c>
      <c r="C1098" s="51">
        <f>MONTH(BDRIOSJ[[#This Row],[FECHA]])</f>
        <v>4</v>
      </c>
      <c r="D1098" s="50" t="s">
        <v>393</v>
      </c>
      <c r="E1098" s="49" t="s">
        <v>115</v>
      </c>
      <c r="F1098" s="65">
        <v>69.983699999999999</v>
      </c>
    </row>
    <row r="1099" spans="2:6" hidden="1" x14ac:dyDescent="0.25">
      <c r="B1099" s="51">
        <f>YEAR(BDRIOSJ[[#This Row],[FECHA]])</f>
        <v>2024</v>
      </c>
      <c r="C1099" s="51">
        <f>MONTH(BDRIOSJ[[#This Row],[FECHA]])</f>
        <v>4</v>
      </c>
      <c r="D1099" s="50" t="s">
        <v>393</v>
      </c>
      <c r="E1099" s="49" t="s">
        <v>114</v>
      </c>
      <c r="F1099" s="65">
        <v>69.983699999999999</v>
      </c>
    </row>
    <row r="1100" spans="2:6" hidden="1" x14ac:dyDescent="0.25">
      <c r="B1100" s="51">
        <f>YEAR(BDRIOSJ[[#This Row],[FECHA]])</f>
        <v>2024</v>
      </c>
      <c r="C1100" s="51">
        <f>MONTH(BDRIOSJ[[#This Row],[FECHA]])</f>
        <v>4</v>
      </c>
      <c r="D1100" s="50" t="s">
        <v>393</v>
      </c>
      <c r="E1100" s="49" t="s">
        <v>113</v>
      </c>
      <c r="F1100" s="65">
        <v>69.983699999999999</v>
      </c>
    </row>
    <row r="1101" spans="2:6" hidden="1" x14ac:dyDescent="0.25">
      <c r="B1101" s="51">
        <f>YEAR(BDRIOSJ[[#This Row],[FECHA]])</f>
        <v>2024</v>
      </c>
      <c r="C1101" s="51">
        <f>MONTH(BDRIOSJ[[#This Row],[FECHA]])</f>
        <v>4</v>
      </c>
      <c r="D1101" s="50" t="s">
        <v>393</v>
      </c>
      <c r="E1101" s="49" t="s">
        <v>111</v>
      </c>
      <c r="F1101" s="65">
        <v>69.983699999999999</v>
      </c>
    </row>
    <row r="1102" spans="2:6" hidden="1" x14ac:dyDescent="0.25">
      <c r="B1102" s="51">
        <f>YEAR(BDRIOSJ[[#This Row],[FECHA]])</f>
        <v>2024</v>
      </c>
      <c r="C1102" s="51">
        <f>MONTH(BDRIOSJ[[#This Row],[FECHA]])</f>
        <v>4</v>
      </c>
      <c r="D1102" s="50" t="s">
        <v>394</v>
      </c>
      <c r="E1102" s="49" t="s">
        <v>115</v>
      </c>
      <c r="F1102" s="65">
        <v>109.3488</v>
      </c>
    </row>
    <row r="1103" spans="2:6" hidden="1" x14ac:dyDescent="0.25">
      <c r="B1103" s="51">
        <f>YEAR(BDRIOSJ[[#This Row],[FECHA]])</f>
        <v>2024</v>
      </c>
      <c r="C1103" s="51">
        <f>MONTH(BDRIOSJ[[#This Row],[FECHA]])</f>
        <v>4</v>
      </c>
      <c r="D1103" s="50" t="s">
        <v>394</v>
      </c>
      <c r="E1103" s="49" t="s">
        <v>114</v>
      </c>
      <c r="F1103" s="65">
        <v>109.3488</v>
      </c>
    </row>
    <row r="1104" spans="2:6" hidden="1" x14ac:dyDescent="0.25">
      <c r="B1104" s="51">
        <f>YEAR(BDRIOSJ[[#This Row],[FECHA]])</f>
        <v>2024</v>
      </c>
      <c r="C1104" s="51">
        <f>MONTH(BDRIOSJ[[#This Row],[FECHA]])</f>
        <v>4</v>
      </c>
      <c r="D1104" s="50" t="s">
        <v>394</v>
      </c>
      <c r="E1104" s="49" t="s">
        <v>113</v>
      </c>
      <c r="F1104" s="65">
        <v>109.3488</v>
      </c>
    </row>
    <row r="1105" spans="2:6" hidden="1" x14ac:dyDescent="0.25">
      <c r="B1105" s="51">
        <f>YEAR(BDRIOSJ[[#This Row],[FECHA]])</f>
        <v>2024</v>
      </c>
      <c r="C1105" s="51">
        <f>MONTH(BDRIOSJ[[#This Row],[FECHA]])</f>
        <v>4</v>
      </c>
      <c r="D1105" s="50" t="s">
        <v>394</v>
      </c>
      <c r="E1105" s="49" t="s">
        <v>111</v>
      </c>
      <c r="F1105" s="65">
        <v>109.3488</v>
      </c>
    </row>
    <row r="1106" spans="2:6" hidden="1" x14ac:dyDescent="0.25">
      <c r="B1106" s="51">
        <f>YEAR(BDRIOSJ[[#This Row],[FECHA]])</f>
        <v>2024</v>
      </c>
      <c r="C1106" s="51">
        <f>MONTH(BDRIOSJ[[#This Row],[FECHA]])</f>
        <v>4</v>
      </c>
      <c r="D1106" s="50" t="s">
        <v>395</v>
      </c>
      <c r="E1106" s="49" t="s">
        <v>115</v>
      </c>
      <c r="F1106" s="65">
        <v>86.942400000000006</v>
      </c>
    </row>
    <row r="1107" spans="2:6" hidden="1" x14ac:dyDescent="0.25">
      <c r="B1107" s="51">
        <f>YEAR(BDRIOSJ[[#This Row],[FECHA]])</f>
        <v>2024</v>
      </c>
      <c r="C1107" s="51">
        <f>MONTH(BDRIOSJ[[#This Row],[FECHA]])</f>
        <v>4</v>
      </c>
      <c r="D1107" s="50" t="s">
        <v>395</v>
      </c>
      <c r="E1107" s="49" t="s">
        <v>114</v>
      </c>
      <c r="F1107" s="65">
        <v>113.9911</v>
      </c>
    </row>
    <row r="1108" spans="2:6" hidden="1" x14ac:dyDescent="0.25">
      <c r="B1108" s="51">
        <f>YEAR(BDRIOSJ[[#This Row],[FECHA]])</f>
        <v>2024</v>
      </c>
      <c r="C1108" s="51">
        <f>MONTH(BDRIOSJ[[#This Row],[FECHA]])</f>
        <v>4</v>
      </c>
      <c r="D1108" s="50" t="s">
        <v>395</v>
      </c>
      <c r="E1108" s="49" t="s">
        <v>113</v>
      </c>
      <c r="F1108" s="65">
        <v>113.9911</v>
      </c>
    </row>
    <row r="1109" spans="2:6" hidden="1" x14ac:dyDescent="0.25">
      <c r="B1109" s="51">
        <f>YEAR(BDRIOSJ[[#This Row],[FECHA]])</f>
        <v>2024</v>
      </c>
      <c r="C1109" s="51">
        <f>MONTH(BDRIOSJ[[#This Row],[FECHA]])</f>
        <v>4</v>
      </c>
      <c r="D1109" s="50" t="s">
        <v>395</v>
      </c>
      <c r="E1109" s="49" t="s">
        <v>111</v>
      </c>
      <c r="F1109" s="65">
        <v>113.9911</v>
      </c>
    </row>
    <row r="1110" spans="2:6" hidden="1" x14ac:dyDescent="0.25">
      <c r="B1110" s="51">
        <f>YEAR(BDRIOSJ[[#This Row],[FECHA]])</f>
        <v>2024</v>
      </c>
      <c r="C1110" s="51">
        <f>MONTH(BDRIOSJ[[#This Row],[FECHA]])</f>
        <v>4</v>
      </c>
      <c r="D1110" s="50" t="s">
        <v>396</v>
      </c>
      <c r="E1110" s="49" t="s">
        <v>115</v>
      </c>
      <c r="F1110" s="65">
        <v>49.993499999999997</v>
      </c>
    </row>
    <row r="1111" spans="2:6" hidden="1" x14ac:dyDescent="0.25">
      <c r="B1111" s="51">
        <f>YEAR(BDRIOSJ[[#This Row],[FECHA]])</f>
        <v>2024</v>
      </c>
      <c r="C1111" s="51">
        <f>MONTH(BDRIOSJ[[#This Row],[FECHA]])</f>
        <v>4</v>
      </c>
      <c r="D1111" s="50" t="s">
        <v>396</v>
      </c>
      <c r="E1111" s="49" t="s">
        <v>114</v>
      </c>
      <c r="F1111" s="65">
        <v>91.316299999999998</v>
      </c>
    </row>
    <row r="1112" spans="2:6" hidden="1" x14ac:dyDescent="0.25">
      <c r="B1112" s="51">
        <f>YEAR(BDRIOSJ[[#This Row],[FECHA]])</f>
        <v>2024</v>
      </c>
      <c r="C1112" s="51">
        <f>MONTH(BDRIOSJ[[#This Row],[FECHA]])</f>
        <v>4</v>
      </c>
      <c r="D1112" s="50" t="s">
        <v>396</v>
      </c>
      <c r="E1112" s="49" t="s">
        <v>113</v>
      </c>
      <c r="F1112" s="65">
        <v>91.316299999999998</v>
      </c>
    </row>
    <row r="1113" spans="2:6" hidden="1" x14ac:dyDescent="0.25">
      <c r="B1113" s="51">
        <f>YEAR(BDRIOSJ[[#This Row],[FECHA]])</f>
        <v>2024</v>
      </c>
      <c r="C1113" s="51">
        <f>MONTH(BDRIOSJ[[#This Row],[FECHA]])</f>
        <v>4</v>
      </c>
      <c r="D1113" s="50" t="s">
        <v>396</v>
      </c>
      <c r="E1113" s="49" t="s">
        <v>111</v>
      </c>
      <c r="F1113" s="65">
        <v>86.942400000000006</v>
      </c>
    </row>
    <row r="1114" spans="2:6" hidden="1" x14ac:dyDescent="0.25">
      <c r="B1114" s="51">
        <f>YEAR(BDRIOSJ[[#This Row],[FECHA]])</f>
        <v>2024</v>
      </c>
      <c r="C1114" s="51">
        <f>MONTH(BDRIOSJ[[#This Row],[FECHA]])</f>
        <v>4</v>
      </c>
      <c r="D1114" s="50" t="s">
        <v>397</v>
      </c>
      <c r="E1114" s="49" t="s">
        <v>115</v>
      </c>
      <c r="F1114" s="65">
        <v>109.3488</v>
      </c>
    </row>
    <row r="1115" spans="2:6" hidden="1" x14ac:dyDescent="0.25">
      <c r="B1115" s="51">
        <f>YEAR(BDRIOSJ[[#This Row],[FECHA]])</f>
        <v>2024</v>
      </c>
      <c r="C1115" s="51">
        <f>MONTH(BDRIOSJ[[#This Row],[FECHA]])</f>
        <v>4</v>
      </c>
      <c r="D1115" s="50" t="s">
        <v>397</v>
      </c>
      <c r="E1115" s="49" t="s">
        <v>114</v>
      </c>
      <c r="F1115" s="65">
        <v>91.316299999999998</v>
      </c>
    </row>
    <row r="1116" spans="2:6" hidden="1" x14ac:dyDescent="0.25">
      <c r="B1116" s="51">
        <f>YEAR(BDRIOSJ[[#This Row],[FECHA]])</f>
        <v>2024</v>
      </c>
      <c r="C1116" s="51">
        <f>MONTH(BDRIOSJ[[#This Row],[FECHA]])</f>
        <v>4</v>
      </c>
      <c r="D1116" s="50" t="s">
        <v>397</v>
      </c>
      <c r="E1116" s="49" t="s">
        <v>113</v>
      </c>
      <c r="F1116" s="65">
        <v>91.316299999999998</v>
      </c>
    </row>
    <row r="1117" spans="2:6" hidden="1" x14ac:dyDescent="0.25">
      <c r="B1117" s="51">
        <f>YEAR(BDRIOSJ[[#This Row],[FECHA]])</f>
        <v>2024</v>
      </c>
      <c r="C1117" s="51">
        <f>MONTH(BDRIOSJ[[#This Row],[FECHA]])</f>
        <v>4</v>
      </c>
      <c r="D1117" s="50" t="s">
        <v>397</v>
      </c>
      <c r="E1117" s="49" t="s">
        <v>111</v>
      </c>
      <c r="F1117" s="65">
        <v>86.942400000000006</v>
      </c>
    </row>
    <row r="1118" spans="2:6" hidden="1" x14ac:dyDescent="0.25">
      <c r="B1118" s="51">
        <f>YEAR(BDRIOSJ[[#This Row],[FECHA]])</f>
        <v>2024</v>
      </c>
      <c r="C1118" s="51">
        <f>MONTH(BDRIOSJ[[#This Row],[FECHA]])</f>
        <v>4</v>
      </c>
      <c r="D1118" s="50" t="s">
        <v>398</v>
      </c>
      <c r="E1118" s="49" t="s">
        <v>115</v>
      </c>
      <c r="F1118" s="65">
        <v>69.983699999999999</v>
      </c>
    </row>
    <row r="1119" spans="2:6" hidden="1" x14ac:dyDescent="0.25">
      <c r="B1119" s="51">
        <f>YEAR(BDRIOSJ[[#This Row],[FECHA]])</f>
        <v>2024</v>
      </c>
      <c r="C1119" s="51">
        <f>MONTH(BDRIOSJ[[#This Row],[FECHA]])</f>
        <v>4</v>
      </c>
      <c r="D1119" s="50" t="s">
        <v>398</v>
      </c>
      <c r="E1119" s="49" t="s">
        <v>114</v>
      </c>
      <c r="F1119" s="65">
        <v>69.983699999999999</v>
      </c>
    </row>
    <row r="1120" spans="2:6" hidden="1" x14ac:dyDescent="0.25">
      <c r="B1120" s="51">
        <f>YEAR(BDRIOSJ[[#This Row],[FECHA]])</f>
        <v>2024</v>
      </c>
      <c r="C1120" s="51">
        <f>MONTH(BDRIOSJ[[#This Row],[FECHA]])</f>
        <v>4</v>
      </c>
      <c r="D1120" s="50" t="s">
        <v>398</v>
      </c>
      <c r="E1120" s="49" t="s">
        <v>113</v>
      </c>
      <c r="F1120" s="65">
        <v>69.983699999999999</v>
      </c>
    </row>
    <row r="1121" spans="2:6" hidden="1" x14ac:dyDescent="0.25">
      <c r="B1121" s="51">
        <f>YEAR(BDRIOSJ[[#This Row],[FECHA]])</f>
        <v>2024</v>
      </c>
      <c r="C1121" s="51">
        <f>MONTH(BDRIOSJ[[#This Row],[FECHA]])</f>
        <v>4</v>
      </c>
      <c r="D1121" s="50" t="s">
        <v>398</v>
      </c>
      <c r="E1121" s="49" t="s">
        <v>111</v>
      </c>
      <c r="F1121" s="65">
        <v>69.983699999999999</v>
      </c>
    </row>
    <row r="1122" spans="2:6" hidden="1" x14ac:dyDescent="0.25">
      <c r="B1122" s="51">
        <f>YEAR(BDRIOSJ[[#This Row],[FECHA]])</f>
        <v>2024</v>
      </c>
      <c r="C1122" s="51">
        <f>MONTH(BDRIOSJ[[#This Row],[FECHA]])</f>
        <v>4</v>
      </c>
      <c r="D1122" s="50" t="s">
        <v>399</v>
      </c>
      <c r="E1122" s="49" t="s">
        <v>115</v>
      </c>
      <c r="F1122" s="65">
        <v>69.983699999999999</v>
      </c>
    </row>
    <row r="1123" spans="2:6" hidden="1" x14ac:dyDescent="0.25">
      <c r="B1123" s="51">
        <f>YEAR(BDRIOSJ[[#This Row],[FECHA]])</f>
        <v>2024</v>
      </c>
      <c r="C1123" s="51">
        <f>MONTH(BDRIOSJ[[#This Row],[FECHA]])</f>
        <v>4</v>
      </c>
      <c r="D1123" s="50" t="s">
        <v>399</v>
      </c>
      <c r="E1123" s="49" t="s">
        <v>114</v>
      </c>
      <c r="F1123" s="65">
        <v>86.942400000000006</v>
      </c>
    </row>
    <row r="1124" spans="2:6" hidden="1" x14ac:dyDescent="0.25">
      <c r="B1124" s="51">
        <f>YEAR(BDRIOSJ[[#This Row],[FECHA]])</f>
        <v>2024</v>
      </c>
      <c r="C1124" s="51">
        <f>MONTH(BDRIOSJ[[#This Row],[FECHA]])</f>
        <v>4</v>
      </c>
      <c r="D1124" s="50" t="s">
        <v>399</v>
      </c>
      <c r="E1124" s="49" t="s">
        <v>113</v>
      </c>
      <c r="F1124" s="65">
        <v>86.942400000000006</v>
      </c>
    </row>
    <row r="1125" spans="2:6" hidden="1" x14ac:dyDescent="0.25">
      <c r="B1125" s="51">
        <f>YEAR(BDRIOSJ[[#This Row],[FECHA]])</f>
        <v>2024</v>
      </c>
      <c r="C1125" s="51">
        <f>MONTH(BDRIOSJ[[#This Row],[FECHA]])</f>
        <v>4</v>
      </c>
      <c r="D1125" s="50" t="s">
        <v>399</v>
      </c>
      <c r="E1125" s="49" t="s">
        <v>111</v>
      </c>
      <c r="F1125" s="65">
        <v>86.942400000000006</v>
      </c>
    </row>
    <row r="1126" spans="2:6" hidden="1" x14ac:dyDescent="0.25">
      <c r="B1126" s="51">
        <f>YEAR(BDRIOSJ[[#This Row],[FECHA]])</f>
        <v>2024</v>
      </c>
      <c r="C1126" s="51">
        <f>MONTH(BDRIOSJ[[#This Row],[FECHA]])</f>
        <v>4</v>
      </c>
      <c r="D1126" s="50" t="s">
        <v>400</v>
      </c>
      <c r="E1126" s="49" t="s">
        <v>115</v>
      </c>
      <c r="F1126" s="65">
        <v>65.878299999999996</v>
      </c>
    </row>
    <row r="1127" spans="2:6" hidden="1" x14ac:dyDescent="0.25">
      <c r="B1127" s="51">
        <f>YEAR(BDRIOSJ[[#This Row],[FECHA]])</f>
        <v>2024</v>
      </c>
      <c r="C1127" s="51">
        <f>MONTH(BDRIOSJ[[#This Row],[FECHA]])</f>
        <v>4</v>
      </c>
      <c r="D1127" s="50" t="s">
        <v>400</v>
      </c>
      <c r="E1127" s="49" t="s">
        <v>114</v>
      </c>
      <c r="F1127" s="65">
        <v>69.983699999999999</v>
      </c>
    </row>
    <row r="1128" spans="2:6" hidden="1" x14ac:dyDescent="0.25">
      <c r="B1128" s="51">
        <f>YEAR(BDRIOSJ[[#This Row],[FECHA]])</f>
        <v>2024</v>
      </c>
      <c r="C1128" s="51">
        <f>MONTH(BDRIOSJ[[#This Row],[FECHA]])</f>
        <v>4</v>
      </c>
      <c r="D1128" s="50" t="s">
        <v>400</v>
      </c>
      <c r="E1128" s="49" t="s">
        <v>113</v>
      </c>
      <c r="F1128" s="65">
        <v>69.983699999999999</v>
      </c>
    </row>
    <row r="1129" spans="2:6" hidden="1" x14ac:dyDescent="0.25">
      <c r="B1129" s="51">
        <f>YEAR(BDRIOSJ[[#This Row],[FECHA]])</f>
        <v>2024</v>
      </c>
      <c r="C1129" s="51">
        <f>MONTH(BDRIOSJ[[#This Row],[FECHA]])</f>
        <v>4</v>
      </c>
      <c r="D1129" s="50" t="s">
        <v>400</v>
      </c>
      <c r="E1129" s="49" t="s">
        <v>111</v>
      </c>
      <c r="F1129" s="65">
        <v>69.983699999999999</v>
      </c>
    </row>
    <row r="1130" spans="2:6" hidden="1" x14ac:dyDescent="0.25">
      <c r="B1130" s="51">
        <f>YEAR(BDRIOSJ[[#This Row],[FECHA]])</f>
        <v>2024</v>
      </c>
      <c r="C1130" s="51">
        <f>MONTH(BDRIOSJ[[#This Row],[FECHA]])</f>
        <v>4</v>
      </c>
      <c r="D1130" s="50" t="s">
        <v>401</v>
      </c>
      <c r="E1130" s="49" t="s">
        <v>115</v>
      </c>
      <c r="F1130" s="65">
        <v>42.3733</v>
      </c>
    </row>
    <row r="1131" spans="2:6" hidden="1" x14ac:dyDescent="0.25">
      <c r="B1131" s="51">
        <f>YEAR(BDRIOSJ[[#This Row],[FECHA]])</f>
        <v>2024</v>
      </c>
      <c r="C1131" s="51">
        <f>MONTH(BDRIOSJ[[#This Row],[FECHA]])</f>
        <v>4</v>
      </c>
      <c r="D1131" s="50" t="s">
        <v>401</v>
      </c>
      <c r="E1131" s="49" t="s">
        <v>114</v>
      </c>
      <c r="F1131" s="65">
        <v>46.156599999999997</v>
      </c>
    </row>
    <row r="1132" spans="2:6" hidden="1" x14ac:dyDescent="0.25">
      <c r="B1132" s="51">
        <f>YEAR(BDRIOSJ[[#This Row],[FECHA]])</f>
        <v>2024</v>
      </c>
      <c r="C1132" s="51">
        <f>MONTH(BDRIOSJ[[#This Row],[FECHA]])</f>
        <v>4</v>
      </c>
      <c r="D1132" s="50" t="s">
        <v>401</v>
      </c>
      <c r="E1132" s="49" t="s">
        <v>113</v>
      </c>
      <c r="F1132" s="65">
        <v>46.156599999999997</v>
      </c>
    </row>
    <row r="1133" spans="2:6" hidden="1" x14ac:dyDescent="0.25">
      <c r="B1133" s="51">
        <f>YEAR(BDRIOSJ[[#This Row],[FECHA]])</f>
        <v>2024</v>
      </c>
      <c r="C1133" s="51">
        <f>MONTH(BDRIOSJ[[#This Row],[FECHA]])</f>
        <v>4</v>
      </c>
      <c r="D1133" s="50" t="s">
        <v>401</v>
      </c>
      <c r="E1133" s="49" t="s">
        <v>111</v>
      </c>
      <c r="F1133" s="65">
        <v>46.156599999999997</v>
      </c>
    </row>
    <row r="1134" spans="2:6" hidden="1" x14ac:dyDescent="0.25">
      <c r="B1134" s="51">
        <f>YEAR(BDRIOSJ[[#This Row],[FECHA]])</f>
        <v>2024</v>
      </c>
      <c r="C1134" s="51">
        <f>MONTH(BDRIOSJ[[#This Row],[FECHA]])</f>
        <v>4</v>
      </c>
      <c r="D1134" s="50" t="s">
        <v>402</v>
      </c>
      <c r="E1134" s="49" t="s">
        <v>115</v>
      </c>
      <c r="F1134" s="65">
        <v>31.345700000000001</v>
      </c>
    </row>
    <row r="1135" spans="2:6" hidden="1" x14ac:dyDescent="0.25">
      <c r="B1135" s="51">
        <f>YEAR(BDRIOSJ[[#This Row],[FECHA]])</f>
        <v>2024</v>
      </c>
      <c r="C1135" s="51">
        <f>MONTH(BDRIOSJ[[#This Row],[FECHA]])</f>
        <v>4</v>
      </c>
      <c r="D1135" s="50" t="s">
        <v>402</v>
      </c>
      <c r="E1135" s="49" t="s">
        <v>114</v>
      </c>
      <c r="F1135" s="65">
        <v>31.345700000000001</v>
      </c>
    </row>
    <row r="1136" spans="2:6" hidden="1" x14ac:dyDescent="0.25">
      <c r="B1136" s="51">
        <f>YEAR(BDRIOSJ[[#This Row],[FECHA]])</f>
        <v>2024</v>
      </c>
      <c r="C1136" s="51">
        <f>MONTH(BDRIOSJ[[#This Row],[FECHA]])</f>
        <v>4</v>
      </c>
      <c r="D1136" s="50" t="s">
        <v>402</v>
      </c>
      <c r="E1136" s="49" t="s">
        <v>113</v>
      </c>
      <c r="F1136" s="65">
        <v>49.993499999999997</v>
      </c>
    </row>
    <row r="1137" spans="2:6" hidden="1" x14ac:dyDescent="0.25">
      <c r="B1137" s="51">
        <f>YEAR(BDRIOSJ[[#This Row],[FECHA]])</f>
        <v>2024</v>
      </c>
      <c r="C1137" s="51">
        <f>MONTH(BDRIOSJ[[#This Row],[FECHA]])</f>
        <v>4</v>
      </c>
      <c r="D1137" s="50" t="s">
        <v>402</v>
      </c>
      <c r="E1137" s="49" t="s">
        <v>111</v>
      </c>
      <c r="F1137" s="65">
        <v>49.993499999999997</v>
      </c>
    </row>
    <row r="1138" spans="2:6" hidden="1" x14ac:dyDescent="0.25">
      <c r="B1138" s="51">
        <f>YEAR(BDRIOSJ[[#This Row],[FECHA]])</f>
        <v>2024</v>
      </c>
      <c r="C1138" s="51">
        <f>MONTH(BDRIOSJ[[#This Row],[FECHA]])</f>
        <v>4</v>
      </c>
      <c r="D1138" s="50" t="s">
        <v>403</v>
      </c>
      <c r="E1138" s="49" t="s">
        <v>115</v>
      </c>
      <c r="F1138" s="65">
        <v>27.777200000000001</v>
      </c>
    </row>
    <row r="1139" spans="2:6" hidden="1" x14ac:dyDescent="0.25">
      <c r="B1139" s="51">
        <f>YEAR(BDRIOSJ[[#This Row],[FECHA]])</f>
        <v>2024</v>
      </c>
      <c r="C1139" s="51">
        <f>MONTH(BDRIOSJ[[#This Row],[FECHA]])</f>
        <v>4</v>
      </c>
      <c r="D1139" s="50" t="s">
        <v>403</v>
      </c>
      <c r="E1139" s="49" t="s">
        <v>114</v>
      </c>
      <c r="F1139" s="65">
        <v>27.777200000000001</v>
      </c>
    </row>
    <row r="1140" spans="2:6" hidden="1" x14ac:dyDescent="0.25">
      <c r="B1140" s="51">
        <f>YEAR(BDRIOSJ[[#This Row],[FECHA]])</f>
        <v>2024</v>
      </c>
      <c r="C1140" s="51">
        <f>MONTH(BDRIOSJ[[#This Row],[FECHA]])</f>
        <v>4</v>
      </c>
      <c r="D1140" s="50" t="s">
        <v>403</v>
      </c>
      <c r="E1140" s="49" t="s">
        <v>113</v>
      </c>
      <c r="F1140" s="65">
        <v>27.777200000000001</v>
      </c>
    </row>
    <row r="1141" spans="2:6" hidden="1" x14ac:dyDescent="0.25">
      <c r="B1141" s="51">
        <f>YEAR(BDRIOSJ[[#This Row],[FECHA]])</f>
        <v>2024</v>
      </c>
      <c r="C1141" s="51">
        <f>MONTH(BDRIOSJ[[#This Row],[FECHA]])</f>
        <v>4</v>
      </c>
      <c r="D1141" s="50" t="s">
        <v>403</v>
      </c>
      <c r="E1141" s="49" t="s">
        <v>111</v>
      </c>
      <c r="F1141" s="65">
        <v>27.777200000000001</v>
      </c>
    </row>
    <row r="1142" spans="2:6" hidden="1" x14ac:dyDescent="0.25">
      <c r="B1142" s="51">
        <f>YEAR(BDRIOSJ[[#This Row],[FECHA]])</f>
        <v>2024</v>
      </c>
      <c r="C1142" s="51">
        <f>MONTH(BDRIOSJ[[#This Row],[FECHA]])</f>
        <v>4</v>
      </c>
      <c r="D1142" s="50" t="s">
        <v>404</v>
      </c>
      <c r="E1142" s="49" t="s">
        <v>115</v>
      </c>
      <c r="F1142" s="65">
        <v>24.2624</v>
      </c>
    </row>
    <row r="1143" spans="2:6" hidden="1" x14ac:dyDescent="0.25">
      <c r="B1143" s="51">
        <f>YEAR(BDRIOSJ[[#This Row],[FECHA]])</f>
        <v>2024</v>
      </c>
      <c r="C1143" s="51">
        <f>MONTH(BDRIOSJ[[#This Row],[FECHA]])</f>
        <v>4</v>
      </c>
      <c r="D1143" s="50" t="s">
        <v>404</v>
      </c>
      <c r="E1143" s="49" t="s">
        <v>114</v>
      </c>
      <c r="F1143" s="65">
        <v>27.777200000000001</v>
      </c>
    </row>
    <row r="1144" spans="2:6" hidden="1" x14ac:dyDescent="0.25">
      <c r="B1144" s="51">
        <f>YEAR(BDRIOSJ[[#This Row],[FECHA]])</f>
        <v>2024</v>
      </c>
      <c r="C1144" s="51">
        <f>MONTH(BDRIOSJ[[#This Row],[FECHA]])</f>
        <v>4</v>
      </c>
      <c r="D1144" s="50" t="s">
        <v>404</v>
      </c>
      <c r="E1144" s="49" t="s">
        <v>113</v>
      </c>
      <c r="F1144" s="65">
        <v>27.777200000000001</v>
      </c>
    </row>
    <row r="1145" spans="2:6" hidden="1" x14ac:dyDescent="0.25">
      <c r="B1145" s="51">
        <f>YEAR(BDRIOSJ[[#This Row],[FECHA]])</f>
        <v>2024</v>
      </c>
      <c r="C1145" s="51">
        <f>MONTH(BDRIOSJ[[#This Row],[FECHA]])</f>
        <v>4</v>
      </c>
      <c r="D1145" s="50" t="s">
        <v>404</v>
      </c>
      <c r="E1145" s="49" t="s">
        <v>111</v>
      </c>
      <c r="F1145" s="65">
        <v>31.345700000000001</v>
      </c>
    </row>
    <row r="1146" spans="2:6" hidden="1" x14ac:dyDescent="0.25">
      <c r="B1146" s="51">
        <f>YEAR(BDRIOSJ[[#This Row],[FECHA]])</f>
        <v>2024</v>
      </c>
      <c r="C1146" s="51">
        <f>MONTH(BDRIOSJ[[#This Row],[FECHA]])</f>
        <v>4</v>
      </c>
      <c r="D1146" s="50" t="s">
        <v>405</v>
      </c>
      <c r="E1146" s="49" t="s">
        <v>115</v>
      </c>
      <c r="F1146" s="65">
        <v>14.0402</v>
      </c>
    </row>
    <row r="1147" spans="2:6" hidden="1" x14ac:dyDescent="0.25">
      <c r="B1147" s="51">
        <f>YEAR(BDRIOSJ[[#This Row],[FECHA]])</f>
        <v>2024</v>
      </c>
      <c r="C1147" s="51">
        <f>MONTH(BDRIOSJ[[#This Row],[FECHA]])</f>
        <v>4</v>
      </c>
      <c r="D1147" s="50" t="s">
        <v>405</v>
      </c>
      <c r="E1147" s="49" t="s">
        <v>114</v>
      </c>
      <c r="F1147" s="65">
        <v>20.801300000000001</v>
      </c>
    </row>
    <row r="1148" spans="2:6" hidden="1" x14ac:dyDescent="0.25">
      <c r="B1148" s="51">
        <f>YEAR(BDRIOSJ[[#This Row],[FECHA]])</f>
        <v>2024</v>
      </c>
      <c r="C1148" s="51">
        <f>MONTH(BDRIOSJ[[#This Row],[FECHA]])</f>
        <v>4</v>
      </c>
      <c r="D1148" s="50" t="s">
        <v>405</v>
      </c>
      <c r="E1148" s="49" t="s">
        <v>113</v>
      </c>
      <c r="F1148" s="65">
        <v>20.801300000000001</v>
      </c>
    </row>
    <row r="1149" spans="2:6" hidden="1" x14ac:dyDescent="0.25">
      <c r="B1149" s="51">
        <f>YEAR(BDRIOSJ[[#This Row],[FECHA]])</f>
        <v>2024</v>
      </c>
      <c r="C1149" s="51">
        <f>MONTH(BDRIOSJ[[#This Row],[FECHA]])</f>
        <v>4</v>
      </c>
      <c r="D1149" s="50" t="s">
        <v>405</v>
      </c>
      <c r="E1149" s="49" t="s">
        <v>111</v>
      </c>
      <c r="F1149" s="65">
        <v>20.801300000000001</v>
      </c>
    </row>
    <row r="1150" spans="2:6" hidden="1" x14ac:dyDescent="0.25">
      <c r="B1150" s="51">
        <f>YEAR(BDRIOSJ[[#This Row],[FECHA]])</f>
        <v>2024</v>
      </c>
      <c r="C1150" s="51">
        <f>MONTH(BDRIOSJ[[#This Row],[FECHA]])</f>
        <v>4</v>
      </c>
      <c r="D1150" s="50" t="s">
        <v>406</v>
      </c>
      <c r="E1150" s="49" t="s">
        <v>115</v>
      </c>
      <c r="F1150" s="65">
        <v>14.0402</v>
      </c>
    </row>
    <row r="1151" spans="2:6" hidden="1" x14ac:dyDescent="0.25">
      <c r="B1151" s="51">
        <f>YEAR(BDRIOSJ[[#This Row],[FECHA]])</f>
        <v>2024</v>
      </c>
      <c r="C1151" s="51">
        <f>MONTH(BDRIOSJ[[#This Row],[FECHA]])</f>
        <v>4</v>
      </c>
      <c r="D1151" s="50" t="s">
        <v>406</v>
      </c>
      <c r="E1151" s="49" t="s">
        <v>114</v>
      </c>
      <c r="F1151" s="65">
        <v>14.0402</v>
      </c>
    </row>
    <row r="1152" spans="2:6" hidden="1" x14ac:dyDescent="0.25">
      <c r="B1152" s="51">
        <f>YEAR(BDRIOSJ[[#This Row],[FECHA]])</f>
        <v>2024</v>
      </c>
      <c r="C1152" s="51">
        <f>MONTH(BDRIOSJ[[#This Row],[FECHA]])</f>
        <v>4</v>
      </c>
      <c r="D1152" s="50" t="s">
        <v>406</v>
      </c>
      <c r="E1152" s="49" t="s">
        <v>113</v>
      </c>
      <c r="F1152" s="65">
        <v>14.0402</v>
      </c>
    </row>
    <row r="1153" spans="2:6" hidden="1" x14ac:dyDescent="0.25">
      <c r="B1153" s="51">
        <f>YEAR(BDRIOSJ[[#This Row],[FECHA]])</f>
        <v>2024</v>
      </c>
      <c r="C1153" s="51">
        <f>MONTH(BDRIOSJ[[#This Row],[FECHA]])</f>
        <v>4</v>
      </c>
      <c r="D1153" s="50" t="s">
        <v>406</v>
      </c>
      <c r="E1153" s="49" t="s">
        <v>111</v>
      </c>
      <c r="F1153" s="65">
        <v>20.801300000000001</v>
      </c>
    </row>
    <row r="1154" spans="2:6" hidden="1" x14ac:dyDescent="0.25">
      <c r="B1154" s="51">
        <f>YEAR(BDRIOSJ[[#This Row],[FECHA]])</f>
        <v>2024</v>
      </c>
      <c r="C1154" s="51">
        <f>MONTH(BDRIOSJ[[#This Row],[FECHA]])</f>
        <v>4</v>
      </c>
      <c r="D1154" s="50" t="s">
        <v>407</v>
      </c>
      <c r="E1154" s="49" t="s">
        <v>115</v>
      </c>
      <c r="F1154" s="65">
        <v>14.0402</v>
      </c>
    </row>
    <row r="1155" spans="2:6" hidden="1" x14ac:dyDescent="0.25">
      <c r="B1155" s="51">
        <f>YEAR(BDRIOSJ[[#This Row],[FECHA]])</f>
        <v>2024</v>
      </c>
      <c r="C1155" s="51">
        <f>MONTH(BDRIOSJ[[#This Row],[FECHA]])</f>
        <v>4</v>
      </c>
      <c r="D1155" s="50" t="s">
        <v>407</v>
      </c>
      <c r="E1155" s="49" t="s">
        <v>114</v>
      </c>
      <c r="F1155" s="65">
        <v>14.0402</v>
      </c>
    </row>
    <row r="1156" spans="2:6" hidden="1" x14ac:dyDescent="0.25">
      <c r="B1156" s="51">
        <f>YEAR(BDRIOSJ[[#This Row],[FECHA]])</f>
        <v>2024</v>
      </c>
      <c r="C1156" s="51">
        <f>MONTH(BDRIOSJ[[#This Row],[FECHA]])</f>
        <v>4</v>
      </c>
      <c r="D1156" s="50" t="s">
        <v>407</v>
      </c>
      <c r="E1156" s="49" t="s">
        <v>113</v>
      </c>
      <c r="F1156" s="65">
        <v>14.0402</v>
      </c>
    </row>
    <row r="1157" spans="2:6" hidden="1" x14ac:dyDescent="0.25">
      <c r="B1157" s="51">
        <f>YEAR(BDRIOSJ[[#This Row],[FECHA]])</f>
        <v>2024</v>
      </c>
      <c r="C1157" s="51">
        <f>MONTH(BDRIOSJ[[#This Row],[FECHA]])</f>
        <v>4</v>
      </c>
      <c r="D1157" s="50" t="s">
        <v>407</v>
      </c>
      <c r="E1157" s="49" t="s">
        <v>111</v>
      </c>
      <c r="F1157" s="65">
        <v>14.0402</v>
      </c>
    </row>
    <row r="1158" spans="2:6" hidden="1" x14ac:dyDescent="0.25">
      <c r="B1158" s="51">
        <f>YEAR(BDRIOSJ[[#This Row],[FECHA]])</f>
        <v>2024</v>
      </c>
      <c r="C1158" s="51">
        <f>MONTH(BDRIOSJ[[#This Row],[FECHA]])</f>
        <v>4</v>
      </c>
      <c r="D1158" s="50" t="s">
        <v>408</v>
      </c>
      <c r="E1158" s="49" t="s">
        <v>115</v>
      </c>
      <c r="F1158" s="65">
        <v>14.0402</v>
      </c>
    </row>
    <row r="1159" spans="2:6" hidden="1" x14ac:dyDescent="0.25">
      <c r="B1159" s="51">
        <f>YEAR(BDRIOSJ[[#This Row],[FECHA]])</f>
        <v>2024</v>
      </c>
      <c r="C1159" s="51">
        <f>MONTH(BDRIOSJ[[#This Row],[FECHA]])</f>
        <v>4</v>
      </c>
      <c r="D1159" s="50" t="s">
        <v>408</v>
      </c>
      <c r="E1159" s="49" t="s">
        <v>114</v>
      </c>
      <c r="F1159" s="65">
        <v>14.0402</v>
      </c>
    </row>
    <row r="1160" spans="2:6" hidden="1" x14ac:dyDescent="0.25">
      <c r="B1160" s="51">
        <f>YEAR(BDRIOSJ[[#This Row],[FECHA]])</f>
        <v>2024</v>
      </c>
      <c r="C1160" s="51">
        <f>MONTH(BDRIOSJ[[#This Row],[FECHA]])</f>
        <v>4</v>
      </c>
      <c r="D1160" s="50" t="s">
        <v>408</v>
      </c>
      <c r="E1160" s="49" t="s">
        <v>113</v>
      </c>
      <c r="F1160" s="65">
        <v>14.0402</v>
      </c>
    </row>
    <row r="1161" spans="2:6" hidden="1" x14ac:dyDescent="0.25">
      <c r="B1161" s="51">
        <f>YEAR(BDRIOSJ[[#This Row],[FECHA]])</f>
        <v>2024</v>
      </c>
      <c r="C1161" s="51">
        <f>MONTH(BDRIOSJ[[#This Row],[FECHA]])</f>
        <v>4</v>
      </c>
      <c r="D1161" s="50" t="s">
        <v>408</v>
      </c>
      <c r="E1161" s="49" t="s">
        <v>111</v>
      </c>
      <c r="F1161" s="65">
        <v>14.0402</v>
      </c>
    </row>
    <row r="1162" spans="2:6" hidden="1" x14ac:dyDescent="0.25">
      <c r="B1162" s="51">
        <f>YEAR(BDRIOSJ[[#This Row],[FECHA]])</f>
        <v>2024</v>
      </c>
      <c r="C1162" s="51">
        <f>MONTH(BDRIOSJ[[#This Row],[FECHA]])</f>
        <v>4</v>
      </c>
      <c r="D1162" s="50" t="s">
        <v>409</v>
      </c>
      <c r="E1162" s="49" t="s">
        <v>115</v>
      </c>
      <c r="F1162" s="65">
        <v>14.0402</v>
      </c>
    </row>
    <row r="1163" spans="2:6" hidden="1" x14ac:dyDescent="0.25">
      <c r="B1163" s="51">
        <f>YEAR(BDRIOSJ[[#This Row],[FECHA]])</f>
        <v>2024</v>
      </c>
      <c r="C1163" s="51">
        <f>MONTH(BDRIOSJ[[#This Row],[FECHA]])</f>
        <v>4</v>
      </c>
      <c r="D1163" s="50" t="s">
        <v>409</v>
      </c>
      <c r="E1163" s="49" t="s">
        <v>114</v>
      </c>
      <c r="F1163" s="65">
        <v>14.0402</v>
      </c>
    </row>
    <row r="1164" spans="2:6" hidden="1" x14ac:dyDescent="0.25">
      <c r="B1164" s="51">
        <f>YEAR(BDRIOSJ[[#This Row],[FECHA]])</f>
        <v>2024</v>
      </c>
      <c r="C1164" s="51">
        <f>MONTH(BDRIOSJ[[#This Row],[FECHA]])</f>
        <v>4</v>
      </c>
      <c r="D1164" s="50" t="s">
        <v>409</v>
      </c>
      <c r="E1164" s="49" t="s">
        <v>113</v>
      </c>
      <c r="F1164" s="65">
        <v>14.0402</v>
      </c>
    </row>
    <row r="1165" spans="2:6" hidden="1" x14ac:dyDescent="0.25">
      <c r="B1165" s="51">
        <f>YEAR(BDRIOSJ[[#This Row],[FECHA]])</f>
        <v>2024</v>
      </c>
      <c r="C1165" s="51">
        <f>MONTH(BDRIOSJ[[#This Row],[FECHA]])</f>
        <v>4</v>
      </c>
      <c r="D1165" s="50" t="s">
        <v>409</v>
      </c>
      <c r="E1165" s="49" t="s">
        <v>111</v>
      </c>
      <c r="F1165" s="65">
        <v>14.0402</v>
      </c>
    </row>
    <row r="1166" spans="2:6" hidden="1" x14ac:dyDescent="0.25">
      <c r="B1166" s="51">
        <f>YEAR(BDRIOSJ[[#This Row],[FECHA]])</f>
        <v>2024</v>
      </c>
      <c r="C1166" s="51">
        <f>MONTH(BDRIOSJ[[#This Row],[FECHA]])</f>
        <v>4</v>
      </c>
      <c r="D1166" s="50" t="s">
        <v>410</v>
      </c>
      <c r="E1166" s="49" t="s">
        <v>115</v>
      </c>
      <c r="F1166" s="65">
        <v>14.0402</v>
      </c>
    </row>
    <row r="1167" spans="2:6" hidden="1" x14ac:dyDescent="0.25">
      <c r="B1167" s="51">
        <f>YEAR(BDRIOSJ[[#This Row],[FECHA]])</f>
        <v>2024</v>
      </c>
      <c r="C1167" s="51">
        <f>MONTH(BDRIOSJ[[#This Row],[FECHA]])</f>
        <v>4</v>
      </c>
      <c r="D1167" s="50" t="s">
        <v>410</v>
      </c>
      <c r="E1167" s="49" t="s">
        <v>114</v>
      </c>
      <c r="F1167" s="65">
        <v>14.0402</v>
      </c>
    </row>
    <row r="1168" spans="2:6" hidden="1" x14ac:dyDescent="0.25">
      <c r="B1168" s="51">
        <f>YEAR(BDRIOSJ[[#This Row],[FECHA]])</f>
        <v>2024</v>
      </c>
      <c r="C1168" s="51">
        <f>MONTH(BDRIOSJ[[#This Row],[FECHA]])</f>
        <v>4</v>
      </c>
      <c r="D1168" s="50" t="s">
        <v>410</v>
      </c>
      <c r="E1168" s="49" t="s">
        <v>113</v>
      </c>
      <c r="F1168" s="65">
        <v>14.0402</v>
      </c>
    </row>
    <row r="1169" spans="2:6" hidden="1" x14ac:dyDescent="0.25">
      <c r="B1169" s="51">
        <f>YEAR(BDRIOSJ[[#This Row],[FECHA]])</f>
        <v>2024</v>
      </c>
      <c r="C1169" s="51">
        <f>MONTH(BDRIOSJ[[#This Row],[FECHA]])</f>
        <v>4</v>
      </c>
      <c r="D1169" s="50" t="s">
        <v>410</v>
      </c>
      <c r="E1169" s="49" t="s">
        <v>111</v>
      </c>
      <c r="F1169" s="65">
        <v>14.0402</v>
      </c>
    </row>
    <row r="1170" spans="2:6" hidden="1" x14ac:dyDescent="0.25">
      <c r="B1170" s="51">
        <f>YEAR(BDRIOSJ[[#This Row],[FECHA]])</f>
        <v>2024</v>
      </c>
      <c r="C1170" s="51">
        <f>MONTH(BDRIOSJ[[#This Row],[FECHA]])</f>
        <v>4</v>
      </c>
      <c r="D1170" s="50" t="s">
        <v>411</v>
      </c>
      <c r="E1170" s="49" t="s">
        <v>115</v>
      </c>
      <c r="F1170" s="65">
        <v>14.0402</v>
      </c>
    </row>
    <row r="1171" spans="2:6" hidden="1" x14ac:dyDescent="0.25">
      <c r="B1171" s="51">
        <f>YEAR(BDRIOSJ[[#This Row],[FECHA]])</f>
        <v>2024</v>
      </c>
      <c r="C1171" s="51">
        <f>MONTH(BDRIOSJ[[#This Row],[FECHA]])</f>
        <v>4</v>
      </c>
      <c r="D1171" s="50" t="s">
        <v>411</v>
      </c>
      <c r="E1171" s="49" t="s">
        <v>114</v>
      </c>
      <c r="F1171" s="65">
        <v>14.0402</v>
      </c>
    </row>
    <row r="1172" spans="2:6" hidden="1" x14ac:dyDescent="0.25">
      <c r="B1172" s="51">
        <f>YEAR(BDRIOSJ[[#This Row],[FECHA]])</f>
        <v>2024</v>
      </c>
      <c r="C1172" s="51">
        <f>MONTH(BDRIOSJ[[#This Row],[FECHA]])</f>
        <v>4</v>
      </c>
      <c r="D1172" s="50" t="s">
        <v>411</v>
      </c>
      <c r="E1172" s="49" t="s">
        <v>113</v>
      </c>
      <c r="F1172" s="65">
        <v>14.0402</v>
      </c>
    </row>
    <row r="1173" spans="2:6" hidden="1" x14ac:dyDescent="0.25">
      <c r="B1173" s="51">
        <f>YEAR(BDRIOSJ[[#This Row],[FECHA]])</f>
        <v>2024</v>
      </c>
      <c r="C1173" s="51">
        <f>MONTH(BDRIOSJ[[#This Row],[FECHA]])</f>
        <v>4</v>
      </c>
      <c r="D1173" s="50" t="s">
        <v>411</v>
      </c>
      <c r="E1173" s="49" t="s">
        <v>111</v>
      </c>
      <c r="F1173" s="65">
        <v>14.0402</v>
      </c>
    </row>
    <row r="1174" spans="2:6" hidden="1" x14ac:dyDescent="0.25">
      <c r="B1174" s="51">
        <f>YEAR(BDRIOSJ[[#This Row],[FECHA]])</f>
        <v>2024</v>
      </c>
      <c r="C1174" s="51">
        <f>MONTH(BDRIOSJ[[#This Row],[FECHA]])</f>
        <v>4</v>
      </c>
      <c r="D1174" s="50" t="s">
        <v>412</v>
      </c>
      <c r="E1174" s="49" t="s">
        <v>115</v>
      </c>
      <c r="F1174" s="65">
        <v>1.1621999999999999</v>
      </c>
    </row>
    <row r="1175" spans="2:6" hidden="1" x14ac:dyDescent="0.25">
      <c r="B1175" s="51">
        <f>YEAR(BDRIOSJ[[#This Row],[FECHA]])</f>
        <v>2024</v>
      </c>
      <c r="C1175" s="51">
        <f>MONTH(BDRIOSJ[[#This Row],[FECHA]])</f>
        <v>4</v>
      </c>
      <c r="D1175" s="50" t="s">
        <v>412</v>
      </c>
      <c r="E1175" s="49" t="s">
        <v>114</v>
      </c>
      <c r="F1175" s="65">
        <v>1.1621999999999999</v>
      </c>
    </row>
    <row r="1176" spans="2:6" hidden="1" x14ac:dyDescent="0.25">
      <c r="B1176" s="51">
        <f>YEAR(BDRIOSJ[[#This Row],[FECHA]])</f>
        <v>2024</v>
      </c>
      <c r="C1176" s="51">
        <f>MONTH(BDRIOSJ[[#This Row],[FECHA]])</f>
        <v>4</v>
      </c>
      <c r="D1176" s="50" t="s">
        <v>412</v>
      </c>
      <c r="E1176" s="49" t="s">
        <v>113</v>
      </c>
      <c r="F1176" s="65">
        <v>14.0402</v>
      </c>
    </row>
    <row r="1177" spans="2:6" hidden="1" x14ac:dyDescent="0.25">
      <c r="B1177" s="51">
        <f>YEAR(BDRIOSJ[[#This Row],[FECHA]])</f>
        <v>2024</v>
      </c>
      <c r="C1177" s="51">
        <f>MONTH(BDRIOSJ[[#This Row],[FECHA]])</f>
        <v>4</v>
      </c>
      <c r="D1177" s="50" t="s">
        <v>412</v>
      </c>
      <c r="E1177" s="49" t="s">
        <v>111</v>
      </c>
      <c r="F1177" s="65">
        <v>14.0402</v>
      </c>
    </row>
    <row r="1178" spans="2:6" hidden="1" x14ac:dyDescent="0.25">
      <c r="B1178" s="51">
        <f>YEAR(BDRIOSJ[[#This Row],[FECHA]])</f>
        <v>2024</v>
      </c>
      <c r="C1178" s="51">
        <f>MONTH(BDRIOSJ[[#This Row],[FECHA]])</f>
        <v>4</v>
      </c>
      <c r="D1178" s="50" t="s">
        <v>413</v>
      </c>
      <c r="E1178" s="49" t="s">
        <v>115</v>
      </c>
      <c r="F1178" s="65">
        <v>4.3011999999999997</v>
      </c>
    </row>
    <row r="1179" spans="2:6" hidden="1" x14ac:dyDescent="0.25">
      <c r="B1179" s="51">
        <f>YEAR(BDRIOSJ[[#This Row],[FECHA]])</f>
        <v>2024</v>
      </c>
      <c r="C1179" s="51">
        <f>MONTH(BDRIOSJ[[#This Row],[FECHA]])</f>
        <v>4</v>
      </c>
      <c r="D1179" s="50" t="s">
        <v>413</v>
      </c>
      <c r="E1179" s="49" t="s">
        <v>114</v>
      </c>
      <c r="F1179" s="65">
        <v>4.3011999999999997</v>
      </c>
    </row>
    <row r="1180" spans="2:6" hidden="1" x14ac:dyDescent="0.25">
      <c r="B1180" s="51">
        <f>YEAR(BDRIOSJ[[#This Row],[FECHA]])</f>
        <v>2024</v>
      </c>
      <c r="C1180" s="51">
        <f>MONTH(BDRIOSJ[[#This Row],[FECHA]])</f>
        <v>4</v>
      </c>
      <c r="D1180" s="50" t="s">
        <v>413</v>
      </c>
      <c r="E1180" s="49" t="s">
        <v>113</v>
      </c>
      <c r="F1180" s="65">
        <v>4.3011999999999997</v>
      </c>
    </row>
    <row r="1181" spans="2:6" hidden="1" x14ac:dyDescent="0.25">
      <c r="B1181" s="51">
        <f>YEAR(BDRIOSJ[[#This Row],[FECHA]])</f>
        <v>2024</v>
      </c>
      <c r="C1181" s="51">
        <f>MONTH(BDRIOSJ[[#This Row],[FECHA]])</f>
        <v>4</v>
      </c>
      <c r="D1181" s="50" t="s">
        <v>413</v>
      </c>
      <c r="E1181" s="49" t="s">
        <v>111</v>
      </c>
      <c r="F1181" s="65">
        <v>4.3011999999999997</v>
      </c>
    </row>
    <row r="1182" spans="2:6" hidden="1" x14ac:dyDescent="0.25">
      <c r="B1182" s="51">
        <f>YEAR(BDRIOSJ[[#This Row],[FECHA]])</f>
        <v>2024</v>
      </c>
      <c r="C1182" s="51">
        <f>MONTH(BDRIOSJ[[#This Row],[FECHA]])</f>
        <v>4</v>
      </c>
      <c r="D1182" s="50" t="s">
        <v>414</v>
      </c>
      <c r="E1182" s="49" t="s">
        <v>115</v>
      </c>
      <c r="F1182" s="65">
        <v>4.3011999999999997</v>
      </c>
    </row>
    <row r="1183" spans="2:6" hidden="1" x14ac:dyDescent="0.25">
      <c r="B1183" s="51">
        <f>YEAR(BDRIOSJ[[#This Row],[FECHA]])</f>
        <v>2024</v>
      </c>
      <c r="C1183" s="51">
        <f>MONTH(BDRIOSJ[[#This Row],[FECHA]])</f>
        <v>4</v>
      </c>
      <c r="D1183" s="50" t="s">
        <v>414</v>
      </c>
      <c r="E1183" s="49" t="s">
        <v>114</v>
      </c>
      <c r="F1183" s="65">
        <v>4.3011999999999997</v>
      </c>
    </row>
    <row r="1184" spans="2:6" hidden="1" x14ac:dyDescent="0.25">
      <c r="B1184" s="51">
        <f>YEAR(BDRIOSJ[[#This Row],[FECHA]])</f>
        <v>2024</v>
      </c>
      <c r="C1184" s="51">
        <f>MONTH(BDRIOSJ[[#This Row],[FECHA]])</f>
        <v>4</v>
      </c>
      <c r="D1184" s="50" t="s">
        <v>414</v>
      </c>
      <c r="E1184" s="49" t="s">
        <v>113</v>
      </c>
      <c r="F1184" s="65">
        <v>4.3011999999999997</v>
      </c>
    </row>
    <row r="1185" spans="2:6" hidden="1" x14ac:dyDescent="0.25">
      <c r="B1185" s="51">
        <f>YEAR(BDRIOSJ[[#This Row],[FECHA]])</f>
        <v>2024</v>
      </c>
      <c r="C1185" s="51">
        <f>MONTH(BDRIOSJ[[#This Row],[FECHA]])</f>
        <v>4</v>
      </c>
      <c r="D1185" s="50" t="s">
        <v>414</v>
      </c>
      <c r="E1185" s="49" t="s">
        <v>111</v>
      </c>
      <c r="F1185" s="65">
        <v>4.3011999999999997</v>
      </c>
    </row>
    <row r="1186" spans="2:6" hidden="1" x14ac:dyDescent="0.25">
      <c r="B1186" s="51">
        <f>YEAR(BDRIOSJ[[#This Row],[FECHA]])</f>
        <v>2024</v>
      </c>
      <c r="C1186" s="51">
        <f>MONTH(BDRIOSJ[[#This Row],[FECHA]])</f>
        <v>4</v>
      </c>
      <c r="D1186" s="50" t="s">
        <v>415</v>
      </c>
      <c r="E1186" s="49" t="s">
        <v>115</v>
      </c>
      <c r="F1186" s="65">
        <v>4.3011999999999997</v>
      </c>
    </row>
    <row r="1187" spans="2:6" hidden="1" x14ac:dyDescent="0.25">
      <c r="B1187" s="51">
        <f>YEAR(BDRIOSJ[[#This Row],[FECHA]])</f>
        <v>2024</v>
      </c>
      <c r="C1187" s="51">
        <f>MONTH(BDRIOSJ[[#This Row],[FECHA]])</f>
        <v>4</v>
      </c>
      <c r="D1187" s="50" t="s">
        <v>415</v>
      </c>
      <c r="E1187" s="49" t="s">
        <v>114</v>
      </c>
      <c r="F1187" s="65">
        <v>4.3011999999999997</v>
      </c>
    </row>
    <row r="1188" spans="2:6" hidden="1" x14ac:dyDescent="0.25">
      <c r="B1188" s="51">
        <f>YEAR(BDRIOSJ[[#This Row],[FECHA]])</f>
        <v>2024</v>
      </c>
      <c r="C1188" s="51">
        <f>MONTH(BDRIOSJ[[#This Row],[FECHA]])</f>
        <v>4</v>
      </c>
      <c r="D1188" s="50" t="s">
        <v>415</v>
      </c>
      <c r="E1188" s="49" t="s">
        <v>113</v>
      </c>
      <c r="F1188" s="65">
        <v>4.3011999999999997</v>
      </c>
    </row>
    <row r="1189" spans="2:6" hidden="1" x14ac:dyDescent="0.25">
      <c r="B1189" s="51">
        <f>YEAR(BDRIOSJ[[#This Row],[FECHA]])</f>
        <v>2024</v>
      </c>
      <c r="C1189" s="51">
        <f>MONTH(BDRIOSJ[[#This Row],[FECHA]])</f>
        <v>4</v>
      </c>
      <c r="D1189" s="50" t="s">
        <v>415</v>
      </c>
      <c r="E1189" s="49" t="s">
        <v>111</v>
      </c>
      <c r="F1189" s="65">
        <v>4.3011999999999997</v>
      </c>
    </row>
    <row r="1190" spans="2:6" hidden="1" x14ac:dyDescent="0.25">
      <c r="B1190" s="51">
        <f>YEAR(BDRIOSJ[[#This Row],[FECHA]])</f>
        <v>2024</v>
      </c>
      <c r="C1190" s="51">
        <f>MONTH(BDRIOSJ[[#This Row],[FECHA]])</f>
        <v>4</v>
      </c>
      <c r="D1190" s="50" t="s">
        <v>416</v>
      </c>
      <c r="E1190" s="49" t="s">
        <v>115</v>
      </c>
      <c r="F1190" s="65">
        <v>4.3011999999999997</v>
      </c>
    </row>
    <row r="1191" spans="2:6" hidden="1" x14ac:dyDescent="0.25">
      <c r="B1191" s="51">
        <f>YEAR(BDRIOSJ[[#This Row],[FECHA]])</f>
        <v>2024</v>
      </c>
      <c r="C1191" s="51">
        <f>MONTH(BDRIOSJ[[#This Row],[FECHA]])</f>
        <v>4</v>
      </c>
      <c r="D1191" s="50" t="s">
        <v>416</v>
      </c>
      <c r="E1191" s="49" t="s">
        <v>114</v>
      </c>
      <c r="F1191" s="65">
        <v>4.3011999999999997</v>
      </c>
    </row>
    <row r="1192" spans="2:6" hidden="1" x14ac:dyDescent="0.25">
      <c r="B1192" s="51">
        <f>YEAR(BDRIOSJ[[#This Row],[FECHA]])</f>
        <v>2024</v>
      </c>
      <c r="C1192" s="51">
        <f>MONTH(BDRIOSJ[[#This Row],[FECHA]])</f>
        <v>4</v>
      </c>
      <c r="D1192" s="50" t="s">
        <v>416</v>
      </c>
      <c r="E1192" s="49" t="s">
        <v>113</v>
      </c>
      <c r="F1192" s="65">
        <v>4.3011999999999997</v>
      </c>
    </row>
    <row r="1193" spans="2:6" hidden="1" x14ac:dyDescent="0.25">
      <c r="B1193" s="51">
        <f>YEAR(BDRIOSJ[[#This Row],[FECHA]])</f>
        <v>2024</v>
      </c>
      <c r="C1193" s="51">
        <f>MONTH(BDRIOSJ[[#This Row],[FECHA]])</f>
        <v>4</v>
      </c>
      <c r="D1193" s="50" t="s">
        <v>416</v>
      </c>
      <c r="E1193" s="49" t="s">
        <v>111</v>
      </c>
      <c r="F1193" s="65">
        <v>4.3011999999999997</v>
      </c>
    </row>
    <row r="1194" spans="2:6" hidden="1" x14ac:dyDescent="0.25">
      <c r="B1194" s="51">
        <f>YEAR(BDRIOSJ[[#This Row],[FECHA]])</f>
        <v>2024</v>
      </c>
      <c r="C1194" s="51">
        <f>MONTH(BDRIOSJ[[#This Row],[FECHA]])</f>
        <v>4</v>
      </c>
      <c r="D1194" s="50" t="s">
        <v>417</v>
      </c>
      <c r="E1194" s="49" t="s">
        <v>115</v>
      </c>
      <c r="F1194" s="65">
        <v>4.3011999999999997</v>
      </c>
    </row>
    <row r="1195" spans="2:6" hidden="1" x14ac:dyDescent="0.25">
      <c r="B1195" s="51">
        <f>YEAR(BDRIOSJ[[#This Row],[FECHA]])</f>
        <v>2024</v>
      </c>
      <c r="C1195" s="51">
        <f>MONTH(BDRIOSJ[[#This Row],[FECHA]])</f>
        <v>4</v>
      </c>
      <c r="D1195" s="50" t="s">
        <v>417</v>
      </c>
      <c r="E1195" s="49" t="s">
        <v>114</v>
      </c>
      <c r="F1195" s="65">
        <v>4.3011999999999997</v>
      </c>
    </row>
    <row r="1196" spans="2:6" hidden="1" x14ac:dyDescent="0.25">
      <c r="B1196" s="51">
        <f>YEAR(BDRIOSJ[[#This Row],[FECHA]])</f>
        <v>2024</v>
      </c>
      <c r="C1196" s="51">
        <f>MONTH(BDRIOSJ[[#This Row],[FECHA]])</f>
        <v>4</v>
      </c>
      <c r="D1196" s="50" t="s">
        <v>417</v>
      </c>
      <c r="E1196" s="49" t="s">
        <v>113</v>
      </c>
      <c r="F1196" s="65">
        <v>4.3011999999999997</v>
      </c>
    </row>
    <row r="1197" spans="2:6" hidden="1" x14ac:dyDescent="0.25">
      <c r="B1197" s="51">
        <f>YEAR(BDRIOSJ[[#This Row],[FECHA]])</f>
        <v>2024</v>
      </c>
      <c r="C1197" s="51">
        <f>MONTH(BDRIOSJ[[#This Row],[FECHA]])</f>
        <v>4</v>
      </c>
      <c r="D1197" s="50" t="s">
        <v>417</v>
      </c>
      <c r="E1197" s="49" t="s">
        <v>111</v>
      </c>
      <c r="F1197" s="65">
        <v>4.3011999999999997</v>
      </c>
    </row>
    <row r="1198" spans="2:6" hidden="1" x14ac:dyDescent="0.25">
      <c r="B1198" s="51">
        <f>YEAR(BDRIOSJ[[#This Row],[FECHA]])</f>
        <v>2024</v>
      </c>
      <c r="C1198" s="51">
        <f>MONTH(BDRIOSJ[[#This Row],[FECHA]])</f>
        <v>4</v>
      </c>
      <c r="D1198" s="50" t="s">
        <v>418</v>
      </c>
      <c r="E1198" s="49" t="s">
        <v>115</v>
      </c>
      <c r="F1198" s="65">
        <v>4.3011999999999997</v>
      </c>
    </row>
    <row r="1199" spans="2:6" hidden="1" x14ac:dyDescent="0.25">
      <c r="B1199" s="51">
        <f>YEAR(BDRIOSJ[[#This Row],[FECHA]])</f>
        <v>2024</v>
      </c>
      <c r="C1199" s="51">
        <f>MONTH(BDRIOSJ[[#This Row],[FECHA]])</f>
        <v>4</v>
      </c>
      <c r="D1199" s="50" t="s">
        <v>418</v>
      </c>
      <c r="E1199" s="49" t="s">
        <v>114</v>
      </c>
      <c r="F1199" s="65">
        <v>4.3011999999999997</v>
      </c>
    </row>
    <row r="1200" spans="2:6" hidden="1" x14ac:dyDescent="0.25">
      <c r="B1200" s="51">
        <f>YEAR(BDRIOSJ[[#This Row],[FECHA]])</f>
        <v>2024</v>
      </c>
      <c r="C1200" s="51">
        <f>MONTH(BDRIOSJ[[#This Row],[FECHA]])</f>
        <v>4</v>
      </c>
      <c r="D1200" s="50" t="s">
        <v>418</v>
      </c>
      <c r="E1200" s="49" t="s">
        <v>113</v>
      </c>
      <c r="F1200" s="65">
        <v>4.3011999999999997</v>
      </c>
    </row>
    <row r="1201" spans="2:6" hidden="1" x14ac:dyDescent="0.25">
      <c r="B1201" s="51">
        <f>YEAR(BDRIOSJ[[#This Row],[FECHA]])</f>
        <v>2024</v>
      </c>
      <c r="C1201" s="51">
        <f>MONTH(BDRIOSJ[[#This Row],[FECHA]])</f>
        <v>4</v>
      </c>
      <c r="D1201" s="50" t="s">
        <v>418</v>
      </c>
      <c r="E1201" s="49" t="s">
        <v>111</v>
      </c>
      <c r="F1201" s="65">
        <v>4.3011999999999997</v>
      </c>
    </row>
    <row r="1202" spans="2:6" hidden="1" x14ac:dyDescent="0.25">
      <c r="B1202" s="51">
        <f>YEAR(BDRIOSJ[[#This Row],[FECHA]])</f>
        <v>2024</v>
      </c>
      <c r="C1202" s="51">
        <f>MONTH(BDRIOSJ[[#This Row],[FECHA]])</f>
        <v>5</v>
      </c>
      <c r="D1202" s="50" t="s">
        <v>419</v>
      </c>
      <c r="E1202" s="49" t="s">
        <v>115</v>
      </c>
      <c r="F1202" s="65">
        <v>4.3011999999999997</v>
      </c>
    </row>
    <row r="1203" spans="2:6" hidden="1" x14ac:dyDescent="0.25">
      <c r="B1203" s="51">
        <f>YEAR(BDRIOSJ[[#This Row],[FECHA]])</f>
        <v>2024</v>
      </c>
      <c r="C1203" s="51">
        <f>MONTH(BDRIOSJ[[#This Row],[FECHA]])</f>
        <v>5</v>
      </c>
      <c r="D1203" s="50" t="s">
        <v>419</v>
      </c>
      <c r="E1203" s="49" t="s">
        <v>114</v>
      </c>
      <c r="F1203" s="65">
        <v>4.3011999999999997</v>
      </c>
    </row>
    <row r="1204" spans="2:6" hidden="1" x14ac:dyDescent="0.25">
      <c r="B1204" s="51">
        <f>YEAR(BDRIOSJ[[#This Row],[FECHA]])</f>
        <v>2024</v>
      </c>
      <c r="C1204" s="51">
        <f>MONTH(BDRIOSJ[[#This Row],[FECHA]])</f>
        <v>5</v>
      </c>
      <c r="D1204" s="50" t="s">
        <v>419</v>
      </c>
      <c r="E1204" s="49" t="s">
        <v>113</v>
      </c>
      <c r="F1204" s="65">
        <v>4.3011999999999997</v>
      </c>
    </row>
    <row r="1205" spans="2:6" hidden="1" x14ac:dyDescent="0.25">
      <c r="B1205" s="51">
        <f>YEAR(BDRIOSJ[[#This Row],[FECHA]])</f>
        <v>2024</v>
      </c>
      <c r="C1205" s="51">
        <f>MONTH(BDRIOSJ[[#This Row],[FECHA]])</f>
        <v>5</v>
      </c>
      <c r="D1205" s="50" t="s">
        <v>419</v>
      </c>
      <c r="E1205" s="49" t="s">
        <v>111</v>
      </c>
      <c r="F1205" s="65">
        <v>4.3011999999999997</v>
      </c>
    </row>
    <row r="1206" spans="2:6" hidden="1" x14ac:dyDescent="0.25">
      <c r="B1206" s="51">
        <f>YEAR(BDRIOSJ[[#This Row],[FECHA]])</f>
        <v>2024</v>
      </c>
      <c r="C1206" s="51">
        <f>MONTH(BDRIOSJ[[#This Row],[FECHA]])</f>
        <v>5</v>
      </c>
      <c r="D1206" s="50" t="s">
        <v>420</v>
      </c>
      <c r="E1206" s="49" t="s">
        <v>115</v>
      </c>
      <c r="F1206" s="65">
        <v>12.3834</v>
      </c>
    </row>
    <row r="1207" spans="2:6" hidden="1" x14ac:dyDescent="0.25">
      <c r="B1207" s="51">
        <f>YEAR(BDRIOSJ[[#This Row],[FECHA]])</f>
        <v>2024</v>
      </c>
      <c r="C1207" s="51">
        <f>MONTH(BDRIOSJ[[#This Row],[FECHA]])</f>
        <v>5</v>
      </c>
      <c r="D1207" s="50" t="s">
        <v>420</v>
      </c>
      <c r="E1207" s="49" t="s">
        <v>114</v>
      </c>
      <c r="F1207" s="65">
        <v>4.3011999999999997</v>
      </c>
    </row>
    <row r="1208" spans="2:6" hidden="1" x14ac:dyDescent="0.25">
      <c r="B1208" s="51">
        <f>YEAR(BDRIOSJ[[#This Row],[FECHA]])</f>
        <v>2024</v>
      </c>
      <c r="C1208" s="51">
        <f>MONTH(BDRIOSJ[[#This Row],[FECHA]])</f>
        <v>5</v>
      </c>
      <c r="D1208" s="50" t="s">
        <v>420</v>
      </c>
      <c r="E1208" s="49" t="s">
        <v>113</v>
      </c>
      <c r="F1208" s="65">
        <v>4.3011999999999997</v>
      </c>
    </row>
    <row r="1209" spans="2:6" hidden="1" x14ac:dyDescent="0.25">
      <c r="B1209" s="51">
        <f>YEAR(BDRIOSJ[[#This Row],[FECHA]])</f>
        <v>2024</v>
      </c>
      <c r="C1209" s="51">
        <f>MONTH(BDRIOSJ[[#This Row],[FECHA]])</f>
        <v>5</v>
      </c>
      <c r="D1209" s="50" t="s">
        <v>420</v>
      </c>
      <c r="E1209" s="49" t="s">
        <v>111</v>
      </c>
      <c r="F1209" s="65">
        <v>4.3011999999999997</v>
      </c>
    </row>
    <row r="1210" spans="2:6" hidden="1" x14ac:dyDescent="0.25">
      <c r="B1210" s="51">
        <f>YEAR(BDRIOSJ[[#This Row],[FECHA]])</f>
        <v>2024</v>
      </c>
      <c r="C1210" s="51">
        <f>MONTH(BDRIOSJ[[#This Row],[FECHA]])</f>
        <v>5</v>
      </c>
      <c r="D1210" s="50" t="s">
        <v>421</v>
      </c>
      <c r="E1210" s="49" t="s">
        <v>115</v>
      </c>
      <c r="F1210" s="65">
        <v>13.402200000000001</v>
      </c>
    </row>
    <row r="1211" spans="2:6" hidden="1" x14ac:dyDescent="0.25">
      <c r="B1211" s="51">
        <f>YEAR(BDRIOSJ[[#This Row],[FECHA]])</f>
        <v>2024</v>
      </c>
      <c r="C1211" s="51">
        <f>MONTH(BDRIOSJ[[#This Row],[FECHA]])</f>
        <v>5</v>
      </c>
      <c r="D1211" s="50" t="s">
        <v>421</v>
      </c>
      <c r="E1211" s="49" t="s">
        <v>114</v>
      </c>
      <c r="F1211" s="65">
        <v>13.402200000000001</v>
      </c>
    </row>
    <row r="1212" spans="2:6" hidden="1" x14ac:dyDescent="0.25">
      <c r="B1212" s="51">
        <f>YEAR(BDRIOSJ[[#This Row],[FECHA]])</f>
        <v>2024</v>
      </c>
      <c r="C1212" s="51">
        <f>MONTH(BDRIOSJ[[#This Row],[FECHA]])</f>
        <v>5</v>
      </c>
      <c r="D1212" s="50" t="s">
        <v>421</v>
      </c>
      <c r="E1212" s="49" t="s">
        <v>113</v>
      </c>
      <c r="F1212" s="65">
        <v>13.402200000000001</v>
      </c>
    </row>
    <row r="1213" spans="2:6" hidden="1" x14ac:dyDescent="0.25">
      <c r="B1213" s="51">
        <f>YEAR(BDRIOSJ[[#This Row],[FECHA]])</f>
        <v>2024</v>
      </c>
      <c r="C1213" s="51">
        <f>MONTH(BDRIOSJ[[#This Row],[FECHA]])</f>
        <v>5</v>
      </c>
      <c r="D1213" s="50" t="s">
        <v>421</v>
      </c>
      <c r="E1213" s="49" t="s">
        <v>111</v>
      </c>
      <c r="F1213" s="65">
        <v>13.402200000000001</v>
      </c>
    </row>
    <row r="1214" spans="2:6" hidden="1" x14ac:dyDescent="0.25">
      <c r="B1214" s="51">
        <f>YEAR(BDRIOSJ[[#This Row],[FECHA]])</f>
        <v>2024</v>
      </c>
      <c r="C1214" s="51">
        <f>MONTH(BDRIOSJ[[#This Row],[FECHA]])</f>
        <v>5</v>
      </c>
      <c r="D1214" s="50" t="s">
        <v>422</v>
      </c>
      <c r="E1214" s="49" t="s">
        <v>115</v>
      </c>
      <c r="F1214" s="65">
        <v>13.402200000000001</v>
      </c>
    </row>
    <row r="1215" spans="2:6" hidden="1" x14ac:dyDescent="0.25">
      <c r="B1215" s="51">
        <f>YEAR(BDRIOSJ[[#This Row],[FECHA]])</f>
        <v>2024</v>
      </c>
      <c r="C1215" s="51">
        <f>MONTH(BDRIOSJ[[#This Row],[FECHA]])</f>
        <v>5</v>
      </c>
      <c r="D1215" s="50" t="s">
        <v>422</v>
      </c>
      <c r="E1215" s="49" t="s">
        <v>114</v>
      </c>
      <c r="F1215" s="65">
        <v>13.402200000000001</v>
      </c>
    </row>
    <row r="1216" spans="2:6" hidden="1" x14ac:dyDescent="0.25">
      <c r="B1216" s="51">
        <f>YEAR(BDRIOSJ[[#This Row],[FECHA]])</f>
        <v>2024</v>
      </c>
      <c r="C1216" s="51">
        <f>MONTH(BDRIOSJ[[#This Row],[FECHA]])</f>
        <v>5</v>
      </c>
      <c r="D1216" s="50" t="s">
        <v>422</v>
      </c>
      <c r="E1216" s="49" t="s">
        <v>113</v>
      </c>
      <c r="F1216" s="65">
        <v>13.402200000000001</v>
      </c>
    </row>
    <row r="1217" spans="2:6" hidden="1" x14ac:dyDescent="0.25">
      <c r="B1217" s="51">
        <f>YEAR(BDRIOSJ[[#This Row],[FECHA]])</f>
        <v>2024</v>
      </c>
      <c r="C1217" s="51">
        <f>MONTH(BDRIOSJ[[#This Row],[FECHA]])</f>
        <v>5</v>
      </c>
      <c r="D1217" s="50" t="s">
        <v>422</v>
      </c>
      <c r="E1217" s="49" t="s">
        <v>111</v>
      </c>
      <c r="F1217" s="65">
        <v>13.402200000000001</v>
      </c>
    </row>
    <row r="1218" spans="2:6" hidden="1" x14ac:dyDescent="0.25">
      <c r="B1218" s="51">
        <f>YEAR(BDRIOSJ[[#This Row],[FECHA]])</f>
        <v>2024</v>
      </c>
      <c r="C1218" s="51">
        <f>MONTH(BDRIOSJ[[#This Row],[FECHA]])</f>
        <v>5</v>
      </c>
      <c r="D1218" s="50" t="s">
        <v>423</v>
      </c>
      <c r="E1218" s="49" t="s">
        <v>115</v>
      </c>
      <c r="F1218" s="65">
        <v>13.402200000000001</v>
      </c>
    </row>
    <row r="1219" spans="2:6" hidden="1" x14ac:dyDescent="0.25">
      <c r="B1219" s="51">
        <f>YEAR(BDRIOSJ[[#This Row],[FECHA]])</f>
        <v>2024</v>
      </c>
      <c r="C1219" s="51">
        <f>MONTH(BDRIOSJ[[#This Row],[FECHA]])</f>
        <v>5</v>
      </c>
      <c r="D1219" s="50" t="s">
        <v>423</v>
      </c>
      <c r="E1219" s="49" t="s">
        <v>114</v>
      </c>
      <c r="F1219" s="65">
        <v>13.402200000000001</v>
      </c>
    </row>
    <row r="1220" spans="2:6" hidden="1" x14ac:dyDescent="0.25">
      <c r="B1220" s="51">
        <f>YEAR(BDRIOSJ[[#This Row],[FECHA]])</f>
        <v>2024</v>
      </c>
      <c r="C1220" s="51">
        <f>MONTH(BDRIOSJ[[#This Row],[FECHA]])</f>
        <v>5</v>
      </c>
      <c r="D1220" s="50" t="s">
        <v>423</v>
      </c>
      <c r="E1220" s="49" t="s">
        <v>113</v>
      </c>
      <c r="F1220" s="65">
        <v>13.402200000000001</v>
      </c>
    </row>
    <row r="1221" spans="2:6" hidden="1" x14ac:dyDescent="0.25">
      <c r="B1221" s="51">
        <f>YEAR(BDRIOSJ[[#This Row],[FECHA]])</f>
        <v>2024</v>
      </c>
      <c r="C1221" s="51">
        <f>MONTH(BDRIOSJ[[#This Row],[FECHA]])</f>
        <v>5</v>
      </c>
      <c r="D1221" s="50" t="s">
        <v>423</v>
      </c>
      <c r="E1221" s="49" t="s">
        <v>111</v>
      </c>
      <c r="F1221" s="65">
        <v>13.402200000000001</v>
      </c>
    </row>
    <row r="1222" spans="2:6" hidden="1" x14ac:dyDescent="0.25">
      <c r="B1222" s="51">
        <f>YEAR(BDRIOSJ[[#This Row],[FECHA]])</f>
        <v>2024</v>
      </c>
      <c r="C1222" s="51">
        <f>MONTH(BDRIOSJ[[#This Row],[FECHA]])</f>
        <v>5</v>
      </c>
      <c r="D1222" s="50">
        <v>45418</v>
      </c>
      <c r="E1222" s="49" t="s">
        <v>115</v>
      </c>
      <c r="F1222" s="65">
        <v>13.402200000000001</v>
      </c>
    </row>
    <row r="1223" spans="2:6" hidden="1" x14ac:dyDescent="0.25">
      <c r="B1223" s="51">
        <f>YEAR(BDRIOSJ[[#This Row],[FECHA]])</f>
        <v>2024</v>
      </c>
      <c r="C1223" s="51">
        <f>MONTH(BDRIOSJ[[#This Row],[FECHA]])</f>
        <v>5</v>
      </c>
      <c r="D1223" s="50">
        <v>45418</v>
      </c>
      <c r="E1223" s="49" t="s">
        <v>114</v>
      </c>
      <c r="F1223" s="65">
        <v>13.402200000000001</v>
      </c>
    </row>
    <row r="1224" spans="2:6" hidden="1" x14ac:dyDescent="0.25">
      <c r="B1224" s="51">
        <f>YEAR(BDRIOSJ[[#This Row],[FECHA]])</f>
        <v>2024</v>
      </c>
      <c r="C1224" s="51">
        <f>MONTH(BDRIOSJ[[#This Row],[FECHA]])</f>
        <v>5</v>
      </c>
      <c r="D1224" s="50">
        <v>45418</v>
      </c>
      <c r="E1224" s="49" t="s">
        <v>113</v>
      </c>
      <c r="F1224" s="65">
        <v>13.402200000000001</v>
      </c>
    </row>
    <row r="1225" spans="2:6" hidden="1" x14ac:dyDescent="0.25">
      <c r="B1225" s="51">
        <f>YEAR(BDRIOSJ[[#This Row],[FECHA]])</f>
        <v>2024</v>
      </c>
      <c r="C1225" s="51">
        <f>MONTH(BDRIOSJ[[#This Row],[FECHA]])</f>
        <v>5</v>
      </c>
      <c r="D1225" s="50" t="s">
        <v>424</v>
      </c>
      <c r="E1225" s="49" t="s">
        <v>111</v>
      </c>
      <c r="F1225" s="65">
        <v>13.402200000000001</v>
      </c>
    </row>
    <row r="1226" spans="2:6" hidden="1" x14ac:dyDescent="0.25">
      <c r="B1226" s="51">
        <f>YEAR(BDRIOSJ[[#This Row],[FECHA]])</f>
        <v>2024</v>
      </c>
      <c r="C1226" s="51">
        <f>MONTH(BDRIOSJ[[#This Row],[FECHA]])</f>
        <v>5</v>
      </c>
      <c r="D1226" s="50">
        <v>45419</v>
      </c>
      <c r="E1226" s="49" t="s">
        <v>114</v>
      </c>
      <c r="F1226" s="65">
        <v>12.347</v>
      </c>
    </row>
    <row r="1227" spans="2:6" hidden="1" x14ac:dyDescent="0.25">
      <c r="B1227" s="51">
        <f>YEAR(BDRIOSJ[[#This Row],[FECHA]])</f>
        <v>2024</v>
      </c>
      <c r="C1227" s="51">
        <f>MONTH(BDRIOSJ[[#This Row],[FECHA]])</f>
        <v>5</v>
      </c>
      <c r="D1227" s="50">
        <v>45419</v>
      </c>
      <c r="E1227" s="49" t="s">
        <v>113</v>
      </c>
      <c r="F1227" s="65">
        <v>12.347</v>
      </c>
    </row>
    <row r="1228" spans="2:6" hidden="1" x14ac:dyDescent="0.25">
      <c r="B1228" s="51">
        <f>YEAR(BDRIOSJ[[#This Row],[FECHA]])</f>
        <v>2024</v>
      </c>
      <c r="C1228" s="51">
        <f>MONTH(BDRIOSJ[[#This Row],[FECHA]])</f>
        <v>5</v>
      </c>
      <c r="D1228" s="50">
        <v>45419</v>
      </c>
      <c r="E1228" s="49" t="s">
        <v>111</v>
      </c>
      <c r="F1228" s="65">
        <v>12.347</v>
      </c>
    </row>
    <row r="1229" spans="2:6" hidden="1" x14ac:dyDescent="0.25">
      <c r="B1229" s="51">
        <f>YEAR(BDRIOSJ[[#This Row],[FECHA]])</f>
        <v>2024</v>
      </c>
      <c r="C1229" s="51">
        <f>MONTH(BDRIOSJ[[#This Row],[FECHA]])</f>
        <v>5</v>
      </c>
      <c r="D1229" s="50">
        <v>45420</v>
      </c>
      <c r="E1229" s="49" t="s">
        <v>115</v>
      </c>
      <c r="F1229" s="65">
        <v>11.3285</v>
      </c>
    </row>
    <row r="1230" spans="2:6" hidden="1" x14ac:dyDescent="0.25">
      <c r="B1230" s="51">
        <f>YEAR(BDRIOSJ[[#This Row],[FECHA]])</f>
        <v>2024</v>
      </c>
      <c r="C1230" s="51">
        <f>MONTH(BDRIOSJ[[#This Row],[FECHA]])</f>
        <v>5</v>
      </c>
      <c r="D1230" s="50">
        <v>45420</v>
      </c>
      <c r="E1230" s="49" t="s">
        <v>114</v>
      </c>
      <c r="F1230" s="65">
        <v>11.3285</v>
      </c>
    </row>
    <row r="1231" spans="2:6" hidden="1" x14ac:dyDescent="0.25">
      <c r="B1231" s="51">
        <f>YEAR(BDRIOSJ[[#This Row],[FECHA]])</f>
        <v>2024</v>
      </c>
      <c r="C1231" s="51">
        <f>MONTH(BDRIOSJ[[#This Row],[FECHA]])</f>
        <v>5</v>
      </c>
      <c r="D1231" s="50">
        <v>45420</v>
      </c>
      <c r="E1231" s="49" t="s">
        <v>113</v>
      </c>
      <c r="F1231" s="65">
        <v>11.3285</v>
      </c>
    </row>
    <row r="1232" spans="2:6" hidden="1" x14ac:dyDescent="0.25">
      <c r="B1232" s="51">
        <f>YEAR(BDRIOSJ[[#This Row],[FECHA]])</f>
        <v>2024</v>
      </c>
      <c r="C1232" s="51">
        <f>MONTH(BDRIOSJ[[#This Row],[FECHA]])</f>
        <v>5</v>
      </c>
      <c r="D1232" s="50">
        <v>45420</v>
      </c>
      <c r="E1232" s="49" t="s">
        <v>111</v>
      </c>
      <c r="F1232" s="65">
        <v>11.3285</v>
      </c>
    </row>
    <row r="1233" spans="2:6" hidden="1" x14ac:dyDescent="0.25">
      <c r="B1233" s="51">
        <f>YEAR(BDRIOSJ[[#This Row],[FECHA]])</f>
        <v>2024</v>
      </c>
      <c r="C1233" s="51">
        <f>MONTH(BDRIOSJ[[#This Row],[FECHA]])</f>
        <v>5</v>
      </c>
      <c r="D1233" s="50">
        <v>45421</v>
      </c>
      <c r="E1233" s="49" t="s">
        <v>115</v>
      </c>
      <c r="F1233" s="65">
        <v>9.4016999999999999</v>
      </c>
    </row>
    <row r="1234" spans="2:6" hidden="1" x14ac:dyDescent="0.25">
      <c r="B1234" s="51">
        <f>YEAR(BDRIOSJ[[#This Row],[FECHA]])</f>
        <v>2024</v>
      </c>
      <c r="C1234" s="51">
        <f>MONTH(BDRIOSJ[[#This Row],[FECHA]])</f>
        <v>5</v>
      </c>
      <c r="D1234" s="50">
        <v>45421</v>
      </c>
      <c r="E1234" s="49" t="s">
        <v>114</v>
      </c>
      <c r="F1234" s="65">
        <v>9.4016999999999999</v>
      </c>
    </row>
    <row r="1235" spans="2:6" hidden="1" x14ac:dyDescent="0.25">
      <c r="B1235" s="51">
        <f>YEAR(BDRIOSJ[[#This Row],[FECHA]])</f>
        <v>2024</v>
      </c>
      <c r="C1235" s="51">
        <f>MONTH(BDRIOSJ[[#This Row],[FECHA]])</f>
        <v>5</v>
      </c>
      <c r="D1235" s="50">
        <v>45421</v>
      </c>
      <c r="E1235" s="49" t="s">
        <v>113</v>
      </c>
      <c r="F1235" s="65">
        <v>9.4016999999999999</v>
      </c>
    </row>
    <row r="1236" spans="2:6" hidden="1" x14ac:dyDescent="0.25">
      <c r="B1236" s="51">
        <f>YEAR(BDRIOSJ[[#This Row],[FECHA]])</f>
        <v>2024</v>
      </c>
      <c r="C1236" s="51">
        <f>MONTH(BDRIOSJ[[#This Row],[FECHA]])</f>
        <v>5</v>
      </c>
      <c r="D1236" s="50">
        <v>45421</v>
      </c>
      <c r="E1236" s="49" t="s">
        <v>111</v>
      </c>
      <c r="F1236" s="65">
        <v>11.3285</v>
      </c>
    </row>
    <row r="1237" spans="2:6" hidden="1" x14ac:dyDescent="0.25">
      <c r="B1237" s="51">
        <f>YEAR(BDRIOSJ[[#This Row],[FECHA]])</f>
        <v>2024</v>
      </c>
      <c r="C1237" s="51">
        <f>MONTH(BDRIOSJ[[#This Row],[FECHA]])</f>
        <v>5</v>
      </c>
      <c r="D1237" s="50">
        <v>45422</v>
      </c>
      <c r="E1237" s="49" t="s">
        <v>115</v>
      </c>
      <c r="F1237" s="65">
        <v>9.4016999999999999</v>
      </c>
    </row>
    <row r="1238" spans="2:6" hidden="1" x14ac:dyDescent="0.25">
      <c r="B1238" s="51">
        <f>YEAR(BDRIOSJ[[#This Row],[FECHA]])</f>
        <v>2024</v>
      </c>
      <c r="C1238" s="51">
        <f>MONTH(BDRIOSJ[[#This Row],[FECHA]])</f>
        <v>5</v>
      </c>
      <c r="D1238" s="50">
        <v>45422</v>
      </c>
      <c r="E1238" s="49" t="s">
        <v>114</v>
      </c>
      <c r="F1238" s="65">
        <v>9.4016999999999999</v>
      </c>
    </row>
    <row r="1239" spans="2:6" hidden="1" x14ac:dyDescent="0.25">
      <c r="B1239" s="51">
        <f>YEAR(BDRIOSJ[[#This Row],[FECHA]])</f>
        <v>2024</v>
      </c>
      <c r="C1239" s="51">
        <f>MONTH(BDRIOSJ[[#This Row],[FECHA]])</f>
        <v>5</v>
      </c>
      <c r="D1239" s="50">
        <v>45422</v>
      </c>
      <c r="E1239" s="49" t="s">
        <v>113</v>
      </c>
      <c r="F1239" s="65">
        <v>9.4016999999999999</v>
      </c>
    </row>
    <row r="1240" spans="2:6" hidden="1" x14ac:dyDescent="0.25">
      <c r="B1240" s="51">
        <f>YEAR(BDRIOSJ[[#This Row],[FECHA]])</f>
        <v>2024</v>
      </c>
      <c r="C1240" s="51">
        <f>MONTH(BDRIOSJ[[#This Row],[FECHA]])</f>
        <v>5</v>
      </c>
      <c r="D1240" s="50">
        <v>45422</v>
      </c>
      <c r="E1240" s="49" t="s">
        <v>111</v>
      </c>
      <c r="F1240" s="65">
        <v>9.4016999999999999</v>
      </c>
    </row>
    <row r="1241" spans="2:6" hidden="1" x14ac:dyDescent="0.25">
      <c r="B1241" s="51">
        <f>YEAR(BDRIOSJ[[#This Row],[FECHA]])</f>
        <v>2024</v>
      </c>
      <c r="C1241" s="51">
        <f>MONTH(BDRIOSJ[[#This Row],[FECHA]])</f>
        <v>5</v>
      </c>
      <c r="D1241" s="50">
        <v>45423</v>
      </c>
      <c r="E1241" s="49" t="s">
        <v>115</v>
      </c>
      <c r="F1241" s="65">
        <v>9.4016999999999999</v>
      </c>
    </row>
    <row r="1242" spans="2:6" hidden="1" x14ac:dyDescent="0.25">
      <c r="B1242" s="51">
        <f>YEAR(BDRIOSJ[[#This Row],[FECHA]])</f>
        <v>2024</v>
      </c>
      <c r="C1242" s="51">
        <f>MONTH(BDRIOSJ[[#This Row],[FECHA]])</f>
        <v>5</v>
      </c>
      <c r="D1242" s="50">
        <v>45423</v>
      </c>
      <c r="E1242" s="49" t="s">
        <v>114</v>
      </c>
      <c r="F1242" s="65">
        <v>9.4016999999999999</v>
      </c>
    </row>
    <row r="1243" spans="2:6" hidden="1" x14ac:dyDescent="0.25">
      <c r="B1243" s="51">
        <f>YEAR(BDRIOSJ[[#This Row],[FECHA]])</f>
        <v>2024</v>
      </c>
      <c r="C1243" s="51">
        <f>MONTH(BDRIOSJ[[#This Row],[FECHA]])</f>
        <v>5</v>
      </c>
      <c r="D1243" s="50">
        <v>45423</v>
      </c>
      <c r="E1243" s="49" t="s">
        <v>113</v>
      </c>
      <c r="F1243" s="65">
        <v>9.4016999999999999</v>
      </c>
    </row>
    <row r="1244" spans="2:6" hidden="1" x14ac:dyDescent="0.25">
      <c r="B1244" s="51">
        <f>YEAR(BDRIOSJ[[#This Row],[FECHA]])</f>
        <v>2024</v>
      </c>
      <c r="C1244" s="51">
        <f>MONTH(BDRIOSJ[[#This Row],[FECHA]])</f>
        <v>5</v>
      </c>
      <c r="D1244" s="50">
        <v>45423</v>
      </c>
      <c r="E1244" s="49" t="s">
        <v>111</v>
      </c>
      <c r="F1244" s="65">
        <v>9.4016999999999999</v>
      </c>
    </row>
    <row r="1245" spans="2:6" hidden="1" x14ac:dyDescent="0.25">
      <c r="B1245" s="51">
        <f>YEAR(BDRIOSJ[[#This Row],[FECHA]])</f>
        <v>2024</v>
      </c>
      <c r="C1245" s="51">
        <f>MONTH(BDRIOSJ[[#This Row],[FECHA]])</f>
        <v>5</v>
      </c>
      <c r="D1245" s="50">
        <v>45424</v>
      </c>
      <c r="E1245" s="49" t="s">
        <v>115</v>
      </c>
      <c r="F1245" s="65">
        <v>9.4016999999999999</v>
      </c>
    </row>
    <row r="1246" spans="2:6" hidden="1" x14ac:dyDescent="0.25">
      <c r="B1246" s="51">
        <f>YEAR(BDRIOSJ[[#This Row],[FECHA]])</f>
        <v>2024</v>
      </c>
      <c r="C1246" s="51">
        <f>MONTH(BDRIOSJ[[#This Row],[FECHA]])</f>
        <v>5</v>
      </c>
      <c r="D1246" s="50">
        <v>45424</v>
      </c>
      <c r="E1246" s="49" t="s">
        <v>114</v>
      </c>
      <c r="F1246" s="65">
        <v>9.4016999999999999</v>
      </c>
    </row>
    <row r="1247" spans="2:6" hidden="1" x14ac:dyDescent="0.25">
      <c r="B1247" s="51">
        <f>YEAR(BDRIOSJ[[#This Row],[FECHA]])</f>
        <v>2024</v>
      </c>
      <c r="C1247" s="51">
        <f>MONTH(BDRIOSJ[[#This Row],[FECHA]])</f>
        <v>5</v>
      </c>
      <c r="D1247" s="50">
        <v>45424</v>
      </c>
      <c r="E1247" s="49" t="s">
        <v>113</v>
      </c>
      <c r="F1247" s="65">
        <v>9.4016999999999999</v>
      </c>
    </row>
    <row r="1248" spans="2:6" hidden="1" x14ac:dyDescent="0.25">
      <c r="B1248" s="51">
        <f>YEAR(BDRIOSJ[[#This Row],[FECHA]])</f>
        <v>2024</v>
      </c>
      <c r="C1248" s="51">
        <f>MONTH(BDRIOSJ[[#This Row],[FECHA]])</f>
        <v>5</v>
      </c>
      <c r="D1248" s="50">
        <v>45424</v>
      </c>
      <c r="E1248" s="49" t="s">
        <v>111</v>
      </c>
      <c r="F1248" s="65">
        <v>9.4016999999999999</v>
      </c>
    </row>
    <row r="1249" spans="2:6" hidden="1" x14ac:dyDescent="0.25">
      <c r="B1249" s="51">
        <f>YEAR(BDRIOSJ[[#This Row],[FECHA]])</f>
        <v>2024</v>
      </c>
      <c r="C1249" s="51">
        <f>MONTH(BDRIOSJ[[#This Row],[FECHA]])</f>
        <v>5</v>
      </c>
      <c r="D1249" s="50">
        <v>45425</v>
      </c>
      <c r="E1249" s="49" t="s">
        <v>115</v>
      </c>
      <c r="F1249" s="65">
        <v>9.4016999999999999</v>
      </c>
    </row>
    <row r="1250" spans="2:6" hidden="1" x14ac:dyDescent="0.25">
      <c r="B1250" s="51">
        <f>YEAR(BDRIOSJ[[#This Row],[FECHA]])</f>
        <v>2024</v>
      </c>
      <c r="C1250" s="51">
        <f>MONTH(BDRIOSJ[[#This Row],[FECHA]])</f>
        <v>5</v>
      </c>
      <c r="D1250" s="50">
        <v>45425</v>
      </c>
      <c r="E1250" s="49" t="s">
        <v>114</v>
      </c>
      <c r="F1250" s="65">
        <v>9.4016999999999999</v>
      </c>
    </row>
    <row r="1251" spans="2:6" hidden="1" x14ac:dyDescent="0.25">
      <c r="B1251" s="51">
        <f>YEAR(BDRIOSJ[[#This Row],[FECHA]])</f>
        <v>2024</v>
      </c>
      <c r="C1251" s="51">
        <f>MONTH(BDRIOSJ[[#This Row],[FECHA]])</f>
        <v>5</v>
      </c>
      <c r="D1251" s="50">
        <v>45425</v>
      </c>
      <c r="E1251" s="49" t="s">
        <v>113</v>
      </c>
      <c r="F1251" s="65">
        <v>9.4016999999999999</v>
      </c>
    </row>
    <row r="1252" spans="2:6" hidden="1" x14ac:dyDescent="0.25">
      <c r="B1252" s="51">
        <f>YEAR(BDRIOSJ[[#This Row],[FECHA]])</f>
        <v>2024</v>
      </c>
      <c r="C1252" s="51">
        <f>MONTH(BDRIOSJ[[#This Row],[FECHA]])</f>
        <v>5</v>
      </c>
      <c r="D1252" s="50">
        <v>45425</v>
      </c>
      <c r="E1252" s="49" t="s">
        <v>111</v>
      </c>
      <c r="F1252" s="65">
        <v>9.4016999999999999</v>
      </c>
    </row>
    <row r="1253" spans="2:6" hidden="1" x14ac:dyDescent="0.25">
      <c r="B1253" s="51">
        <f>YEAR(BDRIOSJ[[#This Row],[FECHA]])</f>
        <v>2024</v>
      </c>
      <c r="C1253" s="51">
        <f>MONTH(BDRIOSJ[[#This Row],[FECHA]])</f>
        <v>5</v>
      </c>
      <c r="D1253" s="50">
        <v>45426</v>
      </c>
      <c r="E1253" s="49" t="s">
        <v>115</v>
      </c>
      <c r="F1253" s="65">
        <v>7.6219000000000001</v>
      </c>
    </row>
    <row r="1254" spans="2:6" hidden="1" x14ac:dyDescent="0.25">
      <c r="B1254" s="51">
        <f>YEAR(BDRIOSJ[[#This Row],[FECHA]])</f>
        <v>2024</v>
      </c>
      <c r="C1254" s="51">
        <f>MONTH(BDRIOSJ[[#This Row],[FECHA]])</f>
        <v>5</v>
      </c>
      <c r="D1254" s="50">
        <v>45426</v>
      </c>
      <c r="E1254" s="49" t="s">
        <v>114</v>
      </c>
      <c r="F1254" s="65">
        <v>9.4016999999999999</v>
      </c>
    </row>
    <row r="1255" spans="2:6" hidden="1" x14ac:dyDescent="0.25">
      <c r="B1255" s="51">
        <f>YEAR(BDRIOSJ[[#This Row],[FECHA]])</f>
        <v>2024</v>
      </c>
      <c r="C1255" s="51">
        <f>MONTH(BDRIOSJ[[#This Row],[FECHA]])</f>
        <v>5</v>
      </c>
      <c r="D1255" s="50">
        <v>45426</v>
      </c>
      <c r="E1255" s="49" t="s">
        <v>113</v>
      </c>
      <c r="F1255" s="65">
        <v>7.6219000000000001</v>
      </c>
    </row>
    <row r="1256" spans="2:6" hidden="1" x14ac:dyDescent="0.25">
      <c r="B1256" s="51">
        <f>YEAR(BDRIOSJ[[#This Row],[FECHA]])</f>
        <v>2024</v>
      </c>
      <c r="C1256" s="51">
        <f>MONTH(BDRIOSJ[[#This Row],[FECHA]])</f>
        <v>5</v>
      </c>
      <c r="D1256" s="50">
        <v>45426</v>
      </c>
      <c r="E1256" s="49" t="s">
        <v>111</v>
      </c>
      <c r="F1256" s="65">
        <v>9.4016999999999999</v>
      </c>
    </row>
    <row r="1257" spans="2:6" hidden="1" x14ac:dyDescent="0.25">
      <c r="B1257" s="51">
        <f>YEAR(BDRIOSJ[[#This Row],[FECHA]])</f>
        <v>2024</v>
      </c>
      <c r="C1257" s="51">
        <f>MONTH(BDRIOSJ[[#This Row],[FECHA]])</f>
        <v>5</v>
      </c>
      <c r="D1257" s="50">
        <v>45427</v>
      </c>
      <c r="E1257" s="49" t="s">
        <v>115</v>
      </c>
      <c r="F1257" s="65">
        <v>7.6219000000000001</v>
      </c>
    </row>
    <row r="1258" spans="2:6" hidden="1" x14ac:dyDescent="0.25">
      <c r="B1258" s="51">
        <f>YEAR(BDRIOSJ[[#This Row],[FECHA]])</f>
        <v>2024</v>
      </c>
      <c r="C1258" s="51">
        <f>MONTH(BDRIOSJ[[#This Row],[FECHA]])</f>
        <v>5</v>
      </c>
      <c r="D1258" s="50">
        <v>45427</v>
      </c>
      <c r="E1258" s="49" t="s">
        <v>114</v>
      </c>
      <c r="F1258" s="65">
        <v>7.6219000000000001</v>
      </c>
    </row>
    <row r="1259" spans="2:6" hidden="1" x14ac:dyDescent="0.25">
      <c r="B1259" s="51">
        <f>YEAR(BDRIOSJ[[#This Row],[FECHA]])</f>
        <v>2024</v>
      </c>
      <c r="C1259" s="51">
        <f>MONTH(BDRIOSJ[[#This Row],[FECHA]])</f>
        <v>5</v>
      </c>
      <c r="D1259" s="50">
        <v>45427</v>
      </c>
      <c r="E1259" s="49" t="s">
        <v>113</v>
      </c>
      <c r="F1259" s="65">
        <v>7.6219000000000001</v>
      </c>
    </row>
    <row r="1260" spans="2:6" hidden="1" x14ac:dyDescent="0.25">
      <c r="B1260" s="51">
        <f>YEAR(BDRIOSJ[[#This Row],[FECHA]])</f>
        <v>2024</v>
      </c>
      <c r="C1260" s="51">
        <f>MONTH(BDRIOSJ[[#This Row],[FECHA]])</f>
        <v>5</v>
      </c>
      <c r="D1260" s="50">
        <v>45427</v>
      </c>
      <c r="E1260" s="49" t="s">
        <v>111</v>
      </c>
      <c r="F1260" s="65">
        <v>7.6219000000000001</v>
      </c>
    </row>
    <row r="1261" spans="2:6" hidden="1" x14ac:dyDescent="0.25">
      <c r="B1261" s="51">
        <f>YEAR(BDRIOSJ[[#This Row],[FECHA]])</f>
        <v>2024</v>
      </c>
      <c r="C1261" s="51">
        <f>MONTH(BDRIOSJ[[#This Row],[FECHA]])</f>
        <v>5</v>
      </c>
      <c r="D1261" s="50">
        <v>45428</v>
      </c>
      <c r="E1261" s="49" t="s">
        <v>115</v>
      </c>
      <c r="F1261" s="65">
        <v>7.6219000000000001</v>
      </c>
    </row>
    <row r="1262" spans="2:6" hidden="1" x14ac:dyDescent="0.25">
      <c r="B1262" s="51">
        <f>YEAR(BDRIOSJ[[#This Row],[FECHA]])</f>
        <v>2024</v>
      </c>
      <c r="C1262" s="51">
        <f>MONTH(BDRIOSJ[[#This Row],[FECHA]])</f>
        <v>5</v>
      </c>
      <c r="D1262" s="50">
        <v>45428</v>
      </c>
      <c r="E1262" s="49" t="s">
        <v>114</v>
      </c>
      <c r="F1262" s="65">
        <v>7.6219000000000001</v>
      </c>
    </row>
    <row r="1263" spans="2:6" hidden="1" x14ac:dyDescent="0.25">
      <c r="B1263" s="51">
        <f>YEAR(BDRIOSJ[[#This Row],[FECHA]])</f>
        <v>2024</v>
      </c>
      <c r="C1263" s="51">
        <f>MONTH(BDRIOSJ[[#This Row],[FECHA]])</f>
        <v>5</v>
      </c>
      <c r="D1263" s="50">
        <v>45428</v>
      </c>
      <c r="E1263" s="49" t="s">
        <v>113</v>
      </c>
      <c r="F1263" s="65">
        <v>7.6219000000000001</v>
      </c>
    </row>
    <row r="1264" spans="2:6" hidden="1" x14ac:dyDescent="0.25">
      <c r="B1264" s="51">
        <f>YEAR(BDRIOSJ[[#This Row],[FECHA]])</f>
        <v>2024</v>
      </c>
      <c r="C1264" s="51">
        <f>MONTH(BDRIOSJ[[#This Row],[FECHA]])</f>
        <v>5</v>
      </c>
      <c r="D1264" s="50">
        <v>45428</v>
      </c>
      <c r="E1264" s="49" t="s">
        <v>111</v>
      </c>
      <c r="F1264" s="65">
        <v>7.6219000000000001</v>
      </c>
    </row>
    <row r="1265" spans="2:6" hidden="1" x14ac:dyDescent="0.25">
      <c r="B1265" s="51">
        <f>YEAR(BDRIOSJ[[#This Row],[FECHA]])</f>
        <v>2024</v>
      </c>
      <c r="C1265" s="51">
        <f>MONTH(BDRIOSJ[[#This Row],[FECHA]])</f>
        <v>5</v>
      </c>
      <c r="D1265" s="50">
        <v>45429</v>
      </c>
      <c r="E1265" s="49" t="s">
        <v>115</v>
      </c>
      <c r="F1265" s="65">
        <v>7.6219000000000001</v>
      </c>
    </row>
    <row r="1266" spans="2:6" hidden="1" x14ac:dyDescent="0.25">
      <c r="B1266" s="51">
        <f>YEAR(BDRIOSJ[[#This Row],[FECHA]])</f>
        <v>2024</v>
      </c>
      <c r="C1266" s="51">
        <f>MONTH(BDRIOSJ[[#This Row],[FECHA]])</f>
        <v>5</v>
      </c>
      <c r="D1266" s="50">
        <v>45429</v>
      </c>
      <c r="E1266" s="49" t="s">
        <v>114</v>
      </c>
      <c r="F1266" s="65">
        <v>7.6219000000000001</v>
      </c>
    </row>
    <row r="1267" spans="2:6" hidden="1" x14ac:dyDescent="0.25">
      <c r="B1267" s="51">
        <f>YEAR(BDRIOSJ[[#This Row],[FECHA]])</f>
        <v>2024</v>
      </c>
      <c r="C1267" s="51">
        <f>MONTH(BDRIOSJ[[#This Row],[FECHA]])</f>
        <v>5</v>
      </c>
      <c r="D1267" s="50">
        <v>45429</v>
      </c>
      <c r="E1267" s="49" t="s">
        <v>113</v>
      </c>
      <c r="F1267" s="65">
        <v>7.6219000000000001</v>
      </c>
    </row>
    <row r="1268" spans="2:6" hidden="1" x14ac:dyDescent="0.25">
      <c r="B1268" s="51">
        <f>YEAR(BDRIOSJ[[#This Row],[FECHA]])</f>
        <v>2024</v>
      </c>
      <c r="C1268" s="51">
        <f>MONTH(BDRIOSJ[[#This Row],[FECHA]])</f>
        <v>5</v>
      </c>
      <c r="D1268" s="50">
        <v>45429</v>
      </c>
      <c r="E1268" s="49" t="s">
        <v>111</v>
      </c>
      <c r="F1268" s="65">
        <v>7.6219000000000001</v>
      </c>
    </row>
    <row r="1269" spans="2:6" hidden="1" x14ac:dyDescent="0.25">
      <c r="B1269" s="51">
        <f>YEAR(BDRIOSJ[[#This Row],[FECHA]])</f>
        <v>2024</v>
      </c>
      <c r="C1269" s="51">
        <f>MONTH(BDRIOSJ[[#This Row],[FECHA]])</f>
        <v>5</v>
      </c>
      <c r="D1269" s="50">
        <v>45430</v>
      </c>
      <c r="E1269" s="49" t="s">
        <v>115</v>
      </c>
      <c r="F1269" s="65">
        <v>7.6219000000000001</v>
      </c>
    </row>
    <row r="1270" spans="2:6" hidden="1" x14ac:dyDescent="0.25">
      <c r="B1270" s="51">
        <f>YEAR(BDRIOSJ[[#This Row],[FECHA]])</f>
        <v>2024</v>
      </c>
      <c r="C1270" s="51">
        <f>MONTH(BDRIOSJ[[#This Row],[FECHA]])</f>
        <v>5</v>
      </c>
      <c r="D1270" s="50">
        <v>45430</v>
      </c>
      <c r="E1270" s="49" t="s">
        <v>114</v>
      </c>
      <c r="F1270" s="65">
        <v>7.6219000000000001</v>
      </c>
    </row>
    <row r="1271" spans="2:6" hidden="1" x14ac:dyDescent="0.25">
      <c r="B1271" s="51">
        <f>YEAR(BDRIOSJ[[#This Row],[FECHA]])</f>
        <v>2024</v>
      </c>
      <c r="C1271" s="51">
        <f>MONTH(BDRIOSJ[[#This Row],[FECHA]])</f>
        <v>5</v>
      </c>
      <c r="D1271" s="50">
        <v>45430</v>
      </c>
      <c r="E1271" s="49" t="s">
        <v>113</v>
      </c>
      <c r="F1271" s="65">
        <v>7.6219000000000001</v>
      </c>
    </row>
    <row r="1272" spans="2:6" hidden="1" x14ac:dyDescent="0.25">
      <c r="B1272" s="51">
        <f>YEAR(BDRIOSJ[[#This Row],[FECHA]])</f>
        <v>2024</v>
      </c>
      <c r="C1272" s="51">
        <f>MONTH(BDRIOSJ[[#This Row],[FECHA]])</f>
        <v>5</v>
      </c>
      <c r="D1272" s="50">
        <v>45430</v>
      </c>
      <c r="E1272" s="49" t="s">
        <v>111</v>
      </c>
      <c r="F1272" s="65">
        <v>7.6219000000000001</v>
      </c>
    </row>
    <row r="1273" spans="2:6" hidden="1" x14ac:dyDescent="0.25">
      <c r="B1273" s="51">
        <f>YEAR(BDRIOSJ[[#This Row],[FECHA]])</f>
        <v>2024</v>
      </c>
      <c r="C1273" s="51">
        <f>MONTH(BDRIOSJ[[#This Row],[FECHA]])</f>
        <v>5</v>
      </c>
      <c r="D1273" s="50">
        <v>45431</v>
      </c>
      <c r="E1273" s="49" t="s">
        <v>115</v>
      </c>
      <c r="F1273" s="65">
        <v>7.6219000000000001</v>
      </c>
    </row>
    <row r="1274" spans="2:6" hidden="1" x14ac:dyDescent="0.25">
      <c r="B1274" s="51">
        <f>YEAR(BDRIOSJ[[#This Row],[FECHA]])</f>
        <v>2024</v>
      </c>
      <c r="C1274" s="51">
        <f>MONTH(BDRIOSJ[[#This Row],[FECHA]])</f>
        <v>5</v>
      </c>
      <c r="D1274" s="50">
        <v>45431</v>
      </c>
      <c r="E1274" s="49" t="s">
        <v>114</v>
      </c>
      <c r="F1274" s="65">
        <v>7.6219000000000001</v>
      </c>
    </row>
    <row r="1275" spans="2:6" hidden="1" x14ac:dyDescent="0.25">
      <c r="B1275" s="51">
        <f>YEAR(BDRIOSJ[[#This Row],[FECHA]])</f>
        <v>2024</v>
      </c>
      <c r="C1275" s="51">
        <f>MONTH(BDRIOSJ[[#This Row],[FECHA]])</f>
        <v>5</v>
      </c>
      <c r="D1275" s="50">
        <v>45431</v>
      </c>
      <c r="E1275" s="49" t="s">
        <v>113</v>
      </c>
      <c r="F1275" s="65">
        <v>7.6219000000000001</v>
      </c>
    </row>
    <row r="1276" spans="2:6" hidden="1" x14ac:dyDescent="0.25">
      <c r="B1276" s="51">
        <f>YEAR(BDRIOSJ[[#This Row],[FECHA]])</f>
        <v>2024</v>
      </c>
      <c r="C1276" s="51">
        <f>MONTH(BDRIOSJ[[#This Row],[FECHA]])</f>
        <v>5</v>
      </c>
      <c r="D1276" s="50">
        <v>45431</v>
      </c>
      <c r="E1276" s="49" t="s">
        <v>111</v>
      </c>
      <c r="F1276" s="65">
        <v>7.6219000000000001</v>
      </c>
    </row>
    <row r="1277" spans="2:6" hidden="1" x14ac:dyDescent="0.25">
      <c r="B1277" s="51">
        <f>YEAR(BDRIOSJ[[#This Row],[FECHA]])</f>
        <v>2024</v>
      </c>
      <c r="C1277" s="51">
        <f>MONTH(BDRIOSJ[[#This Row],[FECHA]])</f>
        <v>5</v>
      </c>
      <c r="D1277" s="50">
        <v>45432</v>
      </c>
      <c r="E1277" s="49" t="s">
        <v>115</v>
      </c>
      <c r="F1277" s="65">
        <v>7.6219000000000001</v>
      </c>
    </row>
    <row r="1278" spans="2:6" hidden="1" x14ac:dyDescent="0.25">
      <c r="B1278" s="51">
        <f>YEAR(BDRIOSJ[[#This Row],[FECHA]])</f>
        <v>2024</v>
      </c>
      <c r="C1278" s="51">
        <f>MONTH(BDRIOSJ[[#This Row],[FECHA]])</f>
        <v>5</v>
      </c>
      <c r="D1278" s="50">
        <v>45432</v>
      </c>
      <c r="E1278" s="49" t="s">
        <v>114</v>
      </c>
      <c r="F1278" s="65">
        <v>7.6219000000000001</v>
      </c>
    </row>
    <row r="1279" spans="2:6" hidden="1" x14ac:dyDescent="0.25">
      <c r="B1279" s="51">
        <f>YEAR(BDRIOSJ[[#This Row],[FECHA]])</f>
        <v>2024</v>
      </c>
      <c r="C1279" s="51">
        <f>MONTH(BDRIOSJ[[#This Row],[FECHA]])</f>
        <v>5</v>
      </c>
      <c r="D1279" s="50">
        <v>45432</v>
      </c>
      <c r="E1279" s="49" t="s">
        <v>113</v>
      </c>
      <c r="F1279" s="65">
        <v>7.6219000000000001</v>
      </c>
    </row>
    <row r="1280" spans="2:6" hidden="1" x14ac:dyDescent="0.25">
      <c r="B1280" s="51">
        <f>YEAR(BDRIOSJ[[#This Row],[FECHA]])</f>
        <v>2024</v>
      </c>
      <c r="C1280" s="51">
        <f>MONTH(BDRIOSJ[[#This Row],[FECHA]])</f>
        <v>5</v>
      </c>
      <c r="D1280" s="50">
        <v>45432</v>
      </c>
      <c r="E1280" s="49" t="s">
        <v>111</v>
      </c>
      <c r="F1280" s="65">
        <v>7.6219000000000001</v>
      </c>
    </row>
    <row r="1281" spans="2:6" hidden="1" x14ac:dyDescent="0.25">
      <c r="B1281" s="51">
        <f>YEAR(BDRIOSJ[[#This Row],[FECHA]])</f>
        <v>2024</v>
      </c>
      <c r="C1281" s="51">
        <f>MONTH(BDRIOSJ[[#This Row],[FECHA]])</f>
        <v>5</v>
      </c>
      <c r="D1281" s="50">
        <v>45433</v>
      </c>
      <c r="E1281" s="49" t="s">
        <v>115</v>
      </c>
      <c r="F1281" s="65">
        <v>7.6219000000000001</v>
      </c>
    </row>
    <row r="1282" spans="2:6" hidden="1" x14ac:dyDescent="0.25">
      <c r="B1282" s="51">
        <f>YEAR(BDRIOSJ[[#This Row],[FECHA]])</f>
        <v>2024</v>
      </c>
      <c r="C1282" s="51">
        <f>MONTH(BDRIOSJ[[#This Row],[FECHA]])</f>
        <v>5</v>
      </c>
      <c r="D1282" s="50">
        <v>45433</v>
      </c>
      <c r="E1282" s="49" t="s">
        <v>114</v>
      </c>
      <c r="F1282" s="65">
        <v>7.6219000000000001</v>
      </c>
    </row>
    <row r="1283" spans="2:6" hidden="1" x14ac:dyDescent="0.25">
      <c r="B1283" s="51">
        <f>YEAR(BDRIOSJ[[#This Row],[FECHA]])</f>
        <v>2024</v>
      </c>
      <c r="C1283" s="51">
        <f>MONTH(BDRIOSJ[[#This Row],[FECHA]])</f>
        <v>5</v>
      </c>
      <c r="D1283" s="50">
        <v>45433</v>
      </c>
      <c r="E1283" s="49" t="s">
        <v>113</v>
      </c>
      <c r="F1283" s="65">
        <v>7.6219000000000001</v>
      </c>
    </row>
    <row r="1284" spans="2:6" hidden="1" x14ac:dyDescent="0.25">
      <c r="B1284" s="51">
        <f>YEAR(BDRIOSJ[[#This Row],[FECHA]])</f>
        <v>2024</v>
      </c>
      <c r="C1284" s="51">
        <f>MONTH(BDRIOSJ[[#This Row],[FECHA]])</f>
        <v>5</v>
      </c>
      <c r="D1284" s="50">
        <v>45433</v>
      </c>
      <c r="E1284" s="49" t="s">
        <v>111</v>
      </c>
      <c r="F1284" s="65">
        <v>7.6219000000000001</v>
      </c>
    </row>
    <row r="1285" spans="2:6" hidden="1" x14ac:dyDescent="0.25">
      <c r="B1285" s="51">
        <f>YEAR(BDRIOSJ[[#This Row],[FECHA]])</f>
        <v>2024</v>
      </c>
      <c r="C1285" s="51">
        <f>MONTH(BDRIOSJ[[#This Row],[FECHA]])</f>
        <v>5</v>
      </c>
      <c r="D1285" s="50">
        <v>45434</v>
      </c>
      <c r="E1285" s="49" t="s">
        <v>115</v>
      </c>
      <c r="F1285" s="65">
        <v>7.6219000000000001</v>
      </c>
    </row>
    <row r="1286" spans="2:6" hidden="1" x14ac:dyDescent="0.25">
      <c r="B1286" s="51">
        <f>YEAR(BDRIOSJ[[#This Row],[FECHA]])</f>
        <v>2024</v>
      </c>
      <c r="C1286" s="51">
        <f>MONTH(BDRIOSJ[[#This Row],[FECHA]])</f>
        <v>5</v>
      </c>
      <c r="D1286" s="50">
        <v>45434</v>
      </c>
      <c r="E1286" s="49" t="s">
        <v>114</v>
      </c>
      <c r="F1286" s="65">
        <v>7.6219000000000001</v>
      </c>
    </row>
    <row r="1287" spans="2:6" hidden="1" x14ac:dyDescent="0.25">
      <c r="B1287" s="51">
        <f>YEAR(BDRIOSJ[[#This Row],[FECHA]])</f>
        <v>2024</v>
      </c>
      <c r="C1287" s="51">
        <f>MONTH(BDRIOSJ[[#This Row],[FECHA]])</f>
        <v>5</v>
      </c>
      <c r="D1287" s="50">
        <v>45434</v>
      </c>
      <c r="E1287" s="49" t="s">
        <v>113</v>
      </c>
      <c r="F1287" s="65">
        <v>7.6219000000000001</v>
      </c>
    </row>
    <row r="1288" spans="2:6" hidden="1" x14ac:dyDescent="0.25">
      <c r="B1288" s="51">
        <f>YEAR(BDRIOSJ[[#This Row],[FECHA]])</f>
        <v>2024</v>
      </c>
      <c r="C1288" s="51">
        <f>MONTH(BDRIOSJ[[#This Row],[FECHA]])</f>
        <v>5</v>
      </c>
      <c r="D1288" s="50">
        <v>45434</v>
      </c>
      <c r="E1288" s="49" t="s">
        <v>111</v>
      </c>
      <c r="F1288" s="65">
        <v>7.6219000000000001</v>
      </c>
    </row>
    <row r="1289" spans="2:6" hidden="1" x14ac:dyDescent="0.25">
      <c r="B1289" s="51">
        <f>YEAR(BDRIOSJ[[#This Row],[FECHA]])</f>
        <v>2024</v>
      </c>
      <c r="C1289" s="51">
        <f>MONTH(BDRIOSJ[[#This Row],[FECHA]])</f>
        <v>5</v>
      </c>
      <c r="D1289" s="50">
        <v>45435</v>
      </c>
      <c r="E1289" s="49" t="s">
        <v>115</v>
      </c>
      <c r="F1289" s="65">
        <v>7.6219000000000001</v>
      </c>
    </row>
    <row r="1290" spans="2:6" hidden="1" x14ac:dyDescent="0.25">
      <c r="B1290" s="51">
        <f>YEAR(BDRIOSJ[[#This Row],[FECHA]])</f>
        <v>2024</v>
      </c>
      <c r="C1290" s="51">
        <f>MONTH(BDRIOSJ[[#This Row],[FECHA]])</f>
        <v>5</v>
      </c>
      <c r="D1290" s="50">
        <v>45435</v>
      </c>
      <c r="E1290" s="49" t="s">
        <v>114</v>
      </c>
      <c r="F1290" s="65">
        <v>7.6219000000000001</v>
      </c>
    </row>
    <row r="1291" spans="2:6" hidden="1" x14ac:dyDescent="0.25">
      <c r="B1291" s="51">
        <f>YEAR(BDRIOSJ[[#This Row],[FECHA]])</f>
        <v>2024</v>
      </c>
      <c r="C1291" s="51">
        <f>MONTH(BDRIOSJ[[#This Row],[FECHA]])</f>
        <v>5</v>
      </c>
      <c r="D1291" s="50">
        <v>45435</v>
      </c>
      <c r="E1291" s="49" t="s">
        <v>113</v>
      </c>
      <c r="F1291" s="65">
        <v>7.6219000000000001</v>
      </c>
    </row>
    <row r="1292" spans="2:6" hidden="1" x14ac:dyDescent="0.25">
      <c r="B1292" s="51">
        <f>YEAR(BDRIOSJ[[#This Row],[FECHA]])</f>
        <v>2024</v>
      </c>
      <c r="C1292" s="51">
        <f>MONTH(BDRIOSJ[[#This Row],[FECHA]])</f>
        <v>5</v>
      </c>
      <c r="D1292" s="50">
        <v>45435</v>
      </c>
      <c r="E1292" s="49" t="s">
        <v>111</v>
      </c>
      <c r="F1292" s="65">
        <v>7.6219000000000001</v>
      </c>
    </row>
    <row r="1293" spans="2:6" hidden="1" x14ac:dyDescent="0.25">
      <c r="B1293" s="51">
        <f>YEAR(BDRIOSJ[[#This Row],[FECHA]])</f>
        <v>2024</v>
      </c>
      <c r="C1293" s="51">
        <f>MONTH(BDRIOSJ[[#This Row],[FECHA]])</f>
        <v>5</v>
      </c>
      <c r="D1293" s="50">
        <v>45436</v>
      </c>
      <c r="E1293" s="49" t="s">
        <v>115</v>
      </c>
      <c r="F1293" s="65">
        <v>7.6219000000000001</v>
      </c>
    </row>
    <row r="1294" spans="2:6" hidden="1" x14ac:dyDescent="0.25">
      <c r="B1294" s="51">
        <f>YEAR(BDRIOSJ[[#This Row],[FECHA]])</f>
        <v>2024</v>
      </c>
      <c r="C1294" s="51">
        <f>MONTH(BDRIOSJ[[#This Row],[FECHA]])</f>
        <v>5</v>
      </c>
      <c r="D1294" s="50">
        <v>45436</v>
      </c>
      <c r="E1294" s="49" t="s">
        <v>114</v>
      </c>
      <c r="F1294" s="65">
        <v>7.6219000000000001</v>
      </c>
    </row>
    <row r="1295" spans="2:6" hidden="1" x14ac:dyDescent="0.25">
      <c r="B1295" s="51">
        <f>YEAR(BDRIOSJ[[#This Row],[FECHA]])</f>
        <v>2024</v>
      </c>
      <c r="C1295" s="51">
        <f>MONTH(BDRIOSJ[[#This Row],[FECHA]])</f>
        <v>5</v>
      </c>
      <c r="D1295" s="50">
        <v>45436</v>
      </c>
      <c r="E1295" s="49" t="s">
        <v>113</v>
      </c>
      <c r="F1295" s="65">
        <v>7.6219000000000001</v>
      </c>
    </row>
    <row r="1296" spans="2:6" hidden="1" x14ac:dyDescent="0.25">
      <c r="B1296" s="51">
        <f>YEAR(BDRIOSJ[[#This Row],[FECHA]])</f>
        <v>2024</v>
      </c>
      <c r="C1296" s="51">
        <f>MONTH(BDRIOSJ[[#This Row],[FECHA]])</f>
        <v>5</v>
      </c>
      <c r="D1296" s="50">
        <v>45436</v>
      </c>
      <c r="E1296" s="49" t="s">
        <v>111</v>
      </c>
      <c r="F1296" s="65">
        <v>7.6219000000000001</v>
      </c>
    </row>
    <row r="1297" spans="2:6" hidden="1" x14ac:dyDescent="0.25">
      <c r="B1297" s="51">
        <f>YEAR(BDRIOSJ[[#This Row],[FECHA]])</f>
        <v>2024</v>
      </c>
      <c r="C1297" s="51">
        <f>MONTH(BDRIOSJ[[#This Row],[FECHA]])</f>
        <v>5</v>
      </c>
      <c r="D1297" s="50">
        <v>45437</v>
      </c>
      <c r="E1297" s="49" t="s">
        <v>115</v>
      </c>
      <c r="F1297" s="65">
        <v>7.6219000000000001</v>
      </c>
    </row>
    <row r="1298" spans="2:6" hidden="1" x14ac:dyDescent="0.25">
      <c r="B1298" s="51">
        <f>YEAR(BDRIOSJ[[#This Row],[FECHA]])</f>
        <v>2024</v>
      </c>
      <c r="C1298" s="51">
        <f>MONTH(BDRIOSJ[[#This Row],[FECHA]])</f>
        <v>5</v>
      </c>
      <c r="D1298" s="50">
        <v>45437</v>
      </c>
      <c r="E1298" s="49" t="s">
        <v>114</v>
      </c>
      <c r="F1298" s="65">
        <v>7.6219000000000001</v>
      </c>
    </row>
    <row r="1299" spans="2:6" hidden="1" x14ac:dyDescent="0.25">
      <c r="B1299" s="51">
        <f>YEAR(BDRIOSJ[[#This Row],[FECHA]])</f>
        <v>2024</v>
      </c>
      <c r="C1299" s="51">
        <f>MONTH(BDRIOSJ[[#This Row],[FECHA]])</f>
        <v>5</v>
      </c>
      <c r="D1299" s="50">
        <v>45437</v>
      </c>
      <c r="E1299" s="49" t="s">
        <v>113</v>
      </c>
      <c r="F1299" s="65">
        <v>7.6219000000000001</v>
      </c>
    </row>
    <row r="1300" spans="2:6" hidden="1" x14ac:dyDescent="0.25">
      <c r="B1300" s="51">
        <f>YEAR(BDRIOSJ[[#This Row],[FECHA]])</f>
        <v>2024</v>
      </c>
      <c r="C1300" s="51">
        <f>MONTH(BDRIOSJ[[#This Row],[FECHA]])</f>
        <v>5</v>
      </c>
      <c r="D1300" s="50">
        <v>45437</v>
      </c>
      <c r="E1300" s="49" t="s">
        <v>111</v>
      </c>
      <c r="F1300" s="65">
        <v>7.6219000000000001</v>
      </c>
    </row>
    <row r="1301" spans="2:6" hidden="1" x14ac:dyDescent="0.25">
      <c r="B1301" s="51">
        <f>YEAR(BDRIOSJ[[#This Row],[FECHA]])</f>
        <v>2024</v>
      </c>
      <c r="C1301" s="51">
        <f>MONTH(BDRIOSJ[[#This Row],[FECHA]])</f>
        <v>5</v>
      </c>
      <c r="D1301" s="50">
        <v>45438</v>
      </c>
      <c r="E1301" s="49" t="s">
        <v>115</v>
      </c>
      <c r="F1301" s="65">
        <v>7.6219000000000001</v>
      </c>
    </row>
    <row r="1302" spans="2:6" hidden="1" x14ac:dyDescent="0.25">
      <c r="B1302" s="51">
        <f>YEAR(BDRIOSJ[[#This Row],[FECHA]])</f>
        <v>2024</v>
      </c>
      <c r="C1302" s="51">
        <f>MONTH(BDRIOSJ[[#This Row],[FECHA]])</f>
        <v>5</v>
      </c>
      <c r="D1302" s="50">
        <v>45438</v>
      </c>
      <c r="E1302" s="49" t="s">
        <v>114</v>
      </c>
      <c r="F1302" s="65">
        <v>7.6219000000000001</v>
      </c>
    </row>
    <row r="1303" spans="2:6" hidden="1" x14ac:dyDescent="0.25">
      <c r="B1303" s="51">
        <f>YEAR(BDRIOSJ[[#This Row],[FECHA]])</f>
        <v>2024</v>
      </c>
      <c r="C1303" s="51">
        <f>MONTH(BDRIOSJ[[#This Row],[FECHA]])</f>
        <v>5</v>
      </c>
      <c r="D1303" s="50">
        <v>45438</v>
      </c>
      <c r="E1303" s="49" t="s">
        <v>113</v>
      </c>
      <c r="F1303" s="65">
        <v>7.6219000000000001</v>
      </c>
    </row>
    <row r="1304" spans="2:6" hidden="1" x14ac:dyDescent="0.25">
      <c r="B1304" s="51">
        <f>YEAR(BDRIOSJ[[#This Row],[FECHA]])</f>
        <v>2024</v>
      </c>
      <c r="C1304" s="51">
        <f>MONTH(BDRIOSJ[[#This Row],[FECHA]])</f>
        <v>5</v>
      </c>
      <c r="D1304" s="50">
        <v>45438</v>
      </c>
      <c r="E1304" s="49" t="s">
        <v>111</v>
      </c>
      <c r="F1304" s="65">
        <v>7.6219000000000001</v>
      </c>
    </row>
    <row r="1305" spans="2:6" hidden="1" x14ac:dyDescent="0.25">
      <c r="B1305" s="51">
        <f>YEAR(BDRIOSJ[[#This Row],[FECHA]])</f>
        <v>2024</v>
      </c>
      <c r="C1305" s="51">
        <f>MONTH(BDRIOSJ[[#This Row],[FECHA]])</f>
        <v>5</v>
      </c>
      <c r="D1305" s="50">
        <v>45439</v>
      </c>
      <c r="E1305" s="49" t="s">
        <v>115</v>
      </c>
      <c r="F1305" s="65">
        <v>5.9892000000000003</v>
      </c>
    </row>
    <row r="1306" spans="2:6" hidden="1" x14ac:dyDescent="0.25">
      <c r="B1306" s="51">
        <f>YEAR(BDRIOSJ[[#This Row],[FECHA]])</f>
        <v>2024</v>
      </c>
      <c r="C1306" s="51">
        <f>MONTH(BDRIOSJ[[#This Row],[FECHA]])</f>
        <v>5</v>
      </c>
      <c r="D1306" s="50">
        <v>45439</v>
      </c>
      <c r="E1306" s="49" t="s">
        <v>114</v>
      </c>
      <c r="F1306" s="65">
        <v>5.9892000000000003</v>
      </c>
    </row>
    <row r="1307" spans="2:6" hidden="1" x14ac:dyDescent="0.25">
      <c r="B1307" s="51">
        <f>YEAR(BDRIOSJ[[#This Row],[FECHA]])</f>
        <v>2024</v>
      </c>
      <c r="C1307" s="51">
        <f>MONTH(BDRIOSJ[[#This Row],[FECHA]])</f>
        <v>5</v>
      </c>
      <c r="D1307" s="50">
        <v>45439</v>
      </c>
      <c r="E1307" s="49" t="s">
        <v>113</v>
      </c>
      <c r="F1307" s="65">
        <v>5.9892000000000003</v>
      </c>
    </row>
    <row r="1308" spans="2:6" hidden="1" x14ac:dyDescent="0.25">
      <c r="B1308" s="51">
        <f>YEAR(BDRIOSJ[[#This Row],[FECHA]])</f>
        <v>2024</v>
      </c>
      <c r="C1308" s="51">
        <f>MONTH(BDRIOSJ[[#This Row],[FECHA]])</f>
        <v>5</v>
      </c>
      <c r="D1308" s="50">
        <v>45439</v>
      </c>
      <c r="E1308" s="49" t="s">
        <v>111</v>
      </c>
      <c r="F1308" s="65">
        <v>5.9892000000000003</v>
      </c>
    </row>
    <row r="1309" spans="2:6" hidden="1" x14ac:dyDescent="0.25">
      <c r="B1309" s="51">
        <f>YEAR(BDRIOSJ[[#This Row],[FECHA]])</f>
        <v>2024</v>
      </c>
      <c r="C1309" s="51">
        <f>MONTH(BDRIOSJ[[#This Row],[FECHA]])</f>
        <v>5</v>
      </c>
      <c r="D1309" s="50">
        <v>45440</v>
      </c>
      <c r="E1309" s="49" t="s">
        <v>115</v>
      </c>
      <c r="F1309" s="65">
        <v>5.9892000000000003</v>
      </c>
    </row>
    <row r="1310" spans="2:6" hidden="1" x14ac:dyDescent="0.25">
      <c r="B1310" s="51">
        <f>YEAR(BDRIOSJ[[#This Row],[FECHA]])</f>
        <v>2024</v>
      </c>
      <c r="C1310" s="51">
        <f>MONTH(BDRIOSJ[[#This Row],[FECHA]])</f>
        <v>5</v>
      </c>
      <c r="D1310" s="50">
        <v>45440</v>
      </c>
      <c r="E1310" s="49" t="s">
        <v>114</v>
      </c>
      <c r="F1310" s="65">
        <v>5.9892000000000003</v>
      </c>
    </row>
    <row r="1311" spans="2:6" hidden="1" x14ac:dyDescent="0.25">
      <c r="B1311" s="51">
        <f>YEAR(BDRIOSJ[[#This Row],[FECHA]])</f>
        <v>2024</v>
      </c>
      <c r="C1311" s="51">
        <f>MONTH(BDRIOSJ[[#This Row],[FECHA]])</f>
        <v>5</v>
      </c>
      <c r="D1311" s="50">
        <v>45440</v>
      </c>
      <c r="E1311" s="49" t="s">
        <v>113</v>
      </c>
      <c r="F1311" s="65">
        <v>5.9892000000000003</v>
      </c>
    </row>
    <row r="1312" spans="2:6" hidden="1" x14ac:dyDescent="0.25">
      <c r="B1312" s="51">
        <f>YEAR(BDRIOSJ[[#This Row],[FECHA]])</f>
        <v>2024</v>
      </c>
      <c r="C1312" s="51">
        <f>MONTH(BDRIOSJ[[#This Row],[FECHA]])</f>
        <v>5</v>
      </c>
      <c r="D1312" s="50">
        <v>45440</v>
      </c>
      <c r="E1312" s="49" t="s">
        <v>111</v>
      </c>
      <c r="F1312" s="65">
        <v>5.9892000000000003</v>
      </c>
    </row>
    <row r="1313" spans="2:6" hidden="1" x14ac:dyDescent="0.25">
      <c r="B1313" s="51">
        <f>YEAR(BDRIOSJ[[#This Row],[FECHA]])</f>
        <v>2024</v>
      </c>
      <c r="C1313" s="51">
        <f>MONTH(BDRIOSJ[[#This Row],[FECHA]])</f>
        <v>5</v>
      </c>
      <c r="D1313" s="50">
        <v>45441</v>
      </c>
      <c r="E1313" s="49" t="s">
        <v>115</v>
      </c>
      <c r="F1313" s="65">
        <v>5.9892000000000003</v>
      </c>
    </row>
    <row r="1314" spans="2:6" hidden="1" x14ac:dyDescent="0.25">
      <c r="B1314" s="51">
        <f>YEAR(BDRIOSJ[[#This Row],[FECHA]])</f>
        <v>2024</v>
      </c>
      <c r="C1314" s="51">
        <f>MONTH(BDRIOSJ[[#This Row],[FECHA]])</f>
        <v>5</v>
      </c>
      <c r="D1314" s="50">
        <v>45441</v>
      </c>
      <c r="E1314" s="49" t="s">
        <v>114</v>
      </c>
      <c r="F1314" s="65">
        <v>5.9892000000000003</v>
      </c>
    </row>
    <row r="1315" spans="2:6" hidden="1" x14ac:dyDescent="0.25">
      <c r="B1315" s="51">
        <f>YEAR(BDRIOSJ[[#This Row],[FECHA]])</f>
        <v>2024</v>
      </c>
      <c r="C1315" s="51">
        <f>MONTH(BDRIOSJ[[#This Row],[FECHA]])</f>
        <v>5</v>
      </c>
      <c r="D1315" s="50">
        <v>45441</v>
      </c>
      <c r="E1315" s="49" t="s">
        <v>113</v>
      </c>
      <c r="F1315" s="65">
        <v>5.9892000000000003</v>
      </c>
    </row>
    <row r="1316" spans="2:6" hidden="1" x14ac:dyDescent="0.25">
      <c r="B1316" s="51">
        <f>YEAR(BDRIOSJ[[#This Row],[FECHA]])</f>
        <v>2024</v>
      </c>
      <c r="C1316" s="51">
        <f>MONTH(BDRIOSJ[[#This Row],[FECHA]])</f>
        <v>5</v>
      </c>
      <c r="D1316" s="50">
        <v>45441</v>
      </c>
      <c r="E1316" s="49" t="s">
        <v>111</v>
      </c>
      <c r="F1316" s="65">
        <v>5.9892000000000003</v>
      </c>
    </row>
    <row r="1317" spans="2:6" hidden="1" x14ac:dyDescent="0.25">
      <c r="B1317" s="51">
        <f>YEAR(BDRIOSJ[[#This Row],[FECHA]])</f>
        <v>2024</v>
      </c>
      <c r="C1317" s="51">
        <f>MONTH(BDRIOSJ[[#This Row],[FECHA]])</f>
        <v>5</v>
      </c>
      <c r="D1317" s="50">
        <v>45442</v>
      </c>
      <c r="E1317" s="49" t="s">
        <v>114</v>
      </c>
      <c r="F1317" s="65">
        <v>5.9892000000000003</v>
      </c>
    </row>
    <row r="1318" spans="2:6" hidden="1" x14ac:dyDescent="0.25">
      <c r="B1318" s="51">
        <f>YEAR(BDRIOSJ[[#This Row],[FECHA]])</f>
        <v>2024</v>
      </c>
      <c r="C1318" s="51">
        <f>MONTH(BDRIOSJ[[#This Row],[FECHA]])</f>
        <v>5</v>
      </c>
      <c r="D1318" s="50">
        <v>45442</v>
      </c>
      <c r="E1318" s="49" t="s">
        <v>113</v>
      </c>
      <c r="F1318" s="65">
        <v>5.9892000000000003</v>
      </c>
    </row>
    <row r="1319" spans="2:6" hidden="1" x14ac:dyDescent="0.25">
      <c r="B1319" s="51">
        <f>YEAR(BDRIOSJ[[#This Row],[FECHA]])</f>
        <v>2024</v>
      </c>
      <c r="C1319" s="51">
        <f>MONTH(BDRIOSJ[[#This Row],[FECHA]])</f>
        <v>5</v>
      </c>
      <c r="D1319" s="50">
        <v>45442</v>
      </c>
      <c r="E1319" s="49" t="s">
        <v>111</v>
      </c>
      <c r="F1319" s="65">
        <v>5.9892000000000003</v>
      </c>
    </row>
    <row r="1320" spans="2:6" hidden="1" x14ac:dyDescent="0.25">
      <c r="B1320" s="51">
        <f>YEAR(BDRIOSJ[[#This Row],[FECHA]])</f>
        <v>2024</v>
      </c>
      <c r="C1320" s="51">
        <f>MONTH(BDRIOSJ[[#This Row],[FECHA]])</f>
        <v>5</v>
      </c>
      <c r="D1320" s="50">
        <v>45443</v>
      </c>
      <c r="E1320" s="49" t="s">
        <v>115</v>
      </c>
      <c r="F1320" s="65">
        <v>5.9892000000000003</v>
      </c>
    </row>
    <row r="1321" spans="2:6" hidden="1" x14ac:dyDescent="0.25">
      <c r="B1321" s="51">
        <f>YEAR(BDRIOSJ[[#This Row],[FECHA]])</f>
        <v>2024</v>
      </c>
      <c r="C1321" s="51">
        <f>MONTH(BDRIOSJ[[#This Row],[FECHA]])</f>
        <v>5</v>
      </c>
      <c r="D1321" s="50">
        <v>45443</v>
      </c>
      <c r="E1321" s="49" t="s">
        <v>114</v>
      </c>
      <c r="F1321" s="65">
        <v>5.9892000000000003</v>
      </c>
    </row>
    <row r="1322" spans="2:6" hidden="1" x14ac:dyDescent="0.25">
      <c r="B1322" s="51">
        <f>YEAR(BDRIOSJ[[#This Row],[FECHA]])</f>
        <v>2024</v>
      </c>
      <c r="C1322" s="51">
        <f>MONTH(BDRIOSJ[[#This Row],[FECHA]])</f>
        <v>5</v>
      </c>
      <c r="D1322" s="50">
        <v>45443</v>
      </c>
      <c r="E1322" s="49" t="s">
        <v>113</v>
      </c>
      <c r="F1322" s="65">
        <v>5.9892000000000003</v>
      </c>
    </row>
    <row r="1323" spans="2:6" hidden="1" x14ac:dyDescent="0.25">
      <c r="B1323" s="51">
        <f>YEAR(BDRIOSJ[[#This Row],[FECHA]])</f>
        <v>2024</v>
      </c>
      <c r="C1323" s="51">
        <f>MONTH(BDRIOSJ[[#This Row],[FECHA]])</f>
        <v>5</v>
      </c>
      <c r="D1323" s="50">
        <v>45443</v>
      </c>
      <c r="E1323" s="49" t="s">
        <v>111</v>
      </c>
      <c r="F1323" s="65">
        <v>5.9892000000000003</v>
      </c>
    </row>
    <row r="1324" spans="2:6" hidden="1" x14ac:dyDescent="0.25">
      <c r="B1324" s="51">
        <f>YEAR(BDRIOSJ[[#This Row],[FECHA]])</f>
        <v>2024</v>
      </c>
      <c r="C1324" s="51">
        <f>MONTH(BDRIOSJ[[#This Row],[FECHA]])</f>
        <v>6</v>
      </c>
      <c r="D1324" s="50">
        <v>45444</v>
      </c>
      <c r="E1324" s="49" t="s">
        <v>115</v>
      </c>
      <c r="F1324" s="65">
        <v>5.9892000000000003</v>
      </c>
    </row>
    <row r="1325" spans="2:6" hidden="1" x14ac:dyDescent="0.25">
      <c r="B1325" s="51">
        <f>YEAR(BDRIOSJ[[#This Row],[FECHA]])</f>
        <v>2024</v>
      </c>
      <c r="C1325" s="51">
        <f>MONTH(BDRIOSJ[[#This Row],[FECHA]])</f>
        <v>6</v>
      </c>
      <c r="D1325" s="50">
        <v>45444</v>
      </c>
      <c r="E1325" s="49" t="s">
        <v>114</v>
      </c>
      <c r="F1325" s="65">
        <v>5.9892000000000003</v>
      </c>
    </row>
    <row r="1326" spans="2:6" hidden="1" x14ac:dyDescent="0.25">
      <c r="B1326" s="51">
        <f>YEAR(BDRIOSJ[[#This Row],[FECHA]])</f>
        <v>2024</v>
      </c>
      <c r="C1326" s="51">
        <f>MONTH(BDRIOSJ[[#This Row],[FECHA]])</f>
        <v>6</v>
      </c>
      <c r="D1326" s="50">
        <v>45444</v>
      </c>
      <c r="E1326" s="49" t="s">
        <v>113</v>
      </c>
      <c r="F1326" s="65">
        <v>5.9892000000000003</v>
      </c>
    </row>
    <row r="1327" spans="2:6" hidden="1" x14ac:dyDescent="0.25">
      <c r="B1327" s="51">
        <f>YEAR(BDRIOSJ[[#This Row],[FECHA]])</f>
        <v>2024</v>
      </c>
      <c r="C1327" s="51">
        <f>MONTH(BDRIOSJ[[#This Row],[FECHA]])</f>
        <v>6</v>
      </c>
      <c r="D1327" s="50">
        <v>45444</v>
      </c>
      <c r="E1327" s="49" t="s">
        <v>111</v>
      </c>
      <c r="F1327" s="65">
        <v>5.9892000000000003</v>
      </c>
    </row>
    <row r="1328" spans="2:6" hidden="1" x14ac:dyDescent="0.25">
      <c r="B1328" s="51">
        <f>YEAR(BDRIOSJ[[#This Row],[FECHA]])</f>
        <v>2024</v>
      </c>
      <c r="C1328" s="51">
        <f>MONTH(BDRIOSJ[[#This Row],[FECHA]])</f>
        <v>6</v>
      </c>
      <c r="D1328" s="50">
        <v>45445</v>
      </c>
      <c r="E1328" s="49" t="s">
        <v>115</v>
      </c>
      <c r="F1328" s="65">
        <v>5.9892000000000003</v>
      </c>
    </row>
    <row r="1329" spans="2:6" hidden="1" x14ac:dyDescent="0.25">
      <c r="B1329" s="51">
        <f>YEAR(BDRIOSJ[[#This Row],[FECHA]])</f>
        <v>2024</v>
      </c>
      <c r="C1329" s="51">
        <f>MONTH(BDRIOSJ[[#This Row],[FECHA]])</f>
        <v>6</v>
      </c>
      <c r="D1329" s="50">
        <v>45445</v>
      </c>
      <c r="E1329" s="49" t="s">
        <v>114</v>
      </c>
      <c r="F1329" s="65">
        <v>5.9892000000000003</v>
      </c>
    </row>
    <row r="1330" spans="2:6" hidden="1" x14ac:dyDescent="0.25">
      <c r="B1330" s="51">
        <f>YEAR(BDRIOSJ[[#This Row],[FECHA]])</f>
        <v>2024</v>
      </c>
      <c r="C1330" s="51">
        <f>MONTH(BDRIOSJ[[#This Row],[FECHA]])</f>
        <v>6</v>
      </c>
      <c r="D1330" s="50">
        <v>45445</v>
      </c>
      <c r="E1330" s="49" t="s">
        <v>113</v>
      </c>
      <c r="F1330" s="65">
        <v>5.9892000000000003</v>
      </c>
    </row>
    <row r="1331" spans="2:6" hidden="1" x14ac:dyDescent="0.25">
      <c r="B1331" s="51">
        <f>YEAR(BDRIOSJ[[#This Row],[FECHA]])</f>
        <v>2024</v>
      </c>
      <c r="C1331" s="51">
        <f>MONTH(BDRIOSJ[[#This Row],[FECHA]])</f>
        <v>6</v>
      </c>
      <c r="D1331" s="50">
        <v>45445</v>
      </c>
      <c r="E1331" s="49" t="s">
        <v>111</v>
      </c>
      <c r="F1331" s="65">
        <v>5.9892000000000003</v>
      </c>
    </row>
    <row r="1332" spans="2:6" hidden="1" x14ac:dyDescent="0.25">
      <c r="B1332" s="51">
        <f>YEAR(BDRIOSJ[[#This Row],[FECHA]])</f>
        <v>2024</v>
      </c>
      <c r="C1332" s="51">
        <f>MONTH(BDRIOSJ[[#This Row],[FECHA]])</f>
        <v>6</v>
      </c>
      <c r="D1332" s="50">
        <v>45446</v>
      </c>
      <c r="E1332" s="49" t="s">
        <v>115</v>
      </c>
      <c r="F1332" s="65">
        <v>5.9892000000000003</v>
      </c>
    </row>
    <row r="1333" spans="2:6" hidden="1" x14ac:dyDescent="0.25">
      <c r="B1333" s="51">
        <f>YEAR(BDRIOSJ[[#This Row],[FECHA]])</f>
        <v>2024</v>
      </c>
      <c r="C1333" s="51">
        <f>MONTH(BDRIOSJ[[#This Row],[FECHA]])</f>
        <v>6</v>
      </c>
      <c r="D1333" s="50">
        <v>45446</v>
      </c>
      <c r="E1333" s="49" t="s">
        <v>114</v>
      </c>
      <c r="F1333" s="65">
        <v>5.9892000000000003</v>
      </c>
    </row>
    <row r="1334" spans="2:6" hidden="1" x14ac:dyDescent="0.25">
      <c r="B1334" s="51">
        <f>YEAR(BDRIOSJ[[#This Row],[FECHA]])</f>
        <v>2024</v>
      </c>
      <c r="C1334" s="51">
        <f>MONTH(BDRIOSJ[[#This Row],[FECHA]])</f>
        <v>6</v>
      </c>
      <c r="D1334" s="50">
        <v>45446</v>
      </c>
      <c r="E1334" s="49" t="s">
        <v>113</v>
      </c>
      <c r="F1334" s="65">
        <v>5.9892000000000003</v>
      </c>
    </row>
    <row r="1335" spans="2:6" hidden="1" x14ac:dyDescent="0.25">
      <c r="B1335" s="51">
        <f>YEAR(BDRIOSJ[[#This Row],[FECHA]])</f>
        <v>2024</v>
      </c>
      <c r="C1335" s="51">
        <f>MONTH(BDRIOSJ[[#This Row],[FECHA]])</f>
        <v>6</v>
      </c>
      <c r="D1335" s="50">
        <v>45446</v>
      </c>
      <c r="E1335" s="49" t="s">
        <v>111</v>
      </c>
      <c r="F1335" s="65">
        <v>5.9892000000000003</v>
      </c>
    </row>
    <row r="1336" spans="2:6" hidden="1" x14ac:dyDescent="0.25">
      <c r="B1336" s="51">
        <f>YEAR(BDRIOSJ[[#This Row],[FECHA]])</f>
        <v>2024</v>
      </c>
      <c r="C1336" s="51">
        <f>MONTH(BDRIOSJ[[#This Row],[FECHA]])</f>
        <v>6</v>
      </c>
      <c r="D1336" s="50">
        <v>45447</v>
      </c>
      <c r="E1336" s="49" t="s">
        <v>115</v>
      </c>
      <c r="F1336" s="65">
        <v>5.9892000000000003</v>
      </c>
    </row>
    <row r="1337" spans="2:6" hidden="1" x14ac:dyDescent="0.25">
      <c r="B1337" s="51">
        <f>YEAR(BDRIOSJ[[#This Row],[FECHA]])</f>
        <v>2024</v>
      </c>
      <c r="C1337" s="51">
        <f>MONTH(BDRIOSJ[[#This Row],[FECHA]])</f>
        <v>6</v>
      </c>
      <c r="D1337" s="50">
        <v>45447</v>
      </c>
      <c r="E1337" s="49" t="s">
        <v>114</v>
      </c>
      <c r="F1337" s="65">
        <v>5.9892000000000003</v>
      </c>
    </row>
    <row r="1338" spans="2:6" hidden="1" x14ac:dyDescent="0.25">
      <c r="B1338" s="51">
        <f>YEAR(BDRIOSJ[[#This Row],[FECHA]])</f>
        <v>2024</v>
      </c>
      <c r="C1338" s="51">
        <f>MONTH(BDRIOSJ[[#This Row],[FECHA]])</f>
        <v>6</v>
      </c>
      <c r="D1338" s="50">
        <v>45447</v>
      </c>
      <c r="E1338" s="49" t="s">
        <v>113</v>
      </c>
      <c r="F1338" s="65">
        <v>5.9892000000000003</v>
      </c>
    </row>
    <row r="1339" spans="2:6" hidden="1" x14ac:dyDescent="0.25">
      <c r="B1339" s="51">
        <f>YEAR(BDRIOSJ[[#This Row],[FECHA]])</f>
        <v>2024</v>
      </c>
      <c r="C1339" s="51">
        <f>MONTH(BDRIOSJ[[#This Row],[FECHA]])</f>
        <v>6</v>
      </c>
      <c r="D1339" s="50">
        <v>45447</v>
      </c>
      <c r="E1339" s="49" t="s">
        <v>111</v>
      </c>
      <c r="F1339" s="65">
        <v>5.9892000000000003</v>
      </c>
    </row>
    <row r="1340" spans="2:6" hidden="1" x14ac:dyDescent="0.25">
      <c r="B1340" s="51">
        <f>YEAR(BDRIOSJ[[#This Row],[FECHA]])</f>
        <v>2024</v>
      </c>
      <c r="C1340" s="51">
        <f>MONTH(BDRIOSJ[[#This Row],[FECHA]])</f>
        <v>6</v>
      </c>
      <c r="D1340" s="50">
        <v>45448</v>
      </c>
      <c r="E1340" s="49" t="s">
        <v>115</v>
      </c>
      <c r="F1340" s="65">
        <v>5.9892000000000003</v>
      </c>
    </row>
    <row r="1341" spans="2:6" hidden="1" x14ac:dyDescent="0.25">
      <c r="B1341" s="51">
        <f>YEAR(BDRIOSJ[[#This Row],[FECHA]])</f>
        <v>2024</v>
      </c>
      <c r="C1341" s="51">
        <f>MONTH(BDRIOSJ[[#This Row],[FECHA]])</f>
        <v>6</v>
      </c>
      <c r="D1341" s="50">
        <v>45448</v>
      </c>
      <c r="E1341" s="49" t="s">
        <v>114</v>
      </c>
      <c r="F1341" s="65">
        <v>5.9892000000000003</v>
      </c>
    </row>
    <row r="1342" spans="2:6" hidden="1" x14ac:dyDescent="0.25">
      <c r="B1342" s="51">
        <f>YEAR(BDRIOSJ[[#This Row],[FECHA]])</f>
        <v>2024</v>
      </c>
      <c r="C1342" s="51">
        <f>MONTH(BDRIOSJ[[#This Row],[FECHA]])</f>
        <v>6</v>
      </c>
      <c r="D1342" s="50">
        <v>45448</v>
      </c>
      <c r="E1342" s="49" t="s">
        <v>113</v>
      </c>
      <c r="F1342" s="65">
        <v>5.9892000000000003</v>
      </c>
    </row>
    <row r="1343" spans="2:6" hidden="1" x14ac:dyDescent="0.25">
      <c r="B1343" s="51">
        <f>YEAR(BDRIOSJ[[#This Row],[FECHA]])</f>
        <v>2024</v>
      </c>
      <c r="C1343" s="51">
        <f>MONTH(BDRIOSJ[[#This Row],[FECHA]])</f>
        <v>6</v>
      </c>
      <c r="D1343" s="50">
        <v>45448</v>
      </c>
      <c r="E1343" s="49" t="s">
        <v>111</v>
      </c>
      <c r="F1343" s="65">
        <v>5.9892000000000003</v>
      </c>
    </row>
    <row r="1344" spans="2:6" hidden="1" x14ac:dyDescent="0.25">
      <c r="B1344" s="51">
        <f>YEAR(BDRIOSJ[[#This Row],[FECHA]])</f>
        <v>2024</v>
      </c>
      <c r="C1344" s="51">
        <f>MONTH(BDRIOSJ[[#This Row],[FECHA]])</f>
        <v>6</v>
      </c>
      <c r="D1344" s="50">
        <v>45449</v>
      </c>
      <c r="E1344" s="49" t="s">
        <v>115</v>
      </c>
      <c r="F1344" s="65">
        <v>5.9892000000000003</v>
      </c>
    </row>
    <row r="1345" spans="2:6" hidden="1" x14ac:dyDescent="0.25">
      <c r="B1345" s="51">
        <f>YEAR(BDRIOSJ[[#This Row],[FECHA]])</f>
        <v>2024</v>
      </c>
      <c r="C1345" s="51">
        <f>MONTH(BDRIOSJ[[#This Row],[FECHA]])</f>
        <v>6</v>
      </c>
      <c r="D1345" s="50">
        <v>45449</v>
      </c>
      <c r="E1345" s="49" t="s">
        <v>114</v>
      </c>
      <c r="F1345" s="65">
        <v>5.9892000000000003</v>
      </c>
    </row>
    <row r="1346" spans="2:6" hidden="1" x14ac:dyDescent="0.25">
      <c r="B1346" s="51">
        <f>YEAR(BDRIOSJ[[#This Row],[FECHA]])</f>
        <v>2024</v>
      </c>
      <c r="C1346" s="51">
        <f>MONTH(BDRIOSJ[[#This Row],[FECHA]])</f>
        <v>6</v>
      </c>
      <c r="D1346" s="50">
        <v>45449</v>
      </c>
      <c r="E1346" s="49" t="s">
        <v>113</v>
      </c>
      <c r="F1346" s="65">
        <v>5.9892000000000003</v>
      </c>
    </row>
    <row r="1347" spans="2:6" hidden="1" x14ac:dyDescent="0.25">
      <c r="B1347" s="51">
        <f>YEAR(BDRIOSJ[[#This Row],[FECHA]])</f>
        <v>2024</v>
      </c>
      <c r="C1347" s="51">
        <f>MONTH(BDRIOSJ[[#This Row],[FECHA]])</f>
        <v>6</v>
      </c>
      <c r="D1347" s="50">
        <v>45449</v>
      </c>
      <c r="E1347" s="49" t="s">
        <v>111</v>
      </c>
      <c r="F1347" s="65">
        <v>5.9892000000000003</v>
      </c>
    </row>
    <row r="1348" spans="2:6" hidden="1" x14ac:dyDescent="0.25">
      <c r="B1348" s="51">
        <f>YEAR(BDRIOSJ[[#This Row],[FECHA]])</f>
        <v>2024</v>
      </c>
      <c r="C1348" s="51">
        <f>MONTH(BDRIOSJ[[#This Row],[FECHA]])</f>
        <v>6</v>
      </c>
      <c r="D1348" s="50">
        <v>45450</v>
      </c>
      <c r="E1348" s="49" t="s">
        <v>115</v>
      </c>
      <c r="F1348" s="65">
        <v>5.9892000000000003</v>
      </c>
    </row>
    <row r="1349" spans="2:6" hidden="1" x14ac:dyDescent="0.25">
      <c r="B1349" s="51">
        <f>YEAR(BDRIOSJ[[#This Row],[FECHA]])</f>
        <v>2024</v>
      </c>
      <c r="C1349" s="51">
        <f>MONTH(BDRIOSJ[[#This Row],[FECHA]])</f>
        <v>6</v>
      </c>
      <c r="D1349" s="50">
        <v>45450</v>
      </c>
      <c r="E1349" s="49" t="s">
        <v>114</v>
      </c>
      <c r="F1349" s="65">
        <v>5.9892000000000003</v>
      </c>
    </row>
    <row r="1350" spans="2:6" hidden="1" x14ac:dyDescent="0.25">
      <c r="B1350" s="51">
        <f>YEAR(BDRIOSJ[[#This Row],[FECHA]])</f>
        <v>2024</v>
      </c>
      <c r="C1350" s="51">
        <f>MONTH(BDRIOSJ[[#This Row],[FECHA]])</f>
        <v>6</v>
      </c>
      <c r="D1350" s="50">
        <v>45450</v>
      </c>
      <c r="E1350" s="49" t="s">
        <v>113</v>
      </c>
      <c r="F1350" s="65">
        <v>5.9892000000000003</v>
      </c>
    </row>
    <row r="1351" spans="2:6" hidden="1" x14ac:dyDescent="0.25">
      <c r="B1351" s="51">
        <f>YEAR(BDRIOSJ[[#This Row],[FECHA]])</f>
        <v>2024</v>
      </c>
      <c r="C1351" s="51">
        <f>MONTH(BDRIOSJ[[#This Row],[FECHA]])</f>
        <v>6</v>
      </c>
      <c r="D1351" s="50">
        <v>45450</v>
      </c>
      <c r="E1351" s="49" t="s">
        <v>111</v>
      </c>
      <c r="F1351" s="65">
        <v>5.9892000000000003</v>
      </c>
    </row>
    <row r="1352" spans="2:6" hidden="1" x14ac:dyDescent="0.25">
      <c r="B1352" s="51">
        <f>YEAR(BDRIOSJ[[#This Row],[FECHA]])</f>
        <v>2024</v>
      </c>
      <c r="C1352" s="51">
        <f>MONTH(BDRIOSJ[[#This Row],[FECHA]])</f>
        <v>6</v>
      </c>
      <c r="D1352" s="50">
        <v>45451</v>
      </c>
      <c r="E1352" s="49" t="s">
        <v>115</v>
      </c>
      <c r="F1352" s="65">
        <v>5.9892000000000003</v>
      </c>
    </row>
    <row r="1353" spans="2:6" hidden="1" x14ac:dyDescent="0.25">
      <c r="B1353" s="51">
        <f>YEAR(BDRIOSJ[[#This Row],[FECHA]])</f>
        <v>2024</v>
      </c>
      <c r="C1353" s="51">
        <f>MONTH(BDRIOSJ[[#This Row],[FECHA]])</f>
        <v>6</v>
      </c>
      <c r="D1353" s="50">
        <v>45451</v>
      </c>
      <c r="E1353" s="49" t="s">
        <v>114</v>
      </c>
      <c r="F1353" s="65">
        <v>5.9892000000000003</v>
      </c>
    </row>
    <row r="1354" spans="2:6" hidden="1" x14ac:dyDescent="0.25">
      <c r="B1354" s="51">
        <f>YEAR(BDRIOSJ[[#This Row],[FECHA]])</f>
        <v>2024</v>
      </c>
      <c r="C1354" s="51">
        <f>MONTH(BDRIOSJ[[#This Row],[FECHA]])</f>
        <v>6</v>
      </c>
      <c r="D1354" s="50">
        <v>45451</v>
      </c>
      <c r="E1354" s="49" t="s">
        <v>113</v>
      </c>
      <c r="F1354" s="65">
        <v>5.9892000000000003</v>
      </c>
    </row>
    <row r="1355" spans="2:6" hidden="1" x14ac:dyDescent="0.25">
      <c r="B1355" s="51">
        <f>YEAR(BDRIOSJ[[#This Row],[FECHA]])</f>
        <v>2024</v>
      </c>
      <c r="C1355" s="51">
        <f>MONTH(BDRIOSJ[[#This Row],[FECHA]])</f>
        <v>6</v>
      </c>
      <c r="D1355" s="50">
        <v>45451</v>
      </c>
      <c r="E1355" s="49" t="s">
        <v>111</v>
      </c>
      <c r="F1355" s="65">
        <v>5.9892000000000003</v>
      </c>
    </row>
    <row r="1356" spans="2:6" hidden="1" x14ac:dyDescent="0.25">
      <c r="B1356" s="51">
        <f>YEAR(BDRIOSJ[[#This Row],[FECHA]])</f>
        <v>2024</v>
      </c>
      <c r="C1356" s="51">
        <f>MONTH(BDRIOSJ[[#This Row],[FECHA]])</f>
        <v>6</v>
      </c>
      <c r="D1356" s="50">
        <v>45452</v>
      </c>
      <c r="E1356" s="49" t="s">
        <v>115</v>
      </c>
      <c r="F1356" s="65">
        <v>5.9892000000000003</v>
      </c>
    </row>
    <row r="1357" spans="2:6" hidden="1" x14ac:dyDescent="0.25">
      <c r="B1357" s="51">
        <f>YEAR(BDRIOSJ[[#This Row],[FECHA]])</f>
        <v>2024</v>
      </c>
      <c r="C1357" s="51">
        <f>MONTH(BDRIOSJ[[#This Row],[FECHA]])</f>
        <v>6</v>
      </c>
      <c r="D1357" s="50">
        <v>45452</v>
      </c>
      <c r="E1357" s="49" t="s">
        <v>114</v>
      </c>
      <c r="F1357" s="65">
        <v>5.9892000000000003</v>
      </c>
    </row>
    <row r="1358" spans="2:6" hidden="1" x14ac:dyDescent="0.25">
      <c r="B1358" s="51">
        <f>YEAR(BDRIOSJ[[#This Row],[FECHA]])</f>
        <v>2024</v>
      </c>
      <c r="C1358" s="51">
        <f>MONTH(BDRIOSJ[[#This Row],[FECHA]])</f>
        <v>6</v>
      </c>
      <c r="D1358" s="50">
        <v>45452</v>
      </c>
      <c r="E1358" s="49" t="s">
        <v>113</v>
      </c>
      <c r="F1358" s="65">
        <v>5.9892000000000003</v>
      </c>
    </row>
    <row r="1359" spans="2:6" hidden="1" x14ac:dyDescent="0.25">
      <c r="B1359" s="51">
        <f>YEAR(BDRIOSJ[[#This Row],[FECHA]])</f>
        <v>2024</v>
      </c>
      <c r="C1359" s="51">
        <f>MONTH(BDRIOSJ[[#This Row],[FECHA]])</f>
        <v>6</v>
      </c>
      <c r="D1359" s="50">
        <v>45452</v>
      </c>
      <c r="E1359" s="49" t="s">
        <v>111</v>
      </c>
      <c r="F1359" s="65">
        <v>5.9892000000000003</v>
      </c>
    </row>
    <row r="1360" spans="2:6" hidden="1" x14ac:dyDescent="0.25">
      <c r="B1360" s="51">
        <f>YEAR(BDRIOSJ[[#This Row],[FECHA]])</f>
        <v>2024</v>
      </c>
      <c r="C1360" s="51">
        <f>MONTH(BDRIOSJ[[#This Row],[FECHA]])</f>
        <v>6</v>
      </c>
      <c r="D1360" s="50">
        <v>45453</v>
      </c>
      <c r="E1360" s="49" t="s">
        <v>115</v>
      </c>
      <c r="F1360" s="65">
        <v>5.9892000000000003</v>
      </c>
    </row>
    <row r="1361" spans="2:6" hidden="1" x14ac:dyDescent="0.25">
      <c r="B1361" s="51">
        <f>YEAR(BDRIOSJ[[#This Row],[FECHA]])</f>
        <v>2024</v>
      </c>
      <c r="C1361" s="51">
        <f>MONTH(BDRIOSJ[[#This Row],[FECHA]])</f>
        <v>6</v>
      </c>
      <c r="D1361" s="50">
        <v>45453</v>
      </c>
      <c r="E1361" s="49" t="s">
        <v>114</v>
      </c>
      <c r="F1361" s="65">
        <v>5.9892000000000003</v>
      </c>
    </row>
    <row r="1362" spans="2:6" hidden="1" x14ac:dyDescent="0.25">
      <c r="B1362" s="51">
        <f>YEAR(BDRIOSJ[[#This Row],[FECHA]])</f>
        <v>2024</v>
      </c>
      <c r="C1362" s="51">
        <f>MONTH(BDRIOSJ[[#This Row],[FECHA]])</f>
        <v>6</v>
      </c>
      <c r="D1362" s="50">
        <v>45453</v>
      </c>
      <c r="E1362" s="49" t="s">
        <v>113</v>
      </c>
      <c r="F1362" s="65">
        <v>5.9892000000000003</v>
      </c>
    </row>
    <row r="1363" spans="2:6" hidden="1" x14ac:dyDescent="0.25">
      <c r="B1363" s="51">
        <f>YEAR(BDRIOSJ[[#This Row],[FECHA]])</f>
        <v>2024</v>
      </c>
      <c r="C1363" s="51">
        <f>MONTH(BDRIOSJ[[#This Row],[FECHA]])</f>
        <v>6</v>
      </c>
      <c r="D1363" s="50">
        <v>45453</v>
      </c>
      <c r="E1363" s="49" t="s">
        <v>111</v>
      </c>
      <c r="F1363" s="65">
        <v>5.9892000000000003</v>
      </c>
    </row>
    <row r="1364" spans="2:6" hidden="1" x14ac:dyDescent="0.25">
      <c r="B1364" s="51">
        <f>YEAR(BDRIOSJ[[#This Row],[FECHA]])</f>
        <v>2024</v>
      </c>
      <c r="C1364" s="51">
        <f>MONTH(BDRIOSJ[[#This Row],[FECHA]])</f>
        <v>6</v>
      </c>
      <c r="D1364" s="50">
        <v>45454</v>
      </c>
      <c r="E1364" s="49" t="s">
        <v>115</v>
      </c>
      <c r="F1364" s="65">
        <v>5.2279</v>
      </c>
    </row>
    <row r="1365" spans="2:6" hidden="1" x14ac:dyDescent="0.25">
      <c r="B1365" s="51">
        <f>YEAR(BDRIOSJ[[#This Row],[FECHA]])</f>
        <v>2024</v>
      </c>
      <c r="C1365" s="51">
        <f>MONTH(BDRIOSJ[[#This Row],[FECHA]])</f>
        <v>6</v>
      </c>
      <c r="D1365" s="50">
        <v>45454</v>
      </c>
      <c r="E1365" s="49" t="s">
        <v>114</v>
      </c>
      <c r="F1365" s="65">
        <v>5.2279</v>
      </c>
    </row>
    <row r="1366" spans="2:6" hidden="1" x14ac:dyDescent="0.25">
      <c r="B1366" s="51">
        <f>YEAR(BDRIOSJ[[#This Row],[FECHA]])</f>
        <v>2024</v>
      </c>
      <c r="C1366" s="51">
        <f>MONTH(BDRIOSJ[[#This Row],[FECHA]])</f>
        <v>6</v>
      </c>
      <c r="D1366" s="50">
        <v>45454</v>
      </c>
      <c r="E1366" s="49" t="s">
        <v>113</v>
      </c>
      <c r="F1366" s="65">
        <v>5.2279</v>
      </c>
    </row>
    <row r="1367" spans="2:6" hidden="1" x14ac:dyDescent="0.25">
      <c r="B1367" s="51">
        <f>YEAR(BDRIOSJ[[#This Row],[FECHA]])</f>
        <v>2024</v>
      </c>
      <c r="C1367" s="51">
        <f>MONTH(BDRIOSJ[[#This Row],[FECHA]])</f>
        <v>6</v>
      </c>
      <c r="D1367" s="50">
        <v>45454</v>
      </c>
      <c r="E1367" s="49" t="s">
        <v>111</v>
      </c>
      <c r="F1367" s="65">
        <v>5.2279</v>
      </c>
    </row>
    <row r="1368" spans="2:6" hidden="1" x14ac:dyDescent="0.25">
      <c r="B1368" s="51">
        <f>YEAR(BDRIOSJ[[#This Row],[FECHA]])</f>
        <v>2024</v>
      </c>
      <c r="C1368" s="51">
        <f>MONTH(BDRIOSJ[[#This Row],[FECHA]])</f>
        <v>6</v>
      </c>
      <c r="D1368" s="50">
        <v>45455</v>
      </c>
      <c r="E1368" s="49" t="s">
        <v>115</v>
      </c>
      <c r="F1368" s="65">
        <v>5.2279</v>
      </c>
    </row>
    <row r="1369" spans="2:6" hidden="1" x14ac:dyDescent="0.25">
      <c r="B1369" s="51">
        <f>YEAR(BDRIOSJ[[#This Row],[FECHA]])</f>
        <v>2024</v>
      </c>
      <c r="C1369" s="51">
        <f>MONTH(BDRIOSJ[[#This Row],[FECHA]])</f>
        <v>6</v>
      </c>
      <c r="D1369" s="50">
        <v>45455</v>
      </c>
      <c r="E1369" s="49" t="s">
        <v>114</v>
      </c>
      <c r="F1369" s="65">
        <v>5.2279</v>
      </c>
    </row>
    <row r="1370" spans="2:6" hidden="1" x14ac:dyDescent="0.25">
      <c r="B1370" s="51">
        <f>YEAR(BDRIOSJ[[#This Row],[FECHA]])</f>
        <v>2024</v>
      </c>
      <c r="C1370" s="51">
        <f>MONTH(BDRIOSJ[[#This Row],[FECHA]])</f>
        <v>6</v>
      </c>
      <c r="D1370" s="50">
        <v>45455</v>
      </c>
      <c r="E1370" s="49" t="s">
        <v>113</v>
      </c>
      <c r="F1370" s="65">
        <v>5.2279</v>
      </c>
    </row>
    <row r="1371" spans="2:6" hidden="1" x14ac:dyDescent="0.25">
      <c r="B1371" s="51">
        <f>YEAR(BDRIOSJ[[#This Row],[FECHA]])</f>
        <v>2024</v>
      </c>
      <c r="C1371" s="51">
        <f>MONTH(BDRIOSJ[[#This Row],[FECHA]])</f>
        <v>6</v>
      </c>
      <c r="D1371" s="50">
        <v>45455</v>
      </c>
      <c r="E1371" s="49" t="s">
        <v>111</v>
      </c>
      <c r="F1371" s="65">
        <v>5.2279</v>
      </c>
    </row>
    <row r="1372" spans="2:6" hidden="1" x14ac:dyDescent="0.25">
      <c r="B1372" s="51">
        <f>YEAR(BDRIOSJ[[#This Row],[FECHA]])</f>
        <v>2024</v>
      </c>
      <c r="C1372" s="51">
        <f>MONTH(BDRIOSJ[[#This Row],[FECHA]])</f>
        <v>6</v>
      </c>
      <c r="D1372" s="50">
        <v>45456</v>
      </c>
      <c r="E1372" s="49" t="s">
        <v>115</v>
      </c>
      <c r="F1372" s="65">
        <v>5.2279</v>
      </c>
    </row>
    <row r="1373" spans="2:6" hidden="1" x14ac:dyDescent="0.25">
      <c r="B1373" s="51">
        <f>YEAR(BDRIOSJ[[#This Row],[FECHA]])</f>
        <v>2024</v>
      </c>
      <c r="C1373" s="51">
        <f>MONTH(BDRIOSJ[[#This Row],[FECHA]])</f>
        <v>6</v>
      </c>
      <c r="D1373" s="50">
        <v>45456</v>
      </c>
      <c r="E1373" s="49" t="s">
        <v>114</v>
      </c>
      <c r="F1373" s="65">
        <v>5.2279</v>
      </c>
    </row>
    <row r="1374" spans="2:6" hidden="1" x14ac:dyDescent="0.25">
      <c r="B1374" s="51">
        <f>YEAR(BDRIOSJ[[#This Row],[FECHA]])</f>
        <v>2024</v>
      </c>
      <c r="C1374" s="51">
        <f>MONTH(BDRIOSJ[[#This Row],[FECHA]])</f>
        <v>6</v>
      </c>
      <c r="D1374" s="50">
        <v>45456</v>
      </c>
      <c r="E1374" s="49" t="s">
        <v>113</v>
      </c>
      <c r="F1374" s="65">
        <v>5.2279</v>
      </c>
    </row>
    <row r="1375" spans="2:6" hidden="1" x14ac:dyDescent="0.25">
      <c r="B1375" s="51">
        <f>YEAR(BDRIOSJ[[#This Row],[FECHA]])</f>
        <v>2024</v>
      </c>
      <c r="C1375" s="51">
        <f>MONTH(BDRIOSJ[[#This Row],[FECHA]])</f>
        <v>6</v>
      </c>
      <c r="D1375" s="50">
        <v>45456</v>
      </c>
      <c r="E1375" s="49" t="s">
        <v>111</v>
      </c>
      <c r="F1375" s="65">
        <v>5.2279</v>
      </c>
    </row>
    <row r="1376" spans="2:6" hidden="1" x14ac:dyDescent="0.25">
      <c r="B1376" s="51">
        <f>YEAR(BDRIOSJ[[#This Row],[FECHA]])</f>
        <v>2024</v>
      </c>
      <c r="C1376" s="51">
        <f>MONTH(BDRIOSJ[[#This Row],[FECHA]])</f>
        <v>6</v>
      </c>
      <c r="D1376" s="50">
        <v>45457</v>
      </c>
      <c r="E1376" s="49" t="s">
        <v>115</v>
      </c>
      <c r="F1376" s="65">
        <v>5.2279</v>
      </c>
    </row>
    <row r="1377" spans="2:6" hidden="1" x14ac:dyDescent="0.25">
      <c r="B1377" s="51">
        <f>YEAR(BDRIOSJ[[#This Row],[FECHA]])</f>
        <v>2024</v>
      </c>
      <c r="C1377" s="51">
        <f>MONTH(BDRIOSJ[[#This Row],[FECHA]])</f>
        <v>6</v>
      </c>
      <c r="D1377" s="50">
        <v>45457</v>
      </c>
      <c r="E1377" s="49" t="s">
        <v>114</v>
      </c>
      <c r="F1377" s="65">
        <v>5.2279</v>
      </c>
    </row>
    <row r="1378" spans="2:6" hidden="1" x14ac:dyDescent="0.25">
      <c r="B1378" s="51">
        <f>YEAR(BDRIOSJ[[#This Row],[FECHA]])</f>
        <v>2024</v>
      </c>
      <c r="C1378" s="51">
        <f>MONTH(BDRIOSJ[[#This Row],[FECHA]])</f>
        <v>6</v>
      </c>
      <c r="D1378" s="50">
        <v>45457</v>
      </c>
      <c r="E1378" s="49" t="s">
        <v>113</v>
      </c>
      <c r="F1378" s="65">
        <v>5.2279</v>
      </c>
    </row>
    <row r="1379" spans="2:6" hidden="1" x14ac:dyDescent="0.25">
      <c r="B1379" s="51">
        <f>YEAR(BDRIOSJ[[#This Row],[FECHA]])</f>
        <v>2024</v>
      </c>
      <c r="C1379" s="51">
        <f>MONTH(BDRIOSJ[[#This Row],[FECHA]])</f>
        <v>6</v>
      </c>
      <c r="D1379" s="50">
        <v>45457</v>
      </c>
      <c r="E1379" s="49" t="s">
        <v>111</v>
      </c>
      <c r="F1379" s="65">
        <v>5.2279</v>
      </c>
    </row>
    <row r="1380" spans="2:6" hidden="1" x14ac:dyDescent="0.25">
      <c r="B1380" s="51">
        <f>YEAR(BDRIOSJ[[#This Row],[FECHA]])</f>
        <v>2024</v>
      </c>
      <c r="C1380" s="51">
        <f>MONTH(BDRIOSJ[[#This Row],[FECHA]])</f>
        <v>6</v>
      </c>
      <c r="D1380" s="50">
        <v>45458</v>
      </c>
      <c r="E1380" s="49" t="s">
        <v>115</v>
      </c>
      <c r="F1380" s="65">
        <v>4.5034000000000001</v>
      </c>
    </row>
    <row r="1381" spans="2:6" hidden="1" x14ac:dyDescent="0.25">
      <c r="B1381" s="51">
        <f>YEAR(BDRIOSJ[[#This Row],[FECHA]])</f>
        <v>2024</v>
      </c>
      <c r="C1381" s="51">
        <f>MONTH(BDRIOSJ[[#This Row],[FECHA]])</f>
        <v>6</v>
      </c>
      <c r="D1381" s="50">
        <v>45458</v>
      </c>
      <c r="E1381" s="49" t="s">
        <v>114</v>
      </c>
      <c r="F1381" s="65">
        <v>4.5034000000000001</v>
      </c>
    </row>
    <row r="1382" spans="2:6" hidden="1" x14ac:dyDescent="0.25">
      <c r="B1382" s="51">
        <f>YEAR(BDRIOSJ[[#This Row],[FECHA]])</f>
        <v>2024</v>
      </c>
      <c r="C1382" s="51">
        <f>MONTH(BDRIOSJ[[#This Row],[FECHA]])</f>
        <v>6</v>
      </c>
      <c r="D1382" s="50">
        <v>45458</v>
      </c>
      <c r="E1382" s="49" t="s">
        <v>113</v>
      </c>
      <c r="F1382" s="65">
        <v>4.5034000000000001</v>
      </c>
    </row>
    <row r="1383" spans="2:6" hidden="1" x14ac:dyDescent="0.25">
      <c r="B1383" s="51">
        <f>YEAR(BDRIOSJ[[#This Row],[FECHA]])</f>
        <v>2024</v>
      </c>
      <c r="C1383" s="51">
        <f>MONTH(BDRIOSJ[[#This Row],[FECHA]])</f>
        <v>6</v>
      </c>
      <c r="D1383" s="50">
        <v>45458</v>
      </c>
      <c r="E1383" s="49" t="s">
        <v>111</v>
      </c>
      <c r="F1383" s="65">
        <v>4.5034000000000001</v>
      </c>
    </row>
    <row r="1384" spans="2:6" hidden="1" x14ac:dyDescent="0.25">
      <c r="B1384" s="51">
        <f>YEAR(BDRIOSJ[[#This Row],[FECHA]])</f>
        <v>2024</v>
      </c>
      <c r="C1384" s="51">
        <f>MONTH(BDRIOSJ[[#This Row],[FECHA]])</f>
        <v>6</v>
      </c>
      <c r="D1384" s="50">
        <v>45459</v>
      </c>
      <c r="E1384" s="49" t="s">
        <v>115</v>
      </c>
      <c r="F1384" s="65">
        <v>4.5034000000000001</v>
      </c>
    </row>
    <row r="1385" spans="2:6" hidden="1" x14ac:dyDescent="0.25">
      <c r="B1385" s="51">
        <f>YEAR(BDRIOSJ[[#This Row],[FECHA]])</f>
        <v>2024</v>
      </c>
      <c r="C1385" s="51">
        <f>MONTH(BDRIOSJ[[#This Row],[FECHA]])</f>
        <v>6</v>
      </c>
      <c r="D1385" s="50">
        <v>45459</v>
      </c>
      <c r="E1385" s="49" t="s">
        <v>114</v>
      </c>
      <c r="F1385" s="65">
        <v>4.5034000000000001</v>
      </c>
    </row>
    <row r="1386" spans="2:6" hidden="1" x14ac:dyDescent="0.25">
      <c r="B1386" s="51">
        <f>YEAR(BDRIOSJ[[#This Row],[FECHA]])</f>
        <v>2024</v>
      </c>
      <c r="C1386" s="51">
        <f>MONTH(BDRIOSJ[[#This Row],[FECHA]])</f>
        <v>6</v>
      </c>
      <c r="D1386" s="50">
        <v>45459</v>
      </c>
      <c r="E1386" s="49" t="s">
        <v>113</v>
      </c>
      <c r="F1386" s="65">
        <v>4.5034000000000001</v>
      </c>
    </row>
    <row r="1387" spans="2:6" hidden="1" x14ac:dyDescent="0.25">
      <c r="B1387" s="51">
        <f>YEAR(BDRIOSJ[[#This Row],[FECHA]])</f>
        <v>2024</v>
      </c>
      <c r="C1387" s="51">
        <f>MONTH(BDRIOSJ[[#This Row],[FECHA]])</f>
        <v>6</v>
      </c>
      <c r="D1387" s="50">
        <v>45459</v>
      </c>
      <c r="E1387" s="49" t="s">
        <v>111</v>
      </c>
      <c r="F1387" s="65">
        <v>4.5034000000000001</v>
      </c>
    </row>
    <row r="1388" spans="2:6" hidden="1" x14ac:dyDescent="0.25">
      <c r="B1388" s="51">
        <f>YEAR(BDRIOSJ[[#This Row],[FECHA]])</f>
        <v>2024</v>
      </c>
      <c r="C1388" s="51">
        <f>MONTH(BDRIOSJ[[#This Row],[FECHA]])</f>
        <v>6</v>
      </c>
      <c r="D1388" s="50">
        <v>45460</v>
      </c>
      <c r="E1388" s="49" t="s">
        <v>115</v>
      </c>
      <c r="F1388" s="65">
        <v>4.5034000000000001</v>
      </c>
    </row>
    <row r="1389" spans="2:6" hidden="1" x14ac:dyDescent="0.25">
      <c r="B1389" s="51">
        <f>YEAR(BDRIOSJ[[#This Row],[FECHA]])</f>
        <v>2024</v>
      </c>
      <c r="C1389" s="51">
        <f>MONTH(BDRIOSJ[[#This Row],[FECHA]])</f>
        <v>6</v>
      </c>
      <c r="D1389" s="50">
        <v>45460</v>
      </c>
      <c r="E1389" s="49" t="s">
        <v>114</v>
      </c>
      <c r="F1389" s="65">
        <v>4.5034000000000001</v>
      </c>
    </row>
    <row r="1390" spans="2:6" hidden="1" x14ac:dyDescent="0.25">
      <c r="B1390" s="51">
        <f>YEAR(BDRIOSJ[[#This Row],[FECHA]])</f>
        <v>2024</v>
      </c>
      <c r="C1390" s="51">
        <f>MONTH(BDRIOSJ[[#This Row],[FECHA]])</f>
        <v>6</v>
      </c>
      <c r="D1390" s="50">
        <v>45460</v>
      </c>
      <c r="E1390" s="49" t="s">
        <v>113</v>
      </c>
      <c r="F1390" s="65">
        <v>4.5034000000000001</v>
      </c>
    </row>
    <row r="1391" spans="2:6" hidden="1" x14ac:dyDescent="0.25">
      <c r="B1391" s="51">
        <f>YEAR(BDRIOSJ[[#This Row],[FECHA]])</f>
        <v>2024</v>
      </c>
      <c r="C1391" s="51">
        <f>MONTH(BDRIOSJ[[#This Row],[FECHA]])</f>
        <v>6</v>
      </c>
      <c r="D1391" s="50">
        <v>45460</v>
      </c>
      <c r="E1391" s="49" t="s">
        <v>111</v>
      </c>
      <c r="F1391" s="65">
        <v>4.5034000000000001</v>
      </c>
    </row>
    <row r="1392" spans="2:6" hidden="1" x14ac:dyDescent="0.25">
      <c r="B1392" s="51">
        <f>YEAR(BDRIOSJ[[#This Row],[FECHA]])</f>
        <v>2024</v>
      </c>
      <c r="C1392" s="51">
        <f>MONTH(BDRIOSJ[[#This Row],[FECHA]])</f>
        <v>6</v>
      </c>
      <c r="D1392" s="50">
        <v>45461</v>
      </c>
      <c r="E1392" s="49" t="s">
        <v>115</v>
      </c>
      <c r="F1392" s="65">
        <v>4.5034000000000001</v>
      </c>
    </row>
    <row r="1393" spans="2:6" hidden="1" x14ac:dyDescent="0.25">
      <c r="B1393" s="51">
        <f>YEAR(BDRIOSJ[[#This Row],[FECHA]])</f>
        <v>2024</v>
      </c>
      <c r="C1393" s="51">
        <f>MONTH(BDRIOSJ[[#This Row],[FECHA]])</f>
        <v>6</v>
      </c>
      <c r="D1393" s="50">
        <v>45461</v>
      </c>
      <c r="E1393" s="49" t="s">
        <v>114</v>
      </c>
      <c r="F1393" s="65">
        <v>4.5034000000000001</v>
      </c>
    </row>
    <row r="1394" spans="2:6" hidden="1" x14ac:dyDescent="0.25">
      <c r="B1394" s="51">
        <f>YEAR(BDRIOSJ[[#This Row],[FECHA]])</f>
        <v>2024</v>
      </c>
      <c r="C1394" s="51">
        <f>MONTH(BDRIOSJ[[#This Row],[FECHA]])</f>
        <v>6</v>
      </c>
      <c r="D1394" s="50">
        <v>45461</v>
      </c>
      <c r="E1394" s="49" t="s">
        <v>113</v>
      </c>
      <c r="F1394" s="65">
        <v>4.5034000000000001</v>
      </c>
    </row>
    <row r="1395" spans="2:6" hidden="1" x14ac:dyDescent="0.25">
      <c r="B1395" s="51">
        <f>YEAR(BDRIOSJ[[#This Row],[FECHA]])</f>
        <v>2024</v>
      </c>
      <c r="C1395" s="51">
        <f>MONTH(BDRIOSJ[[#This Row],[FECHA]])</f>
        <v>6</v>
      </c>
      <c r="D1395" s="50">
        <v>45461</v>
      </c>
      <c r="E1395" s="49" t="s">
        <v>111</v>
      </c>
      <c r="F1395" s="65">
        <v>4.5034000000000001</v>
      </c>
    </row>
    <row r="1396" spans="2:6" hidden="1" x14ac:dyDescent="0.25">
      <c r="B1396" s="51">
        <f>YEAR(BDRIOSJ[[#This Row],[FECHA]])</f>
        <v>2024</v>
      </c>
      <c r="C1396" s="51">
        <f>MONTH(BDRIOSJ[[#This Row],[FECHA]])</f>
        <v>6</v>
      </c>
      <c r="D1396" s="50">
        <v>45462</v>
      </c>
      <c r="E1396" s="49" t="s">
        <v>115</v>
      </c>
      <c r="F1396" s="65">
        <v>4.5034000000000001</v>
      </c>
    </row>
    <row r="1397" spans="2:6" hidden="1" x14ac:dyDescent="0.25">
      <c r="B1397" s="51">
        <f>YEAR(BDRIOSJ[[#This Row],[FECHA]])</f>
        <v>2024</v>
      </c>
      <c r="C1397" s="51">
        <f>MONTH(BDRIOSJ[[#This Row],[FECHA]])</f>
        <v>6</v>
      </c>
      <c r="D1397" s="50">
        <v>45462</v>
      </c>
      <c r="E1397" s="49" t="s">
        <v>114</v>
      </c>
      <c r="F1397" s="65">
        <v>4.5034000000000001</v>
      </c>
    </row>
    <row r="1398" spans="2:6" hidden="1" x14ac:dyDescent="0.25">
      <c r="B1398" s="51">
        <f>YEAR(BDRIOSJ[[#This Row],[FECHA]])</f>
        <v>2024</v>
      </c>
      <c r="C1398" s="51">
        <f>MONTH(BDRIOSJ[[#This Row],[FECHA]])</f>
        <v>6</v>
      </c>
      <c r="D1398" s="50">
        <v>45462</v>
      </c>
      <c r="E1398" s="49" t="s">
        <v>113</v>
      </c>
      <c r="F1398" s="65">
        <v>4.5034000000000001</v>
      </c>
    </row>
    <row r="1399" spans="2:6" hidden="1" x14ac:dyDescent="0.25">
      <c r="B1399" s="51">
        <f>YEAR(BDRIOSJ[[#This Row],[FECHA]])</f>
        <v>2024</v>
      </c>
      <c r="C1399" s="51">
        <f>MONTH(BDRIOSJ[[#This Row],[FECHA]])</f>
        <v>6</v>
      </c>
      <c r="D1399" s="50">
        <v>45462</v>
      </c>
      <c r="E1399" s="49" t="s">
        <v>111</v>
      </c>
      <c r="F1399" s="65">
        <v>4.5034000000000001</v>
      </c>
    </row>
    <row r="1400" spans="2:6" hidden="1" x14ac:dyDescent="0.25">
      <c r="B1400" s="51">
        <f>YEAR(BDRIOSJ[[#This Row],[FECHA]])</f>
        <v>2024</v>
      </c>
      <c r="C1400" s="51">
        <f>MONTH(BDRIOSJ[[#This Row],[FECHA]])</f>
        <v>6</v>
      </c>
      <c r="D1400" s="50">
        <v>45463</v>
      </c>
      <c r="E1400" s="49" t="s">
        <v>115</v>
      </c>
      <c r="F1400" s="65">
        <v>4.5034000000000001</v>
      </c>
    </row>
    <row r="1401" spans="2:6" hidden="1" x14ac:dyDescent="0.25">
      <c r="B1401" s="51">
        <f>YEAR(BDRIOSJ[[#This Row],[FECHA]])</f>
        <v>2024</v>
      </c>
      <c r="C1401" s="51">
        <f>MONTH(BDRIOSJ[[#This Row],[FECHA]])</f>
        <v>6</v>
      </c>
      <c r="D1401" s="50">
        <v>45463</v>
      </c>
      <c r="E1401" s="49" t="s">
        <v>114</v>
      </c>
      <c r="F1401" s="65">
        <v>4.5034000000000001</v>
      </c>
    </row>
    <row r="1402" spans="2:6" hidden="1" x14ac:dyDescent="0.25">
      <c r="B1402" s="51">
        <f>YEAR(BDRIOSJ[[#This Row],[FECHA]])</f>
        <v>2024</v>
      </c>
      <c r="C1402" s="51">
        <f>MONTH(BDRIOSJ[[#This Row],[FECHA]])</f>
        <v>6</v>
      </c>
      <c r="D1402" s="50">
        <v>45463</v>
      </c>
      <c r="E1402" s="49" t="s">
        <v>113</v>
      </c>
      <c r="F1402" s="65">
        <v>4.5034000000000001</v>
      </c>
    </row>
    <row r="1403" spans="2:6" hidden="1" x14ac:dyDescent="0.25">
      <c r="B1403" s="51">
        <f>YEAR(BDRIOSJ[[#This Row],[FECHA]])</f>
        <v>2024</v>
      </c>
      <c r="C1403" s="51">
        <f>MONTH(BDRIOSJ[[#This Row],[FECHA]])</f>
        <v>6</v>
      </c>
      <c r="D1403" s="50">
        <v>45463</v>
      </c>
      <c r="E1403" s="49" t="s">
        <v>111</v>
      </c>
      <c r="F1403" s="65">
        <v>4.5034000000000001</v>
      </c>
    </row>
    <row r="1404" spans="2:6" hidden="1" x14ac:dyDescent="0.25">
      <c r="B1404" s="51">
        <f>YEAR(BDRIOSJ[[#This Row],[FECHA]])</f>
        <v>2024</v>
      </c>
      <c r="C1404" s="51">
        <f>MONTH(BDRIOSJ[[#This Row],[FECHA]])</f>
        <v>6</v>
      </c>
      <c r="D1404" s="50">
        <v>45464</v>
      </c>
      <c r="E1404" s="49" t="s">
        <v>115</v>
      </c>
      <c r="F1404" s="65">
        <v>4.5034000000000001</v>
      </c>
    </row>
    <row r="1405" spans="2:6" hidden="1" x14ac:dyDescent="0.25">
      <c r="B1405" s="51">
        <f>YEAR(BDRIOSJ[[#This Row],[FECHA]])</f>
        <v>2024</v>
      </c>
      <c r="C1405" s="51">
        <f>MONTH(BDRIOSJ[[#This Row],[FECHA]])</f>
        <v>6</v>
      </c>
      <c r="D1405" s="50">
        <v>45464</v>
      </c>
      <c r="E1405" s="49" t="s">
        <v>114</v>
      </c>
      <c r="F1405" s="65">
        <v>4.5034000000000001</v>
      </c>
    </row>
    <row r="1406" spans="2:6" hidden="1" x14ac:dyDescent="0.25">
      <c r="B1406" s="51">
        <f>YEAR(BDRIOSJ[[#This Row],[FECHA]])</f>
        <v>2024</v>
      </c>
      <c r="C1406" s="51">
        <f>MONTH(BDRIOSJ[[#This Row],[FECHA]])</f>
        <v>6</v>
      </c>
      <c r="D1406" s="50">
        <v>45464</v>
      </c>
      <c r="E1406" s="49" t="s">
        <v>113</v>
      </c>
      <c r="F1406" s="65">
        <v>4.5034000000000001</v>
      </c>
    </row>
    <row r="1407" spans="2:6" hidden="1" x14ac:dyDescent="0.25">
      <c r="B1407" s="51">
        <f>YEAR(BDRIOSJ[[#This Row],[FECHA]])</f>
        <v>2024</v>
      </c>
      <c r="C1407" s="51">
        <f>MONTH(BDRIOSJ[[#This Row],[FECHA]])</f>
        <v>6</v>
      </c>
      <c r="D1407" s="50">
        <v>45464</v>
      </c>
      <c r="E1407" s="49" t="s">
        <v>111</v>
      </c>
      <c r="F1407" s="65">
        <v>4.5034000000000001</v>
      </c>
    </row>
    <row r="1408" spans="2:6" hidden="1" x14ac:dyDescent="0.25">
      <c r="B1408" s="51">
        <f>YEAR(BDRIOSJ[[#This Row],[FECHA]])</f>
        <v>2024</v>
      </c>
      <c r="C1408" s="51">
        <f>MONTH(BDRIOSJ[[#This Row],[FECHA]])</f>
        <v>6</v>
      </c>
      <c r="D1408" s="50">
        <v>45465</v>
      </c>
      <c r="E1408" s="49" t="s">
        <v>115</v>
      </c>
      <c r="F1408" s="65">
        <v>4.5034000000000001</v>
      </c>
    </row>
    <row r="1409" spans="2:6" hidden="1" x14ac:dyDescent="0.25">
      <c r="B1409" s="51">
        <f>YEAR(BDRIOSJ[[#This Row],[FECHA]])</f>
        <v>2024</v>
      </c>
      <c r="C1409" s="51">
        <f>MONTH(BDRIOSJ[[#This Row],[FECHA]])</f>
        <v>6</v>
      </c>
      <c r="D1409" s="50">
        <v>45465</v>
      </c>
      <c r="E1409" s="49" t="s">
        <v>114</v>
      </c>
      <c r="F1409" s="65">
        <v>4.5034000000000001</v>
      </c>
    </row>
    <row r="1410" spans="2:6" hidden="1" x14ac:dyDescent="0.25">
      <c r="B1410" s="51">
        <f>YEAR(BDRIOSJ[[#This Row],[FECHA]])</f>
        <v>2024</v>
      </c>
      <c r="C1410" s="51">
        <f>MONTH(BDRIOSJ[[#This Row],[FECHA]])</f>
        <v>6</v>
      </c>
      <c r="D1410" s="50">
        <v>45465</v>
      </c>
      <c r="E1410" s="49" t="s">
        <v>113</v>
      </c>
      <c r="F1410" s="65">
        <v>4.5034000000000001</v>
      </c>
    </row>
    <row r="1411" spans="2:6" hidden="1" x14ac:dyDescent="0.25">
      <c r="B1411" s="51">
        <f>YEAR(BDRIOSJ[[#This Row],[FECHA]])</f>
        <v>2024</v>
      </c>
      <c r="C1411" s="51">
        <f>MONTH(BDRIOSJ[[#This Row],[FECHA]])</f>
        <v>6</v>
      </c>
      <c r="D1411" s="50">
        <v>45465</v>
      </c>
      <c r="E1411" s="49" t="s">
        <v>111</v>
      </c>
      <c r="F1411" s="65">
        <v>4.5034000000000001</v>
      </c>
    </row>
    <row r="1412" spans="2:6" hidden="1" x14ac:dyDescent="0.25">
      <c r="B1412" s="51">
        <f>YEAR(BDRIOSJ[[#This Row],[FECHA]])</f>
        <v>2024</v>
      </c>
      <c r="C1412" s="51">
        <f>MONTH(BDRIOSJ[[#This Row],[FECHA]])</f>
        <v>6</v>
      </c>
      <c r="D1412" s="50">
        <v>45466</v>
      </c>
      <c r="E1412" s="49" t="s">
        <v>115</v>
      </c>
      <c r="F1412" s="65">
        <v>4.5034000000000001</v>
      </c>
    </row>
    <row r="1413" spans="2:6" hidden="1" x14ac:dyDescent="0.25">
      <c r="B1413" s="51">
        <f>YEAR(BDRIOSJ[[#This Row],[FECHA]])</f>
        <v>2024</v>
      </c>
      <c r="C1413" s="51">
        <f>MONTH(BDRIOSJ[[#This Row],[FECHA]])</f>
        <v>6</v>
      </c>
      <c r="D1413" s="50">
        <v>45466</v>
      </c>
      <c r="E1413" s="49" t="s">
        <v>114</v>
      </c>
      <c r="F1413" s="65">
        <v>4.5034000000000001</v>
      </c>
    </row>
    <row r="1414" spans="2:6" hidden="1" x14ac:dyDescent="0.25">
      <c r="B1414" s="51">
        <f>YEAR(BDRIOSJ[[#This Row],[FECHA]])</f>
        <v>2024</v>
      </c>
      <c r="C1414" s="51">
        <f>MONTH(BDRIOSJ[[#This Row],[FECHA]])</f>
        <v>6</v>
      </c>
      <c r="D1414" s="50">
        <v>45466</v>
      </c>
      <c r="E1414" s="49" t="s">
        <v>113</v>
      </c>
      <c r="F1414" s="65">
        <v>4.5034000000000001</v>
      </c>
    </row>
    <row r="1415" spans="2:6" hidden="1" x14ac:dyDescent="0.25">
      <c r="B1415" s="51">
        <f>YEAR(BDRIOSJ[[#This Row],[FECHA]])</f>
        <v>2024</v>
      </c>
      <c r="C1415" s="51">
        <f>MONTH(BDRIOSJ[[#This Row],[FECHA]])</f>
        <v>6</v>
      </c>
      <c r="D1415" s="50">
        <v>45466</v>
      </c>
      <c r="E1415" s="49" t="s">
        <v>111</v>
      </c>
      <c r="F1415" s="65">
        <v>4.5034000000000001</v>
      </c>
    </row>
    <row r="1416" spans="2:6" hidden="1" x14ac:dyDescent="0.25">
      <c r="B1416" s="51">
        <f>YEAR(BDRIOSJ[[#This Row],[FECHA]])</f>
        <v>2024</v>
      </c>
      <c r="C1416" s="51">
        <f>MONTH(BDRIOSJ[[#This Row],[FECHA]])</f>
        <v>6</v>
      </c>
      <c r="D1416" s="50">
        <v>45467</v>
      </c>
      <c r="E1416" s="49" t="s">
        <v>115</v>
      </c>
      <c r="F1416" s="65">
        <v>4.5034000000000001</v>
      </c>
    </row>
    <row r="1417" spans="2:6" hidden="1" x14ac:dyDescent="0.25">
      <c r="B1417" s="51">
        <f>YEAR(BDRIOSJ[[#This Row],[FECHA]])</f>
        <v>2024</v>
      </c>
      <c r="C1417" s="51">
        <f>MONTH(BDRIOSJ[[#This Row],[FECHA]])</f>
        <v>6</v>
      </c>
      <c r="D1417" s="50">
        <v>45467</v>
      </c>
      <c r="E1417" s="49" t="s">
        <v>114</v>
      </c>
      <c r="F1417" s="65">
        <v>4.5034000000000001</v>
      </c>
    </row>
    <row r="1418" spans="2:6" hidden="1" x14ac:dyDescent="0.25">
      <c r="B1418" s="51">
        <f>YEAR(BDRIOSJ[[#This Row],[FECHA]])</f>
        <v>2024</v>
      </c>
      <c r="C1418" s="51">
        <f>MONTH(BDRIOSJ[[#This Row],[FECHA]])</f>
        <v>6</v>
      </c>
      <c r="D1418" s="50">
        <v>45467</v>
      </c>
      <c r="E1418" s="49" t="s">
        <v>113</v>
      </c>
      <c r="F1418" s="65">
        <v>4.5034000000000001</v>
      </c>
    </row>
    <row r="1419" spans="2:6" hidden="1" x14ac:dyDescent="0.25">
      <c r="B1419" s="51">
        <f>YEAR(BDRIOSJ[[#This Row],[FECHA]])</f>
        <v>2024</v>
      </c>
      <c r="C1419" s="51">
        <f>MONTH(BDRIOSJ[[#This Row],[FECHA]])</f>
        <v>6</v>
      </c>
      <c r="D1419" s="50">
        <v>45467</v>
      </c>
      <c r="E1419" s="49" t="s">
        <v>111</v>
      </c>
      <c r="F1419" s="65">
        <v>4.5034000000000001</v>
      </c>
    </row>
    <row r="1420" spans="2:6" hidden="1" x14ac:dyDescent="0.25">
      <c r="B1420" s="51">
        <f>YEAR(BDRIOSJ[[#This Row],[FECHA]])</f>
        <v>2024</v>
      </c>
      <c r="C1420" s="51">
        <f>MONTH(BDRIOSJ[[#This Row],[FECHA]])</f>
        <v>6</v>
      </c>
      <c r="D1420" s="50">
        <v>45468</v>
      </c>
      <c r="E1420" s="49" t="s">
        <v>115</v>
      </c>
      <c r="F1420" s="65">
        <v>4.5034000000000001</v>
      </c>
    </row>
    <row r="1421" spans="2:6" hidden="1" x14ac:dyDescent="0.25">
      <c r="B1421" s="51">
        <f>YEAR(BDRIOSJ[[#This Row],[FECHA]])</f>
        <v>2024</v>
      </c>
      <c r="C1421" s="51">
        <f>MONTH(BDRIOSJ[[#This Row],[FECHA]])</f>
        <v>6</v>
      </c>
      <c r="D1421" s="50">
        <v>45468</v>
      </c>
      <c r="E1421" s="49" t="s">
        <v>114</v>
      </c>
      <c r="F1421" s="65">
        <v>4.5034000000000001</v>
      </c>
    </row>
    <row r="1422" spans="2:6" hidden="1" x14ac:dyDescent="0.25">
      <c r="B1422" s="51">
        <f>YEAR(BDRIOSJ[[#This Row],[FECHA]])</f>
        <v>2024</v>
      </c>
      <c r="C1422" s="51">
        <f>MONTH(BDRIOSJ[[#This Row],[FECHA]])</f>
        <v>6</v>
      </c>
      <c r="D1422" s="50">
        <v>45468</v>
      </c>
      <c r="E1422" s="49" t="s">
        <v>113</v>
      </c>
      <c r="F1422" s="65">
        <v>4.5034000000000001</v>
      </c>
    </row>
    <row r="1423" spans="2:6" hidden="1" x14ac:dyDescent="0.25">
      <c r="B1423" s="51">
        <f>YEAR(BDRIOSJ[[#This Row],[FECHA]])</f>
        <v>2024</v>
      </c>
      <c r="C1423" s="51">
        <f>MONTH(BDRIOSJ[[#This Row],[FECHA]])</f>
        <v>6</v>
      </c>
      <c r="D1423" s="50">
        <v>45468</v>
      </c>
      <c r="E1423" s="49" t="s">
        <v>111</v>
      </c>
      <c r="F1423" s="65">
        <v>4.5034000000000001</v>
      </c>
    </row>
    <row r="1424" spans="2:6" hidden="1" x14ac:dyDescent="0.25">
      <c r="B1424" s="51">
        <f>YEAR(BDRIOSJ[[#This Row],[FECHA]])</f>
        <v>2024</v>
      </c>
      <c r="C1424" s="51">
        <f>MONTH(BDRIOSJ[[#This Row],[FECHA]])</f>
        <v>6</v>
      </c>
      <c r="D1424" s="50">
        <v>45469</v>
      </c>
      <c r="E1424" s="49" t="s">
        <v>113</v>
      </c>
      <c r="F1424" s="65">
        <v>4.5034000000000001</v>
      </c>
    </row>
    <row r="1425" spans="2:6" hidden="1" x14ac:dyDescent="0.25">
      <c r="B1425" s="51">
        <f>YEAR(BDRIOSJ[[#This Row],[FECHA]])</f>
        <v>2024</v>
      </c>
      <c r="C1425" s="51">
        <f>MONTH(BDRIOSJ[[#This Row],[FECHA]])</f>
        <v>6</v>
      </c>
      <c r="D1425" s="50">
        <v>45469</v>
      </c>
      <c r="E1425" s="49" t="s">
        <v>111</v>
      </c>
      <c r="F1425" s="65">
        <v>4.5034000000000001</v>
      </c>
    </row>
    <row r="1426" spans="2:6" hidden="1" x14ac:dyDescent="0.25">
      <c r="B1426" s="51">
        <f>YEAR(BDRIOSJ[[#This Row],[FECHA]])</f>
        <v>2024</v>
      </c>
      <c r="C1426" s="51">
        <f>MONTH(BDRIOSJ[[#This Row],[FECHA]])</f>
        <v>6</v>
      </c>
      <c r="D1426" s="50">
        <v>45470</v>
      </c>
      <c r="E1426" s="49" t="s">
        <v>115</v>
      </c>
      <c r="F1426" s="65">
        <v>3.8155999999999999</v>
      </c>
    </row>
    <row r="1427" spans="2:6" hidden="1" x14ac:dyDescent="0.25">
      <c r="B1427" s="51">
        <f>YEAR(BDRIOSJ[[#This Row],[FECHA]])</f>
        <v>2024</v>
      </c>
      <c r="C1427" s="51">
        <f>MONTH(BDRIOSJ[[#This Row],[FECHA]])</f>
        <v>6</v>
      </c>
      <c r="D1427" s="50">
        <v>45470</v>
      </c>
      <c r="E1427" s="49" t="s">
        <v>114</v>
      </c>
      <c r="F1427" s="65">
        <v>3.8155999999999999</v>
      </c>
    </row>
    <row r="1428" spans="2:6" hidden="1" x14ac:dyDescent="0.25">
      <c r="B1428" s="51">
        <f>YEAR(BDRIOSJ[[#This Row],[FECHA]])</f>
        <v>2024</v>
      </c>
      <c r="C1428" s="51">
        <f>MONTH(BDRIOSJ[[#This Row],[FECHA]])</f>
        <v>6</v>
      </c>
      <c r="D1428" s="50">
        <v>45470</v>
      </c>
      <c r="E1428" s="49" t="s">
        <v>113</v>
      </c>
      <c r="F1428" s="65">
        <v>3.8155999999999999</v>
      </c>
    </row>
    <row r="1429" spans="2:6" hidden="1" x14ac:dyDescent="0.25">
      <c r="B1429" s="51">
        <f>YEAR(BDRIOSJ[[#This Row],[FECHA]])</f>
        <v>2024</v>
      </c>
      <c r="C1429" s="51">
        <f>MONTH(BDRIOSJ[[#This Row],[FECHA]])</f>
        <v>6</v>
      </c>
      <c r="D1429" s="50">
        <v>45470</v>
      </c>
      <c r="E1429" s="49" t="s">
        <v>111</v>
      </c>
      <c r="F1429" s="65">
        <v>3.8155999999999999</v>
      </c>
    </row>
    <row r="1430" spans="2:6" hidden="1" x14ac:dyDescent="0.25">
      <c r="B1430" s="51">
        <f>YEAR(BDRIOSJ[[#This Row],[FECHA]])</f>
        <v>2024</v>
      </c>
      <c r="C1430" s="51">
        <f>MONTH(BDRIOSJ[[#This Row],[FECHA]])</f>
        <v>6</v>
      </c>
      <c r="D1430" s="50">
        <v>45471</v>
      </c>
      <c r="E1430" s="49" t="s">
        <v>115</v>
      </c>
      <c r="F1430" s="65">
        <v>3.8155999999999999</v>
      </c>
    </row>
    <row r="1431" spans="2:6" hidden="1" x14ac:dyDescent="0.25">
      <c r="B1431" s="51">
        <f>YEAR(BDRIOSJ[[#This Row],[FECHA]])</f>
        <v>2024</v>
      </c>
      <c r="C1431" s="51">
        <f>MONTH(BDRIOSJ[[#This Row],[FECHA]])</f>
        <v>6</v>
      </c>
      <c r="D1431" s="50">
        <v>45471</v>
      </c>
      <c r="E1431" s="49" t="s">
        <v>114</v>
      </c>
      <c r="F1431" s="65">
        <v>3.8155999999999999</v>
      </c>
    </row>
    <row r="1432" spans="2:6" hidden="1" x14ac:dyDescent="0.25">
      <c r="B1432" s="51">
        <f>YEAR(BDRIOSJ[[#This Row],[FECHA]])</f>
        <v>2024</v>
      </c>
      <c r="C1432" s="51">
        <f>MONTH(BDRIOSJ[[#This Row],[FECHA]])</f>
        <v>6</v>
      </c>
      <c r="D1432" s="50">
        <v>45471</v>
      </c>
      <c r="E1432" s="49" t="s">
        <v>113</v>
      </c>
      <c r="F1432" s="65">
        <v>3.8155999999999999</v>
      </c>
    </row>
    <row r="1433" spans="2:6" hidden="1" x14ac:dyDescent="0.25">
      <c r="B1433" s="51">
        <f>YEAR(BDRIOSJ[[#This Row],[FECHA]])</f>
        <v>2024</v>
      </c>
      <c r="C1433" s="51">
        <f>MONTH(BDRIOSJ[[#This Row],[FECHA]])</f>
        <v>6</v>
      </c>
      <c r="D1433" s="50">
        <v>45471</v>
      </c>
      <c r="E1433" s="49" t="s">
        <v>111</v>
      </c>
      <c r="F1433" s="65">
        <v>3.8155999999999999</v>
      </c>
    </row>
    <row r="1434" spans="2:6" hidden="1" x14ac:dyDescent="0.25">
      <c r="B1434" s="51">
        <f>YEAR(BDRIOSJ[[#This Row],[FECHA]])</f>
        <v>2024</v>
      </c>
      <c r="C1434" s="51">
        <f>MONTH(BDRIOSJ[[#This Row],[FECHA]])</f>
        <v>6</v>
      </c>
      <c r="D1434" s="50">
        <v>45472</v>
      </c>
      <c r="E1434" s="49" t="s">
        <v>115</v>
      </c>
      <c r="F1434" s="65">
        <v>3.8155999999999999</v>
      </c>
    </row>
    <row r="1435" spans="2:6" hidden="1" x14ac:dyDescent="0.25">
      <c r="B1435" s="51">
        <f>YEAR(BDRIOSJ[[#This Row],[FECHA]])</f>
        <v>2024</v>
      </c>
      <c r="C1435" s="51">
        <f>MONTH(BDRIOSJ[[#This Row],[FECHA]])</f>
        <v>6</v>
      </c>
      <c r="D1435" s="50">
        <v>45472</v>
      </c>
      <c r="E1435" s="49" t="s">
        <v>114</v>
      </c>
      <c r="F1435" s="65">
        <v>3.8155999999999999</v>
      </c>
    </row>
    <row r="1436" spans="2:6" hidden="1" x14ac:dyDescent="0.25">
      <c r="B1436" s="51">
        <f>YEAR(BDRIOSJ[[#This Row],[FECHA]])</f>
        <v>2024</v>
      </c>
      <c r="C1436" s="51">
        <f>MONTH(BDRIOSJ[[#This Row],[FECHA]])</f>
        <v>6</v>
      </c>
      <c r="D1436" s="50">
        <v>45472</v>
      </c>
      <c r="E1436" s="49" t="s">
        <v>113</v>
      </c>
      <c r="F1436" s="65">
        <v>3.8155999999999999</v>
      </c>
    </row>
    <row r="1437" spans="2:6" hidden="1" x14ac:dyDescent="0.25">
      <c r="B1437" s="51">
        <f>YEAR(BDRIOSJ[[#This Row],[FECHA]])</f>
        <v>2024</v>
      </c>
      <c r="C1437" s="51">
        <f>MONTH(BDRIOSJ[[#This Row],[FECHA]])</f>
        <v>6</v>
      </c>
      <c r="D1437" s="50">
        <v>45473</v>
      </c>
      <c r="E1437" s="49" t="s">
        <v>115</v>
      </c>
      <c r="F1437" s="65">
        <v>3.8155999999999999</v>
      </c>
    </row>
    <row r="1438" spans="2:6" hidden="1" x14ac:dyDescent="0.25">
      <c r="B1438" s="51">
        <f>YEAR(BDRIOSJ[[#This Row],[FECHA]])</f>
        <v>2024</v>
      </c>
      <c r="C1438" s="51">
        <f>MONTH(BDRIOSJ[[#This Row],[FECHA]])</f>
        <v>6</v>
      </c>
      <c r="D1438" s="50">
        <v>45473</v>
      </c>
      <c r="E1438" s="49" t="s">
        <v>114</v>
      </c>
      <c r="F1438" s="65">
        <v>3.8155999999999999</v>
      </c>
    </row>
    <row r="1439" spans="2:6" hidden="1" x14ac:dyDescent="0.25">
      <c r="B1439" s="51">
        <f>YEAR(BDRIOSJ[[#This Row],[FECHA]])</f>
        <v>2024</v>
      </c>
      <c r="C1439" s="51">
        <f>MONTH(BDRIOSJ[[#This Row],[FECHA]])</f>
        <v>6</v>
      </c>
      <c r="D1439" s="50">
        <v>45473</v>
      </c>
      <c r="E1439" s="49" t="s">
        <v>113</v>
      </c>
      <c r="F1439" s="65">
        <v>3.8155999999999999</v>
      </c>
    </row>
    <row r="1440" spans="2:6" hidden="1" x14ac:dyDescent="0.25">
      <c r="B1440" s="51">
        <f>YEAR(BDRIOSJ[[#This Row],[FECHA]])</f>
        <v>2024</v>
      </c>
      <c r="C1440" s="51">
        <f>MONTH(BDRIOSJ[[#This Row],[FECHA]])</f>
        <v>6</v>
      </c>
      <c r="D1440" s="50">
        <v>45473</v>
      </c>
      <c r="E1440" s="49" t="s">
        <v>111</v>
      </c>
      <c r="F1440" s="65">
        <v>3.8155999999999999</v>
      </c>
    </row>
    <row r="1441" spans="2:6" hidden="1" x14ac:dyDescent="0.25">
      <c r="B1441" s="51">
        <f>YEAR(BDRIOSJ[[#This Row],[FECHA]])</f>
        <v>2024</v>
      </c>
      <c r="C1441" s="51">
        <f>MONTH(BDRIOSJ[[#This Row],[FECHA]])</f>
        <v>7</v>
      </c>
      <c r="D1441" s="50">
        <v>45474</v>
      </c>
      <c r="E1441" s="49" t="s">
        <v>115</v>
      </c>
      <c r="F1441" s="65">
        <v>3.8155999999999999</v>
      </c>
    </row>
    <row r="1442" spans="2:6" hidden="1" x14ac:dyDescent="0.25">
      <c r="B1442" s="51">
        <f>YEAR(BDRIOSJ[[#This Row],[FECHA]])</f>
        <v>2024</v>
      </c>
      <c r="C1442" s="51">
        <f>MONTH(BDRIOSJ[[#This Row],[FECHA]])</f>
        <v>7</v>
      </c>
      <c r="D1442" s="50">
        <v>45474</v>
      </c>
      <c r="E1442" s="49" t="s">
        <v>114</v>
      </c>
      <c r="F1442" s="65">
        <v>3.8155999999999999</v>
      </c>
    </row>
    <row r="1443" spans="2:6" hidden="1" x14ac:dyDescent="0.25">
      <c r="B1443" s="51">
        <f>YEAR(BDRIOSJ[[#This Row],[FECHA]])</f>
        <v>2024</v>
      </c>
      <c r="C1443" s="51">
        <f>MONTH(BDRIOSJ[[#This Row],[FECHA]])</f>
        <v>7</v>
      </c>
      <c r="D1443" s="50">
        <v>45474</v>
      </c>
      <c r="E1443" s="49" t="s">
        <v>113</v>
      </c>
      <c r="F1443" s="65">
        <v>3.8155999999999999</v>
      </c>
    </row>
    <row r="1444" spans="2:6" hidden="1" x14ac:dyDescent="0.25">
      <c r="B1444" s="51">
        <f>YEAR(BDRIOSJ[[#This Row],[FECHA]])</f>
        <v>2024</v>
      </c>
      <c r="C1444" s="51">
        <f>MONTH(BDRIOSJ[[#This Row],[FECHA]])</f>
        <v>7</v>
      </c>
      <c r="D1444" s="50">
        <v>45474</v>
      </c>
      <c r="E1444" s="49" t="s">
        <v>111</v>
      </c>
      <c r="F1444" s="65">
        <v>3.8155999999999999</v>
      </c>
    </row>
    <row r="1445" spans="2:6" hidden="1" x14ac:dyDescent="0.25">
      <c r="B1445" s="51">
        <f>YEAR(BDRIOSJ[[#This Row],[FECHA]])</f>
        <v>2024</v>
      </c>
      <c r="C1445" s="51">
        <f>MONTH(BDRIOSJ[[#This Row],[FECHA]])</f>
        <v>7</v>
      </c>
      <c r="D1445" s="50">
        <v>45475</v>
      </c>
      <c r="E1445" s="49" t="s">
        <v>115</v>
      </c>
      <c r="F1445" s="65">
        <v>3.8155999999999999</v>
      </c>
    </row>
    <row r="1446" spans="2:6" hidden="1" x14ac:dyDescent="0.25">
      <c r="B1446" s="51">
        <f>YEAR(BDRIOSJ[[#This Row],[FECHA]])</f>
        <v>2024</v>
      </c>
      <c r="C1446" s="51">
        <f>MONTH(BDRIOSJ[[#This Row],[FECHA]])</f>
        <v>7</v>
      </c>
      <c r="D1446" s="50">
        <v>45475</v>
      </c>
      <c r="E1446" s="49" t="s">
        <v>114</v>
      </c>
      <c r="F1446" s="65">
        <v>3.8155999999999999</v>
      </c>
    </row>
    <row r="1447" spans="2:6" hidden="1" x14ac:dyDescent="0.25">
      <c r="B1447" s="51">
        <f>YEAR(BDRIOSJ[[#This Row],[FECHA]])</f>
        <v>2024</v>
      </c>
      <c r="C1447" s="51">
        <f>MONTH(BDRIOSJ[[#This Row],[FECHA]])</f>
        <v>7</v>
      </c>
      <c r="D1447" s="50">
        <v>45475</v>
      </c>
      <c r="E1447" s="49" t="s">
        <v>113</v>
      </c>
      <c r="F1447" s="65">
        <v>3.8155999999999999</v>
      </c>
    </row>
    <row r="1448" spans="2:6" hidden="1" x14ac:dyDescent="0.25">
      <c r="B1448" s="51">
        <f>YEAR(BDRIOSJ[[#This Row],[FECHA]])</f>
        <v>2024</v>
      </c>
      <c r="C1448" s="51">
        <f>MONTH(BDRIOSJ[[#This Row],[FECHA]])</f>
        <v>7</v>
      </c>
      <c r="D1448" s="50">
        <v>45475</v>
      </c>
      <c r="E1448" s="49" t="s">
        <v>111</v>
      </c>
      <c r="F1448" s="65">
        <v>3.8155999999999999</v>
      </c>
    </row>
    <row r="1449" spans="2:6" hidden="1" x14ac:dyDescent="0.25">
      <c r="B1449" s="51">
        <f>YEAR(BDRIOSJ[[#This Row],[FECHA]])</f>
        <v>2024</v>
      </c>
      <c r="C1449" s="51">
        <f>MONTH(BDRIOSJ[[#This Row],[FECHA]])</f>
        <v>7</v>
      </c>
      <c r="D1449" s="50">
        <v>45476</v>
      </c>
      <c r="E1449" s="49" t="s">
        <v>115</v>
      </c>
      <c r="F1449" s="65">
        <v>3.8155999999999999</v>
      </c>
    </row>
    <row r="1450" spans="2:6" hidden="1" x14ac:dyDescent="0.25">
      <c r="B1450" s="51">
        <f>YEAR(BDRIOSJ[[#This Row],[FECHA]])</f>
        <v>2024</v>
      </c>
      <c r="C1450" s="51">
        <f>MONTH(BDRIOSJ[[#This Row],[FECHA]])</f>
        <v>7</v>
      </c>
      <c r="D1450" s="50">
        <v>45476</v>
      </c>
      <c r="E1450" s="49" t="s">
        <v>114</v>
      </c>
      <c r="F1450" s="65">
        <v>3.1646000000000001</v>
      </c>
    </row>
    <row r="1451" spans="2:6" hidden="1" x14ac:dyDescent="0.25">
      <c r="B1451" s="51">
        <f>YEAR(BDRIOSJ[[#This Row],[FECHA]])</f>
        <v>2024</v>
      </c>
      <c r="C1451" s="51">
        <f>MONTH(BDRIOSJ[[#This Row],[FECHA]])</f>
        <v>7</v>
      </c>
      <c r="D1451" s="50">
        <v>45476</v>
      </c>
      <c r="E1451" s="49" t="s">
        <v>113</v>
      </c>
      <c r="F1451" s="65">
        <v>3.1646000000000001</v>
      </c>
    </row>
    <row r="1452" spans="2:6" hidden="1" x14ac:dyDescent="0.25">
      <c r="B1452" s="51">
        <f>YEAR(BDRIOSJ[[#This Row],[FECHA]])</f>
        <v>2024</v>
      </c>
      <c r="C1452" s="51">
        <f>MONTH(BDRIOSJ[[#This Row],[FECHA]])</f>
        <v>7</v>
      </c>
      <c r="D1452" s="50">
        <v>45476</v>
      </c>
      <c r="E1452" s="49" t="s">
        <v>111</v>
      </c>
      <c r="F1452" s="65">
        <v>3.8155999999999999</v>
      </c>
    </row>
    <row r="1453" spans="2:6" hidden="1" x14ac:dyDescent="0.25">
      <c r="B1453" s="51">
        <f>YEAR(BDRIOSJ[[#This Row],[FECHA]])</f>
        <v>2024</v>
      </c>
      <c r="C1453" s="51">
        <f>MONTH(BDRIOSJ[[#This Row],[FECHA]])</f>
        <v>7</v>
      </c>
      <c r="D1453" s="50">
        <v>45477</v>
      </c>
      <c r="E1453" s="49" t="s">
        <v>115</v>
      </c>
      <c r="F1453" s="65">
        <v>3.1646000000000001</v>
      </c>
    </row>
    <row r="1454" spans="2:6" hidden="1" x14ac:dyDescent="0.25">
      <c r="B1454" s="51">
        <f>YEAR(BDRIOSJ[[#This Row],[FECHA]])</f>
        <v>2024</v>
      </c>
      <c r="C1454" s="51">
        <f>MONTH(BDRIOSJ[[#This Row],[FECHA]])</f>
        <v>7</v>
      </c>
      <c r="D1454" s="50">
        <v>45477</v>
      </c>
      <c r="E1454" s="49" t="s">
        <v>113</v>
      </c>
      <c r="F1454" s="65">
        <v>3.1646000000000001</v>
      </c>
    </row>
    <row r="1455" spans="2:6" hidden="1" x14ac:dyDescent="0.25">
      <c r="B1455" s="51">
        <f>YEAR(BDRIOSJ[[#This Row],[FECHA]])</f>
        <v>2024</v>
      </c>
      <c r="C1455" s="51">
        <f>MONTH(BDRIOSJ[[#This Row],[FECHA]])</f>
        <v>7</v>
      </c>
      <c r="D1455" s="50">
        <v>45477</v>
      </c>
      <c r="E1455" s="49" t="s">
        <v>111</v>
      </c>
      <c r="F1455" s="65">
        <v>3.1646000000000001</v>
      </c>
    </row>
    <row r="1456" spans="2:6" hidden="1" x14ac:dyDescent="0.25">
      <c r="B1456" s="51">
        <f>YEAR(BDRIOSJ[[#This Row],[FECHA]])</f>
        <v>2024</v>
      </c>
      <c r="C1456" s="51">
        <f>MONTH(BDRIOSJ[[#This Row],[FECHA]])</f>
        <v>7</v>
      </c>
      <c r="D1456" s="50">
        <v>45478</v>
      </c>
      <c r="E1456" s="49" t="s">
        <v>115</v>
      </c>
      <c r="F1456" s="65">
        <v>3.1646000000000001</v>
      </c>
    </row>
    <row r="1457" spans="2:6" hidden="1" x14ac:dyDescent="0.25">
      <c r="B1457" s="51">
        <f>YEAR(BDRIOSJ[[#This Row],[FECHA]])</f>
        <v>2024</v>
      </c>
      <c r="C1457" s="51">
        <f>MONTH(BDRIOSJ[[#This Row],[FECHA]])</f>
        <v>7</v>
      </c>
      <c r="D1457" s="50">
        <v>45478</v>
      </c>
      <c r="E1457" s="49" t="s">
        <v>114</v>
      </c>
      <c r="F1457" s="65">
        <v>3.1646000000000001</v>
      </c>
    </row>
    <row r="1458" spans="2:6" hidden="1" x14ac:dyDescent="0.25">
      <c r="B1458" s="51">
        <f>YEAR(BDRIOSJ[[#This Row],[FECHA]])</f>
        <v>2024</v>
      </c>
      <c r="C1458" s="51">
        <f>MONTH(BDRIOSJ[[#This Row],[FECHA]])</f>
        <v>7</v>
      </c>
      <c r="D1458" s="50">
        <v>45478</v>
      </c>
      <c r="E1458" s="49" t="s">
        <v>113</v>
      </c>
      <c r="F1458" s="65">
        <v>3.1646000000000001</v>
      </c>
    </row>
    <row r="1459" spans="2:6" hidden="1" x14ac:dyDescent="0.25">
      <c r="B1459" s="51">
        <f>YEAR(BDRIOSJ[[#This Row],[FECHA]])</f>
        <v>2024</v>
      </c>
      <c r="C1459" s="51">
        <f>MONTH(BDRIOSJ[[#This Row],[FECHA]])</f>
        <v>7</v>
      </c>
      <c r="D1459" s="50">
        <v>45478</v>
      </c>
      <c r="E1459" s="49" t="s">
        <v>111</v>
      </c>
      <c r="F1459" s="65">
        <v>3.1646000000000001</v>
      </c>
    </row>
    <row r="1460" spans="2:6" hidden="1" x14ac:dyDescent="0.25">
      <c r="B1460" s="51">
        <f>YEAR(BDRIOSJ[[#This Row],[FECHA]])</f>
        <v>2024</v>
      </c>
      <c r="C1460" s="51">
        <f>MONTH(BDRIOSJ[[#This Row],[FECHA]])</f>
        <v>7</v>
      </c>
      <c r="D1460" s="50">
        <v>45479</v>
      </c>
      <c r="E1460" s="49" t="s">
        <v>115</v>
      </c>
      <c r="F1460" s="65">
        <v>3.1646000000000001</v>
      </c>
    </row>
    <row r="1461" spans="2:6" hidden="1" x14ac:dyDescent="0.25">
      <c r="B1461" s="51">
        <f>YEAR(BDRIOSJ[[#This Row],[FECHA]])</f>
        <v>2024</v>
      </c>
      <c r="C1461" s="51">
        <f>MONTH(BDRIOSJ[[#This Row],[FECHA]])</f>
        <v>7</v>
      </c>
      <c r="D1461" s="50">
        <v>45479</v>
      </c>
      <c r="E1461" s="49" t="s">
        <v>114</v>
      </c>
      <c r="F1461" s="65">
        <v>3.1646000000000001</v>
      </c>
    </row>
    <row r="1462" spans="2:6" hidden="1" x14ac:dyDescent="0.25">
      <c r="B1462" s="51">
        <f>YEAR(BDRIOSJ[[#This Row],[FECHA]])</f>
        <v>2024</v>
      </c>
      <c r="C1462" s="51">
        <f>MONTH(BDRIOSJ[[#This Row],[FECHA]])</f>
        <v>7</v>
      </c>
      <c r="D1462" s="50">
        <v>45479</v>
      </c>
      <c r="E1462" s="49" t="s">
        <v>113</v>
      </c>
      <c r="F1462" s="65">
        <v>3.1646000000000001</v>
      </c>
    </row>
    <row r="1463" spans="2:6" hidden="1" x14ac:dyDescent="0.25">
      <c r="B1463" s="51">
        <f>YEAR(BDRIOSJ[[#This Row],[FECHA]])</f>
        <v>2024</v>
      </c>
      <c r="C1463" s="51">
        <f>MONTH(BDRIOSJ[[#This Row],[FECHA]])</f>
        <v>7</v>
      </c>
      <c r="D1463" s="50">
        <v>45479</v>
      </c>
      <c r="E1463" s="49" t="s">
        <v>111</v>
      </c>
      <c r="F1463" s="65">
        <v>3.1646000000000001</v>
      </c>
    </row>
    <row r="1464" spans="2:6" hidden="1" x14ac:dyDescent="0.25">
      <c r="B1464" s="51">
        <f>YEAR(BDRIOSJ[[#This Row],[FECHA]])</f>
        <v>2024</v>
      </c>
      <c r="C1464" s="51">
        <f>MONTH(BDRIOSJ[[#This Row],[FECHA]])</f>
        <v>7</v>
      </c>
      <c r="D1464" s="50">
        <v>45480</v>
      </c>
      <c r="E1464" s="49" t="s">
        <v>115</v>
      </c>
      <c r="F1464" s="65">
        <v>3.1646000000000001</v>
      </c>
    </row>
    <row r="1465" spans="2:6" hidden="1" x14ac:dyDescent="0.25">
      <c r="B1465" s="51">
        <f>YEAR(BDRIOSJ[[#This Row],[FECHA]])</f>
        <v>2024</v>
      </c>
      <c r="C1465" s="51">
        <f>MONTH(BDRIOSJ[[#This Row],[FECHA]])</f>
        <v>7</v>
      </c>
      <c r="D1465" s="50">
        <v>45480</v>
      </c>
      <c r="E1465" s="49" t="s">
        <v>114</v>
      </c>
      <c r="F1465" s="65">
        <v>3.1646000000000001</v>
      </c>
    </row>
    <row r="1466" spans="2:6" hidden="1" x14ac:dyDescent="0.25">
      <c r="B1466" s="51">
        <f>YEAR(BDRIOSJ[[#This Row],[FECHA]])</f>
        <v>2024</v>
      </c>
      <c r="C1466" s="51">
        <f>MONTH(BDRIOSJ[[#This Row],[FECHA]])</f>
        <v>7</v>
      </c>
      <c r="D1466" s="50">
        <v>45480</v>
      </c>
      <c r="E1466" s="49" t="s">
        <v>113</v>
      </c>
      <c r="F1466" s="65">
        <v>3.1646000000000001</v>
      </c>
    </row>
    <row r="1467" spans="2:6" hidden="1" x14ac:dyDescent="0.25">
      <c r="B1467" s="51">
        <f>YEAR(BDRIOSJ[[#This Row],[FECHA]])</f>
        <v>2024</v>
      </c>
      <c r="C1467" s="51">
        <f>MONTH(BDRIOSJ[[#This Row],[FECHA]])</f>
        <v>7</v>
      </c>
      <c r="D1467" s="50">
        <v>45480</v>
      </c>
      <c r="E1467" s="49" t="s">
        <v>111</v>
      </c>
      <c r="F1467" s="65">
        <v>3.1646000000000001</v>
      </c>
    </row>
    <row r="1468" spans="2:6" hidden="1" x14ac:dyDescent="0.25">
      <c r="B1468" s="51">
        <f>YEAR(BDRIOSJ[[#This Row],[FECHA]])</f>
        <v>2024</v>
      </c>
      <c r="C1468" s="51">
        <f>MONTH(BDRIOSJ[[#This Row],[FECHA]])</f>
        <v>7</v>
      </c>
      <c r="D1468" s="50">
        <v>45481</v>
      </c>
      <c r="E1468" s="49" t="s">
        <v>115</v>
      </c>
      <c r="F1468" s="65">
        <v>3.1646000000000001</v>
      </c>
    </row>
    <row r="1469" spans="2:6" hidden="1" x14ac:dyDescent="0.25">
      <c r="B1469" s="51">
        <f>YEAR(BDRIOSJ[[#This Row],[FECHA]])</f>
        <v>2024</v>
      </c>
      <c r="C1469" s="51">
        <f>MONTH(BDRIOSJ[[#This Row],[FECHA]])</f>
        <v>7</v>
      </c>
      <c r="D1469" s="50">
        <v>45481</v>
      </c>
      <c r="E1469" s="49" t="s">
        <v>114</v>
      </c>
      <c r="F1469" s="65">
        <v>3.1646000000000001</v>
      </c>
    </row>
    <row r="1470" spans="2:6" hidden="1" x14ac:dyDescent="0.25">
      <c r="B1470" s="51">
        <f>YEAR(BDRIOSJ[[#This Row],[FECHA]])</f>
        <v>2024</v>
      </c>
      <c r="C1470" s="51">
        <f>MONTH(BDRIOSJ[[#This Row],[FECHA]])</f>
        <v>7</v>
      </c>
      <c r="D1470" s="50">
        <v>45481</v>
      </c>
      <c r="E1470" s="49" t="s">
        <v>113</v>
      </c>
      <c r="F1470" s="65">
        <v>3.1646000000000001</v>
      </c>
    </row>
    <row r="1471" spans="2:6" hidden="1" x14ac:dyDescent="0.25">
      <c r="B1471" s="51">
        <f>YEAR(BDRIOSJ[[#This Row],[FECHA]])</f>
        <v>2024</v>
      </c>
      <c r="C1471" s="51">
        <f>MONTH(BDRIOSJ[[#This Row],[FECHA]])</f>
        <v>7</v>
      </c>
      <c r="D1471" s="50">
        <v>45481</v>
      </c>
      <c r="E1471" s="49" t="s">
        <v>111</v>
      </c>
      <c r="F1471" s="65">
        <v>3.1646000000000001</v>
      </c>
    </row>
    <row r="1472" spans="2:6" hidden="1" x14ac:dyDescent="0.25">
      <c r="B1472" s="51">
        <f>YEAR(BDRIOSJ[[#This Row],[FECHA]])</f>
        <v>2024</v>
      </c>
      <c r="C1472" s="51">
        <f>MONTH(BDRIOSJ[[#This Row],[FECHA]])</f>
        <v>7</v>
      </c>
      <c r="D1472" s="50">
        <v>45482</v>
      </c>
      <c r="E1472" s="49" t="s">
        <v>115</v>
      </c>
      <c r="F1472" s="65">
        <v>3.1646000000000001</v>
      </c>
    </row>
    <row r="1473" spans="2:6" hidden="1" x14ac:dyDescent="0.25">
      <c r="B1473" s="51">
        <f>YEAR(BDRIOSJ[[#This Row],[FECHA]])</f>
        <v>2024</v>
      </c>
      <c r="C1473" s="51">
        <f>MONTH(BDRIOSJ[[#This Row],[FECHA]])</f>
        <v>7</v>
      </c>
      <c r="D1473" s="50">
        <v>45482</v>
      </c>
      <c r="E1473" s="49" t="s">
        <v>114</v>
      </c>
      <c r="F1473" s="65">
        <v>3.1646000000000001</v>
      </c>
    </row>
    <row r="1474" spans="2:6" hidden="1" x14ac:dyDescent="0.25">
      <c r="B1474" s="51">
        <f>YEAR(BDRIOSJ[[#This Row],[FECHA]])</f>
        <v>2024</v>
      </c>
      <c r="C1474" s="51">
        <f>MONTH(BDRIOSJ[[#This Row],[FECHA]])</f>
        <v>7</v>
      </c>
      <c r="D1474" s="50">
        <v>45482</v>
      </c>
      <c r="E1474" s="49" t="s">
        <v>113</v>
      </c>
      <c r="F1474" s="65">
        <v>3.1646000000000001</v>
      </c>
    </row>
    <row r="1475" spans="2:6" hidden="1" x14ac:dyDescent="0.25">
      <c r="B1475" s="51">
        <f>YEAR(BDRIOSJ[[#This Row],[FECHA]])</f>
        <v>2024</v>
      </c>
      <c r="C1475" s="51">
        <f>MONTH(BDRIOSJ[[#This Row],[FECHA]])</f>
        <v>7</v>
      </c>
      <c r="D1475" s="50">
        <v>45482</v>
      </c>
      <c r="E1475" s="49" t="s">
        <v>111</v>
      </c>
      <c r="F1475" s="65">
        <v>3.1646000000000001</v>
      </c>
    </row>
    <row r="1476" spans="2:6" hidden="1" x14ac:dyDescent="0.25">
      <c r="B1476" s="51">
        <f>YEAR(BDRIOSJ[[#This Row],[FECHA]])</f>
        <v>2024</v>
      </c>
      <c r="C1476" s="51">
        <f>MONTH(BDRIOSJ[[#This Row],[FECHA]])</f>
        <v>7</v>
      </c>
      <c r="D1476" s="50">
        <v>45483</v>
      </c>
      <c r="E1476" s="49" t="s">
        <v>115</v>
      </c>
      <c r="F1476" s="65">
        <v>3.1646000000000001</v>
      </c>
    </row>
    <row r="1477" spans="2:6" hidden="1" x14ac:dyDescent="0.25">
      <c r="B1477" s="51">
        <f>YEAR(BDRIOSJ[[#This Row],[FECHA]])</f>
        <v>2024</v>
      </c>
      <c r="C1477" s="51">
        <f>MONTH(BDRIOSJ[[#This Row],[FECHA]])</f>
        <v>7</v>
      </c>
      <c r="D1477" s="50">
        <v>45483</v>
      </c>
      <c r="E1477" s="49" t="s">
        <v>114</v>
      </c>
      <c r="F1477" s="65">
        <v>3.1646000000000001</v>
      </c>
    </row>
    <row r="1478" spans="2:6" hidden="1" x14ac:dyDescent="0.25">
      <c r="B1478" s="51">
        <f>YEAR(BDRIOSJ[[#This Row],[FECHA]])</f>
        <v>2024</v>
      </c>
      <c r="C1478" s="51">
        <f>MONTH(BDRIOSJ[[#This Row],[FECHA]])</f>
        <v>7</v>
      </c>
      <c r="D1478" s="50">
        <v>45483</v>
      </c>
      <c r="E1478" s="49" t="s">
        <v>113</v>
      </c>
      <c r="F1478" s="65">
        <v>3.1646000000000001</v>
      </c>
    </row>
    <row r="1479" spans="2:6" hidden="1" x14ac:dyDescent="0.25">
      <c r="B1479" s="51">
        <f>YEAR(BDRIOSJ[[#This Row],[FECHA]])</f>
        <v>2024</v>
      </c>
      <c r="C1479" s="51">
        <f>MONTH(BDRIOSJ[[#This Row],[FECHA]])</f>
        <v>7</v>
      </c>
      <c r="D1479" s="50">
        <v>45483</v>
      </c>
      <c r="E1479" s="49" t="s">
        <v>111</v>
      </c>
      <c r="F1479" s="65">
        <v>3.1646000000000001</v>
      </c>
    </row>
    <row r="1480" spans="2:6" hidden="1" x14ac:dyDescent="0.25">
      <c r="B1480" s="51">
        <f>YEAR(BDRIOSJ[[#This Row],[FECHA]])</f>
        <v>2024</v>
      </c>
      <c r="C1480" s="51">
        <f>MONTH(BDRIOSJ[[#This Row],[FECHA]])</f>
        <v>7</v>
      </c>
      <c r="D1480" s="50">
        <v>45484</v>
      </c>
      <c r="E1480" s="49" t="s">
        <v>115</v>
      </c>
      <c r="F1480" s="65">
        <v>3.1646000000000001</v>
      </c>
    </row>
    <row r="1481" spans="2:6" hidden="1" x14ac:dyDescent="0.25">
      <c r="B1481" s="51">
        <f>YEAR(BDRIOSJ[[#This Row],[FECHA]])</f>
        <v>2024</v>
      </c>
      <c r="C1481" s="51">
        <f>MONTH(BDRIOSJ[[#This Row],[FECHA]])</f>
        <v>7</v>
      </c>
      <c r="D1481" s="50">
        <v>45484</v>
      </c>
      <c r="E1481" s="49" t="s">
        <v>114</v>
      </c>
      <c r="F1481" s="65">
        <v>3.1646000000000001</v>
      </c>
    </row>
    <row r="1482" spans="2:6" hidden="1" x14ac:dyDescent="0.25">
      <c r="B1482" s="51">
        <f>YEAR(BDRIOSJ[[#This Row],[FECHA]])</f>
        <v>2024</v>
      </c>
      <c r="C1482" s="51">
        <f>MONTH(BDRIOSJ[[#This Row],[FECHA]])</f>
        <v>7</v>
      </c>
      <c r="D1482" s="50">
        <v>45484</v>
      </c>
      <c r="E1482" s="49" t="s">
        <v>113</v>
      </c>
      <c r="F1482" s="65">
        <v>3.1646000000000001</v>
      </c>
    </row>
    <row r="1483" spans="2:6" hidden="1" x14ac:dyDescent="0.25">
      <c r="B1483" s="51">
        <f>YEAR(BDRIOSJ[[#This Row],[FECHA]])</f>
        <v>2024</v>
      </c>
      <c r="C1483" s="51">
        <f>MONTH(BDRIOSJ[[#This Row],[FECHA]])</f>
        <v>7</v>
      </c>
      <c r="D1483" s="50">
        <v>45484</v>
      </c>
      <c r="E1483" s="49" t="s">
        <v>111</v>
      </c>
      <c r="F1483" s="65">
        <v>3.1646000000000001</v>
      </c>
    </row>
    <row r="1484" spans="2:6" hidden="1" x14ac:dyDescent="0.25">
      <c r="B1484" s="51">
        <f>YEAR(BDRIOSJ[[#This Row],[FECHA]])</f>
        <v>2024</v>
      </c>
      <c r="C1484" s="51">
        <f>MONTH(BDRIOSJ[[#This Row],[FECHA]])</f>
        <v>7</v>
      </c>
      <c r="D1484" s="50">
        <v>45485</v>
      </c>
      <c r="E1484" s="49" t="s">
        <v>115</v>
      </c>
      <c r="F1484" s="65">
        <v>3.1646000000000001</v>
      </c>
    </row>
    <row r="1485" spans="2:6" hidden="1" x14ac:dyDescent="0.25">
      <c r="B1485" s="51">
        <f>YEAR(BDRIOSJ[[#This Row],[FECHA]])</f>
        <v>2024</v>
      </c>
      <c r="C1485" s="51">
        <f>MONTH(BDRIOSJ[[#This Row],[FECHA]])</f>
        <v>7</v>
      </c>
      <c r="D1485" s="50">
        <v>45485</v>
      </c>
      <c r="E1485" s="49" t="s">
        <v>114</v>
      </c>
      <c r="F1485" s="65">
        <v>3.1646000000000001</v>
      </c>
    </row>
    <row r="1486" spans="2:6" hidden="1" x14ac:dyDescent="0.25">
      <c r="B1486" s="51">
        <f>YEAR(BDRIOSJ[[#This Row],[FECHA]])</f>
        <v>2024</v>
      </c>
      <c r="C1486" s="51">
        <f>MONTH(BDRIOSJ[[#This Row],[FECHA]])</f>
        <v>7</v>
      </c>
      <c r="D1486" s="50">
        <v>45485</v>
      </c>
      <c r="E1486" s="49" t="s">
        <v>113</v>
      </c>
      <c r="F1486" s="65">
        <v>3.1646000000000001</v>
      </c>
    </row>
    <row r="1487" spans="2:6" hidden="1" x14ac:dyDescent="0.25">
      <c r="B1487" s="51">
        <f>YEAR(BDRIOSJ[[#This Row],[FECHA]])</f>
        <v>2024</v>
      </c>
      <c r="C1487" s="51">
        <f>MONTH(BDRIOSJ[[#This Row],[FECHA]])</f>
        <v>7</v>
      </c>
      <c r="D1487" s="50">
        <v>45485</v>
      </c>
      <c r="E1487" s="49" t="s">
        <v>111</v>
      </c>
      <c r="F1487" s="65">
        <v>3.1646000000000001</v>
      </c>
    </row>
    <row r="1488" spans="2:6" hidden="1" x14ac:dyDescent="0.25">
      <c r="B1488" s="51">
        <f>YEAR(BDRIOSJ[[#This Row],[FECHA]])</f>
        <v>2024</v>
      </c>
      <c r="C1488" s="51">
        <f>MONTH(BDRIOSJ[[#This Row],[FECHA]])</f>
        <v>7</v>
      </c>
      <c r="D1488" s="50">
        <v>45486</v>
      </c>
      <c r="E1488" s="49" t="s">
        <v>115</v>
      </c>
      <c r="F1488" s="65">
        <v>3.1646000000000001</v>
      </c>
    </row>
    <row r="1489" spans="2:6" hidden="1" x14ac:dyDescent="0.25">
      <c r="B1489" s="51">
        <f>YEAR(BDRIOSJ[[#This Row],[FECHA]])</f>
        <v>2024</v>
      </c>
      <c r="C1489" s="51">
        <f>MONTH(BDRIOSJ[[#This Row],[FECHA]])</f>
        <v>7</v>
      </c>
      <c r="D1489" s="50">
        <v>45486</v>
      </c>
      <c r="E1489" s="49" t="s">
        <v>114</v>
      </c>
      <c r="F1489" s="65">
        <v>3.1646000000000001</v>
      </c>
    </row>
    <row r="1490" spans="2:6" hidden="1" x14ac:dyDescent="0.25">
      <c r="B1490" s="51">
        <f>YEAR(BDRIOSJ[[#This Row],[FECHA]])</f>
        <v>2024</v>
      </c>
      <c r="C1490" s="51">
        <f>MONTH(BDRIOSJ[[#This Row],[FECHA]])</f>
        <v>7</v>
      </c>
      <c r="D1490" s="50">
        <v>45486</v>
      </c>
      <c r="E1490" s="49" t="s">
        <v>113</v>
      </c>
      <c r="F1490" s="65">
        <v>3.1646000000000001</v>
      </c>
    </row>
    <row r="1491" spans="2:6" hidden="1" x14ac:dyDescent="0.25">
      <c r="B1491" s="51">
        <f>YEAR(BDRIOSJ[[#This Row],[FECHA]])</f>
        <v>2024</v>
      </c>
      <c r="C1491" s="51">
        <f>MONTH(BDRIOSJ[[#This Row],[FECHA]])</f>
        <v>7</v>
      </c>
      <c r="D1491" s="50">
        <v>45486</v>
      </c>
      <c r="E1491" s="49" t="s">
        <v>111</v>
      </c>
      <c r="F1491" s="65">
        <v>3.1646000000000001</v>
      </c>
    </row>
    <row r="1492" spans="2:6" hidden="1" x14ac:dyDescent="0.25">
      <c r="B1492" s="51">
        <f>YEAR(BDRIOSJ[[#This Row],[FECHA]])</f>
        <v>2024</v>
      </c>
      <c r="C1492" s="51">
        <f>MONTH(BDRIOSJ[[#This Row],[FECHA]])</f>
        <v>7</v>
      </c>
      <c r="D1492" s="50">
        <v>45487</v>
      </c>
      <c r="E1492" s="49" t="s">
        <v>115</v>
      </c>
      <c r="F1492" s="65">
        <v>3.1646000000000001</v>
      </c>
    </row>
    <row r="1493" spans="2:6" hidden="1" x14ac:dyDescent="0.25">
      <c r="B1493" s="51">
        <f>YEAR(BDRIOSJ[[#This Row],[FECHA]])</f>
        <v>2024</v>
      </c>
      <c r="C1493" s="51">
        <f>MONTH(BDRIOSJ[[#This Row],[FECHA]])</f>
        <v>7</v>
      </c>
      <c r="D1493" s="50">
        <v>45487</v>
      </c>
      <c r="E1493" s="49" t="s">
        <v>114</v>
      </c>
      <c r="F1493" s="65">
        <v>3.1646000000000001</v>
      </c>
    </row>
    <row r="1494" spans="2:6" hidden="1" x14ac:dyDescent="0.25">
      <c r="B1494" s="51">
        <f>YEAR(BDRIOSJ[[#This Row],[FECHA]])</f>
        <v>2024</v>
      </c>
      <c r="C1494" s="51">
        <f>MONTH(BDRIOSJ[[#This Row],[FECHA]])</f>
        <v>7</v>
      </c>
      <c r="D1494" s="50">
        <v>45487</v>
      </c>
      <c r="E1494" s="49" t="s">
        <v>113</v>
      </c>
      <c r="F1494" s="65">
        <v>3.1646000000000001</v>
      </c>
    </row>
    <row r="1495" spans="2:6" hidden="1" x14ac:dyDescent="0.25">
      <c r="B1495" s="51">
        <f>YEAR(BDRIOSJ[[#This Row],[FECHA]])</f>
        <v>2024</v>
      </c>
      <c r="C1495" s="51">
        <f>MONTH(BDRIOSJ[[#This Row],[FECHA]])</f>
        <v>7</v>
      </c>
      <c r="D1495" s="50">
        <v>45487</v>
      </c>
      <c r="E1495" s="49" t="s">
        <v>111</v>
      </c>
      <c r="F1495" s="65">
        <v>3.1646000000000001</v>
      </c>
    </row>
    <row r="1496" spans="2:6" hidden="1" x14ac:dyDescent="0.25">
      <c r="B1496" s="51">
        <f>YEAR(BDRIOSJ[[#This Row],[FECHA]])</f>
        <v>2024</v>
      </c>
      <c r="C1496" s="51">
        <f>MONTH(BDRIOSJ[[#This Row],[FECHA]])</f>
        <v>7</v>
      </c>
      <c r="D1496" s="50">
        <v>45488</v>
      </c>
      <c r="E1496" s="49" t="s">
        <v>115</v>
      </c>
      <c r="F1496" s="65">
        <v>3.1646000000000001</v>
      </c>
    </row>
    <row r="1497" spans="2:6" hidden="1" x14ac:dyDescent="0.25">
      <c r="B1497" s="51">
        <f>YEAR(BDRIOSJ[[#This Row],[FECHA]])</f>
        <v>2024</v>
      </c>
      <c r="C1497" s="51">
        <f>MONTH(BDRIOSJ[[#This Row],[FECHA]])</f>
        <v>7</v>
      </c>
      <c r="D1497" s="50">
        <v>45488</v>
      </c>
      <c r="E1497" s="49" t="s">
        <v>114</v>
      </c>
      <c r="F1497" s="65">
        <v>3.1646000000000001</v>
      </c>
    </row>
    <row r="1498" spans="2:6" hidden="1" x14ac:dyDescent="0.25">
      <c r="B1498" s="51">
        <f>YEAR(BDRIOSJ[[#This Row],[FECHA]])</f>
        <v>2024</v>
      </c>
      <c r="C1498" s="51">
        <f>MONTH(BDRIOSJ[[#This Row],[FECHA]])</f>
        <v>7</v>
      </c>
      <c r="D1498" s="50">
        <v>45488</v>
      </c>
      <c r="E1498" s="49" t="s">
        <v>113</v>
      </c>
      <c r="F1498" s="65">
        <v>3.1646000000000001</v>
      </c>
    </row>
    <row r="1499" spans="2:6" hidden="1" x14ac:dyDescent="0.25">
      <c r="B1499" s="51">
        <f>YEAR(BDRIOSJ[[#This Row],[FECHA]])</f>
        <v>2024</v>
      </c>
      <c r="C1499" s="51">
        <f>MONTH(BDRIOSJ[[#This Row],[FECHA]])</f>
        <v>7</v>
      </c>
      <c r="D1499" s="50">
        <v>45488</v>
      </c>
      <c r="E1499" s="49" t="s">
        <v>111</v>
      </c>
      <c r="F1499" s="65">
        <v>3.1646000000000001</v>
      </c>
    </row>
    <row r="1500" spans="2:6" hidden="1" x14ac:dyDescent="0.25">
      <c r="B1500" s="51">
        <f>YEAR(BDRIOSJ[[#This Row],[FECHA]])</f>
        <v>2024</v>
      </c>
      <c r="C1500" s="51">
        <f>MONTH(BDRIOSJ[[#This Row],[FECHA]])</f>
        <v>7</v>
      </c>
      <c r="D1500" s="50">
        <v>45489</v>
      </c>
      <c r="E1500" s="49" t="s">
        <v>115</v>
      </c>
      <c r="F1500" s="65">
        <v>3.1646000000000001</v>
      </c>
    </row>
    <row r="1501" spans="2:6" hidden="1" x14ac:dyDescent="0.25">
      <c r="B1501" s="51">
        <f>YEAR(BDRIOSJ[[#This Row],[FECHA]])</f>
        <v>2024</v>
      </c>
      <c r="C1501" s="51">
        <f>MONTH(BDRIOSJ[[#This Row],[FECHA]])</f>
        <v>7</v>
      </c>
      <c r="D1501" s="50">
        <v>45489</v>
      </c>
      <c r="E1501" s="49" t="s">
        <v>114</v>
      </c>
      <c r="F1501" s="65">
        <v>3.1646000000000001</v>
      </c>
    </row>
    <row r="1502" spans="2:6" hidden="1" x14ac:dyDescent="0.25">
      <c r="B1502" s="51">
        <f>YEAR(BDRIOSJ[[#This Row],[FECHA]])</f>
        <v>2024</v>
      </c>
      <c r="C1502" s="51">
        <f>MONTH(BDRIOSJ[[#This Row],[FECHA]])</f>
        <v>7</v>
      </c>
      <c r="D1502" s="50">
        <v>45489</v>
      </c>
      <c r="E1502" s="49" t="s">
        <v>113</v>
      </c>
      <c r="F1502" s="65">
        <v>3.1646000000000001</v>
      </c>
    </row>
    <row r="1503" spans="2:6" hidden="1" x14ac:dyDescent="0.25">
      <c r="B1503" s="51">
        <f>YEAR(BDRIOSJ[[#This Row],[FECHA]])</f>
        <v>2024</v>
      </c>
      <c r="C1503" s="51">
        <f>MONTH(BDRIOSJ[[#This Row],[FECHA]])</f>
        <v>7</v>
      </c>
      <c r="D1503" s="50">
        <v>45489</v>
      </c>
      <c r="E1503" s="49" t="s">
        <v>111</v>
      </c>
      <c r="F1503" s="65">
        <v>3.1646000000000001</v>
      </c>
    </row>
    <row r="1504" spans="2:6" hidden="1" x14ac:dyDescent="0.25">
      <c r="B1504" s="51">
        <f>YEAR(BDRIOSJ[[#This Row],[FECHA]])</f>
        <v>2024</v>
      </c>
      <c r="C1504" s="51">
        <f>MONTH(BDRIOSJ[[#This Row],[FECHA]])</f>
        <v>7</v>
      </c>
      <c r="D1504" s="50">
        <v>45490</v>
      </c>
      <c r="E1504" s="49" t="s">
        <v>115</v>
      </c>
      <c r="F1504" s="65">
        <v>3.1646000000000001</v>
      </c>
    </row>
    <row r="1505" spans="2:6" hidden="1" x14ac:dyDescent="0.25">
      <c r="B1505" s="51">
        <f>YEAR(BDRIOSJ[[#This Row],[FECHA]])</f>
        <v>2024</v>
      </c>
      <c r="C1505" s="51">
        <f>MONTH(BDRIOSJ[[#This Row],[FECHA]])</f>
        <v>7</v>
      </c>
      <c r="D1505" s="50">
        <v>45490</v>
      </c>
      <c r="E1505" s="49" t="s">
        <v>114</v>
      </c>
      <c r="F1505" s="65">
        <v>3.1646000000000001</v>
      </c>
    </row>
    <row r="1506" spans="2:6" hidden="1" x14ac:dyDescent="0.25">
      <c r="B1506" s="51">
        <f>YEAR(BDRIOSJ[[#This Row],[FECHA]])</f>
        <v>2024</v>
      </c>
      <c r="C1506" s="51">
        <f>MONTH(BDRIOSJ[[#This Row],[FECHA]])</f>
        <v>7</v>
      </c>
      <c r="D1506" s="50">
        <v>45490</v>
      </c>
      <c r="E1506" s="49" t="s">
        <v>113</v>
      </c>
      <c r="F1506" s="65">
        <v>3.1646000000000001</v>
      </c>
    </row>
    <row r="1507" spans="2:6" hidden="1" x14ac:dyDescent="0.25">
      <c r="B1507" s="51">
        <f>YEAR(BDRIOSJ[[#This Row],[FECHA]])</f>
        <v>2024</v>
      </c>
      <c r="C1507" s="51">
        <f>MONTH(BDRIOSJ[[#This Row],[FECHA]])</f>
        <v>7</v>
      </c>
      <c r="D1507" s="50">
        <v>45490</v>
      </c>
      <c r="E1507" s="49" t="s">
        <v>111</v>
      </c>
      <c r="F1507" s="65">
        <v>3.1646000000000001</v>
      </c>
    </row>
    <row r="1508" spans="2:6" hidden="1" x14ac:dyDescent="0.25">
      <c r="B1508" s="51">
        <f>YEAR(BDRIOSJ[[#This Row],[FECHA]])</f>
        <v>2024</v>
      </c>
      <c r="C1508" s="51">
        <f>MONTH(BDRIOSJ[[#This Row],[FECHA]])</f>
        <v>7</v>
      </c>
      <c r="D1508" s="50">
        <v>45491</v>
      </c>
      <c r="E1508" s="49" t="s">
        <v>115</v>
      </c>
      <c r="F1508" s="65">
        <v>2.0432999999999999</v>
      </c>
    </row>
    <row r="1509" spans="2:6" hidden="1" x14ac:dyDescent="0.25">
      <c r="B1509" s="51">
        <f>YEAR(BDRIOSJ[[#This Row],[FECHA]])</f>
        <v>2024</v>
      </c>
      <c r="C1509" s="51">
        <f>MONTH(BDRIOSJ[[#This Row],[FECHA]])</f>
        <v>7</v>
      </c>
      <c r="D1509" s="50">
        <v>45491</v>
      </c>
      <c r="E1509" s="49" t="s">
        <v>114</v>
      </c>
      <c r="F1509" s="65">
        <v>2.0432999999999999</v>
      </c>
    </row>
    <row r="1510" spans="2:6" hidden="1" x14ac:dyDescent="0.25">
      <c r="B1510" s="51">
        <f>YEAR(BDRIOSJ[[#This Row],[FECHA]])</f>
        <v>2024</v>
      </c>
      <c r="C1510" s="51">
        <f>MONTH(BDRIOSJ[[#This Row],[FECHA]])</f>
        <v>7</v>
      </c>
      <c r="D1510" s="50">
        <v>45491</v>
      </c>
      <c r="E1510" s="49" t="s">
        <v>113</v>
      </c>
      <c r="F1510" s="65">
        <v>2.0432999999999999</v>
      </c>
    </row>
    <row r="1511" spans="2:6" hidden="1" x14ac:dyDescent="0.25">
      <c r="B1511" s="51">
        <f>YEAR(BDRIOSJ[[#This Row],[FECHA]])</f>
        <v>2024</v>
      </c>
      <c r="C1511" s="51">
        <f>MONTH(BDRIOSJ[[#This Row],[FECHA]])</f>
        <v>7</v>
      </c>
      <c r="D1511" s="50">
        <v>45491</v>
      </c>
      <c r="E1511" s="49" t="s">
        <v>111</v>
      </c>
      <c r="F1511" s="65">
        <v>2.0432999999999999</v>
      </c>
    </row>
    <row r="1512" spans="2:6" hidden="1" x14ac:dyDescent="0.25">
      <c r="B1512" s="51">
        <f>YEAR(BDRIOSJ[[#This Row],[FECHA]])</f>
        <v>2024</v>
      </c>
      <c r="C1512" s="51">
        <f>MONTH(BDRIOSJ[[#This Row],[FECHA]])</f>
        <v>7</v>
      </c>
      <c r="D1512" s="50">
        <v>45492</v>
      </c>
      <c r="E1512" s="49" t="s">
        <v>115</v>
      </c>
      <c r="F1512" s="65">
        <v>2.0432999999999999</v>
      </c>
    </row>
    <row r="1513" spans="2:6" hidden="1" x14ac:dyDescent="0.25">
      <c r="B1513" s="51">
        <f>YEAR(BDRIOSJ[[#This Row],[FECHA]])</f>
        <v>2024</v>
      </c>
      <c r="C1513" s="51">
        <f>MONTH(BDRIOSJ[[#This Row],[FECHA]])</f>
        <v>7</v>
      </c>
      <c r="D1513" s="50">
        <v>45492</v>
      </c>
      <c r="E1513" s="49" t="s">
        <v>114</v>
      </c>
      <c r="F1513" s="65">
        <v>2.0432999999999999</v>
      </c>
    </row>
    <row r="1514" spans="2:6" hidden="1" x14ac:dyDescent="0.25">
      <c r="B1514" s="51">
        <f>YEAR(BDRIOSJ[[#This Row],[FECHA]])</f>
        <v>2024</v>
      </c>
      <c r="C1514" s="51">
        <f>MONTH(BDRIOSJ[[#This Row],[FECHA]])</f>
        <v>7</v>
      </c>
      <c r="D1514" s="50">
        <v>45492</v>
      </c>
      <c r="E1514" s="49" t="s">
        <v>113</v>
      </c>
      <c r="F1514" s="65">
        <v>2.0432999999999999</v>
      </c>
    </row>
    <row r="1515" spans="2:6" hidden="1" x14ac:dyDescent="0.25">
      <c r="B1515" s="51">
        <f>YEAR(BDRIOSJ[[#This Row],[FECHA]])</f>
        <v>2024</v>
      </c>
      <c r="C1515" s="51">
        <f>MONTH(BDRIOSJ[[#This Row],[FECHA]])</f>
        <v>7</v>
      </c>
      <c r="D1515" s="50">
        <v>45492</v>
      </c>
      <c r="E1515" s="49" t="s">
        <v>111</v>
      </c>
      <c r="F1515" s="65">
        <v>2.0432999999999999</v>
      </c>
    </row>
    <row r="1516" spans="2:6" hidden="1" x14ac:dyDescent="0.25">
      <c r="B1516" s="51">
        <f>YEAR(BDRIOSJ[[#This Row],[FECHA]])</f>
        <v>2024</v>
      </c>
      <c r="C1516" s="51">
        <f>MONTH(BDRIOSJ[[#This Row],[FECHA]])</f>
        <v>7</v>
      </c>
      <c r="D1516" s="50">
        <v>45493</v>
      </c>
      <c r="E1516" s="49" t="s">
        <v>115</v>
      </c>
      <c r="F1516" s="65">
        <v>2.0432999999999999</v>
      </c>
    </row>
    <row r="1517" spans="2:6" hidden="1" x14ac:dyDescent="0.25">
      <c r="B1517" s="51">
        <f>YEAR(BDRIOSJ[[#This Row],[FECHA]])</f>
        <v>2024</v>
      </c>
      <c r="C1517" s="51">
        <f>MONTH(BDRIOSJ[[#This Row],[FECHA]])</f>
        <v>7</v>
      </c>
      <c r="D1517" s="50">
        <v>45493</v>
      </c>
      <c r="E1517" s="49" t="s">
        <v>114</v>
      </c>
      <c r="F1517" s="65">
        <v>2.0432999999999999</v>
      </c>
    </row>
    <row r="1518" spans="2:6" hidden="1" x14ac:dyDescent="0.25">
      <c r="B1518" s="51">
        <f>YEAR(BDRIOSJ[[#This Row],[FECHA]])</f>
        <v>2024</v>
      </c>
      <c r="C1518" s="51">
        <f>MONTH(BDRIOSJ[[#This Row],[FECHA]])</f>
        <v>7</v>
      </c>
      <c r="D1518" s="50">
        <v>45493</v>
      </c>
      <c r="E1518" s="49" t="s">
        <v>113</v>
      </c>
      <c r="F1518" s="65">
        <v>2.0432999999999999</v>
      </c>
    </row>
    <row r="1519" spans="2:6" hidden="1" x14ac:dyDescent="0.25">
      <c r="B1519" s="51">
        <f>YEAR(BDRIOSJ[[#This Row],[FECHA]])</f>
        <v>2024</v>
      </c>
      <c r="C1519" s="51">
        <f>MONTH(BDRIOSJ[[#This Row],[FECHA]])</f>
        <v>7</v>
      </c>
      <c r="D1519" s="50">
        <v>45493</v>
      </c>
      <c r="E1519" s="49" t="s">
        <v>111</v>
      </c>
      <c r="F1519" s="65">
        <v>2.0432999999999999</v>
      </c>
    </row>
    <row r="1520" spans="2:6" hidden="1" x14ac:dyDescent="0.25">
      <c r="B1520" s="51">
        <f>YEAR(BDRIOSJ[[#This Row],[FECHA]])</f>
        <v>2024</v>
      </c>
      <c r="C1520" s="51">
        <f>MONTH(BDRIOSJ[[#This Row],[FECHA]])</f>
        <v>7</v>
      </c>
      <c r="D1520" s="50">
        <v>45494</v>
      </c>
      <c r="E1520" s="49" t="s">
        <v>115</v>
      </c>
      <c r="F1520" s="65">
        <v>2.0432999999999999</v>
      </c>
    </row>
    <row r="1521" spans="2:6" hidden="1" x14ac:dyDescent="0.25">
      <c r="B1521" s="51">
        <f>YEAR(BDRIOSJ[[#This Row],[FECHA]])</f>
        <v>2024</v>
      </c>
      <c r="C1521" s="51">
        <f>MONTH(BDRIOSJ[[#This Row],[FECHA]])</f>
        <v>7</v>
      </c>
      <c r="D1521" s="50">
        <v>45494</v>
      </c>
      <c r="E1521" s="49" t="s">
        <v>114</v>
      </c>
      <c r="F1521" s="65">
        <v>2.0432999999999999</v>
      </c>
    </row>
    <row r="1522" spans="2:6" hidden="1" x14ac:dyDescent="0.25">
      <c r="B1522" s="51">
        <f>YEAR(BDRIOSJ[[#This Row],[FECHA]])</f>
        <v>2024</v>
      </c>
      <c r="C1522" s="51">
        <f>MONTH(BDRIOSJ[[#This Row],[FECHA]])</f>
        <v>7</v>
      </c>
      <c r="D1522" s="50">
        <v>45494</v>
      </c>
      <c r="E1522" s="49" t="s">
        <v>113</v>
      </c>
      <c r="F1522" s="65">
        <v>2.0432999999999999</v>
      </c>
    </row>
    <row r="1523" spans="2:6" hidden="1" x14ac:dyDescent="0.25">
      <c r="B1523" s="51">
        <f>YEAR(BDRIOSJ[[#This Row],[FECHA]])</f>
        <v>2024</v>
      </c>
      <c r="C1523" s="51">
        <f>MONTH(BDRIOSJ[[#This Row],[FECHA]])</f>
        <v>7</v>
      </c>
      <c r="D1523" s="50">
        <v>45494</v>
      </c>
      <c r="E1523" s="49" t="s">
        <v>111</v>
      </c>
      <c r="F1523" s="65">
        <v>2.0432999999999999</v>
      </c>
    </row>
    <row r="1524" spans="2:6" hidden="1" x14ac:dyDescent="0.25">
      <c r="B1524" s="51">
        <f>YEAR(BDRIOSJ[[#This Row],[FECHA]])</f>
        <v>2024</v>
      </c>
      <c r="C1524" s="51">
        <f>MONTH(BDRIOSJ[[#This Row],[FECHA]])</f>
        <v>7</v>
      </c>
      <c r="D1524" s="50">
        <v>45495</v>
      </c>
      <c r="E1524" s="49" t="s">
        <v>115</v>
      </c>
      <c r="F1524" s="65">
        <v>2.0432999999999999</v>
      </c>
    </row>
    <row r="1525" spans="2:6" hidden="1" x14ac:dyDescent="0.25">
      <c r="B1525" s="51">
        <f>YEAR(BDRIOSJ[[#This Row],[FECHA]])</f>
        <v>2024</v>
      </c>
      <c r="C1525" s="51">
        <f>MONTH(BDRIOSJ[[#This Row],[FECHA]])</f>
        <v>7</v>
      </c>
      <c r="D1525" s="50">
        <v>45495</v>
      </c>
      <c r="E1525" s="49" t="s">
        <v>114</v>
      </c>
      <c r="F1525" s="65">
        <v>2.0432999999999999</v>
      </c>
    </row>
    <row r="1526" spans="2:6" hidden="1" x14ac:dyDescent="0.25">
      <c r="B1526" s="51">
        <f>YEAR(BDRIOSJ[[#This Row],[FECHA]])</f>
        <v>2024</v>
      </c>
      <c r="C1526" s="51">
        <f>MONTH(BDRIOSJ[[#This Row],[FECHA]])</f>
        <v>7</v>
      </c>
      <c r="D1526" s="50">
        <v>45495</v>
      </c>
      <c r="E1526" s="49" t="s">
        <v>113</v>
      </c>
      <c r="F1526" s="65">
        <v>2.0432999999999999</v>
      </c>
    </row>
    <row r="1527" spans="2:6" hidden="1" x14ac:dyDescent="0.25">
      <c r="B1527" s="51">
        <f>YEAR(BDRIOSJ[[#This Row],[FECHA]])</f>
        <v>2024</v>
      </c>
      <c r="C1527" s="51">
        <f>MONTH(BDRIOSJ[[#This Row],[FECHA]])</f>
        <v>7</v>
      </c>
      <c r="D1527" s="50">
        <v>45495</v>
      </c>
      <c r="E1527" s="49" t="s">
        <v>111</v>
      </c>
      <c r="F1527" s="65">
        <v>2.0432999999999999</v>
      </c>
    </row>
    <row r="1528" spans="2:6" hidden="1" x14ac:dyDescent="0.25">
      <c r="B1528" s="51">
        <f>YEAR(BDRIOSJ[[#This Row],[FECHA]])</f>
        <v>2024</v>
      </c>
      <c r="C1528" s="51">
        <f>MONTH(BDRIOSJ[[#This Row],[FECHA]])</f>
        <v>7</v>
      </c>
      <c r="D1528" s="50">
        <v>45496</v>
      </c>
      <c r="E1528" s="49" t="s">
        <v>115</v>
      </c>
      <c r="F1528" s="65">
        <v>2.0432999999999999</v>
      </c>
    </row>
    <row r="1529" spans="2:6" hidden="1" x14ac:dyDescent="0.25">
      <c r="B1529" s="51">
        <f>YEAR(BDRIOSJ[[#This Row],[FECHA]])</f>
        <v>2024</v>
      </c>
      <c r="C1529" s="51">
        <f>MONTH(BDRIOSJ[[#This Row],[FECHA]])</f>
        <v>7</v>
      </c>
      <c r="D1529" s="50">
        <v>45496</v>
      </c>
      <c r="E1529" s="49" t="s">
        <v>114</v>
      </c>
      <c r="F1529" s="65">
        <v>2.0432999999999999</v>
      </c>
    </row>
    <row r="1530" spans="2:6" hidden="1" x14ac:dyDescent="0.25">
      <c r="B1530" s="51">
        <f>YEAR(BDRIOSJ[[#This Row],[FECHA]])</f>
        <v>2024</v>
      </c>
      <c r="C1530" s="51">
        <f>MONTH(BDRIOSJ[[#This Row],[FECHA]])</f>
        <v>7</v>
      </c>
      <c r="D1530" s="50">
        <v>45496</v>
      </c>
      <c r="E1530" s="49" t="s">
        <v>113</v>
      </c>
      <c r="F1530" s="65">
        <v>2.0432999999999999</v>
      </c>
    </row>
    <row r="1531" spans="2:6" hidden="1" x14ac:dyDescent="0.25">
      <c r="B1531" s="51">
        <f>YEAR(BDRIOSJ[[#This Row],[FECHA]])</f>
        <v>2024</v>
      </c>
      <c r="C1531" s="51">
        <f>MONTH(BDRIOSJ[[#This Row],[FECHA]])</f>
        <v>7</v>
      </c>
      <c r="D1531" s="50">
        <v>45496</v>
      </c>
      <c r="E1531" s="49" t="s">
        <v>111</v>
      </c>
      <c r="F1531" s="65">
        <v>2.0432999999999999</v>
      </c>
    </row>
    <row r="1532" spans="2:6" hidden="1" x14ac:dyDescent="0.25">
      <c r="B1532" s="51">
        <f>YEAR(BDRIOSJ[[#This Row],[FECHA]])</f>
        <v>2024</v>
      </c>
      <c r="C1532" s="51">
        <f>MONTH(BDRIOSJ[[#This Row],[FECHA]])</f>
        <v>7</v>
      </c>
      <c r="D1532" s="50">
        <v>45497</v>
      </c>
      <c r="E1532" s="49" t="s">
        <v>115</v>
      </c>
      <c r="F1532" s="65">
        <v>2.0432999999999999</v>
      </c>
    </row>
    <row r="1533" spans="2:6" hidden="1" x14ac:dyDescent="0.25">
      <c r="B1533" s="51">
        <f>YEAR(BDRIOSJ[[#This Row],[FECHA]])</f>
        <v>2024</v>
      </c>
      <c r="C1533" s="51">
        <f>MONTH(BDRIOSJ[[#This Row],[FECHA]])</f>
        <v>7</v>
      </c>
      <c r="D1533" s="50">
        <v>45497</v>
      </c>
      <c r="E1533" s="49" t="s">
        <v>114</v>
      </c>
      <c r="F1533" s="65">
        <v>2.0432999999999999</v>
      </c>
    </row>
    <row r="1534" spans="2:6" hidden="1" x14ac:dyDescent="0.25">
      <c r="B1534" s="51">
        <f>YEAR(BDRIOSJ[[#This Row],[FECHA]])</f>
        <v>2024</v>
      </c>
      <c r="C1534" s="51">
        <f>MONTH(BDRIOSJ[[#This Row],[FECHA]])</f>
        <v>7</v>
      </c>
      <c r="D1534" s="50">
        <v>45497</v>
      </c>
      <c r="E1534" s="49" t="s">
        <v>113</v>
      </c>
      <c r="F1534" s="65">
        <v>2.0432999999999999</v>
      </c>
    </row>
    <row r="1535" spans="2:6" hidden="1" x14ac:dyDescent="0.25">
      <c r="B1535" s="51">
        <f>YEAR(BDRIOSJ[[#This Row],[FECHA]])</f>
        <v>2024</v>
      </c>
      <c r="C1535" s="51">
        <f>MONTH(BDRIOSJ[[#This Row],[FECHA]])</f>
        <v>7</v>
      </c>
      <c r="D1535" s="50">
        <v>45497</v>
      </c>
      <c r="E1535" s="49" t="s">
        <v>111</v>
      </c>
      <c r="F1535" s="65">
        <v>2.0432999999999999</v>
      </c>
    </row>
    <row r="1536" spans="2:6" hidden="1" x14ac:dyDescent="0.25">
      <c r="B1536" s="51">
        <f>YEAR(BDRIOSJ[[#This Row],[FECHA]])</f>
        <v>2024</v>
      </c>
      <c r="C1536" s="51">
        <f>MONTH(BDRIOSJ[[#This Row],[FECHA]])</f>
        <v>7</v>
      </c>
      <c r="D1536" s="50">
        <v>45498</v>
      </c>
      <c r="E1536" s="49" t="s">
        <v>115</v>
      </c>
      <c r="F1536" s="65">
        <v>2.0432999999999999</v>
      </c>
    </row>
    <row r="1537" spans="2:6" hidden="1" x14ac:dyDescent="0.25">
      <c r="B1537" s="51">
        <f>YEAR(BDRIOSJ[[#This Row],[FECHA]])</f>
        <v>2024</v>
      </c>
      <c r="C1537" s="51">
        <f>MONTH(BDRIOSJ[[#This Row],[FECHA]])</f>
        <v>7</v>
      </c>
      <c r="D1537" s="50">
        <v>45498</v>
      </c>
      <c r="E1537" s="49" t="s">
        <v>114</v>
      </c>
      <c r="F1537" s="65">
        <v>2.0432999999999999</v>
      </c>
    </row>
    <row r="1538" spans="2:6" hidden="1" x14ac:dyDescent="0.25">
      <c r="B1538" s="51">
        <f>YEAR(BDRIOSJ[[#This Row],[FECHA]])</f>
        <v>2024</v>
      </c>
      <c r="C1538" s="51">
        <f>MONTH(BDRIOSJ[[#This Row],[FECHA]])</f>
        <v>7</v>
      </c>
      <c r="D1538" s="50">
        <v>45498</v>
      </c>
      <c r="E1538" s="49" t="s">
        <v>113</v>
      </c>
      <c r="F1538" s="65">
        <v>2.0432999999999999</v>
      </c>
    </row>
    <row r="1539" spans="2:6" hidden="1" x14ac:dyDescent="0.25">
      <c r="B1539" s="51">
        <f>YEAR(BDRIOSJ[[#This Row],[FECHA]])</f>
        <v>2024</v>
      </c>
      <c r="C1539" s="51">
        <f>MONTH(BDRIOSJ[[#This Row],[FECHA]])</f>
        <v>7</v>
      </c>
      <c r="D1539" s="50">
        <v>45498</v>
      </c>
      <c r="E1539" s="49" t="s">
        <v>111</v>
      </c>
      <c r="F1539" s="65">
        <v>2.0432999999999999</v>
      </c>
    </row>
    <row r="1540" spans="2:6" hidden="1" x14ac:dyDescent="0.25">
      <c r="B1540" s="51">
        <f>YEAR(BDRIOSJ[[#This Row],[FECHA]])</f>
        <v>2024</v>
      </c>
      <c r="C1540" s="51">
        <f>MONTH(BDRIOSJ[[#This Row],[FECHA]])</f>
        <v>7</v>
      </c>
      <c r="D1540" s="50">
        <v>45499</v>
      </c>
      <c r="E1540" s="49" t="s">
        <v>115</v>
      </c>
      <c r="F1540" s="65">
        <v>2.0432999999999999</v>
      </c>
    </row>
    <row r="1541" spans="2:6" hidden="1" x14ac:dyDescent="0.25">
      <c r="B1541" s="51">
        <f>YEAR(BDRIOSJ[[#This Row],[FECHA]])</f>
        <v>2024</v>
      </c>
      <c r="C1541" s="51">
        <f>MONTH(BDRIOSJ[[#This Row],[FECHA]])</f>
        <v>7</v>
      </c>
      <c r="D1541" s="50">
        <v>45499</v>
      </c>
      <c r="E1541" s="49" t="s">
        <v>114</v>
      </c>
      <c r="F1541" s="65">
        <v>2.0432999999999999</v>
      </c>
    </row>
    <row r="1542" spans="2:6" hidden="1" x14ac:dyDescent="0.25">
      <c r="B1542" s="51">
        <f>YEAR(BDRIOSJ[[#This Row],[FECHA]])</f>
        <v>2024</v>
      </c>
      <c r="C1542" s="51">
        <f>MONTH(BDRIOSJ[[#This Row],[FECHA]])</f>
        <v>7</v>
      </c>
      <c r="D1542" s="50">
        <v>45499</v>
      </c>
      <c r="E1542" s="49" t="s">
        <v>113</v>
      </c>
      <c r="F1542" s="65">
        <v>2.0432999999999999</v>
      </c>
    </row>
    <row r="1543" spans="2:6" hidden="1" x14ac:dyDescent="0.25">
      <c r="B1543" s="51">
        <f>YEAR(BDRIOSJ[[#This Row],[FECHA]])</f>
        <v>2024</v>
      </c>
      <c r="C1543" s="51">
        <f>MONTH(BDRIOSJ[[#This Row],[FECHA]])</f>
        <v>7</v>
      </c>
      <c r="D1543" s="50">
        <v>45499</v>
      </c>
      <c r="E1543" s="49" t="s">
        <v>111</v>
      </c>
      <c r="F1543" s="65">
        <v>2.0432999999999999</v>
      </c>
    </row>
    <row r="1544" spans="2:6" hidden="1" x14ac:dyDescent="0.25">
      <c r="B1544" s="51">
        <f>YEAR(BDRIOSJ[[#This Row],[FECHA]])</f>
        <v>2024</v>
      </c>
      <c r="C1544" s="51">
        <f>MONTH(BDRIOSJ[[#This Row],[FECHA]])</f>
        <v>7</v>
      </c>
      <c r="D1544" s="50">
        <v>45500</v>
      </c>
      <c r="E1544" s="49" t="s">
        <v>115</v>
      </c>
      <c r="F1544" s="65">
        <v>2.0432999999999999</v>
      </c>
    </row>
    <row r="1545" spans="2:6" hidden="1" x14ac:dyDescent="0.25">
      <c r="B1545" s="51">
        <f>YEAR(BDRIOSJ[[#This Row],[FECHA]])</f>
        <v>2024</v>
      </c>
      <c r="C1545" s="51">
        <f>MONTH(BDRIOSJ[[#This Row],[FECHA]])</f>
        <v>7</v>
      </c>
      <c r="D1545" s="50">
        <v>45500</v>
      </c>
      <c r="E1545" s="49" t="s">
        <v>114</v>
      </c>
      <c r="F1545" s="65">
        <v>2.0432999999999999</v>
      </c>
    </row>
    <row r="1546" spans="2:6" hidden="1" x14ac:dyDescent="0.25">
      <c r="B1546" s="51">
        <f>YEAR(BDRIOSJ[[#This Row],[FECHA]])</f>
        <v>2024</v>
      </c>
      <c r="C1546" s="51">
        <f>MONTH(BDRIOSJ[[#This Row],[FECHA]])</f>
        <v>7</v>
      </c>
      <c r="D1546" s="50">
        <v>45500</v>
      </c>
      <c r="E1546" s="49" t="s">
        <v>113</v>
      </c>
      <c r="F1546" s="65">
        <v>2.0432999999999999</v>
      </c>
    </row>
    <row r="1547" spans="2:6" hidden="1" x14ac:dyDescent="0.25">
      <c r="B1547" s="51">
        <f>YEAR(BDRIOSJ[[#This Row],[FECHA]])</f>
        <v>2024</v>
      </c>
      <c r="C1547" s="51">
        <f>MONTH(BDRIOSJ[[#This Row],[FECHA]])</f>
        <v>7</v>
      </c>
      <c r="D1547" s="50">
        <v>45500</v>
      </c>
      <c r="E1547" s="49" t="s">
        <v>111</v>
      </c>
      <c r="F1547" s="65">
        <v>2.0432999999999999</v>
      </c>
    </row>
    <row r="1548" spans="2:6" hidden="1" x14ac:dyDescent="0.25">
      <c r="B1548" s="51">
        <f>YEAR(BDRIOSJ[[#This Row],[FECHA]])</f>
        <v>2024</v>
      </c>
      <c r="C1548" s="51">
        <f>MONTH(BDRIOSJ[[#This Row],[FECHA]])</f>
        <v>7</v>
      </c>
      <c r="D1548" s="50">
        <v>45501</v>
      </c>
      <c r="E1548" s="49" t="s">
        <v>115</v>
      </c>
      <c r="F1548" s="65">
        <v>2.0432999999999999</v>
      </c>
    </row>
    <row r="1549" spans="2:6" hidden="1" x14ac:dyDescent="0.25">
      <c r="B1549" s="51">
        <f>YEAR(BDRIOSJ[[#This Row],[FECHA]])</f>
        <v>2024</v>
      </c>
      <c r="C1549" s="51">
        <f>MONTH(BDRIOSJ[[#This Row],[FECHA]])</f>
        <v>7</v>
      </c>
      <c r="D1549" s="50">
        <v>45501</v>
      </c>
      <c r="E1549" s="49" t="s">
        <v>114</v>
      </c>
      <c r="F1549" s="65">
        <v>2.0432999999999999</v>
      </c>
    </row>
    <row r="1550" spans="2:6" hidden="1" x14ac:dyDescent="0.25">
      <c r="B1550" s="51">
        <f>YEAR(BDRIOSJ[[#This Row],[FECHA]])</f>
        <v>2024</v>
      </c>
      <c r="C1550" s="51">
        <f>MONTH(BDRIOSJ[[#This Row],[FECHA]])</f>
        <v>7</v>
      </c>
      <c r="D1550" s="50">
        <v>45501</v>
      </c>
      <c r="E1550" s="49" t="s">
        <v>113</v>
      </c>
      <c r="F1550" s="65">
        <v>2.0432999999999999</v>
      </c>
    </row>
    <row r="1551" spans="2:6" hidden="1" x14ac:dyDescent="0.25">
      <c r="B1551" s="51">
        <f>YEAR(BDRIOSJ[[#This Row],[FECHA]])</f>
        <v>2024</v>
      </c>
      <c r="C1551" s="51">
        <f>MONTH(BDRIOSJ[[#This Row],[FECHA]])</f>
        <v>7</v>
      </c>
      <c r="D1551" s="50">
        <v>45501</v>
      </c>
      <c r="E1551" s="49" t="s">
        <v>111</v>
      </c>
      <c r="F1551" s="65">
        <v>2.0432999999999999</v>
      </c>
    </row>
    <row r="1552" spans="2:6" hidden="1" x14ac:dyDescent="0.25">
      <c r="B1552" s="51">
        <f>YEAR(BDRIOSJ[[#This Row],[FECHA]])</f>
        <v>2024</v>
      </c>
      <c r="C1552" s="51">
        <f>MONTH(BDRIOSJ[[#This Row],[FECHA]])</f>
        <v>7</v>
      </c>
      <c r="D1552" s="50">
        <v>45502</v>
      </c>
      <c r="E1552" s="49" t="s">
        <v>115</v>
      </c>
      <c r="F1552" s="65">
        <v>2.0432999999999999</v>
      </c>
    </row>
    <row r="1553" spans="2:6" hidden="1" x14ac:dyDescent="0.25">
      <c r="B1553" s="51">
        <f>YEAR(BDRIOSJ[[#This Row],[FECHA]])</f>
        <v>2024</v>
      </c>
      <c r="C1553" s="51">
        <f>MONTH(BDRIOSJ[[#This Row],[FECHA]])</f>
        <v>7</v>
      </c>
      <c r="D1553" s="50">
        <v>45502</v>
      </c>
      <c r="E1553" s="49" t="s">
        <v>114</v>
      </c>
      <c r="F1553" s="65">
        <v>2.0432999999999999</v>
      </c>
    </row>
    <row r="1554" spans="2:6" hidden="1" x14ac:dyDescent="0.25">
      <c r="B1554" s="51">
        <f>YEAR(BDRIOSJ[[#This Row],[FECHA]])</f>
        <v>2024</v>
      </c>
      <c r="C1554" s="51">
        <f>MONTH(BDRIOSJ[[#This Row],[FECHA]])</f>
        <v>7</v>
      </c>
      <c r="D1554" s="50">
        <v>45502</v>
      </c>
      <c r="E1554" s="49" t="s">
        <v>113</v>
      </c>
      <c r="F1554" s="65">
        <v>2.0432999999999999</v>
      </c>
    </row>
    <row r="1555" spans="2:6" hidden="1" x14ac:dyDescent="0.25">
      <c r="B1555" s="51">
        <f>YEAR(BDRIOSJ[[#This Row],[FECHA]])</f>
        <v>2024</v>
      </c>
      <c r="C1555" s="51">
        <f>MONTH(BDRIOSJ[[#This Row],[FECHA]])</f>
        <v>7</v>
      </c>
      <c r="D1555" s="50">
        <v>45502</v>
      </c>
      <c r="E1555" s="49" t="s">
        <v>111</v>
      </c>
      <c r="F1555" s="65">
        <v>2.0432999999999999</v>
      </c>
    </row>
    <row r="1556" spans="2:6" hidden="1" x14ac:dyDescent="0.25">
      <c r="B1556" s="51">
        <f>YEAR(BDRIOSJ[[#This Row],[FECHA]])</f>
        <v>2024</v>
      </c>
      <c r="C1556" s="51">
        <f>MONTH(BDRIOSJ[[#This Row],[FECHA]])</f>
        <v>7</v>
      </c>
      <c r="D1556" s="50">
        <v>45503</v>
      </c>
      <c r="E1556" s="49" t="s">
        <v>115</v>
      </c>
      <c r="F1556" s="65">
        <v>2.0432999999999999</v>
      </c>
    </row>
    <row r="1557" spans="2:6" hidden="1" x14ac:dyDescent="0.25">
      <c r="B1557" s="51">
        <f>YEAR(BDRIOSJ[[#This Row],[FECHA]])</f>
        <v>2024</v>
      </c>
      <c r="C1557" s="51">
        <f>MONTH(BDRIOSJ[[#This Row],[FECHA]])</f>
        <v>7</v>
      </c>
      <c r="D1557" s="50">
        <v>45503</v>
      </c>
      <c r="E1557" s="49" t="s">
        <v>114</v>
      </c>
      <c r="F1557" s="65">
        <v>2.0432999999999999</v>
      </c>
    </row>
    <row r="1558" spans="2:6" hidden="1" x14ac:dyDescent="0.25">
      <c r="B1558" s="51">
        <f>YEAR(BDRIOSJ[[#This Row],[FECHA]])</f>
        <v>2024</v>
      </c>
      <c r="C1558" s="51">
        <f>MONTH(BDRIOSJ[[#This Row],[FECHA]])</f>
        <v>7</v>
      </c>
      <c r="D1558" s="50">
        <v>45503</v>
      </c>
      <c r="E1558" s="49" t="s">
        <v>113</v>
      </c>
      <c r="F1558" s="65">
        <v>2.0432999999999999</v>
      </c>
    </row>
    <row r="1559" spans="2:6" hidden="1" x14ac:dyDescent="0.25">
      <c r="B1559" s="51">
        <f>YEAR(BDRIOSJ[[#This Row],[FECHA]])</f>
        <v>2024</v>
      </c>
      <c r="C1559" s="51">
        <f>MONTH(BDRIOSJ[[#This Row],[FECHA]])</f>
        <v>7</v>
      </c>
      <c r="D1559" s="50">
        <v>45503</v>
      </c>
      <c r="E1559" s="49" t="s">
        <v>111</v>
      </c>
      <c r="F1559" s="65">
        <v>2.0432999999999999</v>
      </c>
    </row>
    <row r="1560" spans="2:6" hidden="1" x14ac:dyDescent="0.25">
      <c r="B1560" s="51">
        <f>YEAR(BDRIOSJ[[#This Row],[FECHA]])</f>
        <v>2024</v>
      </c>
      <c r="C1560" s="51">
        <f>MONTH(BDRIOSJ[[#This Row],[FECHA]])</f>
        <v>7</v>
      </c>
      <c r="D1560" s="50">
        <v>45504</v>
      </c>
      <c r="E1560" s="49" t="s">
        <v>115</v>
      </c>
      <c r="F1560" s="65">
        <v>2.0432999999999999</v>
      </c>
    </row>
    <row r="1561" spans="2:6" hidden="1" x14ac:dyDescent="0.25">
      <c r="B1561" s="51">
        <f>YEAR(BDRIOSJ[[#This Row],[FECHA]])</f>
        <v>2024</v>
      </c>
      <c r="C1561" s="51">
        <f>MONTH(BDRIOSJ[[#This Row],[FECHA]])</f>
        <v>7</v>
      </c>
      <c r="D1561" s="50">
        <v>45504</v>
      </c>
      <c r="E1561" s="49" t="s">
        <v>114</v>
      </c>
      <c r="F1561" s="65">
        <v>2.0432999999999999</v>
      </c>
    </row>
    <row r="1562" spans="2:6" hidden="1" x14ac:dyDescent="0.25">
      <c r="B1562" s="51">
        <f>YEAR(BDRIOSJ[[#This Row],[FECHA]])</f>
        <v>2024</v>
      </c>
      <c r="C1562" s="51">
        <f>MONTH(BDRIOSJ[[#This Row],[FECHA]])</f>
        <v>7</v>
      </c>
      <c r="D1562" s="50">
        <v>45504</v>
      </c>
      <c r="E1562" s="49" t="s">
        <v>113</v>
      </c>
      <c r="F1562" s="65">
        <v>2.0432999999999999</v>
      </c>
    </row>
    <row r="1563" spans="2:6" hidden="1" x14ac:dyDescent="0.25">
      <c r="B1563" s="51">
        <f>YEAR(BDRIOSJ[[#This Row],[FECHA]])</f>
        <v>2024</v>
      </c>
      <c r="C1563" s="51">
        <f>MONTH(BDRIOSJ[[#This Row],[FECHA]])</f>
        <v>7</v>
      </c>
      <c r="D1563" s="50">
        <v>45504</v>
      </c>
      <c r="E1563" s="49" t="s">
        <v>111</v>
      </c>
      <c r="F1563" s="65">
        <v>2.0432999999999999</v>
      </c>
    </row>
    <row r="1564" spans="2:6" hidden="1" x14ac:dyDescent="0.25">
      <c r="B1564" s="51">
        <f>YEAR(BDRIOSJ[[#This Row],[FECHA]])</f>
        <v>2024</v>
      </c>
      <c r="C1564" s="51">
        <f>MONTH(BDRIOSJ[[#This Row],[FECHA]])</f>
        <v>8</v>
      </c>
      <c r="D1564" s="50">
        <v>45505</v>
      </c>
      <c r="E1564" s="49" t="s">
        <v>115</v>
      </c>
      <c r="F1564" s="65">
        <v>2.0432999999999999</v>
      </c>
    </row>
    <row r="1565" spans="2:6" hidden="1" x14ac:dyDescent="0.25">
      <c r="B1565" s="51">
        <f>YEAR(BDRIOSJ[[#This Row],[FECHA]])</f>
        <v>2024</v>
      </c>
      <c r="C1565" s="51">
        <f>MONTH(BDRIOSJ[[#This Row],[FECHA]])</f>
        <v>8</v>
      </c>
      <c r="D1565" s="50">
        <v>45505</v>
      </c>
      <c r="E1565" s="49" t="s">
        <v>114</v>
      </c>
      <c r="F1565" s="65">
        <v>2.0432999999999999</v>
      </c>
    </row>
    <row r="1566" spans="2:6" hidden="1" x14ac:dyDescent="0.25">
      <c r="B1566" s="51">
        <f>YEAR(BDRIOSJ[[#This Row],[FECHA]])</f>
        <v>2024</v>
      </c>
      <c r="C1566" s="51">
        <f>MONTH(BDRIOSJ[[#This Row],[FECHA]])</f>
        <v>8</v>
      </c>
      <c r="D1566" s="50">
        <v>45505</v>
      </c>
      <c r="E1566" s="49" t="s">
        <v>113</v>
      </c>
      <c r="F1566" s="65">
        <v>2.0432999999999999</v>
      </c>
    </row>
    <row r="1567" spans="2:6" hidden="1" x14ac:dyDescent="0.25">
      <c r="B1567" s="51">
        <f>YEAR(BDRIOSJ[[#This Row],[FECHA]])</f>
        <v>2024</v>
      </c>
      <c r="C1567" s="51">
        <f>MONTH(BDRIOSJ[[#This Row],[FECHA]])</f>
        <v>8</v>
      </c>
      <c r="D1567" s="50">
        <v>45505</v>
      </c>
      <c r="E1567" s="49" t="s">
        <v>111</v>
      </c>
      <c r="F1567" s="65">
        <v>2.0432999999999999</v>
      </c>
    </row>
    <row r="1568" spans="2:6" hidden="1" x14ac:dyDescent="0.25">
      <c r="B1568" s="51">
        <f>YEAR(BDRIOSJ[[#This Row],[FECHA]])</f>
        <v>2024</v>
      </c>
      <c r="C1568" s="51">
        <f>MONTH(BDRIOSJ[[#This Row],[FECHA]])</f>
        <v>8</v>
      </c>
      <c r="D1568" s="50">
        <v>45506</v>
      </c>
      <c r="E1568" s="49" t="s">
        <v>115</v>
      </c>
      <c r="F1568" s="65">
        <v>2.0432999999999999</v>
      </c>
    </row>
    <row r="1569" spans="2:6" hidden="1" x14ac:dyDescent="0.25">
      <c r="B1569" s="51">
        <f>YEAR(BDRIOSJ[[#This Row],[FECHA]])</f>
        <v>2024</v>
      </c>
      <c r="C1569" s="51">
        <f>MONTH(BDRIOSJ[[#This Row],[FECHA]])</f>
        <v>8</v>
      </c>
      <c r="D1569" s="50">
        <v>45506</v>
      </c>
      <c r="E1569" s="49" t="s">
        <v>114</v>
      </c>
      <c r="F1569" s="65">
        <v>2.0432999999999999</v>
      </c>
    </row>
    <row r="1570" spans="2:6" hidden="1" x14ac:dyDescent="0.25">
      <c r="B1570" s="51">
        <f>YEAR(BDRIOSJ[[#This Row],[FECHA]])</f>
        <v>2024</v>
      </c>
      <c r="C1570" s="51">
        <f>MONTH(BDRIOSJ[[#This Row],[FECHA]])</f>
        <v>8</v>
      </c>
      <c r="D1570" s="50">
        <v>45506</v>
      </c>
      <c r="E1570" s="49" t="s">
        <v>113</v>
      </c>
      <c r="F1570" s="65">
        <v>2.0432999999999999</v>
      </c>
    </row>
    <row r="1571" spans="2:6" hidden="1" x14ac:dyDescent="0.25">
      <c r="B1571" s="51">
        <f>YEAR(BDRIOSJ[[#This Row],[FECHA]])</f>
        <v>2024</v>
      </c>
      <c r="C1571" s="51">
        <f>MONTH(BDRIOSJ[[#This Row],[FECHA]])</f>
        <v>8</v>
      </c>
      <c r="D1571" s="50">
        <v>45506</v>
      </c>
      <c r="E1571" s="49" t="s">
        <v>111</v>
      </c>
      <c r="F1571" s="65">
        <v>2.0432999999999999</v>
      </c>
    </row>
    <row r="1572" spans="2:6" hidden="1" x14ac:dyDescent="0.25">
      <c r="B1572" s="51">
        <f>YEAR(BDRIOSJ[[#This Row],[FECHA]])</f>
        <v>2024</v>
      </c>
      <c r="C1572" s="51">
        <f>MONTH(BDRIOSJ[[#This Row],[FECHA]])</f>
        <v>8</v>
      </c>
      <c r="D1572" s="50">
        <v>45507</v>
      </c>
      <c r="E1572" s="49" t="s">
        <v>115</v>
      </c>
      <c r="F1572" s="65">
        <v>2.0432999999999999</v>
      </c>
    </row>
    <row r="1573" spans="2:6" hidden="1" x14ac:dyDescent="0.25">
      <c r="B1573" s="51">
        <f>YEAR(BDRIOSJ[[#This Row],[FECHA]])</f>
        <v>2024</v>
      </c>
      <c r="C1573" s="51">
        <f>MONTH(BDRIOSJ[[#This Row],[FECHA]])</f>
        <v>8</v>
      </c>
      <c r="D1573" s="50">
        <v>45507</v>
      </c>
      <c r="E1573" s="49" t="s">
        <v>114</v>
      </c>
      <c r="F1573" s="65">
        <v>2.0432999999999999</v>
      </c>
    </row>
    <row r="1574" spans="2:6" hidden="1" x14ac:dyDescent="0.25">
      <c r="B1574" s="51">
        <f>YEAR(BDRIOSJ[[#This Row],[FECHA]])</f>
        <v>2024</v>
      </c>
      <c r="C1574" s="51">
        <f>MONTH(BDRIOSJ[[#This Row],[FECHA]])</f>
        <v>8</v>
      </c>
      <c r="D1574" s="50">
        <v>45507</v>
      </c>
      <c r="E1574" s="49" t="s">
        <v>113</v>
      </c>
      <c r="F1574" s="65">
        <v>2.0432999999999999</v>
      </c>
    </row>
    <row r="1575" spans="2:6" hidden="1" x14ac:dyDescent="0.25">
      <c r="B1575" s="51">
        <f>YEAR(BDRIOSJ[[#This Row],[FECHA]])</f>
        <v>2024</v>
      </c>
      <c r="C1575" s="51">
        <f>MONTH(BDRIOSJ[[#This Row],[FECHA]])</f>
        <v>8</v>
      </c>
      <c r="D1575" s="50">
        <v>45507</v>
      </c>
      <c r="E1575" s="49" t="s">
        <v>111</v>
      </c>
      <c r="F1575" s="65">
        <v>2.0432999999999999</v>
      </c>
    </row>
    <row r="1576" spans="2:6" hidden="1" x14ac:dyDescent="0.25">
      <c r="B1576" s="51">
        <f>YEAR(BDRIOSJ[[#This Row],[FECHA]])</f>
        <v>2024</v>
      </c>
      <c r="C1576" s="51">
        <f>MONTH(BDRIOSJ[[#This Row],[FECHA]])</f>
        <v>8</v>
      </c>
      <c r="D1576" s="50">
        <v>45508</v>
      </c>
      <c r="E1576" s="49" t="s">
        <v>115</v>
      </c>
      <c r="F1576" s="65">
        <v>2.0432999999999999</v>
      </c>
    </row>
    <row r="1577" spans="2:6" hidden="1" x14ac:dyDescent="0.25">
      <c r="B1577" s="51">
        <f>YEAR(BDRIOSJ[[#This Row],[FECHA]])</f>
        <v>2024</v>
      </c>
      <c r="C1577" s="51">
        <f>MONTH(BDRIOSJ[[#This Row],[FECHA]])</f>
        <v>8</v>
      </c>
      <c r="D1577" s="50">
        <v>45508</v>
      </c>
      <c r="E1577" s="49" t="s">
        <v>114</v>
      </c>
      <c r="F1577" s="65">
        <v>2.0432999999999999</v>
      </c>
    </row>
    <row r="1578" spans="2:6" hidden="1" x14ac:dyDescent="0.25">
      <c r="B1578" s="51">
        <f>YEAR(BDRIOSJ[[#This Row],[FECHA]])</f>
        <v>2024</v>
      </c>
      <c r="C1578" s="51">
        <f>MONTH(BDRIOSJ[[#This Row],[FECHA]])</f>
        <v>8</v>
      </c>
      <c r="D1578" s="50">
        <v>45508</v>
      </c>
      <c r="E1578" s="49" t="s">
        <v>113</v>
      </c>
      <c r="F1578" s="65">
        <v>2.0432999999999999</v>
      </c>
    </row>
    <row r="1579" spans="2:6" hidden="1" x14ac:dyDescent="0.25">
      <c r="B1579" s="51">
        <f>YEAR(BDRIOSJ[[#This Row],[FECHA]])</f>
        <v>2024</v>
      </c>
      <c r="C1579" s="51">
        <f>MONTH(BDRIOSJ[[#This Row],[FECHA]])</f>
        <v>8</v>
      </c>
      <c r="D1579" s="50">
        <v>45508</v>
      </c>
      <c r="E1579" s="49" t="s">
        <v>111</v>
      </c>
      <c r="F1579" s="65">
        <v>2.0432999999999999</v>
      </c>
    </row>
    <row r="1580" spans="2:6" hidden="1" x14ac:dyDescent="0.25">
      <c r="B1580" s="51">
        <f>YEAR(BDRIOSJ[[#This Row],[FECHA]])</f>
        <v>2024</v>
      </c>
      <c r="C1580" s="51">
        <f>MONTH(BDRIOSJ[[#This Row],[FECHA]])</f>
        <v>8</v>
      </c>
      <c r="D1580" s="50">
        <v>45509</v>
      </c>
      <c r="E1580" s="49" t="s">
        <v>115</v>
      </c>
      <c r="F1580" s="65">
        <v>2.0432999999999999</v>
      </c>
    </row>
    <row r="1581" spans="2:6" hidden="1" x14ac:dyDescent="0.25">
      <c r="B1581" s="51">
        <f>YEAR(BDRIOSJ[[#This Row],[FECHA]])</f>
        <v>2024</v>
      </c>
      <c r="C1581" s="51">
        <f>MONTH(BDRIOSJ[[#This Row],[FECHA]])</f>
        <v>8</v>
      </c>
      <c r="D1581" s="50">
        <v>45509</v>
      </c>
      <c r="E1581" s="49" t="s">
        <v>114</v>
      </c>
      <c r="F1581" s="65">
        <v>2.0432999999999999</v>
      </c>
    </row>
    <row r="1582" spans="2:6" hidden="1" x14ac:dyDescent="0.25">
      <c r="B1582" s="51">
        <f>YEAR(BDRIOSJ[[#This Row],[FECHA]])</f>
        <v>2024</v>
      </c>
      <c r="C1582" s="51">
        <f>MONTH(BDRIOSJ[[#This Row],[FECHA]])</f>
        <v>8</v>
      </c>
      <c r="D1582" s="50">
        <v>45509</v>
      </c>
      <c r="E1582" s="49" t="s">
        <v>113</v>
      </c>
      <c r="F1582" s="65">
        <v>2.0432999999999999</v>
      </c>
    </row>
    <row r="1583" spans="2:6" hidden="1" x14ac:dyDescent="0.25">
      <c r="B1583" s="51">
        <f>YEAR(BDRIOSJ[[#This Row],[FECHA]])</f>
        <v>2024</v>
      </c>
      <c r="C1583" s="51">
        <f>MONTH(BDRIOSJ[[#This Row],[FECHA]])</f>
        <v>8</v>
      </c>
      <c r="D1583" s="50">
        <v>45509</v>
      </c>
      <c r="E1583" s="49" t="s">
        <v>111</v>
      </c>
      <c r="F1583" s="65">
        <v>2.0432999999999999</v>
      </c>
    </row>
    <row r="1584" spans="2:6" hidden="1" x14ac:dyDescent="0.25">
      <c r="B1584" s="51">
        <f>YEAR(BDRIOSJ[[#This Row],[FECHA]])</f>
        <v>2024</v>
      </c>
      <c r="C1584" s="51">
        <f>MONTH(BDRIOSJ[[#This Row],[FECHA]])</f>
        <v>8</v>
      </c>
      <c r="D1584" s="50">
        <v>45510</v>
      </c>
      <c r="E1584" s="49" t="s">
        <v>115</v>
      </c>
      <c r="F1584" s="65">
        <v>2.0432999999999999</v>
      </c>
    </row>
    <row r="1585" spans="2:6" hidden="1" x14ac:dyDescent="0.25">
      <c r="B1585" s="51">
        <f>YEAR(BDRIOSJ[[#This Row],[FECHA]])</f>
        <v>2024</v>
      </c>
      <c r="C1585" s="51">
        <f>MONTH(BDRIOSJ[[#This Row],[FECHA]])</f>
        <v>8</v>
      </c>
      <c r="D1585" s="50">
        <v>45510</v>
      </c>
      <c r="E1585" s="49" t="s">
        <v>114</v>
      </c>
      <c r="F1585" s="65">
        <v>2.0432999999999999</v>
      </c>
    </row>
    <row r="1586" spans="2:6" hidden="1" x14ac:dyDescent="0.25">
      <c r="B1586" s="51">
        <f>YEAR(BDRIOSJ[[#This Row],[FECHA]])</f>
        <v>2024</v>
      </c>
      <c r="C1586" s="51">
        <f>MONTH(BDRIOSJ[[#This Row],[FECHA]])</f>
        <v>8</v>
      </c>
      <c r="D1586" s="50">
        <v>45510</v>
      </c>
      <c r="E1586" s="49" t="s">
        <v>113</v>
      </c>
      <c r="F1586" s="65">
        <v>2.0432999999999999</v>
      </c>
    </row>
    <row r="1587" spans="2:6" hidden="1" x14ac:dyDescent="0.25">
      <c r="B1587" s="51">
        <f>YEAR(BDRIOSJ[[#This Row],[FECHA]])</f>
        <v>2024</v>
      </c>
      <c r="C1587" s="51">
        <f>MONTH(BDRIOSJ[[#This Row],[FECHA]])</f>
        <v>8</v>
      </c>
      <c r="D1587" s="50">
        <v>45510</v>
      </c>
      <c r="E1587" s="49" t="s">
        <v>111</v>
      </c>
      <c r="F1587" s="65">
        <v>2.0432999999999999</v>
      </c>
    </row>
    <row r="1588" spans="2:6" hidden="1" x14ac:dyDescent="0.25">
      <c r="B1588" s="51">
        <f>YEAR(BDRIOSJ[[#This Row],[FECHA]])</f>
        <v>2024</v>
      </c>
      <c r="C1588" s="51">
        <f>MONTH(BDRIOSJ[[#This Row],[FECHA]])</f>
        <v>8</v>
      </c>
      <c r="D1588" s="50">
        <v>45511</v>
      </c>
      <c r="E1588" s="49" t="s">
        <v>115</v>
      </c>
      <c r="F1588" s="65">
        <v>2.0432999999999999</v>
      </c>
    </row>
    <row r="1589" spans="2:6" hidden="1" x14ac:dyDescent="0.25">
      <c r="B1589" s="51">
        <f>YEAR(BDRIOSJ[[#This Row],[FECHA]])</f>
        <v>2024</v>
      </c>
      <c r="C1589" s="51">
        <f>MONTH(BDRIOSJ[[#This Row],[FECHA]])</f>
        <v>8</v>
      </c>
      <c r="D1589" s="50">
        <v>45511</v>
      </c>
      <c r="E1589" s="49" t="s">
        <v>114</v>
      </c>
      <c r="F1589" s="65">
        <v>2.0432999999999999</v>
      </c>
    </row>
    <row r="1590" spans="2:6" hidden="1" x14ac:dyDescent="0.25">
      <c r="B1590" s="51">
        <f>YEAR(BDRIOSJ[[#This Row],[FECHA]])</f>
        <v>2024</v>
      </c>
      <c r="C1590" s="51">
        <f>MONTH(BDRIOSJ[[#This Row],[FECHA]])</f>
        <v>8</v>
      </c>
      <c r="D1590" s="50">
        <v>45511</v>
      </c>
      <c r="E1590" s="49" t="s">
        <v>113</v>
      </c>
      <c r="F1590" s="65">
        <v>2.0432999999999999</v>
      </c>
    </row>
    <row r="1591" spans="2:6" hidden="1" x14ac:dyDescent="0.25">
      <c r="B1591" s="51">
        <f>YEAR(BDRIOSJ[[#This Row],[FECHA]])</f>
        <v>2024</v>
      </c>
      <c r="C1591" s="51">
        <f>MONTH(BDRIOSJ[[#This Row],[FECHA]])</f>
        <v>8</v>
      </c>
      <c r="D1591" s="50">
        <v>45511</v>
      </c>
      <c r="E1591" s="49" t="s">
        <v>111</v>
      </c>
      <c r="F1591" s="65">
        <v>2.0432999999999999</v>
      </c>
    </row>
    <row r="1592" spans="2:6" hidden="1" x14ac:dyDescent="0.25">
      <c r="B1592" s="51">
        <f>YEAR(BDRIOSJ[[#This Row],[FECHA]])</f>
        <v>2024</v>
      </c>
      <c r="C1592" s="51">
        <f>MONTH(BDRIOSJ[[#This Row],[FECHA]])</f>
        <v>8</v>
      </c>
      <c r="D1592" s="50">
        <v>45512</v>
      </c>
      <c r="E1592" s="49" t="s">
        <v>115</v>
      </c>
      <c r="F1592" s="65">
        <v>1.6437999999999999</v>
      </c>
    </row>
    <row r="1593" spans="2:6" hidden="1" x14ac:dyDescent="0.25">
      <c r="B1593" s="51">
        <f>YEAR(BDRIOSJ[[#This Row],[FECHA]])</f>
        <v>2024</v>
      </c>
      <c r="C1593" s="51">
        <f>MONTH(BDRIOSJ[[#This Row],[FECHA]])</f>
        <v>8</v>
      </c>
      <c r="D1593" s="50">
        <v>45512</v>
      </c>
      <c r="E1593" s="49" t="s">
        <v>114</v>
      </c>
      <c r="F1593" s="65">
        <v>1.6437999999999999</v>
      </c>
    </row>
    <row r="1594" spans="2:6" hidden="1" x14ac:dyDescent="0.25">
      <c r="B1594" s="51">
        <f>YEAR(BDRIOSJ[[#This Row],[FECHA]])</f>
        <v>2024</v>
      </c>
      <c r="C1594" s="51">
        <f>MONTH(BDRIOSJ[[#This Row],[FECHA]])</f>
        <v>8</v>
      </c>
      <c r="D1594" s="50">
        <v>45512</v>
      </c>
      <c r="E1594" s="49" t="s">
        <v>113</v>
      </c>
      <c r="F1594" s="65">
        <v>1.6437999999999999</v>
      </c>
    </row>
    <row r="1595" spans="2:6" hidden="1" x14ac:dyDescent="0.25">
      <c r="B1595" s="51">
        <f>YEAR(BDRIOSJ[[#This Row],[FECHA]])</f>
        <v>2024</v>
      </c>
      <c r="C1595" s="51">
        <f>MONTH(BDRIOSJ[[#This Row],[FECHA]])</f>
        <v>8</v>
      </c>
      <c r="D1595" s="50">
        <v>45512</v>
      </c>
      <c r="E1595" s="49" t="s">
        <v>111</v>
      </c>
      <c r="F1595" s="65">
        <v>1.6437999999999999</v>
      </c>
    </row>
    <row r="1596" spans="2:6" hidden="1" x14ac:dyDescent="0.25">
      <c r="B1596" s="51">
        <f>YEAR(BDRIOSJ[[#This Row],[FECHA]])</f>
        <v>2024</v>
      </c>
      <c r="C1596" s="51">
        <f>MONTH(BDRIOSJ[[#This Row],[FECHA]])</f>
        <v>8</v>
      </c>
      <c r="D1596" s="50">
        <v>45513</v>
      </c>
      <c r="E1596" s="49" t="s">
        <v>115</v>
      </c>
      <c r="F1596" s="65">
        <v>1.6437999999999999</v>
      </c>
    </row>
    <row r="1597" spans="2:6" hidden="1" x14ac:dyDescent="0.25">
      <c r="B1597" s="51">
        <f>YEAR(BDRIOSJ[[#This Row],[FECHA]])</f>
        <v>2024</v>
      </c>
      <c r="C1597" s="51">
        <f>MONTH(BDRIOSJ[[#This Row],[FECHA]])</f>
        <v>8</v>
      </c>
      <c r="D1597" s="50">
        <v>45513</v>
      </c>
      <c r="E1597" s="49" t="s">
        <v>114</v>
      </c>
      <c r="F1597" s="65">
        <v>1.6437999999999999</v>
      </c>
    </row>
    <row r="1598" spans="2:6" hidden="1" x14ac:dyDescent="0.25">
      <c r="B1598" s="51">
        <f>YEAR(BDRIOSJ[[#This Row],[FECHA]])</f>
        <v>2024</v>
      </c>
      <c r="C1598" s="51">
        <f>MONTH(BDRIOSJ[[#This Row],[FECHA]])</f>
        <v>8</v>
      </c>
      <c r="D1598" s="50">
        <v>45513</v>
      </c>
      <c r="E1598" s="49" t="s">
        <v>113</v>
      </c>
      <c r="F1598" s="65">
        <v>1.6437999999999999</v>
      </c>
    </row>
    <row r="1599" spans="2:6" hidden="1" x14ac:dyDescent="0.25">
      <c r="B1599" s="51">
        <f>YEAR(BDRIOSJ[[#This Row],[FECHA]])</f>
        <v>2024</v>
      </c>
      <c r="C1599" s="51">
        <f>MONTH(BDRIOSJ[[#This Row],[FECHA]])</f>
        <v>8</v>
      </c>
      <c r="D1599" s="50">
        <v>45513</v>
      </c>
      <c r="E1599" s="49" t="s">
        <v>111</v>
      </c>
      <c r="F1599" s="65">
        <v>1.6437999999999999</v>
      </c>
    </row>
    <row r="1600" spans="2:6" hidden="1" x14ac:dyDescent="0.25">
      <c r="B1600" s="51">
        <f>YEAR(BDRIOSJ[[#This Row],[FECHA]])</f>
        <v>2024</v>
      </c>
      <c r="C1600" s="51">
        <f>MONTH(BDRIOSJ[[#This Row],[FECHA]])</f>
        <v>8</v>
      </c>
      <c r="D1600" s="50">
        <v>45514</v>
      </c>
      <c r="E1600" s="49" t="s">
        <v>115</v>
      </c>
      <c r="F1600" s="65">
        <v>1.6437999999999999</v>
      </c>
    </row>
    <row r="1601" spans="2:6" hidden="1" x14ac:dyDescent="0.25">
      <c r="B1601" s="51">
        <f>YEAR(BDRIOSJ[[#This Row],[FECHA]])</f>
        <v>2024</v>
      </c>
      <c r="C1601" s="51">
        <f>MONTH(BDRIOSJ[[#This Row],[FECHA]])</f>
        <v>8</v>
      </c>
      <c r="D1601" s="50">
        <v>45514</v>
      </c>
      <c r="E1601" s="49" t="s">
        <v>114</v>
      </c>
      <c r="F1601" s="65">
        <v>1.6437999999999999</v>
      </c>
    </row>
    <row r="1602" spans="2:6" hidden="1" x14ac:dyDescent="0.25">
      <c r="B1602" s="51">
        <f>YEAR(BDRIOSJ[[#This Row],[FECHA]])</f>
        <v>2024</v>
      </c>
      <c r="C1602" s="51">
        <f>MONTH(BDRIOSJ[[#This Row],[FECHA]])</f>
        <v>8</v>
      </c>
      <c r="D1602" s="50">
        <v>45514</v>
      </c>
      <c r="E1602" s="49" t="s">
        <v>113</v>
      </c>
      <c r="F1602" s="65">
        <v>1.6437999999999999</v>
      </c>
    </row>
    <row r="1603" spans="2:6" hidden="1" x14ac:dyDescent="0.25">
      <c r="B1603" s="51">
        <f>YEAR(BDRIOSJ[[#This Row],[FECHA]])</f>
        <v>2024</v>
      </c>
      <c r="C1603" s="51">
        <f>MONTH(BDRIOSJ[[#This Row],[FECHA]])</f>
        <v>8</v>
      </c>
      <c r="D1603" s="50">
        <v>45514</v>
      </c>
      <c r="E1603" s="49" t="s">
        <v>111</v>
      </c>
      <c r="F1603" s="65">
        <v>1.6437999999999999</v>
      </c>
    </row>
    <row r="1604" spans="2:6" hidden="1" x14ac:dyDescent="0.25">
      <c r="B1604" s="51">
        <f>YEAR(BDRIOSJ[[#This Row],[FECHA]])</f>
        <v>2024</v>
      </c>
      <c r="C1604" s="51">
        <f>MONTH(BDRIOSJ[[#This Row],[FECHA]])</f>
        <v>8</v>
      </c>
      <c r="D1604" s="50">
        <v>45515</v>
      </c>
      <c r="E1604" s="49" t="s">
        <v>115</v>
      </c>
      <c r="F1604" s="65">
        <v>1.6437999999999999</v>
      </c>
    </row>
    <row r="1605" spans="2:6" hidden="1" x14ac:dyDescent="0.25">
      <c r="B1605" s="51">
        <f>YEAR(BDRIOSJ[[#This Row],[FECHA]])</f>
        <v>2024</v>
      </c>
      <c r="C1605" s="51">
        <f>MONTH(BDRIOSJ[[#This Row],[FECHA]])</f>
        <v>8</v>
      </c>
      <c r="D1605" s="50">
        <v>45515</v>
      </c>
      <c r="E1605" s="49" t="s">
        <v>114</v>
      </c>
      <c r="F1605" s="65">
        <v>1.6437999999999999</v>
      </c>
    </row>
    <row r="1606" spans="2:6" hidden="1" x14ac:dyDescent="0.25">
      <c r="B1606" s="51">
        <f>YEAR(BDRIOSJ[[#This Row],[FECHA]])</f>
        <v>2024</v>
      </c>
      <c r="C1606" s="51">
        <f>MONTH(BDRIOSJ[[#This Row],[FECHA]])</f>
        <v>8</v>
      </c>
      <c r="D1606" s="50">
        <v>45515</v>
      </c>
      <c r="E1606" s="49" t="s">
        <v>113</v>
      </c>
      <c r="F1606" s="65">
        <v>1.6437999999999999</v>
      </c>
    </row>
    <row r="1607" spans="2:6" hidden="1" x14ac:dyDescent="0.25">
      <c r="B1607" s="51">
        <f>YEAR(BDRIOSJ[[#This Row],[FECHA]])</f>
        <v>2024</v>
      </c>
      <c r="C1607" s="51">
        <f>MONTH(BDRIOSJ[[#This Row],[FECHA]])</f>
        <v>8</v>
      </c>
      <c r="D1607" s="50">
        <v>45515</v>
      </c>
      <c r="E1607" s="49" t="s">
        <v>111</v>
      </c>
      <c r="F1607" s="65">
        <v>1.6437999999999999</v>
      </c>
    </row>
    <row r="1608" spans="2:6" hidden="1" x14ac:dyDescent="0.25">
      <c r="B1608" s="51">
        <f>YEAR(BDRIOSJ[[#This Row],[FECHA]])</f>
        <v>2024</v>
      </c>
      <c r="C1608" s="51">
        <f>MONTH(BDRIOSJ[[#This Row],[FECHA]])</f>
        <v>8</v>
      </c>
      <c r="D1608" s="50">
        <v>45516</v>
      </c>
      <c r="E1608" s="49" t="s">
        <v>115</v>
      </c>
      <c r="F1608" s="65">
        <v>1.6437999999999999</v>
      </c>
    </row>
    <row r="1609" spans="2:6" hidden="1" x14ac:dyDescent="0.25">
      <c r="B1609" s="51">
        <f>YEAR(BDRIOSJ[[#This Row],[FECHA]])</f>
        <v>2024</v>
      </c>
      <c r="C1609" s="51">
        <f>MONTH(BDRIOSJ[[#This Row],[FECHA]])</f>
        <v>8</v>
      </c>
      <c r="D1609" s="50">
        <v>45516</v>
      </c>
      <c r="E1609" s="49" t="s">
        <v>114</v>
      </c>
      <c r="F1609" s="65">
        <v>1.6437999999999999</v>
      </c>
    </row>
    <row r="1610" spans="2:6" hidden="1" x14ac:dyDescent="0.25">
      <c r="B1610" s="51">
        <f>YEAR(BDRIOSJ[[#This Row],[FECHA]])</f>
        <v>2024</v>
      </c>
      <c r="C1610" s="51">
        <f>MONTH(BDRIOSJ[[#This Row],[FECHA]])</f>
        <v>8</v>
      </c>
      <c r="D1610" s="50">
        <v>45516</v>
      </c>
      <c r="E1610" s="49" t="s">
        <v>113</v>
      </c>
      <c r="F1610" s="65">
        <v>1.6437999999999999</v>
      </c>
    </row>
    <row r="1611" spans="2:6" hidden="1" x14ac:dyDescent="0.25">
      <c r="B1611" s="51">
        <f>YEAR(BDRIOSJ[[#This Row],[FECHA]])</f>
        <v>2024</v>
      </c>
      <c r="C1611" s="51">
        <f>MONTH(BDRIOSJ[[#This Row],[FECHA]])</f>
        <v>8</v>
      </c>
      <c r="D1611" s="50">
        <v>45516</v>
      </c>
      <c r="E1611" s="49" t="s">
        <v>111</v>
      </c>
      <c r="F1611" s="65">
        <v>1.6437999999999999</v>
      </c>
    </row>
    <row r="1612" spans="2:6" hidden="1" x14ac:dyDescent="0.25">
      <c r="B1612" s="51">
        <f>YEAR(BDRIOSJ[[#This Row],[FECHA]])</f>
        <v>2024</v>
      </c>
      <c r="C1612" s="51">
        <f>MONTH(BDRIOSJ[[#This Row],[FECHA]])</f>
        <v>8</v>
      </c>
      <c r="D1612" s="50">
        <v>45517</v>
      </c>
      <c r="E1612" s="49" t="s">
        <v>115</v>
      </c>
      <c r="F1612" s="65">
        <v>1.6437999999999999</v>
      </c>
    </row>
    <row r="1613" spans="2:6" hidden="1" x14ac:dyDescent="0.25">
      <c r="B1613" s="51">
        <f>YEAR(BDRIOSJ[[#This Row],[FECHA]])</f>
        <v>2024</v>
      </c>
      <c r="C1613" s="51">
        <f>MONTH(BDRIOSJ[[#This Row],[FECHA]])</f>
        <v>8</v>
      </c>
      <c r="D1613" s="50">
        <v>45517</v>
      </c>
      <c r="E1613" s="49" t="s">
        <v>114</v>
      </c>
      <c r="F1613" s="65">
        <v>1.6437999999999999</v>
      </c>
    </row>
    <row r="1614" spans="2:6" hidden="1" x14ac:dyDescent="0.25">
      <c r="B1614" s="51">
        <f>YEAR(BDRIOSJ[[#This Row],[FECHA]])</f>
        <v>2024</v>
      </c>
      <c r="C1614" s="51">
        <f>MONTH(BDRIOSJ[[#This Row],[FECHA]])</f>
        <v>8</v>
      </c>
      <c r="D1614" s="50">
        <v>45517</v>
      </c>
      <c r="E1614" s="49" t="s">
        <v>113</v>
      </c>
      <c r="F1614" s="65">
        <v>1.6437999999999999</v>
      </c>
    </row>
    <row r="1615" spans="2:6" hidden="1" x14ac:dyDescent="0.25">
      <c r="B1615" s="51">
        <f>YEAR(BDRIOSJ[[#This Row],[FECHA]])</f>
        <v>2024</v>
      </c>
      <c r="C1615" s="51">
        <f>MONTH(BDRIOSJ[[#This Row],[FECHA]])</f>
        <v>8</v>
      </c>
      <c r="D1615" s="50">
        <v>45517</v>
      </c>
      <c r="E1615" s="49" t="s">
        <v>111</v>
      </c>
      <c r="F1615" s="65">
        <v>1.6437999999999999</v>
      </c>
    </row>
    <row r="1616" spans="2:6" hidden="1" x14ac:dyDescent="0.25">
      <c r="B1616" s="51">
        <f>YEAR(BDRIOSJ[[#This Row],[FECHA]])</f>
        <v>2024</v>
      </c>
      <c r="C1616" s="51">
        <f>MONTH(BDRIOSJ[[#This Row],[FECHA]])</f>
        <v>8</v>
      </c>
      <c r="D1616" s="50">
        <v>45518</v>
      </c>
      <c r="E1616" s="49" t="s">
        <v>115</v>
      </c>
      <c r="F1616" s="65">
        <v>1.6437999999999999</v>
      </c>
    </row>
    <row r="1617" spans="2:6" hidden="1" x14ac:dyDescent="0.25">
      <c r="B1617" s="51">
        <f>YEAR(BDRIOSJ[[#This Row],[FECHA]])</f>
        <v>2024</v>
      </c>
      <c r="C1617" s="51">
        <f>MONTH(BDRIOSJ[[#This Row],[FECHA]])</f>
        <v>8</v>
      </c>
      <c r="D1617" s="50">
        <v>45518</v>
      </c>
      <c r="E1617" s="49" t="s">
        <v>114</v>
      </c>
      <c r="F1617" s="65">
        <v>1.6437999999999999</v>
      </c>
    </row>
    <row r="1618" spans="2:6" hidden="1" x14ac:dyDescent="0.25">
      <c r="B1618" s="51">
        <f>YEAR(BDRIOSJ[[#This Row],[FECHA]])</f>
        <v>2024</v>
      </c>
      <c r="C1618" s="51">
        <f>MONTH(BDRIOSJ[[#This Row],[FECHA]])</f>
        <v>8</v>
      </c>
      <c r="D1618" s="50">
        <v>45518</v>
      </c>
      <c r="E1618" s="49" t="s">
        <v>113</v>
      </c>
      <c r="F1618" s="65">
        <v>1.6437999999999999</v>
      </c>
    </row>
    <row r="1619" spans="2:6" hidden="1" x14ac:dyDescent="0.25">
      <c r="B1619" s="51">
        <f>YEAR(BDRIOSJ[[#This Row],[FECHA]])</f>
        <v>2024</v>
      </c>
      <c r="C1619" s="51">
        <f>MONTH(BDRIOSJ[[#This Row],[FECHA]])</f>
        <v>8</v>
      </c>
      <c r="D1619" s="50">
        <v>45518</v>
      </c>
      <c r="E1619" s="49" t="s">
        <v>111</v>
      </c>
      <c r="F1619" s="65">
        <v>1.6437999999999999</v>
      </c>
    </row>
    <row r="1620" spans="2:6" hidden="1" x14ac:dyDescent="0.25">
      <c r="B1620" s="51">
        <f>YEAR(BDRIOSJ[[#This Row],[FECHA]])</f>
        <v>2024</v>
      </c>
      <c r="C1620" s="51">
        <f>MONTH(BDRIOSJ[[#This Row],[FECHA]])</f>
        <v>8</v>
      </c>
      <c r="D1620" s="50">
        <v>45519</v>
      </c>
      <c r="E1620" s="49" t="s">
        <v>115</v>
      </c>
      <c r="F1620" s="65">
        <v>1.6437999999999999</v>
      </c>
    </row>
    <row r="1621" spans="2:6" hidden="1" x14ac:dyDescent="0.25">
      <c r="B1621" s="51">
        <f>YEAR(BDRIOSJ[[#This Row],[FECHA]])</f>
        <v>2024</v>
      </c>
      <c r="C1621" s="51">
        <f>MONTH(BDRIOSJ[[#This Row],[FECHA]])</f>
        <v>8</v>
      </c>
      <c r="D1621" s="50">
        <v>45519</v>
      </c>
      <c r="E1621" s="49" t="s">
        <v>114</v>
      </c>
      <c r="F1621" s="65">
        <v>1.6437999999999999</v>
      </c>
    </row>
    <row r="1622" spans="2:6" hidden="1" x14ac:dyDescent="0.25">
      <c r="B1622" s="51">
        <f>YEAR(BDRIOSJ[[#This Row],[FECHA]])</f>
        <v>2024</v>
      </c>
      <c r="C1622" s="51">
        <f>MONTH(BDRIOSJ[[#This Row],[FECHA]])</f>
        <v>8</v>
      </c>
      <c r="D1622" s="50">
        <v>45519</v>
      </c>
      <c r="E1622" s="49" t="s">
        <v>113</v>
      </c>
      <c r="F1622" s="65">
        <v>1.6437999999999999</v>
      </c>
    </row>
    <row r="1623" spans="2:6" hidden="1" x14ac:dyDescent="0.25">
      <c r="B1623" s="51">
        <f>YEAR(BDRIOSJ[[#This Row],[FECHA]])</f>
        <v>2024</v>
      </c>
      <c r="C1623" s="51">
        <f>MONTH(BDRIOSJ[[#This Row],[FECHA]])</f>
        <v>8</v>
      </c>
      <c r="D1623" s="50">
        <v>45519</v>
      </c>
      <c r="E1623" s="49" t="s">
        <v>111</v>
      </c>
      <c r="F1623" s="65">
        <v>1.6437999999999999</v>
      </c>
    </row>
    <row r="1624" spans="2:6" hidden="1" x14ac:dyDescent="0.25">
      <c r="B1624" s="51">
        <f>YEAR(BDRIOSJ[[#This Row],[FECHA]])</f>
        <v>2024</v>
      </c>
      <c r="C1624" s="51">
        <f>MONTH(BDRIOSJ[[#This Row],[FECHA]])</f>
        <v>8</v>
      </c>
      <c r="D1624" s="50">
        <v>45520</v>
      </c>
      <c r="E1624" s="49" t="s">
        <v>115</v>
      </c>
      <c r="F1624" s="65">
        <v>1.6437999999999999</v>
      </c>
    </row>
    <row r="1625" spans="2:6" hidden="1" x14ac:dyDescent="0.25">
      <c r="B1625" s="51">
        <f>YEAR(BDRIOSJ[[#This Row],[FECHA]])</f>
        <v>2024</v>
      </c>
      <c r="C1625" s="51">
        <f>MONTH(BDRIOSJ[[#This Row],[FECHA]])</f>
        <v>8</v>
      </c>
      <c r="D1625" s="50">
        <v>45520</v>
      </c>
      <c r="E1625" s="49" t="s">
        <v>114</v>
      </c>
      <c r="F1625" s="65">
        <v>1.6437999999999999</v>
      </c>
    </row>
    <row r="1626" spans="2:6" hidden="1" x14ac:dyDescent="0.25">
      <c r="B1626" s="51">
        <f>YEAR(BDRIOSJ[[#This Row],[FECHA]])</f>
        <v>2024</v>
      </c>
      <c r="C1626" s="51">
        <f>MONTH(BDRIOSJ[[#This Row],[FECHA]])</f>
        <v>8</v>
      </c>
      <c r="D1626" s="50">
        <v>45520</v>
      </c>
      <c r="E1626" s="49" t="s">
        <v>113</v>
      </c>
      <c r="F1626" s="65">
        <v>1.4598</v>
      </c>
    </row>
    <row r="1627" spans="2:6" hidden="1" x14ac:dyDescent="0.25">
      <c r="B1627" s="51">
        <f>YEAR(BDRIOSJ[[#This Row],[FECHA]])</f>
        <v>2024</v>
      </c>
      <c r="C1627" s="51">
        <f>MONTH(BDRIOSJ[[#This Row],[FECHA]])</f>
        <v>8</v>
      </c>
      <c r="D1627" s="50">
        <v>45520</v>
      </c>
      <c r="E1627" s="49" t="s">
        <v>111</v>
      </c>
      <c r="F1627" s="65">
        <v>1.4598</v>
      </c>
    </row>
    <row r="1628" spans="2:6" hidden="1" x14ac:dyDescent="0.25">
      <c r="B1628" s="51">
        <f>YEAR(BDRIOSJ[[#This Row],[FECHA]])</f>
        <v>2024</v>
      </c>
      <c r="C1628" s="51">
        <f>MONTH(BDRIOSJ[[#This Row],[FECHA]])</f>
        <v>8</v>
      </c>
      <c r="D1628" s="50">
        <v>45521</v>
      </c>
      <c r="E1628" s="49" t="s">
        <v>115</v>
      </c>
      <c r="F1628" s="65">
        <v>1.4598</v>
      </c>
    </row>
    <row r="1629" spans="2:6" hidden="1" x14ac:dyDescent="0.25">
      <c r="B1629" s="51">
        <f>YEAR(BDRIOSJ[[#This Row],[FECHA]])</f>
        <v>2024</v>
      </c>
      <c r="C1629" s="51">
        <f>MONTH(BDRIOSJ[[#This Row],[FECHA]])</f>
        <v>8</v>
      </c>
      <c r="D1629" s="50">
        <v>45521</v>
      </c>
      <c r="E1629" s="49" t="s">
        <v>114</v>
      </c>
      <c r="F1629" s="65">
        <v>1.4598</v>
      </c>
    </row>
    <row r="1630" spans="2:6" hidden="1" x14ac:dyDescent="0.25">
      <c r="B1630" s="51">
        <f>YEAR(BDRIOSJ[[#This Row],[FECHA]])</f>
        <v>2024</v>
      </c>
      <c r="C1630" s="51">
        <f>MONTH(BDRIOSJ[[#This Row],[FECHA]])</f>
        <v>8</v>
      </c>
      <c r="D1630" s="50">
        <v>45521</v>
      </c>
      <c r="E1630" s="49" t="s">
        <v>113</v>
      </c>
      <c r="F1630" s="65">
        <v>1.4598</v>
      </c>
    </row>
    <row r="1631" spans="2:6" hidden="1" x14ac:dyDescent="0.25">
      <c r="B1631" s="51">
        <f>YEAR(BDRIOSJ[[#This Row],[FECHA]])</f>
        <v>2024</v>
      </c>
      <c r="C1631" s="51">
        <f>MONTH(BDRIOSJ[[#This Row],[FECHA]])</f>
        <v>8</v>
      </c>
      <c r="D1631" s="50">
        <v>45521</v>
      </c>
      <c r="E1631" s="49" t="s">
        <v>111</v>
      </c>
      <c r="F1631" s="65">
        <v>1.4598</v>
      </c>
    </row>
    <row r="1632" spans="2:6" hidden="1" x14ac:dyDescent="0.25">
      <c r="B1632" s="51">
        <f>YEAR(BDRIOSJ[[#This Row],[FECHA]])</f>
        <v>2024</v>
      </c>
      <c r="C1632" s="51">
        <f>MONTH(BDRIOSJ[[#This Row],[FECHA]])</f>
        <v>8</v>
      </c>
      <c r="D1632" s="50">
        <v>45522</v>
      </c>
      <c r="E1632" s="49" t="s">
        <v>115</v>
      </c>
      <c r="F1632" s="65">
        <v>1.4598</v>
      </c>
    </row>
    <row r="1633" spans="2:6" hidden="1" x14ac:dyDescent="0.25">
      <c r="B1633" s="51">
        <f>YEAR(BDRIOSJ[[#This Row],[FECHA]])</f>
        <v>2024</v>
      </c>
      <c r="C1633" s="51">
        <f>MONTH(BDRIOSJ[[#This Row],[FECHA]])</f>
        <v>8</v>
      </c>
      <c r="D1633" s="50">
        <v>45522</v>
      </c>
      <c r="E1633" s="49" t="s">
        <v>114</v>
      </c>
      <c r="F1633" s="65">
        <v>1.4598</v>
      </c>
    </row>
    <row r="1634" spans="2:6" hidden="1" x14ac:dyDescent="0.25">
      <c r="B1634" s="51">
        <f>YEAR(BDRIOSJ[[#This Row],[FECHA]])</f>
        <v>2024</v>
      </c>
      <c r="C1634" s="51">
        <f>MONTH(BDRIOSJ[[#This Row],[FECHA]])</f>
        <v>8</v>
      </c>
      <c r="D1634" s="50">
        <v>45522</v>
      </c>
      <c r="E1634" s="49" t="s">
        <v>113</v>
      </c>
      <c r="F1634" s="65">
        <v>1.4598</v>
      </c>
    </row>
    <row r="1635" spans="2:6" hidden="1" x14ac:dyDescent="0.25">
      <c r="B1635" s="51">
        <f>YEAR(BDRIOSJ[[#This Row],[FECHA]])</f>
        <v>2024</v>
      </c>
      <c r="C1635" s="51">
        <f>MONTH(BDRIOSJ[[#This Row],[FECHA]])</f>
        <v>8</v>
      </c>
      <c r="D1635" s="50">
        <v>45522</v>
      </c>
      <c r="E1635" s="49" t="s">
        <v>111</v>
      </c>
      <c r="F1635" s="65">
        <v>1.4598</v>
      </c>
    </row>
    <row r="1636" spans="2:6" hidden="1" x14ac:dyDescent="0.25">
      <c r="B1636" s="51">
        <f>YEAR(BDRIOSJ[[#This Row],[FECHA]])</f>
        <v>2024</v>
      </c>
      <c r="C1636" s="51">
        <f>MONTH(BDRIOSJ[[#This Row],[FECHA]])</f>
        <v>8</v>
      </c>
      <c r="D1636" s="50">
        <v>45523</v>
      </c>
      <c r="E1636" s="49" t="s">
        <v>115</v>
      </c>
      <c r="F1636" s="65">
        <v>1.4598</v>
      </c>
    </row>
    <row r="1637" spans="2:6" hidden="1" x14ac:dyDescent="0.25">
      <c r="B1637" s="51">
        <f>YEAR(BDRIOSJ[[#This Row],[FECHA]])</f>
        <v>2024</v>
      </c>
      <c r="C1637" s="51">
        <f>MONTH(BDRIOSJ[[#This Row],[FECHA]])</f>
        <v>8</v>
      </c>
      <c r="D1637" s="50">
        <v>45523</v>
      </c>
      <c r="E1637" s="49" t="s">
        <v>114</v>
      </c>
      <c r="F1637" s="65">
        <v>1.4598</v>
      </c>
    </row>
    <row r="1638" spans="2:6" hidden="1" x14ac:dyDescent="0.25">
      <c r="B1638" s="51">
        <f>YEAR(BDRIOSJ[[#This Row],[FECHA]])</f>
        <v>2024</v>
      </c>
      <c r="C1638" s="51">
        <f>MONTH(BDRIOSJ[[#This Row],[FECHA]])</f>
        <v>8</v>
      </c>
      <c r="D1638" s="50">
        <v>45523</v>
      </c>
      <c r="E1638" s="49" t="s">
        <v>113</v>
      </c>
      <c r="F1638" s="65">
        <v>1.4598</v>
      </c>
    </row>
    <row r="1639" spans="2:6" hidden="1" x14ac:dyDescent="0.25">
      <c r="B1639" s="51">
        <f>YEAR(BDRIOSJ[[#This Row],[FECHA]])</f>
        <v>2024</v>
      </c>
      <c r="C1639" s="51">
        <f>MONTH(BDRIOSJ[[#This Row],[FECHA]])</f>
        <v>8</v>
      </c>
      <c r="D1639" s="50">
        <v>45523</v>
      </c>
      <c r="E1639" s="49" t="s">
        <v>111</v>
      </c>
      <c r="F1639" s="65">
        <v>1.4598</v>
      </c>
    </row>
    <row r="1640" spans="2:6" hidden="1" x14ac:dyDescent="0.25">
      <c r="B1640" s="51">
        <f>YEAR(BDRIOSJ[[#This Row],[FECHA]])</f>
        <v>2024</v>
      </c>
      <c r="C1640" s="51">
        <f>MONTH(BDRIOSJ[[#This Row],[FECHA]])</f>
        <v>8</v>
      </c>
      <c r="D1640" s="50">
        <v>45524</v>
      </c>
      <c r="E1640" s="49" t="s">
        <v>115</v>
      </c>
      <c r="F1640" s="65">
        <v>1.4598</v>
      </c>
    </row>
    <row r="1641" spans="2:6" hidden="1" x14ac:dyDescent="0.25">
      <c r="B1641" s="51">
        <f>YEAR(BDRIOSJ[[#This Row],[FECHA]])</f>
        <v>2024</v>
      </c>
      <c r="C1641" s="51">
        <f>MONTH(BDRIOSJ[[#This Row],[FECHA]])</f>
        <v>8</v>
      </c>
      <c r="D1641" s="50">
        <v>45524</v>
      </c>
      <c r="E1641" s="49" t="s">
        <v>114</v>
      </c>
      <c r="F1641" s="65">
        <v>1.4598</v>
      </c>
    </row>
    <row r="1642" spans="2:6" hidden="1" x14ac:dyDescent="0.25">
      <c r="B1642" s="51">
        <f>YEAR(BDRIOSJ[[#This Row],[FECHA]])</f>
        <v>2024</v>
      </c>
      <c r="C1642" s="51">
        <f>MONTH(BDRIOSJ[[#This Row],[FECHA]])</f>
        <v>8</v>
      </c>
      <c r="D1642" s="50">
        <v>45524</v>
      </c>
      <c r="E1642" s="49" t="s">
        <v>113</v>
      </c>
      <c r="F1642" s="65">
        <v>1.4598</v>
      </c>
    </row>
    <row r="1643" spans="2:6" hidden="1" x14ac:dyDescent="0.25">
      <c r="B1643" s="51">
        <f>YEAR(BDRIOSJ[[#This Row],[FECHA]])</f>
        <v>2024</v>
      </c>
      <c r="C1643" s="51">
        <f>MONTH(BDRIOSJ[[#This Row],[FECHA]])</f>
        <v>8</v>
      </c>
      <c r="D1643" s="50">
        <v>45524</v>
      </c>
      <c r="E1643" s="49" t="s">
        <v>111</v>
      </c>
      <c r="F1643" s="65">
        <v>1.4598</v>
      </c>
    </row>
    <row r="1644" spans="2:6" hidden="1" x14ac:dyDescent="0.25">
      <c r="B1644" s="51">
        <f>YEAR(BDRIOSJ[[#This Row],[FECHA]])</f>
        <v>2024</v>
      </c>
      <c r="C1644" s="51">
        <f>MONTH(BDRIOSJ[[#This Row],[FECHA]])</f>
        <v>8</v>
      </c>
      <c r="D1644" s="50">
        <v>45525</v>
      </c>
      <c r="E1644" s="49" t="s">
        <v>115</v>
      </c>
      <c r="F1644" s="65">
        <v>1.4598</v>
      </c>
    </row>
    <row r="1645" spans="2:6" hidden="1" x14ac:dyDescent="0.25">
      <c r="B1645" s="51">
        <f>YEAR(BDRIOSJ[[#This Row],[FECHA]])</f>
        <v>2024</v>
      </c>
      <c r="C1645" s="51">
        <f>MONTH(BDRIOSJ[[#This Row],[FECHA]])</f>
        <v>8</v>
      </c>
      <c r="D1645" s="50">
        <v>45525</v>
      </c>
      <c r="E1645" s="49" t="s">
        <v>114</v>
      </c>
      <c r="F1645" s="65">
        <v>1.4598</v>
      </c>
    </row>
    <row r="1646" spans="2:6" hidden="1" x14ac:dyDescent="0.25">
      <c r="B1646" s="51">
        <f>YEAR(BDRIOSJ[[#This Row],[FECHA]])</f>
        <v>2024</v>
      </c>
      <c r="C1646" s="51">
        <f>MONTH(BDRIOSJ[[#This Row],[FECHA]])</f>
        <v>8</v>
      </c>
      <c r="D1646" s="50">
        <v>45525</v>
      </c>
      <c r="E1646" s="49" t="s">
        <v>113</v>
      </c>
      <c r="F1646" s="65">
        <v>1.4598</v>
      </c>
    </row>
    <row r="1647" spans="2:6" hidden="1" x14ac:dyDescent="0.25">
      <c r="B1647" s="51">
        <f>YEAR(BDRIOSJ[[#This Row],[FECHA]])</f>
        <v>2024</v>
      </c>
      <c r="C1647" s="51">
        <f>MONTH(BDRIOSJ[[#This Row],[FECHA]])</f>
        <v>8</v>
      </c>
      <c r="D1647" s="50">
        <v>45525</v>
      </c>
      <c r="E1647" s="49" t="s">
        <v>111</v>
      </c>
      <c r="F1647" s="65">
        <v>1.4598</v>
      </c>
    </row>
    <row r="1648" spans="2:6" hidden="1" x14ac:dyDescent="0.25">
      <c r="B1648" s="51">
        <f>YEAR(BDRIOSJ[[#This Row],[FECHA]])</f>
        <v>2024</v>
      </c>
      <c r="C1648" s="51">
        <f>MONTH(BDRIOSJ[[#This Row],[FECHA]])</f>
        <v>8</v>
      </c>
      <c r="D1648" s="50">
        <v>45526</v>
      </c>
      <c r="E1648" s="49" t="s">
        <v>115</v>
      </c>
      <c r="F1648" s="65">
        <v>1.4598</v>
      </c>
    </row>
    <row r="1649" spans="2:6" hidden="1" x14ac:dyDescent="0.25">
      <c r="B1649" s="51">
        <f>YEAR(BDRIOSJ[[#This Row],[FECHA]])</f>
        <v>2024</v>
      </c>
      <c r="C1649" s="51">
        <f>MONTH(BDRIOSJ[[#This Row],[FECHA]])</f>
        <v>8</v>
      </c>
      <c r="D1649" s="50">
        <v>45526</v>
      </c>
      <c r="E1649" s="49" t="s">
        <v>114</v>
      </c>
      <c r="F1649" s="65">
        <v>1.4598</v>
      </c>
    </row>
    <row r="1650" spans="2:6" hidden="1" x14ac:dyDescent="0.25">
      <c r="B1650" s="51">
        <f>YEAR(BDRIOSJ[[#This Row],[FECHA]])</f>
        <v>2024</v>
      </c>
      <c r="C1650" s="51">
        <f>MONTH(BDRIOSJ[[#This Row],[FECHA]])</f>
        <v>8</v>
      </c>
      <c r="D1650" s="50">
        <v>45526</v>
      </c>
      <c r="E1650" s="49" t="s">
        <v>113</v>
      </c>
      <c r="F1650" s="65">
        <v>1.4598</v>
      </c>
    </row>
    <row r="1651" spans="2:6" hidden="1" x14ac:dyDescent="0.25">
      <c r="B1651" s="51">
        <f>YEAR(BDRIOSJ[[#This Row],[FECHA]])</f>
        <v>2024</v>
      </c>
      <c r="C1651" s="51">
        <f>MONTH(BDRIOSJ[[#This Row],[FECHA]])</f>
        <v>8</v>
      </c>
      <c r="D1651" s="50">
        <v>45526</v>
      </c>
      <c r="E1651" s="49" t="s">
        <v>111</v>
      </c>
      <c r="F1651" s="65">
        <v>1.4598</v>
      </c>
    </row>
    <row r="1652" spans="2:6" hidden="1" x14ac:dyDescent="0.25">
      <c r="B1652" s="51">
        <f>YEAR(BDRIOSJ[[#This Row],[FECHA]])</f>
        <v>2024</v>
      </c>
      <c r="C1652" s="51">
        <f>MONTH(BDRIOSJ[[#This Row],[FECHA]])</f>
        <v>8</v>
      </c>
      <c r="D1652" s="50">
        <v>45527</v>
      </c>
      <c r="E1652" s="49" t="s">
        <v>115</v>
      </c>
      <c r="F1652" s="65">
        <v>1.4598</v>
      </c>
    </row>
    <row r="1653" spans="2:6" hidden="1" x14ac:dyDescent="0.25">
      <c r="B1653" s="51">
        <f>YEAR(BDRIOSJ[[#This Row],[FECHA]])</f>
        <v>2024</v>
      </c>
      <c r="C1653" s="51">
        <f>MONTH(BDRIOSJ[[#This Row],[FECHA]])</f>
        <v>8</v>
      </c>
      <c r="D1653" s="50">
        <v>45527</v>
      </c>
      <c r="E1653" s="49" t="s">
        <v>114</v>
      </c>
      <c r="F1653" s="65">
        <v>1.4598</v>
      </c>
    </row>
    <row r="1654" spans="2:6" hidden="1" x14ac:dyDescent="0.25">
      <c r="B1654" s="51">
        <f>YEAR(BDRIOSJ[[#This Row],[FECHA]])</f>
        <v>2024</v>
      </c>
      <c r="C1654" s="51">
        <f>MONTH(BDRIOSJ[[#This Row],[FECHA]])</f>
        <v>8</v>
      </c>
      <c r="D1654" s="50">
        <v>45527</v>
      </c>
      <c r="E1654" s="49" t="s">
        <v>113</v>
      </c>
      <c r="F1654" s="65">
        <v>1.4598</v>
      </c>
    </row>
    <row r="1655" spans="2:6" hidden="1" x14ac:dyDescent="0.25">
      <c r="B1655" s="51">
        <f>YEAR(BDRIOSJ[[#This Row],[FECHA]])</f>
        <v>2024</v>
      </c>
      <c r="C1655" s="51">
        <f>MONTH(BDRIOSJ[[#This Row],[FECHA]])</f>
        <v>8</v>
      </c>
      <c r="D1655" s="50">
        <v>45527</v>
      </c>
      <c r="E1655" s="49" t="s">
        <v>111</v>
      </c>
      <c r="F1655" s="65">
        <v>1.4598</v>
      </c>
    </row>
    <row r="1656" spans="2:6" hidden="1" x14ac:dyDescent="0.25">
      <c r="B1656" s="51">
        <f>YEAR(BDRIOSJ[[#This Row],[FECHA]])</f>
        <v>2024</v>
      </c>
      <c r="C1656" s="51">
        <f>MONTH(BDRIOSJ[[#This Row],[FECHA]])</f>
        <v>8</v>
      </c>
      <c r="D1656" s="50">
        <v>45528</v>
      </c>
      <c r="E1656" s="49" t="s">
        <v>115</v>
      </c>
      <c r="F1656" s="65">
        <v>1.4598</v>
      </c>
    </row>
    <row r="1657" spans="2:6" hidden="1" x14ac:dyDescent="0.25">
      <c r="B1657" s="51">
        <f>YEAR(BDRIOSJ[[#This Row],[FECHA]])</f>
        <v>2024</v>
      </c>
      <c r="C1657" s="51">
        <f>MONTH(BDRIOSJ[[#This Row],[FECHA]])</f>
        <v>8</v>
      </c>
      <c r="D1657" s="50">
        <v>45528</v>
      </c>
      <c r="E1657" s="49" t="s">
        <v>114</v>
      </c>
      <c r="F1657" s="65">
        <v>1.4598</v>
      </c>
    </row>
    <row r="1658" spans="2:6" hidden="1" x14ac:dyDescent="0.25">
      <c r="B1658" s="51">
        <f>YEAR(BDRIOSJ[[#This Row],[FECHA]])</f>
        <v>2024</v>
      </c>
      <c r="C1658" s="51">
        <f>MONTH(BDRIOSJ[[#This Row],[FECHA]])</f>
        <v>8</v>
      </c>
      <c r="D1658" s="50">
        <v>45528</v>
      </c>
      <c r="E1658" s="49" t="s">
        <v>113</v>
      </c>
      <c r="F1658" s="65">
        <v>1.4598</v>
      </c>
    </row>
    <row r="1659" spans="2:6" hidden="1" x14ac:dyDescent="0.25">
      <c r="B1659" s="51">
        <f>YEAR(BDRIOSJ[[#This Row],[FECHA]])</f>
        <v>2024</v>
      </c>
      <c r="C1659" s="51">
        <f>MONTH(BDRIOSJ[[#This Row],[FECHA]])</f>
        <v>8</v>
      </c>
      <c r="D1659" s="50">
        <v>45528</v>
      </c>
      <c r="E1659" s="49" t="s">
        <v>111</v>
      </c>
      <c r="F1659" s="65">
        <v>1.4598</v>
      </c>
    </row>
    <row r="1660" spans="2:6" hidden="1" x14ac:dyDescent="0.25">
      <c r="B1660" s="51">
        <f>YEAR(BDRIOSJ[[#This Row],[FECHA]])</f>
        <v>2024</v>
      </c>
      <c r="C1660" s="51">
        <f>MONTH(BDRIOSJ[[#This Row],[FECHA]])</f>
        <v>8</v>
      </c>
      <c r="D1660" s="50">
        <v>45529</v>
      </c>
      <c r="E1660" s="49" t="s">
        <v>115</v>
      </c>
      <c r="F1660" s="65">
        <v>1.4598</v>
      </c>
    </row>
    <row r="1661" spans="2:6" hidden="1" x14ac:dyDescent="0.25">
      <c r="B1661" s="51">
        <f>YEAR(BDRIOSJ[[#This Row],[FECHA]])</f>
        <v>2024</v>
      </c>
      <c r="C1661" s="51">
        <f>MONTH(BDRIOSJ[[#This Row],[FECHA]])</f>
        <v>8</v>
      </c>
      <c r="D1661" s="50">
        <v>45529</v>
      </c>
      <c r="E1661" s="49" t="s">
        <v>114</v>
      </c>
      <c r="F1661" s="65">
        <v>1.4598</v>
      </c>
    </row>
    <row r="1662" spans="2:6" hidden="1" x14ac:dyDescent="0.25">
      <c r="B1662" s="51">
        <f>YEAR(BDRIOSJ[[#This Row],[FECHA]])</f>
        <v>2024</v>
      </c>
      <c r="C1662" s="51">
        <f>MONTH(BDRIOSJ[[#This Row],[FECHA]])</f>
        <v>8</v>
      </c>
      <c r="D1662" s="50">
        <v>45529</v>
      </c>
      <c r="E1662" s="49" t="s">
        <v>113</v>
      </c>
      <c r="F1662" s="65">
        <v>1.4598</v>
      </c>
    </row>
    <row r="1663" spans="2:6" hidden="1" x14ac:dyDescent="0.25">
      <c r="B1663" s="51">
        <f>YEAR(BDRIOSJ[[#This Row],[FECHA]])</f>
        <v>2024</v>
      </c>
      <c r="C1663" s="51">
        <f>MONTH(BDRIOSJ[[#This Row],[FECHA]])</f>
        <v>8</v>
      </c>
      <c r="D1663" s="50">
        <v>45529</v>
      </c>
      <c r="E1663" s="49" t="s">
        <v>111</v>
      </c>
      <c r="F1663" s="65">
        <v>1.4598</v>
      </c>
    </row>
    <row r="1664" spans="2:6" hidden="1" x14ac:dyDescent="0.25">
      <c r="B1664" s="51">
        <f>YEAR(BDRIOSJ[[#This Row],[FECHA]])</f>
        <v>2024</v>
      </c>
      <c r="C1664" s="51">
        <f>MONTH(BDRIOSJ[[#This Row],[FECHA]])</f>
        <v>8</v>
      </c>
      <c r="D1664" s="50">
        <v>45530</v>
      </c>
      <c r="E1664" s="49" t="s">
        <v>115</v>
      </c>
      <c r="F1664" s="65">
        <v>1.4598</v>
      </c>
    </row>
    <row r="1665" spans="2:6" hidden="1" x14ac:dyDescent="0.25">
      <c r="B1665" s="51">
        <f>YEAR(BDRIOSJ[[#This Row],[FECHA]])</f>
        <v>2024</v>
      </c>
      <c r="C1665" s="51">
        <f>MONTH(BDRIOSJ[[#This Row],[FECHA]])</f>
        <v>8</v>
      </c>
      <c r="D1665" s="50">
        <v>45530</v>
      </c>
      <c r="E1665" s="49" t="s">
        <v>114</v>
      </c>
      <c r="F1665" s="65">
        <v>1.4598</v>
      </c>
    </row>
    <row r="1666" spans="2:6" hidden="1" x14ac:dyDescent="0.25">
      <c r="B1666" s="51">
        <f>YEAR(BDRIOSJ[[#This Row],[FECHA]])</f>
        <v>2024</v>
      </c>
      <c r="C1666" s="51">
        <f>MONTH(BDRIOSJ[[#This Row],[FECHA]])</f>
        <v>8</v>
      </c>
      <c r="D1666" s="50">
        <v>45530</v>
      </c>
      <c r="E1666" s="49" t="s">
        <v>113</v>
      </c>
      <c r="F1666" s="65">
        <v>1.4598</v>
      </c>
    </row>
    <row r="1667" spans="2:6" hidden="1" x14ac:dyDescent="0.25">
      <c r="B1667" s="51">
        <f>YEAR(BDRIOSJ[[#This Row],[FECHA]])</f>
        <v>2024</v>
      </c>
      <c r="C1667" s="51">
        <f>MONTH(BDRIOSJ[[#This Row],[FECHA]])</f>
        <v>8</v>
      </c>
      <c r="D1667" s="50">
        <v>45530</v>
      </c>
      <c r="E1667" s="49" t="s">
        <v>111</v>
      </c>
      <c r="F1667" s="65">
        <v>1.4598</v>
      </c>
    </row>
    <row r="1668" spans="2:6" hidden="1" x14ac:dyDescent="0.25">
      <c r="B1668" s="51">
        <f>YEAR(BDRIOSJ[[#This Row],[FECHA]])</f>
        <v>2024</v>
      </c>
      <c r="C1668" s="51">
        <f>MONTH(BDRIOSJ[[#This Row],[FECHA]])</f>
        <v>8</v>
      </c>
      <c r="D1668" s="50">
        <v>45531</v>
      </c>
      <c r="E1668" s="49" t="s">
        <v>115</v>
      </c>
      <c r="F1668" s="65">
        <v>1.4598</v>
      </c>
    </row>
    <row r="1669" spans="2:6" hidden="1" x14ac:dyDescent="0.25">
      <c r="B1669" s="51">
        <f>YEAR(BDRIOSJ[[#This Row],[FECHA]])</f>
        <v>2024</v>
      </c>
      <c r="C1669" s="51">
        <f>MONTH(BDRIOSJ[[#This Row],[FECHA]])</f>
        <v>8</v>
      </c>
      <c r="D1669" s="50">
        <v>45531</v>
      </c>
      <c r="E1669" s="49" t="s">
        <v>114</v>
      </c>
      <c r="F1669" s="65">
        <v>1.4598</v>
      </c>
    </row>
    <row r="1670" spans="2:6" hidden="1" x14ac:dyDescent="0.25">
      <c r="B1670" s="51">
        <f>YEAR(BDRIOSJ[[#This Row],[FECHA]])</f>
        <v>2024</v>
      </c>
      <c r="C1670" s="51">
        <f>MONTH(BDRIOSJ[[#This Row],[FECHA]])</f>
        <v>8</v>
      </c>
      <c r="D1670" s="50">
        <v>45531</v>
      </c>
      <c r="E1670" s="49" t="s">
        <v>113</v>
      </c>
      <c r="F1670" s="65">
        <v>1.4598</v>
      </c>
    </row>
    <row r="1671" spans="2:6" hidden="1" x14ac:dyDescent="0.25">
      <c r="B1671" s="51">
        <f>YEAR(BDRIOSJ[[#This Row],[FECHA]])</f>
        <v>2024</v>
      </c>
      <c r="C1671" s="51">
        <f>MONTH(BDRIOSJ[[#This Row],[FECHA]])</f>
        <v>8</v>
      </c>
      <c r="D1671" s="50">
        <v>45531</v>
      </c>
      <c r="E1671" s="49" t="s">
        <v>111</v>
      </c>
      <c r="F1671" s="65">
        <v>1.4598</v>
      </c>
    </row>
    <row r="1672" spans="2:6" hidden="1" x14ac:dyDescent="0.25">
      <c r="B1672" s="51">
        <f>YEAR(BDRIOSJ[[#This Row],[FECHA]])</f>
        <v>2024</v>
      </c>
      <c r="C1672" s="51">
        <f>MONTH(BDRIOSJ[[#This Row],[FECHA]])</f>
        <v>8</v>
      </c>
      <c r="D1672" s="50">
        <v>45532</v>
      </c>
      <c r="E1672" s="49" t="s">
        <v>115</v>
      </c>
      <c r="F1672" s="65">
        <v>1.4598</v>
      </c>
    </row>
    <row r="1673" spans="2:6" hidden="1" x14ac:dyDescent="0.25">
      <c r="B1673" s="51">
        <f>YEAR(BDRIOSJ[[#This Row],[FECHA]])</f>
        <v>2024</v>
      </c>
      <c r="C1673" s="51">
        <f>MONTH(BDRIOSJ[[#This Row],[FECHA]])</f>
        <v>8</v>
      </c>
      <c r="D1673" s="50">
        <v>45532</v>
      </c>
      <c r="E1673" s="49" t="s">
        <v>114</v>
      </c>
      <c r="F1673" s="65">
        <v>1.4598</v>
      </c>
    </row>
    <row r="1674" spans="2:6" hidden="1" x14ac:dyDescent="0.25">
      <c r="B1674" s="51">
        <f>YEAR(BDRIOSJ[[#This Row],[FECHA]])</f>
        <v>2024</v>
      </c>
      <c r="C1674" s="51">
        <f>MONTH(BDRIOSJ[[#This Row],[FECHA]])</f>
        <v>8</v>
      </c>
      <c r="D1674" s="50">
        <v>45532</v>
      </c>
      <c r="E1674" s="49" t="s">
        <v>113</v>
      </c>
      <c r="F1674" s="65">
        <v>1.4598</v>
      </c>
    </row>
    <row r="1675" spans="2:6" hidden="1" x14ac:dyDescent="0.25">
      <c r="B1675" s="51">
        <f>YEAR(BDRIOSJ[[#This Row],[FECHA]])</f>
        <v>2024</v>
      </c>
      <c r="C1675" s="51">
        <f>MONTH(BDRIOSJ[[#This Row],[FECHA]])</f>
        <v>8</v>
      </c>
      <c r="D1675" s="50">
        <v>45532</v>
      </c>
      <c r="E1675" s="49" t="s">
        <v>111</v>
      </c>
      <c r="F1675" s="65">
        <v>1.4598</v>
      </c>
    </row>
    <row r="1676" spans="2:6" hidden="1" x14ac:dyDescent="0.25">
      <c r="B1676" s="51">
        <f>YEAR(BDRIOSJ[[#This Row],[FECHA]])</f>
        <v>2024</v>
      </c>
      <c r="C1676" s="51">
        <f>MONTH(BDRIOSJ[[#This Row],[FECHA]])</f>
        <v>8</v>
      </c>
      <c r="D1676" s="50">
        <v>45533</v>
      </c>
      <c r="E1676" s="49" t="s">
        <v>115</v>
      </c>
      <c r="F1676" s="65">
        <v>1.4598</v>
      </c>
    </row>
    <row r="1677" spans="2:6" hidden="1" x14ac:dyDescent="0.25">
      <c r="B1677" s="51">
        <f>YEAR(BDRIOSJ[[#This Row],[FECHA]])</f>
        <v>2024</v>
      </c>
      <c r="C1677" s="51">
        <f>MONTH(BDRIOSJ[[#This Row],[FECHA]])</f>
        <v>8</v>
      </c>
      <c r="D1677" s="50">
        <v>45533</v>
      </c>
      <c r="E1677" s="49" t="s">
        <v>114</v>
      </c>
      <c r="F1677" s="65">
        <v>1.4598</v>
      </c>
    </row>
    <row r="1678" spans="2:6" hidden="1" x14ac:dyDescent="0.25">
      <c r="B1678" s="51">
        <f>YEAR(BDRIOSJ[[#This Row],[FECHA]])</f>
        <v>2024</v>
      </c>
      <c r="C1678" s="51">
        <f>MONTH(BDRIOSJ[[#This Row],[FECHA]])</f>
        <v>8</v>
      </c>
      <c r="D1678" s="50">
        <v>45533</v>
      </c>
      <c r="E1678" s="49" t="s">
        <v>113</v>
      </c>
      <c r="F1678" s="65">
        <v>1.4598</v>
      </c>
    </row>
    <row r="1679" spans="2:6" hidden="1" x14ac:dyDescent="0.25">
      <c r="B1679" s="51">
        <f>YEAR(BDRIOSJ[[#This Row],[FECHA]])</f>
        <v>2024</v>
      </c>
      <c r="C1679" s="51">
        <f>MONTH(BDRIOSJ[[#This Row],[FECHA]])</f>
        <v>8</v>
      </c>
      <c r="D1679" s="50">
        <v>45533</v>
      </c>
      <c r="E1679" s="49" t="s">
        <v>111</v>
      </c>
      <c r="F1679" s="65">
        <v>1.4598</v>
      </c>
    </row>
    <row r="1680" spans="2:6" hidden="1" x14ac:dyDescent="0.25">
      <c r="B1680" s="51">
        <f>YEAR(BDRIOSJ[[#This Row],[FECHA]])</f>
        <v>2024</v>
      </c>
      <c r="C1680" s="51">
        <f>MONTH(BDRIOSJ[[#This Row],[FECHA]])</f>
        <v>8</v>
      </c>
      <c r="D1680" s="50">
        <v>45534</v>
      </c>
      <c r="E1680" s="49" t="s">
        <v>115</v>
      </c>
      <c r="F1680" s="65">
        <v>1.2864</v>
      </c>
    </row>
    <row r="1681" spans="2:6" hidden="1" x14ac:dyDescent="0.25">
      <c r="B1681" s="51">
        <f>YEAR(BDRIOSJ[[#This Row],[FECHA]])</f>
        <v>2024</v>
      </c>
      <c r="C1681" s="51">
        <f>MONTH(BDRIOSJ[[#This Row],[FECHA]])</f>
        <v>8</v>
      </c>
      <c r="D1681" s="50">
        <v>45534</v>
      </c>
      <c r="E1681" s="49" t="s">
        <v>114</v>
      </c>
      <c r="F1681" s="65">
        <v>1.2864</v>
      </c>
    </row>
    <row r="1682" spans="2:6" hidden="1" x14ac:dyDescent="0.25">
      <c r="B1682" s="51">
        <f>YEAR(BDRIOSJ[[#This Row],[FECHA]])</f>
        <v>2024</v>
      </c>
      <c r="C1682" s="51">
        <f>MONTH(BDRIOSJ[[#This Row],[FECHA]])</f>
        <v>8</v>
      </c>
      <c r="D1682" s="50">
        <v>45534</v>
      </c>
      <c r="E1682" s="49" t="s">
        <v>113</v>
      </c>
      <c r="F1682" s="65">
        <v>1.2864</v>
      </c>
    </row>
    <row r="1683" spans="2:6" hidden="1" x14ac:dyDescent="0.25">
      <c r="B1683" s="51">
        <f>YEAR(BDRIOSJ[[#This Row],[FECHA]])</f>
        <v>2024</v>
      </c>
      <c r="C1683" s="51">
        <f>MONTH(BDRIOSJ[[#This Row],[FECHA]])</f>
        <v>8</v>
      </c>
      <c r="D1683" s="50">
        <v>45534</v>
      </c>
      <c r="E1683" s="49" t="s">
        <v>111</v>
      </c>
      <c r="F1683" s="65">
        <v>1.2864</v>
      </c>
    </row>
    <row r="1684" spans="2:6" hidden="1" x14ac:dyDescent="0.25">
      <c r="B1684" s="51">
        <f>YEAR(BDRIOSJ[[#This Row],[FECHA]])</f>
        <v>2024</v>
      </c>
      <c r="C1684" s="51">
        <f>MONTH(BDRIOSJ[[#This Row],[FECHA]])</f>
        <v>8</v>
      </c>
      <c r="D1684" s="50">
        <v>45535</v>
      </c>
      <c r="E1684" s="49" t="s">
        <v>115</v>
      </c>
      <c r="F1684" s="65">
        <v>1.2864</v>
      </c>
    </row>
    <row r="1685" spans="2:6" hidden="1" x14ac:dyDescent="0.25">
      <c r="B1685" s="51">
        <f>YEAR(BDRIOSJ[[#This Row],[FECHA]])</f>
        <v>2024</v>
      </c>
      <c r="C1685" s="51">
        <f>MONTH(BDRIOSJ[[#This Row],[FECHA]])</f>
        <v>8</v>
      </c>
      <c r="D1685" s="50">
        <v>45535</v>
      </c>
      <c r="E1685" s="49" t="s">
        <v>114</v>
      </c>
      <c r="F1685" s="65">
        <v>1.2864</v>
      </c>
    </row>
    <row r="1686" spans="2:6" hidden="1" x14ac:dyDescent="0.25">
      <c r="B1686" s="51">
        <f>YEAR(BDRIOSJ[[#This Row],[FECHA]])</f>
        <v>2024</v>
      </c>
      <c r="C1686" s="51">
        <f>MONTH(BDRIOSJ[[#This Row],[FECHA]])</f>
        <v>8</v>
      </c>
      <c r="D1686" s="50">
        <v>45535</v>
      </c>
      <c r="E1686" s="49" t="s">
        <v>113</v>
      </c>
      <c r="F1686" s="65">
        <v>1.2864</v>
      </c>
    </row>
    <row r="1687" spans="2:6" hidden="1" x14ac:dyDescent="0.25">
      <c r="B1687" s="51">
        <f>YEAR(BDRIOSJ[[#This Row],[FECHA]])</f>
        <v>2024</v>
      </c>
      <c r="C1687" s="51">
        <f>MONTH(BDRIOSJ[[#This Row],[FECHA]])</f>
        <v>8</v>
      </c>
      <c r="D1687" s="50">
        <v>45535</v>
      </c>
      <c r="E1687" s="49" t="s">
        <v>111</v>
      </c>
      <c r="F1687" s="65">
        <v>1.2864</v>
      </c>
    </row>
    <row r="1688" spans="2:6" hidden="1" x14ac:dyDescent="0.25">
      <c r="B1688" s="51">
        <f>YEAR(BDRIOSJ[[#This Row],[FECHA]])</f>
        <v>2024</v>
      </c>
      <c r="C1688" s="51">
        <f>MONTH(BDRIOSJ[[#This Row],[FECHA]])</f>
        <v>9</v>
      </c>
      <c r="D1688" s="50">
        <v>45536</v>
      </c>
      <c r="E1688" s="49" t="s">
        <v>115</v>
      </c>
      <c r="F1688" s="65">
        <v>1.2864</v>
      </c>
    </row>
    <row r="1689" spans="2:6" hidden="1" x14ac:dyDescent="0.25">
      <c r="B1689" s="51">
        <f>YEAR(BDRIOSJ[[#This Row],[FECHA]])</f>
        <v>2024</v>
      </c>
      <c r="C1689" s="51">
        <f>MONTH(BDRIOSJ[[#This Row],[FECHA]])</f>
        <v>9</v>
      </c>
      <c r="D1689" s="50">
        <v>45536</v>
      </c>
      <c r="E1689" s="49" t="s">
        <v>114</v>
      </c>
      <c r="F1689" s="65">
        <v>1.2864</v>
      </c>
    </row>
    <row r="1690" spans="2:6" hidden="1" x14ac:dyDescent="0.25">
      <c r="B1690" s="51">
        <f>YEAR(BDRIOSJ[[#This Row],[FECHA]])</f>
        <v>2024</v>
      </c>
      <c r="C1690" s="51">
        <f>MONTH(BDRIOSJ[[#This Row],[FECHA]])</f>
        <v>9</v>
      </c>
      <c r="D1690" s="50">
        <v>45536</v>
      </c>
      <c r="E1690" s="49" t="s">
        <v>113</v>
      </c>
      <c r="F1690" s="65">
        <v>1.2864</v>
      </c>
    </row>
    <row r="1691" spans="2:6" hidden="1" x14ac:dyDescent="0.25">
      <c r="B1691" s="51">
        <f>YEAR(BDRIOSJ[[#This Row],[FECHA]])</f>
        <v>2024</v>
      </c>
      <c r="C1691" s="51">
        <f>MONTH(BDRIOSJ[[#This Row],[FECHA]])</f>
        <v>9</v>
      </c>
      <c r="D1691" s="50">
        <v>45536</v>
      </c>
      <c r="E1691" s="49" t="s">
        <v>111</v>
      </c>
      <c r="F1691" s="65">
        <v>1.2864</v>
      </c>
    </row>
    <row r="1692" spans="2:6" hidden="1" x14ac:dyDescent="0.25">
      <c r="B1692" s="51">
        <f>YEAR(BDRIOSJ[[#This Row],[FECHA]])</f>
        <v>2024</v>
      </c>
      <c r="C1692" s="51">
        <f>MONTH(BDRIOSJ[[#This Row],[FECHA]])</f>
        <v>9</v>
      </c>
      <c r="D1692" s="50">
        <v>45537</v>
      </c>
      <c r="E1692" s="49" t="s">
        <v>115</v>
      </c>
      <c r="F1692" s="65">
        <v>1.2864</v>
      </c>
    </row>
    <row r="1693" spans="2:6" hidden="1" x14ac:dyDescent="0.25">
      <c r="B1693" s="51">
        <f>YEAR(BDRIOSJ[[#This Row],[FECHA]])</f>
        <v>2024</v>
      </c>
      <c r="C1693" s="51">
        <f>MONTH(BDRIOSJ[[#This Row],[FECHA]])</f>
        <v>9</v>
      </c>
      <c r="D1693" s="50">
        <v>45537</v>
      </c>
      <c r="E1693" s="49" t="s">
        <v>114</v>
      </c>
      <c r="F1693" s="65">
        <v>1.2864</v>
      </c>
    </row>
    <row r="1694" spans="2:6" hidden="1" x14ac:dyDescent="0.25">
      <c r="B1694" s="51">
        <f>YEAR(BDRIOSJ[[#This Row],[FECHA]])</f>
        <v>2024</v>
      </c>
      <c r="C1694" s="51">
        <f>MONTH(BDRIOSJ[[#This Row],[FECHA]])</f>
        <v>9</v>
      </c>
      <c r="D1694" s="50">
        <v>45537</v>
      </c>
      <c r="E1694" s="49" t="s">
        <v>113</v>
      </c>
      <c r="F1694" s="65">
        <v>1.2864</v>
      </c>
    </row>
    <row r="1695" spans="2:6" hidden="1" x14ac:dyDescent="0.25">
      <c r="B1695" s="51">
        <f>YEAR(BDRIOSJ[[#This Row],[FECHA]])</f>
        <v>2024</v>
      </c>
      <c r="C1695" s="51">
        <f>MONTH(BDRIOSJ[[#This Row],[FECHA]])</f>
        <v>9</v>
      </c>
      <c r="D1695" s="50">
        <v>45537</v>
      </c>
      <c r="E1695" s="49" t="s">
        <v>111</v>
      </c>
      <c r="F1695" s="65">
        <v>1.2864</v>
      </c>
    </row>
    <row r="1696" spans="2:6" hidden="1" x14ac:dyDescent="0.25">
      <c r="B1696" s="51">
        <f>YEAR(BDRIOSJ[[#This Row],[FECHA]])</f>
        <v>2024</v>
      </c>
      <c r="C1696" s="51">
        <f>MONTH(BDRIOSJ[[#This Row],[FECHA]])</f>
        <v>9</v>
      </c>
      <c r="D1696" s="50">
        <v>45538</v>
      </c>
      <c r="E1696" s="49" t="s">
        <v>115</v>
      </c>
      <c r="F1696" s="65">
        <v>1.2864</v>
      </c>
    </row>
    <row r="1697" spans="2:6" hidden="1" x14ac:dyDescent="0.25">
      <c r="B1697" s="51">
        <f>YEAR(BDRIOSJ[[#This Row],[FECHA]])</f>
        <v>2024</v>
      </c>
      <c r="C1697" s="51">
        <f>MONTH(BDRIOSJ[[#This Row],[FECHA]])</f>
        <v>9</v>
      </c>
      <c r="D1697" s="50">
        <v>45538</v>
      </c>
      <c r="E1697" s="49" t="s">
        <v>114</v>
      </c>
      <c r="F1697" s="65">
        <v>1.2864</v>
      </c>
    </row>
    <row r="1698" spans="2:6" hidden="1" x14ac:dyDescent="0.25">
      <c r="B1698" s="51">
        <f>YEAR(BDRIOSJ[[#This Row],[FECHA]])</f>
        <v>2024</v>
      </c>
      <c r="C1698" s="51">
        <f>MONTH(BDRIOSJ[[#This Row],[FECHA]])</f>
        <v>9</v>
      </c>
      <c r="D1698" s="50">
        <v>45538</v>
      </c>
      <c r="E1698" s="49" t="s">
        <v>113</v>
      </c>
      <c r="F1698" s="65">
        <v>1.2864</v>
      </c>
    </row>
    <row r="1699" spans="2:6" hidden="1" x14ac:dyDescent="0.25">
      <c r="B1699" s="51">
        <f>YEAR(BDRIOSJ[[#This Row],[FECHA]])</f>
        <v>2024</v>
      </c>
      <c r="C1699" s="51">
        <f>MONTH(BDRIOSJ[[#This Row],[FECHA]])</f>
        <v>9</v>
      </c>
      <c r="D1699" s="50">
        <v>45538</v>
      </c>
      <c r="E1699" s="49" t="s">
        <v>111</v>
      </c>
      <c r="F1699" s="65">
        <v>1.2864</v>
      </c>
    </row>
    <row r="1700" spans="2:6" hidden="1" x14ac:dyDescent="0.25">
      <c r="B1700" s="51">
        <f>YEAR(BDRIOSJ[[#This Row],[FECHA]])</f>
        <v>2024</v>
      </c>
      <c r="C1700" s="51">
        <f>MONTH(BDRIOSJ[[#This Row],[FECHA]])</f>
        <v>9</v>
      </c>
      <c r="D1700" s="50">
        <v>45539</v>
      </c>
      <c r="E1700" s="49" t="s">
        <v>115</v>
      </c>
      <c r="F1700" s="65">
        <v>1.1234</v>
      </c>
    </row>
    <row r="1701" spans="2:6" hidden="1" x14ac:dyDescent="0.25">
      <c r="B1701" s="51">
        <f>YEAR(BDRIOSJ[[#This Row],[FECHA]])</f>
        <v>2024</v>
      </c>
      <c r="C1701" s="51">
        <f>MONTH(BDRIOSJ[[#This Row],[FECHA]])</f>
        <v>9</v>
      </c>
      <c r="D1701" s="50">
        <v>45539</v>
      </c>
      <c r="E1701" s="49" t="s">
        <v>114</v>
      </c>
      <c r="F1701" s="65">
        <v>1.1234</v>
      </c>
    </row>
    <row r="1702" spans="2:6" hidden="1" x14ac:dyDescent="0.25">
      <c r="B1702" s="51">
        <f>YEAR(BDRIOSJ[[#This Row],[FECHA]])</f>
        <v>2024</v>
      </c>
      <c r="C1702" s="51">
        <f>MONTH(BDRIOSJ[[#This Row],[FECHA]])</f>
        <v>9</v>
      </c>
      <c r="D1702" s="50">
        <v>45539</v>
      </c>
      <c r="E1702" s="49" t="s">
        <v>113</v>
      </c>
      <c r="F1702" s="65">
        <v>1.1234</v>
      </c>
    </row>
    <row r="1703" spans="2:6" hidden="1" x14ac:dyDescent="0.25">
      <c r="B1703" s="51">
        <f>YEAR(BDRIOSJ[[#This Row],[FECHA]])</f>
        <v>2024</v>
      </c>
      <c r="C1703" s="51">
        <f>MONTH(BDRIOSJ[[#This Row],[FECHA]])</f>
        <v>9</v>
      </c>
      <c r="D1703" s="50">
        <v>45539</v>
      </c>
      <c r="E1703" s="49" t="s">
        <v>111</v>
      </c>
      <c r="F1703" s="65">
        <v>1.1234</v>
      </c>
    </row>
    <row r="1704" spans="2:6" hidden="1" x14ac:dyDescent="0.25">
      <c r="B1704" s="51">
        <f>YEAR(BDRIOSJ[[#This Row],[FECHA]])</f>
        <v>2024</v>
      </c>
      <c r="C1704" s="51">
        <f>MONTH(BDRIOSJ[[#This Row],[FECHA]])</f>
        <v>9</v>
      </c>
      <c r="D1704" s="50">
        <v>45540</v>
      </c>
      <c r="E1704" s="49" t="s">
        <v>115</v>
      </c>
      <c r="F1704" s="65">
        <v>1.1234</v>
      </c>
    </row>
    <row r="1705" spans="2:6" hidden="1" x14ac:dyDescent="0.25">
      <c r="B1705" s="51">
        <f>YEAR(BDRIOSJ[[#This Row],[FECHA]])</f>
        <v>2024</v>
      </c>
      <c r="C1705" s="51">
        <f>MONTH(BDRIOSJ[[#This Row],[FECHA]])</f>
        <v>9</v>
      </c>
      <c r="D1705" s="50">
        <v>45540</v>
      </c>
      <c r="E1705" s="49" t="s">
        <v>114</v>
      </c>
      <c r="F1705" s="65">
        <v>1.1234</v>
      </c>
    </row>
    <row r="1706" spans="2:6" hidden="1" x14ac:dyDescent="0.25">
      <c r="B1706" s="51">
        <f>YEAR(BDRIOSJ[[#This Row],[FECHA]])</f>
        <v>2024</v>
      </c>
      <c r="C1706" s="51">
        <f>MONTH(BDRIOSJ[[#This Row],[FECHA]])</f>
        <v>9</v>
      </c>
      <c r="D1706" s="50">
        <v>45540</v>
      </c>
      <c r="E1706" s="49" t="s">
        <v>113</v>
      </c>
      <c r="F1706" s="65">
        <v>1.1234</v>
      </c>
    </row>
    <row r="1707" spans="2:6" hidden="1" x14ac:dyDescent="0.25">
      <c r="B1707" s="51">
        <f>YEAR(BDRIOSJ[[#This Row],[FECHA]])</f>
        <v>2024</v>
      </c>
      <c r="C1707" s="51">
        <f>MONTH(BDRIOSJ[[#This Row],[FECHA]])</f>
        <v>9</v>
      </c>
      <c r="D1707" s="50">
        <v>45540</v>
      </c>
      <c r="E1707" s="49" t="s">
        <v>111</v>
      </c>
      <c r="F1707" s="65">
        <v>1.1234</v>
      </c>
    </row>
    <row r="1708" spans="2:6" hidden="1" x14ac:dyDescent="0.25">
      <c r="B1708" s="51">
        <f>YEAR(BDRIOSJ[[#This Row],[FECHA]])</f>
        <v>2024</v>
      </c>
      <c r="C1708" s="51">
        <f>MONTH(BDRIOSJ[[#This Row],[FECHA]])</f>
        <v>9</v>
      </c>
      <c r="D1708" s="50">
        <v>45541</v>
      </c>
      <c r="E1708" s="49" t="s">
        <v>115</v>
      </c>
      <c r="F1708" s="65">
        <v>1.1234</v>
      </c>
    </row>
    <row r="1709" spans="2:6" hidden="1" x14ac:dyDescent="0.25">
      <c r="B1709" s="51">
        <f>YEAR(BDRIOSJ[[#This Row],[FECHA]])</f>
        <v>2024</v>
      </c>
      <c r="C1709" s="51">
        <f>MONTH(BDRIOSJ[[#This Row],[FECHA]])</f>
        <v>9</v>
      </c>
      <c r="D1709" s="50">
        <v>45541</v>
      </c>
      <c r="E1709" s="49" t="s">
        <v>114</v>
      </c>
      <c r="F1709" s="65">
        <v>1.1234</v>
      </c>
    </row>
    <row r="1710" spans="2:6" hidden="1" x14ac:dyDescent="0.25">
      <c r="B1710" s="51">
        <f>YEAR(BDRIOSJ[[#This Row],[FECHA]])</f>
        <v>2024</v>
      </c>
      <c r="C1710" s="51">
        <f>MONTH(BDRIOSJ[[#This Row],[FECHA]])</f>
        <v>9</v>
      </c>
      <c r="D1710" s="50">
        <v>45541</v>
      </c>
      <c r="E1710" s="49" t="s">
        <v>113</v>
      </c>
      <c r="F1710" s="65">
        <v>1.1234</v>
      </c>
    </row>
    <row r="1711" spans="2:6" hidden="1" x14ac:dyDescent="0.25">
      <c r="B1711" s="51">
        <f>YEAR(BDRIOSJ[[#This Row],[FECHA]])</f>
        <v>2024</v>
      </c>
      <c r="C1711" s="51">
        <f>MONTH(BDRIOSJ[[#This Row],[FECHA]])</f>
        <v>9</v>
      </c>
      <c r="D1711" s="50">
        <v>45541</v>
      </c>
      <c r="E1711" s="49" t="s">
        <v>111</v>
      </c>
      <c r="F1711" s="65">
        <v>1.1234</v>
      </c>
    </row>
    <row r="1712" spans="2:6" hidden="1" x14ac:dyDescent="0.25">
      <c r="B1712" s="51">
        <f>YEAR(BDRIOSJ[[#This Row],[FECHA]])</f>
        <v>2024</v>
      </c>
      <c r="C1712" s="51">
        <f>MONTH(BDRIOSJ[[#This Row],[FECHA]])</f>
        <v>9</v>
      </c>
      <c r="D1712" s="50">
        <v>45542</v>
      </c>
      <c r="E1712" s="49" t="s">
        <v>115</v>
      </c>
      <c r="F1712" s="65">
        <v>1.1234</v>
      </c>
    </row>
    <row r="1713" spans="2:6" hidden="1" x14ac:dyDescent="0.25">
      <c r="B1713" s="51">
        <f>YEAR(BDRIOSJ[[#This Row],[FECHA]])</f>
        <v>2024</v>
      </c>
      <c r="C1713" s="51">
        <f>MONTH(BDRIOSJ[[#This Row],[FECHA]])</f>
        <v>9</v>
      </c>
      <c r="D1713" s="50">
        <v>45542</v>
      </c>
      <c r="E1713" s="49" t="s">
        <v>114</v>
      </c>
      <c r="F1713" s="65">
        <v>1.1234</v>
      </c>
    </row>
    <row r="1714" spans="2:6" hidden="1" x14ac:dyDescent="0.25">
      <c r="B1714" s="51">
        <f>YEAR(BDRIOSJ[[#This Row],[FECHA]])</f>
        <v>2024</v>
      </c>
      <c r="C1714" s="51">
        <f>MONTH(BDRIOSJ[[#This Row],[FECHA]])</f>
        <v>9</v>
      </c>
      <c r="D1714" s="50">
        <v>45542</v>
      </c>
      <c r="E1714" s="49" t="s">
        <v>113</v>
      </c>
      <c r="F1714" s="65">
        <v>1.1234</v>
      </c>
    </row>
    <row r="1715" spans="2:6" hidden="1" x14ac:dyDescent="0.25">
      <c r="B1715" s="51">
        <f>YEAR(BDRIOSJ[[#This Row],[FECHA]])</f>
        <v>2024</v>
      </c>
      <c r="C1715" s="51">
        <f>MONTH(BDRIOSJ[[#This Row],[FECHA]])</f>
        <v>9</v>
      </c>
      <c r="D1715" s="50">
        <v>45542</v>
      </c>
      <c r="E1715" s="49" t="s">
        <v>111</v>
      </c>
      <c r="F1715" s="65">
        <v>1.1234</v>
      </c>
    </row>
    <row r="1716" spans="2:6" hidden="1" x14ac:dyDescent="0.25">
      <c r="B1716" s="51">
        <f>YEAR(BDRIOSJ[[#This Row],[FECHA]])</f>
        <v>2024</v>
      </c>
      <c r="C1716" s="51">
        <f>MONTH(BDRIOSJ[[#This Row],[FECHA]])</f>
        <v>9</v>
      </c>
      <c r="D1716" s="50">
        <v>45543</v>
      </c>
      <c r="E1716" s="49" t="s">
        <v>115</v>
      </c>
      <c r="F1716" s="65">
        <v>1.1234</v>
      </c>
    </row>
    <row r="1717" spans="2:6" hidden="1" x14ac:dyDescent="0.25">
      <c r="B1717" s="51">
        <f>YEAR(BDRIOSJ[[#This Row],[FECHA]])</f>
        <v>2024</v>
      </c>
      <c r="C1717" s="51">
        <f>MONTH(BDRIOSJ[[#This Row],[FECHA]])</f>
        <v>9</v>
      </c>
      <c r="D1717" s="50">
        <v>45543</v>
      </c>
      <c r="E1717" s="49" t="s">
        <v>114</v>
      </c>
      <c r="F1717" s="65">
        <v>1.1234</v>
      </c>
    </row>
    <row r="1718" spans="2:6" hidden="1" x14ac:dyDescent="0.25">
      <c r="B1718" s="51">
        <f>YEAR(BDRIOSJ[[#This Row],[FECHA]])</f>
        <v>2024</v>
      </c>
      <c r="C1718" s="51">
        <f>MONTH(BDRIOSJ[[#This Row],[FECHA]])</f>
        <v>9</v>
      </c>
      <c r="D1718" s="50">
        <v>45543</v>
      </c>
      <c r="E1718" s="49" t="s">
        <v>113</v>
      </c>
      <c r="F1718" s="65">
        <v>1.1234</v>
      </c>
    </row>
    <row r="1719" spans="2:6" hidden="1" x14ac:dyDescent="0.25">
      <c r="B1719" s="51">
        <f>YEAR(BDRIOSJ[[#This Row],[FECHA]])</f>
        <v>2024</v>
      </c>
      <c r="C1719" s="51">
        <f>MONTH(BDRIOSJ[[#This Row],[FECHA]])</f>
        <v>9</v>
      </c>
      <c r="D1719" s="50">
        <v>45543</v>
      </c>
      <c r="E1719" s="49" t="s">
        <v>111</v>
      </c>
      <c r="F1719" s="65">
        <v>1.1234</v>
      </c>
    </row>
    <row r="1720" spans="2:6" hidden="1" x14ac:dyDescent="0.25">
      <c r="B1720" s="51">
        <f>YEAR(BDRIOSJ[[#This Row],[FECHA]])</f>
        <v>2024</v>
      </c>
      <c r="C1720" s="51">
        <f>MONTH(BDRIOSJ[[#This Row],[FECHA]])</f>
        <v>9</v>
      </c>
      <c r="D1720" s="50">
        <v>45544</v>
      </c>
      <c r="E1720" s="49" t="s">
        <v>115</v>
      </c>
      <c r="F1720" s="65">
        <v>1.1234</v>
      </c>
    </row>
    <row r="1721" spans="2:6" hidden="1" x14ac:dyDescent="0.25">
      <c r="B1721" s="51">
        <f>YEAR(BDRIOSJ[[#This Row],[FECHA]])</f>
        <v>2024</v>
      </c>
      <c r="C1721" s="51">
        <f>MONTH(BDRIOSJ[[#This Row],[FECHA]])</f>
        <v>9</v>
      </c>
      <c r="D1721" s="50">
        <v>45544</v>
      </c>
      <c r="E1721" s="49" t="s">
        <v>114</v>
      </c>
      <c r="F1721" s="65">
        <v>1.1234</v>
      </c>
    </row>
    <row r="1722" spans="2:6" hidden="1" x14ac:dyDescent="0.25">
      <c r="B1722" s="51">
        <f>YEAR(BDRIOSJ[[#This Row],[FECHA]])</f>
        <v>2024</v>
      </c>
      <c r="C1722" s="51">
        <f>MONTH(BDRIOSJ[[#This Row],[FECHA]])</f>
        <v>9</v>
      </c>
      <c r="D1722" s="50">
        <v>45544</v>
      </c>
      <c r="E1722" s="49" t="s">
        <v>113</v>
      </c>
      <c r="F1722" s="65">
        <v>1.1234</v>
      </c>
    </row>
    <row r="1723" spans="2:6" hidden="1" x14ac:dyDescent="0.25">
      <c r="B1723" s="51">
        <f>YEAR(BDRIOSJ[[#This Row],[FECHA]])</f>
        <v>2024</v>
      </c>
      <c r="C1723" s="51">
        <f>MONTH(BDRIOSJ[[#This Row],[FECHA]])</f>
        <v>9</v>
      </c>
      <c r="D1723" s="50">
        <v>45544</v>
      </c>
      <c r="E1723" s="49" t="s">
        <v>111</v>
      </c>
      <c r="F1723" s="65">
        <v>1.1234</v>
      </c>
    </row>
    <row r="1724" spans="2:6" hidden="1" x14ac:dyDescent="0.25">
      <c r="B1724" s="51">
        <f>YEAR(BDRIOSJ[[#This Row],[FECHA]])</f>
        <v>2024</v>
      </c>
      <c r="C1724" s="51">
        <f>MONTH(BDRIOSJ[[#This Row],[FECHA]])</f>
        <v>9</v>
      </c>
      <c r="D1724" s="50">
        <v>45545</v>
      </c>
      <c r="E1724" s="49" t="s">
        <v>115</v>
      </c>
      <c r="F1724" s="65">
        <v>1.1234</v>
      </c>
    </row>
    <row r="1725" spans="2:6" hidden="1" x14ac:dyDescent="0.25">
      <c r="B1725" s="51">
        <f>YEAR(BDRIOSJ[[#This Row],[FECHA]])</f>
        <v>2024</v>
      </c>
      <c r="C1725" s="51">
        <f>MONTH(BDRIOSJ[[#This Row],[FECHA]])</f>
        <v>9</v>
      </c>
      <c r="D1725" s="50">
        <v>45545</v>
      </c>
      <c r="E1725" s="49" t="s">
        <v>114</v>
      </c>
      <c r="F1725" s="65">
        <v>1.1234</v>
      </c>
    </row>
    <row r="1726" spans="2:6" hidden="1" x14ac:dyDescent="0.25">
      <c r="B1726" s="51">
        <f>YEAR(BDRIOSJ[[#This Row],[FECHA]])</f>
        <v>2024</v>
      </c>
      <c r="C1726" s="51">
        <f>MONTH(BDRIOSJ[[#This Row],[FECHA]])</f>
        <v>9</v>
      </c>
      <c r="D1726" s="50">
        <v>45545</v>
      </c>
      <c r="E1726" s="49" t="s">
        <v>113</v>
      </c>
      <c r="F1726" s="65">
        <v>1.1234</v>
      </c>
    </row>
    <row r="1727" spans="2:6" hidden="1" x14ac:dyDescent="0.25">
      <c r="B1727" s="51">
        <f>YEAR(BDRIOSJ[[#This Row],[FECHA]])</f>
        <v>2024</v>
      </c>
      <c r="C1727" s="51">
        <f>MONTH(BDRIOSJ[[#This Row],[FECHA]])</f>
        <v>9</v>
      </c>
      <c r="D1727" s="50">
        <v>45545</v>
      </c>
      <c r="E1727" s="49" t="s">
        <v>111</v>
      </c>
      <c r="F1727" s="65">
        <v>1.1234</v>
      </c>
    </row>
    <row r="1728" spans="2:6" hidden="1" x14ac:dyDescent="0.25">
      <c r="B1728" s="51">
        <f>YEAR(BDRIOSJ[[#This Row],[FECHA]])</f>
        <v>2024</v>
      </c>
      <c r="C1728" s="51">
        <f>MONTH(BDRIOSJ[[#This Row],[FECHA]])</f>
        <v>9</v>
      </c>
      <c r="D1728" s="50">
        <v>45546</v>
      </c>
      <c r="E1728" s="49" t="s">
        <v>115</v>
      </c>
      <c r="F1728" s="65">
        <v>1.1234</v>
      </c>
    </row>
    <row r="1729" spans="2:6" hidden="1" x14ac:dyDescent="0.25">
      <c r="B1729" s="51">
        <f>YEAR(BDRIOSJ[[#This Row],[FECHA]])</f>
        <v>2024</v>
      </c>
      <c r="C1729" s="51">
        <f>MONTH(BDRIOSJ[[#This Row],[FECHA]])</f>
        <v>9</v>
      </c>
      <c r="D1729" s="50">
        <v>45546</v>
      </c>
      <c r="E1729" s="49" t="s">
        <v>114</v>
      </c>
      <c r="F1729" s="65">
        <v>1.1234</v>
      </c>
    </row>
    <row r="1730" spans="2:6" hidden="1" x14ac:dyDescent="0.25">
      <c r="B1730" s="51">
        <f>YEAR(BDRIOSJ[[#This Row],[FECHA]])</f>
        <v>2024</v>
      </c>
      <c r="C1730" s="51">
        <f>MONTH(BDRIOSJ[[#This Row],[FECHA]])</f>
        <v>9</v>
      </c>
      <c r="D1730" s="50">
        <v>45546</v>
      </c>
      <c r="E1730" s="49" t="s">
        <v>113</v>
      </c>
      <c r="F1730" s="65">
        <v>1.1234</v>
      </c>
    </row>
    <row r="1731" spans="2:6" hidden="1" x14ac:dyDescent="0.25">
      <c r="B1731" s="51">
        <f>YEAR(BDRIOSJ[[#This Row],[FECHA]])</f>
        <v>2024</v>
      </c>
      <c r="C1731" s="51">
        <f>MONTH(BDRIOSJ[[#This Row],[FECHA]])</f>
        <v>9</v>
      </c>
      <c r="D1731" s="50">
        <v>45546</v>
      </c>
      <c r="E1731" s="49" t="s">
        <v>111</v>
      </c>
      <c r="F1731" s="65">
        <v>1.1234</v>
      </c>
    </row>
    <row r="1732" spans="2:6" hidden="1" x14ac:dyDescent="0.25">
      <c r="B1732" s="51">
        <f>YEAR(BDRIOSJ[[#This Row],[FECHA]])</f>
        <v>2024</v>
      </c>
      <c r="C1732" s="51">
        <f>MONTH(BDRIOSJ[[#This Row],[FECHA]])</f>
        <v>9</v>
      </c>
      <c r="D1732" s="50">
        <v>45547</v>
      </c>
      <c r="E1732" s="49" t="s">
        <v>113</v>
      </c>
      <c r="F1732" s="65">
        <v>1.1234</v>
      </c>
    </row>
    <row r="1733" spans="2:6" hidden="1" x14ac:dyDescent="0.25">
      <c r="B1733" s="51">
        <f>YEAR(BDRIOSJ[[#This Row],[FECHA]])</f>
        <v>2024</v>
      </c>
      <c r="C1733" s="51">
        <f>MONTH(BDRIOSJ[[#This Row],[FECHA]])</f>
        <v>9</v>
      </c>
      <c r="D1733" s="50">
        <v>45547</v>
      </c>
      <c r="E1733" s="49" t="s">
        <v>111</v>
      </c>
      <c r="F1733" s="65">
        <v>1.1234</v>
      </c>
    </row>
    <row r="1734" spans="2:6" hidden="1" x14ac:dyDescent="0.25">
      <c r="B1734" s="51">
        <f>YEAR(BDRIOSJ[[#This Row],[FECHA]])</f>
        <v>2024</v>
      </c>
      <c r="C1734" s="51">
        <f>MONTH(BDRIOSJ[[#This Row],[FECHA]])</f>
        <v>9</v>
      </c>
      <c r="D1734" s="50">
        <v>45548</v>
      </c>
      <c r="E1734" s="49" t="s">
        <v>115</v>
      </c>
      <c r="F1734" s="65">
        <v>1.1234</v>
      </c>
    </row>
    <row r="1735" spans="2:6" hidden="1" x14ac:dyDescent="0.25">
      <c r="B1735" s="51">
        <f>YEAR(BDRIOSJ[[#This Row],[FECHA]])</f>
        <v>2024</v>
      </c>
      <c r="C1735" s="51">
        <f>MONTH(BDRIOSJ[[#This Row],[FECHA]])</f>
        <v>9</v>
      </c>
      <c r="D1735" s="50">
        <v>45548</v>
      </c>
      <c r="E1735" s="49" t="s">
        <v>114</v>
      </c>
      <c r="F1735" s="65">
        <v>1.1234</v>
      </c>
    </row>
    <row r="1736" spans="2:6" hidden="1" x14ac:dyDescent="0.25">
      <c r="B1736" s="51">
        <f>YEAR(BDRIOSJ[[#This Row],[FECHA]])</f>
        <v>2024</v>
      </c>
      <c r="C1736" s="51">
        <f>MONTH(BDRIOSJ[[#This Row],[FECHA]])</f>
        <v>9</v>
      </c>
      <c r="D1736" s="50">
        <v>45548</v>
      </c>
      <c r="E1736" s="49" t="s">
        <v>113</v>
      </c>
      <c r="F1736" s="65">
        <v>1.1234</v>
      </c>
    </row>
    <row r="1737" spans="2:6" hidden="1" x14ac:dyDescent="0.25">
      <c r="B1737" s="51">
        <f>YEAR(BDRIOSJ[[#This Row],[FECHA]])</f>
        <v>2024</v>
      </c>
      <c r="C1737" s="51">
        <f>MONTH(BDRIOSJ[[#This Row],[FECHA]])</f>
        <v>9</v>
      </c>
      <c r="D1737" s="50">
        <v>45548</v>
      </c>
      <c r="E1737" s="49" t="s">
        <v>111</v>
      </c>
      <c r="F1737" s="65">
        <v>1.1234</v>
      </c>
    </row>
    <row r="1738" spans="2:6" hidden="1" x14ac:dyDescent="0.25">
      <c r="B1738" s="51">
        <f>YEAR(BDRIOSJ[[#This Row],[FECHA]])</f>
        <v>2024</v>
      </c>
      <c r="C1738" s="51">
        <f>MONTH(BDRIOSJ[[#This Row],[FECHA]])</f>
        <v>9</v>
      </c>
      <c r="D1738" s="50">
        <v>45549</v>
      </c>
      <c r="E1738" s="49" t="s">
        <v>115</v>
      </c>
      <c r="F1738" s="65">
        <v>1.1234</v>
      </c>
    </row>
    <row r="1739" spans="2:6" hidden="1" x14ac:dyDescent="0.25">
      <c r="B1739" s="51">
        <f>YEAR(BDRIOSJ[[#This Row],[FECHA]])</f>
        <v>2024</v>
      </c>
      <c r="C1739" s="51">
        <f>MONTH(BDRIOSJ[[#This Row],[FECHA]])</f>
        <v>9</v>
      </c>
      <c r="D1739" s="50">
        <v>45549</v>
      </c>
      <c r="E1739" s="49" t="s">
        <v>114</v>
      </c>
      <c r="F1739" s="65">
        <v>1.1234</v>
      </c>
    </row>
    <row r="1740" spans="2:6" hidden="1" x14ac:dyDescent="0.25">
      <c r="B1740" s="51">
        <f>YEAR(BDRIOSJ[[#This Row],[FECHA]])</f>
        <v>2024</v>
      </c>
      <c r="C1740" s="51">
        <f>MONTH(BDRIOSJ[[#This Row],[FECHA]])</f>
        <v>9</v>
      </c>
      <c r="D1740" s="50">
        <v>45549</v>
      </c>
      <c r="E1740" s="49" t="s">
        <v>113</v>
      </c>
      <c r="F1740" s="65">
        <v>1.1234</v>
      </c>
    </row>
    <row r="1741" spans="2:6" hidden="1" x14ac:dyDescent="0.25">
      <c r="B1741" s="51">
        <f>YEAR(BDRIOSJ[[#This Row],[FECHA]])</f>
        <v>2024</v>
      </c>
      <c r="C1741" s="51">
        <f>MONTH(BDRIOSJ[[#This Row],[FECHA]])</f>
        <v>9</v>
      </c>
      <c r="D1741" s="50">
        <v>45549</v>
      </c>
      <c r="E1741" s="49" t="s">
        <v>111</v>
      </c>
      <c r="F1741" s="65">
        <v>1.1234</v>
      </c>
    </row>
    <row r="1742" spans="2:6" hidden="1" x14ac:dyDescent="0.25">
      <c r="B1742" s="51">
        <f>YEAR(BDRIOSJ[[#This Row],[FECHA]])</f>
        <v>2024</v>
      </c>
      <c r="C1742" s="51">
        <f>MONTH(BDRIOSJ[[#This Row],[FECHA]])</f>
        <v>9</v>
      </c>
      <c r="D1742" s="50">
        <v>45550</v>
      </c>
      <c r="E1742" s="49" t="s">
        <v>115</v>
      </c>
      <c r="F1742" s="65">
        <v>0.97109999999999996</v>
      </c>
    </row>
    <row r="1743" spans="2:6" hidden="1" x14ac:dyDescent="0.25">
      <c r="B1743" s="51">
        <f>YEAR(BDRIOSJ[[#This Row],[FECHA]])</f>
        <v>2024</v>
      </c>
      <c r="C1743" s="51">
        <f>MONTH(BDRIOSJ[[#This Row],[FECHA]])</f>
        <v>9</v>
      </c>
      <c r="D1743" s="50">
        <v>45550</v>
      </c>
      <c r="E1743" s="49" t="s">
        <v>114</v>
      </c>
      <c r="F1743" s="65">
        <v>0.97109999999999996</v>
      </c>
    </row>
    <row r="1744" spans="2:6" hidden="1" x14ac:dyDescent="0.25">
      <c r="B1744" s="51">
        <f>YEAR(BDRIOSJ[[#This Row],[FECHA]])</f>
        <v>2024</v>
      </c>
      <c r="C1744" s="51">
        <f>MONTH(BDRIOSJ[[#This Row],[FECHA]])</f>
        <v>9</v>
      </c>
      <c r="D1744" s="50">
        <v>45550</v>
      </c>
      <c r="E1744" s="49" t="s">
        <v>113</v>
      </c>
      <c r="F1744" s="65">
        <v>0.97109999999999996</v>
      </c>
    </row>
    <row r="1745" spans="2:6" hidden="1" x14ac:dyDescent="0.25">
      <c r="B1745" s="51">
        <f>YEAR(BDRIOSJ[[#This Row],[FECHA]])</f>
        <v>2024</v>
      </c>
      <c r="C1745" s="51">
        <f>MONTH(BDRIOSJ[[#This Row],[FECHA]])</f>
        <v>9</v>
      </c>
      <c r="D1745" s="50">
        <v>45550</v>
      </c>
      <c r="E1745" s="49" t="s">
        <v>111</v>
      </c>
      <c r="F1745" s="65">
        <v>1.1234</v>
      </c>
    </row>
    <row r="1746" spans="2:6" hidden="1" x14ac:dyDescent="0.25">
      <c r="B1746" s="51">
        <f>YEAR(BDRIOSJ[[#This Row],[FECHA]])</f>
        <v>2024</v>
      </c>
      <c r="C1746" s="51">
        <f>MONTH(BDRIOSJ[[#This Row],[FECHA]])</f>
        <v>9</v>
      </c>
      <c r="D1746" s="50">
        <v>45551</v>
      </c>
      <c r="E1746" s="49" t="s">
        <v>115</v>
      </c>
      <c r="F1746" s="65">
        <v>0.97109999999999996</v>
      </c>
    </row>
    <row r="1747" spans="2:6" hidden="1" x14ac:dyDescent="0.25">
      <c r="B1747" s="51">
        <f>YEAR(BDRIOSJ[[#This Row],[FECHA]])</f>
        <v>2024</v>
      </c>
      <c r="C1747" s="51">
        <f>MONTH(BDRIOSJ[[#This Row],[FECHA]])</f>
        <v>9</v>
      </c>
      <c r="D1747" s="50">
        <v>45551</v>
      </c>
      <c r="E1747" s="49" t="s">
        <v>114</v>
      </c>
      <c r="F1747" s="65">
        <v>0.97109999999999996</v>
      </c>
    </row>
    <row r="1748" spans="2:6" hidden="1" x14ac:dyDescent="0.25">
      <c r="B1748" s="51">
        <f>YEAR(BDRIOSJ[[#This Row],[FECHA]])</f>
        <v>2024</v>
      </c>
      <c r="C1748" s="51">
        <f>MONTH(BDRIOSJ[[#This Row],[FECHA]])</f>
        <v>9</v>
      </c>
      <c r="D1748" s="50">
        <v>45551</v>
      </c>
      <c r="E1748" s="49" t="s">
        <v>113</v>
      </c>
      <c r="F1748" s="65">
        <v>0.97109999999999996</v>
      </c>
    </row>
    <row r="1749" spans="2:6" hidden="1" x14ac:dyDescent="0.25">
      <c r="B1749" s="51">
        <f>YEAR(BDRIOSJ[[#This Row],[FECHA]])</f>
        <v>2024</v>
      </c>
      <c r="C1749" s="51">
        <f>MONTH(BDRIOSJ[[#This Row],[FECHA]])</f>
        <v>9</v>
      </c>
      <c r="D1749" s="50">
        <v>45551</v>
      </c>
      <c r="E1749" s="49" t="s">
        <v>111</v>
      </c>
      <c r="F1749" s="65">
        <v>0.97109999999999996</v>
      </c>
    </row>
    <row r="1750" spans="2:6" hidden="1" x14ac:dyDescent="0.25">
      <c r="B1750" s="51">
        <f>YEAR(BDRIOSJ[[#This Row],[FECHA]])</f>
        <v>2024</v>
      </c>
      <c r="C1750" s="51">
        <f>MONTH(BDRIOSJ[[#This Row],[FECHA]])</f>
        <v>9</v>
      </c>
      <c r="D1750" s="50">
        <v>45552</v>
      </c>
      <c r="E1750" s="49" t="s">
        <v>115</v>
      </c>
      <c r="F1750" s="65">
        <v>0.97109999999999996</v>
      </c>
    </row>
    <row r="1751" spans="2:6" hidden="1" x14ac:dyDescent="0.25">
      <c r="B1751" s="51">
        <f>YEAR(BDRIOSJ[[#This Row],[FECHA]])</f>
        <v>2024</v>
      </c>
      <c r="C1751" s="51">
        <f>MONTH(BDRIOSJ[[#This Row],[FECHA]])</f>
        <v>9</v>
      </c>
      <c r="D1751" s="50">
        <v>45552</v>
      </c>
      <c r="E1751" s="49" t="s">
        <v>114</v>
      </c>
      <c r="F1751" s="65">
        <v>0.97109999999999996</v>
      </c>
    </row>
    <row r="1752" spans="2:6" hidden="1" x14ac:dyDescent="0.25">
      <c r="B1752" s="51">
        <f>YEAR(BDRIOSJ[[#This Row],[FECHA]])</f>
        <v>2024</v>
      </c>
      <c r="C1752" s="51">
        <f>MONTH(BDRIOSJ[[#This Row],[FECHA]])</f>
        <v>9</v>
      </c>
      <c r="D1752" s="50">
        <v>45552</v>
      </c>
      <c r="E1752" s="49" t="s">
        <v>113</v>
      </c>
      <c r="F1752" s="65">
        <v>0.97109999999999996</v>
      </c>
    </row>
    <row r="1753" spans="2:6" hidden="1" x14ac:dyDescent="0.25">
      <c r="B1753" s="51">
        <f>YEAR(BDRIOSJ[[#This Row],[FECHA]])</f>
        <v>2024</v>
      </c>
      <c r="C1753" s="51">
        <f>MONTH(BDRIOSJ[[#This Row],[FECHA]])</f>
        <v>9</v>
      </c>
      <c r="D1753" s="50">
        <v>45552</v>
      </c>
      <c r="E1753" s="49" t="s">
        <v>111</v>
      </c>
      <c r="F1753" s="65">
        <v>0.97109999999999996</v>
      </c>
    </row>
    <row r="1754" spans="2:6" hidden="1" x14ac:dyDescent="0.25">
      <c r="B1754" s="51">
        <f>YEAR(BDRIOSJ[[#This Row],[FECHA]])</f>
        <v>2024</v>
      </c>
      <c r="C1754" s="51">
        <f>MONTH(BDRIOSJ[[#This Row],[FECHA]])</f>
        <v>9</v>
      </c>
      <c r="D1754" s="50">
        <v>45553</v>
      </c>
      <c r="E1754" s="49" t="s">
        <v>115</v>
      </c>
      <c r="F1754" s="65">
        <v>0.97109999999999996</v>
      </c>
    </row>
    <row r="1755" spans="2:6" hidden="1" x14ac:dyDescent="0.25">
      <c r="B1755" s="51">
        <f>YEAR(BDRIOSJ[[#This Row],[FECHA]])</f>
        <v>2024</v>
      </c>
      <c r="C1755" s="51">
        <f>MONTH(BDRIOSJ[[#This Row],[FECHA]])</f>
        <v>9</v>
      </c>
      <c r="D1755" s="50">
        <v>45553</v>
      </c>
      <c r="E1755" s="49" t="s">
        <v>114</v>
      </c>
      <c r="F1755" s="65">
        <v>0.97109999999999996</v>
      </c>
    </row>
    <row r="1756" spans="2:6" hidden="1" x14ac:dyDescent="0.25">
      <c r="B1756" s="51">
        <f>YEAR(BDRIOSJ[[#This Row],[FECHA]])</f>
        <v>2024</v>
      </c>
      <c r="C1756" s="51">
        <f>MONTH(BDRIOSJ[[#This Row],[FECHA]])</f>
        <v>9</v>
      </c>
      <c r="D1756" s="50">
        <v>45553</v>
      </c>
      <c r="E1756" s="49" t="s">
        <v>113</v>
      </c>
      <c r="F1756" s="65">
        <v>0.97109999999999996</v>
      </c>
    </row>
    <row r="1757" spans="2:6" hidden="1" x14ac:dyDescent="0.25">
      <c r="B1757" s="51">
        <f>YEAR(BDRIOSJ[[#This Row],[FECHA]])</f>
        <v>2024</v>
      </c>
      <c r="C1757" s="51">
        <f>MONTH(BDRIOSJ[[#This Row],[FECHA]])</f>
        <v>9</v>
      </c>
      <c r="D1757" s="50">
        <v>45553</v>
      </c>
      <c r="E1757" s="49" t="s">
        <v>111</v>
      </c>
      <c r="F1757" s="65">
        <v>0.97109999999999996</v>
      </c>
    </row>
    <row r="1758" spans="2:6" hidden="1" x14ac:dyDescent="0.25">
      <c r="B1758" s="51">
        <f>YEAR(BDRIOSJ[[#This Row],[FECHA]])</f>
        <v>2024</v>
      </c>
      <c r="C1758" s="51">
        <f>MONTH(BDRIOSJ[[#This Row],[FECHA]])</f>
        <v>9</v>
      </c>
      <c r="D1758" s="50">
        <v>45554</v>
      </c>
      <c r="E1758" s="49" t="s">
        <v>115</v>
      </c>
      <c r="F1758" s="65">
        <v>0.97109999999999996</v>
      </c>
    </row>
    <row r="1759" spans="2:6" hidden="1" x14ac:dyDescent="0.25">
      <c r="B1759" s="51">
        <f>YEAR(BDRIOSJ[[#This Row],[FECHA]])</f>
        <v>2024</v>
      </c>
      <c r="C1759" s="51">
        <f>MONTH(BDRIOSJ[[#This Row],[FECHA]])</f>
        <v>9</v>
      </c>
      <c r="D1759" s="50">
        <v>45554</v>
      </c>
      <c r="E1759" s="49" t="s">
        <v>114</v>
      </c>
      <c r="F1759" s="65">
        <v>0.97109999999999996</v>
      </c>
    </row>
    <row r="1760" spans="2:6" hidden="1" x14ac:dyDescent="0.25">
      <c r="B1760" s="51">
        <f>YEAR(BDRIOSJ[[#This Row],[FECHA]])</f>
        <v>2024</v>
      </c>
      <c r="C1760" s="51">
        <f>MONTH(BDRIOSJ[[#This Row],[FECHA]])</f>
        <v>9</v>
      </c>
      <c r="D1760" s="50">
        <v>45554</v>
      </c>
      <c r="E1760" s="49" t="s">
        <v>113</v>
      </c>
      <c r="F1760" s="65">
        <v>0.97109999999999996</v>
      </c>
    </row>
    <row r="1761" spans="2:6" hidden="1" x14ac:dyDescent="0.25">
      <c r="B1761" s="51">
        <f>YEAR(BDRIOSJ[[#This Row],[FECHA]])</f>
        <v>2024</v>
      </c>
      <c r="C1761" s="51">
        <f>MONTH(BDRIOSJ[[#This Row],[FECHA]])</f>
        <v>9</v>
      </c>
      <c r="D1761" s="50">
        <v>45554</v>
      </c>
      <c r="E1761" s="49" t="s">
        <v>111</v>
      </c>
      <c r="F1761" s="65">
        <v>0.97109999999999996</v>
      </c>
    </row>
    <row r="1762" spans="2:6" hidden="1" x14ac:dyDescent="0.25">
      <c r="B1762" s="51">
        <f>YEAR(BDRIOSJ[[#This Row],[FECHA]])</f>
        <v>2024</v>
      </c>
      <c r="C1762" s="51">
        <f>MONTH(BDRIOSJ[[#This Row],[FECHA]])</f>
        <v>9</v>
      </c>
      <c r="D1762" s="50">
        <v>45555</v>
      </c>
      <c r="E1762" s="49" t="s">
        <v>115</v>
      </c>
      <c r="F1762" s="65">
        <v>0.97109999999999996</v>
      </c>
    </row>
    <row r="1763" spans="2:6" hidden="1" x14ac:dyDescent="0.25">
      <c r="B1763" s="51">
        <f>YEAR(BDRIOSJ[[#This Row],[FECHA]])</f>
        <v>2024</v>
      </c>
      <c r="C1763" s="51">
        <f>MONTH(BDRIOSJ[[#This Row],[FECHA]])</f>
        <v>9</v>
      </c>
      <c r="D1763" s="50">
        <v>45555</v>
      </c>
      <c r="E1763" s="49" t="s">
        <v>114</v>
      </c>
      <c r="F1763" s="65">
        <v>0.97109999999999996</v>
      </c>
    </row>
    <row r="1764" spans="2:6" hidden="1" x14ac:dyDescent="0.25">
      <c r="B1764" s="51">
        <f>YEAR(BDRIOSJ[[#This Row],[FECHA]])</f>
        <v>2024</v>
      </c>
      <c r="C1764" s="51">
        <f>MONTH(BDRIOSJ[[#This Row],[FECHA]])</f>
        <v>9</v>
      </c>
      <c r="D1764" s="50">
        <v>45555</v>
      </c>
      <c r="E1764" s="49" t="s">
        <v>113</v>
      </c>
      <c r="F1764" s="65">
        <v>0.97109999999999996</v>
      </c>
    </row>
    <row r="1765" spans="2:6" hidden="1" x14ac:dyDescent="0.25">
      <c r="B1765" s="51">
        <f>YEAR(BDRIOSJ[[#This Row],[FECHA]])</f>
        <v>2024</v>
      </c>
      <c r="C1765" s="51">
        <f>MONTH(BDRIOSJ[[#This Row],[FECHA]])</f>
        <v>9</v>
      </c>
      <c r="D1765" s="50">
        <v>45555</v>
      </c>
      <c r="E1765" s="49" t="s">
        <v>111</v>
      </c>
      <c r="F1765" s="65">
        <v>0.97109999999999996</v>
      </c>
    </row>
    <row r="1766" spans="2:6" hidden="1" x14ac:dyDescent="0.25">
      <c r="B1766" s="51">
        <f>YEAR(BDRIOSJ[[#This Row],[FECHA]])</f>
        <v>2024</v>
      </c>
      <c r="C1766" s="51">
        <f>MONTH(BDRIOSJ[[#This Row],[FECHA]])</f>
        <v>9</v>
      </c>
      <c r="D1766" s="50">
        <v>45556</v>
      </c>
      <c r="E1766" s="49" t="s">
        <v>115</v>
      </c>
      <c r="F1766" s="65">
        <v>0.97109999999999996</v>
      </c>
    </row>
    <row r="1767" spans="2:6" hidden="1" x14ac:dyDescent="0.25">
      <c r="B1767" s="51">
        <f>YEAR(BDRIOSJ[[#This Row],[FECHA]])</f>
        <v>2024</v>
      </c>
      <c r="C1767" s="51">
        <f>MONTH(BDRIOSJ[[#This Row],[FECHA]])</f>
        <v>9</v>
      </c>
      <c r="D1767" s="50">
        <v>45556</v>
      </c>
      <c r="E1767" s="49" t="s">
        <v>114</v>
      </c>
      <c r="F1767" s="65">
        <v>0.97109999999999996</v>
      </c>
    </row>
    <row r="1768" spans="2:6" hidden="1" x14ac:dyDescent="0.25">
      <c r="B1768" s="51">
        <f>YEAR(BDRIOSJ[[#This Row],[FECHA]])</f>
        <v>2024</v>
      </c>
      <c r="C1768" s="51">
        <f>MONTH(BDRIOSJ[[#This Row],[FECHA]])</f>
        <v>9</v>
      </c>
      <c r="D1768" s="50">
        <v>45556</v>
      </c>
      <c r="E1768" s="49" t="s">
        <v>113</v>
      </c>
      <c r="F1768" s="65">
        <v>0.97109999999999996</v>
      </c>
    </row>
    <row r="1769" spans="2:6" hidden="1" x14ac:dyDescent="0.25">
      <c r="B1769" s="51">
        <f>YEAR(BDRIOSJ[[#This Row],[FECHA]])</f>
        <v>2024</v>
      </c>
      <c r="C1769" s="51">
        <f>MONTH(BDRIOSJ[[#This Row],[FECHA]])</f>
        <v>9</v>
      </c>
      <c r="D1769" s="50">
        <v>45556</v>
      </c>
      <c r="E1769" s="49" t="s">
        <v>111</v>
      </c>
      <c r="F1769" s="65">
        <v>0.97109999999999996</v>
      </c>
    </row>
    <row r="1770" spans="2:6" hidden="1" x14ac:dyDescent="0.25">
      <c r="B1770" s="51">
        <f>YEAR(BDRIOSJ[[#This Row],[FECHA]])</f>
        <v>2024</v>
      </c>
      <c r="C1770" s="51">
        <f>MONTH(BDRIOSJ[[#This Row],[FECHA]])</f>
        <v>9</v>
      </c>
      <c r="D1770" s="50">
        <v>45557</v>
      </c>
      <c r="E1770" s="49" t="s">
        <v>115</v>
      </c>
      <c r="F1770" s="65">
        <v>0.97109999999999996</v>
      </c>
    </row>
    <row r="1771" spans="2:6" hidden="1" x14ac:dyDescent="0.25">
      <c r="B1771" s="51">
        <f>YEAR(BDRIOSJ[[#This Row],[FECHA]])</f>
        <v>2024</v>
      </c>
      <c r="C1771" s="51">
        <f>MONTH(BDRIOSJ[[#This Row],[FECHA]])</f>
        <v>9</v>
      </c>
      <c r="D1771" s="50">
        <v>45557</v>
      </c>
      <c r="E1771" s="49" t="s">
        <v>114</v>
      </c>
      <c r="F1771" s="65">
        <v>0.97109999999999996</v>
      </c>
    </row>
    <row r="1772" spans="2:6" hidden="1" x14ac:dyDescent="0.25">
      <c r="B1772" s="51">
        <f>YEAR(BDRIOSJ[[#This Row],[FECHA]])</f>
        <v>2024</v>
      </c>
      <c r="C1772" s="51">
        <f>MONTH(BDRIOSJ[[#This Row],[FECHA]])</f>
        <v>9</v>
      </c>
      <c r="D1772" s="50">
        <v>45557</v>
      </c>
      <c r="E1772" s="49" t="s">
        <v>113</v>
      </c>
      <c r="F1772" s="65">
        <v>0.97109999999999996</v>
      </c>
    </row>
    <row r="1773" spans="2:6" hidden="1" x14ac:dyDescent="0.25">
      <c r="B1773" s="51">
        <f>YEAR(BDRIOSJ[[#This Row],[FECHA]])</f>
        <v>2024</v>
      </c>
      <c r="C1773" s="51">
        <f>MONTH(BDRIOSJ[[#This Row],[FECHA]])</f>
        <v>9</v>
      </c>
      <c r="D1773" s="50">
        <v>45557</v>
      </c>
      <c r="E1773" s="49" t="s">
        <v>111</v>
      </c>
      <c r="F1773" s="65">
        <v>0.97109999999999996</v>
      </c>
    </row>
    <row r="1774" spans="2:6" hidden="1" x14ac:dyDescent="0.25">
      <c r="B1774" s="51">
        <f>YEAR(BDRIOSJ[[#This Row],[FECHA]])</f>
        <v>2024</v>
      </c>
      <c r="C1774" s="51">
        <f>MONTH(BDRIOSJ[[#This Row],[FECHA]])</f>
        <v>9</v>
      </c>
      <c r="D1774" s="50">
        <v>45558</v>
      </c>
      <c r="E1774" s="49" t="s">
        <v>115</v>
      </c>
      <c r="F1774" s="65">
        <v>0.97109999999999996</v>
      </c>
    </row>
    <row r="1775" spans="2:6" hidden="1" x14ac:dyDescent="0.25">
      <c r="B1775" s="51">
        <f>YEAR(BDRIOSJ[[#This Row],[FECHA]])</f>
        <v>2024</v>
      </c>
      <c r="C1775" s="51">
        <f>MONTH(BDRIOSJ[[#This Row],[FECHA]])</f>
        <v>9</v>
      </c>
      <c r="D1775" s="50">
        <v>45558</v>
      </c>
      <c r="E1775" s="49" t="s">
        <v>114</v>
      </c>
      <c r="F1775" s="65">
        <v>0.97109999999999996</v>
      </c>
    </row>
    <row r="1776" spans="2:6" hidden="1" x14ac:dyDescent="0.25">
      <c r="B1776" s="51">
        <f>YEAR(BDRIOSJ[[#This Row],[FECHA]])</f>
        <v>2024</v>
      </c>
      <c r="C1776" s="51">
        <f>MONTH(BDRIOSJ[[#This Row],[FECHA]])</f>
        <v>9</v>
      </c>
      <c r="D1776" s="50">
        <v>45558</v>
      </c>
      <c r="E1776" s="49" t="s">
        <v>113</v>
      </c>
      <c r="F1776" s="65">
        <v>0.97109999999999996</v>
      </c>
    </row>
    <row r="1777" spans="2:6" hidden="1" x14ac:dyDescent="0.25">
      <c r="B1777" s="51">
        <f>YEAR(BDRIOSJ[[#This Row],[FECHA]])</f>
        <v>2024</v>
      </c>
      <c r="C1777" s="51">
        <f>MONTH(BDRIOSJ[[#This Row],[FECHA]])</f>
        <v>9</v>
      </c>
      <c r="D1777" s="50">
        <v>45558</v>
      </c>
      <c r="E1777" s="49" t="s">
        <v>111</v>
      </c>
      <c r="F1777" s="65">
        <v>0.97109999999999996</v>
      </c>
    </row>
    <row r="1778" spans="2:6" hidden="1" x14ac:dyDescent="0.25">
      <c r="B1778" s="51">
        <f>YEAR(BDRIOSJ[[#This Row],[FECHA]])</f>
        <v>2024</v>
      </c>
      <c r="C1778" s="51">
        <f>MONTH(BDRIOSJ[[#This Row],[FECHA]])</f>
        <v>9</v>
      </c>
      <c r="D1778" s="50">
        <v>45559</v>
      </c>
      <c r="E1778" s="49" t="s">
        <v>115</v>
      </c>
      <c r="F1778" s="65">
        <v>0.97109999999999996</v>
      </c>
    </row>
    <row r="1779" spans="2:6" hidden="1" x14ac:dyDescent="0.25">
      <c r="B1779" s="51">
        <f>YEAR(BDRIOSJ[[#This Row],[FECHA]])</f>
        <v>2024</v>
      </c>
      <c r="C1779" s="51">
        <f>MONTH(BDRIOSJ[[#This Row],[FECHA]])</f>
        <v>9</v>
      </c>
      <c r="D1779" s="50">
        <v>45559</v>
      </c>
      <c r="E1779" s="49" t="s">
        <v>114</v>
      </c>
      <c r="F1779" s="65">
        <v>0.97109999999999996</v>
      </c>
    </row>
    <row r="1780" spans="2:6" hidden="1" x14ac:dyDescent="0.25">
      <c r="B1780" s="51">
        <f>YEAR(BDRIOSJ[[#This Row],[FECHA]])</f>
        <v>2024</v>
      </c>
      <c r="C1780" s="51">
        <f>MONTH(BDRIOSJ[[#This Row],[FECHA]])</f>
        <v>9</v>
      </c>
      <c r="D1780" s="50">
        <v>45559</v>
      </c>
      <c r="E1780" s="49" t="s">
        <v>113</v>
      </c>
      <c r="F1780" s="65">
        <v>0.97109999999999996</v>
      </c>
    </row>
    <row r="1781" spans="2:6" hidden="1" x14ac:dyDescent="0.25">
      <c r="B1781" s="51">
        <f>YEAR(BDRIOSJ[[#This Row],[FECHA]])</f>
        <v>2024</v>
      </c>
      <c r="C1781" s="51">
        <f>MONTH(BDRIOSJ[[#This Row],[FECHA]])</f>
        <v>9</v>
      </c>
      <c r="D1781" s="50">
        <v>45559</v>
      </c>
      <c r="E1781" s="49" t="s">
        <v>111</v>
      </c>
      <c r="F1781" s="65">
        <v>0.97109999999999996</v>
      </c>
    </row>
    <row r="1782" spans="2:6" hidden="1" x14ac:dyDescent="0.25">
      <c r="B1782" s="51">
        <f>YEAR(BDRIOSJ[[#This Row],[FECHA]])</f>
        <v>2024</v>
      </c>
      <c r="C1782" s="51">
        <f>MONTH(BDRIOSJ[[#This Row],[FECHA]])</f>
        <v>9</v>
      </c>
      <c r="D1782" s="50">
        <v>45560</v>
      </c>
      <c r="E1782" s="49" t="s">
        <v>115</v>
      </c>
      <c r="F1782" s="65">
        <v>0.97109999999999996</v>
      </c>
    </row>
    <row r="1783" spans="2:6" hidden="1" x14ac:dyDescent="0.25">
      <c r="B1783" s="51">
        <f>YEAR(BDRIOSJ[[#This Row],[FECHA]])</f>
        <v>2024</v>
      </c>
      <c r="C1783" s="51">
        <f>MONTH(BDRIOSJ[[#This Row],[FECHA]])</f>
        <v>9</v>
      </c>
      <c r="D1783" s="50">
        <v>45560</v>
      </c>
      <c r="E1783" s="49" t="s">
        <v>114</v>
      </c>
      <c r="F1783" s="65">
        <v>0.82920000000000005</v>
      </c>
    </row>
    <row r="1784" spans="2:6" hidden="1" x14ac:dyDescent="0.25">
      <c r="B1784" s="51">
        <f>YEAR(BDRIOSJ[[#This Row],[FECHA]])</f>
        <v>2024</v>
      </c>
      <c r="C1784" s="51">
        <f>MONTH(BDRIOSJ[[#This Row],[FECHA]])</f>
        <v>9</v>
      </c>
      <c r="D1784" s="50">
        <v>45560</v>
      </c>
      <c r="E1784" s="49" t="s">
        <v>113</v>
      </c>
      <c r="F1784" s="65">
        <v>0.82920000000000005</v>
      </c>
    </row>
    <row r="1785" spans="2:6" hidden="1" x14ac:dyDescent="0.25">
      <c r="B1785" s="51">
        <f>YEAR(BDRIOSJ[[#This Row],[FECHA]])</f>
        <v>2024</v>
      </c>
      <c r="C1785" s="51">
        <f>MONTH(BDRIOSJ[[#This Row],[FECHA]])</f>
        <v>9</v>
      </c>
      <c r="D1785" s="50">
        <v>45560</v>
      </c>
      <c r="E1785" s="49" t="s">
        <v>111</v>
      </c>
      <c r="F1785" s="65">
        <v>0.82920000000000005</v>
      </c>
    </row>
    <row r="1786" spans="2:6" hidden="1" x14ac:dyDescent="0.25">
      <c r="B1786" s="51">
        <f>YEAR(BDRIOSJ[[#This Row],[FECHA]])</f>
        <v>2024</v>
      </c>
      <c r="C1786" s="51">
        <f>MONTH(BDRIOSJ[[#This Row],[FECHA]])</f>
        <v>9</v>
      </c>
      <c r="D1786" s="50">
        <v>45561</v>
      </c>
      <c r="E1786" s="49" t="s">
        <v>115</v>
      </c>
      <c r="F1786" s="65">
        <v>0.82920000000000005</v>
      </c>
    </row>
    <row r="1787" spans="2:6" hidden="1" x14ac:dyDescent="0.25">
      <c r="B1787" s="51">
        <f>YEAR(BDRIOSJ[[#This Row],[FECHA]])</f>
        <v>2024</v>
      </c>
      <c r="C1787" s="51">
        <f>MONTH(BDRIOSJ[[#This Row],[FECHA]])</f>
        <v>9</v>
      </c>
      <c r="D1787" s="50">
        <v>45561</v>
      </c>
      <c r="E1787" s="49" t="s">
        <v>114</v>
      </c>
      <c r="F1787" s="65">
        <v>0.82920000000000005</v>
      </c>
    </row>
    <row r="1788" spans="2:6" hidden="1" x14ac:dyDescent="0.25">
      <c r="B1788" s="51">
        <f>YEAR(BDRIOSJ[[#This Row],[FECHA]])</f>
        <v>2024</v>
      </c>
      <c r="C1788" s="51">
        <f>MONTH(BDRIOSJ[[#This Row],[FECHA]])</f>
        <v>9</v>
      </c>
      <c r="D1788" s="50">
        <v>45561</v>
      </c>
      <c r="E1788" s="49" t="s">
        <v>113</v>
      </c>
      <c r="F1788" s="65">
        <v>0.82920000000000005</v>
      </c>
    </row>
    <row r="1789" spans="2:6" hidden="1" x14ac:dyDescent="0.25">
      <c r="B1789" s="51">
        <f>YEAR(BDRIOSJ[[#This Row],[FECHA]])</f>
        <v>2024</v>
      </c>
      <c r="C1789" s="51">
        <f>MONTH(BDRIOSJ[[#This Row],[FECHA]])</f>
        <v>9</v>
      </c>
      <c r="D1789" s="50">
        <v>45561</v>
      </c>
      <c r="E1789" s="49" t="s">
        <v>111</v>
      </c>
      <c r="F1789" s="65">
        <v>0.82920000000000005</v>
      </c>
    </row>
    <row r="1790" spans="2:6" hidden="1" x14ac:dyDescent="0.25">
      <c r="B1790" s="51">
        <f>YEAR(BDRIOSJ[[#This Row],[FECHA]])</f>
        <v>2024</v>
      </c>
      <c r="C1790" s="51">
        <f>MONTH(BDRIOSJ[[#This Row],[FECHA]])</f>
        <v>9</v>
      </c>
      <c r="D1790" s="50">
        <v>45562</v>
      </c>
      <c r="E1790" s="49" t="s">
        <v>115</v>
      </c>
      <c r="F1790" s="65">
        <v>0.82920000000000005</v>
      </c>
    </row>
    <row r="1791" spans="2:6" hidden="1" x14ac:dyDescent="0.25">
      <c r="B1791" s="51">
        <f>YEAR(BDRIOSJ[[#This Row],[FECHA]])</f>
        <v>2024</v>
      </c>
      <c r="C1791" s="51">
        <f>MONTH(BDRIOSJ[[#This Row],[FECHA]])</f>
        <v>9</v>
      </c>
      <c r="D1791" s="50">
        <v>45562</v>
      </c>
      <c r="E1791" s="49" t="s">
        <v>114</v>
      </c>
      <c r="F1791" s="65">
        <v>0.82920000000000005</v>
      </c>
    </row>
    <row r="1792" spans="2:6" hidden="1" x14ac:dyDescent="0.25">
      <c r="B1792" s="51">
        <f>YEAR(BDRIOSJ[[#This Row],[FECHA]])</f>
        <v>2024</v>
      </c>
      <c r="C1792" s="51">
        <f>MONTH(BDRIOSJ[[#This Row],[FECHA]])</f>
        <v>9</v>
      </c>
      <c r="D1792" s="50">
        <v>45562</v>
      </c>
      <c r="E1792" s="49" t="s">
        <v>113</v>
      </c>
      <c r="F1792" s="65">
        <v>0.82920000000000005</v>
      </c>
    </row>
    <row r="1793" spans="2:6" hidden="1" x14ac:dyDescent="0.25">
      <c r="B1793" s="51">
        <f>YEAR(BDRIOSJ[[#This Row],[FECHA]])</f>
        <v>2024</v>
      </c>
      <c r="C1793" s="51">
        <f>MONTH(BDRIOSJ[[#This Row],[FECHA]])</f>
        <v>9</v>
      </c>
      <c r="D1793" s="50">
        <v>45562</v>
      </c>
      <c r="E1793" s="49" t="s">
        <v>111</v>
      </c>
      <c r="F1793" s="65">
        <v>0.82920000000000005</v>
      </c>
    </row>
    <row r="1794" spans="2:6" hidden="1" x14ac:dyDescent="0.25">
      <c r="B1794" s="51">
        <f>YEAR(BDRIOSJ[[#This Row],[FECHA]])</f>
        <v>2024</v>
      </c>
      <c r="C1794" s="51">
        <f>MONTH(BDRIOSJ[[#This Row],[FECHA]])</f>
        <v>9</v>
      </c>
      <c r="D1794" s="50">
        <v>45563</v>
      </c>
      <c r="E1794" s="49" t="s">
        <v>115</v>
      </c>
      <c r="F1794" s="65">
        <v>0.82920000000000005</v>
      </c>
    </row>
    <row r="1795" spans="2:6" hidden="1" x14ac:dyDescent="0.25">
      <c r="B1795" s="51">
        <f>YEAR(BDRIOSJ[[#This Row],[FECHA]])</f>
        <v>2024</v>
      </c>
      <c r="C1795" s="51">
        <f>MONTH(BDRIOSJ[[#This Row],[FECHA]])</f>
        <v>9</v>
      </c>
      <c r="D1795" s="50">
        <v>45563</v>
      </c>
      <c r="E1795" s="49" t="s">
        <v>114</v>
      </c>
      <c r="F1795" s="65">
        <v>0.82920000000000005</v>
      </c>
    </row>
    <row r="1796" spans="2:6" hidden="1" x14ac:dyDescent="0.25">
      <c r="B1796" s="51">
        <f>YEAR(BDRIOSJ[[#This Row],[FECHA]])</f>
        <v>2024</v>
      </c>
      <c r="C1796" s="51">
        <f>MONTH(BDRIOSJ[[#This Row],[FECHA]])</f>
        <v>9</v>
      </c>
      <c r="D1796" s="50">
        <v>45563</v>
      </c>
      <c r="E1796" s="49" t="s">
        <v>113</v>
      </c>
      <c r="F1796" s="65">
        <v>0.82920000000000005</v>
      </c>
    </row>
    <row r="1797" spans="2:6" hidden="1" x14ac:dyDescent="0.25">
      <c r="B1797" s="51">
        <f>YEAR(BDRIOSJ[[#This Row],[FECHA]])</f>
        <v>2024</v>
      </c>
      <c r="C1797" s="51">
        <f>MONTH(BDRIOSJ[[#This Row],[FECHA]])</f>
        <v>9</v>
      </c>
      <c r="D1797" s="50">
        <v>45563</v>
      </c>
      <c r="E1797" s="49" t="s">
        <v>111</v>
      </c>
      <c r="F1797" s="65">
        <v>0.82920000000000005</v>
      </c>
    </row>
    <row r="1798" spans="2:6" hidden="1" x14ac:dyDescent="0.25">
      <c r="B1798" s="51">
        <f>YEAR(BDRIOSJ[[#This Row],[FECHA]])</f>
        <v>2024</v>
      </c>
      <c r="C1798" s="51">
        <f>MONTH(BDRIOSJ[[#This Row],[FECHA]])</f>
        <v>9</v>
      </c>
      <c r="D1798" s="50">
        <v>45564</v>
      </c>
      <c r="E1798" s="49" t="s">
        <v>115</v>
      </c>
      <c r="F1798" s="65">
        <v>0.82920000000000005</v>
      </c>
    </row>
    <row r="1799" spans="2:6" hidden="1" x14ac:dyDescent="0.25">
      <c r="B1799" s="51">
        <f>YEAR(BDRIOSJ[[#This Row],[FECHA]])</f>
        <v>2024</v>
      </c>
      <c r="C1799" s="51">
        <f>MONTH(BDRIOSJ[[#This Row],[FECHA]])</f>
        <v>9</v>
      </c>
      <c r="D1799" s="50">
        <v>45564</v>
      </c>
      <c r="E1799" s="49" t="s">
        <v>114</v>
      </c>
      <c r="F1799" s="65">
        <v>0.82920000000000005</v>
      </c>
    </row>
    <row r="1800" spans="2:6" hidden="1" x14ac:dyDescent="0.25">
      <c r="B1800" s="51">
        <f>YEAR(BDRIOSJ[[#This Row],[FECHA]])</f>
        <v>2024</v>
      </c>
      <c r="C1800" s="51">
        <f>MONTH(BDRIOSJ[[#This Row],[FECHA]])</f>
        <v>9</v>
      </c>
      <c r="D1800" s="50">
        <v>45564</v>
      </c>
      <c r="E1800" s="49" t="s">
        <v>113</v>
      </c>
      <c r="F1800" s="65">
        <v>0.82920000000000005</v>
      </c>
    </row>
    <row r="1801" spans="2:6" hidden="1" x14ac:dyDescent="0.25">
      <c r="B1801" s="51">
        <f>YEAR(BDRIOSJ[[#This Row],[FECHA]])</f>
        <v>2024</v>
      </c>
      <c r="C1801" s="51">
        <f>MONTH(BDRIOSJ[[#This Row],[FECHA]])</f>
        <v>9</v>
      </c>
      <c r="D1801" s="50">
        <v>45564</v>
      </c>
      <c r="E1801" s="49" t="s">
        <v>111</v>
      </c>
      <c r="F1801" s="65">
        <v>0.82920000000000005</v>
      </c>
    </row>
    <row r="1802" spans="2:6" hidden="1" x14ac:dyDescent="0.25">
      <c r="B1802" s="51">
        <f>YEAR(BDRIOSJ[[#This Row],[FECHA]])</f>
        <v>2024</v>
      </c>
      <c r="C1802" s="51">
        <f>MONTH(BDRIOSJ[[#This Row],[FECHA]])</f>
        <v>9</v>
      </c>
      <c r="D1802" s="50">
        <v>45565</v>
      </c>
      <c r="E1802" s="49" t="s">
        <v>115</v>
      </c>
      <c r="F1802" s="65">
        <v>0.82920000000000005</v>
      </c>
    </row>
    <row r="1803" spans="2:6" hidden="1" x14ac:dyDescent="0.25">
      <c r="B1803" s="51">
        <f>YEAR(BDRIOSJ[[#This Row],[FECHA]])</f>
        <v>2024</v>
      </c>
      <c r="C1803" s="51">
        <f>MONTH(BDRIOSJ[[#This Row],[FECHA]])</f>
        <v>9</v>
      </c>
      <c r="D1803" s="50">
        <v>45565</v>
      </c>
      <c r="E1803" s="49" t="s">
        <v>114</v>
      </c>
      <c r="F1803" s="65">
        <v>0.82920000000000005</v>
      </c>
    </row>
    <row r="1804" spans="2:6" hidden="1" x14ac:dyDescent="0.25">
      <c r="B1804" s="51">
        <f>YEAR(BDRIOSJ[[#This Row],[FECHA]])</f>
        <v>2024</v>
      </c>
      <c r="C1804" s="51">
        <f>MONTH(BDRIOSJ[[#This Row],[FECHA]])</f>
        <v>9</v>
      </c>
      <c r="D1804" s="50">
        <v>45565</v>
      </c>
      <c r="E1804" s="49" t="s">
        <v>113</v>
      </c>
      <c r="F1804" s="65">
        <v>0.82920000000000005</v>
      </c>
    </row>
    <row r="1805" spans="2:6" hidden="1" x14ac:dyDescent="0.25">
      <c r="B1805" s="51">
        <f>YEAR(BDRIOSJ[[#This Row],[FECHA]])</f>
        <v>2024</v>
      </c>
      <c r="C1805" s="51">
        <f>MONTH(BDRIOSJ[[#This Row],[FECHA]])</f>
        <v>9</v>
      </c>
      <c r="D1805" s="50">
        <v>45565</v>
      </c>
      <c r="E1805" s="49" t="s">
        <v>111</v>
      </c>
      <c r="F1805" s="65">
        <v>0.82920000000000005</v>
      </c>
    </row>
    <row r="1806" spans="2:6" hidden="1" x14ac:dyDescent="0.25">
      <c r="B1806" s="51">
        <f>YEAR(BDRIOSJ[[#This Row],[FECHA]])</f>
        <v>2024</v>
      </c>
      <c r="C1806" s="51">
        <f>MONTH(BDRIOSJ[[#This Row],[FECHA]])</f>
        <v>10</v>
      </c>
      <c r="D1806" s="50">
        <v>45566</v>
      </c>
      <c r="E1806" s="49" t="s">
        <v>115</v>
      </c>
      <c r="F1806" s="65">
        <v>0.82920000000000005</v>
      </c>
    </row>
    <row r="1807" spans="2:6" hidden="1" x14ac:dyDescent="0.25">
      <c r="B1807" s="51">
        <f>YEAR(BDRIOSJ[[#This Row],[FECHA]])</f>
        <v>2024</v>
      </c>
      <c r="C1807" s="51">
        <f>MONTH(BDRIOSJ[[#This Row],[FECHA]])</f>
        <v>10</v>
      </c>
      <c r="D1807" s="50">
        <v>45566</v>
      </c>
      <c r="E1807" s="49" t="s">
        <v>114</v>
      </c>
      <c r="F1807" s="65">
        <v>0.82920000000000005</v>
      </c>
    </row>
    <row r="1808" spans="2:6" hidden="1" x14ac:dyDescent="0.25">
      <c r="B1808" s="51">
        <f>YEAR(BDRIOSJ[[#This Row],[FECHA]])</f>
        <v>2024</v>
      </c>
      <c r="C1808" s="51">
        <f>MONTH(BDRIOSJ[[#This Row],[FECHA]])</f>
        <v>10</v>
      </c>
      <c r="D1808" s="50">
        <v>45566</v>
      </c>
      <c r="E1808" s="49" t="s">
        <v>113</v>
      </c>
      <c r="F1808" s="65">
        <v>0.82920000000000005</v>
      </c>
    </row>
    <row r="1809" spans="2:6" hidden="1" x14ac:dyDescent="0.25">
      <c r="B1809" s="51">
        <f>YEAR(BDRIOSJ[[#This Row],[FECHA]])</f>
        <v>2024</v>
      </c>
      <c r="C1809" s="51">
        <f>MONTH(BDRIOSJ[[#This Row],[FECHA]])</f>
        <v>10</v>
      </c>
      <c r="D1809" s="50">
        <v>45566</v>
      </c>
      <c r="E1809" s="49" t="s">
        <v>111</v>
      </c>
      <c r="F1809" s="65">
        <v>0.82920000000000005</v>
      </c>
    </row>
    <row r="1810" spans="2:6" hidden="1" x14ac:dyDescent="0.25">
      <c r="B1810" s="51">
        <f>YEAR(BDRIOSJ[[#This Row],[FECHA]])</f>
        <v>2024</v>
      </c>
      <c r="C1810" s="51">
        <f>MONTH(BDRIOSJ[[#This Row],[FECHA]])</f>
        <v>10</v>
      </c>
      <c r="D1810" s="50">
        <v>45567</v>
      </c>
      <c r="E1810" s="49" t="s">
        <v>115</v>
      </c>
      <c r="F1810" s="65">
        <v>0.82920000000000005</v>
      </c>
    </row>
    <row r="1811" spans="2:6" hidden="1" x14ac:dyDescent="0.25">
      <c r="B1811" s="51">
        <f>YEAR(BDRIOSJ[[#This Row],[FECHA]])</f>
        <v>2024</v>
      </c>
      <c r="C1811" s="51">
        <f>MONTH(BDRIOSJ[[#This Row],[FECHA]])</f>
        <v>10</v>
      </c>
      <c r="D1811" s="50">
        <v>45567</v>
      </c>
      <c r="E1811" s="49" t="s">
        <v>114</v>
      </c>
      <c r="F1811" s="65">
        <v>0.82920000000000005</v>
      </c>
    </row>
    <row r="1812" spans="2:6" hidden="1" x14ac:dyDescent="0.25">
      <c r="B1812" s="51">
        <f>YEAR(BDRIOSJ[[#This Row],[FECHA]])</f>
        <v>2024</v>
      </c>
      <c r="C1812" s="51">
        <f>MONTH(BDRIOSJ[[#This Row],[FECHA]])</f>
        <v>10</v>
      </c>
      <c r="D1812" s="50">
        <v>45567</v>
      </c>
      <c r="E1812" s="49" t="s">
        <v>113</v>
      </c>
      <c r="F1812" s="65">
        <v>0.82920000000000005</v>
      </c>
    </row>
    <row r="1813" spans="2:6" hidden="1" x14ac:dyDescent="0.25">
      <c r="B1813" s="51">
        <f>YEAR(BDRIOSJ[[#This Row],[FECHA]])</f>
        <v>2024</v>
      </c>
      <c r="C1813" s="51">
        <f>MONTH(BDRIOSJ[[#This Row],[FECHA]])</f>
        <v>10</v>
      </c>
      <c r="D1813" s="50">
        <v>45567</v>
      </c>
      <c r="E1813" s="49" t="s">
        <v>111</v>
      </c>
      <c r="F1813" s="65">
        <v>0.82920000000000005</v>
      </c>
    </row>
    <row r="1814" spans="2:6" hidden="1" x14ac:dyDescent="0.25">
      <c r="B1814" s="51">
        <f>YEAR(BDRIOSJ[[#This Row],[FECHA]])</f>
        <v>2024</v>
      </c>
      <c r="C1814" s="51">
        <f>MONTH(BDRIOSJ[[#This Row],[FECHA]])</f>
        <v>10</v>
      </c>
      <c r="D1814" s="50">
        <v>45568</v>
      </c>
      <c r="E1814" s="49" t="s">
        <v>115</v>
      </c>
      <c r="F1814" s="65">
        <v>2.0432999999999999</v>
      </c>
    </row>
    <row r="1815" spans="2:6" hidden="1" x14ac:dyDescent="0.25">
      <c r="B1815" s="51">
        <f>YEAR(BDRIOSJ[[#This Row],[FECHA]])</f>
        <v>2024</v>
      </c>
      <c r="C1815" s="51">
        <f>MONTH(BDRIOSJ[[#This Row],[FECHA]])</f>
        <v>10</v>
      </c>
      <c r="D1815" s="50">
        <v>45568</v>
      </c>
      <c r="E1815" s="49" t="s">
        <v>114</v>
      </c>
      <c r="F1815" s="65">
        <v>2.0432999999999999</v>
      </c>
    </row>
    <row r="1816" spans="2:6" hidden="1" x14ac:dyDescent="0.25">
      <c r="B1816" s="51">
        <f>YEAR(BDRIOSJ[[#This Row],[FECHA]])</f>
        <v>2024</v>
      </c>
      <c r="C1816" s="51">
        <f>MONTH(BDRIOSJ[[#This Row],[FECHA]])</f>
        <v>10</v>
      </c>
      <c r="D1816" s="50">
        <v>45568</v>
      </c>
      <c r="E1816" s="49" t="s">
        <v>113</v>
      </c>
      <c r="F1816" s="65">
        <v>2.0432999999999999</v>
      </c>
    </row>
    <row r="1817" spans="2:6" hidden="1" x14ac:dyDescent="0.25">
      <c r="B1817" s="51">
        <f>YEAR(BDRIOSJ[[#This Row],[FECHA]])</f>
        <v>2024</v>
      </c>
      <c r="C1817" s="51">
        <f>MONTH(BDRIOSJ[[#This Row],[FECHA]])</f>
        <v>10</v>
      </c>
      <c r="D1817" s="50">
        <v>45568</v>
      </c>
      <c r="E1817" s="49" t="s">
        <v>111</v>
      </c>
      <c r="F1817" s="65">
        <v>2.0432999999999999</v>
      </c>
    </row>
    <row r="1818" spans="2:6" hidden="1" x14ac:dyDescent="0.25">
      <c r="B1818" s="51">
        <f>YEAR(BDRIOSJ[[#This Row],[FECHA]])</f>
        <v>2024</v>
      </c>
      <c r="C1818" s="51">
        <f>MONTH(BDRIOSJ[[#This Row],[FECHA]])</f>
        <v>10</v>
      </c>
      <c r="D1818" s="50">
        <v>45569</v>
      </c>
      <c r="E1818" s="49" t="s">
        <v>115</v>
      </c>
      <c r="F1818" s="65">
        <v>1.2864</v>
      </c>
    </row>
    <row r="1819" spans="2:6" hidden="1" x14ac:dyDescent="0.25">
      <c r="B1819" s="51">
        <f>YEAR(BDRIOSJ[[#This Row],[FECHA]])</f>
        <v>2024</v>
      </c>
      <c r="C1819" s="51">
        <f>MONTH(BDRIOSJ[[#This Row],[FECHA]])</f>
        <v>10</v>
      </c>
      <c r="D1819" s="50">
        <v>45569</v>
      </c>
      <c r="E1819" s="49" t="s">
        <v>114</v>
      </c>
      <c r="F1819" s="65">
        <v>1.2864</v>
      </c>
    </row>
    <row r="1820" spans="2:6" hidden="1" x14ac:dyDescent="0.25">
      <c r="B1820" s="51">
        <f>YEAR(BDRIOSJ[[#This Row],[FECHA]])</f>
        <v>2024</v>
      </c>
      <c r="C1820" s="51">
        <f>MONTH(BDRIOSJ[[#This Row],[FECHA]])</f>
        <v>10</v>
      </c>
      <c r="D1820" s="50">
        <v>45569</v>
      </c>
      <c r="E1820" s="49" t="s">
        <v>113</v>
      </c>
      <c r="F1820" s="65">
        <v>1.2864</v>
      </c>
    </row>
    <row r="1821" spans="2:6" hidden="1" x14ac:dyDescent="0.25">
      <c r="B1821" s="51">
        <f>YEAR(BDRIOSJ[[#This Row],[FECHA]])</f>
        <v>2024</v>
      </c>
      <c r="C1821" s="51">
        <f>MONTH(BDRIOSJ[[#This Row],[FECHA]])</f>
        <v>10</v>
      </c>
      <c r="D1821" s="50">
        <v>45569</v>
      </c>
      <c r="E1821" s="49" t="s">
        <v>111</v>
      </c>
      <c r="F1821" s="65">
        <v>1.2864</v>
      </c>
    </row>
    <row r="1822" spans="2:6" hidden="1" x14ac:dyDescent="0.25">
      <c r="B1822" s="51">
        <f>YEAR(BDRIOSJ[[#This Row],[FECHA]])</f>
        <v>2024</v>
      </c>
      <c r="C1822" s="51">
        <f>MONTH(BDRIOSJ[[#This Row],[FECHA]])</f>
        <v>10</v>
      </c>
      <c r="D1822" s="50">
        <v>45570</v>
      </c>
      <c r="E1822" s="49" t="s">
        <v>115</v>
      </c>
      <c r="F1822" s="65">
        <v>1.2864</v>
      </c>
    </row>
    <row r="1823" spans="2:6" hidden="1" x14ac:dyDescent="0.25">
      <c r="B1823" s="51">
        <f>YEAR(BDRIOSJ[[#This Row],[FECHA]])</f>
        <v>2024</v>
      </c>
      <c r="C1823" s="51">
        <f>MONTH(BDRIOSJ[[#This Row],[FECHA]])</f>
        <v>10</v>
      </c>
      <c r="D1823" s="50">
        <v>45570</v>
      </c>
      <c r="E1823" s="49" t="s">
        <v>114</v>
      </c>
      <c r="F1823" s="65">
        <v>1.2864</v>
      </c>
    </row>
    <row r="1824" spans="2:6" hidden="1" x14ac:dyDescent="0.25">
      <c r="B1824" s="51">
        <f>YEAR(BDRIOSJ[[#This Row],[FECHA]])</f>
        <v>2024</v>
      </c>
      <c r="C1824" s="51">
        <f>MONTH(BDRIOSJ[[#This Row],[FECHA]])</f>
        <v>10</v>
      </c>
      <c r="D1824" s="50">
        <v>45570</v>
      </c>
      <c r="E1824" s="49" t="s">
        <v>113</v>
      </c>
      <c r="F1824" s="65">
        <v>1.2864</v>
      </c>
    </row>
    <row r="1825" spans="2:6" hidden="1" x14ac:dyDescent="0.25">
      <c r="B1825" s="51">
        <f>YEAR(BDRIOSJ[[#This Row],[FECHA]])</f>
        <v>2024</v>
      </c>
      <c r="C1825" s="51">
        <f>MONTH(BDRIOSJ[[#This Row],[FECHA]])</f>
        <v>10</v>
      </c>
      <c r="D1825" s="50">
        <v>45570</v>
      </c>
      <c r="E1825" s="49" t="s">
        <v>111</v>
      </c>
      <c r="F1825" s="65">
        <v>1.2864</v>
      </c>
    </row>
    <row r="1826" spans="2:6" hidden="1" x14ac:dyDescent="0.25">
      <c r="B1826" s="51">
        <f>YEAR(BDRIOSJ[[#This Row],[FECHA]])</f>
        <v>2024</v>
      </c>
      <c r="C1826" s="51">
        <f>MONTH(BDRIOSJ[[#This Row],[FECHA]])</f>
        <v>10</v>
      </c>
      <c r="D1826" s="50">
        <v>45571</v>
      </c>
      <c r="E1826" s="49" t="s">
        <v>114</v>
      </c>
      <c r="F1826" s="65">
        <v>1.2864</v>
      </c>
    </row>
    <row r="1827" spans="2:6" hidden="1" x14ac:dyDescent="0.25">
      <c r="B1827" s="51">
        <f>YEAR(BDRIOSJ[[#This Row],[FECHA]])</f>
        <v>2024</v>
      </c>
      <c r="C1827" s="51">
        <f>MONTH(BDRIOSJ[[#This Row],[FECHA]])</f>
        <v>10</v>
      </c>
      <c r="D1827" s="50">
        <v>45571</v>
      </c>
      <c r="E1827" s="49" t="s">
        <v>113</v>
      </c>
      <c r="F1827" s="65">
        <v>1.2864</v>
      </c>
    </row>
    <row r="1828" spans="2:6" hidden="1" x14ac:dyDescent="0.25">
      <c r="B1828" s="51">
        <f>YEAR(BDRIOSJ[[#This Row],[FECHA]])</f>
        <v>2024</v>
      </c>
      <c r="C1828" s="51">
        <f>MONTH(BDRIOSJ[[#This Row],[FECHA]])</f>
        <v>10</v>
      </c>
      <c r="D1828" s="50">
        <v>45571</v>
      </c>
      <c r="E1828" s="49" t="s">
        <v>111</v>
      </c>
      <c r="F1828" s="65">
        <v>1.2864</v>
      </c>
    </row>
    <row r="1829" spans="2:6" hidden="1" x14ac:dyDescent="0.25">
      <c r="B1829" s="51">
        <f>YEAR(BDRIOSJ[[#This Row],[FECHA]])</f>
        <v>2024</v>
      </c>
      <c r="C1829" s="51">
        <f>MONTH(BDRIOSJ[[#This Row],[FECHA]])</f>
        <v>10</v>
      </c>
      <c r="D1829" s="50">
        <v>45572</v>
      </c>
      <c r="E1829" s="49" t="s">
        <v>115</v>
      </c>
      <c r="F1829" s="65">
        <v>1.2864</v>
      </c>
    </row>
    <row r="1830" spans="2:6" hidden="1" x14ac:dyDescent="0.25">
      <c r="B1830" s="51">
        <f>YEAR(BDRIOSJ[[#This Row],[FECHA]])</f>
        <v>2024</v>
      </c>
      <c r="C1830" s="51">
        <f>MONTH(BDRIOSJ[[#This Row],[FECHA]])</f>
        <v>10</v>
      </c>
      <c r="D1830" s="50">
        <v>45572</v>
      </c>
      <c r="E1830" s="49" t="s">
        <v>114</v>
      </c>
      <c r="F1830" s="65">
        <v>1.2864</v>
      </c>
    </row>
    <row r="1831" spans="2:6" hidden="1" x14ac:dyDescent="0.25">
      <c r="B1831" s="51">
        <f>YEAR(BDRIOSJ[[#This Row],[FECHA]])</f>
        <v>2024</v>
      </c>
      <c r="C1831" s="51">
        <f>MONTH(BDRIOSJ[[#This Row],[FECHA]])</f>
        <v>10</v>
      </c>
      <c r="D1831" s="50">
        <v>45572</v>
      </c>
      <c r="E1831" s="49" t="s">
        <v>113</v>
      </c>
      <c r="F1831" s="65">
        <v>1.2864</v>
      </c>
    </row>
    <row r="1832" spans="2:6" hidden="1" x14ac:dyDescent="0.25">
      <c r="B1832" s="51">
        <f>YEAR(BDRIOSJ[[#This Row],[FECHA]])</f>
        <v>2024</v>
      </c>
      <c r="C1832" s="51">
        <f>MONTH(BDRIOSJ[[#This Row],[FECHA]])</f>
        <v>10</v>
      </c>
      <c r="D1832" s="50">
        <v>45573</v>
      </c>
      <c r="E1832" s="49" t="s">
        <v>115</v>
      </c>
      <c r="F1832" s="65">
        <v>1.2864</v>
      </c>
    </row>
    <row r="1833" spans="2:6" hidden="1" x14ac:dyDescent="0.25">
      <c r="B1833" s="51">
        <f>YEAR(BDRIOSJ[[#This Row],[FECHA]])</f>
        <v>2024</v>
      </c>
      <c r="C1833" s="51">
        <f>MONTH(BDRIOSJ[[#This Row],[FECHA]])</f>
        <v>10</v>
      </c>
      <c r="D1833" s="50">
        <v>45573</v>
      </c>
      <c r="E1833" s="49" t="s">
        <v>114</v>
      </c>
      <c r="F1833" s="65">
        <v>1.2864</v>
      </c>
    </row>
    <row r="1834" spans="2:6" hidden="1" x14ac:dyDescent="0.25">
      <c r="B1834" s="51">
        <f>YEAR(BDRIOSJ[[#This Row],[FECHA]])</f>
        <v>2024</v>
      </c>
      <c r="C1834" s="51">
        <f>MONTH(BDRIOSJ[[#This Row],[FECHA]])</f>
        <v>10</v>
      </c>
      <c r="D1834" s="50">
        <v>45573</v>
      </c>
      <c r="E1834" s="49" t="s">
        <v>113</v>
      </c>
      <c r="F1834" s="65">
        <v>1.2864</v>
      </c>
    </row>
    <row r="1835" spans="2:6" hidden="1" x14ac:dyDescent="0.25">
      <c r="B1835" s="51">
        <f>YEAR(BDRIOSJ[[#This Row],[FECHA]])</f>
        <v>2024</v>
      </c>
      <c r="C1835" s="51">
        <f>MONTH(BDRIOSJ[[#This Row],[FECHA]])</f>
        <v>10</v>
      </c>
      <c r="D1835" s="50">
        <v>45573</v>
      </c>
      <c r="E1835" s="49" t="s">
        <v>111</v>
      </c>
      <c r="F1835" s="65">
        <v>1.2864</v>
      </c>
    </row>
    <row r="1836" spans="2:6" hidden="1" x14ac:dyDescent="0.25">
      <c r="B1836" s="51">
        <f>YEAR(BDRIOSJ[[#This Row],[FECHA]])</f>
        <v>2024</v>
      </c>
      <c r="C1836" s="51">
        <f>MONTH(BDRIOSJ[[#This Row],[FECHA]])</f>
        <v>10</v>
      </c>
      <c r="D1836" s="50">
        <v>45574</v>
      </c>
      <c r="E1836" s="49" t="s">
        <v>115</v>
      </c>
      <c r="F1836" s="65">
        <v>1.2864</v>
      </c>
    </row>
    <row r="1837" spans="2:6" hidden="1" x14ac:dyDescent="0.25">
      <c r="B1837" s="51">
        <f>YEAR(BDRIOSJ[[#This Row],[FECHA]])</f>
        <v>2024</v>
      </c>
      <c r="C1837" s="51">
        <f>MONTH(BDRIOSJ[[#This Row],[FECHA]])</f>
        <v>10</v>
      </c>
      <c r="D1837" s="50">
        <v>45574</v>
      </c>
      <c r="E1837" s="49" t="s">
        <v>114</v>
      </c>
      <c r="F1837" s="65">
        <v>1.2864</v>
      </c>
    </row>
    <row r="1838" spans="2:6" hidden="1" x14ac:dyDescent="0.25">
      <c r="B1838" s="51">
        <f>YEAR(BDRIOSJ[[#This Row],[FECHA]])</f>
        <v>2024</v>
      </c>
      <c r="C1838" s="51">
        <f>MONTH(BDRIOSJ[[#This Row],[FECHA]])</f>
        <v>10</v>
      </c>
      <c r="D1838" s="50">
        <v>45574</v>
      </c>
      <c r="E1838" s="49" t="s">
        <v>113</v>
      </c>
      <c r="F1838" s="65">
        <v>1.2864</v>
      </c>
    </row>
    <row r="1839" spans="2:6" hidden="1" x14ac:dyDescent="0.25">
      <c r="B1839" s="51">
        <f>YEAR(BDRIOSJ[[#This Row],[FECHA]])</f>
        <v>2024</v>
      </c>
      <c r="C1839" s="51">
        <f>MONTH(BDRIOSJ[[#This Row],[FECHA]])</f>
        <v>10</v>
      </c>
      <c r="D1839" s="50">
        <v>45574</v>
      </c>
      <c r="E1839" s="49" t="s">
        <v>111</v>
      </c>
      <c r="F1839" s="65">
        <v>1.2864</v>
      </c>
    </row>
    <row r="1840" spans="2:6" hidden="1" x14ac:dyDescent="0.25">
      <c r="B1840" s="51">
        <f>YEAR(BDRIOSJ[[#This Row],[FECHA]])</f>
        <v>2024</v>
      </c>
      <c r="C1840" s="51">
        <f>MONTH(BDRIOSJ[[#This Row],[FECHA]])</f>
        <v>10</v>
      </c>
      <c r="D1840" s="50">
        <v>45575</v>
      </c>
      <c r="E1840" s="49" t="s">
        <v>115</v>
      </c>
      <c r="F1840" s="65">
        <v>1.2864</v>
      </c>
    </row>
    <row r="1841" spans="2:6" hidden="1" x14ac:dyDescent="0.25">
      <c r="B1841" s="51">
        <f>YEAR(BDRIOSJ[[#This Row],[FECHA]])</f>
        <v>2024</v>
      </c>
      <c r="C1841" s="51">
        <f>MONTH(BDRIOSJ[[#This Row],[FECHA]])</f>
        <v>10</v>
      </c>
      <c r="D1841" s="50">
        <v>45575</v>
      </c>
      <c r="E1841" s="49" t="s">
        <v>114</v>
      </c>
      <c r="F1841" s="65">
        <v>1.2864</v>
      </c>
    </row>
    <row r="1842" spans="2:6" hidden="1" x14ac:dyDescent="0.25">
      <c r="B1842" s="51">
        <f>YEAR(BDRIOSJ[[#This Row],[FECHA]])</f>
        <v>2024</v>
      </c>
      <c r="C1842" s="51">
        <f>MONTH(BDRIOSJ[[#This Row],[FECHA]])</f>
        <v>10</v>
      </c>
      <c r="D1842" s="50">
        <v>45575</v>
      </c>
      <c r="E1842" s="49" t="s">
        <v>113</v>
      </c>
      <c r="F1842" s="65">
        <v>1.2864</v>
      </c>
    </row>
    <row r="1843" spans="2:6" hidden="1" x14ac:dyDescent="0.25">
      <c r="B1843" s="51">
        <f>YEAR(BDRIOSJ[[#This Row],[FECHA]])</f>
        <v>2024</v>
      </c>
      <c r="C1843" s="51">
        <f>MONTH(BDRIOSJ[[#This Row],[FECHA]])</f>
        <v>10</v>
      </c>
      <c r="D1843" s="50">
        <v>45575</v>
      </c>
      <c r="E1843" s="49" t="s">
        <v>111</v>
      </c>
      <c r="F1843" s="65">
        <v>1.2864</v>
      </c>
    </row>
    <row r="1844" spans="2:6" hidden="1" x14ac:dyDescent="0.25">
      <c r="B1844" s="51">
        <f>YEAR(BDRIOSJ[[#This Row],[FECHA]])</f>
        <v>2024</v>
      </c>
      <c r="C1844" s="51">
        <f>MONTH(BDRIOSJ[[#This Row],[FECHA]])</f>
        <v>10</v>
      </c>
      <c r="D1844" s="50">
        <v>45576</v>
      </c>
      <c r="E1844" s="49" t="s">
        <v>115</v>
      </c>
      <c r="F1844" s="65">
        <v>1.2864</v>
      </c>
    </row>
    <row r="1845" spans="2:6" hidden="1" x14ac:dyDescent="0.25">
      <c r="B1845" s="51">
        <f>YEAR(BDRIOSJ[[#This Row],[FECHA]])</f>
        <v>2024</v>
      </c>
      <c r="C1845" s="51">
        <f>MONTH(BDRIOSJ[[#This Row],[FECHA]])</f>
        <v>10</v>
      </c>
      <c r="D1845" s="50">
        <v>45576</v>
      </c>
      <c r="E1845" s="49" t="s">
        <v>114</v>
      </c>
      <c r="F1845" s="65">
        <v>1.2864</v>
      </c>
    </row>
    <row r="1846" spans="2:6" hidden="1" x14ac:dyDescent="0.25">
      <c r="B1846" s="51">
        <f>YEAR(BDRIOSJ[[#This Row],[FECHA]])</f>
        <v>2024</v>
      </c>
      <c r="C1846" s="51">
        <f>MONTH(BDRIOSJ[[#This Row],[FECHA]])</f>
        <v>10</v>
      </c>
      <c r="D1846" s="50">
        <v>45576</v>
      </c>
      <c r="E1846" s="49" t="s">
        <v>113</v>
      </c>
      <c r="F1846" s="65">
        <v>1.2864</v>
      </c>
    </row>
    <row r="1847" spans="2:6" hidden="1" x14ac:dyDescent="0.25">
      <c r="B1847" s="51">
        <f>YEAR(BDRIOSJ[[#This Row],[FECHA]])</f>
        <v>2024</v>
      </c>
      <c r="C1847" s="51">
        <f>MONTH(BDRIOSJ[[#This Row],[FECHA]])</f>
        <v>10</v>
      </c>
      <c r="D1847" s="50">
        <v>45576</v>
      </c>
      <c r="E1847" s="49" t="s">
        <v>111</v>
      </c>
      <c r="F1847" s="65">
        <v>1.2864</v>
      </c>
    </row>
    <row r="1848" spans="2:6" hidden="1" x14ac:dyDescent="0.25">
      <c r="B1848" s="51">
        <f>YEAR(BDRIOSJ[[#This Row],[FECHA]])</f>
        <v>2024</v>
      </c>
      <c r="C1848" s="51">
        <f>MONTH(BDRIOSJ[[#This Row],[FECHA]])</f>
        <v>10</v>
      </c>
      <c r="D1848" s="50">
        <v>45577</v>
      </c>
      <c r="E1848" s="49" t="s">
        <v>115</v>
      </c>
      <c r="F1848" s="65">
        <v>1.2864</v>
      </c>
    </row>
    <row r="1849" spans="2:6" hidden="1" x14ac:dyDescent="0.25">
      <c r="B1849" s="51">
        <f>YEAR(BDRIOSJ[[#This Row],[FECHA]])</f>
        <v>2024</v>
      </c>
      <c r="C1849" s="51">
        <f>MONTH(BDRIOSJ[[#This Row],[FECHA]])</f>
        <v>10</v>
      </c>
      <c r="D1849" s="50">
        <v>45577</v>
      </c>
      <c r="E1849" s="49" t="s">
        <v>114</v>
      </c>
      <c r="F1849" s="65">
        <v>1.2864</v>
      </c>
    </row>
    <row r="1850" spans="2:6" hidden="1" x14ac:dyDescent="0.25">
      <c r="B1850" s="51">
        <f>YEAR(BDRIOSJ[[#This Row],[FECHA]])</f>
        <v>2024</v>
      </c>
      <c r="C1850" s="51">
        <f>MONTH(BDRIOSJ[[#This Row],[FECHA]])</f>
        <v>10</v>
      </c>
      <c r="D1850" s="50">
        <v>45577</v>
      </c>
      <c r="E1850" s="49" t="s">
        <v>113</v>
      </c>
      <c r="F1850" s="65">
        <v>1.2864</v>
      </c>
    </row>
    <row r="1851" spans="2:6" hidden="1" x14ac:dyDescent="0.25">
      <c r="B1851" s="51">
        <f>YEAR(BDRIOSJ[[#This Row],[FECHA]])</f>
        <v>2024</v>
      </c>
      <c r="C1851" s="51">
        <f>MONTH(BDRIOSJ[[#This Row],[FECHA]])</f>
        <v>10</v>
      </c>
      <c r="D1851" s="50">
        <v>45577</v>
      </c>
      <c r="E1851" s="49" t="s">
        <v>111</v>
      </c>
      <c r="F1851" s="65">
        <v>1.2864</v>
      </c>
    </row>
    <row r="1852" spans="2:6" hidden="1" x14ac:dyDescent="0.25">
      <c r="B1852" s="51">
        <f>YEAR(BDRIOSJ[[#This Row],[FECHA]])</f>
        <v>2024</v>
      </c>
      <c r="C1852" s="51">
        <f>MONTH(BDRIOSJ[[#This Row],[FECHA]])</f>
        <v>10</v>
      </c>
      <c r="D1852" s="50">
        <v>45578</v>
      </c>
      <c r="E1852" s="49" t="s">
        <v>115</v>
      </c>
      <c r="F1852" s="65">
        <v>1.2864</v>
      </c>
    </row>
    <row r="1853" spans="2:6" hidden="1" x14ac:dyDescent="0.25">
      <c r="B1853" s="51">
        <f>YEAR(BDRIOSJ[[#This Row],[FECHA]])</f>
        <v>2024</v>
      </c>
      <c r="C1853" s="51">
        <f>MONTH(BDRIOSJ[[#This Row],[FECHA]])</f>
        <v>10</v>
      </c>
      <c r="D1853" s="50">
        <v>45578</v>
      </c>
      <c r="E1853" s="49" t="s">
        <v>114</v>
      </c>
      <c r="F1853" s="65">
        <v>1.2864</v>
      </c>
    </row>
    <row r="1854" spans="2:6" hidden="1" x14ac:dyDescent="0.25">
      <c r="B1854" s="51">
        <f>YEAR(BDRIOSJ[[#This Row],[FECHA]])</f>
        <v>2024</v>
      </c>
      <c r="C1854" s="51">
        <f>MONTH(BDRIOSJ[[#This Row],[FECHA]])</f>
        <v>10</v>
      </c>
      <c r="D1854" s="50">
        <v>45578</v>
      </c>
      <c r="E1854" s="49" t="s">
        <v>113</v>
      </c>
      <c r="F1854" s="65">
        <v>1.2864</v>
      </c>
    </row>
    <row r="1855" spans="2:6" hidden="1" x14ac:dyDescent="0.25">
      <c r="B1855" s="51">
        <f>YEAR(BDRIOSJ[[#This Row],[FECHA]])</f>
        <v>2024</v>
      </c>
      <c r="C1855" s="51">
        <f>MONTH(BDRIOSJ[[#This Row],[FECHA]])</f>
        <v>10</v>
      </c>
      <c r="D1855" s="50">
        <v>45578</v>
      </c>
      <c r="E1855" s="49" t="s">
        <v>111</v>
      </c>
      <c r="F1855" s="65">
        <v>1.2864</v>
      </c>
    </row>
    <row r="1856" spans="2:6" hidden="1" x14ac:dyDescent="0.25">
      <c r="B1856" s="51">
        <f>YEAR(BDRIOSJ[[#This Row],[FECHA]])</f>
        <v>2024</v>
      </c>
      <c r="C1856" s="51">
        <f>MONTH(BDRIOSJ[[#This Row],[FECHA]])</f>
        <v>10</v>
      </c>
      <c r="D1856" s="50">
        <v>45579</v>
      </c>
      <c r="E1856" s="49" t="s">
        <v>115</v>
      </c>
      <c r="F1856" s="65">
        <v>1.2864</v>
      </c>
    </row>
    <row r="1857" spans="2:6" hidden="1" x14ac:dyDescent="0.25">
      <c r="B1857" s="51">
        <f>YEAR(BDRIOSJ[[#This Row],[FECHA]])</f>
        <v>2024</v>
      </c>
      <c r="C1857" s="51">
        <f>MONTH(BDRIOSJ[[#This Row],[FECHA]])</f>
        <v>10</v>
      </c>
      <c r="D1857" s="50">
        <v>45579</v>
      </c>
      <c r="E1857" s="49" t="s">
        <v>114</v>
      </c>
      <c r="F1857" s="65">
        <v>1.2864</v>
      </c>
    </row>
    <row r="1858" spans="2:6" hidden="1" x14ac:dyDescent="0.25">
      <c r="B1858" s="51">
        <f>YEAR(BDRIOSJ[[#This Row],[FECHA]])</f>
        <v>2024</v>
      </c>
      <c r="C1858" s="51">
        <f>MONTH(BDRIOSJ[[#This Row],[FECHA]])</f>
        <v>10</v>
      </c>
      <c r="D1858" s="50">
        <v>45579</v>
      </c>
      <c r="E1858" s="49" t="s">
        <v>113</v>
      </c>
      <c r="F1858" s="65">
        <v>1.2864</v>
      </c>
    </row>
    <row r="1859" spans="2:6" hidden="1" x14ac:dyDescent="0.25">
      <c r="B1859" s="51">
        <f>YEAR(BDRIOSJ[[#This Row],[FECHA]])</f>
        <v>2024</v>
      </c>
      <c r="C1859" s="51">
        <f>MONTH(BDRIOSJ[[#This Row],[FECHA]])</f>
        <v>10</v>
      </c>
      <c r="D1859" s="50">
        <v>45579</v>
      </c>
      <c r="E1859" s="49" t="s">
        <v>111</v>
      </c>
      <c r="F1859" s="65">
        <v>1.2864</v>
      </c>
    </row>
    <row r="1860" spans="2:6" hidden="1" x14ac:dyDescent="0.25">
      <c r="B1860" s="51">
        <f>YEAR(BDRIOSJ[[#This Row],[FECHA]])</f>
        <v>2024</v>
      </c>
      <c r="C1860" s="51">
        <f>MONTH(BDRIOSJ[[#This Row],[FECHA]])</f>
        <v>10</v>
      </c>
      <c r="D1860" s="50">
        <v>45580</v>
      </c>
      <c r="E1860" s="49" t="s">
        <v>115</v>
      </c>
      <c r="F1860" s="65">
        <v>1.2864</v>
      </c>
    </row>
    <row r="1861" spans="2:6" hidden="1" x14ac:dyDescent="0.25">
      <c r="B1861" s="51">
        <f>YEAR(BDRIOSJ[[#This Row],[FECHA]])</f>
        <v>2024</v>
      </c>
      <c r="C1861" s="51">
        <f>MONTH(BDRIOSJ[[#This Row],[FECHA]])</f>
        <v>10</v>
      </c>
      <c r="D1861" s="50">
        <v>45580</v>
      </c>
      <c r="E1861" s="49" t="s">
        <v>114</v>
      </c>
      <c r="F1861" s="65">
        <v>1.2864</v>
      </c>
    </row>
    <row r="1862" spans="2:6" hidden="1" x14ac:dyDescent="0.25">
      <c r="B1862" s="51">
        <f>YEAR(BDRIOSJ[[#This Row],[FECHA]])</f>
        <v>2024</v>
      </c>
      <c r="C1862" s="51">
        <f>MONTH(BDRIOSJ[[#This Row],[FECHA]])</f>
        <v>10</v>
      </c>
      <c r="D1862" s="50">
        <v>45580</v>
      </c>
      <c r="E1862" s="49" t="s">
        <v>113</v>
      </c>
      <c r="F1862" s="65">
        <v>1.2864</v>
      </c>
    </row>
    <row r="1863" spans="2:6" hidden="1" x14ac:dyDescent="0.25">
      <c r="B1863" s="51">
        <f>YEAR(BDRIOSJ[[#This Row],[FECHA]])</f>
        <v>2024</v>
      </c>
      <c r="C1863" s="51">
        <f>MONTH(BDRIOSJ[[#This Row],[FECHA]])</f>
        <v>10</v>
      </c>
      <c r="D1863" s="50">
        <v>45580</v>
      </c>
      <c r="E1863" s="49" t="s">
        <v>111</v>
      </c>
      <c r="F1863" s="65">
        <v>1.2864</v>
      </c>
    </row>
    <row r="1864" spans="2:6" hidden="1" x14ac:dyDescent="0.25">
      <c r="B1864" s="51">
        <f>YEAR(BDRIOSJ[[#This Row],[FECHA]])</f>
        <v>2024</v>
      </c>
      <c r="C1864" s="51">
        <f>MONTH(BDRIOSJ[[#This Row],[FECHA]])</f>
        <v>10</v>
      </c>
      <c r="D1864" s="50">
        <v>45581</v>
      </c>
      <c r="E1864" s="49" t="s">
        <v>115</v>
      </c>
      <c r="F1864" s="65">
        <v>1.2864</v>
      </c>
    </row>
    <row r="1865" spans="2:6" hidden="1" x14ac:dyDescent="0.25">
      <c r="B1865" s="51">
        <f>YEAR(BDRIOSJ[[#This Row],[FECHA]])</f>
        <v>2024</v>
      </c>
      <c r="C1865" s="51">
        <f>MONTH(BDRIOSJ[[#This Row],[FECHA]])</f>
        <v>10</v>
      </c>
      <c r="D1865" s="50">
        <v>45581</v>
      </c>
      <c r="E1865" s="49" t="s">
        <v>114</v>
      </c>
      <c r="F1865" s="65">
        <v>1.2864</v>
      </c>
    </row>
    <row r="1866" spans="2:6" hidden="1" x14ac:dyDescent="0.25">
      <c r="B1866" s="51">
        <f>YEAR(BDRIOSJ[[#This Row],[FECHA]])</f>
        <v>2024</v>
      </c>
      <c r="C1866" s="51">
        <f>MONTH(BDRIOSJ[[#This Row],[FECHA]])</f>
        <v>10</v>
      </c>
      <c r="D1866" s="50">
        <v>45581</v>
      </c>
      <c r="E1866" s="49" t="s">
        <v>113</v>
      </c>
      <c r="F1866" s="65">
        <v>1.2864</v>
      </c>
    </row>
    <row r="1867" spans="2:6" hidden="1" x14ac:dyDescent="0.25">
      <c r="B1867" s="51">
        <f>YEAR(BDRIOSJ[[#This Row],[FECHA]])</f>
        <v>2024</v>
      </c>
      <c r="C1867" s="51">
        <f>MONTH(BDRIOSJ[[#This Row],[FECHA]])</f>
        <v>10</v>
      </c>
      <c r="D1867" s="50">
        <v>45581</v>
      </c>
      <c r="E1867" s="49" t="s">
        <v>111</v>
      </c>
      <c r="F1867" s="65">
        <v>1.2864</v>
      </c>
    </row>
    <row r="1868" spans="2:6" hidden="1" x14ac:dyDescent="0.25">
      <c r="B1868" s="51">
        <f>YEAR(BDRIOSJ[[#This Row],[FECHA]])</f>
        <v>2024</v>
      </c>
      <c r="C1868" s="51">
        <f>MONTH(BDRIOSJ[[#This Row],[FECHA]])</f>
        <v>10</v>
      </c>
      <c r="D1868" s="50">
        <v>45582</v>
      </c>
      <c r="E1868" s="49" t="s">
        <v>115</v>
      </c>
      <c r="F1868" s="65">
        <v>1.2864</v>
      </c>
    </row>
    <row r="1869" spans="2:6" hidden="1" x14ac:dyDescent="0.25">
      <c r="B1869" s="51">
        <f>YEAR(BDRIOSJ[[#This Row],[FECHA]])</f>
        <v>2024</v>
      </c>
      <c r="C1869" s="51">
        <f>MONTH(BDRIOSJ[[#This Row],[FECHA]])</f>
        <v>10</v>
      </c>
      <c r="D1869" s="50">
        <v>45582</v>
      </c>
      <c r="E1869" s="49" t="s">
        <v>114</v>
      </c>
      <c r="F1869" s="65">
        <v>1.2864</v>
      </c>
    </row>
    <row r="1870" spans="2:6" hidden="1" x14ac:dyDescent="0.25">
      <c r="B1870" s="51">
        <f>YEAR(BDRIOSJ[[#This Row],[FECHA]])</f>
        <v>2024</v>
      </c>
      <c r="C1870" s="51">
        <f>MONTH(BDRIOSJ[[#This Row],[FECHA]])</f>
        <v>10</v>
      </c>
      <c r="D1870" s="50">
        <v>45582</v>
      </c>
      <c r="E1870" s="49" t="s">
        <v>113</v>
      </c>
      <c r="F1870" s="65">
        <v>1.2864</v>
      </c>
    </row>
    <row r="1871" spans="2:6" hidden="1" x14ac:dyDescent="0.25">
      <c r="B1871" s="51">
        <f>YEAR(BDRIOSJ[[#This Row],[FECHA]])</f>
        <v>2024</v>
      </c>
      <c r="C1871" s="51">
        <f>MONTH(BDRIOSJ[[#This Row],[FECHA]])</f>
        <v>10</v>
      </c>
      <c r="D1871" s="50">
        <v>45582</v>
      </c>
      <c r="E1871" s="49" t="s">
        <v>111</v>
      </c>
      <c r="F1871" s="65">
        <v>1.2864</v>
      </c>
    </row>
    <row r="1872" spans="2:6" hidden="1" x14ac:dyDescent="0.25">
      <c r="B1872" s="51">
        <f>YEAR(BDRIOSJ[[#This Row],[FECHA]])</f>
        <v>2024</v>
      </c>
      <c r="C1872" s="51">
        <f>MONTH(BDRIOSJ[[#This Row],[FECHA]])</f>
        <v>10</v>
      </c>
      <c r="D1872" s="50">
        <v>45583</v>
      </c>
      <c r="E1872" s="49" t="s">
        <v>115</v>
      </c>
      <c r="F1872" s="65">
        <v>2.0432999999999999</v>
      </c>
    </row>
    <row r="1873" spans="2:6" hidden="1" x14ac:dyDescent="0.25">
      <c r="B1873" s="51">
        <f>YEAR(BDRIOSJ[[#This Row],[FECHA]])</f>
        <v>2024</v>
      </c>
      <c r="C1873" s="51">
        <f>MONTH(BDRIOSJ[[#This Row],[FECHA]])</f>
        <v>10</v>
      </c>
      <c r="D1873" s="50">
        <v>45583</v>
      </c>
      <c r="E1873" s="49" t="s">
        <v>114</v>
      </c>
      <c r="F1873" s="65">
        <v>2.0432999999999999</v>
      </c>
    </row>
    <row r="1874" spans="2:6" hidden="1" x14ac:dyDescent="0.25">
      <c r="B1874" s="51">
        <f>YEAR(BDRIOSJ[[#This Row],[FECHA]])</f>
        <v>2024</v>
      </c>
      <c r="C1874" s="51">
        <f>MONTH(BDRIOSJ[[#This Row],[FECHA]])</f>
        <v>10</v>
      </c>
      <c r="D1874" s="50">
        <v>45583</v>
      </c>
      <c r="E1874" s="49" t="s">
        <v>113</v>
      </c>
      <c r="F1874" s="65">
        <v>2.0432999999999999</v>
      </c>
    </row>
    <row r="1875" spans="2:6" hidden="1" x14ac:dyDescent="0.25">
      <c r="B1875" s="51">
        <f>YEAR(BDRIOSJ[[#This Row],[FECHA]])</f>
        <v>2024</v>
      </c>
      <c r="C1875" s="51">
        <f>MONTH(BDRIOSJ[[#This Row],[FECHA]])</f>
        <v>10</v>
      </c>
      <c r="D1875" s="50">
        <v>45583</v>
      </c>
      <c r="E1875" s="49" t="s">
        <v>111</v>
      </c>
      <c r="F1875" s="65">
        <v>2.0432999999999999</v>
      </c>
    </row>
    <row r="1876" spans="2:6" hidden="1" x14ac:dyDescent="0.25">
      <c r="B1876" s="51">
        <f>YEAR(BDRIOSJ[[#This Row],[FECHA]])</f>
        <v>2024</v>
      </c>
      <c r="C1876" s="51">
        <f>MONTH(BDRIOSJ[[#This Row],[FECHA]])</f>
        <v>10</v>
      </c>
      <c r="D1876" s="50">
        <v>45584</v>
      </c>
      <c r="E1876" s="49" t="s">
        <v>114</v>
      </c>
      <c r="F1876" s="65">
        <v>2.6019000000000001</v>
      </c>
    </row>
    <row r="1877" spans="2:6" hidden="1" x14ac:dyDescent="0.25">
      <c r="B1877" s="51">
        <f>YEAR(BDRIOSJ[[#This Row],[FECHA]])</f>
        <v>2024</v>
      </c>
      <c r="C1877" s="51">
        <f>MONTH(BDRIOSJ[[#This Row],[FECHA]])</f>
        <v>10</v>
      </c>
      <c r="D1877" s="50">
        <v>45584</v>
      </c>
      <c r="E1877" s="49" t="s">
        <v>113</v>
      </c>
      <c r="F1877" s="65">
        <v>2.6019000000000001</v>
      </c>
    </row>
    <row r="1878" spans="2:6" hidden="1" x14ac:dyDescent="0.25">
      <c r="B1878" s="51">
        <f>YEAR(BDRIOSJ[[#This Row],[FECHA]])</f>
        <v>2024</v>
      </c>
      <c r="C1878" s="51">
        <f>MONTH(BDRIOSJ[[#This Row],[FECHA]])</f>
        <v>10</v>
      </c>
      <c r="D1878" s="50">
        <v>45584</v>
      </c>
      <c r="E1878" s="49" t="s">
        <v>111</v>
      </c>
      <c r="F1878" s="65">
        <v>2.6019000000000001</v>
      </c>
    </row>
    <row r="1879" spans="2:6" hidden="1" x14ac:dyDescent="0.25">
      <c r="B1879" s="51">
        <f>YEAR(BDRIOSJ[[#This Row],[FECHA]])</f>
        <v>2024</v>
      </c>
      <c r="C1879" s="51">
        <f>MONTH(BDRIOSJ[[#This Row],[FECHA]])</f>
        <v>10</v>
      </c>
      <c r="D1879" s="50">
        <v>45585</v>
      </c>
      <c r="E1879" s="49" t="s">
        <v>115</v>
      </c>
      <c r="F1879" s="65">
        <v>2.6019000000000001</v>
      </c>
    </row>
    <row r="1880" spans="2:6" hidden="1" x14ac:dyDescent="0.25">
      <c r="B1880" s="51">
        <f>YEAR(BDRIOSJ[[#This Row],[FECHA]])</f>
        <v>2024</v>
      </c>
      <c r="C1880" s="51">
        <f>MONTH(BDRIOSJ[[#This Row],[FECHA]])</f>
        <v>10</v>
      </c>
      <c r="D1880" s="50">
        <v>45585</v>
      </c>
      <c r="E1880" s="49" t="s">
        <v>114</v>
      </c>
      <c r="F1880" s="65">
        <v>2.6019000000000001</v>
      </c>
    </row>
    <row r="1881" spans="2:6" hidden="1" x14ac:dyDescent="0.25">
      <c r="B1881" s="51">
        <f>YEAR(BDRIOSJ[[#This Row],[FECHA]])</f>
        <v>2024</v>
      </c>
      <c r="C1881" s="51">
        <f>MONTH(BDRIOSJ[[#This Row],[FECHA]])</f>
        <v>10</v>
      </c>
      <c r="D1881" s="50">
        <v>45585</v>
      </c>
      <c r="E1881" s="49" t="s">
        <v>113</v>
      </c>
      <c r="F1881" s="65">
        <v>2.6019000000000001</v>
      </c>
    </row>
    <row r="1882" spans="2:6" hidden="1" x14ac:dyDescent="0.25">
      <c r="B1882" s="51">
        <f>YEAR(BDRIOSJ[[#This Row],[FECHA]])</f>
        <v>2024</v>
      </c>
      <c r="C1882" s="51">
        <f>MONTH(BDRIOSJ[[#This Row],[FECHA]])</f>
        <v>10</v>
      </c>
      <c r="D1882" s="50">
        <v>45585</v>
      </c>
      <c r="E1882" s="49" t="s">
        <v>111</v>
      </c>
      <c r="F1882" s="65">
        <v>2.6019000000000001</v>
      </c>
    </row>
    <row r="1883" spans="2:6" hidden="1" x14ac:dyDescent="0.25">
      <c r="B1883" s="51">
        <f>YEAR(BDRIOSJ[[#This Row],[FECHA]])</f>
        <v>2024</v>
      </c>
      <c r="C1883" s="51">
        <f>MONTH(BDRIOSJ[[#This Row],[FECHA]])</f>
        <v>10</v>
      </c>
      <c r="D1883" s="50">
        <v>45586</v>
      </c>
      <c r="E1883" s="49" t="s">
        <v>115</v>
      </c>
      <c r="F1883" s="65">
        <v>2.8437999999999999</v>
      </c>
    </row>
    <row r="1884" spans="2:6" hidden="1" x14ac:dyDescent="0.25">
      <c r="B1884" s="51">
        <f>YEAR(BDRIOSJ[[#This Row],[FECHA]])</f>
        <v>2024</v>
      </c>
      <c r="C1884" s="51">
        <f>MONTH(BDRIOSJ[[#This Row],[FECHA]])</f>
        <v>10</v>
      </c>
      <c r="D1884" s="50">
        <v>45586</v>
      </c>
      <c r="E1884" s="49" t="s">
        <v>114</v>
      </c>
      <c r="F1884" s="65">
        <v>2.8437999999999999</v>
      </c>
    </row>
    <row r="1885" spans="2:6" hidden="1" x14ac:dyDescent="0.25">
      <c r="B1885" s="51">
        <f>YEAR(BDRIOSJ[[#This Row],[FECHA]])</f>
        <v>2024</v>
      </c>
      <c r="C1885" s="51">
        <f>MONTH(BDRIOSJ[[#This Row],[FECHA]])</f>
        <v>10</v>
      </c>
      <c r="D1885" s="50">
        <v>45586</v>
      </c>
      <c r="E1885" s="49" t="s">
        <v>113</v>
      </c>
      <c r="F1885" s="65">
        <v>2.8437999999999999</v>
      </c>
    </row>
    <row r="1886" spans="2:6" hidden="1" x14ac:dyDescent="0.25">
      <c r="B1886" s="51">
        <f>YEAR(BDRIOSJ[[#This Row],[FECHA]])</f>
        <v>2024</v>
      </c>
      <c r="C1886" s="51">
        <f>MONTH(BDRIOSJ[[#This Row],[FECHA]])</f>
        <v>10</v>
      </c>
      <c r="D1886" s="50">
        <v>45586</v>
      </c>
      <c r="E1886" s="49" t="s">
        <v>111</v>
      </c>
      <c r="F1886" s="65">
        <v>2.8437999999999999</v>
      </c>
    </row>
    <row r="1887" spans="2:6" hidden="1" x14ac:dyDescent="0.25">
      <c r="B1887" s="51">
        <f>YEAR(BDRIOSJ[[#This Row],[FECHA]])</f>
        <v>2024</v>
      </c>
      <c r="C1887" s="51">
        <f>MONTH(BDRIOSJ[[#This Row],[FECHA]])</f>
        <v>10</v>
      </c>
      <c r="D1887" s="50">
        <v>45587</v>
      </c>
      <c r="E1887" s="49" t="s">
        <v>115</v>
      </c>
      <c r="F1887" s="65">
        <v>3.4946000000000002</v>
      </c>
    </row>
    <row r="1888" spans="2:6" hidden="1" x14ac:dyDescent="0.25">
      <c r="B1888" s="51">
        <f>YEAR(BDRIOSJ[[#This Row],[FECHA]])</f>
        <v>2024</v>
      </c>
      <c r="C1888" s="51">
        <f>MONTH(BDRIOSJ[[#This Row],[FECHA]])</f>
        <v>10</v>
      </c>
      <c r="D1888" s="50">
        <v>45587</v>
      </c>
      <c r="E1888" s="49" t="s">
        <v>114</v>
      </c>
      <c r="F1888" s="65">
        <v>3.4946000000000002</v>
      </c>
    </row>
    <row r="1889" spans="2:6" hidden="1" x14ac:dyDescent="0.25">
      <c r="B1889" s="51">
        <f>YEAR(BDRIOSJ[[#This Row],[FECHA]])</f>
        <v>2024</v>
      </c>
      <c r="C1889" s="51">
        <f>MONTH(BDRIOSJ[[#This Row],[FECHA]])</f>
        <v>10</v>
      </c>
      <c r="D1889" s="50">
        <v>45587</v>
      </c>
      <c r="E1889" s="49" t="s">
        <v>113</v>
      </c>
      <c r="F1889" s="65">
        <v>3.4946000000000002</v>
      </c>
    </row>
    <row r="1890" spans="2:6" hidden="1" x14ac:dyDescent="0.25">
      <c r="B1890" s="51">
        <f>YEAR(BDRIOSJ[[#This Row],[FECHA]])</f>
        <v>2024</v>
      </c>
      <c r="C1890" s="51">
        <f>MONTH(BDRIOSJ[[#This Row],[FECHA]])</f>
        <v>10</v>
      </c>
      <c r="D1890" s="50">
        <v>45587</v>
      </c>
      <c r="E1890" s="49" t="s">
        <v>111</v>
      </c>
      <c r="F1890" s="65">
        <v>3.4946000000000002</v>
      </c>
    </row>
    <row r="1891" spans="2:6" hidden="1" x14ac:dyDescent="0.25">
      <c r="B1891" s="51">
        <f>YEAR(BDRIOSJ[[#This Row],[FECHA]])</f>
        <v>2024</v>
      </c>
      <c r="C1891" s="51">
        <f>MONTH(BDRIOSJ[[#This Row],[FECHA]])</f>
        <v>10</v>
      </c>
      <c r="D1891" s="50">
        <v>45588</v>
      </c>
      <c r="E1891" s="49" t="s">
        <v>115</v>
      </c>
      <c r="F1891" s="65">
        <v>3.4946000000000002</v>
      </c>
    </row>
    <row r="1892" spans="2:6" hidden="1" x14ac:dyDescent="0.25">
      <c r="B1892" s="51">
        <f>YEAR(BDRIOSJ[[#This Row],[FECHA]])</f>
        <v>2024</v>
      </c>
      <c r="C1892" s="51">
        <f>MONTH(BDRIOSJ[[#This Row],[FECHA]])</f>
        <v>10</v>
      </c>
      <c r="D1892" s="50">
        <v>45588</v>
      </c>
      <c r="E1892" s="49" t="s">
        <v>114</v>
      </c>
      <c r="F1892" s="65">
        <v>3.4946000000000002</v>
      </c>
    </row>
    <row r="1893" spans="2:6" hidden="1" x14ac:dyDescent="0.25">
      <c r="B1893" s="51">
        <f>YEAR(BDRIOSJ[[#This Row],[FECHA]])</f>
        <v>2024</v>
      </c>
      <c r="C1893" s="51">
        <f>MONTH(BDRIOSJ[[#This Row],[FECHA]])</f>
        <v>10</v>
      </c>
      <c r="D1893" s="50">
        <v>45588</v>
      </c>
      <c r="E1893" s="49" t="s">
        <v>113</v>
      </c>
      <c r="F1893" s="65">
        <v>3.4946000000000002</v>
      </c>
    </row>
    <row r="1894" spans="2:6" hidden="1" x14ac:dyDescent="0.25">
      <c r="B1894" s="51">
        <f>YEAR(BDRIOSJ[[#This Row],[FECHA]])</f>
        <v>2024</v>
      </c>
      <c r="C1894" s="51">
        <f>MONTH(BDRIOSJ[[#This Row],[FECHA]])</f>
        <v>10</v>
      </c>
      <c r="D1894" s="50">
        <v>45588</v>
      </c>
      <c r="E1894" s="49" t="s">
        <v>111</v>
      </c>
      <c r="F1894" s="65">
        <v>3.4946000000000002</v>
      </c>
    </row>
    <row r="1895" spans="2:6" hidden="1" x14ac:dyDescent="0.25">
      <c r="B1895" s="51">
        <f>YEAR(BDRIOSJ[[#This Row],[FECHA]])</f>
        <v>2024</v>
      </c>
      <c r="C1895" s="51">
        <f>MONTH(BDRIOSJ[[#This Row],[FECHA]])</f>
        <v>10</v>
      </c>
      <c r="D1895" s="50">
        <v>45589</v>
      </c>
      <c r="E1895" s="49" t="s">
        <v>115</v>
      </c>
      <c r="F1895" s="65">
        <v>3.4946000000000002</v>
      </c>
    </row>
    <row r="1896" spans="2:6" hidden="1" x14ac:dyDescent="0.25">
      <c r="B1896" s="51">
        <f>YEAR(BDRIOSJ[[#This Row],[FECHA]])</f>
        <v>2024</v>
      </c>
      <c r="C1896" s="51">
        <f>MONTH(BDRIOSJ[[#This Row],[FECHA]])</f>
        <v>10</v>
      </c>
      <c r="D1896" s="50">
        <v>45589</v>
      </c>
      <c r="E1896" s="49" t="s">
        <v>114</v>
      </c>
      <c r="F1896" s="65">
        <v>3.4946000000000002</v>
      </c>
    </row>
    <row r="1897" spans="2:6" hidden="1" x14ac:dyDescent="0.25">
      <c r="B1897" s="51">
        <f>YEAR(BDRIOSJ[[#This Row],[FECHA]])</f>
        <v>2024</v>
      </c>
      <c r="C1897" s="51">
        <f>MONTH(BDRIOSJ[[#This Row],[FECHA]])</f>
        <v>10</v>
      </c>
      <c r="D1897" s="50">
        <v>45589</v>
      </c>
      <c r="E1897" s="49" t="s">
        <v>113</v>
      </c>
      <c r="F1897" s="65">
        <v>3.4946000000000002</v>
      </c>
    </row>
    <row r="1898" spans="2:6" hidden="1" x14ac:dyDescent="0.25">
      <c r="B1898" s="51">
        <f>YEAR(BDRIOSJ[[#This Row],[FECHA]])</f>
        <v>2024</v>
      </c>
      <c r="C1898" s="51">
        <f>MONTH(BDRIOSJ[[#This Row],[FECHA]])</f>
        <v>10</v>
      </c>
      <c r="D1898" s="50">
        <v>45589</v>
      </c>
      <c r="E1898" s="49" t="s">
        <v>111</v>
      </c>
      <c r="F1898" s="65">
        <v>3.4946000000000002</v>
      </c>
    </row>
    <row r="1899" spans="2:6" hidden="1" x14ac:dyDescent="0.25">
      <c r="B1899" s="51">
        <f>YEAR(BDRIOSJ[[#This Row],[FECHA]])</f>
        <v>2024</v>
      </c>
      <c r="C1899" s="51">
        <f>MONTH(BDRIOSJ[[#This Row],[FECHA]])</f>
        <v>10</v>
      </c>
      <c r="D1899" s="50">
        <v>45590</v>
      </c>
      <c r="E1899" s="49" t="s">
        <v>115</v>
      </c>
      <c r="F1899" s="65">
        <v>3.9165999999999999</v>
      </c>
    </row>
    <row r="1900" spans="2:6" hidden="1" x14ac:dyDescent="0.25">
      <c r="B1900" s="51">
        <f>YEAR(BDRIOSJ[[#This Row],[FECHA]])</f>
        <v>2024</v>
      </c>
      <c r="C1900" s="51">
        <f>MONTH(BDRIOSJ[[#This Row],[FECHA]])</f>
        <v>10</v>
      </c>
      <c r="D1900" s="50">
        <v>45590</v>
      </c>
      <c r="E1900" s="49" t="s">
        <v>114</v>
      </c>
      <c r="F1900" s="65">
        <v>3.9165999999999999</v>
      </c>
    </row>
    <row r="1901" spans="2:6" hidden="1" x14ac:dyDescent="0.25">
      <c r="B1901" s="51">
        <f>YEAR(BDRIOSJ[[#This Row],[FECHA]])</f>
        <v>2024</v>
      </c>
      <c r="C1901" s="51">
        <f>MONTH(BDRIOSJ[[#This Row],[FECHA]])</f>
        <v>10</v>
      </c>
      <c r="D1901" s="50">
        <v>45590</v>
      </c>
      <c r="E1901" s="49" t="s">
        <v>113</v>
      </c>
      <c r="F1901" s="65">
        <v>3.9165999999999999</v>
      </c>
    </row>
    <row r="1902" spans="2:6" hidden="1" x14ac:dyDescent="0.25">
      <c r="B1902" s="51">
        <f>YEAR(BDRIOSJ[[#This Row],[FECHA]])</f>
        <v>2024</v>
      </c>
      <c r="C1902" s="51">
        <f>MONTH(BDRIOSJ[[#This Row],[FECHA]])</f>
        <v>10</v>
      </c>
      <c r="D1902" s="50">
        <v>45590</v>
      </c>
      <c r="E1902" s="49" t="s">
        <v>111</v>
      </c>
      <c r="F1902" s="65">
        <v>3.9165999999999999</v>
      </c>
    </row>
    <row r="1903" spans="2:6" hidden="1" x14ac:dyDescent="0.25">
      <c r="B1903" s="51">
        <f>YEAR(BDRIOSJ[[#This Row],[FECHA]])</f>
        <v>2024</v>
      </c>
      <c r="C1903" s="51">
        <f>MONTH(BDRIOSJ[[#This Row],[FECHA]])</f>
        <v>10</v>
      </c>
      <c r="D1903" s="50">
        <v>45591</v>
      </c>
      <c r="E1903" s="49" t="s">
        <v>115</v>
      </c>
      <c r="F1903" s="65">
        <v>3.6326000000000001</v>
      </c>
    </row>
    <row r="1904" spans="2:6" hidden="1" x14ac:dyDescent="0.25">
      <c r="B1904" s="51">
        <f>YEAR(BDRIOSJ[[#This Row],[FECHA]])</f>
        <v>2024</v>
      </c>
      <c r="C1904" s="51">
        <f>MONTH(BDRIOSJ[[#This Row],[FECHA]])</f>
        <v>10</v>
      </c>
      <c r="D1904" s="50">
        <v>45591</v>
      </c>
      <c r="E1904" s="49" t="s">
        <v>114</v>
      </c>
      <c r="F1904" s="65">
        <v>3.6326000000000001</v>
      </c>
    </row>
    <row r="1905" spans="2:6" hidden="1" x14ac:dyDescent="0.25">
      <c r="B1905" s="51">
        <f>YEAR(BDRIOSJ[[#This Row],[FECHA]])</f>
        <v>2024</v>
      </c>
      <c r="C1905" s="51">
        <f>MONTH(BDRIOSJ[[#This Row],[FECHA]])</f>
        <v>10</v>
      </c>
      <c r="D1905" s="50">
        <v>45591</v>
      </c>
      <c r="E1905" s="49" t="s">
        <v>113</v>
      </c>
      <c r="F1905" s="65">
        <v>3.6326000000000001</v>
      </c>
    </row>
    <row r="1906" spans="2:6" hidden="1" x14ac:dyDescent="0.25">
      <c r="B1906" s="51">
        <f>YEAR(BDRIOSJ[[#This Row],[FECHA]])</f>
        <v>2024</v>
      </c>
      <c r="C1906" s="51">
        <f>MONTH(BDRIOSJ[[#This Row],[FECHA]])</f>
        <v>10</v>
      </c>
      <c r="D1906" s="50">
        <v>45591</v>
      </c>
      <c r="E1906" s="49" t="s">
        <v>111</v>
      </c>
      <c r="F1906" s="65">
        <v>3.6326000000000001</v>
      </c>
    </row>
    <row r="1907" spans="2:6" hidden="1" x14ac:dyDescent="0.25">
      <c r="B1907" s="51">
        <f>YEAR(BDRIOSJ[[#This Row],[FECHA]])</f>
        <v>2024</v>
      </c>
      <c r="C1907" s="51">
        <f>MONTH(BDRIOSJ[[#This Row],[FECHA]])</f>
        <v>10</v>
      </c>
      <c r="D1907" s="50">
        <v>45592</v>
      </c>
      <c r="E1907" s="49" t="s">
        <v>115</v>
      </c>
      <c r="F1907" s="65">
        <v>3.2263999999999999</v>
      </c>
    </row>
    <row r="1908" spans="2:6" hidden="1" x14ac:dyDescent="0.25">
      <c r="B1908" s="51">
        <f>YEAR(BDRIOSJ[[#This Row],[FECHA]])</f>
        <v>2024</v>
      </c>
      <c r="C1908" s="51">
        <f>MONTH(BDRIOSJ[[#This Row],[FECHA]])</f>
        <v>10</v>
      </c>
      <c r="D1908" s="50">
        <v>45592</v>
      </c>
      <c r="E1908" s="49" t="s">
        <v>114</v>
      </c>
      <c r="F1908" s="65">
        <v>3.2263999999999999</v>
      </c>
    </row>
    <row r="1909" spans="2:6" hidden="1" x14ac:dyDescent="0.25">
      <c r="B1909" s="51">
        <f>YEAR(BDRIOSJ[[#This Row],[FECHA]])</f>
        <v>2024</v>
      </c>
      <c r="C1909" s="51">
        <f>MONTH(BDRIOSJ[[#This Row],[FECHA]])</f>
        <v>10</v>
      </c>
      <c r="D1909" s="50">
        <v>45592</v>
      </c>
      <c r="E1909" s="49" t="s">
        <v>113</v>
      </c>
      <c r="F1909" s="65">
        <v>3.2263999999999999</v>
      </c>
    </row>
    <row r="1910" spans="2:6" hidden="1" x14ac:dyDescent="0.25">
      <c r="B1910" s="51">
        <f>YEAR(BDRIOSJ[[#This Row],[FECHA]])</f>
        <v>2024</v>
      </c>
      <c r="C1910" s="51">
        <f>MONTH(BDRIOSJ[[#This Row],[FECHA]])</f>
        <v>10</v>
      </c>
      <c r="D1910" s="50">
        <v>45592</v>
      </c>
      <c r="E1910" s="49" t="s">
        <v>111</v>
      </c>
      <c r="F1910" s="65">
        <v>3.2263999999999999</v>
      </c>
    </row>
    <row r="1911" spans="2:6" hidden="1" x14ac:dyDescent="0.25">
      <c r="B1911" s="51">
        <f>YEAR(BDRIOSJ[[#This Row],[FECHA]])</f>
        <v>2024</v>
      </c>
      <c r="C1911" s="51">
        <f>MONTH(BDRIOSJ[[#This Row],[FECHA]])</f>
        <v>10</v>
      </c>
      <c r="D1911" s="50">
        <v>45593</v>
      </c>
      <c r="E1911" s="49" t="s">
        <v>115</v>
      </c>
      <c r="F1911" s="65">
        <v>3.2263999999999999</v>
      </c>
    </row>
    <row r="1912" spans="2:6" hidden="1" x14ac:dyDescent="0.25">
      <c r="B1912" s="51">
        <f>YEAR(BDRIOSJ[[#This Row],[FECHA]])</f>
        <v>2024</v>
      </c>
      <c r="C1912" s="51">
        <f>MONTH(BDRIOSJ[[#This Row],[FECHA]])</f>
        <v>10</v>
      </c>
      <c r="D1912" s="50">
        <v>45593</v>
      </c>
      <c r="E1912" s="49" t="s">
        <v>114</v>
      </c>
      <c r="F1912" s="65">
        <v>3.2263999999999999</v>
      </c>
    </row>
    <row r="1913" spans="2:6" hidden="1" x14ac:dyDescent="0.25">
      <c r="B1913" s="51">
        <f>YEAR(BDRIOSJ[[#This Row],[FECHA]])</f>
        <v>2024</v>
      </c>
      <c r="C1913" s="51">
        <f>MONTH(BDRIOSJ[[#This Row],[FECHA]])</f>
        <v>10</v>
      </c>
      <c r="D1913" s="50">
        <v>45593</v>
      </c>
      <c r="E1913" s="49" t="s">
        <v>113</v>
      </c>
      <c r="F1913" s="65">
        <v>3.2263999999999999</v>
      </c>
    </row>
    <row r="1914" spans="2:6" hidden="1" x14ac:dyDescent="0.25">
      <c r="B1914" s="51">
        <f>YEAR(BDRIOSJ[[#This Row],[FECHA]])</f>
        <v>2024</v>
      </c>
      <c r="C1914" s="51">
        <f>MONTH(BDRIOSJ[[#This Row],[FECHA]])</f>
        <v>10</v>
      </c>
      <c r="D1914" s="50">
        <v>45593</v>
      </c>
      <c r="E1914" s="49" t="s">
        <v>111</v>
      </c>
      <c r="F1914" s="65">
        <v>3.2263999999999999</v>
      </c>
    </row>
    <row r="1915" spans="2:6" hidden="1" x14ac:dyDescent="0.25">
      <c r="B1915" s="51">
        <f>YEAR(BDRIOSJ[[#This Row],[FECHA]])</f>
        <v>2024</v>
      </c>
      <c r="C1915" s="51">
        <f>MONTH(BDRIOSJ[[#This Row],[FECHA]])</f>
        <v>10</v>
      </c>
      <c r="D1915" s="50">
        <v>45594</v>
      </c>
      <c r="E1915" s="49" t="s">
        <v>115</v>
      </c>
      <c r="F1915" s="65">
        <v>3.4946000000000002</v>
      </c>
    </row>
    <row r="1916" spans="2:6" hidden="1" x14ac:dyDescent="0.25">
      <c r="B1916" s="51">
        <f>YEAR(BDRIOSJ[[#This Row],[FECHA]])</f>
        <v>2024</v>
      </c>
      <c r="C1916" s="51">
        <f>MONTH(BDRIOSJ[[#This Row],[FECHA]])</f>
        <v>10</v>
      </c>
      <c r="D1916" s="50">
        <v>45594</v>
      </c>
      <c r="E1916" s="49" t="s">
        <v>114</v>
      </c>
      <c r="F1916" s="65">
        <v>3.4946000000000002</v>
      </c>
    </row>
    <row r="1917" spans="2:6" hidden="1" x14ac:dyDescent="0.25">
      <c r="B1917" s="51">
        <f>YEAR(BDRIOSJ[[#This Row],[FECHA]])</f>
        <v>2024</v>
      </c>
      <c r="C1917" s="51">
        <f>MONTH(BDRIOSJ[[#This Row],[FECHA]])</f>
        <v>10</v>
      </c>
      <c r="D1917" s="50">
        <v>45594</v>
      </c>
      <c r="E1917" s="49" t="s">
        <v>113</v>
      </c>
      <c r="F1917" s="65">
        <v>3.4946000000000002</v>
      </c>
    </row>
    <row r="1918" spans="2:6" hidden="1" x14ac:dyDescent="0.25">
      <c r="B1918" s="51">
        <f>YEAR(BDRIOSJ[[#This Row],[FECHA]])</f>
        <v>2024</v>
      </c>
      <c r="C1918" s="51">
        <f>MONTH(BDRIOSJ[[#This Row],[FECHA]])</f>
        <v>10</v>
      </c>
      <c r="D1918" s="50">
        <v>45594</v>
      </c>
      <c r="E1918" s="49" t="s">
        <v>111</v>
      </c>
      <c r="F1918" s="65">
        <v>3.4946000000000002</v>
      </c>
    </row>
    <row r="1919" spans="2:6" hidden="1" x14ac:dyDescent="0.25">
      <c r="B1919" s="51">
        <f>YEAR(BDRIOSJ[[#This Row],[FECHA]])</f>
        <v>2024</v>
      </c>
      <c r="C1919" s="51">
        <f>MONTH(BDRIOSJ[[#This Row],[FECHA]])</f>
        <v>10</v>
      </c>
      <c r="D1919" s="50">
        <v>45595</v>
      </c>
      <c r="E1919" s="49" t="s">
        <v>111</v>
      </c>
      <c r="F1919" s="65">
        <v>3.2263999999999999</v>
      </c>
    </row>
    <row r="1920" spans="2:6" hidden="1" x14ac:dyDescent="0.25">
      <c r="B1920" s="51">
        <f>YEAR(BDRIOSJ[[#This Row],[FECHA]])</f>
        <v>2024</v>
      </c>
      <c r="C1920" s="51">
        <f>MONTH(BDRIOSJ[[#This Row],[FECHA]])</f>
        <v>11</v>
      </c>
      <c r="D1920" s="50">
        <v>45597</v>
      </c>
      <c r="E1920" s="49" t="s">
        <v>115</v>
      </c>
      <c r="F1920" s="65">
        <v>3.9165999999999999</v>
      </c>
    </row>
    <row r="1921" spans="2:6" hidden="1" x14ac:dyDescent="0.25">
      <c r="B1921" s="51">
        <f>YEAR(BDRIOSJ[[#This Row],[FECHA]])</f>
        <v>2024</v>
      </c>
      <c r="C1921" s="51">
        <f>MONTH(BDRIOSJ[[#This Row],[FECHA]])</f>
        <v>11</v>
      </c>
      <c r="D1921" s="50">
        <v>45597</v>
      </c>
      <c r="E1921" s="49" t="s">
        <v>114</v>
      </c>
      <c r="F1921" s="65">
        <v>3.9165999999999999</v>
      </c>
    </row>
    <row r="1922" spans="2:6" hidden="1" x14ac:dyDescent="0.25">
      <c r="B1922" s="51">
        <f>YEAR(BDRIOSJ[[#This Row],[FECHA]])</f>
        <v>2024</v>
      </c>
      <c r="C1922" s="51">
        <f>MONTH(BDRIOSJ[[#This Row],[FECHA]])</f>
        <v>11</v>
      </c>
      <c r="D1922" s="50">
        <v>45597</v>
      </c>
      <c r="E1922" s="49" t="s">
        <v>113</v>
      </c>
      <c r="F1922" s="65">
        <v>3.9165999999999999</v>
      </c>
    </row>
    <row r="1923" spans="2:6" hidden="1" x14ac:dyDescent="0.25">
      <c r="B1923" s="51">
        <f>YEAR(BDRIOSJ[[#This Row],[FECHA]])</f>
        <v>2024</v>
      </c>
      <c r="C1923" s="51">
        <f>MONTH(BDRIOSJ[[#This Row],[FECHA]])</f>
        <v>11</v>
      </c>
      <c r="D1923" s="50">
        <v>45597</v>
      </c>
      <c r="E1923" s="49" t="s">
        <v>111</v>
      </c>
      <c r="F1923" s="65">
        <v>3.9165999999999999</v>
      </c>
    </row>
    <row r="1924" spans="2:6" hidden="1" x14ac:dyDescent="0.25">
      <c r="B1924" s="51">
        <f>YEAR(BDRIOSJ[[#This Row],[FECHA]])</f>
        <v>2024</v>
      </c>
      <c r="C1924" s="51">
        <f>MONTH(BDRIOSJ[[#This Row],[FECHA]])</f>
        <v>11</v>
      </c>
      <c r="D1924" s="50">
        <v>45598</v>
      </c>
      <c r="E1924" s="49" t="s">
        <v>115</v>
      </c>
      <c r="F1924" s="65">
        <v>4.6726999999999999</v>
      </c>
    </row>
    <row r="1925" spans="2:6" hidden="1" x14ac:dyDescent="0.25">
      <c r="B1925" s="51">
        <f>YEAR(BDRIOSJ[[#This Row],[FECHA]])</f>
        <v>2024</v>
      </c>
      <c r="C1925" s="51">
        <f>MONTH(BDRIOSJ[[#This Row],[FECHA]])</f>
        <v>11</v>
      </c>
      <c r="D1925" s="50">
        <v>45598</v>
      </c>
      <c r="E1925" s="49" t="s">
        <v>114</v>
      </c>
      <c r="F1925" s="65">
        <v>4.6726999999999999</v>
      </c>
    </row>
    <row r="1926" spans="2:6" hidden="1" x14ac:dyDescent="0.25">
      <c r="B1926" s="51">
        <f>YEAR(BDRIOSJ[[#This Row],[FECHA]])</f>
        <v>2024</v>
      </c>
      <c r="C1926" s="51">
        <f>MONTH(BDRIOSJ[[#This Row],[FECHA]])</f>
        <v>11</v>
      </c>
      <c r="D1926" s="50">
        <v>45598</v>
      </c>
      <c r="E1926" s="49" t="s">
        <v>113</v>
      </c>
      <c r="F1926" s="65">
        <v>4.6726999999999999</v>
      </c>
    </row>
    <row r="1927" spans="2:6" hidden="1" x14ac:dyDescent="0.25">
      <c r="B1927" s="51">
        <f>YEAR(BDRIOSJ[[#This Row],[FECHA]])</f>
        <v>2024</v>
      </c>
      <c r="C1927" s="51">
        <f>MONTH(BDRIOSJ[[#This Row],[FECHA]])</f>
        <v>11</v>
      </c>
      <c r="D1927" s="50">
        <v>45598</v>
      </c>
      <c r="E1927" s="49" t="s">
        <v>111</v>
      </c>
      <c r="F1927" s="65">
        <v>4.6726999999999999</v>
      </c>
    </row>
    <row r="1928" spans="2:6" hidden="1" x14ac:dyDescent="0.25">
      <c r="B1928" s="51">
        <f>YEAR(BDRIOSJ[[#This Row],[FECHA]])</f>
        <v>2024</v>
      </c>
      <c r="C1928" s="51">
        <f>MONTH(BDRIOSJ[[#This Row],[FECHA]])</f>
        <v>11</v>
      </c>
      <c r="D1928" s="50">
        <v>45599</v>
      </c>
      <c r="E1928" s="49" t="s">
        <v>115</v>
      </c>
      <c r="F1928" s="65">
        <v>4.6726999999999999</v>
      </c>
    </row>
    <row r="1929" spans="2:6" hidden="1" x14ac:dyDescent="0.25">
      <c r="B1929" s="51">
        <f>YEAR(BDRIOSJ[[#This Row],[FECHA]])</f>
        <v>2024</v>
      </c>
      <c r="C1929" s="51">
        <f>MONTH(BDRIOSJ[[#This Row],[FECHA]])</f>
        <v>11</v>
      </c>
      <c r="D1929" s="50">
        <v>45599</v>
      </c>
      <c r="E1929" s="49" t="s">
        <v>114</v>
      </c>
      <c r="F1929" s="65">
        <v>4.6726999999999999</v>
      </c>
    </row>
    <row r="1930" spans="2:6" hidden="1" x14ac:dyDescent="0.25">
      <c r="B1930" s="51">
        <f>YEAR(BDRIOSJ[[#This Row],[FECHA]])</f>
        <v>2024</v>
      </c>
      <c r="C1930" s="51">
        <f>MONTH(BDRIOSJ[[#This Row],[FECHA]])</f>
        <v>11</v>
      </c>
      <c r="D1930" s="50">
        <v>45599</v>
      </c>
      <c r="E1930" s="49" t="s">
        <v>113</v>
      </c>
      <c r="F1930" s="65">
        <v>4.6726999999999999</v>
      </c>
    </row>
    <row r="1931" spans="2:6" hidden="1" x14ac:dyDescent="0.25">
      <c r="B1931" s="51">
        <f>YEAR(BDRIOSJ[[#This Row],[FECHA]])</f>
        <v>2024</v>
      </c>
      <c r="C1931" s="51">
        <f>MONTH(BDRIOSJ[[#This Row],[FECHA]])</f>
        <v>11</v>
      </c>
      <c r="D1931" s="50">
        <v>45599</v>
      </c>
      <c r="E1931" s="49" t="s">
        <v>111</v>
      </c>
      <c r="F1931" s="65">
        <v>4.6726999999999999</v>
      </c>
    </row>
    <row r="1932" spans="2:6" hidden="1" x14ac:dyDescent="0.25">
      <c r="B1932" s="51">
        <f>YEAR(BDRIOSJ[[#This Row],[FECHA]])</f>
        <v>2024</v>
      </c>
      <c r="C1932" s="51">
        <f>MONTH(BDRIOSJ[[#This Row],[FECHA]])</f>
        <v>11</v>
      </c>
      <c r="D1932" s="50">
        <v>45600</v>
      </c>
      <c r="E1932" s="49" t="s">
        <v>115</v>
      </c>
      <c r="F1932" s="65">
        <v>4.6726999999999999</v>
      </c>
    </row>
    <row r="1933" spans="2:6" hidden="1" x14ac:dyDescent="0.25">
      <c r="B1933" s="51">
        <f>YEAR(BDRIOSJ[[#This Row],[FECHA]])</f>
        <v>2024</v>
      </c>
      <c r="C1933" s="51">
        <f>MONTH(BDRIOSJ[[#This Row],[FECHA]])</f>
        <v>11</v>
      </c>
      <c r="D1933" s="50">
        <v>45600</v>
      </c>
      <c r="E1933" s="49" t="s">
        <v>114</v>
      </c>
      <c r="F1933" s="65">
        <v>4.6726999999999999</v>
      </c>
    </row>
    <row r="1934" spans="2:6" hidden="1" x14ac:dyDescent="0.25">
      <c r="B1934" s="51">
        <f>YEAR(BDRIOSJ[[#This Row],[FECHA]])</f>
        <v>2024</v>
      </c>
      <c r="C1934" s="51">
        <f>MONTH(BDRIOSJ[[#This Row],[FECHA]])</f>
        <v>11</v>
      </c>
      <c r="D1934" s="50">
        <v>45600</v>
      </c>
      <c r="E1934" s="49" t="s">
        <v>113</v>
      </c>
      <c r="F1934" s="65">
        <v>4.6726999999999999</v>
      </c>
    </row>
    <row r="1935" spans="2:6" hidden="1" x14ac:dyDescent="0.25">
      <c r="B1935" s="51">
        <f>YEAR(BDRIOSJ[[#This Row],[FECHA]])</f>
        <v>2024</v>
      </c>
      <c r="C1935" s="51">
        <f>MONTH(BDRIOSJ[[#This Row],[FECHA]])</f>
        <v>11</v>
      </c>
      <c r="D1935" s="50">
        <v>45600</v>
      </c>
      <c r="E1935" s="49" t="s">
        <v>111</v>
      </c>
      <c r="F1935" s="65">
        <v>4.6726999999999999</v>
      </c>
    </row>
    <row r="1936" spans="2:6" hidden="1" x14ac:dyDescent="0.25">
      <c r="B1936" s="51">
        <f>YEAR(BDRIOSJ[[#This Row],[FECHA]])</f>
        <v>2024</v>
      </c>
      <c r="C1936" s="51">
        <f>MONTH(BDRIOSJ[[#This Row],[FECHA]])</f>
        <v>11</v>
      </c>
      <c r="D1936" s="50">
        <v>45601</v>
      </c>
      <c r="E1936" s="49" t="s">
        <v>115</v>
      </c>
      <c r="F1936" s="65">
        <v>4.6726999999999999</v>
      </c>
    </row>
    <row r="1937" spans="2:6" hidden="1" x14ac:dyDescent="0.25">
      <c r="B1937" s="51">
        <f>YEAR(BDRIOSJ[[#This Row],[FECHA]])</f>
        <v>2024</v>
      </c>
      <c r="C1937" s="51">
        <f>MONTH(BDRIOSJ[[#This Row],[FECHA]])</f>
        <v>11</v>
      </c>
      <c r="D1937" s="50">
        <v>45601</v>
      </c>
      <c r="E1937" s="49" t="s">
        <v>114</v>
      </c>
      <c r="F1937" s="65">
        <v>4.6726999999999999</v>
      </c>
    </row>
    <row r="1938" spans="2:6" hidden="1" x14ac:dyDescent="0.25">
      <c r="B1938" s="51">
        <f>YEAR(BDRIOSJ[[#This Row],[FECHA]])</f>
        <v>2024</v>
      </c>
      <c r="C1938" s="51">
        <f>MONTH(BDRIOSJ[[#This Row],[FECHA]])</f>
        <v>11</v>
      </c>
      <c r="D1938" s="50">
        <v>45601</v>
      </c>
      <c r="E1938" s="49" t="s">
        <v>113</v>
      </c>
      <c r="F1938" s="65">
        <v>4.6726999999999999</v>
      </c>
    </row>
    <row r="1939" spans="2:6" hidden="1" x14ac:dyDescent="0.25">
      <c r="B1939" s="51">
        <f>YEAR(BDRIOSJ[[#This Row],[FECHA]])</f>
        <v>2024</v>
      </c>
      <c r="C1939" s="51">
        <f>MONTH(BDRIOSJ[[#This Row],[FECHA]])</f>
        <v>11</v>
      </c>
      <c r="D1939" s="50">
        <v>45601</v>
      </c>
      <c r="E1939" s="49" t="s">
        <v>111</v>
      </c>
      <c r="F1939" s="65">
        <v>4.6726999999999999</v>
      </c>
    </row>
    <row r="1940" spans="2:6" hidden="1" x14ac:dyDescent="0.25">
      <c r="B1940" s="51">
        <f>YEAR(BDRIOSJ[[#This Row],[FECHA]])</f>
        <v>2024</v>
      </c>
      <c r="C1940" s="51">
        <f>MONTH(BDRIOSJ[[#This Row],[FECHA]])</f>
        <v>11</v>
      </c>
      <c r="D1940" s="50">
        <v>45602</v>
      </c>
      <c r="E1940" s="49" t="s">
        <v>115</v>
      </c>
      <c r="F1940" s="65">
        <v>4.6726999999999999</v>
      </c>
    </row>
    <row r="1941" spans="2:6" hidden="1" x14ac:dyDescent="0.25">
      <c r="B1941" s="51">
        <f>YEAR(BDRIOSJ[[#This Row],[FECHA]])</f>
        <v>2024</v>
      </c>
      <c r="C1941" s="51">
        <f>MONTH(BDRIOSJ[[#This Row],[FECHA]])</f>
        <v>11</v>
      </c>
      <c r="D1941" s="50">
        <v>45602</v>
      </c>
      <c r="E1941" s="49" t="s">
        <v>114</v>
      </c>
      <c r="F1941" s="65">
        <v>4.6726999999999999</v>
      </c>
    </row>
    <row r="1942" spans="2:6" hidden="1" x14ac:dyDescent="0.25">
      <c r="B1942" s="51">
        <f>YEAR(BDRIOSJ[[#This Row],[FECHA]])</f>
        <v>2024</v>
      </c>
      <c r="C1942" s="51">
        <f>MONTH(BDRIOSJ[[#This Row],[FECHA]])</f>
        <v>11</v>
      </c>
      <c r="D1942" s="50">
        <v>45602</v>
      </c>
      <c r="E1942" s="49" t="s">
        <v>113</v>
      </c>
      <c r="F1942" s="65">
        <v>4.6726999999999999</v>
      </c>
    </row>
    <row r="1943" spans="2:6" hidden="1" x14ac:dyDescent="0.25">
      <c r="B1943" s="51">
        <f>YEAR(BDRIOSJ[[#This Row],[FECHA]])</f>
        <v>2024</v>
      </c>
      <c r="C1943" s="51">
        <f>MONTH(BDRIOSJ[[#This Row],[FECHA]])</f>
        <v>11</v>
      </c>
      <c r="D1943" s="50">
        <v>45602</v>
      </c>
      <c r="E1943" s="49" t="s">
        <v>111</v>
      </c>
      <c r="F1943" s="65">
        <v>4.5162000000000004</v>
      </c>
    </row>
    <row r="1944" spans="2:6" hidden="1" x14ac:dyDescent="0.25">
      <c r="B1944" s="51">
        <f>YEAR(BDRIOSJ[[#This Row],[FECHA]])</f>
        <v>2024</v>
      </c>
      <c r="C1944" s="51">
        <f>MONTH(BDRIOSJ[[#This Row],[FECHA]])</f>
        <v>11</v>
      </c>
      <c r="D1944" s="50">
        <v>45603</v>
      </c>
      <c r="E1944" s="49" t="s">
        <v>115</v>
      </c>
      <c r="F1944" s="65">
        <v>4.9935</v>
      </c>
    </row>
    <row r="1945" spans="2:6" hidden="1" x14ac:dyDescent="0.25">
      <c r="B1945" s="51">
        <f>YEAR(BDRIOSJ[[#This Row],[FECHA]])</f>
        <v>2024</v>
      </c>
      <c r="C1945" s="51">
        <f>MONTH(BDRIOSJ[[#This Row],[FECHA]])</f>
        <v>11</v>
      </c>
      <c r="D1945" s="50">
        <v>45603</v>
      </c>
      <c r="E1945" s="49" t="s">
        <v>114</v>
      </c>
      <c r="F1945" s="65">
        <v>4.9935</v>
      </c>
    </row>
    <row r="1946" spans="2:6" hidden="1" x14ac:dyDescent="0.25">
      <c r="B1946" s="51">
        <f>YEAR(BDRIOSJ[[#This Row],[FECHA]])</f>
        <v>2024</v>
      </c>
      <c r="C1946" s="51">
        <f>MONTH(BDRIOSJ[[#This Row],[FECHA]])</f>
        <v>11</v>
      </c>
      <c r="D1946" s="50">
        <v>45603</v>
      </c>
      <c r="E1946" s="49" t="s">
        <v>113</v>
      </c>
      <c r="F1946" s="65">
        <v>4.9935</v>
      </c>
    </row>
    <row r="1947" spans="2:6" hidden="1" x14ac:dyDescent="0.25">
      <c r="B1947" s="51">
        <f>YEAR(BDRIOSJ[[#This Row],[FECHA]])</f>
        <v>2024</v>
      </c>
      <c r="C1947" s="51">
        <f>MONTH(BDRIOSJ[[#This Row],[FECHA]])</f>
        <v>11</v>
      </c>
      <c r="D1947" s="50">
        <v>45603</v>
      </c>
      <c r="E1947" s="49" t="s">
        <v>111</v>
      </c>
      <c r="F1947" s="65">
        <v>4.9935</v>
      </c>
    </row>
    <row r="1948" spans="2:6" hidden="1" x14ac:dyDescent="0.25">
      <c r="B1948" s="51">
        <f>YEAR(BDRIOSJ[[#This Row],[FECHA]])</f>
        <v>2024</v>
      </c>
      <c r="C1948" s="51">
        <f>MONTH(BDRIOSJ[[#This Row],[FECHA]])</f>
        <v>11</v>
      </c>
      <c r="D1948" s="50">
        <v>45604</v>
      </c>
      <c r="E1948" s="49" t="s">
        <v>115</v>
      </c>
      <c r="F1948" s="65">
        <v>4.9935</v>
      </c>
    </row>
    <row r="1949" spans="2:6" hidden="1" x14ac:dyDescent="0.25">
      <c r="B1949" s="51">
        <f>YEAR(BDRIOSJ[[#This Row],[FECHA]])</f>
        <v>2024</v>
      </c>
      <c r="C1949" s="51">
        <f>MONTH(BDRIOSJ[[#This Row],[FECHA]])</f>
        <v>11</v>
      </c>
      <c r="D1949" s="50">
        <v>45604</v>
      </c>
      <c r="E1949" s="49" t="s">
        <v>114</v>
      </c>
      <c r="F1949" s="65">
        <v>4.9935</v>
      </c>
    </row>
    <row r="1950" spans="2:6" hidden="1" x14ac:dyDescent="0.25">
      <c r="B1950" s="51">
        <f>YEAR(BDRIOSJ[[#This Row],[FECHA]])</f>
        <v>2024</v>
      </c>
      <c r="C1950" s="51">
        <f>MONTH(BDRIOSJ[[#This Row],[FECHA]])</f>
        <v>11</v>
      </c>
      <c r="D1950" s="50">
        <v>45604</v>
      </c>
      <c r="E1950" s="49" t="s">
        <v>113</v>
      </c>
      <c r="F1950" s="65">
        <v>4.9935</v>
      </c>
    </row>
    <row r="1951" spans="2:6" hidden="1" x14ac:dyDescent="0.25">
      <c r="B1951" s="51">
        <f>YEAR(BDRIOSJ[[#This Row],[FECHA]])</f>
        <v>2024</v>
      </c>
      <c r="C1951" s="51">
        <f>MONTH(BDRIOSJ[[#This Row],[FECHA]])</f>
        <v>11</v>
      </c>
      <c r="D1951" s="50">
        <v>45604</v>
      </c>
      <c r="E1951" s="49" t="s">
        <v>111</v>
      </c>
      <c r="F1951" s="65">
        <v>4.9935</v>
      </c>
    </row>
    <row r="1952" spans="2:6" hidden="1" x14ac:dyDescent="0.25">
      <c r="B1952" s="51">
        <f>YEAR(BDRIOSJ[[#This Row],[FECHA]])</f>
        <v>2024</v>
      </c>
      <c r="C1952" s="51">
        <f>MONTH(BDRIOSJ[[#This Row],[FECHA]])</f>
        <v>11</v>
      </c>
      <c r="D1952" s="50">
        <v>45605</v>
      </c>
      <c r="E1952" s="49" t="s">
        <v>115</v>
      </c>
      <c r="F1952" s="65">
        <v>4.9935</v>
      </c>
    </row>
    <row r="1953" spans="2:6" hidden="1" x14ac:dyDescent="0.25">
      <c r="B1953" s="51">
        <f>YEAR(BDRIOSJ[[#This Row],[FECHA]])</f>
        <v>2024</v>
      </c>
      <c r="C1953" s="51">
        <f>MONTH(BDRIOSJ[[#This Row],[FECHA]])</f>
        <v>11</v>
      </c>
      <c r="D1953" s="50">
        <v>45605</v>
      </c>
      <c r="E1953" s="49" t="s">
        <v>114</v>
      </c>
      <c r="F1953" s="65">
        <v>4.9935</v>
      </c>
    </row>
    <row r="1954" spans="2:6" hidden="1" x14ac:dyDescent="0.25">
      <c r="B1954" s="51">
        <f>YEAR(BDRIOSJ[[#This Row],[FECHA]])</f>
        <v>2024</v>
      </c>
      <c r="C1954" s="51">
        <f>MONTH(BDRIOSJ[[#This Row],[FECHA]])</f>
        <v>11</v>
      </c>
      <c r="D1954" s="50">
        <v>45605</v>
      </c>
      <c r="E1954" s="49" t="s">
        <v>113</v>
      </c>
      <c r="F1954" s="65">
        <v>4.9935</v>
      </c>
    </row>
    <row r="1955" spans="2:6" hidden="1" x14ac:dyDescent="0.25">
      <c r="B1955" s="51">
        <f>YEAR(BDRIOSJ[[#This Row],[FECHA]])</f>
        <v>2024</v>
      </c>
      <c r="C1955" s="51">
        <f>MONTH(BDRIOSJ[[#This Row],[FECHA]])</f>
        <v>11</v>
      </c>
      <c r="D1955" s="50">
        <v>45605</v>
      </c>
      <c r="E1955" s="49" t="s">
        <v>111</v>
      </c>
      <c r="F1955" s="65">
        <v>4.9935</v>
      </c>
    </row>
    <row r="1956" spans="2:6" hidden="1" x14ac:dyDescent="0.25">
      <c r="B1956" s="51">
        <f>YEAR(BDRIOSJ[[#This Row],[FECHA]])</f>
        <v>2024</v>
      </c>
      <c r="C1956" s="51">
        <f>MONTH(BDRIOSJ[[#This Row],[FECHA]])</f>
        <v>11</v>
      </c>
      <c r="D1956" s="50">
        <v>45606</v>
      </c>
      <c r="E1956" s="49" t="s">
        <v>115</v>
      </c>
      <c r="F1956" s="65">
        <v>4.6726999999999999</v>
      </c>
    </row>
    <row r="1957" spans="2:6" hidden="1" x14ac:dyDescent="0.25">
      <c r="B1957" s="51">
        <f>YEAR(BDRIOSJ[[#This Row],[FECHA]])</f>
        <v>2024</v>
      </c>
      <c r="C1957" s="51">
        <f>MONTH(BDRIOSJ[[#This Row],[FECHA]])</f>
        <v>11</v>
      </c>
      <c r="D1957" s="50">
        <v>45606</v>
      </c>
      <c r="E1957" s="49" t="s">
        <v>114</v>
      </c>
      <c r="F1957" s="65">
        <v>4.6726999999999999</v>
      </c>
    </row>
    <row r="1958" spans="2:6" hidden="1" x14ac:dyDescent="0.25">
      <c r="B1958" s="51">
        <f>YEAR(BDRIOSJ[[#This Row],[FECHA]])</f>
        <v>2024</v>
      </c>
      <c r="C1958" s="51">
        <f>MONTH(BDRIOSJ[[#This Row],[FECHA]])</f>
        <v>11</v>
      </c>
      <c r="D1958" s="50">
        <v>45606</v>
      </c>
      <c r="E1958" s="49" t="s">
        <v>113</v>
      </c>
      <c r="F1958" s="65">
        <v>4.6726999999999999</v>
      </c>
    </row>
    <row r="1959" spans="2:6" hidden="1" x14ac:dyDescent="0.25">
      <c r="B1959" s="51">
        <f>YEAR(BDRIOSJ[[#This Row],[FECHA]])</f>
        <v>2024</v>
      </c>
      <c r="C1959" s="51">
        <f>MONTH(BDRIOSJ[[#This Row],[FECHA]])</f>
        <v>11</v>
      </c>
      <c r="D1959" s="50">
        <v>45606</v>
      </c>
      <c r="E1959" s="49" t="s">
        <v>111</v>
      </c>
      <c r="F1959" s="65">
        <v>4.6726999999999999</v>
      </c>
    </row>
    <row r="1960" spans="2:6" hidden="1" x14ac:dyDescent="0.25">
      <c r="B1960" s="51">
        <f>YEAR(BDRIOSJ[[#This Row],[FECHA]])</f>
        <v>2024</v>
      </c>
      <c r="C1960" s="51">
        <f>MONTH(BDRIOSJ[[#This Row],[FECHA]])</f>
        <v>11</v>
      </c>
      <c r="D1960" s="50">
        <v>45607</v>
      </c>
      <c r="E1960" s="49" t="s">
        <v>115</v>
      </c>
      <c r="F1960" s="65">
        <v>4.6726999999999999</v>
      </c>
    </row>
    <row r="1961" spans="2:6" hidden="1" x14ac:dyDescent="0.25">
      <c r="B1961" s="51">
        <f>YEAR(BDRIOSJ[[#This Row],[FECHA]])</f>
        <v>2024</v>
      </c>
      <c r="C1961" s="51">
        <f>MONTH(BDRIOSJ[[#This Row],[FECHA]])</f>
        <v>11</v>
      </c>
      <c r="D1961" s="50">
        <v>45607</v>
      </c>
      <c r="E1961" s="49" t="s">
        <v>114</v>
      </c>
      <c r="F1961" s="65">
        <v>4.6726999999999999</v>
      </c>
    </row>
    <row r="1962" spans="2:6" hidden="1" x14ac:dyDescent="0.25">
      <c r="B1962" s="51">
        <f>YEAR(BDRIOSJ[[#This Row],[FECHA]])</f>
        <v>2024</v>
      </c>
      <c r="C1962" s="51">
        <f>MONTH(BDRIOSJ[[#This Row],[FECHA]])</f>
        <v>11</v>
      </c>
      <c r="D1962" s="50">
        <v>45607</v>
      </c>
      <c r="E1962" s="49" t="s">
        <v>113</v>
      </c>
      <c r="F1962" s="65">
        <v>4.6726999999999999</v>
      </c>
    </row>
    <row r="1963" spans="2:6" hidden="1" x14ac:dyDescent="0.25">
      <c r="B1963" s="51">
        <f>YEAR(BDRIOSJ[[#This Row],[FECHA]])</f>
        <v>2024</v>
      </c>
      <c r="C1963" s="51">
        <f>MONTH(BDRIOSJ[[#This Row],[FECHA]])</f>
        <v>11</v>
      </c>
      <c r="D1963" s="50">
        <v>45607</v>
      </c>
      <c r="E1963" s="49" t="s">
        <v>111</v>
      </c>
      <c r="F1963" s="65">
        <v>4.6726999999999999</v>
      </c>
    </row>
    <row r="1964" spans="2:6" hidden="1" x14ac:dyDescent="0.25">
      <c r="B1964" s="51">
        <f>YEAR(BDRIOSJ[[#This Row],[FECHA]])</f>
        <v>2024</v>
      </c>
      <c r="C1964" s="51">
        <f>MONTH(BDRIOSJ[[#This Row],[FECHA]])</f>
        <v>11</v>
      </c>
      <c r="D1964" s="50">
        <v>45608</v>
      </c>
      <c r="E1964" s="49" t="s">
        <v>115</v>
      </c>
      <c r="F1964" s="65">
        <v>4.6726999999999999</v>
      </c>
    </row>
    <row r="1965" spans="2:6" hidden="1" x14ac:dyDescent="0.25">
      <c r="B1965" s="51">
        <f>YEAR(BDRIOSJ[[#This Row],[FECHA]])</f>
        <v>2024</v>
      </c>
      <c r="C1965" s="51">
        <f>MONTH(BDRIOSJ[[#This Row],[FECHA]])</f>
        <v>11</v>
      </c>
      <c r="D1965" s="50">
        <v>45608</v>
      </c>
      <c r="E1965" s="49" t="s">
        <v>114</v>
      </c>
      <c r="F1965" s="65">
        <v>4.6726999999999999</v>
      </c>
    </row>
    <row r="1966" spans="2:6" hidden="1" x14ac:dyDescent="0.25">
      <c r="B1966" s="51">
        <f>YEAR(BDRIOSJ[[#This Row],[FECHA]])</f>
        <v>2024</v>
      </c>
      <c r="C1966" s="51">
        <f>MONTH(BDRIOSJ[[#This Row],[FECHA]])</f>
        <v>11</v>
      </c>
      <c r="D1966" s="50">
        <v>45608</v>
      </c>
      <c r="E1966" s="49" t="s">
        <v>113</v>
      </c>
      <c r="F1966" s="65">
        <v>4.6726999999999999</v>
      </c>
    </row>
    <row r="1967" spans="2:6" hidden="1" x14ac:dyDescent="0.25">
      <c r="B1967" s="51">
        <f>YEAR(BDRIOSJ[[#This Row],[FECHA]])</f>
        <v>2024</v>
      </c>
      <c r="C1967" s="51">
        <f>MONTH(BDRIOSJ[[#This Row],[FECHA]])</f>
        <v>11</v>
      </c>
      <c r="D1967" s="50">
        <v>45608</v>
      </c>
      <c r="E1967" s="49" t="s">
        <v>111</v>
      </c>
      <c r="F1967" s="65">
        <v>4.6726999999999999</v>
      </c>
    </row>
    <row r="1968" spans="2:6" hidden="1" x14ac:dyDescent="0.25">
      <c r="B1968" s="51">
        <f>YEAR(BDRIOSJ[[#This Row],[FECHA]])</f>
        <v>2024</v>
      </c>
      <c r="C1968" s="51">
        <f>MONTH(BDRIOSJ[[#This Row],[FECHA]])</f>
        <v>11</v>
      </c>
      <c r="D1968" s="50">
        <v>45609</v>
      </c>
      <c r="E1968" s="49" t="s">
        <v>115</v>
      </c>
      <c r="F1968" s="65">
        <v>5.4945000000000004</v>
      </c>
    </row>
    <row r="1969" spans="2:6" hidden="1" x14ac:dyDescent="0.25">
      <c r="B1969" s="51">
        <f>YEAR(BDRIOSJ[[#This Row],[FECHA]])</f>
        <v>2024</v>
      </c>
      <c r="C1969" s="51">
        <f>MONTH(BDRIOSJ[[#This Row],[FECHA]])</f>
        <v>11</v>
      </c>
      <c r="D1969" s="50">
        <v>45609</v>
      </c>
      <c r="E1969" s="49" t="s">
        <v>114</v>
      </c>
      <c r="F1969" s="65">
        <v>5.4945000000000004</v>
      </c>
    </row>
    <row r="1970" spans="2:6" hidden="1" x14ac:dyDescent="0.25">
      <c r="B1970" s="51">
        <f>YEAR(BDRIOSJ[[#This Row],[FECHA]])</f>
        <v>2024</v>
      </c>
      <c r="C1970" s="51">
        <f>MONTH(BDRIOSJ[[#This Row],[FECHA]])</f>
        <v>11</v>
      </c>
      <c r="D1970" s="50">
        <v>45609</v>
      </c>
      <c r="E1970" s="49" t="s">
        <v>113</v>
      </c>
      <c r="F1970" s="65">
        <v>5.4945000000000004</v>
      </c>
    </row>
    <row r="1971" spans="2:6" hidden="1" x14ac:dyDescent="0.25">
      <c r="B1971" s="51">
        <f>YEAR(BDRIOSJ[[#This Row],[FECHA]])</f>
        <v>2024</v>
      </c>
      <c r="C1971" s="51">
        <f>MONTH(BDRIOSJ[[#This Row],[FECHA]])</f>
        <v>11</v>
      </c>
      <c r="D1971" s="50">
        <v>45609</v>
      </c>
      <c r="E1971" s="49" t="s">
        <v>111</v>
      </c>
      <c r="F1971" s="65">
        <v>5.4945000000000004</v>
      </c>
    </row>
    <row r="1972" spans="2:6" hidden="1" x14ac:dyDescent="0.25">
      <c r="B1972" s="51">
        <f>YEAR(BDRIOSJ[[#This Row],[FECHA]])</f>
        <v>2024</v>
      </c>
      <c r="C1972" s="51">
        <f>MONTH(BDRIOSJ[[#This Row],[FECHA]])</f>
        <v>11</v>
      </c>
      <c r="D1972" s="50">
        <v>45610</v>
      </c>
      <c r="E1972" s="49" t="s">
        <v>115</v>
      </c>
      <c r="F1972" s="65">
        <v>4.3623000000000003</v>
      </c>
    </row>
    <row r="1973" spans="2:6" hidden="1" x14ac:dyDescent="0.25">
      <c r="B1973" s="51">
        <f>YEAR(BDRIOSJ[[#This Row],[FECHA]])</f>
        <v>2024</v>
      </c>
      <c r="C1973" s="51">
        <f>MONTH(BDRIOSJ[[#This Row],[FECHA]])</f>
        <v>11</v>
      </c>
      <c r="D1973" s="50">
        <v>45610</v>
      </c>
      <c r="E1973" s="49" t="s">
        <v>114</v>
      </c>
      <c r="F1973" s="65">
        <v>4.3623000000000003</v>
      </c>
    </row>
    <row r="1974" spans="2:6" hidden="1" x14ac:dyDescent="0.25">
      <c r="B1974" s="51">
        <f>YEAR(BDRIOSJ[[#This Row],[FECHA]])</f>
        <v>2024</v>
      </c>
      <c r="C1974" s="51">
        <f>MONTH(BDRIOSJ[[#This Row],[FECHA]])</f>
        <v>11</v>
      </c>
      <c r="D1974" s="50">
        <v>45610</v>
      </c>
      <c r="E1974" s="49" t="s">
        <v>113</v>
      </c>
      <c r="F1974" s="65">
        <v>4.3623000000000003</v>
      </c>
    </row>
    <row r="1975" spans="2:6" hidden="1" x14ac:dyDescent="0.25">
      <c r="B1975" s="51">
        <f>YEAR(BDRIOSJ[[#This Row],[FECHA]])</f>
        <v>2024</v>
      </c>
      <c r="C1975" s="51">
        <f>MONTH(BDRIOSJ[[#This Row],[FECHA]])</f>
        <v>11</v>
      </c>
      <c r="D1975" s="50">
        <v>45610</v>
      </c>
      <c r="E1975" s="49" t="s">
        <v>111</v>
      </c>
      <c r="F1975" s="65">
        <v>4.3623000000000003</v>
      </c>
    </row>
    <row r="1976" spans="2:6" hidden="1" x14ac:dyDescent="0.25">
      <c r="B1976" s="51">
        <f>YEAR(BDRIOSJ[[#This Row],[FECHA]])</f>
        <v>2024</v>
      </c>
      <c r="C1976" s="51">
        <f>MONTH(BDRIOSJ[[#This Row],[FECHA]])</f>
        <v>11</v>
      </c>
      <c r="D1976" s="50">
        <v>45611</v>
      </c>
      <c r="E1976" s="49" t="s">
        <v>115</v>
      </c>
      <c r="F1976" s="65">
        <v>4.5162000000000004</v>
      </c>
    </row>
    <row r="1977" spans="2:6" hidden="1" x14ac:dyDescent="0.25">
      <c r="B1977" s="51">
        <f>YEAR(BDRIOSJ[[#This Row],[FECHA]])</f>
        <v>2024</v>
      </c>
      <c r="C1977" s="51">
        <f>MONTH(BDRIOSJ[[#This Row],[FECHA]])</f>
        <v>11</v>
      </c>
      <c r="D1977" s="50">
        <v>45611</v>
      </c>
      <c r="E1977" s="49" t="s">
        <v>114</v>
      </c>
      <c r="F1977" s="65">
        <v>4.5162000000000004</v>
      </c>
    </row>
    <row r="1978" spans="2:6" hidden="1" x14ac:dyDescent="0.25">
      <c r="B1978" s="51">
        <f>YEAR(BDRIOSJ[[#This Row],[FECHA]])</f>
        <v>2024</v>
      </c>
      <c r="C1978" s="51">
        <f>MONTH(BDRIOSJ[[#This Row],[FECHA]])</f>
        <v>11</v>
      </c>
      <c r="D1978" s="50">
        <v>45611</v>
      </c>
      <c r="E1978" s="49" t="s">
        <v>113</v>
      </c>
      <c r="F1978" s="65">
        <v>4.5162000000000004</v>
      </c>
    </row>
    <row r="1979" spans="2:6" hidden="1" x14ac:dyDescent="0.25">
      <c r="B1979" s="51">
        <f>YEAR(BDRIOSJ[[#This Row],[FECHA]])</f>
        <v>2024</v>
      </c>
      <c r="C1979" s="51">
        <f>MONTH(BDRIOSJ[[#This Row],[FECHA]])</f>
        <v>11</v>
      </c>
      <c r="D1979" s="50">
        <v>45611</v>
      </c>
      <c r="E1979" s="49" t="s">
        <v>111</v>
      </c>
      <c r="F1979" s="65">
        <v>4.5162000000000004</v>
      </c>
    </row>
    <row r="1980" spans="2:6" hidden="1" x14ac:dyDescent="0.25">
      <c r="B1980" s="51">
        <f>YEAR(BDRIOSJ[[#This Row],[FECHA]])</f>
        <v>2024</v>
      </c>
      <c r="C1980" s="51">
        <f>MONTH(BDRIOSJ[[#This Row],[FECHA]])</f>
        <v>11</v>
      </c>
      <c r="D1980" s="50">
        <v>45612</v>
      </c>
      <c r="E1980" s="49" t="s">
        <v>115</v>
      </c>
      <c r="F1980" s="65">
        <v>4.8318000000000003</v>
      </c>
    </row>
    <row r="1981" spans="2:6" hidden="1" x14ac:dyDescent="0.25">
      <c r="B1981" s="51">
        <f>YEAR(BDRIOSJ[[#This Row],[FECHA]])</f>
        <v>2024</v>
      </c>
      <c r="C1981" s="51">
        <f>MONTH(BDRIOSJ[[#This Row],[FECHA]])</f>
        <v>11</v>
      </c>
      <c r="D1981" s="50">
        <v>45612</v>
      </c>
      <c r="E1981" s="49" t="s">
        <v>114</v>
      </c>
      <c r="F1981" s="65">
        <v>4.8318000000000003</v>
      </c>
    </row>
    <row r="1982" spans="2:6" hidden="1" x14ac:dyDescent="0.25">
      <c r="B1982" s="51">
        <f>YEAR(BDRIOSJ[[#This Row],[FECHA]])</f>
        <v>2024</v>
      </c>
      <c r="C1982" s="51">
        <f>MONTH(BDRIOSJ[[#This Row],[FECHA]])</f>
        <v>11</v>
      </c>
      <c r="D1982" s="50">
        <v>45612</v>
      </c>
      <c r="E1982" s="49" t="s">
        <v>113</v>
      </c>
      <c r="F1982" s="65">
        <v>4.8318000000000003</v>
      </c>
    </row>
    <row r="1983" spans="2:6" hidden="1" x14ac:dyDescent="0.25">
      <c r="B1983" s="51">
        <f>YEAR(BDRIOSJ[[#This Row],[FECHA]])</f>
        <v>2024</v>
      </c>
      <c r="C1983" s="51">
        <f>MONTH(BDRIOSJ[[#This Row],[FECHA]])</f>
        <v>11</v>
      </c>
      <c r="D1983" s="50">
        <v>45612</v>
      </c>
      <c r="E1983" s="49" t="s">
        <v>111</v>
      </c>
      <c r="F1983" s="65">
        <v>4.8318000000000003</v>
      </c>
    </row>
    <row r="1984" spans="2:6" hidden="1" x14ac:dyDescent="0.25">
      <c r="B1984" s="51">
        <f>YEAR(BDRIOSJ[[#This Row],[FECHA]])</f>
        <v>2024</v>
      </c>
      <c r="C1984" s="51">
        <f>MONTH(BDRIOSJ[[#This Row],[FECHA]])</f>
        <v>11</v>
      </c>
      <c r="D1984" s="50">
        <v>45613</v>
      </c>
      <c r="E1984" s="49" t="s">
        <v>115</v>
      </c>
      <c r="F1984" s="65">
        <v>4.6726999999999999</v>
      </c>
    </row>
    <row r="1985" spans="2:6" hidden="1" x14ac:dyDescent="0.25">
      <c r="B1985" s="51">
        <f>YEAR(BDRIOSJ[[#This Row],[FECHA]])</f>
        <v>2024</v>
      </c>
      <c r="C1985" s="51">
        <f>MONTH(BDRIOSJ[[#This Row],[FECHA]])</f>
        <v>11</v>
      </c>
      <c r="D1985" s="50">
        <v>45613</v>
      </c>
      <c r="E1985" s="49" t="s">
        <v>114</v>
      </c>
      <c r="F1985" s="65">
        <v>4.6726999999999999</v>
      </c>
    </row>
    <row r="1986" spans="2:6" hidden="1" x14ac:dyDescent="0.25">
      <c r="B1986" s="51">
        <f>YEAR(BDRIOSJ[[#This Row],[FECHA]])</f>
        <v>2024</v>
      </c>
      <c r="C1986" s="51">
        <f>MONTH(BDRIOSJ[[#This Row],[FECHA]])</f>
        <v>11</v>
      </c>
      <c r="D1986" s="50">
        <v>45613</v>
      </c>
      <c r="E1986" s="49" t="s">
        <v>113</v>
      </c>
      <c r="F1986" s="65">
        <v>4.6726999999999999</v>
      </c>
    </row>
    <row r="1987" spans="2:6" hidden="1" x14ac:dyDescent="0.25">
      <c r="B1987" s="51">
        <f>YEAR(BDRIOSJ[[#This Row],[FECHA]])</f>
        <v>2024</v>
      </c>
      <c r="C1987" s="51">
        <f>MONTH(BDRIOSJ[[#This Row],[FECHA]])</f>
        <v>11</v>
      </c>
      <c r="D1987" s="50">
        <v>45613</v>
      </c>
      <c r="E1987" s="49" t="s">
        <v>111</v>
      </c>
      <c r="F1987" s="65">
        <v>4.6726999999999999</v>
      </c>
    </row>
    <row r="1988" spans="2:6" hidden="1" x14ac:dyDescent="0.25">
      <c r="B1988" s="51">
        <f>YEAR(BDRIOSJ[[#This Row],[FECHA]])</f>
        <v>2024</v>
      </c>
      <c r="C1988" s="51">
        <f>MONTH(BDRIOSJ[[#This Row],[FECHA]])</f>
        <v>11</v>
      </c>
      <c r="D1988" s="50">
        <v>45614</v>
      </c>
      <c r="E1988" s="49" t="s">
        <v>115</v>
      </c>
      <c r="F1988" s="65">
        <v>5.4945000000000004</v>
      </c>
    </row>
    <row r="1989" spans="2:6" hidden="1" x14ac:dyDescent="0.25">
      <c r="B1989" s="51">
        <f>YEAR(BDRIOSJ[[#This Row],[FECHA]])</f>
        <v>2024</v>
      </c>
      <c r="C1989" s="51">
        <f>MONTH(BDRIOSJ[[#This Row],[FECHA]])</f>
        <v>11</v>
      </c>
      <c r="D1989" s="50">
        <v>45614</v>
      </c>
      <c r="E1989" s="49" t="s">
        <v>114</v>
      </c>
      <c r="F1989" s="65">
        <v>5.4945000000000004</v>
      </c>
    </row>
    <row r="1990" spans="2:6" hidden="1" x14ac:dyDescent="0.25">
      <c r="B1990" s="51">
        <f>YEAR(BDRIOSJ[[#This Row],[FECHA]])</f>
        <v>2024</v>
      </c>
      <c r="C1990" s="51">
        <f>MONTH(BDRIOSJ[[#This Row],[FECHA]])</f>
        <v>11</v>
      </c>
      <c r="D1990" s="50">
        <v>45614</v>
      </c>
      <c r="E1990" s="49" t="s">
        <v>113</v>
      </c>
      <c r="F1990" s="65">
        <v>5.4945000000000004</v>
      </c>
    </row>
    <row r="1991" spans="2:6" hidden="1" x14ac:dyDescent="0.25">
      <c r="B1991" s="51">
        <f>YEAR(BDRIOSJ[[#This Row],[FECHA]])</f>
        <v>2024</v>
      </c>
      <c r="C1991" s="51">
        <f>MONTH(BDRIOSJ[[#This Row],[FECHA]])</f>
        <v>11</v>
      </c>
      <c r="D1991" s="50">
        <v>45614</v>
      </c>
      <c r="E1991" s="49" t="s">
        <v>111</v>
      </c>
      <c r="F1991" s="65">
        <v>5.4945000000000004</v>
      </c>
    </row>
    <row r="1992" spans="2:6" hidden="1" x14ac:dyDescent="0.25">
      <c r="B1992" s="51">
        <f>YEAR(BDRIOSJ[[#This Row],[FECHA]])</f>
        <v>2024</v>
      </c>
      <c r="C1992" s="51">
        <f>MONTH(BDRIOSJ[[#This Row],[FECHA]])</f>
        <v>11</v>
      </c>
      <c r="D1992" s="50">
        <v>45615</v>
      </c>
      <c r="E1992" s="49" t="s">
        <v>115</v>
      </c>
      <c r="F1992" s="65">
        <v>5.4945000000000004</v>
      </c>
    </row>
    <row r="1993" spans="2:6" hidden="1" x14ac:dyDescent="0.25">
      <c r="B1993" s="51">
        <f>YEAR(BDRIOSJ[[#This Row],[FECHA]])</f>
        <v>2024</v>
      </c>
      <c r="C1993" s="51">
        <f>MONTH(BDRIOSJ[[#This Row],[FECHA]])</f>
        <v>11</v>
      </c>
      <c r="D1993" s="50">
        <v>45615</v>
      </c>
      <c r="E1993" s="49" t="s">
        <v>114</v>
      </c>
      <c r="F1993" s="65">
        <v>5.4945000000000004</v>
      </c>
    </row>
    <row r="1994" spans="2:6" hidden="1" x14ac:dyDescent="0.25">
      <c r="B1994" s="51">
        <f>YEAR(BDRIOSJ[[#This Row],[FECHA]])</f>
        <v>2024</v>
      </c>
      <c r="C1994" s="51">
        <f>MONTH(BDRIOSJ[[#This Row],[FECHA]])</f>
        <v>11</v>
      </c>
      <c r="D1994" s="50">
        <v>45615</v>
      </c>
      <c r="E1994" s="49" t="s">
        <v>113</v>
      </c>
      <c r="F1994" s="65">
        <v>5.4945000000000004</v>
      </c>
    </row>
    <row r="1995" spans="2:6" hidden="1" x14ac:dyDescent="0.25">
      <c r="B1995" s="51">
        <f>YEAR(BDRIOSJ[[#This Row],[FECHA]])</f>
        <v>2024</v>
      </c>
      <c r="C1995" s="51">
        <f>MONTH(BDRIOSJ[[#This Row],[FECHA]])</f>
        <v>11</v>
      </c>
      <c r="D1995" s="50">
        <v>45615</v>
      </c>
      <c r="E1995" s="49" t="s">
        <v>111</v>
      </c>
      <c r="F1995" s="65">
        <v>5.4945000000000004</v>
      </c>
    </row>
    <row r="1996" spans="2:6" hidden="1" x14ac:dyDescent="0.25">
      <c r="B1996" s="51">
        <f>YEAR(BDRIOSJ[[#This Row],[FECHA]])</f>
        <v>2024</v>
      </c>
      <c r="C1996" s="51">
        <f>MONTH(BDRIOSJ[[#This Row],[FECHA]])</f>
        <v>11</v>
      </c>
      <c r="D1996" s="50">
        <v>45616</v>
      </c>
      <c r="E1996" s="49" t="s">
        <v>115</v>
      </c>
      <c r="F1996" s="65">
        <v>5.6668000000000003</v>
      </c>
    </row>
    <row r="1997" spans="2:6" hidden="1" x14ac:dyDescent="0.25">
      <c r="B1997" s="51">
        <f>YEAR(BDRIOSJ[[#This Row],[FECHA]])</f>
        <v>2024</v>
      </c>
      <c r="C1997" s="51">
        <f>MONTH(BDRIOSJ[[#This Row],[FECHA]])</f>
        <v>11</v>
      </c>
      <c r="D1997" s="50">
        <v>45616</v>
      </c>
      <c r="E1997" s="49" t="s">
        <v>114</v>
      </c>
      <c r="F1997" s="65">
        <v>5.4945000000000004</v>
      </c>
    </row>
    <row r="1998" spans="2:6" hidden="1" x14ac:dyDescent="0.25">
      <c r="B1998" s="51">
        <f>YEAR(BDRIOSJ[[#This Row],[FECHA]])</f>
        <v>2024</v>
      </c>
      <c r="C1998" s="51">
        <f>MONTH(BDRIOSJ[[#This Row],[FECHA]])</f>
        <v>11</v>
      </c>
      <c r="D1998" s="50">
        <v>45616</v>
      </c>
      <c r="E1998" s="49" t="s">
        <v>113</v>
      </c>
      <c r="F1998" s="65">
        <v>5.4945000000000004</v>
      </c>
    </row>
    <row r="1999" spans="2:6" hidden="1" x14ac:dyDescent="0.25">
      <c r="B1999" s="51">
        <f>YEAR(BDRIOSJ[[#This Row],[FECHA]])</f>
        <v>2024</v>
      </c>
      <c r="C1999" s="51">
        <f>MONTH(BDRIOSJ[[#This Row],[FECHA]])</f>
        <v>11</v>
      </c>
      <c r="D1999" s="50">
        <v>45616</v>
      </c>
      <c r="E1999" s="49" t="s">
        <v>111</v>
      </c>
      <c r="F1999" s="65">
        <v>5.6668000000000003</v>
      </c>
    </row>
    <row r="2000" spans="2:6" hidden="1" x14ac:dyDescent="0.25">
      <c r="B2000" s="51">
        <f>YEAR(BDRIOSJ[[#This Row],[FECHA]])</f>
        <v>2024</v>
      </c>
      <c r="C2000" s="51">
        <f>MONTH(BDRIOSJ[[#This Row],[FECHA]])</f>
        <v>11</v>
      </c>
      <c r="D2000" s="50">
        <v>45617</v>
      </c>
      <c r="E2000" s="49" t="s">
        <v>115</v>
      </c>
      <c r="F2000" s="65">
        <v>5.6668000000000003</v>
      </c>
    </row>
    <row r="2001" spans="2:6" hidden="1" x14ac:dyDescent="0.25">
      <c r="B2001" s="51">
        <f>YEAR(BDRIOSJ[[#This Row],[FECHA]])</f>
        <v>2024</v>
      </c>
      <c r="C2001" s="51">
        <f>MONTH(BDRIOSJ[[#This Row],[FECHA]])</f>
        <v>11</v>
      </c>
      <c r="D2001" s="50">
        <v>45617</v>
      </c>
      <c r="E2001" s="49" t="s">
        <v>114</v>
      </c>
      <c r="F2001" s="65">
        <v>5.6668000000000003</v>
      </c>
    </row>
    <row r="2002" spans="2:6" hidden="1" x14ac:dyDescent="0.25">
      <c r="B2002" s="51">
        <f>YEAR(BDRIOSJ[[#This Row],[FECHA]])</f>
        <v>2024</v>
      </c>
      <c r="C2002" s="51">
        <f>MONTH(BDRIOSJ[[#This Row],[FECHA]])</f>
        <v>11</v>
      </c>
      <c r="D2002" s="50">
        <v>45617</v>
      </c>
      <c r="E2002" s="49" t="s">
        <v>113</v>
      </c>
      <c r="F2002" s="65">
        <v>5.6668000000000003</v>
      </c>
    </row>
    <row r="2003" spans="2:6" hidden="1" x14ac:dyDescent="0.25">
      <c r="B2003" s="51">
        <f>YEAR(BDRIOSJ[[#This Row],[FECHA]])</f>
        <v>2024</v>
      </c>
      <c r="C2003" s="51">
        <f>MONTH(BDRIOSJ[[#This Row],[FECHA]])</f>
        <v>11</v>
      </c>
      <c r="D2003" s="50">
        <v>45617</v>
      </c>
      <c r="E2003" s="49" t="s">
        <v>111</v>
      </c>
      <c r="F2003" s="65">
        <v>5.6668000000000003</v>
      </c>
    </row>
    <row r="2004" spans="2:6" hidden="1" x14ac:dyDescent="0.25">
      <c r="B2004" s="51">
        <f>YEAR(BDRIOSJ[[#This Row],[FECHA]])</f>
        <v>2024</v>
      </c>
      <c r="C2004" s="51">
        <f>MONTH(BDRIOSJ[[#This Row],[FECHA]])</f>
        <v>11</v>
      </c>
      <c r="D2004" s="50">
        <v>45618</v>
      </c>
      <c r="E2004" s="49" t="s">
        <v>115</v>
      </c>
      <c r="F2004" s="65">
        <v>5.6668000000000003</v>
      </c>
    </row>
    <row r="2005" spans="2:6" hidden="1" x14ac:dyDescent="0.25">
      <c r="B2005" s="51">
        <f>YEAR(BDRIOSJ[[#This Row],[FECHA]])</f>
        <v>2024</v>
      </c>
      <c r="C2005" s="51">
        <f>MONTH(BDRIOSJ[[#This Row],[FECHA]])</f>
        <v>11</v>
      </c>
      <c r="D2005" s="50">
        <v>45618</v>
      </c>
      <c r="E2005" s="49" t="s">
        <v>114</v>
      </c>
      <c r="F2005" s="65">
        <v>5.6668000000000003</v>
      </c>
    </row>
    <row r="2006" spans="2:6" hidden="1" x14ac:dyDescent="0.25">
      <c r="B2006" s="51">
        <f>YEAR(BDRIOSJ[[#This Row],[FECHA]])</f>
        <v>2024</v>
      </c>
      <c r="C2006" s="51">
        <f>MONTH(BDRIOSJ[[#This Row],[FECHA]])</f>
        <v>11</v>
      </c>
      <c r="D2006" s="50">
        <v>45618</v>
      </c>
      <c r="E2006" s="49" t="s">
        <v>113</v>
      </c>
      <c r="F2006" s="65">
        <v>5.6668000000000003</v>
      </c>
    </row>
    <row r="2007" spans="2:6" hidden="1" x14ac:dyDescent="0.25">
      <c r="B2007" s="51">
        <f>YEAR(BDRIOSJ[[#This Row],[FECHA]])</f>
        <v>2024</v>
      </c>
      <c r="C2007" s="51">
        <f>MONTH(BDRIOSJ[[#This Row],[FECHA]])</f>
        <v>11</v>
      </c>
      <c r="D2007" s="50">
        <v>45618</v>
      </c>
      <c r="E2007" s="49" t="s">
        <v>111</v>
      </c>
      <c r="F2007" s="65">
        <v>5.6668000000000003</v>
      </c>
    </row>
    <row r="2008" spans="2:6" hidden="1" x14ac:dyDescent="0.25">
      <c r="B2008" s="51">
        <f>YEAR(BDRIOSJ[[#This Row],[FECHA]])</f>
        <v>2024</v>
      </c>
      <c r="C2008" s="51">
        <f>MONTH(BDRIOSJ[[#This Row],[FECHA]])</f>
        <v>11</v>
      </c>
      <c r="D2008" s="50">
        <v>45619</v>
      </c>
      <c r="E2008" s="49" t="s">
        <v>114</v>
      </c>
      <c r="F2008" s="65">
        <v>5.6668000000000003</v>
      </c>
    </row>
    <row r="2009" spans="2:6" hidden="1" x14ac:dyDescent="0.25">
      <c r="B2009" s="51">
        <f>YEAR(BDRIOSJ[[#This Row],[FECHA]])</f>
        <v>2024</v>
      </c>
      <c r="C2009" s="51">
        <f>MONTH(BDRIOSJ[[#This Row],[FECHA]])</f>
        <v>11</v>
      </c>
      <c r="D2009" s="50">
        <v>45619</v>
      </c>
      <c r="E2009" s="49" t="s">
        <v>113</v>
      </c>
      <c r="F2009" s="65">
        <v>5.6668000000000003</v>
      </c>
    </row>
    <row r="2010" spans="2:6" hidden="1" x14ac:dyDescent="0.25">
      <c r="B2010" s="51">
        <f>YEAR(BDRIOSJ[[#This Row],[FECHA]])</f>
        <v>2024</v>
      </c>
      <c r="C2010" s="51">
        <f>MONTH(BDRIOSJ[[#This Row],[FECHA]])</f>
        <v>11</v>
      </c>
      <c r="D2010" s="50">
        <v>45619</v>
      </c>
      <c r="E2010" s="49" t="s">
        <v>111</v>
      </c>
      <c r="F2010" s="65">
        <v>5.6668000000000003</v>
      </c>
    </row>
    <row r="2011" spans="2:6" hidden="1" x14ac:dyDescent="0.25">
      <c r="B2011" s="51">
        <f>YEAR(BDRIOSJ[[#This Row],[FECHA]])</f>
        <v>2024</v>
      </c>
      <c r="C2011" s="51">
        <f>MONTH(BDRIOSJ[[#This Row],[FECHA]])</f>
        <v>11</v>
      </c>
      <c r="D2011" s="50">
        <v>45620</v>
      </c>
      <c r="E2011" s="49" t="s">
        <v>115</v>
      </c>
      <c r="F2011" s="65">
        <v>5.6668000000000003</v>
      </c>
    </row>
    <row r="2012" spans="2:6" hidden="1" x14ac:dyDescent="0.25">
      <c r="B2012" s="51">
        <f>YEAR(BDRIOSJ[[#This Row],[FECHA]])</f>
        <v>2024</v>
      </c>
      <c r="C2012" s="51">
        <f>MONTH(BDRIOSJ[[#This Row],[FECHA]])</f>
        <v>11</v>
      </c>
      <c r="D2012" s="50">
        <v>45620</v>
      </c>
      <c r="E2012" s="49" t="s">
        <v>114</v>
      </c>
      <c r="F2012" s="65">
        <v>5.6668000000000003</v>
      </c>
    </row>
    <row r="2013" spans="2:6" hidden="1" x14ac:dyDescent="0.25">
      <c r="B2013" s="51">
        <f>YEAR(BDRIOSJ[[#This Row],[FECHA]])</f>
        <v>2024</v>
      </c>
      <c r="C2013" s="51">
        <f>MONTH(BDRIOSJ[[#This Row],[FECHA]])</f>
        <v>11</v>
      </c>
      <c r="D2013" s="50">
        <v>45620</v>
      </c>
      <c r="E2013" s="49" t="s">
        <v>113</v>
      </c>
      <c r="F2013" s="65">
        <v>5.6668000000000003</v>
      </c>
    </row>
    <row r="2014" spans="2:6" hidden="1" x14ac:dyDescent="0.25">
      <c r="B2014" s="51">
        <f>YEAR(BDRIOSJ[[#This Row],[FECHA]])</f>
        <v>2024</v>
      </c>
      <c r="C2014" s="51">
        <f>MONTH(BDRIOSJ[[#This Row],[FECHA]])</f>
        <v>11</v>
      </c>
      <c r="D2014" s="50">
        <v>45620</v>
      </c>
      <c r="E2014" s="49" t="s">
        <v>111</v>
      </c>
      <c r="F2014" s="65">
        <v>5.6668000000000003</v>
      </c>
    </row>
    <row r="2015" spans="2:6" hidden="1" x14ac:dyDescent="0.25">
      <c r="B2015" s="51">
        <f>YEAR(BDRIOSJ[[#This Row],[FECHA]])</f>
        <v>2024</v>
      </c>
      <c r="C2015" s="51">
        <f>MONTH(BDRIOSJ[[#This Row],[FECHA]])</f>
        <v>11</v>
      </c>
      <c r="D2015" s="50">
        <v>45621</v>
      </c>
      <c r="E2015" s="49" t="s">
        <v>115</v>
      </c>
      <c r="F2015" s="65">
        <v>5.6668000000000003</v>
      </c>
    </row>
    <row r="2016" spans="2:6" hidden="1" x14ac:dyDescent="0.25">
      <c r="B2016" s="51">
        <f>YEAR(BDRIOSJ[[#This Row],[FECHA]])</f>
        <v>2024</v>
      </c>
      <c r="C2016" s="51">
        <f>MONTH(BDRIOSJ[[#This Row],[FECHA]])</f>
        <v>11</v>
      </c>
      <c r="D2016" s="50">
        <v>45621</v>
      </c>
      <c r="E2016" s="49" t="s">
        <v>114</v>
      </c>
      <c r="F2016" s="65">
        <v>5.6668000000000003</v>
      </c>
    </row>
    <row r="2017" spans="2:6" hidden="1" x14ac:dyDescent="0.25">
      <c r="B2017" s="51">
        <f>YEAR(BDRIOSJ[[#This Row],[FECHA]])</f>
        <v>2024</v>
      </c>
      <c r="C2017" s="51">
        <f>MONTH(BDRIOSJ[[#This Row],[FECHA]])</f>
        <v>11</v>
      </c>
      <c r="D2017" s="50">
        <v>45621</v>
      </c>
      <c r="E2017" s="49" t="s">
        <v>113</v>
      </c>
      <c r="F2017" s="65">
        <v>5.6668000000000003</v>
      </c>
    </row>
    <row r="2018" spans="2:6" hidden="1" x14ac:dyDescent="0.25">
      <c r="B2018" s="51">
        <f>YEAR(BDRIOSJ[[#This Row],[FECHA]])</f>
        <v>2024</v>
      </c>
      <c r="C2018" s="51">
        <f>MONTH(BDRIOSJ[[#This Row],[FECHA]])</f>
        <v>11</v>
      </c>
      <c r="D2018" s="50">
        <v>45621</v>
      </c>
      <c r="E2018" s="49" t="s">
        <v>111</v>
      </c>
      <c r="F2018" s="65">
        <v>5.6668000000000003</v>
      </c>
    </row>
    <row r="2019" spans="2:6" hidden="1" x14ac:dyDescent="0.25">
      <c r="B2019" s="51">
        <f>YEAR(BDRIOSJ[[#This Row],[FECHA]])</f>
        <v>2024</v>
      </c>
      <c r="C2019" s="51">
        <f>MONTH(BDRIOSJ[[#This Row],[FECHA]])</f>
        <v>11</v>
      </c>
      <c r="D2019" s="50">
        <v>45622</v>
      </c>
      <c r="E2019" s="49" t="s">
        <v>115</v>
      </c>
      <c r="F2019" s="65">
        <v>5.6668000000000003</v>
      </c>
    </row>
    <row r="2020" spans="2:6" hidden="1" x14ac:dyDescent="0.25">
      <c r="B2020" s="51">
        <f>YEAR(BDRIOSJ[[#This Row],[FECHA]])</f>
        <v>2024</v>
      </c>
      <c r="C2020" s="51">
        <f>MONTH(BDRIOSJ[[#This Row],[FECHA]])</f>
        <v>11</v>
      </c>
      <c r="D2020" s="50">
        <v>45622</v>
      </c>
      <c r="E2020" s="49" t="s">
        <v>114</v>
      </c>
      <c r="F2020" s="65">
        <v>5.6668000000000003</v>
      </c>
    </row>
    <row r="2021" spans="2:6" hidden="1" x14ac:dyDescent="0.25">
      <c r="B2021" s="51">
        <f>YEAR(BDRIOSJ[[#This Row],[FECHA]])</f>
        <v>2024</v>
      </c>
      <c r="C2021" s="51">
        <f>MONTH(BDRIOSJ[[#This Row],[FECHA]])</f>
        <v>11</v>
      </c>
      <c r="D2021" s="50">
        <v>45622</v>
      </c>
      <c r="E2021" s="49" t="s">
        <v>113</v>
      </c>
      <c r="F2021" s="65">
        <v>5.6668000000000003</v>
      </c>
    </row>
    <row r="2022" spans="2:6" hidden="1" x14ac:dyDescent="0.25">
      <c r="B2022" s="51">
        <f>YEAR(BDRIOSJ[[#This Row],[FECHA]])</f>
        <v>2024</v>
      </c>
      <c r="C2022" s="51">
        <f>MONTH(BDRIOSJ[[#This Row],[FECHA]])</f>
        <v>11</v>
      </c>
      <c r="D2022" s="50">
        <v>45622</v>
      </c>
      <c r="E2022" s="49" t="s">
        <v>111</v>
      </c>
      <c r="F2022" s="65">
        <v>5.6668000000000003</v>
      </c>
    </row>
    <row r="2023" spans="2:6" hidden="1" x14ac:dyDescent="0.25">
      <c r="B2023" s="51">
        <f>YEAR(BDRIOSJ[[#This Row],[FECHA]])</f>
        <v>2024</v>
      </c>
      <c r="C2023" s="51">
        <f>MONTH(BDRIOSJ[[#This Row],[FECHA]])</f>
        <v>11</v>
      </c>
      <c r="D2023" s="50">
        <v>45623</v>
      </c>
      <c r="E2023" s="49" t="s">
        <v>115</v>
      </c>
      <c r="F2023" s="65">
        <v>15.2789</v>
      </c>
    </row>
    <row r="2024" spans="2:6" hidden="1" x14ac:dyDescent="0.25">
      <c r="B2024" s="51">
        <f>YEAR(BDRIOSJ[[#This Row],[FECHA]])</f>
        <v>2024</v>
      </c>
      <c r="C2024" s="51">
        <f>MONTH(BDRIOSJ[[#This Row],[FECHA]])</f>
        <v>11</v>
      </c>
      <c r="D2024" s="50">
        <v>45623</v>
      </c>
      <c r="E2024" s="49" t="s">
        <v>114</v>
      </c>
      <c r="F2024" s="65">
        <v>15.2789</v>
      </c>
    </row>
    <row r="2025" spans="2:6" hidden="1" x14ac:dyDescent="0.25">
      <c r="B2025" s="51">
        <f>YEAR(BDRIOSJ[[#This Row],[FECHA]])</f>
        <v>2024</v>
      </c>
      <c r="C2025" s="51">
        <f>MONTH(BDRIOSJ[[#This Row],[FECHA]])</f>
        <v>11</v>
      </c>
      <c r="D2025" s="50">
        <v>45623</v>
      </c>
      <c r="E2025" s="49" t="s">
        <v>113</v>
      </c>
      <c r="F2025" s="65">
        <v>12.0588</v>
      </c>
    </row>
    <row r="2026" spans="2:6" hidden="1" x14ac:dyDescent="0.25">
      <c r="B2026" s="51">
        <f>YEAR(BDRIOSJ[[#This Row],[FECHA]])</f>
        <v>2024</v>
      </c>
      <c r="C2026" s="51">
        <f>MONTH(BDRIOSJ[[#This Row],[FECHA]])</f>
        <v>11</v>
      </c>
      <c r="D2026" s="50">
        <v>45623</v>
      </c>
      <c r="E2026" s="49" t="s">
        <v>111</v>
      </c>
      <c r="F2026" s="65">
        <v>12.0588</v>
      </c>
    </row>
    <row r="2027" spans="2:6" hidden="1" x14ac:dyDescent="0.25">
      <c r="B2027" s="51">
        <f>YEAR(BDRIOSJ[[#This Row],[FECHA]])</f>
        <v>2024</v>
      </c>
      <c r="C2027" s="51">
        <f>MONTH(BDRIOSJ[[#This Row],[FECHA]])</f>
        <v>11</v>
      </c>
      <c r="D2027" s="50">
        <v>45624</v>
      </c>
      <c r="E2027" s="49" t="s">
        <v>115</v>
      </c>
      <c r="F2027" s="65">
        <v>15.852399999999999</v>
      </c>
    </row>
    <row r="2028" spans="2:6" hidden="1" x14ac:dyDescent="0.25">
      <c r="B2028" s="51">
        <f>YEAR(BDRIOSJ[[#This Row],[FECHA]])</f>
        <v>2024</v>
      </c>
      <c r="C2028" s="51">
        <f>MONTH(BDRIOSJ[[#This Row],[FECHA]])</f>
        <v>11</v>
      </c>
      <c r="D2028" s="50">
        <v>45624</v>
      </c>
      <c r="E2028" s="49" t="s">
        <v>114</v>
      </c>
      <c r="F2028" s="65">
        <v>15.852399999999999</v>
      </c>
    </row>
    <row r="2029" spans="2:6" hidden="1" x14ac:dyDescent="0.25">
      <c r="B2029" s="51">
        <f>YEAR(BDRIOSJ[[#This Row],[FECHA]])</f>
        <v>2024</v>
      </c>
      <c r="C2029" s="51">
        <f>MONTH(BDRIOSJ[[#This Row],[FECHA]])</f>
        <v>11</v>
      </c>
      <c r="D2029" s="50">
        <v>45624</v>
      </c>
      <c r="E2029" s="49" t="s">
        <v>113</v>
      </c>
      <c r="F2029" s="65">
        <v>15.852399999999999</v>
      </c>
    </row>
    <row r="2030" spans="2:6" hidden="1" x14ac:dyDescent="0.25">
      <c r="B2030" s="51">
        <f>YEAR(BDRIOSJ[[#This Row],[FECHA]])</f>
        <v>2024</v>
      </c>
      <c r="C2030" s="51">
        <f>MONTH(BDRIOSJ[[#This Row],[FECHA]])</f>
        <v>11</v>
      </c>
      <c r="D2030" s="50">
        <v>45624</v>
      </c>
      <c r="E2030" s="49" t="s">
        <v>111</v>
      </c>
      <c r="F2030" s="65">
        <v>15.2789</v>
      </c>
    </row>
    <row r="2031" spans="2:6" hidden="1" x14ac:dyDescent="0.25">
      <c r="B2031" s="51">
        <f>YEAR(BDRIOSJ[[#This Row],[FECHA]])</f>
        <v>2024</v>
      </c>
      <c r="C2031" s="51">
        <f>MONTH(BDRIOSJ[[#This Row],[FECHA]])</f>
        <v>11</v>
      </c>
      <c r="D2031" s="50">
        <v>45625</v>
      </c>
      <c r="E2031" s="49" t="s">
        <v>115</v>
      </c>
      <c r="F2031" s="65">
        <v>16.436499999999999</v>
      </c>
    </row>
    <row r="2032" spans="2:6" hidden="1" x14ac:dyDescent="0.25">
      <c r="B2032" s="51">
        <f>YEAR(BDRIOSJ[[#This Row],[FECHA]])</f>
        <v>2024</v>
      </c>
      <c r="C2032" s="51">
        <f>MONTH(BDRIOSJ[[#This Row],[FECHA]])</f>
        <v>11</v>
      </c>
      <c r="D2032" s="50">
        <v>45625</v>
      </c>
      <c r="E2032" s="49" t="s">
        <v>114</v>
      </c>
      <c r="F2032" s="65">
        <v>15.852399999999999</v>
      </c>
    </row>
    <row r="2033" spans="2:6" hidden="1" x14ac:dyDescent="0.25">
      <c r="B2033" s="51">
        <f>YEAR(BDRIOSJ[[#This Row],[FECHA]])</f>
        <v>2024</v>
      </c>
      <c r="C2033" s="51">
        <f>MONTH(BDRIOSJ[[#This Row],[FECHA]])</f>
        <v>11</v>
      </c>
      <c r="D2033" s="50">
        <v>45625</v>
      </c>
      <c r="E2033" s="49" t="s">
        <v>113</v>
      </c>
      <c r="F2033" s="65">
        <v>15.2789</v>
      </c>
    </row>
    <row r="2034" spans="2:6" hidden="1" x14ac:dyDescent="0.25">
      <c r="B2034" s="51">
        <f>YEAR(BDRIOSJ[[#This Row],[FECHA]])</f>
        <v>2024</v>
      </c>
      <c r="C2034" s="51">
        <f>MONTH(BDRIOSJ[[#This Row],[FECHA]])</f>
        <v>11</v>
      </c>
      <c r="D2034" s="50">
        <v>45625</v>
      </c>
      <c r="E2034" s="49" t="s">
        <v>111</v>
      </c>
      <c r="F2034" s="65">
        <v>15.2789</v>
      </c>
    </row>
    <row r="2035" spans="2:6" hidden="1" x14ac:dyDescent="0.25">
      <c r="B2035" s="51">
        <f>YEAR(BDRIOSJ[[#This Row],[FECHA]])</f>
        <v>2024</v>
      </c>
      <c r="C2035" s="51">
        <f>MONTH(BDRIOSJ[[#This Row],[FECHA]])</f>
        <v>11</v>
      </c>
      <c r="D2035" s="50">
        <v>45626</v>
      </c>
      <c r="E2035" s="49" t="s">
        <v>115</v>
      </c>
      <c r="F2035" s="65">
        <v>15.852399999999999</v>
      </c>
    </row>
    <row r="2036" spans="2:6" hidden="1" x14ac:dyDescent="0.25">
      <c r="B2036" s="51">
        <f>YEAR(BDRIOSJ[[#This Row],[FECHA]])</f>
        <v>2024</v>
      </c>
      <c r="C2036" s="51">
        <f>MONTH(BDRIOSJ[[#This Row],[FECHA]])</f>
        <v>11</v>
      </c>
      <c r="D2036" s="50">
        <v>45626</v>
      </c>
      <c r="E2036" s="49" t="s">
        <v>114</v>
      </c>
      <c r="F2036" s="65">
        <v>16.436499999999999</v>
      </c>
    </row>
    <row r="2037" spans="2:6" hidden="1" x14ac:dyDescent="0.25">
      <c r="B2037" s="51">
        <f>YEAR(BDRIOSJ[[#This Row],[FECHA]])</f>
        <v>2024</v>
      </c>
      <c r="C2037" s="51">
        <f>MONTH(BDRIOSJ[[#This Row],[FECHA]])</f>
        <v>11</v>
      </c>
      <c r="D2037" s="50">
        <v>45626</v>
      </c>
      <c r="E2037" s="49" t="s">
        <v>113</v>
      </c>
      <c r="F2037" s="65">
        <v>16.436499999999999</v>
      </c>
    </row>
    <row r="2038" spans="2:6" hidden="1" x14ac:dyDescent="0.25">
      <c r="B2038" s="51">
        <f>YEAR(BDRIOSJ[[#This Row],[FECHA]])</f>
        <v>2024</v>
      </c>
      <c r="C2038" s="51">
        <f>MONTH(BDRIOSJ[[#This Row],[FECHA]])</f>
        <v>11</v>
      </c>
      <c r="D2038" s="50">
        <v>45626</v>
      </c>
      <c r="E2038" s="49" t="s">
        <v>111</v>
      </c>
      <c r="F2038" s="65">
        <v>16.436499999999999</v>
      </c>
    </row>
    <row r="2039" spans="2:6" hidden="1" x14ac:dyDescent="0.25">
      <c r="B2039" s="51">
        <f>YEAR(BDRIOSJ[[#This Row],[FECHA]])</f>
        <v>2024</v>
      </c>
      <c r="C2039" s="51">
        <f>MONTH(BDRIOSJ[[#This Row],[FECHA]])</f>
        <v>12</v>
      </c>
      <c r="D2039" s="50">
        <v>45627</v>
      </c>
      <c r="E2039" s="49" t="s">
        <v>115</v>
      </c>
      <c r="F2039" s="65">
        <v>17.3323</v>
      </c>
    </row>
    <row r="2040" spans="2:6" hidden="1" x14ac:dyDescent="0.25">
      <c r="B2040" s="51">
        <f>YEAR(BDRIOSJ[[#This Row],[FECHA]])</f>
        <v>2024</v>
      </c>
      <c r="C2040" s="51">
        <f>MONTH(BDRIOSJ[[#This Row],[FECHA]])</f>
        <v>12</v>
      </c>
      <c r="D2040" s="50">
        <v>45627</v>
      </c>
      <c r="E2040" s="49" t="s">
        <v>114</v>
      </c>
      <c r="F2040" s="65">
        <v>17.3323</v>
      </c>
    </row>
    <row r="2041" spans="2:6" hidden="1" x14ac:dyDescent="0.25">
      <c r="B2041" s="51">
        <f>YEAR(BDRIOSJ[[#This Row],[FECHA]])</f>
        <v>2024</v>
      </c>
      <c r="C2041" s="51">
        <f>MONTH(BDRIOSJ[[#This Row],[FECHA]])</f>
        <v>12</v>
      </c>
      <c r="D2041" s="50">
        <v>45627</v>
      </c>
      <c r="E2041" s="49" t="s">
        <v>113</v>
      </c>
      <c r="F2041" s="65">
        <v>18.878</v>
      </c>
    </row>
    <row r="2042" spans="2:6" hidden="1" x14ac:dyDescent="0.25">
      <c r="B2042" s="52">
        <f>YEAR(BDRIOSJ[[#This Row],[FECHA]])</f>
        <v>2024</v>
      </c>
      <c r="C2042" s="52">
        <f>MONTH(BDRIOSJ[[#This Row],[FECHA]])</f>
        <v>12</v>
      </c>
      <c r="D2042" s="50">
        <v>45627</v>
      </c>
      <c r="E2042" s="49" t="s">
        <v>111</v>
      </c>
      <c r="F2042" s="65">
        <v>18.878</v>
      </c>
    </row>
    <row r="2043" spans="2:6" hidden="1" x14ac:dyDescent="0.25">
      <c r="B2043" s="52">
        <f>YEAR(BDRIOSJ[[#This Row],[FECHA]])</f>
        <v>2024</v>
      </c>
      <c r="C2043" s="52">
        <f>MONTH(BDRIOSJ[[#This Row],[FECHA]])</f>
        <v>12</v>
      </c>
      <c r="D2043" s="50">
        <v>45628</v>
      </c>
      <c r="E2043" s="49" t="s">
        <v>115</v>
      </c>
      <c r="F2043" s="65">
        <v>15.852399999999999</v>
      </c>
    </row>
    <row r="2044" spans="2:6" hidden="1" x14ac:dyDescent="0.25">
      <c r="B2044" s="51">
        <f>YEAR(BDRIOSJ[[#This Row],[FECHA]])</f>
        <v>2024</v>
      </c>
      <c r="C2044" s="51">
        <f>MONTH(BDRIOSJ[[#This Row],[FECHA]])</f>
        <v>12</v>
      </c>
      <c r="D2044" s="50">
        <v>45628</v>
      </c>
      <c r="E2044" s="49" t="s">
        <v>114</v>
      </c>
      <c r="F2044" s="65">
        <v>15.852399999999999</v>
      </c>
    </row>
    <row r="2045" spans="2:6" hidden="1" x14ac:dyDescent="0.25">
      <c r="B2045" s="51">
        <f>YEAR(BDRIOSJ[[#This Row],[FECHA]])</f>
        <v>2024</v>
      </c>
      <c r="C2045" s="51">
        <f>MONTH(BDRIOSJ[[#This Row],[FECHA]])</f>
        <v>12</v>
      </c>
      <c r="D2045" s="50">
        <v>45628</v>
      </c>
      <c r="E2045" s="49" t="s">
        <v>113</v>
      </c>
      <c r="F2045" s="65">
        <v>17.3323</v>
      </c>
    </row>
    <row r="2046" spans="2:6" hidden="1" x14ac:dyDescent="0.25">
      <c r="B2046" s="52">
        <f>YEAR(BDRIOSJ[[#This Row],[FECHA]])</f>
        <v>2024</v>
      </c>
      <c r="C2046" s="52">
        <f>MONTH(BDRIOSJ[[#This Row],[FECHA]])</f>
        <v>12</v>
      </c>
      <c r="D2046" s="50">
        <v>45628</v>
      </c>
      <c r="E2046" s="49" t="s">
        <v>111</v>
      </c>
      <c r="F2046" s="65">
        <v>17.3323</v>
      </c>
    </row>
    <row r="2047" spans="2:6" hidden="1" x14ac:dyDescent="0.25">
      <c r="B2047" s="51">
        <f>YEAR(BDRIOSJ[[#This Row],[FECHA]])</f>
        <v>2024</v>
      </c>
      <c r="C2047" s="51">
        <f>MONTH(BDRIOSJ[[#This Row],[FECHA]])</f>
        <v>12</v>
      </c>
      <c r="D2047" s="50">
        <v>45629</v>
      </c>
      <c r="E2047" s="49" t="s">
        <v>115</v>
      </c>
      <c r="F2047" s="65">
        <v>13.09</v>
      </c>
    </row>
    <row r="2048" spans="2:6" hidden="1" x14ac:dyDescent="0.25">
      <c r="B2048" s="51">
        <f>YEAR(BDRIOSJ[[#This Row],[FECHA]])</f>
        <v>2024</v>
      </c>
      <c r="C2048" s="51">
        <f>MONTH(BDRIOSJ[[#This Row],[FECHA]])</f>
        <v>12</v>
      </c>
      <c r="D2048" s="50">
        <v>45629</v>
      </c>
      <c r="E2048" s="49" t="s">
        <v>114</v>
      </c>
      <c r="F2048" s="65">
        <v>13.09</v>
      </c>
    </row>
    <row r="2049" spans="2:6" hidden="1" x14ac:dyDescent="0.25">
      <c r="B2049" s="51">
        <f>YEAR(BDRIOSJ[[#This Row],[FECHA]])</f>
        <v>2024</v>
      </c>
      <c r="C2049" s="51">
        <f>MONTH(BDRIOSJ[[#This Row],[FECHA]])</f>
        <v>12</v>
      </c>
      <c r="D2049" s="50">
        <v>45629</v>
      </c>
      <c r="E2049" s="49" t="s">
        <v>113</v>
      </c>
      <c r="F2049" s="65">
        <v>13.8911</v>
      </c>
    </row>
    <row r="2050" spans="2:6" hidden="1" x14ac:dyDescent="0.25">
      <c r="B2050" s="51">
        <f>YEAR(BDRIOSJ[[#This Row],[FECHA]])</f>
        <v>2024</v>
      </c>
      <c r="C2050" s="51">
        <f>MONTH(BDRIOSJ[[#This Row],[FECHA]])</f>
        <v>12</v>
      </c>
      <c r="D2050" s="50">
        <v>45629</v>
      </c>
      <c r="E2050" s="49" t="s">
        <v>111</v>
      </c>
      <c r="F2050" s="65">
        <v>15.2789</v>
      </c>
    </row>
    <row r="2051" spans="2:6" hidden="1" x14ac:dyDescent="0.25">
      <c r="B2051" s="51">
        <f>YEAR(BDRIOSJ[[#This Row],[FECHA]])</f>
        <v>2024</v>
      </c>
      <c r="C2051" s="51">
        <f>MONTH(BDRIOSJ[[#This Row],[FECHA]])</f>
        <v>12</v>
      </c>
      <c r="D2051" s="62">
        <v>45630</v>
      </c>
      <c r="E2051" s="60" t="s">
        <v>111</v>
      </c>
      <c r="F2051" s="66">
        <v>12.828200000000001</v>
      </c>
    </row>
    <row r="2052" spans="2:6" hidden="1" x14ac:dyDescent="0.25">
      <c r="B2052" s="51">
        <f>YEAR(BDRIOSJ[[#This Row],[FECHA]])</f>
        <v>2024</v>
      </c>
      <c r="C2052" s="51">
        <f>MONTH(BDRIOSJ[[#This Row],[FECHA]])</f>
        <v>12</v>
      </c>
      <c r="D2052" s="62">
        <v>45630</v>
      </c>
      <c r="E2052" s="60" t="s">
        <v>113</v>
      </c>
      <c r="F2052" s="66">
        <v>13.09</v>
      </c>
    </row>
    <row r="2053" spans="2:6" hidden="1" x14ac:dyDescent="0.25">
      <c r="B2053" s="51">
        <f>YEAR(BDRIOSJ[[#This Row],[FECHA]])</f>
        <v>2024</v>
      </c>
      <c r="C2053" s="51">
        <f>MONTH(BDRIOSJ[[#This Row],[FECHA]])</f>
        <v>12</v>
      </c>
      <c r="D2053" s="62">
        <v>45630</v>
      </c>
      <c r="E2053" s="60" t="s">
        <v>114</v>
      </c>
      <c r="F2053" s="66">
        <v>12.569100000000001</v>
      </c>
    </row>
    <row r="2054" spans="2:6" hidden="1" x14ac:dyDescent="0.25">
      <c r="B2054" s="51">
        <f>YEAR(BDRIOSJ[[#This Row],[FECHA]])</f>
        <v>2024</v>
      </c>
      <c r="C2054" s="51">
        <f>MONTH(BDRIOSJ[[#This Row],[FECHA]])</f>
        <v>12</v>
      </c>
      <c r="D2054" s="62">
        <v>45630</v>
      </c>
      <c r="E2054" s="60" t="s">
        <v>115</v>
      </c>
      <c r="F2054" s="66">
        <v>12.569100000000001</v>
      </c>
    </row>
    <row r="2055" spans="2:6" hidden="1" x14ac:dyDescent="0.25">
      <c r="B2055" s="51">
        <f>YEAR(BDRIOSJ[[#This Row],[FECHA]])</f>
        <v>2024</v>
      </c>
      <c r="C2055" s="51">
        <f>MONTH(BDRIOSJ[[#This Row],[FECHA]])</f>
        <v>12</v>
      </c>
      <c r="D2055" s="62">
        <v>45631</v>
      </c>
      <c r="E2055" s="60" t="s">
        <v>111</v>
      </c>
      <c r="F2055" s="66">
        <v>14.7159</v>
      </c>
    </row>
    <row r="2056" spans="2:6" hidden="1" x14ac:dyDescent="0.25">
      <c r="B2056" s="51">
        <f>YEAR(BDRIOSJ[[#This Row],[FECHA]])</f>
        <v>2024</v>
      </c>
      <c r="C2056" s="51">
        <f>MONTH(BDRIOSJ[[#This Row],[FECHA]])</f>
        <v>12</v>
      </c>
      <c r="D2056" s="62">
        <v>45631</v>
      </c>
      <c r="E2056" s="60" t="s">
        <v>113</v>
      </c>
      <c r="F2056" s="66">
        <v>14.7159</v>
      </c>
    </row>
    <row r="2057" spans="2:6" hidden="1" x14ac:dyDescent="0.25">
      <c r="B2057" s="51">
        <f>YEAR(BDRIOSJ[[#This Row],[FECHA]])</f>
        <v>2024</v>
      </c>
      <c r="C2057" s="51">
        <f>MONTH(BDRIOSJ[[#This Row],[FECHA]])</f>
        <v>12</v>
      </c>
      <c r="D2057" s="62">
        <v>45631</v>
      </c>
      <c r="E2057" s="60" t="s">
        <v>114</v>
      </c>
      <c r="F2057" s="66">
        <v>14.7159</v>
      </c>
    </row>
    <row r="2058" spans="2:6" hidden="1" x14ac:dyDescent="0.25">
      <c r="B2058" s="51">
        <f>YEAR(BDRIOSJ[[#This Row],[FECHA]])</f>
        <v>2024</v>
      </c>
      <c r="C2058" s="51">
        <f>MONTH(BDRIOSJ[[#This Row],[FECHA]])</f>
        <v>12</v>
      </c>
      <c r="D2058" s="62">
        <v>45631</v>
      </c>
      <c r="E2058" s="60" t="s">
        <v>115</v>
      </c>
      <c r="F2058" s="66">
        <v>15.2789</v>
      </c>
    </row>
    <row r="2059" spans="2:6" hidden="1" x14ac:dyDescent="0.25">
      <c r="B2059" s="51">
        <f>YEAR(BDRIOSJ[[#This Row],[FECHA]])</f>
        <v>2024</v>
      </c>
      <c r="C2059" s="51">
        <f>MONTH(BDRIOSJ[[#This Row],[FECHA]])</f>
        <v>12</v>
      </c>
      <c r="D2059" s="62">
        <v>45632</v>
      </c>
      <c r="E2059" s="60" t="s">
        <v>111</v>
      </c>
      <c r="F2059" s="66">
        <v>12.0588</v>
      </c>
    </row>
    <row r="2060" spans="2:6" hidden="1" x14ac:dyDescent="0.25">
      <c r="B2060" s="51">
        <f>YEAR(BDRIOSJ[[#This Row],[FECHA]])</f>
        <v>2024</v>
      </c>
      <c r="C2060" s="51">
        <f>MONTH(BDRIOSJ[[#This Row],[FECHA]])</f>
        <v>12</v>
      </c>
      <c r="D2060" s="62">
        <v>45632</v>
      </c>
      <c r="E2060" s="60" t="s">
        <v>113</v>
      </c>
      <c r="F2060" s="66">
        <v>10.1226</v>
      </c>
    </row>
    <row r="2061" spans="2:6" hidden="1" x14ac:dyDescent="0.25">
      <c r="B2061" s="51">
        <f>YEAR(BDRIOSJ[[#This Row],[FECHA]])</f>
        <v>2024</v>
      </c>
      <c r="C2061" s="51">
        <f>MONTH(BDRIOSJ[[#This Row],[FECHA]])</f>
        <v>12</v>
      </c>
      <c r="D2061" s="62">
        <v>45632</v>
      </c>
      <c r="E2061" s="60" t="s">
        <v>114</v>
      </c>
      <c r="F2061" s="66">
        <v>10.5908</v>
      </c>
    </row>
    <row r="2062" spans="2:6" hidden="1" x14ac:dyDescent="0.25">
      <c r="B2062" s="51">
        <f>YEAR(BDRIOSJ[[#This Row],[FECHA]])</f>
        <v>2024</v>
      </c>
      <c r="C2062" s="51">
        <f>MONTH(BDRIOSJ[[#This Row],[FECHA]])</f>
        <v>12</v>
      </c>
      <c r="D2062" s="62">
        <v>45632</v>
      </c>
      <c r="E2062" s="60" t="s">
        <v>115</v>
      </c>
      <c r="F2062" s="66">
        <v>10.5908</v>
      </c>
    </row>
    <row r="2063" spans="2:6" hidden="1" x14ac:dyDescent="0.25">
      <c r="B2063" s="51">
        <f>YEAR(BDRIOSJ[[#This Row],[FECHA]])</f>
        <v>2024</v>
      </c>
      <c r="C2063" s="51">
        <f>MONTH(BDRIOSJ[[#This Row],[FECHA]])</f>
        <v>12</v>
      </c>
      <c r="D2063" s="62">
        <v>45633</v>
      </c>
      <c r="E2063" s="60" t="s">
        <v>111</v>
      </c>
      <c r="F2063" s="66">
        <v>13.09</v>
      </c>
    </row>
    <row r="2064" spans="2:6" hidden="1" x14ac:dyDescent="0.25">
      <c r="B2064" s="51">
        <f>YEAR(BDRIOSJ[[#This Row],[FECHA]])</f>
        <v>2024</v>
      </c>
      <c r="C2064" s="51">
        <f>MONTH(BDRIOSJ[[#This Row],[FECHA]])</f>
        <v>12</v>
      </c>
      <c r="D2064" s="62">
        <v>45633</v>
      </c>
      <c r="E2064" s="60" t="s">
        <v>113</v>
      </c>
      <c r="F2064" s="66">
        <v>13.09</v>
      </c>
    </row>
    <row r="2065" spans="2:6" hidden="1" x14ac:dyDescent="0.25">
      <c r="B2065" s="51">
        <f>YEAR(BDRIOSJ[[#This Row],[FECHA]])</f>
        <v>2024</v>
      </c>
      <c r="C2065" s="51">
        <f>MONTH(BDRIOSJ[[#This Row],[FECHA]])</f>
        <v>12</v>
      </c>
      <c r="D2065" s="62">
        <v>45633</v>
      </c>
      <c r="E2065" s="60" t="s">
        <v>114</v>
      </c>
      <c r="F2065" s="66">
        <v>13.09</v>
      </c>
    </row>
    <row r="2066" spans="2:6" hidden="1" x14ac:dyDescent="0.25">
      <c r="B2066" s="51">
        <f>YEAR(BDRIOSJ[[#This Row],[FECHA]])</f>
        <v>2024</v>
      </c>
      <c r="C2066" s="51">
        <f>MONTH(BDRIOSJ[[#This Row],[FECHA]])</f>
        <v>12</v>
      </c>
      <c r="D2066" s="62">
        <v>45633</v>
      </c>
      <c r="E2066" s="60" t="s">
        <v>115</v>
      </c>
      <c r="F2066" s="66">
        <v>13.09</v>
      </c>
    </row>
    <row r="2067" spans="2:6" hidden="1" x14ac:dyDescent="0.25">
      <c r="B2067" s="51">
        <f>YEAR(BDRIOSJ[[#This Row],[FECHA]])</f>
        <v>2024</v>
      </c>
      <c r="C2067" s="51">
        <f>MONTH(BDRIOSJ[[#This Row],[FECHA]])</f>
        <v>12</v>
      </c>
      <c r="D2067" s="62">
        <v>45634</v>
      </c>
      <c r="E2067" s="60" t="s">
        <v>111</v>
      </c>
      <c r="F2067" s="66">
        <v>9.6648999999999994</v>
      </c>
    </row>
    <row r="2068" spans="2:6" hidden="1" x14ac:dyDescent="0.25">
      <c r="B2068" s="51">
        <f>YEAR(BDRIOSJ[[#This Row],[FECHA]])</f>
        <v>2024</v>
      </c>
      <c r="C2068" s="51">
        <f>MONTH(BDRIOSJ[[#This Row],[FECHA]])</f>
        <v>12</v>
      </c>
      <c r="D2068" s="62">
        <v>45634</v>
      </c>
      <c r="E2068" s="60" t="s">
        <v>113</v>
      </c>
      <c r="F2068" s="66">
        <v>9.6648999999999994</v>
      </c>
    </row>
    <row r="2069" spans="2:6" hidden="1" x14ac:dyDescent="0.25">
      <c r="B2069" s="51">
        <f>YEAR(BDRIOSJ[[#This Row],[FECHA]])</f>
        <v>2024</v>
      </c>
      <c r="C2069" s="51">
        <f>MONTH(BDRIOSJ[[#This Row],[FECHA]])</f>
        <v>12</v>
      </c>
      <c r="D2069" s="62">
        <v>45634</v>
      </c>
      <c r="E2069" s="60" t="s">
        <v>114</v>
      </c>
      <c r="F2069" s="66">
        <v>9.6648999999999994</v>
      </c>
    </row>
    <row r="2070" spans="2:6" hidden="1" x14ac:dyDescent="0.25">
      <c r="B2070" s="51">
        <f>YEAR(BDRIOSJ[[#This Row],[FECHA]])</f>
        <v>2024</v>
      </c>
      <c r="C2070" s="51">
        <f>MONTH(BDRIOSJ[[#This Row],[FECHA]])</f>
        <v>12</v>
      </c>
      <c r="D2070" s="62">
        <v>45634</v>
      </c>
      <c r="E2070" s="60" t="s">
        <v>115</v>
      </c>
      <c r="F2070" s="66">
        <v>9.6648999999999994</v>
      </c>
    </row>
    <row r="2071" spans="2:6" hidden="1" x14ac:dyDescent="0.25">
      <c r="B2071" s="51">
        <f>YEAR(BDRIOSJ[[#This Row],[FECHA]])</f>
        <v>2024</v>
      </c>
      <c r="C2071" s="51">
        <f>MONTH(BDRIOSJ[[#This Row],[FECHA]])</f>
        <v>12</v>
      </c>
      <c r="D2071" s="62">
        <v>45635</v>
      </c>
      <c r="E2071" s="60" t="s">
        <v>111</v>
      </c>
      <c r="F2071" s="66">
        <v>8.1457999999999995</v>
      </c>
    </row>
    <row r="2072" spans="2:6" hidden="1" x14ac:dyDescent="0.25">
      <c r="B2072" s="51">
        <f>YEAR(BDRIOSJ[[#This Row],[FECHA]])</f>
        <v>2024</v>
      </c>
      <c r="C2072" s="51">
        <f>MONTH(BDRIOSJ[[#This Row],[FECHA]])</f>
        <v>12</v>
      </c>
      <c r="D2072" s="62">
        <v>45635</v>
      </c>
      <c r="E2072" s="60" t="s">
        <v>113</v>
      </c>
      <c r="F2072" s="66">
        <v>8.3549000000000007</v>
      </c>
    </row>
    <row r="2073" spans="2:6" hidden="1" x14ac:dyDescent="0.25">
      <c r="B2073" s="51">
        <f>YEAR(BDRIOSJ[[#This Row],[FECHA]])</f>
        <v>2024</v>
      </c>
      <c r="C2073" s="51">
        <f>MONTH(BDRIOSJ[[#This Row],[FECHA]])</f>
        <v>12</v>
      </c>
      <c r="D2073" s="62">
        <v>45635</v>
      </c>
      <c r="E2073" s="60" t="s">
        <v>114</v>
      </c>
      <c r="F2073" s="66">
        <v>8.3549000000000007</v>
      </c>
    </row>
    <row r="2074" spans="2:6" hidden="1" x14ac:dyDescent="0.25">
      <c r="B2074" s="51">
        <f>YEAR(BDRIOSJ[[#This Row],[FECHA]])</f>
        <v>2024</v>
      </c>
      <c r="C2074" s="51">
        <f>MONTH(BDRIOSJ[[#This Row],[FECHA]])</f>
        <v>12</v>
      </c>
      <c r="D2074" s="62">
        <v>45635</v>
      </c>
      <c r="E2074" s="60" t="s">
        <v>115</v>
      </c>
      <c r="F2074" s="66">
        <v>8.3549000000000007</v>
      </c>
    </row>
    <row r="2075" spans="2:6" hidden="1" x14ac:dyDescent="0.25">
      <c r="B2075" s="51">
        <f>YEAR(BDRIOSJ[[#This Row],[FECHA]])</f>
        <v>2024</v>
      </c>
      <c r="C2075" s="51">
        <f>MONTH(BDRIOSJ[[#This Row],[FECHA]])</f>
        <v>12</v>
      </c>
      <c r="D2075" s="62">
        <v>45636</v>
      </c>
      <c r="E2075" s="60" t="s">
        <v>111</v>
      </c>
      <c r="F2075" s="66">
        <v>16.436499999999999</v>
      </c>
    </row>
    <row r="2076" spans="2:6" hidden="1" x14ac:dyDescent="0.25">
      <c r="B2076" s="51">
        <f>YEAR(BDRIOSJ[[#This Row],[FECHA]])</f>
        <v>2024</v>
      </c>
      <c r="C2076" s="51">
        <f>MONTH(BDRIOSJ[[#This Row],[FECHA]])</f>
        <v>12</v>
      </c>
      <c r="D2076" s="62">
        <v>45636</v>
      </c>
      <c r="E2076" s="60" t="s">
        <v>113</v>
      </c>
      <c r="F2076" s="66">
        <v>16.436499999999999</v>
      </c>
    </row>
    <row r="2077" spans="2:6" hidden="1" x14ac:dyDescent="0.25">
      <c r="B2077" s="51">
        <f>YEAR(BDRIOSJ[[#This Row],[FECHA]])</f>
        <v>2024</v>
      </c>
      <c r="C2077" s="51">
        <f>MONTH(BDRIOSJ[[#This Row],[FECHA]])</f>
        <v>12</v>
      </c>
      <c r="D2077" s="62">
        <v>45636</v>
      </c>
      <c r="E2077" s="60" t="s">
        <v>114</v>
      </c>
      <c r="F2077" s="66">
        <v>15.852399999999999</v>
      </c>
    </row>
    <row r="2078" spans="2:6" hidden="1" x14ac:dyDescent="0.25">
      <c r="B2078" s="51">
        <f>YEAR(BDRIOSJ[[#This Row],[FECHA]])</f>
        <v>2024</v>
      </c>
      <c r="C2078" s="51">
        <f>MONTH(BDRIOSJ[[#This Row],[FECHA]])</f>
        <v>12</v>
      </c>
      <c r="D2078" s="62">
        <v>45636</v>
      </c>
      <c r="E2078" s="60" t="s">
        <v>115</v>
      </c>
      <c r="F2078" s="66">
        <v>15.852399999999999</v>
      </c>
    </row>
    <row r="2079" spans="2:6" hidden="1" x14ac:dyDescent="0.25">
      <c r="B2079" s="51">
        <f>YEAR(BDRIOSJ[[#This Row],[FECHA]])</f>
        <v>2024</v>
      </c>
      <c r="C2079" s="51">
        <f>MONTH(BDRIOSJ[[#This Row],[FECHA]])</f>
        <v>12</v>
      </c>
      <c r="D2079" s="62">
        <v>45637</v>
      </c>
      <c r="E2079" s="60" t="s">
        <v>111</v>
      </c>
      <c r="F2079" s="66">
        <v>12.0588</v>
      </c>
    </row>
    <row r="2080" spans="2:6" hidden="1" x14ac:dyDescent="0.25">
      <c r="B2080" s="51">
        <f>YEAR(BDRIOSJ[[#This Row],[FECHA]])</f>
        <v>2024</v>
      </c>
      <c r="C2080" s="51">
        <f>MONTH(BDRIOSJ[[#This Row],[FECHA]])</f>
        <v>12</v>
      </c>
      <c r="D2080" s="62">
        <v>45637</v>
      </c>
      <c r="E2080" s="60" t="s">
        <v>113</v>
      </c>
      <c r="F2080" s="66">
        <v>12.0588</v>
      </c>
    </row>
    <row r="2081" spans="2:6" hidden="1" x14ac:dyDescent="0.25">
      <c r="B2081" s="51">
        <f>YEAR(BDRIOSJ[[#This Row],[FECHA]])</f>
        <v>2024</v>
      </c>
      <c r="C2081" s="51">
        <f>MONTH(BDRIOSJ[[#This Row],[FECHA]])</f>
        <v>12</v>
      </c>
      <c r="D2081" s="62">
        <v>45637</v>
      </c>
      <c r="E2081" s="60" t="s">
        <v>114</v>
      </c>
      <c r="F2081" s="66">
        <v>12.0588</v>
      </c>
    </row>
    <row r="2082" spans="2:6" hidden="1" x14ac:dyDescent="0.25">
      <c r="B2082" s="51">
        <f>YEAR(BDRIOSJ[[#This Row],[FECHA]])</f>
        <v>2024</v>
      </c>
      <c r="C2082" s="51">
        <f>MONTH(BDRIOSJ[[#This Row],[FECHA]])</f>
        <v>12</v>
      </c>
      <c r="D2082" s="62">
        <v>45637</v>
      </c>
      <c r="E2082" s="60" t="s">
        <v>115</v>
      </c>
      <c r="F2082" s="66">
        <v>12.0588</v>
      </c>
    </row>
    <row r="2083" spans="2:6" hidden="1" x14ac:dyDescent="0.25">
      <c r="B2083" s="51">
        <f>YEAR(BDRIOSJ[[#This Row],[FECHA]])</f>
        <v>2024</v>
      </c>
      <c r="C2083" s="51">
        <f>MONTH(BDRIOSJ[[#This Row],[FECHA]])</f>
        <v>12</v>
      </c>
      <c r="D2083" s="62">
        <v>45638</v>
      </c>
      <c r="E2083" s="60" t="s">
        <v>111</v>
      </c>
      <c r="F2083" s="66">
        <v>15.2789</v>
      </c>
    </row>
    <row r="2084" spans="2:6" hidden="1" x14ac:dyDescent="0.25">
      <c r="B2084" s="51">
        <f>YEAR(BDRIOSJ[[#This Row],[FECHA]])</f>
        <v>2024</v>
      </c>
      <c r="C2084" s="51">
        <f>MONTH(BDRIOSJ[[#This Row],[FECHA]])</f>
        <v>12</v>
      </c>
      <c r="D2084" s="62">
        <v>45638</v>
      </c>
      <c r="E2084" s="60" t="s">
        <v>113</v>
      </c>
      <c r="F2084" s="66">
        <v>15.2789</v>
      </c>
    </row>
    <row r="2085" spans="2:6" hidden="1" x14ac:dyDescent="0.25">
      <c r="B2085" s="51">
        <f>YEAR(BDRIOSJ[[#This Row],[FECHA]])</f>
        <v>2024</v>
      </c>
      <c r="C2085" s="51">
        <f>MONTH(BDRIOSJ[[#This Row],[FECHA]])</f>
        <v>12</v>
      </c>
      <c r="D2085" s="62">
        <v>45638</v>
      </c>
      <c r="E2085" s="60" t="s">
        <v>114</v>
      </c>
      <c r="F2085" s="66">
        <v>15.2789</v>
      </c>
    </row>
    <row r="2086" spans="2:6" hidden="1" x14ac:dyDescent="0.25">
      <c r="B2086" s="51">
        <f>YEAR(BDRIOSJ[[#This Row],[FECHA]])</f>
        <v>2024</v>
      </c>
      <c r="C2086" s="51">
        <f>MONTH(BDRIOSJ[[#This Row],[FECHA]])</f>
        <v>12</v>
      </c>
      <c r="D2086" s="62">
        <v>45638</v>
      </c>
      <c r="E2086" s="60" t="s">
        <v>115</v>
      </c>
      <c r="F2086" s="66">
        <v>15.852399999999999</v>
      </c>
    </row>
    <row r="2087" spans="2:6" hidden="1" x14ac:dyDescent="0.25">
      <c r="B2087" s="51">
        <f>YEAR(BDRIOSJ[[#This Row],[FECHA]])</f>
        <v>2024</v>
      </c>
      <c r="C2087" s="51">
        <f>MONTH(BDRIOSJ[[#This Row],[FECHA]])</f>
        <v>12</v>
      </c>
      <c r="D2087" s="62">
        <v>45639</v>
      </c>
      <c r="E2087" s="60" t="s">
        <v>111</v>
      </c>
      <c r="F2087" s="66">
        <v>18.878</v>
      </c>
    </row>
    <row r="2088" spans="2:6" hidden="1" x14ac:dyDescent="0.25">
      <c r="B2088" s="51">
        <f>YEAR(BDRIOSJ[[#This Row],[FECHA]])</f>
        <v>2024</v>
      </c>
      <c r="C2088" s="51">
        <f>MONTH(BDRIOSJ[[#This Row],[FECHA]])</f>
        <v>12</v>
      </c>
      <c r="D2088" s="62">
        <v>45639</v>
      </c>
      <c r="E2088" s="60" t="s">
        <v>113</v>
      </c>
      <c r="F2088" s="66">
        <v>15.2789</v>
      </c>
    </row>
    <row r="2089" spans="2:6" hidden="1" x14ac:dyDescent="0.25">
      <c r="B2089" s="51">
        <f>YEAR(BDRIOSJ[[#This Row],[FECHA]])</f>
        <v>2024</v>
      </c>
      <c r="C2089" s="51">
        <f>MONTH(BDRIOSJ[[#This Row],[FECHA]])</f>
        <v>12</v>
      </c>
      <c r="D2089" s="62">
        <v>45639</v>
      </c>
      <c r="E2089" s="60" t="s">
        <v>114</v>
      </c>
      <c r="F2089" s="66">
        <v>15.2789</v>
      </c>
    </row>
    <row r="2090" spans="2:6" hidden="1" x14ac:dyDescent="0.25">
      <c r="B2090" s="51">
        <f>YEAR(BDRIOSJ[[#This Row],[FECHA]])</f>
        <v>2024</v>
      </c>
      <c r="C2090" s="51">
        <f>MONTH(BDRIOSJ[[#This Row],[FECHA]])</f>
        <v>12</v>
      </c>
      <c r="D2090" s="62">
        <v>45639</v>
      </c>
      <c r="E2090" s="60" t="s">
        <v>115</v>
      </c>
      <c r="F2090" s="66">
        <v>15.2789</v>
      </c>
    </row>
    <row r="2091" spans="2:6" hidden="1" x14ac:dyDescent="0.25">
      <c r="B2091" s="51">
        <f>YEAR(BDRIOSJ[[#This Row],[FECHA]])</f>
        <v>2024</v>
      </c>
      <c r="C2091" s="51">
        <f>MONTH(BDRIOSJ[[#This Row],[FECHA]])</f>
        <v>12</v>
      </c>
      <c r="D2091" s="62">
        <v>45640</v>
      </c>
      <c r="E2091" s="60" t="s">
        <v>111</v>
      </c>
      <c r="F2091" s="66">
        <v>12.0588</v>
      </c>
    </row>
    <row r="2092" spans="2:6" hidden="1" x14ac:dyDescent="0.25">
      <c r="B2092" s="51">
        <f>YEAR(BDRIOSJ[[#This Row],[FECHA]])</f>
        <v>2024</v>
      </c>
      <c r="C2092" s="51">
        <f>MONTH(BDRIOSJ[[#This Row],[FECHA]])</f>
        <v>12</v>
      </c>
      <c r="D2092" s="62">
        <v>45640</v>
      </c>
      <c r="E2092" s="60" t="s">
        <v>113</v>
      </c>
      <c r="F2092" s="66">
        <v>8.3549000000000007</v>
      </c>
    </row>
    <row r="2093" spans="2:6" hidden="1" x14ac:dyDescent="0.25">
      <c r="B2093" s="51">
        <f>YEAR(BDRIOSJ[[#This Row],[FECHA]])</f>
        <v>2024</v>
      </c>
      <c r="C2093" s="51">
        <f>MONTH(BDRIOSJ[[#This Row],[FECHA]])</f>
        <v>12</v>
      </c>
      <c r="D2093" s="62">
        <v>45640</v>
      </c>
      <c r="E2093" s="60" t="s">
        <v>114</v>
      </c>
      <c r="F2093" s="66">
        <v>8.3549000000000007</v>
      </c>
    </row>
    <row r="2094" spans="2:6" hidden="1" x14ac:dyDescent="0.25">
      <c r="B2094" s="51">
        <f>YEAR(BDRIOSJ[[#This Row],[FECHA]])</f>
        <v>2024</v>
      </c>
      <c r="C2094" s="51">
        <f>MONTH(BDRIOSJ[[#This Row],[FECHA]])</f>
        <v>12</v>
      </c>
      <c r="D2094" s="62">
        <v>45640</v>
      </c>
      <c r="E2094" s="60" t="s">
        <v>115</v>
      </c>
      <c r="F2094" s="66">
        <v>8.3549000000000007</v>
      </c>
    </row>
    <row r="2095" spans="2:6" hidden="1" x14ac:dyDescent="0.25">
      <c r="B2095" s="51">
        <f>YEAR(BDRIOSJ[[#This Row],[FECHA]])</f>
        <v>2024</v>
      </c>
      <c r="C2095" s="51">
        <f>MONTH(BDRIOSJ[[#This Row],[FECHA]])</f>
        <v>12</v>
      </c>
      <c r="D2095" s="62">
        <v>45641</v>
      </c>
      <c r="E2095" s="60" t="s">
        <v>111</v>
      </c>
      <c r="F2095" s="66">
        <v>18.878</v>
      </c>
    </row>
    <row r="2096" spans="2:6" hidden="1" x14ac:dyDescent="0.25">
      <c r="B2096" s="51">
        <f>YEAR(BDRIOSJ[[#This Row],[FECHA]])</f>
        <v>2024</v>
      </c>
      <c r="C2096" s="51">
        <f>MONTH(BDRIOSJ[[#This Row],[FECHA]])</f>
        <v>12</v>
      </c>
      <c r="D2096" s="62">
        <v>45641</v>
      </c>
      <c r="E2096" s="60" t="s">
        <v>113</v>
      </c>
      <c r="F2096" s="66">
        <v>15.852399999999999</v>
      </c>
    </row>
    <row r="2097" spans="2:6" hidden="1" x14ac:dyDescent="0.25">
      <c r="B2097" s="51">
        <f>YEAR(BDRIOSJ[[#This Row],[FECHA]])</f>
        <v>2024</v>
      </c>
      <c r="C2097" s="51">
        <f>MONTH(BDRIOSJ[[#This Row],[FECHA]])</f>
        <v>12</v>
      </c>
      <c r="D2097" s="62">
        <v>45641</v>
      </c>
      <c r="E2097" s="60" t="s">
        <v>114</v>
      </c>
      <c r="F2097" s="66">
        <v>15.852399999999999</v>
      </c>
    </row>
    <row r="2098" spans="2:6" hidden="1" x14ac:dyDescent="0.25">
      <c r="B2098" s="51">
        <f>YEAR(BDRIOSJ[[#This Row],[FECHA]])</f>
        <v>2024</v>
      </c>
      <c r="C2098" s="51">
        <f>MONTH(BDRIOSJ[[#This Row],[FECHA]])</f>
        <v>12</v>
      </c>
      <c r="D2098" s="62">
        <v>45641</v>
      </c>
      <c r="E2098" s="60" t="s">
        <v>115</v>
      </c>
      <c r="F2098" s="66">
        <v>15.852399999999999</v>
      </c>
    </row>
    <row r="2099" spans="2:6" hidden="1" x14ac:dyDescent="0.25">
      <c r="B2099" s="51">
        <f>YEAR(BDRIOSJ[[#This Row],[FECHA]])</f>
        <v>2024</v>
      </c>
      <c r="C2099" s="51">
        <f>MONTH(BDRIOSJ[[#This Row],[FECHA]])</f>
        <v>12</v>
      </c>
      <c r="D2099" s="62">
        <v>45642</v>
      </c>
      <c r="E2099" s="60" t="s">
        <v>114</v>
      </c>
      <c r="F2099" s="66">
        <v>15.2789</v>
      </c>
    </row>
    <row r="2100" spans="2:6" hidden="1" x14ac:dyDescent="0.25">
      <c r="B2100" s="51">
        <f>YEAR(BDRIOSJ[[#This Row],[FECHA]])</f>
        <v>2024</v>
      </c>
      <c r="C2100" s="51">
        <f>MONTH(BDRIOSJ[[#This Row],[FECHA]])</f>
        <v>12</v>
      </c>
      <c r="D2100" s="62">
        <v>45642</v>
      </c>
      <c r="E2100" s="60" t="s">
        <v>115</v>
      </c>
      <c r="F2100" s="66">
        <v>14.7159</v>
      </c>
    </row>
    <row r="2101" spans="2:6" hidden="1" x14ac:dyDescent="0.25">
      <c r="B2101" s="51">
        <f>YEAR(BDRIOSJ[[#This Row],[FECHA]])</f>
        <v>2024</v>
      </c>
      <c r="C2101" s="51">
        <f>MONTH(BDRIOSJ[[#This Row],[FECHA]])</f>
        <v>12</v>
      </c>
      <c r="D2101" s="62">
        <v>45643</v>
      </c>
      <c r="E2101" s="60" t="s">
        <v>111</v>
      </c>
      <c r="F2101" s="66">
        <v>13.09</v>
      </c>
    </row>
    <row r="2102" spans="2:6" hidden="1" x14ac:dyDescent="0.25">
      <c r="B2102" s="51">
        <f>YEAR(BDRIOSJ[[#This Row],[FECHA]])</f>
        <v>2024</v>
      </c>
      <c r="C2102" s="51">
        <f>MONTH(BDRIOSJ[[#This Row],[FECHA]])</f>
        <v>12</v>
      </c>
      <c r="D2102" s="62">
        <v>45643</v>
      </c>
      <c r="E2102" s="60" t="s">
        <v>113</v>
      </c>
      <c r="F2102" s="66">
        <v>13.09</v>
      </c>
    </row>
    <row r="2103" spans="2:6" hidden="1" x14ac:dyDescent="0.25">
      <c r="B2103" s="51">
        <f>YEAR(BDRIOSJ[[#This Row],[FECHA]])</f>
        <v>2024</v>
      </c>
      <c r="C2103" s="51">
        <f>MONTH(BDRIOSJ[[#This Row],[FECHA]])</f>
        <v>12</v>
      </c>
      <c r="D2103" s="62">
        <v>45643</v>
      </c>
      <c r="E2103" s="60" t="s">
        <v>114</v>
      </c>
      <c r="F2103" s="66">
        <v>12.569100000000001</v>
      </c>
    </row>
    <row r="2104" spans="2:6" hidden="1" x14ac:dyDescent="0.25">
      <c r="B2104" s="51">
        <f>YEAR(BDRIOSJ[[#This Row],[FECHA]])</f>
        <v>2024</v>
      </c>
      <c r="C2104" s="51">
        <f>MONTH(BDRIOSJ[[#This Row],[FECHA]])</f>
        <v>12</v>
      </c>
      <c r="D2104" s="62">
        <v>45643</v>
      </c>
      <c r="E2104" s="60" t="s">
        <v>115</v>
      </c>
      <c r="F2104" s="66">
        <v>12.569100000000001</v>
      </c>
    </row>
    <row r="2105" spans="2:6" hidden="1" x14ac:dyDescent="0.25">
      <c r="B2105" s="51">
        <f>YEAR(BDRIOSJ[[#This Row],[FECHA]])</f>
        <v>2024</v>
      </c>
      <c r="C2105" s="51">
        <f>MONTH(BDRIOSJ[[#This Row],[FECHA]])</f>
        <v>12</v>
      </c>
      <c r="D2105" s="62">
        <v>45644</v>
      </c>
      <c r="E2105" s="60" t="s">
        <v>111</v>
      </c>
      <c r="F2105" s="66">
        <v>8.3549000000000007</v>
      </c>
    </row>
    <row r="2106" spans="2:6" hidden="1" x14ac:dyDescent="0.25">
      <c r="B2106" s="51">
        <f>YEAR(BDRIOSJ[[#This Row],[FECHA]])</f>
        <v>2024</v>
      </c>
      <c r="C2106" s="51">
        <f>MONTH(BDRIOSJ[[#This Row],[FECHA]])</f>
        <v>12</v>
      </c>
      <c r="D2106" s="62">
        <v>45644</v>
      </c>
      <c r="E2106" s="60" t="s">
        <v>113</v>
      </c>
      <c r="F2106" s="66">
        <v>8.3549000000000007</v>
      </c>
    </row>
    <row r="2107" spans="2:6" hidden="1" x14ac:dyDescent="0.25">
      <c r="B2107" s="51">
        <f>YEAR(BDRIOSJ[[#This Row],[FECHA]])</f>
        <v>2024</v>
      </c>
      <c r="C2107" s="51">
        <f>MONTH(BDRIOSJ[[#This Row],[FECHA]])</f>
        <v>12</v>
      </c>
      <c r="D2107" s="62">
        <v>45644</v>
      </c>
      <c r="E2107" s="60" t="s">
        <v>114</v>
      </c>
      <c r="F2107" s="66">
        <v>8.3549000000000007</v>
      </c>
    </row>
    <row r="2108" spans="2:6" hidden="1" x14ac:dyDescent="0.25">
      <c r="B2108" s="51">
        <f>YEAR(BDRIOSJ[[#This Row],[FECHA]])</f>
        <v>2024</v>
      </c>
      <c r="C2108" s="51">
        <f>MONTH(BDRIOSJ[[#This Row],[FECHA]])</f>
        <v>12</v>
      </c>
      <c r="D2108" s="62">
        <v>45644</v>
      </c>
      <c r="E2108" s="60" t="s">
        <v>115</v>
      </c>
      <c r="F2108" s="66">
        <v>8.3549000000000007</v>
      </c>
    </row>
    <row r="2109" spans="2:6" hidden="1" x14ac:dyDescent="0.25">
      <c r="B2109" s="51">
        <f>YEAR(BDRIOSJ[[#This Row],[FECHA]])</f>
        <v>2024</v>
      </c>
      <c r="C2109" s="51">
        <f>MONTH(BDRIOSJ[[#This Row],[FECHA]])</f>
        <v>12</v>
      </c>
      <c r="D2109" s="62">
        <v>45645</v>
      </c>
      <c r="E2109" s="60" t="s">
        <v>111</v>
      </c>
      <c r="F2109" s="66">
        <v>15.852399999999999</v>
      </c>
    </row>
    <row r="2110" spans="2:6" hidden="1" x14ac:dyDescent="0.25">
      <c r="B2110" s="51">
        <f>YEAR(BDRIOSJ[[#This Row],[FECHA]])</f>
        <v>2024</v>
      </c>
      <c r="C2110" s="51">
        <f>MONTH(BDRIOSJ[[#This Row],[FECHA]])</f>
        <v>12</v>
      </c>
      <c r="D2110" s="62">
        <v>45645</v>
      </c>
      <c r="E2110" s="60" t="s">
        <v>113</v>
      </c>
      <c r="F2110" s="66">
        <v>15.2789</v>
      </c>
    </row>
    <row r="2111" spans="2:6" hidden="1" x14ac:dyDescent="0.25">
      <c r="B2111" s="51">
        <f>YEAR(BDRIOSJ[[#This Row],[FECHA]])</f>
        <v>2024</v>
      </c>
      <c r="C2111" s="51">
        <f>MONTH(BDRIOSJ[[#This Row],[FECHA]])</f>
        <v>12</v>
      </c>
      <c r="D2111" s="62">
        <v>45645</v>
      </c>
      <c r="E2111" s="60" t="s">
        <v>114</v>
      </c>
      <c r="F2111" s="66">
        <v>15.2789</v>
      </c>
    </row>
    <row r="2112" spans="2:6" hidden="1" x14ac:dyDescent="0.25">
      <c r="B2112" s="51">
        <f>YEAR(BDRIOSJ[[#This Row],[FECHA]])</f>
        <v>2024</v>
      </c>
      <c r="C2112" s="51">
        <f>MONTH(BDRIOSJ[[#This Row],[FECHA]])</f>
        <v>12</v>
      </c>
      <c r="D2112" s="62">
        <v>45645</v>
      </c>
      <c r="E2112" s="60" t="s">
        <v>115</v>
      </c>
      <c r="F2112" s="66">
        <v>15.2789</v>
      </c>
    </row>
    <row r="2113" spans="2:6" hidden="1" x14ac:dyDescent="0.25">
      <c r="B2113" s="51">
        <f>YEAR(BDRIOSJ[[#This Row],[FECHA]])</f>
        <v>2024</v>
      </c>
      <c r="C2113" s="51">
        <f>MONTH(BDRIOSJ[[#This Row],[FECHA]])</f>
        <v>12</v>
      </c>
      <c r="D2113" s="62">
        <v>45646</v>
      </c>
      <c r="E2113" s="60" t="s">
        <v>111</v>
      </c>
      <c r="F2113" s="66">
        <v>23.91</v>
      </c>
    </row>
    <row r="2114" spans="2:6" hidden="1" x14ac:dyDescent="0.25">
      <c r="B2114" s="51">
        <f>YEAR(BDRIOSJ[[#This Row],[FECHA]])</f>
        <v>2024</v>
      </c>
      <c r="C2114" s="51">
        <f>MONTH(BDRIOSJ[[#This Row],[FECHA]])</f>
        <v>12</v>
      </c>
      <c r="D2114" s="62">
        <v>45646</v>
      </c>
      <c r="E2114" s="60" t="s">
        <v>113</v>
      </c>
      <c r="F2114" s="66">
        <v>15.852399999999999</v>
      </c>
    </row>
    <row r="2115" spans="2:6" hidden="1" x14ac:dyDescent="0.25">
      <c r="B2115" s="51">
        <f>YEAR(BDRIOSJ[[#This Row],[FECHA]])</f>
        <v>2024</v>
      </c>
      <c r="C2115" s="51">
        <f>MONTH(BDRIOSJ[[#This Row],[FECHA]])</f>
        <v>12</v>
      </c>
      <c r="D2115" s="62">
        <v>45646</v>
      </c>
      <c r="E2115" s="60" t="s">
        <v>114</v>
      </c>
      <c r="F2115" s="66">
        <v>15.852399999999999</v>
      </c>
    </row>
    <row r="2116" spans="2:6" hidden="1" x14ac:dyDescent="0.25">
      <c r="B2116" s="51">
        <f>YEAR(BDRIOSJ[[#This Row],[FECHA]])</f>
        <v>2024</v>
      </c>
      <c r="C2116" s="51">
        <f>MONTH(BDRIOSJ[[#This Row],[FECHA]])</f>
        <v>12</v>
      </c>
      <c r="D2116" s="62">
        <v>45646</v>
      </c>
      <c r="E2116" s="60" t="s">
        <v>115</v>
      </c>
      <c r="F2116" s="66">
        <v>15.852399999999999</v>
      </c>
    </row>
    <row r="2117" spans="2:6" hidden="1" x14ac:dyDescent="0.25">
      <c r="B2117" s="51">
        <f>YEAR(BDRIOSJ[[#This Row],[FECHA]])</f>
        <v>2024</v>
      </c>
      <c r="C2117" s="51">
        <f>MONTH(BDRIOSJ[[#This Row],[FECHA]])</f>
        <v>12</v>
      </c>
      <c r="D2117" s="62">
        <v>45647</v>
      </c>
      <c r="E2117" s="60" t="s">
        <v>111</v>
      </c>
      <c r="F2117" s="66">
        <v>14.7159</v>
      </c>
    </row>
    <row r="2118" spans="2:6" hidden="1" x14ac:dyDescent="0.25">
      <c r="B2118" s="51">
        <f>YEAR(BDRIOSJ[[#This Row],[FECHA]])</f>
        <v>2024</v>
      </c>
      <c r="C2118" s="51">
        <f>MONTH(BDRIOSJ[[#This Row],[FECHA]])</f>
        <v>12</v>
      </c>
      <c r="D2118" s="62">
        <v>45647</v>
      </c>
      <c r="E2118" s="60" t="s">
        <v>113</v>
      </c>
      <c r="F2118" s="66">
        <v>14.7159</v>
      </c>
    </row>
    <row r="2119" spans="2:6" hidden="1" x14ac:dyDescent="0.25">
      <c r="B2119" s="51">
        <f>YEAR(BDRIOSJ[[#This Row],[FECHA]])</f>
        <v>2024</v>
      </c>
      <c r="C2119" s="51">
        <f>MONTH(BDRIOSJ[[#This Row],[FECHA]])</f>
        <v>12</v>
      </c>
      <c r="D2119" s="62">
        <v>45647</v>
      </c>
      <c r="E2119" s="60" t="s">
        <v>114</v>
      </c>
      <c r="F2119" s="66">
        <v>14.7159</v>
      </c>
    </row>
    <row r="2120" spans="2:6" hidden="1" x14ac:dyDescent="0.25">
      <c r="B2120" s="51">
        <f>YEAR(BDRIOSJ[[#This Row],[FECHA]])</f>
        <v>2024</v>
      </c>
      <c r="C2120" s="51">
        <f>MONTH(BDRIOSJ[[#This Row],[FECHA]])</f>
        <v>12</v>
      </c>
      <c r="D2120" s="62">
        <v>45647</v>
      </c>
      <c r="E2120" s="60" t="s">
        <v>115</v>
      </c>
      <c r="F2120" s="66">
        <v>14.7159</v>
      </c>
    </row>
    <row r="2121" spans="2:6" hidden="1" x14ac:dyDescent="0.25">
      <c r="B2121" s="51">
        <f>YEAR(BDRIOSJ[[#This Row],[FECHA]])</f>
        <v>2024</v>
      </c>
      <c r="C2121" s="51">
        <f>MONTH(BDRIOSJ[[#This Row],[FECHA]])</f>
        <v>12</v>
      </c>
      <c r="D2121" s="62">
        <v>45648</v>
      </c>
      <c r="E2121" s="60" t="s">
        <v>111</v>
      </c>
      <c r="F2121" s="66">
        <v>10.5908</v>
      </c>
    </row>
    <row r="2122" spans="2:6" hidden="1" x14ac:dyDescent="0.25">
      <c r="B2122" s="51">
        <f>YEAR(BDRIOSJ[[#This Row],[FECHA]])</f>
        <v>2024</v>
      </c>
      <c r="C2122" s="51">
        <f>MONTH(BDRIOSJ[[#This Row],[FECHA]])</f>
        <v>12</v>
      </c>
      <c r="D2122" s="62">
        <v>45648</v>
      </c>
      <c r="E2122" s="60" t="s">
        <v>113</v>
      </c>
      <c r="F2122" s="66">
        <v>10.5908</v>
      </c>
    </row>
    <row r="2123" spans="2:6" hidden="1" x14ac:dyDescent="0.25">
      <c r="B2123" s="51">
        <f>YEAR(BDRIOSJ[[#This Row],[FECHA]])</f>
        <v>2024</v>
      </c>
      <c r="C2123" s="51">
        <f>MONTH(BDRIOSJ[[#This Row],[FECHA]])</f>
        <v>12</v>
      </c>
      <c r="D2123" s="62">
        <v>45648</v>
      </c>
      <c r="E2123" s="60" t="s">
        <v>114</v>
      </c>
      <c r="F2123" s="66">
        <v>10.5908</v>
      </c>
    </row>
    <row r="2124" spans="2:6" hidden="1" x14ac:dyDescent="0.25">
      <c r="B2124" s="51">
        <f>YEAR(BDRIOSJ[[#This Row],[FECHA]])</f>
        <v>2024</v>
      </c>
      <c r="C2124" s="51">
        <f>MONTH(BDRIOSJ[[#This Row],[FECHA]])</f>
        <v>12</v>
      </c>
      <c r="D2124" s="62">
        <v>45648</v>
      </c>
      <c r="E2124" s="60" t="s">
        <v>115</v>
      </c>
      <c r="F2124" s="66">
        <v>10.5908</v>
      </c>
    </row>
    <row r="2125" spans="2:6" hidden="1" x14ac:dyDescent="0.25">
      <c r="B2125" s="51">
        <f>YEAR(BDRIOSJ[[#This Row],[FECHA]])</f>
        <v>2024</v>
      </c>
      <c r="C2125" s="51">
        <f>MONTH(BDRIOSJ[[#This Row],[FECHA]])</f>
        <v>12</v>
      </c>
      <c r="D2125" s="62">
        <v>45649</v>
      </c>
      <c r="E2125" s="60" t="s">
        <v>111</v>
      </c>
      <c r="F2125" s="66">
        <v>8.7810000000000006</v>
      </c>
    </row>
    <row r="2126" spans="2:6" hidden="1" x14ac:dyDescent="0.25">
      <c r="B2126" s="51">
        <f>YEAR(BDRIOSJ[[#This Row],[FECHA]])</f>
        <v>2024</v>
      </c>
      <c r="C2126" s="51">
        <f>MONTH(BDRIOSJ[[#This Row],[FECHA]])</f>
        <v>12</v>
      </c>
      <c r="D2126" s="62">
        <v>45649</v>
      </c>
      <c r="E2126" s="60" t="s">
        <v>113</v>
      </c>
      <c r="F2126" s="66">
        <v>8.7810000000000006</v>
      </c>
    </row>
    <row r="2127" spans="2:6" hidden="1" x14ac:dyDescent="0.25">
      <c r="B2127" s="51">
        <f>YEAR(BDRIOSJ[[#This Row],[FECHA]])</f>
        <v>2024</v>
      </c>
      <c r="C2127" s="51">
        <f>MONTH(BDRIOSJ[[#This Row],[FECHA]])</f>
        <v>12</v>
      </c>
      <c r="D2127" s="62">
        <v>45649</v>
      </c>
      <c r="E2127" s="60" t="s">
        <v>114</v>
      </c>
      <c r="F2127" s="66">
        <v>8.7810000000000006</v>
      </c>
    </row>
    <row r="2128" spans="2:6" hidden="1" x14ac:dyDescent="0.25">
      <c r="B2128" s="51">
        <f>YEAR(BDRIOSJ[[#This Row],[FECHA]])</f>
        <v>2024</v>
      </c>
      <c r="C2128" s="51">
        <f>MONTH(BDRIOSJ[[#This Row],[FECHA]])</f>
        <v>12</v>
      </c>
      <c r="D2128" s="62">
        <v>45649</v>
      </c>
      <c r="E2128" s="60" t="s">
        <v>115</v>
      </c>
      <c r="F2128" s="66">
        <v>8.7810000000000006</v>
      </c>
    </row>
    <row r="2129" spans="2:6" hidden="1" x14ac:dyDescent="0.25">
      <c r="B2129" s="51">
        <f>YEAR(BDRIOSJ[[#This Row],[FECHA]])</f>
        <v>2024</v>
      </c>
      <c r="C2129" s="51">
        <f>MONTH(BDRIOSJ[[#This Row],[FECHA]])</f>
        <v>12</v>
      </c>
      <c r="D2129" s="62">
        <v>45650</v>
      </c>
      <c r="E2129" s="60" t="s">
        <v>111</v>
      </c>
      <c r="F2129" s="66">
        <v>8.7810000000000006</v>
      </c>
    </row>
    <row r="2130" spans="2:6" hidden="1" x14ac:dyDescent="0.25">
      <c r="B2130" s="51">
        <f>YEAR(BDRIOSJ[[#This Row],[FECHA]])</f>
        <v>2024</v>
      </c>
      <c r="C2130" s="51">
        <f>MONTH(BDRIOSJ[[#This Row],[FECHA]])</f>
        <v>12</v>
      </c>
      <c r="D2130" s="62">
        <v>45650</v>
      </c>
      <c r="E2130" s="60" t="s">
        <v>113</v>
      </c>
      <c r="F2130" s="66">
        <v>8.7810000000000006</v>
      </c>
    </row>
    <row r="2131" spans="2:6" hidden="1" x14ac:dyDescent="0.25">
      <c r="B2131" s="51">
        <f>YEAR(BDRIOSJ[[#This Row],[FECHA]])</f>
        <v>2024</v>
      </c>
      <c r="C2131" s="51">
        <f>MONTH(BDRIOSJ[[#This Row],[FECHA]])</f>
        <v>12</v>
      </c>
      <c r="D2131" s="62">
        <v>45650</v>
      </c>
      <c r="E2131" s="60" t="s">
        <v>114</v>
      </c>
      <c r="F2131" s="66">
        <v>8.3549000000000007</v>
      </c>
    </row>
    <row r="2132" spans="2:6" hidden="1" x14ac:dyDescent="0.25">
      <c r="B2132" s="51">
        <f>YEAR(BDRIOSJ[[#This Row],[FECHA]])</f>
        <v>2024</v>
      </c>
      <c r="C2132" s="51">
        <f>MONTH(BDRIOSJ[[#This Row],[FECHA]])</f>
        <v>12</v>
      </c>
      <c r="D2132" s="62">
        <v>45651</v>
      </c>
      <c r="E2132" s="60" t="s">
        <v>111</v>
      </c>
      <c r="F2132" s="66">
        <v>8.3549000000000007</v>
      </c>
    </row>
    <row r="2133" spans="2:6" hidden="1" x14ac:dyDescent="0.25">
      <c r="B2133" s="51">
        <f>YEAR(BDRIOSJ[[#This Row],[FECHA]])</f>
        <v>2024</v>
      </c>
      <c r="C2133" s="51">
        <f>MONTH(BDRIOSJ[[#This Row],[FECHA]])</f>
        <v>12</v>
      </c>
      <c r="D2133" s="62">
        <v>45651</v>
      </c>
      <c r="E2133" s="60" t="s">
        <v>113</v>
      </c>
      <c r="F2133" s="66">
        <v>8.3549000000000007</v>
      </c>
    </row>
    <row r="2134" spans="2:6" hidden="1" x14ac:dyDescent="0.25">
      <c r="B2134" s="51">
        <f>YEAR(BDRIOSJ[[#This Row],[FECHA]])</f>
        <v>2024</v>
      </c>
      <c r="C2134" s="51">
        <f>MONTH(BDRIOSJ[[#This Row],[FECHA]])</f>
        <v>12</v>
      </c>
      <c r="D2134" s="62">
        <v>45651</v>
      </c>
      <c r="E2134" s="60" t="s">
        <v>114</v>
      </c>
      <c r="F2134" s="66">
        <v>8.3549000000000007</v>
      </c>
    </row>
    <row r="2135" spans="2:6" hidden="1" x14ac:dyDescent="0.25">
      <c r="B2135" s="51">
        <f>YEAR(BDRIOSJ[[#This Row],[FECHA]])</f>
        <v>2024</v>
      </c>
      <c r="C2135" s="51">
        <f>MONTH(BDRIOSJ[[#This Row],[FECHA]])</f>
        <v>12</v>
      </c>
      <c r="D2135" s="62">
        <v>45651</v>
      </c>
      <c r="E2135" s="60" t="s">
        <v>115</v>
      </c>
      <c r="F2135" s="66">
        <v>8.3549000000000007</v>
      </c>
    </row>
    <row r="2136" spans="2:6" hidden="1" x14ac:dyDescent="0.25">
      <c r="B2136" s="51">
        <f>YEAR(BDRIOSJ[[#This Row],[FECHA]])</f>
        <v>2024</v>
      </c>
      <c r="C2136" s="51">
        <f>MONTH(BDRIOSJ[[#This Row],[FECHA]])</f>
        <v>12</v>
      </c>
      <c r="D2136" s="62">
        <v>45652</v>
      </c>
      <c r="E2136" s="60" t="s">
        <v>111</v>
      </c>
      <c r="F2136" s="66">
        <v>7.9393000000000002</v>
      </c>
    </row>
    <row r="2137" spans="2:6" hidden="1" x14ac:dyDescent="0.25">
      <c r="B2137" s="51">
        <f>YEAR(BDRIOSJ[[#This Row],[FECHA]])</f>
        <v>2024</v>
      </c>
      <c r="C2137" s="51">
        <f>MONTH(BDRIOSJ[[#This Row],[FECHA]])</f>
        <v>12</v>
      </c>
      <c r="D2137" s="62">
        <v>45652</v>
      </c>
      <c r="E2137" s="60" t="s">
        <v>113</v>
      </c>
      <c r="F2137" s="66">
        <v>7.9393000000000002</v>
      </c>
    </row>
    <row r="2138" spans="2:6" hidden="1" x14ac:dyDescent="0.25">
      <c r="B2138" s="51">
        <f>YEAR(BDRIOSJ[[#This Row],[FECHA]])</f>
        <v>2024</v>
      </c>
      <c r="C2138" s="51">
        <f>MONTH(BDRIOSJ[[#This Row],[FECHA]])</f>
        <v>12</v>
      </c>
      <c r="D2138" s="62">
        <v>45652</v>
      </c>
      <c r="E2138" s="60" t="s">
        <v>114</v>
      </c>
      <c r="F2138" s="66">
        <v>7.5342000000000002</v>
      </c>
    </row>
    <row r="2139" spans="2:6" hidden="1" x14ac:dyDescent="0.25">
      <c r="B2139" s="51">
        <f>YEAR(BDRIOSJ[[#This Row],[FECHA]])</f>
        <v>2024</v>
      </c>
      <c r="C2139" s="51">
        <f>MONTH(BDRIOSJ[[#This Row],[FECHA]])</f>
        <v>12</v>
      </c>
      <c r="D2139" s="62">
        <v>45652</v>
      </c>
      <c r="E2139" s="60" t="s">
        <v>115</v>
      </c>
      <c r="F2139" s="66">
        <v>7.5342000000000002</v>
      </c>
    </row>
    <row r="2140" spans="2:6" hidden="1" x14ac:dyDescent="0.25">
      <c r="B2140" s="51">
        <f>YEAR(BDRIOSJ[[#This Row],[FECHA]])</f>
        <v>2024</v>
      </c>
      <c r="C2140" s="51">
        <f>MONTH(BDRIOSJ[[#This Row],[FECHA]])</f>
        <v>12</v>
      </c>
      <c r="D2140" s="62">
        <v>45653</v>
      </c>
      <c r="E2140" s="60" t="s">
        <v>111</v>
      </c>
      <c r="F2140" s="66">
        <v>6.3822000000000001</v>
      </c>
    </row>
    <row r="2141" spans="2:6" hidden="1" x14ac:dyDescent="0.25">
      <c r="B2141" s="51">
        <f>YEAR(BDRIOSJ[[#This Row],[FECHA]])</f>
        <v>2024</v>
      </c>
      <c r="C2141" s="51">
        <f>MONTH(BDRIOSJ[[#This Row],[FECHA]])</f>
        <v>12</v>
      </c>
      <c r="D2141" s="62">
        <v>45653</v>
      </c>
      <c r="E2141" s="60" t="s">
        <v>113</v>
      </c>
      <c r="F2141" s="66">
        <v>6.3822000000000001</v>
      </c>
    </row>
    <row r="2142" spans="2:6" hidden="1" x14ac:dyDescent="0.25">
      <c r="B2142" s="51">
        <f>YEAR(BDRIOSJ[[#This Row],[FECHA]])</f>
        <v>2024</v>
      </c>
      <c r="C2142" s="51">
        <f>MONTH(BDRIOSJ[[#This Row],[FECHA]])</f>
        <v>12</v>
      </c>
      <c r="D2142" s="62">
        <v>45653</v>
      </c>
      <c r="E2142" s="60" t="s">
        <v>114</v>
      </c>
      <c r="F2142" s="66">
        <v>6.3822000000000001</v>
      </c>
    </row>
    <row r="2143" spans="2:6" hidden="1" x14ac:dyDescent="0.25">
      <c r="B2143" s="51">
        <f>YEAR(BDRIOSJ[[#This Row],[FECHA]])</f>
        <v>2024</v>
      </c>
      <c r="C2143" s="51">
        <f>MONTH(BDRIOSJ[[#This Row],[FECHA]])</f>
        <v>12</v>
      </c>
      <c r="D2143" s="62">
        <v>45653</v>
      </c>
      <c r="E2143" s="60" t="s">
        <v>115</v>
      </c>
      <c r="F2143" s="66">
        <v>6.3822000000000001</v>
      </c>
    </row>
    <row r="2144" spans="2:6" hidden="1" x14ac:dyDescent="0.25">
      <c r="B2144" s="51">
        <f>YEAR(BDRIOSJ[[#This Row],[FECHA]])</f>
        <v>2024</v>
      </c>
      <c r="C2144" s="51">
        <f>MONTH(BDRIOSJ[[#This Row],[FECHA]])</f>
        <v>12</v>
      </c>
      <c r="D2144" s="62">
        <v>45654</v>
      </c>
      <c r="E2144" s="60" t="s">
        <v>111</v>
      </c>
      <c r="F2144" s="66">
        <v>4.6726999999999999</v>
      </c>
    </row>
    <row r="2145" spans="2:6" hidden="1" x14ac:dyDescent="0.25">
      <c r="B2145" s="51">
        <f>YEAR(BDRIOSJ[[#This Row],[FECHA]])</f>
        <v>2024</v>
      </c>
      <c r="C2145" s="51">
        <f>MONTH(BDRIOSJ[[#This Row],[FECHA]])</f>
        <v>12</v>
      </c>
      <c r="D2145" s="62">
        <v>45654</v>
      </c>
      <c r="E2145" s="60" t="s">
        <v>113</v>
      </c>
      <c r="F2145" s="66">
        <v>4.6726999999999999</v>
      </c>
    </row>
    <row r="2146" spans="2:6" hidden="1" x14ac:dyDescent="0.25">
      <c r="B2146" s="51">
        <f>YEAR(BDRIOSJ[[#This Row],[FECHA]])</f>
        <v>2024</v>
      </c>
      <c r="C2146" s="51">
        <f>MONTH(BDRIOSJ[[#This Row],[FECHA]])</f>
        <v>12</v>
      </c>
      <c r="D2146" s="62">
        <v>45654</v>
      </c>
      <c r="E2146" s="60" t="s">
        <v>114</v>
      </c>
      <c r="F2146" s="66">
        <v>4.6726999999999999</v>
      </c>
    </row>
    <row r="2147" spans="2:6" hidden="1" x14ac:dyDescent="0.25">
      <c r="B2147" s="51">
        <f>YEAR(BDRIOSJ[[#This Row],[FECHA]])</f>
        <v>2024</v>
      </c>
      <c r="C2147" s="51">
        <f>MONTH(BDRIOSJ[[#This Row],[FECHA]])</f>
        <v>12</v>
      </c>
      <c r="D2147" s="62">
        <v>45654</v>
      </c>
      <c r="E2147" s="60" t="s">
        <v>115</v>
      </c>
      <c r="F2147" s="66">
        <v>4.6726999999999999</v>
      </c>
    </row>
    <row r="2148" spans="2:6" hidden="1" x14ac:dyDescent="0.25">
      <c r="B2148" s="51">
        <f>YEAR(BDRIOSJ[[#This Row],[FECHA]])</f>
        <v>2024</v>
      </c>
      <c r="C2148" s="51">
        <f>MONTH(BDRIOSJ[[#This Row],[FECHA]])</f>
        <v>12</v>
      </c>
      <c r="D2148" s="62">
        <v>45655</v>
      </c>
      <c r="E2148" s="60" t="s">
        <v>111</v>
      </c>
      <c r="F2148" s="66">
        <v>4.3623000000000003</v>
      </c>
    </row>
    <row r="2149" spans="2:6" hidden="1" x14ac:dyDescent="0.25">
      <c r="B2149" s="51">
        <f>YEAR(BDRIOSJ[[#This Row],[FECHA]])</f>
        <v>2024</v>
      </c>
      <c r="C2149" s="51">
        <f>MONTH(BDRIOSJ[[#This Row],[FECHA]])</f>
        <v>12</v>
      </c>
      <c r="D2149" s="62">
        <v>45655</v>
      </c>
      <c r="E2149" s="60" t="s">
        <v>113</v>
      </c>
      <c r="F2149" s="66">
        <v>4.3623000000000003</v>
      </c>
    </row>
    <row r="2150" spans="2:6" hidden="1" x14ac:dyDescent="0.25">
      <c r="B2150" s="51">
        <f>YEAR(BDRIOSJ[[#This Row],[FECHA]])</f>
        <v>2024</v>
      </c>
      <c r="C2150" s="51">
        <f>MONTH(BDRIOSJ[[#This Row],[FECHA]])</f>
        <v>12</v>
      </c>
      <c r="D2150" s="62">
        <v>45655</v>
      </c>
      <c r="E2150" s="60" t="s">
        <v>114</v>
      </c>
      <c r="F2150" s="66">
        <v>4.3623000000000003</v>
      </c>
    </row>
    <row r="2151" spans="2:6" hidden="1" x14ac:dyDescent="0.25">
      <c r="B2151" s="51">
        <f>YEAR(BDRIOSJ[[#This Row],[FECHA]])</f>
        <v>2024</v>
      </c>
      <c r="C2151" s="51">
        <f>MONTH(BDRIOSJ[[#This Row],[FECHA]])</f>
        <v>12</v>
      </c>
      <c r="D2151" s="62">
        <v>45655</v>
      </c>
      <c r="E2151" s="60" t="s">
        <v>115</v>
      </c>
      <c r="F2151" s="66">
        <v>4.3623000000000003</v>
      </c>
    </row>
    <row r="2152" spans="2:6" hidden="1" x14ac:dyDescent="0.25">
      <c r="B2152" s="51">
        <f>YEAR(BDRIOSJ[[#This Row],[FECHA]])</f>
        <v>2024</v>
      </c>
      <c r="C2152" s="51">
        <f>MONTH(BDRIOSJ[[#This Row],[FECHA]])</f>
        <v>12</v>
      </c>
      <c r="D2152" s="62">
        <v>45656</v>
      </c>
      <c r="E2152" s="60" t="s">
        <v>111</v>
      </c>
      <c r="F2152" s="66">
        <v>4.9935</v>
      </c>
    </row>
    <row r="2153" spans="2:6" hidden="1" x14ac:dyDescent="0.25">
      <c r="B2153" s="51">
        <f>YEAR(BDRIOSJ[[#This Row],[FECHA]])</f>
        <v>2024</v>
      </c>
      <c r="C2153" s="51">
        <f>MONTH(BDRIOSJ[[#This Row],[FECHA]])</f>
        <v>12</v>
      </c>
      <c r="D2153" s="62">
        <v>45656</v>
      </c>
      <c r="E2153" s="60" t="s">
        <v>113</v>
      </c>
      <c r="F2153" s="66">
        <v>4.9935</v>
      </c>
    </row>
    <row r="2154" spans="2:6" hidden="1" x14ac:dyDescent="0.25">
      <c r="B2154" s="51">
        <f>YEAR(BDRIOSJ[[#This Row],[FECHA]])</f>
        <v>2024</v>
      </c>
      <c r="C2154" s="51">
        <f>MONTH(BDRIOSJ[[#This Row],[FECHA]])</f>
        <v>12</v>
      </c>
      <c r="D2154" s="62">
        <v>45656</v>
      </c>
      <c r="E2154" s="60" t="s">
        <v>114</v>
      </c>
      <c r="F2154" s="66">
        <v>4.6726999999999999</v>
      </c>
    </row>
    <row r="2155" spans="2:6" hidden="1" x14ac:dyDescent="0.25">
      <c r="B2155" s="51">
        <f>YEAR(BDRIOSJ[[#This Row],[FECHA]])</f>
        <v>2024</v>
      </c>
      <c r="C2155" s="51">
        <f>MONTH(BDRIOSJ[[#This Row],[FECHA]])</f>
        <v>12</v>
      </c>
      <c r="D2155" s="62">
        <v>45656</v>
      </c>
      <c r="E2155" s="60" t="s">
        <v>115</v>
      </c>
      <c r="F2155" s="66">
        <v>4.6726999999999999</v>
      </c>
    </row>
    <row r="2156" spans="2:6" hidden="1" x14ac:dyDescent="0.25">
      <c r="B2156" s="51">
        <f>YEAR(BDRIOSJ[[#This Row],[FECHA]])</f>
        <v>2024</v>
      </c>
      <c r="C2156" s="51">
        <f>MONTH(BDRIOSJ[[#This Row],[FECHA]])</f>
        <v>12</v>
      </c>
      <c r="D2156" s="62">
        <v>45657</v>
      </c>
      <c r="E2156" s="60" t="s">
        <v>111</v>
      </c>
      <c r="F2156" s="66">
        <v>4.5162000000000004</v>
      </c>
    </row>
    <row r="2157" spans="2:6" hidden="1" x14ac:dyDescent="0.25">
      <c r="B2157" s="51">
        <f>YEAR(BDRIOSJ[[#This Row],[FECHA]])</f>
        <v>2024</v>
      </c>
      <c r="C2157" s="51">
        <f>MONTH(BDRIOSJ[[#This Row],[FECHA]])</f>
        <v>12</v>
      </c>
      <c r="D2157" s="62">
        <v>45657</v>
      </c>
      <c r="E2157" s="60" t="s">
        <v>113</v>
      </c>
      <c r="F2157" s="66">
        <v>4.5162000000000004</v>
      </c>
    </row>
    <row r="2158" spans="2:6" hidden="1" x14ac:dyDescent="0.25">
      <c r="B2158" s="51">
        <f>YEAR(BDRIOSJ[[#This Row],[FECHA]])</f>
        <v>2024</v>
      </c>
      <c r="C2158" s="51">
        <f>MONTH(BDRIOSJ[[#This Row],[FECHA]])</f>
        <v>12</v>
      </c>
      <c r="D2158" s="62">
        <v>45657</v>
      </c>
      <c r="E2158" s="60" t="s">
        <v>114</v>
      </c>
      <c r="F2158" s="66">
        <v>4.5162000000000004</v>
      </c>
    </row>
    <row r="2159" spans="2:6" hidden="1" x14ac:dyDescent="0.25">
      <c r="B2159" s="51">
        <f>YEAR(BDRIOSJ[[#This Row],[FECHA]])</f>
        <v>2024</v>
      </c>
      <c r="C2159" s="51">
        <f>MONTH(BDRIOSJ[[#This Row],[FECHA]])</f>
        <v>12</v>
      </c>
      <c r="D2159" s="62">
        <v>45657</v>
      </c>
      <c r="E2159" s="60" t="s">
        <v>115</v>
      </c>
      <c r="F2159" s="66">
        <v>12.569100000000001</v>
      </c>
    </row>
    <row r="2160" spans="2:6" hidden="1" x14ac:dyDescent="0.25">
      <c r="B2160" s="51">
        <f>YEAR(BDRIOSJ[[#This Row],[FECHA]])</f>
        <v>2025</v>
      </c>
      <c r="C2160" s="51">
        <f>MONTH(BDRIOSJ[[#This Row],[FECHA]])</f>
        <v>1</v>
      </c>
      <c r="D2160" s="62">
        <v>45658</v>
      </c>
      <c r="E2160" s="60" t="s">
        <v>111</v>
      </c>
      <c r="F2160" s="66">
        <v>18.878</v>
      </c>
    </row>
    <row r="2161" spans="2:6" hidden="1" x14ac:dyDescent="0.25">
      <c r="B2161" s="51">
        <f>YEAR(BDRIOSJ[[#This Row],[FECHA]])</f>
        <v>2025</v>
      </c>
      <c r="C2161" s="51">
        <f>MONTH(BDRIOSJ[[#This Row],[FECHA]])</f>
        <v>1</v>
      </c>
      <c r="D2161" s="62">
        <v>45658</v>
      </c>
      <c r="E2161" s="60" t="s">
        <v>113</v>
      </c>
      <c r="F2161" s="66">
        <v>15.852399999999999</v>
      </c>
    </row>
    <row r="2162" spans="2:6" hidden="1" x14ac:dyDescent="0.25">
      <c r="B2162" s="51">
        <f>YEAR(BDRIOSJ[[#This Row],[FECHA]])</f>
        <v>2025</v>
      </c>
      <c r="C2162" s="51">
        <f>MONTH(BDRIOSJ[[#This Row],[FECHA]])</f>
        <v>1</v>
      </c>
      <c r="D2162" s="62">
        <v>45658</v>
      </c>
      <c r="E2162" s="60" t="s">
        <v>114</v>
      </c>
      <c r="F2162" s="66">
        <v>15.852399999999999</v>
      </c>
    </row>
    <row r="2163" spans="2:6" hidden="1" x14ac:dyDescent="0.25">
      <c r="B2163" s="51">
        <f>YEAR(BDRIOSJ[[#This Row],[FECHA]])</f>
        <v>2025</v>
      </c>
      <c r="C2163" s="51">
        <f>MONTH(BDRIOSJ[[#This Row],[FECHA]])</f>
        <v>1</v>
      </c>
      <c r="D2163" s="62">
        <v>45658</v>
      </c>
      <c r="E2163" s="60" t="s">
        <v>115</v>
      </c>
      <c r="F2163" s="66">
        <v>15.852399999999999</v>
      </c>
    </row>
    <row r="2164" spans="2:6" hidden="1" x14ac:dyDescent="0.25">
      <c r="B2164" s="51">
        <f>YEAR(BDRIOSJ[[#This Row],[FECHA]])</f>
        <v>2025</v>
      </c>
      <c r="C2164" s="51">
        <f>MONTH(BDRIOSJ[[#This Row],[FECHA]])</f>
        <v>1</v>
      </c>
      <c r="D2164" s="62">
        <v>45659</v>
      </c>
      <c r="E2164" s="60" t="s">
        <v>111</v>
      </c>
      <c r="F2164" s="66">
        <v>23.91</v>
      </c>
    </row>
    <row r="2165" spans="2:6" hidden="1" x14ac:dyDescent="0.25">
      <c r="B2165" s="51">
        <f>YEAR(BDRIOSJ[[#This Row],[FECHA]])</f>
        <v>2025</v>
      </c>
      <c r="C2165" s="51">
        <f>MONTH(BDRIOSJ[[#This Row],[FECHA]])</f>
        <v>1</v>
      </c>
      <c r="D2165" s="62">
        <v>45659</v>
      </c>
      <c r="E2165" s="60" t="s">
        <v>113</v>
      </c>
      <c r="F2165" s="66">
        <v>18.878</v>
      </c>
    </row>
    <row r="2166" spans="2:6" hidden="1" x14ac:dyDescent="0.25">
      <c r="B2166" s="51">
        <f>YEAR(BDRIOSJ[[#This Row],[FECHA]])</f>
        <v>2025</v>
      </c>
      <c r="C2166" s="51">
        <f>MONTH(BDRIOSJ[[#This Row],[FECHA]])</f>
        <v>1</v>
      </c>
      <c r="D2166" s="62">
        <v>45659</v>
      </c>
      <c r="E2166" s="60" t="s">
        <v>114</v>
      </c>
      <c r="F2166" s="66">
        <v>22.166799999999999</v>
      </c>
    </row>
    <row r="2167" spans="2:6" hidden="1" x14ac:dyDescent="0.25">
      <c r="B2167" s="51">
        <f>YEAR(BDRIOSJ[[#This Row],[FECHA]])</f>
        <v>2025</v>
      </c>
      <c r="C2167" s="51">
        <f>MONTH(BDRIOSJ[[#This Row],[FECHA]])</f>
        <v>1</v>
      </c>
      <c r="D2167" s="62">
        <v>45659</v>
      </c>
      <c r="E2167" s="60" t="s">
        <v>115</v>
      </c>
      <c r="F2167" s="66">
        <v>22.166799999999999</v>
      </c>
    </row>
    <row r="2168" spans="2:6" hidden="1" x14ac:dyDescent="0.25">
      <c r="B2168" s="51">
        <f>YEAR(BDRIOSJ[[#This Row],[FECHA]])</f>
        <v>2025</v>
      </c>
      <c r="C2168" s="51">
        <f>MONTH(BDRIOSJ[[#This Row],[FECHA]])</f>
        <v>1</v>
      </c>
      <c r="D2168" s="62">
        <v>45660</v>
      </c>
      <c r="E2168" s="60" t="s">
        <v>111</v>
      </c>
      <c r="F2168" s="66">
        <v>22.166799999999999</v>
      </c>
    </row>
    <row r="2169" spans="2:6" hidden="1" x14ac:dyDescent="0.25">
      <c r="B2169" s="51">
        <f>YEAR(BDRIOSJ[[#This Row],[FECHA]])</f>
        <v>2025</v>
      </c>
      <c r="C2169" s="51">
        <f>MONTH(BDRIOSJ[[#This Row],[FECHA]])</f>
        <v>1</v>
      </c>
      <c r="D2169" s="62">
        <v>45660</v>
      </c>
      <c r="E2169" s="60" t="s">
        <v>113</v>
      </c>
      <c r="F2169" s="66">
        <v>18.878</v>
      </c>
    </row>
    <row r="2170" spans="2:6" hidden="1" x14ac:dyDescent="0.25">
      <c r="B2170" s="51">
        <f>YEAR(BDRIOSJ[[#This Row],[FECHA]])</f>
        <v>2025</v>
      </c>
      <c r="C2170" s="51">
        <f>MONTH(BDRIOSJ[[#This Row],[FECHA]])</f>
        <v>1</v>
      </c>
      <c r="D2170" s="62">
        <v>45660</v>
      </c>
      <c r="E2170" s="60" t="s">
        <v>114</v>
      </c>
      <c r="F2170" s="66">
        <v>15.852399999999999</v>
      </c>
    </row>
    <row r="2171" spans="2:6" hidden="1" x14ac:dyDescent="0.25">
      <c r="B2171" s="51">
        <f>YEAR(BDRIOSJ[[#This Row],[FECHA]])</f>
        <v>2025</v>
      </c>
      <c r="C2171" s="51">
        <f>MONTH(BDRIOSJ[[#This Row],[FECHA]])</f>
        <v>1</v>
      </c>
      <c r="D2171" s="62">
        <v>45660</v>
      </c>
      <c r="E2171" s="60" t="s">
        <v>115</v>
      </c>
      <c r="F2171" s="66">
        <v>15.852399999999999</v>
      </c>
    </row>
    <row r="2172" spans="2:6" hidden="1" x14ac:dyDescent="0.25">
      <c r="B2172" s="51">
        <f>YEAR(BDRIOSJ[[#This Row],[FECHA]])</f>
        <v>2025</v>
      </c>
      <c r="C2172" s="51">
        <f>MONTH(BDRIOSJ[[#This Row],[FECHA]])</f>
        <v>1</v>
      </c>
      <c r="D2172" s="62">
        <v>45661</v>
      </c>
      <c r="E2172" s="60" t="s">
        <v>111</v>
      </c>
      <c r="F2172" s="66">
        <v>22.166799999999999</v>
      </c>
    </row>
    <row r="2173" spans="2:6" hidden="1" x14ac:dyDescent="0.25">
      <c r="B2173" s="51">
        <f>YEAR(BDRIOSJ[[#This Row],[FECHA]])</f>
        <v>2025</v>
      </c>
      <c r="C2173" s="51">
        <f>MONTH(BDRIOSJ[[#This Row],[FECHA]])</f>
        <v>1</v>
      </c>
      <c r="D2173" s="62">
        <v>45661</v>
      </c>
      <c r="E2173" s="60" t="s">
        <v>113</v>
      </c>
      <c r="F2173" s="66">
        <v>18.878</v>
      </c>
    </row>
    <row r="2174" spans="2:6" hidden="1" x14ac:dyDescent="0.25">
      <c r="B2174" s="51">
        <f>YEAR(BDRIOSJ[[#This Row],[FECHA]])</f>
        <v>2025</v>
      </c>
      <c r="C2174" s="51">
        <f>MONTH(BDRIOSJ[[#This Row],[FECHA]])</f>
        <v>1</v>
      </c>
      <c r="D2174" s="62">
        <v>45661</v>
      </c>
      <c r="E2174" s="60" t="s">
        <v>114</v>
      </c>
      <c r="F2174" s="66">
        <v>18.878</v>
      </c>
    </row>
    <row r="2175" spans="2:6" hidden="1" x14ac:dyDescent="0.25">
      <c r="B2175" s="51">
        <f>YEAR(BDRIOSJ[[#This Row],[FECHA]])</f>
        <v>2025</v>
      </c>
      <c r="C2175" s="51">
        <f>MONTH(BDRIOSJ[[#This Row],[FECHA]])</f>
        <v>1</v>
      </c>
      <c r="D2175" s="62">
        <v>45661</v>
      </c>
      <c r="E2175" s="60" t="s">
        <v>115</v>
      </c>
      <c r="F2175" s="66">
        <v>18.878</v>
      </c>
    </row>
    <row r="2176" spans="2:6" hidden="1" x14ac:dyDescent="0.25">
      <c r="B2176" s="51">
        <f>YEAR(BDRIOSJ[[#This Row],[FECHA]])</f>
        <v>2025</v>
      </c>
      <c r="C2176" s="51">
        <f>MONTH(BDRIOSJ[[#This Row],[FECHA]])</f>
        <v>1</v>
      </c>
      <c r="D2176" s="62">
        <v>45662</v>
      </c>
      <c r="E2176" s="60" t="s">
        <v>111</v>
      </c>
      <c r="F2176" s="66">
        <v>18.878</v>
      </c>
    </row>
    <row r="2177" spans="2:6" hidden="1" x14ac:dyDescent="0.25">
      <c r="B2177" s="51">
        <f>YEAR(BDRIOSJ[[#This Row],[FECHA]])</f>
        <v>2025</v>
      </c>
      <c r="C2177" s="51">
        <f>MONTH(BDRIOSJ[[#This Row],[FECHA]])</f>
        <v>1</v>
      </c>
      <c r="D2177" s="62">
        <v>45662</v>
      </c>
      <c r="E2177" s="60" t="s">
        <v>113</v>
      </c>
      <c r="F2177" s="66">
        <v>18.878</v>
      </c>
    </row>
    <row r="2178" spans="2:6" hidden="1" x14ac:dyDescent="0.25">
      <c r="B2178" s="51">
        <f>YEAR(BDRIOSJ[[#This Row],[FECHA]])</f>
        <v>2025</v>
      </c>
      <c r="C2178" s="51">
        <f>MONTH(BDRIOSJ[[#This Row],[FECHA]])</f>
        <v>1</v>
      </c>
      <c r="D2178" s="62">
        <v>45662</v>
      </c>
      <c r="E2178" s="60" t="s">
        <v>114</v>
      </c>
      <c r="F2178" s="66">
        <v>18.878</v>
      </c>
    </row>
    <row r="2179" spans="2:6" hidden="1" x14ac:dyDescent="0.25">
      <c r="B2179" s="51">
        <f>YEAR(BDRIOSJ[[#This Row],[FECHA]])</f>
        <v>2025</v>
      </c>
      <c r="C2179" s="51">
        <f>MONTH(BDRIOSJ[[#This Row],[FECHA]])</f>
        <v>1</v>
      </c>
      <c r="D2179" s="63">
        <v>45662</v>
      </c>
      <c r="E2179" s="61" t="s">
        <v>115</v>
      </c>
      <c r="F2179" s="67">
        <v>18.878</v>
      </c>
    </row>
    <row r="2180" spans="2:6" hidden="1" x14ac:dyDescent="0.25">
      <c r="B2180" s="52">
        <f>YEAR(BDRIOSJ[[#This Row],[FECHA]])</f>
        <v>2025</v>
      </c>
      <c r="C2180" s="52">
        <f>MONTH(BDRIOSJ[[#This Row],[FECHA]])</f>
        <v>1</v>
      </c>
      <c r="D2180" s="72">
        <v>45663</v>
      </c>
      <c r="E2180" s="73" t="s">
        <v>111</v>
      </c>
      <c r="F2180" s="67">
        <v>18.878</v>
      </c>
    </row>
    <row r="2181" spans="2:6" hidden="1" x14ac:dyDescent="0.25">
      <c r="B2181" s="52">
        <f>YEAR(BDRIOSJ[[#This Row],[FECHA]])</f>
        <v>2025</v>
      </c>
      <c r="C2181" s="52">
        <f>MONTH(BDRIOSJ[[#This Row],[FECHA]])</f>
        <v>1</v>
      </c>
      <c r="D2181" s="72">
        <v>45663</v>
      </c>
      <c r="E2181" s="73" t="s">
        <v>113</v>
      </c>
      <c r="F2181" s="67">
        <v>18.878</v>
      </c>
    </row>
    <row r="2182" spans="2:6" hidden="1" x14ac:dyDescent="0.25">
      <c r="B2182" s="51">
        <f>YEAR(BDRIOSJ[[#This Row],[FECHA]])</f>
        <v>2025</v>
      </c>
      <c r="C2182" s="51">
        <f>MONTH(BDRIOSJ[[#This Row],[FECHA]])</f>
        <v>1</v>
      </c>
      <c r="D2182" s="79">
        <v>45663</v>
      </c>
      <c r="E2182" s="80" t="s">
        <v>114</v>
      </c>
      <c r="F2182" s="67">
        <v>18.878</v>
      </c>
    </row>
    <row r="2183" spans="2:6" hidden="1" x14ac:dyDescent="0.25">
      <c r="B2183" s="51">
        <f>YEAR(BDRIOSJ[[#This Row],[FECHA]])</f>
        <v>2025</v>
      </c>
      <c r="C2183" s="51">
        <f>MONTH(BDRIOSJ[[#This Row],[FECHA]])</f>
        <v>1</v>
      </c>
      <c r="D2183" s="79">
        <v>45663</v>
      </c>
      <c r="E2183" s="80" t="s">
        <v>115</v>
      </c>
      <c r="F2183" s="67">
        <v>17.3323</v>
      </c>
    </row>
    <row r="2184" spans="2:6" hidden="1" x14ac:dyDescent="0.25">
      <c r="B2184" s="51">
        <f>YEAR(BDRIOSJ[[#This Row],[FECHA]])</f>
        <v>2025</v>
      </c>
      <c r="C2184" s="51">
        <f>MONTH(BDRIOSJ[[#This Row],[FECHA]])</f>
        <v>1</v>
      </c>
      <c r="D2184" s="79">
        <v>45664</v>
      </c>
      <c r="E2184" s="80" t="s">
        <v>111</v>
      </c>
      <c r="F2184" s="65">
        <v>20.4895</v>
      </c>
    </row>
    <row r="2185" spans="2:6" hidden="1" x14ac:dyDescent="0.25">
      <c r="B2185" s="51">
        <f>YEAR(BDRIOSJ[[#This Row],[FECHA]])</f>
        <v>2025</v>
      </c>
      <c r="C2185" s="51">
        <f>MONTH(BDRIOSJ[[#This Row],[FECHA]])</f>
        <v>1</v>
      </c>
      <c r="D2185" s="79">
        <v>45664</v>
      </c>
      <c r="E2185" s="73" t="s">
        <v>113</v>
      </c>
      <c r="F2185" s="67">
        <v>18.878</v>
      </c>
    </row>
    <row r="2186" spans="2:6" hidden="1" x14ac:dyDescent="0.25">
      <c r="B2186" s="51">
        <f>YEAR(BDRIOSJ[[#This Row],[FECHA]])</f>
        <v>2025</v>
      </c>
      <c r="C2186" s="51">
        <f>MONTH(BDRIOSJ[[#This Row],[FECHA]])</f>
        <v>1</v>
      </c>
      <c r="D2186" s="79">
        <v>45664</v>
      </c>
      <c r="E2186" s="80" t="s">
        <v>114</v>
      </c>
      <c r="F2186" s="67">
        <v>18.878</v>
      </c>
    </row>
    <row r="2187" spans="2:6" hidden="1" x14ac:dyDescent="0.25">
      <c r="B2187" s="51">
        <f>YEAR(BDRIOSJ[[#This Row],[FECHA]])</f>
        <v>2025</v>
      </c>
      <c r="C2187" s="51">
        <f>MONTH(BDRIOSJ[[#This Row],[FECHA]])</f>
        <v>1</v>
      </c>
      <c r="D2187" s="79">
        <v>45664</v>
      </c>
      <c r="E2187" s="80" t="s">
        <v>115</v>
      </c>
      <c r="F2187" s="67">
        <v>18.878</v>
      </c>
    </row>
    <row r="2188" spans="2:6" hidden="1" x14ac:dyDescent="0.25">
      <c r="B2188" s="51">
        <f>YEAR(BDRIOSJ[[#This Row],[FECHA]])</f>
        <v>2025</v>
      </c>
      <c r="C2188" s="51">
        <f>MONTH(BDRIOSJ[[#This Row],[FECHA]])</f>
        <v>1</v>
      </c>
      <c r="D2188" s="50">
        <v>45665</v>
      </c>
      <c r="E2188" s="80" t="s">
        <v>111</v>
      </c>
      <c r="F2188" s="65">
        <v>15.852399999999999</v>
      </c>
    </row>
    <row r="2189" spans="2:6" hidden="1" x14ac:dyDescent="0.25">
      <c r="B2189" s="52">
        <f>YEAR(BDRIOSJ[[#This Row],[FECHA]])</f>
        <v>2025</v>
      </c>
      <c r="C2189" s="52">
        <f>MONTH(BDRIOSJ[[#This Row],[FECHA]])</f>
        <v>1</v>
      </c>
      <c r="D2189" s="81">
        <v>45665</v>
      </c>
      <c r="E2189" s="73" t="s">
        <v>113</v>
      </c>
      <c r="F2189" s="82">
        <v>15.852399999999999</v>
      </c>
    </row>
    <row r="2190" spans="2:6" hidden="1" x14ac:dyDescent="0.25">
      <c r="B2190" s="51">
        <f>YEAR(BDRIOSJ[[#This Row],[FECHA]])</f>
        <v>2025</v>
      </c>
      <c r="C2190" s="51">
        <f>MONTH(BDRIOSJ[[#This Row],[FECHA]])</f>
        <v>1</v>
      </c>
      <c r="D2190" s="50">
        <v>45665</v>
      </c>
      <c r="E2190" s="80" t="s">
        <v>114</v>
      </c>
      <c r="F2190" s="82">
        <v>15.852399999999999</v>
      </c>
    </row>
    <row r="2191" spans="2:6" hidden="1" x14ac:dyDescent="0.25">
      <c r="B2191" s="51">
        <f>YEAR(BDRIOSJ[[#This Row],[FECHA]])</f>
        <v>2025</v>
      </c>
      <c r="C2191" s="51">
        <f>MONTH(BDRIOSJ[[#This Row],[FECHA]])</f>
        <v>1</v>
      </c>
      <c r="D2191" s="50">
        <v>45665</v>
      </c>
      <c r="E2191" s="80" t="s">
        <v>115</v>
      </c>
      <c r="F2191" s="82">
        <v>15.852399999999999</v>
      </c>
    </row>
    <row r="2192" spans="2:6" hidden="1" x14ac:dyDescent="0.25">
      <c r="B2192" s="52">
        <f>YEAR(BDRIOSJ[[#This Row],[FECHA]])</f>
        <v>2025</v>
      </c>
      <c r="C2192" s="52">
        <f>MONTH(BDRIOSJ[[#This Row],[FECHA]])</f>
        <v>1</v>
      </c>
      <c r="D2192" s="81">
        <v>45666</v>
      </c>
      <c r="E2192" s="73" t="s">
        <v>111</v>
      </c>
      <c r="F2192" s="82">
        <v>14.4383</v>
      </c>
    </row>
    <row r="2193" spans="2:6" hidden="1" x14ac:dyDescent="0.25">
      <c r="B2193" s="51">
        <f>YEAR(BDRIOSJ[[#This Row],[FECHA]])</f>
        <v>2025</v>
      </c>
      <c r="C2193" s="51">
        <f>MONTH(BDRIOSJ[[#This Row],[FECHA]])</f>
        <v>1</v>
      </c>
      <c r="D2193" s="50">
        <v>45666</v>
      </c>
      <c r="E2193" s="80" t="s">
        <v>113</v>
      </c>
      <c r="F2193" s="65">
        <v>13.8911</v>
      </c>
    </row>
    <row r="2194" spans="2:6" hidden="1" x14ac:dyDescent="0.25">
      <c r="B2194" s="51">
        <f>YEAR(BDRIOSJ[[#This Row],[FECHA]])</f>
        <v>2025</v>
      </c>
      <c r="C2194" s="51">
        <f>MONTH(BDRIOSJ[[#This Row],[FECHA]])</f>
        <v>1</v>
      </c>
      <c r="D2194" s="50">
        <v>45666</v>
      </c>
      <c r="E2194" s="80" t="s">
        <v>114</v>
      </c>
      <c r="F2194" s="65">
        <v>13.8911</v>
      </c>
    </row>
    <row r="2195" spans="2:6" hidden="1" x14ac:dyDescent="0.25">
      <c r="B2195" s="51">
        <f>YEAR(BDRIOSJ[[#This Row],[FECHA]])</f>
        <v>2025</v>
      </c>
      <c r="C2195" s="51">
        <f>MONTH(BDRIOSJ[[#This Row],[FECHA]])</f>
        <v>1</v>
      </c>
      <c r="D2195" s="50">
        <v>45666</v>
      </c>
      <c r="E2195" s="80" t="s">
        <v>115</v>
      </c>
      <c r="F2195" s="65">
        <v>13.8911</v>
      </c>
    </row>
    <row r="2196" spans="2:6" hidden="1" x14ac:dyDescent="0.25">
      <c r="B2196" s="52">
        <f>YEAR(BDRIOSJ[[#This Row],[FECHA]])</f>
        <v>2025</v>
      </c>
      <c r="C2196" s="52">
        <f>MONTH(BDRIOSJ[[#This Row],[FECHA]])</f>
        <v>1</v>
      </c>
      <c r="D2196" s="81">
        <v>45667</v>
      </c>
      <c r="E2196" s="73" t="s">
        <v>111</v>
      </c>
      <c r="F2196" s="82">
        <v>12.569100000000001</v>
      </c>
    </row>
    <row r="2197" spans="2:6" hidden="1" x14ac:dyDescent="0.25">
      <c r="B2197" s="51">
        <f>YEAR(BDRIOSJ[[#This Row],[FECHA]])</f>
        <v>2025</v>
      </c>
      <c r="C2197" s="51">
        <f>MONTH(BDRIOSJ[[#This Row],[FECHA]])</f>
        <v>1</v>
      </c>
      <c r="D2197" s="50">
        <v>45667</v>
      </c>
      <c r="E2197" s="49" t="s">
        <v>113</v>
      </c>
      <c r="F2197" s="65">
        <v>12.569100000000001</v>
      </c>
    </row>
    <row r="2198" spans="2:6" hidden="1" x14ac:dyDescent="0.25">
      <c r="B2198" s="51">
        <f>YEAR(BDRIOSJ[[#This Row],[FECHA]])</f>
        <v>2025</v>
      </c>
      <c r="C2198" s="51">
        <f>MONTH(BDRIOSJ[[#This Row],[FECHA]])</f>
        <v>1</v>
      </c>
      <c r="D2198" s="50">
        <v>45667</v>
      </c>
      <c r="E2198" s="49" t="s">
        <v>114</v>
      </c>
      <c r="F2198" s="65">
        <v>12.569100000000001</v>
      </c>
    </row>
    <row r="2199" spans="2:6" hidden="1" x14ac:dyDescent="0.25">
      <c r="B2199" s="51">
        <f>YEAR(BDRIOSJ[[#This Row],[FECHA]])</f>
        <v>2025</v>
      </c>
      <c r="C2199" s="51">
        <f>MONTH(BDRIOSJ[[#This Row],[FECHA]])</f>
        <v>1</v>
      </c>
      <c r="D2199" s="50">
        <v>45667</v>
      </c>
      <c r="E2199" s="49" t="s">
        <v>115</v>
      </c>
      <c r="F2199" s="65">
        <v>12.569100000000001</v>
      </c>
    </row>
    <row r="2200" spans="2:6" hidden="1" x14ac:dyDescent="0.25">
      <c r="B2200" s="51">
        <f>YEAR(BDRIOSJ[[#This Row],[FECHA]])</f>
        <v>2025</v>
      </c>
      <c r="C2200" s="51">
        <f>MONTH(BDRIOSJ[[#This Row],[FECHA]])</f>
        <v>1</v>
      </c>
      <c r="D2200" s="50">
        <v>45668</v>
      </c>
      <c r="E2200" s="49" t="s">
        <v>111</v>
      </c>
      <c r="F2200" s="65">
        <v>10.5908</v>
      </c>
    </row>
    <row r="2201" spans="2:6" hidden="1" x14ac:dyDescent="0.25">
      <c r="B2201" s="51">
        <f>YEAR(BDRIOSJ[[#This Row],[FECHA]])</f>
        <v>2025</v>
      </c>
      <c r="C2201" s="51">
        <f>MONTH(BDRIOSJ[[#This Row],[FECHA]])</f>
        <v>1</v>
      </c>
      <c r="D2201" s="50">
        <v>45668</v>
      </c>
      <c r="E2201" s="49" t="s">
        <v>113</v>
      </c>
      <c r="F2201" s="65">
        <v>10.5908</v>
      </c>
    </row>
    <row r="2202" spans="2:6" hidden="1" x14ac:dyDescent="0.25">
      <c r="B2202" s="51">
        <f>YEAR(BDRIOSJ[[#This Row],[FECHA]])</f>
        <v>2025</v>
      </c>
      <c r="C2202" s="51">
        <f>MONTH(BDRIOSJ[[#This Row],[FECHA]])</f>
        <v>1</v>
      </c>
      <c r="D2202" s="50">
        <v>45668</v>
      </c>
      <c r="E2202" s="49" t="s">
        <v>114</v>
      </c>
      <c r="F2202" s="65">
        <v>10.5908</v>
      </c>
    </row>
    <row r="2203" spans="2:6" hidden="1" x14ac:dyDescent="0.25">
      <c r="B2203" s="51">
        <f>YEAR(BDRIOSJ[[#This Row],[FECHA]])</f>
        <v>2025</v>
      </c>
      <c r="C2203" s="51">
        <f>MONTH(BDRIOSJ[[#This Row],[FECHA]])</f>
        <v>1</v>
      </c>
      <c r="D2203" s="50">
        <v>45668</v>
      </c>
      <c r="E2203" s="49" t="s">
        <v>115</v>
      </c>
      <c r="F2203" s="65">
        <v>18.878</v>
      </c>
    </row>
    <row r="2204" spans="2:6" hidden="1" x14ac:dyDescent="0.25">
      <c r="B2204" s="51">
        <f>YEAR(BDRIOSJ[[#This Row],[FECHA]])</f>
        <v>2025</v>
      </c>
      <c r="C2204" s="51">
        <f>MONTH(BDRIOSJ[[#This Row],[FECHA]])</f>
        <v>1</v>
      </c>
      <c r="D2204" s="50">
        <v>45669</v>
      </c>
      <c r="E2204" s="49" t="s">
        <v>111</v>
      </c>
      <c r="F2204" s="65">
        <v>20.4895</v>
      </c>
    </row>
    <row r="2205" spans="2:6" hidden="1" x14ac:dyDescent="0.25">
      <c r="B2205" s="51">
        <f>YEAR(BDRIOSJ[[#This Row],[FECHA]])</f>
        <v>2025</v>
      </c>
      <c r="C2205" s="51">
        <f>MONTH(BDRIOSJ[[#This Row],[FECHA]])</f>
        <v>1</v>
      </c>
      <c r="D2205" s="50">
        <v>45669</v>
      </c>
      <c r="E2205" s="49" t="s">
        <v>113</v>
      </c>
      <c r="F2205" s="65">
        <v>20.4895</v>
      </c>
    </row>
    <row r="2206" spans="2:6" hidden="1" x14ac:dyDescent="0.25">
      <c r="B2206" s="51">
        <f>YEAR(BDRIOSJ[[#This Row],[FECHA]])</f>
        <v>2025</v>
      </c>
      <c r="C2206" s="51">
        <f>MONTH(BDRIOSJ[[#This Row],[FECHA]])</f>
        <v>1</v>
      </c>
      <c r="D2206" s="50">
        <v>45669</v>
      </c>
      <c r="E2206" s="49" t="s">
        <v>114</v>
      </c>
      <c r="F2206" s="65">
        <v>20.4895</v>
      </c>
    </row>
    <row r="2207" spans="2:6" hidden="1" x14ac:dyDescent="0.25">
      <c r="B2207" s="51">
        <f>YEAR(BDRIOSJ[[#This Row],[FECHA]])</f>
        <v>2025</v>
      </c>
      <c r="C2207" s="51">
        <f>MONTH(BDRIOSJ[[#This Row],[FECHA]])</f>
        <v>1</v>
      </c>
      <c r="D2207" s="50">
        <v>45669</v>
      </c>
      <c r="E2207" s="49" t="s">
        <v>115</v>
      </c>
      <c r="F2207" s="65">
        <v>20.4895</v>
      </c>
    </row>
    <row r="2208" spans="2:6" hidden="1" x14ac:dyDescent="0.25">
      <c r="B2208" s="52">
        <f>YEAR(BDRIOSJ[[#This Row],[FECHA]])</f>
        <v>2025</v>
      </c>
      <c r="C2208" s="52">
        <f>MONTH(BDRIOSJ[[#This Row],[FECHA]])</f>
        <v>1</v>
      </c>
      <c r="D2208" s="81">
        <v>45670</v>
      </c>
      <c r="E2208" s="86" t="s">
        <v>111</v>
      </c>
      <c r="F2208" s="82">
        <v>22.166799999999999</v>
      </c>
    </row>
    <row r="2209" spans="2:6" hidden="1" x14ac:dyDescent="0.25">
      <c r="B2209" s="51">
        <f>YEAR(BDRIOSJ[[#This Row],[FECHA]])</f>
        <v>2025</v>
      </c>
      <c r="C2209" s="51">
        <f>MONTH(BDRIOSJ[[#This Row],[FECHA]])</f>
        <v>1</v>
      </c>
      <c r="D2209" s="50">
        <v>45670</v>
      </c>
      <c r="E2209" s="49" t="s">
        <v>113</v>
      </c>
      <c r="F2209" s="65">
        <v>18.878</v>
      </c>
    </row>
    <row r="2210" spans="2:6" hidden="1" x14ac:dyDescent="0.25">
      <c r="B2210" s="51">
        <f>YEAR(BDRIOSJ[[#This Row],[FECHA]])</f>
        <v>2025</v>
      </c>
      <c r="C2210" s="51">
        <f>MONTH(BDRIOSJ[[#This Row],[FECHA]])</f>
        <v>1</v>
      </c>
      <c r="D2210" s="50">
        <v>45670</v>
      </c>
      <c r="E2210" s="49" t="s">
        <v>114</v>
      </c>
      <c r="F2210" s="65">
        <v>18.878</v>
      </c>
    </row>
    <row r="2211" spans="2:6" hidden="1" x14ac:dyDescent="0.25">
      <c r="B2211" s="51">
        <f>YEAR(BDRIOSJ[[#This Row],[FECHA]])</f>
        <v>2025</v>
      </c>
      <c r="C2211" s="51">
        <f>MONTH(BDRIOSJ[[#This Row],[FECHA]])</f>
        <v>1</v>
      </c>
      <c r="D2211" s="50">
        <v>45670</v>
      </c>
      <c r="E2211" s="49" t="s">
        <v>115</v>
      </c>
      <c r="F2211" s="65">
        <v>18.878</v>
      </c>
    </row>
    <row r="2212" spans="2:6" hidden="1" x14ac:dyDescent="0.25">
      <c r="B2212" s="52">
        <f>YEAR(BDRIOSJ[[#This Row],[FECHA]])</f>
        <v>2025</v>
      </c>
      <c r="C2212" s="52">
        <f>MONTH(BDRIOSJ[[#This Row],[FECHA]])</f>
        <v>1</v>
      </c>
      <c r="D2212" s="81">
        <v>45671</v>
      </c>
      <c r="E2212" s="86" t="s">
        <v>111</v>
      </c>
      <c r="F2212" s="82">
        <v>13.09</v>
      </c>
    </row>
    <row r="2213" spans="2:6" hidden="1" x14ac:dyDescent="0.25">
      <c r="B2213" s="51">
        <f>YEAR(BDRIOSJ[[#This Row],[FECHA]])</f>
        <v>2025</v>
      </c>
      <c r="C2213" s="51">
        <f>MONTH(BDRIOSJ[[#This Row],[FECHA]])</f>
        <v>1</v>
      </c>
      <c r="D2213" s="81">
        <v>45671</v>
      </c>
      <c r="E2213" s="49" t="s">
        <v>113</v>
      </c>
      <c r="F2213" s="82">
        <v>13.09</v>
      </c>
    </row>
    <row r="2214" spans="2:6" hidden="1" x14ac:dyDescent="0.25">
      <c r="B2214" s="51">
        <f>YEAR(BDRIOSJ[[#This Row],[FECHA]])</f>
        <v>2025</v>
      </c>
      <c r="C2214" s="51">
        <f>MONTH(BDRIOSJ[[#This Row],[FECHA]])</f>
        <v>1</v>
      </c>
      <c r="D2214" s="81">
        <v>45671</v>
      </c>
      <c r="E2214" s="49" t="s">
        <v>114</v>
      </c>
      <c r="F2214" s="82">
        <v>13.09</v>
      </c>
    </row>
    <row r="2215" spans="2:6" hidden="1" x14ac:dyDescent="0.25">
      <c r="B2215" s="51">
        <f>YEAR(BDRIOSJ[[#This Row],[FECHA]])</f>
        <v>2025</v>
      </c>
      <c r="C2215" s="51">
        <f>MONTH(BDRIOSJ[[#This Row],[FECHA]])</f>
        <v>1</v>
      </c>
      <c r="D2215" s="81">
        <v>45671</v>
      </c>
      <c r="E2215" s="49" t="s">
        <v>115</v>
      </c>
      <c r="F2215" s="65">
        <v>12.0588</v>
      </c>
    </row>
    <row r="2216" spans="2:6" hidden="1" x14ac:dyDescent="0.25">
      <c r="B2216" s="52">
        <f>YEAR(BDRIOSJ[[#This Row],[FECHA]])</f>
        <v>2025</v>
      </c>
      <c r="C2216" s="52">
        <f>MONTH(BDRIOSJ[[#This Row],[FECHA]])</f>
        <v>1</v>
      </c>
      <c r="D2216" s="81">
        <v>45672</v>
      </c>
      <c r="E2216" s="86" t="s">
        <v>111</v>
      </c>
      <c r="F2216" s="65">
        <v>12.0588</v>
      </c>
    </row>
    <row r="2217" spans="2:6" hidden="1" x14ac:dyDescent="0.25">
      <c r="B2217" s="52">
        <f>YEAR(BDRIOSJ[[#This Row],[FECHA]])</f>
        <v>2025</v>
      </c>
      <c r="C2217" s="52">
        <f>MONTH(BDRIOSJ[[#This Row],[FECHA]])</f>
        <v>1</v>
      </c>
      <c r="D2217" s="81">
        <v>45672</v>
      </c>
      <c r="E2217" s="86" t="s">
        <v>113</v>
      </c>
      <c r="F2217" s="82">
        <v>11.5589</v>
      </c>
    </row>
    <row r="2218" spans="2:6" hidden="1" x14ac:dyDescent="0.25">
      <c r="B2218" s="51">
        <f>YEAR(BDRIOSJ[[#This Row],[FECHA]])</f>
        <v>2025</v>
      </c>
      <c r="C2218" s="51">
        <f>MONTH(BDRIOSJ[[#This Row],[FECHA]])</f>
        <v>1</v>
      </c>
      <c r="D2218" s="50">
        <v>45672</v>
      </c>
      <c r="E2218" s="49" t="s">
        <v>114</v>
      </c>
      <c r="F2218" s="65">
        <v>11.5589</v>
      </c>
    </row>
    <row r="2219" spans="2:6" hidden="1" x14ac:dyDescent="0.25">
      <c r="B2219" s="51">
        <f>YEAR(BDRIOSJ[[#This Row],[FECHA]])</f>
        <v>2025</v>
      </c>
      <c r="C2219" s="51">
        <f>MONTH(BDRIOSJ[[#This Row],[FECHA]])</f>
        <v>1</v>
      </c>
      <c r="D2219" s="50">
        <v>45672</v>
      </c>
      <c r="E2219" s="49" t="s">
        <v>115</v>
      </c>
      <c r="F2219" s="65">
        <v>11.5589</v>
      </c>
    </row>
    <row r="2220" spans="2:6" hidden="1" x14ac:dyDescent="0.25">
      <c r="B2220" s="51">
        <f>YEAR(BDRIOSJ[[#This Row],[FECHA]])</f>
        <v>2025</v>
      </c>
      <c r="C2220" s="51">
        <f>MONTH(BDRIOSJ[[#This Row],[FECHA]])</f>
        <v>1</v>
      </c>
      <c r="D2220" s="50">
        <v>45673</v>
      </c>
      <c r="E2220" s="49" t="s">
        <v>111</v>
      </c>
      <c r="F2220" s="65">
        <v>11.069599999999999</v>
      </c>
    </row>
    <row r="2221" spans="2:6" hidden="1" x14ac:dyDescent="0.25">
      <c r="B2221" s="51">
        <f>YEAR(BDRIOSJ[[#This Row],[FECHA]])</f>
        <v>2025</v>
      </c>
      <c r="C2221" s="51">
        <f>MONTH(BDRIOSJ[[#This Row],[FECHA]])</f>
        <v>1</v>
      </c>
      <c r="D2221" s="50">
        <v>45673</v>
      </c>
      <c r="E2221" s="49" t="s">
        <v>113</v>
      </c>
      <c r="F2221" s="65">
        <v>10.5908</v>
      </c>
    </row>
    <row r="2222" spans="2:6" hidden="1" x14ac:dyDescent="0.25">
      <c r="B2222" s="51">
        <f>YEAR(BDRIOSJ[[#This Row],[FECHA]])</f>
        <v>2025</v>
      </c>
      <c r="C2222" s="51">
        <f>MONTH(BDRIOSJ[[#This Row],[FECHA]])</f>
        <v>1</v>
      </c>
      <c r="D2222" s="50">
        <v>45673</v>
      </c>
      <c r="E2222" s="49" t="s">
        <v>114</v>
      </c>
      <c r="F2222" s="65">
        <v>10.5908</v>
      </c>
    </row>
    <row r="2223" spans="2:6" hidden="1" x14ac:dyDescent="0.25">
      <c r="B2223" s="51">
        <f>YEAR(BDRIOSJ[[#This Row],[FECHA]])</f>
        <v>2025</v>
      </c>
      <c r="C2223" s="51">
        <f>MONTH(BDRIOSJ[[#This Row],[FECHA]])</f>
        <v>1</v>
      </c>
      <c r="D2223" s="50">
        <v>45673</v>
      </c>
      <c r="E2223" s="49" t="s">
        <v>115</v>
      </c>
      <c r="F2223" s="65">
        <v>10.5908</v>
      </c>
    </row>
    <row r="2224" spans="2:6" hidden="1" x14ac:dyDescent="0.25">
      <c r="B2224" s="52">
        <f>YEAR(BDRIOSJ[[#This Row],[FECHA]])</f>
        <v>2025</v>
      </c>
      <c r="C2224" s="52">
        <f>MONTH(BDRIOSJ[[#This Row],[FECHA]])</f>
        <v>1</v>
      </c>
      <c r="D2224" s="81">
        <v>45674</v>
      </c>
      <c r="E2224" s="86" t="s">
        <v>111</v>
      </c>
      <c r="F2224" s="82">
        <v>8.3549000000000007</v>
      </c>
    </row>
    <row r="2225" spans="2:6" hidden="1" x14ac:dyDescent="0.25">
      <c r="B2225" s="51">
        <f>YEAR(BDRIOSJ[[#This Row],[FECHA]])</f>
        <v>2025</v>
      </c>
      <c r="C2225" s="51">
        <f>MONTH(BDRIOSJ[[#This Row],[FECHA]])</f>
        <v>1</v>
      </c>
      <c r="D2225" s="50">
        <v>45674</v>
      </c>
      <c r="E2225" s="49" t="s">
        <v>113</v>
      </c>
      <c r="F2225" s="65">
        <v>8.3549000000000007</v>
      </c>
    </row>
    <row r="2226" spans="2:6" hidden="1" x14ac:dyDescent="0.25">
      <c r="B2226" s="51">
        <f>YEAR(BDRIOSJ[[#This Row],[FECHA]])</f>
        <v>2025</v>
      </c>
      <c r="C2226" s="51">
        <f>MONTH(BDRIOSJ[[#This Row],[FECHA]])</f>
        <v>1</v>
      </c>
      <c r="D2226" s="50">
        <v>45674</v>
      </c>
      <c r="E2226" s="49" t="s">
        <v>114</v>
      </c>
      <c r="F2226" s="65">
        <v>8.3549000000000007</v>
      </c>
    </row>
    <row r="2227" spans="2:6" hidden="1" x14ac:dyDescent="0.25">
      <c r="B2227" s="51">
        <f>YEAR(BDRIOSJ[[#This Row],[FECHA]])</f>
        <v>2025</v>
      </c>
      <c r="C2227" s="51">
        <f>MONTH(BDRIOSJ[[#This Row],[FECHA]])</f>
        <v>1</v>
      </c>
      <c r="D2227" s="50">
        <v>45674</v>
      </c>
      <c r="E2227" s="49" t="s">
        <v>115</v>
      </c>
      <c r="F2227" s="65">
        <v>8.3549000000000007</v>
      </c>
    </row>
    <row r="2228" spans="2:6" hidden="1" x14ac:dyDescent="0.25">
      <c r="B2228" s="51">
        <f>YEAR(BDRIOSJ[[#This Row],[FECHA]])</f>
        <v>2025</v>
      </c>
      <c r="C2228" s="51">
        <f>MONTH(BDRIOSJ[[#This Row],[FECHA]])</f>
        <v>1</v>
      </c>
      <c r="D2228" s="50">
        <v>45675</v>
      </c>
      <c r="E2228" s="49" t="s">
        <v>111</v>
      </c>
      <c r="F2228" s="65">
        <v>7.1397000000000004</v>
      </c>
    </row>
    <row r="2229" spans="2:6" hidden="1" x14ac:dyDescent="0.25">
      <c r="B2229" s="51">
        <f>YEAR(BDRIOSJ[[#This Row],[FECHA]])</f>
        <v>2025</v>
      </c>
      <c r="C2229" s="51">
        <f>MONTH(BDRIOSJ[[#This Row],[FECHA]])</f>
        <v>1</v>
      </c>
      <c r="D2229" s="50">
        <v>45675</v>
      </c>
      <c r="E2229" s="49" t="s">
        <v>113</v>
      </c>
      <c r="F2229" s="65">
        <v>7.1397000000000004</v>
      </c>
    </row>
    <row r="2230" spans="2:6" hidden="1" x14ac:dyDescent="0.25">
      <c r="B2230" s="51">
        <f>YEAR(BDRIOSJ[[#This Row],[FECHA]])</f>
        <v>2025</v>
      </c>
      <c r="C2230" s="51">
        <f>MONTH(BDRIOSJ[[#This Row],[FECHA]])</f>
        <v>1</v>
      </c>
      <c r="D2230" s="50">
        <v>45675</v>
      </c>
      <c r="E2230" s="49" t="s">
        <v>114</v>
      </c>
      <c r="F2230" s="65">
        <v>7.1397000000000004</v>
      </c>
    </row>
    <row r="2231" spans="2:6" hidden="1" x14ac:dyDescent="0.25">
      <c r="B2231" s="51">
        <f>YEAR(BDRIOSJ[[#This Row],[FECHA]])</f>
        <v>2025</v>
      </c>
      <c r="C2231" s="51">
        <f>MONTH(BDRIOSJ[[#This Row],[FECHA]])</f>
        <v>1</v>
      </c>
      <c r="D2231" s="50">
        <v>45675</v>
      </c>
      <c r="E2231" s="49" t="s">
        <v>115</v>
      </c>
      <c r="F2231" s="65">
        <v>7.1397000000000004</v>
      </c>
    </row>
    <row r="2232" spans="2:6" hidden="1" x14ac:dyDescent="0.25">
      <c r="B2232" s="51">
        <f>YEAR(BDRIOSJ[[#This Row],[FECHA]])</f>
        <v>2025</v>
      </c>
      <c r="C2232" s="51">
        <f>MONTH(BDRIOSJ[[#This Row],[FECHA]])</f>
        <v>1</v>
      </c>
      <c r="D2232" s="50">
        <v>45676</v>
      </c>
      <c r="E2232" s="49" t="s">
        <v>111</v>
      </c>
      <c r="F2232" s="65">
        <v>6.3822000000000001</v>
      </c>
    </row>
    <row r="2233" spans="2:6" hidden="1" x14ac:dyDescent="0.25">
      <c r="B2233" s="51">
        <f>YEAR(BDRIOSJ[[#This Row],[FECHA]])</f>
        <v>2025</v>
      </c>
      <c r="C2233" s="51">
        <f>MONTH(BDRIOSJ[[#This Row],[FECHA]])</f>
        <v>1</v>
      </c>
      <c r="D2233" s="50">
        <v>45676</v>
      </c>
      <c r="E2233" s="49" t="s">
        <v>113</v>
      </c>
      <c r="F2233" s="65">
        <v>6.3822000000000001</v>
      </c>
    </row>
    <row r="2234" spans="2:6" hidden="1" x14ac:dyDescent="0.25">
      <c r="B2234" s="51">
        <f>YEAR(BDRIOSJ[[#This Row],[FECHA]])</f>
        <v>2025</v>
      </c>
      <c r="C2234" s="51">
        <f>MONTH(BDRIOSJ[[#This Row],[FECHA]])</f>
        <v>1</v>
      </c>
      <c r="D2234" s="50">
        <v>45676</v>
      </c>
      <c r="E2234" s="49" t="s">
        <v>114</v>
      </c>
      <c r="F2234" s="65">
        <v>6.3822000000000001</v>
      </c>
    </row>
    <row r="2235" spans="2:6" hidden="1" x14ac:dyDescent="0.25">
      <c r="B2235" s="51">
        <f>YEAR(BDRIOSJ[[#This Row],[FECHA]])</f>
        <v>2025</v>
      </c>
      <c r="C2235" s="51">
        <f>MONTH(BDRIOSJ[[#This Row],[FECHA]])</f>
        <v>1</v>
      </c>
      <c r="D2235" s="50">
        <v>45676</v>
      </c>
      <c r="E2235" s="49" t="s">
        <v>115</v>
      </c>
      <c r="F2235" s="65">
        <v>6.3822000000000001</v>
      </c>
    </row>
    <row r="2236" spans="2:6" hidden="1" x14ac:dyDescent="0.25">
      <c r="B2236" s="51">
        <f>YEAR(BDRIOSJ[[#This Row],[FECHA]])</f>
        <v>2025</v>
      </c>
      <c r="C2236" s="51">
        <f>MONTH(BDRIOSJ[[#This Row],[FECHA]])</f>
        <v>1</v>
      </c>
      <c r="D2236" s="50">
        <v>45677</v>
      </c>
      <c r="E2236" s="49" t="s">
        <v>111</v>
      </c>
      <c r="F2236" s="65">
        <v>7.1397000000000004</v>
      </c>
    </row>
    <row r="2237" spans="2:6" hidden="1" x14ac:dyDescent="0.25">
      <c r="B2237" s="51">
        <f>YEAR(BDRIOSJ[[#This Row],[FECHA]])</f>
        <v>2025</v>
      </c>
      <c r="C2237" s="51">
        <f>MONTH(BDRIOSJ[[#This Row],[FECHA]])</f>
        <v>1</v>
      </c>
      <c r="D2237" s="50">
        <v>45677</v>
      </c>
      <c r="E2237" s="49" t="s">
        <v>113</v>
      </c>
      <c r="F2237" s="65">
        <v>7.1397000000000004</v>
      </c>
    </row>
    <row r="2238" spans="2:6" hidden="1" x14ac:dyDescent="0.25">
      <c r="B2238" s="52">
        <f>YEAR(BDRIOSJ[[#This Row],[FECHA]])</f>
        <v>2025</v>
      </c>
      <c r="C2238" s="52">
        <f>MONTH(BDRIOSJ[[#This Row],[FECHA]])</f>
        <v>1</v>
      </c>
      <c r="D2238" s="81">
        <v>45677</v>
      </c>
      <c r="E2238" s="86" t="s">
        <v>114</v>
      </c>
      <c r="F2238" s="82">
        <v>7.1397000000000004</v>
      </c>
    </row>
    <row r="2239" spans="2:6" hidden="1" x14ac:dyDescent="0.25">
      <c r="B2239" s="52">
        <f>YEAR(BDRIOSJ[[#This Row],[FECHA]])</f>
        <v>2025</v>
      </c>
      <c r="C2239" s="52">
        <f>MONTH(BDRIOSJ[[#This Row],[FECHA]])</f>
        <v>1</v>
      </c>
      <c r="D2239" s="106">
        <v>45677</v>
      </c>
      <c r="E2239" s="61" t="s">
        <v>115</v>
      </c>
      <c r="F2239" s="107">
        <v>7.1397000000000004</v>
      </c>
    </row>
    <row r="2240" spans="2:6" hidden="1" x14ac:dyDescent="0.25">
      <c r="B2240" s="51">
        <f>YEAR(BDRIOSJ[[#This Row],[FECHA]])</f>
        <v>2025</v>
      </c>
      <c r="C2240" s="51">
        <f>MONTH(BDRIOSJ[[#This Row],[FECHA]])</f>
        <v>1</v>
      </c>
      <c r="D2240" s="50">
        <v>45678</v>
      </c>
      <c r="E2240" s="49" t="s">
        <v>111</v>
      </c>
      <c r="F2240" s="65">
        <v>7.9393000000000002</v>
      </c>
    </row>
    <row r="2241" spans="2:6" hidden="1" x14ac:dyDescent="0.25">
      <c r="B2241" s="51">
        <f>YEAR(BDRIOSJ[[#This Row],[FECHA]])</f>
        <v>2025</v>
      </c>
      <c r="C2241" s="51">
        <f>MONTH(BDRIOSJ[[#This Row],[FECHA]])</f>
        <v>1</v>
      </c>
      <c r="D2241" s="50">
        <v>45678</v>
      </c>
      <c r="E2241" s="49" t="s">
        <v>113</v>
      </c>
      <c r="F2241" s="65">
        <v>7.9393000000000002</v>
      </c>
    </row>
    <row r="2242" spans="2:6" hidden="1" x14ac:dyDescent="0.25">
      <c r="B2242" s="51">
        <f>YEAR(BDRIOSJ[[#This Row],[FECHA]])</f>
        <v>2025</v>
      </c>
      <c r="C2242" s="51">
        <f>MONTH(BDRIOSJ[[#This Row],[FECHA]])</f>
        <v>1</v>
      </c>
      <c r="D2242" s="50">
        <v>45678</v>
      </c>
      <c r="E2242" s="49" t="s">
        <v>114</v>
      </c>
      <c r="F2242" s="65">
        <v>7.9393000000000002</v>
      </c>
    </row>
    <row r="2243" spans="2:6" hidden="1" x14ac:dyDescent="0.25">
      <c r="B2243" s="51">
        <f>YEAR(BDRIOSJ[[#This Row],[FECHA]])</f>
        <v>2025</v>
      </c>
      <c r="C2243" s="51">
        <f>MONTH(BDRIOSJ[[#This Row],[FECHA]])</f>
        <v>1</v>
      </c>
      <c r="D2243" s="50">
        <v>45678</v>
      </c>
      <c r="E2243" s="49" t="s">
        <v>115</v>
      </c>
      <c r="F2243" s="65">
        <v>7.9393000000000002</v>
      </c>
    </row>
    <row r="2244" spans="2:6" hidden="1" x14ac:dyDescent="0.25">
      <c r="B2244" s="51">
        <f>YEAR(BDRIOSJ[[#This Row],[FECHA]])</f>
        <v>2025</v>
      </c>
      <c r="C2244" s="51">
        <f>MONTH(BDRIOSJ[[#This Row],[FECHA]])</f>
        <v>1</v>
      </c>
      <c r="D2244" s="50">
        <v>45679</v>
      </c>
      <c r="E2244" s="49" t="s">
        <v>111</v>
      </c>
      <c r="F2244" s="65">
        <v>2.0432999999999999</v>
      </c>
    </row>
    <row r="2245" spans="2:6" hidden="1" x14ac:dyDescent="0.25">
      <c r="B2245" s="51">
        <f>YEAR(BDRIOSJ[[#This Row],[FECHA]])</f>
        <v>2025</v>
      </c>
      <c r="C2245" s="51">
        <f>MONTH(BDRIOSJ[[#This Row],[FECHA]])</f>
        <v>1</v>
      </c>
      <c r="D2245" s="50">
        <v>45679</v>
      </c>
      <c r="E2245" s="49" t="s">
        <v>113</v>
      </c>
      <c r="F2245" s="65">
        <v>2.0432999999999999</v>
      </c>
    </row>
    <row r="2246" spans="2:6" hidden="1" x14ac:dyDescent="0.25">
      <c r="B2246" s="51">
        <f>YEAR(BDRIOSJ[[#This Row],[FECHA]])</f>
        <v>2025</v>
      </c>
      <c r="C2246" s="51">
        <f>MONTH(BDRIOSJ[[#This Row],[FECHA]])</f>
        <v>1</v>
      </c>
      <c r="D2246" s="50">
        <v>45679</v>
      </c>
      <c r="E2246" s="49" t="s">
        <v>114</v>
      </c>
      <c r="F2246" s="65">
        <v>1.8383</v>
      </c>
    </row>
    <row r="2247" spans="2:6" hidden="1" x14ac:dyDescent="0.25">
      <c r="B2247" s="51">
        <f>YEAR(BDRIOSJ[[#This Row],[FECHA]])</f>
        <v>2025</v>
      </c>
      <c r="C2247" s="51">
        <f>MONTH(BDRIOSJ[[#This Row],[FECHA]])</f>
        <v>1</v>
      </c>
      <c r="D2247" s="50">
        <v>45679</v>
      </c>
      <c r="E2247" s="49" t="s">
        <v>115</v>
      </c>
      <c r="F2247" s="65">
        <v>1.8383</v>
      </c>
    </row>
    <row r="2248" spans="2:6" hidden="1" x14ac:dyDescent="0.25">
      <c r="B2248" s="51">
        <f>YEAR(BDRIOSJ[[#This Row],[FECHA]])</f>
        <v>2025</v>
      </c>
      <c r="C2248" s="51">
        <f>MONTH(BDRIOSJ[[#This Row],[FECHA]])</f>
        <v>1</v>
      </c>
      <c r="D2248" s="50">
        <v>45680</v>
      </c>
      <c r="E2248" s="49" t="s">
        <v>111</v>
      </c>
      <c r="F2248" s="65">
        <v>1.8383</v>
      </c>
    </row>
    <row r="2249" spans="2:6" hidden="1" x14ac:dyDescent="0.25">
      <c r="B2249" s="51">
        <f>YEAR(BDRIOSJ[[#This Row],[FECHA]])</f>
        <v>2025</v>
      </c>
      <c r="C2249" s="51">
        <f>MONTH(BDRIOSJ[[#This Row],[FECHA]])</f>
        <v>1</v>
      </c>
      <c r="D2249" s="50">
        <v>45680</v>
      </c>
      <c r="E2249" s="49" t="s">
        <v>113</v>
      </c>
      <c r="F2249" s="65">
        <v>1.8383</v>
      </c>
    </row>
    <row r="2250" spans="2:6" hidden="1" x14ac:dyDescent="0.25">
      <c r="B2250" s="51">
        <f>YEAR(BDRIOSJ[[#This Row],[FECHA]])</f>
        <v>2025</v>
      </c>
      <c r="C2250" s="51">
        <f>MONTH(BDRIOSJ[[#This Row],[FECHA]])</f>
        <v>1</v>
      </c>
      <c r="D2250" s="50">
        <v>45680</v>
      </c>
      <c r="E2250" s="49" t="s">
        <v>114</v>
      </c>
      <c r="F2250" s="65">
        <v>2.2587999999999999</v>
      </c>
    </row>
    <row r="2251" spans="2:6" hidden="1" x14ac:dyDescent="0.25">
      <c r="B2251" s="51">
        <f>YEAR(BDRIOSJ[[#This Row],[FECHA]])</f>
        <v>2025</v>
      </c>
      <c r="C2251" s="51">
        <f>MONTH(BDRIOSJ[[#This Row],[FECHA]])</f>
        <v>1</v>
      </c>
      <c r="D2251" s="50">
        <v>45680</v>
      </c>
      <c r="E2251" s="49" t="s">
        <v>115</v>
      </c>
      <c r="F2251" s="65">
        <v>2.2587999999999999</v>
      </c>
    </row>
    <row r="2252" spans="2:6" hidden="1" x14ac:dyDescent="0.25">
      <c r="B2252" s="51">
        <f>YEAR(BDRIOSJ[[#This Row],[FECHA]])</f>
        <v>2025</v>
      </c>
      <c r="C2252" s="51">
        <f>MONTH(BDRIOSJ[[#This Row],[FECHA]])</f>
        <v>1</v>
      </c>
      <c r="D2252" s="50">
        <v>45681</v>
      </c>
      <c r="E2252" s="49" t="s">
        <v>111</v>
      </c>
      <c r="F2252" s="65">
        <v>2.9687000000000001</v>
      </c>
    </row>
    <row r="2253" spans="2:6" hidden="1" x14ac:dyDescent="0.25">
      <c r="B2253" s="51">
        <f>YEAR(BDRIOSJ[[#This Row],[FECHA]])</f>
        <v>2025</v>
      </c>
      <c r="C2253" s="51">
        <f>MONTH(BDRIOSJ[[#This Row],[FECHA]])</f>
        <v>1</v>
      </c>
      <c r="D2253" s="50">
        <v>45681</v>
      </c>
      <c r="E2253" s="49" t="s">
        <v>113</v>
      </c>
      <c r="F2253" s="65">
        <v>2.9687000000000001</v>
      </c>
    </row>
    <row r="2254" spans="2:6" hidden="1" x14ac:dyDescent="0.25">
      <c r="B2254" s="51">
        <f>YEAR(BDRIOSJ[[#This Row],[FECHA]])</f>
        <v>2025</v>
      </c>
      <c r="C2254" s="51">
        <f>MONTH(BDRIOSJ[[#This Row],[FECHA]])</f>
        <v>1</v>
      </c>
      <c r="D2254" s="50">
        <v>45681</v>
      </c>
      <c r="E2254" s="49" t="s">
        <v>114</v>
      </c>
      <c r="F2254" s="65">
        <v>24.266500000000001</v>
      </c>
    </row>
    <row r="2255" spans="2:6" hidden="1" x14ac:dyDescent="0.25">
      <c r="B2255" s="51">
        <f>YEAR(BDRIOSJ[[#This Row],[FECHA]])</f>
        <v>2025</v>
      </c>
      <c r="C2255" s="51">
        <f>MONTH(BDRIOSJ[[#This Row],[FECHA]])</f>
        <v>1</v>
      </c>
      <c r="D2255" s="50">
        <v>45681</v>
      </c>
      <c r="E2255" s="49" t="s">
        <v>115</v>
      </c>
      <c r="F2255" s="65">
        <v>24.266500000000001</v>
      </c>
    </row>
    <row r="2256" spans="2:6" hidden="1" x14ac:dyDescent="0.25">
      <c r="B2256" s="51">
        <f>YEAR(BDRIOSJ[[#This Row],[FECHA]])</f>
        <v>2025</v>
      </c>
      <c r="C2256" s="51">
        <f>MONTH(BDRIOSJ[[#This Row],[FECHA]])</f>
        <v>1</v>
      </c>
      <c r="D2256" s="50">
        <v>45682</v>
      </c>
      <c r="E2256" s="49" t="s">
        <v>111</v>
      </c>
      <c r="F2256" s="65">
        <v>41.617199999999997</v>
      </c>
    </row>
    <row r="2257" spans="2:6" hidden="1" x14ac:dyDescent="0.25">
      <c r="B2257" s="51">
        <f>YEAR(BDRIOSJ[[#This Row],[FECHA]])</f>
        <v>2025</v>
      </c>
      <c r="C2257" s="51">
        <f>MONTH(BDRIOSJ[[#This Row],[FECHA]])</f>
        <v>1</v>
      </c>
      <c r="D2257" s="50">
        <v>45682</v>
      </c>
      <c r="E2257" s="49" t="s">
        <v>113</v>
      </c>
      <c r="F2257" s="65">
        <v>40.685699999999997</v>
      </c>
    </row>
    <row r="2258" spans="2:6" hidden="1" x14ac:dyDescent="0.25">
      <c r="B2258" s="51">
        <f>YEAR(BDRIOSJ[[#This Row],[FECHA]])</f>
        <v>2025</v>
      </c>
      <c r="C2258" s="51">
        <f>MONTH(BDRIOSJ[[#This Row],[FECHA]])</f>
        <v>1</v>
      </c>
      <c r="D2258" s="50">
        <v>45682</v>
      </c>
      <c r="E2258" s="49" t="s">
        <v>114</v>
      </c>
      <c r="F2258" s="65">
        <v>39.764699999999998</v>
      </c>
    </row>
    <row r="2259" spans="2:6" hidden="1" x14ac:dyDescent="0.25">
      <c r="B2259" s="51">
        <f>YEAR(BDRIOSJ[[#This Row],[FECHA]])</f>
        <v>2025</v>
      </c>
      <c r="C2259" s="51">
        <f>MONTH(BDRIOSJ[[#This Row],[FECHA]])</f>
        <v>1</v>
      </c>
      <c r="D2259" s="50">
        <v>45682</v>
      </c>
      <c r="E2259" s="49" t="s">
        <v>115</v>
      </c>
      <c r="F2259" s="65">
        <v>39.764699999999998</v>
      </c>
    </row>
    <row r="2260" spans="2:6" hidden="1" x14ac:dyDescent="0.25">
      <c r="B2260" s="51">
        <f>YEAR(BDRIOSJ[[#This Row],[FECHA]])</f>
        <v>2025</v>
      </c>
      <c r="C2260" s="51">
        <f>MONTH(BDRIOSJ[[#This Row],[FECHA]])</f>
        <v>1</v>
      </c>
      <c r="D2260" s="50">
        <v>45683</v>
      </c>
      <c r="E2260" s="49" t="s">
        <v>111</v>
      </c>
      <c r="F2260" s="65">
        <v>31.134</v>
      </c>
    </row>
    <row r="2261" spans="2:6" hidden="1" x14ac:dyDescent="0.25">
      <c r="B2261" s="51">
        <f>YEAR(BDRIOSJ[[#This Row],[FECHA]])</f>
        <v>2025</v>
      </c>
      <c r="C2261" s="51">
        <f>MONTH(BDRIOSJ[[#This Row],[FECHA]])</f>
        <v>1</v>
      </c>
      <c r="D2261" s="50">
        <v>45683</v>
      </c>
      <c r="E2261" s="49" t="s">
        <v>113</v>
      </c>
      <c r="F2261" s="65">
        <v>20.4895</v>
      </c>
    </row>
    <row r="2262" spans="2:6" hidden="1" x14ac:dyDescent="0.25">
      <c r="B2262" s="51">
        <f>YEAR(BDRIOSJ[[#This Row],[FECHA]])</f>
        <v>2025</v>
      </c>
      <c r="C2262" s="51">
        <f>MONTH(BDRIOSJ[[#This Row],[FECHA]])</f>
        <v>1</v>
      </c>
      <c r="D2262" s="50">
        <v>45683</v>
      </c>
      <c r="E2262" s="49" t="s">
        <v>114</v>
      </c>
      <c r="F2262" s="65">
        <v>20.4895</v>
      </c>
    </row>
    <row r="2263" spans="2:6" hidden="1" x14ac:dyDescent="0.25">
      <c r="B2263" s="51">
        <f>YEAR(BDRIOSJ[[#This Row],[FECHA]])</f>
        <v>2025</v>
      </c>
      <c r="C2263" s="51">
        <f>MONTH(BDRIOSJ[[#This Row],[FECHA]])</f>
        <v>1</v>
      </c>
      <c r="D2263" s="50">
        <v>45683</v>
      </c>
      <c r="E2263" s="49" t="s">
        <v>115</v>
      </c>
      <c r="F2263" s="65">
        <v>20.4895</v>
      </c>
    </row>
    <row r="2264" spans="2:6" hidden="1" x14ac:dyDescent="0.25">
      <c r="B2264" s="52">
        <f>YEAR(BDRIOSJ[[#This Row],[FECHA]])</f>
        <v>2025</v>
      </c>
      <c r="C2264" s="52">
        <f>MONTH(BDRIOSJ[[#This Row],[FECHA]])</f>
        <v>1</v>
      </c>
      <c r="D2264" s="81">
        <v>45684</v>
      </c>
      <c r="E2264" s="86" t="s">
        <v>111</v>
      </c>
      <c r="F2264" s="82">
        <v>40.685699999999997</v>
      </c>
    </row>
    <row r="2265" spans="2:6" hidden="1" x14ac:dyDescent="0.25">
      <c r="B2265" s="51">
        <f>YEAR(BDRIOSJ[[#This Row],[FECHA]])</f>
        <v>2025</v>
      </c>
      <c r="C2265" s="51">
        <f>MONTH(BDRIOSJ[[#This Row],[FECHA]])</f>
        <v>1</v>
      </c>
      <c r="D2265" s="108">
        <v>45684</v>
      </c>
      <c r="E2265" s="60" t="s">
        <v>113</v>
      </c>
      <c r="F2265" s="109">
        <v>18.878</v>
      </c>
    </row>
    <row r="2266" spans="2:6" hidden="1" x14ac:dyDescent="0.25">
      <c r="B2266" s="51">
        <f>YEAR(BDRIOSJ[[#This Row],[FECHA]])</f>
        <v>2025</v>
      </c>
      <c r="C2266" s="51">
        <f>MONTH(BDRIOSJ[[#This Row],[FECHA]])</f>
        <v>1</v>
      </c>
      <c r="D2266" s="108">
        <v>45684</v>
      </c>
      <c r="E2266" s="60" t="s">
        <v>114</v>
      </c>
      <c r="F2266" s="109">
        <v>18.878</v>
      </c>
    </row>
    <row r="2267" spans="2:6" hidden="1" x14ac:dyDescent="0.25">
      <c r="B2267" s="51">
        <f>YEAR(BDRIOSJ[[#This Row],[FECHA]])</f>
        <v>2025</v>
      </c>
      <c r="C2267" s="51">
        <f>MONTH(BDRIOSJ[[#This Row],[FECHA]])</f>
        <v>1</v>
      </c>
      <c r="D2267" s="108">
        <v>45684</v>
      </c>
      <c r="E2267" s="60" t="s">
        <v>115</v>
      </c>
      <c r="F2267" s="109">
        <v>22.166799999999999</v>
      </c>
    </row>
    <row r="2268" spans="2:6" hidden="1" x14ac:dyDescent="0.25">
      <c r="B2268" s="52">
        <f>YEAR(BDRIOSJ[[#This Row],[FECHA]])</f>
        <v>2025</v>
      </c>
      <c r="C2268" s="52">
        <f>MONTH(BDRIOSJ[[#This Row],[FECHA]])</f>
        <v>1</v>
      </c>
      <c r="D2268" s="106">
        <v>45685</v>
      </c>
      <c r="E2268" s="61" t="s">
        <v>111</v>
      </c>
      <c r="F2268" s="107">
        <v>43.511899999999997</v>
      </c>
    </row>
    <row r="2269" spans="2:6" hidden="1" x14ac:dyDescent="0.25">
      <c r="B2269" s="51">
        <f>YEAR(BDRIOSJ[[#This Row],[FECHA]])</f>
        <v>2025</v>
      </c>
      <c r="C2269" s="51">
        <f>MONTH(BDRIOSJ[[#This Row],[FECHA]])</f>
        <v>1</v>
      </c>
      <c r="D2269" s="50">
        <v>45685</v>
      </c>
      <c r="E2269" s="49" t="s">
        <v>113</v>
      </c>
      <c r="F2269" s="65">
        <v>22.166799999999999</v>
      </c>
    </row>
    <row r="2270" spans="2:6" hidden="1" x14ac:dyDescent="0.25">
      <c r="B2270" s="51">
        <f>YEAR(BDRIOSJ[[#This Row],[FECHA]])</f>
        <v>2025</v>
      </c>
      <c r="C2270" s="51">
        <f>MONTH(BDRIOSJ[[#This Row],[FECHA]])</f>
        <v>1</v>
      </c>
      <c r="D2270" s="50">
        <v>45685</v>
      </c>
      <c r="E2270" s="49" t="s">
        <v>114</v>
      </c>
      <c r="F2270" s="65">
        <v>20.4895</v>
      </c>
    </row>
    <row r="2271" spans="2:6" hidden="1" x14ac:dyDescent="0.25">
      <c r="B2271" s="51">
        <f>YEAR(BDRIOSJ[[#This Row],[FECHA]])</f>
        <v>2025</v>
      </c>
      <c r="C2271" s="51">
        <f>MONTH(BDRIOSJ[[#This Row],[FECHA]])</f>
        <v>1</v>
      </c>
      <c r="D2271" s="50">
        <v>45685</v>
      </c>
      <c r="E2271" s="49" t="s">
        <v>115</v>
      </c>
      <c r="F2271" s="65">
        <v>22.166799999999999</v>
      </c>
    </row>
    <row r="2272" spans="2:6" hidden="1" x14ac:dyDescent="0.25">
      <c r="B2272" s="52">
        <f>YEAR(BDRIOSJ[[#This Row],[FECHA]])</f>
        <v>2025</v>
      </c>
      <c r="C2272" s="52">
        <f>MONTH(BDRIOSJ[[#This Row],[FECHA]])</f>
        <v>1</v>
      </c>
      <c r="D2272" s="81">
        <v>45686</v>
      </c>
      <c r="E2272" s="86" t="s">
        <v>111</v>
      </c>
      <c r="F2272" s="82">
        <v>22.166799999999999</v>
      </c>
    </row>
    <row r="2273" spans="2:6" hidden="1" x14ac:dyDescent="0.25">
      <c r="B2273" s="51">
        <f>YEAR(BDRIOSJ[[#This Row],[FECHA]])</f>
        <v>2025</v>
      </c>
      <c r="C2273" s="51">
        <f>MONTH(BDRIOSJ[[#This Row],[FECHA]])</f>
        <v>1</v>
      </c>
      <c r="D2273" s="50">
        <v>45686</v>
      </c>
      <c r="E2273" s="49" t="s">
        <v>113</v>
      </c>
      <c r="F2273" s="65">
        <v>22.166799999999999</v>
      </c>
    </row>
    <row r="2274" spans="2:6" hidden="1" x14ac:dyDescent="0.25">
      <c r="B2274" s="51">
        <f>YEAR(BDRIOSJ[[#This Row],[FECHA]])</f>
        <v>2025</v>
      </c>
      <c r="C2274" s="51">
        <f>MONTH(BDRIOSJ[[#This Row],[FECHA]])</f>
        <v>1</v>
      </c>
      <c r="D2274" s="50">
        <v>45686</v>
      </c>
      <c r="E2274" s="49" t="s">
        <v>114</v>
      </c>
      <c r="F2274" s="65">
        <v>22.166799999999999</v>
      </c>
    </row>
    <row r="2275" spans="2:6" hidden="1" x14ac:dyDescent="0.25">
      <c r="B2275" s="51">
        <f>YEAR(BDRIOSJ[[#This Row],[FECHA]])</f>
        <v>2025</v>
      </c>
      <c r="C2275" s="51">
        <f>MONTH(BDRIOSJ[[#This Row],[FECHA]])</f>
        <v>1</v>
      </c>
      <c r="D2275" s="50">
        <v>45686</v>
      </c>
      <c r="E2275" s="49" t="s">
        <v>115</v>
      </c>
      <c r="F2275" s="65">
        <v>22.166799999999999</v>
      </c>
    </row>
    <row r="2276" spans="2:6" hidden="1" x14ac:dyDescent="0.25">
      <c r="B2276" s="51">
        <f>YEAR(BDRIOSJ[[#This Row],[FECHA]])</f>
        <v>2025</v>
      </c>
      <c r="C2276" s="51">
        <f>MONTH(BDRIOSJ[[#This Row],[FECHA]])</f>
        <v>1</v>
      </c>
      <c r="D2276" s="50">
        <v>45687</v>
      </c>
      <c r="E2276" s="49" t="s">
        <v>111</v>
      </c>
      <c r="F2276" s="65">
        <v>22.735700000000001</v>
      </c>
    </row>
    <row r="2277" spans="2:6" hidden="1" x14ac:dyDescent="0.25">
      <c r="B2277" s="52">
        <f>YEAR(BDRIOSJ[[#This Row],[FECHA]])</f>
        <v>2025</v>
      </c>
      <c r="C2277" s="52">
        <f>MONTH(BDRIOSJ[[#This Row],[FECHA]])</f>
        <v>1</v>
      </c>
      <c r="D2277" s="81">
        <v>45687</v>
      </c>
      <c r="E2277" s="86" t="s">
        <v>113</v>
      </c>
      <c r="F2277" s="82">
        <v>21.2865</v>
      </c>
    </row>
    <row r="2278" spans="2:6" hidden="1" x14ac:dyDescent="0.25">
      <c r="B2278" s="51">
        <f>YEAR(BDRIOSJ[[#This Row],[FECHA]])</f>
        <v>2025</v>
      </c>
      <c r="C2278" s="51">
        <f>MONTH(BDRIOSJ[[#This Row],[FECHA]])</f>
        <v>1</v>
      </c>
      <c r="D2278" s="108">
        <v>45687</v>
      </c>
      <c r="E2278" s="60" t="s">
        <v>114</v>
      </c>
      <c r="F2278" s="109">
        <v>21.2865</v>
      </c>
    </row>
    <row r="2279" spans="2:6" hidden="1" x14ac:dyDescent="0.25">
      <c r="B2279" s="51">
        <f>YEAR(BDRIOSJ[[#This Row],[FECHA]])</f>
        <v>2025</v>
      </c>
      <c r="C2279" s="51">
        <f>MONTH(BDRIOSJ[[#This Row],[FECHA]])</f>
        <v>1</v>
      </c>
      <c r="D2279" s="108">
        <v>45687</v>
      </c>
      <c r="E2279" s="60" t="s">
        <v>115</v>
      </c>
      <c r="F2279" s="109">
        <v>21.2865</v>
      </c>
    </row>
    <row r="2280" spans="2:6" hidden="1" x14ac:dyDescent="0.25">
      <c r="B2280" s="52">
        <f>YEAR(BDRIOSJ[[#This Row],[FECHA]])</f>
        <v>2025</v>
      </c>
      <c r="C2280" s="52">
        <f>MONTH(BDRIOSJ[[#This Row],[FECHA]])</f>
        <v>1</v>
      </c>
      <c r="D2280" s="106">
        <v>45688</v>
      </c>
      <c r="E2280" s="61" t="s">
        <v>111</v>
      </c>
      <c r="F2280" s="107">
        <v>20.302</v>
      </c>
    </row>
    <row r="2281" spans="2:6" hidden="1" x14ac:dyDescent="0.25">
      <c r="B2281" s="51">
        <f>YEAR(BDRIOSJ[[#This Row],[FECHA]])</f>
        <v>2025</v>
      </c>
      <c r="C2281" s="51">
        <f>MONTH(BDRIOSJ[[#This Row],[FECHA]])</f>
        <v>1</v>
      </c>
      <c r="D2281" s="106">
        <v>45688</v>
      </c>
      <c r="E2281" s="49" t="s">
        <v>113</v>
      </c>
      <c r="F2281" s="65">
        <v>22.543600000000001</v>
      </c>
    </row>
    <row r="2282" spans="2:6" hidden="1" x14ac:dyDescent="0.25">
      <c r="B2282" s="51">
        <f>YEAR(BDRIOSJ[[#This Row],[FECHA]])</f>
        <v>2025</v>
      </c>
      <c r="C2282" s="51">
        <f>MONTH(BDRIOSJ[[#This Row],[FECHA]])</f>
        <v>1</v>
      </c>
      <c r="D2282" s="106">
        <v>45688</v>
      </c>
      <c r="E2282" s="49" t="s">
        <v>114</v>
      </c>
      <c r="F2282" s="65">
        <v>17.8047</v>
      </c>
    </row>
    <row r="2283" spans="2:6" hidden="1" x14ac:dyDescent="0.25">
      <c r="B2283" s="52">
        <f>YEAR(BDRIOSJ[[#This Row],[FECHA]])</f>
        <v>2025</v>
      </c>
      <c r="C2283" s="52">
        <f>MONTH(BDRIOSJ[[#This Row],[FECHA]])</f>
        <v>1</v>
      </c>
      <c r="D2283" s="106">
        <v>45688</v>
      </c>
      <c r="E2283" s="86" t="s">
        <v>115</v>
      </c>
      <c r="F2283" s="82">
        <v>17.8047</v>
      </c>
    </row>
    <row r="2284" spans="2:6" hidden="1" x14ac:dyDescent="0.25">
      <c r="B2284" s="52">
        <f>YEAR(BDRIOSJ[[#This Row],[FECHA]])</f>
        <v>2025</v>
      </c>
      <c r="C2284" s="52">
        <f>MONTH(BDRIOSJ[[#This Row],[FECHA]])</f>
        <v>2</v>
      </c>
      <c r="D2284" s="81">
        <v>45689</v>
      </c>
      <c r="E2284" s="61" t="s">
        <v>111</v>
      </c>
      <c r="F2284" s="82">
        <v>22.543600000000001</v>
      </c>
    </row>
    <row r="2285" spans="2:6" hidden="1" x14ac:dyDescent="0.25">
      <c r="B2285" s="52">
        <f>YEAR(BDRIOSJ[[#This Row],[FECHA]])</f>
        <v>2025</v>
      </c>
      <c r="C2285" s="52">
        <f>MONTH(BDRIOSJ[[#This Row],[FECHA]])</f>
        <v>2</v>
      </c>
      <c r="D2285" s="81">
        <v>45689</v>
      </c>
      <c r="E2285" s="49" t="s">
        <v>113</v>
      </c>
      <c r="F2285" s="82">
        <v>22.543600000000001</v>
      </c>
    </row>
    <row r="2286" spans="2:6" hidden="1" x14ac:dyDescent="0.25">
      <c r="B2286" s="52">
        <f>YEAR(BDRIOSJ[[#This Row],[FECHA]])</f>
        <v>2025</v>
      </c>
      <c r="C2286" s="52">
        <f>MONTH(BDRIOSJ[[#This Row],[FECHA]])</f>
        <v>2</v>
      </c>
      <c r="D2286" s="81">
        <v>45689</v>
      </c>
      <c r="E2286" s="49" t="s">
        <v>114</v>
      </c>
      <c r="F2286" s="82">
        <v>20.302</v>
      </c>
    </row>
    <row r="2287" spans="2:6" hidden="1" x14ac:dyDescent="0.25">
      <c r="B2287" s="52">
        <f>YEAR(BDRIOSJ[[#This Row],[FECHA]])</f>
        <v>2025</v>
      </c>
      <c r="C2287" s="52">
        <f>MONTH(BDRIOSJ[[#This Row],[FECHA]])</f>
        <v>2</v>
      </c>
      <c r="D2287" s="81">
        <v>45689</v>
      </c>
      <c r="E2287" s="86" t="s">
        <v>115</v>
      </c>
      <c r="F2287" s="82">
        <v>20.302</v>
      </c>
    </row>
    <row r="2288" spans="2:6" hidden="1" x14ac:dyDescent="0.25">
      <c r="B2288" s="52">
        <f>YEAR(BDRIOSJ[[#This Row],[FECHA]])</f>
        <v>2025</v>
      </c>
      <c r="C2288" s="52">
        <f>MONTH(BDRIOSJ[[#This Row],[FECHA]])</f>
        <v>2</v>
      </c>
      <c r="D2288" s="81">
        <v>45690</v>
      </c>
      <c r="E2288" s="73" t="s">
        <v>111</v>
      </c>
      <c r="F2288" s="82">
        <v>30.1434</v>
      </c>
    </row>
    <row r="2289" spans="2:6" hidden="1" x14ac:dyDescent="0.25">
      <c r="B2289" s="52">
        <f>YEAR(BDRIOSJ[[#This Row],[FECHA]])</f>
        <v>2025</v>
      </c>
      <c r="C2289" s="52">
        <f>MONTH(BDRIOSJ[[#This Row],[FECHA]])</f>
        <v>2</v>
      </c>
      <c r="D2289" s="81">
        <v>45690</v>
      </c>
      <c r="E2289" s="86" t="s">
        <v>113</v>
      </c>
      <c r="F2289" s="82">
        <v>30.1434</v>
      </c>
    </row>
    <row r="2290" spans="2:6" hidden="1" x14ac:dyDescent="0.25">
      <c r="B2290" s="51">
        <f>YEAR(BDRIOSJ[[#This Row],[FECHA]])</f>
        <v>2025</v>
      </c>
      <c r="C2290" s="51">
        <f>MONTH(BDRIOSJ[[#This Row],[FECHA]])</f>
        <v>2</v>
      </c>
      <c r="D2290" s="81">
        <v>45690</v>
      </c>
      <c r="E2290" s="49" t="s">
        <v>114</v>
      </c>
      <c r="F2290" s="65">
        <v>30.1434</v>
      </c>
    </row>
    <row r="2291" spans="2:6" hidden="1" x14ac:dyDescent="0.25">
      <c r="B2291" s="51">
        <f>YEAR(BDRIOSJ[[#This Row],[FECHA]])</f>
        <v>2025</v>
      </c>
      <c r="C2291" s="51">
        <f>MONTH(BDRIOSJ[[#This Row],[FECHA]])</f>
        <v>2</v>
      </c>
      <c r="D2291" s="81">
        <v>45690</v>
      </c>
      <c r="E2291" s="49" t="s">
        <v>115</v>
      </c>
      <c r="F2291" s="65">
        <v>30.1434</v>
      </c>
    </row>
    <row r="2292" spans="2:6" hidden="1" x14ac:dyDescent="0.25">
      <c r="B2292" s="51">
        <f>YEAR(BDRIOSJ[[#This Row],[FECHA]])</f>
        <v>2025</v>
      </c>
      <c r="C2292" s="51">
        <f>MONTH(BDRIOSJ[[#This Row],[FECHA]])</f>
        <v>2</v>
      </c>
      <c r="D2292" s="81">
        <v>45691</v>
      </c>
      <c r="E2292" s="49" t="s">
        <v>111</v>
      </c>
      <c r="F2292" s="65">
        <v>22.543600000000001</v>
      </c>
    </row>
    <row r="2293" spans="2:6" hidden="1" x14ac:dyDescent="0.25">
      <c r="B2293" s="51">
        <f>YEAR(BDRIOSJ[[#This Row],[FECHA]])</f>
        <v>2025</v>
      </c>
      <c r="C2293" s="51">
        <f>MONTH(BDRIOSJ[[#This Row],[FECHA]])</f>
        <v>2</v>
      </c>
      <c r="D2293" s="81">
        <v>45691</v>
      </c>
      <c r="E2293" s="49" t="s">
        <v>113</v>
      </c>
      <c r="F2293" s="65">
        <v>20.302</v>
      </c>
    </row>
    <row r="2294" spans="2:6" hidden="1" x14ac:dyDescent="0.25">
      <c r="B2294" s="51">
        <f>YEAR(BDRIOSJ[[#This Row],[FECHA]])</f>
        <v>2025</v>
      </c>
      <c r="C2294" s="51">
        <f>MONTH(BDRIOSJ[[#This Row],[FECHA]])</f>
        <v>2</v>
      </c>
      <c r="D2294" s="81">
        <v>45691</v>
      </c>
      <c r="E2294" s="49" t="s">
        <v>114</v>
      </c>
      <c r="F2294" s="65">
        <v>20.302</v>
      </c>
    </row>
    <row r="2295" spans="2:6" hidden="1" x14ac:dyDescent="0.25">
      <c r="B2295" s="51">
        <f>YEAR(BDRIOSJ[[#This Row],[FECHA]])</f>
        <v>2025</v>
      </c>
      <c r="C2295" s="51">
        <f>MONTH(BDRIOSJ[[#This Row],[FECHA]])</f>
        <v>2</v>
      </c>
      <c r="D2295" s="81">
        <v>45691</v>
      </c>
      <c r="E2295" s="49" t="s">
        <v>115</v>
      </c>
      <c r="F2295" s="65">
        <v>20.302</v>
      </c>
    </row>
    <row r="2296" spans="2:6" hidden="1" x14ac:dyDescent="0.25">
      <c r="B2296" s="51">
        <f>YEAR(BDRIOSJ[[#This Row],[FECHA]])</f>
        <v>2025</v>
      </c>
      <c r="C2296" s="51">
        <f>MONTH(BDRIOSJ[[#This Row],[FECHA]])</f>
        <v>2</v>
      </c>
      <c r="D2296" s="81">
        <v>45692</v>
      </c>
      <c r="E2296" s="49" t="s">
        <v>111</v>
      </c>
      <c r="F2296" s="65">
        <v>20.302</v>
      </c>
    </row>
    <row r="2297" spans="2:6" hidden="1" x14ac:dyDescent="0.25">
      <c r="B2297" s="51">
        <f>YEAR(BDRIOSJ[[#This Row],[FECHA]])</f>
        <v>2025</v>
      </c>
      <c r="C2297" s="51">
        <f>MONTH(BDRIOSJ[[#This Row],[FECHA]])</f>
        <v>2</v>
      </c>
      <c r="D2297" s="81">
        <v>45692</v>
      </c>
      <c r="E2297" s="49" t="s">
        <v>113</v>
      </c>
      <c r="F2297" s="65">
        <v>20.302</v>
      </c>
    </row>
    <row r="2298" spans="2:6" hidden="1" x14ac:dyDescent="0.25">
      <c r="B2298" s="51">
        <f>YEAR(BDRIOSJ[[#This Row],[FECHA]])</f>
        <v>2025</v>
      </c>
      <c r="C2298" s="51">
        <f>MONTH(BDRIOSJ[[#This Row],[FECHA]])</f>
        <v>2</v>
      </c>
      <c r="D2298" s="81">
        <v>45692</v>
      </c>
      <c r="E2298" s="49" t="s">
        <v>114</v>
      </c>
      <c r="F2298" s="65">
        <v>20.302</v>
      </c>
    </row>
    <row r="2299" spans="2:6" hidden="1" x14ac:dyDescent="0.25">
      <c r="B2299" s="51">
        <f>YEAR(BDRIOSJ[[#This Row],[FECHA]])</f>
        <v>2025</v>
      </c>
      <c r="C2299" s="51">
        <f>MONTH(BDRIOSJ[[#This Row],[FECHA]])</f>
        <v>2</v>
      </c>
      <c r="D2299" s="81">
        <v>45692</v>
      </c>
      <c r="E2299" s="49" t="s">
        <v>115</v>
      </c>
      <c r="F2299" s="65">
        <v>20.302</v>
      </c>
    </row>
    <row r="2300" spans="2:6" hidden="1" x14ac:dyDescent="0.25">
      <c r="B2300" s="51">
        <f>YEAR(BDRIOSJ[[#This Row],[FECHA]])</f>
        <v>2025</v>
      </c>
      <c r="C2300" s="51">
        <f>MONTH(BDRIOSJ[[#This Row],[FECHA]])</f>
        <v>2</v>
      </c>
      <c r="D2300" s="81">
        <v>45693</v>
      </c>
      <c r="E2300" s="49" t="s">
        <v>111</v>
      </c>
      <c r="F2300" s="65">
        <v>20.302</v>
      </c>
    </row>
    <row r="2301" spans="2:6" hidden="1" x14ac:dyDescent="0.25">
      <c r="B2301" s="51">
        <f>YEAR(BDRIOSJ[[#This Row],[FECHA]])</f>
        <v>2025</v>
      </c>
      <c r="C2301" s="51">
        <f>MONTH(BDRIOSJ[[#This Row],[FECHA]])</f>
        <v>2</v>
      </c>
      <c r="D2301" s="81">
        <v>45693</v>
      </c>
      <c r="E2301" s="49" t="s">
        <v>113</v>
      </c>
      <c r="F2301" s="65">
        <v>20.302</v>
      </c>
    </row>
    <row r="2302" spans="2:6" hidden="1" x14ac:dyDescent="0.25">
      <c r="B2302" s="51">
        <f>YEAR(BDRIOSJ[[#This Row],[FECHA]])</f>
        <v>2025</v>
      </c>
      <c r="C2302" s="51">
        <f>MONTH(BDRIOSJ[[#This Row],[FECHA]])</f>
        <v>2</v>
      </c>
      <c r="D2302" s="81">
        <v>45693</v>
      </c>
      <c r="E2302" s="49" t="s">
        <v>114</v>
      </c>
      <c r="F2302" s="65">
        <v>20.302</v>
      </c>
    </row>
    <row r="2303" spans="2:6" hidden="1" x14ac:dyDescent="0.25">
      <c r="B2303" s="51">
        <f>YEAR(BDRIOSJ[[#This Row],[FECHA]])</f>
        <v>2025</v>
      </c>
      <c r="C2303" s="51">
        <f>MONTH(BDRIOSJ[[#This Row],[FECHA]])</f>
        <v>2</v>
      </c>
      <c r="D2303" s="81">
        <v>45693</v>
      </c>
      <c r="E2303" s="49" t="s">
        <v>115</v>
      </c>
      <c r="F2303" s="65">
        <v>20.302</v>
      </c>
    </row>
    <row r="2304" spans="2:6" hidden="1" x14ac:dyDescent="0.25">
      <c r="B2304" s="51">
        <f>YEAR(BDRIOSJ[[#This Row],[FECHA]])</f>
        <v>2025</v>
      </c>
      <c r="C2304" s="51">
        <f>MONTH(BDRIOSJ[[#This Row],[FECHA]])</f>
        <v>2</v>
      </c>
      <c r="D2304" s="81">
        <v>45694</v>
      </c>
      <c r="E2304" s="49" t="s">
        <v>111</v>
      </c>
      <c r="F2304" s="65">
        <v>20.302</v>
      </c>
    </row>
    <row r="2305" spans="2:6" hidden="1" x14ac:dyDescent="0.25">
      <c r="B2305" s="51">
        <f>YEAR(BDRIOSJ[[#This Row],[FECHA]])</f>
        <v>2025</v>
      </c>
      <c r="C2305" s="51">
        <f>MONTH(BDRIOSJ[[#This Row],[FECHA]])</f>
        <v>2</v>
      </c>
      <c r="D2305" s="81">
        <v>45694</v>
      </c>
      <c r="E2305" s="49" t="s">
        <v>113</v>
      </c>
      <c r="F2305" s="65">
        <v>20.302</v>
      </c>
    </row>
    <row r="2306" spans="2:6" hidden="1" x14ac:dyDescent="0.25">
      <c r="B2306" s="51">
        <f>YEAR(BDRIOSJ[[#This Row],[FECHA]])</f>
        <v>2025</v>
      </c>
      <c r="C2306" s="51">
        <f>MONTH(BDRIOSJ[[#This Row],[FECHA]])</f>
        <v>2</v>
      </c>
      <c r="D2306" s="81">
        <v>45694</v>
      </c>
      <c r="E2306" s="49" t="s">
        <v>114</v>
      </c>
      <c r="F2306" s="65">
        <v>17.8047</v>
      </c>
    </row>
    <row r="2307" spans="2:6" hidden="1" x14ac:dyDescent="0.25">
      <c r="B2307" s="51">
        <f>YEAR(BDRIOSJ[[#This Row],[FECHA]])</f>
        <v>2025</v>
      </c>
      <c r="C2307" s="51">
        <f>MONTH(BDRIOSJ[[#This Row],[FECHA]])</f>
        <v>2</v>
      </c>
      <c r="D2307" s="81">
        <v>45694</v>
      </c>
      <c r="E2307" s="49" t="s">
        <v>115</v>
      </c>
      <c r="F2307" s="65">
        <v>20.302</v>
      </c>
    </row>
    <row r="2308" spans="2:6" hidden="1" x14ac:dyDescent="0.25">
      <c r="B2308" s="51">
        <f>YEAR(BDRIOSJ[[#This Row],[FECHA]])</f>
        <v>2025</v>
      </c>
      <c r="C2308" s="51">
        <f>MONTH(BDRIOSJ[[#This Row],[FECHA]])</f>
        <v>2</v>
      </c>
      <c r="D2308" s="81">
        <v>45695</v>
      </c>
      <c r="E2308" s="49" t="s">
        <v>111</v>
      </c>
      <c r="F2308" s="65">
        <v>20.302</v>
      </c>
    </row>
    <row r="2309" spans="2:6" hidden="1" x14ac:dyDescent="0.25">
      <c r="B2309" s="51">
        <f>YEAR(BDRIOSJ[[#This Row],[FECHA]])</f>
        <v>2025</v>
      </c>
      <c r="C2309" s="51">
        <f>MONTH(BDRIOSJ[[#This Row],[FECHA]])</f>
        <v>2</v>
      </c>
      <c r="D2309" s="81">
        <v>45695</v>
      </c>
      <c r="E2309" s="49" t="s">
        <v>113</v>
      </c>
      <c r="F2309" s="65">
        <v>20.302</v>
      </c>
    </row>
    <row r="2310" spans="2:6" hidden="1" x14ac:dyDescent="0.25">
      <c r="B2310" s="51">
        <f>YEAR(BDRIOSJ[[#This Row],[FECHA]])</f>
        <v>2025</v>
      </c>
      <c r="C2310" s="51">
        <f>MONTH(BDRIOSJ[[#This Row],[FECHA]])</f>
        <v>2</v>
      </c>
      <c r="D2310" s="81">
        <v>45695</v>
      </c>
      <c r="E2310" s="49" t="s">
        <v>114</v>
      </c>
      <c r="F2310" s="65">
        <v>18.206299999999999</v>
      </c>
    </row>
    <row r="2311" spans="2:6" hidden="1" x14ac:dyDescent="0.25">
      <c r="B2311" s="51">
        <f>YEAR(BDRIOSJ[[#This Row],[FECHA]])</f>
        <v>2025</v>
      </c>
      <c r="C2311" s="51">
        <f>MONTH(BDRIOSJ[[#This Row],[FECHA]])</f>
        <v>2</v>
      </c>
      <c r="D2311" s="81">
        <v>45695</v>
      </c>
      <c r="E2311" s="49" t="s">
        <v>115</v>
      </c>
      <c r="F2311" s="65">
        <v>18.206299999999999</v>
      </c>
    </row>
    <row r="2312" spans="2:6" hidden="1" x14ac:dyDescent="0.25">
      <c r="B2312" s="51">
        <f>YEAR(BDRIOSJ[[#This Row],[FECHA]])</f>
        <v>2025</v>
      </c>
      <c r="C2312" s="51">
        <f>MONTH(BDRIOSJ[[#This Row],[FECHA]])</f>
        <v>2</v>
      </c>
      <c r="D2312" s="81">
        <v>45696</v>
      </c>
      <c r="E2312" s="49" t="s">
        <v>111</v>
      </c>
      <c r="F2312" s="65">
        <v>20.302</v>
      </c>
    </row>
    <row r="2313" spans="2:6" hidden="1" x14ac:dyDescent="0.25">
      <c r="B2313" s="51">
        <f>YEAR(BDRIOSJ[[#This Row],[FECHA]])</f>
        <v>2025</v>
      </c>
      <c r="C2313" s="51">
        <f>MONTH(BDRIOSJ[[#This Row],[FECHA]])</f>
        <v>2</v>
      </c>
      <c r="D2313" s="81">
        <v>45696</v>
      </c>
      <c r="E2313" s="49" t="s">
        <v>113</v>
      </c>
      <c r="F2313" s="65">
        <v>20.302</v>
      </c>
    </row>
    <row r="2314" spans="2:6" hidden="1" x14ac:dyDescent="0.25">
      <c r="B2314" s="51">
        <f>YEAR(BDRIOSJ[[#This Row],[FECHA]])</f>
        <v>2025</v>
      </c>
      <c r="C2314" s="51">
        <f>MONTH(BDRIOSJ[[#This Row],[FECHA]])</f>
        <v>2</v>
      </c>
      <c r="D2314" s="81">
        <v>45696</v>
      </c>
      <c r="E2314" s="49" t="s">
        <v>114</v>
      </c>
      <c r="F2314" s="65">
        <v>20.302</v>
      </c>
    </row>
    <row r="2315" spans="2:6" hidden="1" x14ac:dyDescent="0.25">
      <c r="B2315" s="51">
        <f>YEAR(BDRIOSJ[[#This Row],[FECHA]])</f>
        <v>2025</v>
      </c>
      <c r="C2315" s="51">
        <f>MONTH(BDRIOSJ[[#This Row],[FECHA]])</f>
        <v>2</v>
      </c>
      <c r="D2315" s="81">
        <v>45696</v>
      </c>
      <c r="E2315" s="49" t="s">
        <v>115</v>
      </c>
      <c r="F2315" s="65">
        <v>18.206299999999999</v>
      </c>
    </row>
    <row r="2316" spans="2:6" hidden="1" x14ac:dyDescent="0.25">
      <c r="B2316" s="51">
        <f>YEAR(BDRIOSJ[[#This Row],[FECHA]])</f>
        <v>2025</v>
      </c>
      <c r="C2316" s="51">
        <f>MONTH(BDRIOSJ[[#This Row],[FECHA]])</f>
        <v>2</v>
      </c>
      <c r="D2316" s="81">
        <v>45697</v>
      </c>
      <c r="E2316" s="49" t="s">
        <v>111</v>
      </c>
      <c r="F2316" s="65">
        <v>18.206299999999999</v>
      </c>
    </row>
    <row r="2317" spans="2:6" hidden="1" x14ac:dyDescent="0.25">
      <c r="B2317" s="51">
        <f>YEAR(BDRIOSJ[[#This Row],[FECHA]])</f>
        <v>2025</v>
      </c>
      <c r="C2317" s="51">
        <f>MONTH(BDRIOSJ[[#This Row],[FECHA]])</f>
        <v>2</v>
      </c>
      <c r="D2317" s="81">
        <v>45697</v>
      </c>
      <c r="E2317" s="49" t="s">
        <v>113</v>
      </c>
      <c r="F2317" s="65">
        <v>18.206299999999999</v>
      </c>
    </row>
    <row r="2318" spans="2:6" hidden="1" x14ac:dyDescent="0.25">
      <c r="B2318" s="51">
        <f>YEAR(BDRIOSJ[[#This Row],[FECHA]])</f>
        <v>2025</v>
      </c>
      <c r="C2318" s="51">
        <f>MONTH(BDRIOSJ[[#This Row],[FECHA]])</f>
        <v>2</v>
      </c>
      <c r="D2318" s="81">
        <v>45697</v>
      </c>
      <c r="E2318" s="49" t="s">
        <v>114</v>
      </c>
      <c r="F2318" s="65">
        <v>16.256499999999999</v>
      </c>
    </row>
    <row r="2319" spans="2:6" hidden="1" x14ac:dyDescent="0.25">
      <c r="B2319" s="51">
        <f>YEAR(BDRIOSJ[[#This Row],[FECHA]])</f>
        <v>2025</v>
      </c>
      <c r="C2319" s="51">
        <f>MONTH(BDRIOSJ[[#This Row],[FECHA]])</f>
        <v>2</v>
      </c>
      <c r="D2319" s="81">
        <v>45697</v>
      </c>
      <c r="E2319" s="49" t="s">
        <v>115</v>
      </c>
      <c r="F2319" s="65">
        <v>16.256499999999999</v>
      </c>
    </row>
    <row r="2320" spans="2:6" hidden="1" x14ac:dyDescent="0.25">
      <c r="B2320" s="52">
        <f>YEAR(BDRIOSJ[[#This Row],[FECHA]])</f>
        <v>2025</v>
      </c>
      <c r="C2320" s="52">
        <f>MONTH(BDRIOSJ[[#This Row],[FECHA]])</f>
        <v>2</v>
      </c>
      <c r="D2320" s="81">
        <v>45698</v>
      </c>
      <c r="E2320" s="49" t="s">
        <v>111</v>
      </c>
      <c r="F2320" s="82">
        <v>22.543600000000001</v>
      </c>
    </row>
    <row r="2321" spans="2:6" hidden="1" x14ac:dyDescent="0.25">
      <c r="B2321" s="51">
        <f>YEAR(BDRIOSJ[[#This Row],[FECHA]])</f>
        <v>2025</v>
      </c>
      <c r="C2321" s="51">
        <f>MONTH(BDRIOSJ[[#This Row],[FECHA]])</f>
        <v>2</v>
      </c>
      <c r="D2321" s="81">
        <v>45698</v>
      </c>
      <c r="E2321" s="49" t="s">
        <v>113</v>
      </c>
      <c r="F2321" s="65">
        <v>20.302</v>
      </c>
    </row>
    <row r="2322" spans="2:6" hidden="1" x14ac:dyDescent="0.25">
      <c r="B2322" s="51">
        <f>YEAR(BDRIOSJ[[#This Row],[FECHA]])</f>
        <v>2025</v>
      </c>
      <c r="C2322" s="51">
        <f>MONTH(BDRIOSJ[[#This Row],[FECHA]])</f>
        <v>2</v>
      </c>
      <c r="D2322" s="81">
        <v>45698</v>
      </c>
      <c r="E2322" s="49" t="s">
        <v>114</v>
      </c>
      <c r="F2322" s="65">
        <v>20.302</v>
      </c>
    </row>
    <row r="2323" spans="2:6" hidden="1" x14ac:dyDescent="0.25">
      <c r="B2323" s="52">
        <f>YEAR(BDRIOSJ[[#This Row],[FECHA]])</f>
        <v>2025</v>
      </c>
      <c r="C2323" s="52">
        <f>MONTH(BDRIOSJ[[#This Row],[FECHA]])</f>
        <v>2</v>
      </c>
      <c r="D2323" s="81">
        <v>45698</v>
      </c>
      <c r="E2323" s="49" t="s">
        <v>115</v>
      </c>
      <c r="F2323" s="82">
        <v>20.302</v>
      </c>
    </row>
    <row r="2324" spans="2:6" hidden="1" x14ac:dyDescent="0.25">
      <c r="B2324" s="52">
        <f>YEAR(BDRIOSJ[[#This Row],[FECHA]])</f>
        <v>2025</v>
      </c>
      <c r="C2324" s="52">
        <f>MONTH(BDRIOSJ[[#This Row],[FECHA]])</f>
        <v>2</v>
      </c>
      <c r="D2324" s="81">
        <v>45699</v>
      </c>
      <c r="E2324" s="49" t="s">
        <v>111</v>
      </c>
      <c r="F2324" s="82">
        <v>35.9392</v>
      </c>
    </row>
    <row r="2325" spans="2:6" hidden="1" x14ac:dyDescent="0.25">
      <c r="B2325" s="51">
        <f>YEAR(BDRIOSJ[[#This Row],[FECHA]])</f>
        <v>2025</v>
      </c>
      <c r="C2325" s="51">
        <f>MONTH(BDRIOSJ[[#This Row],[FECHA]])</f>
        <v>2</v>
      </c>
      <c r="D2325" s="81">
        <v>45699</v>
      </c>
      <c r="E2325" s="49" t="s">
        <v>113</v>
      </c>
      <c r="F2325" s="65">
        <v>35.9392</v>
      </c>
    </row>
    <row r="2326" spans="2:6" hidden="1" x14ac:dyDescent="0.25">
      <c r="B2326" s="51">
        <f>YEAR(BDRIOSJ[[#This Row],[FECHA]])</f>
        <v>2025</v>
      </c>
      <c r="C2326" s="51">
        <f>MONTH(BDRIOSJ[[#This Row],[FECHA]])</f>
        <v>2</v>
      </c>
      <c r="D2326" s="81">
        <v>45699</v>
      </c>
      <c r="E2326" s="49" t="s">
        <v>114</v>
      </c>
      <c r="F2326" s="65">
        <v>30.1434</v>
      </c>
    </row>
    <row r="2327" spans="2:6" hidden="1" x14ac:dyDescent="0.25">
      <c r="B2327" s="51">
        <f>YEAR(BDRIOSJ[[#This Row],[FECHA]])</f>
        <v>2025</v>
      </c>
      <c r="C2327" s="51">
        <f>MONTH(BDRIOSJ[[#This Row],[FECHA]])</f>
        <v>2</v>
      </c>
      <c r="D2327" s="81">
        <v>45699</v>
      </c>
      <c r="E2327" s="49" t="s">
        <v>115</v>
      </c>
      <c r="F2327" s="65">
        <v>30.1434</v>
      </c>
    </row>
    <row r="2328" spans="2:6" hidden="1" x14ac:dyDescent="0.25">
      <c r="B2328" s="51">
        <f>YEAR(BDRIOSJ[[#This Row],[FECHA]])</f>
        <v>2025</v>
      </c>
      <c r="C2328" s="51">
        <f>MONTH(BDRIOSJ[[#This Row],[FECHA]])</f>
        <v>2</v>
      </c>
      <c r="D2328" s="50">
        <v>45700</v>
      </c>
      <c r="E2328" s="49" t="s">
        <v>111</v>
      </c>
      <c r="F2328" s="65">
        <v>42.3185</v>
      </c>
    </row>
    <row r="2329" spans="2:6" hidden="1" x14ac:dyDescent="0.25">
      <c r="B2329" s="51">
        <f>YEAR(BDRIOSJ[[#This Row],[FECHA]])</f>
        <v>2025</v>
      </c>
      <c r="C2329" s="51">
        <f>MONTH(BDRIOSJ[[#This Row],[FECHA]])</f>
        <v>2</v>
      </c>
      <c r="D2329" s="50">
        <v>45700</v>
      </c>
      <c r="E2329" s="49" t="s">
        <v>113</v>
      </c>
      <c r="F2329" s="65">
        <v>32.968400000000003</v>
      </c>
    </row>
    <row r="2330" spans="2:6" hidden="1" x14ac:dyDescent="0.25">
      <c r="B2330" s="51">
        <f>YEAR(BDRIOSJ[[#This Row],[FECHA]])</f>
        <v>2025</v>
      </c>
      <c r="C2330" s="51">
        <f>MONTH(BDRIOSJ[[#This Row],[FECHA]])</f>
        <v>2</v>
      </c>
      <c r="D2330" s="50">
        <v>45700</v>
      </c>
      <c r="E2330" s="49" t="s">
        <v>114</v>
      </c>
      <c r="F2330" s="65">
        <v>30.1434</v>
      </c>
    </row>
    <row r="2331" spans="2:6" hidden="1" x14ac:dyDescent="0.25">
      <c r="B2331" s="51">
        <f>YEAR(BDRIOSJ[[#This Row],[FECHA]])</f>
        <v>2025</v>
      </c>
      <c r="C2331" s="51">
        <f>MONTH(BDRIOSJ[[#This Row],[FECHA]])</f>
        <v>2</v>
      </c>
      <c r="D2331" s="50">
        <v>45700</v>
      </c>
      <c r="E2331" s="49" t="s">
        <v>115</v>
      </c>
      <c r="F2331" s="65">
        <v>35.9392</v>
      </c>
    </row>
    <row r="2332" spans="2:6" hidden="1" x14ac:dyDescent="0.25">
      <c r="B2332" s="52">
        <f>YEAR(BDRIOSJ[[#This Row],[FECHA]])</f>
        <v>2025</v>
      </c>
      <c r="C2332" s="52">
        <f>MONTH(BDRIOSJ[[#This Row],[FECHA]])</f>
        <v>2</v>
      </c>
      <c r="D2332" s="81">
        <v>45701</v>
      </c>
      <c r="E2332" s="49" t="s">
        <v>111</v>
      </c>
      <c r="F2332" s="82">
        <v>79.177899999999994</v>
      </c>
    </row>
    <row r="2333" spans="2:6" hidden="1" x14ac:dyDescent="0.25">
      <c r="B2333" s="51">
        <f>YEAR(BDRIOSJ[[#This Row],[FECHA]])</f>
        <v>2025</v>
      </c>
      <c r="C2333" s="51">
        <f>MONTH(BDRIOSJ[[#This Row],[FECHA]])</f>
        <v>2</v>
      </c>
      <c r="D2333" s="81">
        <v>45701</v>
      </c>
      <c r="E2333" s="49" t="s">
        <v>113</v>
      </c>
      <c r="F2333" s="65">
        <v>81.060500000000005</v>
      </c>
    </row>
    <row r="2334" spans="2:6" hidden="1" x14ac:dyDescent="0.25">
      <c r="B2334" s="51">
        <f>YEAR(BDRIOSJ[[#This Row],[FECHA]])</f>
        <v>2025</v>
      </c>
      <c r="C2334" s="51">
        <f>MONTH(BDRIOSJ[[#This Row],[FECHA]])</f>
        <v>2</v>
      </c>
      <c r="D2334" s="81">
        <v>45701</v>
      </c>
      <c r="E2334" s="49" t="s">
        <v>114</v>
      </c>
      <c r="F2334" s="65">
        <v>79.177899999999994</v>
      </c>
    </row>
    <row r="2335" spans="2:6" hidden="1" x14ac:dyDescent="0.25">
      <c r="B2335" s="51">
        <f>YEAR(BDRIOSJ[[#This Row],[FECHA]])</f>
        <v>2025</v>
      </c>
      <c r="C2335" s="51">
        <f>MONTH(BDRIOSJ[[#This Row],[FECHA]])</f>
        <v>2</v>
      </c>
      <c r="D2335" s="81">
        <v>45701</v>
      </c>
      <c r="E2335" s="49" t="s">
        <v>115</v>
      </c>
      <c r="F2335" s="65">
        <v>81.060500000000005</v>
      </c>
    </row>
    <row r="2336" spans="2:6" hidden="1" x14ac:dyDescent="0.25">
      <c r="B2336" s="52">
        <f>YEAR(BDRIOSJ[[#This Row],[FECHA]])</f>
        <v>2025</v>
      </c>
      <c r="C2336" s="52">
        <f>MONTH(BDRIOSJ[[#This Row],[FECHA]])</f>
        <v>2</v>
      </c>
      <c r="D2336" s="81">
        <v>45702</v>
      </c>
      <c r="E2336" s="49" t="s">
        <v>111</v>
      </c>
      <c r="F2336" s="82">
        <v>78.2453</v>
      </c>
    </row>
    <row r="2337" spans="2:6" hidden="1" x14ac:dyDescent="0.25">
      <c r="B2337" s="51">
        <f>YEAR(BDRIOSJ[[#This Row],[FECHA]])</f>
        <v>2025</v>
      </c>
      <c r="C2337" s="51">
        <f>MONTH(BDRIOSJ[[#This Row],[FECHA]])</f>
        <v>2</v>
      </c>
      <c r="D2337" s="81">
        <v>45702</v>
      </c>
      <c r="E2337" s="49" t="s">
        <v>113</v>
      </c>
      <c r="F2337" s="65">
        <v>78.2453</v>
      </c>
    </row>
    <row r="2338" spans="2:6" hidden="1" x14ac:dyDescent="0.25">
      <c r="B2338" s="51">
        <f>YEAR(BDRIOSJ[[#This Row],[FECHA]])</f>
        <v>2025</v>
      </c>
      <c r="C2338" s="51">
        <f>MONTH(BDRIOSJ[[#This Row],[FECHA]])</f>
        <v>2</v>
      </c>
      <c r="D2338" s="81">
        <v>45702</v>
      </c>
      <c r="E2338" s="49" t="s">
        <v>114</v>
      </c>
      <c r="F2338" s="65">
        <v>78.2453</v>
      </c>
    </row>
    <row r="2339" spans="2:6" hidden="1" x14ac:dyDescent="0.25">
      <c r="B2339" s="51">
        <f>YEAR(BDRIOSJ[[#This Row],[FECHA]])</f>
        <v>2025</v>
      </c>
      <c r="C2339" s="51">
        <f>MONTH(BDRIOSJ[[#This Row],[FECHA]])</f>
        <v>2</v>
      </c>
      <c r="D2339" s="81">
        <v>45702</v>
      </c>
      <c r="E2339" s="49" t="s">
        <v>115</v>
      </c>
      <c r="F2339" s="65">
        <v>78.2453</v>
      </c>
    </row>
    <row r="2340" spans="2:6" hidden="1" x14ac:dyDescent="0.25">
      <c r="B2340" s="52">
        <f>YEAR(BDRIOSJ[[#This Row],[FECHA]])</f>
        <v>2025</v>
      </c>
      <c r="C2340" s="52">
        <f>MONTH(BDRIOSJ[[#This Row],[FECHA]])</f>
        <v>2</v>
      </c>
      <c r="D2340" s="81">
        <v>45703</v>
      </c>
      <c r="E2340" s="49" t="s">
        <v>111</v>
      </c>
      <c r="F2340" s="82">
        <v>60.819299999999998</v>
      </c>
    </row>
    <row r="2341" spans="2:6" hidden="1" x14ac:dyDescent="0.25">
      <c r="B2341" s="52">
        <f>YEAR(BDRIOSJ[[#This Row],[FECHA]])</f>
        <v>2025</v>
      </c>
      <c r="C2341" s="52">
        <f>MONTH(BDRIOSJ[[#This Row],[FECHA]])</f>
        <v>2</v>
      </c>
      <c r="D2341" s="81">
        <v>45703</v>
      </c>
      <c r="E2341" s="49" t="s">
        <v>113</v>
      </c>
      <c r="F2341" s="82">
        <v>56.827399999999997</v>
      </c>
    </row>
    <row r="2342" spans="2:6" hidden="1" x14ac:dyDescent="0.25">
      <c r="B2342" s="51">
        <f>YEAR(BDRIOSJ[[#This Row],[FECHA]])</f>
        <v>2025</v>
      </c>
      <c r="C2342" s="51">
        <f>MONTH(BDRIOSJ[[#This Row],[FECHA]])</f>
        <v>2</v>
      </c>
      <c r="D2342" s="50">
        <v>45703</v>
      </c>
      <c r="E2342" s="49" t="s">
        <v>114</v>
      </c>
      <c r="F2342" s="65">
        <v>56.827399999999997</v>
      </c>
    </row>
    <row r="2343" spans="2:6" hidden="1" x14ac:dyDescent="0.25">
      <c r="B2343" s="52">
        <f>YEAR(BDRIOSJ[[#This Row],[FECHA]])</f>
        <v>2025</v>
      </c>
      <c r="C2343" s="52">
        <f>MONTH(BDRIOSJ[[#This Row],[FECHA]])</f>
        <v>2</v>
      </c>
      <c r="D2343" s="81">
        <v>45703</v>
      </c>
      <c r="E2343" s="49" t="s">
        <v>115</v>
      </c>
      <c r="F2343" s="82">
        <v>49.281199999999998</v>
      </c>
    </row>
    <row r="2344" spans="2:6" hidden="1" x14ac:dyDescent="0.25">
      <c r="B2344" s="52">
        <f>YEAR(BDRIOSJ[[#This Row],[FECHA]])</f>
        <v>2025</v>
      </c>
      <c r="C2344" s="52">
        <f>MONTH(BDRIOSJ[[#This Row],[FECHA]])</f>
        <v>2</v>
      </c>
      <c r="D2344" s="81">
        <v>45704</v>
      </c>
      <c r="E2344" s="49" t="s">
        <v>111</v>
      </c>
      <c r="F2344" s="82">
        <v>32.968400000000003</v>
      </c>
    </row>
    <row r="2345" spans="2:6" hidden="1" x14ac:dyDescent="0.25">
      <c r="B2345" s="51">
        <f>YEAR(BDRIOSJ[[#This Row],[FECHA]])</f>
        <v>2025</v>
      </c>
      <c r="C2345" s="51">
        <f>MONTH(BDRIOSJ[[#This Row],[FECHA]])</f>
        <v>2</v>
      </c>
      <c r="D2345" s="81">
        <v>45704</v>
      </c>
      <c r="E2345" s="49" t="s">
        <v>113</v>
      </c>
      <c r="F2345" s="65">
        <v>32.968400000000003</v>
      </c>
    </row>
    <row r="2346" spans="2:6" hidden="1" x14ac:dyDescent="0.25">
      <c r="B2346" s="51">
        <f>YEAR(BDRIOSJ[[#This Row],[FECHA]])</f>
        <v>2025</v>
      </c>
      <c r="C2346" s="51">
        <f>MONTH(BDRIOSJ[[#This Row],[FECHA]])</f>
        <v>2</v>
      </c>
      <c r="D2346" s="81">
        <v>45704</v>
      </c>
      <c r="E2346" s="49" t="s">
        <v>114</v>
      </c>
      <c r="F2346" s="65">
        <v>32.968400000000003</v>
      </c>
    </row>
    <row r="2347" spans="2:6" hidden="1" x14ac:dyDescent="0.25">
      <c r="B2347" s="51">
        <f>YEAR(BDRIOSJ[[#This Row],[FECHA]])</f>
        <v>2025</v>
      </c>
      <c r="C2347" s="51">
        <f>MONTH(BDRIOSJ[[#This Row],[FECHA]])</f>
        <v>2</v>
      </c>
      <c r="D2347" s="81">
        <v>45704</v>
      </c>
      <c r="E2347" s="49" t="s">
        <v>115</v>
      </c>
      <c r="F2347" s="65">
        <v>32.968400000000003</v>
      </c>
    </row>
    <row r="2348" spans="2:6" hidden="1" x14ac:dyDescent="0.25">
      <c r="B2348" s="52">
        <f>YEAR(BDRIOSJ[[#This Row],[FECHA]])</f>
        <v>2025</v>
      </c>
      <c r="C2348" s="52">
        <f>MONTH(BDRIOSJ[[#This Row],[FECHA]])</f>
        <v>2</v>
      </c>
      <c r="D2348" s="81">
        <v>45705</v>
      </c>
      <c r="E2348" s="49" t="s">
        <v>111</v>
      </c>
      <c r="F2348" s="82">
        <v>30.1434</v>
      </c>
    </row>
    <row r="2349" spans="2:6" hidden="1" x14ac:dyDescent="0.25">
      <c r="B2349" s="51">
        <f>YEAR(BDRIOSJ[[#This Row],[FECHA]])</f>
        <v>2025</v>
      </c>
      <c r="C2349" s="51">
        <f>MONTH(BDRIOSJ[[#This Row],[FECHA]])</f>
        <v>2</v>
      </c>
      <c r="D2349" s="81">
        <v>45705</v>
      </c>
      <c r="E2349" s="49" t="s">
        <v>113</v>
      </c>
      <c r="F2349" s="65">
        <v>32.968400000000003</v>
      </c>
    </row>
    <row r="2350" spans="2:6" hidden="1" x14ac:dyDescent="0.25">
      <c r="B2350" s="51">
        <f>YEAR(BDRIOSJ[[#This Row],[FECHA]])</f>
        <v>2025</v>
      </c>
      <c r="C2350" s="51">
        <f>MONTH(BDRIOSJ[[#This Row],[FECHA]])</f>
        <v>2</v>
      </c>
      <c r="D2350" s="81">
        <v>45705</v>
      </c>
      <c r="E2350" s="49" t="s">
        <v>114</v>
      </c>
      <c r="F2350" s="65">
        <v>32.968400000000003</v>
      </c>
    </row>
    <row r="2351" spans="2:6" hidden="1" x14ac:dyDescent="0.25">
      <c r="B2351" s="51">
        <f>YEAR(BDRIOSJ[[#This Row],[FECHA]])</f>
        <v>2025</v>
      </c>
      <c r="C2351" s="51">
        <f>MONTH(BDRIOSJ[[#This Row],[FECHA]])</f>
        <v>2</v>
      </c>
      <c r="D2351" s="81">
        <v>45705</v>
      </c>
      <c r="E2351" s="49" t="s">
        <v>115</v>
      </c>
      <c r="F2351" s="65">
        <v>30.1434</v>
      </c>
    </row>
    <row r="2352" spans="2:6" hidden="1" x14ac:dyDescent="0.25">
      <c r="B2352" s="52">
        <f>YEAR(BDRIOSJ[[#This Row],[FECHA]])</f>
        <v>2025</v>
      </c>
      <c r="C2352" s="52">
        <f>MONTH(BDRIOSJ[[#This Row],[FECHA]])</f>
        <v>2</v>
      </c>
      <c r="D2352" s="81">
        <v>45706</v>
      </c>
      <c r="E2352" s="49" t="s">
        <v>111</v>
      </c>
      <c r="F2352" s="82">
        <v>37.168399999999998</v>
      </c>
    </row>
    <row r="2353" spans="2:6" hidden="1" x14ac:dyDescent="0.25">
      <c r="B2353" s="51">
        <f>YEAR(BDRIOSJ[[#This Row],[FECHA]])</f>
        <v>2025</v>
      </c>
      <c r="C2353" s="51">
        <f>MONTH(BDRIOSJ[[#This Row],[FECHA]])</f>
        <v>2</v>
      </c>
      <c r="D2353" s="81">
        <v>45706</v>
      </c>
      <c r="E2353" s="49" t="s">
        <v>113</v>
      </c>
      <c r="F2353" s="65">
        <v>37.168399999999998</v>
      </c>
    </row>
    <row r="2354" spans="2:6" hidden="1" x14ac:dyDescent="0.25">
      <c r="B2354" s="51">
        <f>YEAR(BDRIOSJ[[#This Row],[FECHA]])</f>
        <v>2025</v>
      </c>
      <c r="C2354" s="51">
        <f>MONTH(BDRIOSJ[[#This Row],[FECHA]])</f>
        <v>2</v>
      </c>
      <c r="D2354" s="81">
        <v>45706</v>
      </c>
      <c r="E2354" s="49" t="s">
        <v>114</v>
      </c>
      <c r="F2354" s="65">
        <v>37.168399999999998</v>
      </c>
    </row>
    <row r="2355" spans="2:6" hidden="1" x14ac:dyDescent="0.25">
      <c r="B2355" s="51">
        <f>YEAR(BDRIOSJ[[#This Row],[FECHA]])</f>
        <v>2025</v>
      </c>
      <c r="C2355" s="51">
        <f>MONTH(BDRIOSJ[[#This Row],[FECHA]])</f>
        <v>2</v>
      </c>
      <c r="D2355" s="81">
        <v>45706</v>
      </c>
      <c r="E2355" s="49" t="s">
        <v>115</v>
      </c>
      <c r="F2355" s="65">
        <v>38.420900000000003</v>
      </c>
    </row>
    <row r="2356" spans="2:6" hidden="1" x14ac:dyDescent="0.25">
      <c r="B2356" s="52">
        <f>YEAR(BDRIOSJ[[#This Row],[FECHA]])</f>
        <v>2025</v>
      </c>
      <c r="C2356" s="52">
        <f>MONTH(BDRIOSJ[[#This Row],[FECHA]])</f>
        <v>2</v>
      </c>
      <c r="D2356" s="81">
        <v>45707</v>
      </c>
      <c r="E2356" s="49" t="s">
        <v>111</v>
      </c>
      <c r="F2356" s="82">
        <v>37.791699999999999</v>
      </c>
    </row>
    <row r="2357" spans="2:6" hidden="1" x14ac:dyDescent="0.25">
      <c r="B2357" s="51">
        <f>YEAR(BDRIOSJ[[#This Row],[FECHA]])</f>
        <v>2025</v>
      </c>
      <c r="C2357" s="51">
        <f>MONTH(BDRIOSJ[[#This Row],[FECHA]])</f>
        <v>2</v>
      </c>
      <c r="D2357" s="81">
        <v>45707</v>
      </c>
      <c r="E2357" s="49" t="s">
        <v>113</v>
      </c>
      <c r="F2357" s="65">
        <v>37.791699999999999</v>
      </c>
    </row>
    <row r="2358" spans="2:6" hidden="1" x14ac:dyDescent="0.25">
      <c r="B2358" s="51">
        <f>YEAR(BDRIOSJ[[#This Row],[FECHA]])</f>
        <v>2025</v>
      </c>
      <c r="C2358" s="51">
        <f>MONTH(BDRIOSJ[[#This Row],[FECHA]])</f>
        <v>2</v>
      </c>
      <c r="D2358" s="81">
        <v>45707</v>
      </c>
      <c r="E2358" s="49" t="s">
        <v>114</v>
      </c>
      <c r="F2358" s="65">
        <v>37.791699999999999</v>
      </c>
    </row>
    <row r="2359" spans="2:6" hidden="1" x14ac:dyDescent="0.25">
      <c r="B2359" s="51">
        <f>YEAR(BDRIOSJ[[#This Row],[FECHA]])</f>
        <v>2025</v>
      </c>
      <c r="C2359" s="51">
        <f>MONTH(BDRIOSJ[[#This Row],[FECHA]])</f>
        <v>2</v>
      </c>
      <c r="D2359" s="81">
        <v>45707</v>
      </c>
      <c r="E2359" s="49" t="s">
        <v>115</v>
      </c>
      <c r="F2359" s="65">
        <v>37.168399999999998</v>
      </c>
    </row>
    <row r="2360" spans="2:6" hidden="1" x14ac:dyDescent="0.25">
      <c r="B2360" s="52">
        <f>YEAR(BDRIOSJ[[#This Row],[FECHA]])</f>
        <v>2025</v>
      </c>
      <c r="C2360" s="52">
        <f>MONTH(BDRIOSJ[[#This Row],[FECHA]])</f>
        <v>2</v>
      </c>
      <c r="D2360" s="81">
        <v>45708</v>
      </c>
      <c r="E2360" s="49" t="s">
        <v>111</v>
      </c>
      <c r="F2360" s="82">
        <v>36.550899999999999</v>
      </c>
    </row>
    <row r="2361" spans="2:6" hidden="1" x14ac:dyDescent="0.25">
      <c r="B2361" s="51">
        <f>YEAR(BDRIOSJ[[#This Row],[FECHA]])</f>
        <v>2025</v>
      </c>
      <c r="C2361" s="51">
        <f>MONTH(BDRIOSJ[[#This Row],[FECHA]])</f>
        <v>2</v>
      </c>
      <c r="D2361" s="81">
        <v>45708</v>
      </c>
      <c r="E2361" s="49" t="s">
        <v>113</v>
      </c>
      <c r="F2361" s="65">
        <v>35.9392</v>
      </c>
    </row>
    <row r="2362" spans="2:6" hidden="1" x14ac:dyDescent="0.25">
      <c r="B2362" s="51">
        <f>YEAR(BDRIOSJ[[#This Row],[FECHA]])</f>
        <v>2025</v>
      </c>
      <c r="C2362" s="51">
        <f>MONTH(BDRIOSJ[[#This Row],[FECHA]])</f>
        <v>2</v>
      </c>
      <c r="D2362" s="81">
        <v>45708</v>
      </c>
      <c r="E2362" s="49" t="s">
        <v>114</v>
      </c>
      <c r="F2362" s="65">
        <v>35.9392</v>
      </c>
    </row>
    <row r="2363" spans="2:6" hidden="1" x14ac:dyDescent="0.25">
      <c r="B2363" s="51">
        <f>YEAR(BDRIOSJ[[#This Row],[FECHA]])</f>
        <v>2025</v>
      </c>
      <c r="C2363" s="51">
        <f>MONTH(BDRIOSJ[[#This Row],[FECHA]])</f>
        <v>2</v>
      </c>
      <c r="D2363" s="81">
        <v>45708</v>
      </c>
      <c r="E2363" s="49" t="s">
        <v>115</v>
      </c>
      <c r="F2363" s="65">
        <v>35.9392</v>
      </c>
    </row>
    <row r="2364" spans="2:6" hidden="1" x14ac:dyDescent="0.25">
      <c r="B2364" s="52">
        <f>YEAR(BDRIOSJ[[#This Row],[FECHA]])</f>
        <v>2025</v>
      </c>
      <c r="C2364" s="52">
        <f>MONTH(BDRIOSJ[[#This Row],[FECHA]])</f>
        <v>2</v>
      </c>
      <c r="D2364" s="81">
        <v>45709</v>
      </c>
      <c r="E2364" s="49" t="s">
        <v>111</v>
      </c>
      <c r="F2364" s="82">
        <v>22.543600000000001</v>
      </c>
    </row>
    <row r="2365" spans="2:6" hidden="1" x14ac:dyDescent="0.25">
      <c r="B2365" s="51">
        <f>YEAR(BDRIOSJ[[#This Row],[FECHA]])</f>
        <v>2025</v>
      </c>
      <c r="C2365" s="51">
        <f>MONTH(BDRIOSJ[[#This Row],[FECHA]])</f>
        <v>2</v>
      </c>
      <c r="D2365" s="81">
        <v>45709</v>
      </c>
      <c r="E2365" s="49" t="s">
        <v>113</v>
      </c>
      <c r="F2365" s="65">
        <v>20.302</v>
      </c>
    </row>
    <row r="2366" spans="2:6" hidden="1" x14ac:dyDescent="0.25">
      <c r="B2366" s="51">
        <f>YEAR(BDRIOSJ[[#This Row],[FECHA]])</f>
        <v>2025</v>
      </c>
      <c r="C2366" s="51">
        <f>MONTH(BDRIOSJ[[#This Row],[FECHA]])</f>
        <v>2</v>
      </c>
      <c r="D2366" s="81">
        <v>45709</v>
      </c>
      <c r="E2366" s="49" t="s">
        <v>114</v>
      </c>
      <c r="F2366" s="65">
        <v>20.302</v>
      </c>
    </row>
    <row r="2367" spans="2:6" hidden="1" x14ac:dyDescent="0.25">
      <c r="B2367" s="51">
        <f>YEAR(BDRIOSJ[[#This Row],[FECHA]])</f>
        <v>2025</v>
      </c>
      <c r="C2367" s="51">
        <f>MONTH(BDRIOSJ[[#This Row],[FECHA]])</f>
        <v>2</v>
      </c>
      <c r="D2367" s="81">
        <v>45709</v>
      </c>
      <c r="E2367" s="49" t="s">
        <v>115</v>
      </c>
      <c r="F2367" s="65">
        <v>20.302</v>
      </c>
    </row>
    <row r="2368" spans="2:6" hidden="1" x14ac:dyDescent="0.25">
      <c r="B2368" s="52">
        <f>YEAR(BDRIOSJ[[#This Row],[FECHA]])</f>
        <v>2025</v>
      </c>
      <c r="C2368" s="52">
        <f>MONTH(BDRIOSJ[[#This Row],[FECHA]])</f>
        <v>2</v>
      </c>
      <c r="D2368" s="81">
        <v>45710</v>
      </c>
      <c r="E2368" s="49" t="s">
        <v>111</v>
      </c>
      <c r="F2368" s="82">
        <v>32.968400000000003</v>
      </c>
    </row>
    <row r="2369" spans="2:6" hidden="1" x14ac:dyDescent="0.25">
      <c r="B2369" s="51">
        <f>YEAR(BDRIOSJ[[#This Row],[FECHA]])</f>
        <v>2025</v>
      </c>
      <c r="C2369" s="51">
        <f>MONTH(BDRIOSJ[[#This Row],[FECHA]])</f>
        <v>2</v>
      </c>
      <c r="D2369" s="81">
        <v>45710</v>
      </c>
      <c r="E2369" s="49" t="s">
        <v>113</v>
      </c>
      <c r="F2369" s="65">
        <v>32.968400000000003</v>
      </c>
    </row>
    <row r="2370" spans="2:6" hidden="1" x14ac:dyDescent="0.25">
      <c r="B2370" s="51">
        <f>YEAR(BDRIOSJ[[#This Row],[FECHA]])</f>
        <v>2025</v>
      </c>
      <c r="C2370" s="51">
        <f>MONTH(BDRIOSJ[[#This Row],[FECHA]])</f>
        <v>2</v>
      </c>
      <c r="D2370" s="81">
        <v>45710</v>
      </c>
      <c r="E2370" s="49" t="s">
        <v>114</v>
      </c>
      <c r="F2370" s="65">
        <v>32.968400000000003</v>
      </c>
    </row>
    <row r="2371" spans="2:6" hidden="1" x14ac:dyDescent="0.25">
      <c r="B2371" s="51">
        <f>YEAR(BDRIOSJ[[#This Row],[FECHA]])</f>
        <v>2025</v>
      </c>
      <c r="C2371" s="51">
        <f>MONTH(BDRIOSJ[[#This Row],[FECHA]])</f>
        <v>2</v>
      </c>
      <c r="D2371" s="81">
        <v>45710</v>
      </c>
      <c r="E2371" s="49" t="s">
        <v>115</v>
      </c>
      <c r="F2371" s="65">
        <v>32.968400000000003</v>
      </c>
    </row>
    <row r="2372" spans="2:6" hidden="1" x14ac:dyDescent="0.25">
      <c r="B2372" s="52">
        <f>YEAR(BDRIOSJ[[#This Row],[FECHA]])</f>
        <v>2025</v>
      </c>
      <c r="C2372" s="52">
        <f>MONTH(BDRIOSJ[[#This Row],[FECHA]])</f>
        <v>2</v>
      </c>
      <c r="D2372" s="81">
        <v>45711</v>
      </c>
      <c r="E2372" s="60" t="s">
        <v>111</v>
      </c>
      <c r="F2372" s="127">
        <v>45.726900000000001</v>
      </c>
    </row>
    <row r="2373" spans="2:6" hidden="1" x14ac:dyDescent="0.25">
      <c r="B2373" s="51">
        <f>YEAR(BDRIOSJ[[#This Row],[FECHA]])</f>
        <v>2025</v>
      </c>
      <c r="C2373" s="51">
        <f>MONTH(BDRIOSJ[[#This Row],[FECHA]])</f>
        <v>2</v>
      </c>
      <c r="D2373" s="81">
        <v>45711</v>
      </c>
      <c r="E2373" s="60" t="s">
        <v>113</v>
      </c>
      <c r="F2373" s="127">
        <v>45.726900000000001</v>
      </c>
    </row>
    <row r="2374" spans="2:6" hidden="1" x14ac:dyDescent="0.25">
      <c r="B2374" s="51">
        <f>YEAR(BDRIOSJ[[#This Row],[FECHA]])</f>
        <v>2025</v>
      </c>
      <c r="C2374" s="51">
        <f>MONTH(BDRIOSJ[[#This Row],[FECHA]])</f>
        <v>2</v>
      </c>
      <c r="D2374" s="81">
        <v>45711</v>
      </c>
      <c r="E2374" s="60" t="s">
        <v>114</v>
      </c>
      <c r="F2374" s="127">
        <v>45.726900000000001</v>
      </c>
    </row>
    <row r="2375" spans="2:6" hidden="1" x14ac:dyDescent="0.25">
      <c r="B2375" s="51">
        <f>YEAR(BDRIOSJ[[#This Row],[FECHA]])</f>
        <v>2025</v>
      </c>
      <c r="C2375" s="51">
        <f>MONTH(BDRIOSJ[[#This Row],[FECHA]])</f>
        <v>2</v>
      </c>
      <c r="D2375" s="81">
        <v>45711</v>
      </c>
      <c r="E2375" s="60" t="s">
        <v>115</v>
      </c>
      <c r="F2375" s="127">
        <v>45.726900000000001</v>
      </c>
    </row>
    <row r="2376" spans="2:6" hidden="1" x14ac:dyDescent="0.25">
      <c r="B2376" s="52">
        <f>YEAR(BDRIOSJ[[#This Row],[FECHA]])</f>
        <v>2025</v>
      </c>
      <c r="C2376" s="52">
        <f>MONTH(BDRIOSJ[[#This Row],[FECHA]])</f>
        <v>2</v>
      </c>
      <c r="D2376" s="81">
        <v>45712</v>
      </c>
      <c r="E2376" s="60" t="s">
        <v>111</v>
      </c>
      <c r="F2376" s="127">
        <v>35.9392</v>
      </c>
    </row>
    <row r="2377" spans="2:6" hidden="1" x14ac:dyDescent="0.25">
      <c r="B2377" s="51">
        <f>YEAR(BDRIOSJ[[#This Row],[FECHA]])</f>
        <v>2025</v>
      </c>
      <c r="C2377" s="51">
        <f>MONTH(BDRIOSJ[[#This Row],[FECHA]])</f>
        <v>2</v>
      </c>
      <c r="D2377" s="81">
        <v>45712</v>
      </c>
      <c r="E2377" s="60" t="s">
        <v>113</v>
      </c>
      <c r="F2377" s="127">
        <v>35.9392</v>
      </c>
    </row>
    <row r="2378" spans="2:6" hidden="1" x14ac:dyDescent="0.25">
      <c r="B2378" s="51">
        <f>YEAR(BDRIOSJ[[#This Row],[FECHA]])</f>
        <v>2025</v>
      </c>
      <c r="C2378" s="51">
        <f>MONTH(BDRIOSJ[[#This Row],[FECHA]])</f>
        <v>2</v>
      </c>
      <c r="D2378" s="81">
        <v>45712</v>
      </c>
      <c r="E2378" s="60" t="s">
        <v>114</v>
      </c>
      <c r="F2378" s="127">
        <v>35.9392</v>
      </c>
    </row>
    <row r="2379" spans="2:6" hidden="1" x14ac:dyDescent="0.25">
      <c r="B2379" s="52">
        <f>YEAR(BDRIOSJ[[#This Row],[FECHA]])</f>
        <v>2025</v>
      </c>
      <c r="C2379" s="52">
        <f>MONTH(BDRIOSJ[[#This Row],[FECHA]])</f>
        <v>2</v>
      </c>
      <c r="D2379" s="81">
        <v>45712</v>
      </c>
      <c r="E2379" s="60" t="s">
        <v>115</v>
      </c>
      <c r="F2379" s="127">
        <v>35.9392</v>
      </c>
    </row>
    <row r="2380" spans="2:6" hidden="1" x14ac:dyDescent="0.25">
      <c r="B2380" s="52">
        <f>YEAR(BDRIOSJ[[#This Row],[FECHA]])</f>
        <v>2025</v>
      </c>
      <c r="C2380" s="52">
        <f>MONTH(BDRIOSJ[[#This Row],[FECHA]])</f>
        <v>2</v>
      </c>
      <c r="D2380" s="81">
        <v>45713</v>
      </c>
      <c r="E2380" s="60" t="s">
        <v>111</v>
      </c>
      <c r="F2380" s="127">
        <v>42.3185</v>
      </c>
    </row>
    <row r="2381" spans="2:6" hidden="1" x14ac:dyDescent="0.25">
      <c r="B2381" s="51">
        <f>YEAR(BDRIOSJ[[#This Row],[FECHA]])</f>
        <v>2025</v>
      </c>
      <c r="C2381" s="51">
        <f>MONTH(BDRIOSJ[[#This Row],[FECHA]])</f>
        <v>2</v>
      </c>
      <c r="D2381" s="81">
        <v>45713</v>
      </c>
      <c r="E2381" s="60" t="s">
        <v>113</v>
      </c>
      <c r="F2381" s="127">
        <v>42.988500000000002</v>
      </c>
    </row>
    <row r="2382" spans="2:6" hidden="1" x14ac:dyDescent="0.25">
      <c r="B2382" s="51">
        <f>YEAR(BDRIOSJ[[#This Row],[FECHA]])</f>
        <v>2025</v>
      </c>
      <c r="C2382" s="51">
        <f>MONTH(BDRIOSJ[[#This Row],[FECHA]])</f>
        <v>2</v>
      </c>
      <c r="D2382" s="81">
        <v>45713</v>
      </c>
      <c r="E2382" s="60" t="s">
        <v>114</v>
      </c>
      <c r="F2382" s="127">
        <v>42.3185</v>
      </c>
    </row>
    <row r="2383" spans="2:6" hidden="1" x14ac:dyDescent="0.25">
      <c r="B2383" s="51">
        <f>YEAR(BDRIOSJ[[#This Row],[FECHA]])</f>
        <v>2025</v>
      </c>
      <c r="C2383" s="51">
        <f>MONTH(BDRIOSJ[[#This Row],[FECHA]])</f>
        <v>2</v>
      </c>
      <c r="D2383" s="81">
        <v>45713</v>
      </c>
      <c r="E2383" s="60" t="s">
        <v>115</v>
      </c>
      <c r="F2383" s="127">
        <v>42.3185</v>
      </c>
    </row>
    <row r="2384" spans="2:6" hidden="1" x14ac:dyDescent="0.25">
      <c r="B2384" s="52">
        <f>YEAR(BDRIOSJ[[#This Row],[FECHA]])</f>
        <v>2025</v>
      </c>
      <c r="C2384" s="52">
        <f>MONTH(BDRIOSJ[[#This Row],[FECHA]])</f>
        <v>2</v>
      </c>
      <c r="D2384" s="81">
        <v>45714</v>
      </c>
      <c r="E2384" s="60" t="s">
        <v>111</v>
      </c>
      <c r="F2384" s="128">
        <v>56.827399999999997</v>
      </c>
    </row>
    <row r="2385" spans="2:6" hidden="1" x14ac:dyDescent="0.25">
      <c r="B2385" s="51">
        <f>YEAR(BDRIOSJ[[#This Row],[FECHA]])</f>
        <v>2025</v>
      </c>
      <c r="C2385" s="51">
        <f>MONTH(BDRIOSJ[[#This Row],[FECHA]])</f>
        <v>2</v>
      </c>
      <c r="D2385" s="81">
        <v>45714</v>
      </c>
      <c r="E2385" s="60" t="s">
        <v>113</v>
      </c>
      <c r="F2385" s="128">
        <v>56.827399999999997</v>
      </c>
    </row>
    <row r="2386" spans="2:6" hidden="1" x14ac:dyDescent="0.25">
      <c r="B2386" s="51">
        <f>YEAR(BDRIOSJ[[#This Row],[FECHA]])</f>
        <v>2025</v>
      </c>
      <c r="C2386" s="51">
        <f>MONTH(BDRIOSJ[[#This Row],[FECHA]])</f>
        <v>2</v>
      </c>
      <c r="D2386" s="81">
        <v>45714</v>
      </c>
      <c r="E2386" s="60" t="s">
        <v>114</v>
      </c>
      <c r="F2386" s="128">
        <v>55.271500000000003</v>
      </c>
    </row>
    <row r="2387" spans="2:6" hidden="1" x14ac:dyDescent="0.25">
      <c r="B2387" s="51">
        <f>YEAR(BDRIOSJ[[#This Row],[FECHA]])</f>
        <v>2025</v>
      </c>
      <c r="C2387" s="51">
        <f>MONTH(BDRIOSJ[[#This Row],[FECHA]])</f>
        <v>2</v>
      </c>
      <c r="D2387" s="81">
        <v>45714</v>
      </c>
      <c r="E2387" s="60" t="s">
        <v>115</v>
      </c>
      <c r="F2387" s="128">
        <v>56.827399999999997</v>
      </c>
    </row>
    <row r="2388" spans="2:6" hidden="1" x14ac:dyDescent="0.25">
      <c r="B2388" s="52">
        <f>YEAR(BDRIOSJ[[#This Row],[FECHA]])</f>
        <v>2025</v>
      </c>
      <c r="C2388" s="52">
        <f>MONTH(BDRIOSJ[[#This Row],[FECHA]])</f>
        <v>2</v>
      </c>
      <c r="D2388" s="81">
        <v>45715</v>
      </c>
      <c r="E2388" s="60" t="s">
        <v>111</v>
      </c>
      <c r="F2388" s="128">
        <v>41.654299999999999</v>
      </c>
    </row>
    <row r="2389" spans="2:6" hidden="1" x14ac:dyDescent="0.25">
      <c r="B2389" s="51">
        <f>YEAR(BDRIOSJ[[#This Row],[FECHA]])</f>
        <v>2025</v>
      </c>
      <c r="C2389" s="51">
        <f>MONTH(BDRIOSJ[[#This Row],[FECHA]])</f>
        <v>2</v>
      </c>
      <c r="D2389" s="81">
        <v>45715</v>
      </c>
      <c r="E2389" s="60" t="s">
        <v>113</v>
      </c>
      <c r="F2389" s="128">
        <v>40.996000000000002</v>
      </c>
    </row>
    <row r="2390" spans="2:6" hidden="1" x14ac:dyDescent="0.25">
      <c r="B2390" s="51">
        <f>YEAR(BDRIOSJ[[#This Row],[FECHA]])</f>
        <v>2025</v>
      </c>
      <c r="C2390" s="51">
        <f>MONTH(BDRIOSJ[[#This Row],[FECHA]])</f>
        <v>2</v>
      </c>
      <c r="D2390" s="81">
        <v>45715</v>
      </c>
      <c r="E2390" s="60" t="s">
        <v>114</v>
      </c>
      <c r="F2390" s="128">
        <v>40.996000000000002</v>
      </c>
    </row>
    <row r="2391" spans="2:6" hidden="1" x14ac:dyDescent="0.25">
      <c r="B2391" s="51">
        <f>YEAR(BDRIOSJ[[#This Row],[FECHA]])</f>
        <v>2025</v>
      </c>
      <c r="C2391" s="51">
        <f>MONTH(BDRIOSJ[[#This Row],[FECHA]])</f>
        <v>2</v>
      </c>
      <c r="D2391" s="81">
        <v>45715</v>
      </c>
      <c r="E2391" s="60" t="s">
        <v>115</v>
      </c>
      <c r="F2391" s="128">
        <v>40.996000000000002</v>
      </c>
    </row>
    <row r="2392" spans="2:6" hidden="1" x14ac:dyDescent="0.25">
      <c r="B2392" s="52">
        <f>YEAR(BDRIOSJ[[#This Row],[FECHA]])</f>
        <v>2025</v>
      </c>
      <c r="C2392" s="52">
        <f>MONTH(BDRIOSJ[[#This Row],[FECHA]])</f>
        <v>2</v>
      </c>
      <c r="D2392" s="81">
        <v>45716</v>
      </c>
      <c r="E2392" s="60" t="s">
        <v>111</v>
      </c>
      <c r="F2392" s="65">
        <v>42.3185</v>
      </c>
    </row>
    <row r="2393" spans="2:6" hidden="1" x14ac:dyDescent="0.25">
      <c r="B2393" s="51">
        <f>YEAR(BDRIOSJ[[#This Row],[FECHA]])</f>
        <v>2025</v>
      </c>
      <c r="C2393" s="51">
        <f>MONTH(BDRIOSJ[[#This Row],[FECHA]])</f>
        <v>2</v>
      </c>
      <c r="D2393" s="81">
        <v>45716</v>
      </c>
      <c r="E2393" s="60" t="s">
        <v>113</v>
      </c>
      <c r="F2393" s="65">
        <v>42.3185</v>
      </c>
    </row>
    <row r="2394" spans="2:6" hidden="1" x14ac:dyDescent="0.25">
      <c r="B2394" s="51">
        <f>YEAR(BDRIOSJ[[#This Row],[FECHA]])</f>
        <v>2025</v>
      </c>
      <c r="C2394" s="51">
        <f>MONTH(BDRIOSJ[[#This Row],[FECHA]])</f>
        <v>2</v>
      </c>
      <c r="D2394" s="81">
        <v>45716</v>
      </c>
      <c r="E2394" s="60" t="s">
        <v>114</v>
      </c>
      <c r="F2394" s="65">
        <v>42.3185</v>
      </c>
    </row>
    <row r="2395" spans="2:6" hidden="1" x14ac:dyDescent="0.25">
      <c r="B2395" s="51">
        <f>YEAR(BDRIOSJ[[#This Row],[FECHA]])</f>
        <v>2025</v>
      </c>
      <c r="C2395" s="51">
        <f>MONTH(BDRIOSJ[[#This Row],[FECHA]])</f>
        <v>2</v>
      </c>
      <c r="D2395" s="81">
        <v>45716</v>
      </c>
      <c r="E2395" s="60" t="s">
        <v>115</v>
      </c>
      <c r="F2395" s="65">
        <v>42.3185</v>
      </c>
    </row>
    <row r="2396" spans="2:6" hidden="1" x14ac:dyDescent="0.25">
      <c r="B2396" s="52">
        <f>YEAR(BDRIOSJ[[#This Row],[FECHA]])</f>
        <v>2025</v>
      </c>
      <c r="C2396" s="52">
        <f>MONTH(BDRIOSJ[[#This Row],[FECHA]])</f>
        <v>3</v>
      </c>
      <c r="D2396" s="81">
        <v>45717</v>
      </c>
      <c r="E2396" s="60" t="s">
        <v>111</v>
      </c>
      <c r="F2396" s="82">
        <v>42.3185</v>
      </c>
    </row>
    <row r="2397" spans="2:6" hidden="1" x14ac:dyDescent="0.25">
      <c r="B2397" s="51">
        <f>YEAR(BDRIOSJ[[#This Row],[FECHA]])</f>
        <v>2025</v>
      </c>
      <c r="C2397" s="51">
        <f>MONTH(BDRIOSJ[[#This Row],[FECHA]])</f>
        <v>3</v>
      </c>
      <c r="D2397" s="50">
        <v>45717</v>
      </c>
      <c r="E2397" s="60" t="s">
        <v>113</v>
      </c>
      <c r="F2397" s="82">
        <v>42.3185</v>
      </c>
    </row>
    <row r="2398" spans="2:6" hidden="1" x14ac:dyDescent="0.25">
      <c r="B2398" s="51">
        <f>YEAR(BDRIOSJ[[#This Row],[FECHA]])</f>
        <v>2025</v>
      </c>
      <c r="C2398" s="51">
        <f>MONTH(BDRIOSJ[[#This Row],[FECHA]])</f>
        <v>3</v>
      </c>
      <c r="D2398" s="50">
        <v>45717</v>
      </c>
      <c r="E2398" s="60" t="s">
        <v>114</v>
      </c>
      <c r="F2398" s="82">
        <v>42.3185</v>
      </c>
    </row>
    <row r="2399" spans="2:6" hidden="1" x14ac:dyDescent="0.25">
      <c r="B2399" s="51">
        <f>YEAR(BDRIOSJ[[#This Row],[FECHA]])</f>
        <v>2025</v>
      </c>
      <c r="C2399" s="51">
        <f>MONTH(BDRIOSJ[[#This Row],[FECHA]])</f>
        <v>3</v>
      </c>
      <c r="D2399" s="50">
        <v>45717</v>
      </c>
      <c r="E2399" s="60" t="s">
        <v>115</v>
      </c>
      <c r="F2399" s="65">
        <v>39.055900000000001</v>
      </c>
    </row>
    <row r="2400" spans="2:6" hidden="1" x14ac:dyDescent="0.25">
      <c r="B2400" s="51">
        <f>YEAR(BDRIOSJ[[#This Row],[FECHA]])</f>
        <v>2025</v>
      </c>
      <c r="C2400" s="51">
        <f>MONTH(BDRIOSJ[[#This Row],[FECHA]])</f>
        <v>3</v>
      </c>
      <c r="D2400" s="50">
        <v>45718</v>
      </c>
      <c r="E2400" s="60" t="s">
        <v>111</v>
      </c>
      <c r="F2400" s="65">
        <v>37.168399999999998</v>
      </c>
    </row>
    <row r="2401" spans="2:6" hidden="1" x14ac:dyDescent="0.25">
      <c r="B2401" s="51">
        <f>YEAR(BDRIOSJ[[#This Row],[FECHA]])</f>
        <v>2025</v>
      </c>
      <c r="C2401" s="51">
        <f>MONTH(BDRIOSJ[[#This Row],[FECHA]])</f>
        <v>3</v>
      </c>
      <c r="D2401" s="50">
        <v>45718</v>
      </c>
      <c r="E2401" s="60" t="s">
        <v>113</v>
      </c>
      <c r="F2401" s="65">
        <v>37.168399999999998</v>
      </c>
    </row>
    <row r="2402" spans="2:6" hidden="1" x14ac:dyDescent="0.25">
      <c r="B2402" s="51">
        <f>YEAR(BDRIOSJ[[#This Row],[FECHA]])</f>
        <v>2025</v>
      </c>
      <c r="C2402" s="51">
        <f>MONTH(BDRIOSJ[[#This Row],[FECHA]])</f>
        <v>3</v>
      </c>
      <c r="D2402" s="50">
        <v>45718</v>
      </c>
      <c r="E2402" s="60" t="s">
        <v>114</v>
      </c>
      <c r="F2402" s="65">
        <v>37.168399999999998</v>
      </c>
    </row>
    <row r="2403" spans="2:6" hidden="1" x14ac:dyDescent="0.25">
      <c r="B2403" s="52">
        <f>YEAR(BDRIOSJ[[#This Row],[FECHA]])</f>
        <v>2025</v>
      </c>
      <c r="C2403" s="52">
        <f>MONTH(BDRIOSJ[[#This Row],[FECHA]])</f>
        <v>3</v>
      </c>
      <c r="D2403" s="81">
        <v>45718</v>
      </c>
      <c r="E2403" s="60" t="s">
        <v>115</v>
      </c>
      <c r="F2403" s="82">
        <v>37.168399999999998</v>
      </c>
    </row>
    <row r="2404" spans="2:6" hidden="1" x14ac:dyDescent="0.25">
      <c r="B2404" s="51">
        <f>YEAR(BDRIOSJ[[#This Row],[FECHA]])</f>
        <v>2025</v>
      </c>
      <c r="C2404" s="51">
        <f>MONTH(BDRIOSJ[[#This Row],[FECHA]])</f>
        <v>3</v>
      </c>
      <c r="D2404" s="50">
        <v>45719</v>
      </c>
      <c r="E2404" s="60" t="s">
        <v>111</v>
      </c>
      <c r="F2404" s="65">
        <v>56.046500000000002</v>
      </c>
    </row>
    <row r="2405" spans="2:6" hidden="1" x14ac:dyDescent="0.25">
      <c r="B2405" s="51">
        <f>YEAR(BDRIOSJ[[#This Row],[FECHA]])</f>
        <v>2025</v>
      </c>
      <c r="C2405" s="51">
        <f>MONTH(BDRIOSJ[[#This Row],[FECHA]])</f>
        <v>3</v>
      </c>
      <c r="D2405" s="50">
        <v>45719</v>
      </c>
      <c r="E2405" s="60" t="s">
        <v>113</v>
      </c>
      <c r="F2405" s="65">
        <v>56.046500000000002</v>
      </c>
    </row>
    <row r="2406" spans="2:6" hidden="1" x14ac:dyDescent="0.25">
      <c r="B2406" s="51">
        <f>YEAR(BDRIOSJ[[#This Row],[FECHA]])</f>
        <v>2025</v>
      </c>
      <c r="C2406" s="51">
        <f>MONTH(BDRIOSJ[[#This Row],[FECHA]])</f>
        <v>3</v>
      </c>
      <c r="D2406" s="50">
        <v>45719</v>
      </c>
      <c r="E2406" s="60" t="s">
        <v>114</v>
      </c>
      <c r="F2406" s="65">
        <v>55.271500000000003</v>
      </c>
    </row>
    <row r="2407" spans="2:6" hidden="1" x14ac:dyDescent="0.25">
      <c r="B2407" s="52">
        <f>YEAR(BDRIOSJ[[#This Row],[FECHA]])</f>
        <v>2025</v>
      </c>
      <c r="C2407" s="52">
        <f>MONTH(BDRIOSJ[[#This Row],[FECHA]])</f>
        <v>3</v>
      </c>
      <c r="D2407" s="50">
        <v>45719</v>
      </c>
      <c r="E2407" s="61" t="s">
        <v>115</v>
      </c>
      <c r="F2407" s="82">
        <v>55.271500000000003</v>
      </c>
    </row>
    <row r="2408" spans="2:6" hidden="1" x14ac:dyDescent="0.25">
      <c r="B2408" s="52">
        <f>YEAR(BDRIOSJ[[#This Row],[FECHA]])</f>
        <v>2025</v>
      </c>
      <c r="C2408" s="52">
        <f>MONTH(BDRIOSJ[[#This Row],[FECHA]])</f>
        <v>3</v>
      </c>
      <c r="D2408" s="81">
        <v>45720</v>
      </c>
      <c r="E2408" s="60" t="s">
        <v>111</v>
      </c>
      <c r="F2408" s="82">
        <v>69.240600000000001</v>
      </c>
    </row>
    <row r="2409" spans="2:6" hidden="1" x14ac:dyDescent="0.25">
      <c r="B2409" s="51">
        <f>YEAR(BDRIOSJ[[#This Row],[FECHA]])</f>
        <v>2025</v>
      </c>
      <c r="C2409" s="51">
        <f>MONTH(BDRIOSJ[[#This Row],[FECHA]])</f>
        <v>3</v>
      </c>
      <c r="D2409" s="81">
        <v>45720</v>
      </c>
      <c r="E2409" s="60" t="s">
        <v>113</v>
      </c>
      <c r="F2409" s="82">
        <v>69.240600000000001</v>
      </c>
    </row>
    <row r="2410" spans="2:6" hidden="1" x14ac:dyDescent="0.25">
      <c r="B2410" s="51">
        <f>YEAR(BDRIOSJ[[#This Row],[FECHA]])</f>
        <v>2025</v>
      </c>
      <c r="C2410" s="51">
        <f>MONTH(BDRIOSJ[[#This Row],[FECHA]])</f>
        <v>3</v>
      </c>
      <c r="D2410" s="81">
        <v>45720</v>
      </c>
      <c r="E2410" s="60" t="s">
        <v>114</v>
      </c>
      <c r="F2410" s="82">
        <v>69.240600000000001</v>
      </c>
    </row>
    <row r="2411" spans="2:6" hidden="1" x14ac:dyDescent="0.25">
      <c r="B2411" s="51">
        <f>YEAR(BDRIOSJ[[#This Row],[FECHA]])</f>
        <v>2025</v>
      </c>
      <c r="C2411" s="51">
        <f>MONTH(BDRIOSJ[[#This Row],[FECHA]])</f>
        <v>3</v>
      </c>
      <c r="D2411" s="81">
        <v>45720</v>
      </c>
      <c r="E2411" s="60" t="s">
        <v>115</v>
      </c>
      <c r="F2411" s="65">
        <v>68.372200000000007</v>
      </c>
    </row>
    <row r="2412" spans="2:6" hidden="1" x14ac:dyDescent="0.25">
      <c r="B2412" s="52">
        <f>YEAR(BDRIOSJ[[#This Row],[FECHA]])</f>
        <v>2025</v>
      </c>
      <c r="C2412" s="52">
        <f>MONTH(BDRIOSJ[[#This Row],[FECHA]])</f>
        <v>3</v>
      </c>
      <c r="D2412" s="81">
        <v>45721</v>
      </c>
      <c r="E2412" s="60" t="s">
        <v>111</v>
      </c>
      <c r="F2412" s="82">
        <v>64.956999999999994</v>
      </c>
    </row>
    <row r="2413" spans="2:6" hidden="1" x14ac:dyDescent="0.25">
      <c r="B2413" s="51">
        <f>YEAR(BDRIOSJ[[#This Row],[FECHA]])</f>
        <v>2025</v>
      </c>
      <c r="C2413" s="51">
        <f>MONTH(BDRIOSJ[[#This Row],[FECHA]])</f>
        <v>3</v>
      </c>
      <c r="D2413" s="81">
        <v>45721</v>
      </c>
      <c r="E2413" s="60" t="s">
        <v>113</v>
      </c>
      <c r="F2413" s="65">
        <v>64.956999999999994</v>
      </c>
    </row>
    <row r="2414" spans="2:6" hidden="1" x14ac:dyDescent="0.25">
      <c r="B2414" s="51">
        <f>YEAR(BDRIOSJ[[#This Row],[FECHA]])</f>
        <v>2025</v>
      </c>
      <c r="C2414" s="51">
        <f>MONTH(BDRIOSJ[[#This Row],[FECHA]])</f>
        <v>3</v>
      </c>
      <c r="D2414" s="81">
        <v>45721</v>
      </c>
      <c r="E2414" s="60" t="s">
        <v>114</v>
      </c>
      <c r="F2414" s="65">
        <v>64.956999999999994</v>
      </c>
    </row>
    <row r="2415" spans="2:6" hidden="1" x14ac:dyDescent="0.25">
      <c r="B2415" s="51">
        <f>YEAR(BDRIOSJ[[#This Row],[FECHA]])</f>
        <v>2025</v>
      </c>
      <c r="C2415" s="51">
        <f>MONTH(BDRIOSJ[[#This Row],[FECHA]])</f>
        <v>3</v>
      </c>
      <c r="D2415" s="81">
        <v>45721</v>
      </c>
      <c r="E2415" s="60" t="s">
        <v>115</v>
      </c>
      <c r="F2415" s="65">
        <v>64.956999999999994</v>
      </c>
    </row>
    <row r="2416" spans="2:6" hidden="1" x14ac:dyDescent="0.25">
      <c r="B2416" s="52">
        <f>YEAR(BDRIOSJ[[#This Row],[FECHA]])</f>
        <v>2025</v>
      </c>
      <c r="C2416" s="52">
        <f>MONTH(BDRIOSJ[[#This Row],[FECHA]])</f>
        <v>3</v>
      </c>
      <c r="D2416" s="81">
        <v>45722</v>
      </c>
      <c r="E2416" s="60" t="s">
        <v>111</v>
      </c>
      <c r="F2416" s="128">
        <v>69.240600000000001</v>
      </c>
    </row>
    <row r="2417" spans="2:6" hidden="1" x14ac:dyDescent="0.25">
      <c r="B2417" s="51">
        <f>YEAR(BDRIOSJ[[#This Row],[FECHA]])</f>
        <v>2025</v>
      </c>
      <c r="C2417" s="51">
        <f>MONTH(BDRIOSJ[[#This Row],[FECHA]])</f>
        <v>3</v>
      </c>
      <c r="D2417" s="81">
        <v>45722</v>
      </c>
      <c r="E2417" s="60" t="s">
        <v>113</v>
      </c>
      <c r="F2417" s="128">
        <v>69.240600000000001</v>
      </c>
    </row>
    <row r="2418" spans="2:6" hidden="1" x14ac:dyDescent="0.25">
      <c r="B2418" s="51">
        <f>YEAR(BDRIOSJ[[#This Row],[FECHA]])</f>
        <v>2025</v>
      </c>
      <c r="C2418" s="51">
        <f>MONTH(BDRIOSJ[[#This Row],[FECHA]])</f>
        <v>3</v>
      </c>
      <c r="D2418" s="81">
        <v>45722</v>
      </c>
      <c r="E2418" s="60" t="s">
        <v>114</v>
      </c>
      <c r="F2418" s="128">
        <v>69.240600000000001</v>
      </c>
    </row>
    <row r="2419" spans="2:6" hidden="1" x14ac:dyDescent="0.25">
      <c r="B2419" s="51">
        <f>YEAR(BDRIOSJ[[#This Row],[FECHA]])</f>
        <v>2025</v>
      </c>
      <c r="C2419" s="51">
        <f>MONTH(BDRIOSJ[[#This Row],[FECHA]])</f>
        <v>3</v>
      </c>
      <c r="D2419" s="81">
        <v>45722</v>
      </c>
      <c r="E2419" s="60" t="s">
        <v>115</v>
      </c>
      <c r="F2419" s="128">
        <v>64.956999999999994</v>
      </c>
    </row>
    <row r="2420" spans="2:6" hidden="1" x14ac:dyDescent="0.25">
      <c r="B2420" s="51">
        <f>YEAR(BDRIOSJ[[#This Row],[FECHA]])</f>
        <v>2025</v>
      </c>
      <c r="C2420" s="51">
        <f>MONTH(BDRIOSJ[[#This Row],[FECHA]])</f>
        <v>3</v>
      </c>
      <c r="D2420" s="50">
        <v>45723</v>
      </c>
      <c r="E2420" s="60" t="s">
        <v>111</v>
      </c>
      <c r="F2420" s="128">
        <v>73.67</v>
      </c>
    </row>
    <row r="2421" spans="2:6" hidden="1" x14ac:dyDescent="0.25">
      <c r="B2421" s="51">
        <f>YEAR(BDRIOSJ[[#This Row],[FECHA]])</f>
        <v>2025</v>
      </c>
      <c r="C2421" s="51">
        <f>MONTH(BDRIOSJ[[#This Row],[FECHA]])</f>
        <v>3</v>
      </c>
      <c r="D2421" s="50">
        <v>45723</v>
      </c>
      <c r="E2421" s="60" t="s">
        <v>113</v>
      </c>
      <c r="F2421" s="128">
        <v>73.67</v>
      </c>
    </row>
    <row r="2422" spans="2:6" hidden="1" x14ac:dyDescent="0.25">
      <c r="B2422" s="51">
        <f>YEAR(BDRIOSJ[[#This Row],[FECHA]])</f>
        <v>2025</v>
      </c>
      <c r="C2422" s="51">
        <f>MONTH(BDRIOSJ[[#This Row],[FECHA]])</f>
        <v>3</v>
      </c>
      <c r="D2422" s="50">
        <v>45723</v>
      </c>
      <c r="E2422" s="60" t="s">
        <v>114</v>
      </c>
      <c r="F2422" s="128">
        <v>73.67</v>
      </c>
    </row>
    <row r="2423" spans="2:6" hidden="1" x14ac:dyDescent="0.25">
      <c r="B2423" s="51">
        <f>YEAR(BDRIOSJ[[#This Row],[FECHA]])</f>
        <v>2025</v>
      </c>
      <c r="C2423" s="51">
        <f>MONTH(BDRIOSJ[[#This Row],[FECHA]])</f>
        <v>3</v>
      </c>
      <c r="D2423" s="50">
        <v>45723</v>
      </c>
      <c r="E2423" s="60" t="s">
        <v>115</v>
      </c>
      <c r="F2423" s="128">
        <v>73.67</v>
      </c>
    </row>
    <row r="2424" spans="2:6" hidden="1" x14ac:dyDescent="0.25">
      <c r="B2424" s="51">
        <f>YEAR(BDRIOSJ[[#This Row],[FECHA]])</f>
        <v>2025</v>
      </c>
      <c r="C2424" s="51">
        <f>MONTH(BDRIOSJ[[#This Row],[FECHA]])</f>
        <v>3</v>
      </c>
      <c r="D2424" s="50">
        <v>45724</v>
      </c>
      <c r="E2424" s="60" t="s">
        <v>111</v>
      </c>
      <c r="F2424" s="128">
        <v>64.956999999999994</v>
      </c>
    </row>
    <row r="2425" spans="2:6" hidden="1" x14ac:dyDescent="0.25">
      <c r="B2425" s="51">
        <f>YEAR(BDRIOSJ[[#This Row],[FECHA]])</f>
        <v>2025</v>
      </c>
      <c r="C2425" s="51">
        <f>MONTH(BDRIOSJ[[#This Row],[FECHA]])</f>
        <v>3</v>
      </c>
      <c r="D2425" s="50">
        <v>45724</v>
      </c>
      <c r="E2425" s="60" t="s">
        <v>113</v>
      </c>
      <c r="F2425" s="128">
        <v>64.956999999999994</v>
      </c>
    </row>
    <row r="2426" spans="2:6" hidden="1" x14ac:dyDescent="0.25">
      <c r="B2426" s="51">
        <f>YEAR(BDRIOSJ[[#This Row],[FECHA]])</f>
        <v>2025</v>
      </c>
      <c r="C2426" s="51">
        <f>MONTH(BDRIOSJ[[#This Row],[FECHA]])</f>
        <v>3</v>
      </c>
      <c r="D2426" s="50">
        <v>45724</v>
      </c>
      <c r="E2426" s="60" t="s">
        <v>114</v>
      </c>
      <c r="F2426" s="128">
        <v>64.956999999999994</v>
      </c>
    </row>
    <row r="2427" spans="2:6" hidden="1" x14ac:dyDescent="0.25">
      <c r="B2427" s="51">
        <f>YEAR(BDRIOSJ[[#This Row],[FECHA]])</f>
        <v>2025</v>
      </c>
      <c r="C2427" s="51">
        <f>MONTH(BDRIOSJ[[#This Row],[FECHA]])</f>
        <v>3</v>
      </c>
      <c r="D2427" s="50">
        <v>45724</v>
      </c>
      <c r="E2427" s="60" t="s">
        <v>115</v>
      </c>
      <c r="F2427" s="128">
        <v>64.956999999999994</v>
      </c>
    </row>
    <row r="2428" spans="2:6" hidden="1" x14ac:dyDescent="0.25">
      <c r="B2428" s="51">
        <f>YEAR(BDRIOSJ[[#This Row],[FECHA]])</f>
        <v>2025</v>
      </c>
      <c r="C2428" s="51">
        <f>MONTH(BDRIOSJ[[#This Row],[FECHA]])</f>
        <v>3</v>
      </c>
      <c r="D2428" s="50">
        <v>45725</v>
      </c>
      <c r="E2428" s="60" t="s">
        <v>111</v>
      </c>
      <c r="F2428" s="128">
        <v>64.956999999999994</v>
      </c>
    </row>
    <row r="2429" spans="2:6" hidden="1" x14ac:dyDescent="0.25">
      <c r="B2429" s="51">
        <f>YEAR(BDRIOSJ[[#This Row],[FECHA]])</f>
        <v>2025</v>
      </c>
      <c r="C2429" s="51">
        <f>MONTH(BDRIOSJ[[#This Row],[FECHA]])</f>
        <v>3</v>
      </c>
      <c r="D2429" s="50">
        <v>45725</v>
      </c>
      <c r="E2429" s="60" t="s">
        <v>113</v>
      </c>
      <c r="F2429" s="128">
        <v>64.956999999999994</v>
      </c>
    </row>
    <row r="2430" spans="2:6" hidden="1" x14ac:dyDescent="0.25">
      <c r="B2430" s="51">
        <f>YEAR(BDRIOSJ[[#This Row],[FECHA]])</f>
        <v>2025</v>
      </c>
      <c r="C2430" s="51">
        <f>MONTH(BDRIOSJ[[#This Row],[FECHA]])</f>
        <v>3</v>
      </c>
      <c r="D2430" s="50">
        <v>45725</v>
      </c>
      <c r="E2430" s="60" t="s">
        <v>114</v>
      </c>
      <c r="F2430" s="65">
        <v>42.3185</v>
      </c>
    </row>
    <row r="2431" spans="2:6" hidden="1" x14ac:dyDescent="0.25">
      <c r="B2431" s="52">
        <f>YEAR(BDRIOSJ[[#This Row],[FECHA]])</f>
        <v>2025</v>
      </c>
      <c r="C2431" s="52">
        <f>MONTH(BDRIOSJ[[#This Row],[FECHA]])</f>
        <v>3</v>
      </c>
      <c r="D2431" s="50">
        <v>45725</v>
      </c>
      <c r="E2431" s="61" t="s">
        <v>115</v>
      </c>
      <c r="F2431" s="65">
        <v>42.3185</v>
      </c>
    </row>
    <row r="2432" spans="2:6" hidden="1" x14ac:dyDescent="0.25">
      <c r="B2432" s="51">
        <f>YEAR(BDRIOSJ[[#This Row],[FECHA]])</f>
        <v>2025</v>
      </c>
      <c r="C2432" s="51">
        <f>MONTH(BDRIOSJ[[#This Row],[FECHA]])</f>
        <v>3</v>
      </c>
      <c r="D2432" s="50">
        <v>45726</v>
      </c>
      <c r="E2432" s="60" t="s">
        <v>111</v>
      </c>
      <c r="F2432" s="65">
        <v>42.3185</v>
      </c>
    </row>
    <row r="2433" spans="2:6" hidden="1" x14ac:dyDescent="0.25">
      <c r="B2433" s="51">
        <f>YEAR(BDRIOSJ[[#This Row],[FECHA]])</f>
        <v>2025</v>
      </c>
      <c r="C2433" s="51">
        <f>MONTH(BDRIOSJ[[#This Row],[FECHA]])</f>
        <v>3</v>
      </c>
      <c r="D2433" s="50">
        <v>45726</v>
      </c>
      <c r="E2433" s="60" t="s">
        <v>113</v>
      </c>
      <c r="F2433" s="65">
        <v>42.3185</v>
      </c>
    </row>
    <row r="2434" spans="2:6" hidden="1" x14ac:dyDescent="0.25">
      <c r="B2434" s="51">
        <f>YEAR(BDRIOSJ[[#This Row],[FECHA]])</f>
        <v>2025</v>
      </c>
      <c r="C2434" s="51">
        <f>MONTH(BDRIOSJ[[#This Row],[FECHA]])</f>
        <v>3</v>
      </c>
      <c r="D2434" s="50">
        <v>45726</v>
      </c>
      <c r="E2434" s="60" t="s">
        <v>114</v>
      </c>
      <c r="F2434" s="65">
        <v>42.3185</v>
      </c>
    </row>
    <row r="2435" spans="2:6" hidden="1" x14ac:dyDescent="0.25">
      <c r="B2435" s="51">
        <f>YEAR(BDRIOSJ[[#This Row],[FECHA]])</f>
        <v>2025</v>
      </c>
      <c r="C2435" s="51">
        <f>MONTH(BDRIOSJ[[#This Row],[FECHA]])</f>
        <v>3</v>
      </c>
      <c r="D2435" s="50">
        <v>45726</v>
      </c>
      <c r="E2435" s="60" t="s">
        <v>115</v>
      </c>
      <c r="F2435" s="65">
        <v>42.3185</v>
      </c>
    </row>
    <row r="2436" spans="2:6" hidden="1" x14ac:dyDescent="0.25">
      <c r="B2436" s="51">
        <f>YEAR(BDRIOSJ[[#This Row],[FECHA]])</f>
        <v>2025</v>
      </c>
      <c r="C2436" s="51">
        <f>MONTH(BDRIOSJ[[#This Row],[FECHA]])</f>
        <v>3</v>
      </c>
      <c r="D2436" s="50">
        <v>45727</v>
      </c>
      <c r="E2436" s="60" t="s">
        <v>111</v>
      </c>
      <c r="F2436" s="65">
        <v>42.3185</v>
      </c>
    </row>
    <row r="2437" spans="2:6" hidden="1" x14ac:dyDescent="0.25">
      <c r="B2437" s="51">
        <f>YEAR(BDRIOSJ[[#This Row],[FECHA]])</f>
        <v>2025</v>
      </c>
      <c r="C2437" s="51">
        <f>MONTH(BDRIOSJ[[#This Row],[FECHA]])</f>
        <v>3</v>
      </c>
      <c r="D2437" s="50">
        <v>45727</v>
      </c>
      <c r="E2437" s="60" t="s">
        <v>113</v>
      </c>
      <c r="F2437" s="65">
        <v>42.3185</v>
      </c>
    </row>
    <row r="2438" spans="2:6" hidden="1" x14ac:dyDescent="0.25">
      <c r="B2438" s="51">
        <f>YEAR(BDRIOSJ[[#This Row],[FECHA]])</f>
        <v>2025</v>
      </c>
      <c r="C2438" s="51">
        <f>MONTH(BDRIOSJ[[#This Row],[FECHA]])</f>
        <v>3</v>
      </c>
      <c r="D2438" s="50">
        <v>45727</v>
      </c>
      <c r="E2438" s="60" t="s">
        <v>114</v>
      </c>
      <c r="F2438" s="65">
        <v>42.3185</v>
      </c>
    </row>
    <row r="2439" spans="2:6" hidden="1" x14ac:dyDescent="0.25">
      <c r="B2439" s="51">
        <f>YEAR(BDRIOSJ[[#This Row],[FECHA]])</f>
        <v>2025</v>
      </c>
      <c r="C2439" s="51">
        <f>MONTH(BDRIOSJ[[#This Row],[FECHA]])</f>
        <v>3</v>
      </c>
      <c r="D2439" s="50">
        <v>45727</v>
      </c>
      <c r="E2439" s="60" t="s">
        <v>115</v>
      </c>
      <c r="F2439" s="65">
        <v>42.3185</v>
      </c>
    </row>
    <row r="2440" spans="2:6" hidden="1" x14ac:dyDescent="0.25">
      <c r="B2440" s="51">
        <f>YEAR(BDRIOSJ[[#This Row],[FECHA]])</f>
        <v>2025</v>
      </c>
      <c r="C2440" s="51">
        <f>MONTH(BDRIOSJ[[#This Row],[FECHA]])</f>
        <v>3</v>
      </c>
      <c r="D2440" s="50">
        <v>45728</v>
      </c>
      <c r="E2440" s="60" t="s">
        <v>111</v>
      </c>
      <c r="F2440" s="65">
        <v>41.654299999999999</v>
      </c>
    </row>
    <row r="2441" spans="2:6" hidden="1" x14ac:dyDescent="0.25">
      <c r="B2441" s="51">
        <f>YEAR(BDRIOSJ[[#This Row],[FECHA]])</f>
        <v>2025</v>
      </c>
      <c r="C2441" s="51">
        <f>MONTH(BDRIOSJ[[#This Row],[FECHA]])</f>
        <v>3</v>
      </c>
      <c r="D2441" s="50">
        <v>45728</v>
      </c>
      <c r="E2441" s="60" t="s">
        <v>113</v>
      </c>
      <c r="F2441" s="65">
        <v>41.654299999999999</v>
      </c>
    </row>
    <row r="2442" spans="2:6" hidden="1" x14ac:dyDescent="0.25">
      <c r="B2442" s="51">
        <f>YEAR(BDRIOSJ[[#This Row],[FECHA]])</f>
        <v>2025</v>
      </c>
      <c r="C2442" s="51">
        <f>MONTH(BDRIOSJ[[#This Row],[FECHA]])</f>
        <v>3</v>
      </c>
      <c r="D2442" s="50">
        <v>45728</v>
      </c>
      <c r="E2442" s="60" t="s">
        <v>114</v>
      </c>
      <c r="F2442" s="65">
        <v>41.654299999999999</v>
      </c>
    </row>
    <row r="2443" spans="2:6" hidden="1" x14ac:dyDescent="0.25">
      <c r="B2443" s="52">
        <f>YEAR(BDRIOSJ[[#This Row],[FECHA]])</f>
        <v>2025</v>
      </c>
      <c r="C2443" s="52">
        <f>MONTH(BDRIOSJ[[#This Row],[FECHA]])</f>
        <v>3</v>
      </c>
      <c r="D2443" s="50">
        <v>45728</v>
      </c>
      <c r="E2443" s="61" t="s">
        <v>115</v>
      </c>
      <c r="F2443" s="82">
        <v>41.654299999999999</v>
      </c>
    </row>
    <row r="2444" spans="2:6" hidden="1" x14ac:dyDescent="0.25">
      <c r="B2444" s="51">
        <f>YEAR(BDRIOSJ[[#This Row],[FECHA]])</f>
        <v>2025</v>
      </c>
      <c r="C2444" s="51">
        <f>MONTH(BDRIOSJ[[#This Row],[FECHA]])</f>
        <v>3</v>
      </c>
      <c r="D2444" s="50">
        <v>45729</v>
      </c>
      <c r="E2444" s="60" t="s">
        <v>111</v>
      </c>
      <c r="F2444" s="127">
        <v>30.1434</v>
      </c>
    </row>
    <row r="2445" spans="2:6" hidden="1" x14ac:dyDescent="0.25">
      <c r="B2445" s="51">
        <f>YEAR(BDRIOSJ[[#This Row],[FECHA]])</f>
        <v>2025</v>
      </c>
      <c r="C2445" s="51">
        <f>MONTH(BDRIOSJ[[#This Row],[FECHA]])</f>
        <v>3</v>
      </c>
      <c r="D2445" s="50">
        <v>45729</v>
      </c>
      <c r="E2445" s="60" t="s">
        <v>113</v>
      </c>
      <c r="F2445" s="127">
        <v>24.931000000000001</v>
      </c>
    </row>
    <row r="2446" spans="2:6" hidden="1" x14ac:dyDescent="0.25">
      <c r="B2446" s="51">
        <f>YEAR(BDRIOSJ[[#This Row],[FECHA]])</f>
        <v>2025</v>
      </c>
      <c r="C2446" s="51">
        <f>MONTH(BDRIOSJ[[#This Row],[FECHA]])</f>
        <v>3</v>
      </c>
      <c r="D2446" s="50">
        <v>45729</v>
      </c>
      <c r="E2446" s="60" t="s">
        <v>114</v>
      </c>
      <c r="F2446" s="127">
        <v>24.931000000000001</v>
      </c>
    </row>
    <row r="2447" spans="2:6" hidden="1" x14ac:dyDescent="0.25">
      <c r="B2447" s="51">
        <f>YEAR(BDRIOSJ[[#This Row],[FECHA]])</f>
        <v>2025</v>
      </c>
      <c r="C2447" s="51">
        <f>MONTH(BDRIOSJ[[#This Row],[FECHA]])</f>
        <v>3</v>
      </c>
      <c r="D2447" s="50">
        <v>45729</v>
      </c>
      <c r="E2447" s="60" t="s">
        <v>115</v>
      </c>
      <c r="F2447" s="127">
        <v>24.931000000000001</v>
      </c>
    </row>
    <row r="2448" spans="2:6" hidden="1" x14ac:dyDescent="0.25">
      <c r="B2448" s="51">
        <f>YEAR(BDRIOSJ[[#This Row],[FECHA]])</f>
        <v>2025</v>
      </c>
      <c r="C2448" s="51">
        <f>MONTH(BDRIOSJ[[#This Row],[FECHA]])</f>
        <v>3</v>
      </c>
      <c r="D2448" s="50">
        <v>45730</v>
      </c>
      <c r="E2448" s="60" t="s">
        <v>111</v>
      </c>
      <c r="F2448" s="127">
        <v>17.018899999999999</v>
      </c>
    </row>
    <row r="2449" spans="2:6" hidden="1" x14ac:dyDescent="0.25">
      <c r="B2449" s="51">
        <f>YEAR(BDRIOSJ[[#This Row],[FECHA]])</f>
        <v>2025</v>
      </c>
      <c r="C2449" s="51">
        <f>MONTH(BDRIOSJ[[#This Row],[FECHA]])</f>
        <v>3</v>
      </c>
      <c r="D2449" s="50">
        <v>45730</v>
      </c>
      <c r="E2449" s="60" t="s">
        <v>113</v>
      </c>
      <c r="F2449" s="127">
        <v>17.018899999999999</v>
      </c>
    </row>
    <row r="2450" spans="2:6" hidden="1" x14ac:dyDescent="0.25">
      <c r="B2450" s="51">
        <f>YEAR(BDRIOSJ[[#This Row],[FECHA]])</f>
        <v>2025</v>
      </c>
      <c r="C2450" s="51">
        <f>MONTH(BDRIOSJ[[#This Row],[FECHA]])</f>
        <v>3</v>
      </c>
      <c r="D2450" s="50">
        <v>45730</v>
      </c>
      <c r="E2450" s="60" t="s">
        <v>114</v>
      </c>
      <c r="F2450" s="127">
        <v>16.256499999999999</v>
      </c>
    </row>
    <row r="2451" spans="2:6" hidden="1" x14ac:dyDescent="0.25">
      <c r="B2451" s="51">
        <f>YEAR(BDRIOSJ[[#This Row],[FECHA]])</f>
        <v>2025</v>
      </c>
      <c r="C2451" s="51">
        <f>MONTH(BDRIOSJ[[#This Row],[FECHA]])</f>
        <v>3</v>
      </c>
      <c r="D2451" s="50">
        <v>45730</v>
      </c>
      <c r="E2451" s="60" t="s">
        <v>115</v>
      </c>
      <c r="F2451" s="127">
        <v>16.256499999999999</v>
      </c>
    </row>
    <row r="2452" spans="2:6" hidden="1" x14ac:dyDescent="0.25">
      <c r="B2452" s="51">
        <f>YEAR(BDRIOSJ[[#This Row],[FECHA]])</f>
        <v>2025</v>
      </c>
      <c r="C2452" s="51">
        <f>MONTH(BDRIOSJ[[#This Row],[FECHA]])</f>
        <v>3</v>
      </c>
      <c r="D2452" s="50">
        <v>45731</v>
      </c>
      <c r="E2452" s="60" t="s">
        <v>111</v>
      </c>
      <c r="F2452" s="127">
        <v>49.281199999999998</v>
      </c>
    </row>
    <row r="2453" spans="2:6" hidden="1" x14ac:dyDescent="0.25">
      <c r="B2453" s="51">
        <f>YEAR(BDRIOSJ[[#This Row],[FECHA]])</f>
        <v>2025</v>
      </c>
      <c r="C2453" s="51">
        <f>MONTH(BDRIOSJ[[#This Row],[FECHA]])</f>
        <v>3</v>
      </c>
      <c r="D2453" s="50">
        <v>45731</v>
      </c>
      <c r="E2453" s="60" t="s">
        <v>113</v>
      </c>
      <c r="F2453" s="127">
        <v>49.281199999999998</v>
      </c>
    </row>
    <row r="2454" spans="2:6" hidden="1" x14ac:dyDescent="0.25">
      <c r="B2454" s="51">
        <f>YEAR(BDRIOSJ[[#This Row],[FECHA]])</f>
        <v>2025</v>
      </c>
      <c r="C2454" s="51">
        <f>MONTH(BDRIOSJ[[#This Row],[FECHA]])</f>
        <v>3</v>
      </c>
      <c r="D2454" s="50">
        <v>45731</v>
      </c>
      <c r="E2454" s="60" t="s">
        <v>114</v>
      </c>
      <c r="F2454" s="127">
        <v>45.726900000000001</v>
      </c>
    </row>
    <row r="2455" spans="2:6" hidden="1" x14ac:dyDescent="0.25">
      <c r="B2455" s="52">
        <f>YEAR(BDRIOSJ[[#This Row],[FECHA]])</f>
        <v>2025</v>
      </c>
      <c r="C2455" s="52">
        <f>MONTH(BDRIOSJ[[#This Row],[FECHA]])</f>
        <v>3</v>
      </c>
      <c r="D2455" s="50">
        <v>45731</v>
      </c>
      <c r="E2455" s="60" t="s">
        <v>115</v>
      </c>
      <c r="F2455" s="127">
        <v>45.726900000000001</v>
      </c>
    </row>
    <row r="2456" spans="2:6" hidden="1" x14ac:dyDescent="0.25">
      <c r="B2456" s="52">
        <f>YEAR(BDRIOSJ[[#This Row],[FECHA]])</f>
        <v>2025</v>
      </c>
      <c r="C2456" s="52">
        <f>MONTH(BDRIOSJ[[#This Row],[FECHA]])</f>
        <v>3</v>
      </c>
      <c r="D2456" s="81">
        <v>45732</v>
      </c>
      <c r="E2456" s="60" t="s">
        <v>111</v>
      </c>
      <c r="F2456" s="127">
        <v>60.819299999999998</v>
      </c>
    </row>
    <row r="2457" spans="2:6" hidden="1" x14ac:dyDescent="0.25">
      <c r="B2457" s="51">
        <f>YEAR(BDRIOSJ[[#This Row],[FECHA]])</f>
        <v>2025</v>
      </c>
      <c r="C2457" s="51">
        <f>MONTH(BDRIOSJ[[#This Row],[FECHA]])</f>
        <v>3</v>
      </c>
      <c r="D2457" s="81">
        <v>45732</v>
      </c>
      <c r="E2457" s="60" t="s">
        <v>113</v>
      </c>
      <c r="F2457" s="127">
        <v>60.819299999999998</v>
      </c>
    </row>
    <row r="2458" spans="2:6" hidden="1" x14ac:dyDescent="0.25">
      <c r="B2458" s="51">
        <f>YEAR(BDRIOSJ[[#This Row],[FECHA]])</f>
        <v>2025</v>
      </c>
      <c r="C2458" s="51">
        <f>MONTH(BDRIOSJ[[#This Row],[FECHA]])</f>
        <v>3</v>
      </c>
      <c r="D2458" s="81">
        <v>45732</v>
      </c>
      <c r="E2458" s="60" t="s">
        <v>114</v>
      </c>
      <c r="F2458" s="127">
        <v>60.819299999999998</v>
      </c>
    </row>
    <row r="2459" spans="2:6" hidden="1" x14ac:dyDescent="0.25">
      <c r="B2459" s="51">
        <f>YEAR(BDRIOSJ[[#This Row],[FECHA]])</f>
        <v>2025</v>
      </c>
      <c r="C2459" s="51">
        <f>MONTH(BDRIOSJ[[#This Row],[FECHA]])</f>
        <v>3</v>
      </c>
      <c r="D2459" s="81">
        <v>45732</v>
      </c>
      <c r="E2459" s="60" t="s">
        <v>115</v>
      </c>
      <c r="F2459" s="127">
        <v>60.819299999999998</v>
      </c>
    </row>
    <row r="2460" spans="2:6" hidden="1" x14ac:dyDescent="0.25">
      <c r="B2460" s="52">
        <f>YEAR(BDRIOSJ[[#This Row],[FECHA]])</f>
        <v>2025</v>
      </c>
      <c r="C2460" s="52">
        <f>MONTH(BDRIOSJ[[#This Row],[FECHA]])</f>
        <v>3</v>
      </c>
      <c r="D2460" s="81">
        <v>45733</v>
      </c>
      <c r="E2460" s="60" t="s">
        <v>111</v>
      </c>
      <c r="F2460" s="82">
        <v>42.3185</v>
      </c>
    </row>
    <row r="2461" spans="2:6" hidden="1" x14ac:dyDescent="0.25">
      <c r="B2461" s="51">
        <f>YEAR(BDRIOSJ[[#This Row],[FECHA]])</f>
        <v>2025</v>
      </c>
      <c r="C2461" s="51">
        <f>MONTH(BDRIOSJ[[#This Row],[FECHA]])</f>
        <v>3</v>
      </c>
      <c r="D2461" s="81">
        <v>45733</v>
      </c>
      <c r="E2461" s="60" t="s">
        <v>113</v>
      </c>
      <c r="F2461" s="65">
        <v>42.3185</v>
      </c>
    </row>
    <row r="2462" spans="2:6" hidden="1" x14ac:dyDescent="0.25">
      <c r="B2462" s="51">
        <f>YEAR(BDRIOSJ[[#This Row],[FECHA]])</f>
        <v>2025</v>
      </c>
      <c r="C2462" s="51">
        <f>MONTH(BDRIOSJ[[#This Row],[FECHA]])</f>
        <v>3</v>
      </c>
      <c r="D2462" s="81">
        <v>45733</v>
      </c>
      <c r="E2462" s="60" t="s">
        <v>114</v>
      </c>
      <c r="F2462" s="65">
        <v>40.343499999999999</v>
      </c>
    </row>
    <row r="2463" spans="2:6" hidden="1" x14ac:dyDescent="0.25">
      <c r="B2463" s="51">
        <f>YEAR(BDRIOSJ[[#This Row],[FECHA]])</f>
        <v>2025</v>
      </c>
      <c r="C2463" s="51">
        <f>MONTH(BDRIOSJ[[#This Row],[FECHA]])</f>
        <v>3</v>
      </c>
      <c r="D2463" s="81">
        <v>45733</v>
      </c>
      <c r="E2463" s="60" t="s">
        <v>115</v>
      </c>
      <c r="F2463" s="65">
        <v>39.055900000000001</v>
      </c>
    </row>
    <row r="2464" spans="2:6" hidden="1" x14ac:dyDescent="0.25">
      <c r="B2464" s="52">
        <f>YEAR(BDRIOSJ[[#This Row],[FECHA]])</f>
        <v>2025</v>
      </c>
      <c r="C2464" s="52">
        <f>MONTH(BDRIOSJ[[#This Row],[FECHA]])</f>
        <v>3</v>
      </c>
      <c r="D2464" s="81">
        <v>45734</v>
      </c>
      <c r="E2464" s="60" t="s">
        <v>111</v>
      </c>
      <c r="F2464" s="82">
        <v>52.981400000000001</v>
      </c>
    </row>
    <row r="2465" spans="2:6" hidden="1" x14ac:dyDescent="0.25">
      <c r="B2465" s="51">
        <f>YEAR(BDRIOSJ[[#This Row],[FECHA]])</f>
        <v>2025</v>
      </c>
      <c r="C2465" s="51">
        <f>MONTH(BDRIOSJ[[#This Row],[FECHA]])</f>
        <v>3</v>
      </c>
      <c r="D2465" s="81">
        <v>45734</v>
      </c>
      <c r="E2465" s="60" t="s">
        <v>113</v>
      </c>
      <c r="F2465" s="65">
        <v>52.981400000000001</v>
      </c>
    </row>
    <row r="2466" spans="2:6" hidden="1" x14ac:dyDescent="0.25">
      <c r="B2466" s="51">
        <f>YEAR(BDRIOSJ[[#This Row],[FECHA]])</f>
        <v>2025</v>
      </c>
      <c r="C2466" s="51">
        <f>MONTH(BDRIOSJ[[#This Row],[FECHA]])</f>
        <v>3</v>
      </c>
      <c r="D2466" s="81">
        <v>45734</v>
      </c>
      <c r="E2466" s="60" t="s">
        <v>114</v>
      </c>
      <c r="F2466" s="65">
        <v>52.981400000000001</v>
      </c>
    </row>
    <row r="2467" spans="2:6" hidden="1" x14ac:dyDescent="0.25">
      <c r="B2467" s="51">
        <f>YEAR(BDRIOSJ[[#This Row],[FECHA]])</f>
        <v>2025</v>
      </c>
      <c r="C2467" s="51">
        <f>MONTH(BDRIOSJ[[#This Row],[FECHA]])</f>
        <v>3</v>
      </c>
      <c r="D2467" s="81">
        <v>45734</v>
      </c>
      <c r="E2467" s="61" t="s">
        <v>115</v>
      </c>
      <c r="F2467" s="65">
        <v>49.281199999999998</v>
      </c>
    </row>
    <row r="2468" spans="2:6" hidden="1" x14ac:dyDescent="0.25">
      <c r="B2468" s="52">
        <f>YEAR(BDRIOSJ[[#This Row],[FECHA]])</f>
        <v>2025</v>
      </c>
      <c r="C2468" s="52">
        <f>MONTH(BDRIOSJ[[#This Row],[FECHA]])</f>
        <v>3</v>
      </c>
      <c r="D2468" s="81">
        <v>45735</v>
      </c>
      <c r="E2468" s="60" t="s">
        <v>111</v>
      </c>
      <c r="F2468" s="127">
        <v>75.482600000000005</v>
      </c>
    </row>
    <row r="2469" spans="2:6" hidden="1" x14ac:dyDescent="0.25">
      <c r="B2469" s="51">
        <f>YEAR(BDRIOSJ[[#This Row],[FECHA]])</f>
        <v>2025</v>
      </c>
      <c r="C2469" s="51">
        <f>MONTH(BDRIOSJ[[#This Row],[FECHA]])</f>
        <v>3</v>
      </c>
      <c r="D2469" s="81">
        <v>45735</v>
      </c>
      <c r="E2469" s="60" t="s">
        <v>113</v>
      </c>
      <c r="F2469" s="127">
        <v>75.482600000000005</v>
      </c>
    </row>
    <row r="2470" spans="2:6" hidden="1" x14ac:dyDescent="0.25">
      <c r="B2470" s="51">
        <f>YEAR(BDRIOSJ[[#This Row],[FECHA]])</f>
        <v>2025</v>
      </c>
      <c r="C2470" s="51">
        <f>MONTH(BDRIOSJ[[#This Row],[FECHA]])</f>
        <v>3</v>
      </c>
      <c r="D2470" s="81">
        <v>45735</v>
      </c>
      <c r="E2470" s="60" t="s">
        <v>114</v>
      </c>
      <c r="F2470" s="127">
        <v>75.482600000000005</v>
      </c>
    </row>
    <row r="2471" spans="2:6" hidden="1" x14ac:dyDescent="0.25">
      <c r="B2471" s="51">
        <f>YEAR(BDRIOSJ[[#This Row],[FECHA]])</f>
        <v>2025</v>
      </c>
      <c r="C2471" s="51">
        <f>MONTH(BDRIOSJ[[#This Row],[FECHA]])</f>
        <v>3</v>
      </c>
      <c r="D2471" s="81">
        <v>45735</v>
      </c>
      <c r="E2471" s="60" t="s">
        <v>115</v>
      </c>
      <c r="F2471" s="127">
        <v>73.67</v>
      </c>
    </row>
    <row r="2472" spans="2:6" hidden="1" x14ac:dyDescent="0.25">
      <c r="B2472" s="52">
        <f>YEAR(BDRIOSJ[[#This Row],[FECHA]])</f>
        <v>2025</v>
      </c>
      <c r="C2472" s="52">
        <f>MONTH(BDRIOSJ[[#This Row],[FECHA]])</f>
        <v>3</v>
      </c>
      <c r="D2472" s="81">
        <v>45736</v>
      </c>
      <c r="E2472" s="60" t="s">
        <v>111</v>
      </c>
      <c r="F2472" s="127">
        <v>73.67</v>
      </c>
    </row>
    <row r="2473" spans="2:6" hidden="1" x14ac:dyDescent="0.25">
      <c r="B2473" s="51">
        <f>YEAR(BDRIOSJ[[#This Row],[FECHA]])</f>
        <v>2025</v>
      </c>
      <c r="C2473" s="51">
        <f>MONTH(BDRIOSJ[[#This Row],[FECHA]])</f>
        <v>3</v>
      </c>
      <c r="D2473" s="81">
        <v>45736</v>
      </c>
      <c r="E2473" s="60" t="s">
        <v>113</v>
      </c>
      <c r="F2473" s="127">
        <v>73.67</v>
      </c>
    </row>
    <row r="2474" spans="2:6" hidden="1" x14ac:dyDescent="0.25">
      <c r="B2474" s="51">
        <f>YEAR(BDRIOSJ[[#This Row],[FECHA]])</f>
        <v>2025</v>
      </c>
      <c r="C2474" s="51">
        <f>MONTH(BDRIOSJ[[#This Row],[FECHA]])</f>
        <v>3</v>
      </c>
      <c r="D2474" s="81">
        <v>45736</v>
      </c>
      <c r="E2474" s="60" t="s">
        <v>114</v>
      </c>
      <c r="F2474" s="127">
        <v>73.67</v>
      </c>
    </row>
    <row r="2475" spans="2:6" hidden="1" x14ac:dyDescent="0.25">
      <c r="B2475" s="51">
        <f>YEAR(BDRIOSJ[[#This Row],[FECHA]])</f>
        <v>2025</v>
      </c>
      <c r="C2475" s="51">
        <f>MONTH(BDRIOSJ[[#This Row],[FECHA]])</f>
        <v>3</v>
      </c>
      <c r="D2475" s="81">
        <v>45736</v>
      </c>
      <c r="E2475" s="60" t="s">
        <v>115</v>
      </c>
      <c r="F2475" s="127">
        <v>73.67</v>
      </c>
    </row>
    <row r="2476" spans="2:6" hidden="1" x14ac:dyDescent="0.25">
      <c r="B2476" s="52">
        <f>YEAR(BDRIOSJ[[#This Row],[FECHA]])</f>
        <v>2025</v>
      </c>
      <c r="C2476" s="52">
        <f>MONTH(BDRIOSJ[[#This Row],[FECHA]])</f>
        <v>3</v>
      </c>
      <c r="D2476" s="81">
        <v>45737</v>
      </c>
      <c r="E2476" s="60" t="s">
        <v>111</v>
      </c>
      <c r="F2476" s="127">
        <v>49.281199999999998</v>
      </c>
    </row>
    <row r="2477" spans="2:6" hidden="1" x14ac:dyDescent="0.25">
      <c r="B2477" s="51">
        <f>YEAR(BDRIOSJ[[#This Row],[FECHA]])</f>
        <v>2025</v>
      </c>
      <c r="C2477" s="51">
        <f>MONTH(BDRIOSJ[[#This Row],[FECHA]])</f>
        <v>3</v>
      </c>
      <c r="D2477" s="81">
        <v>45737</v>
      </c>
      <c r="E2477" s="60" t="s">
        <v>113</v>
      </c>
      <c r="F2477" s="127">
        <v>49.281199999999998</v>
      </c>
    </row>
    <row r="2478" spans="2:6" hidden="1" x14ac:dyDescent="0.25">
      <c r="B2478" s="51">
        <f>YEAR(BDRIOSJ[[#This Row],[FECHA]])</f>
        <v>2025</v>
      </c>
      <c r="C2478" s="51">
        <f>MONTH(BDRIOSJ[[#This Row],[FECHA]])</f>
        <v>3</v>
      </c>
      <c r="D2478" s="81">
        <v>45737</v>
      </c>
      <c r="E2478" s="60" t="s">
        <v>114</v>
      </c>
      <c r="F2478" s="127">
        <v>49.281199999999998</v>
      </c>
    </row>
    <row r="2479" spans="2:6" hidden="1" x14ac:dyDescent="0.25">
      <c r="B2479" s="51">
        <f>YEAR(BDRIOSJ[[#This Row],[FECHA]])</f>
        <v>2025</v>
      </c>
      <c r="C2479" s="51">
        <f>MONTH(BDRIOSJ[[#This Row],[FECHA]])</f>
        <v>3</v>
      </c>
      <c r="D2479" s="81">
        <v>45737</v>
      </c>
      <c r="E2479" s="60" t="s">
        <v>115</v>
      </c>
      <c r="F2479" s="127">
        <v>49.281199999999998</v>
      </c>
    </row>
    <row r="2480" spans="2:6" hidden="1" x14ac:dyDescent="0.25">
      <c r="B2480" s="52">
        <f>YEAR(BDRIOSJ[[#This Row],[FECHA]])</f>
        <v>2025</v>
      </c>
      <c r="C2480" s="52">
        <f>MONTH(BDRIOSJ[[#This Row],[FECHA]])</f>
        <v>3</v>
      </c>
      <c r="D2480" s="81">
        <v>45738</v>
      </c>
      <c r="E2480" s="60" t="s">
        <v>111</v>
      </c>
      <c r="F2480" s="127">
        <v>42.3185</v>
      </c>
    </row>
    <row r="2481" spans="2:6" hidden="1" x14ac:dyDescent="0.25">
      <c r="B2481" s="51">
        <f>YEAR(BDRIOSJ[[#This Row],[FECHA]])</f>
        <v>2025</v>
      </c>
      <c r="C2481" s="51">
        <f>MONTH(BDRIOSJ[[#This Row],[FECHA]])</f>
        <v>3</v>
      </c>
      <c r="D2481" s="81">
        <v>45738</v>
      </c>
      <c r="E2481" s="60" t="s">
        <v>113</v>
      </c>
      <c r="F2481" s="127">
        <v>42.3185</v>
      </c>
    </row>
    <row r="2482" spans="2:6" hidden="1" x14ac:dyDescent="0.25">
      <c r="B2482" s="51">
        <f>YEAR(BDRIOSJ[[#This Row],[FECHA]])</f>
        <v>2025</v>
      </c>
      <c r="C2482" s="51">
        <f>MONTH(BDRIOSJ[[#This Row],[FECHA]])</f>
        <v>3</v>
      </c>
      <c r="D2482" s="81">
        <v>45738</v>
      </c>
      <c r="E2482" s="60" t="s">
        <v>114</v>
      </c>
      <c r="F2482" s="127">
        <v>40.996000000000002</v>
      </c>
    </row>
    <row r="2483" spans="2:6" hidden="1" x14ac:dyDescent="0.25">
      <c r="B2483" s="51">
        <f>YEAR(BDRIOSJ[[#This Row],[FECHA]])</f>
        <v>2025</v>
      </c>
      <c r="C2483" s="51">
        <f>MONTH(BDRIOSJ[[#This Row],[FECHA]])</f>
        <v>3</v>
      </c>
      <c r="D2483" s="81">
        <v>45738</v>
      </c>
      <c r="E2483" s="60" t="s">
        <v>115</v>
      </c>
      <c r="F2483" s="127">
        <v>40.996000000000002</v>
      </c>
    </row>
    <row r="2484" spans="2:6" hidden="1" x14ac:dyDescent="0.25">
      <c r="B2484" s="52">
        <f>YEAR(BDRIOSJ[[#This Row],[FECHA]])</f>
        <v>2025</v>
      </c>
      <c r="C2484" s="52">
        <f>MONTH(BDRIOSJ[[#This Row],[FECHA]])</f>
        <v>3</v>
      </c>
      <c r="D2484" s="81">
        <v>45739</v>
      </c>
      <c r="E2484" s="60" t="s">
        <v>111</v>
      </c>
      <c r="F2484" s="127">
        <v>42.3185</v>
      </c>
    </row>
    <row r="2485" spans="2:6" hidden="1" x14ac:dyDescent="0.25">
      <c r="B2485" s="51">
        <f>YEAR(BDRIOSJ[[#This Row],[FECHA]])</f>
        <v>2025</v>
      </c>
      <c r="C2485" s="51">
        <f>MONTH(BDRIOSJ[[#This Row],[FECHA]])</f>
        <v>3</v>
      </c>
      <c r="D2485" s="81">
        <v>45739</v>
      </c>
      <c r="E2485" s="60" t="s">
        <v>113</v>
      </c>
      <c r="F2485" s="127">
        <v>42.3185</v>
      </c>
    </row>
    <row r="2486" spans="2:6" hidden="1" x14ac:dyDescent="0.25">
      <c r="B2486" s="51">
        <f>YEAR(BDRIOSJ[[#This Row],[FECHA]])</f>
        <v>2025</v>
      </c>
      <c r="C2486" s="51">
        <f>MONTH(BDRIOSJ[[#This Row],[FECHA]])</f>
        <v>3</v>
      </c>
      <c r="D2486" s="81">
        <v>45739</v>
      </c>
      <c r="E2486" s="60" t="s">
        <v>114</v>
      </c>
      <c r="F2486" s="127">
        <v>42.3185</v>
      </c>
    </row>
    <row r="2487" spans="2:6" hidden="1" x14ac:dyDescent="0.25">
      <c r="B2487" s="51">
        <f>YEAR(BDRIOSJ[[#This Row],[FECHA]])</f>
        <v>2025</v>
      </c>
      <c r="C2487" s="51">
        <f>MONTH(BDRIOSJ[[#This Row],[FECHA]])</f>
        <v>3</v>
      </c>
      <c r="D2487" s="81">
        <v>45739</v>
      </c>
      <c r="E2487" s="60" t="s">
        <v>115</v>
      </c>
      <c r="F2487" s="127">
        <v>39.696800000000003</v>
      </c>
    </row>
    <row r="2488" spans="2:6" hidden="1" x14ac:dyDescent="0.25">
      <c r="B2488" s="52">
        <f>YEAR(BDRIOSJ[[#This Row],[FECHA]])</f>
        <v>2025</v>
      </c>
      <c r="C2488" s="52">
        <f>MONTH(BDRIOSJ[[#This Row],[FECHA]])</f>
        <v>3</v>
      </c>
      <c r="D2488" s="81">
        <v>45740</v>
      </c>
      <c r="E2488" s="60" t="s">
        <v>111</v>
      </c>
      <c r="F2488" s="127">
        <v>42.3185</v>
      </c>
    </row>
    <row r="2489" spans="2:6" hidden="1" x14ac:dyDescent="0.25">
      <c r="B2489" s="51">
        <f>YEAR(BDRIOSJ[[#This Row],[FECHA]])</f>
        <v>2025</v>
      </c>
      <c r="C2489" s="51">
        <f>MONTH(BDRIOSJ[[#This Row],[FECHA]])</f>
        <v>3</v>
      </c>
      <c r="D2489" s="81">
        <v>45740</v>
      </c>
      <c r="E2489" s="60" t="s">
        <v>113</v>
      </c>
      <c r="F2489" s="127">
        <v>42.3185</v>
      </c>
    </row>
    <row r="2490" spans="2:6" hidden="1" x14ac:dyDescent="0.25">
      <c r="B2490" s="51">
        <f>YEAR(BDRIOSJ[[#This Row],[FECHA]])</f>
        <v>2025</v>
      </c>
      <c r="C2490" s="51">
        <f>MONTH(BDRIOSJ[[#This Row],[FECHA]])</f>
        <v>3</v>
      </c>
      <c r="D2490" s="81">
        <v>45740</v>
      </c>
      <c r="E2490" s="60" t="s">
        <v>114</v>
      </c>
      <c r="F2490" s="127">
        <v>42.3185</v>
      </c>
    </row>
    <row r="2491" spans="2:6" hidden="1" x14ac:dyDescent="0.25">
      <c r="B2491" s="51">
        <f>YEAR(BDRIOSJ[[#This Row],[FECHA]])</f>
        <v>2025</v>
      </c>
      <c r="C2491" s="51">
        <f>MONTH(BDRIOSJ[[#This Row],[FECHA]])</f>
        <v>3</v>
      </c>
      <c r="D2491" s="81">
        <v>45740</v>
      </c>
      <c r="E2491" s="60" t="s">
        <v>115</v>
      </c>
      <c r="F2491" s="127">
        <v>42.3185</v>
      </c>
    </row>
    <row r="2492" spans="2:6" hidden="1" x14ac:dyDescent="0.25">
      <c r="B2492" s="52">
        <f>YEAR(BDRIOSJ[[#This Row],[FECHA]])</f>
        <v>2025</v>
      </c>
      <c r="C2492" s="52">
        <f>MONTH(BDRIOSJ[[#This Row],[FECHA]])</f>
        <v>3</v>
      </c>
      <c r="D2492" s="81">
        <v>45741</v>
      </c>
      <c r="E2492" s="60" t="s">
        <v>111</v>
      </c>
      <c r="F2492" s="127">
        <v>49.281199999999998</v>
      </c>
    </row>
    <row r="2493" spans="2:6" hidden="1" x14ac:dyDescent="0.25">
      <c r="B2493" s="52">
        <f>YEAR(BDRIOSJ[[#This Row],[FECHA]])</f>
        <v>2025</v>
      </c>
      <c r="C2493" s="52">
        <f>MONTH(BDRIOSJ[[#This Row],[FECHA]])</f>
        <v>3</v>
      </c>
      <c r="D2493" s="81">
        <v>45741</v>
      </c>
      <c r="E2493" s="60" t="s">
        <v>113</v>
      </c>
      <c r="F2493" s="127">
        <v>49.281199999999998</v>
      </c>
    </row>
    <row r="2494" spans="2:6" hidden="1" x14ac:dyDescent="0.25">
      <c r="B2494" s="51">
        <f>YEAR(BDRIOSJ[[#This Row],[FECHA]])</f>
        <v>2025</v>
      </c>
      <c r="C2494" s="51">
        <f>MONTH(BDRIOSJ[[#This Row],[FECHA]])</f>
        <v>3</v>
      </c>
      <c r="D2494" s="81">
        <v>45741</v>
      </c>
      <c r="E2494" s="60" t="s">
        <v>114</v>
      </c>
      <c r="F2494" s="127">
        <v>46.426099999999998</v>
      </c>
    </row>
    <row r="2495" spans="2:6" hidden="1" x14ac:dyDescent="0.25">
      <c r="B2495" s="52">
        <f>YEAR(BDRIOSJ[[#This Row],[FECHA]])</f>
        <v>2025</v>
      </c>
      <c r="C2495" s="52">
        <f>MONTH(BDRIOSJ[[#This Row],[FECHA]])</f>
        <v>3</v>
      </c>
      <c r="D2495" s="81">
        <v>45741</v>
      </c>
      <c r="E2495" s="60" t="s">
        <v>115</v>
      </c>
      <c r="F2495" s="82">
        <v>46.426099999999998</v>
      </c>
    </row>
    <row r="2496" spans="2:6" hidden="1" x14ac:dyDescent="0.25">
      <c r="B2496" s="52">
        <f>YEAR(BDRIOSJ[[#This Row],[FECHA]])</f>
        <v>2025</v>
      </c>
      <c r="C2496" s="52">
        <f>MONTH(BDRIOSJ[[#This Row],[FECHA]])</f>
        <v>3</v>
      </c>
      <c r="D2496" s="81">
        <v>45742</v>
      </c>
      <c r="E2496" s="60" t="s">
        <v>111</v>
      </c>
      <c r="F2496" s="82">
        <v>50.7438</v>
      </c>
    </row>
    <row r="2497" spans="2:6" hidden="1" x14ac:dyDescent="0.25">
      <c r="B2497" s="51">
        <f>YEAR(BDRIOSJ[[#This Row],[FECHA]])</f>
        <v>2025</v>
      </c>
      <c r="C2497" s="51">
        <f>MONTH(BDRIOSJ[[#This Row],[FECHA]])</f>
        <v>3</v>
      </c>
      <c r="D2497" s="81">
        <v>45742</v>
      </c>
      <c r="E2497" s="60" t="s">
        <v>113</v>
      </c>
      <c r="F2497" s="65">
        <v>50.7438</v>
      </c>
    </row>
    <row r="2498" spans="2:6" hidden="1" x14ac:dyDescent="0.25">
      <c r="B2498" s="51">
        <f>YEAR(BDRIOSJ[[#This Row],[FECHA]])</f>
        <v>2025</v>
      </c>
      <c r="C2498" s="51">
        <f>MONTH(BDRIOSJ[[#This Row],[FECHA]])</f>
        <v>3</v>
      </c>
      <c r="D2498" s="81">
        <v>45742</v>
      </c>
      <c r="E2498" s="60" t="s">
        <v>114</v>
      </c>
      <c r="F2498" s="65">
        <v>49.281199999999998</v>
      </c>
    </row>
    <row r="2499" spans="2:6" hidden="1" x14ac:dyDescent="0.25">
      <c r="B2499" s="51">
        <f>YEAR(BDRIOSJ[[#This Row],[FECHA]])</f>
        <v>2025</v>
      </c>
      <c r="C2499" s="51">
        <f>MONTH(BDRIOSJ[[#This Row],[FECHA]])</f>
        <v>3</v>
      </c>
      <c r="D2499" s="81">
        <v>45742</v>
      </c>
      <c r="E2499" s="60" t="s">
        <v>115</v>
      </c>
      <c r="F2499" s="65">
        <v>49.281199999999998</v>
      </c>
    </row>
    <row r="2500" spans="2:6" hidden="1" x14ac:dyDescent="0.25">
      <c r="B2500" s="52">
        <f>YEAR(BDRIOSJ[[#This Row],[FECHA]])</f>
        <v>2025</v>
      </c>
      <c r="C2500" s="52">
        <f>MONTH(BDRIOSJ[[#This Row],[FECHA]])</f>
        <v>3</v>
      </c>
      <c r="D2500" s="81">
        <v>45743</v>
      </c>
      <c r="E2500" s="60" t="s">
        <v>111</v>
      </c>
      <c r="F2500" s="82">
        <v>43.664400000000001</v>
      </c>
    </row>
    <row r="2501" spans="2:6" hidden="1" x14ac:dyDescent="0.25">
      <c r="B2501" s="51">
        <f>YEAR(BDRIOSJ[[#This Row],[FECHA]])</f>
        <v>2025</v>
      </c>
      <c r="C2501" s="51">
        <f>MONTH(BDRIOSJ[[#This Row],[FECHA]])</f>
        <v>3</v>
      </c>
      <c r="D2501" s="81">
        <v>45743</v>
      </c>
      <c r="E2501" s="60" t="s">
        <v>113</v>
      </c>
      <c r="F2501" s="65">
        <v>43.664400000000001</v>
      </c>
    </row>
    <row r="2502" spans="2:6" hidden="1" x14ac:dyDescent="0.25">
      <c r="B2502" s="51">
        <f>YEAR(BDRIOSJ[[#This Row],[FECHA]])</f>
        <v>2025</v>
      </c>
      <c r="C2502" s="51">
        <f>MONTH(BDRIOSJ[[#This Row],[FECHA]])</f>
        <v>3</v>
      </c>
      <c r="D2502" s="81">
        <v>45743</v>
      </c>
      <c r="E2502" s="60" t="s">
        <v>114</v>
      </c>
      <c r="F2502" s="65">
        <v>43.664400000000001</v>
      </c>
    </row>
    <row r="2503" spans="2:6" hidden="1" x14ac:dyDescent="0.25">
      <c r="B2503" s="51">
        <f>YEAR(BDRIOSJ[[#This Row],[FECHA]])</f>
        <v>2025</v>
      </c>
      <c r="C2503" s="51">
        <f>MONTH(BDRIOSJ[[#This Row],[FECHA]])</f>
        <v>3</v>
      </c>
      <c r="D2503" s="81">
        <v>45743</v>
      </c>
      <c r="E2503" s="61" t="s">
        <v>115</v>
      </c>
      <c r="F2503" s="65">
        <v>43.664400000000001</v>
      </c>
    </row>
    <row r="2504" spans="2:6" hidden="1" x14ac:dyDescent="0.25">
      <c r="B2504" s="52">
        <f>YEAR(BDRIOSJ[[#This Row],[FECHA]])</f>
        <v>2025</v>
      </c>
      <c r="C2504" s="52">
        <f>MONTH(BDRIOSJ[[#This Row],[FECHA]])</f>
        <v>3</v>
      </c>
      <c r="D2504" s="81">
        <v>45744</v>
      </c>
      <c r="E2504" s="60" t="s">
        <v>111</v>
      </c>
      <c r="F2504" s="82">
        <v>64.956999999999994</v>
      </c>
    </row>
    <row r="2505" spans="2:6" hidden="1" x14ac:dyDescent="0.25">
      <c r="B2505" s="51">
        <f>YEAR(BDRIOSJ[[#This Row],[FECHA]])</f>
        <v>2025</v>
      </c>
      <c r="C2505" s="51">
        <f>MONTH(BDRIOSJ[[#This Row],[FECHA]])</f>
        <v>3</v>
      </c>
      <c r="D2505" s="81">
        <v>45744</v>
      </c>
      <c r="E2505" s="60" t="s">
        <v>113</v>
      </c>
      <c r="F2505" s="65">
        <v>64.956999999999994</v>
      </c>
    </row>
    <row r="2506" spans="2:6" hidden="1" x14ac:dyDescent="0.25">
      <c r="B2506" s="51">
        <f>YEAR(BDRIOSJ[[#This Row],[FECHA]])</f>
        <v>2025</v>
      </c>
      <c r="C2506" s="51">
        <f>MONTH(BDRIOSJ[[#This Row],[FECHA]])</f>
        <v>3</v>
      </c>
      <c r="D2506" s="81">
        <v>45744</v>
      </c>
      <c r="E2506" s="60" t="s">
        <v>114</v>
      </c>
      <c r="F2506" s="65">
        <v>60.819299999999998</v>
      </c>
    </row>
    <row r="2507" spans="2:6" hidden="1" x14ac:dyDescent="0.25">
      <c r="B2507" s="51">
        <f>YEAR(BDRIOSJ[[#This Row],[FECHA]])</f>
        <v>2025</v>
      </c>
      <c r="C2507" s="51">
        <f>MONTH(BDRIOSJ[[#This Row],[FECHA]])</f>
        <v>3</v>
      </c>
      <c r="D2507" s="81">
        <v>45744</v>
      </c>
      <c r="E2507" s="60" t="s">
        <v>115</v>
      </c>
      <c r="F2507" s="65">
        <v>60.819299999999998</v>
      </c>
    </row>
    <row r="2508" spans="2:6" hidden="1" x14ac:dyDescent="0.25">
      <c r="B2508" s="52">
        <f>YEAR(BDRIOSJ[[#This Row],[FECHA]])</f>
        <v>2025</v>
      </c>
      <c r="C2508" s="52">
        <f>MONTH(BDRIOSJ[[#This Row],[FECHA]])</f>
        <v>3</v>
      </c>
      <c r="D2508" s="81">
        <v>45745</v>
      </c>
      <c r="E2508" s="60" t="s">
        <v>111</v>
      </c>
      <c r="F2508" s="82">
        <v>49.281199999999998</v>
      </c>
    </row>
    <row r="2509" spans="2:6" hidden="1" x14ac:dyDescent="0.25">
      <c r="B2509" s="51">
        <f>YEAR(BDRIOSJ[[#This Row],[FECHA]])</f>
        <v>2025</v>
      </c>
      <c r="C2509" s="51">
        <f>MONTH(BDRIOSJ[[#This Row],[FECHA]])</f>
        <v>3</v>
      </c>
      <c r="D2509" s="81">
        <v>45745</v>
      </c>
      <c r="E2509" s="60" t="s">
        <v>113</v>
      </c>
      <c r="F2509" s="65">
        <v>49.281199999999998</v>
      </c>
    </row>
    <row r="2510" spans="2:6" hidden="1" x14ac:dyDescent="0.25">
      <c r="B2510" s="51">
        <f>YEAR(BDRIOSJ[[#This Row],[FECHA]])</f>
        <v>2025</v>
      </c>
      <c r="C2510" s="51">
        <f>MONTH(BDRIOSJ[[#This Row],[FECHA]])</f>
        <v>3</v>
      </c>
      <c r="D2510" s="81">
        <v>45745</v>
      </c>
      <c r="E2510" s="60" t="s">
        <v>114</v>
      </c>
      <c r="F2510" s="65">
        <v>49.281199999999998</v>
      </c>
    </row>
    <row r="2511" spans="2:6" hidden="1" x14ac:dyDescent="0.25">
      <c r="B2511" s="51">
        <f>YEAR(BDRIOSJ[[#This Row],[FECHA]])</f>
        <v>2025</v>
      </c>
      <c r="C2511" s="51">
        <f>MONTH(BDRIOSJ[[#This Row],[FECHA]])</f>
        <v>3</v>
      </c>
      <c r="D2511" s="81">
        <v>45745</v>
      </c>
      <c r="E2511" s="60" t="s">
        <v>115</v>
      </c>
      <c r="F2511" s="65">
        <v>49.281199999999998</v>
      </c>
    </row>
    <row r="2512" spans="2:6" hidden="1" x14ac:dyDescent="0.25">
      <c r="B2512" s="52">
        <f>YEAR(BDRIOSJ[[#This Row],[FECHA]])</f>
        <v>2025</v>
      </c>
      <c r="C2512" s="52">
        <f>MONTH(BDRIOSJ[[#This Row],[FECHA]])</f>
        <v>3</v>
      </c>
      <c r="D2512" s="81">
        <v>45746</v>
      </c>
      <c r="E2512" s="60" t="s">
        <v>111</v>
      </c>
      <c r="F2512" s="82">
        <v>76.3977</v>
      </c>
    </row>
    <row r="2513" spans="2:6" hidden="1" x14ac:dyDescent="0.25">
      <c r="B2513" s="51">
        <f>YEAR(BDRIOSJ[[#This Row],[FECHA]])</f>
        <v>2025</v>
      </c>
      <c r="C2513" s="51">
        <f>MONTH(BDRIOSJ[[#This Row],[FECHA]])</f>
        <v>3</v>
      </c>
      <c r="D2513" s="81">
        <v>45746</v>
      </c>
      <c r="E2513" s="60" t="s">
        <v>113</v>
      </c>
      <c r="F2513" s="65">
        <v>73.67</v>
      </c>
    </row>
    <row r="2514" spans="2:6" hidden="1" x14ac:dyDescent="0.25">
      <c r="B2514" s="51">
        <f>YEAR(BDRIOSJ[[#This Row],[FECHA]])</f>
        <v>2025</v>
      </c>
      <c r="C2514" s="51">
        <f>MONTH(BDRIOSJ[[#This Row],[FECHA]])</f>
        <v>3</v>
      </c>
      <c r="D2514" s="81">
        <v>45746</v>
      </c>
      <c r="E2514" s="60" t="s">
        <v>114</v>
      </c>
      <c r="F2514" s="65">
        <v>73.67</v>
      </c>
    </row>
    <row r="2515" spans="2:6" hidden="1" x14ac:dyDescent="0.25">
      <c r="B2515" s="51">
        <f>YEAR(BDRIOSJ[[#This Row],[FECHA]])</f>
        <v>2025</v>
      </c>
      <c r="C2515" s="51">
        <f>MONTH(BDRIOSJ[[#This Row],[FECHA]])</f>
        <v>3</v>
      </c>
      <c r="D2515" s="81">
        <v>45746</v>
      </c>
      <c r="E2515" s="61" t="s">
        <v>115</v>
      </c>
      <c r="F2515" s="65">
        <v>73.67</v>
      </c>
    </row>
    <row r="2516" spans="2:6" hidden="1" x14ac:dyDescent="0.25">
      <c r="B2516" s="52">
        <f>YEAR(BDRIOSJ[[#This Row],[FECHA]])</f>
        <v>2025</v>
      </c>
      <c r="C2516" s="52">
        <f>MONTH(BDRIOSJ[[#This Row],[FECHA]])</f>
        <v>3</v>
      </c>
      <c r="D2516" s="81">
        <v>45747</v>
      </c>
      <c r="E2516" s="60" t="s">
        <v>111</v>
      </c>
      <c r="F2516" s="82">
        <v>50.7438</v>
      </c>
    </row>
    <row r="2517" spans="2:6" hidden="1" x14ac:dyDescent="0.25">
      <c r="B2517" s="51">
        <f>YEAR(BDRIOSJ[[#This Row],[FECHA]])</f>
        <v>2025</v>
      </c>
      <c r="C2517" s="51">
        <f>MONTH(BDRIOSJ[[#This Row],[FECHA]])</f>
        <v>3</v>
      </c>
      <c r="D2517" s="81">
        <v>45747</v>
      </c>
      <c r="E2517" s="60" t="s">
        <v>113</v>
      </c>
      <c r="F2517" s="65">
        <v>50.7438</v>
      </c>
    </row>
    <row r="2518" spans="2:6" hidden="1" x14ac:dyDescent="0.25">
      <c r="B2518" s="51">
        <f>YEAR(BDRIOSJ[[#This Row],[FECHA]])</f>
        <v>2025</v>
      </c>
      <c r="C2518" s="51">
        <f>MONTH(BDRIOSJ[[#This Row],[FECHA]])</f>
        <v>3</v>
      </c>
      <c r="D2518" s="81">
        <v>45747</v>
      </c>
      <c r="E2518" s="60" t="s">
        <v>114</v>
      </c>
      <c r="F2518" s="65">
        <v>49.281199999999998</v>
      </c>
    </row>
    <row r="2519" spans="2:6" hidden="1" x14ac:dyDescent="0.25">
      <c r="B2519" s="51">
        <f>YEAR(BDRIOSJ[[#This Row],[FECHA]])</f>
        <v>2025</v>
      </c>
      <c r="C2519" s="51">
        <f>MONTH(BDRIOSJ[[#This Row],[FECHA]])</f>
        <v>3</v>
      </c>
      <c r="D2519" s="81">
        <v>45747</v>
      </c>
      <c r="E2519" s="61" t="s">
        <v>115</v>
      </c>
      <c r="F2519" s="65">
        <v>49.281199999999998</v>
      </c>
    </row>
    <row r="2520" spans="2:6" hidden="1" x14ac:dyDescent="0.25">
      <c r="B2520" s="52">
        <f>YEAR(BDRIOSJ[[#This Row],[FECHA]])</f>
        <v>2025</v>
      </c>
      <c r="C2520" s="52">
        <f>MONTH(BDRIOSJ[[#This Row],[FECHA]])</f>
        <v>4</v>
      </c>
      <c r="D2520" s="81">
        <v>45748</v>
      </c>
      <c r="E2520" s="60" t="s">
        <v>111</v>
      </c>
      <c r="F2520" s="82">
        <v>49.281199999999998</v>
      </c>
    </row>
    <row r="2521" spans="2:6" hidden="1" x14ac:dyDescent="0.25">
      <c r="B2521" s="51">
        <f>YEAR(BDRIOSJ[[#This Row],[FECHA]])</f>
        <v>2025</v>
      </c>
      <c r="C2521" s="51">
        <f>MONTH(BDRIOSJ[[#This Row],[FECHA]])</f>
        <v>4</v>
      </c>
      <c r="D2521" s="81">
        <v>45748</v>
      </c>
      <c r="E2521" s="60" t="s">
        <v>113</v>
      </c>
      <c r="F2521" s="65">
        <v>49.281199999999998</v>
      </c>
    </row>
    <row r="2522" spans="2:6" hidden="1" x14ac:dyDescent="0.25">
      <c r="B2522" s="51">
        <f>YEAR(BDRIOSJ[[#This Row],[FECHA]])</f>
        <v>2025</v>
      </c>
      <c r="C2522" s="51">
        <f>MONTH(BDRIOSJ[[#This Row],[FECHA]])</f>
        <v>4</v>
      </c>
      <c r="D2522" s="81">
        <v>45748</v>
      </c>
      <c r="E2522" s="60" t="s">
        <v>114</v>
      </c>
      <c r="F2522" s="65">
        <v>47.841999999999999</v>
      </c>
    </row>
    <row r="2523" spans="2:6" hidden="1" x14ac:dyDescent="0.25">
      <c r="B2523" s="51">
        <f>YEAR(BDRIOSJ[[#This Row],[FECHA]])</f>
        <v>2025</v>
      </c>
      <c r="C2523" s="51">
        <f>MONTH(BDRIOSJ[[#This Row],[FECHA]])</f>
        <v>4</v>
      </c>
      <c r="D2523" s="81">
        <v>45748</v>
      </c>
      <c r="E2523" s="61" t="s">
        <v>115</v>
      </c>
      <c r="F2523" s="65">
        <v>47.841999999999999</v>
      </c>
    </row>
    <row r="2524" spans="2:6" hidden="1" x14ac:dyDescent="0.25">
      <c r="B2524" s="52">
        <f>YEAR(BDRIOSJ[[#This Row],[FECHA]])</f>
        <v>2025</v>
      </c>
      <c r="C2524" s="52">
        <f>MONTH(BDRIOSJ[[#This Row],[FECHA]])</f>
        <v>4</v>
      </c>
      <c r="D2524" s="81">
        <v>45749</v>
      </c>
      <c r="E2524" s="60" t="s">
        <v>111</v>
      </c>
      <c r="F2524" s="82">
        <v>42.3185</v>
      </c>
    </row>
    <row r="2525" spans="2:6" hidden="1" x14ac:dyDescent="0.25">
      <c r="B2525" s="52">
        <f>YEAR(BDRIOSJ[[#This Row],[FECHA]])</f>
        <v>2025</v>
      </c>
      <c r="C2525" s="52">
        <f>MONTH(BDRIOSJ[[#This Row],[FECHA]])</f>
        <v>4</v>
      </c>
      <c r="D2525" s="81">
        <v>45749</v>
      </c>
      <c r="E2525" s="60" t="s">
        <v>113</v>
      </c>
      <c r="F2525" s="82">
        <v>42.3185</v>
      </c>
    </row>
    <row r="2526" spans="2:6" hidden="1" x14ac:dyDescent="0.25">
      <c r="B2526" s="52">
        <f>YEAR(BDRIOSJ[[#This Row],[FECHA]])</f>
        <v>2025</v>
      </c>
      <c r="C2526" s="52">
        <f>MONTH(BDRIOSJ[[#This Row],[FECHA]])</f>
        <v>4</v>
      </c>
      <c r="D2526" s="81">
        <v>45749</v>
      </c>
      <c r="E2526" s="60" t="s">
        <v>114</v>
      </c>
      <c r="F2526" s="82">
        <v>35.9392</v>
      </c>
    </row>
    <row r="2527" spans="2:6" hidden="1" x14ac:dyDescent="0.25">
      <c r="B2527" s="52">
        <f>YEAR(BDRIOSJ[[#This Row],[FECHA]])</f>
        <v>2025</v>
      </c>
      <c r="C2527" s="52">
        <f>MONTH(BDRIOSJ[[#This Row],[FECHA]])</f>
        <v>4</v>
      </c>
      <c r="D2527" s="81">
        <v>45749</v>
      </c>
      <c r="E2527" s="61" t="s">
        <v>115</v>
      </c>
      <c r="F2527" s="82">
        <v>35.9392</v>
      </c>
    </row>
    <row r="2528" spans="2:6" hidden="1" x14ac:dyDescent="0.25">
      <c r="B2528" s="52">
        <f>YEAR(BDRIOSJ[[#This Row],[FECHA]])</f>
        <v>2025</v>
      </c>
      <c r="C2528" s="52">
        <f>MONTH(BDRIOSJ[[#This Row],[FECHA]])</f>
        <v>4</v>
      </c>
      <c r="D2528" s="81">
        <v>45750</v>
      </c>
      <c r="E2528" s="60" t="s">
        <v>111</v>
      </c>
      <c r="F2528" s="82">
        <v>56.827399999999997</v>
      </c>
    </row>
    <row r="2529" spans="2:6" hidden="1" x14ac:dyDescent="0.25">
      <c r="B2529" s="52">
        <f>YEAR(BDRIOSJ[[#This Row],[FECHA]])</f>
        <v>2025</v>
      </c>
      <c r="C2529" s="52">
        <f>MONTH(BDRIOSJ[[#This Row],[FECHA]])</f>
        <v>4</v>
      </c>
      <c r="D2529" s="81">
        <v>45750</v>
      </c>
      <c r="E2529" s="60" t="s">
        <v>113</v>
      </c>
      <c r="F2529" s="82">
        <v>56.827399999999997</v>
      </c>
    </row>
    <row r="2530" spans="2:6" hidden="1" x14ac:dyDescent="0.25">
      <c r="B2530" s="52">
        <f>YEAR(BDRIOSJ[[#This Row],[FECHA]])</f>
        <v>2025</v>
      </c>
      <c r="C2530" s="52">
        <f>MONTH(BDRIOSJ[[#This Row],[FECHA]])</f>
        <v>4</v>
      </c>
      <c r="D2530" s="81">
        <v>45750</v>
      </c>
      <c r="E2530" s="60" t="s">
        <v>114</v>
      </c>
      <c r="F2530" s="82">
        <v>55.271500000000003</v>
      </c>
    </row>
    <row r="2531" spans="2:6" hidden="1" x14ac:dyDescent="0.25">
      <c r="B2531" s="52">
        <f>YEAR(BDRIOSJ[[#This Row],[FECHA]])</f>
        <v>2025</v>
      </c>
      <c r="C2531" s="52">
        <f>MONTH(BDRIOSJ[[#This Row],[FECHA]])</f>
        <v>4</v>
      </c>
      <c r="D2531" s="81">
        <v>45750</v>
      </c>
      <c r="E2531" s="61" t="s">
        <v>115</v>
      </c>
      <c r="F2531" s="82">
        <v>55.271500000000003</v>
      </c>
    </row>
    <row r="2532" spans="2:6" hidden="1" x14ac:dyDescent="0.25">
      <c r="B2532" s="52">
        <f>YEAR(BDRIOSJ[[#This Row],[FECHA]])</f>
        <v>2025</v>
      </c>
      <c r="C2532" s="52">
        <f>MONTH(BDRIOSJ[[#This Row],[FECHA]])</f>
        <v>4</v>
      </c>
      <c r="D2532" s="81">
        <v>45751</v>
      </c>
      <c r="E2532" s="60" t="s">
        <v>111</v>
      </c>
      <c r="F2532" s="82">
        <v>49.281199999999998</v>
      </c>
    </row>
    <row r="2533" spans="2:6" hidden="1" x14ac:dyDescent="0.25">
      <c r="B2533" s="52">
        <f>YEAR(BDRIOSJ[[#This Row],[FECHA]])</f>
        <v>2025</v>
      </c>
      <c r="C2533" s="52">
        <f>MONTH(BDRIOSJ[[#This Row],[FECHA]])</f>
        <v>4</v>
      </c>
      <c r="D2533" s="81">
        <v>45751</v>
      </c>
      <c r="E2533" s="60" t="s">
        <v>113</v>
      </c>
      <c r="F2533" s="82">
        <v>49.281199999999998</v>
      </c>
    </row>
    <row r="2534" spans="2:6" hidden="1" x14ac:dyDescent="0.25">
      <c r="B2534" s="52">
        <f>YEAR(BDRIOSJ[[#This Row],[FECHA]])</f>
        <v>2025</v>
      </c>
      <c r="C2534" s="52">
        <f>MONTH(BDRIOSJ[[#This Row],[FECHA]])</f>
        <v>4</v>
      </c>
      <c r="D2534" s="81">
        <v>45751</v>
      </c>
      <c r="E2534" s="60" t="s">
        <v>114</v>
      </c>
      <c r="F2534" s="82">
        <v>49.281199999999998</v>
      </c>
    </row>
    <row r="2535" spans="2:6" hidden="1" x14ac:dyDescent="0.25">
      <c r="B2535" s="52">
        <f>YEAR(BDRIOSJ[[#This Row],[FECHA]])</f>
        <v>2025</v>
      </c>
      <c r="C2535" s="52">
        <f>MONTH(BDRIOSJ[[#This Row],[FECHA]])</f>
        <v>4</v>
      </c>
      <c r="D2535" s="81">
        <v>45751</v>
      </c>
      <c r="E2535" s="61" t="s">
        <v>115</v>
      </c>
      <c r="F2535" s="82">
        <v>49.281199999999998</v>
      </c>
    </row>
    <row r="2536" spans="2:6" hidden="1" x14ac:dyDescent="0.25">
      <c r="B2536" s="52">
        <f>YEAR(BDRIOSJ[[#This Row],[FECHA]])</f>
        <v>2025</v>
      </c>
      <c r="C2536" s="52">
        <f>MONTH(BDRIOSJ[[#This Row],[FECHA]])</f>
        <v>4</v>
      </c>
      <c r="D2536" s="81">
        <v>45752</v>
      </c>
      <c r="E2536" s="60" t="s">
        <v>111</v>
      </c>
      <c r="F2536" s="82">
        <v>49.281199999999998</v>
      </c>
    </row>
    <row r="2537" spans="2:6" hidden="1" x14ac:dyDescent="0.25">
      <c r="B2537" s="51">
        <f>YEAR(BDRIOSJ[[#This Row],[FECHA]])</f>
        <v>2025</v>
      </c>
      <c r="C2537" s="51">
        <f>MONTH(BDRIOSJ[[#This Row],[FECHA]])</f>
        <v>4</v>
      </c>
      <c r="D2537" s="81">
        <v>45752</v>
      </c>
      <c r="E2537" s="60" t="s">
        <v>113</v>
      </c>
      <c r="F2537" s="65">
        <v>49.281199999999998</v>
      </c>
    </row>
    <row r="2538" spans="2:6" hidden="1" x14ac:dyDescent="0.25">
      <c r="B2538" s="51">
        <f>YEAR(BDRIOSJ[[#This Row],[FECHA]])</f>
        <v>2025</v>
      </c>
      <c r="C2538" s="51">
        <f>MONTH(BDRIOSJ[[#This Row],[FECHA]])</f>
        <v>4</v>
      </c>
      <c r="D2538" s="81">
        <v>45752</v>
      </c>
      <c r="E2538" s="60" t="s">
        <v>114</v>
      </c>
      <c r="F2538" s="65">
        <v>49.281199999999998</v>
      </c>
    </row>
    <row r="2539" spans="2:6" hidden="1" x14ac:dyDescent="0.25">
      <c r="B2539" s="51">
        <f>YEAR(BDRIOSJ[[#This Row],[FECHA]])</f>
        <v>2025</v>
      </c>
      <c r="C2539" s="51">
        <f>MONTH(BDRIOSJ[[#This Row],[FECHA]])</f>
        <v>4</v>
      </c>
      <c r="D2539" s="81">
        <v>45752</v>
      </c>
      <c r="E2539" s="61" t="s">
        <v>115</v>
      </c>
      <c r="F2539" s="65">
        <v>49.281199999999998</v>
      </c>
    </row>
    <row r="2540" spans="2:6" hidden="1" x14ac:dyDescent="0.25">
      <c r="B2540" s="51">
        <f>YEAR(BDRIOSJ[[#This Row],[FECHA]])</f>
        <v>2025</v>
      </c>
      <c r="C2540" s="51">
        <f>MONTH(BDRIOSJ[[#This Row],[FECHA]])</f>
        <v>4</v>
      </c>
      <c r="D2540" s="81">
        <v>45753</v>
      </c>
      <c r="E2540" s="60" t="s">
        <v>111</v>
      </c>
      <c r="F2540" s="65">
        <v>56.827399999999997</v>
      </c>
    </row>
    <row r="2541" spans="2:6" hidden="1" x14ac:dyDescent="0.25">
      <c r="B2541" s="51">
        <f>YEAR(BDRIOSJ[[#This Row],[FECHA]])</f>
        <v>2025</v>
      </c>
      <c r="C2541" s="51">
        <f>MONTH(BDRIOSJ[[#This Row],[FECHA]])</f>
        <v>4</v>
      </c>
      <c r="D2541" s="81">
        <v>45753</v>
      </c>
      <c r="E2541" s="60" t="s">
        <v>113</v>
      </c>
      <c r="F2541" s="65">
        <v>56.827399999999997</v>
      </c>
    </row>
    <row r="2542" spans="2:6" hidden="1" x14ac:dyDescent="0.25">
      <c r="B2542" s="51">
        <f>YEAR(BDRIOSJ[[#This Row],[FECHA]])</f>
        <v>2025</v>
      </c>
      <c r="C2542" s="51">
        <f>MONTH(BDRIOSJ[[#This Row],[FECHA]])</f>
        <v>4</v>
      </c>
      <c r="D2542" s="81">
        <v>45753</v>
      </c>
      <c r="E2542" s="60" t="s">
        <v>114</v>
      </c>
      <c r="F2542" s="65">
        <v>56.827399999999997</v>
      </c>
    </row>
    <row r="2543" spans="2:6" hidden="1" x14ac:dyDescent="0.25">
      <c r="B2543" s="51">
        <f>YEAR(BDRIOSJ[[#This Row],[FECHA]])</f>
        <v>2025</v>
      </c>
      <c r="C2543" s="51">
        <f>MONTH(BDRIOSJ[[#This Row],[FECHA]])</f>
        <v>4</v>
      </c>
      <c r="D2543" s="81">
        <v>45753</v>
      </c>
      <c r="E2543" s="61" t="s">
        <v>115</v>
      </c>
      <c r="F2543" s="65">
        <v>56.827399999999997</v>
      </c>
    </row>
    <row r="2544" spans="2:6" hidden="1" x14ac:dyDescent="0.25">
      <c r="B2544" s="51">
        <f>YEAR(BDRIOSJ[[#This Row],[FECHA]])</f>
        <v>2025</v>
      </c>
      <c r="C2544" s="51">
        <f>MONTH(BDRIOSJ[[#This Row],[FECHA]])</f>
        <v>4</v>
      </c>
      <c r="D2544" s="81">
        <v>45754</v>
      </c>
      <c r="E2544" s="60" t="s">
        <v>111</v>
      </c>
      <c r="F2544" s="65">
        <v>72.772499999999994</v>
      </c>
    </row>
    <row r="2545" spans="2:6" hidden="1" x14ac:dyDescent="0.25">
      <c r="B2545" s="51">
        <f>YEAR(BDRIOSJ[[#This Row],[FECHA]])</f>
        <v>2025</v>
      </c>
      <c r="C2545" s="51">
        <f>MONTH(BDRIOSJ[[#This Row],[FECHA]])</f>
        <v>4</v>
      </c>
      <c r="D2545" s="81">
        <v>45754</v>
      </c>
      <c r="E2545" s="60" t="s">
        <v>113</v>
      </c>
      <c r="F2545" s="65">
        <v>79.177899999999994</v>
      </c>
    </row>
    <row r="2546" spans="2:6" hidden="1" x14ac:dyDescent="0.25">
      <c r="B2546" s="51">
        <f>YEAR(BDRIOSJ[[#This Row],[FECHA]])</f>
        <v>2025</v>
      </c>
      <c r="C2546" s="51">
        <f>MONTH(BDRIOSJ[[#This Row],[FECHA]])</f>
        <v>4</v>
      </c>
      <c r="D2546" s="81">
        <v>45754</v>
      </c>
      <c r="E2546" s="60" t="s">
        <v>114</v>
      </c>
      <c r="F2546" s="65">
        <v>73.67</v>
      </c>
    </row>
    <row r="2547" spans="2:6" hidden="1" x14ac:dyDescent="0.25">
      <c r="B2547" s="51">
        <f>YEAR(BDRIOSJ[[#This Row],[FECHA]])</f>
        <v>2025</v>
      </c>
      <c r="C2547" s="51">
        <f>MONTH(BDRIOSJ[[#This Row],[FECHA]])</f>
        <v>4</v>
      </c>
      <c r="D2547" s="81">
        <v>45754</v>
      </c>
      <c r="E2547" s="61" t="s">
        <v>115</v>
      </c>
      <c r="F2547" s="65">
        <v>73.67</v>
      </c>
    </row>
    <row r="2548" spans="2:6" hidden="1" x14ac:dyDescent="0.25">
      <c r="B2548" s="51">
        <f>YEAR(BDRIOSJ[[#This Row],[FECHA]])</f>
        <v>2025</v>
      </c>
      <c r="C2548" s="51">
        <f>MONTH(BDRIOSJ[[#This Row],[FECHA]])</f>
        <v>4</v>
      </c>
      <c r="D2548" s="81">
        <v>45755</v>
      </c>
      <c r="E2548" s="60" t="s">
        <v>111</v>
      </c>
      <c r="F2548" s="65">
        <v>87.833500000000001</v>
      </c>
    </row>
    <row r="2549" spans="2:6" hidden="1" x14ac:dyDescent="0.25">
      <c r="B2549" s="51">
        <f>YEAR(BDRIOSJ[[#This Row],[FECHA]])</f>
        <v>2025</v>
      </c>
      <c r="C2549" s="51">
        <f>MONTH(BDRIOSJ[[#This Row],[FECHA]])</f>
        <v>4</v>
      </c>
      <c r="D2549" s="81">
        <v>45755</v>
      </c>
      <c r="E2549" s="60" t="s">
        <v>113</v>
      </c>
      <c r="F2549" s="65">
        <v>87.833500000000001</v>
      </c>
    </row>
    <row r="2550" spans="2:6" hidden="1" x14ac:dyDescent="0.25">
      <c r="B2550" s="51">
        <f>YEAR(BDRIOSJ[[#This Row],[FECHA]])</f>
        <v>2025</v>
      </c>
      <c r="C2550" s="51">
        <f>MONTH(BDRIOSJ[[#This Row],[FECHA]])</f>
        <v>4</v>
      </c>
      <c r="D2550" s="81">
        <v>45755</v>
      </c>
      <c r="E2550" s="60" t="s">
        <v>114</v>
      </c>
      <c r="F2550" s="65">
        <v>82.966499999999996</v>
      </c>
    </row>
    <row r="2551" spans="2:6" hidden="1" x14ac:dyDescent="0.25">
      <c r="B2551" s="51">
        <f>YEAR(BDRIOSJ[[#This Row],[FECHA]])</f>
        <v>2025</v>
      </c>
      <c r="C2551" s="51">
        <f>MONTH(BDRIOSJ[[#This Row],[FECHA]])</f>
        <v>4</v>
      </c>
      <c r="D2551" s="81">
        <v>45755</v>
      </c>
      <c r="E2551" s="61" t="s">
        <v>115</v>
      </c>
      <c r="F2551" s="65">
        <v>82.966499999999996</v>
      </c>
    </row>
    <row r="2552" spans="2:6" hidden="1" x14ac:dyDescent="0.25">
      <c r="B2552" s="51">
        <f>YEAR(BDRIOSJ[[#This Row],[FECHA]])</f>
        <v>2025</v>
      </c>
      <c r="C2552" s="51">
        <f>MONTH(BDRIOSJ[[#This Row],[FECHA]])</f>
        <v>4</v>
      </c>
      <c r="D2552" s="81">
        <v>45756</v>
      </c>
      <c r="E2552" s="60" t="s">
        <v>111</v>
      </c>
      <c r="F2552" s="65">
        <v>72.772499999999994</v>
      </c>
    </row>
    <row r="2553" spans="2:6" hidden="1" x14ac:dyDescent="0.25">
      <c r="B2553" s="51">
        <f>YEAR(BDRIOSJ[[#This Row],[FECHA]])</f>
        <v>2025</v>
      </c>
      <c r="C2553" s="51">
        <f>MONTH(BDRIOSJ[[#This Row],[FECHA]])</f>
        <v>4</v>
      </c>
      <c r="D2553" s="81">
        <v>45756</v>
      </c>
      <c r="E2553" s="60" t="s">
        <v>113</v>
      </c>
      <c r="F2553" s="65">
        <v>70.114800000000002</v>
      </c>
    </row>
    <row r="2554" spans="2:6" hidden="1" x14ac:dyDescent="0.25">
      <c r="B2554" s="51">
        <f>YEAR(BDRIOSJ[[#This Row],[FECHA]])</f>
        <v>2025</v>
      </c>
      <c r="C2554" s="51">
        <f>MONTH(BDRIOSJ[[#This Row],[FECHA]])</f>
        <v>4</v>
      </c>
      <c r="D2554" s="81">
        <v>45756</v>
      </c>
      <c r="E2554" s="60" t="s">
        <v>114</v>
      </c>
      <c r="F2554" s="65">
        <v>56.827399999999997</v>
      </c>
    </row>
    <row r="2555" spans="2:6" hidden="1" x14ac:dyDescent="0.25">
      <c r="B2555" s="51">
        <f>YEAR(BDRIOSJ[[#This Row],[FECHA]])</f>
        <v>2025</v>
      </c>
      <c r="C2555" s="51">
        <f>MONTH(BDRIOSJ[[#This Row],[FECHA]])</f>
        <v>4</v>
      </c>
      <c r="D2555" s="81">
        <v>45756</v>
      </c>
      <c r="E2555" s="61" t="s">
        <v>115</v>
      </c>
      <c r="F2555" s="65">
        <v>56.827399999999997</v>
      </c>
    </row>
    <row r="2556" spans="2:6" hidden="1" x14ac:dyDescent="0.25">
      <c r="B2556" s="51">
        <f>YEAR(BDRIOSJ[[#This Row],[FECHA]])</f>
        <v>2025</v>
      </c>
      <c r="C2556" s="51">
        <f>MONTH(BDRIOSJ[[#This Row],[FECHA]])</f>
        <v>4</v>
      </c>
      <c r="D2556" s="81">
        <v>45757</v>
      </c>
      <c r="E2556" s="60" t="s">
        <v>111</v>
      </c>
      <c r="F2556" s="128">
        <v>58.406599999999997</v>
      </c>
    </row>
    <row r="2557" spans="2:6" hidden="1" x14ac:dyDescent="0.25">
      <c r="B2557" s="51">
        <f>YEAR(BDRIOSJ[[#This Row],[FECHA]])</f>
        <v>2025</v>
      </c>
      <c r="C2557" s="51">
        <f>MONTH(BDRIOSJ[[#This Row],[FECHA]])</f>
        <v>4</v>
      </c>
      <c r="D2557" s="81">
        <v>45757</v>
      </c>
      <c r="E2557" s="60" t="s">
        <v>113</v>
      </c>
      <c r="F2557" s="128">
        <v>58.406599999999997</v>
      </c>
    </row>
    <row r="2558" spans="2:6" hidden="1" x14ac:dyDescent="0.25">
      <c r="B2558" s="51">
        <f>YEAR(BDRIOSJ[[#This Row],[FECHA]])</f>
        <v>2025</v>
      </c>
      <c r="C2558" s="51">
        <f>MONTH(BDRIOSJ[[#This Row],[FECHA]])</f>
        <v>4</v>
      </c>
      <c r="D2558" s="81">
        <v>45757</v>
      </c>
      <c r="E2558" s="60" t="s">
        <v>114</v>
      </c>
      <c r="F2558" s="128">
        <v>56.827399999999997</v>
      </c>
    </row>
    <row r="2559" spans="2:6" hidden="1" x14ac:dyDescent="0.25">
      <c r="B2559" s="51">
        <f>YEAR(BDRIOSJ[[#This Row],[FECHA]])</f>
        <v>2025</v>
      </c>
      <c r="C2559" s="51">
        <f>MONTH(BDRIOSJ[[#This Row],[FECHA]])</f>
        <v>4</v>
      </c>
      <c r="D2559" s="81">
        <v>45757</v>
      </c>
      <c r="E2559" s="60" t="s">
        <v>115</v>
      </c>
      <c r="F2559" s="128">
        <v>56.827399999999997</v>
      </c>
    </row>
    <row r="2560" spans="2:6" hidden="1" x14ac:dyDescent="0.25">
      <c r="B2560" s="51">
        <f>YEAR(BDRIOSJ[[#This Row],[FECHA]])</f>
        <v>2025</v>
      </c>
      <c r="C2560" s="51">
        <f>MONTH(BDRIOSJ[[#This Row],[FECHA]])</f>
        <v>4</v>
      </c>
      <c r="D2560" s="81">
        <v>45758</v>
      </c>
      <c r="E2560" s="60" t="s">
        <v>111</v>
      </c>
      <c r="F2560" s="128">
        <v>55.271500000000003</v>
      </c>
    </row>
    <row r="2561" spans="2:6" hidden="1" x14ac:dyDescent="0.25">
      <c r="B2561" s="51">
        <f>YEAR(BDRIOSJ[[#This Row],[FECHA]])</f>
        <v>2025</v>
      </c>
      <c r="C2561" s="51">
        <f>MONTH(BDRIOSJ[[#This Row],[FECHA]])</f>
        <v>4</v>
      </c>
      <c r="D2561" s="81">
        <v>45758</v>
      </c>
      <c r="E2561" s="60" t="s">
        <v>113</v>
      </c>
      <c r="F2561" s="128">
        <v>55.271500000000003</v>
      </c>
    </row>
    <row r="2562" spans="2:6" hidden="1" x14ac:dyDescent="0.25">
      <c r="B2562" s="51">
        <f>YEAR(BDRIOSJ[[#This Row],[FECHA]])</f>
        <v>2025</v>
      </c>
      <c r="C2562" s="51">
        <f>MONTH(BDRIOSJ[[#This Row],[FECHA]])</f>
        <v>4</v>
      </c>
      <c r="D2562" s="81">
        <v>45758</v>
      </c>
      <c r="E2562" s="60" t="s">
        <v>114</v>
      </c>
      <c r="F2562" s="65">
        <v>53.738900000000001</v>
      </c>
    </row>
    <row r="2563" spans="2:6" hidden="1" x14ac:dyDescent="0.25">
      <c r="B2563" s="51">
        <f>YEAR(BDRIOSJ[[#This Row],[FECHA]])</f>
        <v>2025</v>
      </c>
      <c r="C2563" s="51">
        <f>MONTH(BDRIOSJ[[#This Row],[FECHA]])</f>
        <v>4</v>
      </c>
      <c r="D2563" s="81">
        <v>45758</v>
      </c>
      <c r="E2563" s="60" t="s">
        <v>115</v>
      </c>
      <c r="F2563" s="65">
        <v>53.738900000000001</v>
      </c>
    </row>
    <row r="2564" spans="2:6" hidden="1" x14ac:dyDescent="0.25">
      <c r="B2564" s="51">
        <f>YEAR(BDRIOSJ[[#This Row],[FECHA]])</f>
        <v>2025</v>
      </c>
      <c r="C2564" s="51">
        <f>MONTH(BDRIOSJ[[#This Row],[FECHA]])</f>
        <v>4</v>
      </c>
      <c r="D2564" s="81">
        <v>45759</v>
      </c>
      <c r="E2564" s="60" t="s">
        <v>111</v>
      </c>
      <c r="F2564" s="65">
        <v>42.3185</v>
      </c>
    </row>
    <row r="2565" spans="2:6" hidden="1" x14ac:dyDescent="0.25">
      <c r="B2565" s="51">
        <f>YEAR(BDRIOSJ[[#This Row],[FECHA]])</f>
        <v>2025</v>
      </c>
      <c r="C2565" s="51">
        <f>MONTH(BDRIOSJ[[#This Row],[FECHA]])</f>
        <v>4</v>
      </c>
      <c r="D2565" s="81">
        <v>45759</v>
      </c>
      <c r="E2565" s="60" t="s">
        <v>113</v>
      </c>
      <c r="F2565" s="65">
        <v>42.3185</v>
      </c>
    </row>
    <row r="2566" spans="2:6" hidden="1" x14ac:dyDescent="0.25">
      <c r="B2566" s="51">
        <f>YEAR(BDRIOSJ[[#This Row],[FECHA]])</f>
        <v>2025</v>
      </c>
      <c r="C2566" s="51">
        <f>MONTH(BDRIOSJ[[#This Row],[FECHA]])</f>
        <v>4</v>
      </c>
      <c r="D2566" s="81">
        <v>45759</v>
      </c>
      <c r="E2566" s="60" t="s">
        <v>114</v>
      </c>
      <c r="F2566" s="65">
        <v>42.3185</v>
      </c>
    </row>
    <row r="2567" spans="2:6" hidden="1" x14ac:dyDescent="0.25">
      <c r="B2567" s="51">
        <f>YEAR(BDRIOSJ[[#This Row],[FECHA]])</f>
        <v>2025</v>
      </c>
      <c r="C2567" s="51">
        <f>MONTH(BDRIOSJ[[#This Row],[FECHA]])</f>
        <v>4</v>
      </c>
      <c r="D2567" s="81">
        <v>45759</v>
      </c>
      <c r="E2567" s="61" t="s">
        <v>115</v>
      </c>
      <c r="F2567" s="65">
        <v>42.3185</v>
      </c>
    </row>
    <row r="2568" spans="2:6" hidden="1" x14ac:dyDescent="0.25">
      <c r="B2568" s="51">
        <f>YEAR(BDRIOSJ[[#This Row],[FECHA]])</f>
        <v>2025</v>
      </c>
      <c r="C2568" s="51">
        <f>MONTH(BDRIOSJ[[#This Row],[FECHA]])</f>
        <v>4</v>
      </c>
      <c r="D2568" s="81">
        <v>45760</v>
      </c>
      <c r="E2568" s="60" t="s">
        <v>111</v>
      </c>
      <c r="F2568" s="65">
        <v>41.654299999999999</v>
      </c>
    </row>
    <row r="2569" spans="2:6" hidden="1" x14ac:dyDescent="0.25">
      <c r="B2569" s="51">
        <f>YEAR(BDRIOSJ[[#This Row],[FECHA]])</f>
        <v>2025</v>
      </c>
      <c r="C2569" s="51">
        <f>MONTH(BDRIOSJ[[#This Row],[FECHA]])</f>
        <v>4</v>
      </c>
      <c r="D2569" s="81">
        <v>45760</v>
      </c>
      <c r="E2569" s="60" t="s">
        <v>113</v>
      </c>
      <c r="F2569" s="65">
        <v>41.654299999999999</v>
      </c>
    </row>
    <row r="2570" spans="2:6" hidden="1" x14ac:dyDescent="0.25">
      <c r="B2570" s="51">
        <f>YEAR(BDRIOSJ[[#This Row],[FECHA]])</f>
        <v>2025</v>
      </c>
      <c r="C2570" s="51">
        <f>MONTH(BDRIOSJ[[#This Row],[FECHA]])</f>
        <v>4</v>
      </c>
      <c r="D2570" s="81">
        <v>45760</v>
      </c>
      <c r="E2570" s="60" t="s">
        <v>114</v>
      </c>
      <c r="F2570" s="65">
        <v>41.654299999999999</v>
      </c>
    </row>
    <row r="2571" spans="2:6" hidden="1" x14ac:dyDescent="0.25">
      <c r="B2571" s="51">
        <f>YEAR(BDRIOSJ[[#This Row],[FECHA]])</f>
        <v>2025</v>
      </c>
      <c r="C2571" s="51">
        <f>MONTH(BDRIOSJ[[#This Row],[FECHA]])</f>
        <v>4</v>
      </c>
      <c r="D2571" s="81">
        <v>45760</v>
      </c>
      <c r="E2571" s="61" t="s">
        <v>115</v>
      </c>
      <c r="F2571" s="65">
        <v>41.654299999999999</v>
      </c>
    </row>
    <row r="2572" spans="2:6" hidden="1" x14ac:dyDescent="0.25">
      <c r="B2572" s="51">
        <f>YEAR(BDRIOSJ[[#This Row],[FECHA]])</f>
        <v>2025</v>
      </c>
      <c r="C2572" s="51">
        <f>MONTH(BDRIOSJ[[#This Row],[FECHA]])</f>
        <v>4</v>
      </c>
      <c r="D2572" s="81">
        <v>45761</v>
      </c>
      <c r="E2572" s="60" t="s">
        <v>111</v>
      </c>
      <c r="F2572" s="65">
        <v>39.055900000000001</v>
      </c>
    </row>
    <row r="2573" spans="2:6" hidden="1" x14ac:dyDescent="0.25">
      <c r="B2573" s="51">
        <f>YEAR(BDRIOSJ[[#This Row],[FECHA]])</f>
        <v>2025</v>
      </c>
      <c r="C2573" s="51">
        <f>MONTH(BDRIOSJ[[#This Row],[FECHA]])</f>
        <v>4</v>
      </c>
      <c r="D2573" s="81">
        <v>45761</v>
      </c>
      <c r="E2573" s="60" t="s">
        <v>113</v>
      </c>
      <c r="F2573" s="65">
        <v>39.055900000000001</v>
      </c>
    </row>
    <row r="2574" spans="2:6" hidden="1" x14ac:dyDescent="0.25">
      <c r="B2574" s="51">
        <f>YEAR(BDRIOSJ[[#This Row],[FECHA]])</f>
        <v>2025</v>
      </c>
      <c r="C2574" s="51">
        <f>MONTH(BDRIOSJ[[#This Row],[FECHA]])</f>
        <v>4</v>
      </c>
      <c r="D2574" s="81">
        <v>45761</v>
      </c>
      <c r="E2574" s="60" t="s">
        <v>114</v>
      </c>
      <c r="F2574" s="65">
        <v>39.055900000000001</v>
      </c>
    </row>
    <row r="2575" spans="2:6" hidden="1" x14ac:dyDescent="0.25">
      <c r="B2575" s="51">
        <f>YEAR(BDRIOSJ[[#This Row],[FECHA]])</f>
        <v>2025</v>
      </c>
      <c r="C2575" s="51">
        <f>MONTH(BDRIOSJ[[#This Row],[FECHA]])</f>
        <v>4</v>
      </c>
      <c r="D2575" s="81">
        <v>45761</v>
      </c>
      <c r="E2575" s="61" t="s">
        <v>115</v>
      </c>
      <c r="F2575" s="65">
        <v>39.055900000000001</v>
      </c>
    </row>
    <row r="2576" spans="2:6" hidden="1" x14ac:dyDescent="0.25">
      <c r="B2576" s="51">
        <f>YEAR(BDRIOSJ[[#This Row],[FECHA]])</f>
        <v>2025</v>
      </c>
      <c r="C2576" s="51">
        <f>MONTH(BDRIOSJ[[#This Row],[FECHA]])</f>
        <v>4</v>
      </c>
      <c r="D2576" s="81">
        <v>45762</v>
      </c>
      <c r="E2576" s="60" t="s">
        <v>111</v>
      </c>
      <c r="F2576" s="65">
        <v>35.9392</v>
      </c>
    </row>
    <row r="2577" spans="2:6" hidden="1" x14ac:dyDescent="0.25">
      <c r="B2577" s="51">
        <f>YEAR(BDRIOSJ[[#This Row],[FECHA]])</f>
        <v>2025</v>
      </c>
      <c r="C2577" s="51">
        <f>MONTH(BDRIOSJ[[#This Row],[FECHA]])</f>
        <v>4</v>
      </c>
      <c r="D2577" s="81">
        <v>45762</v>
      </c>
      <c r="E2577" s="60" t="s">
        <v>113</v>
      </c>
      <c r="F2577" s="65">
        <v>35.9392</v>
      </c>
    </row>
    <row r="2578" spans="2:6" hidden="1" x14ac:dyDescent="0.25">
      <c r="B2578" s="51">
        <f>YEAR(BDRIOSJ[[#This Row],[FECHA]])</f>
        <v>2025</v>
      </c>
      <c r="C2578" s="51">
        <f>MONTH(BDRIOSJ[[#This Row],[FECHA]])</f>
        <v>4</v>
      </c>
      <c r="D2578" s="81">
        <v>45762</v>
      </c>
      <c r="E2578" s="60" t="s">
        <v>114</v>
      </c>
      <c r="F2578" s="65">
        <v>35.9392</v>
      </c>
    </row>
    <row r="2579" spans="2:6" hidden="1" x14ac:dyDescent="0.25">
      <c r="B2579" s="51">
        <f>YEAR(BDRIOSJ[[#This Row],[FECHA]])</f>
        <v>2025</v>
      </c>
      <c r="C2579" s="51">
        <f>MONTH(BDRIOSJ[[#This Row],[FECHA]])</f>
        <v>4</v>
      </c>
      <c r="D2579" s="81">
        <v>45762</v>
      </c>
      <c r="E2579" s="61" t="s">
        <v>115</v>
      </c>
      <c r="F2579" s="65">
        <v>35.9392</v>
      </c>
    </row>
    <row r="2580" spans="2:6" hidden="1" x14ac:dyDescent="0.25">
      <c r="B2580" s="51">
        <f>YEAR(BDRIOSJ[[#This Row],[FECHA]])</f>
        <v>2025</v>
      </c>
      <c r="C2580" s="51">
        <f>MONTH(BDRIOSJ[[#This Row],[FECHA]])</f>
        <v>4</v>
      </c>
      <c r="D2580" s="81">
        <v>45763</v>
      </c>
      <c r="E2580" s="60" t="s">
        <v>111</v>
      </c>
      <c r="F2580" s="65">
        <v>30.1434</v>
      </c>
    </row>
    <row r="2581" spans="2:6" hidden="1" x14ac:dyDescent="0.25">
      <c r="B2581" s="51">
        <f>YEAR(BDRIOSJ[[#This Row],[FECHA]])</f>
        <v>2025</v>
      </c>
      <c r="C2581" s="51">
        <f>MONTH(BDRIOSJ[[#This Row],[FECHA]])</f>
        <v>4</v>
      </c>
      <c r="D2581" s="81">
        <v>45763</v>
      </c>
      <c r="E2581" s="60" t="s">
        <v>113</v>
      </c>
      <c r="F2581" s="65">
        <v>30.1434</v>
      </c>
    </row>
    <row r="2582" spans="2:6" hidden="1" x14ac:dyDescent="0.25">
      <c r="B2582" s="51">
        <f>YEAR(BDRIOSJ[[#This Row],[FECHA]])</f>
        <v>2025</v>
      </c>
      <c r="C2582" s="51">
        <f>MONTH(BDRIOSJ[[#This Row],[FECHA]])</f>
        <v>4</v>
      </c>
      <c r="D2582" s="81">
        <v>45763</v>
      </c>
      <c r="E2582" s="60" t="s">
        <v>114</v>
      </c>
      <c r="F2582" s="65">
        <v>27.464300000000001</v>
      </c>
    </row>
    <row r="2583" spans="2:6" hidden="1" x14ac:dyDescent="0.25">
      <c r="B2583" s="51">
        <f>YEAR(BDRIOSJ[[#This Row],[FECHA]])</f>
        <v>2025</v>
      </c>
      <c r="C2583" s="51">
        <f>MONTH(BDRIOSJ[[#This Row],[FECHA]])</f>
        <v>4</v>
      </c>
      <c r="D2583" s="81">
        <v>45763</v>
      </c>
      <c r="E2583" s="61" t="s">
        <v>115</v>
      </c>
      <c r="F2583" s="65">
        <v>27.464300000000001</v>
      </c>
    </row>
    <row r="2584" spans="2:6" hidden="1" x14ac:dyDescent="0.25">
      <c r="B2584" s="51">
        <f>YEAR(BDRIOSJ[[#This Row],[FECHA]])</f>
        <v>2025</v>
      </c>
      <c r="C2584" s="51">
        <f>MONTH(BDRIOSJ[[#This Row],[FECHA]])</f>
        <v>4</v>
      </c>
      <c r="D2584" s="81">
        <v>45764</v>
      </c>
      <c r="E2584" s="60" t="s">
        <v>111</v>
      </c>
      <c r="F2584" s="65">
        <v>24.931000000000001</v>
      </c>
    </row>
    <row r="2585" spans="2:6" hidden="1" x14ac:dyDescent="0.25">
      <c r="B2585" s="51">
        <f>YEAR(BDRIOSJ[[#This Row],[FECHA]])</f>
        <v>2025</v>
      </c>
      <c r="C2585" s="51">
        <f>MONTH(BDRIOSJ[[#This Row],[FECHA]])</f>
        <v>4</v>
      </c>
      <c r="D2585" s="81">
        <v>45764</v>
      </c>
      <c r="E2585" s="60" t="s">
        <v>113</v>
      </c>
      <c r="F2585" s="65">
        <v>24.931000000000001</v>
      </c>
    </row>
    <row r="2586" spans="2:6" hidden="1" x14ac:dyDescent="0.25">
      <c r="B2586" s="51">
        <f>YEAR(BDRIOSJ[[#This Row],[FECHA]])</f>
        <v>2025</v>
      </c>
      <c r="C2586" s="51">
        <f>MONTH(BDRIOSJ[[#This Row],[FECHA]])</f>
        <v>4</v>
      </c>
      <c r="D2586" s="81">
        <v>45764</v>
      </c>
      <c r="E2586" s="60" t="s">
        <v>114</v>
      </c>
      <c r="F2586" s="65">
        <v>24.931000000000001</v>
      </c>
    </row>
    <row r="2587" spans="2:6" hidden="1" x14ac:dyDescent="0.25">
      <c r="B2587" s="51">
        <f>YEAR(BDRIOSJ[[#This Row],[FECHA]])</f>
        <v>2025</v>
      </c>
      <c r="C2587" s="51">
        <f>MONTH(BDRIOSJ[[#This Row],[FECHA]])</f>
        <v>4</v>
      </c>
      <c r="D2587" s="81">
        <v>45764</v>
      </c>
      <c r="E2587" s="61" t="s">
        <v>115</v>
      </c>
      <c r="F2587" s="65">
        <v>24.931000000000001</v>
      </c>
    </row>
    <row r="2588" spans="2:6" hidden="1" x14ac:dyDescent="0.25">
      <c r="B2588" s="51">
        <f>YEAR(BDRIOSJ[[#This Row],[FECHA]])</f>
        <v>2025</v>
      </c>
      <c r="C2588" s="51">
        <f>MONTH(BDRIOSJ[[#This Row],[FECHA]])</f>
        <v>4</v>
      </c>
      <c r="D2588" s="81">
        <v>45765</v>
      </c>
      <c r="E2588" s="60" t="s">
        <v>111</v>
      </c>
      <c r="F2588" s="65">
        <v>22.543600000000001</v>
      </c>
    </row>
    <row r="2589" spans="2:6" hidden="1" x14ac:dyDescent="0.25">
      <c r="B2589" s="51">
        <f>YEAR(BDRIOSJ[[#This Row],[FECHA]])</f>
        <v>2025</v>
      </c>
      <c r="C2589" s="51">
        <f>MONTH(BDRIOSJ[[#This Row],[FECHA]])</f>
        <v>4</v>
      </c>
      <c r="D2589" s="81">
        <v>45765</v>
      </c>
      <c r="E2589" s="60" t="s">
        <v>113</v>
      </c>
      <c r="F2589" s="65">
        <v>22.543600000000001</v>
      </c>
    </row>
    <row r="2590" spans="2:6" hidden="1" x14ac:dyDescent="0.25">
      <c r="B2590" s="51">
        <f>YEAR(BDRIOSJ[[#This Row],[FECHA]])</f>
        <v>2025</v>
      </c>
      <c r="C2590" s="51">
        <f>MONTH(BDRIOSJ[[#This Row],[FECHA]])</f>
        <v>4</v>
      </c>
      <c r="D2590" s="81">
        <v>45765</v>
      </c>
      <c r="E2590" s="60" t="s">
        <v>114</v>
      </c>
      <c r="F2590" s="65">
        <v>16.256499999999999</v>
      </c>
    </row>
    <row r="2591" spans="2:6" hidden="1" x14ac:dyDescent="0.25">
      <c r="B2591" s="51">
        <f>YEAR(BDRIOSJ[[#This Row],[FECHA]])</f>
        <v>2025</v>
      </c>
      <c r="C2591" s="51">
        <f>MONTH(BDRIOSJ[[#This Row],[FECHA]])</f>
        <v>4</v>
      </c>
      <c r="D2591" s="81">
        <v>45765</v>
      </c>
      <c r="E2591" s="61" t="s">
        <v>115</v>
      </c>
      <c r="F2591" s="65">
        <v>16.256499999999999</v>
      </c>
    </row>
    <row r="2592" spans="2:6" hidden="1" x14ac:dyDescent="0.25">
      <c r="B2592" s="51">
        <f>YEAR(BDRIOSJ[[#This Row],[FECHA]])</f>
        <v>2025</v>
      </c>
      <c r="C2592" s="51">
        <f>MONTH(BDRIOSJ[[#This Row],[FECHA]])</f>
        <v>4</v>
      </c>
      <c r="D2592" s="81">
        <v>45766</v>
      </c>
      <c r="E2592" s="60" t="s">
        <v>111</v>
      </c>
      <c r="F2592" s="65">
        <v>16.256499999999999</v>
      </c>
    </row>
    <row r="2593" spans="2:6" hidden="1" x14ac:dyDescent="0.25">
      <c r="B2593" s="51">
        <f>YEAR(BDRIOSJ[[#This Row],[FECHA]])</f>
        <v>2025</v>
      </c>
      <c r="C2593" s="51">
        <f>MONTH(BDRIOSJ[[#This Row],[FECHA]])</f>
        <v>4</v>
      </c>
      <c r="D2593" s="81">
        <v>45766</v>
      </c>
      <c r="E2593" s="60" t="s">
        <v>113</v>
      </c>
      <c r="F2593" s="65">
        <v>16.256499999999999</v>
      </c>
    </row>
    <row r="2594" spans="2:6" hidden="1" x14ac:dyDescent="0.25">
      <c r="B2594" s="51">
        <f>YEAR(BDRIOSJ[[#This Row],[FECHA]])</f>
        <v>2025</v>
      </c>
      <c r="C2594" s="51">
        <f>MONTH(BDRIOSJ[[#This Row],[FECHA]])</f>
        <v>4</v>
      </c>
      <c r="D2594" s="81">
        <v>45766</v>
      </c>
      <c r="E2594" s="60" t="s">
        <v>114</v>
      </c>
      <c r="F2594" s="65">
        <v>16.256499999999999</v>
      </c>
    </row>
    <row r="2595" spans="2:6" hidden="1" x14ac:dyDescent="0.25">
      <c r="B2595" s="51">
        <f>YEAR(BDRIOSJ[[#This Row],[FECHA]])</f>
        <v>2025</v>
      </c>
      <c r="C2595" s="51">
        <f>MONTH(BDRIOSJ[[#This Row],[FECHA]])</f>
        <v>4</v>
      </c>
      <c r="D2595" s="81">
        <v>45766</v>
      </c>
      <c r="E2595" s="61" t="s">
        <v>115</v>
      </c>
      <c r="F2595" s="65">
        <v>16.256499999999999</v>
      </c>
    </row>
    <row r="2596" spans="2:6" hidden="1" x14ac:dyDescent="0.25">
      <c r="B2596" s="51">
        <f>YEAR(BDRIOSJ[[#This Row],[FECHA]])</f>
        <v>2025</v>
      </c>
      <c r="C2596" s="51">
        <f>MONTH(BDRIOSJ[[#This Row],[FECHA]])</f>
        <v>4</v>
      </c>
      <c r="D2596" s="81">
        <v>45767</v>
      </c>
      <c r="E2596" s="60" t="s">
        <v>111</v>
      </c>
      <c r="F2596" s="127">
        <v>20.302</v>
      </c>
    </row>
    <row r="2597" spans="2:6" hidden="1" x14ac:dyDescent="0.25">
      <c r="B2597" s="51">
        <f>YEAR(BDRIOSJ[[#This Row],[FECHA]])</f>
        <v>2025</v>
      </c>
      <c r="C2597" s="51">
        <f>MONTH(BDRIOSJ[[#This Row],[FECHA]])</f>
        <v>4</v>
      </c>
      <c r="D2597" s="81">
        <v>45767</v>
      </c>
      <c r="E2597" s="60" t="s">
        <v>113</v>
      </c>
      <c r="F2597" s="127">
        <v>20.302</v>
      </c>
    </row>
    <row r="2598" spans="2:6" hidden="1" x14ac:dyDescent="0.25">
      <c r="B2598" s="51">
        <f>YEAR(BDRIOSJ[[#This Row],[FECHA]])</f>
        <v>2025</v>
      </c>
      <c r="C2598" s="51">
        <f>MONTH(BDRIOSJ[[#This Row],[FECHA]])</f>
        <v>4</v>
      </c>
      <c r="D2598" s="81">
        <v>45767</v>
      </c>
      <c r="E2598" s="60" t="s">
        <v>114</v>
      </c>
      <c r="F2598" s="127">
        <v>20.302</v>
      </c>
    </row>
    <row r="2599" spans="2:6" hidden="1" x14ac:dyDescent="0.25">
      <c r="B2599" s="51">
        <f>YEAR(BDRIOSJ[[#This Row],[FECHA]])</f>
        <v>2025</v>
      </c>
      <c r="C2599" s="51">
        <f>MONTH(BDRIOSJ[[#This Row],[FECHA]])</f>
        <v>4</v>
      </c>
      <c r="D2599" s="81">
        <v>45767</v>
      </c>
      <c r="E2599" s="60" t="s">
        <v>115</v>
      </c>
      <c r="F2599" s="127">
        <v>20.302</v>
      </c>
    </row>
    <row r="2600" spans="2:6" hidden="1" x14ac:dyDescent="0.25">
      <c r="B2600" s="51">
        <f>YEAR(BDRIOSJ[[#This Row],[FECHA]])</f>
        <v>2025</v>
      </c>
      <c r="C2600" s="51">
        <f>MONTH(BDRIOSJ[[#This Row],[FECHA]])</f>
        <v>4</v>
      </c>
      <c r="D2600" s="81">
        <v>45768</v>
      </c>
      <c r="E2600" s="60" t="s">
        <v>111</v>
      </c>
      <c r="F2600" s="127">
        <v>16.256499999999999</v>
      </c>
    </row>
    <row r="2601" spans="2:6" hidden="1" x14ac:dyDescent="0.25">
      <c r="B2601" s="51">
        <f>YEAR(BDRIOSJ[[#This Row],[FECHA]])</f>
        <v>2025</v>
      </c>
      <c r="C2601" s="51">
        <f>MONTH(BDRIOSJ[[#This Row],[FECHA]])</f>
        <v>4</v>
      </c>
      <c r="D2601" s="81">
        <v>45768</v>
      </c>
      <c r="E2601" s="60" t="s">
        <v>113</v>
      </c>
      <c r="F2601" s="127">
        <v>16.256499999999999</v>
      </c>
    </row>
    <row r="2602" spans="2:6" hidden="1" x14ac:dyDescent="0.25">
      <c r="B2602" s="51">
        <f>YEAR(BDRIOSJ[[#This Row],[FECHA]])</f>
        <v>2025</v>
      </c>
      <c r="C2602" s="51">
        <f>MONTH(BDRIOSJ[[#This Row],[FECHA]])</f>
        <v>4</v>
      </c>
      <c r="D2602" s="81">
        <v>45768</v>
      </c>
      <c r="E2602" s="60" t="s">
        <v>114</v>
      </c>
      <c r="F2602" s="127">
        <v>16.256499999999999</v>
      </c>
    </row>
    <row r="2603" spans="2:6" hidden="1" x14ac:dyDescent="0.25">
      <c r="B2603" s="51">
        <f>YEAR(BDRIOSJ[[#This Row],[FECHA]])</f>
        <v>2025</v>
      </c>
      <c r="C2603" s="51">
        <f>MONTH(BDRIOSJ[[#This Row],[FECHA]])</f>
        <v>4</v>
      </c>
      <c r="D2603" s="81">
        <v>45768</v>
      </c>
      <c r="E2603" s="60" t="s">
        <v>115</v>
      </c>
      <c r="F2603" s="127">
        <v>16.256499999999999</v>
      </c>
    </row>
    <row r="2604" spans="2:6" hidden="1" x14ac:dyDescent="0.25">
      <c r="B2604" s="51">
        <f>YEAR(BDRIOSJ[[#This Row],[FECHA]])</f>
        <v>2025</v>
      </c>
      <c r="C2604" s="51">
        <f>MONTH(BDRIOSJ[[#This Row],[FECHA]])</f>
        <v>4</v>
      </c>
      <c r="D2604" s="81">
        <v>45769</v>
      </c>
      <c r="E2604" s="60" t="s">
        <v>111</v>
      </c>
      <c r="F2604" s="127">
        <v>16.256499999999999</v>
      </c>
    </row>
    <row r="2605" spans="2:6" hidden="1" x14ac:dyDescent="0.25">
      <c r="B2605" s="51">
        <f>YEAR(BDRIOSJ[[#This Row],[FECHA]])</f>
        <v>2025</v>
      </c>
      <c r="C2605" s="51">
        <f>MONTH(BDRIOSJ[[#This Row],[FECHA]])</f>
        <v>4</v>
      </c>
      <c r="D2605" s="81">
        <v>45769</v>
      </c>
      <c r="E2605" s="60" t="s">
        <v>113</v>
      </c>
      <c r="F2605" s="127">
        <v>16.256499999999999</v>
      </c>
    </row>
    <row r="2606" spans="2:6" hidden="1" x14ac:dyDescent="0.25">
      <c r="B2606" s="51">
        <f>YEAR(BDRIOSJ[[#This Row],[FECHA]])</f>
        <v>2025</v>
      </c>
      <c r="C2606" s="51">
        <f>MONTH(BDRIOSJ[[#This Row],[FECHA]])</f>
        <v>4</v>
      </c>
      <c r="D2606" s="81">
        <v>45769</v>
      </c>
      <c r="E2606" s="60" t="s">
        <v>114</v>
      </c>
      <c r="F2606" s="127">
        <v>16.256499999999999</v>
      </c>
    </row>
    <row r="2607" spans="2:6" hidden="1" x14ac:dyDescent="0.25">
      <c r="B2607" s="51">
        <f>YEAR(BDRIOSJ[[#This Row],[FECHA]])</f>
        <v>2025</v>
      </c>
      <c r="C2607" s="51">
        <f>MONTH(BDRIOSJ[[#This Row],[FECHA]])</f>
        <v>4</v>
      </c>
      <c r="D2607" s="81">
        <v>45769</v>
      </c>
      <c r="E2607" s="60" t="s">
        <v>115</v>
      </c>
      <c r="F2607" s="127">
        <v>16.256499999999999</v>
      </c>
    </row>
    <row r="2608" spans="2:6" hidden="1" x14ac:dyDescent="0.25">
      <c r="B2608" s="51">
        <f>YEAR(BDRIOSJ[[#This Row],[FECHA]])</f>
        <v>2025</v>
      </c>
      <c r="C2608" s="51">
        <f>MONTH(BDRIOSJ[[#This Row],[FECHA]])</f>
        <v>4</v>
      </c>
      <c r="D2608" s="81">
        <v>45770</v>
      </c>
      <c r="E2608" s="60" t="s">
        <v>111</v>
      </c>
      <c r="F2608" s="127">
        <v>17.018899999999999</v>
      </c>
    </row>
    <row r="2609" spans="2:6" hidden="1" x14ac:dyDescent="0.25">
      <c r="B2609" s="51">
        <f>YEAR(BDRIOSJ[[#This Row],[FECHA]])</f>
        <v>2025</v>
      </c>
      <c r="C2609" s="51">
        <f>MONTH(BDRIOSJ[[#This Row],[FECHA]])</f>
        <v>4</v>
      </c>
      <c r="D2609" s="81">
        <v>45770</v>
      </c>
      <c r="E2609" s="60" t="s">
        <v>113</v>
      </c>
      <c r="F2609" s="127">
        <v>17.018899999999999</v>
      </c>
    </row>
    <row r="2610" spans="2:6" hidden="1" x14ac:dyDescent="0.25">
      <c r="B2610" s="51">
        <f>YEAR(BDRIOSJ[[#This Row],[FECHA]])</f>
        <v>2025</v>
      </c>
      <c r="C2610" s="51">
        <f>MONTH(BDRIOSJ[[#This Row],[FECHA]])</f>
        <v>4</v>
      </c>
      <c r="D2610" s="81">
        <v>45770</v>
      </c>
      <c r="E2610" s="60" t="s">
        <v>114</v>
      </c>
      <c r="F2610" s="127">
        <v>17.018899999999999</v>
      </c>
    </row>
    <row r="2611" spans="2:6" hidden="1" x14ac:dyDescent="0.25">
      <c r="B2611" s="51">
        <f>YEAR(BDRIOSJ[[#This Row],[FECHA]])</f>
        <v>2025</v>
      </c>
      <c r="C2611" s="51">
        <f>MONTH(BDRIOSJ[[#This Row],[FECHA]])</f>
        <v>4</v>
      </c>
      <c r="D2611" s="81">
        <v>45770</v>
      </c>
      <c r="E2611" s="60" t="s">
        <v>115</v>
      </c>
      <c r="F2611" s="65">
        <v>16.256499999999999</v>
      </c>
    </row>
    <row r="2612" spans="2:6" hidden="1" x14ac:dyDescent="0.25">
      <c r="B2612" s="51">
        <f>YEAR(BDRIOSJ[[#This Row],[FECHA]])</f>
        <v>2025</v>
      </c>
      <c r="C2612" s="51">
        <f>MONTH(BDRIOSJ[[#This Row],[FECHA]])</f>
        <v>4</v>
      </c>
      <c r="D2612" s="81">
        <v>45771</v>
      </c>
      <c r="E2612" s="60" t="s">
        <v>111</v>
      </c>
      <c r="F2612" s="65">
        <v>12.7944</v>
      </c>
    </row>
    <row r="2613" spans="2:6" hidden="1" x14ac:dyDescent="0.25">
      <c r="B2613" s="51">
        <f>YEAR(BDRIOSJ[[#This Row],[FECHA]])</f>
        <v>2025</v>
      </c>
      <c r="C2613" s="51">
        <f>MONTH(BDRIOSJ[[#This Row],[FECHA]])</f>
        <v>4</v>
      </c>
      <c r="D2613" s="81">
        <v>45771</v>
      </c>
      <c r="E2613" s="60" t="s">
        <v>113</v>
      </c>
      <c r="F2613" s="65">
        <v>12.7944</v>
      </c>
    </row>
    <row r="2614" spans="2:6" hidden="1" x14ac:dyDescent="0.25">
      <c r="B2614" s="51">
        <f>YEAR(BDRIOSJ[[#This Row],[FECHA]])</f>
        <v>2025</v>
      </c>
      <c r="C2614" s="51">
        <f>MONTH(BDRIOSJ[[#This Row],[FECHA]])</f>
        <v>4</v>
      </c>
      <c r="D2614" s="81">
        <v>45771</v>
      </c>
      <c r="E2614" s="60" t="s">
        <v>114</v>
      </c>
      <c r="F2614" s="65">
        <v>12.7944</v>
      </c>
    </row>
    <row r="2615" spans="2:6" hidden="1" x14ac:dyDescent="0.25">
      <c r="B2615" s="51">
        <f>YEAR(BDRIOSJ[[#This Row],[FECHA]])</f>
        <v>2025</v>
      </c>
      <c r="C2615" s="51">
        <f>MONTH(BDRIOSJ[[#This Row],[FECHA]])</f>
        <v>4</v>
      </c>
      <c r="D2615" s="81">
        <v>45771</v>
      </c>
      <c r="E2615" s="60" t="s">
        <v>115</v>
      </c>
      <c r="F2615" s="65">
        <v>12.7944</v>
      </c>
    </row>
    <row r="2616" spans="2:6" hidden="1" x14ac:dyDescent="0.25">
      <c r="B2616" s="51">
        <f>YEAR(BDRIOSJ[[#This Row],[FECHA]])</f>
        <v>2025</v>
      </c>
      <c r="C2616" s="51">
        <f>MONTH(BDRIOSJ[[#This Row],[FECHA]])</f>
        <v>4</v>
      </c>
      <c r="D2616" s="81">
        <v>45772</v>
      </c>
      <c r="E2616" s="60" t="s">
        <v>111</v>
      </c>
      <c r="F2616" s="65">
        <v>9.9158000000000008</v>
      </c>
    </row>
    <row r="2617" spans="2:6" hidden="1" x14ac:dyDescent="0.25">
      <c r="B2617" s="51">
        <f>YEAR(BDRIOSJ[[#This Row],[FECHA]])</f>
        <v>2025</v>
      </c>
      <c r="C2617" s="51">
        <f>MONTH(BDRIOSJ[[#This Row],[FECHA]])</f>
        <v>4</v>
      </c>
      <c r="D2617" s="81">
        <v>45772</v>
      </c>
      <c r="E2617" s="60" t="s">
        <v>113</v>
      </c>
      <c r="F2617" s="65">
        <v>9.9158000000000008</v>
      </c>
    </row>
    <row r="2618" spans="2:6" hidden="1" x14ac:dyDescent="0.25">
      <c r="B2618" s="51">
        <f>YEAR(BDRIOSJ[[#This Row],[FECHA]])</f>
        <v>2025</v>
      </c>
      <c r="C2618" s="51">
        <f>MONTH(BDRIOSJ[[#This Row],[FECHA]])</f>
        <v>4</v>
      </c>
      <c r="D2618" s="81">
        <v>45772</v>
      </c>
      <c r="E2618" s="60" t="s">
        <v>114</v>
      </c>
      <c r="F2618" s="65">
        <v>9.9158000000000008</v>
      </c>
    </row>
    <row r="2619" spans="2:6" hidden="1" x14ac:dyDescent="0.25">
      <c r="B2619" s="51">
        <f>YEAR(BDRIOSJ[[#This Row],[FECHA]])</f>
        <v>2025</v>
      </c>
      <c r="C2619" s="51">
        <f>MONTH(BDRIOSJ[[#This Row],[FECHA]])</f>
        <v>4</v>
      </c>
      <c r="D2619" s="81">
        <v>45772</v>
      </c>
      <c r="E2619" s="60" t="s">
        <v>115</v>
      </c>
      <c r="F2619" s="65">
        <v>9.9158000000000008</v>
      </c>
    </row>
    <row r="2620" spans="2:6" hidden="1" x14ac:dyDescent="0.25">
      <c r="B2620" s="51">
        <f>YEAR(BDRIOSJ[[#This Row],[FECHA]])</f>
        <v>2025</v>
      </c>
      <c r="C2620" s="51">
        <f>MONTH(BDRIOSJ[[#This Row],[FECHA]])</f>
        <v>4</v>
      </c>
      <c r="D2620" s="81">
        <v>45773</v>
      </c>
      <c r="E2620" s="60" t="s">
        <v>111</v>
      </c>
      <c r="F2620" s="65">
        <v>7.6205999999999996</v>
      </c>
    </row>
    <row r="2621" spans="2:6" hidden="1" x14ac:dyDescent="0.25">
      <c r="B2621" s="51">
        <f>YEAR(BDRIOSJ[[#This Row],[FECHA]])</f>
        <v>2025</v>
      </c>
      <c r="C2621" s="51">
        <f>MONTH(BDRIOSJ[[#This Row],[FECHA]])</f>
        <v>4</v>
      </c>
      <c r="D2621" s="81">
        <v>45773</v>
      </c>
      <c r="E2621" s="60" t="s">
        <v>113</v>
      </c>
      <c r="F2621" s="65">
        <v>7.6205999999999996</v>
      </c>
    </row>
    <row r="2622" spans="2:6" hidden="1" x14ac:dyDescent="0.25">
      <c r="B2622" s="51">
        <f>YEAR(BDRIOSJ[[#This Row],[FECHA]])</f>
        <v>2025</v>
      </c>
      <c r="C2622" s="51">
        <f>MONTH(BDRIOSJ[[#This Row],[FECHA]])</f>
        <v>4</v>
      </c>
      <c r="D2622" s="81">
        <v>45773</v>
      </c>
      <c r="E2622" s="60" t="s">
        <v>114</v>
      </c>
      <c r="F2622" s="65">
        <v>7.6205999999999996</v>
      </c>
    </row>
    <row r="2623" spans="2:6" hidden="1" x14ac:dyDescent="0.25">
      <c r="B2623" s="51">
        <f>YEAR(BDRIOSJ[[#This Row],[FECHA]])</f>
        <v>2025</v>
      </c>
      <c r="C2623" s="51">
        <f>MONTH(BDRIOSJ[[#This Row],[FECHA]])</f>
        <v>4</v>
      </c>
      <c r="D2623" s="81">
        <v>45773</v>
      </c>
      <c r="E2623" s="60" t="s">
        <v>115</v>
      </c>
      <c r="F2623" s="65">
        <v>7.6205999999999996</v>
      </c>
    </row>
    <row r="2624" spans="2:6" hidden="1" x14ac:dyDescent="0.25">
      <c r="B2624" s="51">
        <f>YEAR(BDRIOSJ[[#This Row],[FECHA]])</f>
        <v>2025</v>
      </c>
      <c r="C2624" s="51">
        <f>MONTH(BDRIOSJ[[#This Row],[FECHA]])</f>
        <v>4</v>
      </c>
      <c r="D2624" s="81">
        <v>45774</v>
      </c>
      <c r="E2624" s="60" t="s">
        <v>111</v>
      </c>
      <c r="F2624" s="65">
        <v>6.6917999999999997</v>
      </c>
    </row>
    <row r="2625" spans="2:6" hidden="1" x14ac:dyDescent="0.25">
      <c r="B2625" s="51">
        <f>YEAR(BDRIOSJ[[#This Row],[FECHA]])</f>
        <v>2025</v>
      </c>
      <c r="C2625" s="51">
        <f>MONTH(BDRIOSJ[[#This Row],[FECHA]])</f>
        <v>4</v>
      </c>
      <c r="D2625" s="81">
        <v>45774</v>
      </c>
      <c r="E2625" s="60" t="s">
        <v>113</v>
      </c>
      <c r="F2625" s="65">
        <v>5.9088000000000003</v>
      </c>
    </row>
    <row r="2626" spans="2:6" hidden="1" x14ac:dyDescent="0.25">
      <c r="B2626" s="51">
        <f>YEAR(BDRIOSJ[[#This Row],[FECHA]])</f>
        <v>2025</v>
      </c>
      <c r="C2626" s="51">
        <f>MONTH(BDRIOSJ[[#This Row],[FECHA]])</f>
        <v>4</v>
      </c>
      <c r="D2626" s="81">
        <v>45774</v>
      </c>
      <c r="E2626" s="60" t="s">
        <v>114</v>
      </c>
      <c r="F2626" s="65">
        <v>5.9088000000000003</v>
      </c>
    </row>
    <row r="2627" spans="2:6" hidden="1" x14ac:dyDescent="0.25">
      <c r="B2627" s="51">
        <f>YEAR(BDRIOSJ[[#This Row],[FECHA]])</f>
        <v>2025</v>
      </c>
      <c r="C2627" s="51">
        <f>MONTH(BDRIOSJ[[#This Row],[FECHA]])</f>
        <v>4</v>
      </c>
      <c r="D2627" s="81">
        <v>45774</v>
      </c>
      <c r="E2627" s="60" t="s">
        <v>115</v>
      </c>
      <c r="F2627" s="65">
        <v>5.9088000000000003</v>
      </c>
    </row>
    <row r="2628" spans="2:6" hidden="1" x14ac:dyDescent="0.25">
      <c r="B2628" s="51">
        <f>YEAR(BDRIOSJ[[#This Row],[FECHA]])</f>
        <v>2025</v>
      </c>
      <c r="C2628" s="51">
        <f>MONTH(BDRIOSJ[[#This Row],[FECHA]])</f>
        <v>4</v>
      </c>
      <c r="D2628" s="81">
        <v>45775</v>
      </c>
      <c r="E2628" s="60" t="s">
        <v>111</v>
      </c>
      <c r="F2628" s="65">
        <v>5.9088000000000003</v>
      </c>
    </row>
    <row r="2629" spans="2:6" hidden="1" x14ac:dyDescent="0.25">
      <c r="B2629" s="51">
        <f>YEAR(BDRIOSJ[[#This Row],[FECHA]])</f>
        <v>2025</v>
      </c>
      <c r="C2629" s="51">
        <f>MONTH(BDRIOSJ[[#This Row],[FECHA]])</f>
        <v>4</v>
      </c>
      <c r="D2629" s="81">
        <v>45775</v>
      </c>
      <c r="E2629" s="60" t="s">
        <v>113</v>
      </c>
      <c r="F2629" s="65">
        <v>4.7805</v>
      </c>
    </row>
    <row r="2630" spans="2:6" hidden="1" x14ac:dyDescent="0.25">
      <c r="B2630" s="51">
        <f>YEAR(BDRIOSJ[[#This Row],[FECHA]])</f>
        <v>2025</v>
      </c>
      <c r="C2630" s="51">
        <f>MONTH(BDRIOSJ[[#This Row],[FECHA]])</f>
        <v>4</v>
      </c>
      <c r="D2630" s="81">
        <v>45775</v>
      </c>
      <c r="E2630" s="60" t="s">
        <v>114</v>
      </c>
      <c r="F2630" s="65">
        <v>4.7805</v>
      </c>
    </row>
    <row r="2631" spans="2:6" hidden="1" x14ac:dyDescent="0.25">
      <c r="B2631" s="51">
        <f>YEAR(BDRIOSJ[[#This Row],[FECHA]])</f>
        <v>2025</v>
      </c>
      <c r="C2631" s="51">
        <f>MONTH(BDRIOSJ[[#This Row],[FECHA]])</f>
        <v>4</v>
      </c>
      <c r="D2631" s="81">
        <v>45775</v>
      </c>
      <c r="E2631" s="60" t="s">
        <v>115</v>
      </c>
      <c r="F2631" s="65">
        <v>4.7805</v>
      </c>
    </row>
    <row r="2632" spans="2:6" hidden="1" x14ac:dyDescent="0.25">
      <c r="B2632" s="51">
        <f>YEAR(BDRIOSJ[[#This Row],[FECHA]])</f>
        <v>2025</v>
      </c>
      <c r="C2632" s="51">
        <f>MONTH(BDRIOSJ[[#This Row],[FECHA]])</f>
        <v>4</v>
      </c>
      <c r="D2632" s="81">
        <v>45776</v>
      </c>
      <c r="E2632" s="60" t="s">
        <v>111</v>
      </c>
      <c r="F2632" s="65">
        <v>4.2742000000000004</v>
      </c>
    </row>
    <row r="2633" spans="2:6" hidden="1" x14ac:dyDescent="0.25">
      <c r="B2633" s="51">
        <f>YEAR(BDRIOSJ[[#This Row],[FECHA]])</f>
        <v>2025</v>
      </c>
      <c r="C2633" s="51">
        <f>MONTH(BDRIOSJ[[#This Row],[FECHA]])</f>
        <v>4</v>
      </c>
      <c r="D2633" s="81">
        <v>45776</v>
      </c>
      <c r="E2633" s="60" t="s">
        <v>113</v>
      </c>
      <c r="F2633" s="65">
        <v>4.2742000000000004</v>
      </c>
    </row>
    <row r="2634" spans="2:6" hidden="1" x14ac:dyDescent="0.25">
      <c r="B2634" s="51">
        <f>YEAR(BDRIOSJ[[#This Row],[FECHA]])</f>
        <v>2025</v>
      </c>
      <c r="C2634" s="51">
        <f>MONTH(BDRIOSJ[[#This Row],[FECHA]])</f>
        <v>4</v>
      </c>
      <c r="D2634" s="81">
        <v>45776</v>
      </c>
      <c r="E2634" s="60" t="s">
        <v>114</v>
      </c>
      <c r="F2634" s="65">
        <v>4.2742000000000004</v>
      </c>
    </row>
    <row r="2635" spans="2:6" hidden="1" x14ac:dyDescent="0.25">
      <c r="B2635" s="51">
        <f>YEAR(BDRIOSJ[[#This Row],[FECHA]])</f>
        <v>2025</v>
      </c>
      <c r="C2635" s="51">
        <f>MONTH(BDRIOSJ[[#This Row],[FECHA]])</f>
        <v>4</v>
      </c>
      <c r="D2635" s="81">
        <v>45776</v>
      </c>
      <c r="E2635" s="60" t="s">
        <v>115</v>
      </c>
      <c r="F2635" s="65">
        <v>4.2742000000000004</v>
      </c>
    </row>
    <row r="2636" spans="2:6" hidden="1" x14ac:dyDescent="0.25">
      <c r="B2636" s="51">
        <f>YEAR(BDRIOSJ[[#This Row],[FECHA]])</f>
        <v>2025</v>
      </c>
      <c r="C2636" s="51">
        <f>MONTH(BDRIOSJ[[#This Row],[FECHA]])</f>
        <v>4</v>
      </c>
      <c r="D2636" s="81">
        <v>45777</v>
      </c>
      <c r="E2636" s="60" t="s">
        <v>111</v>
      </c>
      <c r="F2636" s="65">
        <v>4.2742000000000004</v>
      </c>
    </row>
    <row r="2637" spans="2:6" hidden="1" x14ac:dyDescent="0.25">
      <c r="B2637" s="51">
        <f>YEAR(BDRIOSJ[[#This Row],[FECHA]])</f>
        <v>2025</v>
      </c>
      <c r="C2637" s="51">
        <f>MONTH(BDRIOSJ[[#This Row],[FECHA]])</f>
        <v>4</v>
      </c>
      <c r="D2637" s="81">
        <v>45777</v>
      </c>
      <c r="E2637" s="60" t="s">
        <v>113</v>
      </c>
      <c r="F2637" s="65">
        <v>4.2742000000000004</v>
      </c>
    </row>
    <row r="2638" spans="2:6" hidden="1" x14ac:dyDescent="0.25">
      <c r="B2638" s="51">
        <f>YEAR(BDRIOSJ[[#This Row],[FECHA]])</f>
        <v>2025</v>
      </c>
      <c r="C2638" s="51">
        <f>MONTH(BDRIOSJ[[#This Row],[FECHA]])</f>
        <v>4</v>
      </c>
      <c r="D2638" s="81">
        <v>45777</v>
      </c>
      <c r="E2638" s="60" t="s">
        <v>114</v>
      </c>
      <c r="F2638" s="65">
        <v>4.2742000000000004</v>
      </c>
    </row>
    <row r="2639" spans="2:6" hidden="1" x14ac:dyDescent="0.25">
      <c r="B2639" s="51">
        <f>YEAR(BDRIOSJ[[#This Row],[FECHA]])</f>
        <v>2025</v>
      </c>
      <c r="C2639" s="51">
        <f>MONTH(BDRIOSJ[[#This Row],[FECHA]])</f>
        <v>4</v>
      </c>
      <c r="D2639" s="81">
        <v>45777</v>
      </c>
      <c r="E2639" s="60" t="s">
        <v>115</v>
      </c>
      <c r="F2639" s="65">
        <v>4.2742000000000004</v>
      </c>
    </row>
    <row r="2640" spans="2:6" hidden="1" x14ac:dyDescent="0.25">
      <c r="B2640" s="51">
        <f>YEAR(BDRIOSJ[[#This Row],[FECHA]])</f>
        <v>2025</v>
      </c>
      <c r="C2640" s="51">
        <f>MONTH(BDRIOSJ[[#This Row],[FECHA]])</f>
        <v>5</v>
      </c>
      <c r="D2640" s="81">
        <v>45778</v>
      </c>
      <c r="E2640" s="60" t="s">
        <v>111</v>
      </c>
      <c r="F2640" s="65">
        <v>4.2198000000000002</v>
      </c>
    </row>
    <row r="2641" spans="2:6" hidden="1" x14ac:dyDescent="0.25">
      <c r="B2641" s="51">
        <f>YEAR(BDRIOSJ[[#This Row],[FECHA]])</f>
        <v>2025</v>
      </c>
      <c r="C2641" s="51">
        <f>MONTH(BDRIOSJ[[#This Row],[FECHA]])</f>
        <v>5</v>
      </c>
      <c r="D2641" s="81">
        <v>45778</v>
      </c>
      <c r="E2641" s="60" t="s">
        <v>113</v>
      </c>
      <c r="F2641" s="65">
        <v>4.2742000000000004</v>
      </c>
    </row>
    <row r="2642" spans="2:6" hidden="1" x14ac:dyDescent="0.25">
      <c r="B2642" s="51">
        <f>YEAR(BDRIOSJ[[#This Row],[FECHA]])</f>
        <v>2025</v>
      </c>
      <c r="C2642" s="51">
        <f>MONTH(BDRIOSJ[[#This Row],[FECHA]])</f>
        <v>5</v>
      </c>
      <c r="D2642" s="81">
        <v>45778</v>
      </c>
      <c r="E2642" s="60" t="s">
        <v>114</v>
      </c>
      <c r="F2642" s="65">
        <v>4.2742000000000004</v>
      </c>
    </row>
    <row r="2643" spans="2:6" hidden="1" x14ac:dyDescent="0.25">
      <c r="B2643" s="51">
        <f>YEAR(BDRIOSJ[[#This Row],[FECHA]])</f>
        <v>2025</v>
      </c>
      <c r="C2643" s="51">
        <f>MONTH(BDRIOSJ[[#This Row],[FECHA]])</f>
        <v>5</v>
      </c>
      <c r="D2643" s="81">
        <v>45778</v>
      </c>
      <c r="E2643" s="60" t="s">
        <v>115</v>
      </c>
      <c r="F2643" s="65">
        <v>4.2742000000000004</v>
      </c>
    </row>
    <row r="2644" spans="2:6" hidden="1" x14ac:dyDescent="0.25">
      <c r="B2644" s="51">
        <f>YEAR(BDRIOSJ[[#This Row],[FECHA]])</f>
        <v>2025</v>
      </c>
      <c r="C2644" s="51">
        <f>MONTH(BDRIOSJ[[#This Row],[FECHA]])</f>
        <v>5</v>
      </c>
      <c r="D2644" s="81">
        <v>45779</v>
      </c>
      <c r="E2644" s="60" t="s">
        <v>111</v>
      </c>
      <c r="F2644" s="65">
        <v>4.2742000000000004</v>
      </c>
    </row>
    <row r="2645" spans="2:6" hidden="1" x14ac:dyDescent="0.25">
      <c r="B2645" s="51">
        <f>YEAR(BDRIOSJ[[#This Row],[FECHA]])</f>
        <v>2025</v>
      </c>
      <c r="C2645" s="51">
        <f>MONTH(BDRIOSJ[[#This Row],[FECHA]])</f>
        <v>5</v>
      </c>
      <c r="D2645" s="81">
        <v>45779</v>
      </c>
      <c r="E2645" s="60" t="s">
        <v>113</v>
      </c>
      <c r="F2645" s="65">
        <v>4.2742000000000004</v>
      </c>
    </row>
    <row r="2646" spans="2:6" hidden="1" x14ac:dyDescent="0.25">
      <c r="B2646" s="51">
        <f>YEAR(BDRIOSJ[[#This Row],[FECHA]])</f>
        <v>2025</v>
      </c>
      <c r="C2646" s="51">
        <f>MONTH(BDRIOSJ[[#This Row],[FECHA]])</f>
        <v>5</v>
      </c>
      <c r="D2646" s="81">
        <v>45779</v>
      </c>
      <c r="E2646" s="60" t="s">
        <v>114</v>
      </c>
      <c r="F2646" s="65">
        <v>4.2742000000000004</v>
      </c>
    </row>
    <row r="2647" spans="2:6" hidden="1" x14ac:dyDescent="0.25">
      <c r="B2647" s="51">
        <f>YEAR(BDRIOSJ[[#This Row],[FECHA]])</f>
        <v>2025</v>
      </c>
      <c r="C2647" s="51">
        <f>MONTH(BDRIOSJ[[#This Row],[FECHA]])</f>
        <v>5</v>
      </c>
      <c r="D2647" s="81">
        <v>45779</v>
      </c>
      <c r="E2647" s="60" t="s">
        <v>115</v>
      </c>
      <c r="F2647" s="65">
        <v>4.2742000000000004</v>
      </c>
    </row>
    <row r="2648" spans="2:6" hidden="1" x14ac:dyDescent="0.25">
      <c r="B2648" s="52">
        <f>YEAR(BDRIOSJ[[#This Row],[FECHA]])</f>
        <v>2025</v>
      </c>
      <c r="C2648" s="52">
        <f>MONTH(BDRIOSJ[[#This Row],[FECHA]])</f>
        <v>5</v>
      </c>
      <c r="D2648" s="81">
        <v>45780</v>
      </c>
      <c r="E2648" s="60" t="s">
        <v>111</v>
      </c>
      <c r="F2648" s="65">
        <v>4.2198000000000002</v>
      </c>
    </row>
    <row r="2649" spans="2:6" hidden="1" x14ac:dyDescent="0.25">
      <c r="B2649" s="52">
        <f>YEAR(BDRIOSJ[[#This Row],[FECHA]])</f>
        <v>2025</v>
      </c>
      <c r="C2649" s="52">
        <f>MONTH(BDRIOSJ[[#This Row],[FECHA]])</f>
        <v>5</v>
      </c>
      <c r="D2649" s="81">
        <v>45780</v>
      </c>
      <c r="E2649" s="60" t="s">
        <v>113</v>
      </c>
      <c r="F2649" s="65">
        <v>4.2742000000000004</v>
      </c>
    </row>
    <row r="2650" spans="2:6" hidden="1" x14ac:dyDescent="0.25">
      <c r="B2650" s="52">
        <f>YEAR(BDRIOSJ[[#This Row],[FECHA]])</f>
        <v>2025</v>
      </c>
      <c r="C2650" s="52">
        <f>MONTH(BDRIOSJ[[#This Row],[FECHA]])</f>
        <v>5</v>
      </c>
      <c r="D2650" s="81">
        <v>45780</v>
      </c>
      <c r="E2650" s="60" t="s">
        <v>114</v>
      </c>
      <c r="F2650" s="82">
        <v>4.2742000000000004</v>
      </c>
    </row>
    <row r="2651" spans="2:6" hidden="1" x14ac:dyDescent="0.25">
      <c r="B2651" s="52">
        <f>YEAR(BDRIOSJ[[#This Row],[FECHA]])</f>
        <v>2025</v>
      </c>
      <c r="C2651" s="52">
        <f>MONTH(BDRIOSJ[[#This Row],[FECHA]])</f>
        <v>5</v>
      </c>
      <c r="D2651" s="81">
        <v>45780</v>
      </c>
      <c r="E2651" s="60" t="s">
        <v>115</v>
      </c>
      <c r="F2651" s="82">
        <v>4.2742000000000004</v>
      </c>
    </row>
    <row r="2652" spans="2:6" hidden="1" x14ac:dyDescent="0.25">
      <c r="B2652" s="52">
        <f>YEAR(BDRIOSJ[[#This Row],[FECHA]])</f>
        <v>2025</v>
      </c>
      <c r="C2652" s="52">
        <f>MONTH(BDRIOSJ[[#This Row],[FECHA]])</f>
        <v>5</v>
      </c>
      <c r="D2652" s="81">
        <v>45781</v>
      </c>
      <c r="E2652" s="60" t="s">
        <v>111</v>
      </c>
      <c r="F2652" s="82">
        <v>4.2742000000000004</v>
      </c>
    </row>
    <row r="2653" spans="2:6" hidden="1" x14ac:dyDescent="0.25">
      <c r="B2653" s="52">
        <f>YEAR(BDRIOSJ[[#This Row],[FECHA]])</f>
        <v>2025</v>
      </c>
      <c r="C2653" s="52">
        <f>MONTH(BDRIOSJ[[#This Row],[FECHA]])</f>
        <v>5</v>
      </c>
      <c r="D2653" s="81">
        <v>45781</v>
      </c>
      <c r="E2653" s="60" t="s">
        <v>113</v>
      </c>
      <c r="F2653" s="82">
        <v>4.2355999999999998</v>
      </c>
    </row>
    <row r="2654" spans="2:6" hidden="1" x14ac:dyDescent="0.25">
      <c r="B2654" s="52">
        <f>YEAR(BDRIOSJ[[#This Row],[FECHA]])</f>
        <v>2025</v>
      </c>
      <c r="C2654" s="52">
        <f>MONTH(BDRIOSJ[[#This Row],[FECHA]])</f>
        <v>5</v>
      </c>
      <c r="D2654" s="81">
        <v>45781</v>
      </c>
      <c r="E2654" s="60" t="s">
        <v>114</v>
      </c>
      <c r="F2654" s="82">
        <v>4.2355999999999998</v>
      </c>
    </row>
    <row r="2655" spans="2:6" hidden="1" x14ac:dyDescent="0.25">
      <c r="B2655" s="52">
        <f>YEAR(BDRIOSJ[[#This Row],[FECHA]])</f>
        <v>2025</v>
      </c>
      <c r="C2655" s="52">
        <f>MONTH(BDRIOSJ[[#This Row],[FECHA]])</f>
        <v>5</v>
      </c>
      <c r="D2655" s="81">
        <v>45781</v>
      </c>
      <c r="E2655" s="60" t="s">
        <v>115</v>
      </c>
      <c r="F2655" s="82">
        <v>4.1886999999999999</v>
      </c>
    </row>
    <row r="2656" spans="2:6" hidden="1" x14ac:dyDescent="0.25">
      <c r="B2656" s="51">
        <f>YEAR(BDRIOSJ[[#This Row],[FECHA]])</f>
        <v>2025</v>
      </c>
      <c r="C2656" s="51">
        <f>MONTH(BDRIOSJ[[#This Row],[FECHA]])</f>
        <v>5</v>
      </c>
      <c r="D2656" s="81">
        <v>45782</v>
      </c>
      <c r="E2656" s="60" t="s">
        <v>111</v>
      </c>
      <c r="F2656" s="82">
        <v>4.2198000000000002</v>
      </c>
    </row>
    <row r="2657" spans="2:6" hidden="1" x14ac:dyDescent="0.25">
      <c r="B2657" s="51">
        <f>YEAR(BDRIOSJ[[#This Row],[FECHA]])</f>
        <v>2025</v>
      </c>
      <c r="C2657" s="51">
        <f>MONTH(BDRIOSJ[[#This Row],[FECHA]])</f>
        <v>5</v>
      </c>
      <c r="D2657" s="81">
        <v>45782</v>
      </c>
      <c r="E2657" s="60" t="s">
        <v>113</v>
      </c>
      <c r="F2657" s="82">
        <v>4.2198000000000002</v>
      </c>
    </row>
    <row r="2658" spans="2:6" hidden="1" x14ac:dyDescent="0.25">
      <c r="B2658" s="51">
        <f>YEAR(BDRIOSJ[[#This Row],[FECHA]])</f>
        <v>2025</v>
      </c>
      <c r="C2658" s="51">
        <f>MONTH(BDRIOSJ[[#This Row],[FECHA]])</f>
        <v>5</v>
      </c>
      <c r="D2658" s="81">
        <v>45782</v>
      </c>
      <c r="E2658" s="60" t="s">
        <v>114</v>
      </c>
      <c r="F2658" s="65">
        <v>4.2742000000000004</v>
      </c>
    </row>
    <row r="2659" spans="2:6" hidden="1" x14ac:dyDescent="0.25">
      <c r="B2659" s="51">
        <f>YEAR(BDRIOSJ[[#This Row],[FECHA]])</f>
        <v>2025</v>
      </c>
      <c r="C2659" s="51">
        <f>MONTH(BDRIOSJ[[#This Row],[FECHA]])</f>
        <v>5</v>
      </c>
      <c r="D2659" s="81">
        <v>45782</v>
      </c>
      <c r="E2659" s="60" t="s">
        <v>115</v>
      </c>
      <c r="F2659" s="65">
        <v>4.2742000000000004</v>
      </c>
    </row>
    <row r="2660" spans="2:6" hidden="1" x14ac:dyDescent="0.25">
      <c r="B2660" s="51">
        <f>YEAR(BDRIOSJ[[#This Row],[FECHA]])</f>
        <v>2025</v>
      </c>
      <c r="C2660" s="51">
        <f>MONTH(BDRIOSJ[[#This Row],[FECHA]])</f>
        <v>5</v>
      </c>
      <c r="D2660" s="81">
        <v>45783</v>
      </c>
      <c r="E2660" s="60" t="s">
        <v>111</v>
      </c>
      <c r="F2660" s="65">
        <v>4.2742000000000004</v>
      </c>
    </row>
    <row r="2661" spans="2:6" hidden="1" x14ac:dyDescent="0.25">
      <c r="B2661" s="51">
        <f>YEAR(BDRIOSJ[[#This Row],[FECHA]])</f>
        <v>2025</v>
      </c>
      <c r="C2661" s="51">
        <f>MONTH(BDRIOSJ[[#This Row],[FECHA]])</f>
        <v>5</v>
      </c>
      <c r="D2661" s="81">
        <v>45783</v>
      </c>
      <c r="E2661" s="60" t="s">
        <v>113</v>
      </c>
      <c r="F2661" s="65">
        <v>4.2742000000000004</v>
      </c>
    </row>
    <row r="2662" spans="2:6" hidden="1" x14ac:dyDescent="0.25">
      <c r="B2662" s="51">
        <f>YEAR(BDRIOSJ[[#This Row],[FECHA]])</f>
        <v>2025</v>
      </c>
      <c r="C2662" s="51">
        <f>MONTH(BDRIOSJ[[#This Row],[FECHA]])</f>
        <v>5</v>
      </c>
      <c r="D2662" s="81">
        <v>45783</v>
      </c>
      <c r="E2662" s="60" t="s">
        <v>114</v>
      </c>
      <c r="F2662" s="65">
        <v>4.3518999999999997</v>
      </c>
    </row>
    <row r="2663" spans="2:6" hidden="1" x14ac:dyDescent="0.25">
      <c r="B2663" s="51">
        <f>YEAR(BDRIOSJ[[#This Row],[FECHA]])</f>
        <v>2025</v>
      </c>
      <c r="C2663" s="51">
        <f>MONTH(BDRIOSJ[[#This Row],[FECHA]])</f>
        <v>5</v>
      </c>
      <c r="D2663" s="81">
        <v>45783</v>
      </c>
      <c r="E2663" s="60" t="s">
        <v>115</v>
      </c>
      <c r="F2663" s="65">
        <v>4.3518999999999997</v>
      </c>
    </row>
    <row r="2664" spans="2:6" hidden="1" x14ac:dyDescent="0.25">
      <c r="B2664" s="51">
        <f>YEAR(BDRIOSJ[[#This Row],[FECHA]])</f>
        <v>2025</v>
      </c>
      <c r="C2664" s="51">
        <f>MONTH(BDRIOSJ[[#This Row],[FECHA]])</f>
        <v>5</v>
      </c>
      <c r="D2664" s="81">
        <v>45784</v>
      </c>
      <c r="E2664" s="60" t="s">
        <v>111</v>
      </c>
      <c r="F2664" s="65">
        <v>4.3518999999999997</v>
      </c>
    </row>
    <row r="2665" spans="2:6" hidden="1" x14ac:dyDescent="0.25">
      <c r="B2665" s="51">
        <f>YEAR(BDRIOSJ[[#This Row],[FECHA]])</f>
        <v>2025</v>
      </c>
      <c r="C2665" s="51">
        <f>MONTH(BDRIOSJ[[#This Row],[FECHA]])</f>
        <v>5</v>
      </c>
      <c r="D2665" s="81">
        <v>45784</v>
      </c>
      <c r="E2665" s="60" t="s">
        <v>113</v>
      </c>
      <c r="F2665" s="65">
        <v>4.2742000000000004</v>
      </c>
    </row>
    <row r="2666" spans="2:6" hidden="1" x14ac:dyDescent="0.25">
      <c r="B2666" s="51">
        <f>YEAR(BDRIOSJ[[#This Row],[FECHA]])</f>
        <v>2025</v>
      </c>
      <c r="C2666" s="51">
        <f>MONTH(BDRIOSJ[[#This Row],[FECHA]])</f>
        <v>5</v>
      </c>
      <c r="D2666" s="81">
        <v>45784</v>
      </c>
      <c r="E2666" s="60" t="s">
        <v>114</v>
      </c>
      <c r="F2666" s="65">
        <v>4.2742000000000004</v>
      </c>
    </row>
    <row r="2667" spans="2:6" hidden="1" x14ac:dyDescent="0.25">
      <c r="B2667" s="51">
        <f>YEAR(BDRIOSJ[[#This Row],[FECHA]])</f>
        <v>2025</v>
      </c>
      <c r="C2667" s="51">
        <f>MONTH(BDRIOSJ[[#This Row],[FECHA]])</f>
        <v>5</v>
      </c>
      <c r="D2667" s="81">
        <v>45784</v>
      </c>
      <c r="E2667" s="60" t="s">
        <v>115</v>
      </c>
      <c r="F2667" s="65">
        <v>4.2742000000000004</v>
      </c>
    </row>
    <row r="2668" spans="2:6" hidden="1" x14ac:dyDescent="0.25">
      <c r="B2668" s="51">
        <f>YEAR(BDRIOSJ[[#This Row],[FECHA]])</f>
        <v>2025</v>
      </c>
      <c r="C2668" s="51">
        <f>MONTH(BDRIOSJ[[#This Row],[FECHA]])</f>
        <v>5</v>
      </c>
      <c r="D2668" s="81">
        <v>45785</v>
      </c>
      <c r="E2668" s="60" t="s">
        <v>111</v>
      </c>
      <c r="F2668" s="65">
        <v>4.2742000000000004</v>
      </c>
    </row>
    <row r="2669" spans="2:6" hidden="1" x14ac:dyDescent="0.25">
      <c r="B2669" s="51">
        <f>YEAR(BDRIOSJ[[#This Row],[FECHA]])</f>
        <v>2025</v>
      </c>
      <c r="C2669" s="51">
        <f>MONTH(BDRIOSJ[[#This Row],[FECHA]])</f>
        <v>5</v>
      </c>
      <c r="D2669" s="81">
        <v>45785</v>
      </c>
      <c r="E2669" s="60" t="s">
        <v>113</v>
      </c>
      <c r="F2669" s="65">
        <v>4.2742000000000004</v>
      </c>
    </row>
    <row r="2670" spans="2:6" hidden="1" x14ac:dyDescent="0.25">
      <c r="B2670" s="51">
        <f>YEAR(BDRIOSJ[[#This Row],[FECHA]])</f>
        <v>2025</v>
      </c>
      <c r="C2670" s="51">
        <f>MONTH(BDRIOSJ[[#This Row],[FECHA]])</f>
        <v>5</v>
      </c>
      <c r="D2670" s="81">
        <v>45785</v>
      </c>
      <c r="E2670" s="60" t="s">
        <v>114</v>
      </c>
      <c r="F2670" s="65">
        <v>4.2742000000000004</v>
      </c>
    </row>
    <row r="2671" spans="2:6" hidden="1" x14ac:dyDescent="0.25">
      <c r="B2671" s="51">
        <f>YEAR(BDRIOSJ[[#This Row],[FECHA]])</f>
        <v>2025</v>
      </c>
      <c r="C2671" s="51">
        <f>MONTH(BDRIOSJ[[#This Row],[FECHA]])</f>
        <v>5</v>
      </c>
      <c r="D2671" s="81">
        <v>45785</v>
      </c>
      <c r="E2671" s="60" t="s">
        <v>115</v>
      </c>
      <c r="F2671" s="65">
        <v>4.2742000000000004</v>
      </c>
    </row>
    <row r="2672" spans="2:6" hidden="1" x14ac:dyDescent="0.25">
      <c r="B2672" s="51">
        <f>YEAR(BDRIOSJ[[#This Row],[FECHA]])</f>
        <v>2025</v>
      </c>
      <c r="C2672" s="51">
        <f>MONTH(BDRIOSJ[[#This Row],[FECHA]])</f>
        <v>5</v>
      </c>
      <c r="D2672" s="81">
        <v>45786</v>
      </c>
      <c r="E2672" s="60" t="s">
        <v>111</v>
      </c>
      <c r="F2672" s="65">
        <v>4.2742000000000004</v>
      </c>
    </row>
    <row r="2673" spans="2:6" hidden="1" x14ac:dyDescent="0.25">
      <c r="B2673" s="51">
        <f>YEAR(BDRIOSJ[[#This Row],[FECHA]])</f>
        <v>2025</v>
      </c>
      <c r="C2673" s="51">
        <f>MONTH(BDRIOSJ[[#This Row],[FECHA]])</f>
        <v>5</v>
      </c>
      <c r="D2673" s="81">
        <v>45786</v>
      </c>
      <c r="E2673" s="60" t="s">
        <v>113</v>
      </c>
      <c r="F2673" s="65">
        <v>4.2742000000000004</v>
      </c>
    </row>
    <row r="2674" spans="2:6" hidden="1" x14ac:dyDescent="0.25">
      <c r="B2674" s="51">
        <f>YEAR(BDRIOSJ[[#This Row],[FECHA]])</f>
        <v>2025</v>
      </c>
      <c r="C2674" s="51">
        <f>MONTH(BDRIOSJ[[#This Row],[FECHA]])</f>
        <v>5</v>
      </c>
      <c r="D2674" s="81">
        <v>45786</v>
      </c>
      <c r="E2674" s="60" t="s">
        <v>114</v>
      </c>
      <c r="F2674" s="65">
        <v>4.2742000000000004</v>
      </c>
    </row>
    <row r="2675" spans="2:6" hidden="1" x14ac:dyDescent="0.25">
      <c r="B2675" s="51">
        <f>YEAR(BDRIOSJ[[#This Row],[FECHA]])</f>
        <v>2025</v>
      </c>
      <c r="C2675" s="51">
        <f>MONTH(BDRIOSJ[[#This Row],[FECHA]])</f>
        <v>5</v>
      </c>
      <c r="D2675" s="81">
        <v>45786</v>
      </c>
      <c r="E2675" s="60" t="s">
        <v>115</v>
      </c>
      <c r="F2675" s="65">
        <v>4.2742000000000004</v>
      </c>
    </row>
    <row r="2676" spans="2:6" hidden="1" x14ac:dyDescent="0.25">
      <c r="B2676" s="51">
        <f>YEAR(BDRIOSJ[[#This Row],[FECHA]])</f>
        <v>2025</v>
      </c>
      <c r="C2676" s="51">
        <f>MONTH(BDRIOSJ[[#This Row],[FECHA]])</f>
        <v>5</v>
      </c>
      <c r="D2676" s="81">
        <v>45787</v>
      </c>
      <c r="E2676" s="60" t="s">
        <v>111</v>
      </c>
      <c r="F2676" s="65">
        <v>4.8962000000000003</v>
      </c>
    </row>
    <row r="2677" spans="2:6" hidden="1" x14ac:dyDescent="0.25">
      <c r="B2677" s="51">
        <f>YEAR(BDRIOSJ[[#This Row],[FECHA]])</f>
        <v>2025</v>
      </c>
      <c r="C2677" s="51">
        <f>MONTH(BDRIOSJ[[#This Row],[FECHA]])</f>
        <v>5</v>
      </c>
      <c r="D2677" s="81">
        <v>45787</v>
      </c>
      <c r="E2677" s="60" t="s">
        <v>113</v>
      </c>
      <c r="F2677" s="65">
        <v>4.8962000000000003</v>
      </c>
    </row>
    <row r="2678" spans="2:6" hidden="1" x14ac:dyDescent="0.25">
      <c r="B2678" s="51">
        <f>YEAR(BDRIOSJ[[#This Row],[FECHA]])</f>
        <v>2025</v>
      </c>
      <c r="C2678" s="51">
        <f>MONTH(BDRIOSJ[[#This Row],[FECHA]])</f>
        <v>5</v>
      </c>
      <c r="D2678" s="81">
        <v>45787</v>
      </c>
      <c r="E2678" s="60" t="s">
        <v>114</v>
      </c>
      <c r="F2678" s="65">
        <v>4.8962000000000003</v>
      </c>
    </row>
    <row r="2679" spans="2:6" hidden="1" x14ac:dyDescent="0.25">
      <c r="B2679" s="51">
        <f>YEAR(BDRIOSJ[[#This Row],[FECHA]])</f>
        <v>2025</v>
      </c>
      <c r="C2679" s="51">
        <f>MONTH(BDRIOSJ[[#This Row],[FECHA]])</f>
        <v>5</v>
      </c>
      <c r="D2679" s="81">
        <v>45787</v>
      </c>
      <c r="E2679" s="60" t="s">
        <v>115</v>
      </c>
      <c r="F2679" s="65">
        <v>4.8962000000000003</v>
      </c>
    </row>
    <row r="2680" spans="2:6" hidden="1" x14ac:dyDescent="0.25">
      <c r="B2680" s="51">
        <f>YEAR(BDRIOSJ[[#This Row],[FECHA]])</f>
        <v>2025</v>
      </c>
      <c r="C2680" s="51">
        <f>MONTH(BDRIOSJ[[#This Row],[FECHA]])</f>
        <v>5</v>
      </c>
      <c r="D2680" s="81">
        <v>45788</v>
      </c>
      <c r="E2680" s="60" t="s">
        <v>111</v>
      </c>
      <c r="F2680" s="65">
        <v>4.8962000000000003</v>
      </c>
    </row>
    <row r="2681" spans="2:6" hidden="1" x14ac:dyDescent="0.25">
      <c r="B2681" s="51">
        <f>YEAR(BDRIOSJ[[#This Row],[FECHA]])</f>
        <v>2025</v>
      </c>
      <c r="C2681" s="51">
        <f>MONTH(BDRIOSJ[[#This Row],[FECHA]])</f>
        <v>5</v>
      </c>
      <c r="D2681" s="81">
        <v>45788</v>
      </c>
      <c r="E2681" s="60" t="s">
        <v>113</v>
      </c>
      <c r="F2681" s="65">
        <v>4.8962000000000003</v>
      </c>
    </row>
    <row r="2682" spans="2:6" hidden="1" x14ac:dyDescent="0.25">
      <c r="B2682" s="51">
        <f>YEAR(BDRIOSJ[[#This Row],[FECHA]])</f>
        <v>2025</v>
      </c>
      <c r="C2682" s="51">
        <f>MONTH(BDRIOSJ[[#This Row],[FECHA]])</f>
        <v>5</v>
      </c>
      <c r="D2682" s="81">
        <v>45788</v>
      </c>
      <c r="E2682" s="60" t="s">
        <v>114</v>
      </c>
      <c r="F2682" s="65">
        <v>4.8962000000000003</v>
      </c>
    </row>
    <row r="2683" spans="2:6" hidden="1" x14ac:dyDescent="0.25">
      <c r="B2683" s="51">
        <f>YEAR(BDRIOSJ[[#This Row],[FECHA]])</f>
        <v>2025</v>
      </c>
      <c r="C2683" s="51">
        <f>MONTH(BDRIOSJ[[#This Row],[FECHA]])</f>
        <v>5</v>
      </c>
      <c r="D2683" s="81">
        <v>45788</v>
      </c>
      <c r="E2683" s="60" t="s">
        <v>115</v>
      </c>
      <c r="F2683" s="65">
        <v>4.8962000000000003</v>
      </c>
    </row>
    <row r="2684" spans="2:6" hidden="1" x14ac:dyDescent="0.25">
      <c r="B2684" s="51">
        <f>YEAR(BDRIOSJ[[#This Row],[FECHA]])</f>
        <v>2025</v>
      </c>
      <c r="C2684" s="51">
        <f>MONTH(BDRIOSJ[[#This Row],[FECHA]])</f>
        <v>5</v>
      </c>
      <c r="D2684" s="81">
        <v>45789</v>
      </c>
      <c r="E2684" s="60" t="s">
        <v>111</v>
      </c>
      <c r="F2684" s="65">
        <v>4.8962000000000003</v>
      </c>
    </row>
    <row r="2685" spans="2:6" hidden="1" x14ac:dyDescent="0.25">
      <c r="B2685" s="51">
        <f>YEAR(BDRIOSJ[[#This Row],[FECHA]])</f>
        <v>2025</v>
      </c>
      <c r="C2685" s="51">
        <f>MONTH(BDRIOSJ[[#This Row],[FECHA]])</f>
        <v>5</v>
      </c>
      <c r="D2685" s="81">
        <v>45789</v>
      </c>
      <c r="E2685" s="60" t="s">
        <v>113</v>
      </c>
      <c r="F2685" s="65">
        <v>4.8962000000000003</v>
      </c>
    </row>
    <row r="2686" spans="2:6" hidden="1" x14ac:dyDescent="0.25">
      <c r="B2686" s="51">
        <f>YEAR(BDRIOSJ[[#This Row],[FECHA]])</f>
        <v>2025</v>
      </c>
      <c r="C2686" s="51">
        <f>MONTH(BDRIOSJ[[#This Row],[FECHA]])</f>
        <v>5</v>
      </c>
      <c r="D2686" s="81">
        <v>45789</v>
      </c>
      <c r="E2686" s="60" t="s">
        <v>114</v>
      </c>
      <c r="F2686" s="65">
        <v>4.8962000000000003</v>
      </c>
    </row>
    <row r="2687" spans="2:6" hidden="1" x14ac:dyDescent="0.25">
      <c r="B2687" s="51">
        <f>YEAR(BDRIOSJ[[#This Row],[FECHA]])</f>
        <v>2025</v>
      </c>
      <c r="C2687" s="51">
        <f>MONTH(BDRIOSJ[[#This Row],[FECHA]])</f>
        <v>5</v>
      </c>
      <c r="D2687" s="81">
        <v>45789</v>
      </c>
      <c r="E2687" s="60" t="s">
        <v>115</v>
      </c>
      <c r="F2687" s="65">
        <v>4.8962000000000003</v>
      </c>
    </row>
    <row r="2688" spans="2:6" hidden="1" x14ac:dyDescent="0.25">
      <c r="B2688" s="51">
        <f>YEAR(BDRIOSJ[[#This Row],[FECHA]])</f>
        <v>2025</v>
      </c>
      <c r="C2688" s="51">
        <f>MONTH(BDRIOSJ[[#This Row],[FECHA]])</f>
        <v>5</v>
      </c>
      <c r="D2688" s="81">
        <v>45790</v>
      </c>
      <c r="E2688" s="60" t="s">
        <v>111</v>
      </c>
      <c r="F2688" s="127">
        <v>4.8962000000000003</v>
      </c>
    </row>
    <row r="2689" spans="2:6" hidden="1" x14ac:dyDescent="0.25">
      <c r="B2689" s="51">
        <f>YEAR(BDRIOSJ[[#This Row],[FECHA]])</f>
        <v>2025</v>
      </c>
      <c r="C2689" s="51">
        <f>MONTH(BDRIOSJ[[#This Row],[FECHA]])</f>
        <v>5</v>
      </c>
      <c r="D2689" s="81">
        <v>45790</v>
      </c>
      <c r="E2689" s="60" t="s">
        <v>113</v>
      </c>
      <c r="F2689" s="127">
        <v>4.8962000000000003</v>
      </c>
    </row>
    <row r="2690" spans="2:6" hidden="1" x14ac:dyDescent="0.25">
      <c r="B2690" s="51">
        <f>YEAR(BDRIOSJ[[#This Row],[FECHA]])</f>
        <v>2025</v>
      </c>
      <c r="C2690" s="51">
        <f>MONTH(BDRIOSJ[[#This Row],[FECHA]])</f>
        <v>5</v>
      </c>
      <c r="D2690" s="81">
        <v>45790</v>
      </c>
      <c r="E2690" s="60" t="s">
        <v>114</v>
      </c>
      <c r="F2690" s="127">
        <v>4.8962000000000003</v>
      </c>
    </row>
    <row r="2691" spans="2:6" hidden="1" x14ac:dyDescent="0.25">
      <c r="B2691" s="51">
        <f>YEAR(BDRIOSJ[[#This Row],[FECHA]])</f>
        <v>2025</v>
      </c>
      <c r="C2691" s="51">
        <f>MONTH(BDRIOSJ[[#This Row],[FECHA]])</f>
        <v>5</v>
      </c>
      <c r="D2691" s="81">
        <v>45790</v>
      </c>
      <c r="E2691" s="60" t="s">
        <v>115</v>
      </c>
      <c r="F2691" s="127">
        <v>4.8962000000000003</v>
      </c>
    </row>
    <row r="2692" spans="2:6" hidden="1" x14ac:dyDescent="0.25">
      <c r="B2692" s="51">
        <f>YEAR(BDRIOSJ[[#This Row],[FECHA]])</f>
        <v>2025</v>
      </c>
      <c r="C2692" s="51">
        <f>MONTH(BDRIOSJ[[#This Row],[FECHA]])</f>
        <v>5</v>
      </c>
      <c r="D2692" s="81">
        <v>45791</v>
      </c>
      <c r="E2692" s="60" t="s">
        <v>111</v>
      </c>
      <c r="F2692" s="127">
        <v>4.8962000000000003</v>
      </c>
    </row>
    <row r="2693" spans="2:6" hidden="1" x14ac:dyDescent="0.25">
      <c r="B2693" s="51">
        <f>YEAR(BDRIOSJ[[#This Row],[FECHA]])</f>
        <v>2025</v>
      </c>
      <c r="C2693" s="51">
        <f>MONTH(BDRIOSJ[[#This Row],[FECHA]])</f>
        <v>5</v>
      </c>
      <c r="D2693" s="81">
        <v>45791</v>
      </c>
      <c r="E2693" s="60" t="s">
        <v>113</v>
      </c>
      <c r="F2693" s="127">
        <v>4.8962000000000003</v>
      </c>
    </row>
    <row r="2694" spans="2:6" hidden="1" x14ac:dyDescent="0.25">
      <c r="B2694" s="51">
        <f>YEAR(BDRIOSJ[[#This Row],[FECHA]])</f>
        <v>2025</v>
      </c>
      <c r="C2694" s="51">
        <f>MONTH(BDRIOSJ[[#This Row],[FECHA]])</f>
        <v>5</v>
      </c>
      <c r="D2694" s="81">
        <v>45791</v>
      </c>
      <c r="E2694" s="60" t="s">
        <v>114</v>
      </c>
      <c r="F2694" s="127">
        <v>4.8962000000000003</v>
      </c>
    </row>
    <row r="2695" spans="2:6" hidden="1" x14ac:dyDescent="0.25">
      <c r="B2695" s="51">
        <f>YEAR(BDRIOSJ[[#This Row],[FECHA]])</f>
        <v>2025</v>
      </c>
      <c r="C2695" s="51">
        <f>MONTH(BDRIOSJ[[#This Row],[FECHA]])</f>
        <v>5</v>
      </c>
      <c r="D2695" s="81">
        <v>45791</v>
      </c>
      <c r="E2695" s="60" t="s">
        <v>115</v>
      </c>
      <c r="F2695" s="127">
        <v>4.8962000000000003</v>
      </c>
    </row>
    <row r="2696" spans="2:6" hidden="1" x14ac:dyDescent="0.25">
      <c r="B2696" s="51">
        <f>YEAR(BDRIOSJ[[#This Row],[FECHA]])</f>
        <v>2025</v>
      </c>
      <c r="C2696" s="51">
        <f>MONTH(BDRIOSJ[[#This Row],[FECHA]])</f>
        <v>5</v>
      </c>
      <c r="D2696" s="81">
        <v>45792</v>
      </c>
      <c r="E2696" s="60" t="s">
        <v>111</v>
      </c>
      <c r="F2696" s="127">
        <v>4.8962000000000003</v>
      </c>
    </row>
    <row r="2697" spans="2:6" hidden="1" x14ac:dyDescent="0.25">
      <c r="B2697" s="51">
        <f>YEAR(BDRIOSJ[[#This Row],[FECHA]])</f>
        <v>2025</v>
      </c>
      <c r="C2697" s="51">
        <f>MONTH(BDRIOSJ[[#This Row],[FECHA]])</f>
        <v>5</v>
      </c>
      <c r="D2697" s="81">
        <v>45792</v>
      </c>
      <c r="E2697" s="60" t="s">
        <v>113</v>
      </c>
      <c r="F2697" s="127">
        <v>4.8962000000000003</v>
      </c>
    </row>
    <row r="2698" spans="2:6" hidden="1" x14ac:dyDescent="0.25">
      <c r="B2698" s="51">
        <f>YEAR(BDRIOSJ[[#This Row],[FECHA]])</f>
        <v>2025</v>
      </c>
      <c r="C2698" s="51">
        <f>MONTH(BDRIOSJ[[#This Row],[FECHA]])</f>
        <v>5</v>
      </c>
      <c r="D2698" s="81">
        <v>45792</v>
      </c>
      <c r="E2698" s="60" t="s">
        <v>114</v>
      </c>
      <c r="F2698" s="127">
        <v>4.8962000000000003</v>
      </c>
    </row>
    <row r="2699" spans="2:6" hidden="1" x14ac:dyDescent="0.25">
      <c r="B2699" s="51">
        <f>YEAR(BDRIOSJ[[#This Row],[FECHA]])</f>
        <v>2025</v>
      </c>
      <c r="C2699" s="51">
        <f>MONTH(BDRIOSJ[[#This Row],[FECHA]])</f>
        <v>5</v>
      </c>
      <c r="D2699" s="81">
        <v>45792</v>
      </c>
      <c r="E2699" s="60" t="s">
        <v>115</v>
      </c>
      <c r="F2699" s="127">
        <v>4.8962000000000003</v>
      </c>
    </row>
    <row r="2700" spans="2:6" hidden="1" x14ac:dyDescent="0.25">
      <c r="B2700" s="51">
        <f>YEAR(BDRIOSJ[[#This Row],[FECHA]])</f>
        <v>2025</v>
      </c>
      <c r="C2700" s="51">
        <f>MONTH(BDRIOSJ[[#This Row],[FECHA]])</f>
        <v>5</v>
      </c>
      <c r="D2700" s="50">
        <v>45793</v>
      </c>
      <c r="E2700" s="60" t="s">
        <v>111</v>
      </c>
      <c r="F2700" s="127">
        <v>4.8962000000000003</v>
      </c>
    </row>
    <row r="2701" spans="2:6" hidden="1" x14ac:dyDescent="0.25">
      <c r="B2701" s="51">
        <f>YEAR(BDRIOSJ[[#This Row],[FECHA]])</f>
        <v>2025</v>
      </c>
      <c r="C2701" s="51">
        <f>MONTH(BDRIOSJ[[#This Row],[FECHA]])</f>
        <v>5</v>
      </c>
      <c r="D2701" s="50">
        <v>45793</v>
      </c>
      <c r="E2701" s="60" t="s">
        <v>113</v>
      </c>
      <c r="F2701" s="127">
        <v>4.8962000000000003</v>
      </c>
    </row>
    <row r="2702" spans="2:6" hidden="1" x14ac:dyDescent="0.25">
      <c r="B2702" s="51">
        <f>YEAR(BDRIOSJ[[#This Row],[FECHA]])</f>
        <v>2025</v>
      </c>
      <c r="C2702" s="51">
        <f>MONTH(BDRIOSJ[[#This Row],[FECHA]])</f>
        <v>5</v>
      </c>
      <c r="D2702" s="50">
        <v>45793</v>
      </c>
      <c r="E2702" s="60" t="s">
        <v>114</v>
      </c>
      <c r="F2702" s="127">
        <v>4.8962000000000003</v>
      </c>
    </row>
    <row r="2703" spans="2:6" hidden="1" x14ac:dyDescent="0.25">
      <c r="B2703" s="51">
        <f>YEAR(BDRIOSJ[[#This Row],[FECHA]])</f>
        <v>2025</v>
      </c>
      <c r="C2703" s="51">
        <f>MONTH(BDRIOSJ[[#This Row],[FECHA]])</f>
        <v>5</v>
      </c>
      <c r="D2703" s="50">
        <v>45793</v>
      </c>
      <c r="E2703" s="60" t="s">
        <v>111</v>
      </c>
      <c r="F2703" s="127">
        <v>6.1016000000000004</v>
      </c>
    </row>
    <row r="2704" spans="2:6" hidden="1" x14ac:dyDescent="0.25">
      <c r="B2704" s="51">
        <f>YEAR(BDRIOSJ[[#This Row],[FECHA]])</f>
        <v>2025</v>
      </c>
      <c r="C2704" s="51">
        <f>MONTH(BDRIOSJ[[#This Row],[FECHA]])</f>
        <v>5</v>
      </c>
      <c r="D2704" s="50">
        <v>45794</v>
      </c>
      <c r="E2704" s="60" t="s">
        <v>113</v>
      </c>
      <c r="F2704" s="127">
        <v>6.1016000000000004</v>
      </c>
    </row>
    <row r="2705" spans="2:6" hidden="1" x14ac:dyDescent="0.25">
      <c r="B2705" s="51">
        <f>YEAR(BDRIOSJ[[#This Row],[FECHA]])</f>
        <v>2025</v>
      </c>
      <c r="C2705" s="51">
        <f>MONTH(BDRIOSJ[[#This Row],[FECHA]])</f>
        <v>5</v>
      </c>
      <c r="D2705" s="50">
        <v>45794</v>
      </c>
      <c r="E2705" s="60" t="s">
        <v>114</v>
      </c>
      <c r="F2705" s="127">
        <v>6.1016000000000004</v>
      </c>
    </row>
    <row r="2706" spans="2:6" hidden="1" x14ac:dyDescent="0.25">
      <c r="B2706" s="51">
        <f>YEAR(BDRIOSJ[[#This Row],[FECHA]])</f>
        <v>2025</v>
      </c>
      <c r="C2706" s="51">
        <f>MONTH(BDRIOSJ[[#This Row],[FECHA]])</f>
        <v>5</v>
      </c>
      <c r="D2706" s="50">
        <v>45794</v>
      </c>
      <c r="E2706" s="60" t="s">
        <v>115</v>
      </c>
      <c r="F2706" s="127">
        <v>6.1016000000000004</v>
      </c>
    </row>
    <row r="2707" spans="2:6" hidden="1" x14ac:dyDescent="0.25">
      <c r="B2707" s="51">
        <f>YEAR(BDRIOSJ[[#This Row],[FECHA]])</f>
        <v>2025</v>
      </c>
      <c r="C2707" s="51">
        <f>MONTH(BDRIOSJ[[#This Row],[FECHA]])</f>
        <v>5</v>
      </c>
      <c r="D2707" s="50">
        <v>45794</v>
      </c>
      <c r="E2707" s="60" t="s">
        <v>111</v>
      </c>
      <c r="F2707" s="127">
        <v>6.1016000000000004</v>
      </c>
    </row>
    <row r="2708" spans="2:6" hidden="1" x14ac:dyDescent="0.25">
      <c r="B2708" s="51">
        <f>YEAR(BDRIOSJ[[#This Row],[FECHA]])</f>
        <v>2025</v>
      </c>
      <c r="C2708" s="51">
        <f>MONTH(BDRIOSJ[[#This Row],[FECHA]])</f>
        <v>5</v>
      </c>
      <c r="D2708" s="50">
        <v>45795</v>
      </c>
      <c r="E2708" s="60" t="s">
        <v>113</v>
      </c>
      <c r="F2708" s="127">
        <v>6.1016000000000004</v>
      </c>
    </row>
    <row r="2709" spans="2:6" hidden="1" x14ac:dyDescent="0.25">
      <c r="B2709" s="51">
        <f>YEAR(BDRIOSJ[[#This Row],[FECHA]])</f>
        <v>2025</v>
      </c>
      <c r="C2709" s="51">
        <f>MONTH(BDRIOSJ[[#This Row],[FECHA]])</f>
        <v>5</v>
      </c>
      <c r="D2709" s="50">
        <v>45795</v>
      </c>
      <c r="E2709" s="60" t="s">
        <v>114</v>
      </c>
      <c r="F2709" s="127">
        <v>6.1016000000000004</v>
      </c>
    </row>
    <row r="2710" spans="2:6" hidden="1" x14ac:dyDescent="0.25">
      <c r="B2710" s="51">
        <f>YEAR(BDRIOSJ[[#This Row],[FECHA]])</f>
        <v>2025</v>
      </c>
      <c r="C2710" s="51">
        <f>MONTH(BDRIOSJ[[#This Row],[FECHA]])</f>
        <v>5</v>
      </c>
      <c r="D2710" s="50">
        <v>45795</v>
      </c>
      <c r="E2710" s="60" t="s">
        <v>115</v>
      </c>
      <c r="F2710" s="127">
        <v>6.1016000000000004</v>
      </c>
    </row>
    <row r="2711" spans="2:6" hidden="1" x14ac:dyDescent="0.25">
      <c r="B2711" s="51">
        <f>YEAR(BDRIOSJ[[#This Row],[FECHA]])</f>
        <v>2025</v>
      </c>
      <c r="C2711" s="51">
        <f>MONTH(BDRIOSJ[[#This Row],[FECHA]])</f>
        <v>5</v>
      </c>
      <c r="D2711" s="50">
        <v>45795</v>
      </c>
      <c r="E2711" s="60" t="s">
        <v>111</v>
      </c>
      <c r="F2711" s="127">
        <v>6.1016000000000004</v>
      </c>
    </row>
    <row r="2712" spans="2:6" hidden="1" x14ac:dyDescent="0.25">
      <c r="B2712" s="51">
        <f>YEAR(BDRIOSJ[[#This Row],[FECHA]])</f>
        <v>2025</v>
      </c>
      <c r="C2712" s="51">
        <f>MONTH(BDRIOSJ[[#This Row],[FECHA]])</f>
        <v>5</v>
      </c>
      <c r="D2712" s="50">
        <v>45796</v>
      </c>
      <c r="E2712" s="60" t="s">
        <v>113</v>
      </c>
      <c r="F2712" s="127">
        <v>6.1016000000000004</v>
      </c>
    </row>
    <row r="2713" spans="2:6" hidden="1" x14ac:dyDescent="0.25">
      <c r="B2713" s="51">
        <f>YEAR(BDRIOSJ[[#This Row],[FECHA]])</f>
        <v>2025</v>
      </c>
      <c r="C2713" s="51">
        <f>MONTH(BDRIOSJ[[#This Row],[FECHA]])</f>
        <v>5</v>
      </c>
      <c r="D2713" s="50">
        <v>45796</v>
      </c>
      <c r="E2713" s="60" t="s">
        <v>114</v>
      </c>
      <c r="F2713" s="127">
        <v>6.1016000000000004</v>
      </c>
    </row>
    <row r="2714" spans="2:6" hidden="1" x14ac:dyDescent="0.25">
      <c r="B2714" s="51">
        <f>YEAR(BDRIOSJ[[#This Row],[FECHA]])</f>
        <v>2025</v>
      </c>
      <c r="C2714" s="51">
        <f>MONTH(BDRIOSJ[[#This Row],[FECHA]])</f>
        <v>5</v>
      </c>
      <c r="D2714" s="50">
        <v>45796</v>
      </c>
      <c r="E2714" s="60" t="s">
        <v>115</v>
      </c>
      <c r="F2714" s="127">
        <v>6.1016000000000004</v>
      </c>
    </row>
    <row r="2715" spans="2:6" hidden="1" x14ac:dyDescent="0.25">
      <c r="B2715" s="51">
        <f>YEAR(BDRIOSJ[[#This Row],[FECHA]])</f>
        <v>2025</v>
      </c>
      <c r="C2715" s="51">
        <f>MONTH(BDRIOSJ[[#This Row],[FECHA]])</f>
        <v>5</v>
      </c>
      <c r="D2715" s="50">
        <v>45796</v>
      </c>
      <c r="E2715" s="60" t="s">
        <v>111</v>
      </c>
      <c r="F2715" s="127">
        <v>6.1016000000000004</v>
      </c>
    </row>
    <row r="2716" spans="2:6" hidden="1" x14ac:dyDescent="0.25">
      <c r="B2716" s="51">
        <f>YEAR(BDRIOSJ[[#This Row],[FECHA]])</f>
        <v>2025</v>
      </c>
      <c r="C2716" s="51">
        <f>MONTH(BDRIOSJ[[#This Row],[FECHA]])</f>
        <v>5</v>
      </c>
      <c r="D2716" s="50">
        <v>45797</v>
      </c>
      <c r="E2716" s="60" t="s">
        <v>113</v>
      </c>
      <c r="F2716" s="127">
        <v>6.1016000000000004</v>
      </c>
    </row>
    <row r="2717" spans="2:6" hidden="1" x14ac:dyDescent="0.25">
      <c r="B2717" s="51">
        <f>YEAR(BDRIOSJ[[#This Row],[FECHA]])</f>
        <v>2025</v>
      </c>
      <c r="C2717" s="51">
        <f>MONTH(BDRIOSJ[[#This Row],[FECHA]])</f>
        <v>5</v>
      </c>
      <c r="D2717" s="50">
        <v>45797</v>
      </c>
      <c r="E2717" s="60" t="s">
        <v>113</v>
      </c>
      <c r="F2717" s="127">
        <v>6.1016000000000004</v>
      </c>
    </row>
    <row r="2718" spans="2:6" hidden="1" x14ac:dyDescent="0.25">
      <c r="B2718" s="51">
        <f>YEAR(BDRIOSJ[[#This Row],[FECHA]])</f>
        <v>2025</v>
      </c>
      <c r="C2718" s="51">
        <f>MONTH(BDRIOSJ[[#This Row],[FECHA]])</f>
        <v>5</v>
      </c>
      <c r="D2718" s="50">
        <v>45797</v>
      </c>
      <c r="E2718" s="60" t="s">
        <v>114</v>
      </c>
      <c r="F2718" s="127">
        <v>6.1016000000000004</v>
      </c>
    </row>
    <row r="2719" spans="2:6" hidden="1" x14ac:dyDescent="0.25">
      <c r="B2719" s="51">
        <f>YEAR(BDRIOSJ[[#This Row],[FECHA]])</f>
        <v>2025</v>
      </c>
      <c r="C2719" s="51">
        <f>MONTH(BDRIOSJ[[#This Row],[FECHA]])</f>
        <v>5</v>
      </c>
      <c r="D2719" s="50">
        <v>45797</v>
      </c>
      <c r="E2719" s="60" t="s">
        <v>115</v>
      </c>
      <c r="F2719" s="127">
        <v>6.1016000000000004</v>
      </c>
    </row>
    <row r="2720" spans="2:6" hidden="1" x14ac:dyDescent="0.25">
      <c r="B2720" s="51">
        <f>YEAR(BDRIOSJ[[#This Row],[FECHA]])</f>
        <v>2025</v>
      </c>
      <c r="C2720" s="51">
        <f>MONTH(BDRIOSJ[[#This Row],[FECHA]])</f>
        <v>5</v>
      </c>
      <c r="D2720" s="50">
        <v>45798</v>
      </c>
      <c r="E2720" s="60" t="s">
        <v>111</v>
      </c>
      <c r="F2720" s="127">
        <v>6.1016000000000004</v>
      </c>
    </row>
    <row r="2721" spans="2:6" hidden="1" x14ac:dyDescent="0.25">
      <c r="B2721" s="51">
        <f>YEAR(BDRIOSJ[[#This Row],[FECHA]])</f>
        <v>2025</v>
      </c>
      <c r="C2721" s="51">
        <f>MONTH(BDRIOSJ[[#This Row],[FECHA]])</f>
        <v>5</v>
      </c>
      <c r="D2721" s="50">
        <v>45798</v>
      </c>
      <c r="E2721" s="60" t="s">
        <v>113</v>
      </c>
      <c r="F2721" s="127">
        <v>6.1016000000000004</v>
      </c>
    </row>
    <row r="2722" spans="2:6" hidden="1" x14ac:dyDescent="0.25">
      <c r="B2722" s="51">
        <f>YEAR(BDRIOSJ[[#This Row],[FECHA]])</f>
        <v>2025</v>
      </c>
      <c r="C2722" s="51">
        <f>MONTH(BDRIOSJ[[#This Row],[FECHA]])</f>
        <v>5</v>
      </c>
      <c r="D2722" s="50">
        <v>45798</v>
      </c>
      <c r="E2722" s="60" t="s">
        <v>114</v>
      </c>
      <c r="F2722" s="127">
        <v>6.1016000000000004</v>
      </c>
    </row>
    <row r="2723" spans="2:6" hidden="1" x14ac:dyDescent="0.25">
      <c r="B2723" s="51">
        <f>YEAR(BDRIOSJ[[#This Row],[FECHA]])</f>
        <v>2025</v>
      </c>
      <c r="C2723" s="51">
        <f>MONTH(BDRIOSJ[[#This Row],[FECHA]])</f>
        <v>5</v>
      </c>
      <c r="D2723" s="50">
        <v>45798</v>
      </c>
      <c r="E2723" s="60" t="s">
        <v>115</v>
      </c>
      <c r="F2723" s="127">
        <v>6.1016000000000004</v>
      </c>
    </row>
    <row r="2724" spans="2:6" hidden="1" x14ac:dyDescent="0.25">
      <c r="B2724" s="51">
        <f>YEAR(BDRIOSJ[[#This Row],[FECHA]])</f>
        <v>2025</v>
      </c>
      <c r="C2724" s="51">
        <f>MONTH(BDRIOSJ[[#This Row],[FECHA]])</f>
        <v>5</v>
      </c>
      <c r="D2724" s="50">
        <v>45799</v>
      </c>
      <c r="E2724" s="60" t="s">
        <v>111</v>
      </c>
      <c r="F2724" s="127">
        <v>6.1016000000000004</v>
      </c>
    </row>
    <row r="2725" spans="2:6" hidden="1" x14ac:dyDescent="0.25">
      <c r="B2725" s="51">
        <f>YEAR(BDRIOSJ[[#This Row],[FECHA]])</f>
        <v>2025</v>
      </c>
      <c r="C2725" s="51">
        <f>MONTH(BDRIOSJ[[#This Row],[FECHA]])</f>
        <v>5</v>
      </c>
      <c r="D2725" s="50">
        <v>45799</v>
      </c>
      <c r="E2725" s="60" t="s">
        <v>113</v>
      </c>
      <c r="F2725" s="127">
        <v>6.1016000000000004</v>
      </c>
    </row>
    <row r="2726" spans="2:6" hidden="1" x14ac:dyDescent="0.25">
      <c r="B2726" s="51">
        <f>YEAR(BDRIOSJ[[#This Row],[FECHA]])</f>
        <v>2025</v>
      </c>
      <c r="C2726" s="51">
        <f>MONTH(BDRIOSJ[[#This Row],[FECHA]])</f>
        <v>5</v>
      </c>
      <c r="D2726" s="50">
        <v>45799</v>
      </c>
      <c r="E2726" s="60" t="s">
        <v>114</v>
      </c>
      <c r="F2726" s="127">
        <v>6.1016000000000004</v>
      </c>
    </row>
    <row r="2727" spans="2:6" hidden="1" x14ac:dyDescent="0.25">
      <c r="B2727" s="51">
        <f>YEAR(BDRIOSJ[[#This Row],[FECHA]])</f>
        <v>2025</v>
      </c>
      <c r="C2727" s="51">
        <f>MONTH(BDRIOSJ[[#This Row],[FECHA]])</f>
        <v>5</v>
      </c>
      <c r="D2727" s="50">
        <v>45799</v>
      </c>
      <c r="E2727" s="60" t="s">
        <v>115</v>
      </c>
      <c r="F2727" s="127">
        <v>6.1016000000000004</v>
      </c>
    </row>
    <row r="2728" spans="2:6" hidden="1" x14ac:dyDescent="0.25">
      <c r="B2728" s="51">
        <f>YEAR(BDRIOSJ[[#This Row],[FECHA]])</f>
        <v>2025</v>
      </c>
      <c r="C2728" s="51">
        <f>MONTH(BDRIOSJ[[#This Row],[FECHA]])</f>
        <v>5</v>
      </c>
      <c r="D2728" s="50">
        <v>45800</v>
      </c>
      <c r="E2728" s="60" t="s">
        <v>111</v>
      </c>
      <c r="F2728" s="127">
        <v>6.1016000000000004</v>
      </c>
    </row>
    <row r="2729" spans="2:6" hidden="1" x14ac:dyDescent="0.25">
      <c r="B2729" s="51">
        <f>YEAR(BDRIOSJ[[#This Row],[FECHA]])</f>
        <v>2025</v>
      </c>
      <c r="C2729" s="51">
        <f>MONTH(BDRIOSJ[[#This Row],[FECHA]])</f>
        <v>5</v>
      </c>
      <c r="D2729" s="50">
        <v>45800</v>
      </c>
      <c r="E2729" s="60" t="s">
        <v>113</v>
      </c>
      <c r="F2729" s="127">
        <v>6.1016000000000004</v>
      </c>
    </row>
    <row r="2730" spans="2:6" hidden="1" x14ac:dyDescent="0.25">
      <c r="B2730" s="51">
        <f>YEAR(BDRIOSJ[[#This Row],[FECHA]])</f>
        <v>2025</v>
      </c>
      <c r="C2730" s="51">
        <f>MONTH(BDRIOSJ[[#This Row],[FECHA]])</f>
        <v>5</v>
      </c>
      <c r="D2730" s="50">
        <v>45800</v>
      </c>
      <c r="E2730" s="60" t="s">
        <v>114</v>
      </c>
      <c r="F2730" s="127">
        <v>6.1016000000000004</v>
      </c>
    </row>
    <row r="2731" spans="2:6" hidden="1" x14ac:dyDescent="0.25">
      <c r="B2731" s="51">
        <f>YEAR(BDRIOSJ[[#This Row],[FECHA]])</f>
        <v>2025</v>
      </c>
      <c r="C2731" s="51">
        <f>MONTH(BDRIOSJ[[#This Row],[FECHA]])</f>
        <v>5</v>
      </c>
      <c r="D2731" s="50">
        <v>45800</v>
      </c>
      <c r="E2731" s="60" t="s">
        <v>115</v>
      </c>
      <c r="F2731" s="127">
        <v>6.1016000000000004</v>
      </c>
    </row>
    <row r="2732" spans="2:6" hidden="1" x14ac:dyDescent="0.25">
      <c r="B2732" s="51">
        <f>YEAR(BDRIOSJ[[#This Row],[FECHA]])</f>
        <v>2025</v>
      </c>
      <c r="C2732" s="51">
        <f>MONTH(BDRIOSJ[[#This Row],[FECHA]])</f>
        <v>5</v>
      </c>
      <c r="D2732" s="50">
        <v>45801</v>
      </c>
      <c r="E2732" s="60" t="s">
        <v>111</v>
      </c>
      <c r="F2732" s="127">
        <v>6.1016000000000004</v>
      </c>
    </row>
    <row r="2733" spans="2:6" hidden="1" x14ac:dyDescent="0.25">
      <c r="B2733" s="51">
        <f>YEAR(BDRIOSJ[[#This Row],[FECHA]])</f>
        <v>2025</v>
      </c>
      <c r="C2733" s="51">
        <f>MONTH(BDRIOSJ[[#This Row],[FECHA]])</f>
        <v>5</v>
      </c>
      <c r="D2733" s="50">
        <v>45801</v>
      </c>
      <c r="E2733" s="60" t="s">
        <v>113</v>
      </c>
      <c r="F2733" s="65">
        <v>6.25</v>
      </c>
    </row>
    <row r="2734" spans="2:6" hidden="1" x14ac:dyDescent="0.25">
      <c r="B2734" s="51">
        <f>YEAR(BDRIOSJ[[#This Row],[FECHA]])</f>
        <v>2025</v>
      </c>
      <c r="C2734" s="51">
        <f>MONTH(BDRIOSJ[[#This Row],[FECHA]])</f>
        <v>5</v>
      </c>
      <c r="D2734" s="50">
        <v>45801</v>
      </c>
      <c r="E2734" s="60" t="s">
        <v>114</v>
      </c>
      <c r="F2734" s="65">
        <v>6.25</v>
      </c>
    </row>
    <row r="2735" spans="2:6" hidden="1" x14ac:dyDescent="0.25">
      <c r="B2735" s="51">
        <f>YEAR(BDRIOSJ[[#This Row],[FECHA]])</f>
        <v>2025</v>
      </c>
      <c r="C2735" s="51">
        <f>MONTH(BDRIOSJ[[#This Row],[FECHA]])</f>
        <v>5</v>
      </c>
      <c r="D2735" s="50">
        <v>45801</v>
      </c>
      <c r="E2735" s="60" t="s">
        <v>115</v>
      </c>
      <c r="F2735" s="65">
        <v>6.25</v>
      </c>
    </row>
    <row r="2736" spans="2:6" hidden="1" x14ac:dyDescent="0.25">
      <c r="B2736" s="51">
        <f>YEAR(BDRIOSJ[[#This Row],[FECHA]])</f>
        <v>2025</v>
      </c>
      <c r="C2736" s="51">
        <f>MONTH(BDRIOSJ[[#This Row],[FECHA]])</f>
        <v>5</v>
      </c>
      <c r="D2736" s="50">
        <v>45802</v>
      </c>
      <c r="E2736" s="60" t="s">
        <v>111</v>
      </c>
      <c r="F2736" s="65">
        <v>6.25</v>
      </c>
    </row>
    <row r="2737" spans="2:6" hidden="1" x14ac:dyDescent="0.25">
      <c r="B2737" s="51">
        <f>YEAR(BDRIOSJ[[#This Row],[FECHA]])</f>
        <v>2025</v>
      </c>
      <c r="C2737" s="51">
        <f>MONTH(BDRIOSJ[[#This Row],[FECHA]])</f>
        <v>5</v>
      </c>
      <c r="D2737" s="50">
        <v>45802</v>
      </c>
      <c r="E2737" s="60" t="s">
        <v>113</v>
      </c>
      <c r="F2737" s="65">
        <v>6.25</v>
      </c>
    </row>
    <row r="2738" spans="2:6" hidden="1" x14ac:dyDescent="0.25">
      <c r="B2738" s="51">
        <f>YEAR(BDRIOSJ[[#This Row],[FECHA]])</f>
        <v>2025</v>
      </c>
      <c r="C2738" s="51">
        <f>MONTH(BDRIOSJ[[#This Row],[FECHA]])</f>
        <v>5</v>
      </c>
      <c r="D2738" s="50">
        <v>45802</v>
      </c>
      <c r="E2738" s="60" t="s">
        <v>114</v>
      </c>
      <c r="F2738" s="65">
        <v>6.25</v>
      </c>
    </row>
    <row r="2739" spans="2:6" hidden="1" x14ac:dyDescent="0.25">
      <c r="B2739" s="51">
        <f>YEAR(BDRIOSJ[[#This Row],[FECHA]])</f>
        <v>2025</v>
      </c>
      <c r="C2739" s="51">
        <f>MONTH(BDRIOSJ[[#This Row],[FECHA]])</f>
        <v>5</v>
      </c>
      <c r="D2739" s="50">
        <v>45802</v>
      </c>
      <c r="E2739" s="60" t="s">
        <v>115</v>
      </c>
      <c r="F2739" s="65">
        <v>6.25</v>
      </c>
    </row>
    <row r="2740" spans="2:6" hidden="1" x14ac:dyDescent="0.25">
      <c r="B2740" s="51">
        <f>YEAR(BDRIOSJ[[#This Row],[FECHA]])</f>
        <v>2025</v>
      </c>
      <c r="C2740" s="51">
        <f>MONTH(BDRIOSJ[[#This Row],[FECHA]])</f>
        <v>5</v>
      </c>
      <c r="D2740" s="50">
        <v>45803</v>
      </c>
      <c r="E2740" s="60" t="s">
        <v>111</v>
      </c>
      <c r="F2740" s="65">
        <v>6.25</v>
      </c>
    </row>
    <row r="2741" spans="2:6" hidden="1" x14ac:dyDescent="0.25">
      <c r="B2741" s="51">
        <f>YEAR(BDRIOSJ[[#This Row],[FECHA]])</f>
        <v>2025</v>
      </c>
      <c r="C2741" s="51">
        <f>MONTH(BDRIOSJ[[#This Row],[FECHA]])</f>
        <v>5</v>
      </c>
      <c r="D2741" s="50">
        <v>45803</v>
      </c>
      <c r="E2741" s="60" t="s">
        <v>113</v>
      </c>
      <c r="F2741" s="65">
        <v>6.25</v>
      </c>
    </row>
    <row r="2742" spans="2:6" hidden="1" x14ac:dyDescent="0.25">
      <c r="B2742" s="51">
        <f>YEAR(BDRIOSJ[[#This Row],[FECHA]])</f>
        <v>2025</v>
      </c>
      <c r="C2742" s="51">
        <f>MONTH(BDRIOSJ[[#This Row],[FECHA]])</f>
        <v>5</v>
      </c>
      <c r="D2742" s="50">
        <v>45803</v>
      </c>
      <c r="E2742" s="60" t="s">
        <v>114</v>
      </c>
      <c r="F2742" s="65">
        <v>6.25</v>
      </c>
    </row>
    <row r="2743" spans="2:6" hidden="1" x14ac:dyDescent="0.25">
      <c r="B2743" s="51">
        <f>YEAR(BDRIOSJ[[#This Row],[FECHA]])</f>
        <v>2025</v>
      </c>
      <c r="C2743" s="51">
        <f>MONTH(BDRIOSJ[[#This Row],[FECHA]])</f>
        <v>5</v>
      </c>
      <c r="D2743" s="50">
        <v>45803</v>
      </c>
      <c r="E2743" s="60" t="s">
        <v>115</v>
      </c>
      <c r="F2743" s="65">
        <v>6.25</v>
      </c>
    </row>
    <row r="2744" spans="2:6" hidden="1" x14ac:dyDescent="0.25">
      <c r="B2744" s="51">
        <f>YEAR(BDRIOSJ[[#This Row],[FECHA]])</f>
        <v>2025</v>
      </c>
      <c r="C2744" s="51">
        <f>MONTH(BDRIOSJ[[#This Row],[FECHA]])</f>
        <v>5</v>
      </c>
      <c r="D2744" s="50">
        <v>45804</v>
      </c>
      <c r="E2744" s="60" t="s">
        <v>111</v>
      </c>
      <c r="F2744" s="65">
        <v>6.25</v>
      </c>
    </row>
    <row r="2745" spans="2:6" hidden="1" x14ac:dyDescent="0.25">
      <c r="B2745" s="51">
        <f>YEAR(BDRIOSJ[[#This Row],[FECHA]])</f>
        <v>2025</v>
      </c>
      <c r="C2745" s="51">
        <f>MONTH(BDRIOSJ[[#This Row],[FECHA]])</f>
        <v>5</v>
      </c>
      <c r="D2745" s="50">
        <v>45804</v>
      </c>
      <c r="E2745" s="60" t="s">
        <v>113</v>
      </c>
      <c r="F2745" s="65">
        <v>6.25</v>
      </c>
    </row>
    <row r="2746" spans="2:6" hidden="1" x14ac:dyDescent="0.25">
      <c r="B2746" s="51">
        <f>YEAR(BDRIOSJ[[#This Row],[FECHA]])</f>
        <v>2025</v>
      </c>
      <c r="C2746" s="51">
        <f>MONTH(BDRIOSJ[[#This Row],[FECHA]])</f>
        <v>5</v>
      </c>
      <c r="D2746" s="50">
        <v>45804</v>
      </c>
      <c r="E2746" s="60" t="s">
        <v>114</v>
      </c>
      <c r="F2746" s="65">
        <v>6.25</v>
      </c>
    </row>
    <row r="2747" spans="2:6" hidden="1" x14ac:dyDescent="0.25">
      <c r="B2747" s="51">
        <f>YEAR(BDRIOSJ[[#This Row],[FECHA]])</f>
        <v>2025</v>
      </c>
      <c r="C2747" s="51">
        <f>MONTH(BDRIOSJ[[#This Row],[FECHA]])</f>
        <v>5</v>
      </c>
      <c r="D2747" s="50">
        <v>45804</v>
      </c>
      <c r="E2747" s="60" t="s">
        <v>115</v>
      </c>
      <c r="F2747" s="65">
        <v>6.25</v>
      </c>
    </row>
    <row r="2748" spans="2:6" hidden="1" x14ac:dyDescent="0.25">
      <c r="B2748" s="51">
        <f>YEAR(BDRIOSJ[[#This Row],[FECHA]])</f>
        <v>2025</v>
      </c>
      <c r="C2748" s="51">
        <f>MONTH(BDRIOSJ[[#This Row],[FECHA]])</f>
        <v>5</v>
      </c>
      <c r="D2748" s="81">
        <v>45805</v>
      </c>
      <c r="E2748" s="60" t="s">
        <v>111</v>
      </c>
      <c r="F2748" s="65">
        <v>6.25</v>
      </c>
    </row>
    <row r="2749" spans="2:6" hidden="1" x14ac:dyDescent="0.25">
      <c r="B2749" s="51">
        <f>YEAR(BDRIOSJ[[#This Row],[FECHA]])</f>
        <v>2025</v>
      </c>
      <c r="C2749" s="51">
        <f>MONTH(BDRIOSJ[[#This Row],[FECHA]])</f>
        <v>5</v>
      </c>
      <c r="D2749" s="81">
        <v>45805</v>
      </c>
      <c r="E2749" s="60" t="s">
        <v>113</v>
      </c>
      <c r="F2749" s="65">
        <v>6.25</v>
      </c>
    </row>
    <row r="2750" spans="2:6" hidden="1" x14ac:dyDescent="0.25">
      <c r="B2750" s="51">
        <f>YEAR(BDRIOSJ[[#This Row],[FECHA]])</f>
        <v>2025</v>
      </c>
      <c r="C2750" s="51">
        <f>MONTH(BDRIOSJ[[#This Row],[FECHA]])</f>
        <v>5</v>
      </c>
      <c r="D2750" s="81">
        <v>45805</v>
      </c>
      <c r="E2750" s="60" t="s">
        <v>114</v>
      </c>
      <c r="F2750" s="65">
        <v>6.25</v>
      </c>
    </row>
    <row r="2751" spans="2:6" hidden="1" x14ac:dyDescent="0.25">
      <c r="B2751" s="51">
        <f>YEAR(BDRIOSJ[[#This Row],[FECHA]])</f>
        <v>2025</v>
      </c>
      <c r="C2751" s="51">
        <f>MONTH(BDRIOSJ[[#This Row],[FECHA]])</f>
        <v>5</v>
      </c>
      <c r="D2751" s="81">
        <v>45805</v>
      </c>
      <c r="E2751" s="60" t="s">
        <v>115</v>
      </c>
      <c r="F2751" s="65">
        <v>6.25</v>
      </c>
    </row>
    <row r="2752" spans="2:6" hidden="1" x14ac:dyDescent="0.25">
      <c r="B2752" s="52">
        <f>YEAR(BDRIOSJ[[#This Row],[FECHA]])</f>
        <v>2025</v>
      </c>
      <c r="C2752" s="52">
        <f>MONTH(BDRIOSJ[[#This Row],[FECHA]])</f>
        <v>5</v>
      </c>
      <c r="D2752" s="81">
        <v>45806</v>
      </c>
      <c r="E2752" s="60" t="s">
        <v>111</v>
      </c>
      <c r="F2752" s="127">
        <v>7.0247000000000002</v>
      </c>
    </row>
    <row r="2753" spans="2:6" hidden="1" x14ac:dyDescent="0.25">
      <c r="B2753" s="52">
        <f>YEAR(BDRIOSJ[[#This Row],[FECHA]])</f>
        <v>2025</v>
      </c>
      <c r="C2753" s="52">
        <f>MONTH(BDRIOSJ[[#This Row],[FECHA]])</f>
        <v>5</v>
      </c>
      <c r="D2753" s="81">
        <v>45806</v>
      </c>
      <c r="E2753" s="60" t="s">
        <v>113</v>
      </c>
      <c r="F2753" s="127">
        <v>6.9138999999999999</v>
      </c>
    </row>
    <row r="2754" spans="2:6" hidden="1" x14ac:dyDescent="0.25">
      <c r="B2754" s="52">
        <f>YEAR(BDRIOSJ[[#This Row],[FECHA]])</f>
        <v>2025</v>
      </c>
      <c r="C2754" s="52">
        <f>MONTH(BDRIOSJ[[#This Row],[FECHA]])</f>
        <v>5</v>
      </c>
      <c r="D2754" s="81">
        <v>45806</v>
      </c>
      <c r="E2754" s="60" t="s">
        <v>114</v>
      </c>
      <c r="F2754" s="127">
        <v>6.9138999999999999</v>
      </c>
    </row>
    <row r="2755" spans="2:6" hidden="1" x14ac:dyDescent="0.25">
      <c r="B2755" s="52">
        <f>YEAR(BDRIOSJ[[#This Row],[FECHA]])</f>
        <v>2025</v>
      </c>
      <c r="C2755" s="52">
        <f>MONTH(BDRIOSJ[[#This Row],[FECHA]])</f>
        <v>5</v>
      </c>
      <c r="D2755" s="81">
        <v>45806</v>
      </c>
      <c r="E2755" s="60" t="s">
        <v>115</v>
      </c>
      <c r="F2755" s="127">
        <v>6.9138999999999999</v>
      </c>
    </row>
    <row r="2756" spans="2:6" hidden="1" x14ac:dyDescent="0.25">
      <c r="B2756" s="51">
        <f>YEAR(BDRIOSJ[[#This Row],[FECHA]])</f>
        <v>2025</v>
      </c>
      <c r="C2756" s="51">
        <f>MONTH(BDRIOSJ[[#This Row],[FECHA]])</f>
        <v>5</v>
      </c>
      <c r="D2756" s="50">
        <v>45807</v>
      </c>
      <c r="E2756" s="60" t="s">
        <v>111</v>
      </c>
      <c r="F2756" s="127">
        <v>6.9138999999999999</v>
      </c>
    </row>
    <row r="2757" spans="2:6" hidden="1" x14ac:dyDescent="0.25">
      <c r="B2757" s="51">
        <f>YEAR(BDRIOSJ[[#This Row],[FECHA]])</f>
        <v>2025</v>
      </c>
      <c r="C2757" s="51">
        <f>MONTH(BDRIOSJ[[#This Row],[FECHA]])</f>
        <v>5</v>
      </c>
      <c r="D2757" s="50">
        <v>45807</v>
      </c>
      <c r="E2757" s="60" t="s">
        <v>113</v>
      </c>
      <c r="F2757" s="127">
        <v>6.9138999999999999</v>
      </c>
    </row>
    <row r="2758" spans="2:6" hidden="1" x14ac:dyDescent="0.25">
      <c r="B2758" s="51">
        <f>YEAR(BDRIOSJ[[#This Row],[FECHA]])</f>
        <v>2025</v>
      </c>
      <c r="C2758" s="51">
        <f>MONTH(BDRIOSJ[[#This Row],[FECHA]])</f>
        <v>5</v>
      </c>
      <c r="D2758" s="50">
        <v>45807</v>
      </c>
      <c r="E2758" s="60" t="s">
        <v>114</v>
      </c>
      <c r="F2758" s="127">
        <v>6.9138999999999999</v>
      </c>
    </row>
    <row r="2759" spans="2:6" hidden="1" x14ac:dyDescent="0.25">
      <c r="B2759" s="51">
        <f>YEAR(BDRIOSJ[[#This Row],[FECHA]])</f>
        <v>2025</v>
      </c>
      <c r="C2759" s="51">
        <f>MONTH(BDRIOSJ[[#This Row],[FECHA]])</f>
        <v>5</v>
      </c>
      <c r="D2759" s="50">
        <v>45807</v>
      </c>
      <c r="E2759" s="60" t="s">
        <v>115</v>
      </c>
      <c r="F2759" s="127">
        <v>6.9138999999999999</v>
      </c>
    </row>
    <row r="2760" spans="2:6" hidden="1" x14ac:dyDescent="0.25">
      <c r="B2760" s="51">
        <f>YEAR(BDRIOSJ[[#This Row],[FECHA]])</f>
        <v>2025</v>
      </c>
      <c r="C2760" s="51">
        <f>MONTH(BDRIOSJ[[#This Row],[FECHA]])</f>
        <v>5</v>
      </c>
      <c r="D2760" s="50">
        <v>45808</v>
      </c>
      <c r="E2760" s="60" t="s">
        <v>111</v>
      </c>
      <c r="F2760" s="127">
        <v>7.0247000000000002</v>
      </c>
    </row>
    <row r="2761" spans="2:6" hidden="1" x14ac:dyDescent="0.25">
      <c r="B2761" s="52">
        <f>YEAR(BDRIOSJ[[#This Row],[FECHA]])</f>
        <v>2025</v>
      </c>
      <c r="C2761" s="52">
        <f>MONTH(BDRIOSJ[[#This Row],[FECHA]])</f>
        <v>5</v>
      </c>
      <c r="D2761" s="50">
        <v>45808</v>
      </c>
      <c r="E2761" s="60" t="s">
        <v>113</v>
      </c>
      <c r="F2761" s="127">
        <v>6.9138999999999999</v>
      </c>
    </row>
    <row r="2762" spans="2:6" hidden="1" x14ac:dyDescent="0.25">
      <c r="B2762" s="51">
        <f>YEAR(BDRIOSJ[[#This Row],[FECHA]])</f>
        <v>2025</v>
      </c>
      <c r="C2762" s="51">
        <f>MONTH(BDRIOSJ[[#This Row],[FECHA]])</f>
        <v>5</v>
      </c>
      <c r="D2762" s="50">
        <v>45808</v>
      </c>
      <c r="E2762" s="60" t="s">
        <v>114</v>
      </c>
      <c r="F2762" s="127">
        <v>6.9138999999999999</v>
      </c>
    </row>
    <row r="2763" spans="2:6" hidden="1" x14ac:dyDescent="0.25">
      <c r="B2763" s="51">
        <f>YEAR(BDRIOSJ[[#This Row],[FECHA]])</f>
        <v>2025</v>
      </c>
      <c r="C2763" s="51">
        <f>MONTH(BDRIOSJ[[#This Row],[FECHA]])</f>
        <v>5</v>
      </c>
      <c r="D2763" s="50">
        <v>45808</v>
      </c>
      <c r="E2763" s="60" t="s">
        <v>115</v>
      </c>
      <c r="F2763" s="127">
        <v>6.9138999999999999</v>
      </c>
    </row>
    <row r="2764" spans="2:6" hidden="1" x14ac:dyDescent="0.25">
      <c r="B2764" s="52">
        <f>YEAR(BDRIOSJ[[#This Row],[FECHA]])</f>
        <v>2025</v>
      </c>
      <c r="C2764" s="52">
        <f>MONTH(BDRIOSJ[[#This Row],[FECHA]])</f>
        <v>6</v>
      </c>
      <c r="D2764" s="81">
        <v>45809</v>
      </c>
      <c r="E2764" s="60" t="s">
        <v>111</v>
      </c>
      <c r="F2764" s="127">
        <v>6.9138999999999999</v>
      </c>
    </row>
    <row r="2765" spans="2:6" hidden="1" x14ac:dyDescent="0.25">
      <c r="B2765" s="51">
        <f>YEAR(BDRIOSJ[[#This Row],[FECHA]])</f>
        <v>2025</v>
      </c>
      <c r="C2765" s="51">
        <f>MONTH(BDRIOSJ[[#This Row],[FECHA]])</f>
        <v>6</v>
      </c>
      <c r="D2765" s="81">
        <v>45809</v>
      </c>
      <c r="E2765" s="60" t="s">
        <v>113</v>
      </c>
      <c r="F2765" s="127">
        <v>6.9138999999999999</v>
      </c>
    </row>
    <row r="2766" spans="2:6" hidden="1" x14ac:dyDescent="0.25">
      <c r="B2766" s="51">
        <f>YEAR(BDRIOSJ[[#This Row],[FECHA]])</f>
        <v>2025</v>
      </c>
      <c r="C2766" s="51">
        <f>MONTH(BDRIOSJ[[#This Row],[FECHA]])</f>
        <v>6</v>
      </c>
      <c r="D2766" s="81">
        <v>45809</v>
      </c>
      <c r="E2766" s="60" t="s">
        <v>114</v>
      </c>
      <c r="F2766" s="127">
        <v>6.9138999999999999</v>
      </c>
    </row>
    <row r="2767" spans="2:6" hidden="1" x14ac:dyDescent="0.25">
      <c r="B2767" s="51">
        <f>YEAR(BDRIOSJ[[#This Row],[FECHA]])</f>
        <v>2025</v>
      </c>
      <c r="C2767" s="51">
        <f>MONTH(BDRIOSJ[[#This Row],[FECHA]])</f>
        <v>6</v>
      </c>
      <c r="D2767" s="81">
        <v>45809</v>
      </c>
      <c r="E2767" s="60" t="s">
        <v>115</v>
      </c>
      <c r="F2767" s="127">
        <v>6.9138999999999999</v>
      </c>
    </row>
    <row r="2768" spans="2:6" hidden="1" x14ac:dyDescent="0.25">
      <c r="B2768" s="51">
        <f>YEAR(BDRIOSJ[[#This Row],[FECHA]])</f>
        <v>2025</v>
      </c>
      <c r="C2768" s="51">
        <f>MONTH(BDRIOSJ[[#This Row],[FECHA]])</f>
        <v>6</v>
      </c>
      <c r="D2768" s="81">
        <v>45810</v>
      </c>
      <c r="E2768" s="60" t="s">
        <v>111</v>
      </c>
      <c r="F2768" s="127">
        <v>6.8383000000000003</v>
      </c>
    </row>
    <row r="2769" spans="2:6" hidden="1" x14ac:dyDescent="0.25">
      <c r="B2769" s="51">
        <f>YEAR(BDRIOSJ[[#This Row],[FECHA]])</f>
        <v>2025</v>
      </c>
      <c r="C2769" s="51">
        <f>MONTH(BDRIOSJ[[#This Row],[FECHA]])</f>
        <v>6</v>
      </c>
      <c r="D2769" s="81">
        <v>45810</v>
      </c>
      <c r="E2769" s="60" t="s">
        <v>113</v>
      </c>
      <c r="F2769" s="127">
        <v>6.9138999999999999</v>
      </c>
    </row>
    <row r="2770" spans="2:6" hidden="1" x14ac:dyDescent="0.25">
      <c r="B2770" s="51">
        <f>YEAR(BDRIOSJ[[#This Row],[FECHA]])</f>
        <v>2025</v>
      </c>
      <c r="C2770" s="51">
        <f>MONTH(BDRIOSJ[[#This Row],[FECHA]])</f>
        <v>6</v>
      </c>
      <c r="D2770" s="81">
        <v>45810</v>
      </c>
      <c r="E2770" s="60" t="s">
        <v>114</v>
      </c>
      <c r="F2770" s="127">
        <v>6.9138999999999999</v>
      </c>
    </row>
    <row r="2771" spans="2:6" hidden="1" x14ac:dyDescent="0.25">
      <c r="B2771" s="51">
        <f>YEAR(BDRIOSJ[[#This Row],[FECHA]])</f>
        <v>2025</v>
      </c>
      <c r="C2771" s="51">
        <f>MONTH(BDRIOSJ[[#This Row],[FECHA]])</f>
        <v>6</v>
      </c>
      <c r="D2771" s="81">
        <v>45810</v>
      </c>
      <c r="E2771" s="60" t="s">
        <v>115</v>
      </c>
      <c r="F2771" s="127">
        <v>6.9138999999999999</v>
      </c>
    </row>
    <row r="2772" spans="2:6" hidden="1" x14ac:dyDescent="0.25">
      <c r="B2772" s="51">
        <f>YEAR(BDRIOSJ[[#This Row],[FECHA]])</f>
        <v>2025</v>
      </c>
      <c r="C2772" s="51">
        <f>MONTH(BDRIOSJ[[#This Row],[FECHA]])</f>
        <v>6</v>
      </c>
      <c r="D2772" s="81">
        <v>45811</v>
      </c>
      <c r="E2772" s="60" t="s">
        <v>111</v>
      </c>
      <c r="F2772" s="127">
        <v>6.9138999999999999</v>
      </c>
    </row>
    <row r="2773" spans="2:6" hidden="1" x14ac:dyDescent="0.25">
      <c r="B2773" s="51">
        <f>YEAR(BDRIOSJ[[#This Row],[FECHA]])</f>
        <v>2025</v>
      </c>
      <c r="C2773" s="51">
        <f>MONTH(BDRIOSJ[[#This Row],[FECHA]])</f>
        <v>6</v>
      </c>
      <c r="D2773" s="81">
        <v>45811</v>
      </c>
      <c r="E2773" s="60" t="s">
        <v>113</v>
      </c>
      <c r="F2773" s="127">
        <v>6.9138999999999999</v>
      </c>
    </row>
    <row r="2774" spans="2:6" hidden="1" x14ac:dyDescent="0.25">
      <c r="B2774" s="51">
        <f>YEAR(BDRIOSJ[[#This Row],[FECHA]])</f>
        <v>2025</v>
      </c>
      <c r="C2774" s="51">
        <f>MONTH(BDRIOSJ[[#This Row],[FECHA]])</f>
        <v>6</v>
      </c>
      <c r="D2774" s="81">
        <v>45811</v>
      </c>
      <c r="E2774" s="60" t="s">
        <v>114</v>
      </c>
      <c r="F2774" s="127">
        <v>6.9138999999999999</v>
      </c>
    </row>
    <row r="2775" spans="2:6" hidden="1" x14ac:dyDescent="0.25">
      <c r="B2775" s="51">
        <f>YEAR(BDRIOSJ[[#This Row],[FECHA]])</f>
        <v>2025</v>
      </c>
      <c r="C2775" s="51">
        <f>MONTH(BDRIOSJ[[#This Row],[FECHA]])</f>
        <v>6</v>
      </c>
      <c r="D2775" s="81">
        <v>45811</v>
      </c>
      <c r="E2775" s="60" t="s">
        <v>115</v>
      </c>
      <c r="F2775" s="127">
        <v>6.9138999999999999</v>
      </c>
    </row>
    <row r="2776" spans="2:6" hidden="1" x14ac:dyDescent="0.25">
      <c r="B2776" s="51">
        <f>YEAR(BDRIOSJ[[#This Row],[FECHA]])</f>
        <v>2025</v>
      </c>
      <c r="C2776" s="51">
        <f>MONTH(BDRIOSJ[[#This Row],[FECHA]])</f>
        <v>6</v>
      </c>
      <c r="D2776" s="81">
        <v>45812</v>
      </c>
      <c r="E2776" s="60" t="s">
        <v>111</v>
      </c>
      <c r="F2776" s="127">
        <v>6.9138999999999999</v>
      </c>
    </row>
    <row r="2777" spans="2:6" hidden="1" x14ac:dyDescent="0.25">
      <c r="B2777" s="51">
        <f>YEAR(BDRIOSJ[[#This Row],[FECHA]])</f>
        <v>2025</v>
      </c>
      <c r="C2777" s="51">
        <f>MONTH(BDRIOSJ[[#This Row],[FECHA]])</f>
        <v>6</v>
      </c>
      <c r="D2777" s="81">
        <v>45812</v>
      </c>
      <c r="E2777" s="60" t="s">
        <v>113</v>
      </c>
      <c r="F2777" s="127">
        <v>6.9138999999999999</v>
      </c>
    </row>
    <row r="2778" spans="2:6" hidden="1" x14ac:dyDescent="0.25">
      <c r="B2778" s="51">
        <f>YEAR(BDRIOSJ[[#This Row],[FECHA]])</f>
        <v>2025</v>
      </c>
      <c r="C2778" s="51">
        <f>MONTH(BDRIOSJ[[#This Row],[FECHA]])</f>
        <v>6</v>
      </c>
      <c r="D2778" s="81">
        <v>45812</v>
      </c>
      <c r="E2778" s="60" t="s">
        <v>114</v>
      </c>
      <c r="F2778" s="127">
        <v>6.9138999999999999</v>
      </c>
    </row>
    <row r="2779" spans="2:6" hidden="1" x14ac:dyDescent="0.25">
      <c r="B2779" s="51">
        <f>YEAR(BDRIOSJ[[#This Row],[FECHA]])</f>
        <v>2025</v>
      </c>
      <c r="C2779" s="51">
        <f>MONTH(BDRIOSJ[[#This Row],[FECHA]])</f>
        <v>6</v>
      </c>
      <c r="D2779" s="81">
        <v>45812</v>
      </c>
      <c r="E2779" s="60" t="s">
        <v>115</v>
      </c>
      <c r="F2779" s="127">
        <v>6.9138999999999999</v>
      </c>
    </row>
    <row r="2780" spans="2:6" hidden="1" x14ac:dyDescent="0.25">
      <c r="B2780" s="51">
        <f>YEAR(BDRIOSJ[[#This Row],[FECHA]])</f>
        <v>2025</v>
      </c>
      <c r="C2780" s="51">
        <f>MONTH(BDRIOSJ[[#This Row],[FECHA]])</f>
        <v>6</v>
      </c>
      <c r="D2780" s="81">
        <v>45813</v>
      </c>
      <c r="E2780" s="60" t="s">
        <v>111</v>
      </c>
      <c r="F2780" s="65">
        <v>6.91</v>
      </c>
    </row>
    <row r="2781" spans="2:6" hidden="1" x14ac:dyDescent="0.25">
      <c r="B2781" s="51">
        <f>YEAR(BDRIOSJ[[#This Row],[FECHA]])</f>
        <v>2025</v>
      </c>
      <c r="C2781" s="51">
        <f>MONTH(BDRIOSJ[[#This Row],[FECHA]])</f>
        <v>6</v>
      </c>
      <c r="D2781" s="81">
        <v>45813</v>
      </c>
      <c r="E2781" s="60" t="s">
        <v>113</v>
      </c>
      <c r="F2781" s="65">
        <v>6.8</v>
      </c>
    </row>
    <row r="2782" spans="2:6" hidden="1" x14ac:dyDescent="0.25">
      <c r="B2782" s="51">
        <f>YEAR(BDRIOSJ[[#This Row],[FECHA]])</f>
        <v>2025</v>
      </c>
      <c r="C2782" s="51">
        <f>MONTH(BDRIOSJ[[#This Row],[FECHA]])</f>
        <v>6</v>
      </c>
      <c r="D2782" s="81">
        <v>45813</v>
      </c>
      <c r="E2782" s="60" t="s">
        <v>114</v>
      </c>
      <c r="F2782" s="65">
        <v>6.8</v>
      </c>
    </row>
    <row r="2783" spans="2:6" hidden="1" x14ac:dyDescent="0.25">
      <c r="B2783" s="51">
        <f>YEAR(BDRIOSJ[[#This Row],[FECHA]])</f>
        <v>2025</v>
      </c>
      <c r="C2783" s="51">
        <f>MONTH(BDRIOSJ[[#This Row],[FECHA]])</f>
        <v>6</v>
      </c>
      <c r="D2783" s="81">
        <v>45813</v>
      </c>
      <c r="E2783" s="60" t="s">
        <v>115</v>
      </c>
      <c r="F2783" s="65">
        <v>6.8</v>
      </c>
    </row>
    <row r="2784" spans="2:6" hidden="1" x14ac:dyDescent="0.25">
      <c r="B2784" s="51">
        <f>YEAR(BDRIOSJ[[#This Row],[FECHA]])</f>
        <v>2025</v>
      </c>
      <c r="C2784" s="51">
        <f>MONTH(BDRIOSJ[[#This Row],[FECHA]])</f>
        <v>6</v>
      </c>
      <c r="D2784" s="81">
        <v>45814</v>
      </c>
      <c r="E2784" s="60" t="s">
        <v>111</v>
      </c>
      <c r="F2784" s="65">
        <v>6.8</v>
      </c>
    </row>
    <row r="2785" spans="2:6" hidden="1" x14ac:dyDescent="0.25">
      <c r="B2785" s="51">
        <f>YEAR(BDRIOSJ[[#This Row],[FECHA]])</f>
        <v>2025</v>
      </c>
      <c r="C2785" s="51">
        <f>MONTH(BDRIOSJ[[#This Row],[FECHA]])</f>
        <v>6</v>
      </c>
      <c r="D2785" s="81">
        <v>45814</v>
      </c>
      <c r="E2785" s="60" t="s">
        <v>113</v>
      </c>
      <c r="F2785" s="65">
        <v>6.8</v>
      </c>
    </row>
    <row r="2786" spans="2:6" hidden="1" x14ac:dyDescent="0.25">
      <c r="B2786" s="51">
        <f>YEAR(BDRIOSJ[[#This Row],[FECHA]])</f>
        <v>2025</v>
      </c>
      <c r="C2786" s="51">
        <f>MONTH(BDRIOSJ[[#This Row],[FECHA]])</f>
        <v>6</v>
      </c>
      <c r="D2786" s="81">
        <v>45814</v>
      </c>
      <c r="E2786" s="60" t="s">
        <v>114</v>
      </c>
      <c r="F2786" s="65">
        <v>6.8</v>
      </c>
    </row>
    <row r="2787" spans="2:6" hidden="1" x14ac:dyDescent="0.25">
      <c r="B2787" s="51">
        <f>YEAR(BDRIOSJ[[#This Row],[FECHA]])</f>
        <v>2025</v>
      </c>
      <c r="C2787" s="51">
        <f>MONTH(BDRIOSJ[[#This Row],[FECHA]])</f>
        <v>6</v>
      </c>
      <c r="D2787" s="81">
        <v>45814</v>
      </c>
      <c r="E2787" s="60" t="s">
        <v>115</v>
      </c>
      <c r="F2787" s="65">
        <v>6.8</v>
      </c>
    </row>
    <row r="2788" spans="2:6" hidden="1" x14ac:dyDescent="0.25">
      <c r="B2788" s="51">
        <f>YEAR(BDRIOSJ[[#This Row],[FECHA]])</f>
        <v>2025</v>
      </c>
      <c r="C2788" s="51">
        <f>MONTH(BDRIOSJ[[#This Row],[FECHA]])</f>
        <v>6</v>
      </c>
      <c r="D2788" s="81">
        <v>45815</v>
      </c>
      <c r="E2788" s="60" t="s">
        <v>111</v>
      </c>
      <c r="F2788" s="65">
        <v>6.8</v>
      </c>
    </row>
    <row r="2789" spans="2:6" hidden="1" x14ac:dyDescent="0.25">
      <c r="B2789" s="51">
        <f>YEAR(BDRIOSJ[[#This Row],[FECHA]])</f>
        <v>2025</v>
      </c>
      <c r="C2789" s="51">
        <f>MONTH(BDRIOSJ[[#This Row],[FECHA]])</f>
        <v>6</v>
      </c>
      <c r="D2789" s="81">
        <v>45815</v>
      </c>
      <c r="E2789" s="60" t="s">
        <v>113</v>
      </c>
      <c r="F2789" s="65">
        <v>6.8</v>
      </c>
    </row>
    <row r="2790" spans="2:6" hidden="1" x14ac:dyDescent="0.25">
      <c r="B2790" s="51">
        <f>YEAR(BDRIOSJ[[#This Row],[FECHA]])</f>
        <v>2025</v>
      </c>
      <c r="C2790" s="51">
        <f>MONTH(BDRIOSJ[[#This Row],[FECHA]])</f>
        <v>6</v>
      </c>
      <c r="D2790" s="81">
        <v>45815</v>
      </c>
      <c r="E2790" s="60" t="s">
        <v>114</v>
      </c>
      <c r="F2790" s="65">
        <v>6.8</v>
      </c>
    </row>
    <row r="2791" spans="2:6" hidden="1" x14ac:dyDescent="0.25">
      <c r="B2791" s="51">
        <f>YEAR(BDRIOSJ[[#This Row],[FECHA]])</f>
        <v>2025</v>
      </c>
      <c r="C2791" s="51">
        <f>MONTH(BDRIOSJ[[#This Row],[FECHA]])</f>
        <v>6</v>
      </c>
      <c r="D2791" s="81">
        <v>45815</v>
      </c>
      <c r="E2791" s="60" t="s">
        <v>115</v>
      </c>
      <c r="F2791" s="65">
        <v>6.8</v>
      </c>
    </row>
    <row r="2792" spans="2:6" hidden="1" x14ac:dyDescent="0.25">
      <c r="B2792" s="51">
        <f>YEAR(BDRIOSJ[[#This Row],[FECHA]])</f>
        <v>2025</v>
      </c>
      <c r="C2792" s="51">
        <f>MONTH(BDRIOSJ[[#This Row],[FECHA]])</f>
        <v>6</v>
      </c>
      <c r="D2792" s="81">
        <v>45816</v>
      </c>
      <c r="E2792" s="60" t="s">
        <v>111</v>
      </c>
      <c r="F2792" s="65">
        <v>6.8</v>
      </c>
    </row>
    <row r="2793" spans="2:6" hidden="1" x14ac:dyDescent="0.25">
      <c r="B2793" s="51">
        <f>YEAR(BDRIOSJ[[#This Row],[FECHA]])</f>
        <v>2025</v>
      </c>
      <c r="C2793" s="51">
        <f>MONTH(BDRIOSJ[[#This Row],[FECHA]])</f>
        <v>6</v>
      </c>
      <c r="D2793" s="81">
        <v>45816</v>
      </c>
      <c r="E2793" s="60" t="s">
        <v>113</v>
      </c>
      <c r="F2793" s="65">
        <v>6.8</v>
      </c>
    </row>
    <row r="2794" spans="2:6" hidden="1" x14ac:dyDescent="0.25">
      <c r="B2794" s="51">
        <f>YEAR(BDRIOSJ[[#This Row],[FECHA]])</f>
        <v>2025</v>
      </c>
      <c r="C2794" s="51">
        <f>MONTH(BDRIOSJ[[#This Row],[FECHA]])</f>
        <v>6</v>
      </c>
      <c r="D2794" s="81">
        <v>45816</v>
      </c>
      <c r="E2794" s="60" t="s">
        <v>114</v>
      </c>
      <c r="F2794" s="65">
        <v>6.8</v>
      </c>
    </row>
    <row r="2795" spans="2:6" hidden="1" x14ac:dyDescent="0.25">
      <c r="B2795" s="51">
        <f>YEAR(BDRIOSJ[[#This Row],[FECHA]])</f>
        <v>2025</v>
      </c>
      <c r="C2795" s="51">
        <f>MONTH(BDRIOSJ[[#This Row],[FECHA]])</f>
        <v>6</v>
      </c>
      <c r="D2795" s="81">
        <v>45816</v>
      </c>
      <c r="E2795" s="60" t="s">
        <v>115</v>
      </c>
      <c r="F2795" s="65">
        <v>6.8</v>
      </c>
    </row>
    <row r="2796" spans="2:6" hidden="1" x14ac:dyDescent="0.25">
      <c r="B2796" s="51">
        <f>YEAR(BDRIOSJ[[#This Row],[FECHA]])</f>
        <v>2025</v>
      </c>
      <c r="C2796" s="51">
        <f>MONTH(BDRIOSJ[[#This Row],[FECHA]])</f>
        <v>6</v>
      </c>
      <c r="D2796" s="81">
        <v>45817</v>
      </c>
      <c r="E2796" s="60" t="s">
        <v>111</v>
      </c>
      <c r="F2796" s="65">
        <v>6.8</v>
      </c>
    </row>
    <row r="2797" spans="2:6" hidden="1" x14ac:dyDescent="0.25">
      <c r="B2797" s="51">
        <f>YEAR(BDRIOSJ[[#This Row],[FECHA]])</f>
        <v>2025</v>
      </c>
      <c r="C2797" s="51">
        <f>MONTH(BDRIOSJ[[#This Row],[FECHA]])</f>
        <v>6</v>
      </c>
      <c r="D2797" s="81">
        <v>45817</v>
      </c>
      <c r="E2797" s="60" t="s">
        <v>113</v>
      </c>
      <c r="F2797" s="65">
        <v>6.8</v>
      </c>
    </row>
    <row r="2798" spans="2:6" hidden="1" x14ac:dyDescent="0.25">
      <c r="B2798" s="51">
        <f>YEAR(BDRIOSJ[[#This Row],[FECHA]])</f>
        <v>2025</v>
      </c>
      <c r="C2798" s="51">
        <f>MONTH(BDRIOSJ[[#This Row],[FECHA]])</f>
        <v>6</v>
      </c>
      <c r="D2798" s="81">
        <v>45817</v>
      </c>
      <c r="E2798" s="60" t="s">
        <v>114</v>
      </c>
      <c r="F2798" s="65">
        <v>6.8</v>
      </c>
    </row>
    <row r="2799" spans="2:6" hidden="1" x14ac:dyDescent="0.25">
      <c r="B2799" s="51">
        <f>YEAR(BDRIOSJ[[#This Row],[FECHA]])</f>
        <v>2025</v>
      </c>
      <c r="C2799" s="51">
        <f>MONTH(BDRIOSJ[[#This Row],[FECHA]])</f>
        <v>6</v>
      </c>
      <c r="D2799" s="81">
        <v>45817</v>
      </c>
      <c r="E2799" s="60" t="s">
        <v>115</v>
      </c>
      <c r="F2799" s="65">
        <v>6.8</v>
      </c>
    </row>
    <row r="2800" spans="2:6" hidden="1" x14ac:dyDescent="0.25">
      <c r="B2800" s="51">
        <f>YEAR(BDRIOSJ[[#This Row],[FECHA]])</f>
        <v>2025</v>
      </c>
      <c r="C2800" s="51">
        <f>MONTH(BDRIOSJ[[#This Row],[FECHA]])</f>
        <v>6</v>
      </c>
      <c r="D2800" s="81">
        <v>45818</v>
      </c>
      <c r="E2800" s="60" t="s">
        <v>111</v>
      </c>
      <c r="F2800" s="65">
        <v>6.8</v>
      </c>
    </row>
    <row r="2801" spans="2:6" hidden="1" x14ac:dyDescent="0.25">
      <c r="B2801" s="51">
        <f>YEAR(BDRIOSJ[[#This Row],[FECHA]])</f>
        <v>2025</v>
      </c>
      <c r="C2801" s="51">
        <f>MONTH(BDRIOSJ[[#This Row],[FECHA]])</f>
        <v>6</v>
      </c>
      <c r="D2801" s="81">
        <v>45818</v>
      </c>
      <c r="E2801" s="60" t="s">
        <v>113</v>
      </c>
      <c r="F2801" s="65">
        <v>6.8</v>
      </c>
    </row>
    <row r="2802" spans="2:6" hidden="1" x14ac:dyDescent="0.25">
      <c r="B2802" s="51">
        <f>YEAR(BDRIOSJ[[#This Row],[FECHA]])</f>
        <v>2025</v>
      </c>
      <c r="C2802" s="51">
        <f>MONTH(BDRIOSJ[[#This Row],[FECHA]])</f>
        <v>6</v>
      </c>
      <c r="D2802" s="81">
        <v>45818</v>
      </c>
      <c r="E2802" s="60" t="s">
        <v>114</v>
      </c>
      <c r="F2802" s="65">
        <v>6.8</v>
      </c>
    </row>
    <row r="2803" spans="2:6" hidden="1" x14ac:dyDescent="0.25">
      <c r="B2803" s="51">
        <f>YEAR(BDRIOSJ[[#This Row],[FECHA]])</f>
        <v>2025</v>
      </c>
      <c r="C2803" s="51">
        <f>MONTH(BDRIOSJ[[#This Row],[FECHA]])</f>
        <v>6</v>
      </c>
      <c r="D2803" s="81">
        <v>45818</v>
      </c>
      <c r="E2803" s="60" t="s">
        <v>115</v>
      </c>
      <c r="F2803" s="65">
        <v>6.8</v>
      </c>
    </row>
    <row r="2804" spans="2:6" hidden="1" x14ac:dyDescent="0.25">
      <c r="B2804" s="51">
        <f>YEAR(BDRIOSJ[[#This Row],[FECHA]])</f>
        <v>2025</v>
      </c>
      <c r="C2804" s="51">
        <f>MONTH(BDRIOSJ[[#This Row],[FECHA]])</f>
        <v>6</v>
      </c>
      <c r="D2804" s="81">
        <v>45819</v>
      </c>
      <c r="E2804" s="60" t="s">
        <v>111</v>
      </c>
      <c r="F2804" s="65">
        <v>6.8</v>
      </c>
    </row>
    <row r="2805" spans="2:6" hidden="1" x14ac:dyDescent="0.25">
      <c r="B2805" s="51">
        <f>YEAR(BDRIOSJ[[#This Row],[FECHA]])</f>
        <v>2025</v>
      </c>
      <c r="C2805" s="51">
        <f>MONTH(BDRIOSJ[[#This Row],[FECHA]])</f>
        <v>6</v>
      </c>
      <c r="D2805" s="81">
        <v>45819</v>
      </c>
      <c r="E2805" s="60" t="s">
        <v>113</v>
      </c>
      <c r="F2805" s="65">
        <v>6.8</v>
      </c>
    </row>
    <row r="2806" spans="2:6" hidden="1" x14ac:dyDescent="0.25">
      <c r="B2806" s="51">
        <f>YEAR(BDRIOSJ[[#This Row],[FECHA]])</f>
        <v>2025</v>
      </c>
      <c r="C2806" s="51">
        <f>MONTH(BDRIOSJ[[#This Row],[FECHA]])</f>
        <v>6</v>
      </c>
      <c r="D2806" s="81">
        <v>45819</v>
      </c>
      <c r="E2806" s="60" t="s">
        <v>114</v>
      </c>
      <c r="F2806" s="65">
        <v>6.82</v>
      </c>
    </row>
    <row r="2807" spans="2:6" hidden="1" x14ac:dyDescent="0.25">
      <c r="B2807" s="51">
        <f>YEAR(BDRIOSJ[[#This Row],[FECHA]])</f>
        <v>2025</v>
      </c>
      <c r="C2807" s="51">
        <f>MONTH(BDRIOSJ[[#This Row],[FECHA]])</f>
        <v>6</v>
      </c>
      <c r="D2807" s="81">
        <v>45819</v>
      </c>
      <c r="E2807" s="60" t="s">
        <v>115</v>
      </c>
      <c r="F2807" s="65">
        <v>6.82</v>
      </c>
    </row>
    <row r="2808" spans="2:6" hidden="1" x14ac:dyDescent="0.25">
      <c r="B2808" s="51">
        <f>YEAR(BDRIOSJ[[#This Row],[FECHA]])</f>
        <v>2025</v>
      </c>
      <c r="C2808" s="51">
        <f>MONTH(BDRIOSJ[[#This Row],[FECHA]])</f>
        <v>6</v>
      </c>
      <c r="D2808" s="81">
        <v>45820</v>
      </c>
      <c r="E2808" s="60" t="s">
        <v>111</v>
      </c>
      <c r="F2808" s="65">
        <v>6.82</v>
      </c>
    </row>
    <row r="2809" spans="2:6" hidden="1" x14ac:dyDescent="0.25">
      <c r="B2809" s="51">
        <f>YEAR(BDRIOSJ[[#This Row],[FECHA]])</f>
        <v>2025</v>
      </c>
      <c r="C2809" s="51">
        <f>MONTH(BDRIOSJ[[#This Row],[FECHA]])</f>
        <v>6</v>
      </c>
      <c r="D2809" s="81">
        <v>45820</v>
      </c>
      <c r="E2809" s="60" t="s">
        <v>113</v>
      </c>
      <c r="F2809" s="65">
        <v>6.82</v>
      </c>
    </row>
    <row r="2810" spans="2:6" hidden="1" x14ac:dyDescent="0.25">
      <c r="B2810" s="51">
        <f>YEAR(BDRIOSJ[[#This Row],[FECHA]])</f>
        <v>2025</v>
      </c>
      <c r="C2810" s="51">
        <f>MONTH(BDRIOSJ[[#This Row],[FECHA]])</f>
        <v>6</v>
      </c>
      <c r="D2810" s="81">
        <v>45820</v>
      </c>
      <c r="E2810" s="60" t="s">
        <v>114</v>
      </c>
      <c r="F2810" s="65">
        <v>6.82</v>
      </c>
    </row>
    <row r="2811" spans="2:6" hidden="1" x14ac:dyDescent="0.25">
      <c r="B2811" s="51">
        <f>YEAR(BDRIOSJ[[#This Row],[FECHA]])</f>
        <v>2025</v>
      </c>
      <c r="C2811" s="51">
        <f>MONTH(BDRIOSJ[[#This Row],[FECHA]])</f>
        <v>6</v>
      </c>
      <c r="D2811" s="81">
        <v>45820</v>
      </c>
      <c r="E2811" s="60" t="s">
        <v>115</v>
      </c>
      <c r="F2811" s="65">
        <v>6.82</v>
      </c>
    </row>
    <row r="2812" spans="2:6" hidden="1" x14ac:dyDescent="0.25">
      <c r="B2812" s="51">
        <f>YEAR(BDRIOSJ[[#This Row],[FECHA]])</f>
        <v>2025</v>
      </c>
      <c r="C2812" s="51">
        <f>MONTH(BDRIOSJ[[#This Row],[FECHA]])</f>
        <v>6</v>
      </c>
      <c r="D2812" s="81">
        <v>45821</v>
      </c>
      <c r="E2812" s="60" t="s">
        <v>111</v>
      </c>
      <c r="F2812" s="65">
        <v>6.82</v>
      </c>
    </row>
    <row r="2813" spans="2:6" hidden="1" x14ac:dyDescent="0.25">
      <c r="B2813" s="51">
        <f>YEAR(BDRIOSJ[[#This Row],[FECHA]])</f>
        <v>2025</v>
      </c>
      <c r="C2813" s="51">
        <f>MONTH(BDRIOSJ[[#This Row],[FECHA]])</f>
        <v>6</v>
      </c>
      <c r="D2813" s="81">
        <v>45821</v>
      </c>
      <c r="E2813" s="60" t="s">
        <v>113</v>
      </c>
      <c r="F2813" s="65">
        <v>6.9890999999999996</v>
      </c>
    </row>
    <row r="2814" spans="2:6" hidden="1" x14ac:dyDescent="0.25">
      <c r="B2814" s="51">
        <f>YEAR(BDRIOSJ[[#This Row],[FECHA]])</f>
        <v>2025</v>
      </c>
      <c r="C2814" s="51">
        <f>MONTH(BDRIOSJ[[#This Row],[FECHA]])</f>
        <v>6</v>
      </c>
      <c r="D2814" s="81">
        <v>45821</v>
      </c>
      <c r="E2814" s="60" t="s">
        <v>114</v>
      </c>
      <c r="F2814" s="65">
        <v>6.9890999999999996</v>
      </c>
    </row>
    <row r="2815" spans="2:6" hidden="1" x14ac:dyDescent="0.25">
      <c r="B2815" s="51">
        <f>YEAR(BDRIOSJ[[#This Row],[FECHA]])</f>
        <v>2025</v>
      </c>
      <c r="C2815" s="51">
        <f>MONTH(BDRIOSJ[[#This Row],[FECHA]])</f>
        <v>6</v>
      </c>
      <c r="D2815" s="81">
        <v>45821</v>
      </c>
      <c r="E2815" s="60" t="s">
        <v>115</v>
      </c>
      <c r="F2815" s="65">
        <v>6.9890999999999996</v>
      </c>
    </row>
    <row r="2816" spans="2:6" hidden="1" x14ac:dyDescent="0.25">
      <c r="B2816" s="51">
        <f>YEAR(BDRIOSJ[[#This Row],[FECHA]])</f>
        <v>2025</v>
      </c>
      <c r="C2816" s="51">
        <f>MONTH(BDRIOSJ[[#This Row],[FECHA]])</f>
        <v>6</v>
      </c>
      <c r="D2816" s="81">
        <v>45822</v>
      </c>
      <c r="E2816" s="60" t="s">
        <v>111</v>
      </c>
      <c r="F2816" s="65">
        <v>6.82</v>
      </c>
    </row>
    <row r="2817" spans="2:6" hidden="1" x14ac:dyDescent="0.25">
      <c r="B2817" s="51">
        <f>YEAR(BDRIOSJ[[#This Row],[FECHA]])</f>
        <v>2025</v>
      </c>
      <c r="C2817" s="51">
        <f>MONTH(BDRIOSJ[[#This Row],[FECHA]])</f>
        <v>6</v>
      </c>
      <c r="D2817" s="81">
        <v>45822</v>
      </c>
      <c r="E2817" s="60" t="s">
        <v>113</v>
      </c>
      <c r="F2817" s="65">
        <v>6.82</v>
      </c>
    </row>
    <row r="2818" spans="2:6" hidden="1" x14ac:dyDescent="0.25">
      <c r="B2818" s="51">
        <f>YEAR(BDRIOSJ[[#This Row],[FECHA]])</f>
        <v>2025</v>
      </c>
      <c r="C2818" s="51">
        <f>MONTH(BDRIOSJ[[#This Row],[FECHA]])</f>
        <v>6</v>
      </c>
      <c r="D2818" s="81">
        <v>45822</v>
      </c>
      <c r="E2818" s="60" t="s">
        <v>114</v>
      </c>
      <c r="F2818" s="65">
        <v>6.82</v>
      </c>
    </row>
    <row r="2819" spans="2:6" hidden="1" x14ac:dyDescent="0.25">
      <c r="B2819" s="51">
        <f>YEAR(BDRIOSJ[[#This Row],[FECHA]])</f>
        <v>2025</v>
      </c>
      <c r="C2819" s="51">
        <f>MONTH(BDRIOSJ[[#This Row],[FECHA]])</f>
        <v>6</v>
      </c>
      <c r="D2819" s="81">
        <v>45822</v>
      </c>
      <c r="E2819" s="60" t="s">
        <v>115</v>
      </c>
      <c r="F2819" s="65">
        <v>6.82</v>
      </c>
    </row>
    <row r="2820" spans="2:6" hidden="1" x14ac:dyDescent="0.25">
      <c r="B2820" s="51">
        <f>YEAR(BDRIOSJ[[#This Row],[FECHA]])</f>
        <v>2025</v>
      </c>
      <c r="C2820" s="51">
        <f>MONTH(BDRIOSJ[[#This Row],[FECHA]])</f>
        <v>6</v>
      </c>
      <c r="D2820" s="81">
        <v>45823</v>
      </c>
      <c r="E2820" s="60" t="s">
        <v>111</v>
      </c>
      <c r="F2820" s="65">
        <v>6.82</v>
      </c>
    </row>
    <row r="2821" spans="2:6" hidden="1" x14ac:dyDescent="0.25">
      <c r="B2821" s="51">
        <f>YEAR(BDRIOSJ[[#This Row],[FECHA]])</f>
        <v>2025</v>
      </c>
      <c r="C2821" s="51">
        <f>MONTH(BDRIOSJ[[#This Row],[FECHA]])</f>
        <v>6</v>
      </c>
      <c r="D2821" s="81">
        <v>45823</v>
      </c>
      <c r="E2821" s="60" t="s">
        <v>113</v>
      </c>
      <c r="F2821" s="65">
        <v>6.82</v>
      </c>
    </row>
    <row r="2822" spans="2:6" hidden="1" x14ac:dyDescent="0.25">
      <c r="B2822" s="51">
        <f>YEAR(BDRIOSJ[[#This Row],[FECHA]])</f>
        <v>2025</v>
      </c>
      <c r="C2822" s="51">
        <f>MONTH(BDRIOSJ[[#This Row],[FECHA]])</f>
        <v>6</v>
      </c>
      <c r="D2822" s="81">
        <v>45823</v>
      </c>
      <c r="E2822" s="60" t="s">
        <v>114</v>
      </c>
      <c r="F2822" s="65">
        <v>6.82</v>
      </c>
    </row>
    <row r="2823" spans="2:6" hidden="1" x14ac:dyDescent="0.25">
      <c r="B2823" s="51">
        <f>YEAR(BDRIOSJ[[#This Row],[FECHA]])</f>
        <v>2025</v>
      </c>
      <c r="C2823" s="51">
        <f>MONTH(BDRIOSJ[[#This Row],[FECHA]])</f>
        <v>6</v>
      </c>
      <c r="D2823" s="81">
        <v>45823</v>
      </c>
      <c r="E2823" s="60" t="s">
        <v>115</v>
      </c>
      <c r="F2823" s="65">
        <v>6.82</v>
      </c>
    </row>
    <row r="2824" spans="2:6" hidden="1" x14ac:dyDescent="0.25">
      <c r="B2824" s="51">
        <f>YEAR(BDRIOSJ[[#This Row],[FECHA]])</f>
        <v>2025</v>
      </c>
      <c r="C2824" s="51">
        <f>MONTH(BDRIOSJ[[#This Row],[FECHA]])</f>
        <v>6</v>
      </c>
      <c r="D2824" s="81">
        <v>45824</v>
      </c>
      <c r="E2824" s="60" t="s">
        <v>111</v>
      </c>
      <c r="F2824" s="65">
        <v>6.82</v>
      </c>
    </row>
    <row r="2825" spans="2:6" hidden="1" x14ac:dyDescent="0.25">
      <c r="B2825" s="51">
        <f>YEAR(BDRIOSJ[[#This Row],[FECHA]])</f>
        <v>2025</v>
      </c>
      <c r="C2825" s="51">
        <f>MONTH(BDRIOSJ[[#This Row],[FECHA]])</f>
        <v>6</v>
      </c>
      <c r="D2825" s="81">
        <v>45824</v>
      </c>
      <c r="E2825" s="60" t="s">
        <v>113</v>
      </c>
      <c r="F2825" s="65">
        <v>6.82</v>
      </c>
    </row>
    <row r="2826" spans="2:6" hidden="1" x14ac:dyDescent="0.25">
      <c r="B2826" s="51">
        <f>YEAR(BDRIOSJ[[#This Row],[FECHA]])</f>
        <v>2025</v>
      </c>
      <c r="C2826" s="51">
        <f>MONTH(BDRIOSJ[[#This Row],[FECHA]])</f>
        <v>6</v>
      </c>
      <c r="D2826" s="81">
        <v>45824</v>
      </c>
      <c r="E2826" s="60" t="s">
        <v>114</v>
      </c>
      <c r="F2826" s="65">
        <v>6.82</v>
      </c>
    </row>
    <row r="2827" spans="2:6" hidden="1" x14ac:dyDescent="0.25">
      <c r="B2827" s="51">
        <f>YEAR(BDRIOSJ[[#This Row],[FECHA]])</f>
        <v>2025</v>
      </c>
      <c r="C2827" s="51">
        <f>MONTH(BDRIOSJ[[#This Row],[FECHA]])</f>
        <v>6</v>
      </c>
      <c r="D2827" s="81">
        <v>45824</v>
      </c>
      <c r="E2827" s="60" t="s">
        <v>115</v>
      </c>
      <c r="F2827" s="65">
        <v>6.82</v>
      </c>
    </row>
    <row r="2828" spans="2:6" hidden="1" x14ac:dyDescent="0.25">
      <c r="B2828" s="51">
        <f>YEAR(BDRIOSJ[[#This Row],[FECHA]])</f>
        <v>2025</v>
      </c>
      <c r="C2828" s="51">
        <f>MONTH(BDRIOSJ[[#This Row],[FECHA]])</f>
        <v>6</v>
      </c>
      <c r="D2828" s="81">
        <v>45825</v>
      </c>
      <c r="E2828" s="60" t="s">
        <v>111</v>
      </c>
      <c r="F2828" s="65">
        <v>6.82</v>
      </c>
    </row>
    <row r="2829" spans="2:6" hidden="1" x14ac:dyDescent="0.25">
      <c r="B2829" s="51">
        <f>YEAR(BDRIOSJ[[#This Row],[FECHA]])</f>
        <v>2025</v>
      </c>
      <c r="C2829" s="51">
        <f>MONTH(BDRIOSJ[[#This Row],[FECHA]])</f>
        <v>6</v>
      </c>
      <c r="D2829" s="81">
        <v>45825</v>
      </c>
      <c r="E2829" s="60" t="s">
        <v>113</v>
      </c>
      <c r="F2829" s="65">
        <v>6.89</v>
      </c>
    </row>
    <row r="2830" spans="2:6" hidden="1" x14ac:dyDescent="0.25">
      <c r="B2830" s="51">
        <f>YEAR(BDRIOSJ[[#This Row],[FECHA]])</f>
        <v>2025</v>
      </c>
      <c r="C2830" s="51">
        <f>MONTH(BDRIOSJ[[#This Row],[FECHA]])</f>
        <v>6</v>
      </c>
      <c r="D2830" s="81">
        <v>45825</v>
      </c>
      <c r="E2830" s="60" t="s">
        <v>114</v>
      </c>
      <c r="F2830" s="65">
        <v>6.82</v>
      </c>
    </row>
    <row r="2831" spans="2:6" hidden="1" x14ac:dyDescent="0.25">
      <c r="B2831" s="51">
        <f>YEAR(BDRIOSJ[[#This Row],[FECHA]])</f>
        <v>2025</v>
      </c>
      <c r="C2831" s="51">
        <f>MONTH(BDRIOSJ[[#This Row],[FECHA]])</f>
        <v>6</v>
      </c>
      <c r="D2831" s="81">
        <v>45825</v>
      </c>
      <c r="E2831" s="60" t="s">
        <v>115</v>
      </c>
      <c r="F2831" s="65">
        <v>6.82</v>
      </c>
    </row>
    <row r="2832" spans="2:6" hidden="1" x14ac:dyDescent="0.25">
      <c r="B2832" s="51">
        <f>YEAR(BDRIOSJ[[#This Row],[FECHA]])</f>
        <v>2025</v>
      </c>
      <c r="C2832" s="51">
        <f>MONTH(BDRIOSJ[[#This Row],[FECHA]])</f>
        <v>6</v>
      </c>
      <c r="D2832" s="81">
        <v>45826</v>
      </c>
      <c r="E2832" s="60" t="s">
        <v>111</v>
      </c>
      <c r="F2832" s="65">
        <v>6.82</v>
      </c>
    </row>
    <row r="2833" spans="2:6" hidden="1" x14ac:dyDescent="0.25">
      <c r="B2833" s="51">
        <f>YEAR(BDRIOSJ[[#This Row],[FECHA]])</f>
        <v>2025</v>
      </c>
      <c r="C2833" s="51">
        <f>MONTH(BDRIOSJ[[#This Row],[FECHA]])</f>
        <v>6</v>
      </c>
      <c r="D2833" s="81">
        <v>45826</v>
      </c>
      <c r="E2833" s="60" t="s">
        <v>113</v>
      </c>
      <c r="F2833" s="65">
        <v>6.82</v>
      </c>
    </row>
    <row r="2834" spans="2:6" hidden="1" x14ac:dyDescent="0.25">
      <c r="B2834" s="51">
        <f>YEAR(BDRIOSJ[[#This Row],[FECHA]])</f>
        <v>2025</v>
      </c>
      <c r="C2834" s="51">
        <f>MONTH(BDRIOSJ[[#This Row],[FECHA]])</f>
        <v>6</v>
      </c>
      <c r="D2834" s="81">
        <v>45826</v>
      </c>
      <c r="E2834" s="60" t="s">
        <v>114</v>
      </c>
      <c r="F2834" s="65">
        <v>6.82</v>
      </c>
    </row>
    <row r="2835" spans="2:6" hidden="1" x14ac:dyDescent="0.25">
      <c r="B2835" s="51">
        <f>YEAR(BDRIOSJ[[#This Row],[FECHA]])</f>
        <v>2025</v>
      </c>
      <c r="C2835" s="51">
        <f>MONTH(BDRIOSJ[[#This Row],[FECHA]])</f>
        <v>6</v>
      </c>
      <c r="D2835" s="81">
        <v>45826</v>
      </c>
      <c r="E2835" s="60" t="s">
        <v>115</v>
      </c>
      <c r="F2835" s="65">
        <v>6.82</v>
      </c>
    </row>
    <row r="2836" spans="2:6" hidden="1" x14ac:dyDescent="0.25">
      <c r="B2836" s="51">
        <f>YEAR(BDRIOSJ[[#This Row],[FECHA]])</f>
        <v>2025</v>
      </c>
      <c r="C2836" s="51">
        <f>MONTH(BDRIOSJ[[#This Row],[FECHA]])</f>
        <v>6</v>
      </c>
      <c r="D2836" s="81">
        <v>45827</v>
      </c>
      <c r="E2836" s="60" t="s">
        <v>111</v>
      </c>
      <c r="F2836" s="65">
        <v>6.82</v>
      </c>
    </row>
    <row r="2837" spans="2:6" hidden="1" x14ac:dyDescent="0.25">
      <c r="B2837" s="51">
        <f>YEAR(BDRIOSJ[[#This Row],[FECHA]])</f>
        <v>2025</v>
      </c>
      <c r="C2837" s="51">
        <f>MONTH(BDRIOSJ[[#This Row],[FECHA]])</f>
        <v>6</v>
      </c>
      <c r="D2837" s="81">
        <v>45827</v>
      </c>
      <c r="E2837" s="60" t="s">
        <v>113</v>
      </c>
      <c r="F2837" s="65">
        <v>6.82</v>
      </c>
    </row>
    <row r="2838" spans="2:6" hidden="1" x14ac:dyDescent="0.25">
      <c r="B2838" s="51">
        <f>YEAR(BDRIOSJ[[#This Row],[FECHA]])</f>
        <v>2025</v>
      </c>
      <c r="C2838" s="51">
        <f>MONTH(BDRIOSJ[[#This Row],[FECHA]])</f>
        <v>6</v>
      </c>
      <c r="D2838" s="81">
        <v>45827</v>
      </c>
      <c r="E2838" s="60" t="s">
        <v>114</v>
      </c>
      <c r="F2838" s="65">
        <v>6.82</v>
      </c>
    </row>
    <row r="2839" spans="2:6" hidden="1" x14ac:dyDescent="0.25">
      <c r="B2839" s="51">
        <f>YEAR(BDRIOSJ[[#This Row],[FECHA]])</f>
        <v>2025</v>
      </c>
      <c r="C2839" s="51">
        <f>MONTH(BDRIOSJ[[#This Row],[FECHA]])</f>
        <v>6</v>
      </c>
      <c r="D2839" s="81">
        <v>45827</v>
      </c>
      <c r="E2839" s="60" t="s">
        <v>115</v>
      </c>
      <c r="F2839" s="65">
        <v>6.82</v>
      </c>
    </row>
    <row r="2840" spans="2:6" hidden="1" x14ac:dyDescent="0.25">
      <c r="B2840" s="51">
        <f>YEAR(BDRIOSJ[[#This Row],[FECHA]])</f>
        <v>2025</v>
      </c>
      <c r="C2840" s="51">
        <f>MONTH(BDRIOSJ[[#This Row],[FECHA]])</f>
        <v>6</v>
      </c>
      <c r="D2840" s="81">
        <v>45828</v>
      </c>
      <c r="E2840" s="60" t="s">
        <v>111</v>
      </c>
      <c r="F2840" s="65">
        <v>6.82</v>
      </c>
    </row>
    <row r="2841" spans="2:6" hidden="1" x14ac:dyDescent="0.25">
      <c r="B2841" s="51">
        <f>YEAR(BDRIOSJ[[#This Row],[FECHA]])</f>
        <v>2025</v>
      </c>
      <c r="C2841" s="51">
        <f>MONTH(BDRIOSJ[[#This Row],[FECHA]])</f>
        <v>6</v>
      </c>
      <c r="D2841" s="81">
        <v>45828</v>
      </c>
      <c r="E2841" s="60" t="s">
        <v>113</v>
      </c>
      <c r="F2841" s="65">
        <v>6.82</v>
      </c>
    </row>
    <row r="2842" spans="2:6" hidden="1" x14ac:dyDescent="0.25">
      <c r="B2842" s="51">
        <f>YEAR(BDRIOSJ[[#This Row],[FECHA]])</f>
        <v>2025</v>
      </c>
      <c r="C2842" s="51">
        <f>MONTH(BDRIOSJ[[#This Row],[FECHA]])</f>
        <v>6</v>
      </c>
      <c r="D2842" s="81">
        <v>45828</v>
      </c>
      <c r="E2842" s="60" t="s">
        <v>114</v>
      </c>
      <c r="F2842" s="65">
        <v>6.82</v>
      </c>
    </row>
    <row r="2843" spans="2:6" hidden="1" x14ac:dyDescent="0.25">
      <c r="B2843" s="51">
        <f>YEAR(BDRIOSJ[[#This Row],[FECHA]])</f>
        <v>2025</v>
      </c>
      <c r="C2843" s="51">
        <f>MONTH(BDRIOSJ[[#This Row],[FECHA]])</f>
        <v>6</v>
      </c>
      <c r="D2843" s="81">
        <v>45828</v>
      </c>
      <c r="E2843" s="60" t="s">
        <v>115</v>
      </c>
      <c r="F2843" s="65">
        <v>6.82</v>
      </c>
    </row>
    <row r="2844" spans="2:6" hidden="1" x14ac:dyDescent="0.25">
      <c r="B2844" s="51">
        <f>YEAR(BDRIOSJ[[#This Row],[FECHA]])</f>
        <v>2025</v>
      </c>
      <c r="C2844" s="51">
        <f>MONTH(BDRIOSJ[[#This Row],[FECHA]])</f>
        <v>6</v>
      </c>
      <c r="D2844" s="81">
        <v>45829</v>
      </c>
      <c r="E2844" s="60" t="s">
        <v>111</v>
      </c>
      <c r="F2844" s="65">
        <v>6.82</v>
      </c>
    </row>
    <row r="2845" spans="2:6" hidden="1" x14ac:dyDescent="0.25">
      <c r="B2845" s="51">
        <f>YEAR(BDRIOSJ[[#This Row],[FECHA]])</f>
        <v>2025</v>
      </c>
      <c r="C2845" s="51">
        <f>MONTH(BDRIOSJ[[#This Row],[FECHA]])</f>
        <v>6</v>
      </c>
      <c r="D2845" s="81">
        <v>45829</v>
      </c>
      <c r="E2845" s="60" t="s">
        <v>113</v>
      </c>
      <c r="F2845" s="65">
        <v>6.82</v>
      </c>
    </row>
    <row r="2846" spans="2:6" hidden="1" x14ac:dyDescent="0.25">
      <c r="B2846" s="51">
        <f>YEAR(BDRIOSJ[[#This Row],[FECHA]])</f>
        <v>2025</v>
      </c>
      <c r="C2846" s="51">
        <f>MONTH(BDRIOSJ[[#This Row],[FECHA]])</f>
        <v>6</v>
      </c>
      <c r="D2846" s="81">
        <v>45829</v>
      </c>
      <c r="E2846" s="60" t="s">
        <v>114</v>
      </c>
      <c r="F2846" s="65">
        <v>6.82</v>
      </c>
    </row>
    <row r="2847" spans="2:6" hidden="1" x14ac:dyDescent="0.25">
      <c r="B2847" s="51">
        <f>YEAR(BDRIOSJ[[#This Row],[FECHA]])</f>
        <v>2025</v>
      </c>
      <c r="C2847" s="51">
        <f>MONTH(BDRIOSJ[[#This Row],[FECHA]])</f>
        <v>6</v>
      </c>
      <c r="D2847" s="81">
        <v>45829</v>
      </c>
      <c r="E2847" s="60" t="s">
        <v>115</v>
      </c>
      <c r="F2847" s="65">
        <v>6.82</v>
      </c>
    </row>
    <row r="2848" spans="2:6" hidden="1" x14ac:dyDescent="0.25">
      <c r="B2848" s="51">
        <f>YEAR(BDRIOSJ[[#This Row],[FECHA]])</f>
        <v>2025</v>
      </c>
      <c r="C2848" s="51">
        <f>MONTH(BDRIOSJ[[#This Row],[FECHA]])</f>
        <v>6</v>
      </c>
      <c r="D2848" s="81">
        <v>45830</v>
      </c>
      <c r="E2848" s="60" t="s">
        <v>111</v>
      </c>
      <c r="F2848" s="65">
        <v>6.82</v>
      </c>
    </row>
    <row r="2849" spans="2:6" hidden="1" x14ac:dyDescent="0.25">
      <c r="B2849" s="51">
        <f>YEAR(BDRIOSJ[[#This Row],[FECHA]])</f>
        <v>2025</v>
      </c>
      <c r="C2849" s="51">
        <f>MONTH(BDRIOSJ[[#This Row],[FECHA]])</f>
        <v>6</v>
      </c>
      <c r="D2849" s="81">
        <v>45830</v>
      </c>
      <c r="E2849" s="60" t="s">
        <v>113</v>
      </c>
      <c r="F2849" s="65">
        <v>6.82</v>
      </c>
    </row>
    <row r="2850" spans="2:6" hidden="1" x14ac:dyDescent="0.25">
      <c r="B2850" s="51">
        <f>YEAR(BDRIOSJ[[#This Row],[FECHA]])</f>
        <v>2025</v>
      </c>
      <c r="C2850" s="51">
        <f>MONTH(BDRIOSJ[[#This Row],[FECHA]])</f>
        <v>6</v>
      </c>
      <c r="D2850" s="81">
        <v>45830</v>
      </c>
      <c r="E2850" s="60" t="s">
        <v>114</v>
      </c>
      <c r="F2850" s="65">
        <v>6.82</v>
      </c>
    </row>
    <row r="2851" spans="2:6" hidden="1" x14ac:dyDescent="0.25">
      <c r="B2851" s="51">
        <f>YEAR(BDRIOSJ[[#This Row],[FECHA]])</f>
        <v>2025</v>
      </c>
      <c r="C2851" s="51">
        <f>MONTH(BDRIOSJ[[#This Row],[FECHA]])</f>
        <v>6</v>
      </c>
      <c r="D2851" s="81">
        <v>45830</v>
      </c>
      <c r="E2851" s="60" t="s">
        <v>115</v>
      </c>
      <c r="F2851" s="65">
        <v>6.82</v>
      </c>
    </row>
    <row r="2852" spans="2:6" hidden="1" x14ac:dyDescent="0.25">
      <c r="B2852" s="51">
        <f>YEAR(BDRIOSJ[[#This Row],[FECHA]])</f>
        <v>2025</v>
      </c>
      <c r="C2852" s="51">
        <f>MONTH(BDRIOSJ[[#This Row],[FECHA]])</f>
        <v>6</v>
      </c>
      <c r="D2852" s="81">
        <v>45831</v>
      </c>
      <c r="E2852" s="60" t="s">
        <v>111</v>
      </c>
      <c r="F2852" s="65">
        <v>6.82</v>
      </c>
    </row>
    <row r="2853" spans="2:6" hidden="1" x14ac:dyDescent="0.25">
      <c r="B2853" s="51">
        <f>YEAR(BDRIOSJ[[#This Row],[FECHA]])</f>
        <v>2025</v>
      </c>
      <c r="C2853" s="51">
        <f>MONTH(BDRIOSJ[[#This Row],[FECHA]])</f>
        <v>6</v>
      </c>
      <c r="D2853" s="81">
        <v>45831</v>
      </c>
      <c r="E2853" s="60" t="s">
        <v>113</v>
      </c>
      <c r="F2853" s="65">
        <v>6.82</v>
      </c>
    </row>
    <row r="2854" spans="2:6" hidden="1" x14ac:dyDescent="0.25">
      <c r="B2854" s="51">
        <f>YEAR(BDRIOSJ[[#This Row],[FECHA]])</f>
        <v>2025</v>
      </c>
      <c r="C2854" s="51">
        <f>MONTH(BDRIOSJ[[#This Row],[FECHA]])</f>
        <v>6</v>
      </c>
      <c r="D2854" s="81">
        <v>45831</v>
      </c>
      <c r="E2854" s="60" t="s">
        <v>114</v>
      </c>
      <c r="F2854" s="65">
        <v>6.82</v>
      </c>
    </row>
    <row r="2855" spans="2:6" hidden="1" x14ac:dyDescent="0.25">
      <c r="B2855" s="51">
        <f>YEAR(BDRIOSJ[[#This Row],[FECHA]])</f>
        <v>2025</v>
      </c>
      <c r="C2855" s="51">
        <f>MONTH(BDRIOSJ[[#This Row],[FECHA]])</f>
        <v>6</v>
      </c>
      <c r="D2855" s="81">
        <v>45831</v>
      </c>
      <c r="E2855" s="60" t="s">
        <v>115</v>
      </c>
      <c r="F2855" s="65">
        <v>6.82</v>
      </c>
    </row>
    <row r="2856" spans="2:6" hidden="1" x14ac:dyDescent="0.25">
      <c r="B2856" s="51">
        <f>YEAR(BDRIOSJ[[#This Row],[FECHA]])</f>
        <v>2025</v>
      </c>
      <c r="C2856" s="51">
        <f>MONTH(BDRIOSJ[[#This Row],[FECHA]])</f>
        <v>6</v>
      </c>
      <c r="D2856" s="81">
        <v>45832</v>
      </c>
      <c r="E2856" s="60" t="s">
        <v>111</v>
      </c>
      <c r="F2856" s="65">
        <v>6.82</v>
      </c>
    </row>
    <row r="2857" spans="2:6" hidden="1" x14ac:dyDescent="0.25">
      <c r="B2857" s="51">
        <f>YEAR(BDRIOSJ[[#This Row],[FECHA]])</f>
        <v>2025</v>
      </c>
      <c r="C2857" s="51">
        <f>MONTH(BDRIOSJ[[#This Row],[FECHA]])</f>
        <v>6</v>
      </c>
      <c r="D2857" s="81">
        <v>45832</v>
      </c>
      <c r="E2857" s="60" t="s">
        <v>113</v>
      </c>
      <c r="F2857" s="65">
        <v>6.89</v>
      </c>
    </row>
    <row r="2858" spans="2:6" hidden="1" x14ac:dyDescent="0.25">
      <c r="B2858" s="51">
        <f>YEAR(BDRIOSJ[[#This Row],[FECHA]])</f>
        <v>2025</v>
      </c>
      <c r="C2858" s="51">
        <f>MONTH(BDRIOSJ[[#This Row],[FECHA]])</f>
        <v>6</v>
      </c>
      <c r="D2858" s="81">
        <v>45832</v>
      </c>
      <c r="E2858" s="60" t="s">
        <v>114</v>
      </c>
      <c r="F2858" s="65">
        <v>6.89</v>
      </c>
    </row>
    <row r="2859" spans="2:6" hidden="1" x14ac:dyDescent="0.25">
      <c r="B2859" s="51">
        <f>YEAR(BDRIOSJ[[#This Row],[FECHA]])</f>
        <v>2025</v>
      </c>
      <c r="C2859" s="51">
        <f>MONTH(BDRIOSJ[[#This Row],[FECHA]])</f>
        <v>6</v>
      </c>
      <c r="D2859" s="81">
        <v>45832</v>
      </c>
      <c r="E2859" s="60" t="s">
        <v>115</v>
      </c>
      <c r="F2859" s="65">
        <v>6.82</v>
      </c>
    </row>
    <row r="2860" spans="2:6" hidden="1" x14ac:dyDescent="0.25">
      <c r="B2860" s="51">
        <f>YEAR(BDRIOSJ[[#This Row],[FECHA]])</f>
        <v>2025</v>
      </c>
      <c r="C2860" s="51">
        <f>MONTH(BDRIOSJ[[#This Row],[FECHA]])</f>
        <v>6</v>
      </c>
      <c r="D2860" s="81">
        <v>45833</v>
      </c>
      <c r="E2860" s="60" t="s">
        <v>111</v>
      </c>
      <c r="F2860" s="65">
        <v>6.82</v>
      </c>
    </row>
    <row r="2861" spans="2:6" hidden="1" x14ac:dyDescent="0.25">
      <c r="B2861" s="51">
        <f>YEAR(BDRIOSJ[[#This Row],[FECHA]])</f>
        <v>2025</v>
      </c>
      <c r="C2861" s="51">
        <f>MONTH(BDRIOSJ[[#This Row],[FECHA]])</f>
        <v>6</v>
      </c>
      <c r="D2861" s="81">
        <v>45833</v>
      </c>
      <c r="E2861" s="60" t="s">
        <v>113</v>
      </c>
      <c r="F2861" s="65">
        <v>6.89</v>
      </c>
    </row>
    <row r="2862" spans="2:6" hidden="1" x14ac:dyDescent="0.25">
      <c r="B2862" s="51">
        <f>YEAR(BDRIOSJ[[#This Row],[FECHA]])</f>
        <v>2025</v>
      </c>
      <c r="C2862" s="51">
        <f>MONTH(BDRIOSJ[[#This Row],[FECHA]])</f>
        <v>6</v>
      </c>
      <c r="D2862" s="81">
        <v>45833</v>
      </c>
      <c r="E2862" s="60" t="s">
        <v>114</v>
      </c>
      <c r="F2862" s="65">
        <v>6.89</v>
      </c>
    </row>
    <row r="2863" spans="2:6" hidden="1" x14ac:dyDescent="0.25">
      <c r="B2863" s="51">
        <f>YEAR(BDRIOSJ[[#This Row],[FECHA]])</f>
        <v>2025</v>
      </c>
      <c r="C2863" s="51">
        <f>MONTH(BDRIOSJ[[#This Row],[FECHA]])</f>
        <v>6</v>
      </c>
      <c r="D2863" s="81">
        <v>45833</v>
      </c>
      <c r="E2863" s="60" t="s">
        <v>115</v>
      </c>
      <c r="F2863" s="65">
        <v>6.89</v>
      </c>
    </row>
    <row r="2864" spans="2:6" hidden="1" x14ac:dyDescent="0.25">
      <c r="B2864" s="51">
        <f>YEAR(BDRIOSJ[[#This Row],[FECHA]])</f>
        <v>2025</v>
      </c>
      <c r="C2864" s="51">
        <f>MONTH(BDRIOSJ[[#This Row],[FECHA]])</f>
        <v>6</v>
      </c>
      <c r="D2864" s="81">
        <v>45834</v>
      </c>
      <c r="E2864" s="60" t="s">
        <v>111</v>
      </c>
      <c r="F2864" s="65">
        <v>6.89</v>
      </c>
    </row>
    <row r="2865" spans="2:6" hidden="1" x14ac:dyDescent="0.25">
      <c r="B2865" s="51">
        <f>YEAR(BDRIOSJ[[#This Row],[FECHA]])</f>
        <v>2025</v>
      </c>
      <c r="C2865" s="51">
        <f>MONTH(BDRIOSJ[[#This Row],[FECHA]])</f>
        <v>6</v>
      </c>
      <c r="D2865" s="81">
        <v>45834</v>
      </c>
      <c r="E2865" s="60" t="s">
        <v>113</v>
      </c>
      <c r="F2865" s="65">
        <v>6.89</v>
      </c>
    </row>
    <row r="2866" spans="2:6" hidden="1" x14ac:dyDescent="0.25">
      <c r="B2866" s="51">
        <f>YEAR(BDRIOSJ[[#This Row],[FECHA]])</f>
        <v>2025</v>
      </c>
      <c r="C2866" s="51">
        <f>MONTH(BDRIOSJ[[#This Row],[FECHA]])</f>
        <v>6</v>
      </c>
      <c r="D2866" s="81">
        <v>45834</v>
      </c>
      <c r="E2866" s="60" t="s">
        <v>114</v>
      </c>
      <c r="F2866" s="65">
        <v>6.89</v>
      </c>
    </row>
    <row r="2867" spans="2:6" hidden="1" x14ac:dyDescent="0.25">
      <c r="B2867" s="51">
        <f>YEAR(BDRIOSJ[[#This Row],[FECHA]])</f>
        <v>2025</v>
      </c>
      <c r="C2867" s="51">
        <f>MONTH(BDRIOSJ[[#This Row],[FECHA]])</f>
        <v>6</v>
      </c>
      <c r="D2867" s="81">
        <v>45834</v>
      </c>
      <c r="E2867" s="60" t="s">
        <v>115</v>
      </c>
      <c r="F2867" s="65">
        <v>6.89</v>
      </c>
    </row>
    <row r="2868" spans="2:6" hidden="1" x14ac:dyDescent="0.25">
      <c r="B2868" s="51">
        <f>YEAR(BDRIOSJ[[#This Row],[FECHA]])</f>
        <v>2025</v>
      </c>
      <c r="C2868" s="51">
        <f>MONTH(BDRIOSJ[[#This Row],[FECHA]])</f>
        <v>6</v>
      </c>
      <c r="D2868" s="81">
        <v>45835</v>
      </c>
      <c r="E2868" s="60" t="s">
        <v>111</v>
      </c>
      <c r="F2868" s="65">
        <v>6.89</v>
      </c>
    </row>
    <row r="2869" spans="2:6" hidden="1" x14ac:dyDescent="0.25">
      <c r="B2869" s="51">
        <f>YEAR(BDRIOSJ[[#This Row],[FECHA]])</f>
        <v>2025</v>
      </c>
      <c r="C2869" s="51">
        <f>MONTH(BDRIOSJ[[#This Row],[FECHA]])</f>
        <v>6</v>
      </c>
      <c r="D2869" s="81">
        <v>45835</v>
      </c>
      <c r="E2869" s="60" t="s">
        <v>113</v>
      </c>
      <c r="F2869" s="65">
        <v>6.89</v>
      </c>
    </row>
    <row r="2870" spans="2:6" hidden="1" x14ac:dyDescent="0.25">
      <c r="B2870" s="51">
        <f>YEAR(BDRIOSJ[[#This Row],[FECHA]])</f>
        <v>2025</v>
      </c>
      <c r="C2870" s="51">
        <f>MONTH(BDRIOSJ[[#This Row],[FECHA]])</f>
        <v>6</v>
      </c>
      <c r="D2870" s="81">
        <v>45835</v>
      </c>
      <c r="E2870" s="60" t="s">
        <v>114</v>
      </c>
      <c r="F2870" s="65">
        <v>6.89</v>
      </c>
    </row>
    <row r="2871" spans="2:6" hidden="1" x14ac:dyDescent="0.25">
      <c r="B2871" s="51">
        <f>YEAR(BDRIOSJ[[#This Row],[FECHA]])</f>
        <v>2025</v>
      </c>
      <c r="C2871" s="51">
        <f>MONTH(BDRIOSJ[[#This Row],[FECHA]])</f>
        <v>6</v>
      </c>
      <c r="D2871" s="81">
        <v>45835</v>
      </c>
      <c r="E2871" s="60" t="s">
        <v>115</v>
      </c>
      <c r="F2871" s="65">
        <v>6.89</v>
      </c>
    </row>
    <row r="2872" spans="2:6" hidden="1" x14ac:dyDescent="0.25">
      <c r="B2872" s="51">
        <f>YEAR(BDRIOSJ[[#This Row],[FECHA]])</f>
        <v>2025</v>
      </c>
      <c r="C2872" s="51">
        <f>MONTH(BDRIOSJ[[#This Row],[FECHA]])</f>
        <v>6</v>
      </c>
      <c r="D2872" s="81">
        <v>45836</v>
      </c>
      <c r="E2872" s="60" t="s">
        <v>111</v>
      </c>
      <c r="F2872" s="65">
        <v>6.89</v>
      </c>
    </row>
    <row r="2873" spans="2:6" hidden="1" x14ac:dyDescent="0.25">
      <c r="B2873" s="51">
        <f>YEAR(BDRIOSJ[[#This Row],[FECHA]])</f>
        <v>2025</v>
      </c>
      <c r="C2873" s="51">
        <f>MONTH(BDRIOSJ[[#This Row],[FECHA]])</f>
        <v>6</v>
      </c>
      <c r="D2873" s="81">
        <v>45836</v>
      </c>
      <c r="E2873" s="60" t="s">
        <v>113</v>
      </c>
      <c r="F2873" s="65">
        <v>6.89</v>
      </c>
    </row>
    <row r="2874" spans="2:6" hidden="1" x14ac:dyDescent="0.25">
      <c r="B2874" s="51">
        <f>YEAR(BDRIOSJ[[#This Row],[FECHA]])</f>
        <v>2025</v>
      </c>
      <c r="C2874" s="51">
        <f>MONTH(BDRIOSJ[[#This Row],[FECHA]])</f>
        <v>6</v>
      </c>
      <c r="D2874" s="81">
        <v>45836</v>
      </c>
      <c r="E2874" s="60" t="s">
        <v>114</v>
      </c>
      <c r="F2874" s="65">
        <v>6.89</v>
      </c>
    </row>
    <row r="2875" spans="2:6" hidden="1" x14ac:dyDescent="0.25">
      <c r="B2875" s="51">
        <f>YEAR(BDRIOSJ[[#This Row],[FECHA]])</f>
        <v>2025</v>
      </c>
      <c r="C2875" s="51">
        <f>MONTH(BDRIOSJ[[#This Row],[FECHA]])</f>
        <v>6</v>
      </c>
      <c r="D2875" s="81">
        <v>45836</v>
      </c>
      <c r="E2875" s="60" t="s">
        <v>115</v>
      </c>
      <c r="F2875" s="65">
        <v>6.89</v>
      </c>
    </row>
    <row r="2876" spans="2:6" hidden="1" x14ac:dyDescent="0.25">
      <c r="B2876" s="51">
        <f>YEAR(BDRIOSJ[[#This Row],[FECHA]])</f>
        <v>2025</v>
      </c>
      <c r="C2876" s="51">
        <f>MONTH(BDRIOSJ[[#This Row],[FECHA]])</f>
        <v>6</v>
      </c>
      <c r="D2876" s="81">
        <v>45837</v>
      </c>
      <c r="E2876" s="60" t="s">
        <v>111</v>
      </c>
      <c r="F2876" s="65">
        <v>6.89</v>
      </c>
    </row>
    <row r="2877" spans="2:6" hidden="1" x14ac:dyDescent="0.25">
      <c r="B2877" s="51">
        <f>YEAR(BDRIOSJ[[#This Row],[FECHA]])</f>
        <v>2025</v>
      </c>
      <c r="C2877" s="51">
        <f>MONTH(BDRIOSJ[[#This Row],[FECHA]])</f>
        <v>6</v>
      </c>
      <c r="D2877" s="81">
        <v>45837</v>
      </c>
      <c r="E2877" s="60" t="s">
        <v>113</v>
      </c>
      <c r="F2877" s="65">
        <v>6.89</v>
      </c>
    </row>
    <row r="2878" spans="2:6" hidden="1" x14ac:dyDescent="0.25">
      <c r="B2878" s="51">
        <f>YEAR(BDRIOSJ[[#This Row],[FECHA]])</f>
        <v>2025</v>
      </c>
      <c r="C2878" s="51">
        <f>MONTH(BDRIOSJ[[#This Row],[FECHA]])</f>
        <v>6</v>
      </c>
      <c r="D2878" s="81">
        <v>45837</v>
      </c>
      <c r="E2878" s="60" t="s">
        <v>114</v>
      </c>
      <c r="F2878" s="65">
        <v>6.89</v>
      </c>
    </row>
    <row r="2879" spans="2:6" hidden="1" x14ac:dyDescent="0.25">
      <c r="B2879" s="51">
        <f>YEAR(BDRIOSJ[[#This Row],[FECHA]])</f>
        <v>2025</v>
      </c>
      <c r="C2879" s="51">
        <f>MONTH(BDRIOSJ[[#This Row],[FECHA]])</f>
        <v>6</v>
      </c>
      <c r="D2879" s="81">
        <v>45837</v>
      </c>
      <c r="E2879" s="60" t="s">
        <v>115</v>
      </c>
      <c r="F2879" s="65">
        <v>6.89</v>
      </c>
    </row>
    <row r="2880" spans="2:6" hidden="1" x14ac:dyDescent="0.25">
      <c r="B2880" s="51">
        <f>YEAR(BDRIOSJ[[#This Row],[FECHA]])</f>
        <v>2025</v>
      </c>
      <c r="C2880" s="51">
        <f>MONTH(BDRIOSJ[[#This Row],[FECHA]])</f>
        <v>6</v>
      </c>
      <c r="D2880" s="81">
        <v>45838</v>
      </c>
      <c r="E2880" s="60" t="s">
        <v>111</v>
      </c>
      <c r="F2880" s="65">
        <v>6.89</v>
      </c>
    </row>
    <row r="2881" spans="2:6" hidden="1" x14ac:dyDescent="0.25">
      <c r="B2881" s="51">
        <f>YEAR(BDRIOSJ[[#This Row],[FECHA]])</f>
        <v>2025</v>
      </c>
      <c r="C2881" s="51">
        <f>MONTH(BDRIOSJ[[#This Row],[FECHA]])</f>
        <v>6</v>
      </c>
      <c r="D2881" s="81">
        <v>45838</v>
      </c>
      <c r="E2881" s="60" t="s">
        <v>113</v>
      </c>
      <c r="F2881" s="65">
        <v>6.89</v>
      </c>
    </row>
    <row r="2882" spans="2:6" hidden="1" x14ac:dyDescent="0.25">
      <c r="B2882" s="51">
        <f>YEAR(BDRIOSJ[[#This Row],[FECHA]])</f>
        <v>2025</v>
      </c>
      <c r="C2882" s="51">
        <f>MONTH(BDRIOSJ[[#This Row],[FECHA]])</f>
        <v>6</v>
      </c>
      <c r="D2882" s="81">
        <v>45838</v>
      </c>
      <c r="E2882" s="60" t="s">
        <v>114</v>
      </c>
      <c r="F2882" s="65">
        <v>6.82</v>
      </c>
    </row>
    <row r="2883" spans="2:6" hidden="1" x14ac:dyDescent="0.25">
      <c r="B2883" s="51">
        <f>YEAR(BDRIOSJ[[#This Row],[FECHA]])</f>
        <v>2025</v>
      </c>
      <c r="C2883" s="51">
        <f>MONTH(BDRIOSJ[[#This Row],[FECHA]])</f>
        <v>6</v>
      </c>
      <c r="D2883" s="81">
        <v>45838</v>
      </c>
      <c r="E2883" s="60" t="s">
        <v>115</v>
      </c>
      <c r="F2883" s="65">
        <v>6.82</v>
      </c>
    </row>
    <row r="2884" spans="2:6" hidden="1" x14ac:dyDescent="0.25">
      <c r="B2884" s="51">
        <f>YEAR(BDRIOSJ[[#This Row],[FECHA]])</f>
        <v>2025</v>
      </c>
      <c r="C2884" s="51">
        <f>MONTH(BDRIOSJ[[#This Row],[FECHA]])</f>
        <v>7</v>
      </c>
      <c r="D2884" s="50">
        <v>45839</v>
      </c>
      <c r="E2884" s="60" t="s">
        <v>111</v>
      </c>
      <c r="F2884" s="65">
        <v>6.89</v>
      </c>
    </row>
    <row r="2885" spans="2:6" hidden="1" x14ac:dyDescent="0.25">
      <c r="B2885" s="51">
        <f>YEAR(BDRIOSJ[[#This Row],[FECHA]])</f>
        <v>2025</v>
      </c>
      <c r="C2885" s="51">
        <f>MONTH(BDRIOSJ[[#This Row],[FECHA]])</f>
        <v>7</v>
      </c>
      <c r="D2885" s="50">
        <v>45839</v>
      </c>
      <c r="E2885" s="60" t="s">
        <v>113</v>
      </c>
      <c r="F2885" s="65">
        <v>6.89</v>
      </c>
    </row>
    <row r="2886" spans="2:6" hidden="1" x14ac:dyDescent="0.25">
      <c r="B2886" s="51">
        <f>YEAR(BDRIOSJ[[#This Row],[FECHA]])</f>
        <v>2025</v>
      </c>
      <c r="C2886" s="51">
        <f>MONTH(BDRIOSJ[[#This Row],[FECHA]])</f>
        <v>7</v>
      </c>
      <c r="D2886" s="50">
        <v>45839</v>
      </c>
      <c r="E2886" s="60" t="s">
        <v>114</v>
      </c>
      <c r="F2886" s="65">
        <v>6.89</v>
      </c>
    </row>
    <row r="2887" spans="2:6" hidden="1" x14ac:dyDescent="0.25">
      <c r="B2887" s="51">
        <f>YEAR(BDRIOSJ[[#This Row],[FECHA]])</f>
        <v>2025</v>
      </c>
      <c r="C2887" s="51">
        <f>MONTH(BDRIOSJ[[#This Row],[FECHA]])</f>
        <v>7</v>
      </c>
      <c r="D2887" s="50">
        <v>45839</v>
      </c>
      <c r="E2887" s="60" t="s">
        <v>115</v>
      </c>
      <c r="F2887" s="65">
        <v>6.89</v>
      </c>
    </row>
    <row r="2888" spans="2:6" hidden="1" x14ac:dyDescent="0.25">
      <c r="B2888" s="51">
        <f>YEAR(BDRIOSJ[[#This Row],[FECHA]])</f>
        <v>2025</v>
      </c>
      <c r="C2888" s="51">
        <f>MONTH(BDRIOSJ[[#This Row],[FECHA]])</f>
        <v>7</v>
      </c>
      <c r="D2888" s="50">
        <v>45840</v>
      </c>
      <c r="E2888" s="60" t="s">
        <v>111</v>
      </c>
      <c r="F2888" s="65">
        <v>6.89</v>
      </c>
    </row>
    <row r="2889" spans="2:6" hidden="1" x14ac:dyDescent="0.25">
      <c r="B2889" s="51">
        <f>YEAR(BDRIOSJ[[#This Row],[FECHA]])</f>
        <v>2025</v>
      </c>
      <c r="C2889" s="51">
        <f>MONTH(BDRIOSJ[[#This Row],[FECHA]])</f>
        <v>7</v>
      </c>
      <c r="D2889" s="50">
        <v>45840</v>
      </c>
      <c r="E2889" s="60" t="s">
        <v>113</v>
      </c>
      <c r="F2889" s="65">
        <v>6.89</v>
      </c>
    </row>
    <row r="2890" spans="2:6" hidden="1" x14ac:dyDescent="0.25">
      <c r="B2890" s="51">
        <f>YEAR(BDRIOSJ[[#This Row],[FECHA]])</f>
        <v>2025</v>
      </c>
      <c r="C2890" s="51">
        <f>MONTH(BDRIOSJ[[#This Row],[FECHA]])</f>
        <v>7</v>
      </c>
      <c r="D2890" s="50">
        <v>45840</v>
      </c>
      <c r="E2890" s="60" t="s">
        <v>114</v>
      </c>
      <c r="F2890" s="65">
        <v>6.89</v>
      </c>
    </row>
    <row r="2891" spans="2:6" hidden="1" x14ac:dyDescent="0.25">
      <c r="B2891" s="51">
        <f>YEAR(BDRIOSJ[[#This Row],[FECHA]])</f>
        <v>2025</v>
      </c>
      <c r="C2891" s="51">
        <f>MONTH(BDRIOSJ[[#This Row],[FECHA]])</f>
        <v>7</v>
      </c>
      <c r="D2891" s="50">
        <v>45840</v>
      </c>
      <c r="E2891" s="60" t="s">
        <v>115</v>
      </c>
      <c r="F2891" s="65">
        <v>6.89</v>
      </c>
    </row>
    <row r="2892" spans="2:6" hidden="1" x14ac:dyDescent="0.25">
      <c r="B2892" s="52">
        <f>YEAR(BDRIOSJ[[#This Row],[FECHA]])</f>
        <v>2025</v>
      </c>
      <c r="C2892" s="52">
        <f>MONTH(BDRIOSJ[[#This Row],[FECHA]])</f>
        <v>7</v>
      </c>
      <c r="D2892" s="81">
        <v>45841</v>
      </c>
      <c r="E2892" s="60" t="s">
        <v>111</v>
      </c>
      <c r="F2892" s="65">
        <v>6.89</v>
      </c>
    </row>
    <row r="2893" spans="2:6" hidden="1" x14ac:dyDescent="0.25">
      <c r="B2893" s="52">
        <f>YEAR(BDRIOSJ[[#This Row],[FECHA]])</f>
        <v>2025</v>
      </c>
      <c r="C2893" s="52">
        <f>MONTH(BDRIOSJ[[#This Row],[FECHA]])</f>
        <v>7</v>
      </c>
      <c r="D2893" s="81">
        <v>45841</v>
      </c>
      <c r="E2893" s="60" t="s">
        <v>113</v>
      </c>
      <c r="F2893" s="65">
        <v>6.89</v>
      </c>
    </row>
    <row r="2894" spans="2:6" hidden="1" x14ac:dyDescent="0.25">
      <c r="B2894" s="52">
        <f>YEAR(BDRIOSJ[[#This Row],[FECHA]])</f>
        <v>2025</v>
      </c>
      <c r="C2894" s="52">
        <f>MONTH(BDRIOSJ[[#This Row],[FECHA]])</f>
        <v>7</v>
      </c>
      <c r="D2894" s="81">
        <v>45841</v>
      </c>
      <c r="E2894" s="60" t="s">
        <v>114</v>
      </c>
      <c r="F2894" s="65">
        <v>6.89</v>
      </c>
    </row>
    <row r="2895" spans="2:6" hidden="1" x14ac:dyDescent="0.25">
      <c r="B2895" s="52">
        <f>YEAR(BDRIOSJ[[#This Row],[FECHA]])</f>
        <v>2025</v>
      </c>
      <c r="C2895" s="52">
        <f>MONTH(BDRIOSJ[[#This Row],[FECHA]])</f>
        <v>7</v>
      </c>
      <c r="D2895" s="81">
        <v>45841</v>
      </c>
      <c r="E2895" s="60" t="s">
        <v>115</v>
      </c>
      <c r="F2895" s="65">
        <v>6.89</v>
      </c>
    </row>
    <row r="2896" spans="2:6" hidden="1" x14ac:dyDescent="0.25">
      <c r="B2896" s="52">
        <f>YEAR(BDRIOSJ[[#This Row],[FECHA]])</f>
        <v>2025</v>
      </c>
      <c r="C2896" s="52">
        <f>MONTH(BDRIOSJ[[#This Row],[FECHA]])</f>
        <v>7</v>
      </c>
      <c r="D2896" s="81">
        <v>45842</v>
      </c>
      <c r="E2896" s="60" t="s">
        <v>111</v>
      </c>
      <c r="F2896" s="65">
        <v>6.89</v>
      </c>
    </row>
    <row r="2897" spans="2:6" hidden="1" x14ac:dyDescent="0.25">
      <c r="B2897" s="52">
        <f>YEAR(BDRIOSJ[[#This Row],[FECHA]])</f>
        <v>2025</v>
      </c>
      <c r="C2897" s="52">
        <f>MONTH(BDRIOSJ[[#This Row],[FECHA]])</f>
        <v>7</v>
      </c>
      <c r="D2897" s="81">
        <v>45842</v>
      </c>
      <c r="E2897" s="60" t="s">
        <v>113</v>
      </c>
      <c r="F2897" s="65">
        <v>6.89</v>
      </c>
    </row>
    <row r="2898" spans="2:6" hidden="1" x14ac:dyDescent="0.25">
      <c r="B2898" s="52">
        <f>YEAR(BDRIOSJ[[#This Row],[FECHA]])</f>
        <v>2025</v>
      </c>
      <c r="C2898" s="52">
        <f>MONTH(BDRIOSJ[[#This Row],[FECHA]])</f>
        <v>7</v>
      </c>
      <c r="D2898" s="81">
        <v>45842</v>
      </c>
      <c r="E2898" s="60" t="s">
        <v>114</v>
      </c>
      <c r="F2898" s="65">
        <v>6.89</v>
      </c>
    </row>
    <row r="2899" spans="2:6" hidden="1" x14ac:dyDescent="0.25">
      <c r="B2899" s="52">
        <f>YEAR(BDRIOSJ[[#This Row],[FECHA]])</f>
        <v>2025</v>
      </c>
      <c r="C2899" s="52">
        <f>MONTH(BDRIOSJ[[#This Row],[FECHA]])</f>
        <v>7</v>
      </c>
      <c r="D2899" s="81">
        <v>45842</v>
      </c>
      <c r="E2899" s="60" t="s">
        <v>115</v>
      </c>
      <c r="F2899" s="65">
        <v>6.89</v>
      </c>
    </row>
    <row r="2900" spans="2:6" hidden="1" x14ac:dyDescent="0.25">
      <c r="B2900" s="52">
        <f>YEAR(BDRIOSJ[[#This Row],[FECHA]])</f>
        <v>2025</v>
      </c>
      <c r="C2900" s="52">
        <f>MONTH(BDRIOSJ[[#This Row],[FECHA]])</f>
        <v>7</v>
      </c>
      <c r="D2900" s="81">
        <v>45843</v>
      </c>
      <c r="E2900" s="60" t="s">
        <v>111</v>
      </c>
      <c r="F2900" s="65">
        <v>6.89</v>
      </c>
    </row>
    <row r="2901" spans="2:6" hidden="1" x14ac:dyDescent="0.25">
      <c r="B2901" s="52">
        <f>YEAR(BDRIOSJ[[#This Row],[FECHA]])</f>
        <v>2025</v>
      </c>
      <c r="C2901" s="52">
        <f>MONTH(BDRIOSJ[[#This Row],[FECHA]])</f>
        <v>7</v>
      </c>
      <c r="D2901" s="81">
        <v>45843</v>
      </c>
      <c r="E2901" s="60" t="s">
        <v>113</v>
      </c>
      <c r="F2901" s="65">
        <v>6.89</v>
      </c>
    </row>
    <row r="2902" spans="2:6" hidden="1" x14ac:dyDescent="0.25">
      <c r="B2902" s="52">
        <f>YEAR(BDRIOSJ[[#This Row],[FECHA]])</f>
        <v>2025</v>
      </c>
      <c r="C2902" s="52">
        <f>MONTH(BDRIOSJ[[#This Row],[FECHA]])</f>
        <v>7</v>
      </c>
      <c r="D2902" s="81">
        <v>45843</v>
      </c>
      <c r="E2902" s="60" t="s">
        <v>114</v>
      </c>
      <c r="F2902" s="65">
        <v>6.89</v>
      </c>
    </row>
    <row r="2903" spans="2:6" hidden="1" x14ac:dyDescent="0.25">
      <c r="B2903" s="52">
        <f>YEAR(BDRIOSJ[[#This Row],[FECHA]])</f>
        <v>2025</v>
      </c>
      <c r="C2903" s="52">
        <f>MONTH(BDRIOSJ[[#This Row],[FECHA]])</f>
        <v>7</v>
      </c>
      <c r="D2903" s="81">
        <v>45843</v>
      </c>
      <c r="E2903" s="60" t="s">
        <v>115</v>
      </c>
      <c r="F2903" s="65">
        <v>6.89</v>
      </c>
    </row>
    <row r="2904" spans="2:6" hidden="1" x14ac:dyDescent="0.25">
      <c r="B2904" s="51">
        <f>YEAR(BDRIOSJ[[#This Row],[FECHA]])</f>
        <v>2025</v>
      </c>
      <c r="C2904" s="51">
        <f>MONTH(BDRIOSJ[[#This Row],[FECHA]])</f>
        <v>7</v>
      </c>
      <c r="D2904" s="81">
        <v>45844</v>
      </c>
      <c r="E2904" s="60" t="s">
        <v>111</v>
      </c>
      <c r="F2904" s="65">
        <v>6.89</v>
      </c>
    </row>
    <row r="2905" spans="2:6" hidden="1" x14ac:dyDescent="0.25">
      <c r="B2905" s="51">
        <f>YEAR(BDRIOSJ[[#This Row],[FECHA]])</f>
        <v>2025</v>
      </c>
      <c r="C2905" s="51">
        <f>MONTH(BDRIOSJ[[#This Row],[FECHA]])</f>
        <v>7</v>
      </c>
      <c r="D2905" s="81">
        <v>45844</v>
      </c>
      <c r="E2905" s="60" t="s">
        <v>113</v>
      </c>
      <c r="F2905" s="65">
        <v>6.89</v>
      </c>
    </row>
    <row r="2906" spans="2:6" hidden="1" x14ac:dyDescent="0.25">
      <c r="B2906" s="51">
        <f>YEAR(BDRIOSJ[[#This Row],[FECHA]])</f>
        <v>2025</v>
      </c>
      <c r="C2906" s="51">
        <f>MONTH(BDRIOSJ[[#This Row],[FECHA]])</f>
        <v>7</v>
      </c>
      <c r="D2906" s="81">
        <v>45844</v>
      </c>
      <c r="E2906" s="60" t="s">
        <v>114</v>
      </c>
      <c r="F2906" s="65">
        <v>6.89</v>
      </c>
    </row>
    <row r="2907" spans="2:6" hidden="1" x14ac:dyDescent="0.25">
      <c r="B2907" s="51">
        <f>YEAR(BDRIOSJ[[#This Row],[FECHA]])</f>
        <v>2025</v>
      </c>
      <c r="C2907" s="51">
        <f>MONTH(BDRIOSJ[[#This Row],[FECHA]])</f>
        <v>7</v>
      </c>
      <c r="D2907" s="81">
        <v>45844</v>
      </c>
      <c r="E2907" s="60" t="s">
        <v>115</v>
      </c>
      <c r="F2907" s="65">
        <v>6.89</v>
      </c>
    </row>
    <row r="2908" spans="2:6" hidden="1" x14ac:dyDescent="0.25">
      <c r="B2908" s="51">
        <f>YEAR(BDRIOSJ[[#This Row],[FECHA]])</f>
        <v>2025</v>
      </c>
      <c r="C2908" s="51">
        <f>MONTH(BDRIOSJ[[#This Row],[FECHA]])</f>
        <v>7</v>
      </c>
      <c r="D2908" s="81">
        <v>45845</v>
      </c>
      <c r="E2908" s="60" t="s">
        <v>111</v>
      </c>
      <c r="F2908" s="65">
        <v>6.89</v>
      </c>
    </row>
    <row r="2909" spans="2:6" hidden="1" x14ac:dyDescent="0.25">
      <c r="B2909" s="51">
        <f>YEAR(BDRIOSJ[[#This Row],[FECHA]])</f>
        <v>2025</v>
      </c>
      <c r="C2909" s="51">
        <f>MONTH(BDRIOSJ[[#This Row],[FECHA]])</f>
        <v>7</v>
      </c>
      <c r="D2909" s="81">
        <v>45845</v>
      </c>
      <c r="E2909" s="60" t="s">
        <v>113</v>
      </c>
      <c r="F2909" s="65">
        <v>6.89</v>
      </c>
    </row>
    <row r="2910" spans="2:6" hidden="1" x14ac:dyDescent="0.25">
      <c r="B2910" s="51">
        <f>YEAR(BDRIOSJ[[#This Row],[FECHA]])</f>
        <v>2025</v>
      </c>
      <c r="C2910" s="51">
        <f>MONTH(BDRIOSJ[[#This Row],[FECHA]])</f>
        <v>7</v>
      </c>
      <c r="D2910" s="81">
        <v>45845</v>
      </c>
      <c r="E2910" s="60" t="s">
        <v>114</v>
      </c>
      <c r="F2910" s="65">
        <v>6.89</v>
      </c>
    </row>
    <row r="2911" spans="2:6" hidden="1" x14ac:dyDescent="0.25">
      <c r="B2911" s="51">
        <f>YEAR(BDRIOSJ[[#This Row],[FECHA]])</f>
        <v>2025</v>
      </c>
      <c r="C2911" s="51">
        <f>MONTH(BDRIOSJ[[#This Row],[FECHA]])</f>
        <v>7</v>
      </c>
      <c r="D2911" s="81">
        <v>45845</v>
      </c>
      <c r="E2911" s="60" t="s">
        <v>115</v>
      </c>
      <c r="F2911" s="65">
        <v>6.89</v>
      </c>
    </row>
    <row r="2912" spans="2:6" hidden="1" x14ac:dyDescent="0.25">
      <c r="B2912" s="51">
        <f>YEAR(BDRIOSJ[[#This Row],[FECHA]])</f>
        <v>2025</v>
      </c>
      <c r="C2912" s="51">
        <f>MONTH(BDRIOSJ[[#This Row],[FECHA]])</f>
        <v>7</v>
      </c>
      <c r="D2912" s="81">
        <v>45846</v>
      </c>
      <c r="E2912" s="60" t="s">
        <v>111</v>
      </c>
      <c r="F2912" s="65">
        <v>6.89</v>
      </c>
    </row>
    <row r="2913" spans="2:6" hidden="1" x14ac:dyDescent="0.25">
      <c r="B2913" s="51">
        <f>YEAR(BDRIOSJ[[#This Row],[FECHA]])</f>
        <v>2025</v>
      </c>
      <c r="C2913" s="51">
        <f>MONTH(BDRIOSJ[[#This Row],[FECHA]])</f>
        <v>7</v>
      </c>
      <c r="D2913" s="81">
        <v>45846</v>
      </c>
      <c r="E2913" s="60" t="s">
        <v>113</v>
      </c>
      <c r="F2913" s="65">
        <v>6.89</v>
      </c>
    </row>
    <row r="2914" spans="2:6" hidden="1" x14ac:dyDescent="0.25">
      <c r="B2914" s="51">
        <f>YEAR(BDRIOSJ[[#This Row],[FECHA]])</f>
        <v>2025</v>
      </c>
      <c r="C2914" s="51">
        <f>MONTH(BDRIOSJ[[#This Row],[FECHA]])</f>
        <v>7</v>
      </c>
      <c r="D2914" s="81">
        <v>45846</v>
      </c>
      <c r="E2914" s="60" t="s">
        <v>114</v>
      </c>
      <c r="F2914" s="65">
        <v>6.89</v>
      </c>
    </row>
    <row r="2915" spans="2:6" hidden="1" x14ac:dyDescent="0.25">
      <c r="B2915" s="51">
        <f>YEAR(BDRIOSJ[[#This Row],[FECHA]])</f>
        <v>2025</v>
      </c>
      <c r="C2915" s="51">
        <f>MONTH(BDRIOSJ[[#This Row],[FECHA]])</f>
        <v>7</v>
      </c>
      <c r="D2915" s="81">
        <v>45846</v>
      </c>
      <c r="E2915" s="60" t="s">
        <v>115</v>
      </c>
      <c r="F2915" s="65">
        <v>6.89</v>
      </c>
    </row>
    <row r="2916" spans="2:6" hidden="1" x14ac:dyDescent="0.25">
      <c r="B2916" s="51">
        <f>YEAR(BDRIOSJ[[#This Row],[FECHA]])</f>
        <v>2025</v>
      </c>
      <c r="C2916" s="51">
        <f>MONTH(BDRIOSJ[[#This Row],[FECHA]])</f>
        <v>7</v>
      </c>
      <c r="D2916" s="81">
        <v>45847</v>
      </c>
      <c r="E2916" s="60" t="s">
        <v>111</v>
      </c>
      <c r="F2916" s="65">
        <v>6.89</v>
      </c>
    </row>
    <row r="2917" spans="2:6" hidden="1" x14ac:dyDescent="0.25">
      <c r="B2917" s="51">
        <f>YEAR(BDRIOSJ[[#This Row],[FECHA]])</f>
        <v>2025</v>
      </c>
      <c r="C2917" s="51">
        <f>MONTH(BDRIOSJ[[#This Row],[FECHA]])</f>
        <v>7</v>
      </c>
      <c r="D2917" s="81">
        <v>45847</v>
      </c>
      <c r="E2917" s="60" t="s">
        <v>113</v>
      </c>
      <c r="F2917" s="65">
        <v>6.89</v>
      </c>
    </row>
    <row r="2918" spans="2:6" hidden="1" x14ac:dyDescent="0.25">
      <c r="B2918" s="51">
        <f>YEAR(BDRIOSJ[[#This Row],[FECHA]])</f>
        <v>2025</v>
      </c>
      <c r="C2918" s="51">
        <f>MONTH(BDRIOSJ[[#This Row],[FECHA]])</f>
        <v>7</v>
      </c>
      <c r="D2918" s="81">
        <v>45847</v>
      </c>
      <c r="E2918" s="60" t="s">
        <v>114</v>
      </c>
      <c r="F2918" s="65">
        <v>6.89</v>
      </c>
    </row>
    <row r="2919" spans="2:6" hidden="1" x14ac:dyDescent="0.25">
      <c r="B2919" s="51">
        <f>YEAR(BDRIOSJ[[#This Row],[FECHA]])</f>
        <v>2025</v>
      </c>
      <c r="C2919" s="51">
        <f>MONTH(BDRIOSJ[[#This Row],[FECHA]])</f>
        <v>7</v>
      </c>
      <c r="D2919" s="81">
        <v>45847</v>
      </c>
      <c r="E2919" s="60" t="s">
        <v>115</v>
      </c>
      <c r="F2919" s="65">
        <v>6.89</v>
      </c>
    </row>
    <row r="2920" spans="2:6" hidden="1" x14ac:dyDescent="0.25">
      <c r="B2920" s="51">
        <f>YEAR(BDRIOSJ[[#This Row],[FECHA]])</f>
        <v>2025</v>
      </c>
      <c r="C2920" s="51">
        <f>MONTH(BDRIOSJ[[#This Row],[FECHA]])</f>
        <v>7</v>
      </c>
      <c r="D2920" s="81">
        <v>45848</v>
      </c>
      <c r="E2920" s="60" t="s">
        <v>111</v>
      </c>
      <c r="F2920" s="65">
        <v>6.89</v>
      </c>
    </row>
    <row r="2921" spans="2:6" hidden="1" x14ac:dyDescent="0.25">
      <c r="B2921" s="51">
        <f>YEAR(BDRIOSJ[[#This Row],[FECHA]])</f>
        <v>2025</v>
      </c>
      <c r="C2921" s="51">
        <f>MONTH(BDRIOSJ[[#This Row],[FECHA]])</f>
        <v>7</v>
      </c>
      <c r="D2921" s="81">
        <v>45848</v>
      </c>
      <c r="E2921" s="60" t="s">
        <v>113</v>
      </c>
      <c r="F2921" s="65">
        <v>6.89</v>
      </c>
    </row>
    <row r="2922" spans="2:6" hidden="1" x14ac:dyDescent="0.25">
      <c r="B2922" s="51">
        <f>YEAR(BDRIOSJ[[#This Row],[FECHA]])</f>
        <v>2025</v>
      </c>
      <c r="C2922" s="51">
        <f>MONTH(BDRIOSJ[[#This Row],[FECHA]])</f>
        <v>7</v>
      </c>
      <c r="D2922" s="81">
        <v>45848</v>
      </c>
      <c r="E2922" s="60" t="s">
        <v>114</v>
      </c>
      <c r="F2922" s="65">
        <v>6.89</v>
      </c>
    </row>
    <row r="2923" spans="2:6" hidden="1" x14ac:dyDescent="0.25">
      <c r="B2923" s="51">
        <f>YEAR(BDRIOSJ[[#This Row],[FECHA]])</f>
        <v>2025</v>
      </c>
      <c r="C2923" s="51">
        <f>MONTH(BDRIOSJ[[#This Row],[FECHA]])</f>
        <v>7</v>
      </c>
      <c r="D2923" s="81">
        <v>45848</v>
      </c>
      <c r="E2923" s="60" t="s">
        <v>115</v>
      </c>
      <c r="F2923" s="65">
        <v>6.89</v>
      </c>
    </row>
    <row r="2924" spans="2:6" hidden="1" x14ac:dyDescent="0.25">
      <c r="B2924" s="51">
        <f>YEAR(BDRIOSJ[[#This Row],[FECHA]])</f>
        <v>2025</v>
      </c>
      <c r="C2924" s="51">
        <f>MONTH(BDRIOSJ[[#This Row],[FECHA]])</f>
        <v>7</v>
      </c>
      <c r="D2924" s="81">
        <v>45849</v>
      </c>
      <c r="E2924" s="60" t="s">
        <v>111</v>
      </c>
      <c r="F2924" s="65">
        <v>6.89</v>
      </c>
    </row>
    <row r="2925" spans="2:6" hidden="1" x14ac:dyDescent="0.25">
      <c r="B2925" s="51">
        <f>YEAR(BDRIOSJ[[#This Row],[FECHA]])</f>
        <v>2025</v>
      </c>
      <c r="C2925" s="51">
        <f>MONTH(BDRIOSJ[[#This Row],[FECHA]])</f>
        <v>7</v>
      </c>
      <c r="D2925" s="81">
        <v>45849</v>
      </c>
      <c r="E2925" s="60" t="s">
        <v>113</v>
      </c>
      <c r="F2925" s="65">
        <v>6.89</v>
      </c>
    </row>
    <row r="2926" spans="2:6" hidden="1" x14ac:dyDescent="0.25">
      <c r="B2926" s="51">
        <f>YEAR(BDRIOSJ[[#This Row],[FECHA]])</f>
        <v>2025</v>
      </c>
      <c r="C2926" s="51">
        <f>MONTH(BDRIOSJ[[#This Row],[FECHA]])</f>
        <v>7</v>
      </c>
      <c r="D2926" s="81">
        <v>45849</v>
      </c>
      <c r="E2926" s="60" t="s">
        <v>114</v>
      </c>
      <c r="F2926" s="65">
        <v>6.89</v>
      </c>
    </row>
    <row r="2927" spans="2:6" hidden="1" x14ac:dyDescent="0.25">
      <c r="B2927" s="51">
        <f>YEAR(BDRIOSJ[[#This Row],[FECHA]])</f>
        <v>2025</v>
      </c>
      <c r="C2927" s="51">
        <f>MONTH(BDRIOSJ[[#This Row],[FECHA]])</f>
        <v>7</v>
      </c>
      <c r="D2927" s="81">
        <v>45849</v>
      </c>
      <c r="E2927" s="60" t="s">
        <v>115</v>
      </c>
      <c r="F2927" s="65">
        <v>6.89</v>
      </c>
    </row>
    <row r="2928" spans="2:6" hidden="1" x14ac:dyDescent="0.25">
      <c r="B2928" s="51">
        <f>YEAR(BDRIOSJ[[#This Row],[FECHA]])</f>
        <v>2025</v>
      </c>
      <c r="C2928" s="51">
        <f>MONTH(BDRIOSJ[[#This Row],[FECHA]])</f>
        <v>7</v>
      </c>
      <c r="D2928" s="81">
        <v>45850</v>
      </c>
      <c r="E2928" s="60" t="s">
        <v>111</v>
      </c>
      <c r="F2928" s="65">
        <v>6.89</v>
      </c>
    </row>
    <row r="2929" spans="2:6" hidden="1" x14ac:dyDescent="0.25">
      <c r="B2929" s="51">
        <f>YEAR(BDRIOSJ[[#This Row],[FECHA]])</f>
        <v>2025</v>
      </c>
      <c r="C2929" s="51">
        <f>MONTH(BDRIOSJ[[#This Row],[FECHA]])</f>
        <v>7</v>
      </c>
      <c r="D2929" s="81">
        <v>45850</v>
      </c>
      <c r="E2929" s="60" t="s">
        <v>113</v>
      </c>
      <c r="F2929" s="65">
        <v>6.89</v>
      </c>
    </row>
    <row r="2930" spans="2:6" hidden="1" x14ac:dyDescent="0.25">
      <c r="B2930" s="51">
        <f>YEAR(BDRIOSJ[[#This Row],[FECHA]])</f>
        <v>2025</v>
      </c>
      <c r="C2930" s="51">
        <f>MONTH(BDRIOSJ[[#This Row],[FECHA]])</f>
        <v>7</v>
      </c>
      <c r="D2930" s="81">
        <v>45850</v>
      </c>
      <c r="E2930" s="60" t="s">
        <v>114</v>
      </c>
      <c r="F2930" s="65">
        <v>6.89</v>
      </c>
    </row>
    <row r="2931" spans="2:6" hidden="1" x14ac:dyDescent="0.25">
      <c r="B2931" s="51">
        <f>YEAR(BDRIOSJ[[#This Row],[FECHA]])</f>
        <v>2025</v>
      </c>
      <c r="C2931" s="51">
        <f>MONTH(BDRIOSJ[[#This Row],[FECHA]])</f>
        <v>7</v>
      </c>
      <c r="D2931" s="81">
        <v>45850</v>
      </c>
      <c r="E2931" s="60" t="s">
        <v>115</v>
      </c>
      <c r="F2931" s="65">
        <v>6.89</v>
      </c>
    </row>
    <row r="2932" spans="2:6" hidden="1" x14ac:dyDescent="0.25">
      <c r="B2932" s="51">
        <f>YEAR(BDRIOSJ[[#This Row],[FECHA]])</f>
        <v>2025</v>
      </c>
      <c r="C2932" s="51">
        <f>MONTH(BDRIOSJ[[#This Row],[FECHA]])</f>
        <v>7</v>
      </c>
      <c r="D2932" s="81">
        <v>45851</v>
      </c>
      <c r="E2932" s="60" t="s">
        <v>111</v>
      </c>
      <c r="F2932" s="65">
        <v>6.89</v>
      </c>
    </row>
    <row r="2933" spans="2:6" hidden="1" x14ac:dyDescent="0.25">
      <c r="B2933" s="51">
        <f>YEAR(BDRIOSJ[[#This Row],[FECHA]])</f>
        <v>2025</v>
      </c>
      <c r="C2933" s="51">
        <f>MONTH(BDRIOSJ[[#This Row],[FECHA]])</f>
        <v>7</v>
      </c>
      <c r="D2933" s="81">
        <v>45851</v>
      </c>
      <c r="E2933" s="60" t="s">
        <v>113</v>
      </c>
      <c r="F2933" s="65">
        <v>6.89</v>
      </c>
    </row>
    <row r="2934" spans="2:6" hidden="1" x14ac:dyDescent="0.25">
      <c r="B2934" s="51">
        <f>YEAR(BDRIOSJ[[#This Row],[FECHA]])</f>
        <v>2025</v>
      </c>
      <c r="C2934" s="51">
        <f>MONTH(BDRIOSJ[[#This Row],[FECHA]])</f>
        <v>7</v>
      </c>
      <c r="D2934" s="81">
        <v>45851</v>
      </c>
      <c r="E2934" s="60" t="s">
        <v>114</v>
      </c>
      <c r="F2934" s="65">
        <v>6.89</v>
      </c>
    </row>
    <row r="2935" spans="2:6" hidden="1" x14ac:dyDescent="0.25">
      <c r="B2935" s="51">
        <f>YEAR(BDRIOSJ[[#This Row],[FECHA]])</f>
        <v>2025</v>
      </c>
      <c r="C2935" s="51">
        <f>MONTH(BDRIOSJ[[#This Row],[FECHA]])</f>
        <v>7</v>
      </c>
      <c r="D2935" s="81">
        <v>45851</v>
      </c>
      <c r="E2935" s="60" t="s">
        <v>115</v>
      </c>
      <c r="F2935" s="65">
        <v>6.89</v>
      </c>
    </row>
    <row r="2936" spans="2:6" hidden="1" x14ac:dyDescent="0.25">
      <c r="B2936" s="51">
        <f>YEAR(BDRIOSJ[[#This Row],[FECHA]])</f>
        <v>2025</v>
      </c>
      <c r="C2936" s="51">
        <f>MONTH(BDRIOSJ[[#This Row],[FECHA]])</f>
        <v>7</v>
      </c>
      <c r="D2936" s="81">
        <v>45852</v>
      </c>
      <c r="E2936" s="60" t="s">
        <v>111</v>
      </c>
      <c r="F2936" s="65">
        <v>6.89</v>
      </c>
    </row>
    <row r="2937" spans="2:6" hidden="1" x14ac:dyDescent="0.25">
      <c r="B2937" s="51">
        <f>YEAR(BDRIOSJ[[#This Row],[FECHA]])</f>
        <v>2025</v>
      </c>
      <c r="C2937" s="51">
        <f>MONTH(BDRIOSJ[[#This Row],[FECHA]])</f>
        <v>7</v>
      </c>
      <c r="D2937" s="81">
        <v>45852</v>
      </c>
      <c r="E2937" s="60" t="s">
        <v>113</v>
      </c>
      <c r="F2937" s="65">
        <v>6.89</v>
      </c>
    </row>
    <row r="2938" spans="2:6" hidden="1" x14ac:dyDescent="0.25">
      <c r="B2938" s="51">
        <f>YEAR(BDRIOSJ[[#This Row],[FECHA]])</f>
        <v>2025</v>
      </c>
      <c r="C2938" s="51">
        <f>MONTH(BDRIOSJ[[#This Row],[FECHA]])</f>
        <v>7</v>
      </c>
      <c r="D2938" s="81">
        <v>45852</v>
      </c>
      <c r="E2938" s="60" t="s">
        <v>114</v>
      </c>
      <c r="F2938" s="65">
        <v>6.89</v>
      </c>
    </row>
    <row r="2939" spans="2:6" hidden="1" x14ac:dyDescent="0.25">
      <c r="B2939" s="51">
        <f>YEAR(BDRIOSJ[[#This Row],[FECHA]])</f>
        <v>2025</v>
      </c>
      <c r="C2939" s="51">
        <f>MONTH(BDRIOSJ[[#This Row],[FECHA]])</f>
        <v>7</v>
      </c>
      <c r="D2939" s="81">
        <v>45852</v>
      </c>
      <c r="E2939" s="60" t="s">
        <v>115</v>
      </c>
      <c r="F2939" s="65">
        <v>6.89</v>
      </c>
    </row>
    <row r="2940" spans="2:6" hidden="1" x14ac:dyDescent="0.25">
      <c r="B2940" s="51">
        <f>YEAR(BDRIOSJ[[#This Row],[FECHA]])</f>
        <v>2025</v>
      </c>
      <c r="C2940" s="51">
        <f>MONTH(BDRIOSJ[[#This Row],[FECHA]])</f>
        <v>7</v>
      </c>
      <c r="D2940" s="81">
        <v>45853</v>
      </c>
      <c r="E2940" s="60" t="s">
        <v>111</v>
      </c>
      <c r="F2940" s="65">
        <v>6.89</v>
      </c>
    </row>
    <row r="2941" spans="2:6" hidden="1" x14ac:dyDescent="0.25">
      <c r="B2941" s="51">
        <f>YEAR(BDRIOSJ[[#This Row],[FECHA]])</f>
        <v>2025</v>
      </c>
      <c r="C2941" s="51">
        <f>MONTH(BDRIOSJ[[#This Row],[FECHA]])</f>
        <v>7</v>
      </c>
      <c r="D2941" s="81">
        <v>45853</v>
      </c>
      <c r="E2941" s="60" t="s">
        <v>113</v>
      </c>
      <c r="F2941" s="65">
        <v>6.89</v>
      </c>
    </row>
    <row r="2942" spans="2:6" hidden="1" x14ac:dyDescent="0.25">
      <c r="B2942" s="51">
        <f>YEAR(BDRIOSJ[[#This Row],[FECHA]])</f>
        <v>2025</v>
      </c>
      <c r="C2942" s="51">
        <f>MONTH(BDRIOSJ[[#This Row],[FECHA]])</f>
        <v>7</v>
      </c>
      <c r="D2942" s="81">
        <v>45853</v>
      </c>
      <c r="E2942" s="60" t="s">
        <v>114</v>
      </c>
      <c r="F2942" s="65">
        <v>6.89</v>
      </c>
    </row>
    <row r="2943" spans="2:6" hidden="1" x14ac:dyDescent="0.25">
      <c r="B2943" s="51">
        <f>YEAR(BDRIOSJ[[#This Row],[FECHA]])</f>
        <v>2025</v>
      </c>
      <c r="C2943" s="51">
        <f>MONTH(BDRIOSJ[[#This Row],[FECHA]])</f>
        <v>7</v>
      </c>
      <c r="D2943" s="81">
        <v>45853</v>
      </c>
      <c r="E2943" s="60" t="s">
        <v>115</v>
      </c>
      <c r="F2943" s="65">
        <v>6.89</v>
      </c>
    </row>
    <row r="2944" spans="2:6" hidden="1" x14ac:dyDescent="0.25">
      <c r="B2944" s="51">
        <f>YEAR(BDRIOSJ[[#This Row],[FECHA]])</f>
        <v>2025</v>
      </c>
      <c r="C2944" s="51">
        <f>MONTH(BDRIOSJ[[#This Row],[FECHA]])</f>
        <v>7</v>
      </c>
      <c r="D2944" s="81">
        <v>45854</v>
      </c>
      <c r="E2944" s="60" t="s">
        <v>111</v>
      </c>
      <c r="F2944" s="65">
        <v>6.89</v>
      </c>
    </row>
    <row r="2945" spans="2:6" hidden="1" x14ac:dyDescent="0.25">
      <c r="B2945" s="51">
        <f>YEAR(BDRIOSJ[[#This Row],[FECHA]])</f>
        <v>2025</v>
      </c>
      <c r="C2945" s="51">
        <f>MONTH(BDRIOSJ[[#This Row],[FECHA]])</f>
        <v>7</v>
      </c>
      <c r="D2945" s="81">
        <v>45854</v>
      </c>
      <c r="E2945" s="60" t="s">
        <v>113</v>
      </c>
      <c r="F2945" s="65">
        <v>6.89</v>
      </c>
    </row>
    <row r="2946" spans="2:6" hidden="1" x14ac:dyDescent="0.25">
      <c r="B2946" s="51">
        <f>YEAR(BDRIOSJ[[#This Row],[FECHA]])</f>
        <v>2025</v>
      </c>
      <c r="C2946" s="51">
        <f>MONTH(BDRIOSJ[[#This Row],[FECHA]])</f>
        <v>7</v>
      </c>
      <c r="D2946" s="81">
        <v>45854</v>
      </c>
      <c r="E2946" s="60" t="s">
        <v>114</v>
      </c>
      <c r="F2946" s="65">
        <v>6.89</v>
      </c>
    </row>
    <row r="2947" spans="2:6" hidden="1" x14ac:dyDescent="0.25">
      <c r="B2947" s="51">
        <f>YEAR(BDRIOSJ[[#This Row],[FECHA]])</f>
        <v>2025</v>
      </c>
      <c r="C2947" s="51">
        <f>MONTH(BDRIOSJ[[#This Row],[FECHA]])</f>
        <v>7</v>
      </c>
      <c r="D2947" s="81">
        <v>45854</v>
      </c>
      <c r="E2947" s="60" t="s">
        <v>115</v>
      </c>
      <c r="F2947" s="65">
        <v>6.89</v>
      </c>
    </row>
    <row r="2948" spans="2:6" hidden="1" x14ac:dyDescent="0.25">
      <c r="B2948" s="51">
        <f>YEAR(BDRIOSJ[[#This Row],[FECHA]])</f>
        <v>2025</v>
      </c>
      <c r="C2948" s="51">
        <f>MONTH(BDRIOSJ[[#This Row],[FECHA]])</f>
        <v>7</v>
      </c>
      <c r="D2948" s="81">
        <v>45855</v>
      </c>
      <c r="E2948" s="60" t="s">
        <v>111</v>
      </c>
      <c r="F2948" s="65">
        <v>6.89</v>
      </c>
    </row>
    <row r="2949" spans="2:6" hidden="1" x14ac:dyDescent="0.25">
      <c r="B2949" s="51">
        <f>YEAR(BDRIOSJ[[#This Row],[FECHA]])</f>
        <v>2025</v>
      </c>
      <c r="C2949" s="51">
        <f>MONTH(BDRIOSJ[[#This Row],[FECHA]])</f>
        <v>7</v>
      </c>
      <c r="D2949" s="81">
        <v>45855</v>
      </c>
      <c r="E2949" s="60" t="s">
        <v>113</v>
      </c>
      <c r="F2949" s="65">
        <v>6.89</v>
      </c>
    </row>
    <row r="2950" spans="2:6" hidden="1" x14ac:dyDescent="0.25">
      <c r="B2950" s="51">
        <f>YEAR(BDRIOSJ[[#This Row],[FECHA]])</f>
        <v>2025</v>
      </c>
      <c r="C2950" s="51">
        <f>MONTH(BDRIOSJ[[#This Row],[FECHA]])</f>
        <v>7</v>
      </c>
      <c r="D2950" s="81">
        <v>45855</v>
      </c>
      <c r="E2950" s="60" t="s">
        <v>114</v>
      </c>
      <c r="F2950" s="65">
        <v>6.89</v>
      </c>
    </row>
    <row r="2951" spans="2:6" hidden="1" x14ac:dyDescent="0.25">
      <c r="B2951" s="51">
        <f>YEAR(BDRIOSJ[[#This Row],[FECHA]])</f>
        <v>2025</v>
      </c>
      <c r="C2951" s="51">
        <f>MONTH(BDRIOSJ[[#This Row],[FECHA]])</f>
        <v>7</v>
      </c>
      <c r="D2951" s="81">
        <v>45855</v>
      </c>
      <c r="E2951" s="60" t="s">
        <v>115</v>
      </c>
      <c r="F2951" s="65">
        <v>6.89</v>
      </c>
    </row>
    <row r="2952" spans="2:6" hidden="1" x14ac:dyDescent="0.25">
      <c r="B2952" s="51">
        <f>YEAR(BDRIOSJ[[#This Row],[FECHA]])</f>
        <v>2025</v>
      </c>
      <c r="C2952" s="51">
        <f>MONTH(BDRIOSJ[[#This Row],[FECHA]])</f>
        <v>7</v>
      </c>
      <c r="D2952" s="81">
        <v>45856</v>
      </c>
      <c r="E2952" s="60" t="s">
        <v>111</v>
      </c>
      <c r="F2952" s="65">
        <v>6.89</v>
      </c>
    </row>
    <row r="2953" spans="2:6" hidden="1" x14ac:dyDescent="0.25">
      <c r="B2953" s="51">
        <f>YEAR(BDRIOSJ[[#This Row],[FECHA]])</f>
        <v>2025</v>
      </c>
      <c r="C2953" s="51">
        <f>MONTH(BDRIOSJ[[#This Row],[FECHA]])</f>
        <v>7</v>
      </c>
      <c r="D2953" s="81">
        <v>45856</v>
      </c>
      <c r="E2953" s="60" t="s">
        <v>113</v>
      </c>
      <c r="F2953" s="65">
        <v>6.89</v>
      </c>
    </row>
    <row r="2954" spans="2:6" hidden="1" x14ac:dyDescent="0.25">
      <c r="B2954" s="51">
        <f>YEAR(BDRIOSJ[[#This Row],[FECHA]])</f>
        <v>2025</v>
      </c>
      <c r="C2954" s="51">
        <f>MONTH(BDRIOSJ[[#This Row],[FECHA]])</f>
        <v>7</v>
      </c>
      <c r="D2954" s="81">
        <v>45856</v>
      </c>
      <c r="E2954" s="60" t="s">
        <v>114</v>
      </c>
      <c r="F2954" s="65">
        <v>6.89</v>
      </c>
    </row>
    <row r="2955" spans="2:6" hidden="1" x14ac:dyDescent="0.25">
      <c r="B2955" s="51">
        <f>YEAR(BDRIOSJ[[#This Row],[FECHA]])</f>
        <v>2025</v>
      </c>
      <c r="C2955" s="51">
        <f>MONTH(BDRIOSJ[[#This Row],[FECHA]])</f>
        <v>7</v>
      </c>
      <c r="D2955" s="81">
        <v>45856</v>
      </c>
      <c r="E2955" s="60" t="s">
        <v>115</v>
      </c>
      <c r="F2955" s="65">
        <v>6.89</v>
      </c>
    </row>
    <row r="2956" spans="2:6" hidden="1" x14ac:dyDescent="0.25">
      <c r="B2956" s="51">
        <f>YEAR(BDRIOSJ[[#This Row],[FECHA]])</f>
        <v>2025</v>
      </c>
      <c r="C2956" s="51">
        <f>MONTH(BDRIOSJ[[#This Row],[FECHA]])</f>
        <v>7</v>
      </c>
      <c r="D2956" s="81">
        <v>45857</v>
      </c>
      <c r="E2956" s="60" t="s">
        <v>111</v>
      </c>
      <c r="F2956" s="65">
        <v>6.89</v>
      </c>
    </row>
    <row r="2957" spans="2:6" hidden="1" x14ac:dyDescent="0.25">
      <c r="B2957" s="51">
        <f>YEAR(BDRIOSJ[[#This Row],[FECHA]])</f>
        <v>2025</v>
      </c>
      <c r="C2957" s="51">
        <f>MONTH(BDRIOSJ[[#This Row],[FECHA]])</f>
        <v>7</v>
      </c>
      <c r="D2957" s="81">
        <v>45857</v>
      </c>
      <c r="E2957" s="60" t="s">
        <v>113</v>
      </c>
      <c r="F2957" s="65">
        <v>6.89</v>
      </c>
    </row>
    <row r="2958" spans="2:6" hidden="1" x14ac:dyDescent="0.25">
      <c r="B2958" s="51">
        <f>YEAR(BDRIOSJ[[#This Row],[FECHA]])</f>
        <v>2025</v>
      </c>
      <c r="C2958" s="51">
        <f>MONTH(BDRIOSJ[[#This Row],[FECHA]])</f>
        <v>7</v>
      </c>
      <c r="D2958" s="81">
        <v>45857</v>
      </c>
      <c r="E2958" s="60" t="s">
        <v>114</v>
      </c>
      <c r="F2958" s="65">
        <v>6.89</v>
      </c>
    </row>
    <row r="2959" spans="2:6" hidden="1" x14ac:dyDescent="0.25">
      <c r="B2959" s="51">
        <f>YEAR(BDRIOSJ[[#This Row],[FECHA]])</f>
        <v>2025</v>
      </c>
      <c r="C2959" s="51">
        <f>MONTH(BDRIOSJ[[#This Row],[FECHA]])</f>
        <v>7</v>
      </c>
      <c r="D2959" s="81">
        <v>45857</v>
      </c>
      <c r="E2959" s="60" t="s">
        <v>115</v>
      </c>
      <c r="F2959" s="65">
        <v>6.89</v>
      </c>
    </row>
    <row r="2960" spans="2:6" hidden="1" x14ac:dyDescent="0.25">
      <c r="B2960" s="51">
        <f>YEAR(BDRIOSJ[[#This Row],[FECHA]])</f>
        <v>2025</v>
      </c>
      <c r="C2960" s="51">
        <f>MONTH(BDRIOSJ[[#This Row],[FECHA]])</f>
        <v>7</v>
      </c>
      <c r="D2960" s="81">
        <v>45858</v>
      </c>
      <c r="E2960" s="60" t="s">
        <v>111</v>
      </c>
      <c r="F2960" s="65">
        <v>6.89</v>
      </c>
    </row>
    <row r="2961" spans="2:6" hidden="1" x14ac:dyDescent="0.25">
      <c r="B2961" s="51">
        <f>YEAR(BDRIOSJ[[#This Row],[FECHA]])</f>
        <v>2025</v>
      </c>
      <c r="C2961" s="51">
        <f>MONTH(BDRIOSJ[[#This Row],[FECHA]])</f>
        <v>7</v>
      </c>
      <c r="D2961" s="81">
        <v>45858</v>
      </c>
      <c r="E2961" s="60" t="s">
        <v>113</v>
      </c>
      <c r="F2961" s="65">
        <v>6.89</v>
      </c>
    </row>
    <row r="2962" spans="2:6" hidden="1" x14ac:dyDescent="0.25">
      <c r="B2962" s="51">
        <f>YEAR(BDRIOSJ[[#This Row],[FECHA]])</f>
        <v>2025</v>
      </c>
      <c r="C2962" s="51">
        <f>MONTH(BDRIOSJ[[#This Row],[FECHA]])</f>
        <v>7</v>
      </c>
      <c r="D2962" s="81">
        <v>45858</v>
      </c>
      <c r="E2962" s="60" t="s">
        <v>114</v>
      </c>
      <c r="F2962" s="65">
        <v>6.89</v>
      </c>
    </row>
    <row r="2963" spans="2:6" hidden="1" x14ac:dyDescent="0.25">
      <c r="B2963" s="51">
        <f>YEAR(BDRIOSJ[[#This Row],[FECHA]])</f>
        <v>2025</v>
      </c>
      <c r="C2963" s="51">
        <f>MONTH(BDRIOSJ[[#This Row],[FECHA]])</f>
        <v>7</v>
      </c>
      <c r="D2963" s="81">
        <v>45858</v>
      </c>
      <c r="E2963" s="60" t="s">
        <v>115</v>
      </c>
      <c r="F2963" s="65">
        <v>6.89</v>
      </c>
    </row>
    <row r="2964" spans="2:6" hidden="1" x14ac:dyDescent="0.25">
      <c r="B2964" s="51">
        <f>YEAR(BDRIOSJ[[#This Row],[FECHA]])</f>
        <v>2025</v>
      </c>
      <c r="C2964" s="51">
        <f>MONTH(BDRIOSJ[[#This Row],[FECHA]])</f>
        <v>7</v>
      </c>
      <c r="D2964" s="81">
        <v>45859</v>
      </c>
      <c r="E2964" s="60" t="s">
        <v>111</v>
      </c>
      <c r="F2964" s="65">
        <v>6.89</v>
      </c>
    </row>
    <row r="2965" spans="2:6" hidden="1" x14ac:dyDescent="0.25">
      <c r="B2965" s="51">
        <f>YEAR(BDRIOSJ[[#This Row],[FECHA]])</f>
        <v>2025</v>
      </c>
      <c r="C2965" s="51">
        <f>MONTH(BDRIOSJ[[#This Row],[FECHA]])</f>
        <v>7</v>
      </c>
      <c r="D2965" s="81">
        <v>45859</v>
      </c>
      <c r="E2965" s="60" t="s">
        <v>113</v>
      </c>
      <c r="F2965" s="65">
        <v>6.89</v>
      </c>
    </row>
    <row r="2966" spans="2:6" hidden="1" x14ac:dyDescent="0.25">
      <c r="B2966" s="51">
        <f>YEAR(BDRIOSJ[[#This Row],[FECHA]])</f>
        <v>2025</v>
      </c>
      <c r="C2966" s="51">
        <f>MONTH(BDRIOSJ[[#This Row],[FECHA]])</f>
        <v>7</v>
      </c>
      <c r="D2966" s="81">
        <v>45859</v>
      </c>
      <c r="E2966" s="60" t="s">
        <v>114</v>
      </c>
      <c r="F2966" s="65">
        <v>6.89</v>
      </c>
    </row>
    <row r="2967" spans="2:6" hidden="1" x14ac:dyDescent="0.25">
      <c r="B2967" s="51">
        <f>YEAR(BDRIOSJ[[#This Row],[FECHA]])</f>
        <v>2025</v>
      </c>
      <c r="C2967" s="51">
        <f>MONTH(BDRIOSJ[[#This Row],[FECHA]])</f>
        <v>7</v>
      </c>
      <c r="D2967" s="81">
        <v>45859</v>
      </c>
      <c r="E2967" s="60" t="s">
        <v>115</v>
      </c>
      <c r="F2967" s="65">
        <v>6.89</v>
      </c>
    </row>
    <row r="2968" spans="2:6" hidden="1" x14ac:dyDescent="0.25">
      <c r="B2968" s="51">
        <f>YEAR(BDRIOSJ[[#This Row],[FECHA]])</f>
        <v>2025</v>
      </c>
      <c r="C2968" s="51">
        <f>MONTH(BDRIOSJ[[#This Row],[FECHA]])</f>
        <v>7</v>
      </c>
      <c r="D2968" s="81">
        <v>45860</v>
      </c>
      <c r="E2968" s="60" t="s">
        <v>111</v>
      </c>
      <c r="F2968" s="65">
        <v>6.89</v>
      </c>
    </row>
    <row r="2969" spans="2:6" hidden="1" x14ac:dyDescent="0.25">
      <c r="B2969" s="51">
        <f>YEAR(BDRIOSJ[[#This Row],[FECHA]])</f>
        <v>2025</v>
      </c>
      <c r="C2969" s="51">
        <f>MONTH(BDRIOSJ[[#This Row],[FECHA]])</f>
        <v>7</v>
      </c>
      <c r="D2969" s="81">
        <v>45860</v>
      </c>
      <c r="E2969" s="60" t="s">
        <v>113</v>
      </c>
      <c r="F2969" s="65">
        <v>6.89</v>
      </c>
    </row>
    <row r="2970" spans="2:6" hidden="1" x14ac:dyDescent="0.25">
      <c r="B2970" s="51">
        <f>YEAR(BDRIOSJ[[#This Row],[FECHA]])</f>
        <v>2025</v>
      </c>
      <c r="C2970" s="51">
        <f>MONTH(BDRIOSJ[[#This Row],[FECHA]])</f>
        <v>7</v>
      </c>
      <c r="D2970" s="81">
        <v>45860</v>
      </c>
      <c r="E2970" s="60" t="s">
        <v>114</v>
      </c>
      <c r="F2970" s="65">
        <v>6.89</v>
      </c>
    </row>
    <row r="2971" spans="2:6" hidden="1" x14ac:dyDescent="0.25">
      <c r="B2971" s="51">
        <f>YEAR(BDRIOSJ[[#This Row],[FECHA]])</f>
        <v>2025</v>
      </c>
      <c r="C2971" s="51">
        <f>MONTH(BDRIOSJ[[#This Row],[FECHA]])</f>
        <v>7</v>
      </c>
      <c r="D2971" s="81">
        <v>45860</v>
      </c>
      <c r="E2971" s="60" t="s">
        <v>115</v>
      </c>
      <c r="F2971" s="65">
        <v>6.89</v>
      </c>
    </row>
    <row r="2972" spans="2:6" hidden="1" x14ac:dyDescent="0.25">
      <c r="B2972" s="51">
        <f>YEAR(BDRIOSJ[[#This Row],[FECHA]])</f>
        <v>2025</v>
      </c>
      <c r="C2972" s="51">
        <f>MONTH(BDRIOSJ[[#This Row],[FECHA]])</f>
        <v>7</v>
      </c>
      <c r="D2972" s="81">
        <v>45861</v>
      </c>
      <c r="E2972" s="60" t="s">
        <v>111</v>
      </c>
      <c r="F2972" s="65">
        <v>6.89</v>
      </c>
    </row>
    <row r="2973" spans="2:6" hidden="1" x14ac:dyDescent="0.25">
      <c r="B2973" s="51">
        <f>YEAR(BDRIOSJ[[#This Row],[FECHA]])</f>
        <v>2025</v>
      </c>
      <c r="C2973" s="51">
        <f>MONTH(BDRIOSJ[[#This Row],[FECHA]])</f>
        <v>7</v>
      </c>
      <c r="D2973" s="81">
        <v>45861</v>
      </c>
      <c r="E2973" s="60" t="s">
        <v>113</v>
      </c>
      <c r="F2973" s="65">
        <v>6.89</v>
      </c>
    </row>
    <row r="2974" spans="2:6" hidden="1" x14ac:dyDescent="0.25">
      <c r="B2974" s="51">
        <f>YEAR(BDRIOSJ[[#This Row],[FECHA]])</f>
        <v>2025</v>
      </c>
      <c r="C2974" s="51">
        <f>MONTH(BDRIOSJ[[#This Row],[FECHA]])</f>
        <v>7</v>
      </c>
      <c r="D2974" s="81">
        <v>45861</v>
      </c>
      <c r="E2974" s="60" t="s">
        <v>114</v>
      </c>
      <c r="F2974" s="65">
        <v>6.89</v>
      </c>
    </row>
    <row r="2975" spans="2:6" hidden="1" x14ac:dyDescent="0.25">
      <c r="B2975" s="51">
        <f>YEAR(BDRIOSJ[[#This Row],[FECHA]])</f>
        <v>2025</v>
      </c>
      <c r="C2975" s="51">
        <f>MONTH(BDRIOSJ[[#This Row],[FECHA]])</f>
        <v>7</v>
      </c>
      <c r="D2975" s="81">
        <v>45861</v>
      </c>
      <c r="E2975" s="60" t="s">
        <v>115</v>
      </c>
      <c r="F2975" s="65">
        <v>6.89</v>
      </c>
    </row>
    <row r="2976" spans="2:6" hidden="1" x14ac:dyDescent="0.25">
      <c r="B2976" s="51">
        <f>YEAR(BDRIOSJ[[#This Row],[FECHA]])</f>
        <v>2025</v>
      </c>
      <c r="C2976" s="51">
        <f>MONTH(BDRIOSJ[[#This Row],[FECHA]])</f>
        <v>7</v>
      </c>
      <c r="D2976" s="81">
        <v>45862</v>
      </c>
      <c r="E2976" s="60" t="s">
        <v>111</v>
      </c>
      <c r="F2976" s="65">
        <v>6.89</v>
      </c>
    </row>
    <row r="2977" spans="2:6" hidden="1" x14ac:dyDescent="0.25">
      <c r="B2977" s="51">
        <f>YEAR(BDRIOSJ[[#This Row],[FECHA]])</f>
        <v>2025</v>
      </c>
      <c r="C2977" s="51">
        <f>MONTH(BDRIOSJ[[#This Row],[FECHA]])</f>
        <v>7</v>
      </c>
      <c r="D2977" s="81">
        <v>45862</v>
      </c>
      <c r="E2977" s="60" t="s">
        <v>113</v>
      </c>
      <c r="F2977" s="65">
        <v>6.89</v>
      </c>
    </row>
    <row r="2978" spans="2:6" hidden="1" x14ac:dyDescent="0.25">
      <c r="B2978" s="51">
        <f>YEAR(BDRIOSJ[[#This Row],[FECHA]])</f>
        <v>2025</v>
      </c>
      <c r="C2978" s="51">
        <f>MONTH(BDRIOSJ[[#This Row],[FECHA]])</f>
        <v>7</v>
      </c>
      <c r="D2978" s="81">
        <v>45862</v>
      </c>
      <c r="E2978" s="60" t="s">
        <v>114</v>
      </c>
      <c r="F2978" s="65">
        <v>6.89</v>
      </c>
    </row>
    <row r="2979" spans="2:6" hidden="1" x14ac:dyDescent="0.25">
      <c r="B2979" s="51">
        <f>YEAR(BDRIOSJ[[#This Row],[FECHA]])</f>
        <v>2025</v>
      </c>
      <c r="C2979" s="51">
        <f>MONTH(BDRIOSJ[[#This Row],[FECHA]])</f>
        <v>7</v>
      </c>
      <c r="D2979" s="81">
        <v>45862</v>
      </c>
      <c r="E2979" s="60" t="s">
        <v>115</v>
      </c>
      <c r="F2979" s="65">
        <v>6.89</v>
      </c>
    </row>
    <row r="2980" spans="2:6" hidden="1" x14ac:dyDescent="0.25">
      <c r="B2980" s="51">
        <f>YEAR(BDRIOSJ[[#This Row],[FECHA]])</f>
        <v>2025</v>
      </c>
      <c r="C2980" s="51">
        <f>MONTH(BDRIOSJ[[#This Row],[FECHA]])</f>
        <v>7</v>
      </c>
      <c r="D2980" s="81">
        <v>45863</v>
      </c>
      <c r="E2980" s="60" t="s">
        <v>111</v>
      </c>
      <c r="F2980" s="65">
        <v>6.89</v>
      </c>
    </row>
    <row r="2981" spans="2:6" hidden="1" x14ac:dyDescent="0.25">
      <c r="B2981" s="51">
        <f>YEAR(BDRIOSJ[[#This Row],[FECHA]])</f>
        <v>2025</v>
      </c>
      <c r="C2981" s="51">
        <f>MONTH(BDRIOSJ[[#This Row],[FECHA]])</f>
        <v>7</v>
      </c>
      <c r="D2981" s="81">
        <v>45863</v>
      </c>
      <c r="E2981" s="60" t="s">
        <v>113</v>
      </c>
      <c r="F2981" s="65">
        <v>6.89</v>
      </c>
    </row>
    <row r="2982" spans="2:6" hidden="1" x14ac:dyDescent="0.25">
      <c r="B2982" s="51">
        <f>YEAR(BDRIOSJ[[#This Row],[FECHA]])</f>
        <v>2025</v>
      </c>
      <c r="C2982" s="51">
        <f>MONTH(BDRIOSJ[[#This Row],[FECHA]])</f>
        <v>7</v>
      </c>
      <c r="D2982" s="81">
        <v>45863</v>
      </c>
      <c r="E2982" s="60" t="s">
        <v>114</v>
      </c>
      <c r="F2982" s="65">
        <v>6.89</v>
      </c>
    </row>
    <row r="2983" spans="2:6" hidden="1" x14ac:dyDescent="0.25">
      <c r="B2983" s="51">
        <f>YEAR(BDRIOSJ[[#This Row],[FECHA]])</f>
        <v>2025</v>
      </c>
      <c r="C2983" s="51">
        <f>MONTH(BDRIOSJ[[#This Row],[FECHA]])</f>
        <v>7</v>
      </c>
      <c r="D2983" s="81">
        <v>45863</v>
      </c>
      <c r="E2983" s="60" t="s">
        <v>115</v>
      </c>
      <c r="F2983" s="65">
        <v>6.89</v>
      </c>
    </row>
    <row r="2984" spans="2:6" hidden="1" x14ac:dyDescent="0.25">
      <c r="B2984" s="51">
        <f>YEAR(BDRIOSJ[[#This Row],[FECHA]])</f>
        <v>2025</v>
      </c>
      <c r="C2984" s="51">
        <f>MONTH(BDRIOSJ[[#This Row],[FECHA]])</f>
        <v>7</v>
      </c>
      <c r="D2984" s="81">
        <v>45864</v>
      </c>
      <c r="E2984" s="60" t="s">
        <v>111</v>
      </c>
      <c r="F2984" s="65">
        <v>6.89</v>
      </c>
    </row>
    <row r="2985" spans="2:6" hidden="1" x14ac:dyDescent="0.25">
      <c r="B2985" s="51">
        <f>YEAR(BDRIOSJ[[#This Row],[FECHA]])</f>
        <v>2025</v>
      </c>
      <c r="C2985" s="51">
        <f>MONTH(BDRIOSJ[[#This Row],[FECHA]])</f>
        <v>7</v>
      </c>
      <c r="D2985" s="81">
        <v>45864</v>
      </c>
      <c r="E2985" s="60" t="s">
        <v>113</v>
      </c>
      <c r="F2985" s="65">
        <v>6.89</v>
      </c>
    </row>
    <row r="2986" spans="2:6" hidden="1" x14ac:dyDescent="0.25">
      <c r="B2986" s="51">
        <f>YEAR(BDRIOSJ[[#This Row],[FECHA]])</f>
        <v>2025</v>
      </c>
      <c r="C2986" s="51">
        <f>MONTH(BDRIOSJ[[#This Row],[FECHA]])</f>
        <v>7</v>
      </c>
      <c r="D2986" s="81">
        <v>45864</v>
      </c>
      <c r="E2986" s="60" t="s">
        <v>114</v>
      </c>
      <c r="F2986" s="65">
        <v>6.89</v>
      </c>
    </row>
    <row r="2987" spans="2:6" hidden="1" x14ac:dyDescent="0.25">
      <c r="B2987" s="51">
        <f>YEAR(BDRIOSJ[[#This Row],[FECHA]])</f>
        <v>2025</v>
      </c>
      <c r="C2987" s="51">
        <f>MONTH(BDRIOSJ[[#This Row],[FECHA]])</f>
        <v>7</v>
      </c>
      <c r="D2987" s="81">
        <v>45864</v>
      </c>
      <c r="E2987" s="60" t="s">
        <v>115</v>
      </c>
      <c r="F2987" s="65">
        <v>6.89</v>
      </c>
    </row>
    <row r="2988" spans="2:6" hidden="1" x14ac:dyDescent="0.25">
      <c r="B2988" s="51">
        <f>YEAR(BDRIOSJ[[#This Row],[FECHA]])</f>
        <v>2025</v>
      </c>
      <c r="C2988" s="51">
        <f>MONTH(BDRIOSJ[[#This Row],[FECHA]])</f>
        <v>7</v>
      </c>
      <c r="D2988" s="81">
        <v>45865</v>
      </c>
      <c r="E2988" s="60" t="s">
        <v>111</v>
      </c>
      <c r="F2988" s="65">
        <v>6.89</v>
      </c>
    </row>
    <row r="2989" spans="2:6" hidden="1" x14ac:dyDescent="0.25">
      <c r="B2989" s="51">
        <f>YEAR(BDRIOSJ[[#This Row],[FECHA]])</f>
        <v>2025</v>
      </c>
      <c r="C2989" s="51">
        <f>MONTH(BDRIOSJ[[#This Row],[FECHA]])</f>
        <v>7</v>
      </c>
      <c r="D2989" s="81">
        <v>45865</v>
      </c>
      <c r="E2989" s="60" t="s">
        <v>113</v>
      </c>
      <c r="F2989" s="65">
        <v>6.89</v>
      </c>
    </row>
    <row r="2990" spans="2:6" hidden="1" x14ac:dyDescent="0.25">
      <c r="B2990" s="51">
        <f>YEAR(BDRIOSJ[[#This Row],[FECHA]])</f>
        <v>2025</v>
      </c>
      <c r="C2990" s="51">
        <f>MONTH(BDRIOSJ[[#This Row],[FECHA]])</f>
        <v>7</v>
      </c>
      <c r="D2990" s="81">
        <v>45865</v>
      </c>
      <c r="E2990" s="60" t="s">
        <v>114</v>
      </c>
      <c r="F2990" s="65">
        <v>6.89</v>
      </c>
    </row>
    <row r="2991" spans="2:6" hidden="1" x14ac:dyDescent="0.25">
      <c r="B2991" s="51">
        <f>YEAR(BDRIOSJ[[#This Row],[FECHA]])</f>
        <v>2025</v>
      </c>
      <c r="C2991" s="51">
        <f>MONTH(BDRIOSJ[[#This Row],[FECHA]])</f>
        <v>7</v>
      </c>
      <c r="D2991" s="81">
        <v>45865</v>
      </c>
      <c r="E2991" s="60" t="s">
        <v>115</v>
      </c>
      <c r="F2991" s="65">
        <v>6.89</v>
      </c>
    </row>
    <row r="2992" spans="2:6" hidden="1" x14ac:dyDescent="0.25">
      <c r="B2992" s="51">
        <f>YEAR(BDRIOSJ[[#This Row],[FECHA]])</f>
        <v>2025</v>
      </c>
      <c r="C2992" s="51">
        <f>MONTH(BDRIOSJ[[#This Row],[FECHA]])</f>
        <v>7</v>
      </c>
      <c r="D2992" s="81">
        <v>45866</v>
      </c>
      <c r="E2992" s="60" t="s">
        <v>111</v>
      </c>
      <c r="F2992" s="65">
        <v>6.89</v>
      </c>
    </row>
    <row r="2993" spans="2:6" hidden="1" x14ac:dyDescent="0.25">
      <c r="B2993" s="51">
        <f>YEAR(BDRIOSJ[[#This Row],[FECHA]])</f>
        <v>2025</v>
      </c>
      <c r="C2993" s="51">
        <f>MONTH(BDRIOSJ[[#This Row],[FECHA]])</f>
        <v>7</v>
      </c>
      <c r="D2993" s="81">
        <v>45866</v>
      </c>
      <c r="E2993" s="60" t="s">
        <v>113</v>
      </c>
      <c r="F2993" s="65">
        <v>6.89</v>
      </c>
    </row>
    <row r="2994" spans="2:6" hidden="1" x14ac:dyDescent="0.25">
      <c r="B2994" s="51">
        <f>YEAR(BDRIOSJ[[#This Row],[FECHA]])</f>
        <v>2025</v>
      </c>
      <c r="C2994" s="51">
        <f>MONTH(BDRIOSJ[[#This Row],[FECHA]])</f>
        <v>7</v>
      </c>
      <c r="D2994" s="81">
        <v>45866</v>
      </c>
      <c r="E2994" s="60" t="s">
        <v>114</v>
      </c>
      <c r="F2994" s="65">
        <v>6.89</v>
      </c>
    </row>
    <row r="2995" spans="2:6" hidden="1" x14ac:dyDescent="0.25">
      <c r="B2995" s="51">
        <f>YEAR(BDRIOSJ[[#This Row],[FECHA]])</f>
        <v>2025</v>
      </c>
      <c r="C2995" s="51">
        <f>MONTH(BDRIOSJ[[#This Row],[FECHA]])</f>
        <v>7</v>
      </c>
      <c r="D2995" s="81">
        <v>45866</v>
      </c>
      <c r="E2995" s="60" t="s">
        <v>115</v>
      </c>
      <c r="F2995" s="65">
        <v>6.89</v>
      </c>
    </row>
    <row r="2996" spans="2:6" hidden="1" x14ac:dyDescent="0.25">
      <c r="B2996" s="51">
        <f>YEAR(BDRIOSJ[[#This Row],[FECHA]])</f>
        <v>2025</v>
      </c>
      <c r="C2996" s="51">
        <f>MONTH(BDRIOSJ[[#This Row],[FECHA]])</f>
        <v>7</v>
      </c>
      <c r="D2996" s="81">
        <v>45867</v>
      </c>
      <c r="E2996" s="60" t="s">
        <v>111</v>
      </c>
      <c r="F2996" s="65">
        <v>6.89</v>
      </c>
    </row>
    <row r="2997" spans="2:6" hidden="1" x14ac:dyDescent="0.25">
      <c r="B2997" s="51">
        <f>YEAR(BDRIOSJ[[#This Row],[FECHA]])</f>
        <v>2025</v>
      </c>
      <c r="C2997" s="51">
        <f>MONTH(BDRIOSJ[[#This Row],[FECHA]])</f>
        <v>7</v>
      </c>
      <c r="D2997" s="81">
        <v>45867</v>
      </c>
      <c r="E2997" s="60" t="s">
        <v>113</v>
      </c>
      <c r="F2997" s="65">
        <v>6.89</v>
      </c>
    </row>
    <row r="2998" spans="2:6" hidden="1" x14ac:dyDescent="0.25">
      <c r="B2998" s="51">
        <f>YEAR(BDRIOSJ[[#This Row],[FECHA]])</f>
        <v>2025</v>
      </c>
      <c r="C2998" s="51">
        <f>MONTH(BDRIOSJ[[#This Row],[FECHA]])</f>
        <v>7</v>
      </c>
      <c r="D2998" s="81">
        <v>45867</v>
      </c>
      <c r="E2998" s="60" t="s">
        <v>114</v>
      </c>
      <c r="F2998" s="65">
        <v>6.89</v>
      </c>
    </row>
    <row r="2999" spans="2:6" hidden="1" x14ac:dyDescent="0.25">
      <c r="B2999" s="51">
        <f>YEAR(BDRIOSJ[[#This Row],[FECHA]])</f>
        <v>2025</v>
      </c>
      <c r="C2999" s="51">
        <f>MONTH(BDRIOSJ[[#This Row],[FECHA]])</f>
        <v>7</v>
      </c>
      <c r="D2999" s="81">
        <v>45867</v>
      </c>
      <c r="E2999" s="60" t="s">
        <v>115</v>
      </c>
      <c r="F2999" s="65">
        <v>6.89</v>
      </c>
    </row>
    <row r="3000" spans="2:6" hidden="1" x14ac:dyDescent="0.25">
      <c r="B3000" s="51">
        <f>YEAR(BDRIOSJ[[#This Row],[FECHA]])</f>
        <v>2025</v>
      </c>
      <c r="C3000" s="51">
        <f>MONTH(BDRIOSJ[[#This Row],[FECHA]])</f>
        <v>7</v>
      </c>
      <c r="D3000" s="81">
        <v>45868</v>
      </c>
      <c r="E3000" s="60" t="s">
        <v>111</v>
      </c>
      <c r="F3000" s="65">
        <v>6.89</v>
      </c>
    </row>
    <row r="3001" spans="2:6" hidden="1" x14ac:dyDescent="0.25">
      <c r="B3001" s="51">
        <f>YEAR(BDRIOSJ[[#This Row],[FECHA]])</f>
        <v>2025</v>
      </c>
      <c r="C3001" s="51">
        <f>MONTH(BDRIOSJ[[#This Row],[FECHA]])</f>
        <v>7</v>
      </c>
      <c r="D3001" s="81">
        <v>45868</v>
      </c>
      <c r="E3001" s="60" t="s">
        <v>113</v>
      </c>
      <c r="F3001" s="65">
        <v>6.89</v>
      </c>
    </row>
    <row r="3002" spans="2:6" hidden="1" x14ac:dyDescent="0.25">
      <c r="B3002" s="51">
        <f>YEAR(BDRIOSJ[[#This Row],[FECHA]])</f>
        <v>2025</v>
      </c>
      <c r="C3002" s="51">
        <f>MONTH(BDRIOSJ[[#This Row],[FECHA]])</f>
        <v>7</v>
      </c>
      <c r="D3002" s="81">
        <v>45868</v>
      </c>
      <c r="E3002" s="60" t="s">
        <v>114</v>
      </c>
      <c r="F3002" s="65">
        <v>6.89</v>
      </c>
    </row>
    <row r="3003" spans="2:6" hidden="1" x14ac:dyDescent="0.25">
      <c r="B3003" s="51">
        <f>YEAR(BDRIOSJ[[#This Row],[FECHA]])</f>
        <v>2025</v>
      </c>
      <c r="C3003" s="51">
        <f>MONTH(BDRIOSJ[[#This Row],[FECHA]])</f>
        <v>7</v>
      </c>
      <c r="D3003" s="81">
        <v>45868</v>
      </c>
      <c r="E3003" s="60" t="s">
        <v>115</v>
      </c>
      <c r="F3003" s="65">
        <v>6.89</v>
      </c>
    </row>
    <row r="3004" spans="2:6" hidden="1" x14ac:dyDescent="0.25">
      <c r="B3004" s="51">
        <f>YEAR(BDRIOSJ[[#This Row],[FECHA]])</f>
        <v>2025</v>
      </c>
      <c r="C3004" s="51">
        <f>MONTH(BDRIOSJ[[#This Row],[FECHA]])</f>
        <v>7</v>
      </c>
      <c r="D3004" s="81">
        <v>45869</v>
      </c>
      <c r="E3004" s="60" t="s">
        <v>111</v>
      </c>
      <c r="F3004" s="65">
        <v>6.89</v>
      </c>
    </row>
    <row r="3005" spans="2:6" hidden="1" x14ac:dyDescent="0.25">
      <c r="B3005" s="51">
        <f>YEAR(BDRIOSJ[[#This Row],[FECHA]])</f>
        <v>2025</v>
      </c>
      <c r="C3005" s="51">
        <f>MONTH(BDRIOSJ[[#This Row],[FECHA]])</f>
        <v>7</v>
      </c>
      <c r="D3005" s="81">
        <v>45869</v>
      </c>
      <c r="E3005" s="60" t="s">
        <v>113</v>
      </c>
      <c r="F3005" s="65">
        <v>6.89</v>
      </c>
    </row>
    <row r="3006" spans="2:6" hidden="1" x14ac:dyDescent="0.25">
      <c r="B3006" s="51">
        <f>YEAR(BDRIOSJ[[#This Row],[FECHA]])</f>
        <v>2025</v>
      </c>
      <c r="C3006" s="51">
        <f>MONTH(BDRIOSJ[[#This Row],[FECHA]])</f>
        <v>7</v>
      </c>
      <c r="D3006" s="81">
        <v>45869</v>
      </c>
      <c r="E3006" s="60" t="s">
        <v>114</v>
      </c>
      <c r="F3006" s="65">
        <v>6.89</v>
      </c>
    </row>
    <row r="3007" spans="2:6" hidden="1" x14ac:dyDescent="0.25">
      <c r="B3007" s="51">
        <f>YEAR(BDRIOSJ[[#This Row],[FECHA]])</f>
        <v>2025</v>
      </c>
      <c r="C3007" s="51">
        <f>MONTH(BDRIOSJ[[#This Row],[FECHA]])</f>
        <v>7</v>
      </c>
      <c r="D3007" s="81">
        <v>45869</v>
      </c>
      <c r="E3007" s="60" t="s">
        <v>115</v>
      </c>
      <c r="F3007" s="65">
        <v>6.89</v>
      </c>
    </row>
    <row r="3008" spans="2:6" hidden="1" x14ac:dyDescent="0.25">
      <c r="B3008" s="51">
        <f>YEAR(BDRIOSJ[[#This Row],[FECHA]])</f>
        <v>2025</v>
      </c>
      <c r="C3008" s="51">
        <f>MONTH(BDRIOSJ[[#This Row],[FECHA]])</f>
        <v>8</v>
      </c>
      <c r="D3008" s="81">
        <v>45870</v>
      </c>
      <c r="E3008" s="60" t="s">
        <v>111</v>
      </c>
      <c r="F3008" s="65">
        <v>6.89</v>
      </c>
    </row>
    <row r="3009" spans="2:6" hidden="1" x14ac:dyDescent="0.25">
      <c r="B3009" s="51">
        <f>YEAR(BDRIOSJ[[#This Row],[FECHA]])</f>
        <v>2025</v>
      </c>
      <c r="C3009" s="51">
        <f>MONTH(BDRIOSJ[[#This Row],[FECHA]])</f>
        <v>8</v>
      </c>
      <c r="D3009" s="81">
        <v>45870</v>
      </c>
      <c r="E3009" s="60" t="s">
        <v>113</v>
      </c>
      <c r="F3009" s="65">
        <v>6.89</v>
      </c>
    </row>
    <row r="3010" spans="2:6" hidden="1" x14ac:dyDescent="0.25">
      <c r="B3010" s="51">
        <f>YEAR(BDRIOSJ[[#This Row],[FECHA]])</f>
        <v>2025</v>
      </c>
      <c r="C3010" s="51">
        <f>MONTH(BDRIOSJ[[#This Row],[FECHA]])</f>
        <v>8</v>
      </c>
      <c r="D3010" s="81">
        <v>45870</v>
      </c>
      <c r="E3010" s="60" t="s">
        <v>114</v>
      </c>
      <c r="F3010" s="65">
        <v>6.89</v>
      </c>
    </row>
    <row r="3011" spans="2:6" hidden="1" x14ac:dyDescent="0.25">
      <c r="B3011" s="51">
        <f>YEAR(BDRIOSJ[[#This Row],[FECHA]])</f>
        <v>2025</v>
      </c>
      <c r="C3011" s="51">
        <f>MONTH(BDRIOSJ[[#This Row],[FECHA]])</f>
        <v>8</v>
      </c>
      <c r="D3011" s="81">
        <v>45870</v>
      </c>
      <c r="E3011" s="60" t="s">
        <v>115</v>
      </c>
      <c r="F3011" s="65">
        <v>6.89</v>
      </c>
    </row>
    <row r="3012" spans="2:6" hidden="1" x14ac:dyDescent="0.25">
      <c r="B3012" s="51">
        <f>YEAR(BDRIOSJ[[#This Row],[FECHA]])</f>
        <v>2025</v>
      </c>
      <c r="C3012" s="51">
        <f>MONTH(BDRIOSJ[[#This Row],[FECHA]])</f>
        <v>8</v>
      </c>
      <c r="D3012" s="81">
        <v>45871</v>
      </c>
      <c r="E3012" s="60" t="s">
        <v>111</v>
      </c>
      <c r="F3012" s="65">
        <v>6.89</v>
      </c>
    </row>
    <row r="3013" spans="2:6" hidden="1" x14ac:dyDescent="0.25">
      <c r="B3013" s="51">
        <f>YEAR(BDRIOSJ[[#This Row],[FECHA]])</f>
        <v>2025</v>
      </c>
      <c r="C3013" s="51">
        <f>MONTH(BDRIOSJ[[#This Row],[FECHA]])</f>
        <v>8</v>
      </c>
      <c r="D3013" s="81">
        <v>45871</v>
      </c>
      <c r="E3013" s="60" t="s">
        <v>113</v>
      </c>
      <c r="F3013" s="65">
        <v>6.89</v>
      </c>
    </row>
    <row r="3014" spans="2:6" hidden="1" x14ac:dyDescent="0.25">
      <c r="B3014" s="51">
        <f>YEAR(BDRIOSJ[[#This Row],[FECHA]])</f>
        <v>2025</v>
      </c>
      <c r="C3014" s="51">
        <f>MONTH(BDRIOSJ[[#This Row],[FECHA]])</f>
        <v>8</v>
      </c>
      <c r="D3014" s="81">
        <v>45871</v>
      </c>
      <c r="E3014" s="60" t="s">
        <v>114</v>
      </c>
      <c r="F3014" s="65">
        <v>6.89</v>
      </c>
    </row>
    <row r="3015" spans="2:6" hidden="1" x14ac:dyDescent="0.25">
      <c r="B3015" s="51">
        <f>YEAR(BDRIOSJ[[#This Row],[FECHA]])</f>
        <v>2025</v>
      </c>
      <c r="C3015" s="51">
        <f>MONTH(BDRIOSJ[[#This Row],[FECHA]])</f>
        <v>8</v>
      </c>
      <c r="D3015" s="81">
        <v>45871</v>
      </c>
      <c r="E3015" s="60" t="s">
        <v>115</v>
      </c>
      <c r="F3015" s="65">
        <v>6.89</v>
      </c>
    </row>
    <row r="3016" spans="2:6" hidden="1" x14ac:dyDescent="0.25">
      <c r="B3016" s="51">
        <f>YEAR(BDRIOSJ[[#This Row],[FECHA]])</f>
        <v>2025</v>
      </c>
      <c r="C3016" s="51">
        <f>MONTH(BDRIOSJ[[#This Row],[FECHA]])</f>
        <v>8</v>
      </c>
      <c r="D3016" s="81">
        <v>45872</v>
      </c>
      <c r="E3016" s="60" t="s">
        <v>111</v>
      </c>
      <c r="F3016" s="65">
        <v>6.89</v>
      </c>
    </row>
    <row r="3017" spans="2:6" hidden="1" x14ac:dyDescent="0.25">
      <c r="B3017" s="51">
        <f>YEAR(BDRIOSJ[[#This Row],[FECHA]])</f>
        <v>2025</v>
      </c>
      <c r="C3017" s="51">
        <f>MONTH(BDRIOSJ[[#This Row],[FECHA]])</f>
        <v>8</v>
      </c>
      <c r="D3017" s="81">
        <v>45872</v>
      </c>
      <c r="E3017" s="60" t="s">
        <v>113</v>
      </c>
      <c r="F3017" s="65">
        <v>6.89</v>
      </c>
    </row>
    <row r="3018" spans="2:6" hidden="1" x14ac:dyDescent="0.25">
      <c r="B3018" s="51">
        <f>YEAR(BDRIOSJ[[#This Row],[FECHA]])</f>
        <v>2025</v>
      </c>
      <c r="C3018" s="51">
        <f>MONTH(BDRIOSJ[[#This Row],[FECHA]])</f>
        <v>8</v>
      </c>
      <c r="D3018" s="81">
        <v>45872</v>
      </c>
      <c r="E3018" s="60" t="s">
        <v>114</v>
      </c>
      <c r="F3018" s="65">
        <v>6.89</v>
      </c>
    </row>
    <row r="3019" spans="2:6" hidden="1" x14ac:dyDescent="0.25">
      <c r="B3019" s="52">
        <f>YEAR(BDRIOSJ[[#This Row],[FECHA]])</f>
        <v>2025</v>
      </c>
      <c r="C3019" s="52">
        <f>MONTH(BDRIOSJ[[#This Row],[FECHA]])</f>
        <v>8</v>
      </c>
      <c r="D3019" s="81">
        <v>45872</v>
      </c>
      <c r="E3019" s="60" t="s">
        <v>115</v>
      </c>
      <c r="F3019" s="65">
        <v>6.89</v>
      </c>
    </row>
    <row r="3020" spans="2:6" hidden="1" x14ac:dyDescent="0.25">
      <c r="B3020" s="51">
        <f>YEAR(BDRIOSJ[[#This Row],[FECHA]])</f>
        <v>2025</v>
      </c>
      <c r="C3020" s="51">
        <f>MONTH(BDRIOSJ[[#This Row],[FECHA]])</f>
        <v>8</v>
      </c>
      <c r="D3020" s="81">
        <v>45873</v>
      </c>
      <c r="E3020" s="60" t="s">
        <v>111</v>
      </c>
      <c r="F3020" s="65">
        <v>6.89</v>
      </c>
    </row>
    <row r="3021" spans="2:6" hidden="1" x14ac:dyDescent="0.25">
      <c r="B3021" s="51">
        <f>YEAR(BDRIOSJ[[#This Row],[FECHA]])</f>
        <v>2025</v>
      </c>
      <c r="C3021" s="51">
        <f>MONTH(BDRIOSJ[[#This Row],[FECHA]])</f>
        <v>8</v>
      </c>
      <c r="D3021" s="81">
        <v>45873</v>
      </c>
      <c r="E3021" s="60" t="s">
        <v>113</v>
      </c>
      <c r="F3021" s="65">
        <v>6.89</v>
      </c>
    </row>
    <row r="3022" spans="2:6" hidden="1" x14ac:dyDescent="0.25">
      <c r="B3022" s="51">
        <f>YEAR(BDRIOSJ[[#This Row],[FECHA]])</f>
        <v>2025</v>
      </c>
      <c r="C3022" s="51">
        <f>MONTH(BDRIOSJ[[#This Row],[FECHA]])</f>
        <v>8</v>
      </c>
      <c r="D3022" s="81">
        <v>45873</v>
      </c>
      <c r="E3022" s="60" t="s">
        <v>114</v>
      </c>
      <c r="F3022" s="65">
        <v>6.89</v>
      </c>
    </row>
    <row r="3023" spans="2:6" hidden="1" x14ac:dyDescent="0.25">
      <c r="B3023" s="51">
        <f>YEAR(BDRIOSJ[[#This Row],[FECHA]])</f>
        <v>2025</v>
      </c>
      <c r="C3023" s="51">
        <f>MONTH(BDRIOSJ[[#This Row],[FECHA]])</f>
        <v>8</v>
      </c>
      <c r="D3023" s="81">
        <v>45873</v>
      </c>
      <c r="E3023" s="60" t="s">
        <v>115</v>
      </c>
      <c r="F3023" s="65">
        <v>6.89</v>
      </c>
    </row>
    <row r="3024" spans="2:6" hidden="1" x14ac:dyDescent="0.25">
      <c r="B3024" s="51">
        <f>YEAR(BDRIOSJ[[#This Row],[FECHA]])</f>
        <v>2025</v>
      </c>
      <c r="C3024" s="51">
        <f>MONTH(BDRIOSJ[[#This Row],[FECHA]])</f>
        <v>8</v>
      </c>
      <c r="D3024" s="81">
        <v>45874</v>
      </c>
      <c r="E3024" s="60" t="s">
        <v>111</v>
      </c>
      <c r="F3024" s="65">
        <v>6.89</v>
      </c>
    </row>
    <row r="3025" spans="2:6" hidden="1" x14ac:dyDescent="0.25">
      <c r="B3025" s="51">
        <f>YEAR(BDRIOSJ[[#This Row],[FECHA]])</f>
        <v>2025</v>
      </c>
      <c r="C3025" s="51">
        <f>MONTH(BDRIOSJ[[#This Row],[FECHA]])</f>
        <v>8</v>
      </c>
      <c r="D3025" s="81">
        <v>45874</v>
      </c>
      <c r="E3025" s="60" t="s">
        <v>113</v>
      </c>
      <c r="F3025" s="65">
        <v>6.89</v>
      </c>
    </row>
    <row r="3026" spans="2:6" hidden="1" x14ac:dyDescent="0.25">
      <c r="B3026" s="51">
        <f>YEAR(BDRIOSJ[[#This Row],[FECHA]])</f>
        <v>2025</v>
      </c>
      <c r="C3026" s="51">
        <f>MONTH(BDRIOSJ[[#This Row],[FECHA]])</f>
        <v>8</v>
      </c>
      <c r="D3026" s="81">
        <v>45874</v>
      </c>
      <c r="E3026" s="60" t="s">
        <v>114</v>
      </c>
      <c r="F3026" s="65">
        <v>6.89</v>
      </c>
    </row>
    <row r="3027" spans="2:6" hidden="1" x14ac:dyDescent="0.25">
      <c r="B3027" s="51">
        <f>YEAR(BDRIOSJ[[#This Row],[FECHA]])</f>
        <v>2025</v>
      </c>
      <c r="C3027" s="51">
        <f>MONTH(BDRIOSJ[[#This Row],[FECHA]])</f>
        <v>8</v>
      </c>
      <c r="D3027" s="81">
        <v>45874</v>
      </c>
      <c r="E3027" s="60" t="s">
        <v>115</v>
      </c>
      <c r="F3027" s="65">
        <v>6.89</v>
      </c>
    </row>
    <row r="3028" spans="2:6" hidden="1" x14ac:dyDescent="0.25">
      <c r="B3028" s="51">
        <f>YEAR(BDRIOSJ[[#This Row],[FECHA]])</f>
        <v>2025</v>
      </c>
      <c r="C3028" s="51">
        <f>MONTH(BDRIOSJ[[#This Row],[FECHA]])</f>
        <v>8</v>
      </c>
      <c r="D3028" s="81">
        <v>45875</v>
      </c>
      <c r="E3028" s="60" t="s">
        <v>111</v>
      </c>
      <c r="F3028" s="65">
        <v>6.89</v>
      </c>
    </row>
    <row r="3029" spans="2:6" hidden="1" x14ac:dyDescent="0.25">
      <c r="B3029" s="51">
        <f>YEAR(BDRIOSJ[[#This Row],[FECHA]])</f>
        <v>2025</v>
      </c>
      <c r="C3029" s="51">
        <f>MONTH(BDRIOSJ[[#This Row],[FECHA]])</f>
        <v>8</v>
      </c>
      <c r="D3029" s="81">
        <v>45875</v>
      </c>
      <c r="E3029" s="60" t="s">
        <v>113</v>
      </c>
      <c r="F3029" s="65">
        <v>6.89</v>
      </c>
    </row>
    <row r="3030" spans="2:6" hidden="1" x14ac:dyDescent="0.25">
      <c r="B3030" s="51">
        <f>YEAR(BDRIOSJ[[#This Row],[FECHA]])</f>
        <v>2025</v>
      </c>
      <c r="C3030" s="51">
        <f>MONTH(BDRIOSJ[[#This Row],[FECHA]])</f>
        <v>8</v>
      </c>
      <c r="D3030" s="81">
        <v>45875</v>
      </c>
      <c r="E3030" s="60" t="s">
        <v>114</v>
      </c>
      <c r="F3030" s="65">
        <v>6.89</v>
      </c>
    </row>
    <row r="3031" spans="2:6" hidden="1" x14ac:dyDescent="0.25">
      <c r="B3031" s="51">
        <f>YEAR(BDRIOSJ[[#This Row],[FECHA]])</f>
        <v>2025</v>
      </c>
      <c r="C3031" s="51">
        <f>MONTH(BDRIOSJ[[#This Row],[FECHA]])</f>
        <v>8</v>
      </c>
      <c r="D3031" s="81">
        <v>45875</v>
      </c>
      <c r="E3031" s="60" t="s">
        <v>115</v>
      </c>
      <c r="F3031" s="65">
        <v>6.89</v>
      </c>
    </row>
    <row r="3032" spans="2:6" hidden="1" x14ac:dyDescent="0.25">
      <c r="B3032" s="51">
        <f>YEAR(BDRIOSJ[[#This Row],[FECHA]])</f>
        <v>2025</v>
      </c>
      <c r="C3032" s="51">
        <f>MONTH(BDRIOSJ[[#This Row],[FECHA]])</f>
        <v>8</v>
      </c>
      <c r="D3032" s="81">
        <v>45876</v>
      </c>
      <c r="E3032" s="60" t="s">
        <v>111</v>
      </c>
      <c r="F3032" s="65">
        <v>6.89</v>
      </c>
    </row>
    <row r="3033" spans="2:6" hidden="1" x14ac:dyDescent="0.25">
      <c r="B3033" s="51">
        <f>YEAR(BDRIOSJ[[#This Row],[FECHA]])</f>
        <v>2025</v>
      </c>
      <c r="C3033" s="51">
        <f>MONTH(BDRIOSJ[[#This Row],[FECHA]])</f>
        <v>8</v>
      </c>
      <c r="D3033" s="81">
        <v>45876</v>
      </c>
      <c r="E3033" s="60" t="s">
        <v>113</v>
      </c>
      <c r="F3033" s="65">
        <v>6.89</v>
      </c>
    </row>
    <row r="3034" spans="2:6" hidden="1" x14ac:dyDescent="0.25">
      <c r="B3034" s="51">
        <f>YEAR(BDRIOSJ[[#This Row],[FECHA]])</f>
        <v>2025</v>
      </c>
      <c r="C3034" s="51">
        <f>MONTH(BDRIOSJ[[#This Row],[FECHA]])</f>
        <v>8</v>
      </c>
      <c r="D3034" s="81">
        <v>45876</v>
      </c>
      <c r="E3034" s="60" t="s">
        <v>114</v>
      </c>
      <c r="F3034" s="65">
        <v>6.89</v>
      </c>
    </row>
    <row r="3035" spans="2:6" hidden="1" x14ac:dyDescent="0.25">
      <c r="B3035" s="51">
        <f>YEAR(BDRIOSJ[[#This Row],[FECHA]])</f>
        <v>2025</v>
      </c>
      <c r="C3035" s="51">
        <f>MONTH(BDRIOSJ[[#This Row],[FECHA]])</f>
        <v>8</v>
      </c>
      <c r="D3035" s="81">
        <v>45876</v>
      </c>
      <c r="E3035" s="60" t="s">
        <v>115</v>
      </c>
      <c r="F3035" s="65">
        <v>6.89</v>
      </c>
    </row>
    <row r="3036" spans="2:6" hidden="1" x14ac:dyDescent="0.25">
      <c r="B3036" s="51">
        <f>YEAR(BDRIOSJ[[#This Row],[FECHA]])</f>
        <v>2025</v>
      </c>
      <c r="C3036" s="51">
        <f>MONTH(BDRIOSJ[[#This Row],[FECHA]])</f>
        <v>8</v>
      </c>
      <c r="D3036" s="81">
        <v>45877</v>
      </c>
      <c r="E3036" s="60" t="s">
        <v>111</v>
      </c>
      <c r="F3036" s="65">
        <v>6.89</v>
      </c>
    </row>
    <row r="3037" spans="2:6" hidden="1" x14ac:dyDescent="0.25">
      <c r="B3037" s="51">
        <f>YEAR(BDRIOSJ[[#This Row],[FECHA]])</f>
        <v>2025</v>
      </c>
      <c r="C3037" s="51">
        <f>MONTH(BDRIOSJ[[#This Row],[FECHA]])</f>
        <v>8</v>
      </c>
      <c r="D3037" s="81">
        <v>45877</v>
      </c>
      <c r="E3037" s="60" t="s">
        <v>113</v>
      </c>
      <c r="F3037" s="65">
        <v>6.89</v>
      </c>
    </row>
    <row r="3038" spans="2:6" hidden="1" x14ac:dyDescent="0.25">
      <c r="B3038" s="51">
        <f>YEAR(BDRIOSJ[[#This Row],[FECHA]])</f>
        <v>2025</v>
      </c>
      <c r="C3038" s="51">
        <f>MONTH(BDRIOSJ[[#This Row],[FECHA]])</f>
        <v>8</v>
      </c>
      <c r="D3038" s="81">
        <v>45877</v>
      </c>
      <c r="E3038" s="60" t="s">
        <v>114</v>
      </c>
      <c r="F3038" s="65">
        <v>6.89</v>
      </c>
    </row>
    <row r="3039" spans="2:6" hidden="1" x14ac:dyDescent="0.25">
      <c r="B3039" s="51">
        <f>YEAR(BDRIOSJ[[#This Row],[FECHA]])</f>
        <v>2025</v>
      </c>
      <c r="C3039" s="51">
        <f>MONTH(BDRIOSJ[[#This Row],[FECHA]])</f>
        <v>8</v>
      </c>
      <c r="D3039" s="81">
        <v>45877</v>
      </c>
      <c r="E3039" s="60" t="s">
        <v>115</v>
      </c>
      <c r="F3039" s="65">
        <v>6.89</v>
      </c>
    </row>
    <row r="3040" spans="2:6" hidden="1" x14ac:dyDescent="0.25">
      <c r="B3040" s="51">
        <f>YEAR(BDRIOSJ[[#This Row],[FECHA]])</f>
        <v>2025</v>
      </c>
      <c r="C3040" s="51">
        <f>MONTH(BDRIOSJ[[#This Row],[FECHA]])</f>
        <v>8</v>
      </c>
      <c r="D3040" s="81">
        <v>45878</v>
      </c>
      <c r="E3040" s="60" t="s">
        <v>111</v>
      </c>
      <c r="F3040" s="65">
        <v>6.89</v>
      </c>
    </row>
    <row r="3041" spans="2:6" hidden="1" x14ac:dyDescent="0.25">
      <c r="B3041" s="51">
        <f>YEAR(BDRIOSJ[[#This Row],[FECHA]])</f>
        <v>2025</v>
      </c>
      <c r="C3041" s="51">
        <f>MONTH(BDRIOSJ[[#This Row],[FECHA]])</f>
        <v>8</v>
      </c>
      <c r="D3041" s="81">
        <v>45878</v>
      </c>
      <c r="E3041" s="60" t="s">
        <v>113</v>
      </c>
      <c r="F3041" s="65">
        <v>6.89</v>
      </c>
    </row>
    <row r="3042" spans="2:6" hidden="1" x14ac:dyDescent="0.25">
      <c r="B3042" s="51">
        <f>YEAR(BDRIOSJ[[#This Row],[FECHA]])</f>
        <v>2025</v>
      </c>
      <c r="C3042" s="51">
        <f>MONTH(BDRIOSJ[[#This Row],[FECHA]])</f>
        <v>8</v>
      </c>
      <c r="D3042" s="81">
        <v>45878</v>
      </c>
      <c r="E3042" s="60" t="s">
        <v>114</v>
      </c>
      <c r="F3042" s="65">
        <v>6.89</v>
      </c>
    </row>
    <row r="3043" spans="2:6" hidden="1" x14ac:dyDescent="0.25">
      <c r="B3043" s="51">
        <f>YEAR(BDRIOSJ[[#This Row],[FECHA]])</f>
        <v>2025</v>
      </c>
      <c r="C3043" s="51">
        <f>MONTH(BDRIOSJ[[#This Row],[FECHA]])</f>
        <v>8</v>
      </c>
      <c r="D3043" s="81">
        <v>45878</v>
      </c>
      <c r="E3043" s="60" t="s">
        <v>115</v>
      </c>
      <c r="F3043" s="65">
        <v>6.89</v>
      </c>
    </row>
    <row r="3044" spans="2:6" hidden="1" x14ac:dyDescent="0.25">
      <c r="B3044" s="51">
        <f>YEAR(BDRIOSJ[[#This Row],[FECHA]])</f>
        <v>2025</v>
      </c>
      <c r="C3044" s="51">
        <f>MONTH(BDRIOSJ[[#This Row],[FECHA]])</f>
        <v>8</v>
      </c>
      <c r="D3044" s="81">
        <v>45879</v>
      </c>
      <c r="E3044" s="60" t="s">
        <v>111</v>
      </c>
      <c r="F3044" s="65">
        <v>6.89</v>
      </c>
    </row>
    <row r="3045" spans="2:6" hidden="1" x14ac:dyDescent="0.25">
      <c r="B3045" s="51">
        <f>YEAR(BDRIOSJ[[#This Row],[FECHA]])</f>
        <v>2025</v>
      </c>
      <c r="C3045" s="51">
        <f>MONTH(BDRIOSJ[[#This Row],[FECHA]])</f>
        <v>8</v>
      </c>
      <c r="D3045" s="81">
        <v>45879</v>
      </c>
      <c r="E3045" s="60" t="s">
        <v>113</v>
      </c>
      <c r="F3045" s="65">
        <v>6.89</v>
      </c>
    </row>
    <row r="3046" spans="2:6" hidden="1" x14ac:dyDescent="0.25">
      <c r="B3046" s="51">
        <f>YEAR(BDRIOSJ[[#This Row],[FECHA]])</f>
        <v>2025</v>
      </c>
      <c r="C3046" s="51">
        <f>MONTH(BDRIOSJ[[#This Row],[FECHA]])</f>
        <v>8</v>
      </c>
      <c r="D3046" s="81">
        <v>45879</v>
      </c>
      <c r="E3046" s="60" t="s">
        <v>114</v>
      </c>
      <c r="F3046" s="65">
        <v>6.84</v>
      </c>
    </row>
    <row r="3047" spans="2:6" hidden="1" x14ac:dyDescent="0.25">
      <c r="B3047" s="51">
        <f>YEAR(BDRIOSJ[[#This Row],[FECHA]])</f>
        <v>2025</v>
      </c>
      <c r="C3047" s="51">
        <f>MONTH(BDRIOSJ[[#This Row],[FECHA]])</f>
        <v>8</v>
      </c>
      <c r="D3047" s="81">
        <v>45879</v>
      </c>
      <c r="E3047" s="60" t="s">
        <v>115</v>
      </c>
      <c r="F3047" s="65">
        <v>6.84</v>
      </c>
    </row>
    <row r="3048" spans="2:6" hidden="1" x14ac:dyDescent="0.25">
      <c r="B3048" s="51">
        <f>YEAR(BDRIOSJ[[#This Row],[FECHA]])</f>
        <v>2025</v>
      </c>
      <c r="C3048" s="51">
        <f>MONTH(BDRIOSJ[[#This Row],[FECHA]])</f>
        <v>8</v>
      </c>
      <c r="D3048" s="81">
        <v>45880</v>
      </c>
      <c r="E3048" s="60" t="s">
        <v>111</v>
      </c>
      <c r="F3048" s="65">
        <v>6.84</v>
      </c>
    </row>
    <row r="3049" spans="2:6" hidden="1" x14ac:dyDescent="0.25">
      <c r="B3049" s="51">
        <f>YEAR(BDRIOSJ[[#This Row],[FECHA]])</f>
        <v>2025</v>
      </c>
      <c r="C3049" s="51">
        <f>MONTH(BDRIOSJ[[#This Row],[FECHA]])</f>
        <v>8</v>
      </c>
      <c r="D3049" s="81">
        <v>45880</v>
      </c>
      <c r="E3049" s="60" t="s">
        <v>113</v>
      </c>
      <c r="F3049" s="65">
        <v>6.91</v>
      </c>
    </row>
    <row r="3050" spans="2:6" hidden="1" x14ac:dyDescent="0.25">
      <c r="B3050" s="51">
        <f>YEAR(BDRIOSJ[[#This Row],[FECHA]])</f>
        <v>2025</v>
      </c>
      <c r="C3050" s="51">
        <f>MONTH(BDRIOSJ[[#This Row],[FECHA]])</f>
        <v>8</v>
      </c>
      <c r="D3050" s="81">
        <v>45880</v>
      </c>
      <c r="E3050" s="60" t="s">
        <v>114</v>
      </c>
      <c r="F3050" s="65">
        <v>6.91</v>
      </c>
    </row>
    <row r="3051" spans="2:6" hidden="1" x14ac:dyDescent="0.25">
      <c r="B3051" s="51">
        <f>YEAR(BDRIOSJ[[#This Row],[FECHA]])</f>
        <v>2025</v>
      </c>
      <c r="C3051" s="51">
        <f>MONTH(BDRIOSJ[[#This Row],[FECHA]])</f>
        <v>8</v>
      </c>
      <c r="D3051" s="81">
        <v>45880</v>
      </c>
      <c r="E3051" s="60" t="s">
        <v>115</v>
      </c>
      <c r="F3051" s="65">
        <v>6.91</v>
      </c>
    </row>
    <row r="3052" spans="2:6" hidden="1" x14ac:dyDescent="0.25">
      <c r="B3052" s="51">
        <f>YEAR(BDRIOSJ[[#This Row],[FECHA]])</f>
        <v>2025</v>
      </c>
      <c r="C3052" s="51">
        <f>MONTH(BDRIOSJ[[#This Row],[FECHA]])</f>
        <v>8</v>
      </c>
      <c r="D3052" s="81">
        <v>45881</v>
      </c>
      <c r="E3052" s="60" t="s">
        <v>111</v>
      </c>
      <c r="F3052" s="65">
        <v>6.91</v>
      </c>
    </row>
    <row r="3053" spans="2:6" hidden="1" x14ac:dyDescent="0.25">
      <c r="B3053" s="51">
        <f>YEAR(BDRIOSJ[[#This Row],[FECHA]])</f>
        <v>2025</v>
      </c>
      <c r="C3053" s="51">
        <f>MONTH(BDRIOSJ[[#This Row],[FECHA]])</f>
        <v>8</v>
      </c>
      <c r="D3053" s="81">
        <v>45881</v>
      </c>
      <c r="E3053" s="60" t="s">
        <v>113</v>
      </c>
      <c r="F3053" s="65">
        <v>6.91</v>
      </c>
    </row>
    <row r="3054" spans="2:6" hidden="1" x14ac:dyDescent="0.25">
      <c r="B3054" s="51">
        <f>YEAR(BDRIOSJ[[#This Row],[FECHA]])</f>
        <v>2025</v>
      </c>
      <c r="C3054" s="51">
        <f>MONTH(BDRIOSJ[[#This Row],[FECHA]])</f>
        <v>8</v>
      </c>
      <c r="D3054" s="81">
        <v>45881</v>
      </c>
      <c r="E3054" s="60" t="s">
        <v>114</v>
      </c>
      <c r="F3054" s="65">
        <v>6.91</v>
      </c>
    </row>
    <row r="3055" spans="2:6" hidden="1" x14ac:dyDescent="0.25">
      <c r="B3055" s="51">
        <f>YEAR(BDRIOSJ[[#This Row],[FECHA]])</f>
        <v>2025</v>
      </c>
      <c r="C3055" s="51">
        <f>MONTH(BDRIOSJ[[#This Row],[FECHA]])</f>
        <v>8</v>
      </c>
      <c r="D3055" s="81">
        <v>45881</v>
      </c>
      <c r="E3055" s="60" t="s">
        <v>115</v>
      </c>
      <c r="F3055" s="65">
        <v>6.91</v>
      </c>
    </row>
    <row r="3056" spans="2:6" hidden="1" x14ac:dyDescent="0.25">
      <c r="B3056" s="51">
        <f>YEAR(BDRIOSJ[[#This Row],[FECHA]])</f>
        <v>2025</v>
      </c>
      <c r="C3056" s="51">
        <f>MONTH(BDRIOSJ[[#This Row],[FECHA]])</f>
        <v>8</v>
      </c>
      <c r="D3056" s="81">
        <v>45882</v>
      </c>
      <c r="E3056" s="60" t="s">
        <v>111</v>
      </c>
      <c r="F3056" s="65">
        <v>6.91</v>
      </c>
    </row>
    <row r="3057" spans="2:6" hidden="1" x14ac:dyDescent="0.25">
      <c r="B3057" s="51">
        <f>YEAR(BDRIOSJ[[#This Row],[FECHA]])</f>
        <v>2025</v>
      </c>
      <c r="C3057" s="51">
        <f>MONTH(BDRIOSJ[[#This Row],[FECHA]])</f>
        <v>8</v>
      </c>
      <c r="D3057" s="81">
        <v>45882</v>
      </c>
      <c r="E3057" s="60" t="s">
        <v>113</v>
      </c>
      <c r="F3057" s="65">
        <v>6.84</v>
      </c>
    </row>
    <row r="3058" spans="2:6" hidden="1" x14ac:dyDescent="0.25">
      <c r="B3058" s="51">
        <f>YEAR(BDRIOSJ[[#This Row],[FECHA]])</f>
        <v>2025</v>
      </c>
      <c r="C3058" s="51">
        <f>MONTH(BDRIOSJ[[#This Row],[FECHA]])</f>
        <v>8</v>
      </c>
      <c r="D3058" s="81">
        <v>45882</v>
      </c>
      <c r="E3058" s="60" t="s">
        <v>114</v>
      </c>
      <c r="F3058" s="65">
        <v>6.84</v>
      </c>
    </row>
    <row r="3059" spans="2:6" hidden="1" x14ac:dyDescent="0.25">
      <c r="B3059" s="51">
        <f>YEAR(BDRIOSJ[[#This Row],[FECHA]])</f>
        <v>2025</v>
      </c>
      <c r="C3059" s="51">
        <f>MONTH(BDRIOSJ[[#This Row],[FECHA]])</f>
        <v>8</v>
      </c>
      <c r="D3059" s="81">
        <v>45882</v>
      </c>
      <c r="E3059" s="60" t="s">
        <v>115</v>
      </c>
      <c r="F3059" s="65">
        <v>6.84</v>
      </c>
    </row>
    <row r="3060" spans="2:6" hidden="1" x14ac:dyDescent="0.25">
      <c r="B3060" s="51">
        <f>YEAR(BDRIOSJ[[#This Row],[FECHA]])</f>
        <v>2025</v>
      </c>
      <c r="C3060" s="51">
        <f>MONTH(BDRIOSJ[[#This Row],[FECHA]])</f>
        <v>8</v>
      </c>
      <c r="D3060" s="81">
        <v>45883</v>
      </c>
      <c r="E3060" s="60" t="s">
        <v>111</v>
      </c>
      <c r="F3060" s="65">
        <v>6.84</v>
      </c>
    </row>
    <row r="3061" spans="2:6" hidden="1" x14ac:dyDescent="0.25">
      <c r="B3061" s="51">
        <f>YEAR(BDRIOSJ[[#This Row],[FECHA]])</f>
        <v>2025</v>
      </c>
      <c r="C3061" s="51">
        <f>MONTH(BDRIOSJ[[#This Row],[FECHA]])</f>
        <v>8</v>
      </c>
      <c r="D3061" s="81">
        <v>45883</v>
      </c>
      <c r="E3061" s="60" t="s">
        <v>113</v>
      </c>
      <c r="F3061" s="65">
        <v>6.84</v>
      </c>
    </row>
    <row r="3062" spans="2:6" hidden="1" x14ac:dyDescent="0.25">
      <c r="B3062" s="51">
        <f>YEAR(BDRIOSJ[[#This Row],[FECHA]])</f>
        <v>2025</v>
      </c>
      <c r="C3062" s="51">
        <f>MONTH(BDRIOSJ[[#This Row],[FECHA]])</f>
        <v>8</v>
      </c>
      <c r="D3062" s="81">
        <v>45883</v>
      </c>
      <c r="E3062" s="60" t="s">
        <v>114</v>
      </c>
      <c r="F3062" s="65">
        <v>6.84</v>
      </c>
    </row>
    <row r="3063" spans="2:6" hidden="1" x14ac:dyDescent="0.25">
      <c r="B3063" s="51">
        <f>YEAR(BDRIOSJ[[#This Row],[FECHA]])</f>
        <v>2025</v>
      </c>
      <c r="C3063" s="51">
        <f>MONTH(BDRIOSJ[[#This Row],[FECHA]])</f>
        <v>8</v>
      </c>
      <c r="D3063" s="81">
        <v>45883</v>
      </c>
      <c r="E3063" s="60" t="s">
        <v>115</v>
      </c>
      <c r="F3063" s="65">
        <v>6.84</v>
      </c>
    </row>
    <row r="3064" spans="2:6" hidden="1" x14ac:dyDescent="0.25">
      <c r="B3064" s="51">
        <f>YEAR(BDRIOSJ[[#This Row],[FECHA]])</f>
        <v>2025</v>
      </c>
      <c r="C3064" s="51">
        <f>MONTH(BDRIOSJ[[#This Row],[FECHA]])</f>
        <v>8</v>
      </c>
      <c r="D3064" s="81">
        <v>45884</v>
      </c>
      <c r="E3064" s="60" t="s">
        <v>111</v>
      </c>
      <c r="F3064" s="65">
        <v>6.84</v>
      </c>
    </row>
    <row r="3065" spans="2:6" hidden="1" x14ac:dyDescent="0.25">
      <c r="B3065" s="51">
        <f>YEAR(BDRIOSJ[[#This Row],[FECHA]])</f>
        <v>2025</v>
      </c>
      <c r="C3065" s="51">
        <f>MONTH(BDRIOSJ[[#This Row],[FECHA]])</f>
        <v>8</v>
      </c>
      <c r="D3065" s="81">
        <v>45884</v>
      </c>
      <c r="E3065" s="60" t="s">
        <v>113</v>
      </c>
      <c r="F3065" s="65">
        <v>6.84</v>
      </c>
    </row>
    <row r="3066" spans="2:6" hidden="1" x14ac:dyDescent="0.25">
      <c r="B3066" s="51">
        <f>YEAR(BDRIOSJ[[#This Row],[FECHA]])</f>
        <v>2025</v>
      </c>
      <c r="C3066" s="51">
        <f>MONTH(BDRIOSJ[[#This Row],[FECHA]])</f>
        <v>8</v>
      </c>
      <c r="D3066" s="81">
        <v>45884</v>
      </c>
      <c r="E3066" s="60" t="s">
        <v>114</v>
      </c>
      <c r="F3066" s="65">
        <v>6.84</v>
      </c>
    </row>
    <row r="3067" spans="2:6" hidden="1" x14ac:dyDescent="0.25">
      <c r="B3067" s="51">
        <f>YEAR(BDRIOSJ[[#This Row],[FECHA]])</f>
        <v>2025</v>
      </c>
      <c r="C3067" s="51">
        <f>MONTH(BDRIOSJ[[#This Row],[FECHA]])</f>
        <v>8</v>
      </c>
      <c r="D3067" s="81">
        <v>45884</v>
      </c>
      <c r="E3067" s="60" t="s">
        <v>115</v>
      </c>
      <c r="F3067" s="65">
        <v>6.84</v>
      </c>
    </row>
    <row r="3068" spans="2:6" hidden="1" x14ac:dyDescent="0.25">
      <c r="B3068" s="51">
        <f>YEAR(BDRIOSJ[[#This Row],[FECHA]])</f>
        <v>2025</v>
      </c>
      <c r="C3068" s="51">
        <f>MONTH(BDRIOSJ[[#This Row],[FECHA]])</f>
        <v>8</v>
      </c>
      <c r="D3068" s="81">
        <v>45885</v>
      </c>
      <c r="E3068" s="60" t="s">
        <v>111</v>
      </c>
      <c r="F3068" s="65">
        <v>6.84</v>
      </c>
    </row>
    <row r="3069" spans="2:6" hidden="1" x14ac:dyDescent="0.25">
      <c r="B3069" s="51">
        <f>YEAR(BDRIOSJ[[#This Row],[FECHA]])</f>
        <v>2025</v>
      </c>
      <c r="C3069" s="51">
        <f>MONTH(BDRIOSJ[[#This Row],[FECHA]])</f>
        <v>8</v>
      </c>
      <c r="D3069" s="81">
        <v>45885</v>
      </c>
      <c r="E3069" s="60" t="s">
        <v>113</v>
      </c>
      <c r="F3069" s="65">
        <v>6.84</v>
      </c>
    </row>
    <row r="3070" spans="2:6" hidden="1" x14ac:dyDescent="0.25">
      <c r="B3070" s="51">
        <f>YEAR(BDRIOSJ[[#This Row],[FECHA]])</f>
        <v>2025</v>
      </c>
      <c r="C3070" s="51">
        <f>MONTH(BDRIOSJ[[#This Row],[FECHA]])</f>
        <v>8</v>
      </c>
      <c r="D3070" s="81">
        <v>45885</v>
      </c>
      <c r="E3070" s="60" t="s">
        <v>114</v>
      </c>
      <c r="F3070" s="65">
        <v>6.84</v>
      </c>
    </row>
    <row r="3071" spans="2:6" hidden="1" x14ac:dyDescent="0.25">
      <c r="B3071" s="51">
        <f>YEAR(BDRIOSJ[[#This Row],[FECHA]])</f>
        <v>2025</v>
      </c>
      <c r="C3071" s="51">
        <f>MONTH(BDRIOSJ[[#This Row],[FECHA]])</f>
        <v>8</v>
      </c>
      <c r="D3071" s="81">
        <v>45885</v>
      </c>
      <c r="E3071" s="60" t="s">
        <v>115</v>
      </c>
      <c r="F3071" s="65">
        <v>6.84</v>
      </c>
    </row>
    <row r="3072" spans="2:6" hidden="1" x14ac:dyDescent="0.25">
      <c r="B3072" s="51">
        <f>YEAR(BDRIOSJ[[#This Row],[FECHA]])</f>
        <v>2025</v>
      </c>
      <c r="C3072" s="51">
        <f>MONTH(BDRIOSJ[[#This Row],[FECHA]])</f>
        <v>8</v>
      </c>
      <c r="D3072" s="81">
        <v>45886</v>
      </c>
      <c r="E3072" s="60" t="s">
        <v>111</v>
      </c>
      <c r="F3072" s="65">
        <v>6.84</v>
      </c>
    </row>
    <row r="3073" spans="2:6" hidden="1" x14ac:dyDescent="0.25">
      <c r="B3073" s="51">
        <f>YEAR(BDRIOSJ[[#This Row],[FECHA]])</f>
        <v>2025</v>
      </c>
      <c r="C3073" s="51">
        <f>MONTH(BDRIOSJ[[#This Row],[FECHA]])</f>
        <v>8</v>
      </c>
      <c r="D3073" s="81">
        <v>45886</v>
      </c>
      <c r="E3073" s="60" t="s">
        <v>113</v>
      </c>
      <c r="F3073" s="65">
        <v>6.84</v>
      </c>
    </row>
    <row r="3074" spans="2:6" hidden="1" x14ac:dyDescent="0.25">
      <c r="B3074" s="51">
        <f>YEAR(BDRIOSJ[[#This Row],[FECHA]])</f>
        <v>2025</v>
      </c>
      <c r="C3074" s="51">
        <f>MONTH(BDRIOSJ[[#This Row],[FECHA]])</f>
        <v>8</v>
      </c>
      <c r="D3074" s="81">
        <v>45886</v>
      </c>
      <c r="E3074" s="60" t="s">
        <v>114</v>
      </c>
      <c r="F3074" s="65">
        <v>6.84</v>
      </c>
    </row>
    <row r="3075" spans="2:6" hidden="1" x14ac:dyDescent="0.25">
      <c r="B3075" s="51">
        <f>YEAR(BDRIOSJ[[#This Row],[FECHA]])</f>
        <v>2025</v>
      </c>
      <c r="C3075" s="51">
        <f>MONTH(BDRIOSJ[[#This Row],[FECHA]])</f>
        <v>8</v>
      </c>
      <c r="D3075" s="81">
        <v>45886</v>
      </c>
      <c r="E3075" s="60" t="s">
        <v>115</v>
      </c>
      <c r="F3075" s="65">
        <v>6.84</v>
      </c>
    </row>
    <row r="3076" spans="2:6" hidden="1" x14ac:dyDescent="0.25">
      <c r="B3076" s="51">
        <f>YEAR(BDRIOSJ[[#This Row],[FECHA]])</f>
        <v>2025</v>
      </c>
      <c r="C3076" s="51">
        <f>MONTH(BDRIOSJ[[#This Row],[FECHA]])</f>
        <v>8</v>
      </c>
      <c r="D3076" s="81">
        <v>45887</v>
      </c>
      <c r="E3076" s="60" t="s">
        <v>111</v>
      </c>
      <c r="F3076" s="65">
        <v>6.84</v>
      </c>
    </row>
    <row r="3077" spans="2:6" hidden="1" x14ac:dyDescent="0.25">
      <c r="B3077" s="51">
        <f>YEAR(BDRIOSJ[[#This Row],[FECHA]])</f>
        <v>2025</v>
      </c>
      <c r="C3077" s="51">
        <f>MONTH(BDRIOSJ[[#This Row],[FECHA]])</f>
        <v>8</v>
      </c>
      <c r="D3077" s="81">
        <v>45887</v>
      </c>
      <c r="E3077" s="60" t="s">
        <v>113</v>
      </c>
      <c r="F3077" s="65">
        <v>6.8</v>
      </c>
    </row>
    <row r="3078" spans="2:6" hidden="1" x14ac:dyDescent="0.25">
      <c r="B3078" s="51">
        <f>YEAR(BDRIOSJ[[#This Row],[FECHA]])</f>
        <v>2025</v>
      </c>
      <c r="C3078" s="51">
        <f>MONTH(BDRIOSJ[[#This Row],[FECHA]])</f>
        <v>8</v>
      </c>
      <c r="D3078" s="81">
        <v>45887</v>
      </c>
      <c r="E3078" s="60" t="s">
        <v>114</v>
      </c>
      <c r="F3078" s="65">
        <v>6.8</v>
      </c>
    </row>
    <row r="3079" spans="2:6" hidden="1" x14ac:dyDescent="0.25">
      <c r="B3079" s="51">
        <f>YEAR(BDRIOSJ[[#This Row],[FECHA]])</f>
        <v>2025</v>
      </c>
      <c r="C3079" s="51">
        <f>MONTH(BDRIOSJ[[#This Row],[FECHA]])</f>
        <v>8</v>
      </c>
      <c r="D3079" s="81">
        <v>45887</v>
      </c>
      <c r="E3079" s="60" t="s">
        <v>115</v>
      </c>
      <c r="F3079" s="65">
        <v>6.8</v>
      </c>
    </row>
    <row r="3080" spans="2:6" hidden="1" x14ac:dyDescent="0.25">
      <c r="B3080" s="51">
        <f>YEAR(BDRIOSJ[[#This Row],[FECHA]])</f>
        <v>2025</v>
      </c>
      <c r="C3080" s="51">
        <f>MONTH(BDRIOSJ[[#This Row],[FECHA]])</f>
        <v>8</v>
      </c>
      <c r="D3080" s="81">
        <v>45888</v>
      </c>
      <c r="E3080" s="60" t="s">
        <v>111</v>
      </c>
      <c r="F3080" s="65">
        <v>6.8</v>
      </c>
    </row>
    <row r="3081" spans="2:6" hidden="1" x14ac:dyDescent="0.25">
      <c r="B3081" s="51">
        <f>YEAR(BDRIOSJ[[#This Row],[FECHA]])</f>
        <v>2025</v>
      </c>
      <c r="C3081" s="51">
        <f>MONTH(BDRIOSJ[[#This Row],[FECHA]])</f>
        <v>8</v>
      </c>
      <c r="D3081" s="81">
        <v>45888</v>
      </c>
      <c r="E3081" s="60" t="s">
        <v>113</v>
      </c>
      <c r="F3081" s="65">
        <v>6.8</v>
      </c>
    </row>
    <row r="3082" spans="2:6" hidden="1" x14ac:dyDescent="0.25">
      <c r="B3082" s="51">
        <f>YEAR(BDRIOSJ[[#This Row],[FECHA]])</f>
        <v>2025</v>
      </c>
      <c r="C3082" s="51">
        <f>MONTH(BDRIOSJ[[#This Row],[FECHA]])</f>
        <v>8</v>
      </c>
      <c r="D3082" s="81">
        <v>45888</v>
      </c>
      <c r="E3082" s="60" t="s">
        <v>114</v>
      </c>
      <c r="F3082" s="65">
        <v>6.8</v>
      </c>
    </row>
    <row r="3083" spans="2:6" hidden="1" x14ac:dyDescent="0.25">
      <c r="B3083" s="51">
        <f>YEAR(BDRIOSJ[[#This Row],[FECHA]])</f>
        <v>2025</v>
      </c>
      <c r="C3083" s="51">
        <f>MONTH(BDRIOSJ[[#This Row],[FECHA]])</f>
        <v>8</v>
      </c>
      <c r="D3083" s="81">
        <v>45888</v>
      </c>
      <c r="E3083" s="60" t="s">
        <v>115</v>
      </c>
      <c r="F3083" s="65">
        <v>6.8</v>
      </c>
    </row>
    <row r="3084" spans="2:6" hidden="1" x14ac:dyDescent="0.25">
      <c r="B3084" s="51">
        <f>YEAR(BDRIOSJ[[#This Row],[FECHA]])</f>
        <v>2025</v>
      </c>
      <c r="C3084" s="51">
        <f>MONTH(BDRIOSJ[[#This Row],[FECHA]])</f>
        <v>8</v>
      </c>
      <c r="D3084" s="81">
        <v>45889</v>
      </c>
      <c r="E3084" s="60" t="s">
        <v>111</v>
      </c>
      <c r="F3084" s="65">
        <v>6.8</v>
      </c>
    </row>
    <row r="3085" spans="2:6" hidden="1" x14ac:dyDescent="0.25">
      <c r="B3085" s="51">
        <f>YEAR(BDRIOSJ[[#This Row],[FECHA]])</f>
        <v>2025</v>
      </c>
      <c r="C3085" s="51">
        <f>MONTH(BDRIOSJ[[#This Row],[FECHA]])</f>
        <v>8</v>
      </c>
      <c r="D3085" s="81">
        <v>45889</v>
      </c>
      <c r="E3085" s="60" t="s">
        <v>113</v>
      </c>
      <c r="F3085" s="65">
        <v>6.8</v>
      </c>
    </row>
    <row r="3086" spans="2:6" hidden="1" x14ac:dyDescent="0.25">
      <c r="B3086" s="51">
        <f>YEAR(BDRIOSJ[[#This Row],[FECHA]])</f>
        <v>2025</v>
      </c>
      <c r="C3086" s="51">
        <f>MONTH(BDRIOSJ[[#This Row],[FECHA]])</f>
        <v>8</v>
      </c>
      <c r="D3086" s="81">
        <v>45889</v>
      </c>
      <c r="E3086" s="60" t="s">
        <v>114</v>
      </c>
      <c r="F3086" s="65">
        <v>6.8</v>
      </c>
    </row>
    <row r="3087" spans="2:6" hidden="1" x14ac:dyDescent="0.25">
      <c r="B3087" s="51">
        <f>YEAR(BDRIOSJ[[#This Row],[FECHA]])</f>
        <v>2025</v>
      </c>
      <c r="C3087" s="51">
        <f>MONTH(BDRIOSJ[[#This Row],[FECHA]])</f>
        <v>8</v>
      </c>
      <c r="D3087" s="81">
        <v>45889</v>
      </c>
      <c r="E3087" s="60" t="s">
        <v>115</v>
      </c>
      <c r="F3087" s="65">
        <v>6.8</v>
      </c>
    </row>
    <row r="3088" spans="2:6" hidden="1" x14ac:dyDescent="0.25">
      <c r="B3088" s="51">
        <f>YEAR(BDRIOSJ[[#This Row],[FECHA]])</f>
        <v>2025</v>
      </c>
      <c r="C3088" s="51">
        <f>MONTH(BDRIOSJ[[#This Row],[FECHA]])</f>
        <v>8</v>
      </c>
      <c r="D3088" s="81">
        <v>45890</v>
      </c>
      <c r="E3088" s="60" t="s">
        <v>111</v>
      </c>
      <c r="F3088" s="65">
        <v>6.8</v>
      </c>
    </row>
    <row r="3089" spans="2:6" hidden="1" x14ac:dyDescent="0.25">
      <c r="B3089" s="51">
        <f>YEAR(BDRIOSJ[[#This Row],[FECHA]])</f>
        <v>2025</v>
      </c>
      <c r="C3089" s="51">
        <f>MONTH(BDRIOSJ[[#This Row],[FECHA]])</f>
        <v>8</v>
      </c>
      <c r="D3089" s="81">
        <v>45890</v>
      </c>
      <c r="E3089" s="60" t="s">
        <v>113</v>
      </c>
      <c r="F3089" s="65">
        <v>6.8</v>
      </c>
    </row>
    <row r="3090" spans="2:6" hidden="1" x14ac:dyDescent="0.25">
      <c r="B3090" s="51">
        <f>YEAR(BDRIOSJ[[#This Row],[FECHA]])</f>
        <v>2025</v>
      </c>
      <c r="C3090" s="51">
        <f>MONTH(BDRIOSJ[[#This Row],[FECHA]])</f>
        <v>8</v>
      </c>
      <c r="D3090" s="81">
        <v>45890</v>
      </c>
      <c r="E3090" s="60" t="s">
        <v>114</v>
      </c>
      <c r="F3090" s="65">
        <v>6.8</v>
      </c>
    </row>
    <row r="3091" spans="2:6" hidden="1" x14ac:dyDescent="0.25">
      <c r="B3091" s="51">
        <f>YEAR(BDRIOSJ[[#This Row],[FECHA]])</f>
        <v>2025</v>
      </c>
      <c r="C3091" s="51">
        <f>MONTH(BDRIOSJ[[#This Row],[FECHA]])</f>
        <v>8</v>
      </c>
      <c r="D3091" s="81">
        <v>45890</v>
      </c>
      <c r="E3091" s="60" t="s">
        <v>115</v>
      </c>
      <c r="F3091" s="65">
        <v>6.8</v>
      </c>
    </row>
    <row r="3092" spans="2:6" hidden="1" x14ac:dyDescent="0.25">
      <c r="B3092" s="51">
        <f>YEAR(BDRIOSJ[[#This Row],[FECHA]])</f>
        <v>2025</v>
      </c>
      <c r="C3092" s="51">
        <f>MONTH(BDRIOSJ[[#This Row],[FECHA]])</f>
        <v>8</v>
      </c>
      <c r="D3092" s="81">
        <v>45891</v>
      </c>
      <c r="E3092" s="60" t="s">
        <v>111</v>
      </c>
      <c r="F3092" s="65">
        <v>6.8</v>
      </c>
    </row>
    <row r="3093" spans="2:6" hidden="1" x14ac:dyDescent="0.25">
      <c r="B3093" s="51">
        <f>YEAR(BDRIOSJ[[#This Row],[FECHA]])</f>
        <v>2025</v>
      </c>
      <c r="C3093" s="51">
        <f>MONTH(BDRIOSJ[[#This Row],[FECHA]])</f>
        <v>8</v>
      </c>
      <c r="D3093" s="81">
        <v>45891</v>
      </c>
      <c r="E3093" s="60" t="s">
        <v>113</v>
      </c>
      <c r="F3093" s="65">
        <v>10.57</v>
      </c>
    </row>
    <row r="3094" spans="2:6" hidden="1" x14ac:dyDescent="0.25">
      <c r="B3094" s="51">
        <f>YEAR(BDRIOSJ[[#This Row],[FECHA]])</f>
        <v>2025</v>
      </c>
      <c r="C3094" s="51">
        <f>MONTH(BDRIOSJ[[#This Row],[FECHA]])</f>
        <v>8</v>
      </c>
      <c r="D3094" s="81">
        <v>45891</v>
      </c>
      <c r="E3094" s="60" t="s">
        <v>114</v>
      </c>
      <c r="F3094" s="65">
        <v>10.57</v>
      </c>
    </row>
    <row r="3095" spans="2:6" hidden="1" x14ac:dyDescent="0.25">
      <c r="B3095" s="51">
        <f>YEAR(BDRIOSJ[[#This Row],[FECHA]])</f>
        <v>2025</v>
      </c>
      <c r="C3095" s="51">
        <f>MONTH(BDRIOSJ[[#This Row],[FECHA]])</f>
        <v>8</v>
      </c>
      <c r="D3095" s="81">
        <v>45891</v>
      </c>
      <c r="E3095" s="60" t="s">
        <v>115</v>
      </c>
      <c r="F3095" s="65">
        <v>10.57</v>
      </c>
    </row>
    <row r="3096" spans="2:6" hidden="1" x14ac:dyDescent="0.25">
      <c r="B3096" s="51">
        <f>YEAR(BDRIOSJ[[#This Row],[FECHA]])</f>
        <v>2025</v>
      </c>
      <c r="C3096" s="51">
        <f>MONTH(BDRIOSJ[[#This Row],[FECHA]])</f>
        <v>8</v>
      </c>
      <c r="D3096" s="81">
        <v>45892</v>
      </c>
      <c r="E3096" s="60" t="s">
        <v>111</v>
      </c>
      <c r="F3096" s="65">
        <v>10.57</v>
      </c>
    </row>
    <row r="3097" spans="2:6" hidden="1" x14ac:dyDescent="0.25">
      <c r="B3097" s="51">
        <f>YEAR(BDRIOSJ[[#This Row],[FECHA]])</f>
        <v>2025</v>
      </c>
      <c r="C3097" s="51">
        <f>MONTH(BDRIOSJ[[#This Row],[FECHA]])</f>
        <v>8</v>
      </c>
      <c r="D3097" s="81">
        <v>45892</v>
      </c>
      <c r="E3097" s="60" t="s">
        <v>113</v>
      </c>
      <c r="F3097" s="65">
        <v>10.57</v>
      </c>
    </row>
    <row r="3098" spans="2:6" hidden="1" x14ac:dyDescent="0.25">
      <c r="B3098" s="51">
        <f>YEAR(BDRIOSJ[[#This Row],[FECHA]])</f>
        <v>2025</v>
      </c>
      <c r="C3098" s="51">
        <f>MONTH(BDRIOSJ[[#This Row],[FECHA]])</f>
        <v>8</v>
      </c>
      <c r="D3098" s="81">
        <v>45892</v>
      </c>
      <c r="E3098" s="60" t="s">
        <v>114</v>
      </c>
      <c r="F3098" s="65">
        <v>10.57</v>
      </c>
    </row>
    <row r="3099" spans="2:6" hidden="1" x14ac:dyDescent="0.25">
      <c r="B3099" s="51">
        <f>YEAR(BDRIOSJ[[#This Row],[FECHA]])</f>
        <v>2025</v>
      </c>
      <c r="C3099" s="51">
        <f>MONTH(BDRIOSJ[[#This Row],[FECHA]])</f>
        <v>8</v>
      </c>
      <c r="D3099" s="81">
        <v>45892</v>
      </c>
      <c r="E3099" s="60" t="s">
        <v>115</v>
      </c>
      <c r="F3099" s="65">
        <v>10.57</v>
      </c>
    </row>
    <row r="3100" spans="2:6" hidden="1" x14ac:dyDescent="0.25">
      <c r="B3100" s="51">
        <f>YEAR(BDRIOSJ[[#This Row],[FECHA]])</f>
        <v>2025</v>
      </c>
      <c r="C3100" s="51">
        <f>MONTH(BDRIOSJ[[#This Row],[FECHA]])</f>
        <v>8</v>
      </c>
      <c r="D3100" s="81">
        <v>45893</v>
      </c>
      <c r="E3100" s="60" t="s">
        <v>111</v>
      </c>
      <c r="F3100" s="65">
        <v>10.57</v>
      </c>
    </row>
    <row r="3101" spans="2:6" hidden="1" x14ac:dyDescent="0.25">
      <c r="B3101" s="51">
        <f>YEAR(BDRIOSJ[[#This Row],[FECHA]])</f>
        <v>2025</v>
      </c>
      <c r="C3101" s="51">
        <f>MONTH(BDRIOSJ[[#This Row],[FECHA]])</f>
        <v>8</v>
      </c>
      <c r="D3101" s="81">
        <v>45893</v>
      </c>
      <c r="E3101" s="60" t="s">
        <v>113</v>
      </c>
      <c r="F3101" s="65">
        <v>10.57</v>
      </c>
    </row>
    <row r="3102" spans="2:6" hidden="1" x14ac:dyDescent="0.25">
      <c r="B3102" s="51">
        <f>YEAR(BDRIOSJ[[#This Row],[FECHA]])</f>
        <v>2025</v>
      </c>
      <c r="C3102" s="51">
        <f>MONTH(BDRIOSJ[[#This Row],[FECHA]])</f>
        <v>8</v>
      </c>
      <c r="D3102" s="81">
        <v>45893</v>
      </c>
      <c r="E3102" s="60" t="s">
        <v>114</v>
      </c>
      <c r="F3102" s="65">
        <v>10.57</v>
      </c>
    </row>
    <row r="3103" spans="2:6" hidden="1" x14ac:dyDescent="0.25">
      <c r="B3103" s="51">
        <f>YEAR(BDRIOSJ[[#This Row],[FECHA]])</f>
        <v>2025</v>
      </c>
      <c r="C3103" s="51">
        <f>MONTH(BDRIOSJ[[#This Row],[FECHA]])</f>
        <v>8</v>
      </c>
      <c r="D3103" s="81">
        <v>45893</v>
      </c>
      <c r="E3103" s="60" t="s">
        <v>115</v>
      </c>
      <c r="F3103" s="65">
        <v>10.57</v>
      </c>
    </row>
    <row r="3104" spans="2:6" hidden="1" x14ac:dyDescent="0.25">
      <c r="B3104" s="51">
        <f>YEAR(BDRIOSJ[[#This Row],[FECHA]])</f>
        <v>2025</v>
      </c>
      <c r="C3104" s="51">
        <f>MONTH(BDRIOSJ[[#This Row],[FECHA]])</f>
        <v>8</v>
      </c>
      <c r="D3104" s="81">
        <v>45894</v>
      </c>
      <c r="E3104" s="60" t="s">
        <v>111</v>
      </c>
      <c r="F3104" s="65">
        <v>10.57</v>
      </c>
    </row>
    <row r="3105" spans="2:6" hidden="1" x14ac:dyDescent="0.25">
      <c r="B3105" s="51">
        <f>YEAR(BDRIOSJ[[#This Row],[FECHA]])</f>
        <v>2025</v>
      </c>
      <c r="C3105" s="51">
        <f>MONTH(BDRIOSJ[[#This Row],[FECHA]])</f>
        <v>8</v>
      </c>
      <c r="D3105" s="81">
        <v>45894</v>
      </c>
      <c r="E3105" s="60" t="s">
        <v>113</v>
      </c>
      <c r="F3105" s="65">
        <v>10.57</v>
      </c>
    </row>
    <row r="3106" spans="2:6" hidden="1" x14ac:dyDescent="0.25">
      <c r="B3106" s="51">
        <f>YEAR(BDRIOSJ[[#This Row],[FECHA]])</f>
        <v>2025</v>
      </c>
      <c r="C3106" s="51">
        <f>MONTH(BDRIOSJ[[#This Row],[FECHA]])</f>
        <v>8</v>
      </c>
      <c r="D3106" s="81">
        <v>45894</v>
      </c>
      <c r="E3106" s="60" t="s">
        <v>114</v>
      </c>
      <c r="F3106" s="65">
        <v>10.57</v>
      </c>
    </row>
    <row r="3107" spans="2:6" hidden="1" x14ac:dyDescent="0.25">
      <c r="B3107" s="51">
        <f>YEAR(BDRIOSJ[[#This Row],[FECHA]])</f>
        <v>2025</v>
      </c>
      <c r="C3107" s="51">
        <f>MONTH(BDRIOSJ[[#This Row],[FECHA]])</f>
        <v>8</v>
      </c>
      <c r="D3107" s="81">
        <v>45894</v>
      </c>
      <c r="E3107" s="60" t="s">
        <v>115</v>
      </c>
      <c r="F3107" s="65">
        <v>10.57</v>
      </c>
    </row>
    <row r="3108" spans="2:6" hidden="1" x14ac:dyDescent="0.25">
      <c r="B3108" s="51">
        <f>YEAR(BDRIOSJ[[#This Row],[FECHA]])</f>
        <v>2025</v>
      </c>
      <c r="C3108" s="51">
        <f>MONTH(BDRIOSJ[[#This Row],[FECHA]])</f>
        <v>8</v>
      </c>
      <c r="D3108" s="81">
        <v>45895</v>
      </c>
      <c r="E3108" s="60" t="s">
        <v>111</v>
      </c>
      <c r="F3108" s="65">
        <v>10.57</v>
      </c>
    </row>
    <row r="3109" spans="2:6" hidden="1" x14ac:dyDescent="0.25">
      <c r="B3109" s="51">
        <f>YEAR(BDRIOSJ[[#This Row],[FECHA]])</f>
        <v>2025</v>
      </c>
      <c r="C3109" s="51">
        <f>MONTH(BDRIOSJ[[#This Row],[FECHA]])</f>
        <v>8</v>
      </c>
      <c r="D3109" s="81">
        <v>45895</v>
      </c>
      <c r="E3109" s="60" t="s">
        <v>113</v>
      </c>
      <c r="F3109" s="65">
        <v>10.57</v>
      </c>
    </row>
    <row r="3110" spans="2:6" hidden="1" x14ac:dyDescent="0.25">
      <c r="B3110" s="51">
        <f>YEAR(BDRIOSJ[[#This Row],[FECHA]])</f>
        <v>2025</v>
      </c>
      <c r="C3110" s="51">
        <f>MONTH(BDRIOSJ[[#This Row],[FECHA]])</f>
        <v>8</v>
      </c>
      <c r="D3110" s="81">
        <v>45895</v>
      </c>
      <c r="E3110" s="60" t="s">
        <v>114</v>
      </c>
      <c r="F3110" s="65">
        <v>10.57</v>
      </c>
    </row>
    <row r="3111" spans="2:6" hidden="1" x14ac:dyDescent="0.25">
      <c r="B3111" s="51">
        <f>YEAR(BDRIOSJ[[#This Row],[FECHA]])</f>
        <v>2025</v>
      </c>
      <c r="C3111" s="51">
        <f>MONTH(BDRIOSJ[[#This Row],[FECHA]])</f>
        <v>8</v>
      </c>
      <c r="D3111" s="81">
        <v>45895</v>
      </c>
      <c r="E3111" s="60" t="s">
        <v>115</v>
      </c>
      <c r="F3111" s="65">
        <v>10.57</v>
      </c>
    </row>
    <row r="3112" spans="2:6" hidden="1" x14ac:dyDescent="0.25">
      <c r="B3112" s="51">
        <f>YEAR(BDRIOSJ[[#This Row],[FECHA]])</f>
        <v>2025</v>
      </c>
      <c r="C3112" s="51">
        <f>MONTH(BDRIOSJ[[#This Row],[FECHA]])</f>
        <v>8</v>
      </c>
      <c r="D3112" s="81">
        <v>45896</v>
      </c>
      <c r="E3112" s="60" t="s">
        <v>111</v>
      </c>
      <c r="F3112" s="65">
        <v>10.57</v>
      </c>
    </row>
    <row r="3113" spans="2:6" hidden="1" x14ac:dyDescent="0.25">
      <c r="B3113" s="51">
        <f>YEAR(BDRIOSJ[[#This Row],[FECHA]])</f>
        <v>2025</v>
      </c>
      <c r="C3113" s="51">
        <f>MONTH(BDRIOSJ[[#This Row],[FECHA]])</f>
        <v>8</v>
      </c>
      <c r="D3113" s="81">
        <v>45896</v>
      </c>
      <c r="E3113" s="60" t="s">
        <v>113</v>
      </c>
      <c r="F3113" s="65">
        <v>10.57</v>
      </c>
    </row>
    <row r="3114" spans="2:6" hidden="1" x14ac:dyDescent="0.25">
      <c r="B3114" s="51">
        <f>YEAR(BDRIOSJ[[#This Row],[FECHA]])</f>
        <v>2025</v>
      </c>
      <c r="C3114" s="51">
        <f>MONTH(BDRIOSJ[[#This Row],[FECHA]])</f>
        <v>8</v>
      </c>
      <c r="D3114" s="81">
        <v>45896</v>
      </c>
      <c r="E3114" s="60" t="s">
        <v>114</v>
      </c>
      <c r="F3114" s="65">
        <v>10.57</v>
      </c>
    </row>
    <row r="3115" spans="2:6" hidden="1" x14ac:dyDescent="0.25">
      <c r="B3115" s="51">
        <f>YEAR(BDRIOSJ[[#This Row],[FECHA]])</f>
        <v>2025</v>
      </c>
      <c r="C3115" s="51">
        <f>MONTH(BDRIOSJ[[#This Row],[FECHA]])</f>
        <v>8</v>
      </c>
      <c r="D3115" s="81">
        <v>45896</v>
      </c>
      <c r="E3115" s="60" t="s">
        <v>115</v>
      </c>
      <c r="F3115" s="65">
        <v>10.57</v>
      </c>
    </row>
    <row r="3116" spans="2:6" hidden="1" x14ac:dyDescent="0.25">
      <c r="B3116" s="51">
        <f>YEAR(BDRIOSJ[[#This Row],[FECHA]])</f>
        <v>2025</v>
      </c>
      <c r="C3116" s="51">
        <f>MONTH(BDRIOSJ[[#This Row],[FECHA]])</f>
        <v>8</v>
      </c>
      <c r="D3116" s="81">
        <v>45897</v>
      </c>
      <c r="E3116" s="60" t="s">
        <v>111</v>
      </c>
      <c r="F3116" s="65">
        <v>10.57</v>
      </c>
    </row>
    <row r="3117" spans="2:6" hidden="1" x14ac:dyDescent="0.25">
      <c r="B3117" s="51">
        <f>YEAR(BDRIOSJ[[#This Row],[FECHA]])</f>
        <v>2025</v>
      </c>
      <c r="C3117" s="51">
        <f>MONTH(BDRIOSJ[[#This Row],[FECHA]])</f>
        <v>8</v>
      </c>
      <c r="D3117" s="81">
        <v>45897</v>
      </c>
      <c r="E3117" s="60" t="s">
        <v>113</v>
      </c>
      <c r="F3117" s="65">
        <v>10.57</v>
      </c>
    </row>
    <row r="3118" spans="2:6" hidden="1" x14ac:dyDescent="0.25">
      <c r="B3118" s="51">
        <f>YEAR(BDRIOSJ[[#This Row],[FECHA]])</f>
        <v>2025</v>
      </c>
      <c r="C3118" s="51">
        <f>MONTH(BDRIOSJ[[#This Row],[FECHA]])</f>
        <v>8</v>
      </c>
      <c r="D3118" s="81">
        <v>45897</v>
      </c>
      <c r="E3118" s="60" t="s">
        <v>114</v>
      </c>
      <c r="F3118" s="65">
        <v>10.57</v>
      </c>
    </row>
    <row r="3119" spans="2:6" hidden="1" x14ac:dyDescent="0.25">
      <c r="B3119" s="51">
        <f>YEAR(BDRIOSJ[[#This Row],[FECHA]])</f>
        <v>2025</v>
      </c>
      <c r="C3119" s="51">
        <f>MONTH(BDRIOSJ[[#This Row],[FECHA]])</f>
        <v>8</v>
      </c>
      <c r="D3119" s="81">
        <v>45897</v>
      </c>
      <c r="E3119" s="60" t="s">
        <v>115</v>
      </c>
      <c r="F3119" s="65">
        <v>10.57</v>
      </c>
    </row>
    <row r="3120" spans="2:6" hidden="1" x14ac:dyDescent="0.25">
      <c r="B3120" s="51">
        <f>YEAR(BDRIOSJ[[#This Row],[FECHA]])</f>
        <v>2025</v>
      </c>
      <c r="C3120" s="51">
        <f>MONTH(BDRIOSJ[[#This Row],[FECHA]])</f>
        <v>8</v>
      </c>
      <c r="D3120" s="81">
        <v>45898</v>
      </c>
      <c r="E3120" s="60" t="s">
        <v>111</v>
      </c>
      <c r="F3120" s="65">
        <v>10.57</v>
      </c>
    </row>
    <row r="3121" spans="2:6" hidden="1" x14ac:dyDescent="0.25">
      <c r="B3121" s="51">
        <f>YEAR(BDRIOSJ[[#This Row],[FECHA]])</f>
        <v>2025</v>
      </c>
      <c r="C3121" s="51">
        <f>MONTH(BDRIOSJ[[#This Row],[FECHA]])</f>
        <v>8</v>
      </c>
      <c r="D3121" s="81">
        <v>45898</v>
      </c>
      <c r="E3121" s="60" t="s">
        <v>113</v>
      </c>
      <c r="F3121" s="65">
        <v>10.57</v>
      </c>
    </row>
    <row r="3122" spans="2:6" hidden="1" x14ac:dyDescent="0.25">
      <c r="B3122" s="51">
        <f>YEAR(BDRIOSJ[[#This Row],[FECHA]])</f>
        <v>2025</v>
      </c>
      <c r="C3122" s="51">
        <f>MONTH(BDRIOSJ[[#This Row],[FECHA]])</f>
        <v>8</v>
      </c>
      <c r="D3122" s="81">
        <v>45898</v>
      </c>
      <c r="E3122" s="60" t="s">
        <v>114</v>
      </c>
      <c r="F3122" s="65">
        <v>10.57</v>
      </c>
    </row>
    <row r="3123" spans="2:6" hidden="1" x14ac:dyDescent="0.25">
      <c r="B3123" s="51">
        <f>YEAR(BDRIOSJ[[#This Row],[FECHA]])</f>
        <v>2025</v>
      </c>
      <c r="C3123" s="51">
        <f>MONTH(BDRIOSJ[[#This Row],[FECHA]])</f>
        <v>8</v>
      </c>
      <c r="D3123" s="81">
        <v>45898</v>
      </c>
      <c r="E3123" s="60" t="s">
        <v>115</v>
      </c>
      <c r="F3123" s="65">
        <v>10.57</v>
      </c>
    </row>
    <row r="3124" spans="2:6" hidden="1" x14ac:dyDescent="0.25">
      <c r="B3124" s="51">
        <f>YEAR(BDRIOSJ[[#This Row],[FECHA]])</f>
        <v>2025</v>
      </c>
      <c r="C3124" s="51">
        <f>MONTH(BDRIOSJ[[#This Row],[FECHA]])</f>
        <v>8</v>
      </c>
      <c r="D3124" s="81">
        <v>45899</v>
      </c>
      <c r="E3124" s="60" t="s">
        <v>111</v>
      </c>
      <c r="F3124" s="65">
        <v>10.57</v>
      </c>
    </row>
    <row r="3125" spans="2:6" hidden="1" x14ac:dyDescent="0.25">
      <c r="B3125" s="51">
        <f>YEAR(BDRIOSJ[[#This Row],[FECHA]])</f>
        <v>2025</v>
      </c>
      <c r="C3125" s="51">
        <f>MONTH(BDRIOSJ[[#This Row],[FECHA]])</f>
        <v>8</v>
      </c>
      <c r="D3125" s="81">
        <v>45899</v>
      </c>
      <c r="E3125" s="60" t="s">
        <v>113</v>
      </c>
      <c r="F3125" s="65">
        <v>19.3</v>
      </c>
    </row>
    <row r="3126" spans="2:6" hidden="1" x14ac:dyDescent="0.25">
      <c r="B3126" s="51">
        <f>YEAR(BDRIOSJ[[#This Row],[FECHA]])</f>
        <v>2025</v>
      </c>
      <c r="C3126" s="51">
        <f>MONTH(BDRIOSJ[[#This Row],[FECHA]])</f>
        <v>8</v>
      </c>
      <c r="D3126" s="81">
        <v>45899</v>
      </c>
      <c r="E3126" s="60" t="s">
        <v>114</v>
      </c>
      <c r="F3126" s="65">
        <v>17.489999999999998</v>
      </c>
    </row>
    <row r="3127" spans="2:6" hidden="1" x14ac:dyDescent="0.25">
      <c r="B3127" s="51">
        <f>YEAR(BDRIOSJ[[#This Row],[FECHA]])</f>
        <v>2025</v>
      </c>
      <c r="C3127" s="51">
        <f>MONTH(BDRIOSJ[[#This Row],[FECHA]])</f>
        <v>8</v>
      </c>
      <c r="D3127" s="81">
        <v>45899</v>
      </c>
      <c r="E3127" s="60" t="s">
        <v>115</v>
      </c>
      <c r="F3127" s="65">
        <v>17.489999999999998</v>
      </c>
    </row>
    <row r="3128" spans="2:6" hidden="1" x14ac:dyDescent="0.25">
      <c r="B3128" s="51">
        <f>YEAR(BDRIOSJ[[#This Row],[FECHA]])</f>
        <v>2025</v>
      </c>
      <c r="C3128" s="51">
        <f>MONTH(BDRIOSJ[[#This Row],[FECHA]])</f>
        <v>8</v>
      </c>
      <c r="D3128" s="81">
        <v>45900</v>
      </c>
      <c r="E3128" s="60" t="s">
        <v>111</v>
      </c>
      <c r="F3128" s="65">
        <v>17.489999999999998</v>
      </c>
    </row>
    <row r="3129" spans="2:6" hidden="1" x14ac:dyDescent="0.25">
      <c r="B3129" s="51">
        <f>YEAR(BDRIOSJ[[#This Row],[FECHA]])</f>
        <v>2025</v>
      </c>
      <c r="C3129" s="51">
        <f>MONTH(BDRIOSJ[[#This Row],[FECHA]])</f>
        <v>8</v>
      </c>
      <c r="D3129" s="81">
        <v>45900</v>
      </c>
      <c r="E3129" s="60" t="s">
        <v>113</v>
      </c>
      <c r="F3129" s="65">
        <v>17.489999999999998</v>
      </c>
    </row>
    <row r="3130" spans="2:6" hidden="1" x14ac:dyDescent="0.25">
      <c r="B3130" s="51">
        <f>YEAR(BDRIOSJ[[#This Row],[FECHA]])</f>
        <v>2025</v>
      </c>
      <c r="C3130" s="51">
        <f>MONTH(BDRIOSJ[[#This Row],[FECHA]])</f>
        <v>8</v>
      </c>
      <c r="D3130" s="81">
        <v>45900</v>
      </c>
      <c r="E3130" s="60" t="s">
        <v>114</v>
      </c>
      <c r="F3130" s="65">
        <v>17.489999999999998</v>
      </c>
    </row>
    <row r="3131" spans="2:6" hidden="1" x14ac:dyDescent="0.25">
      <c r="B3131" s="51">
        <f>YEAR(BDRIOSJ[[#This Row],[FECHA]])</f>
        <v>2025</v>
      </c>
      <c r="C3131" s="51">
        <f>MONTH(BDRIOSJ[[#This Row],[FECHA]])</f>
        <v>8</v>
      </c>
      <c r="D3131" s="81">
        <v>45900</v>
      </c>
      <c r="E3131" s="60" t="s">
        <v>115</v>
      </c>
      <c r="F3131" s="65">
        <v>17.489999999999998</v>
      </c>
    </row>
    <row r="3132" spans="2:6" hidden="1" x14ac:dyDescent="0.25">
      <c r="B3132" s="52">
        <f>YEAR(BDRIOSJ[[#This Row],[FECHA]])</f>
        <v>2025</v>
      </c>
      <c r="C3132" s="52">
        <f>MONTH(BDRIOSJ[[#This Row],[FECHA]])</f>
        <v>9</v>
      </c>
      <c r="D3132" s="81">
        <v>45901</v>
      </c>
      <c r="E3132" s="60" t="s">
        <v>111</v>
      </c>
      <c r="F3132" s="65">
        <v>17.489999999999998</v>
      </c>
    </row>
    <row r="3133" spans="2:6" hidden="1" x14ac:dyDescent="0.25">
      <c r="B3133" s="51">
        <f>YEAR(BDRIOSJ[[#This Row],[FECHA]])</f>
        <v>2025</v>
      </c>
      <c r="C3133" s="51">
        <f>MONTH(BDRIOSJ[[#This Row],[FECHA]])</f>
        <v>9</v>
      </c>
      <c r="D3133" s="81">
        <v>45901</v>
      </c>
      <c r="E3133" s="60" t="s">
        <v>113</v>
      </c>
      <c r="F3133" s="65">
        <v>17.489999999999998</v>
      </c>
    </row>
    <row r="3134" spans="2:6" hidden="1" x14ac:dyDescent="0.25">
      <c r="B3134" s="51">
        <f>YEAR(BDRIOSJ[[#This Row],[FECHA]])</f>
        <v>2025</v>
      </c>
      <c r="C3134" s="51">
        <f>MONTH(BDRIOSJ[[#This Row],[FECHA]])</f>
        <v>9</v>
      </c>
      <c r="D3134" s="81">
        <v>45901</v>
      </c>
      <c r="E3134" s="60" t="s">
        <v>114</v>
      </c>
      <c r="F3134" s="65">
        <v>17.489999999999998</v>
      </c>
    </row>
    <row r="3135" spans="2:6" hidden="1" x14ac:dyDescent="0.25">
      <c r="B3135" s="51">
        <f>YEAR(BDRIOSJ[[#This Row],[FECHA]])</f>
        <v>2025</v>
      </c>
      <c r="C3135" s="51">
        <f>MONTH(BDRIOSJ[[#This Row],[FECHA]])</f>
        <v>9</v>
      </c>
      <c r="D3135" s="81">
        <v>45901</v>
      </c>
      <c r="E3135" s="60" t="s">
        <v>115</v>
      </c>
      <c r="F3135" s="65">
        <v>17.489999999999998</v>
      </c>
    </row>
    <row r="3136" spans="2:6" hidden="1" x14ac:dyDescent="0.25">
      <c r="B3136" s="52">
        <f>YEAR(BDRIOSJ[[#This Row],[FECHA]])</f>
        <v>2025</v>
      </c>
      <c r="C3136" s="52">
        <f>MONTH(BDRIOSJ[[#This Row],[FECHA]])</f>
        <v>9</v>
      </c>
      <c r="D3136" s="81">
        <v>45902</v>
      </c>
      <c r="E3136" s="60" t="s">
        <v>111</v>
      </c>
      <c r="F3136" s="65">
        <v>17.489999999999998</v>
      </c>
    </row>
    <row r="3137" spans="2:6" hidden="1" x14ac:dyDescent="0.25">
      <c r="B3137" s="52">
        <f>YEAR(BDRIOSJ[[#This Row],[FECHA]])</f>
        <v>2025</v>
      </c>
      <c r="C3137" s="52">
        <f>MONTH(BDRIOSJ[[#This Row],[FECHA]])</f>
        <v>9</v>
      </c>
      <c r="D3137" s="81">
        <v>45902</v>
      </c>
      <c r="E3137" s="60" t="s">
        <v>113</v>
      </c>
      <c r="F3137" s="65">
        <v>17.489999999999998</v>
      </c>
    </row>
    <row r="3138" spans="2:6" hidden="1" x14ac:dyDescent="0.25">
      <c r="B3138" s="51">
        <f>YEAR(BDRIOSJ[[#This Row],[FECHA]])</f>
        <v>2025</v>
      </c>
      <c r="C3138" s="51">
        <f>MONTH(BDRIOSJ[[#This Row],[FECHA]])</f>
        <v>9</v>
      </c>
      <c r="D3138" s="81">
        <v>45902</v>
      </c>
      <c r="E3138" s="60" t="s">
        <v>114</v>
      </c>
      <c r="F3138" s="65">
        <v>17.489999999999998</v>
      </c>
    </row>
    <row r="3139" spans="2:6" hidden="1" x14ac:dyDescent="0.25">
      <c r="B3139" s="51">
        <f>YEAR(BDRIOSJ[[#This Row],[FECHA]])</f>
        <v>2025</v>
      </c>
      <c r="C3139" s="51">
        <f>MONTH(BDRIOSJ[[#This Row],[FECHA]])</f>
        <v>9</v>
      </c>
      <c r="D3139" s="81">
        <v>45902</v>
      </c>
      <c r="E3139" s="60" t="s">
        <v>115</v>
      </c>
      <c r="F3139" s="65">
        <v>17.489999999999998</v>
      </c>
    </row>
    <row r="3140" spans="2:6" hidden="1" x14ac:dyDescent="0.25">
      <c r="B3140" s="52">
        <f>YEAR(BDRIOSJ[[#This Row],[FECHA]])</f>
        <v>2025</v>
      </c>
      <c r="C3140" s="52">
        <f>MONTH(BDRIOSJ[[#This Row],[FECHA]])</f>
        <v>9</v>
      </c>
      <c r="D3140" s="81">
        <v>45903</v>
      </c>
      <c r="E3140" s="60" t="s">
        <v>111</v>
      </c>
      <c r="F3140" s="65">
        <v>17.489999999999998</v>
      </c>
    </row>
    <row r="3141" spans="2:6" hidden="1" x14ac:dyDescent="0.25">
      <c r="B3141" s="51">
        <f>YEAR(BDRIOSJ[[#This Row],[FECHA]])</f>
        <v>2025</v>
      </c>
      <c r="C3141" s="51">
        <f>MONTH(BDRIOSJ[[#This Row],[FECHA]])</f>
        <v>9</v>
      </c>
      <c r="D3141" s="81">
        <v>45903</v>
      </c>
      <c r="E3141" s="60" t="s">
        <v>113</v>
      </c>
      <c r="F3141" s="65">
        <v>17.489999999999998</v>
      </c>
    </row>
    <row r="3142" spans="2:6" hidden="1" x14ac:dyDescent="0.25">
      <c r="B3142" s="51">
        <f>YEAR(BDRIOSJ[[#This Row],[FECHA]])</f>
        <v>2025</v>
      </c>
      <c r="C3142" s="51">
        <f>MONTH(BDRIOSJ[[#This Row],[FECHA]])</f>
        <v>9</v>
      </c>
      <c r="D3142" s="81">
        <v>45903</v>
      </c>
      <c r="E3142" s="60" t="s">
        <v>114</v>
      </c>
      <c r="F3142" s="65">
        <v>17.489999999999998</v>
      </c>
    </row>
    <row r="3143" spans="2:6" hidden="1" x14ac:dyDescent="0.25">
      <c r="B3143" s="51">
        <f>YEAR(BDRIOSJ[[#This Row],[FECHA]])</f>
        <v>2025</v>
      </c>
      <c r="C3143" s="51">
        <f>MONTH(BDRIOSJ[[#This Row],[FECHA]])</f>
        <v>9</v>
      </c>
      <c r="D3143" s="81">
        <v>45903</v>
      </c>
      <c r="E3143" s="60" t="s">
        <v>115</v>
      </c>
      <c r="F3143" s="65">
        <v>17.489999999999998</v>
      </c>
    </row>
    <row r="3144" spans="2:6" hidden="1" x14ac:dyDescent="0.25">
      <c r="B3144" s="51">
        <f>YEAR(BDRIOSJ[[#This Row],[FECHA]])</f>
        <v>2025</v>
      </c>
      <c r="C3144" s="51">
        <f>MONTH(BDRIOSJ[[#This Row],[FECHA]])</f>
        <v>9</v>
      </c>
      <c r="D3144" s="81">
        <v>45904</v>
      </c>
      <c r="E3144" s="60" t="s">
        <v>111</v>
      </c>
      <c r="F3144" s="65">
        <v>17.489999999999998</v>
      </c>
    </row>
    <row r="3145" spans="2:6" hidden="1" x14ac:dyDescent="0.25">
      <c r="B3145" s="51">
        <f>YEAR(BDRIOSJ[[#This Row],[FECHA]])</f>
        <v>2025</v>
      </c>
      <c r="C3145" s="51">
        <f>MONTH(BDRIOSJ[[#This Row],[FECHA]])</f>
        <v>9</v>
      </c>
      <c r="D3145" s="81">
        <v>45904</v>
      </c>
      <c r="E3145" s="60" t="s">
        <v>113</v>
      </c>
      <c r="F3145" s="65">
        <v>17.489999999999998</v>
      </c>
    </row>
    <row r="3146" spans="2:6" hidden="1" x14ac:dyDescent="0.25">
      <c r="B3146" s="51">
        <f>YEAR(BDRIOSJ[[#This Row],[FECHA]])</f>
        <v>2025</v>
      </c>
      <c r="C3146" s="51">
        <f>MONTH(BDRIOSJ[[#This Row],[FECHA]])</f>
        <v>9</v>
      </c>
      <c r="D3146" s="81">
        <v>45904</v>
      </c>
      <c r="E3146" s="60" t="s">
        <v>114</v>
      </c>
      <c r="F3146" s="65">
        <v>17.489999999999998</v>
      </c>
    </row>
    <row r="3147" spans="2:6" hidden="1" x14ac:dyDescent="0.25">
      <c r="B3147" s="51">
        <f>YEAR(BDRIOSJ[[#This Row],[FECHA]])</f>
        <v>2025</v>
      </c>
      <c r="C3147" s="51">
        <f>MONTH(BDRIOSJ[[#This Row],[FECHA]])</f>
        <v>9</v>
      </c>
      <c r="D3147" s="81">
        <v>45904</v>
      </c>
      <c r="E3147" s="60" t="s">
        <v>115</v>
      </c>
      <c r="F3147" s="65">
        <v>17.489999999999998</v>
      </c>
    </row>
    <row r="3148" spans="2:6" hidden="1" x14ac:dyDescent="0.25">
      <c r="B3148" s="51">
        <f>YEAR(BDRIOSJ[[#This Row],[FECHA]])</f>
        <v>2025</v>
      </c>
      <c r="C3148" s="51">
        <f>MONTH(BDRIOSJ[[#This Row],[FECHA]])</f>
        <v>9</v>
      </c>
      <c r="D3148" s="81">
        <v>45905</v>
      </c>
      <c r="E3148" s="60" t="s">
        <v>111</v>
      </c>
      <c r="F3148" s="65">
        <v>17.489999999999998</v>
      </c>
    </row>
    <row r="3149" spans="2:6" hidden="1" x14ac:dyDescent="0.25">
      <c r="B3149" s="51">
        <f>YEAR(BDRIOSJ[[#This Row],[FECHA]])</f>
        <v>2025</v>
      </c>
      <c r="C3149" s="51">
        <f>MONTH(BDRIOSJ[[#This Row],[FECHA]])</f>
        <v>9</v>
      </c>
      <c r="D3149" s="81">
        <v>45905</v>
      </c>
      <c r="E3149" s="60" t="s">
        <v>113</v>
      </c>
      <c r="F3149" s="65">
        <v>17.489999999999998</v>
      </c>
    </row>
    <row r="3150" spans="2:6" hidden="1" x14ac:dyDescent="0.25">
      <c r="B3150" s="51">
        <f>YEAR(BDRIOSJ[[#This Row],[FECHA]])</f>
        <v>2025</v>
      </c>
      <c r="C3150" s="51">
        <f>MONTH(BDRIOSJ[[#This Row],[FECHA]])</f>
        <v>9</v>
      </c>
      <c r="D3150" s="81">
        <v>45905</v>
      </c>
      <c r="E3150" s="60" t="s">
        <v>114</v>
      </c>
      <c r="F3150" s="65">
        <v>17.489999999999998</v>
      </c>
    </row>
    <row r="3151" spans="2:6" hidden="1" x14ac:dyDescent="0.25">
      <c r="B3151" s="51">
        <f>YEAR(BDRIOSJ[[#This Row],[FECHA]])</f>
        <v>2025</v>
      </c>
      <c r="C3151" s="51">
        <f>MONTH(BDRIOSJ[[#This Row],[FECHA]])</f>
        <v>9</v>
      </c>
      <c r="D3151" s="81">
        <v>45905</v>
      </c>
      <c r="E3151" s="60" t="s">
        <v>115</v>
      </c>
      <c r="F3151" s="65">
        <v>17.489999999999998</v>
      </c>
    </row>
    <row r="3152" spans="2:6" hidden="1" x14ac:dyDescent="0.25">
      <c r="B3152" s="51">
        <f>YEAR(BDRIOSJ[[#This Row],[FECHA]])</f>
        <v>2025</v>
      </c>
      <c r="C3152" s="51">
        <f>MONTH(BDRIOSJ[[#This Row],[FECHA]])</f>
        <v>9</v>
      </c>
      <c r="D3152" s="81">
        <v>45906</v>
      </c>
      <c r="E3152" s="60" t="s">
        <v>111</v>
      </c>
      <c r="F3152" s="65">
        <v>17.489999999999998</v>
      </c>
    </row>
    <row r="3153" spans="2:6" hidden="1" x14ac:dyDescent="0.25">
      <c r="B3153" s="51">
        <f>YEAR(BDRIOSJ[[#This Row],[FECHA]])</f>
        <v>2025</v>
      </c>
      <c r="C3153" s="51">
        <f>MONTH(BDRIOSJ[[#This Row],[FECHA]])</f>
        <v>9</v>
      </c>
      <c r="D3153" s="81">
        <v>45906</v>
      </c>
      <c r="E3153" s="60" t="s">
        <v>113</v>
      </c>
      <c r="F3153" s="65">
        <v>17.489999999999998</v>
      </c>
    </row>
    <row r="3154" spans="2:6" hidden="1" x14ac:dyDescent="0.25">
      <c r="B3154" s="51">
        <f>YEAR(BDRIOSJ[[#This Row],[FECHA]])</f>
        <v>2025</v>
      </c>
      <c r="C3154" s="51">
        <f>MONTH(BDRIOSJ[[#This Row],[FECHA]])</f>
        <v>9</v>
      </c>
      <c r="D3154" s="81">
        <v>45906</v>
      </c>
      <c r="E3154" s="60" t="s">
        <v>114</v>
      </c>
      <c r="F3154" s="65">
        <v>17.489999999999998</v>
      </c>
    </row>
    <row r="3155" spans="2:6" hidden="1" x14ac:dyDescent="0.25">
      <c r="B3155" s="51">
        <f>YEAR(BDRIOSJ[[#This Row],[FECHA]])</f>
        <v>2025</v>
      </c>
      <c r="C3155" s="51">
        <f>MONTH(BDRIOSJ[[#This Row],[FECHA]])</f>
        <v>9</v>
      </c>
      <c r="D3155" s="81">
        <v>45906</v>
      </c>
      <c r="E3155" s="60" t="s">
        <v>115</v>
      </c>
      <c r="F3155" s="65">
        <v>17.489999999999998</v>
      </c>
    </row>
    <row r="3156" spans="2:6" hidden="1" x14ac:dyDescent="0.25">
      <c r="B3156" s="51">
        <f>YEAR(BDRIOSJ[[#This Row],[FECHA]])</f>
        <v>2025</v>
      </c>
      <c r="C3156" s="51">
        <f>MONTH(BDRIOSJ[[#This Row],[FECHA]])</f>
        <v>9</v>
      </c>
      <c r="D3156" s="81">
        <v>45907</v>
      </c>
      <c r="E3156" s="60" t="s">
        <v>111</v>
      </c>
      <c r="F3156" s="65">
        <v>17.489999999999998</v>
      </c>
    </row>
    <row r="3157" spans="2:6" hidden="1" x14ac:dyDescent="0.25">
      <c r="B3157" s="51">
        <f>YEAR(BDRIOSJ[[#This Row],[FECHA]])</f>
        <v>2025</v>
      </c>
      <c r="C3157" s="51">
        <f>MONTH(BDRIOSJ[[#This Row],[FECHA]])</f>
        <v>9</v>
      </c>
      <c r="D3157" s="81">
        <v>45907</v>
      </c>
      <c r="E3157" s="60" t="s">
        <v>113</v>
      </c>
      <c r="F3157" s="65">
        <v>17.489999999999998</v>
      </c>
    </row>
    <row r="3158" spans="2:6" hidden="1" x14ac:dyDescent="0.25">
      <c r="B3158" s="51">
        <f>YEAR(BDRIOSJ[[#This Row],[FECHA]])</f>
        <v>2025</v>
      </c>
      <c r="C3158" s="51">
        <f>MONTH(BDRIOSJ[[#This Row],[FECHA]])</f>
        <v>9</v>
      </c>
      <c r="D3158" s="81">
        <v>45907</v>
      </c>
      <c r="E3158" s="60" t="s">
        <v>114</v>
      </c>
      <c r="F3158" s="65">
        <v>17.489999999999998</v>
      </c>
    </row>
    <row r="3159" spans="2:6" hidden="1" x14ac:dyDescent="0.25">
      <c r="B3159" s="51">
        <f>YEAR(BDRIOSJ[[#This Row],[FECHA]])</f>
        <v>2025</v>
      </c>
      <c r="C3159" s="51">
        <f>MONTH(BDRIOSJ[[#This Row],[FECHA]])</f>
        <v>9</v>
      </c>
      <c r="D3159" s="81">
        <v>45907</v>
      </c>
      <c r="E3159" s="60" t="s">
        <v>115</v>
      </c>
      <c r="F3159" s="65">
        <v>17.489999999999998</v>
      </c>
    </row>
    <row r="3160" spans="2:6" hidden="1" x14ac:dyDescent="0.25">
      <c r="B3160" s="51">
        <f>YEAR(BDRIOSJ[[#This Row],[FECHA]])</f>
        <v>2025</v>
      </c>
      <c r="C3160" s="51">
        <f>MONTH(BDRIOSJ[[#This Row],[FECHA]])</f>
        <v>9</v>
      </c>
      <c r="D3160" s="81">
        <v>45908</v>
      </c>
      <c r="E3160" s="60" t="s">
        <v>111</v>
      </c>
      <c r="F3160" s="65">
        <v>17.489999999999998</v>
      </c>
    </row>
    <row r="3161" spans="2:6" hidden="1" x14ac:dyDescent="0.25">
      <c r="B3161" s="51">
        <f>YEAR(BDRIOSJ[[#This Row],[FECHA]])</f>
        <v>2025</v>
      </c>
      <c r="C3161" s="51">
        <f>MONTH(BDRIOSJ[[#This Row],[FECHA]])</f>
        <v>9</v>
      </c>
      <c r="D3161" s="81">
        <v>45908</v>
      </c>
      <c r="E3161" s="60" t="s">
        <v>113</v>
      </c>
      <c r="F3161" s="65">
        <v>17.489999999999998</v>
      </c>
    </row>
    <row r="3162" spans="2:6" hidden="1" x14ac:dyDescent="0.25">
      <c r="B3162" s="51">
        <f>YEAR(BDRIOSJ[[#This Row],[FECHA]])</f>
        <v>2025</v>
      </c>
      <c r="C3162" s="51">
        <f>MONTH(BDRIOSJ[[#This Row],[FECHA]])</f>
        <v>9</v>
      </c>
      <c r="D3162" s="81">
        <v>45908</v>
      </c>
      <c r="E3162" s="60" t="s">
        <v>114</v>
      </c>
      <c r="F3162" s="65">
        <v>17.489999999999998</v>
      </c>
    </row>
    <row r="3163" spans="2:6" hidden="1" x14ac:dyDescent="0.25">
      <c r="B3163" s="51">
        <f>YEAR(BDRIOSJ[[#This Row],[FECHA]])</f>
        <v>2025</v>
      </c>
      <c r="C3163" s="51">
        <f>MONTH(BDRIOSJ[[#This Row],[FECHA]])</f>
        <v>9</v>
      </c>
      <c r="D3163" s="81">
        <v>45908</v>
      </c>
      <c r="E3163" s="60" t="s">
        <v>115</v>
      </c>
      <c r="F3163" s="65">
        <v>17.489999999999998</v>
      </c>
    </row>
    <row r="3164" spans="2:6" hidden="1" x14ac:dyDescent="0.25">
      <c r="B3164" s="51">
        <f>YEAR(BDRIOSJ[[#This Row],[FECHA]])</f>
        <v>2025</v>
      </c>
      <c r="C3164" s="51">
        <f>MONTH(BDRIOSJ[[#This Row],[FECHA]])</f>
        <v>9</v>
      </c>
      <c r="D3164" s="81">
        <v>45909</v>
      </c>
      <c r="E3164" s="60" t="s">
        <v>111</v>
      </c>
      <c r="F3164" s="65">
        <v>17.489999999999998</v>
      </c>
    </row>
    <row r="3165" spans="2:6" hidden="1" x14ac:dyDescent="0.25">
      <c r="B3165" s="51">
        <f>YEAR(BDRIOSJ[[#This Row],[FECHA]])</f>
        <v>2025</v>
      </c>
      <c r="C3165" s="51">
        <f>MONTH(BDRIOSJ[[#This Row],[FECHA]])</f>
        <v>9</v>
      </c>
      <c r="D3165" s="81">
        <v>45909</v>
      </c>
      <c r="E3165" s="60" t="s">
        <v>113</v>
      </c>
      <c r="F3165" s="65">
        <v>17.489999999999998</v>
      </c>
    </row>
    <row r="3166" spans="2:6" hidden="1" x14ac:dyDescent="0.25">
      <c r="B3166" s="51">
        <f>YEAR(BDRIOSJ[[#This Row],[FECHA]])</f>
        <v>2025</v>
      </c>
      <c r="C3166" s="51">
        <f>MONTH(BDRIOSJ[[#This Row],[FECHA]])</f>
        <v>9</v>
      </c>
      <c r="D3166" s="81">
        <v>45909</v>
      </c>
      <c r="E3166" s="60" t="s">
        <v>114</v>
      </c>
      <c r="F3166" s="65">
        <v>17.489999999999998</v>
      </c>
    </row>
    <row r="3167" spans="2:6" hidden="1" x14ac:dyDescent="0.25">
      <c r="B3167" s="51">
        <f>YEAR(BDRIOSJ[[#This Row],[FECHA]])</f>
        <v>2025</v>
      </c>
      <c r="C3167" s="51">
        <f>MONTH(BDRIOSJ[[#This Row],[FECHA]])</f>
        <v>9</v>
      </c>
      <c r="D3167" s="81">
        <v>45909</v>
      </c>
      <c r="E3167" s="60" t="s">
        <v>115</v>
      </c>
      <c r="F3167" s="65">
        <v>17.489999999999998</v>
      </c>
    </row>
    <row r="3168" spans="2:6" hidden="1" x14ac:dyDescent="0.25">
      <c r="B3168" s="51">
        <f>YEAR(BDRIOSJ[[#This Row],[FECHA]])</f>
        <v>2025</v>
      </c>
      <c r="C3168" s="51">
        <f>MONTH(BDRIOSJ[[#This Row],[FECHA]])</f>
        <v>9</v>
      </c>
      <c r="D3168" s="81">
        <v>45910</v>
      </c>
      <c r="E3168" s="60" t="s">
        <v>111</v>
      </c>
      <c r="F3168" s="65">
        <v>17.489999999999998</v>
      </c>
    </row>
    <row r="3169" spans="2:6" hidden="1" x14ac:dyDescent="0.25">
      <c r="B3169" s="51">
        <f>YEAR(BDRIOSJ[[#This Row],[FECHA]])</f>
        <v>2025</v>
      </c>
      <c r="C3169" s="51">
        <f>MONTH(BDRIOSJ[[#This Row],[FECHA]])</f>
        <v>9</v>
      </c>
      <c r="D3169" s="81">
        <v>45910</v>
      </c>
      <c r="E3169" s="60" t="s">
        <v>113</v>
      </c>
      <c r="F3169" s="65">
        <v>17.489999999999998</v>
      </c>
    </row>
    <row r="3170" spans="2:6" hidden="1" x14ac:dyDescent="0.25">
      <c r="B3170" s="51">
        <f>YEAR(BDRIOSJ[[#This Row],[FECHA]])</f>
        <v>2025</v>
      </c>
      <c r="C3170" s="51">
        <f>MONTH(BDRIOSJ[[#This Row],[FECHA]])</f>
        <v>9</v>
      </c>
      <c r="D3170" s="81">
        <v>45910</v>
      </c>
      <c r="E3170" s="60" t="s">
        <v>114</v>
      </c>
      <c r="F3170" s="65">
        <v>17.489999999999998</v>
      </c>
    </row>
    <row r="3171" spans="2:6" hidden="1" x14ac:dyDescent="0.25">
      <c r="B3171" s="51">
        <f>YEAR(BDRIOSJ[[#This Row],[FECHA]])</f>
        <v>2025</v>
      </c>
      <c r="C3171" s="51">
        <f>MONTH(BDRIOSJ[[#This Row],[FECHA]])</f>
        <v>9</v>
      </c>
      <c r="D3171" s="81">
        <v>45910</v>
      </c>
      <c r="E3171" s="60" t="s">
        <v>115</v>
      </c>
      <c r="F3171" s="65">
        <v>17.489999999999998</v>
      </c>
    </row>
    <row r="3172" spans="2:6" hidden="1" x14ac:dyDescent="0.25">
      <c r="B3172" s="51">
        <f>YEAR(BDRIOSJ[[#This Row],[FECHA]])</f>
        <v>2025</v>
      </c>
      <c r="C3172" s="51">
        <f>MONTH(BDRIOSJ[[#This Row],[FECHA]])</f>
        <v>9</v>
      </c>
      <c r="D3172" s="81">
        <v>45911</v>
      </c>
      <c r="E3172" s="60" t="s">
        <v>111</v>
      </c>
      <c r="F3172" s="65">
        <v>17.489999999999998</v>
      </c>
    </row>
    <row r="3173" spans="2:6" hidden="1" x14ac:dyDescent="0.25">
      <c r="B3173" s="51">
        <f>YEAR(BDRIOSJ[[#This Row],[FECHA]])</f>
        <v>2025</v>
      </c>
      <c r="C3173" s="51">
        <f>MONTH(BDRIOSJ[[#This Row],[FECHA]])</f>
        <v>9</v>
      </c>
      <c r="D3173" s="81">
        <v>45911</v>
      </c>
      <c r="E3173" s="60" t="s">
        <v>113</v>
      </c>
      <c r="F3173" s="65">
        <v>17.489999999999998</v>
      </c>
    </row>
    <row r="3174" spans="2:6" hidden="1" x14ac:dyDescent="0.25">
      <c r="B3174" s="51">
        <f>YEAR(BDRIOSJ[[#This Row],[FECHA]])</f>
        <v>2025</v>
      </c>
      <c r="C3174" s="51">
        <f>MONTH(BDRIOSJ[[#This Row],[FECHA]])</f>
        <v>9</v>
      </c>
      <c r="D3174" s="81">
        <v>45911</v>
      </c>
      <c r="E3174" s="60" t="s">
        <v>114</v>
      </c>
      <c r="F3174" s="65">
        <v>17.489999999999998</v>
      </c>
    </row>
    <row r="3175" spans="2:6" hidden="1" x14ac:dyDescent="0.25">
      <c r="B3175" s="51">
        <f>YEAR(BDRIOSJ[[#This Row],[FECHA]])</f>
        <v>2025</v>
      </c>
      <c r="C3175" s="51">
        <f>MONTH(BDRIOSJ[[#This Row],[FECHA]])</f>
        <v>9</v>
      </c>
      <c r="D3175" s="81">
        <v>45911</v>
      </c>
      <c r="E3175" s="60" t="s">
        <v>115</v>
      </c>
      <c r="F3175" s="65">
        <v>17.489999999999998</v>
      </c>
    </row>
    <row r="3176" spans="2:6" hidden="1" x14ac:dyDescent="0.25">
      <c r="B3176" s="51">
        <f>YEAR(BDRIOSJ[[#This Row],[FECHA]])</f>
        <v>2025</v>
      </c>
      <c r="C3176" s="51">
        <f>MONTH(BDRIOSJ[[#This Row],[FECHA]])</f>
        <v>9</v>
      </c>
      <c r="D3176" s="81">
        <v>45912</v>
      </c>
      <c r="E3176" s="60" t="s">
        <v>111</v>
      </c>
      <c r="F3176" s="65">
        <v>17.489999999999998</v>
      </c>
    </row>
    <row r="3177" spans="2:6" hidden="1" x14ac:dyDescent="0.25">
      <c r="B3177" s="51">
        <f>YEAR(BDRIOSJ[[#This Row],[FECHA]])</f>
        <v>2025</v>
      </c>
      <c r="C3177" s="51">
        <f>MONTH(BDRIOSJ[[#This Row],[FECHA]])</f>
        <v>9</v>
      </c>
      <c r="D3177" s="81">
        <v>45912</v>
      </c>
      <c r="E3177" s="60" t="s">
        <v>113</v>
      </c>
      <c r="F3177" s="65">
        <v>17.489999999999998</v>
      </c>
    </row>
    <row r="3178" spans="2:6" hidden="1" x14ac:dyDescent="0.25">
      <c r="B3178" s="51">
        <f>YEAR(BDRIOSJ[[#This Row],[FECHA]])</f>
        <v>2025</v>
      </c>
      <c r="C3178" s="51">
        <f>MONTH(BDRIOSJ[[#This Row],[FECHA]])</f>
        <v>9</v>
      </c>
      <c r="D3178" s="81">
        <v>45912</v>
      </c>
      <c r="E3178" s="60" t="s">
        <v>114</v>
      </c>
      <c r="F3178" s="65">
        <v>17.489999999999998</v>
      </c>
    </row>
    <row r="3179" spans="2:6" hidden="1" x14ac:dyDescent="0.25">
      <c r="B3179" s="51">
        <f>YEAR(BDRIOSJ[[#This Row],[FECHA]])</f>
        <v>2025</v>
      </c>
      <c r="C3179" s="51">
        <f>MONTH(BDRIOSJ[[#This Row],[FECHA]])</f>
        <v>9</v>
      </c>
      <c r="D3179" s="81">
        <v>45912</v>
      </c>
      <c r="E3179" s="60" t="s">
        <v>115</v>
      </c>
      <c r="F3179" s="65">
        <v>17.489999999999998</v>
      </c>
    </row>
    <row r="3180" spans="2:6" hidden="1" x14ac:dyDescent="0.25">
      <c r="B3180" s="51">
        <f>YEAR(BDRIOSJ[[#This Row],[FECHA]])</f>
        <v>2025</v>
      </c>
      <c r="C3180" s="51">
        <f>MONTH(BDRIOSJ[[#This Row],[FECHA]])</f>
        <v>9</v>
      </c>
      <c r="D3180" s="81">
        <v>45913</v>
      </c>
      <c r="E3180" s="60" t="s">
        <v>111</v>
      </c>
      <c r="F3180" s="65">
        <v>17.489999999999998</v>
      </c>
    </row>
    <row r="3181" spans="2:6" hidden="1" x14ac:dyDescent="0.25">
      <c r="B3181" s="51">
        <f>YEAR(BDRIOSJ[[#This Row],[FECHA]])</f>
        <v>2025</v>
      </c>
      <c r="C3181" s="51">
        <f>MONTH(BDRIOSJ[[#This Row],[FECHA]])</f>
        <v>9</v>
      </c>
      <c r="D3181" s="81">
        <v>45913</v>
      </c>
      <c r="E3181" s="60" t="s">
        <v>113</v>
      </c>
      <c r="F3181" s="65">
        <v>17.489999999999998</v>
      </c>
    </row>
    <row r="3182" spans="2:6" hidden="1" x14ac:dyDescent="0.25">
      <c r="B3182" s="51">
        <f>YEAR(BDRIOSJ[[#This Row],[FECHA]])</f>
        <v>2025</v>
      </c>
      <c r="C3182" s="51">
        <f>MONTH(BDRIOSJ[[#This Row],[FECHA]])</f>
        <v>9</v>
      </c>
      <c r="D3182" s="81">
        <v>45913</v>
      </c>
      <c r="E3182" s="60" t="s">
        <v>114</v>
      </c>
      <c r="F3182" s="65">
        <v>17.489999999999998</v>
      </c>
    </row>
    <row r="3183" spans="2:6" hidden="1" x14ac:dyDescent="0.25">
      <c r="B3183" s="51">
        <f>YEAR(BDRIOSJ[[#This Row],[FECHA]])</f>
        <v>2025</v>
      </c>
      <c r="C3183" s="51">
        <f>MONTH(BDRIOSJ[[#This Row],[FECHA]])</f>
        <v>9</v>
      </c>
      <c r="D3183" s="81">
        <v>45913</v>
      </c>
      <c r="E3183" s="60" t="s">
        <v>115</v>
      </c>
      <c r="F3183" s="65">
        <v>17.489999999999998</v>
      </c>
    </row>
    <row r="3184" spans="2:6" hidden="1" x14ac:dyDescent="0.25">
      <c r="B3184" s="51">
        <f>YEAR(BDRIOSJ[[#This Row],[FECHA]])</f>
        <v>2025</v>
      </c>
      <c r="C3184" s="51">
        <f>MONTH(BDRIOSJ[[#This Row],[FECHA]])</f>
        <v>9</v>
      </c>
      <c r="D3184" s="81">
        <v>45914</v>
      </c>
      <c r="E3184" s="60" t="s">
        <v>111</v>
      </c>
      <c r="F3184" s="65">
        <v>17.489999999999998</v>
      </c>
    </row>
    <row r="3185" spans="2:6" hidden="1" x14ac:dyDescent="0.25">
      <c r="B3185" s="51">
        <f>YEAR(BDRIOSJ[[#This Row],[FECHA]])</f>
        <v>2025</v>
      </c>
      <c r="C3185" s="51">
        <f>MONTH(BDRIOSJ[[#This Row],[FECHA]])</f>
        <v>9</v>
      </c>
      <c r="D3185" s="81">
        <v>45914</v>
      </c>
      <c r="E3185" s="60" t="s">
        <v>113</v>
      </c>
      <c r="F3185" s="65">
        <v>17.489999999999998</v>
      </c>
    </row>
    <row r="3186" spans="2:6" hidden="1" x14ac:dyDescent="0.25">
      <c r="B3186" s="51">
        <f>YEAR(BDRIOSJ[[#This Row],[FECHA]])</f>
        <v>2025</v>
      </c>
      <c r="C3186" s="51">
        <f>MONTH(BDRIOSJ[[#This Row],[FECHA]])</f>
        <v>9</v>
      </c>
      <c r="D3186" s="81">
        <v>45914</v>
      </c>
      <c r="E3186" s="60" t="s">
        <v>114</v>
      </c>
      <c r="F3186" s="65">
        <v>17.489999999999998</v>
      </c>
    </row>
    <row r="3187" spans="2:6" hidden="1" x14ac:dyDescent="0.25">
      <c r="B3187" s="51">
        <f>YEAR(BDRIOSJ[[#This Row],[FECHA]])</f>
        <v>2025</v>
      </c>
      <c r="C3187" s="51">
        <f>MONTH(BDRIOSJ[[#This Row],[FECHA]])</f>
        <v>9</v>
      </c>
      <c r="D3187" s="81">
        <v>45914</v>
      </c>
      <c r="E3187" s="60" t="s">
        <v>115</v>
      </c>
      <c r="F3187" s="65">
        <v>17.489999999999998</v>
      </c>
    </row>
    <row r="3188" spans="2:6" hidden="1" x14ac:dyDescent="0.25">
      <c r="B3188" s="51">
        <f>YEAR(BDRIOSJ[[#This Row],[FECHA]])</f>
        <v>2025</v>
      </c>
      <c r="C3188" s="51">
        <f>MONTH(BDRIOSJ[[#This Row],[FECHA]])</f>
        <v>9</v>
      </c>
      <c r="D3188" s="81">
        <v>45915</v>
      </c>
      <c r="E3188" s="60" t="s">
        <v>111</v>
      </c>
      <c r="F3188" s="65">
        <v>17.489999999999998</v>
      </c>
    </row>
    <row r="3189" spans="2:6" hidden="1" x14ac:dyDescent="0.25">
      <c r="B3189" s="51">
        <f>YEAR(BDRIOSJ[[#This Row],[FECHA]])</f>
        <v>2025</v>
      </c>
      <c r="C3189" s="51">
        <f>MONTH(BDRIOSJ[[#This Row],[FECHA]])</f>
        <v>9</v>
      </c>
      <c r="D3189" s="81">
        <v>45915</v>
      </c>
      <c r="E3189" s="60" t="s">
        <v>113</v>
      </c>
      <c r="F3189" s="65">
        <v>17.489999999999998</v>
      </c>
    </row>
    <row r="3190" spans="2:6" hidden="1" x14ac:dyDescent="0.25">
      <c r="B3190" s="51">
        <f>YEAR(BDRIOSJ[[#This Row],[FECHA]])</f>
        <v>2025</v>
      </c>
      <c r="C3190" s="51">
        <f>MONTH(BDRIOSJ[[#This Row],[FECHA]])</f>
        <v>9</v>
      </c>
      <c r="D3190" s="81">
        <v>45915</v>
      </c>
      <c r="E3190" s="60" t="s">
        <v>114</v>
      </c>
      <c r="F3190" s="65">
        <v>17.489999999999998</v>
      </c>
    </row>
    <row r="3191" spans="2:6" hidden="1" x14ac:dyDescent="0.25">
      <c r="B3191" s="51">
        <f>YEAR(BDRIOSJ[[#This Row],[FECHA]])</f>
        <v>2025</v>
      </c>
      <c r="C3191" s="51">
        <f>MONTH(BDRIOSJ[[#This Row],[FECHA]])</f>
        <v>9</v>
      </c>
      <c r="D3191" s="81">
        <v>45915</v>
      </c>
      <c r="E3191" s="60" t="s">
        <v>115</v>
      </c>
      <c r="F3191" s="65">
        <v>17.489999999999998</v>
      </c>
    </row>
    <row r="3192" spans="2:6" ht="14.25" hidden="1" customHeight="1" x14ac:dyDescent="0.25">
      <c r="B3192" s="51">
        <f>YEAR(BDRIOSJ[[#This Row],[FECHA]])</f>
        <v>2025</v>
      </c>
      <c r="C3192" s="51">
        <f>MONTH(BDRIOSJ[[#This Row],[FECHA]])</f>
        <v>9</v>
      </c>
      <c r="D3192" s="81">
        <v>45916</v>
      </c>
      <c r="E3192" s="60" t="s">
        <v>111</v>
      </c>
      <c r="F3192" s="65">
        <v>17.489999999999998</v>
      </c>
    </row>
    <row r="3193" spans="2:6" ht="14.25" hidden="1" customHeight="1" x14ac:dyDescent="0.25">
      <c r="B3193" s="51">
        <f>YEAR(BDRIOSJ[[#This Row],[FECHA]])</f>
        <v>2025</v>
      </c>
      <c r="C3193" s="51">
        <f>MONTH(BDRIOSJ[[#This Row],[FECHA]])</f>
        <v>9</v>
      </c>
      <c r="D3193" s="81">
        <v>45916</v>
      </c>
      <c r="E3193" s="60" t="s">
        <v>113</v>
      </c>
      <c r="F3193" s="65">
        <v>17.489999999999998</v>
      </c>
    </row>
    <row r="3194" spans="2:6" ht="14.25" hidden="1" customHeight="1" x14ac:dyDescent="0.25">
      <c r="B3194" s="51">
        <f>YEAR(BDRIOSJ[[#This Row],[FECHA]])</f>
        <v>2025</v>
      </c>
      <c r="C3194" s="51">
        <f>MONTH(BDRIOSJ[[#This Row],[FECHA]])</f>
        <v>9</v>
      </c>
      <c r="D3194" s="81">
        <v>45916</v>
      </c>
      <c r="E3194" s="60" t="s">
        <v>114</v>
      </c>
      <c r="F3194" s="65">
        <v>17.489999999999998</v>
      </c>
    </row>
    <row r="3195" spans="2:6" ht="14.25" hidden="1" customHeight="1" x14ac:dyDescent="0.25">
      <c r="B3195" s="51">
        <f>YEAR(BDRIOSJ[[#This Row],[FECHA]])</f>
        <v>2025</v>
      </c>
      <c r="C3195" s="51">
        <f>MONTH(BDRIOSJ[[#This Row],[FECHA]])</f>
        <v>9</v>
      </c>
      <c r="D3195" s="81">
        <v>45916</v>
      </c>
      <c r="E3195" s="60" t="s">
        <v>115</v>
      </c>
      <c r="F3195" s="65">
        <v>17.489999999999998</v>
      </c>
    </row>
    <row r="3196" spans="2:6" hidden="1" x14ac:dyDescent="0.25">
      <c r="B3196" s="51">
        <f>YEAR(BDRIOSJ[[#This Row],[FECHA]])</f>
        <v>2025</v>
      </c>
      <c r="C3196" s="51">
        <f>MONTH(BDRIOSJ[[#This Row],[FECHA]])</f>
        <v>9</v>
      </c>
      <c r="D3196" s="81">
        <v>45917</v>
      </c>
      <c r="E3196" s="60" t="s">
        <v>111</v>
      </c>
      <c r="F3196" s="65">
        <v>17.489999999999998</v>
      </c>
    </row>
    <row r="3197" spans="2:6" hidden="1" x14ac:dyDescent="0.25">
      <c r="B3197" s="51">
        <f>YEAR(BDRIOSJ[[#This Row],[FECHA]])</f>
        <v>2025</v>
      </c>
      <c r="C3197" s="51">
        <f>MONTH(BDRIOSJ[[#This Row],[FECHA]])</f>
        <v>9</v>
      </c>
      <c r="D3197" s="81">
        <v>45917</v>
      </c>
      <c r="E3197" s="60" t="s">
        <v>113</v>
      </c>
      <c r="F3197" s="65">
        <v>17.489999999999998</v>
      </c>
    </row>
    <row r="3198" spans="2:6" hidden="1" x14ac:dyDescent="0.25">
      <c r="B3198" s="51">
        <f>YEAR(BDRIOSJ[[#This Row],[FECHA]])</f>
        <v>2025</v>
      </c>
      <c r="C3198" s="51">
        <f>MONTH(BDRIOSJ[[#This Row],[FECHA]])</f>
        <v>9</v>
      </c>
      <c r="D3198" s="81">
        <v>45917</v>
      </c>
      <c r="E3198" s="60" t="s">
        <v>114</v>
      </c>
      <c r="F3198" s="65">
        <v>17.489999999999998</v>
      </c>
    </row>
    <row r="3199" spans="2:6" hidden="1" x14ac:dyDescent="0.25">
      <c r="B3199" s="51">
        <f>YEAR(BDRIOSJ[[#This Row],[FECHA]])</f>
        <v>2025</v>
      </c>
      <c r="C3199" s="51">
        <f>MONTH(BDRIOSJ[[#This Row],[FECHA]])</f>
        <v>9</v>
      </c>
      <c r="D3199" s="81">
        <v>45917</v>
      </c>
      <c r="E3199" s="60" t="s">
        <v>115</v>
      </c>
      <c r="F3199" s="65">
        <v>17.489999999999998</v>
      </c>
    </row>
    <row r="3200" spans="2:6" hidden="1" x14ac:dyDescent="0.25">
      <c r="B3200" s="51">
        <f>YEAR(BDRIOSJ[[#This Row],[FECHA]])</f>
        <v>2025</v>
      </c>
      <c r="C3200" s="51">
        <f>MONTH(BDRIOSJ[[#This Row],[FECHA]])</f>
        <v>9</v>
      </c>
      <c r="D3200" s="81">
        <v>45918</v>
      </c>
      <c r="E3200" s="60" t="s">
        <v>111</v>
      </c>
      <c r="F3200" s="65">
        <v>17.489999999999998</v>
      </c>
    </row>
    <row r="3201" spans="2:6" hidden="1" x14ac:dyDescent="0.25">
      <c r="B3201" s="51">
        <f>YEAR(BDRIOSJ[[#This Row],[FECHA]])</f>
        <v>2025</v>
      </c>
      <c r="C3201" s="51">
        <f>MONTH(BDRIOSJ[[#This Row],[FECHA]])</f>
        <v>9</v>
      </c>
      <c r="D3201" s="81">
        <v>45918</v>
      </c>
      <c r="E3201" s="60" t="s">
        <v>113</v>
      </c>
      <c r="F3201" s="65">
        <v>17.489999999999998</v>
      </c>
    </row>
    <row r="3202" spans="2:6" hidden="1" x14ac:dyDescent="0.25">
      <c r="B3202" s="51">
        <f>YEAR(BDRIOSJ[[#This Row],[FECHA]])</f>
        <v>2025</v>
      </c>
      <c r="C3202" s="51">
        <f>MONTH(BDRIOSJ[[#This Row],[FECHA]])</f>
        <v>9</v>
      </c>
      <c r="D3202" s="81">
        <v>45918</v>
      </c>
      <c r="E3202" s="60" t="s">
        <v>114</v>
      </c>
      <c r="F3202" s="65">
        <v>17.489999999999998</v>
      </c>
    </row>
    <row r="3203" spans="2:6" hidden="1" x14ac:dyDescent="0.25">
      <c r="B3203" s="51">
        <f>YEAR(BDRIOSJ[[#This Row],[FECHA]])</f>
        <v>2025</v>
      </c>
      <c r="C3203" s="51">
        <f>MONTH(BDRIOSJ[[#This Row],[FECHA]])</f>
        <v>9</v>
      </c>
      <c r="D3203" s="81">
        <v>45918</v>
      </c>
      <c r="E3203" s="60" t="s">
        <v>115</v>
      </c>
      <c r="F3203" s="65">
        <v>17.489999999999998</v>
      </c>
    </row>
    <row r="3204" spans="2:6" hidden="1" x14ac:dyDescent="0.25">
      <c r="B3204" s="51">
        <f>YEAR(BDRIOSJ[[#This Row],[FECHA]])</f>
        <v>2025</v>
      </c>
      <c r="C3204" s="51">
        <f>MONTH(BDRIOSJ[[#This Row],[FECHA]])</f>
        <v>9</v>
      </c>
      <c r="D3204" s="81">
        <v>45919</v>
      </c>
      <c r="E3204" s="60" t="s">
        <v>111</v>
      </c>
      <c r="F3204" s="65">
        <v>17.489999999999998</v>
      </c>
    </row>
    <row r="3205" spans="2:6" hidden="1" x14ac:dyDescent="0.25">
      <c r="B3205" s="51">
        <f>YEAR(BDRIOSJ[[#This Row],[FECHA]])</f>
        <v>2025</v>
      </c>
      <c r="C3205" s="51">
        <f>MONTH(BDRIOSJ[[#This Row],[FECHA]])</f>
        <v>9</v>
      </c>
      <c r="D3205" s="81">
        <v>45919</v>
      </c>
      <c r="E3205" s="60" t="s">
        <v>113</v>
      </c>
      <c r="F3205" s="65">
        <v>17.489999999999998</v>
      </c>
    </row>
    <row r="3206" spans="2:6" hidden="1" x14ac:dyDescent="0.25">
      <c r="B3206" s="51">
        <f>YEAR(BDRIOSJ[[#This Row],[FECHA]])</f>
        <v>2025</v>
      </c>
      <c r="C3206" s="51">
        <f>MONTH(BDRIOSJ[[#This Row],[FECHA]])</f>
        <v>9</v>
      </c>
      <c r="D3206" s="81">
        <v>45919</v>
      </c>
      <c r="E3206" s="60" t="s">
        <v>114</v>
      </c>
      <c r="F3206" s="65">
        <v>17.489999999999998</v>
      </c>
    </row>
    <row r="3207" spans="2:6" hidden="1" x14ac:dyDescent="0.25">
      <c r="B3207" s="51">
        <f>YEAR(BDRIOSJ[[#This Row],[FECHA]])</f>
        <v>2025</v>
      </c>
      <c r="C3207" s="51">
        <f>MONTH(BDRIOSJ[[#This Row],[FECHA]])</f>
        <v>9</v>
      </c>
      <c r="D3207" s="81">
        <v>45919</v>
      </c>
      <c r="E3207" s="60" t="s">
        <v>115</v>
      </c>
      <c r="F3207" s="65">
        <v>17.489999999999998</v>
      </c>
    </row>
    <row r="3208" spans="2:6" hidden="1" x14ac:dyDescent="0.25">
      <c r="B3208" s="51">
        <f>YEAR(BDRIOSJ[[#This Row],[FECHA]])</f>
        <v>2025</v>
      </c>
      <c r="C3208" s="51">
        <f>MONTH(BDRIOSJ[[#This Row],[FECHA]])</f>
        <v>9</v>
      </c>
      <c r="D3208" s="81">
        <v>45920</v>
      </c>
      <c r="E3208" s="60" t="s">
        <v>111</v>
      </c>
      <c r="F3208" s="65">
        <v>17.489999999999998</v>
      </c>
    </row>
    <row r="3209" spans="2:6" hidden="1" x14ac:dyDescent="0.25">
      <c r="B3209" s="51">
        <f>YEAR(BDRIOSJ[[#This Row],[FECHA]])</f>
        <v>2025</v>
      </c>
      <c r="C3209" s="51">
        <f>MONTH(BDRIOSJ[[#This Row],[FECHA]])</f>
        <v>9</v>
      </c>
      <c r="D3209" s="81">
        <v>45920</v>
      </c>
      <c r="E3209" s="60" t="s">
        <v>113</v>
      </c>
      <c r="F3209" s="65">
        <v>17.489999999999998</v>
      </c>
    </row>
    <row r="3210" spans="2:6" hidden="1" x14ac:dyDescent="0.25">
      <c r="B3210" s="51">
        <f>YEAR(BDRIOSJ[[#This Row],[FECHA]])</f>
        <v>2025</v>
      </c>
      <c r="C3210" s="51">
        <f>MONTH(BDRIOSJ[[#This Row],[FECHA]])</f>
        <v>9</v>
      </c>
      <c r="D3210" s="81">
        <v>45920</v>
      </c>
      <c r="E3210" s="60" t="s">
        <v>114</v>
      </c>
      <c r="F3210" s="65">
        <v>17.489999999999998</v>
      </c>
    </row>
    <row r="3211" spans="2:6" hidden="1" x14ac:dyDescent="0.25">
      <c r="B3211" s="51">
        <f>YEAR(BDRIOSJ[[#This Row],[FECHA]])</f>
        <v>2025</v>
      </c>
      <c r="C3211" s="51">
        <f>MONTH(BDRIOSJ[[#This Row],[FECHA]])</f>
        <v>9</v>
      </c>
      <c r="D3211" s="81">
        <v>45920</v>
      </c>
      <c r="E3211" s="60" t="s">
        <v>115</v>
      </c>
      <c r="F3211" s="65">
        <v>17.489999999999998</v>
      </c>
    </row>
    <row r="3212" spans="2:6" hidden="1" x14ac:dyDescent="0.25">
      <c r="B3212" s="51">
        <f>YEAR(BDRIOSJ[[#This Row],[FECHA]])</f>
        <v>2025</v>
      </c>
      <c r="C3212" s="51">
        <f>MONTH(BDRIOSJ[[#This Row],[FECHA]])</f>
        <v>9</v>
      </c>
      <c r="D3212" s="81">
        <v>45921</v>
      </c>
      <c r="E3212" s="60" t="s">
        <v>111</v>
      </c>
      <c r="F3212" s="65">
        <v>17.489999999999998</v>
      </c>
    </row>
    <row r="3213" spans="2:6" hidden="1" x14ac:dyDescent="0.25">
      <c r="B3213" s="51">
        <f>YEAR(BDRIOSJ[[#This Row],[FECHA]])</f>
        <v>2025</v>
      </c>
      <c r="C3213" s="51">
        <f>MONTH(BDRIOSJ[[#This Row],[FECHA]])</f>
        <v>9</v>
      </c>
      <c r="D3213" s="81">
        <v>45921</v>
      </c>
      <c r="E3213" s="60" t="s">
        <v>113</v>
      </c>
      <c r="F3213" s="65">
        <v>17.489999999999998</v>
      </c>
    </row>
    <row r="3214" spans="2:6" hidden="1" x14ac:dyDescent="0.25">
      <c r="B3214" s="51">
        <f>YEAR(BDRIOSJ[[#This Row],[FECHA]])</f>
        <v>2025</v>
      </c>
      <c r="C3214" s="51">
        <f>MONTH(BDRIOSJ[[#This Row],[FECHA]])</f>
        <v>9</v>
      </c>
      <c r="D3214" s="81">
        <v>45921</v>
      </c>
      <c r="E3214" s="60" t="s">
        <v>114</v>
      </c>
      <c r="F3214" s="65">
        <v>17.489999999999998</v>
      </c>
    </row>
    <row r="3215" spans="2:6" hidden="1" x14ac:dyDescent="0.25">
      <c r="B3215" s="51">
        <f>YEAR(BDRIOSJ[[#This Row],[FECHA]])</f>
        <v>2025</v>
      </c>
      <c r="C3215" s="51">
        <f>MONTH(BDRIOSJ[[#This Row],[FECHA]])</f>
        <v>9</v>
      </c>
      <c r="D3215" s="81">
        <v>45921</v>
      </c>
      <c r="E3215" s="60" t="s">
        <v>115</v>
      </c>
      <c r="F3215" s="65">
        <v>17.489999999999998</v>
      </c>
    </row>
    <row r="3216" spans="2:6" hidden="1" x14ac:dyDescent="0.25">
      <c r="B3216" s="51">
        <f>YEAR(BDRIOSJ[[#This Row],[FECHA]])</f>
        <v>2025</v>
      </c>
      <c r="C3216" s="51">
        <f>MONTH(BDRIOSJ[[#This Row],[FECHA]])</f>
        <v>9</v>
      </c>
      <c r="D3216" s="81">
        <v>45922</v>
      </c>
      <c r="E3216" s="60" t="s">
        <v>111</v>
      </c>
      <c r="F3216" s="65">
        <v>17.489999999999998</v>
      </c>
    </row>
    <row r="3217" spans="2:6" hidden="1" x14ac:dyDescent="0.25">
      <c r="B3217" s="51">
        <f>YEAR(BDRIOSJ[[#This Row],[FECHA]])</f>
        <v>2025</v>
      </c>
      <c r="C3217" s="51">
        <f>MONTH(BDRIOSJ[[#This Row],[FECHA]])</f>
        <v>9</v>
      </c>
      <c r="D3217" s="81">
        <v>45922</v>
      </c>
      <c r="E3217" s="60" t="s">
        <v>113</v>
      </c>
      <c r="F3217" s="65">
        <v>17.489999999999998</v>
      </c>
    </row>
    <row r="3218" spans="2:6" hidden="1" x14ac:dyDescent="0.25">
      <c r="B3218" s="51">
        <f>YEAR(BDRIOSJ[[#This Row],[FECHA]])</f>
        <v>2025</v>
      </c>
      <c r="C3218" s="51">
        <f>MONTH(BDRIOSJ[[#This Row],[FECHA]])</f>
        <v>9</v>
      </c>
      <c r="D3218" s="81">
        <v>45922</v>
      </c>
      <c r="E3218" s="60" t="s">
        <v>114</v>
      </c>
      <c r="F3218" s="65">
        <v>17.489999999999998</v>
      </c>
    </row>
    <row r="3219" spans="2:6" hidden="1" x14ac:dyDescent="0.25">
      <c r="B3219" s="51">
        <f>YEAR(BDRIOSJ[[#This Row],[FECHA]])</f>
        <v>2025</v>
      </c>
      <c r="C3219" s="51">
        <f>MONTH(BDRIOSJ[[#This Row],[FECHA]])</f>
        <v>9</v>
      </c>
      <c r="D3219" s="81">
        <v>45922</v>
      </c>
      <c r="E3219" s="60" t="s">
        <v>115</v>
      </c>
      <c r="F3219" s="65">
        <v>17.489999999999998</v>
      </c>
    </row>
    <row r="3220" spans="2:6" hidden="1" x14ac:dyDescent="0.25">
      <c r="B3220" s="51">
        <f>YEAR(BDRIOSJ[[#This Row],[FECHA]])</f>
        <v>2025</v>
      </c>
      <c r="C3220" s="51">
        <f>MONTH(BDRIOSJ[[#This Row],[FECHA]])</f>
        <v>9</v>
      </c>
      <c r="D3220" s="81">
        <v>45923</v>
      </c>
      <c r="E3220" s="60" t="s">
        <v>111</v>
      </c>
      <c r="F3220" s="65">
        <v>17.489999999999998</v>
      </c>
    </row>
    <row r="3221" spans="2:6" hidden="1" x14ac:dyDescent="0.25">
      <c r="B3221" s="51">
        <f>YEAR(BDRIOSJ[[#This Row],[FECHA]])</f>
        <v>2025</v>
      </c>
      <c r="C3221" s="51">
        <f>MONTH(BDRIOSJ[[#This Row],[FECHA]])</f>
        <v>9</v>
      </c>
      <c r="D3221" s="81">
        <v>45923</v>
      </c>
      <c r="E3221" s="60" t="s">
        <v>113</v>
      </c>
      <c r="F3221" s="65">
        <v>17.489999999999998</v>
      </c>
    </row>
    <row r="3222" spans="2:6" hidden="1" x14ac:dyDescent="0.25">
      <c r="B3222" s="51">
        <f>YEAR(BDRIOSJ[[#This Row],[FECHA]])</f>
        <v>2025</v>
      </c>
      <c r="C3222" s="51">
        <f>MONTH(BDRIOSJ[[#This Row],[FECHA]])</f>
        <v>9</v>
      </c>
      <c r="D3222" s="81">
        <v>45923</v>
      </c>
      <c r="E3222" s="60" t="s">
        <v>114</v>
      </c>
      <c r="F3222" s="65">
        <v>17.489999999999998</v>
      </c>
    </row>
    <row r="3223" spans="2:6" hidden="1" x14ac:dyDescent="0.25">
      <c r="B3223" s="51">
        <f>YEAR(BDRIOSJ[[#This Row],[FECHA]])</f>
        <v>2025</v>
      </c>
      <c r="C3223" s="51">
        <f>MONTH(BDRIOSJ[[#This Row],[FECHA]])</f>
        <v>9</v>
      </c>
      <c r="D3223" s="81">
        <v>45923</v>
      </c>
      <c r="E3223" s="60" t="s">
        <v>115</v>
      </c>
      <c r="F3223" s="65">
        <v>17.489999999999998</v>
      </c>
    </row>
    <row r="3224" spans="2:6" hidden="1" x14ac:dyDescent="0.25">
      <c r="B3224" s="51">
        <f>YEAR(BDRIOSJ[[#This Row],[FECHA]])</f>
        <v>2025</v>
      </c>
      <c r="C3224" s="51">
        <f>MONTH(BDRIOSJ[[#This Row],[FECHA]])</f>
        <v>9</v>
      </c>
      <c r="D3224" s="81">
        <v>45924</v>
      </c>
      <c r="E3224" s="60" t="s">
        <v>111</v>
      </c>
      <c r="F3224" s="65">
        <v>17.489999999999998</v>
      </c>
    </row>
    <row r="3225" spans="2:6" hidden="1" x14ac:dyDescent="0.25">
      <c r="B3225" s="51">
        <f>YEAR(BDRIOSJ[[#This Row],[FECHA]])</f>
        <v>2025</v>
      </c>
      <c r="C3225" s="51">
        <f>MONTH(BDRIOSJ[[#This Row],[FECHA]])</f>
        <v>9</v>
      </c>
      <c r="D3225" s="81">
        <v>45924</v>
      </c>
      <c r="E3225" s="60" t="s">
        <v>113</v>
      </c>
      <c r="F3225" s="65"/>
    </row>
    <row r="3226" spans="2:6" hidden="1" x14ac:dyDescent="0.25">
      <c r="B3226" s="51">
        <f>YEAR(BDRIOSJ[[#This Row],[FECHA]])</f>
        <v>2025</v>
      </c>
      <c r="C3226" s="51">
        <f>MONTH(BDRIOSJ[[#This Row],[FECHA]])</f>
        <v>9</v>
      </c>
      <c r="D3226" s="81">
        <v>45924</v>
      </c>
      <c r="E3226" s="60" t="s">
        <v>114</v>
      </c>
      <c r="F3226" s="65"/>
    </row>
    <row r="3227" spans="2:6" hidden="1" x14ac:dyDescent="0.25">
      <c r="B3227" s="51">
        <f>YEAR(BDRIOSJ[[#This Row],[FECHA]])</f>
        <v>2025</v>
      </c>
      <c r="C3227" s="51">
        <f>MONTH(BDRIOSJ[[#This Row],[FECHA]])</f>
        <v>9</v>
      </c>
      <c r="D3227" s="81">
        <v>45924</v>
      </c>
      <c r="E3227" s="60" t="s">
        <v>115</v>
      </c>
      <c r="F3227" s="65"/>
    </row>
    <row r="3228" spans="2:6" hidden="1" x14ac:dyDescent="0.25">
      <c r="B3228" s="51">
        <f>YEAR(BDRIOSJ[[#This Row],[FECHA]])</f>
        <v>2025</v>
      </c>
      <c r="C3228" s="51">
        <f>MONTH(BDRIOSJ[[#This Row],[FECHA]])</f>
        <v>9</v>
      </c>
      <c r="D3228" s="81">
        <v>45925</v>
      </c>
      <c r="E3228" s="60" t="s">
        <v>111</v>
      </c>
      <c r="F3228" s="65"/>
    </row>
    <row r="3229" spans="2:6" hidden="1" x14ac:dyDescent="0.25">
      <c r="B3229" s="51">
        <f>YEAR(BDRIOSJ[[#This Row],[FECHA]])</f>
        <v>2025</v>
      </c>
      <c r="C3229" s="51">
        <f>MONTH(BDRIOSJ[[#This Row],[FECHA]])</f>
        <v>9</v>
      </c>
      <c r="D3229" s="81">
        <v>45925</v>
      </c>
      <c r="E3229" s="60" t="s">
        <v>113</v>
      </c>
      <c r="F3229" s="65"/>
    </row>
    <row r="3230" spans="2:6" hidden="1" x14ac:dyDescent="0.25">
      <c r="B3230" s="51">
        <f>YEAR(BDRIOSJ[[#This Row],[FECHA]])</f>
        <v>2025</v>
      </c>
      <c r="C3230" s="51">
        <f>MONTH(BDRIOSJ[[#This Row],[FECHA]])</f>
        <v>9</v>
      </c>
      <c r="D3230" s="81">
        <v>45925</v>
      </c>
      <c r="E3230" s="60" t="s">
        <v>114</v>
      </c>
      <c r="F3230" s="65"/>
    </row>
    <row r="3231" spans="2:6" hidden="1" x14ac:dyDescent="0.25">
      <c r="B3231" s="51">
        <f>YEAR(BDRIOSJ[[#This Row],[FECHA]])</f>
        <v>2025</v>
      </c>
      <c r="C3231" s="51">
        <f>MONTH(BDRIOSJ[[#This Row],[FECHA]])</f>
        <v>9</v>
      </c>
      <c r="D3231" s="81">
        <v>45925</v>
      </c>
      <c r="E3231" s="60" t="s">
        <v>115</v>
      </c>
      <c r="F3231" s="65"/>
    </row>
    <row r="3232" spans="2:6" hidden="1" x14ac:dyDescent="0.25">
      <c r="B3232" s="51">
        <f>YEAR(BDRIOSJ[[#This Row],[FECHA]])</f>
        <v>2025</v>
      </c>
      <c r="C3232" s="51">
        <f>MONTH(BDRIOSJ[[#This Row],[FECHA]])</f>
        <v>9</v>
      </c>
      <c r="D3232" s="81">
        <v>45926</v>
      </c>
      <c r="E3232" s="60" t="s">
        <v>111</v>
      </c>
      <c r="F3232" s="65"/>
    </row>
    <row r="3233" spans="2:6" hidden="1" x14ac:dyDescent="0.25">
      <c r="B3233" s="51">
        <f>YEAR(BDRIOSJ[[#This Row],[FECHA]])</f>
        <v>2025</v>
      </c>
      <c r="C3233" s="51">
        <f>MONTH(BDRIOSJ[[#This Row],[FECHA]])</f>
        <v>9</v>
      </c>
      <c r="D3233" s="81">
        <v>45926</v>
      </c>
      <c r="E3233" s="60" t="s">
        <v>113</v>
      </c>
      <c r="F3233" s="65"/>
    </row>
    <row r="3234" spans="2:6" hidden="1" x14ac:dyDescent="0.25">
      <c r="B3234" s="51">
        <f>YEAR(BDRIOSJ[[#This Row],[FECHA]])</f>
        <v>2025</v>
      </c>
      <c r="C3234" s="51">
        <f>MONTH(BDRIOSJ[[#This Row],[FECHA]])</f>
        <v>9</v>
      </c>
      <c r="D3234" s="81">
        <v>45926</v>
      </c>
      <c r="E3234" s="60" t="s">
        <v>114</v>
      </c>
      <c r="F3234" s="65"/>
    </row>
    <row r="3235" spans="2:6" hidden="1" x14ac:dyDescent="0.25">
      <c r="B3235" s="51">
        <f>YEAR(BDRIOSJ[[#This Row],[FECHA]])</f>
        <v>2025</v>
      </c>
      <c r="C3235" s="51">
        <f>MONTH(BDRIOSJ[[#This Row],[FECHA]])</f>
        <v>9</v>
      </c>
      <c r="D3235" s="81">
        <v>45926</v>
      </c>
      <c r="E3235" s="60" t="s">
        <v>115</v>
      </c>
      <c r="F3235" s="65"/>
    </row>
    <row r="3236" spans="2:6" hidden="1" x14ac:dyDescent="0.25">
      <c r="B3236" s="51">
        <f>YEAR(BDRIOSJ[[#This Row],[FECHA]])</f>
        <v>2025</v>
      </c>
      <c r="C3236" s="51">
        <f>MONTH(BDRIOSJ[[#This Row],[FECHA]])</f>
        <v>9</v>
      </c>
      <c r="D3236" s="81">
        <v>45927</v>
      </c>
      <c r="E3236" s="60" t="s">
        <v>111</v>
      </c>
      <c r="F3236" s="65"/>
    </row>
    <row r="3237" spans="2:6" hidden="1" x14ac:dyDescent="0.25">
      <c r="B3237" s="51">
        <f>YEAR(BDRIOSJ[[#This Row],[FECHA]])</f>
        <v>2025</v>
      </c>
      <c r="C3237" s="51">
        <f>MONTH(BDRIOSJ[[#This Row],[FECHA]])</f>
        <v>9</v>
      </c>
      <c r="D3237" s="81">
        <v>45927</v>
      </c>
      <c r="E3237" s="60" t="s">
        <v>113</v>
      </c>
      <c r="F3237" s="65"/>
    </row>
    <row r="3238" spans="2:6" hidden="1" x14ac:dyDescent="0.25">
      <c r="B3238" s="51">
        <f>YEAR(BDRIOSJ[[#This Row],[FECHA]])</f>
        <v>2025</v>
      </c>
      <c r="C3238" s="51">
        <f>MONTH(BDRIOSJ[[#This Row],[FECHA]])</f>
        <v>9</v>
      </c>
      <c r="D3238" s="81">
        <v>45927</v>
      </c>
      <c r="E3238" s="60" t="s">
        <v>114</v>
      </c>
      <c r="F3238" s="65"/>
    </row>
    <row r="3239" spans="2:6" hidden="1" x14ac:dyDescent="0.25">
      <c r="B3239" s="51">
        <f>YEAR(BDRIOSJ[[#This Row],[FECHA]])</f>
        <v>2025</v>
      </c>
      <c r="C3239" s="51">
        <f>MONTH(BDRIOSJ[[#This Row],[FECHA]])</f>
        <v>9</v>
      </c>
      <c r="D3239" s="81">
        <v>45927</v>
      </c>
      <c r="E3239" s="60" t="s">
        <v>115</v>
      </c>
      <c r="F3239" s="65"/>
    </row>
    <row r="3240" spans="2:6" hidden="1" x14ac:dyDescent="0.25">
      <c r="B3240" s="51">
        <f>YEAR(BDRIOSJ[[#This Row],[FECHA]])</f>
        <v>2025</v>
      </c>
      <c r="C3240" s="51">
        <f>MONTH(BDRIOSJ[[#This Row],[FECHA]])</f>
        <v>9</v>
      </c>
      <c r="D3240" s="81">
        <v>45928</v>
      </c>
      <c r="E3240" s="60" t="s">
        <v>111</v>
      </c>
      <c r="F3240" s="65"/>
    </row>
    <row r="3241" spans="2:6" hidden="1" x14ac:dyDescent="0.25">
      <c r="B3241" s="51">
        <f>YEAR(BDRIOSJ[[#This Row],[FECHA]])</f>
        <v>2025</v>
      </c>
      <c r="C3241" s="51">
        <f>MONTH(BDRIOSJ[[#This Row],[FECHA]])</f>
        <v>9</v>
      </c>
      <c r="D3241" s="81">
        <v>45928</v>
      </c>
      <c r="E3241" s="60" t="s">
        <v>113</v>
      </c>
      <c r="F3241" s="65"/>
    </row>
    <row r="3242" spans="2:6" hidden="1" x14ac:dyDescent="0.25">
      <c r="B3242" s="51">
        <f>YEAR(BDRIOSJ[[#This Row],[FECHA]])</f>
        <v>2025</v>
      </c>
      <c r="C3242" s="51">
        <f>MONTH(BDRIOSJ[[#This Row],[FECHA]])</f>
        <v>9</v>
      </c>
      <c r="D3242" s="81">
        <v>45928</v>
      </c>
      <c r="E3242" s="60" t="s">
        <v>114</v>
      </c>
      <c r="F3242" s="65"/>
    </row>
    <row r="3243" spans="2:6" hidden="1" x14ac:dyDescent="0.25">
      <c r="B3243" s="51">
        <f>YEAR(BDRIOSJ[[#This Row],[FECHA]])</f>
        <v>2025</v>
      </c>
      <c r="C3243" s="51">
        <f>MONTH(BDRIOSJ[[#This Row],[FECHA]])</f>
        <v>9</v>
      </c>
      <c r="D3243" s="81">
        <v>45928</v>
      </c>
      <c r="E3243" s="60" t="s">
        <v>115</v>
      </c>
      <c r="F3243" s="65"/>
    </row>
    <row r="3244" spans="2:6" hidden="1" x14ac:dyDescent="0.25">
      <c r="B3244" s="51">
        <f>YEAR(BDRIOSJ[[#This Row],[FECHA]])</f>
        <v>2025</v>
      </c>
      <c r="C3244" s="51">
        <f>MONTH(BDRIOSJ[[#This Row],[FECHA]])</f>
        <v>9</v>
      </c>
      <c r="D3244" s="81">
        <v>45929</v>
      </c>
      <c r="E3244" s="60" t="s">
        <v>111</v>
      </c>
      <c r="F3244" s="65"/>
    </row>
    <row r="3245" spans="2:6" hidden="1" x14ac:dyDescent="0.25">
      <c r="B3245" s="51">
        <f>YEAR(BDRIOSJ[[#This Row],[FECHA]])</f>
        <v>2025</v>
      </c>
      <c r="C3245" s="51">
        <f>MONTH(BDRIOSJ[[#This Row],[FECHA]])</f>
        <v>9</v>
      </c>
      <c r="D3245" s="81">
        <v>45929</v>
      </c>
      <c r="E3245" s="60" t="s">
        <v>113</v>
      </c>
      <c r="F3245" s="65"/>
    </row>
    <row r="3246" spans="2:6" hidden="1" x14ac:dyDescent="0.25">
      <c r="B3246" s="51">
        <f>YEAR(BDRIOSJ[[#This Row],[FECHA]])</f>
        <v>2025</v>
      </c>
      <c r="C3246" s="51">
        <f>MONTH(BDRIOSJ[[#This Row],[FECHA]])</f>
        <v>9</v>
      </c>
      <c r="D3246" s="81">
        <v>45929</v>
      </c>
      <c r="E3246" s="60" t="s">
        <v>114</v>
      </c>
      <c r="F3246" s="65"/>
    </row>
    <row r="3247" spans="2:6" hidden="1" x14ac:dyDescent="0.25">
      <c r="B3247" s="51">
        <f>YEAR(BDRIOSJ[[#This Row],[FECHA]])</f>
        <v>2025</v>
      </c>
      <c r="C3247" s="51">
        <f>MONTH(BDRIOSJ[[#This Row],[FECHA]])</f>
        <v>9</v>
      </c>
      <c r="D3247" s="81">
        <v>45929</v>
      </c>
      <c r="E3247" s="60" t="s">
        <v>115</v>
      </c>
      <c r="F3247" s="65"/>
    </row>
    <row r="3248" spans="2:6" hidden="1" x14ac:dyDescent="0.25">
      <c r="B3248" s="51">
        <f>YEAR(BDRIOSJ[[#This Row],[FECHA]])</f>
        <v>2025</v>
      </c>
      <c r="C3248" s="51">
        <f>MONTH(BDRIOSJ[[#This Row],[FECHA]])</f>
        <v>9</v>
      </c>
      <c r="D3248" s="81">
        <v>45930</v>
      </c>
      <c r="E3248" s="60" t="s">
        <v>111</v>
      </c>
      <c r="F3248" s="65"/>
    </row>
    <row r="3249" spans="2:6" hidden="1" x14ac:dyDescent="0.25">
      <c r="B3249" s="51">
        <f>YEAR(BDRIOSJ[[#This Row],[FECHA]])</f>
        <v>2025</v>
      </c>
      <c r="C3249" s="51">
        <f>MONTH(BDRIOSJ[[#This Row],[FECHA]])</f>
        <v>9</v>
      </c>
      <c r="D3249" s="81">
        <v>45930</v>
      </c>
      <c r="E3249" s="60" t="s">
        <v>113</v>
      </c>
      <c r="F3249" s="65"/>
    </row>
    <row r="3250" spans="2:6" hidden="1" x14ac:dyDescent="0.25">
      <c r="B3250" s="51">
        <f>YEAR(BDRIOSJ[[#This Row],[FECHA]])</f>
        <v>2025</v>
      </c>
      <c r="C3250" s="51">
        <f>MONTH(BDRIOSJ[[#This Row],[FECHA]])</f>
        <v>9</v>
      </c>
      <c r="D3250" s="81">
        <v>45930</v>
      </c>
      <c r="E3250" s="60" t="s">
        <v>114</v>
      </c>
      <c r="F3250" s="65"/>
    </row>
    <row r="3251" spans="2:6" hidden="1" x14ac:dyDescent="0.25">
      <c r="B3251" s="51">
        <f>YEAR(BDRIOSJ[[#This Row],[FECHA]])</f>
        <v>2025</v>
      </c>
      <c r="C3251" s="51">
        <f>MONTH(BDRIOSJ[[#This Row],[FECHA]])</f>
        <v>9</v>
      </c>
      <c r="D3251" s="81">
        <v>45930</v>
      </c>
      <c r="E3251" s="60" t="s">
        <v>115</v>
      </c>
      <c r="F3251" s="65"/>
    </row>
    <row r="3252" spans="2:6" hidden="1" x14ac:dyDescent="0.25">
      <c r="B3252" s="51">
        <f>YEAR(BDRIOSJ[[#This Row],[FECHA]])</f>
        <v>2025</v>
      </c>
      <c r="C3252" s="51">
        <f>MONTH(BDRIOSJ[[#This Row],[FECHA]])</f>
        <v>10</v>
      </c>
      <c r="D3252" s="81">
        <v>45931</v>
      </c>
      <c r="E3252" s="60" t="s">
        <v>111</v>
      </c>
      <c r="F3252" s="65"/>
    </row>
    <row r="3253" spans="2:6" hidden="1" x14ac:dyDescent="0.25">
      <c r="B3253" s="51">
        <f>YEAR(BDRIOSJ[[#This Row],[FECHA]])</f>
        <v>2025</v>
      </c>
      <c r="C3253" s="51">
        <f>MONTH(BDRIOSJ[[#This Row],[FECHA]])</f>
        <v>10</v>
      </c>
      <c r="D3253" s="81">
        <v>45932</v>
      </c>
      <c r="E3253" s="60" t="s">
        <v>113</v>
      </c>
      <c r="F3253" s="65"/>
    </row>
    <row r="3254" spans="2:6" hidden="1" x14ac:dyDescent="0.25">
      <c r="B3254" s="51">
        <f>YEAR(BDRIOSJ[[#This Row],[FECHA]])</f>
        <v>2025</v>
      </c>
      <c r="C3254" s="51">
        <f>MONTH(BDRIOSJ[[#This Row],[FECHA]])</f>
        <v>10</v>
      </c>
      <c r="D3254" s="81">
        <v>45933</v>
      </c>
      <c r="E3254" s="60" t="s">
        <v>114</v>
      </c>
      <c r="F3254" s="65"/>
    </row>
    <row r="3255" spans="2:6" hidden="1" x14ac:dyDescent="0.25">
      <c r="B3255" s="51">
        <f>YEAR(BDRIOSJ[[#This Row],[FECHA]])</f>
        <v>2025</v>
      </c>
      <c r="C3255" s="51">
        <f>MONTH(BDRIOSJ[[#This Row],[FECHA]])</f>
        <v>10</v>
      </c>
      <c r="D3255" s="81">
        <v>45934</v>
      </c>
      <c r="E3255" s="60" t="s">
        <v>115</v>
      </c>
      <c r="F3255" s="65"/>
    </row>
    <row r="3256" spans="2:6" hidden="1" x14ac:dyDescent="0.25">
      <c r="B3256" s="51">
        <f>YEAR(BDRIOSJ[[#This Row],[FECHA]])</f>
        <v>2025</v>
      </c>
      <c r="C3256" s="51">
        <f>MONTH(BDRIOSJ[[#This Row],[FECHA]])</f>
        <v>10</v>
      </c>
      <c r="D3256" s="81">
        <v>45935</v>
      </c>
      <c r="E3256" s="60" t="s">
        <v>111</v>
      </c>
      <c r="F3256" s="65"/>
    </row>
    <row r="3257" spans="2:6" hidden="1" x14ac:dyDescent="0.25">
      <c r="B3257" s="51">
        <f>YEAR(BDRIOSJ[[#This Row],[FECHA]])</f>
        <v>2025</v>
      </c>
      <c r="C3257" s="51">
        <f>MONTH(BDRIOSJ[[#This Row],[FECHA]])</f>
        <v>10</v>
      </c>
      <c r="D3257" s="81">
        <v>45936</v>
      </c>
      <c r="E3257" s="60" t="s">
        <v>111</v>
      </c>
      <c r="F3257" s="65"/>
    </row>
    <row r="3258" spans="2:6" hidden="1" x14ac:dyDescent="0.25">
      <c r="B3258" s="51">
        <f>YEAR(BDRIOSJ[[#This Row],[FECHA]])</f>
        <v>2025</v>
      </c>
      <c r="C3258" s="51">
        <f>MONTH(BDRIOSJ[[#This Row],[FECHA]])</f>
        <v>10</v>
      </c>
      <c r="D3258" s="81">
        <v>45936</v>
      </c>
      <c r="E3258" s="60" t="s">
        <v>113</v>
      </c>
      <c r="F3258" s="65">
        <v>17.489999999999998</v>
      </c>
    </row>
    <row r="3259" spans="2:6" hidden="1" x14ac:dyDescent="0.25">
      <c r="B3259" s="51">
        <f>YEAR(BDRIOSJ[[#This Row],[FECHA]])</f>
        <v>2025</v>
      </c>
      <c r="C3259" s="51">
        <f>MONTH(BDRIOSJ[[#This Row],[FECHA]])</f>
        <v>10</v>
      </c>
      <c r="D3259" s="81">
        <v>45936</v>
      </c>
      <c r="E3259" s="60" t="s">
        <v>114</v>
      </c>
      <c r="F3259" s="65">
        <v>17.489999999999998</v>
      </c>
    </row>
    <row r="3260" spans="2:6" hidden="1" x14ac:dyDescent="0.25">
      <c r="B3260" s="51">
        <f>YEAR(BDRIOSJ[[#This Row],[FECHA]])</f>
        <v>2025</v>
      </c>
      <c r="C3260" s="51">
        <f>MONTH(BDRIOSJ[[#This Row],[FECHA]])</f>
        <v>10</v>
      </c>
      <c r="D3260" s="81">
        <v>45936</v>
      </c>
      <c r="E3260" s="60" t="s">
        <v>115</v>
      </c>
      <c r="F3260" s="65">
        <v>17.489999999999998</v>
      </c>
    </row>
    <row r="3261" spans="2:6" hidden="1" x14ac:dyDescent="0.25">
      <c r="B3261" s="51">
        <f>YEAR(BDRIOSJ[[#This Row],[FECHA]])</f>
        <v>2025</v>
      </c>
      <c r="C3261" s="51">
        <f>MONTH(BDRIOSJ[[#This Row],[FECHA]])</f>
        <v>10</v>
      </c>
      <c r="D3261" s="81">
        <v>45937</v>
      </c>
      <c r="E3261" s="60" t="s">
        <v>114</v>
      </c>
      <c r="F3261" s="65">
        <v>17.489999999999998</v>
      </c>
    </row>
    <row r="3262" spans="2:6" hidden="1" x14ac:dyDescent="0.25">
      <c r="B3262" s="51">
        <f>YEAR(BDRIOSJ[[#This Row],[FECHA]])</f>
        <v>2025</v>
      </c>
      <c r="C3262" s="51">
        <f>MONTH(BDRIOSJ[[#This Row],[FECHA]])</f>
        <v>10</v>
      </c>
      <c r="D3262" s="81">
        <v>45938</v>
      </c>
      <c r="E3262" s="60" t="s">
        <v>115</v>
      </c>
      <c r="F3262" s="65">
        <v>17.489999999999998</v>
      </c>
    </row>
    <row r="3263" spans="2:6" hidden="1" x14ac:dyDescent="0.25">
      <c r="B3263" s="51">
        <f>YEAR(BDRIOSJ[[#This Row],[FECHA]])</f>
        <v>2025</v>
      </c>
      <c r="C3263" s="51">
        <f>MONTH(BDRIOSJ[[#This Row],[FECHA]])</f>
        <v>10</v>
      </c>
      <c r="D3263" s="81">
        <v>45939</v>
      </c>
      <c r="E3263" s="60" t="s">
        <v>111</v>
      </c>
      <c r="F3263" s="65">
        <v>17.489999999999998</v>
      </c>
    </row>
    <row r="3264" spans="2:6" hidden="1" x14ac:dyDescent="0.25">
      <c r="B3264" s="51">
        <f>YEAR(BDRIOSJ[[#This Row],[FECHA]])</f>
        <v>2025</v>
      </c>
      <c r="C3264" s="51">
        <f>MONTH(BDRIOSJ[[#This Row],[FECHA]])</f>
        <v>10</v>
      </c>
      <c r="D3264" s="81">
        <v>45940</v>
      </c>
      <c r="E3264" s="60" t="s">
        <v>113</v>
      </c>
      <c r="F3264" s="65"/>
    </row>
    <row r="3265" spans="2:6" hidden="1" x14ac:dyDescent="0.25">
      <c r="B3265" s="51">
        <f>YEAR(BDRIOSJ[[#This Row],[FECHA]])</f>
        <v>2025</v>
      </c>
      <c r="C3265" s="51">
        <f>MONTH(BDRIOSJ[[#This Row],[FECHA]])</f>
        <v>10</v>
      </c>
      <c r="D3265" s="81">
        <v>45941</v>
      </c>
      <c r="E3265" s="60" t="s">
        <v>114</v>
      </c>
      <c r="F3265" s="65"/>
    </row>
    <row r="3266" spans="2:6" hidden="1" x14ac:dyDescent="0.25">
      <c r="B3266" s="51">
        <f>YEAR(BDRIOSJ[[#This Row],[FECHA]])</f>
        <v>2025</v>
      </c>
      <c r="C3266" s="51">
        <f>MONTH(BDRIOSJ[[#This Row],[FECHA]])</f>
        <v>10</v>
      </c>
      <c r="D3266" s="81">
        <v>45942</v>
      </c>
      <c r="E3266" s="60" t="s">
        <v>115</v>
      </c>
      <c r="F3266" s="65"/>
    </row>
    <row r="3267" spans="2:6" hidden="1" x14ac:dyDescent="0.25">
      <c r="B3267" s="51">
        <f>YEAR(BDRIOSJ[[#This Row],[FECHA]])</f>
        <v>2025</v>
      </c>
      <c r="C3267" s="51">
        <f>MONTH(BDRIOSJ[[#This Row],[FECHA]])</f>
        <v>10</v>
      </c>
      <c r="D3267" s="81">
        <v>45943</v>
      </c>
      <c r="E3267" s="49"/>
      <c r="F3267" s="65"/>
    </row>
    <row r="3268" spans="2:6" hidden="1" x14ac:dyDescent="0.25">
      <c r="B3268" s="51">
        <f>YEAR(BDRIOSJ[[#This Row],[FECHA]])</f>
        <v>2025</v>
      </c>
      <c r="C3268" s="51">
        <f>MONTH(BDRIOSJ[[#This Row],[FECHA]])</f>
        <v>10</v>
      </c>
      <c r="D3268" s="81">
        <v>45944</v>
      </c>
      <c r="E3268" s="49"/>
      <c r="F3268" s="65"/>
    </row>
    <row r="3269" spans="2:6" hidden="1" x14ac:dyDescent="0.25">
      <c r="B3269" s="51">
        <f>YEAR(BDRIOSJ[[#This Row],[FECHA]])</f>
        <v>2025</v>
      </c>
      <c r="C3269" s="51">
        <f>MONTH(BDRIOSJ[[#This Row],[FECHA]])</f>
        <v>10</v>
      </c>
      <c r="D3269" s="81">
        <v>45945</v>
      </c>
      <c r="E3269" s="49"/>
      <c r="F3269" s="65"/>
    </row>
    <row r="3270" spans="2:6" hidden="1" x14ac:dyDescent="0.25">
      <c r="B3270" s="51">
        <f>YEAR(BDRIOSJ[[#This Row],[FECHA]])</f>
        <v>2025</v>
      </c>
      <c r="C3270" s="51">
        <f>MONTH(BDRIOSJ[[#This Row],[FECHA]])</f>
        <v>10</v>
      </c>
      <c r="D3270" s="81">
        <v>45946</v>
      </c>
      <c r="E3270" s="49"/>
      <c r="F3270" s="65"/>
    </row>
    <row r="3271" spans="2:6" hidden="1" x14ac:dyDescent="0.25">
      <c r="B3271" s="51">
        <f>YEAR(BDRIOSJ[[#This Row],[FECHA]])</f>
        <v>2025</v>
      </c>
      <c r="C3271" s="51">
        <f>MONTH(BDRIOSJ[[#This Row],[FECHA]])</f>
        <v>10</v>
      </c>
      <c r="D3271" s="81">
        <v>45947</v>
      </c>
      <c r="E3271" s="49"/>
      <c r="F3271" s="65"/>
    </row>
    <row r="3272" spans="2:6" hidden="1" x14ac:dyDescent="0.25">
      <c r="B3272" s="51">
        <f>YEAR(BDRIOSJ[[#This Row],[FECHA]])</f>
        <v>2025</v>
      </c>
      <c r="C3272" s="51">
        <f>MONTH(BDRIOSJ[[#This Row],[FECHA]])</f>
        <v>10</v>
      </c>
      <c r="D3272" s="81">
        <v>45948</v>
      </c>
      <c r="E3272" s="49"/>
      <c r="F3272" s="65"/>
    </row>
    <row r="3273" spans="2:6" hidden="1" x14ac:dyDescent="0.25">
      <c r="B3273" s="51">
        <f>YEAR(BDRIOSJ[[#This Row],[FECHA]])</f>
        <v>2025</v>
      </c>
      <c r="C3273" s="51">
        <f>MONTH(BDRIOSJ[[#This Row],[FECHA]])</f>
        <v>10</v>
      </c>
      <c r="D3273" s="81">
        <v>45949</v>
      </c>
      <c r="E3273" s="49"/>
      <c r="F3273" s="65"/>
    </row>
    <row r="3274" spans="2:6" hidden="1" x14ac:dyDescent="0.25">
      <c r="B3274" s="51">
        <f>YEAR(BDRIOSJ[[#This Row],[FECHA]])</f>
        <v>2025</v>
      </c>
      <c r="C3274" s="51">
        <f>MONTH(BDRIOSJ[[#This Row],[FECHA]])</f>
        <v>10</v>
      </c>
      <c r="D3274" s="81">
        <v>45950</v>
      </c>
      <c r="E3274" s="49"/>
      <c r="F3274" s="65"/>
    </row>
    <row r="3275" spans="2:6" hidden="1" x14ac:dyDescent="0.25">
      <c r="B3275" s="51">
        <f>YEAR(BDRIOSJ[[#This Row],[FECHA]])</f>
        <v>2025</v>
      </c>
      <c r="C3275" s="51">
        <f>MONTH(BDRIOSJ[[#This Row],[FECHA]])</f>
        <v>10</v>
      </c>
      <c r="D3275" s="81">
        <v>45951</v>
      </c>
      <c r="E3275" s="49"/>
      <c r="F3275" s="65"/>
    </row>
    <row r="3276" spans="2:6" hidden="1" x14ac:dyDescent="0.25">
      <c r="B3276" s="51">
        <f>YEAR(BDRIOSJ[[#This Row],[FECHA]])</f>
        <v>2025</v>
      </c>
      <c r="C3276" s="51">
        <f>MONTH(BDRIOSJ[[#This Row],[FECHA]])</f>
        <v>10</v>
      </c>
      <c r="D3276" s="81">
        <v>45952</v>
      </c>
      <c r="E3276" s="49"/>
      <c r="F3276" s="65"/>
    </row>
    <row r="3277" spans="2:6" hidden="1" x14ac:dyDescent="0.25">
      <c r="B3277" s="51">
        <f>YEAR(BDRIOSJ[[#This Row],[FECHA]])</f>
        <v>2025</v>
      </c>
      <c r="C3277" s="51">
        <f>MONTH(BDRIOSJ[[#This Row],[FECHA]])</f>
        <v>10</v>
      </c>
      <c r="D3277" s="81">
        <v>45953</v>
      </c>
      <c r="E3277" s="49"/>
      <c r="F3277" s="65"/>
    </row>
    <row r="3278" spans="2:6" hidden="1" x14ac:dyDescent="0.25">
      <c r="B3278" s="51">
        <f>YEAR(BDRIOSJ[[#This Row],[FECHA]])</f>
        <v>2025</v>
      </c>
      <c r="C3278" s="51">
        <f>MONTH(BDRIOSJ[[#This Row],[FECHA]])</f>
        <v>10</v>
      </c>
      <c r="D3278" s="81">
        <v>45954</v>
      </c>
      <c r="E3278" s="49"/>
      <c r="F3278" s="65"/>
    </row>
    <row r="3279" spans="2:6" hidden="1" x14ac:dyDescent="0.25">
      <c r="B3279" s="51">
        <f>YEAR(BDRIOSJ[[#This Row],[FECHA]])</f>
        <v>2025</v>
      </c>
      <c r="C3279" s="51">
        <f>MONTH(BDRIOSJ[[#This Row],[FECHA]])</f>
        <v>10</v>
      </c>
      <c r="D3279" s="81">
        <v>45955</v>
      </c>
      <c r="E3279" s="49"/>
      <c r="F3279" s="65"/>
    </row>
    <row r="3280" spans="2:6" hidden="1" x14ac:dyDescent="0.25">
      <c r="B3280" s="51">
        <f>YEAR(BDRIOSJ[[#This Row],[FECHA]])</f>
        <v>2025</v>
      </c>
      <c r="C3280" s="51">
        <f>MONTH(BDRIOSJ[[#This Row],[FECHA]])</f>
        <v>10</v>
      </c>
      <c r="D3280" s="81">
        <v>45956</v>
      </c>
      <c r="E3280" s="49"/>
      <c r="F3280" s="65"/>
    </row>
    <row r="3281" spans="2:6" hidden="1" x14ac:dyDescent="0.25">
      <c r="B3281" s="51">
        <f>YEAR(BDRIOSJ[[#This Row],[FECHA]])</f>
        <v>2025</v>
      </c>
      <c r="C3281" s="51">
        <f>MONTH(BDRIOSJ[[#This Row],[FECHA]])</f>
        <v>10</v>
      </c>
      <c r="D3281" s="81">
        <v>45957</v>
      </c>
      <c r="E3281" s="49"/>
      <c r="F3281" s="65"/>
    </row>
    <row r="3282" spans="2:6" hidden="1" x14ac:dyDescent="0.25">
      <c r="B3282" s="51">
        <f>YEAR(BDRIOSJ[[#This Row],[FECHA]])</f>
        <v>2025</v>
      </c>
      <c r="C3282" s="51">
        <f>MONTH(BDRIOSJ[[#This Row],[FECHA]])</f>
        <v>10</v>
      </c>
      <c r="D3282" s="81">
        <v>45958</v>
      </c>
      <c r="E3282" s="60" t="s">
        <v>111</v>
      </c>
      <c r="F3282" s="65">
        <v>14.3</v>
      </c>
    </row>
    <row r="3283" spans="2:6" hidden="1" x14ac:dyDescent="0.25">
      <c r="B3283" s="51">
        <f>YEAR(BDRIOSJ[[#This Row],[FECHA]])</f>
        <v>2025</v>
      </c>
      <c r="C3283" s="51">
        <f>MONTH(BDRIOSJ[[#This Row],[FECHA]])</f>
        <v>10</v>
      </c>
      <c r="D3283" s="81">
        <v>45958</v>
      </c>
      <c r="E3283" s="60" t="s">
        <v>113</v>
      </c>
      <c r="F3283" s="65">
        <v>14.3</v>
      </c>
    </row>
    <row r="3284" spans="2:6" hidden="1" x14ac:dyDescent="0.25">
      <c r="B3284" s="51">
        <f>YEAR(BDRIOSJ[[#This Row],[FECHA]])</f>
        <v>2025</v>
      </c>
      <c r="C3284" s="51">
        <f>MONTH(BDRIOSJ[[#This Row],[FECHA]])</f>
        <v>10</v>
      </c>
      <c r="D3284" s="81">
        <v>45958</v>
      </c>
      <c r="E3284" s="60" t="s">
        <v>114</v>
      </c>
      <c r="F3284" s="65">
        <v>14.3</v>
      </c>
    </row>
    <row r="3285" spans="2:6" hidden="1" x14ac:dyDescent="0.25">
      <c r="B3285" s="51">
        <f>YEAR(BDRIOSJ[[#This Row],[FECHA]])</f>
        <v>2025</v>
      </c>
      <c r="C3285" s="51">
        <f>MONTH(BDRIOSJ[[#This Row],[FECHA]])</f>
        <v>10</v>
      </c>
      <c r="D3285" s="81">
        <v>45958</v>
      </c>
      <c r="E3285" s="60" t="s">
        <v>115</v>
      </c>
      <c r="F3285" s="65">
        <v>14.3</v>
      </c>
    </row>
    <row r="3286" spans="2:6" hidden="1" x14ac:dyDescent="0.25">
      <c r="B3286" s="51">
        <f>YEAR(BDRIOSJ[[#This Row],[FECHA]])</f>
        <v>2025</v>
      </c>
      <c r="C3286" s="51">
        <f>MONTH(BDRIOSJ[[#This Row],[FECHA]])</f>
        <v>10</v>
      </c>
      <c r="D3286" s="81">
        <v>45959</v>
      </c>
      <c r="E3286" s="60" t="s">
        <v>111</v>
      </c>
      <c r="F3286" s="65">
        <v>14.3</v>
      </c>
    </row>
    <row r="3287" spans="2:6" hidden="1" x14ac:dyDescent="0.25">
      <c r="B3287" s="51">
        <f>YEAR(BDRIOSJ[[#This Row],[FECHA]])</f>
        <v>2025</v>
      </c>
      <c r="C3287" s="51">
        <f>MONTH(BDRIOSJ[[#This Row],[FECHA]])</f>
        <v>10</v>
      </c>
      <c r="D3287" s="81">
        <v>45959</v>
      </c>
      <c r="E3287" s="60" t="s">
        <v>113</v>
      </c>
      <c r="F3287" s="65">
        <v>14.3</v>
      </c>
    </row>
    <row r="3288" spans="2:6" hidden="1" x14ac:dyDescent="0.25">
      <c r="B3288" s="51">
        <f>YEAR(BDRIOSJ[[#This Row],[FECHA]])</f>
        <v>2025</v>
      </c>
      <c r="C3288" s="51">
        <f>MONTH(BDRIOSJ[[#This Row],[FECHA]])</f>
        <v>10</v>
      </c>
      <c r="D3288" s="81">
        <v>45959</v>
      </c>
      <c r="E3288" s="60" t="s">
        <v>114</v>
      </c>
      <c r="F3288" s="65">
        <v>14.3</v>
      </c>
    </row>
    <row r="3289" spans="2:6" hidden="1" x14ac:dyDescent="0.25">
      <c r="B3289" s="51">
        <f>YEAR(BDRIOSJ[[#This Row],[FECHA]])</f>
        <v>2025</v>
      </c>
      <c r="C3289" s="51">
        <f>MONTH(BDRIOSJ[[#This Row],[FECHA]])</f>
        <v>10</v>
      </c>
      <c r="D3289" s="81">
        <v>45959</v>
      </c>
      <c r="E3289" s="60" t="s">
        <v>115</v>
      </c>
      <c r="F3289" s="65">
        <v>14.3</v>
      </c>
    </row>
    <row r="3290" spans="2:6" hidden="1" x14ac:dyDescent="0.25">
      <c r="B3290" s="51">
        <f>YEAR(BDRIOSJ[[#This Row],[FECHA]])</f>
        <v>2025</v>
      </c>
      <c r="C3290" s="51">
        <f>MONTH(BDRIOSJ[[#This Row],[FECHA]])</f>
        <v>10</v>
      </c>
      <c r="D3290" s="81">
        <v>45960</v>
      </c>
      <c r="E3290" s="60" t="s">
        <v>111</v>
      </c>
      <c r="F3290" s="65">
        <v>14.3</v>
      </c>
    </row>
    <row r="3291" spans="2:6" hidden="1" x14ac:dyDescent="0.25">
      <c r="B3291" s="51">
        <f>YEAR(BDRIOSJ[[#This Row],[FECHA]])</f>
        <v>2025</v>
      </c>
      <c r="C3291" s="51">
        <f>MONTH(BDRIOSJ[[#This Row],[FECHA]])</f>
        <v>10</v>
      </c>
      <c r="D3291" s="81">
        <v>45960</v>
      </c>
      <c r="E3291" s="60" t="s">
        <v>113</v>
      </c>
      <c r="F3291" s="65">
        <v>12.91</v>
      </c>
    </row>
    <row r="3292" spans="2:6" hidden="1" x14ac:dyDescent="0.25">
      <c r="B3292" s="51">
        <f>YEAR(BDRIOSJ[[#This Row],[FECHA]])</f>
        <v>2025</v>
      </c>
      <c r="C3292" s="51">
        <f>MONTH(BDRIOSJ[[#This Row],[FECHA]])</f>
        <v>10</v>
      </c>
      <c r="D3292" s="81">
        <v>45960</v>
      </c>
      <c r="E3292" s="60" t="s">
        <v>114</v>
      </c>
      <c r="F3292" s="65">
        <v>12.91</v>
      </c>
    </row>
    <row r="3293" spans="2:6" hidden="1" x14ac:dyDescent="0.25">
      <c r="B3293" s="51">
        <f>YEAR(BDRIOSJ[[#This Row],[FECHA]])</f>
        <v>2025</v>
      </c>
      <c r="C3293" s="51">
        <f>MONTH(BDRIOSJ[[#This Row],[FECHA]])</f>
        <v>10</v>
      </c>
      <c r="D3293" s="81">
        <v>45960</v>
      </c>
      <c r="E3293" s="60" t="s">
        <v>115</v>
      </c>
      <c r="F3293" s="65">
        <v>12.91</v>
      </c>
    </row>
    <row r="3294" spans="2:6" hidden="1" x14ac:dyDescent="0.25">
      <c r="B3294" s="51">
        <f>YEAR(BDRIOSJ[[#This Row],[FECHA]])</f>
        <v>2025</v>
      </c>
      <c r="C3294" s="51">
        <f>MONTH(BDRIOSJ[[#This Row],[FECHA]])</f>
        <v>10</v>
      </c>
      <c r="D3294" s="81">
        <v>45961</v>
      </c>
      <c r="E3294" s="60" t="s">
        <v>111</v>
      </c>
      <c r="F3294" s="65">
        <v>12.91</v>
      </c>
    </row>
    <row r="3295" spans="2:6" hidden="1" x14ac:dyDescent="0.25">
      <c r="B3295" s="51">
        <f>YEAR(BDRIOSJ[[#This Row],[FECHA]])</f>
        <v>2025</v>
      </c>
      <c r="C3295" s="51">
        <f>MONTH(BDRIOSJ[[#This Row],[FECHA]])</f>
        <v>10</v>
      </c>
      <c r="D3295" s="81">
        <v>45961</v>
      </c>
      <c r="E3295" s="60" t="s">
        <v>113</v>
      </c>
      <c r="F3295" s="65">
        <v>12.91</v>
      </c>
    </row>
    <row r="3296" spans="2:6" hidden="1" x14ac:dyDescent="0.25">
      <c r="B3296" s="51">
        <f>YEAR(BDRIOSJ[[#This Row],[FECHA]])</f>
        <v>2025</v>
      </c>
      <c r="C3296" s="51">
        <f>MONTH(BDRIOSJ[[#This Row],[FECHA]])</f>
        <v>10</v>
      </c>
      <c r="D3296" s="81">
        <v>45961</v>
      </c>
      <c r="E3296" s="60" t="s">
        <v>114</v>
      </c>
      <c r="F3296" s="65">
        <v>12.91</v>
      </c>
    </row>
    <row r="3297" spans="2:6" hidden="1" x14ac:dyDescent="0.25">
      <c r="B3297" s="51">
        <f>YEAR(BDRIOSJ[[#This Row],[FECHA]])</f>
        <v>2025</v>
      </c>
      <c r="C3297" s="51">
        <f>MONTH(BDRIOSJ[[#This Row],[FECHA]])</f>
        <v>10</v>
      </c>
      <c r="D3297" s="81">
        <v>45961</v>
      </c>
      <c r="E3297" s="60" t="s">
        <v>115</v>
      </c>
      <c r="F3297" s="65">
        <v>12.91</v>
      </c>
    </row>
    <row r="3298" spans="2:6" hidden="1" x14ac:dyDescent="0.25">
      <c r="B3298" s="51">
        <f>YEAR(BDRIOSJ[[#This Row],[FECHA]])</f>
        <v>2025</v>
      </c>
      <c r="C3298" s="51">
        <f>MONTH(BDRIOSJ[[#This Row],[FECHA]])</f>
        <v>11</v>
      </c>
      <c r="D3298" s="81">
        <v>45962</v>
      </c>
      <c r="E3298" s="60" t="s">
        <v>111</v>
      </c>
      <c r="F3298" s="65">
        <v>12.91</v>
      </c>
    </row>
    <row r="3299" spans="2:6" hidden="1" x14ac:dyDescent="0.25">
      <c r="B3299" s="51">
        <f>YEAR(BDRIOSJ[[#This Row],[FECHA]])</f>
        <v>2025</v>
      </c>
      <c r="C3299" s="51">
        <f>MONTH(BDRIOSJ[[#This Row],[FECHA]])</f>
        <v>11</v>
      </c>
      <c r="D3299" s="81">
        <v>45962</v>
      </c>
      <c r="E3299" s="60" t="s">
        <v>113</v>
      </c>
      <c r="F3299" s="65">
        <v>12.91</v>
      </c>
    </row>
    <row r="3300" spans="2:6" hidden="1" x14ac:dyDescent="0.25">
      <c r="B3300" s="51">
        <f>YEAR(BDRIOSJ[[#This Row],[FECHA]])</f>
        <v>2025</v>
      </c>
      <c r="C3300" s="51">
        <f>MONTH(BDRIOSJ[[#This Row],[FECHA]])</f>
        <v>11</v>
      </c>
      <c r="D3300" s="81">
        <v>45962</v>
      </c>
      <c r="E3300" s="60" t="s">
        <v>114</v>
      </c>
      <c r="F3300" s="65">
        <v>10.57</v>
      </c>
    </row>
    <row r="3301" spans="2:6" hidden="1" x14ac:dyDescent="0.25">
      <c r="B3301" s="51">
        <f>YEAR(BDRIOSJ[[#This Row],[FECHA]])</f>
        <v>2025</v>
      </c>
      <c r="C3301" s="51">
        <f>MONTH(BDRIOSJ[[#This Row],[FECHA]])</f>
        <v>11</v>
      </c>
      <c r="D3301" s="81">
        <v>45962</v>
      </c>
      <c r="E3301" s="60" t="s">
        <v>115</v>
      </c>
      <c r="F3301" s="65">
        <v>10.57</v>
      </c>
    </row>
    <row r="3302" spans="2:6" hidden="1" x14ac:dyDescent="0.25">
      <c r="B3302" s="51">
        <f>YEAR(BDRIOSJ[[#This Row],[FECHA]])</f>
        <v>2025</v>
      </c>
      <c r="C3302" s="51">
        <f>MONTH(BDRIOSJ[[#This Row],[FECHA]])</f>
        <v>11</v>
      </c>
      <c r="D3302" s="81">
        <v>45963</v>
      </c>
      <c r="E3302" s="60" t="s">
        <v>111</v>
      </c>
      <c r="F3302" s="65">
        <v>10.57</v>
      </c>
    </row>
    <row r="3303" spans="2:6" hidden="1" x14ac:dyDescent="0.25">
      <c r="B3303" s="51">
        <f>YEAR(BDRIOSJ[[#This Row],[FECHA]])</f>
        <v>2025</v>
      </c>
      <c r="C3303" s="51">
        <f>MONTH(BDRIOSJ[[#This Row],[FECHA]])</f>
        <v>11</v>
      </c>
      <c r="D3303" s="81">
        <v>45963</v>
      </c>
      <c r="E3303" s="60" t="s">
        <v>113</v>
      </c>
      <c r="F3303" s="65">
        <v>10.57</v>
      </c>
    </row>
    <row r="3304" spans="2:6" hidden="1" x14ac:dyDescent="0.25">
      <c r="B3304" s="51">
        <f>YEAR(BDRIOSJ[[#This Row],[FECHA]])</f>
        <v>2025</v>
      </c>
      <c r="C3304" s="51">
        <f>MONTH(BDRIOSJ[[#This Row],[FECHA]])</f>
        <v>11</v>
      </c>
      <c r="D3304" s="81">
        <v>45963</v>
      </c>
      <c r="E3304" s="60" t="s">
        <v>114</v>
      </c>
      <c r="F3304" s="65">
        <v>10.57</v>
      </c>
    </row>
    <row r="3305" spans="2:6" hidden="1" x14ac:dyDescent="0.25">
      <c r="B3305" s="51">
        <f>YEAR(BDRIOSJ[[#This Row],[FECHA]])</f>
        <v>2025</v>
      </c>
      <c r="C3305" s="51">
        <f>MONTH(BDRIOSJ[[#This Row],[FECHA]])</f>
        <v>11</v>
      </c>
      <c r="D3305" s="81">
        <v>45963</v>
      </c>
      <c r="E3305" s="60" t="s">
        <v>115</v>
      </c>
      <c r="F3305" s="65">
        <v>10.57</v>
      </c>
    </row>
    <row r="3306" spans="2:6" hidden="1" x14ac:dyDescent="0.25">
      <c r="B3306" s="51">
        <f>YEAR(BDRIOSJ[[#This Row],[FECHA]])</f>
        <v>2025</v>
      </c>
      <c r="C3306" s="51">
        <f>MONTH(BDRIOSJ[[#This Row],[FECHA]])</f>
        <v>11</v>
      </c>
      <c r="D3306" s="81">
        <v>45964</v>
      </c>
      <c r="E3306" s="60" t="s">
        <v>111</v>
      </c>
      <c r="F3306" s="65">
        <v>12.91</v>
      </c>
    </row>
    <row r="3307" spans="2:6" hidden="1" x14ac:dyDescent="0.25">
      <c r="B3307" s="51">
        <f>YEAR(BDRIOSJ[[#This Row],[FECHA]])</f>
        <v>2025</v>
      </c>
      <c r="C3307" s="51">
        <f>MONTH(BDRIOSJ[[#This Row],[FECHA]])</f>
        <v>11</v>
      </c>
      <c r="D3307" s="81">
        <v>45964</v>
      </c>
      <c r="E3307" s="60" t="s">
        <v>113</v>
      </c>
      <c r="F3307" s="65">
        <v>12.91</v>
      </c>
    </row>
    <row r="3308" spans="2:6" hidden="1" x14ac:dyDescent="0.25">
      <c r="B3308" s="51">
        <f>YEAR(BDRIOSJ[[#This Row],[FECHA]])</f>
        <v>2025</v>
      </c>
      <c r="C3308" s="51">
        <f>MONTH(BDRIOSJ[[#This Row],[FECHA]])</f>
        <v>11</v>
      </c>
      <c r="D3308" s="81">
        <v>45964</v>
      </c>
      <c r="E3308" s="60" t="s">
        <v>114</v>
      </c>
      <c r="F3308" s="65">
        <v>12.91</v>
      </c>
    </row>
    <row r="3309" spans="2:6" hidden="1" x14ac:dyDescent="0.25">
      <c r="B3309" s="51">
        <f>YEAR(BDRIOSJ[[#This Row],[FECHA]])</f>
        <v>2025</v>
      </c>
      <c r="C3309" s="51">
        <f>MONTH(BDRIOSJ[[#This Row],[FECHA]])</f>
        <v>11</v>
      </c>
      <c r="D3309" s="81">
        <v>45964</v>
      </c>
      <c r="E3309" s="60" t="s">
        <v>115</v>
      </c>
      <c r="F3309" s="65">
        <v>12.91</v>
      </c>
    </row>
    <row r="3310" spans="2:6" hidden="1" x14ac:dyDescent="0.25">
      <c r="B3310" s="52">
        <f>YEAR(BDRIOSJ[[#This Row],[FECHA]])</f>
        <v>2025</v>
      </c>
      <c r="C3310" s="52">
        <f>MONTH(BDRIOSJ[[#This Row],[FECHA]])</f>
        <v>11</v>
      </c>
      <c r="D3310" s="81">
        <v>45965</v>
      </c>
      <c r="E3310" s="60" t="s">
        <v>111</v>
      </c>
      <c r="F3310" s="65">
        <v>12.91</v>
      </c>
    </row>
    <row r="3311" spans="2:6" hidden="1" x14ac:dyDescent="0.25">
      <c r="B3311" s="51">
        <f>YEAR(BDRIOSJ[[#This Row],[FECHA]])</f>
        <v>2025</v>
      </c>
      <c r="C3311" s="51">
        <f>MONTH(BDRIOSJ[[#This Row],[FECHA]])</f>
        <v>11</v>
      </c>
      <c r="D3311" s="81">
        <v>45965</v>
      </c>
      <c r="E3311" s="60" t="s">
        <v>113</v>
      </c>
      <c r="F3311" s="65">
        <v>12.91</v>
      </c>
    </row>
    <row r="3312" spans="2:6" hidden="1" x14ac:dyDescent="0.25">
      <c r="B3312" s="51">
        <f>YEAR(BDRIOSJ[[#This Row],[FECHA]])</f>
        <v>2025</v>
      </c>
      <c r="C3312" s="51">
        <f>MONTH(BDRIOSJ[[#This Row],[FECHA]])</f>
        <v>11</v>
      </c>
      <c r="D3312" s="81">
        <v>45965</v>
      </c>
      <c r="E3312" s="60" t="s">
        <v>114</v>
      </c>
      <c r="F3312" s="65">
        <v>12.91</v>
      </c>
    </row>
    <row r="3313" spans="2:6" hidden="1" x14ac:dyDescent="0.25">
      <c r="B3313" s="52">
        <f>YEAR(BDRIOSJ[[#This Row],[FECHA]])</f>
        <v>2025</v>
      </c>
      <c r="C3313" s="52">
        <f>MONTH(BDRIOSJ[[#This Row],[FECHA]])</f>
        <v>11</v>
      </c>
      <c r="D3313" s="81">
        <v>45965</v>
      </c>
      <c r="E3313" s="60" t="s">
        <v>115</v>
      </c>
      <c r="F3313" s="65">
        <v>12.91</v>
      </c>
    </row>
    <row r="3314" spans="2:6" hidden="1" x14ac:dyDescent="0.25">
      <c r="B3314" s="52">
        <f>YEAR(BDRIOSJ[[#This Row],[FECHA]])</f>
        <v>2025</v>
      </c>
      <c r="C3314" s="52">
        <f>MONTH(BDRIOSJ[[#This Row],[FECHA]])</f>
        <v>11</v>
      </c>
      <c r="D3314" s="81">
        <v>45966</v>
      </c>
      <c r="E3314" s="60" t="s">
        <v>111</v>
      </c>
      <c r="F3314" s="65">
        <v>12.91</v>
      </c>
    </row>
    <row r="3315" spans="2:6" hidden="1" x14ac:dyDescent="0.25">
      <c r="B3315" s="51">
        <f>YEAR(BDRIOSJ[[#This Row],[FECHA]])</f>
        <v>2025</v>
      </c>
      <c r="C3315" s="51">
        <f>MONTH(BDRIOSJ[[#This Row],[FECHA]])</f>
        <v>11</v>
      </c>
      <c r="D3315" s="81">
        <v>45966</v>
      </c>
      <c r="E3315" s="60" t="s">
        <v>113</v>
      </c>
      <c r="F3315" s="65">
        <v>12.91</v>
      </c>
    </row>
    <row r="3316" spans="2:6" hidden="1" x14ac:dyDescent="0.25">
      <c r="B3316" s="51">
        <f>YEAR(BDRIOSJ[[#This Row],[FECHA]])</f>
        <v>2025</v>
      </c>
      <c r="C3316" s="51">
        <f>MONTH(BDRIOSJ[[#This Row],[FECHA]])</f>
        <v>11</v>
      </c>
      <c r="D3316" s="81">
        <v>45966</v>
      </c>
      <c r="E3316" s="60" t="s">
        <v>114</v>
      </c>
      <c r="F3316" s="65">
        <v>12.91</v>
      </c>
    </row>
    <row r="3317" spans="2:6" hidden="1" x14ac:dyDescent="0.25">
      <c r="B3317" s="51">
        <f>YEAR(BDRIOSJ[[#This Row],[FECHA]])</f>
        <v>2025</v>
      </c>
      <c r="C3317" s="51">
        <f>MONTH(BDRIOSJ[[#This Row],[FECHA]])</f>
        <v>11</v>
      </c>
      <c r="D3317" s="81">
        <v>45966</v>
      </c>
      <c r="E3317" s="60" t="s">
        <v>115</v>
      </c>
      <c r="F3317" s="65">
        <v>12.91</v>
      </c>
    </row>
    <row r="3318" spans="2:6" hidden="1" x14ac:dyDescent="0.25">
      <c r="B3318" s="52">
        <f>YEAR(BDRIOSJ[[#This Row],[FECHA]])</f>
        <v>2025</v>
      </c>
      <c r="C3318" s="52">
        <f>MONTH(BDRIOSJ[[#This Row],[FECHA]])</f>
        <v>11</v>
      </c>
      <c r="D3318" s="81">
        <v>45967</v>
      </c>
      <c r="E3318" s="60" t="s">
        <v>111</v>
      </c>
      <c r="F3318" s="65">
        <v>12.91</v>
      </c>
    </row>
    <row r="3319" spans="2:6" hidden="1" x14ac:dyDescent="0.25">
      <c r="B3319" s="51">
        <f>YEAR(BDRIOSJ[[#This Row],[FECHA]])</f>
        <v>2025</v>
      </c>
      <c r="C3319" s="51">
        <f>MONTH(BDRIOSJ[[#This Row],[FECHA]])</f>
        <v>11</v>
      </c>
      <c r="D3319" s="81">
        <v>45967</v>
      </c>
      <c r="E3319" s="60" t="s">
        <v>113</v>
      </c>
      <c r="F3319" s="65">
        <v>12.91</v>
      </c>
    </row>
    <row r="3320" spans="2:6" hidden="1" x14ac:dyDescent="0.25">
      <c r="B3320" s="51">
        <f>YEAR(BDRIOSJ[[#This Row],[FECHA]])</f>
        <v>2025</v>
      </c>
      <c r="C3320" s="51">
        <f>MONTH(BDRIOSJ[[#This Row],[FECHA]])</f>
        <v>11</v>
      </c>
      <c r="D3320" s="81">
        <v>45967</v>
      </c>
      <c r="E3320" s="60" t="s">
        <v>114</v>
      </c>
      <c r="F3320" s="65">
        <v>12.91</v>
      </c>
    </row>
    <row r="3321" spans="2:6" hidden="1" x14ac:dyDescent="0.25">
      <c r="B3321" s="51">
        <f>YEAR(BDRIOSJ[[#This Row],[FECHA]])</f>
        <v>2025</v>
      </c>
      <c r="C3321" s="51">
        <f>MONTH(BDRIOSJ[[#This Row],[FECHA]])</f>
        <v>11</v>
      </c>
      <c r="D3321" s="81">
        <v>45967</v>
      </c>
      <c r="E3321" s="60" t="s">
        <v>115</v>
      </c>
      <c r="F3321" s="65">
        <v>12.91</v>
      </c>
    </row>
    <row r="3322" spans="2:6" hidden="1" x14ac:dyDescent="0.25">
      <c r="B3322" s="52">
        <f>YEAR(BDRIOSJ[[#This Row],[FECHA]])</f>
        <v>2025</v>
      </c>
      <c r="C3322" s="52">
        <f>MONTH(BDRIOSJ[[#This Row],[FECHA]])</f>
        <v>11</v>
      </c>
      <c r="D3322" s="81">
        <v>45968</v>
      </c>
      <c r="E3322" s="60" t="s">
        <v>111</v>
      </c>
      <c r="F3322" s="65">
        <v>12.91</v>
      </c>
    </row>
    <row r="3323" spans="2:6" hidden="1" x14ac:dyDescent="0.25">
      <c r="B3323" s="51">
        <f>YEAR(BDRIOSJ[[#This Row],[FECHA]])</f>
        <v>2025</v>
      </c>
      <c r="C3323" s="51">
        <f>MONTH(BDRIOSJ[[#This Row],[FECHA]])</f>
        <v>11</v>
      </c>
      <c r="D3323" s="81">
        <v>45968</v>
      </c>
      <c r="E3323" s="60" t="s">
        <v>113</v>
      </c>
      <c r="F3323" s="65">
        <v>12.91</v>
      </c>
    </row>
    <row r="3324" spans="2:6" hidden="1" x14ac:dyDescent="0.25">
      <c r="B3324" s="51">
        <f>YEAR(BDRIOSJ[[#This Row],[FECHA]])</f>
        <v>2025</v>
      </c>
      <c r="C3324" s="51">
        <f>MONTH(BDRIOSJ[[#This Row],[FECHA]])</f>
        <v>11</v>
      </c>
      <c r="D3324" s="81">
        <v>45968</v>
      </c>
      <c r="E3324" s="60" t="s">
        <v>114</v>
      </c>
      <c r="F3324" s="65">
        <v>12.91</v>
      </c>
    </row>
    <row r="3325" spans="2:6" hidden="1" x14ac:dyDescent="0.25">
      <c r="B3325" s="51">
        <f>YEAR(BDRIOSJ[[#This Row],[FECHA]])</f>
        <v>2025</v>
      </c>
      <c r="C3325" s="51">
        <f>MONTH(BDRIOSJ[[#This Row],[FECHA]])</f>
        <v>11</v>
      </c>
      <c r="D3325" s="81">
        <v>45968</v>
      </c>
      <c r="E3325" s="60" t="s">
        <v>115</v>
      </c>
      <c r="F3325" s="65">
        <v>12.91</v>
      </c>
    </row>
    <row r="3326" spans="2:6" hidden="1" x14ac:dyDescent="0.25">
      <c r="B3326" s="52">
        <f>YEAR(BDRIOSJ[[#This Row],[FECHA]])</f>
        <v>2025</v>
      </c>
      <c r="C3326" s="52">
        <f>MONTH(BDRIOSJ[[#This Row],[FECHA]])</f>
        <v>11</v>
      </c>
      <c r="D3326" s="81">
        <v>45969</v>
      </c>
      <c r="E3326" s="60" t="s">
        <v>111</v>
      </c>
      <c r="F3326" s="65">
        <v>12.91</v>
      </c>
    </row>
    <row r="3327" spans="2:6" hidden="1" x14ac:dyDescent="0.25">
      <c r="B3327" s="51">
        <f>YEAR(BDRIOSJ[[#This Row],[FECHA]])</f>
        <v>2025</v>
      </c>
      <c r="C3327" s="51">
        <f>MONTH(BDRIOSJ[[#This Row],[FECHA]])</f>
        <v>11</v>
      </c>
      <c r="D3327" s="81">
        <v>45969</v>
      </c>
      <c r="E3327" s="60" t="s">
        <v>113</v>
      </c>
      <c r="F3327" s="65">
        <v>12.91</v>
      </c>
    </row>
    <row r="3328" spans="2:6" hidden="1" x14ac:dyDescent="0.25">
      <c r="B3328" s="51">
        <f>YEAR(BDRIOSJ[[#This Row],[FECHA]])</f>
        <v>2025</v>
      </c>
      <c r="C3328" s="51">
        <f>MONTH(BDRIOSJ[[#This Row],[FECHA]])</f>
        <v>11</v>
      </c>
      <c r="D3328" s="81">
        <v>45969</v>
      </c>
      <c r="E3328" s="60" t="s">
        <v>114</v>
      </c>
      <c r="F3328" s="65">
        <v>12.91</v>
      </c>
    </row>
    <row r="3329" spans="2:6" hidden="1" x14ac:dyDescent="0.25">
      <c r="B3329" s="51">
        <f>YEAR(BDRIOSJ[[#This Row],[FECHA]])</f>
        <v>2025</v>
      </c>
      <c r="C3329" s="51">
        <f>MONTH(BDRIOSJ[[#This Row],[FECHA]])</f>
        <v>11</v>
      </c>
      <c r="D3329" s="81">
        <v>45969</v>
      </c>
      <c r="E3329" s="60" t="s">
        <v>115</v>
      </c>
      <c r="F3329" s="65">
        <v>12.91</v>
      </c>
    </row>
    <row r="3330" spans="2:6" hidden="1" x14ac:dyDescent="0.25">
      <c r="B3330" s="52">
        <f>YEAR(BDRIOSJ[[#This Row],[FECHA]])</f>
        <v>2025</v>
      </c>
      <c r="C3330" s="52">
        <f>MONTH(BDRIOSJ[[#This Row],[FECHA]])</f>
        <v>11</v>
      </c>
      <c r="D3330" s="81">
        <v>45970</v>
      </c>
      <c r="E3330" s="60" t="s">
        <v>111</v>
      </c>
      <c r="F3330" s="65">
        <v>12.91</v>
      </c>
    </row>
    <row r="3331" spans="2:6" hidden="1" x14ac:dyDescent="0.25">
      <c r="B3331" s="51">
        <f>YEAR(BDRIOSJ[[#This Row],[FECHA]])</f>
        <v>2025</v>
      </c>
      <c r="C3331" s="51">
        <f>MONTH(BDRIOSJ[[#This Row],[FECHA]])</f>
        <v>11</v>
      </c>
      <c r="D3331" s="81">
        <v>45970</v>
      </c>
      <c r="E3331" s="60" t="s">
        <v>113</v>
      </c>
      <c r="F3331" s="65">
        <v>12.91</v>
      </c>
    </row>
    <row r="3332" spans="2:6" hidden="1" x14ac:dyDescent="0.25">
      <c r="B3332" s="51">
        <f>YEAR(BDRIOSJ[[#This Row],[FECHA]])</f>
        <v>2025</v>
      </c>
      <c r="C3332" s="51">
        <f>MONTH(BDRIOSJ[[#This Row],[FECHA]])</f>
        <v>11</v>
      </c>
      <c r="D3332" s="81">
        <v>45970</v>
      </c>
      <c r="E3332" s="60" t="s">
        <v>114</v>
      </c>
      <c r="F3332" s="65">
        <v>12.91</v>
      </c>
    </row>
    <row r="3333" spans="2:6" hidden="1" x14ac:dyDescent="0.25">
      <c r="B3333" s="51">
        <f>YEAR(BDRIOSJ[[#This Row],[FECHA]])</f>
        <v>2025</v>
      </c>
      <c r="C3333" s="51">
        <f>MONTH(BDRIOSJ[[#This Row],[FECHA]])</f>
        <v>11</v>
      </c>
      <c r="D3333" s="81">
        <v>45970</v>
      </c>
      <c r="E3333" s="60" t="s">
        <v>115</v>
      </c>
      <c r="F3333" s="65">
        <v>12.91</v>
      </c>
    </row>
    <row r="3334" spans="2:6" hidden="1" x14ac:dyDescent="0.25">
      <c r="B3334" s="52">
        <f>YEAR(BDRIOSJ[[#This Row],[FECHA]])</f>
        <v>2025</v>
      </c>
      <c r="C3334" s="52">
        <f>MONTH(BDRIOSJ[[#This Row],[FECHA]])</f>
        <v>11</v>
      </c>
      <c r="D3334" s="81">
        <v>45971</v>
      </c>
      <c r="E3334" s="60" t="s">
        <v>111</v>
      </c>
      <c r="F3334" s="65">
        <v>12.91</v>
      </c>
    </row>
    <row r="3335" spans="2:6" hidden="1" x14ac:dyDescent="0.25">
      <c r="B3335" s="51">
        <f>YEAR(BDRIOSJ[[#This Row],[FECHA]])</f>
        <v>2025</v>
      </c>
      <c r="C3335" s="51">
        <f>MONTH(BDRIOSJ[[#This Row],[FECHA]])</f>
        <v>11</v>
      </c>
      <c r="D3335" s="81">
        <v>45971</v>
      </c>
      <c r="E3335" s="60" t="s">
        <v>113</v>
      </c>
      <c r="F3335" s="65"/>
    </row>
    <row r="3336" spans="2:6" hidden="1" x14ac:dyDescent="0.25">
      <c r="B3336" s="51">
        <f>YEAR(BDRIOSJ[[#This Row],[FECHA]])</f>
        <v>2025</v>
      </c>
      <c r="C3336" s="51">
        <f>MONTH(BDRIOSJ[[#This Row],[FECHA]])</f>
        <v>11</v>
      </c>
      <c r="D3336" s="81">
        <v>45971</v>
      </c>
      <c r="E3336" s="60" t="s">
        <v>114</v>
      </c>
      <c r="F3336" s="65"/>
    </row>
    <row r="3337" spans="2:6" hidden="1" x14ac:dyDescent="0.25">
      <c r="B3337" s="51">
        <f>YEAR(BDRIOSJ[[#This Row],[FECHA]])</f>
        <v>2025</v>
      </c>
      <c r="C3337" s="51">
        <f>MONTH(BDRIOSJ[[#This Row],[FECHA]])</f>
        <v>11</v>
      </c>
      <c r="D3337" s="81">
        <v>45971</v>
      </c>
      <c r="E3337" s="60" t="s">
        <v>115</v>
      </c>
      <c r="F3337" s="65"/>
    </row>
    <row r="3338" spans="2:6" hidden="1" x14ac:dyDescent="0.25">
      <c r="B3338" s="52">
        <f>YEAR(BDRIOSJ[[#This Row],[FECHA]])</f>
        <v>2025</v>
      </c>
      <c r="C3338" s="52">
        <f>MONTH(BDRIOSJ[[#This Row],[FECHA]])</f>
        <v>11</v>
      </c>
      <c r="D3338" s="81">
        <v>45972</v>
      </c>
      <c r="E3338" s="60" t="s">
        <v>111</v>
      </c>
      <c r="F3338" s="82"/>
    </row>
    <row r="3339" spans="2:6" hidden="1" x14ac:dyDescent="0.25">
      <c r="B3339" s="51">
        <f>YEAR(BDRIOSJ[[#This Row],[FECHA]])</f>
        <v>2025</v>
      </c>
      <c r="C3339" s="51">
        <f>MONTH(BDRIOSJ[[#This Row],[FECHA]])</f>
        <v>11</v>
      </c>
      <c r="D3339" s="81">
        <v>45972</v>
      </c>
      <c r="E3339" s="60" t="s">
        <v>113</v>
      </c>
      <c r="F3339" s="65"/>
    </row>
    <row r="3340" spans="2:6" hidden="1" x14ac:dyDescent="0.25">
      <c r="B3340" s="51">
        <f>YEAR(BDRIOSJ[[#This Row],[FECHA]])</f>
        <v>2025</v>
      </c>
      <c r="C3340" s="51">
        <f>MONTH(BDRIOSJ[[#This Row],[FECHA]])</f>
        <v>11</v>
      </c>
      <c r="D3340" s="81">
        <v>45972</v>
      </c>
      <c r="E3340" s="60" t="s">
        <v>114</v>
      </c>
      <c r="F3340" s="65"/>
    </row>
    <row r="3341" spans="2:6" hidden="1" x14ac:dyDescent="0.25">
      <c r="B3341" s="51">
        <f>YEAR(BDRIOSJ[[#This Row],[FECHA]])</f>
        <v>2025</v>
      </c>
      <c r="C3341" s="51">
        <f>MONTH(BDRIOSJ[[#This Row],[FECHA]])</f>
        <v>11</v>
      </c>
      <c r="D3341" s="81">
        <v>45972</v>
      </c>
      <c r="E3341" s="60" t="s">
        <v>115</v>
      </c>
      <c r="F3341" s="65"/>
    </row>
    <row r="3342" spans="2:6" hidden="1" x14ac:dyDescent="0.25">
      <c r="B3342" s="52">
        <f>YEAR(BDRIOSJ[[#This Row],[FECHA]])</f>
        <v>2025</v>
      </c>
      <c r="C3342" s="52">
        <f>MONTH(BDRIOSJ[[#This Row],[FECHA]])</f>
        <v>11</v>
      </c>
      <c r="D3342" s="81">
        <v>45973</v>
      </c>
      <c r="E3342" s="60" t="s">
        <v>111</v>
      </c>
      <c r="F3342" s="82"/>
    </row>
    <row r="3343" spans="2:6" hidden="1" x14ac:dyDescent="0.25">
      <c r="B3343" s="51">
        <f>YEAR(BDRIOSJ[[#This Row],[FECHA]])</f>
        <v>2025</v>
      </c>
      <c r="C3343" s="51">
        <f>MONTH(BDRIOSJ[[#This Row],[FECHA]])</f>
        <v>11</v>
      </c>
      <c r="D3343" s="81">
        <v>45973</v>
      </c>
      <c r="E3343" s="60" t="s">
        <v>113</v>
      </c>
      <c r="F3343" s="65"/>
    </row>
    <row r="3344" spans="2:6" hidden="1" x14ac:dyDescent="0.25">
      <c r="B3344" s="51">
        <f>YEAR(BDRIOSJ[[#This Row],[FECHA]])</f>
        <v>2025</v>
      </c>
      <c r="C3344" s="51">
        <f>MONTH(BDRIOSJ[[#This Row],[FECHA]])</f>
        <v>11</v>
      </c>
      <c r="D3344" s="81">
        <v>45973</v>
      </c>
      <c r="E3344" s="60" t="s">
        <v>114</v>
      </c>
      <c r="F3344" s="65"/>
    </row>
    <row r="3345" spans="2:6" hidden="1" x14ac:dyDescent="0.25">
      <c r="B3345" s="51">
        <f>YEAR(BDRIOSJ[[#This Row],[FECHA]])</f>
        <v>2025</v>
      </c>
      <c r="C3345" s="51">
        <f>MONTH(BDRIOSJ[[#This Row],[FECHA]])</f>
        <v>11</v>
      </c>
      <c r="D3345" s="81">
        <v>45973</v>
      </c>
      <c r="E3345" s="60" t="s">
        <v>115</v>
      </c>
      <c r="F3345" s="65"/>
    </row>
    <row r="3346" spans="2:6" hidden="1" x14ac:dyDescent="0.25">
      <c r="B3346" s="52">
        <f>YEAR(BDRIOSJ[[#This Row],[FECHA]])</f>
        <v>2025</v>
      </c>
      <c r="C3346" s="52">
        <f>MONTH(BDRIOSJ[[#This Row],[FECHA]])</f>
        <v>11</v>
      </c>
      <c r="D3346" s="81">
        <v>45974</v>
      </c>
      <c r="E3346" s="60" t="s">
        <v>111</v>
      </c>
      <c r="F3346" s="82"/>
    </row>
    <row r="3347" spans="2:6" hidden="1" x14ac:dyDescent="0.25">
      <c r="B3347" s="51">
        <f>YEAR(BDRIOSJ[[#This Row],[FECHA]])</f>
        <v>2025</v>
      </c>
      <c r="C3347" s="51">
        <f>MONTH(BDRIOSJ[[#This Row],[FECHA]])</f>
        <v>11</v>
      </c>
      <c r="D3347" s="81">
        <v>45974</v>
      </c>
      <c r="E3347" s="60" t="s">
        <v>113</v>
      </c>
      <c r="F3347" s="65"/>
    </row>
    <row r="3348" spans="2:6" hidden="1" x14ac:dyDescent="0.25">
      <c r="B3348" s="51">
        <f>YEAR(BDRIOSJ[[#This Row],[FECHA]])</f>
        <v>2025</v>
      </c>
      <c r="C3348" s="51">
        <f>MONTH(BDRIOSJ[[#This Row],[FECHA]])</f>
        <v>11</v>
      </c>
      <c r="D3348" s="81">
        <v>45974</v>
      </c>
      <c r="E3348" s="60" t="s">
        <v>114</v>
      </c>
      <c r="F3348" s="65"/>
    </row>
    <row r="3349" spans="2:6" hidden="1" x14ac:dyDescent="0.25">
      <c r="B3349" s="51">
        <f>YEAR(BDRIOSJ[[#This Row],[FECHA]])</f>
        <v>2025</v>
      </c>
      <c r="C3349" s="51">
        <f>MONTH(BDRIOSJ[[#This Row],[FECHA]])</f>
        <v>11</v>
      </c>
      <c r="D3349" s="81">
        <v>45974</v>
      </c>
      <c r="E3349" s="60" t="s">
        <v>115</v>
      </c>
      <c r="F3349" s="65"/>
    </row>
    <row r="3350" spans="2:6" hidden="1" x14ac:dyDescent="0.25">
      <c r="B3350" s="52">
        <f>YEAR(BDRIOSJ[[#This Row],[FECHA]])</f>
        <v>2025</v>
      </c>
      <c r="C3350" s="52">
        <f>MONTH(BDRIOSJ[[#This Row],[FECHA]])</f>
        <v>11</v>
      </c>
      <c r="D3350" s="81">
        <v>45975</v>
      </c>
      <c r="E3350" s="60" t="s">
        <v>111</v>
      </c>
      <c r="F3350" s="82"/>
    </row>
    <row r="3351" spans="2:6" hidden="1" x14ac:dyDescent="0.25">
      <c r="B3351" s="51">
        <f>YEAR(BDRIOSJ[[#This Row],[FECHA]])</f>
        <v>2025</v>
      </c>
      <c r="C3351" s="51">
        <f>MONTH(BDRIOSJ[[#This Row],[FECHA]])</f>
        <v>11</v>
      </c>
      <c r="D3351" s="81">
        <v>45975</v>
      </c>
      <c r="E3351" s="60" t="s">
        <v>113</v>
      </c>
      <c r="F3351" s="65"/>
    </row>
    <row r="3352" spans="2:6" hidden="1" x14ac:dyDescent="0.25">
      <c r="B3352" s="51">
        <f>YEAR(BDRIOSJ[[#This Row],[FECHA]])</f>
        <v>2025</v>
      </c>
      <c r="C3352" s="51">
        <f>MONTH(BDRIOSJ[[#This Row],[FECHA]])</f>
        <v>11</v>
      </c>
      <c r="D3352" s="81">
        <v>45975</v>
      </c>
      <c r="E3352" s="60" t="s">
        <v>114</v>
      </c>
      <c r="F3352" s="65"/>
    </row>
    <row r="3353" spans="2:6" hidden="1" x14ac:dyDescent="0.25">
      <c r="B3353" s="52">
        <f>YEAR(BDRIOSJ[[#This Row],[FECHA]])</f>
        <v>2025</v>
      </c>
      <c r="C3353" s="52">
        <f>MONTH(BDRIOSJ[[#This Row],[FECHA]])</f>
        <v>11</v>
      </c>
      <c r="D3353" s="81">
        <v>45975</v>
      </c>
      <c r="E3353" s="60" t="s">
        <v>115</v>
      </c>
      <c r="F3353" s="82"/>
    </row>
    <row r="3354" spans="2:6" hidden="1" x14ac:dyDescent="0.25">
      <c r="B3354" s="52">
        <f>YEAR(BDRIOSJ[[#This Row],[FECHA]])</f>
        <v>2025</v>
      </c>
      <c r="C3354" s="52">
        <f>MONTH(BDRIOSJ[[#This Row],[FECHA]])</f>
        <v>11</v>
      </c>
      <c r="D3354" s="81">
        <v>45976</v>
      </c>
      <c r="E3354" s="60" t="s">
        <v>111</v>
      </c>
      <c r="F3354" s="82"/>
    </row>
    <row r="3355" spans="2:6" hidden="1" x14ac:dyDescent="0.25">
      <c r="B3355" s="51">
        <f>YEAR(BDRIOSJ[[#This Row],[FECHA]])</f>
        <v>2025</v>
      </c>
      <c r="C3355" s="51">
        <f>MONTH(BDRIOSJ[[#This Row],[FECHA]])</f>
        <v>11</v>
      </c>
      <c r="D3355" s="81">
        <v>45976</v>
      </c>
      <c r="E3355" s="60" t="s">
        <v>113</v>
      </c>
      <c r="F3355" s="65"/>
    </row>
    <row r="3356" spans="2:6" hidden="1" x14ac:dyDescent="0.25">
      <c r="B3356" s="51">
        <f>YEAR(BDRIOSJ[[#This Row],[FECHA]])</f>
        <v>2025</v>
      </c>
      <c r="C3356" s="51">
        <f>MONTH(BDRIOSJ[[#This Row],[FECHA]])</f>
        <v>11</v>
      </c>
      <c r="D3356" s="81">
        <v>45976</v>
      </c>
      <c r="E3356" s="60" t="s">
        <v>114</v>
      </c>
      <c r="F3356" s="65"/>
    </row>
    <row r="3357" spans="2:6" hidden="1" x14ac:dyDescent="0.25">
      <c r="B3357" s="51">
        <f>YEAR(BDRIOSJ[[#This Row],[FECHA]])</f>
        <v>2025</v>
      </c>
      <c r="C3357" s="51">
        <f>MONTH(BDRIOSJ[[#This Row],[FECHA]])</f>
        <v>11</v>
      </c>
      <c r="D3357" s="81">
        <v>45976</v>
      </c>
      <c r="E3357" s="60" t="s">
        <v>115</v>
      </c>
      <c r="F3357" s="65"/>
    </row>
    <row r="3358" spans="2:6" hidden="1" x14ac:dyDescent="0.25">
      <c r="B3358" s="52">
        <f>YEAR(BDRIOSJ[[#This Row],[FECHA]])</f>
        <v>2025</v>
      </c>
      <c r="C3358" s="52">
        <f>MONTH(BDRIOSJ[[#This Row],[FECHA]])</f>
        <v>11</v>
      </c>
      <c r="D3358" s="81">
        <v>45977</v>
      </c>
      <c r="E3358" s="60" t="s">
        <v>111</v>
      </c>
      <c r="F3358" s="82"/>
    </row>
    <row r="3359" spans="2:6" hidden="1" x14ac:dyDescent="0.25">
      <c r="B3359" s="51">
        <f>YEAR(BDRIOSJ[[#This Row],[FECHA]])</f>
        <v>2025</v>
      </c>
      <c r="C3359" s="51">
        <f>MONTH(BDRIOSJ[[#This Row],[FECHA]])</f>
        <v>11</v>
      </c>
      <c r="D3359" s="81">
        <v>45977</v>
      </c>
      <c r="E3359" s="60" t="s">
        <v>113</v>
      </c>
      <c r="F3359" s="65"/>
    </row>
    <row r="3360" spans="2:6" hidden="1" x14ac:dyDescent="0.25">
      <c r="B3360" s="51">
        <f>YEAR(BDRIOSJ[[#This Row],[FECHA]])</f>
        <v>2025</v>
      </c>
      <c r="C3360" s="51">
        <f>MONTH(BDRIOSJ[[#This Row],[FECHA]])</f>
        <v>11</v>
      </c>
      <c r="D3360" s="81">
        <v>45977</v>
      </c>
      <c r="E3360" s="60" t="s">
        <v>114</v>
      </c>
      <c r="F3360" s="65"/>
    </row>
    <row r="3361" spans="2:6" hidden="1" x14ac:dyDescent="0.25">
      <c r="B3361" s="51">
        <f>YEAR(BDRIOSJ[[#This Row],[FECHA]])</f>
        <v>2025</v>
      </c>
      <c r="C3361" s="51">
        <f>MONTH(BDRIOSJ[[#This Row],[FECHA]])</f>
        <v>11</v>
      </c>
      <c r="D3361" s="81">
        <v>45977</v>
      </c>
      <c r="E3361" s="60" t="s">
        <v>115</v>
      </c>
      <c r="F3361" s="65"/>
    </row>
    <row r="3362" spans="2:6" hidden="1" x14ac:dyDescent="0.25">
      <c r="B3362" s="52">
        <f>YEAR(BDRIOSJ[[#This Row],[FECHA]])</f>
        <v>2025</v>
      </c>
      <c r="C3362" s="52">
        <f>MONTH(BDRIOSJ[[#This Row],[FECHA]])</f>
        <v>11</v>
      </c>
      <c r="D3362" s="81">
        <v>45978</v>
      </c>
      <c r="E3362" s="60" t="s">
        <v>111</v>
      </c>
      <c r="F3362" s="82"/>
    </row>
    <row r="3363" spans="2:6" hidden="1" x14ac:dyDescent="0.25">
      <c r="B3363" s="51">
        <f>YEAR(BDRIOSJ[[#This Row],[FECHA]])</f>
        <v>2025</v>
      </c>
      <c r="C3363" s="51">
        <f>MONTH(BDRIOSJ[[#This Row],[FECHA]])</f>
        <v>11</v>
      </c>
      <c r="D3363" s="81">
        <v>45978</v>
      </c>
      <c r="E3363" s="60" t="s">
        <v>113</v>
      </c>
      <c r="F3363" s="65"/>
    </row>
    <row r="3364" spans="2:6" hidden="1" x14ac:dyDescent="0.25">
      <c r="B3364" s="51">
        <f>YEAR(BDRIOSJ[[#This Row],[FECHA]])</f>
        <v>2025</v>
      </c>
      <c r="C3364" s="51">
        <f>MONTH(BDRIOSJ[[#This Row],[FECHA]])</f>
        <v>11</v>
      </c>
      <c r="D3364" s="81">
        <v>45978</v>
      </c>
      <c r="E3364" s="60" t="s">
        <v>114</v>
      </c>
      <c r="F3364" s="65"/>
    </row>
    <row r="3365" spans="2:6" hidden="1" x14ac:dyDescent="0.25">
      <c r="B3365" s="51">
        <f>YEAR(BDRIOSJ[[#This Row],[FECHA]])</f>
        <v>2025</v>
      </c>
      <c r="C3365" s="51">
        <f>MONTH(BDRIOSJ[[#This Row],[FECHA]])</f>
        <v>11</v>
      </c>
      <c r="D3365" s="81">
        <v>45978</v>
      </c>
      <c r="E3365" s="60" t="s">
        <v>115</v>
      </c>
      <c r="F3365" s="65"/>
    </row>
    <row r="3366" spans="2:6" hidden="1" x14ac:dyDescent="0.25">
      <c r="B3366" s="52">
        <f>YEAR(BDRIOSJ[[#This Row],[FECHA]])</f>
        <v>2025</v>
      </c>
      <c r="C3366" s="52">
        <f>MONTH(BDRIOSJ[[#This Row],[FECHA]])</f>
        <v>11</v>
      </c>
      <c r="D3366" s="81">
        <v>45979</v>
      </c>
      <c r="E3366" s="60" t="s">
        <v>111</v>
      </c>
      <c r="F3366" s="82"/>
    </row>
    <row r="3367" spans="2:6" hidden="1" x14ac:dyDescent="0.25">
      <c r="B3367" s="51">
        <f>YEAR(BDRIOSJ[[#This Row],[FECHA]])</f>
        <v>2025</v>
      </c>
      <c r="C3367" s="51">
        <f>MONTH(BDRIOSJ[[#This Row],[FECHA]])</f>
        <v>11</v>
      </c>
      <c r="D3367" s="81">
        <v>45979</v>
      </c>
      <c r="E3367" s="60" t="s">
        <v>113</v>
      </c>
      <c r="F3367" s="65"/>
    </row>
    <row r="3368" spans="2:6" hidden="1" x14ac:dyDescent="0.25">
      <c r="B3368" s="51">
        <f>YEAR(BDRIOSJ[[#This Row],[FECHA]])</f>
        <v>2025</v>
      </c>
      <c r="C3368" s="51">
        <f>MONTH(BDRIOSJ[[#This Row],[FECHA]])</f>
        <v>11</v>
      </c>
      <c r="D3368" s="81">
        <v>45979</v>
      </c>
      <c r="E3368" s="60" t="s">
        <v>114</v>
      </c>
      <c r="F3368" s="65"/>
    </row>
    <row r="3369" spans="2:6" hidden="1" x14ac:dyDescent="0.25">
      <c r="B3369" s="51">
        <f>YEAR(BDRIOSJ[[#This Row],[FECHA]])</f>
        <v>2025</v>
      </c>
      <c r="C3369" s="51">
        <f>MONTH(BDRIOSJ[[#This Row],[FECHA]])</f>
        <v>11</v>
      </c>
      <c r="D3369" s="81">
        <v>45979</v>
      </c>
      <c r="E3369" s="60" t="s">
        <v>115</v>
      </c>
      <c r="F3369" s="65"/>
    </row>
    <row r="3370" spans="2:6" hidden="1" x14ac:dyDescent="0.25">
      <c r="B3370" s="52">
        <f>YEAR(BDRIOSJ[[#This Row],[FECHA]])</f>
        <v>2025</v>
      </c>
      <c r="C3370" s="52">
        <f>MONTH(BDRIOSJ[[#This Row],[FECHA]])</f>
        <v>11</v>
      </c>
      <c r="D3370" s="81">
        <v>45980</v>
      </c>
      <c r="E3370" s="60" t="s">
        <v>111</v>
      </c>
      <c r="F3370" s="82"/>
    </row>
    <row r="3371" spans="2:6" hidden="1" x14ac:dyDescent="0.25">
      <c r="B3371" s="51">
        <f>YEAR(BDRIOSJ[[#This Row],[FECHA]])</f>
        <v>2025</v>
      </c>
      <c r="C3371" s="51">
        <f>MONTH(BDRIOSJ[[#This Row],[FECHA]])</f>
        <v>11</v>
      </c>
      <c r="D3371" s="81">
        <v>45980</v>
      </c>
      <c r="E3371" s="60" t="s">
        <v>113</v>
      </c>
      <c r="F3371" s="65"/>
    </row>
    <row r="3372" spans="2:6" hidden="1" x14ac:dyDescent="0.25">
      <c r="B3372" s="51">
        <f>YEAR(BDRIOSJ[[#This Row],[FECHA]])</f>
        <v>2025</v>
      </c>
      <c r="C3372" s="51">
        <f>MONTH(BDRIOSJ[[#This Row],[FECHA]])</f>
        <v>11</v>
      </c>
      <c r="D3372" s="81">
        <v>45980</v>
      </c>
      <c r="E3372" s="60" t="s">
        <v>114</v>
      </c>
      <c r="F3372" s="65"/>
    </row>
    <row r="3373" spans="2:6" hidden="1" x14ac:dyDescent="0.25">
      <c r="B3373" s="51">
        <f>YEAR(BDRIOSJ[[#This Row],[FECHA]])</f>
        <v>2025</v>
      </c>
      <c r="C3373" s="51">
        <f>MONTH(BDRIOSJ[[#This Row],[FECHA]])</f>
        <v>11</v>
      </c>
      <c r="D3373" s="81">
        <v>45980</v>
      </c>
      <c r="E3373" s="60" t="s">
        <v>115</v>
      </c>
      <c r="F3373" s="65"/>
    </row>
    <row r="3374" spans="2:6" hidden="1" x14ac:dyDescent="0.25">
      <c r="B3374" s="52">
        <f>YEAR(BDRIOSJ[[#This Row],[FECHA]])</f>
        <v>2025</v>
      </c>
      <c r="C3374" s="52">
        <f>MONTH(BDRIOSJ[[#This Row],[FECHA]])</f>
        <v>11</v>
      </c>
      <c r="D3374" s="81">
        <v>45981</v>
      </c>
      <c r="E3374" s="60" t="s">
        <v>111</v>
      </c>
      <c r="F3374" s="82"/>
    </row>
    <row r="3375" spans="2:6" hidden="1" x14ac:dyDescent="0.25">
      <c r="B3375" s="51">
        <f>YEAR(BDRIOSJ[[#This Row],[FECHA]])</f>
        <v>2025</v>
      </c>
      <c r="C3375" s="51">
        <f>MONTH(BDRIOSJ[[#This Row],[FECHA]])</f>
        <v>11</v>
      </c>
      <c r="D3375" s="81">
        <v>45981</v>
      </c>
      <c r="E3375" s="60" t="s">
        <v>113</v>
      </c>
      <c r="F3375" s="65"/>
    </row>
    <row r="3376" spans="2:6" hidden="1" x14ac:dyDescent="0.25">
      <c r="B3376" s="51">
        <f>YEAR(BDRIOSJ[[#This Row],[FECHA]])</f>
        <v>2025</v>
      </c>
      <c r="C3376" s="51">
        <f>MONTH(BDRIOSJ[[#This Row],[FECHA]])</f>
        <v>11</v>
      </c>
      <c r="D3376" s="81">
        <v>45981</v>
      </c>
      <c r="E3376" s="60" t="s">
        <v>114</v>
      </c>
      <c r="F3376" s="65"/>
    </row>
    <row r="3377" spans="2:6" hidden="1" x14ac:dyDescent="0.25">
      <c r="B3377" s="51">
        <f>YEAR(BDRIOSJ[[#This Row],[FECHA]])</f>
        <v>2025</v>
      </c>
      <c r="C3377" s="51">
        <f>MONTH(BDRIOSJ[[#This Row],[FECHA]])</f>
        <v>11</v>
      </c>
      <c r="D3377" s="81">
        <v>45981</v>
      </c>
      <c r="E3377" s="60" t="s">
        <v>115</v>
      </c>
      <c r="F3377" s="65"/>
    </row>
    <row r="3378" spans="2:6" hidden="1" x14ac:dyDescent="0.25">
      <c r="B3378" s="52">
        <f>YEAR(BDRIOSJ[[#This Row],[FECHA]])</f>
        <v>2025</v>
      </c>
      <c r="C3378" s="52">
        <f>MONTH(BDRIOSJ[[#This Row],[FECHA]])</f>
        <v>11</v>
      </c>
      <c r="D3378" s="81">
        <v>45982</v>
      </c>
      <c r="E3378" s="60" t="s">
        <v>111</v>
      </c>
      <c r="F3378" s="82"/>
    </row>
    <row r="3379" spans="2:6" hidden="1" x14ac:dyDescent="0.25">
      <c r="B3379" s="51">
        <f>YEAR(BDRIOSJ[[#This Row],[FECHA]])</f>
        <v>2025</v>
      </c>
      <c r="C3379" s="51">
        <f>MONTH(BDRIOSJ[[#This Row],[FECHA]])</f>
        <v>11</v>
      </c>
      <c r="D3379" s="81">
        <v>45982</v>
      </c>
      <c r="E3379" s="60" t="s">
        <v>113</v>
      </c>
      <c r="F3379" s="65"/>
    </row>
    <row r="3380" spans="2:6" hidden="1" x14ac:dyDescent="0.25">
      <c r="B3380" s="51">
        <f>YEAR(BDRIOSJ[[#This Row],[FECHA]])</f>
        <v>2025</v>
      </c>
      <c r="C3380" s="51">
        <f>MONTH(BDRIOSJ[[#This Row],[FECHA]])</f>
        <v>11</v>
      </c>
      <c r="D3380" s="81">
        <v>45982</v>
      </c>
      <c r="E3380" s="60" t="s">
        <v>114</v>
      </c>
      <c r="F3380" s="65"/>
    </row>
    <row r="3381" spans="2:6" hidden="1" x14ac:dyDescent="0.25">
      <c r="B3381" s="51">
        <f>YEAR(BDRIOSJ[[#This Row],[FECHA]])</f>
        <v>2025</v>
      </c>
      <c r="C3381" s="51">
        <f>MONTH(BDRIOSJ[[#This Row],[FECHA]])</f>
        <v>11</v>
      </c>
      <c r="D3381" s="81">
        <v>45982</v>
      </c>
      <c r="E3381" s="60" t="s">
        <v>115</v>
      </c>
      <c r="F3381" s="65"/>
    </row>
    <row r="3382" spans="2:6" hidden="1" x14ac:dyDescent="0.25">
      <c r="B3382" s="52">
        <f>YEAR(BDRIOSJ[[#This Row],[FECHA]])</f>
        <v>2025</v>
      </c>
      <c r="C3382" s="52">
        <f>MONTH(BDRIOSJ[[#This Row],[FECHA]])</f>
        <v>11</v>
      </c>
      <c r="D3382" s="81">
        <v>45983</v>
      </c>
      <c r="E3382" s="60" t="s">
        <v>111</v>
      </c>
      <c r="F3382" s="82"/>
    </row>
    <row r="3383" spans="2:6" hidden="1" x14ac:dyDescent="0.25">
      <c r="B3383" s="51">
        <f>YEAR(BDRIOSJ[[#This Row],[FECHA]])</f>
        <v>2025</v>
      </c>
      <c r="C3383" s="51">
        <f>MONTH(BDRIOSJ[[#This Row],[FECHA]])</f>
        <v>11</v>
      </c>
      <c r="D3383" s="81">
        <v>45983</v>
      </c>
      <c r="E3383" s="60" t="s">
        <v>113</v>
      </c>
      <c r="F3383" s="65"/>
    </row>
    <row r="3384" spans="2:6" hidden="1" x14ac:dyDescent="0.25">
      <c r="B3384" s="51">
        <f>YEAR(BDRIOSJ[[#This Row],[FECHA]])</f>
        <v>2025</v>
      </c>
      <c r="C3384" s="51">
        <f>MONTH(BDRIOSJ[[#This Row],[FECHA]])</f>
        <v>11</v>
      </c>
      <c r="D3384" s="81">
        <v>45983</v>
      </c>
      <c r="E3384" s="60" t="s">
        <v>114</v>
      </c>
      <c r="F3384" s="65"/>
    </row>
    <row r="3385" spans="2:6" hidden="1" x14ac:dyDescent="0.25">
      <c r="B3385" s="51">
        <f>YEAR(BDRIOSJ[[#This Row],[FECHA]])</f>
        <v>2025</v>
      </c>
      <c r="C3385" s="51">
        <f>MONTH(BDRIOSJ[[#This Row],[FECHA]])</f>
        <v>11</v>
      </c>
      <c r="D3385" s="81">
        <v>45983</v>
      </c>
      <c r="E3385" s="60" t="s">
        <v>115</v>
      </c>
      <c r="F3385" s="65"/>
    </row>
    <row r="3386" spans="2:6" hidden="1" x14ac:dyDescent="0.25">
      <c r="B3386" s="52">
        <f>YEAR(BDRIOSJ[[#This Row],[FECHA]])</f>
        <v>2025</v>
      </c>
      <c r="C3386" s="52">
        <f>MONTH(BDRIOSJ[[#This Row],[FECHA]])</f>
        <v>11</v>
      </c>
      <c r="D3386" s="81">
        <v>45984</v>
      </c>
      <c r="E3386" s="60" t="s">
        <v>111</v>
      </c>
      <c r="F3386" s="82"/>
    </row>
    <row r="3387" spans="2:6" hidden="1" x14ac:dyDescent="0.25">
      <c r="B3387" s="51">
        <f>YEAR(BDRIOSJ[[#This Row],[FECHA]])</f>
        <v>2025</v>
      </c>
      <c r="C3387" s="51">
        <f>MONTH(BDRIOSJ[[#This Row],[FECHA]])</f>
        <v>11</v>
      </c>
      <c r="D3387" s="81">
        <v>45984</v>
      </c>
      <c r="E3387" s="60" t="s">
        <v>113</v>
      </c>
      <c r="F3387" s="65"/>
    </row>
    <row r="3388" spans="2:6" hidden="1" x14ac:dyDescent="0.25">
      <c r="B3388" s="51">
        <f>YEAR(BDRIOSJ[[#This Row],[FECHA]])</f>
        <v>2025</v>
      </c>
      <c r="C3388" s="51">
        <f>MONTH(BDRIOSJ[[#This Row],[FECHA]])</f>
        <v>11</v>
      </c>
      <c r="D3388" s="81">
        <v>45984</v>
      </c>
      <c r="E3388" s="60" t="s">
        <v>114</v>
      </c>
      <c r="F3388" s="65"/>
    </row>
    <row r="3389" spans="2:6" hidden="1" x14ac:dyDescent="0.25">
      <c r="B3389" s="51">
        <f>YEAR(BDRIOSJ[[#This Row],[FECHA]])</f>
        <v>2025</v>
      </c>
      <c r="C3389" s="51">
        <f>MONTH(BDRIOSJ[[#This Row],[FECHA]])</f>
        <v>11</v>
      </c>
      <c r="D3389" s="81">
        <v>45984</v>
      </c>
      <c r="E3389" s="60" t="s">
        <v>115</v>
      </c>
      <c r="F3389" s="65"/>
    </row>
    <row r="3390" spans="2:6" hidden="1" x14ac:dyDescent="0.25">
      <c r="B3390" s="52">
        <f>YEAR(BDRIOSJ[[#This Row],[FECHA]])</f>
        <v>2025</v>
      </c>
      <c r="C3390" s="52">
        <f>MONTH(BDRIOSJ[[#This Row],[FECHA]])</f>
        <v>11</v>
      </c>
      <c r="D3390" s="81">
        <v>45985</v>
      </c>
      <c r="E3390" s="60" t="s">
        <v>111</v>
      </c>
      <c r="F3390" s="82"/>
    </row>
    <row r="3391" spans="2:6" hidden="1" x14ac:dyDescent="0.25">
      <c r="B3391" s="51">
        <f>YEAR(BDRIOSJ[[#This Row],[FECHA]])</f>
        <v>2025</v>
      </c>
      <c r="C3391" s="51">
        <f>MONTH(BDRIOSJ[[#This Row],[FECHA]])</f>
        <v>11</v>
      </c>
      <c r="D3391" s="81">
        <v>45985</v>
      </c>
      <c r="E3391" s="60" t="s">
        <v>113</v>
      </c>
      <c r="F3391" s="65"/>
    </row>
    <row r="3392" spans="2:6" hidden="1" x14ac:dyDescent="0.25">
      <c r="B3392" s="51">
        <f>YEAR(BDRIOSJ[[#This Row],[FECHA]])</f>
        <v>2025</v>
      </c>
      <c r="C3392" s="51">
        <f>MONTH(BDRIOSJ[[#This Row],[FECHA]])</f>
        <v>11</v>
      </c>
      <c r="D3392" s="81">
        <v>45985</v>
      </c>
      <c r="E3392" s="60" t="s">
        <v>114</v>
      </c>
      <c r="F3392" s="65"/>
    </row>
    <row r="3393" spans="2:6" hidden="1" x14ac:dyDescent="0.25">
      <c r="B3393" s="51">
        <f>YEAR(BDRIOSJ[[#This Row],[FECHA]])</f>
        <v>2025</v>
      </c>
      <c r="C3393" s="51">
        <f>MONTH(BDRIOSJ[[#This Row],[FECHA]])</f>
        <v>11</v>
      </c>
      <c r="D3393" s="81">
        <v>45985</v>
      </c>
      <c r="E3393" s="60" t="s">
        <v>115</v>
      </c>
      <c r="F3393" s="65"/>
    </row>
    <row r="3394" spans="2:6" hidden="1" x14ac:dyDescent="0.25">
      <c r="B3394" s="52">
        <f>YEAR(BDRIOSJ[[#This Row],[FECHA]])</f>
        <v>2025</v>
      </c>
      <c r="C3394" s="52">
        <f>MONTH(BDRIOSJ[[#This Row],[FECHA]])</f>
        <v>11</v>
      </c>
      <c r="D3394" s="81">
        <v>45986</v>
      </c>
      <c r="E3394" s="60" t="s">
        <v>111</v>
      </c>
      <c r="F3394" s="82"/>
    </row>
    <row r="3395" spans="2:6" hidden="1" x14ac:dyDescent="0.25">
      <c r="B3395" s="51">
        <f>YEAR(BDRIOSJ[[#This Row],[FECHA]])</f>
        <v>2025</v>
      </c>
      <c r="C3395" s="51">
        <f>MONTH(BDRIOSJ[[#This Row],[FECHA]])</f>
        <v>11</v>
      </c>
      <c r="D3395" s="81">
        <v>45986</v>
      </c>
      <c r="E3395" s="60" t="s">
        <v>113</v>
      </c>
      <c r="F3395" s="65"/>
    </row>
    <row r="3396" spans="2:6" hidden="1" x14ac:dyDescent="0.25">
      <c r="B3396" s="51">
        <f>YEAR(BDRIOSJ[[#This Row],[FECHA]])</f>
        <v>2025</v>
      </c>
      <c r="C3396" s="51">
        <f>MONTH(BDRIOSJ[[#This Row],[FECHA]])</f>
        <v>11</v>
      </c>
      <c r="D3396" s="81">
        <v>45986</v>
      </c>
      <c r="E3396" s="60" t="s">
        <v>114</v>
      </c>
      <c r="F3396" s="65"/>
    </row>
    <row r="3397" spans="2:6" hidden="1" x14ac:dyDescent="0.25">
      <c r="B3397" s="51">
        <f>YEAR(BDRIOSJ[[#This Row],[FECHA]])</f>
        <v>2025</v>
      </c>
      <c r="C3397" s="51">
        <f>MONTH(BDRIOSJ[[#This Row],[FECHA]])</f>
        <v>11</v>
      </c>
      <c r="D3397" s="81">
        <v>45986</v>
      </c>
      <c r="E3397" s="60" t="s">
        <v>115</v>
      </c>
      <c r="F3397" s="65"/>
    </row>
    <row r="3398" spans="2:6" hidden="1" x14ac:dyDescent="0.25">
      <c r="B3398" s="52">
        <f>YEAR(BDRIOSJ[[#This Row],[FECHA]])</f>
        <v>2025</v>
      </c>
      <c r="C3398" s="52">
        <f>MONTH(BDRIOSJ[[#This Row],[FECHA]])</f>
        <v>11</v>
      </c>
      <c r="D3398" s="81">
        <v>45987</v>
      </c>
      <c r="E3398" s="60" t="s">
        <v>111</v>
      </c>
      <c r="F3398" s="82"/>
    </row>
    <row r="3399" spans="2:6" hidden="1" x14ac:dyDescent="0.25">
      <c r="B3399" s="51">
        <f>YEAR(BDRIOSJ[[#This Row],[FECHA]])</f>
        <v>2025</v>
      </c>
      <c r="C3399" s="51">
        <f>MONTH(BDRIOSJ[[#This Row],[FECHA]])</f>
        <v>11</v>
      </c>
      <c r="D3399" s="81">
        <v>45987</v>
      </c>
      <c r="E3399" s="60" t="s">
        <v>113</v>
      </c>
      <c r="F3399" s="65"/>
    </row>
    <row r="3400" spans="2:6" hidden="1" x14ac:dyDescent="0.25">
      <c r="B3400" s="51">
        <f>YEAR(BDRIOSJ[[#This Row],[FECHA]])</f>
        <v>2025</v>
      </c>
      <c r="C3400" s="51">
        <f>MONTH(BDRIOSJ[[#This Row],[FECHA]])</f>
        <v>11</v>
      </c>
      <c r="D3400" s="81">
        <v>45987</v>
      </c>
      <c r="E3400" s="60" t="s">
        <v>114</v>
      </c>
      <c r="F3400" s="65"/>
    </row>
    <row r="3401" spans="2:6" hidden="1" x14ac:dyDescent="0.25">
      <c r="B3401" s="51">
        <f>YEAR(BDRIOSJ[[#This Row],[FECHA]])</f>
        <v>2025</v>
      </c>
      <c r="C3401" s="51">
        <f>MONTH(BDRIOSJ[[#This Row],[FECHA]])</f>
        <v>11</v>
      </c>
      <c r="D3401" s="81">
        <v>45987</v>
      </c>
      <c r="E3401" s="60" t="s">
        <v>115</v>
      </c>
      <c r="F3401" s="65"/>
    </row>
    <row r="3402" spans="2:6" hidden="1" x14ac:dyDescent="0.25">
      <c r="B3402" s="52">
        <f>YEAR(BDRIOSJ[[#This Row],[FECHA]])</f>
        <v>2025</v>
      </c>
      <c r="C3402" s="52">
        <f>MONTH(BDRIOSJ[[#This Row],[FECHA]])</f>
        <v>11</v>
      </c>
      <c r="D3402" s="81">
        <v>45988</v>
      </c>
      <c r="E3402" s="60" t="s">
        <v>111</v>
      </c>
      <c r="F3402" s="82"/>
    </row>
    <row r="3403" spans="2:6" hidden="1" x14ac:dyDescent="0.25">
      <c r="B3403" s="51">
        <f>YEAR(BDRIOSJ[[#This Row],[FECHA]])</f>
        <v>2025</v>
      </c>
      <c r="C3403" s="51">
        <f>MONTH(BDRIOSJ[[#This Row],[FECHA]])</f>
        <v>11</v>
      </c>
      <c r="D3403" s="81">
        <v>45988</v>
      </c>
      <c r="E3403" s="60" t="s">
        <v>113</v>
      </c>
      <c r="F3403" s="65"/>
    </row>
    <row r="3404" spans="2:6" hidden="1" x14ac:dyDescent="0.25">
      <c r="B3404" s="51">
        <f>YEAR(BDRIOSJ[[#This Row],[FECHA]])</f>
        <v>2025</v>
      </c>
      <c r="C3404" s="51">
        <f>MONTH(BDRIOSJ[[#This Row],[FECHA]])</f>
        <v>11</v>
      </c>
      <c r="D3404" s="81">
        <v>45988</v>
      </c>
      <c r="E3404" s="60" t="s">
        <v>114</v>
      </c>
      <c r="F3404" s="65"/>
    </row>
    <row r="3405" spans="2:6" hidden="1" x14ac:dyDescent="0.25">
      <c r="B3405" s="51">
        <f>YEAR(BDRIOSJ[[#This Row],[FECHA]])</f>
        <v>2025</v>
      </c>
      <c r="C3405" s="51">
        <f>MONTH(BDRIOSJ[[#This Row],[FECHA]])</f>
        <v>11</v>
      </c>
      <c r="D3405" s="81">
        <v>45988</v>
      </c>
      <c r="E3405" s="60" t="s">
        <v>115</v>
      </c>
      <c r="F3405" s="65"/>
    </row>
    <row r="3406" spans="2:6" hidden="1" x14ac:dyDescent="0.25">
      <c r="B3406" s="52">
        <f>YEAR(BDRIOSJ[[#This Row],[FECHA]])</f>
        <v>2025</v>
      </c>
      <c r="C3406" s="52">
        <f>MONTH(BDRIOSJ[[#This Row],[FECHA]])</f>
        <v>11</v>
      </c>
      <c r="D3406" s="81">
        <v>45989</v>
      </c>
      <c r="E3406" s="60" t="s">
        <v>111</v>
      </c>
      <c r="F3406" s="82"/>
    </row>
    <row r="3407" spans="2:6" hidden="1" x14ac:dyDescent="0.25">
      <c r="B3407" s="51">
        <f>YEAR(BDRIOSJ[[#This Row],[FECHA]])</f>
        <v>2025</v>
      </c>
      <c r="C3407" s="51">
        <f>MONTH(BDRIOSJ[[#This Row],[FECHA]])</f>
        <v>11</v>
      </c>
      <c r="D3407" s="81">
        <v>45989</v>
      </c>
      <c r="E3407" s="60" t="s">
        <v>113</v>
      </c>
      <c r="F3407" s="65">
        <v>14.3</v>
      </c>
    </row>
    <row r="3408" spans="2:6" hidden="1" x14ac:dyDescent="0.25">
      <c r="B3408" s="51">
        <f>YEAR(BDRIOSJ[[#This Row],[FECHA]])</f>
        <v>2025</v>
      </c>
      <c r="C3408" s="51">
        <f>MONTH(BDRIOSJ[[#This Row],[FECHA]])</f>
        <v>11</v>
      </c>
      <c r="D3408" s="81">
        <v>45989</v>
      </c>
      <c r="E3408" s="60" t="s">
        <v>114</v>
      </c>
      <c r="F3408" s="65">
        <v>14.3</v>
      </c>
    </row>
    <row r="3409" spans="2:6" hidden="1" x14ac:dyDescent="0.25">
      <c r="B3409" s="51">
        <f>YEAR(BDRIOSJ[[#This Row],[FECHA]])</f>
        <v>2025</v>
      </c>
      <c r="C3409" s="51">
        <f>MONTH(BDRIOSJ[[#This Row],[FECHA]])</f>
        <v>11</v>
      </c>
      <c r="D3409" s="81">
        <v>45989</v>
      </c>
      <c r="E3409" s="60" t="s">
        <v>115</v>
      </c>
      <c r="F3409" s="65">
        <v>14.3</v>
      </c>
    </row>
    <row r="3410" spans="2:6" hidden="1" x14ac:dyDescent="0.25">
      <c r="B3410" s="52">
        <f>YEAR(BDRIOSJ[[#This Row],[FECHA]])</f>
        <v>2025</v>
      </c>
      <c r="C3410" s="52">
        <f>MONTH(BDRIOSJ[[#This Row],[FECHA]])</f>
        <v>11</v>
      </c>
      <c r="D3410" s="81">
        <v>45990</v>
      </c>
      <c r="E3410" s="60" t="s">
        <v>111</v>
      </c>
      <c r="F3410" s="65">
        <v>14.3</v>
      </c>
    </row>
    <row r="3411" spans="2:6" hidden="1" x14ac:dyDescent="0.25">
      <c r="B3411" s="52">
        <f>YEAR(BDRIOSJ[[#This Row],[FECHA]])</f>
        <v>2025</v>
      </c>
      <c r="C3411" s="52">
        <f>MONTH(BDRIOSJ[[#This Row],[FECHA]])</f>
        <v>11</v>
      </c>
      <c r="D3411" s="81">
        <v>45990</v>
      </c>
      <c r="E3411" s="60" t="s">
        <v>113</v>
      </c>
      <c r="F3411" s="65">
        <v>14.3</v>
      </c>
    </row>
    <row r="3412" spans="2:6" hidden="1" x14ac:dyDescent="0.25">
      <c r="B3412" s="51">
        <f>YEAR(BDRIOSJ[[#This Row],[FECHA]])</f>
        <v>2025</v>
      </c>
      <c r="C3412" s="51">
        <f>MONTH(BDRIOSJ[[#This Row],[FECHA]])</f>
        <v>11</v>
      </c>
      <c r="D3412" s="81">
        <v>45990</v>
      </c>
      <c r="E3412" s="60" t="s">
        <v>114</v>
      </c>
      <c r="F3412" s="65">
        <v>14.3</v>
      </c>
    </row>
    <row r="3413" spans="2:6" hidden="1" x14ac:dyDescent="0.25">
      <c r="B3413" s="51">
        <f>YEAR(BDRIOSJ[[#This Row],[FECHA]])</f>
        <v>2025</v>
      </c>
      <c r="C3413" s="51">
        <f>MONTH(BDRIOSJ[[#This Row],[FECHA]])</f>
        <v>11</v>
      </c>
      <c r="D3413" s="81">
        <v>45990</v>
      </c>
      <c r="E3413" s="60" t="s">
        <v>115</v>
      </c>
      <c r="F3413" s="65">
        <v>14.3</v>
      </c>
    </row>
    <row r="3414" spans="2:6" hidden="1" x14ac:dyDescent="0.25">
      <c r="B3414" s="52">
        <f>YEAR(BDRIOSJ[[#This Row],[FECHA]])</f>
        <v>2025</v>
      </c>
      <c r="C3414" s="52">
        <f>MONTH(BDRIOSJ[[#This Row],[FECHA]])</f>
        <v>11</v>
      </c>
      <c r="D3414" s="81">
        <v>45991</v>
      </c>
      <c r="E3414" s="60" t="s">
        <v>111</v>
      </c>
      <c r="F3414" s="65">
        <v>14.3</v>
      </c>
    </row>
    <row r="3415" spans="2:6" hidden="1" x14ac:dyDescent="0.25">
      <c r="B3415" s="51">
        <f>YEAR(BDRIOSJ[[#This Row],[FECHA]])</f>
        <v>2025</v>
      </c>
      <c r="C3415" s="51">
        <f>MONTH(BDRIOSJ[[#This Row],[FECHA]])</f>
        <v>11</v>
      </c>
      <c r="D3415" s="81">
        <v>45991</v>
      </c>
      <c r="E3415" s="60" t="s">
        <v>113</v>
      </c>
      <c r="F3415" s="65">
        <v>14.3</v>
      </c>
    </row>
    <row r="3416" spans="2:6" hidden="1" x14ac:dyDescent="0.25">
      <c r="B3416" s="51">
        <f>YEAR(BDRIOSJ[[#This Row],[FECHA]])</f>
        <v>2025</v>
      </c>
      <c r="C3416" s="51">
        <f>MONTH(BDRIOSJ[[#This Row],[FECHA]])</f>
        <v>11</v>
      </c>
      <c r="D3416" s="81">
        <v>45991</v>
      </c>
      <c r="E3416" s="60" t="s">
        <v>114</v>
      </c>
      <c r="F3416" s="65">
        <v>14.3</v>
      </c>
    </row>
    <row r="3417" spans="2:6" hidden="1" x14ac:dyDescent="0.25">
      <c r="B3417" s="51">
        <f>YEAR(BDRIOSJ[[#This Row],[FECHA]])</f>
        <v>2025</v>
      </c>
      <c r="C3417" s="51">
        <f>MONTH(BDRIOSJ[[#This Row],[FECHA]])</f>
        <v>11</v>
      </c>
      <c r="D3417" s="81">
        <v>45991</v>
      </c>
      <c r="E3417" s="60" t="s">
        <v>115</v>
      </c>
      <c r="F3417" s="65">
        <v>14.3</v>
      </c>
    </row>
    <row r="3418" spans="2:6" hidden="1" x14ac:dyDescent="0.25">
      <c r="B3418" s="52">
        <f>YEAR(BDRIOSJ[[#This Row],[FECHA]])</f>
        <v>2025</v>
      </c>
      <c r="C3418" s="52">
        <f>MONTH(BDRIOSJ[[#This Row],[FECHA]])</f>
        <v>12</v>
      </c>
      <c r="D3418" s="81">
        <v>45992</v>
      </c>
      <c r="E3418" s="60" t="s">
        <v>111</v>
      </c>
      <c r="F3418" s="65">
        <v>14.3</v>
      </c>
    </row>
    <row r="3419" spans="2:6" hidden="1" x14ac:dyDescent="0.25">
      <c r="B3419" s="51">
        <f>YEAR(BDRIOSJ[[#This Row],[FECHA]])</f>
        <v>2025</v>
      </c>
      <c r="C3419" s="51">
        <f>MONTH(BDRIOSJ[[#This Row],[FECHA]])</f>
        <v>12</v>
      </c>
      <c r="D3419" s="81">
        <v>45992</v>
      </c>
      <c r="E3419" s="60" t="s">
        <v>113</v>
      </c>
      <c r="F3419" s="65">
        <v>14.3</v>
      </c>
    </row>
    <row r="3420" spans="2:6" hidden="1" x14ac:dyDescent="0.25">
      <c r="B3420" s="51">
        <f>YEAR(BDRIOSJ[[#This Row],[FECHA]])</f>
        <v>2025</v>
      </c>
      <c r="C3420" s="51">
        <f>MONTH(BDRIOSJ[[#This Row],[FECHA]])</f>
        <v>12</v>
      </c>
      <c r="D3420" s="81">
        <v>45992</v>
      </c>
      <c r="E3420" s="60" t="s">
        <v>114</v>
      </c>
      <c r="F3420" s="65">
        <v>15.82</v>
      </c>
    </row>
    <row r="3421" spans="2:6" hidden="1" x14ac:dyDescent="0.25">
      <c r="B3421" s="51">
        <f>YEAR(BDRIOSJ[[#This Row],[FECHA]])</f>
        <v>2025</v>
      </c>
      <c r="C3421" s="51">
        <f>MONTH(BDRIOSJ[[#This Row],[FECHA]])</f>
        <v>12</v>
      </c>
      <c r="D3421" s="81">
        <v>45992</v>
      </c>
      <c r="E3421" s="60" t="s">
        <v>115</v>
      </c>
      <c r="F3421" s="65">
        <v>15.82</v>
      </c>
    </row>
    <row r="3422" spans="2:6" hidden="1" x14ac:dyDescent="0.25">
      <c r="B3422" s="51">
        <f>YEAR(BDRIOSJ[[#This Row],[FECHA]])</f>
        <v>2025</v>
      </c>
      <c r="C3422" s="51">
        <f>MONTH(BDRIOSJ[[#This Row],[FECHA]])</f>
        <v>12</v>
      </c>
      <c r="D3422" s="50">
        <v>45993</v>
      </c>
      <c r="E3422" s="60" t="s">
        <v>111</v>
      </c>
      <c r="F3422" s="65">
        <v>15.82</v>
      </c>
    </row>
    <row r="3423" spans="2:6" hidden="1" x14ac:dyDescent="0.25">
      <c r="B3423" s="51">
        <f>YEAR(BDRIOSJ[[#This Row],[FECHA]])</f>
        <v>2025</v>
      </c>
      <c r="C3423" s="51">
        <f>MONTH(BDRIOSJ[[#This Row],[FECHA]])</f>
        <v>12</v>
      </c>
      <c r="D3423" s="50">
        <v>45993</v>
      </c>
      <c r="E3423" s="60" t="s">
        <v>113</v>
      </c>
      <c r="F3423" s="65">
        <v>15.82</v>
      </c>
    </row>
    <row r="3424" spans="2:6" hidden="1" x14ac:dyDescent="0.25">
      <c r="B3424" s="51">
        <f>YEAR(BDRIOSJ[[#This Row],[FECHA]])</f>
        <v>2025</v>
      </c>
      <c r="C3424" s="51">
        <f>MONTH(BDRIOSJ[[#This Row],[FECHA]])</f>
        <v>12</v>
      </c>
      <c r="D3424" s="50">
        <v>45993</v>
      </c>
      <c r="E3424" s="60" t="s">
        <v>114</v>
      </c>
      <c r="F3424" s="65">
        <v>15.82</v>
      </c>
    </row>
    <row r="3425" spans="2:6" hidden="1" x14ac:dyDescent="0.25">
      <c r="B3425" s="51">
        <f>YEAR(BDRIOSJ[[#This Row],[FECHA]])</f>
        <v>2025</v>
      </c>
      <c r="C3425" s="51">
        <f>MONTH(BDRIOSJ[[#This Row],[FECHA]])</f>
        <v>12</v>
      </c>
      <c r="D3425" s="50">
        <v>45993</v>
      </c>
      <c r="E3425" s="60" t="s">
        <v>115</v>
      </c>
      <c r="F3425" s="65">
        <v>15.82</v>
      </c>
    </row>
    <row r="3426" spans="2:6" hidden="1" x14ac:dyDescent="0.25">
      <c r="B3426" s="51">
        <f>YEAR(BDRIOSJ[[#This Row],[FECHA]])</f>
        <v>2025</v>
      </c>
      <c r="C3426" s="51">
        <f>MONTH(BDRIOSJ[[#This Row],[FECHA]])</f>
        <v>12</v>
      </c>
      <c r="D3426" s="50">
        <v>45994</v>
      </c>
      <c r="E3426" s="60" t="s">
        <v>111</v>
      </c>
      <c r="F3426" s="65">
        <v>15.82</v>
      </c>
    </row>
    <row r="3427" spans="2:6" hidden="1" x14ac:dyDescent="0.25">
      <c r="B3427" s="51">
        <f>YEAR(BDRIOSJ[[#This Row],[FECHA]])</f>
        <v>2025</v>
      </c>
      <c r="C3427" s="51">
        <f>MONTH(BDRIOSJ[[#This Row],[FECHA]])</f>
        <v>12</v>
      </c>
      <c r="D3427" s="50">
        <v>45995</v>
      </c>
      <c r="E3427" s="60" t="s">
        <v>113</v>
      </c>
      <c r="F3427" s="65">
        <v>15.82</v>
      </c>
    </row>
    <row r="3428" spans="2:6" hidden="1" x14ac:dyDescent="0.25">
      <c r="B3428" s="51">
        <f>YEAR(BDRIOSJ[[#This Row],[FECHA]])</f>
        <v>2025</v>
      </c>
      <c r="C3428" s="51">
        <f>MONTH(BDRIOSJ[[#This Row],[FECHA]])</f>
        <v>12</v>
      </c>
      <c r="D3428" s="50">
        <v>45996</v>
      </c>
      <c r="E3428" s="60" t="s">
        <v>114</v>
      </c>
      <c r="F3428" s="65">
        <v>15.82</v>
      </c>
    </row>
    <row r="3429" spans="2:6" hidden="1" x14ac:dyDescent="0.25">
      <c r="B3429" s="51">
        <f>YEAR(BDRIOSJ[[#This Row],[FECHA]])</f>
        <v>2025</v>
      </c>
      <c r="C3429" s="51">
        <f>MONTH(BDRIOSJ[[#This Row],[FECHA]])</f>
        <v>12</v>
      </c>
      <c r="D3429" s="50">
        <v>45997</v>
      </c>
      <c r="E3429" s="60" t="s">
        <v>115</v>
      </c>
      <c r="F3429" s="65">
        <v>15.82</v>
      </c>
    </row>
    <row r="3430" spans="2:6" hidden="1" x14ac:dyDescent="0.25">
      <c r="B3430" s="51">
        <f>YEAR(BDRIOSJ[[#This Row],[FECHA]])</f>
        <v>2025</v>
      </c>
      <c r="C3430" s="51">
        <f>MONTH(BDRIOSJ[[#This Row],[FECHA]])</f>
        <v>12</v>
      </c>
      <c r="D3430" s="50">
        <v>45998</v>
      </c>
      <c r="E3430" s="60" t="s">
        <v>115</v>
      </c>
      <c r="F3430" s="65">
        <v>15.82</v>
      </c>
    </row>
    <row r="3431" spans="2:6" hidden="1" x14ac:dyDescent="0.25">
      <c r="B3431" s="51">
        <f>YEAR(BDRIOSJ[[#This Row],[FECHA]])</f>
        <v>2025</v>
      </c>
      <c r="C3431" s="51">
        <f>MONTH(BDRIOSJ[[#This Row],[FECHA]])</f>
        <v>12</v>
      </c>
      <c r="D3431" s="50">
        <v>45999</v>
      </c>
      <c r="E3431" s="60" t="s">
        <v>115</v>
      </c>
      <c r="F3431" s="65">
        <v>15.82</v>
      </c>
    </row>
    <row r="3432" spans="2:6" hidden="1" x14ac:dyDescent="0.25">
      <c r="B3432" s="51">
        <f>YEAR(BDRIOSJ[[#This Row],[FECHA]])</f>
        <v>2025</v>
      </c>
      <c r="C3432" s="51">
        <f>MONTH(BDRIOSJ[[#This Row],[FECHA]])</f>
        <v>12</v>
      </c>
      <c r="D3432" s="50">
        <v>46000</v>
      </c>
      <c r="E3432" s="60" t="s">
        <v>115</v>
      </c>
      <c r="F3432" s="65">
        <v>15.82</v>
      </c>
    </row>
    <row r="3433" spans="2:6" hidden="1" x14ac:dyDescent="0.25">
      <c r="B3433" s="51">
        <f>YEAR(BDRIOSJ[[#This Row],[FECHA]])</f>
        <v>2025</v>
      </c>
      <c r="C3433" s="51">
        <f>MONTH(BDRIOSJ[[#This Row],[FECHA]])</f>
        <v>12</v>
      </c>
      <c r="D3433" s="50">
        <v>46001</v>
      </c>
      <c r="E3433" s="60" t="s">
        <v>115</v>
      </c>
      <c r="F3433" s="65">
        <v>15.82</v>
      </c>
    </row>
    <row r="3434" spans="2:6" hidden="1" x14ac:dyDescent="0.25">
      <c r="B3434" s="51">
        <f>YEAR(BDRIOSJ[[#This Row],[FECHA]])</f>
        <v>2025</v>
      </c>
      <c r="C3434" s="51">
        <f>MONTH(BDRIOSJ[[#This Row],[FECHA]])</f>
        <v>12</v>
      </c>
      <c r="D3434" s="50">
        <v>46002</v>
      </c>
      <c r="E3434" s="60" t="s">
        <v>115</v>
      </c>
      <c r="F3434" s="65">
        <v>15.82</v>
      </c>
    </row>
    <row r="3435" spans="2:6" hidden="1" x14ac:dyDescent="0.25">
      <c r="B3435" s="51">
        <f>YEAR(BDRIOSJ[[#This Row],[FECHA]])</f>
        <v>2025</v>
      </c>
      <c r="C3435" s="51">
        <f>MONTH(BDRIOSJ[[#This Row],[FECHA]])</f>
        <v>12</v>
      </c>
      <c r="D3435" s="50">
        <v>46003</v>
      </c>
      <c r="E3435" s="60" t="s">
        <v>115</v>
      </c>
      <c r="F3435" s="65">
        <v>15.82</v>
      </c>
    </row>
    <row r="3436" spans="2:6" hidden="1" x14ac:dyDescent="0.25">
      <c r="B3436" s="51">
        <f>YEAR(BDRIOSJ[[#This Row],[FECHA]])</f>
        <v>2025</v>
      </c>
      <c r="C3436" s="51">
        <f>MONTH(BDRIOSJ[[#This Row],[FECHA]])</f>
        <v>12</v>
      </c>
      <c r="D3436" s="50">
        <v>46004</v>
      </c>
      <c r="E3436" s="60" t="s">
        <v>115</v>
      </c>
      <c r="F3436" s="65">
        <v>15.82</v>
      </c>
    </row>
    <row r="3437" spans="2:6" hidden="1" x14ac:dyDescent="0.25">
      <c r="B3437" s="51">
        <f>YEAR(BDRIOSJ[[#This Row],[FECHA]])</f>
        <v>2025</v>
      </c>
      <c r="C3437" s="51">
        <f>MONTH(BDRIOSJ[[#This Row],[FECHA]])</f>
        <v>12</v>
      </c>
      <c r="D3437" s="50">
        <v>46005</v>
      </c>
      <c r="E3437" s="60" t="s">
        <v>115</v>
      </c>
      <c r="F3437" s="65">
        <v>15.82</v>
      </c>
    </row>
    <row r="3438" spans="2:6" hidden="1" x14ac:dyDescent="0.25">
      <c r="B3438" s="51">
        <f>YEAR(BDRIOSJ[[#This Row],[FECHA]])</f>
        <v>2025</v>
      </c>
      <c r="C3438" s="51">
        <f>MONTH(BDRIOSJ[[#This Row],[FECHA]])</f>
        <v>12</v>
      </c>
      <c r="D3438" s="50">
        <v>46006</v>
      </c>
      <c r="E3438" s="60" t="s">
        <v>115</v>
      </c>
      <c r="F3438" s="65">
        <v>15.82</v>
      </c>
    </row>
    <row r="3439" spans="2:6" hidden="1" x14ac:dyDescent="0.25">
      <c r="B3439" s="51">
        <f>YEAR(BDRIOSJ[[#This Row],[FECHA]])</f>
        <v>2025</v>
      </c>
      <c r="C3439" s="51">
        <f>MONTH(BDRIOSJ[[#This Row],[FECHA]])</f>
        <v>12</v>
      </c>
      <c r="D3439" s="50">
        <v>46007</v>
      </c>
      <c r="E3439" s="60" t="s">
        <v>115</v>
      </c>
      <c r="F3439" s="65">
        <v>15.82</v>
      </c>
    </row>
    <row r="3440" spans="2:6" hidden="1" x14ac:dyDescent="0.25">
      <c r="B3440" s="51">
        <f>YEAR(BDRIOSJ[[#This Row],[FECHA]])</f>
        <v>2025</v>
      </c>
      <c r="C3440" s="51">
        <f>MONTH(BDRIOSJ[[#This Row],[FECHA]])</f>
        <v>12</v>
      </c>
      <c r="D3440" s="50">
        <v>46008</v>
      </c>
      <c r="E3440" s="60" t="s">
        <v>115</v>
      </c>
      <c r="F3440" s="65">
        <v>15.82</v>
      </c>
    </row>
    <row r="3441" spans="2:6" hidden="1" x14ac:dyDescent="0.25">
      <c r="B3441" s="51">
        <f>YEAR(BDRIOSJ[[#This Row],[FECHA]])</f>
        <v>2025</v>
      </c>
      <c r="C3441" s="51">
        <f>MONTH(BDRIOSJ[[#This Row],[FECHA]])</f>
        <v>12</v>
      </c>
      <c r="D3441" s="50">
        <v>46009</v>
      </c>
      <c r="E3441" s="60" t="s">
        <v>115</v>
      </c>
      <c r="F3441" s="65">
        <v>15.82</v>
      </c>
    </row>
    <row r="3442" spans="2:6" hidden="1" x14ac:dyDescent="0.25">
      <c r="B3442" s="51">
        <f>YEAR(BDRIOSJ[[#This Row],[FECHA]])</f>
        <v>2025</v>
      </c>
      <c r="C3442" s="51">
        <f>MONTH(BDRIOSJ[[#This Row],[FECHA]])</f>
        <v>12</v>
      </c>
      <c r="D3442" s="50">
        <v>46010</v>
      </c>
      <c r="E3442" s="60" t="s">
        <v>115</v>
      </c>
      <c r="F3442" s="65">
        <v>15.82</v>
      </c>
    </row>
    <row r="3443" spans="2:6" hidden="1" x14ac:dyDescent="0.25">
      <c r="B3443" s="51">
        <f>YEAR(BDRIOSJ[[#This Row],[FECHA]])</f>
        <v>2025</v>
      </c>
      <c r="C3443" s="51">
        <f>MONTH(BDRIOSJ[[#This Row],[FECHA]])</f>
        <v>12</v>
      </c>
      <c r="D3443" s="50">
        <v>46011</v>
      </c>
      <c r="E3443" s="60" t="s">
        <v>115</v>
      </c>
      <c r="F3443" s="65">
        <v>9.61</v>
      </c>
    </row>
    <row r="3444" spans="2:6" hidden="1" x14ac:dyDescent="0.25">
      <c r="B3444" s="51">
        <f>YEAR(BDRIOSJ[[#This Row],[FECHA]])</f>
        <v>2025</v>
      </c>
      <c r="C3444" s="51">
        <f>MONTH(BDRIOSJ[[#This Row],[FECHA]])</f>
        <v>12</v>
      </c>
      <c r="D3444" s="50">
        <v>46012</v>
      </c>
      <c r="E3444" s="60" t="s">
        <v>115</v>
      </c>
      <c r="F3444" s="65">
        <v>9.61</v>
      </c>
    </row>
    <row r="3445" spans="2:6" hidden="1" x14ac:dyDescent="0.25">
      <c r="B3445" s="51">
        <f>YEAR(BDRIOSJ[[#This Row],[FECHA]])</f>
        <v>2025</v>
      </c>
      <c r="C3445" s="51">
        <f>MONTH(BDRIOSJ[[#This Row],[FECHA]])</f>
        <v>12</v>
      </c>
      <c r="D3445" s="50">
        <v>46013</v>
      </c>
      <c r="E3445" s="60" t="s">
        <v>115</v>
      </c>
      <c r="F3445" s="65">
        <v>9.61</v>
      </c>
    </row>
    <row r="3446" spans="2:6" hidden="1" x14ac:dyDescent="0.25">
      <c r="B3446" s="51">
        <f>YEAR(BDRIOSJ[[#This Row],[FECHA]])</f>
        <v>2025</v>
      </c>
      <c r="C3446" s="51">
        <f>MONTH(BDRIOSJ[[#This Row],[FECHA]])</f>
        <v>12</v>
      </c>
      <c r="D3446" s="50">
        <v>46014</v>
      </c>
      <c r="E3446" s="60" t="s">
        <v>115</v>
      </c>
      <c r="F3446" s="65">
        <v>9.61</v>
      </c>
    </row>
    <row r="3447" spans="2:6" hidden="1" x14ac:dyDescent="0.25">
      <c r="B3447" s="51">
        <f>YEAR(BDRIOSJ[[#This Row],[FECHA]])</f>
        <v>2025</v>
      </c>
      <c r="C3447" s="51">
        <f>MONTH(BDRIOSJ[[#This Row],[FECHA]])</f>
        <v>12</v>
      </c>
      <c r="D3447" s="50">
        <v>46015</v>
      </c>
      <c r="E3447" s="60" t="s">
        <v>115</v>
      </c>
      <c r="F3447" s="65">
        <v>9.61</v>
      </c>
    </row>
    <row r="3448" spans="2:6" hidden="1" x14ac:dyDescent="0.25">
      <c r="B3448" s="51">
        <f>YEAR(BDRIOSJ[[#This Row],[FECHA]])</f>
        <v>2025</v>
      </c>
      <c r="C3448" s="51">
        <f>MONTH(BDRIOSJ[[#This Row],[FECHA]])</f>
        <v>12</v>
      </c>
      <c r="D3448" s="50">
        <v>46016</v>
      </c>
      <c r="E3448" s="60" t="s">
        <v>115</v>
      </c>
      <c r="F3448" s="65">
        <v>9.61</v>
      </c>
    </row>
    <row r="3449" spans="2:6" hidden="1" x14ac:dyDescent="0.25">
      <c r="B3449" s="51">
        <f>YEAR(BDRIOSJ[[#This Row],[FECHA]])</f>
        <v>2025</v>
      </c>
      <c r="C3449" s="51">
        <f>MONTH(BDRIOSJ[[#This Row],[FECHA]])</f>
        <v>12</v>
      </c>
      <c r="D3449" s="50">
        <v>46017</v>
      </c>
      <c r="E3449" s="60" t="s">
        <v>115</v>
      </c>
      <c r="F3449" s="65">
        <v>9.61</v>
      </c>
    </row>
    <row r="3450" spans="2:6" hidden="1" x14ac:dyDescent="0.25">
      <c r="B3450" s="51">
        <f>YEAR(BDRIOSJ[[#This Row],[FECHA]])</f>
        <v>2025</v>
      </c>
      <c r="C3450" s="51">
        <f>MONTH(BDRIOSJ[[#This Row],[FECHA]])</f>
        <v>12</v>
      </c>
      <c r="D3450" s="50">
        <v>46018</v>
      </c>
      <c r="E3450" s="60" t="s">
        <v>115</v>
      </c>
      <c r="F3450" s="65">
        <v>9.61</v>
      </c>
    </row>
    <row r="3451" spans="2:6" hidden="1" x14ac:dyDescent="0.25">
      <c r="B3451" s="51">
        <f>YEAR(BDRIOSJ[[#This Row],[FECHA]])</f>
        <v>2025</v>
      </c>
      <c r="C3451" s="51">
        <f>MONTH(BDRIOSJ[[#This Row],[FECHA]])</f>
        <v>12</v>
      </c>
      <c r="D3451" s="50">
        <v>46019</v>
      </c>
      <c r="E3451" s="60" t="s">
        <v>115</v>
      </c>
      <c r="F3451" s="65">
        <v>9.61</v>
      </c>
    </row>
    <row r="3452" spans="2:6" hidden="1" x14ac:dyDescent="0.25">
      <c r="B3452" s="51">
        <f>YEAR(BDRIOSJ[[#This Row],[FECHA]])</f>
        <v>2025</v>
      </c>
      <c r="C3452" s="51">
        <f>MONTH(BDRIOSJ[[#This Row],[FECHA]])</f>
        <v>12</v>
      </c>
      <c r="D3452" s="50">
        <v>46020</v>
      </c>
      <c r="E3452" s="60" t="s">
        <v>115</v>
      </c>
      <c r="F3452" s="65">
        <v>9.61</v>
      </c>
    </row>
    <row r="3453" spans="2:6" hidden="1" x14ac:dyDescent="0.25">
      <c r="B3453" s="51">
        <f>YEAR(BDRIOSJ[[#This Row],[FECHA]])</f>
        <v>2025</v>
      </c>
      <c r="C3453" s="51">
        <f>MONTH(BDRIOSJ[[#This Row],[FECHA]])</f>
        <v>12</v>
      </c>
      <c r="D3453" s="50">
        <v>46021</v>
      </c>
      <c r="E3453" s="60" t="s">
        <v>115</v>
      </c>
      <c r="F3453" s="65">
        <v>9.61</v>
      </c>
    </row>
    <row r="3454" spans="2:6" hidden="1" x14ac:dyDescent="0.25">
      <c r="B3454" s="51">
        <f>YEAR(BDRIOSJ[[#This Row],[FECHA]])</f>
        <v>2025</v>
      </c>
      <c r="C3454" s="51">
        <f>MONTH(BDRIOSJ[[#This Row],[FECHA]])</f>
        <v>12</v>
      </c>
      <c r="D3454" s="50">
        <v>46022</v>
      </c>
      <c r="E3454" s="60" t="s">
        <v>115</v>
      </c>
      <c r="F3454" s="65">
        <v>9.61</v>
      </c>
    </row>
    <row r="3455" spans="2:6" x14ac:dyDescent="0.25">
      <c r="B3455" s="51">
        <f>YEAR(BDRIOSJ[[#This Row],[FECHA]])</f>
        <v>2026</v>
      </c>
      <c r="C3455" s="51">
        <f>MONTH(BDRIOSJ[[#This Row],[FECHA]])</f>
        <v>1</v>
      </c>
      <c r="D3455" s="50">
        <v>46023</v>
      </c>
      <c r="E3455" s="60" t="s">
        <v>115</v>
      </c>
      <c r="F3455" s="65">
        <v>9.61</v>
      </c>
    </row>
    <row r="3456" spans="2:6" x14ac:dyDescent="0.25">
      <c r="B3456" s="51">
        <f>YEAR(BDRIOSJ[[#This Row],[FECHA]])</f>
        <v>2026</v>
      </c>
      <c r="C3456" s="51">
        <f>MONTH(BDRIOSJ[[#This Row],[FECHA]])</f>
        <v>1</v>
      </c>
      <c r="D3456" s="50">
        <v>46024</v>
      </c>
      <c r="E3456" s="60" t="s">
        <v>115</v>
      </c>
      <c r="F3456" s="65">
        <v>8.11</v>
      </c>
    </row>
    <row r="3457" spans="2:6" x14ac:dyDescent="0.25">
      <c r="B3457" s="51">
        <f>YEAR(BDRIOSJ[[#This Row],[FECHA]])</f>
        <v>2026</v>
      </c>
      <c r="C3457" s="51">
        <f>MONTH(BDRIOSJ[[#This Row],[FECHA]])</f>
        <v>1</v>
      </c>
      <c r="D3457" s="50">
        <v>46025</v>
      </c>
      <c r="E3457" s="60" t="s">
        <v>115</v>
      </c>
      <c r="F3457" s="65">
        <v>8.11</v>
      </c>
    </row>
    <row r="3458" spans="2:6" x14ac:dyDescent="0.25">
      <c r="B3458" s="51">
        <f>YEAR(BDRIOSJ[[#This Row],[FECHA]])</f>
        <v>2026</v>
      </c>
      <c r="C3458" s="51">
        <f>MONTH(BDRIOSJ[[#This Row],[FECHA]])</f>
        <v>1</v>
      </c>
      <c r="D3458" s="50">
        <v>46026</v>
      </c>
      <c r="E3458" s="60" t="s">
        <v>115</v>
      </c>
      <c r="F3458" s="65">
        <v>8.11</v>
      </c>
    </row>
    <row r="3459" spans="2:6" x14ac:dyDescent="0.25">
      <c r="B3459" s="51">
        <f>YEAR(BDRIOSJ[[#This Row],[FECHA]])</f>
        <v>2026</v>
      </c>
      <c r="C3459" s="51">
        <f>MONTH(BDRIOSJ[[#This Row],[FECHA]])</f>
        <v>1</v>
      </c>
      <c r="D3459" s="50">
        <v>46027</v>
      </c>
      <c r="E3459" s="60" t="s">
        <v>115</v>
      </c>
      <c r="F3459" s="65">
        <v>8.11</v>
      </c>
    </row>
    <row r="3460" spans="2:6" x14ac:dyDescent="0.25">
      <c r="B3460" s="51">
        <f>YEAR(BDRIOSJ[[#This Row],[FECHA]])</f>
        <v>2026</v>
      </c>
      <c r="C3460" s="51">
        <f>MONTH(BDRIOSJ[[#This Row],[FECHA]])</f>
        <v>1</v>
      </c>
      <c r="D3460" s="50">
        <v>46028</v>
      </c>
      <c r="E3460" s="60" t="s">
        <v>115</v>
      </c>
      <c r="F3460" s="65">
        <v>10.57</v>
      </c>
    </row>
    <row r="3461" spans="2:6" x14ac:dyDescent="0.25">
      <c r="B3461" s="51">
        <f>YEAR(BDRIOSJ[[#This Row],[FECHA]])</f>
        <v>2026</v>
      </c>
      <c r="C3461" s="51">
        <f>MONTH(BDRIOSJ[[#This Row],[FECHA]])</f>
        <v>1</v>
      </c>
      <c r="D3461" s="50">
        <v>46029</v>
      </c>
      <c r="E3461" s="60" t="s">
        <v>115</v>
      </c>
      <c r="F3461" s="65">
        <v>10.57</v>
      </c>
    </row>
    <row r="3462" spans="2:6" x14ac:dyDescent="0.25">
      <c r="B3462" s="51">
        <f>YEAR(BDRIOSJ[[#This Row],[FECHA]])</f>
        <v>2026</v>
      </c>
      <c r="C3462" s="51">
        <f>MONTH(BDRIOSJ[[#This Row],[FECHA]])</f>
        <v>1</v>
      </c>
      <c r="D3462" s="50">
        <v>46030</v>
      </c>
      <c r="E3462" s="60" t="s">
        <v>115</v>
      </c>
      <c r="F3462" s="65">
        <v>10.57</v>
      </c>
    </row>
    <row r="3463" spans="2:6" x14ac:dyDescent="0.25">
      <c r="B3463" s="51">
        <f>YEAR(BDRIOSJ[[#This Row],[FECHA]])</f>
        <v>2026</v>
      </c>
      <c r="C3463" s="51">
        <f>MONTH(BDRIOSJ[[#This Row],[FECHA]])</f>
        <v>1</v>
      </c>
      <c r="D3463" s="50">
        <v>46031</v>
      </c>
      <c r="E3463" s="60" t="s">
        <v>115</v>
      </c>
      <c r="F3463" s="65">
        <v>10.57</v>
      </c>
    </row>
    <row r="3464" spans="2:6" x14ac:dyDescent="0.25">
      <c r="B3464" s="51">
        <f>YEAR(BDRIOSJ[[#This Row],[FECHA]])</f>
        <v>2026</v>
      </c>
      <c r="C3464" s="51">
        <f>MONTH(BDRIOSJ[[#This Row],[FECHA]])</f>
        <v>1</v>
      </c>
      <c r="D3464" s="50">
        <v>46032</v>
      </c>
      <c r="E3464" s="60" t="s">
        <v>115</v>
      </c>
      <c r="F3464" s="65">
        <v>10.57</v>
      </c>
    </row>
    <row r="3465" spans="2:6" x14ac:dyDescent="0.25">
      <c r="B3465" s="51">
        <f>YEAR(BDRIOSJ[[#This Row],[FECHA]])</f>
        <v>2026</v>
      </c>
      <c r="C3465" s="51">
        <f>MONTH(BDRIOSJ[[#This Row],[FECHA]])</f>
        <v>1</v>
      </c>
      <c r="D3465" s="50">
        <v>46033</v>
      </c>
      <c r="E3465" s="60" t="s">
        <v>115</v>
      </c>
      <c r="F3465" s="65">
        <v>10.57</v>
      </c>
    </row>
    <row r="3466" spans="2:6" x14ac:dyDescent="0.25">
      <c r="B3466" s="51">
        <f>YEAR(BDRIOSJ[[#This Row],[FECHA]])</f>
        <v>2026</v>
      </c>
      <c r="C3466" s="51">
        <f>MONTH(BDRIOSJ[[#This Row],[FECHA]])</f>
        <v>1</v>
      </c>
      <c r="D3466" s="50">
        <v>46034</v>
      </c>
      <c r="E3466" s="60" t="s">
        <v>115</v>
      </c>
      <c r="F3466" s="65">
        <v>20.25</v>
      </c>
    </row>
    <row r="3467" spans="2:6" x14ac:dyDescent="0.25">
      <c r="B3467" s="51">
        <f>YEAR(BDRIOSJ[[#This Row],[FECHA]])</f>
        <v>2026</v>
      </c>
      <c r="C3467" s="51">
        <f>MONTH(BDRIOSJ[[#This Row],[FECHA]])</f>
        <v>1</v>
      </c>
      <c r="D3467" s="50">
        <v>46035</v>
      </c>
      <c r="E3467" s="60" t="s">
        <v>115</v>
      </c>
      <c r="F3467" s="65">
        <v>22.27</v>
      </c>
    </row>
    <row r="3468" spans="2:6" x14ac:dyDescent="0.25">
      <c r="B3468" s="51">
        <f>YEAR(BDRIOSJ[[#This Row],[FECHA]])</f>
        <v>2026</v>
      </c>
      <c r="C3468" s="51">
        <f>MONTH(BDRIOSJ[[#This Row],[FECHA]])</f>
        <v>1</v>
      </c>
      <c r="D3468" s="50">
        <v>46036</v>
      </c>
      <c r="E3468" s="60" t="s">
        <v>115</v>
      </c>
      <c r="F3468" s="65">
        <v>41.91</v>
      </c>
    </row>
    <row r="3469" spans="2:6" x14ac:dyDescent="0.25">
      <c r="B3469" s="51">
        <f>YEAR(BDRIOSJ[[#This Row],[FECHA]])</f>
        <v>2026</v>
      </c>
      <c r="C3469" s="51">
        <f>MONTH(BDRIOSJ[[#This Row],[FECHA]])</f>
        <v>1</v>
      </c>
      <c r="D3469" s="50">
        <v>46037</v>
      </c>
      <c r="E3469" s="60" t="s">
        <v>115</v>
      </c>
      <c r="F3469" s="65">
        <v>51.21</v>
      </c>
    </row>
    <row r="3470" spans="2:6" x14ac:dyDescent="0.25">
      <c r="B3470" s="51">
        <f>YEAR(BDRIOSJ[[#This Row],[FECHA]])</f>
        <v>2026</v>
      </c>
      <c r="C3470" s="51">
        <f>MONTH(BDRIOSJ[[#This Row],[FECHA]])</f>
        <v>1</v>
      </c>
      <c r="D3470" s="50">
        <v>46038</v>
      </c>
      <c r="E3470" s="60" t="s">
        <v>115</v>
      </c>
      <c r="F3470" s="65">
        <v>41.91</v>
      </c>
    </row>
    <row r="3471" spans="2:6" x14ac:dyDescent="0.25">
      <c r="B3471" s="51">
        <f>YEAR(BDRIOSJ[[#This Row],[FECHA]])</f>
        <v>2026</v>
      </c>
      <c r="C3471" s="51">
        <f>MONTH(BDRIOSJ[[#This Row],[FECHA]])</f>
        <v>1</v>
      </c>
      <c r="D3471" s="50">
        <v>46039</v>
      </c>
      <c r="E3471" s="60" t="s">
        <v>115</v>
      </c>
      <c r="F3471" s="65">
        <v>80.41</v>
      </c>
    </row>
    <row r="3472" spans="2:6" x14ac:dyDescent="0.25">
      <c r="B3472" s="51">
        <f>YEAR(BDRIOSJ[[#This Row],[FECHA]])</f>
        <v>2026</v>
      </c>
      <c r="C3472" s="51">
        <f>MONTH(BDRIOSJ[[#This Row],[FECHA]])</f>
        <v>1</v>
      </c>
      <c r="D3472" s="50">
        <v>46040</v>
      </c>
      <c r="E3472" s="60" t="s">
        <v>115</v>
      </c>
      <c r="F3472" s="65">
        <v>80.41</v>
      </c>
    </row>
    <row r="3473" spans="2:6" x14ac:dyDescent="0.25">
      <c r="B3473" s="51">
        <f>YEAR(BDRIOSJ[[#This Row],[FECHA]])</f>
        <v>2026</v>
      </c>
      <c r="C3473" s="51">
        <f>MONTH(BDRIOSJ[[#This Row],[FECHA]])</f>
        <v>1</v>
      </c>
      <c r="D3473" s="50">
        <v>46041</v>
      </c>
      <c r="E3473" s="60" t="s">
        <v>115</v>
      </c>
      <c r="F3473" s="65">
        <v>80.41</v>
      </c>
    </row>
    <row r="3474" spans="2:6" x14ac:dyDescent="0.25">
      <c r="B3474" s="51">
        <f>YEAR(BDRIOSJ[[#This Row],[FECHA]])</f>
        <v>2026</v>
      </c>
      <c r="C3474" s="51">
        <f>MONTH(BDRIOSJ[[#This Row],[FECHA]])</f>
        <v>1</v>
      </c>
      <c r="D3474" s="50">
        <v>46042</v>
      </c>
      <c r="E3474" s="60" t="s">
        <v>115</v>
      </c>
      <c r="F3474" s="65">
        <v>80.41</v>
      </c>
    </row>
    <row r="3475" spans="2:6" x14ac:dyDescent="0.25">
      <c r="B3475" s="51">
        <f>YEAR(BDRIOSJ[[#This Row],[FECHA]])</f>
        <v>2026</v>
      </c>
      <c r="C3475" s="51">
        <f>MONTH(BDRIOSJ[[#This Row],[FECHA]])</f>
        <v>1</v>
      </c>
      <c r="D3475" s="50">
        <v>46043</v>
      </c>
      <c r="E3475" s="60" t="s">
        <v>115</v>
      </c>
      <c r="F3475" s="65">
        <v>17.489999999999998</v>
      </c>
    </row>
    <row r="3476" spans="2:6" x14ac:dyDescent="0.25">
      <c r="B3476" s="51">
        <f>YEAR(BDRIOSJ[[#This Row],[FECHA]])</f>
        <v>2026</v>
      </c>
      <c r="C3476" s="51">
        <f>MONTH(BDRIOSJ[[#This Row],[FECHA]])</f>
        <v>1</v>
      </c>
      <c r="D3476" s="50">
        <v>46044</v>
      </c>
      <c r="E3476" s="60" t="s">
        <v>115</v>
      </c>
      <c r="F3476" s="65">
        <v>10.57</v>
      </c>
    </row>
    <row r="3477" spans="2:6" x14ac:dyDescent="0.25">
      <c r="B3477" s="51">
        <f>YEAR(BDRIOSJ[[#This Row],[FECHA]])</f>
        <v>2026</v>
      </c>
      <c r="C3477" s="51">
        <f>MONTH(BDRIOSJ[[#This Row],[FECHA]])</f>
        <v>1</v>
      </c>
      <c r="D3477" s="50">
        <v>46045</v>
      </c>
      <c r="E3477" s="60" t="s">
        <v>115</v>
      </c>
      <c r="F3477" s="65">
        <v>10.57</v>
      </c>
    </row>
    <row r="3478" spans="2:6" x14ac:dyDescent="0.25">
      <c r="B3478" s="51">
        <f>YEAR(BDRIOSJ[[#This Row],[FECHA]])</f>
        <v>2026</v>
      </c>
      <c r="C3478" s="51">
        <f>MONTH(BDRIOSJ[[#This Row],[FECHA]])</f>
        <v>1</v>
      </c>
      <c r="D3478" s="50">
        <v>46046</v>
      </c>
      <c r="E3478" s="60" t="s">
        <v>115</v>
      </c>
      <c r="F3478" s="65">
        <v>10.57</v>
      </c>
    </row>
    <row r="3479" spans="2:6" x14ac:dyDescent="0.25">
      <c r="B3479" s="51">
        <f>YEAR(BDRIOSJ[[#This Row],[FECHA]])</f>
        <v>2026</v>
      </c>
      <c r="C3479" s="51">
        <f>MONTH(BDRIOSJ[[#This Row],[FECHA]])</f>
        <v>1</v>
      </c>
      <c r="D3479" s="50">
        <v>46047</v>
      </c>
      <c r="E3479" s="60" t="s">
        <v>115</v>
      </c>
      <c r="F3479" s="65">
        <v>7.17</v>
      </c>
    </row>
    <row r="3480" spans="2:6" x14ac:dyDescent="0.25">
      <c r="B3480" s="51">
        <f>YEAR(BDRIOSJ[[#This Row],[FECHA]])</f>
        <v>2026</v>
      </c>
      <c r="C3480" s="51">
        <f>MONTH(BDRIOSJ[[#This Row],[FECHA]])</f>
        <v>1</v>
      </c>
      <c r="D3480" s="50">
        <v>46048</v>
      </c>
      <c r="E3480" s="60" t="s">
        <v>115</v>
      </c>
      <c r="F3480" s="65">
        <v>10.57</v>
      </c>
    </row>
    <row r="3481" spans="2:6" x14ac:dyDescent="0.25">
      <c r="B3481" s="51">
        <f>YEAR(BDRIOSJ[[#This Row],[FECHA]])</f>
        <v>2026</v>
      </c>
      <c r="C3481" s="51">
        <f>MONTH(BDRIOSJ[[#This Row],[FECHA]])</f>
        <v>1</v>
      </c>
      <c r="D3481" s="50">
        <v>46049</v>
      </c>
      <c r="E3481" s="60" t="s">
        <v>115</v>
      </c>
      <c r="F3481" s="65">
        <v>10.57</v>
      </c>
    </row>
    <row r="3482" spans="2:6" x14ac:dyDescent="0.25">
      <c r="B3482" s="51">
        <f>YEAR(BDRIOSJ[[#This Row],[FECHA]])</f>
        <v>2026</v>
      </c>
      <c r="C3482" s="51">
        <f>MONTH(BDRIOSJ[[#This Row],[FECHA]])</f>
        <v>1</v>
      </c>
      <c r="D3482" s="50">
        <v>46050</v>
      </c>
      <c r="E3482" s="60" t="s">
        <v>115</v>
      </c>
      <c r="F3482" s="65">
        <v>7.17</v>
      </c>
    </row>
    <row r="3483" spans="2:6" x14ac:dyDescent="0.25">
      <c r="B3483" s="51">
        <f>YEAR(BDRIOSJ[[#This Row],[FECHA]])</f>
        <v>2026</v>
      </c>
      <c r="C3483" s="51">
        <f>MONTH(BDRIOSJ[[#This Row],[FECHA]])</f>
        <v>1</v>
      </c>
      <c r="D3483" s="50">
        <v>46051</v>
      </c>
      <c r="E3483" s="60" t="s">
        <v>115</v>
      </c>
      <c r="F3483" s="65">
        <v>7.17</v>
      </c>
    </row>
    <row r="3484" spans="2:6" x14ac:dyDescent="0.25">
      <c r="B3484" s="51">
        <f>YEAR(BDRIOSJ[[#This Row],[FECHA]])</f>
        <v>2026</v>
      </c>
      <c r="C3484" s="51">
        <f>MONTH(BDRIOSJ[[#This Row],[FECHA]])</f>
        <v>1</v>
      </c>
      <c r="D3484" s="50">
        <v>46052</v>
      </c>
      <c r="E3484" s="60" t="s">
        <v>115</v>
      </c>
      <c r="F3484" s="65">
        <v>7.17</v>
      </c>
    </row>
    <row r="3485" spans="2:6" x14ac:dyDescent="0.25">
      <c r="B3485" s="51">
        <f>YEAR(BDRIOSJ[[#This Row],[FECHA]])</f>
        <v>2026</v>
      </c>
      <c r="C3485" s="51">
        <f>MONTH(BDRIOSJ[[#This Row],[FECHA]])</f>
        <v>1</v>
      </c>
      <c r="D3485" s="50">
        <v>46053</v>
      </c>
      <c r="E3485" s="60" t="s">
        <v>115</v>
      </c>
      <c r="F3485" s="65">
        <v>0.12</v>
      </c>
    </row>
    <row r="3486" spans="2:6" x14ac:dyDescent="0.25">
      <c r="B3486" s="51">
        <f>YEAR(BDRIOSJ[[#This Row],[FECHA]])</f>
        <v>2026</v>
      </c>
      <c r="C3486" s="51">
        <f>MONTH(BDRIOSJ[[#This Row],[FECHA]])</f>
        <v>2</v>
      </c>
      <c r="D3486" s="50">
        <v>46054</v>
      </c>
      <c r="E3486" s="60" t="s">
        <v>115</v>
      </c>
      <c r="F3486" s="65">
        <v>0.4</v>
      </c>
    </row>
    <row r="3487" spans="2:6" x14ac:dyDescent="0.25">
      <c r="B3487" s="51">
        <f>YEAR(BDRIOSJ[[#This Row],[FECHA]])</f>
        <v>2026</v>
      </c>
      <c r="C3487" s="51">
        <f>MONTH(BDRIOSJ[[#This Row],[FECHA]])</f>
        <v>2</v>
      </c>
      <c r="D3487" s="50">
        <v>46055</v>
      </c>
      <c r="E3487" s="60" t="s">
        <v>115</v>
      </c>
      <c r="F3487" s="65">
        <v>0.9</v>
      </c>
    </row>
    <row r="3488" spans="2:6" x14ac:dyDescent="0.25">
      <c r="B3488" s="51">
        <f>YEAR(BDRIOSJ[[#This Row],[FECHA]])</f>
        <v>2026</v>
      </c>
      <c r="C3488" s="51">
        <f>MONTH(BDRIOSJ[[#This Row],[FECHA]])</f>
        <v>2</v>
      </c>
      <c r="D3488" s="50">
        <v>46056</v>
      </c>
      <c r="E3488" s="60" t="s">
        <v>115</v>
      </c>
      <c r="F3488" s="65">
        <v>0.49</v>
      </c>
    </row>
    <row r="3489" spans="2:6" x14ac:dyDescent="0.25">
      <c r="B3489" s="51">
        <f>YEAR(BDRIOSJ[[#This Row],[FECHA]])</f>
        <v>2026</v>
      </c>
      <c r="C3489" s="51">
        <f>MONTH(BDRIOSJ[[#This Row],[FECHA]])</f>
        <v>2</v>
      </c>
      <c r="D3489" s="50">
        <v>46057</v>
      </c>
      <c r="E3489" s="60" t="s">
        <v>115</v>
      </c>
      <c r="F3489" s="65">
        <v>0.42</v>
      </c>
    </row>
    <row r="3490" spans="2:6" x14ac:dyDescent="0.25">
      <c r="B3490" s="51">
        <f>YEAR(BDRIOSJ[[#This Row],[FECHA]])</f>
        <v>2026</v>
      </c>
      <c r="C3490" s="51">
        <f>MONTH(BDRIOSJ[[#This Row],[FECHA]])</f>
        <v>2</v>
      </c>
      <c r="D3490" s="50">
        <v>46058</v>
      </c>
      <c r="E3490" s="60" t="s">
        <v>687</v>
      </c>
      <c r="F3490" s="65">
        <v>0.4</v>
      </c>
    </row>
    <row r="3491" spans="2:6" x14ac:dyDescent="0.25">
      <c r="B3491" s="51">
        <f>YEAR(BDRIOSJ[[#This Row],[FECHA]])</f>
        <v>2026</v>
      </c>
      <c r="C3491" s="51">
        <f>MONTH(BDRIOSJ[[#This Row],[FECHA]])</f>
        <v>2</v>
      </c>
      <c r="D3491" s="50">
        <v>46059</v>
      </c>
      <c r="E3491" s="60" t="s">
        <v>688</v>
      </c>
      <c r="F3491" s="65">
        <v>0.38</v>
      </c>
    </row>
    <row r="3492" spans="2:6" x14ac:dyDescent="0.25">
      <c r="B3492" s="51">
        <f>YEAR(BDRIOSJ[[#This Row],[FECHA]])</f>
        <v>2026</v>
      </c>
      <c r="C3492" s="51">
        <f>MONTH(BDRIOSJ[[#This Row],[FECHA]])</f>
        <v>2</v>
      </c>
      <c r="D3492" s="50">
        <v>46060</v>
      </c>
      <c r="E3492" s="60" t="s">
        <v>689</v>
      </c>
      <c r="F3492" s="65">
        <v>0.32</v>
      </c>
    </row>
    <row r="3493" spans="2:6" x14ac:dyDescent="0.25">
      <c r="B3493" s="51">
        <f>YEAR(BDRIOSJ[[#This Row],[FECHA]])</f>
        <v>2026</v>
      </c>
      <c r="C3493" s="51">
        <f>MONTH(BDRIOSJ[[#This Row],[FECHA]])</f>
        <v>2</v>
      </c>
      <c r="D3493" s="50">
        <v>46061</v>
      </c>
      <c r="E3493" s="60" t="s">
        <v>690</v>
      </c>
      <c r="F3493" s="65">
        <v>0.43</v>
      </c>
    </row>
    <row r="3494" spans="2:6" x14ac:dyDescent="0.25">
      <c r="B3494" s="51">
        <f>YEAR(BDRIOSJ[[#This Row],[FECHA]])</f>
        <v>2026</v>
      </c>
      <c r="C3494" s="51">
        <f>MONTH(BDRIOSJ[[#This Row],[FECHA]])</f>
        <v>2</v>
      </c>
      <c r="D3494" s="50">
        <v>46062</v>
      </c>
      <c r="E3494" s="60" t="s">
        <v>691</v>
      </c>
      <c r="F3494" s="65">
        <v>0.38</v>
      </c>
    </row>
    <row r="3495" spans="2:6" x14ac:dyDescent="0.25">
      <c r="B3495" s="51">
        <f>YEAR(BDRIOSJ[[#This Row],[FECHA]])</f>
        <v>2026</v>
      </c>
      <c r="C3495" s="51">
        <f>MONTH(BDRIOSJ[[#This Row],[FECHA]])</f>
        <v>2</v>
      </c>
      <c r="D3495" s="50">
        <v>46063</v>
      </c>
      <c r="E3495" s="60" t="s">
        <v>692</v>
      </c>
      <c r="F3495" s="65">
        <v>0.3</v>
      </c>
    </row>
    <row r="3496" spans="2:6" x14ac:dyDescent="0.25">
      <c r="B3496" s="51">
        <f>YEAR(BDRIOSJ[[#This Row],[FECHA]])</f>
        <v>2026</v>
      </c>
      <c r="C3496" s="51">
        <f>MONTH(BDRIOSJ[[#This Row],[FECHA]])</f>
        <v>2</v>
      </c>
      <c r="D3496" s="50">
        <v>46064</v>
      </c>
      <c r="E3496" s="60" t="s">
        <v>693</v>
      </c>
      <c r="F3496" s="65">
        <v>0.28000000000000003</v>
      </c>
    </row>
    <row r="3497" spans="2:6" x14ac:dyDescent="0.25">
      <c r="B3497" s="51">
        <f>YEAR(BDRIOSJ[[#This Row],[FECHA]])</f>
        <v>2026</v>
      </c>
      <c r="C3497" s="51">
        <f>MONTH(BDRIOSJ[[#This Row],[FECHA]])</f>
        <v>2</v>
      </c>
      <c r="D3497" s="50">
        <v>46065</v>
      </c>
      <c r="E3497" s="60" t="s">
        <v>694</v>
      </c>
      <c r="F3497" s="65">
        <v>0.34</v>
      </c>
    </row>
    <row r="3498" spans="2:6" x14ac:dyDescent="0.25">
      <c r="B3498" s="51">
        <f>YEAR(BDRIOSJ[[#This Row],[FECHA]])</f>
        <v>2026</v>
      </c>
      <c r="C3498" s="51">
        <f>MONTH(BDRIOSJ[[#This Row],[FECHA]])</f>
        <v>2</v>
      </c>
      <c r="D3498" s="50">
        <v>46066</v>
      </c>
      <c r="E3498" s="60" t="s">
        <v>695</v>
      </c>
      <c r="F3498" s="65">
        <v>0.39</v>
      </c>
    </row>
    <row r="3499" spans="2:6" x14ac:dyDescent="0.25">
      <c r="B3499" s="51">
        <f>YEAR(BDRIOSJ[[#This Row],[FECHA]])</f>
        <v>2026</v>
      </c>
      <c r="C3499" s="51">
        <f>MONTH(BDRIOSJ[[#This Row],[FECHA]])</f>
        <v>2</v>
      </c>
      <c r="D3499" s="50">
        <v>46067</v>
      </c>
      <c r="E3499" s="60" t="s">
        <v>696</v>
      </c>
      <c r="F3499" s="65">
        <v>37.340000000000003</v>
      </c>
    </row>
    <row r="3500" spans="2:6" x14ac:dyDescent="0.25">
      <c r="B3500" s="51">
        <f>YEAR(BDRIOSJ[[#This Row],[FECHA]])</f>
        <v>2026</v>
      </c>
      <c r="C3500" s="51">
        <f>MONTH(BDRIOSJ[[#This Row],[FECHA]])</f>
        <v>2</v>
      </c>
      <c r="D3500" s="50">
        <v>46068</v>
      </c>
      <c r="E3500" s="60" t="s">
        <v>697</v>
      </c>
      <c r="F3500" s="65">
        <v>59.4</v>
      </c>
    </row>
    <row r="3501" spans="2:6" x14ac:dyDescent="0.25">
      <c r="B3501" s="51">
        <f>YEAR(BDRIOSJ[[#This Row],[FECHA]])</f>
        <v>2026</v>
      </c>
      <c r="C3501" s="51">
        <f>MONTH(BDRIOSJ[[#This Row],[FECHA]])</f>
        <v>2</v>
      </c>
      <c r="D3501" s="50">
        <v>46069</v>
      </c>
      <c r="E3501" s="60" t="s">
        <v>698</v>
      </c>
      <c r="F3501" s="65">
        <v>63.32</v>
      </c>
    </row>
    <row r="3502" spans="2:6" x14ac:dyDescent="0.25">
      <c r="B3502" s="51">
        <f>YEAR(BDRIOSJ[[#This Row],[FECHA]])</f>
        <v>2026</v>
      </c>
      <c r="C3502" s="51">
        <f>MONTH(BDRIOSJ[[#This Row],[FECHA]])</f>
        <v>2</v>
      </c>
      <c r="D3502" s="50">
        <v>46070</v>
      </c>
      <c r="E3502" s="60" t="s">
        <v>699</v>
      </c>
      <c r="F3502" s="65">
        <v>104.95</v>
      </c>
    </row>
    <row r="3503" spans="2:6" x14ac:dyDescent="0.25">
      <c r="B3503" s="51">
        <f>YEAR(BDRIOSJ[[#This Row],[FECHA]])</f>
        <v>2026</v>
      </c>
      <c r="C3503" s="51">
        <f>MONTH(BDRIOSJ[[#This Row],[FECHA]])</f>
        <v>2</v>
      </c>
      <c r="D3503" s="50">
        <v>46071</v>
      </c>
      <c r="E3503" s="60" t="s">
        <v>700</v>
      </c>
      <c r="F3503" s="65">
        <v>375.39</v>
      </c>
    </row>
    <row r="3504" spans="2:6" x14ac:dyDescent="0.25">
      <c r="B3504" s="51">
        <f>YEAR(BDRIOSJ[[#This Row],[FECHA]])</f>
        <v>2026</v>
      </c>
      <c r="C3504" s="51">
        <f>MONTH(BDRIOSJ[[#This Row],[FECHA]])</f>
        <v>2</v>
      </c>
      <c r="D3504" s="50">
        <v>46072</v>
      </c>
      <c r="E3504" s="60" t="s">
        <v>701</v>
      </c>
      <c r="F3504" s="65"/>
    </row>
    <row r="3505" spans="2:6" x14ac:dyDescent="0.25">
      <c r="B3505" s="51">
        <f>YEAR(BDRIOSJ[[#This Row],[FECHA]])</f>
        <v>2026</v>
      </c>
      <c r="C3505" s="51">
        <f>MONTH(BDRIOSJ[[#This Row],[FECHA]])</f>
        <v>2</v>
      </c>
      <c r="D3505" s="50">
        <v>46073</v>
      </c>
      <c r="E3505" s="60" t="s">
        <v>702</v>
      </c>
      <c r="F3505" s="65"/>
    </row>
    <row r="3506" spans="2:6" x14ac:dyDescent="0.25">
      <c r="B3506" s="51">
        <f>YEAR(BDRIOSJ[[#This Row],[FECHA]])</f>
        <v>2026</v>
      </c>
      <c r="C3506" s="51">
        <f>MONTH(BDRIOSJ[[#This Row],[FECHA]])</f>
        <v>2</v>
      </c>
      <c r="D3506" s="50">
        <v>46074</v>
      </c>
      <c r="E3506" s="60" t="s">
        <v>703</v>
      </c>
      <c r="F3506" s="65"/>
    </row>
    <row r="3507" spans="2:6" x14ac:dyDescent="0.25">
      <c r="B3507" s="51">
        <f>YEAR(BDRIOSJ[[#This Row],[FECHA]])</f>
        <v>2026</v>
      </c>
      <c r="C3507" s="51">
        <f>MONTH(BDRIOSJ[[#This Row],[FECHA]])</f>
        <v>2</v>
      </c>
      <c r="D3507" s="50">
        <v>46075</v>
      </c>
      <c r="E3507" s="60" t="s">
        <v>704</v>
      </c>
      <c r="F3507" s="65"/>
    </row>
    <row r="3508" spans="2:6" x14ac:dyDescent="0.25">
      <c r="B3508" s="51">
        <f>YEAR(BDRIOSJ[[#This Row],[FECHA]])</f>
        <v>2026</v>
      </c>
      <c r="C3508" s="51">
        <f>MONTH(BDRIOSJ[[#This Row],[FECHA]])</f>
        <v>2</v>
      </c>
      <c r="D3508" s="50">
        <v>46076</v>
      </c>
      <c r="E3508" s="60" t="s">
        <v>705</v>
      </c>
      <c r="F3508" s="65"/>
    </row>
    <row r="3509" spans="2:6" x14ac:dyDescent="0.25">
      <c r="B3509" s="51">
        <f>YEAR(BDRIOSJ[[#This Row],[FECHA]])</f>
        <v>2026</v>
      </c>
      <c r="C3509" s="51">
        <f>MONTH(BDRIOSJ[[#This Row],[FECHA]])</f>
        <v>2</v>
      </c>
      <c r="D3509" s="50">
        <v>46077</v>
      </c>
      <c r="E3509" s="60" t="s">
        <v>706</v>
      </c>
      <c r="F3509" s="65"/>
    </row>
    <row r="3510" spans="2:6" x14ac:dyDescent="0.25">
      <c r="B3510" s="51">
        <f>YEAR(BDRIOSJ[[#This Row],[FECHA]])</f>
        <v>2026</v>
      </c>
      <c r="C3510" s="51">
        <f>MONTH(BDRIOSJ[[#This Row],[FECHA]])</f>
        <v>2</v>
      </c>
      <c r="D3510" s="50">
        <v>46078</v>
      </c>
      <c r="E3510" s="60" t="s">
        <v>707</v>
      </c>
      <c r="F3510" s="65"/>
    </row>
    <row r="3511" spans="2:6" x14ac:dyDescent="0.25">
      <c r="B3511" s="51">
        <f>YEAR(BDRIOSJ[[#This Row],[FECHA]])</f>
        <v>2026</v>
      </c>
      <c r="C3511" s="51">
        <f>MONTH(BDRIOSJ[[#This Row],[FECHA]])</f>
        <v>2</v>
      </c>
      <c r="D3511" s="50">
        <v>46079</v>
      </c>
      <c r="E3511" s="60" t="s">
        <v>708</v>
      </c>
      <c r="F3511" s="65"/>
    </row>
    <row r="3512" spans="2:6" x14ac:dyDescent="0.25">
      <c r="B3512" s="51">
        <f>YEAR(BDRIOSJ[[#This Row],[FECHA]])</f>
        <v>2026</v>
      </c>
      <c r="C3512" s="51">
        <f>MONTH(BDRIOSJ[[#This Row],[FECHA]])</f>
        <v>2</v>
      </c>
      <c r="D3512" s="50">
        <v>46080</v>
      </c>
      <c r="E3512" s="60" t="s">
        <v>709</v>
      </c>
      <c r="F3512" s="65"/>
    </row>
    <row r="3513" spans="2:6" x14ac:dyDescent="0.25">
      <c r="B3513" s="51">
        <f>YEAR(BDRIOSJ[[#This Row],[FECHA]])</f>
        <v>2026</v>
      </c>
      <c r="C3513" s="51">
        <f>MONTH(BDRIOSJ[[#This Row],[FECHA]])</f>
        <v>2</v>
      </c>
      <c r="D3513" s="50">
        <v>46081</v>
      </c>
      <c r="E3513" s="60" t="s">
        <v>710</v>
      </c>
      <c r="F3513" s="65"/>
    </row>
    <row r="3514" spans="2:6" x14ac:dyDescent="0.25">
      <c r="B3514" s="51">
        <f>YEAR(BDRIOSJ[[#This Row],[FECHA]])</f>
        <v>2026</v>
      </c>
      <c r="C3514" s="51">
        <f>MONTH(BDRIOSJ[[#This Row],[FECHA]])</f>
        <v>3</v>
      </c>
      <c r="D3514" s="50">
        <v>46082</v>
      </c>
      <c r="E3514" s="60" t="s">
        <v>771</v>
      </c>
      <c r="F3514" s="65"/>
    </row>
    <row r="3515" spans="2:6" x14ac:dyDescent="0.25">
      <c r="B3515" s="51">
        <f>YEAR(BDRIOSJ[[#This Row],[FECHA]])</f>
        <v>2026</v>
      </c>
      <c r="C3515" s="51">
        <f>MONTH(BDRIOSJ[[#This Row],[FECHA]])</f>
        <v>3</v>
      </c>
      <c r="D3515" s="50">
        <v>46083</v>
      </c>
      <c r="E3515" s="60" t="s">
        <v>772</v>
      </c>
      <c r="F3515" s="65"/>
    </row>
    <row r="3516" spans="2:6" x14ac:dyDescent="0.25">
      <c r="B3516" s="51">
        <f>YEAR(BDRIOSJ[[#This Row],[FECHA]])</f>
        <v>2026</v>
      </c>
      <c r="C3516" s="51">
        <f>MONTH(BDRIOSJ[[#This Row],[FECHA]])</f>
        <v>3</v>
      </c>
      <c r="D3516" s="50">
        <v>46084</v>
      </c>
      <c r="E3516" s="60" t="s">
        <v>773</v>
      </c>
      <c r="F3516" s="65"/>
    </row>
    <row r="3517" spans="2:6" x14ac:dyDescent="0.25">
      <c r="B3517" s="51">
        <f>YEAR(BDRIOSJ[[#This Row],[FECHA]])</f>
        <v>2026</v>
      </c>
      <c r="C3517" s="51">
        <f>MONTH(BDRIOSJ[[#This Row],[FECHA]])</f>
        <v>3</v>
      </c>
      <c r="D3517" s="50">
        <v>46085</v>
      </c>
      <c r="E3517" s="60" t="s">
        <v>774</v>
      </c>
      <c r="F3517" s="65"/>
    </row>
    <row r="3518" spans="2:6" x14ac:dyDescent="0.25">
      <c r="B3518" s="51">
        <f>YEAR(BDRIOSJ[[#This Row],[FECHA]])</f>
        <v>2026</v>
      </c>
      <c r="C3518" s="51">
        <f>MONTH(BDRIOSJ[[#This Row],[FECHA]])</f>
        <v>3</v>
      </c>
      <c r="D3518" s="50">
        <v>46086</v>
      </c>
      <c r="E3518" s="60" t="s">
        <v>775</v>
      </c>
      <c r="F3518" s="65"/>
    </row>
    <row r="3519" spans="2:6" x14ac:dyDescent="0.25">
      <c r="B3519" s="51">
        <f>YEAR(BDRIOSJ[[#This Row],[FECHA]])</f>
        <v>2026</v>
      </c>
      <c r="C3519" s="51">
        <f>MONTH(BDRIOSJ[[#This Row],[FECHA]])</f>
        <v>3</v>
      </c>
      <c r="D3519" s="50">
        <v>46087</v>
      </c>
      <c r="E3519" s="60" t="s">
        <v>776</v>
      </c>
      <c r="F3519" s="65"/>
    </row>
    <row r="3520" spans="2:6" x14ac:dyDescent="0.25">
      <c r="B3520" s="51">
        <f>YEAR(BDRIOSJ[[#This Row],[FECHA]])</f>
        <v>2026</v>
      </c>
      <c r="C3520" s="51">
        <f>MONTH(BDRIOSJ[[#This Row],[FECHA]])</f>
        <v>3</v>
      </c>
      <c r="D3520" s="50">
        <v>46088</v>
      </c>
      <c r="E3520" s="60" t="s">
        <v>777</v>
      </c>
      <c r="F3520" s="65"/>
    </row>
    <row r="3521" spans="2:6" x14ac:dyDescent="0.25">
      <c r="B3521" s="51">
        <f>YEAR(BDRIOSJ[[#This Row],[FECHA]])</f>
        <v>2026</v>
      </c>
      <c r="C3521" s="51">
        <f>MONTH(BDRIOSJ[[#This Row],[FECHA]])</f>
        <v>3</v>
      </c>
      <c r="D3521" s="50">
        <v>46089</v>
      </c>
      <c r="E3521" s="60" t="s">
        <v>778</v>
      </c>
      <c r="F3521" s="65"/>
    </row>
    <row r="3522" spans="2:6" x14ac:dyDescent="0.25">
      <c r="B3522" s="51">
        <f>YEAR(BDRIOSJ[[#This Row],[FECHA]])</f>
        <v>2026</v>
      </c>
      <c r="C3522" s="51">
        <f>MONTH(BDRIOSJ[[#This Row],[FECHA]])</f>
        <v>3</v>
      </c>
      <c r="D3522" s="50">
        <v>46090</v>
      </c>
      <c r="E3522" s="60" t="s">
        <v>779</v>
      </c>
      <c r="F3522" s="65"/>
    </row>
    <row r="3523" spans="2:6" x14ac:dyDescent="0.25">
      <c r="B3523" s="51">
        <f>YEAR(BDRIOSJ[[#This Row],[FECHA]])</f>
        <v>2026</v>
      </c>
      <c r="C3523" s="51">
        <f>MONTH(BDRIOSJ[[#This Row],[FECHA]])</f>
        <v>3</v>
      </c>
      <c r="D3523" s="50">
        <v>46091</v>
      </c>
      <c r="E3523" s="60" t="s">
        <v>780</v>
      </c>
      <c r="F3523" s="65"/>
    </row>
    <row r="3524" spans="2:6" x14ac:dyDescent="0.25">
      <c r="B3524" s="51">
        <f>YEAR(BDRIOSJ[[#This Row],[FECHA]])</f>
        <v>2026</v>
      </c>
      <c r="C3524" s="51">
        <f>MONTH(BDRIOSJ[[#This Row],[FECHA]])</f>
        <v>3</v>
      </c>
      <c r="D3524" s="50">
        <v>46092</v>
      </c>
      <c r="E3524" s="60" t="s">
        <v>781</v>
      </c>
      <c r="F3524" s="65">
        <v>22.1</v>
      </c>
    </row>
    <row r="3525" spans="2:6" x14ac:dyDescent="0.25">
      <c r="B3525" s="51">
        <f>YEAR(BDRIOSJ[[#This Row],[FECHA]])</f>
        <v>2026</v>
      </c>
      <c r="C3525" s="51">
        <f>MONTH(BDRIOSJ[[#This Row],[FECHA]])</f>
        <v>3</v>
      </c>
      <c r="D3525" s="50">
        <v>46093</v>
      </c>
      <c r="E3525" s="60" t="s">
        <v>782</v>
      </c>
      <c r="F3525" s="65">
        <v>32.270000000000003</v>
      </c>
    </row>
    <row r="3526" spans="2:6" x14ac:dyDescent="0.25">
      <c r="B3526" s="51">
        <f>YEAR(BDRIOSJ[[#This Row],[FECHA]])</f>
        <v>2026</v>
      </c>
      <c r="C3526" s="51">
        <f>MONTH(BDRIOSJ[[#This Row],[FECHA]])</f>
        <v>3</v>
      </c>
      <c r="D3526" s="50">
        <v>46094</v>
      </c>
      <c r="E3526" s="60" t="s">
        <v>783</v>
      </c>
      <c r="F3526" s="65">
        <v>34.07</v>
      </c>
    </row>
    <row r="3527" spans="2:6" x14ac:dyDescent="0.25">
      <c r="B3527" s="51">
        <f>YEAR(BDRIOSJ[[#This Row],[FECHA]])</f>
        <v>2026</v>
      </c>
      <c r="C3527" s="51">
        <f>MONTH(BDRIOSJ[[#This Row],[FECHA]])</f>
        <v>3</v>
      </c>
      <c r="D3527" s="50">
        <v>46095</v>
      </c>
      <c r="E3527" s="60" t="s">
        <v>784</v>
      </c>
      <c r="F3527" s="65">
        <v>29.45</v>
      </c>
    </row>
    <row r="3528" spans="2:6" x14ac:dyDescent="0.25">
      <c r="B3528" s="51">
        <f>YEAR(BDRIOSJ[[#This Row],[FECHA]])</f>
        <v>2026</v>
      </c>
      <c r="C3528" s="51">
        <f>MONTH(BDRIOSJ[[#This Row],[FECHA]])</f>
        <v>3</v>
      </c>
      <c r="D3528" s="50">
        <v>46096</v>
      </c>
      <c r="E3528" s="60" t="s">
        <v>785</v>
      </c>
      <c r="F3528" s="65">
        <v>34.07</v>
      </c>
    </row>
    <row r="3529" spans="2:6" x14ac:dyDescent="0.25">
      <c r="B3529" s="51">
        <f>YEAR(BDRIOSJ[[#This Row],[FECHA]])</f>
        <v>2026</v>
      </c>
      <c r="C3529" s="51">
        <f>MONTH(BDRIOSJ[[#This Row],[FECHA]])</f>
        <v>3</v>
      </c>
      <c r="D3529" s="50">
        <v>46097</v>
      </c>
      <c r="E3529" s="60" t="s">
        <v>786</v>
      </c>
      <c r="F3529" s="65">
        <v>30.49</v>
      </c>
    </row>
    <row r="3530" spans="2:6" x14ac:dyDescent="0.25">
      <c r="B3530" s="51">
        <f>YEAR(BDRIOSJ[[#This Row],[FECHA]])</f>
        <v>2026</v>
      </c>
      <c r="C3530" s="51">
        <f>MONTH(BDRIOSJ[[#This Row],[FECHA]])</f>
        <v>3</v>
      </c>
      <c r="D3530" s="50">
        <v>46098</v>
      </c>
      <c r="E3530" s="60" t="s">
        <v>787</v>
      </c>
      <c r="F3530" s="65">
        <v>32.270000000000003</v>
      </c>
    </row>
    <row r="3531" spans="2:6" x14ac:dyDescent="0.25">
      <c r="B3531" s="51">
        <f>YEAR(BDRIOSJ[[#This Row],[FECHA]])</f>
        <v>2026</v>
      </c>
      <c r="C3531" s="51">
        <f>MONTH(BDRIOSJ[[#This Row],[FECHA]])</f>
        <v>3</v>
      </c>
      <c r="D3531" s="50">
        <v>46099</v>
      </c>
      <c r="E3531" s="60" t="s">
        <v>788</v>
      </c>
      <c r="F3531" s="65">
        <v>35.909999999999997</v>
      </c>
    </row>
    <row r="3532" spans="2:6" x14ac:dyDescent="0.25">
      <c r="B3532" s="51">
        <f>YEAR(BDRIOSJ[[#This Row],[FECHA]])</f>
        <v>2026</v>
      </c>
      <c r="C3532" s="51">
        <f>MONTH(BDRIOSJ[[#This Row],[FECHA]])</f>
        <v>3</v>
      </c>
      <c r="D3532" s="50">
        <v>46100</v>
      </c>
      <c r="E3532" s="60" t="s">
        <v>789</v>
      </c>
      <c r="F3532" s="65">
        <v>34.07</v>
      </c>
    </row>
    <row r="3533" spans="2:6" x14ac:dyDescent="0.25">
      <c r="B3533" s="51">
        <f>YEAR(BDRIOSJ[[#This Row],[FECHA]])</f>
        <v>2026</v>
      </c>
      <c r="C3533" s="51">
        <f>MONTH(BDRIOSJ[[#This Row],[FECHA]])</f>
        <v>3</v>
      </c>
      <c r="D3533" s="50">
        <v>46101</v>
      </c>
      <c r="E3533" s="60" t="s">
        <v>790</v>
      </c>
      <c r="F3533" s="65">
        <v>34.07</v>
      </c>
    </row>
    <row r="3534" spans="2:6" x14ac:dyDescent="0.25">
      <c r="B3534" s="51">
        <f>YEAR(BDRIOSJ[[#This Row],[FECHA]])</f>
        <v>2026</v>
      </c>
      <c r="C3534" s="51">
        <f>MONTH(BDRIOSJ[[#This Row],[FECHA]])</f>
        <v>3</v>
      </c>
      <c r="D3534" s="50">
        <v>46102</v>
      </c>
      <c r="E3534" s="60" t="s">
        <v>791</v>
      </c>
      <c r="F3534" s="65">
        <v>35.909999999999997</v>
      </c>
    </row>
    <row r="3535" spans="2:6" x14ac:dyDescent="0.25">
      <c r="B3535" s="51">
        <f>YEAR(BDRIOSJ[[#This Row],[FECHA]])</f>
        <v>2026</v>
      </c>
      <c r="C3535" s="51">
        <f>MONTH(BDRIOSJ[[#This Row],[FECHA]])</f>
        <v>3</v>
      </c>
      <c r="D3535" s="50">
        <v>46103</v>
      </c>
      <c r="E3535" s="60" t="s">
        <v>792</v>
      </c>
      <c r="F3535" s="65">
        <v>39.67</v>
      </c>
    </row>
    <row r="3536" spans="2:6" x14ac:dyDescent="0.25">
      <c r="B3536" s="51">
        <f>YEAR(BDRIOSJ[[#This Row],[FECHA]])</f>
        <v>2026</v>
      </c>
      <c r="C3536" s="51">
        <f>MONTH(BDRIOSJ[[#This Row],[FECHA]])</f>
        <v>3</v>
      </c>
      <c r="D3536" s="50">
        <v>46104</v>
      </c>
      <c r="E3536" s="60" t="s">
        <v>793</v>
      </c>
      <c r="F3536" s="65">
        <v>35.909999999999997</v>
      </c>
    </row>
    <row r="3537" spans="2:6" x14ac:dyDescent="0.25">
      <c r="B3537" s="51">
        <f>YEAR(BDRIOSJ[[#This Row],[FECHA]])</f>
        <v>2026</v>
      </c>
      <c r="C3537" s="51">
        <f>MONTH(BDRIOSJ[[#This Row],[FECHA]])</f>
        <v>3</v>
      </c>
      <c r="D3537" s="50">
        <v>46105</v>
      </c>
      <c r="E3537" s="60" t="s">
        <v>794</v>
      </c>
      <c r="F3537" s="65">
        <v>35.909999999999997</v>
      </c>
    </row>
    <row r="3538" spans="2:6" x14ac:dyDescent="0.25">
      <c r="B3538" s="51">
        <f>YEAR(BDRIOSJ[[#This Row],[FECHA]])</f>
        <v>2026</v>
      </c>
      <c r="C3538" s="51">
        <f>MONTH(BDRIOSJ[[#This Row],[FECHA]])</f>
        <v>3</v>
      </c>
      <c r="D3538" s="50">
        <v>46106</v>
      </c>
      <c r="E3538" s="60" t="s">
        <v>795</v>
      </c>
      <c r="F3538" s="65">
        <v>32.270000000000003</v>
      </c>
    </row>
    <row r="3539" spans="2:6" x14ac:dyDescent="0.25">
      <c r="B3539" s="51">
        <f>YEAR(BDRIOSJ[[#This Row],[FECHA]])</f>
        <v>2026</v>
      </c>
      <c r="C3539" s="51">
        <f>MONTH(BDRIOSJ[[#This Row],[FECHA]])</f>
        <v>3</v>
      </c>
      <c r="D3539" s="50">
        <v>46107</v>
      </c>
      <c r="E3539" s="60" t="s">
        <v>796</v>
      </c>
      <c r="F3539" s="65">
        <v>32.270000000000003</v>
      </c>
    </row>
    <row r="3540" spans="2:6" x14ac:dyDescent="0.25">
      <c r="B3540" s="51">
        <f>YEAR(BDRIOSJ[[#This Row],[FECHA]])</f>
        <v>2026</v>
      </c>
      <c r="C3540" s="51">
        <f>MONTH(BDRIOSJ[[#This Row],[FECHA]])</f>
        <v>3</v>
      </c>
      <c r="D3540" s="50">
        <v>46108</v>
      </c>
      <c r="E3540" s="60" t="s">
        <v>797</v>
      </c>
      <c r="F3540" s="65">
        <v>30.49</v>
      </c>
    </row>
    <row r="3541" spans="2:6" x14ac:dyDescent="0.25">
      <c r="B3541" s="51">
        <f>YEAR(BDRIOSJ[[#This Row],[FECHA]])</f>
        <v>2026</v>
      </c>
      <c r="C3541" s="51">
        <f>MONTH(BDRIOSJ[[#This Row],[FECHA]])</f>
        <v>3</v>
      </c>
      <c r="D3541" s="50">
        <v>46109</v>
      </c>
      <c r="E3541" s="60" t="s">
        <v>798</v>
      </c>
      <c r="F3541" s="65">
        <v>29.45</v>
      </c>
    </row>
    <row r="3542" spans="2:6" x14ac:dyDescent="0.25">
      <c r="B3542" s="51">
        <f>YEAR(BDRIOSJ[[#This Row],[FECHA]])</f>
        <v>2026</v>
      </c>
      <c r="C3542" s="51">
        <f>MONTH(BDRIOSJ[[#This Row],[FECHA]])</f>
        <v>3</v>
      </c>
      <c r="D3542" s="50">
        <v>46110</v>
      </c>
      <c r="E3542" s="60" t="s">
        <v>799</v>
      </c>
      <c r="F3542" s="65">
        <v>34</v>
      </c>
    </row>
    <row r="3543" spans="2:6" x14ac:dyDescent="0.25">
      <c r="B3543" s="51">
        <f>YEAR(BDRIOSJ[[#This Row],[FECHA]])</f>
        <v>2026</v>
      </c>
      <c r="C3543" s="51">
        <f>MONTH(BDRIOSJ[[#This Row],[FECHA]])</f>
        <v>3</v>
      </c>
      <c r="D3543" s="50">
        <v>46111</v>
      </c>
      <c r="E3543" s="60" t="s">
        <v>800</v>
      </c>
      <c r="F3543" s="65">
        <v>34.07</v>
      </c>
    </row>
    <row r="3544" spans="2:6" x14ac:dyDescent="0.25">
      <c r="B3544" s="51">
        <f>YEAR(BDRIOSJ[[#This Row],[FECHA]])</f>
        <v>2026</v>
      </c>
      <c r="C3544" s="51">
        <f>MONTH(BDRIOSJ[[#This Row],[FECHA]])</f>
        <v>3</v>
      </c>
      <c r="D3544" s="50">
        <v>46112</v>
      </c>
      <c r="E3544" s="60" t="s">
        <v>807</v>
      </c>
      <c r="F3544" s="65">
        <v>34.07</v>
      </c>
    </row>
    <row r="3545" spans="2:6" x14ac:dyDescent="0.25">
      <c r="B3545" s="51">
        <f>YEAR(BDRIOSJ[[#This Row],[FECHA]])</f>
        <v>2026</v>
      </c>
      <c r="C3545" s="51">
        <f>MONTH(BDRIOSJ[[#This Row],[FECHA]])</f>
        <v>4</v>
      </c>
      <c r="D3545" s="50">
        <v>46113</v>
      </c>
      <c r="E3545" s="60" t="s">
        <v>808</v>
      </c>
      <c r="F3545" s="65">
        <v>35.909999999999997</v>
      </c>
    </row>
    <row r="3546" spans="2:6" x14ac:dyDescent="0.25">
      <c r="B3546" s="51">
        <f>YEAR(BDRIOSJ[[#This Row],[FECHA]])</f>
        <v>2026</v>
      </c>
      <c r="C3546" s="51">
        <f>MONTH(BDRIOSJ[[#This Row],[FECHA]])</f>
        <v>4</v>
      </c>
      <c r="D3546" s="50">
        <v>46114</v>
      </c>
      <c r="E3546" s="60" t="s">
        <v>809</v>
      </c>
      <c r="F3546" s="65">
        <v>39.67</v>
      </c>
    </row>
    <row r="3547" spans="2:6" x14ac:dyDescent="0.25">
      <c r="B3547" s="51">
        <f>YEAR(BDRIOSJ[[#This Row],[FECHA]])</f>
        <v>2026</v>
      </c>
      <c r="C3547" s="51">
        <f>MONTH(BDRIOSJ[[#This Row],[FECHA]])</f>
        <v>4</v>
      </c>
      <c r="D3547" s="50">
        <v>46115</v>
      </c>
      <c r="E3547" s="60" t="s">
        <v>810</v>
      </c>
      <c r="F3547" s="65">
        <v>35.909999999999997</v>
      </c>
    </row>
    <row r="3548" spans="2:6" x14ac:dyDescent="0.25">
      <c r="B3548" s="51">
        <f>YEAR(BDRIOSJ[[#This Row],[FECHA]])</f>
        <v>2026</v>
      </c>
      <c r="C3548" s="51">
        <f>MONTH(BDRIOSJ[[#This Row],[FECHA]])</f>
        <v>4</v>
      </c>
      <c r="D3548" s="50">
        <v>46116</v>
      </c>
      <c r="E3548" s="60" t="s">
        <v>811</v>
      </c>
      <c r="F3548" s="65">
        <v>34.07</v>
      </c>
    </row>
    <row r="3549" spans="2:6" x14ac:dyDescent="0.25">
      <c r="B3549" s="51">
        <f>YEAR(BDRIOSJ[[#This Row],[FECHA]])</f>
        <v>2026</v>
      </c>
      <c r="C3549" s="51">
        <f>MONTH(BDRIOSJ[[#This Row],[FECHA]])</f>
        <v>4</v>
      </c>
      <c r="D3549" s="50">
        <v>46117</v>
      </c>
      <c r="E3549" s="60" t="s">
        <v>812</v>
      </c>
      <c r="F3549" s="65">
        <v>32.270000000000003</v>
      </c>
    </row>
    <row r="3550" spans="2:6" x14ac:dyDescent="0.25">
      <c r="B3550" s="51">
        <f>YEAR(BDRIOSJ[[#This Row],[FECHA]])</f>
        <v>2026</v>
      </c>
      <c r="C3550" s="51">
        <f>MONTH(BDRIOSJ[[#This Row],[FECHA]])</f>
        <v>4</v>
      </c>
      <c r="D3550" s="50">
        <v>46118</v>
      </c>
      <c r="E3550" s="60" t="s">
        <v>813</v>
      </c>
      <c r="F3550" s="65">
        <v>28.75</v>
      </c>
    </row>
    <row r="3551" spans="2:6" x14ac:dyDescent="0.25">
      <c r="B3551" s="51">
        <f>YEAR(BDRIOSJ[[#This Row],[FECHA]])</f>
        <v>2026</v>
      </c>
      <c r="C3551" s="51">
        <f>MONTH(BDRIOSJ[[#This Row],[FECHA]])</f>
        <v>4</v>
      </c>
      <c r="D3551" s="50">
        <v>46119</v>
      </c>
      <c r="E3551" s="60" t="s">
        <v>814</v>
      </c>
      <c r="F3551" s="65">
        <v>28.75</v>
      </c>
    </row>
    <row r="3552" spans="2:6" x14ac:dyDescent="0.25">
      <c r="B3552" s="51">
        <f>YEAR(BDRIOSJ[[#This Row],[FECHA]])</f>
        <v>2026</v>
      </c>
      <c r="C3552" s="51">
        <f>MONTH(BDRIOSJ[[#This Row],[FECHA]])</f>
        <v>4</v>
      </c>
      <c r="D3552" s="50">
        <v>46120</v>
      </c>
      <c r="E3552" s="60" t="s">
        <v>815</v>
      </c>
      <c r="F3552" s="65">
        <v>28.75</v>
      </c>
    </row>
    <row r="3553" spans="2:6" x14ac:dyDescent="0.25">
      <c r="B3553" s="51">
        <f>YEAR(BDRIOSJ[[#This Row],[FECHA]])</f>
        <v>2026</v>
      </c>
      <c r="C3553" s="51">
        <f>MONTH(BDRIOSJ[[#This Row],[FECHA]])</f>
        <v>4</v>
      </c>
      <c r="D3553" s="50">
        <v>46121</v>
      </c>
      <c r="E3553" s="60" t="s">
        <v>816</v>
      </c>
      <c r="F3553" s="65">
        <v>28.75</v>
      </c>
    </row>
    <row r="3554" spans="2:6" x14ac:dyDescent="0.25">
      <c r="B3554" s="51">
        <f>YEAR(BDRIOSJ[[#This Row],[FECHA]])</f>
        <v>2026</v>
      </c>
      <c r="C3554" s="51">
        <f>MONTH(BDRIOSJ[[#This Row],[FECHA]])</f>
        <v>4</v>
      </c>
      <c r="D3554" s="50">
        <v>46122</v>
      </c>
      <c r="E3554" s="60" t="s">
        <v>817</v>
      </c>
      <c r="F3554" s="65">
        <v>28.41</v>
      </c>
    </row>
    <row r="3555" spans="2:6" x14ac:dyDescent="0.25">
      <c r="B3555" s="51">
        <f>YEAR(BDRIOSJ[[#This Row],[FECHA]])</f>
        <v>2026</v>
      </c>
      <c r="C3555" s="51">
        <f>MONTH(BDRIOSJ[[#This Row],[FECHA]])</f>
        <v>4</v>
      </c>
      <c r="D3555" s="50">
        <v>46123</v>
      </c>
      <c r="E3555" s="60" t="s">
        <v>818</v>
      </c>
      <c r="F3555" s="65">
        <v>28.07</v>
      </c>
    </row>
    <row r="3556" spans="2:6" x14ac:dyDescent="0.25">
      <c r="B3556" s="51">
        <f>YEAR(BDRIOSJ[[#This Row],[FECHA]])</f>
        <v>2026</v>
      </c>
      <c r="C3556" s="51">
        <f>MONTH(BDRIOSJ[[#This Row],[FECHA]])</f>
        <v>4</v>
      </c>
      <c r="D3556" s="50">
        <v>46124</v>
      </c>
      <c r="E3556" s="60" t="s">
        <v>819</v>
      </c>
      <c r="F3556" s="65">
        <v>28.07</v>
      </c>
    </row>
    <row r="3557" spans="2:6" x14ac:dyDescent="0.25">
      <c r="B3557" s="51">
        <f>YEAR(BDRIOSJ[[#This Row],[FECHA]])</f>
        <v>2026</v>
      </c>
      <c r="C3557" s="51">
        <f>MONTH(BDRIOSJ[[#This Row],[FECHA]])</f>
        <v>4</v>
      </c>
      <c r="D3557" s="50">
        <v>46125</v>
      </c>
      <c r="E3557" s="60" t="s">
        <v>820</v>
      </c>
      <c r="F3557" s="65">
        <v>28.07</v>
      </c>
    </row>
    <row r="3558" spans="2:6" x14ac:dyDescent="0.25">
      <c r="B3558" s="51">
        <f>YEAR(BDRIOSJ[[#This Row],[FECHA]])</f>
        <v>2026</v>
      </c>
      <c r="C3558" s="51">
        <f>MONTH(BDRIOSJ[[#This Row],[FECHA]])</f>
        <v>4</v>
      </c>
      <c r="D3558" s="50">
        <v>46126</v>
      </c>
      <c r="E3558" s="60" t="s">
        <v>821</v>
      </c>
      <c r="F3558" s="65">
        <v>27.38</v>
      </c>
    </row>
    <row r="3559" spans="2:6" x14ac:dyDescent="0.25">
      <c r="B3559" s="51">
        <f>YEAR(BDRIOSJ[[#This Row],[FECHA]])</f>
        <v>2026</v>
      </c>
      <c r="C3559" s="51">
        <f>MONTH(BDRIOSJ[[#This Row],[FECHA]])</f>
        <v>4</v>
      </c>
      <c r="D3559" s="50">
        <v>46127</v>
      </c>
      <c r="E3559" s="60" t="s">
        <v>822</v>
      </c>
      <c r="F3559" s="65">
        <v>26.71</v>
      </c>
    </row>
    <row r="3560" spans="2:6" x14ac:dyDescent="0.25">
      <c r="B3560" s="51">
        <f>YEAR(BDRIOSJ[[#This Row],[FECHA]])</f>
        <v>2026</v>
      </c>
      <c r="C3560" s="51">
        <f>MONTH(BDRIOSJ[[#This Row],[FECHA]])</f>
        <v>4</v>
      </c>
      <c r="D3560" s="50">
        <v>46128</v>
      </c>
      <c r="E3560" s="60" t="s">
        <v>823</v>
      </c>
      <c r="F3560" s="65">
        <v>27.38</v>
      </c>
    </row>
    <row r="3561" spans="2:6" x14ac:dyDescent="0.25">
      <c r="B3561" s="51">
        <f>YEAR(BDRIOSJ[[#This Row],[FECHA]])</f>
        <v>2026</v>
      </c>
      <c r="C3561" s="51">
        <f>MONTH(BDRIOSJ[[#This Row],[FECHA]])</f>
        <v>4</v>
      </c>
      <c r="D3561" s="50">
        <v>46129</v>
      </c>
      <c r="E3561" s="60" t="s">
        <v>824</v>
      </c>
      <c r="F3561" s="65">
        <v>26.71</v>
      </c>
    </row>
    <row r="3562" spans="2:6" x14ac:dyDescent="0.25">
      <c r="B3562" s="51">
        <f>YEAR(BDRIOSJ[[#This Row],[FECHA]])</f>
        <v>2026</v>
      </c>
      <c r="C3562" s="51">
        <f>MONTH(BDRIOSJ[[#This Row],[FECHA]])</f>
        <v>4</v>
      </c>
      <c r="D3562" s="50">
        <v>46130</v>
      </c>
      <c r="E3562" s="60" t="s">
        <v>825</v>
      </c>
      <c r="F3562" s="65">
        <v>26.71</v>
      </c>
    </row>
    <row r="3563" spans="2:6" x14ac:dyDescent="0.25">
      <c r="B3563" s="51">
        <f>YEAR(BDRIOSJ[[#This Row],[FECHA]])</f>
        <v>2026</v>
      </c>
      <c r="C3563" s="51">
        <f>MONTH(BDRIOSJ[[#This Row],[FECHA]])</f>
        <v>4</v>
      </c>
      <c r="D3563" s="50">
        <v>46131</v>
      </c>
      <c r="E3563" s="60" t="s">
        <v>826</v>
      </c>
      <c r="F3563" s="65">
        <v>26.71</v>
      </c>
    </row>
    <row r="3564" spans="2:6" x14ac:dyDescent="0.25">
      <c r="B3564" s="51">
        <f>YEAR(BDRIOSJ[[#This Row],[FECHA]])</f>
        <v>2026</v>
      </c>
      <c r="C3564" s="51">
        <f>MONTH(BDRIOSJ[[#This Row],[FECHA]])</f>
        <v>4</v>
      </c>
      <c r="D3564" s="50">
        <v>46132</v>
      </c>
      <c r="E3564" s="60" t="s">
        <v>827</v>
      </c>
      <c r="F3564" s="65">
        <v>26.71</v>
      </c>
    </row>
    <row r="3565" spans="2:6" x14ac:dyDescent="0.25">
      <c r="B3565" s="51">
        <f>YEAR(BDRIOSJ[[#This Row],[FECHA]])</f>
        <v>2026</v>
      </c>
      <c r="C3565" s="51">
        <f>MONTH(BDRIOSJ[[#This Row],[FECHA]])</f>
        <v>4</v>
      </c>
      <c r="D3565" s="50">
        <v>46133</v>
      </c>
      <c r="E3565" s="60" t="s">
        <v>828</v>
      </c>
      <c r="F3565" s="65">
        <v>26.71</v>
      </c>
    </row>
    <row r="3566" spans="2:6" x14ac:dyDescent="0.25">
      <c r="B3566" s="51">
        <f>YEAR(BDRIOSJ[[#This Row],[FECHA]])</f>
        <v>2026</v>
      </c>
      <c r="C3566" s="51">
        <f>MONTH(BDRIOSJ[[#This Row],[FECHA]])</f>
        <v>4</v>
      </c>
      <c r="D3566" s="50">
        <v>46134</v>
      </c>
      <c r="E3566" s="60" t="s">
        <v>829</v>
      </c>
      <c r="F3566" s="65">
        <v>26.71</v>
      </c>
    </row>
    <row r="3567" spans="2:6" x14ac:dyDescent="0.25">
      <c r="B3567" s="51">
        <f>YEAR(BDRIOSJ[[#This Row],[FECHA]])</f>
        <v>2026</v>
      </c>
      <c r="C3567" s="51">
        <f>MONTH(BDRIOSJ[[#This Row],[FECHA]])</f>
        <v>4</v>
      </c>
      <c r="D3567" s="50">
        <v>46135</v>
      </c>
      <c r="E3567" s="60" t="s">
        <v>830</v>
      </c>
      <c r="F3567" s="65">
        <v>26.03</v>
      </c>
    </row>
    <row r="3568" spans="2:6" x14ac:dyDescent="0.25">
      <c r="B3568" s="51">
        <f>YEAR(BDRIOSJ[[#This Row],[FECHA]])</f>
        <v>2026</v>
      </c>
      <c r="C3568" s="51">
        <f>MONTH(BDRIOSJ[[#This Row],[FECHA]])</f>
        <v>4</v>
      </c>
      <c r="D3568" s="50">
        <v>46136</v>
      </c>
      <c r="E3568" s="60" t="s">
        <v>831</v>
      </c>
      <c r="F3568" s="65">
        <v>26.03</v>
      </c>
    </row>
    <row r="3569" spans="2:6" x14ac:dyDescent="0.25">
      <c r="B3569" s="51">
        <f>YEAR(BDRIOSJ[[#This Row],[FECHA]])</f>
        <v>2026</v>
      </c>
      <c r="C3569" s="51">
        <f>MONTH(BDRIOSJ[[#This Row],[FECHA]])</f>
        <v>4</v>
      </c>
      <c r="D3569" s="50">
        <v>46137</v>
      </c>
      <c r="E3569" s="60" t="s">
        <v>832</v>
      </c>
      <c r="F3569" s="65">
        <v>26.03</v>
      </c>
    </row>
    <row r="3570" spans="2:6" x14ac:dyDescent="0.25">
      <c r="B3570" s="51">
        <f>YEAR(BDRIOSJ[[#This Row],[FECHA]])</f>
        <v>2026</v>
      </c>
      <c r="C3570" s="51">
        <f>MONTH(BDRIOSJ[[#This Row],[FECHA]])</f>
        <v>4</v>
      </c>
      <c r="D3570" s="50">
        <v>46138</v>
      </c>
      <c r="E3570" s="60" t="s">
        <v>833</v>
      </c>
      <c r="F3570" s="65">
        <v>23.22</v>
      </c>
    </row>
    <row r="3571" spans="2:6" x14ac:dyDescent="0.25">
      <c r="B3571" s="51">
        <f>YEAR(BDRIOSJ[[#This Row],[FECHA]])</f>
        <v>2026</v>
      </c>
      <c r="C3571" s="51">
        <f>MONTH(BDRIOSJ[[#This Row],[FECHA]])</f>
        <v>4</v>
      </c>
      <c r="D3571" s="50">
        <v>46139</v>
      </c>
      <c r="E3571" s="60" t="s">
        <v>834</v>
      </c>
      <c r="F3571" s="65"/>
    </row>
    <row r="3572" spans="2:6" x14ac:dyDescent="0.25">
      <c r="B3572" s="51">
        <f>YEAR(BDRIOSJ[[#This Row],[FECHA]])</f>
        <v>2026</v>
      </c>
      <c r="C3572" s="51">
        <f>MONTH(BDRIOSJ[[#This Row],[FECHA]])</f>
        <v>4</v>
      </c>
      <c r="D3572" s="50">
        <v>46140</v>
      </c>
      <c r="E3572" s="60" t="s">
        <v>835</v>
      </c>
      <c r="F3572" s="65"/>
    </row>
    <row r="3573" spans="2:6" x14ac:dyDescent="0.25">
      <c r="B3573" s="51">
        <f>YEAR(BDRIOSJ[[#This Row],[FECHA]])</f>
        <v>2026</v>
      </c>
      <c r="C3573" s="51">
        <f>MONTH(BDRIOSJ[[#This Row],[FECHA]])</f>
        <v>4</v>
      </c>
      <c r="D3573" s="50">
        <v>46141</v>
      </c>
      <c r="E3573" s="60" t="s">
        <v>836</v>
      </c>
      <c r="F3573" s="65"/>
    </row>
    <row r="3574" spans="2:6" x14ac:dyDescent="0.25">
      <c r="B3574" s="51">
        <f>YEAR(BDRIOSJ[[#This Row],[FECHA]])</f>
        <v>2026</v>
      </c>
      <c r="C3574" s="51">
        <f>MONTH(BDRIOSJ[[#This Row],[FECHA]])</f>
        <v>4</v>
      </c>
      <c r="D3574" s="50">
        <v>46142</v>
      </c>
      <c r="E3574" s="60" t="s">
        <v>837</v>
      </c>
      <c r="F3574" s="65"/>
    </row>
  </sheetData>
  <mergeCells count="2">
    <mergeCell ref="B12:F12"/>
    <mergeCell ref="O22:X22"/>
  </mergeCells>
  <phoneticPr fontId="67" type="noConversion"/>
  <pageMargins left="0.7" right="0.7" top="0.75" bottom="0.75" header="0.3" footer="0.3"/>
  <pageSetup paperSize="9" orientation="portrait" r:id="rId3"/>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1">
    <pageSetUpPr fitToPage="1"/>
  </sheetPr>
  <dimension ref="C3:AB69"/>
  <sheetViews>
    <sheetView showGridLines="0" topLeftCell="B22" zoomScale="78" zoomScaleNormal="55" workbookViewId="0">
      <selection activeCell="AC47" sqref="AC47"/>
    </sheetView>
  </sheetViews>
  <sheetFormatPr baseColWidth="10" defaultColWidth="14.42578125" defaultRowHeight="15" customHeight="1" x14ac:dyDescent="0.25"/>
  <cols>
    <col min="1" max="1" width="10.7109375" customWidth="1"/>
    <col min="2" max="2" width="7.85546875" customWidth="1"/>
    <col min="3" max="5" width="10.7109375" customWidth="1"/>
    <col min="6" max="6" width="11.28515625" customWidth="1"/>
    <col min="7" max="7" width="11.85546875" customWidth="1"/>
    <col min="8" max="8" width="14.7109375" customWidth="1"/>
    <col min="9" max="25" width="10.7109375" customWidth="1"/>
    <col min="26" max="26" width="7" customWidth="1"/>
    <col min="27" max="27" width="3.28515625" customWidth="1"/>
  </cols>
  <sheetData>
    <row r="3" spans="3:28" ht="15" customHeight="1" x14ac:dyDescent="0.25">
      <c r="F3" s="252"/>
    </row>
    <row r="4" spans="3:28" ht="19.5" x14ac:dyDescent="0.3">
      <c r="C4" s="35" t="s">
        <v>74</v>
      </c>
      <c r="D4" s="35"/>
      <c r="E4" s="35"/>
      <c r="F4" s="429">
        <v>46138</v>
      </c>
      <c r="G4" s="429"/>
      <c r="H4" s="429"/>
      <c r="I4" s="237"/>
      <c r="J4" s="35" t="s">
        <v>580</v>
      </c>
      <c r="K4" s="237"/>
      <c r="M4" s="35"/>
      <c r="W4" s="35" t="s">
        <v>579</v>
      </c>
      <c r="X4" s="35"/>
      <c r="Y4" s="35">
        <f>WEEKNUM(F4)</f>
        <v>18</v>
      </c>
      <c r="Z4" s="237"/>
      <c r="AA4" s="237"/>
      <c r="AB4" s="237"/>
    </row>
    <row r="5" spans="3:28" ht="15" customHeight="1" x14ac:dyDescent="0.25">
      <c r="F5" s="256"/>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23.25" customHeight="1" x14ac:dyDescent="0.25"/>
    <row r="69" ht="7.5" customHeight="1" x14ac:dyDescent="0.25"/>
  </sheetData>
  <mergeCells count="1">
    <mergeCell ref="F4:H4"/>
  </mergeCells>
  <pageMargins left="0.25" right="0.25" top="0.75" bottom="0.75" header="0.3" footer="0.3"/>
  <pageSetup paperSize="8" scale="7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5FA7-B911-4FCB-ABD9-84E00A651F89}">
  <dimension ref="F7:U25"/>
  <sheetViews>
    <sheetView zoomScaleNormal="100" workbookViewId="0">
      <selection activeCell="AA27" sqref="AA27"/>
    </sheetView>
  </sheetViews>
  <sheetFormatPr baseColWidth="10" defaultRowHeight="15" x14ac:dyDescent="0.25"/>
  <cols>
    <col min="6" max="6" width="19.28515625" customWidth="1"/>
    <col min="7" max="7" width="11.28515625" hidden="1" customWidth="1"/>
    <col min="8" max="8" width="9.140625" hidden="1" customWidth="1"/>
    <col min="9" max="16" width="0" hidden="1" customWidth="1"/>
  </cols>
  <sheetData>
    <row r="7" spans="6:18" x14ac:dyDescent="0.25">
      <c r="F7" s="375" t="s">
        <v>82</v>
      </c>
      <c r="G7" s="376">
        <v>46078</v>
      </c>
      <c r="H7" s="377">
        <v>0.3125</v>
      </c>
      <c r="I7" s="376">
        <v>46078</v>
      </c>
      <c r="J7" s="377">
        <v>0.76875000000000004</v>
      </c>
      <c r="K7" s="376">
        <v>46079</v>
      </c>
      <c r="L7" s="377">
        <v>0.29097222222222224</v>
      </c>
      <c r="M7" s="376">
        <v>46079</v>
      </c>
      <c r="N7" s="377">
        <v>0.31319444444444444</v>
      </c>
      <c r="O7" s="376">
        <v>46083</v>
      </c>
      <c r="P7" s="377">
        <v>0.29166666666666669</v>
      </c>
      <c r="Q7" s="376">
        <v>46109</v>
      </c>
      <c r="R7" s="377">
        <v>0.29166666666666669</v>
      </c>
    </row>
    <row r="8" spans="6:18" x14ac:dyDescent="0.25">
      <c r="F8" s="378" t="s">
        <v>729</v>
      </c>
      <c r="G8" s="443" t="s">
        <v>728</v>
      </c>
      <c r="H8" s="443"/>
      <c r="I8" s="443" t="s">
        <v>728</v>
      </c>
      <c r="J8" s="443"/>
      <c r="K8" s="443" t="s">
        <v>728</v>
      </c>
      <c r="L8" s="443"/>
      <c r="M8" s="443" t="s">
        <v>728</v>
      </c>
      <c r="N8" s="443"/>
      <c r="O8" s="443" t="s">
        <v>728</v>
      </c>
      <c r="P8" s="443"/>
      <c r="Q8" s="443" t="s">
        <v>728</v>
      </c>
      <c r="R8" s="443"/>
    </row>
    <row r="9" spans="6:18" x14ac:dyDescent="0.25">
      <c r="F9" s="379" t="s">
        <v>0</v>
      </c>
      <c r="G9" s="440">
        <v>38</v>
      </c>
      <c r="H9" s="440"/>
      <c r="I9" s="440">
        <v>38</v>
      </c>
      <c r="J9" s="440"/>
      <c r="K9" s="440">
        <v>38</v>
      </c>
      <c r="L9" s="440"/>
      <c r="M9" s="440">
        <v>38</v>
      </c>
      <c r="N9" s="440"/>
      <c r="O9" s="440">
        <v>38</v>
      </c>
      <c r="P9" s="440"/>
      <c r="Q9" s="440">
        <v>38</v>
      </c>
      <c r="R9" s="440"/>
    </row>
    <row r="10" spans="6:18" x14ac:dyDescent="0.25">
      <c r="F10" s="379" t="s">
        <v>2</v>
      </c>
      <c r="G10" s="440" t="s">
        <v>727</v>
      </c>
      <c r="H10" s="440"/>
      <c r="I10" s="440" t="s">
        <v>727</v>
      </c>
      <c r="J10" s="440"/>
      <c r="K10" s="440" t="s">
        <v>727</v>
      </c>
      <c r="L10" s="440"/>
      <c r="M10" s="440" t="s">
        <v>727</v>
      </c>
      <c r="N10" s="440"/>
      <c r="O10" s="440" t="s">
        <v>727</v>
      </c>
      <c r="P10" s="440"/>
      <c r="Q10" s="440" t="s">
        <v>727</v>
      </c>
      <c r="R10" s="440"/>
    </row>
    <row r="11" spans="6:18" x14ac:dyDescent="0.25">
      <c r="F11" s="379" t="s">
        <v>730</v>
      </c>
      <c r="G11" s="440">
        <v>31</v>
      </c>
      <c r="H11" s="440"/>
      <c r="I11" s="440">
        <v>31</v>
      </c>
      <c r="J11" s="440"/>
      <c r="K11" s="439">
        <v>29.68</v>
      </c>
      <c r="L11" s="439"/>
      <c r="M11" s="439">
        <v>29.68</v>
      </c>
      <c r="N11" s="439"/>
      <c r="O11" s="439" t="s">
        <v>543</v>
      </c>
      <c r="P11" s="439"/>
      <c r="Q11" s="444">
        <v>29.83</v>
      </c>
      <c r="R11" s="439"/>
    </row>
    <row r="12" spans="6:18" x14ac:dyDescent="0.25">
      <c r="F12" s="379" t="s">
        <v>731</v>
      </c>
      <c r="G12" s="439">
        <v>449</v>
      </c>
      <c r="H12" s="439"/>
      <c r="I12" s="439">
        <v>455.53800000000001</v>
      </c>
      <c r="J12" s="439"/>
      <c r="K12" s="439">
        <v>447.91500000000002</v>
      </c>
      <c r="L12" s="439"/>
      <c r="M12" s="439">
        <v>463.45</v>
      </c>
      <c r="N12" s="439"/>
      <c r="O12" s="439">
        <v>423.08</v>
      </c>
      <c r="P12" s="439"/>
      <c r="Q12" s="439">
        <f>355.95-Q11</f>
        <v>326.12</v>
      </c>
      <c r="R12" s="439"/>
    </row>
    <row r="13" spans="6:18" x14ac:dyDescent="0.25">
      <c r="F13" s="379" t="s">
        <v>732</v>
      </c>
      <c r="G13" s="440">
        <v>60</v>
      </c>
      <c r="H13" s="440"/>
      <c r="I13" s="439">
        <v>59.091999999999999</v>
      </c>
      <c r="J13" s="439"/>
      <c r="K13" s="439">
        <v>61.468000000000004</v>
      </c>
      <c r="L13" s="439"/>
      <c r="M13" s="439">
        <v>62.277000000000001</v>
      </c>
      <c r="N13" s="439"/>
      <c r="O13" s="439">
        <v>62.63</v>
      </c>
      <c r="P13" s="439"/>
      <c r="Q13" s="440">
        <v>71.55</v>
      </c>
      <c r="R13" s="440"/>
    </row>
    <row r="14" spans="6:18" x14ac:dyDescent="0.25">
      <c r="F14" s="379" t="s">
        <v>733</v>
      </c>
      <c r="G14" s="439">
        <v>60.22</v>
      </c>
      <c r="H14" s="439"/>
      <c r="I14" s="440">
        <v>60</v>
      </c>
      <c r="J14" s="440"/>
      <c r="K14" s="440">
        <v>60</v>
      </c>
      <c r="L14" s="440"/>
      <c r="M14" s="440">
        <v>60</v>
      </c>
      <c r="N14" s="440"/>
      <c r="O14" s="440">
        <v>60</v>
      </c>
      <c r="P14" s="440"/>
      <c r="Q14" s="440">
        <v>40</v>
      </c>
      <c r="R14" s="440"/>
    </row>
    <row r="15" spans="6:18" x14ac:dyDescent="0.25">
      <c r="F15" s="375"/>
      <c r="G15" s="441"/>
      <c r="H15" s="441"/>
      <c r="I15" s="441"/>
      <c r="J15" s="441"/>
      <c r="K15" s="441"/>
      <c r="L15" s="441"/>
      <c r="M15" s="441"/>
      <c r="N15" s="441"/>
      <c r="O15" s="441"/>
      <c r="P15" s="441"/>
      <c r="Q15" s="441"/>
      <c r="R15" s="441"/>
    </row>
    <row r="16" spans="6:18" x14ac:dyDescent="0.25">
      <c r="F16" s="380" t="s">
        <v>734</v>
      </c>
      <c r="G16" s="442">
        <f>SUM(G9:H14)</f>
        <v>638.22</v>
      </c>
      <c r="H16" s="442"/>
      <c r="I16" s="442">
        <f>SUM(I9:J14)</f>
        <v>643.63</v>
      </c>
      <c r="J16" s="442"/>
      <c r="K16" s="442">
        <f>SUM(K9:L14)</f>
        <v>637.06299999999999</v>
      </c>
      <c r="L16" s="442"/>
      <c r="M16" s="442">
        <f>SUM(M9:N14)</f>
        <v>653.40700000000004</v>
      </c>
      <c r="N16" s="442"/>
      <c r="O16" s="442">
        <f>SUM(O9:P14)</f>
        <v>583.71</v>
      </c>
      <c r="P16" s="442"/>
      <c r="Q16" s="442">
        <f>SUM(Q9:R14)</f>
        <v>505.5</v>
      </c>
      <c r="R16" s="442"/>
    </row>
    <row r="17" spans="20:21" x14ac:dyDescent="0.25">
      <c r="U17" s="403">
        <f>401-Q11</f>
        <v>371.17</v>
      </c>
    </row>
    <row r="23" spans="20:21" x14ac:dyDescent="0.25">
      <c r="T23" s="390">
        <v>0.15486111111111112</v>
      </c>
    </row>
    <row r="24" spans="20:21" x14ac:dyDescent="0.25">
      <c r="T24" s="390">
        <v>0.34375</v>
      </c>
    </row>
    <row r="25" spans="20:21" x14ac:dyDescent="0.25">
      <c r="T25" s="390">
        <f>T24-T23</f>
        <v>0.18888888888888888</v>
      </c>
    </row>
  </sheetData>
  <mergeCells count="54">
    <mergeCell ref="Q13:R13"/>
    <mergeCell ref="Q14:R14"/>
    <mergeCell ref="Q15:R15"/>
    <mergeCell ref="Q16:R16"/>
    <mergeCell ref="Q8:R8"/>
    <mergeCell ref="Q9:R9"/>
    <mergeCell ref="Q10:R10"/>
    <mergeCell ref="Q11:R11"/>
    <mergeCell ref="Q12:R12"/>
    <mergeCell ref="M13:N13"/>
    <mergeCell ref="M14:N14"/>
    <mergeCell ref="M15:N15"/>
    <mergeCell ref="M16:N16"/>
    <mergeCell ref="M8:N8"/>
    <mergeCell ref="M9:N9"/>
    <mergeCell ref="M10:N10"/>
    <mergeCell ref="M11:N11"/>
    <mergeCell ref="M12:N12"/>
    <mergeCell ref="G14:H14"/>
    <mergeCell ref="G15:H15"/>
    <mergeCell ref="G16:H16"/>
    <mergeCell ref="G8:H8"/>
    <mergeCell ref="G9:H9"/>
    <mergeCell ref="G10:H10"/>
    <mergeCell ref="G11:H11"/>
    <mergeCell ref="G12:H12"/>
    <mergeCell ref="G13:H13"/>
    <mergeCell ref="I8:J8"/>
    <mergeCell ref="K8:L8"/>
    <mergeCell ref="I9:J9"/>
    <mergeCell ref="K9:L9"/>
    <mergeCell ref="I10:J10"/>
    <mergeCell ref="K10:L10"/>
    <mergeCell ref="I11:J11"/>
    <mergeCell ref="K11:L11"/>
    <mergeCell ref="I12:J12"/>
    <mergeCell ref="K12:L12"/>
    <mergeCell ref="I13:J13"/>
    <mergeCell ref="K13:L13"/>
    <mergeCell ref="I14:J14"/>
    <mergeCell ref="K14:L14"/>
    <mergeCell ref="I15:J15"/>
    <mergeCell ref="K15:L15"/>
    <mergeCell ref="I16:J16"/>
    <mergeCell ref="K16:L16"/>
    <mergeCell ref="O13:P13"/>
    <mergeCell ref="O14:P14"/>
    <mergeCell ref="O15:P15"/>
    <mergeCell ref="O16:P16"/>
    <mergeCell ref="O8:P8"/>
    <mergeCell ref="O9:P9"/>
    <mergeCell ref="O10:P10"/>
    <mergeCell ref="O11:P11"/>
    <mergeCell ref="O12:P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6">
    <tabColor rgb="FFFFFF00"/>
    <pageSetUpPr fitToPage="1"/>
  </sheetPr>
  <dimension ref="A1:AF37"/>
  <sheetViews>
    <sheetView showGridLines="0" zoomScale="89" zoomScaleNormal="56" workbookViewId="0">
      <selection activeCell="D40" sqref="D40"/>
    </sheetView>
  </sheetViews>
  <sheetFormatPr baseColWidth="10" defaultColWidth="14.42578125" defaultRowHeight="15" customHeight="1" x14ac:dyDescent="0.25"/>
  <cols>
    <col min="1" max="1" width="17.28515625" customWidth="1"/>
    <col min="2" max="2" width="17.85546875" customWidth="1"/>
    <col min="3" max="3" width="12.85546875" customWidth="1"/>
    <col min="4" max="4" width="12.28515625" customWidth="1"/>
    <col min="5" max="5" width="20.85546875" customWidth="1"/>
    <col min="6" max="6" width="21.140625" customWidth="1"/>
    <col min="7" max="7" width="26.85546875" customWidth="1"/>
    <col min="8" max="8" width="18.140625" customWidth="1"/>
    <col min="9" max="9" width="16.85546875" customWidth="1"/>
    <col min="10" max="10" width="16.28515625" customWidth="1"/>
    <col min="11" max="11" width="17.7109375" customWidth="1"/>
    <col min="12" max="14" width="16.28515625" customWidth="1"/>
    <col min="15" max="18" width="15.5703125" customWidth="1"/>
    <col min="19" max="19" width="10.7109375" customWidth="1"/>
    <col min="20" max="20" width="4.42578125" customWidth="1"/>
    <col min="21" max="21" width="10.7109375" customWidth="1"/>
    <col min="22" max="22" width="22" customWidth="1"/>
    <col min="23" max="23" width="37.85546875" customWidth="1"/>
    <col min="24" max="24" width="13.85546875" customWidth="1"/>
    <col min="25" max="25" width="8.42578125" customWidth="1"/>
    <col min="26" max="32" width="10.7109375" customWidth="1"/>
    <col min="33" max="33" width="3.5703125" customWidth="1"/>
    <col min="34" max="37" width="10.7109375" customWidth="1"/>
  </cols>
  <sheetData>
    <row r="1" spans="1:32" ht="17.25" x14ac:dyDescent="0.3">
      <c r="A1" s="5">
        <v>1</v>
      </c>
      <c r="B1" s="6">
        <f>+A1+1</f>
        <v>2</v>
      </c>
      <c r="C1" s="6">
        <f>+B1+1</f>
        <v>3</v>
      </c>
      <c r="D1" s="6">
        <f t="shared" ref="D1:R1" si="0">+C1+1</f>
        <v>4</v>
      </c>
      <c r="E1" s="6">
        <f t="shared" si="0"/>
        <v>5</v>
      </c>
      <c r="F1" s="6">
        <f t="shared" si="0"/>
        <v>6</v>
      </c>
      <c r="G1" s="6">
        <f t="shared" si="0"/>
        <v>7</v>
      </c>
      <c r="H1" s="6">
        <f t="shared" si="0"/>
        <v>8</v>
      </c>
      <c r="I1" s="6">
        <f t="shared" si="0"/>
        <v>9</v>
      </c>
      <c r="J1" s="6">
        <f t="shared" si="0"/>
        <v>10</v>
      </c>
      <c r="K1" s="6">
        <f t="shared" si="0"/>
        <v>11</v>
      </c>
      <c r="L1" s="6">
        <f t="shared" ref="L1:Q1" si="1">+K1+1</f>
        <v>12</v>
      </c>
      <c r="M1" s="6">
        <f t="shared" si="1"/>
        <v>13</v>
      </c>
      <c r="N1" s="6">
        <f t="shared" si="1"/>
        <v>14</v>
      </c>
      <c r="O1" s="6">
        <f t="shared" si="1"/>
        <v>15</v>
      </c>
      <c r="P1" s="6">
        <f t="shared" si="1"/>
        <v>16</v>
      </c>
      <c r="Q1" s="6">
        <f t="shared" si="1"/>
        <v>17</v>
      </c>
      <c r="R1" s="6">
        <f t="shared" si="0"/>
        <v>18</v>
      </c>
    </row>
    <row r="2" spans="1:32" ht="26.25" x14ac:dyDescent="0.4">
      <c r="A2" s="7" t="s">
        <v>18</v>
      </c>
      <c r="B2" s="282">
        <v>46082</v>
      </c>
      <c r="C2" s="8" t="s">
        <v>19</v>
      </c>
      <c r="D2" s="6"/>
      <c r="E2" s="6"/>
      <c r="F2" s="6"/>
      <c r="G2" s="6"/>
      <c r="H2" s="6"/>
      <c r="I2" s="6"/>
      <c r="J2" s="6"/>
      <c r="K2" s="6"/>
      <c r="L2" s="6"/>
      <c r="M2" s="6"/>
      <c r="N2" s="6"/>
      <c r="U2" s="9" t="str">
        <f>+A2</f>
        <v>Mes</v>
      </c>
      <c r="V2" s="405">
        <f>+B2</f>
        <v>46082</v>
      </c>
      <c r="W2" s="9"/>
      <c r="X2" s="9"/>
      <c r="Y2" s="9"/>
      <c r="AA2" s="9"/>
      <c r="AB2" s="9"/>
      <c r="AC2" s="9"/>
      <c r="AD2" s="9"/>
      <c r="AE2" s="9"/>
      <c r="AF2" s="10" t="s">
        <v>20</v>
      </c>
    </row>
    <row r="3" spans="1:32" ht="15.75" x14ac:dyDescent="0.3">
      <c r="A3" s="6"/>
      <c r="B3" s="6"/>
      <c r="C3" s="6"/>
      <c r="D3" s="6"/>
      <c r="E3" s="6"/>
      <c r="F3" s="6"/>
      <c r="G3" s="6"/>
      <c r="H3" s="6"/>
      <c r="I3" s="6"/>
      <c r="J3" s="6"/>
      <c r="K3" s="6"/>
      <c r="L3" s="6"/>
      <c r="M3" s="6"/>
      <c r="N3" s="6"/>
    </row>
    <row r="4" spans="1:32" ht="37.5" customHeight="1" x14ac:dyDescent="0.25">
      <c r="A4" s="130" t="s">
        <v>13</v>
      </c>
      <c r="B4" s="140" t="s">
        <v>21</v>
      </c>
      <c r="C4" s="140" t="s">
        <v>22</v>
      </c>
      <c r="D4" s="140" t="s">
        <v>23</v>
      </c>
      <c r="E4" s="140" t="s">
        <v>9</v>
      </c>
      <c r="F4" s="140" t="s">
        <v>24</v>
      </c>
      <c r="G4" s="140" t="s">
        <v>25</v>
      </c>
      <c r="H4" s="140" t="s">
        <v>26</v>
      </c>
      <c r="I4" s="140" t="s">
        <v>27</v>
      </c>
      <c r="J4" s="140" t="s">
        <v>28</v>
      </c>
      <c r="K4" s="141" t="s">
        <v>29</v>
      </c>
      <c r="L4" s="148" t="s">
        <v>10</v>
      </c>
      <c r="M4" s="148" t="s">
        <v>11</v>
      </c>
      <c r="N4" s="141" t="s">
        <v>12</v>
      </c>
      <c r="O4" s="140" t="s">
        <v>110</v>
      </c>
      <c r="P4" s="140" t="s">
        <v>107</v>
      </c>
      <c r="Q4" s="149" t="s">
        <v>453</v>
      </c>
      <c r="R4" s="136" t="s">
        <v>38</v>
      </c>
      <c r="S4" s="47"/>
      <c r="T4" s="3"/>
      <c r="U4" s="3"/>
      <c r="V4" s="3"/>
      <c r="W4" s="3"/>
      <c r="X4" s="3"/>
      <c r="Y4" s="3"/>
      <c r="Z4" s="3"/>
      <c r="AA4" s="3"/>
      <c r="AB4" s="3"/>
      <c r="AC4" s="3"/>
      <c r="AD4" s="3"/>
      <c r="AE4" s="3"/>
      <c r="AF4" s="3"/>
    </row>
    <row r="5" spans="1:32" ht="15.75" x14ac:dyDescent="0.25">
      <c r="A5" s="131">
        <v>46113</v>
      </c>
      <c r="B5" s="142">
        <f>VLOOKUP($A5,BD!$B:$BO,6)</f>
        <v>2362</v>
      </c>
      <c r="C5" s="142">
        <f>VLOOKUP($A5,BD!$B$4:$BO$371,11)</f>
        <v>0</v>
      </c>
      <c r="D5" s="142">
        <f>VLOOKUP($A5,BD!$B$4:$BO$371,16)</f>
        <v>0</v>
      </c>
      <c r="E5" s="142">
        <f>VLOOKUP($A5,BD!$B$4:$BO$371,21)</f>
        <v>1771</v>
      </c>
      <c r="F5" s="142">
        <f>VLOOKUP($A5,BD!B:BO,26)</f>
        <v>32194</v>
      </c>
      <c r="G5" s="142">
        <f>VLOOKUP($A5,BD!$B$4:$BO$371,31)</f>
        <v>5382</v>
      </c>
      <c r="H5" s="142">
        <f>VLOOKUP($A5,BD!$B$4:$BO$371,36)</f>
        <v>3456</v>
      </c>
      <c r="I5" s="142">
        <f>VLOOKUP($A5,BD!$B$4:$BO$371,41)</f>
        <v>1959</v>
      </c>
      <c r="J5" s="142" t="str">
        <f>VLOOKUP($A5,BD!$B$4:$BO$371,46)</f>
        <v xml:space="preserve"> </v>
      </c>
      <c r="K5" s="143">
        <f>VLOOKUP($A5,BD!$B$4:$BO$371,51)</f>
        <v>668</v>
      </c>
      <c r="L5" s="142">
        <f>VLOOKUP($A5,BD!$B$4:$BO$371,56)</f>
        <v>2491</v>
      </c>
      <c r="M5" s="142">
        <f>VLOOKUP($A5,BD!$B$4:$BO$371,61)</f>
        <v>1219</v>
      </c>
      <c r="N5" s="143">
        <f>VLOOKUP($A5,BD!$B$4:$BO$371,66)</f>
        <v>4607</v>
      </c>
      <c r="O5" s="150">
        <f>SUMIFS(BDsurtidor!K:K,BDsurtidor!E:E,BDmensual!A5,BDsurtidor!F:F,"EBAP HIJAYA",BDsurtidor!I:I,"CISTERNA")</f>
        <v>0</v>
      </c>
      <c r="P5" s="151">
        <f>SUMIFS(BDsurtidor!K:K,BDsurtidor!E:E,A5,BDsurtidor!F:F,"RE03",BDsurtidor!I:I,"CISTERNA")</f>
        <v>68</v>
      </c>
      <c r="Q5" s="152">
        <f>SUMIFS(BDsurtidor!K:K,BDsurtidor!E:E,BDmensual!A5,BDsurtidor!F:F,"RE07",BDsurtidor!I:I,"CISTERNA")</f>
        <v>0</v>
      </c>
      <c r="R5" s="137">
        <f t="shared" ref="R5:R35" si="2">SUM(O5:Q5)</f>
        <v>68</v>
      </c>
    </row>
    <row r="6" spans="1:32" ht="15.75" x14ac:dyDescent="0.25">
      <c r="A6" s="132">
        <f t="shared" ref="A6:A35" si="3">+A5+1</f>
        <v>46114</v>
      </c>
      <c r="B6" s="135">
        <f>VLOOKUP($A6,BD!$B$4:$BO$371,6)</f>
        <v>2404</v>
      </c>
      <c r="C6" s="135">
        <f>VLOOKUP($A6,BD!$B$4:$BO$371,11)</f>
        <v>0</v>
      </c>
      <c r="D6" s="135">
        <f>VLOOKUP($A6,BD!$B$4:$BO$371,16)</f>
        <v>0</v>
      </c>
      <c r="E6" s="135">
        <f>VLOOKUP($A6,BD!$B$4:$BO$371,21)</f>
        <v>1686</v>
      </c>
      <c r="F6" s="135">
        <f>VLOOKUP($A6,BD!$B$4:$BO$371,26)</f>
        <v>32342.416666666511</v>
      </c>
      <c r="G6" s="135">
        <f>VLOOKUP($A6,BD!$B$4:$BO$371,31)</f>
        <v>3910</v>
      </c>
      <c r="H6" s="135">
        <f>VLOOKUP($A6,BD!$B$4:$BO$371,36)</f>
        <v>3456</v>
      </c>
      <c r="I6" s="135">
        <f>VLOOKUP($A6,BD!$B$4:$BO$371,41)</f>
        <v>2043</v>
      </c>
      <c r="J6" s="135" t="str">
        <f>VLOOKUP($A6,BD!$B$4:$BO$371,46)</f>
        <v xml:space="preserve"> </v>
      </c>
      <c r="K6" s="134">
        <f>VLOOKUP($A6,BD!$B$4:$BO$371,51)</f>
        <v>583</v>
      </c>
      <c r="L6" s="135">
        <f>VLOOKUP($A6,BD!$B$4:$BO$371,56)</f>
        <v>2480</v>
      </c>
      <c r="M6" s="135">
        <f>VLOOKUP($A6,BD!$B$4:$BO$371,61)</f>
        <v>1294</v>
      </c>
      <c r="N6" s="134">
        <f>VLOOKUP($A6,BD!$B$4:$BO$371,66)</f>
        <v>4156</v>
      </c>
      <c r="O6" s="153">
        <f>SUMIFS(BDsurtidor!K:K,BDsurtidor!E:E,BDmensual!A6,BDsurtidor!F:F,"EBAP HIJAYA",BDsurtidor!I:I,"CISTERNA")</f>
        <v>0</v>
      </c>
      <c r="P6" s="139">
        <f>SUMIFS(BDsurtidor!K:K,BDsurtidor!E:E,A6,BDsurtidor!F:F,"RE03",BDsurtidor!I:I,"CISTERNA")</f>
        <v>34</v>
      </c>
      <c r="Q6" s="154">
        <f>SUMIFS(BDsurtidor!K:K,BDsurtidor!E:E,BDmensual!A6,BDsurtidor!F:F,"RE07",BDsurtidor!I:I,"CISTERNA")</f>
        <v>0</v>
      </c>
      <c r="R6" s="137">
        <f t="shared" si="2"/>
        <v>34</v>
      </c>
    </row>
    <row r="7" spans="1:32" ht="15.75" x14ac:dyDescent="0.25">
      <c r="A7" s="132">
        <f t="shared" si="3"/>
        <v>46115</v>
      </c>
      <c r="B7" s="142">
        <f>VLOOKUP($A7,BD!$B$4:$BO$371,6)</f>
        <v>2357</v>
      </c>
      <c r="C7" s="142">
        <f>VLOOKUP($A7,BD!$B$4:$BO$371,11)</f>
        <v>0</v>
      </c>
      <c r="D7" s="142">
        <f>VLOOKUP($A7,BD!$B$4:$BO$371,16)</f>
        <v>0</v>
      </c>
      <c r="E7" s="142">
        <f>VLOOKUP($A7,BD!$B$4:$BO$371,21)</f>
        <v>0</v>
      </c>
      <c r="F7" s="142">
        <f>VLOOKUP($A7,BD!$B$4:$BO$371,26)</f>
        <v>39237.583333333489</v>
      </c>
      <c r="G7" s="142">
        <f>VLOOKUP($A7,BD!$B$4:$BO$371,31)</f>
        <v>4550</v>
      </c>
      <c r="H7" s="142">
        <f>VLOOKUP($A7,BD!$B$4:$BO$371,36)</f>
        <v>3456</v>
      </c>
      <c r="I7" s="142">
        <f>VLOOKUP($A7,BD!$B$4:$BO$371,41)</f>
        <v>2528</v>
      </c>
      <c r="J7" s="142" t="str">
        <f>VLOOKUP($A7,BD!$B$4:$BO$371,46)</f>
        <v xml:space="preserve"> </v>
      </c>
      <c r="K7" s="143">
        <f>VLOOKUP($A7,BD!$B$4:$BO$371,51)</f>
        <v>573</v>
      </c>
      <c r="L7" s="142">
        <f>VLOOKUP($A7,BD!$B$4:$BO$371,56)</f>
        <v>2431</v>
      </c>
      <c r="M7" s="142">
        <f>VLOOKUP($A7,BD!$B$4:$BO$371,61)</f>
        <v>1250</v>
      </c>
      <c r="N7" s="143">
        <f>VLOOKUP($A7,BD!$B$4:$BO$371,66)</f>
        <v>4657</v>
      </c>
      <c r="O7" s="150">
        <f>SUMIFS(BDsurtidor!K:K,BDsurtidor!E:E,BDmensual!A7,BDsurtidor!F:F,"EBAP HIJAYA",BDsurtidor!I:I,"CISTERNA")</f>
        <v>0</v>
      </c>
      <c r="P7" s="151">
        <f>SUMIFS(BDsurtidor!K:K,BDsurtidor!E:E,A7,BDsurtidor!F:F,"RE03",BDsurtidor!I:I,"CISTERNA")</f>
        <v>0</v>
      </c>
      <c r="Q7" s="152">
        <f>SUMIFS(BDsurtidor!K:K,BDsurtidor!E:E,BDmensual!A7,BDsurtidor!F:F,"RE07",BDsurtidor!I:I,"CISTERNA")</f>
        <v>0</v>
      </c>
      <c r="R7" s="137">
        <f t="shared" si="2"/>
        <v>0</v>
      </c>
    </row>
    <row r="8" spans="1:32" ht="15.75" x14ac:dyDescent="0.25">
      <c r="A8" s="132">
        <f t="shared" si="3"/>
        <v>46116</v>
      </c>
      <c r="B8" s="135">
        <f>VLOOKUP($A8,BD!$B:$BO,6)</f>
        <v>2395</v>
      </c>
      <c r="C8" s="135">
        <f>VLOOKUP($A8,BD!$B$4:$BO$371,11)</f>
        <v>0</v>
      </c>
      <c r="D8" s="135">
        <f>VLOOKUP($A8,BD!$B$4:$BO$371,16)</f>
        <v>0</v>
      </c>
      <c r="E8" s="135">
        <f>VLOOKUP($A8,BD!$B$4:$BO$371,21)</f>
        <v>0</v>
      </c>
      <c r="F8" s="135">
        <f>VLOOKUP($A8,BD!$B$4:$BO$371,26)</f>
        <v>38377</v>
      </c>
      <c r="G8" s="135">
        <f>VLOOKUP($A8,BD!$B$4:$BO$371,31)</f>
        <v>94</v>
      </c>
      <c r="H8" s="135">
        <f>VLOOKUP($A8,BD!$B$4:$BO$371,36)</f>
        <v>3456</v>
      </c>
      <c r="I8" s="135">
        <f>VLOOKUP($A8,BD!$B$4:$BO$371,41)</f>
        <v>2529</v>
      </c>
      <c r="J8" s="135" t="str">
        <f>VLOOKUP($A8,BD!$B$4:$BO$371,46)</f>
        <v xml:space="preserve"> </v>
      </c>
      <c r="K8" s="134">
        <f>VLOOKUP($A8,BD!$B$4:$BO$371,51)</f>
        <v>677</v>
      </c>
      <c r="L8" s="135">
        <f>VLOOKUP($A8,BD!$B$4:$BO$371,56)</f>
        <v>2383</v>
      </c>
      <c r="M8" s="135">
        <f>VLOOKUP($A8,BD!$B$4:$BO$371,61)</f>
        <v>0</v>
      </c>
      <c r="N8" s="134">
        <f>VLOOKUP($A8,BD!$B$4:$BO$371,66)</f>
        <v>4721</v>
      </c>
      <c r="O8" s="153">
        <f>SUMIFS(BDsurtidor!K:K,BDsurtidor!E:E,BDmensual!A8,BDsurtidor!F:F,"EBAP HIJAYA",BDsurtidor!I:I,"CISTERNA")</f>
        <v>0</v>
      </c>
      <c r="P8" s="139">
        <f>SUMIFS(BDsurtidor!K:K,BDsurtidor!E:E,A8,BDsurtidor!F:F,"RE03",BDsurtidor!I:I,"CISTERNA")</f>
        <v>34</v>
      </c>
      <c r="Q8" s="154">
        <f>SUMIFS(BDsurtidor!K:K,BDsurtidor!E:E,BDmensual!A8,BDsurtidor!F:F,"RE07",BDsurtidor!I:I,"CISTERNA")</f>
        <v>0</v>
      </c>
      <c r="R8" s="137">
        <f t="shared" si="2"/>
        <v>34</v>
      </c>
    </row>
    <row r="9" spans="1:32" ht="15.75" x14ac:dyDescent="0.25">
      <c r="A9" s="132">
        <f t="shared" si="3"/>
        <v>46117</v>
      </c>
      <c r="B9" s="142">
        <f>VLOOKUP($A9,BD!$B$4:$BO$371,6)</f>
        <v>2383</v>
      </c>
      <c r="C9" s="142">
        <f>VLOOKUP($A9,BD!$B$4:$BO$371,11)</f>
        <v>0</v>
      </c>
      <c r="D9" s="142">
        <f>VLOOKUP($A9,BD!$B$4:$BO$371,16)</f>
        <v>0</v>
      </c>
      <c r="E9" s="142">
        <f>VLOOKUP($A9,BD!$B$4:$BO$371,21)</f>
        <v>0</v>
      </c>
      <c r="F9" s="142">
        <f>VLOOKUP($A9,BD!$B$4:$BO$371,26)</f>
        <v>39130</v>
      </c>
      <c r="G9" s="142">
        <f>VLOOKUP($A9,BD!$B$4:$BO$371,31)</f>
        <v>87</v>
      </c>
      <c r="H9" s="142">
        <f>VLOOKUP($A9,BD!$B$4:$BO$371,36)</f>
        <v>3456</v>
      </c>
      <c r="I9" s="142">
        <f>VLOOKUP($A9,BD!$B$4:$BO$371,41)</f>
        <v>1384</v>
      </c>
      <c r="J9" s="142" t="str">
        <f>VLOOKUP($A9,BD!$B$4:$BO$371,46)</f>
        <v xml:space="preserve"> </v>
      </c>
      <c r="K9" s="143">
        <f>VLOOKUP($A9,BD!$B$4:$BO$371,51)</f>
        <v>703</v>
      </c>
      <c r="L9" s="142">
        <f>VLOOKUP($A9,BD!$B$4:$BO$371,56)</f>
        <v>2407</v>
      </c>
      <c r="M9" s="142">
        <f>VLOOKUP($A9,BD!$B$4:$BO$371,61)</f>
        <v>401</v>
      </c>
      <c r="N9" s="143">
        <f>VLOOKUP($A9,BD!$B$4:$BO$371,66)</f>
        <v>4934</v>
      </c>
      <c r="O9" s="150">
        <f>SUMIFS(BDsurtidor!K:K,BDsurtidor!E:E,BDmensual!A9,BDsurtidor!F:F,"EBAP HIJAYA",BDsurtidor!I:I,"CISTERNA")</f>
        <v>0</v>
      </c>
      <c r="P9" s="151">
        <f>SUMIFS(BDsurtidor!K:K,BDsurtidor!E:E,A9,BDsurtidor!F:F,"RE03",BDsurtidor!I:I,"CISTERNA")</f>
        <v>68</v>
      </c>
      <c r="Q9" s="152">
        <f>SUMIFS(BDsurtidor!K:K,BDsurtidor!E:E,BDmensual!A9,BDsurtidor!F:F,"RE07",BDsurtidor!I:I,"CISTERNA")</f>
        <v>0</v>
      </c>
      <c r="R9" s="137">
        <f t="shared" si="2"/>
        <v>68</v>
      </c>
    </row>
    <row r="10" spans="1:32" ht="15.75" x14ac:dyDescent="0.25">
      <c r="A10" s="132">
        <f t="shared" si="3"/>
        <v>46118</v>
      </c>
      <c r="B10" s="135">
        <f>VLOOKUP($A10,BD!$B$4:$BO$371,6)</f>
        <v>2414</v>
      </c>
      <c r="C10" s="135">
        <f>VLOOKUP($A10,BD!$B$4:$BO$371,11)</f>
        <v>0</v>
      </c>
      <c r="D10" s="135">
        <f>VLOOKUP($A10,BD!$B$4:$BO$371,16)</f>
        <v>0</v>
      </c>
      <c r="E10" s="135">
        <f>VLOOKUP($A10,BD!$B$4:$BO$371,21)</f>
        <v>2577</v>
      </c>
      <c r="F10" s="135">
        <f>VLOOKUP($A10,BD!$B$4:$BO$371,26)</f>
        <v>36328</v>
      </c>
      <c r="G10" s="135">
        <f>VLOOKUP($A10,BD!$B$4:$BO$371,31)</f>
        <v>1238</v>
      </c>
      <c r="H10" s="135">
        <f>VLOOKUP($A10,BD!$B$4:$BO$371,36)</f>
        <v>3456</v>
      </c>
      <c r="I10" s="135">
        <f>VLOOKUP($A10,BD!$B$4:$BO$371,41)</f>
        <v>2541</v>
      </c>
      <c r="J10" s="135" t="str">
        <f>VLOOKUP($A10,BD!$B$4:$BO$371,46)</f>
        <v xml:space="preserve"> </v>
      </c>
      <c r="K10" s="134">
        <f>VLOOKUP($A10,BD!$B$4:$BO$371,51)</f>
        <v>714</v>
      </c>
      <c r="L10" s="135">
        <f>VLOOKUP($A10,BD!$B$4:$BO$371,56)</f>
        <v>2485</v>
      </c>
      <c r="M10" s="135">
        <f>VLOOKUP($A10,BD!$B$4:$BO$371,61)</f>
        <v>1376</v>
      </c>
      <c r="N10" s="134">
        <f>VLOOKUP($A10,BD!$B$4:$BO$371,66)</f>
        <v>4800</v>
      </c>
      <c r="O10" s="153">
        <f>SUMIFS(BDsurtidor!K:K,BDsurtidor!E:E,BDmensual!A10,BDsurtidor!F:F,"EBAP HIJAYA",BDsurtidor!I:I,"CISTERNA")</f>
        <v>0</v>
      </c>
      <c r="P10" s="139">
        <f>SUMIFS(BDsurtidor!K:K,BDsurtidor!E:E,A10,BDsurtidor!F:F,"RE03",BDsurtidor!I:I,"CISTERNA")</f>
        <v>94</v>
      </c>
      <c r="Q10" s="154">
        <f>SUMIFS(BDsurtidor!K:K,BDsurtidor!E:E,BDmensual!A10,BDsurtidor!F:F,"RE07",BDsurtidor!I:I,"CISTERNA")</f>
        <v>0</v>
      </c>
      <c r="R10" s="137">
        <f t="shared" si="2"/>
        <v>94</v>
      </c>
    </row>
    <row r="11" spans="1:32" ht="15.75" x14ac:dyDescent="0.25">
      <c r="A11" s="132">
        <f t="shared" si="3"/>
        <v>46119</v>
      </c>
      <c r="B11" s="142">
        <f>VLOOKUP($A11,BD!$B$4:$BO$371,6)</f>
        <v>2317</v>
      </c>
      <c r="C11" s="142">
        <f>VLOOKUP($A11,BD!$B$4:$BO$371,11)</f>
        <v>0</v>
      </c>
      <c r="D11" s="142">
        <f>VLOOKUP($A11,BD!$B$4:$BO$371,16)</f>
        <v>0</v>
      </c>
      <c r="E11" s="142">
        <f>VLOOKUP($A11,BD!$B$4:$BO$371,21)</f>
        <v>795</v>
      </c>
      <c r="F11" s="142">
        <f>VLOOKUP($A11,BD!$B$4:$BO$371,26)</f>
        <v>38224</v>
      </c>
      <c r="G11" s="142">
        <f>VLOOKUP($A11,BD!$B$4:$BO$371,31)</f>
        <v>5362.4000000003725</v>
      </c>
      <c r="H11" s="142">
        <f>VLOOKUP($A11,BD!$B$4:$BO$371,36)</f>
        <v>3456</v>
      </c>
      <c r="I11" s="142">
        <f>VLOOKUP($A11,BD!$B$4:$BO$371,41)</f>
        <v>1801</v>
      </c>
      <c r="J11" s="142" t="str">
        <f>VLOOKUP($A11,BD!$B$4:$BO$371,46)</f>
        <v xml:space="preserve"> </v>
      </c>
      <c r="K11" s="143">
        <f>VLOOKUP($A11,BD!$B$4:$BO$371,51)</f>
        <v>903</v>
      </c>
      <c r="L11" s="142">
        <f>VLOOKUP($A11,BD!$B$4:$BO$371,56)</f>
        <v>2388</v>
      </c>
      <c r="M11" s="142">
        <f>VLOOKUP($A11,BD!$B$4:$BO$371,61)</f>
        <v>1176</v>
      </c>
      <c r="N11" s="143">
        <f>VLOOKUP($A11,BD!$B$4:$BO$371,66)</f>
        <v>4556</v>
      </c>
      <c r="O11" s="150">
        <f>SUMIFS(BDsurtidor!K:K,BDsurtidor!E:E,BDmensual!A11,BDsurtidor!F:F,"EBAP HIJAYA",BDsurtidor!I:I,"CISTERNA")</f>
        <v>0</v>
      </c>
      <c r="P11" s="151">
        <f>SUMIFS(BDsurtidor!K:K,BDsurtidor!E:E,A11,BDsurtidor!F:F,"RE03",BDsurtidor!I:I,"CISTERNA")</f>
        <v>86</v>
      </c>
      <c r="Q11" s="152">
        <f>SUMIFS(BDsurtidor!K:K,BDsurtidor!E:E,BDmensual!A11,BDsurtidor!F:F,"RE07",BDsurtidor!I:I,"CISTERNA")</f>
        <v>0</v>
      </c>
      <c r="R11" s="137">
        <f t="shared" si="2"/>
        <v>86</v>
      </c>
    </row>
    <row r="12" spans="1:32" ht="15.75" x14ac:dyDescent="0.25">
      <c r="A12" s="132">
        <f t="shared" si="3"/>
        <v>46120</v>
      </c>
      <c r="B12" s="135">
        <f>VLOOKUP($A12,BD!$B$4:$BO$371,6)</f>
        <v>2368</v>
      </c>
      <c r="C12" s="135">
        <f>VLOOKUP($A12,BD!$B$4:$BO$371,11)</f>
        <v>0</v>
      </c>
      <c r="D12" s="135">
        <f>VLOOKUP($A12,BD!$B$4:$BO$371,16)</f>
        <v>0</v>
      </c>
      <c r="E12" s="135">
        <f>VLOOKUP($A12,BD!$B$4:$BO$371,21)</f>
        <v>37</v>
      </c>
      <c r="F12" s="135">
        <f>VLOOKUP($A12,BD!$B$4:$BO$371,26)</f>
        <v>37257.200000000186</v>
      </c>
      <c r="G12" s="135">
        <f>VLOOKUP($A12,BD!$B$4:$BO$371,31)</f>
        <v>5609.5999999996275</v>
      </c>
      <c r="H12" s="135">
        <f>VLOOKUP($A12,BD!$B$4:$BO$371,36)</f>
        <v>3456</v>
      </c>
      <c r="I12" s="135">
        <f>VLOOKUP($A12,BD!$B$4:$BO$371,41)</f>
        <v>2570</v>
      </c>
      <c r="J12" s="135" t="str">
        <f>VLOOKUP($A12,BD!$B$4:$BO$371,46)</f>
        <v xml:space="preserve"> </v>
      </c>
      <c r="K12" s="134">
        <f>VLOOKUP($A12,BD!$B$4:$BO$371,51)</f>
        <v>584</v>
      </c>
      <c r="L12" s="135">
        <f>VLOOKUP($A12,BD!$B$4:$BO$371,56)</f>
        <v>2481</v>
      </c>
      <c r="M12" s="135">
        <f>VLOOKUP($A12,BD!$B$4:$BO$371,61)</f>
        <v>1265</v>
      </c>
      <c r="N12" s="134">
        <f>VLOOKUP($A12,BD!$B$4:$BO$371,66)</f>
        <v>4516</v>
      </c>
      <c r="O12" s="153">
        <f>SUMIFS(BDsurtidor!K:K,BDsurtidor!E:E,BDmensual!A12,BDsurtidor!F:F,"EBAP HIJAYA",BDsurtidor!I:I,"CISTERNA")</f>
        <v>0</v>
      </c>
      <c r="P12" s="139">
        <f>SUMIFS(BDsurtidor!K:K,BDsurtidor!E:E,A12,BDsurtidor!F:F,"RE03",BDsurtidor!I:I,"CISTERNA")</f>
        <v>103</v>
      </c>
      <c r="Q12" s="154">
        <f>SUMIFS(BDsurtidor!K:K,BDsurtidor!E:E,BDmensual!A12,BDsurtidor!F:F,"RE07",BDsurtidor!I:I,"CISTERNA")</f>
        <v>0</v>
      </c>
      <c r="R12" s="137">
        <f t="shared" si="2"/>
        <v>103</v>
      </c>
    </row>
    <row r="13" spans="1:32" ht="15.75" x14ac:dyDescent="0.25">
      <c r="A13" s="132">
        <f t="shared" si="3"/>
        <v>46121</v>
      </c>
      <c r="B13" s="142">
        <f>VLOOKUP($A13,BD!$B$4:$BO$371,6)</f>
        <v>2414</v>
      </c>
      <c r="C13" s="142">
        <f>VLOOKUP($A13,BD!$B$4:$BO$371,11)</f>
        <v>0</v>
      </c>
      <c r="D13" s="142">
        <f>VLOOKUP($A13,BD!$B$4:$BO$371,16)</f>
        <v>0</v>
      </c>
      <c r="E13" s="142">
        <f>VLOOKUP($A13,BD!$B$4:$BO$371,21)</f>
        <v>0</v>
      </c>
      <c r="F13" s="142">
        <f>VLOOKUP($A13,BD!$B$4:$BO$371,26)</f>
        <v>38559.599999999627</v>
      </c>
      <c r="G13" s="142">
        <f>VLOOKUP($A13,BD!$B$4:$BO$371,31)</f>
        <v>5891</v>
      </c>
      <c r="H13" s="142">
        <f>VLOOKUP($A13,BD!$B$4:$BO$371,36)</f>
        <v>3456</v>
      </c>
      <c r="I13" s="142">
        <f>VLOOKUP($A13,BD!$B$4:$BO$371,41)</f>
        <v>2545</v>
      </c>
      <c r="J13" s="142" t="str">
        <f>VLOOKUP($A13,BD!$B$4:$BO$371,46)</f>
        <v xml:space="preserve"> </v>
      </c>
      <c r="K13" s="143">
        <f>VLOOKUP($A13,BD!$B$4:$BO$371,51)</f>
        <v>865</v>
      </c>
      <c r="L13" s="142">
        <f>VLOOKUP($A13,BD!$B$4:$BO$371,56)</f>
        <v>2504</v>
      </c>
      <c r="M13" s="142">
        <f>VLOOKUP($A13,BD!$B$4:$BO$371,61)</f>
        <v>1254</v>
      </c>
      <c r="N13" s="143">
        <f>VLOOKUP($A13,BD!$B$4:$BO$371,66)</f>
        <v>4870</v>
      </c>
      <c r="O13" s="150">
        <f>SUMIFS(BDsurtidor!K:K,BDsurtidor!E:E,BDmensual!A13,BDsurtidor!F:F,"EBAP HIJAYA",BDsurtidor!I:I,"CISTERNA")</f>
        <v>0</v>
      </c>
      <c r="P13" s="151">
        <f>SUMIFS(BDsurtidor!K:K,BDsurtidor!E:E,A13,BDsurtidor!F:F,"RE03",BDsurtidor!I:I,"CISTERNA")</f>
        <v>86</v>
      </c>
      <c r="Q13" s="152">
        <f>SUMIFS(BDsurtidor!K:K,BDsurtidor!E:E,BDmensual!A13,BDsurtidor!F:F,"RE07",BDsurtidor!I:I,"CISTERNA")</f>
        <v>0</v>
      </c>
      <c r="R13" s="137">
        <f t="shared" si="2"/>
        <v>86</v>
      </c>
    </row>
    <row r="14" spans="1:32" ht="15.75" x14ac:dyDescent="0.25">
      <c r="A14" s="132">
        <f t="shared" si="3"/>
        <v>46122</v>
      </c>
      <c r="B14" s="135">
        <f>VLOOKUP($A14,BD!$B$4:$BO$371,6)</f>
        <v>2386</v>
      </c>
      <c r="C14" s="135">
        <f>VLOOKUP($A14,BD!$B$4:$BO$371,11)</f>
        <v>0</v>
      </c>
      <c r="D14" s="135">
        <f>VLOOKUP($A14,BD!$B$4:$BO$371,16)</f>
        <v>0</v>
      </c>
      <c r="E14" s="135">
        <f>VLOOKUP($A14,BD!$B$4:$BO$371,21)</f>
        <v>0</v>
      </c>
      <c r="F14" s="135">
        <f>VLOOKUP($A14,BD!$B$4:$BO$371,26)</f>
        <v>40308.170182680245</v>
      </c>
      <c r="G14" s="135">
        <f>VLOOKUP($A14,BD!$B$4:$BO$371,31)</f>
        <v>6115</v>
      </c>
      <c r="H14" s="135">
        <f>VLOOKUP($A14,BD!$B$4:$BO$371,36)</f>
        <v>3456</v>
      </c>
      <c r="I14" s="135">
        <f>VLOOKUP($A14,BD!$B$4:$BO$371,41)</f>
        <v>2518</v>
      </c>
      <c r="J14" s="135" t="str">
        <f>VLOOKUP($A14,BD!$B$4:$BO$371,46)</f>
        <v xml:space="preserve"> </v>
      </c>
      <c r="K14" s="134">
        <f>VLOOKUP($A14,BD!$B$4:$BO$371,51)</f>
        <v>675</v>
      </c>
      <c r="L14" s="135">
        <f>VLOOKUP($A14,BD!$B$4:$BO$371,56)</f>
        <v>2450</v>
      </c>
      <c r="M14" s="135">
        <f>VLOOKUP($A14,BD!$B$4:$BO$371,61)</f>
        <v>1310</v>
      </c>
      <c r="N14" s="134">
        <f>VLOOKUP($A14,BD!$B$4:$BO$371,66)</f>
        <v>4440</v>
      </c>
      <c r="O14" s="153">
        <f>SUMIFS(BDsurtidor!K:K,BDsurtidor!E:E,BDmensual!A14,BDsurtidor!F:F,"EBAP HIJAYA",BDsurtidor!I:I,"CISTERNA")</f>
        <v>0</v>
      </c>
      <c r="P14" s="139">
        <f>SUMIFS(BDsurtidor!K:K,BDsurtidor!E:E,A14,BDsurtidor!F:F,"RE03",BDsurtidor!I:I,"CISTERNA")</f>
        <v>102</v>
      </c>
      <c r="Q14" s="154">
        <f>SUMIFS(BDsurtidor!K:K,BDsurtidor!E:E,BDmensual!A14,BDsurtidor!F:F,"RE07",BDsurtidor!I:I,"CISTERNA")</f>
        <v>0</v>
      </c>
      <c r="R14" s="137">
        <f t="shared" si="2"/>
        <v>102</v>
      </c>
    </row>
    <row r="15" spans="1:32" ht="15.75" x14ac:dyDescent="0.25">
      <c r="A15" s="132">
        <f t="shared" si="3"/>
        <v>46123</v>
      </c>
      <c r="B15" s="142">
        <f>VLOOKUP($A15,BD!$B$4:$BO$371,6)</f>
        <v>2412</v>
      </c>
      <c r="C15" s="142">
        <f>VLOOKUP($A15,BD!$B$4:$BO$371,11)</f>
        <v>0</v>
      </c>
      <c r="D15" s="142">
        <f>VLOOKUP($A15,BD!$B$4:$BO$371,16)</f>
        <v>0</v>
      </c>
      <c r="E15" s="142">
        <f>VLOOKUP($A15,BD!$B$4:$BO$371,21)</f>
        <v>0</v>
      </c>
      <c r="F15" s="142">
        <f>VLOOKUP($A15,BD!$B$4:$BO$371,26)</f>
        <v>40839.029817319941</v>
      </c>
      <c r="G15" s="142">
        <f>VLOOKUP($A15,BD!$B$4:$BO$371,31)</f>
        <v>5399</v>
      </c>
      <c r="H15" s="142">
        <f>VLOOKUP($A15,BD!$B$4:$BO$371,36)</f>
        <v>3456</v>
      </c>
      <c r="I15" s="142">
        <f>VLOOKUP($A15,BD!$B$4:$BO$371,41)</f>
        <v>2468</v>
      </c>
      <c r="J15" s="142" t="str">
        <f>VLOOKUP($A15,BD!$B$4:$BO$371,46)</f>
        <v xml:space="preserve"> </v>
      </c>
      <c r="K15" s="143">
        <f>VLOOKUP($A15,BD!$B$4:$BO$371,51)</f>
        <v>673</v>
      </c>
      <c r="L15" s="142">
        <f>VLOOKUP($A15,BD!$B$4:$BO$371,56)</f>
        <v>2419</v>
      </c>
      <c r="M15" s="142">
        <f>VLOOKUP($A15,BD!$B$4:$BO$371,61)</f>
        <v>1324</v>
      </c>
      <c r="N15" s="143">
        <f>VLOOKUP($A15,BD!$B$4:$BO$371,66)</f>
        <v>4670</v>
      </c>
      <c r="O15" s="150">
        <f>SUMIFS(BDsurtidor!K:K,BDsurtidor!E:E,BDmensual!A15,BDsurtidor!F:F,"EBAP HIJAYA",BDsurtidor!I:I,"CISTERNA")</f>
        <v>0</v>
      </c>
      <c r="P15" s="151">
        <f>SUMIFS(BDsurtidor!K:K,BDsurtidor!E:E,A15,BDsurtidor!F:F,"RE03",BDsurtidor!I:I,"CISTERNA")</f>
        <v>34</v>
      </c>
      <c r="Q15" s="152">
        <f>SUMIFS(BDsurtidor!K:K,BDsurtidor!E:E,BDmensual!A15,BDsurtidor!F:F,"RE07",BDsurtidor!I:I,"CISTERNA")</f>
        <v>0</v>
      </c>
      <c r="R15" s="137">
        <f t="shared" si="2"/>
        <v>34</v>
      </c>
    </row>
    <row r="16" spans="1:32" ht="15.75" x14ac:dyDescent="0.25">
      <c r="A16" s="132">
        <f t="shared" si="3"/>
        <v>46124</v>
      </c>
      <c r="B16" s="135">
        <f>VLOOKUP($A16,BD!$B$4:$BO$371,6)</f>
        <v>1923</v>
      </c>
      <c r="C16" s="135">
        <f>VLOOKUP($A16,BD!$B$4:$BO$371,11)</f>
        <v>0</v>
      </c>
      <c r="D16" s="135">
        <f>VLOOKUP($A16,BD!$B$4:$BO$371,16)</f>
        <v>0</v>
      </c>
      <c r="E16" s="135">
        <f>VLOOKUP($A16,BD!$B$4:$BO$371,21)</f>
        <v>0</v>
      </c>
      <c r="F16" s="135">
        <f>VLOOKUP($A16,BD!$B$4:$BO$371,26)</f>
        <v>40314.200000000186</v>
      </c>
      <c r="G16" s="135">
        <f>VLOOKUP($A16,BD!$B$4:$BO$371,31)</f>
        <v>6099</v>
      </c>
      <c r="H16" s="135">
        <f>VLOOKUP($A16,BD!$B$4:$BO$371,36)</f>
        <v>3456</v>
      </c>
      <c r="I16" s="135">
        <f>VLOOKUP($A16,BD!$B$4:$BO$371,41)</f>
        <v>2531</v>
      </c>
      <c r="J16" s="135" t="str">
        <f>VLOOKUP($A16,BD!$B$4:$BO$371,46)</f>
        <v xml:space="preserve"> </v>
      </c>
      <c r="K16" s="134">
        <f>VLOOKUP($A16,BD!$B$4:$BO$371,51)</f>
        <v>691</v>
      </c>
      <c r="L16" s="135">
        <f>VLOOKUP($A16,BD!$B$4:$BO$371,56)</f>
        <v>1933</v>
      </c>
      <c r="M16" s="135">
        <f>VLOOKUP($A16,BD!$B$4:$BO$371,61)</f>
        <v>1271</v>
      </c>
      <c r="N16" s="134">
        <f>VLOOKUP($A16,BD!$B$4:$BO$371,66)</f>
        <v>4193</v>
      </c>
      <c r="O16" s="153">
        <f>SUMIFS(BDsurtidor!K:K,BDsurtidor!E:E,BDmensual!A16,BDsurtidor!F:F,"EBAP HIJAYA",BDsurtidor!I:I,"CISTERNA")</f>
        <v>0</v>
      </c>
      <c r="P16" s="139">
        <f>SUMIFS(BDsurtidor!K:K,BDsurtidor!E:E,A16,BDsurtidor!F:F,"RE03",BDsurtidor!I:I,"CISTERNA")</f>
        <v>0</v>
      </c>
      <c r="Q16" s="154">
        <f>SUMIFS(BDsurtidor!K:K,BDsurtidor!E:E,BDmensual!A16,BDsurtidor!F:F,"RE07",BDsurtidor!I:I,"CISTERNA")</f>
        <v>0</v>
      </c>
      <c r="R16" s="137">
        <f t="shared" si="2"/>
        <v>0</v>
      </c>
    </row>
    <row r="17" spans="1:18" ht="15.75" x14ac:dyDescent="0.25">
      <c r="A17" s="132">
        <f t="shared" si="3"/>
        <v>46125</v>
      </c>
      <c r="B17" s="142">
        <f>VLOOKUP($A17,BD!$B$4:$BO$371,6)</f>
        <v>1921</v>
      </c>
      <c r="C17" s="142">
        <f>VLOOKUP($A17,BD!$B$4:$BO$371,11)</f>
        <v>0</v>
      </c>
      <c r="D17" s="142">
        <f>VLOOKUP($A17,BD!$B$4:$BO$371,16)</f>
        <v>0</v>
      </c>
      <c r="E17" s="142">
        <f>VLOOKUP($A17,BD!$B$4:$BO$371,21)</f>
        <v>406</v>
      </c>
      <c r="F17" s="142">
        <f>VLOOKUP($A17,BD!$B$4:$BO$371,26)</f>
        <v>40549.068242359906</v>
      </c>
      <c r="G17" s="142">
        <f>VLOOKUP($A17,BD!$B$4:$BO$371,31)</f>
        <v>5389</v>
      </c>
      <c r="H17" s="142">
        <f>VLOOKUP($A17,BD!$B$4:$BO$371,36)</f>
        <v>3456</v>
      </c>
      <c r="I17" s="142">
        <f>VLOOKUP($A17,BD!$B$4:$BO$371,41)</f>
        <v>2570</v>
      </c>
      <c r="J17" s="142" t="str">
        <f>VLOOKUP($A17,BD!$B$4:$BO$371,46)</f>
        <v xml:space="preserve"> </v>
      </c>
      <c r="K17" s="143">
        <f>VLOOKUP($A17,BD!$B$4:$BO$371,51)</f>
        <v>724</v>
      </c>
      <c r="L17" s="142">
        <f>VLOOKUP($A17,BD!$B$4:$BO$371,56)</f>
        <v>1972</v>
      </c>
      <c r="M17" s="142">
        <f>VLOOKUP($A17,BD!$B$4:$BO$371,61)</f>
        <v>1028</v>
      </c>
      <c r="N17" s="143">
        <f>VLOOKUP($A17,BD!$B$4:$BO$371,66)</f>
        <v>4279</v>
      </c>
      <c r="O17" s="150">
        <f>SUMIFS(BDsurtidor!K:K,BDsurtidor!E:E,BDmensual!A17,BDsurtidor!F:F,"EBAP HIJAYA",BDsurtidor!I:I,"CISTERNA")</f>
        <v>0</v>
      </c>
      <c r="P17" s="139">
        <f>SUMIFS(BDsurtidor!K:K,BDsurtidor!E:E,A17,BDsurtidor!F:F,"RE03",BDsurtidor!I:I,"CISTERNA")</f>
        <v>111</v>
      </c>
      <c r="Q17" s="152">
        <f>SUMIFS(BDsurtidor!K:K,BDsurtidor!E:E,BDmensual!A17,BDsurtidor!F:F,"RE07",BDsurtidor!I:I,"CISTERNA")</f>
        <v>0</v>
      </c>
      <c r="R17" s="137">
        <f t="shared" si="2"/>
        <v>111</v>
      </c>
    </row>
    <row r="18" spans="1:18" ht="15.75" x14ac:dyDescent="0.25">
      <c r="A18" s="132">
        <f t="shared" si="3"/>
        <v>46126</v>
      </c>
      <c r="B18" s="135">
        <f>VLOOKUP($A18,BD!$B$4:$BO$371,6)</f>
        <v>0</v>
      </c>
      <c r="C18" s="135">
        <f>VLOOKUP($A18,BD!$B$4:$BO$371,11)</f>
        <v>0</v>
      </c>
      <c r="D18" s="135">
        <f>VLOOKUP($A18,BD!$B$4:$BO$371,16)</f>
        <v>0</v>
      </c>
      <c r="E18" s="135">
        <f>VLOOKUP($A18,BD!$B$4:$BO$371,21)</f>
        <v>0</v>
      </c>
      <c r="F18" s="135">
        <f>VLOOKUP($A18,BD!$B$4:$BO$371,26)</f>
        <v>40671.033406639937</v>
      </c>
      <c r="G18" s="135">
        <f>VLOOKUP($A18,BD!$B$4:$BO$371,31)</f>
        <v>5394</v>
      </c>
      <c r="H18" s="135">
        <f>VLOOKUP($A18,BD!$B$4:$BO$371,36)</f>
        <v>3456</v>
      </c>
      <c r="I18" s="135">
        <f>VLOOKUP($A18,BD!$B$4:$BO$371,41)</f>
        <v>1439</v>
      </c>
      <c r="J18" s="135" t="str">
        <f>VLOOKUP($A18,BD!$B$4:$BO$371,46)</f>
        <v xml:space="preserve"> </v>
      </c>
      <c r="K18" s="134">
        <f>VLOOKUP($A18,BD!$B$4:$BO$371,51)</f>
        <v>0</v>
      </c>
      <c r="L18" s="135">
        <f>VLOOKUP($A18,BD!$B$4:$BO$371,56)</f>
        <v>0</v>
      </c>
      <c r="M18" s="135">
        <f>VLOOKUP($A18,BD!$B$4:$BO$371,61)</f>
        <v>1224</v>
      </c>
      <c r="N18" s="134">
        <f>VLOOKUP($A18,BD!$B$4:$BO$371,66)</f>
        <v>4581</v>
      </c>
      <c r="O18" s="153">
        <f>SUMIFS(BDsurtidor!K:K,BDsurtidor!E:E,BDmensual!A18,BDsurtidor!F:F,"EBAP HIJAYA",BDsurtidor!I:I,"CISTERNA")</f>
        <v>0</v>
      </c>
      <c r="P18" s="139">
        <f>SUMIFS(BDsurtidor!K:K,BDsurtidor!E:E,A18,BDsurtidor!F:F,"RE03",BDsurtidor!I:I,"CISTERNA")</f>
        <v>60</v>
      </c>
      <c r="Q18" s="154">
        <f>SUMIFS(BDsurtidor!K:K,BDsurtidor!E:E,BDmensual!A18,BDsurtidor!F:F,"RE07",BDsurtidor!I:I,"CISTERNA")</f>
        <v>0</v>
      </c>
      <c r="R18" s="137">
        <f t="shared" si="2"/>
        <v>60</v>
      </c>
    </row>
    <row r="19" spans="1:18" ht="15.75" x14ac:dyDescent="0.25">
      <c r="A19" s="132">
        <f t="shared" si="3"/>
        <v>46127</v>
      </c>
      <c r="B19" s="142">
        <f>VLOOKUP($A19,BD!$B$4:$BO$371,6)</f>
        <v>0</v>
      </c>
      <c r="C19" s="142">
        <f>VLOOKUP($A19,BD!$B$4:$BO$371,11)</f>
        <v>0</v>
      </c>
      <c r="D19" s="142">
        <f>VLOOKUP($A19,BD!$B$4:$BO$371,16)</f>
        <v>0</v>
      </c>
      <c r="E19" s="142">
        <f>VLOOKUP($A19,BD!$B$4:$BO$371,21)</f>
        <v>100</v>
      </c>
      <c r="F19" s="142">
        <f>VLOOKUP($A19,BD!$B$4:$BO$371,26)</f>
        <v>40369.69835099997</v>
      </c>
      <c r="G19" s="142">
        <f>VLOOKUP($A19,BD!$B$4:$BO$371,31)</f>
        <v>5637</v>
      </c>
      <c r="H19" s="142">
        <f>VLOOKUP($A19,BD!$B$4:$BO$371,36)</f>
        <v>3456</v>
      </c>
      <c r="I19" s="142">
        <f>VLOOKUP($A19,BD!$B$4:$BO$371,41)</f>
        <v>2512</v>
      </c>
      <c r="J19" s="142" t="str">
        <f>VLOOKUP($A19,BD!$B$4:$BO$371,46)</f>
        <v xml:space="preserve"> </v>
      </c>
      <c r="K19" s="143">
        <f>VLOOKUP($A19,BD!$B$4:$BO$371,51)</f>
        <v>0</v>
      </c>
      <c r="L19" s="142">
        <f>VLOOKUP($A19,BD!$B$4:$BO$371,56)</f>
        <v>0</v>
      </c>
      <c r="M19" s="142">
        <f>VLOOKUP($A19,BD!$B$4:$BO$371,61)</f>
        <v>1237</v>
      </c>
      <c r="N19" s="143">
        <f>VLOOKUP($A19,BD!$B$4:$BO$371,66)</f>
        <v>4313</v>
      </c>
      <c r="O19" s="150">
        <f>SUMIFS(BDsurtidor!K:K,BDsurtidor!E:E,BDmensual!A19,BDsurtidor!F:F,"EBAP HIJAYA",BDsurtidor!I:I,"CISTERNA")</f>
        <v>0</v>
      </c>
      <c r="P19" s="151">
        <f>SUMIFS(BDsurtidor!K:K,BDsurtidor!E:E,A19,BDsurtidor!F:F,"RE03",BDsurtidor!I:I,"CISTERNA")</f>
        <v>68</v>
      </c>
      <c r="Q19" s="152">
        <f>SUMIFS(BDsurtidor!K:K,BDsurtidor!E:E,BDmensual!A19,BDsurtidor!F:F,"RE07",BDsurtidor!I:I,"CISTERNA")</f>
        <v>0</v>
      </c>
      <c r="R19" s="137">
        <f t="shared" si="2"/>
        <v>68</v>
      </c>
    </row>
    <row r="20" spans="1:18" ht="15.75" customHeight="1" x14ac:dyDescent="0.25">
      <c r="A20" s="132">
        <f t="shared" si="3"/>
        <v>46128</v>
      </c>
      <c r="B20" s="135">
        <f>VLOOKUP($A20,BD!$B$4:$BO$371,6)</f>
        <v>0</v>
      </c>
      <c r="C20" s="135">
        <f>VLOOKUP($A20,BD!$B$4:$BO$371,11)</f>
        <v>0</v>
      </c>
      <c r="D20" s="135">
        <f>VLOOKUP($A20,BD!$B$4:$BO$371,16)</f>
        <v>0</v>
      </c>
      <c r="E20" s="135">
        <f>VLOOKUP($A20,BD!$B$4:$BO$371,21)</f>
        <v>0</v>
      </c>
      <c r="F20" s="135">
        <f>VLOOKUP($A20,BD!$B$4:$BO$371,26)</f>
        <v>40105.959999999963</v>
      </c>
      <c r="G20" s="135">
        <f>VLOOKUP($A20,BD!$B$4:$BO$371,31)</f>
        <v>5415</v>
      </c>
      <c r="H20" s="135">
        <f>VLOOKUP($A20,BD!$B$4:$BO$371,36)</f>
        <v>3456</v>
      </c>
      <c r="I20" s="135">
        <f>VLOOKUP($A20,BD!$B$4:$BO$371,41)</f>
        <v>2425</v>
      </c>
      <c r="J20" s="135" t="str">
        <f>VLOOKUP($A20,BD!$B$4:$BO$371,46)</f>
        <v xml:space="preserve"> </v>
      </c>
      <c r="K20" s="134">
        <f>VLOOKUP($A20,BD!$B$4:$BO$371,51)</f>
        <v>0</v>
      </c>
      <c r="L20" s="135">
        <f>VLOOKUP($A20,BD!$B$4:$BO$371,56)</f>
        <v>0</v>
      </c>
      <c r="M20" s="135">
        <f>VLOOKUP($A20,BD!$B$4:$BO$371,61)</f>
        <v>1244</v>
      </c>
      <c r="N20" s="134">
        <f>VLOOKUP($A20,BD!$B$4:$BO$371,66)</f>
        <v>4396</v>
      </c>
      <c r="O20" s="153">
        <f>SUMIFS(BDsurtidor!K:K,BDsurtidor!E:E,BDmensual!A20,BDsurtidor!F:F,"EBAP HIJAYA",BDsurtidor!I:I,"CISTERNA")</f>
        <v>0</v>
      </c>
      <c r="P20" s="139">
        <f>SUMIFS(BDsurtidor!K:K,BDsurtidor!E:E,A20,BDsurtidor!F:F,"RE03",BDsurtidor!I:I,"CISTERNA")</f>
        <v>77</v>
      </c>
      <c r="Q20" s="154">
        <f>SUMIFS(BDsurtidor!K:K,BDsurtidor!E:E,BDmensual!A20,BDsurtidor!F:F,"RE07",BDsurtidor!I:I,"CISTERNA")</f>
        <v>0</v>
      </c>
      <c r="R20" s="137">
        <f t="shared" si="2"/>
        <v>77</v>
      </c>
    </row>
    <row r="21" spans="1:18" ht="15.75" customHeight="1" x14ac:dyDescent="0.25">
      <c r="A21" s="132">
        <f t="shared" si="3"/>
        <v>46129</v>
      </c>
      <c r="B21" s="142">
        <f>VLOOKUP($A21,BD!$B$4:$BO$371,6)</f>
        <v>0</v>
      </c>
      <c r="C21" s="142">
        <f>VLOOKUP($A21,BD!$B$4:$BO$371,11)</f>
        <v>0</v>
      </c>
      <c r="D21" s="142">
        <f>VLOOKUP($A21,BD!$B$4:$BO$371,16)</f>
        <v>0</v>
      </c>
      <c r="E21" s="142">
        <f>VLOOKUP($A21,BD!$B$4:$BO$371,21)</f>
        <v>53</v>
      </c>
      <c r="F21" s="142">
        <f>VLOOKUP($A21,BD!$B$4:$BO$371,26)</f>
        <v>41304.860152560286</v>
      </c>
      <c r="G21" s="142">
        <f>VLOOKUP($A21,BD!$B$4:$BO$371,31)</f>
        <v>5712</v>
      </c>
      <c r="H21" s="142">
        <f>VLOOKUP($A21,BD!$B$4:$BO$371,36)</f>
        <v>3456</v>
      </c>
      <c r="I21" s="142">
        <f>VLOOKUP($A21,BD!$B$4:$BO$371,41)</f>
        <v>2546</v>
      </c>
      <c r="J21" s="142" t="str">
        <f>VLOOKUP($A21,BD!$B$4:$BO$371,46)</f>
        <v xml:space="preserve"> </v>
      </c>
      <c r="K21" s="143">
        <f>VLOOKUP($A21,BD!$B$4:$BO$371,51)</f>
        <v>0</v>
      </c>
      <c r="L21" s="142">
        <f>VLOOKUP($A21,BD!$B$4:$BO$371,56)</f>
        <v>0</v>
      </c>
      <c r="M21" s="142">
        <f>VLOOKUP($A21,BD!$B$4:$BO$371,61)</f>
        <v>1239</v>
      </c>
      <c r="N21" s="143">
        <f>VLOOKUP($A21,BD!$B$4:$BO$371,66)</f>
        <v>4714</v>
      </c>
      <c r="O21" s="150">
        <f>SUMIFS(BDsurtidor!K:K,BDsurtidor!E:E,BDmensual!A21,BDsurtidor!F:F,"EBAP HIJAYA",BDsurtidor!I:I,"CISTERNA")</f>
        <v>34</v>
      </c>
      <c r="P21" s="151">
        <f>SUMIFS(BDsurtidor!K:K,BDsurtidor!E:E,A21,BDsurtidor!F:F,"RE03",BDsurtidor!I:I,"CISTERNA")</f>
        <v>34</v>
      </c>
      <c r="Q21" s="152">
        <f>SUMIFS(BDsurtidor!K:K,BDsurtidor!E:E,BDmensual!A21,BDsurtidor!F:F,"RE07",BDsurtidor!I:I,"CISTERNA")</f>
        <v>0</v>
      </c>
      <c r="R21" s="137">
        <f t="shared" si="2"/>
        <v>68</v>
      </c>
    </row>
    <row r="22" spans="1:18" ht="15.75" customHeight="1" x14ac:dyDescent="0.25">
      <c r="A22" s="132">
        <f t="shared" si="3"/>
        <v>46130</v>
      </c>
      <c r="B22" s="135">
        <f>VLOOKUP($A22,BD!$B$4:$BO$371,6)</f>
        <v>117</v>
      </c>
      <c r="C22" s="135">
        <f>VLOOKUP($A22,BD!$B$4:$BO$371,11)</f>
        <v>0</v>
      </c>
      <c r="D22" s="135">
        <f>VLOOKUP($A22,BD!$B$4:$BO$371,16)</f>
        <v>0</v>
      </c>
      <c r="E22" s="135">
        <f>VLOOKUP($A22,BD!$B$4:$BO$371,21)</f>
        <v>0</v>
      </c>
      <c r="F22" s="135">
        <f>VLOOKUP($A22,BD!$B$4:$BO$371,26)</f>
        <v>40924.275455319323</v>
      </c>
      <c r="G22" s="135">
        <f>VLOOKUP($A22,BD!$B$4:$BO$371,31)</f>
        <v>5456</v>
      </c>
      <c r="H22" s="135">
        <f>VLOOKUP($A22,BD!$B$4:$BO$371,36)</f>
        <v>3456</v>
      </c>
      <c r="I22" s="135">
        <f>VLOOKUP($A22,BD!$B$4:$BO$371,41)</f>
        <v>2555</v>
      </c>
      <c r="J22" s="135" t="str">
        <f>VLOOKUP($A22,BD!$B$4:$BO$371,46)</f>
        <v xml:space="preserve"> </v>
      </c>
      <c r="K22" s="134">
        <f>VLOOKUP($A22,BD!$B$4:$BO$371,51)</f>
        <v>0</v>
      </c>
      <c r="L22" s="135">
        <f>VLOOKUP($A22,BD!$B$4:$BO$371,56)</f>
        <v>0</v>
      </c>
      <c r="M22" s="135">
        <f>VLOOKUP($A22,BD!$B$4:$BO$371,61)</f>
        <v>1338</v>
      </c>
      <c r="N22" s="134">
        <f>VLOOKUP($A22,BD!$B$4:$BO$371,66)</f>
        <v>4559</v>
      </c>
      <c r="O22" s="153">
        <f>SUMIFS(BDsurtidor!K:K,BDsurtidor!E:E,BDmensual!A22,BDsurtidor!F:F,"EBAP HIJAYA",BDsurtidor!I:I,"CISTERNA")</f>
        <v>34</v>
      </c>
      <c r="P22" s="139">
        <f>SUMIFS(BDsurtidor!K:K,BDsurtidor!E:E,A22,BDsurtidor!F:F,"RE03",BDsurtidor!I:I,"CISTERNA")</f>
        <v>51</v>
      </c>
      <c r="Q22" s="154">
        <f>SUMIFS(BDsurtidor!K:K,BDsurtidor!E:E,BDmensual!A22,BDsurtidor!F:F,"RE07",BDsurtidor!I:I,"CISTERNA")</f>
        <v>0</v>
      </c>
      <c r="R22" s="137">
        <f t="shared" si="2"/>
        <v>85</v>
      </c>
    </row>
    <row r="23" spans="1:18" ht="15.75" customHeight="1" x14ac:dyDescent="0.25">
      <c r="A23" s="132">
        <f t="shared" si="3"/>
        <v>46131</v>
      </c>
      <c r="B23" s="142">
        <f>VLOOKUP($A23,BD!$B$4:$BO$371,6)</f>
        <v>0</v>
      </c>
      <c r="C23" s="142">
        <f>VLOOKUP($A23,BD!$B$4:$BO$371,11)</f>
        <v>0</v>
      </c>
      <c r="D23" s="142">
        <f>VLOOKUP($A23,BD!$B$4:$BO$371,16)</f>
        <v>0</v>
      </c>
      <c r="E23" s="142">
        <f>VLOOKUP($A23,BD!$B$4:$BO$371,21)</f>
        <v>0</v>
      </c>
      <c r="F23" s="142">
        <f>VLOOKUP($A23,BD!$B$4:$BO$371,26)</f>
        <v>40392.421484200284</v>
      </c>
      <c r="G23" s="142">
        <f>VLOOKUP($A23,BD!$B$4:$BO$371,31)</f>
        <v>5624</v>
      </c>
      <c r="H23" s="142">
        <f>VLOOKUP($A23,BD!$B$4:$BO$371,36)</f>
        <v>3456</v>
      </c>
      <c r="I23" s="142">
        <f>VLOOKUP($A23,BD!$B$4:$BO$371,41)</f>
        <v>2547</v>
      </c>
      <c r="J23" s="142" t="str">
        <f>VLOOKUP($A23,BD!$B$4:$BO$371,46)</f>
        <v xml:space="preserve"> </v>
      </c>
      <c r="K23" s="143">
        <f>VLOOKUP($A23,BD!$B$4:$BO$371,51)</f>
        <v>0</v>
      </c>
      <c r="L23" s="142">
        <f>VLOOKUP($A23,BD!$B$4:$BO$371,56)</f>
        <v>0</v>
      </c>
      <c r="M23" s="142">
        <f>VLOOKUP($A23,BD!$B$4:$BO$371,61)</f>
        <v>1300</v>
      </c>
      <c r="N23" s="143">
        <f>VLOOKUP($A23,BD!$B$4:$BO$371,66)</f>
        <v>4301</v>
      </c>
      <c r="O23" s="150">
        <f>SUMIFS(BDsurtidor!K:K,BDsurtidor!E:E,BDmensual!A23,BDsurtidor!F:F,"EBAP HIJAYA",BDsurtidor!I:I,"CISTERNA")</f>
        <v>0</v>
      </c>
      <c r="P23" s="151">
        <f>SUMIFS(BDsurtidor!K:K,BDsurtidor!E:E,A23,BDsurtidor!F:F,"RE03",BDsurtidor!I:I,"CISTERNA")</f>
        <v>34</v>
      </c>
      <c r="Q23" s="152">
        <f>SUMIFS(BDsurtidor!K:K,BDsurtidor!E:E,BDmensual!A23,BDsurtidor!F:F,"RE07",BDsurtidor!I:I,"CISTERNA")</f>
        <v>0</v>
      </c>
      <c r="R23" s="137">
        <f t="shared" si="2"/>
        <v>34</v>
      </c>
    </row>
    <row r="24" spans="1:18" ht="15.75" customHeight="1" x14ac:dyDescent="0.25">
      <c r="A24" s="132">
        <f t="shared" si="3"/>
        <v>46132</v>
      </c>
      <c r="B24" s="135">
        <f>VLOOKUP($A24,BD!$B$4:$BO$371,6)</f>
        <v>0</v>
      </c>
      <c r="C24" s="135">
        <f>VLOOKUP($A24,BD!$B$4:$BO$371,11)</f>
        <v>0</v>
      </c>
      <c r="D24" s="135">
        <f>VLOOKUP($A24,BD!$B$4:$BO$371,16)</f>
        <v>0</v>
      </c>
      <c r="E24" s="135">
        <f>VLOOKUP($A24,BD!$B$4:$BO$371,21)</f>
        <v>0</v>
      </c>
      <c r="F24" s="135">
        <f>VLOOKUP($A24,BD!$B$4:$BO$371,26)</f>
        <v>41714.482907920144</v>
      </c>
      <c r="G24" s="135">
        <f>VLOOKUP($A24,BD!$B$4:$BO$371,31)</f>
        <v>5599</v>
      </c>
      <c r="H24" s="135">
        <f>VLOOKUP($A24,BD!$B$4:$BO$371,36)</f>
        <v>3456</v>
      </c>
      <c r="I24" s="135">
        <f>VLOOKUP($A24,BD!$B$4:$BO$371,41)</f>
        <v>2594</v>
      </c>
      <c r="J24" s="135" t="str">
        <f>VLOOKUP($A24,BD!$B$4:$BO$371,46)</f>
        <v xml:space="preserve"> </v>
      </c>
      <c r="K24" s="134">
        <f>VLOOKUP($A24,BD!$B$4:$BO$371,51)</f>
        <v>396</v>
      </c>
      <c r="L24" s="135">
        <f>VLOOKUP($A24,BD!$B$4:$BO$371,56)</f>
        <v>0</v>
      </c>
      <c r="M24" s="135">
        <f>VLOOKUP($A24,BD!$B$4:$BO$371,61)</f>
        <v>1265</v>
      </c>
      <c r="N24" s="134">
        <f>VLOOKUP($A24,BD!$B$4:$BO$371,66)</f>
        <v>4252</v>
      </c>
      <c r="O24" s="153">
        <f>SUMIFS(BDsurtidor!K:K,BDsurtidor!E:E,BDmensual!A24,BDsurtidor!F:F,"EBAP HIJAYA",BDsurtidor!I:I,"CISTERNA")</f>
        <v>17</v>
      </c>
      <c r="P24" s="139">
        <f>SUMIFS(BDsurtidor!K:K,BDsurtidor!E:E,A24,BDsurtidor!F:F,"RE03",BDsurtidor!I:I,"CISTERNA")</f>
        <v>94</v>
      </c>
      <c r="Q24" s="154">
        <f>SUMIFS(BDsurtidor!K:K,BDsurtidor!E:E,BDmensual!A24,BDsurtidor!F:F,"RE07",BDsurtidor!I:I,"CISTERNA")</f>
        <v>0</v>
      </c>
      <c r="R24" s="137">
        <f t="shared" si="2"/>
        <v>111</v>
      </c>
    </row>
    <row r="25" spans="1:18" ht="15.75" customHeight="1" x14ac:dyDescent="0.25">
      <c r="A25" s="132">
        <f t="shared" si="3"/>
        <v>46133</v>
      </c>
      <c r="B25" s="142">
        <f>VLOOKUP($A25,BD!$B$4:$BO$371,6)</f>
        <v>337</v>
      </c>
      <c r="C25" s="142">
        <f>VLOOKUP($A25,BD!$B$4:$BO$371,11)</f>
        <v>0</v>
      </c>
      <c r="D25" s="142">
        <f>VLOOKUP($A25,BD!$B$4:$BO$371,16)</f>
        <v>0</v>
      </c>
      <c r="E25" s="142">
        <f>VLOOKUP($A25,BD!$B$4:$BO$371,21)</f>
        <v>1167</v>
      </c>
      <c r="F25" s="142">
        <f>VLOOKUP($A25,BD!$B$4:$BO$371,26)</f>
        <v>39349</v>
      </c>
      <c r="G25" s="142">
        <f>VLOOKUP($A25,BD!$B$4:$BO$371,31)</f>
        <v>4681</v>
      </c>
      <c r="H25" s="142">
        <f>VLOOKUP($A25,BD!$B$4:$BO$371,36)</f>
        <v>3456</v>
      </c>
      <c r="I25" s="142">
        <f>VLOOKUP($A25,BD!$B$4:$BO$371,41)</f>
        <v>2465</v>
      </c>
      <c r="J25" s="142" t="str">
        <f>VLOOKUP($A25,BD!$B$4:$BO$371,46)</f>
        <v xml:space="preserve"> </v>
      </c>
      <c r="K25" s="143">
        <f>VLOOKUP($A25,BD!$B$4:$BO$371,51)</f>
        <v>802</v>
      </c>
      <c r="L25" s="142">
        <f>VLOOKUP($A25,BD!$B$4:$BO$371,56)</f>
        <v>0</v>
      </c>
      <c r="M25" s="142">
        <f>VLOOKUP($A25,BD!$B$4:$BO$371,61)</f>
        <v>710</v>
      </c>
      <c r="N25" s="143">
        <f>VLOOKUP($A25,BD!$B$4:$BO$371,66)</f>
        <v>4632</v>
      </c>
      <c r="O25" s="150">
        <f>SUMIFS(BDsurtidor!K:K,BDsurtidor!E:E,BDmensual!A25,BDsurtidor!F:F,"EBAP HIJAYA",BDsurtidor!I:I,"CISTERNA")</f>
        <v>0</v>
      </c>
      <c r="P25" s="151">
        <f>SUMIFS(BDsurtidor!K:K,BDsurtidor!E:E,A25,BDsurtidor!F:F,"RE03",BDsurtidor!I:I,"CISTERNA")</f>
        <v>111</v>
      </c>
      <c r="Q25" s="152">
        <f>SUMIFS(BDsurtidor!K:K,BDsurtidor!E:E,BDmensual!A25,BDsurtidor!F:F,"RE07",BDsurtidor!I:I,"CISTERNA")</f>
        <v>0</v>
      </c>
      <c r="R25" s="137">
        <f t="shared" si="2"/>
        <v>111</v>
      </c>
    </row>
    <row r="26" spans="1:18" ht="15.75" customHeight="1" x14ac:dyDescent="0.25">
      <c r="A26" s="132">
        <f t="shared" si="3"/>
        <v>46134</v>
      </c>
      <c r="B26" s="135">
        <f>VLOOKUP($A26,BD!$B$4:$BO$371,6)</f>
        <v>2307</v>
      </c>
      <c r="C26" s="135">
        <f>VLOOKUP($A26,BD!$B$4:$BO$371,11)</f>
        <v>0</v>
      </c>
      <c r="D26" s="135">
        <f>VLOOKUP($A26,BD!$B$4:$BO$371,16)</f>
        <v>0</v>
      </c>
      <c r="E26" s="135">
        <f>VLOOKUP($A26,BD!$B$4:$BO$371,21)</f>
        <v>812</v>
      </c>
      <c r="F26" s="135">
        <f>VLOOKUP($A26,BD!$B$4:$BO$371,26)</f>
        <v>40870</v>
      </c>
      <c r="G26" s="135">
        <f>VLOOKUP($A26,BD!$B$4:$BO$371,31)</f>
        <v>5837</v>
      </c>
      <c r="H26" s="135">
        <f>VLOOKUP($A26,BD!$B$4:$BO$371,36)</f>
        <v>3456</v>
      </c>
      <c r="I26" s="135">
        <f>VLOOKUP($A26,BD!$B$4:$BO$371,41)</f>
        <v>2605</v>
      </c>
      <c r="J26" s="135" t="str">
        <f>VLOOKUP($A26,BD!$B$4:$BO$371,46)</f>
        <v xml:space="preserve"> </v>
      </c>
      <c r="K26" s="134">
        <f>VLOOKUP($A26,BD!$B$4:$BO$371,51)</f>
        <v>747</v>
      </c>
      <c r="L26" s="135">
        <f>VLOOKUP($A26,BD!$B$4:$BO$371,56)</f>
        <v>2522</v>
      </c>
      <c r="M26" s="135">
        <f>VLOOKUP($A26,BD!$B$4:$BO$371,61)</f>
        <v>1279</v>
      </c>
      <c r="N26" s="134">
        <f>VLOOKUP($A26,BD!$B$4:$BO$371,66)</f>
        <v>4517</v>
      </c>
      <c r="O26" s="153">
        <f>SUMIFS(BDsurtidor!K:K,BDsurtidor!E:E,BDmensual!A26,BDsurtidor!F:F,"EBAP HIJAYA",BDsurtidor!I:I,"CISTERNA")</f>
        <v>17</v>
      </c>
      <c r="P26" s="139">
        <f>SUMIFS(BDsurtidor!K:K,BDsurtidor!E:E,A26,BDsurtidor!F:F,"RE03",BDsurtidor!I:I,"CISTERNA")</f>
        <v>94</v>
      </c>
      <c r="Q26" s="154">
        <f>SUMIFS(BDsurtidor!K:K,BDsurtidor!E:E,BDmensual!A26,BDsurtidor!F:F,"RE07",BDsurtidor!I:I,"CISTERNA")</f>
        <v>0</v>
      </c>
      <c r="R26" s="137">
        <f t="shared" si="2"/>
        <v>111</v>
      </c>
    </row>
    <row r="27" spans="1:18" ht="15.75" customHeight="1" x14ac:dyDescent="0.25">
      <c r="A27" s="132">
        <f t="shared" si="3"/>
        <v>46135</v>
      </c>
      <c r="B27" s="142">
        <f>VLOOKUP($A27,BD!$B$4:$BO$371,6)</f>
        <v>2444</v>
      </c>
      <c r="C27" s="142">
        <f>VLOOKUP($A27,BD!$B$4:$BO$371,11)</f>
        <v>0</v>
      </c>
      <c r="D27" s="142">
        <f>VLOOKUP($A27,BD!$B$4:$BO$371,16)</f>
        <v>0</v>
      </c>
      <c r="E27" s="142">
        <f>VLOOKUP($A27,BD!$B$4:$BO$371,21)</f>
        <v>386</v>
      </c>
      <c r="F27" s="142">
        <f>VLOOKUP($A27,BD!$B$4:$BO$371,26)</f>
        <v>40778.94299999997</v>
      </c>
      <c r="G27" s="142">
        <f>VLOOKUP($A27,BD!$B$4:$BO$371,31)</f>
        <v>6605</v>
      </c>
      <c r="H27" s="142">
        <f>VLOOKUP($A27,BD!$B$4:$BO$371,36)</f>
        <v>3456</v>
      </c>
      <c r="I27" s="142">
        <f>VLOOKUP($A27,BD!$B$4:$BO$371,41)</f>
        <v>2503</v>
      </c>
      <c r="J27" s="142" t="str">
        <f>VLOOKUP($A27,BD!$B$4:$BO$371,46)</f>
        <v xml:space="preserve"> </v>
      </c>
      <c r="K27" s="143">
        <f>VLOOKUP($A27,BD!$B$4:$BO$371,51)</f>
        <v>736</v>
      </c>
      <c r="L27" s="142">
        <f>VLOOKUP($A27,BD!$B$4:$BO$371,56)</f>
        <v>2497</v>
      </c>
      <c r="M27" s="142">
        <f>VLOOKUP($A27,BD!$B$4:$BO$371,61)</f>
        <v>1255</v>
      </c>
      <c r="N27" s="143">
        <f>VLOOKUP($A27,BD!$B$4:$BO$371,66)</f>
        <v>4650</v>
      </c>
      <c r="O27" s="150">
        <f>SUMIFS(BDsurtidor!K:K,BDsurtidor!E:E,BDmensual!A27,BDsurtidor!F:F,"EBAP HIJAYA",BDsurtidor!I:I,"CISTERNA")</f>
        <v>0</v>
      </c>
      <c r="P27" s="151">
        <f>SUMIFS(BDsurtidor!K:K,BDsurtidor!E:E,A27,BDsurtidor!F:F,"RE03",BDsurtidor!I:I,"CISTERNA")</f>
        <v>103</v>
      </c>
      <c r="Q27" s="152">
        <f>SUMIFS(BDsurtidor!K:K,BDsurtidor!E:E,BDmensual!A27,BDsurtidor!F:F,"RE07",BDsurtidor!I:I,"CISTERNA")</f>
        <v>0</v>
      </c>
      <c r="R27" s="137">
        <f t="shared" si="2"/>
        <v>103</v>
      </c>
    </row>
    <row r="28" spans="1:18" ht="15.75" customHeight="1" x14ac:dyDescent="0.25">
      <c r="A28" s="132">
        <f t="shared" si="3"/>
        <v>46136</v>
      </c>
      <c r="B28" s="135">
        <f>VLOOKUP($A28,BD!$B$4:$BO$371,6)</f>
        <v>2427</v>
      </c>
      <c r="C28" s="135">
        <f>VLOOKUP($A28,BD!$B$4:$BO$371,11)</f>
        <v>0</v>
      </c>
      <c r="D28" s="135">
        <f>VLOOKUP($A28,BD!$B$4:$BO$371,16)</f>
        <v>0</v>
      </c>
      <c r="E28" s="135">
        <f>VLOOKUP($A28,BD!$B$4:$BO$371,21)</f>
        <v>0</v>
      </c>
      <c r="F28" s="135">
        <f>VLOOKUP($A28,BD!$B$4:$BO$371,26)</f>
        <v>41045.05700000003</v>
      </c>
      <c r="G28" s="135">
        <f>VLOOKUP($A28,BD!$B$4:$BO$371,31)</f>
        <v>6897</v>
      </c>
      <c r="H28" s="135">
        <f>VLOOKUP($A28,BD!$B$4:$BO$371,36)</f>
        <v>3456</v>
      </c>
      <c r="I28" s="135">
        <f>VLOOKUP($A28,BD!$B$4:$BO$371,41)</f>
        <v>2571</v>
      </c>
      <c r="J28" s="135" t="str">
        <f>VLOOKUP($A28,BD!$B$4:$BO$371,46)</f>
        <v xml:space="preserve"> </v>
      </c>
      <c r="K28" s="134">
        <f>VLOOKUP($A28,BD!$B$4:$BO$371,51)</f>
        <v>729</v>
      </c>
      <c r="L28" s="135">
        <f>VLOOKUP($A28,BD!$B$4:$BO$371,56)</f>
        <v>2290</v>
      </c>
      <c r="M28" s="135">
        <f>VLOOKUP($A28,BD!$B$4:$BO$371,61)</f>
        <v>1313</v>
      </c>
      <c r="N28" s="134">
        <f>VLOOKUP($A28,BD!$B$4:$BO$371,66)</f>
        <v>4858</v>
      </c>
      <c r="O28" s="153">
        <f>SUMIFS(BDsurtidor!K:K,BDsurtidor!E:E,BDmensual!A28,BDsurtidor!F:F,"EBAP HIJAYA",BDsurtidor!I:I,"CISTERNA")</f>
        <v>0</v>
      </c>
      <c r="P28" s="139">
        <f>SUMIFS(BDsurtidor!K:K,BDsurtidor!E:E,A28,BDsurtidor!F:F,"RE03",BDsurtidor!I:I,"CISTERNA")</f>
        <v>77</v>
      </c>
      <c r="Q28" s="154">
        <f>SUMIFS(BDsurtidor!K:K,BDsurtidor!E:E,BDmensual!A28,BDsurtidor!F:F,"RE07",BDsurtidor!I:I,"CISTERNA")</f>
        <v>0</v>
      </c>
      <c r="R28" s="137">
        <f t="shared" si="2"/>
        <v>77</v>
      </c>
    </row>
    <row r="29" spans="1:18" ht="15.75" customHeight="1" x14ac:dyDescent="0.25">
      <c r="A29" s="132">
        <f t="shared" si="3"/>
        <v>46137</v>
      </c>
      <c r="B29" s="142">
        <f>VLOOKUP($A29,BD!$B$4:$BO$371,6)</f>
        <v>1991</v>
      </c>
      <c r="C29" s="142">
        <f>VLOOKUP($A29,BD!$B$4:$BO$371,11)</f>
        <v>0</v>
      </c>
      <c r="D29" s="142">
        <f>VLOOKUP($A29,BD!$B$4:$BO$371,16)</f>
        <v>0</v>
      </c>
      <c r="E29" s="142">
        <f>VLOOKUP($A29,BD!$B$4:$BO$371,21)</f>
        <v>0</v>
      </c>
      <c r="F29" s="142">
        <f>VLOOKUP($A29,BD!$B$4:$BO$371,26)</f>
        <v>41071.599999999627</v>
      </c>
      <c r="G29" s="142">
        <f>VLOOKUP($A29,BD!$B$4:$BO$371,31)</f>
        <v>5616</v>
      </c>
      <c r="H29" s="142">
        <f>VLOOKUP($A29,BD!$B$4:$BO$371,36)</f>
        <v>3456</v>
      </c>
      <c r="I29" s="142">
        <f>VLOOKUP($A29,BD!$B$4:$BO$371,41)</f>
        <v>2536</v>
      </c>
      <c r="J29" s="142" t="str">
        <f>VLOOKUP($A29,BD!$B$4:$BO$371,46)</f>
        <v xml:space="preserve"> </v>
      </c>
      <c r="K29" s="143">
        <f>VLOOKUP($A29,BD!$B$4:$BO$371,51)</f>
        <v>627</v>
      </c>
      <c r="L29" s="142">
        <f>VLOOKUP($A29,BD!$B$4:$BO$371,56)</f>
        <v>2231</v>
      </c>
      <c r="M29" s="142">
        <f>VLOOKUP($A29,BD!$B$4:$BO$371,61)</f>
        <v>1305</v>
      </c>
      <c r="N29" s="143">
        <f>VLOOKUP($A29,BD!$B$4:$BO$371,66)</f>
        <v>4838</v>
      </c>
      <c r="O29" s="150">
        <f>SUMIFS(BDsurtidor!K:K,BDsurtidor!E:E,BDmensual!A29,BDsurtidor!F:F,"EBAP HIJAYA",BDsurtidor!I:I,"CISTERNA")</f>
        <v>0</v>
      </c>
      <c r="P29" s="151">
        <f>SUMIFS(BDsurtidor!K:K,BDsurtidor!E:E,A29,BDsurtidor!F:F,"RE03",BDsurtidor!I:I,"CISTERNA")</f>
        <v>43</v>
      </c>
      <c r="Q29" s="152">
        <f>SUMIFS(BDsurtidor!K:K,BDsurtidor!E:E,BDmensual!A29,BDsurtidor!F:F,"RE07",BDsurtidor!I:I,"CISTERNA")</f>
        <v>0</v>
      </c>
      <c r="R29" s="137">
        <f t="shared" si="2"/>
        <v>43</v>
      </c>
    </row>
    <row r="30" spans="1:18" ht="15.75" customHeight="1" x14ac:dyDescent="0.25">
      <c r="A30" s="132">
        <f t="shared" si="3"/>
        <v>46138</v>
      </c>
      <c r="B30" s="135">
        <f>VLOOKUP($A30,BD!$B$4:$BO$371,6)</f>
        <v>2405</v>
      </c>
      <c r="C30" s="135">
        <f>VLOOKUP($A30,BD!$B$4:$BO$371,11)</f>
        <v>0</v>
      </c>
      <c r="D30" s="135">
        <f>VLOOKUP($A30,BD!$B$4:$BO$371,16)</f>
        <v>0</v>
      </c>
      <c r="E30" s="135">
        <f>VLOOKUP($A30,BD!$B$4:$BO$371,21)</f>
        <v>0</v>
      </c>
      <c r="F30" s="135">
        <f>VLOOKUP($A30,BD!$B$4:$BO$371,26)</f>
        <v>39189.400000000373</v>
      </c>
      <c r="G30" s="135">
        <f>VLOOKUP($A30,BD!$B$4:$BO$371,31)</f>
        <v>6478</v>
      </c>
      <c r="H30" s="135">
        <f>VLOOKUP($A30,BD!$B$4:$BO$371,36)</f>
        <v>3456</v>
      </c>
      <c r="I30" s="135">
        <f>VLOOKUP($A30,BD!$B$4:$BO$371,41)</f>
        <v>2513</v>
      </c>
      <c r="J30" s="135" t="str">
        <f>VLOOKUP($A30,BD!$B$4:$BO$371,46)</f>
        <v xml:space="preserve"> </v>
      </c>
      <c r="K30" s="134">
        <f>VLOOKUP($A30,BD!$B$4:$BO$371,51)</f>
        <v>676</v>
      </c>
      <c r="L30" s="135">
        <f>VLOOKUP($A30,BD!$B$4:$BO$371,56)</f>
        <v>2344</v>
      </c>
      <c r="M30" s="135">
        <f>VLOOKUP($A30,BD!$B$4:$BO$371,61)</f>
        <v>1289</v>
      </c>
      <c r="N30" s="134">
        <f>VLOOKUP($A30,BD!$B$4:$BO$371,66)</f>
        <v>4265</v>
      </c>
      <c r="O30" s="153">
        <f>SUMIFS(BDsurtidor!K:K,BDsurtidor!E:E,BDmensual!A30,BDsurtidor!F:F,"EBAP HIJAYA",BDsurtidor!I:I,"CISTERNA")</f>
        <v>0</v>
      </c>
      <c r="P30" s="139">
        <f>SUMIFS(BDsurtidor!K:K,BDsurtidor!E:E,A30,BDsurtidor!F:F,"RE03",BDsurtidor!I:I,"CISTERNA")</f>
        <v>0</v>
      </c>
      <c r="Q30" s="154">
        <f>SUMIFS(BDsurtidor!K:K,BDsurtidor!E:E,BDmensual!A30,BDsurtidor!F:F,"RE07",BDsurtidor!I:I,"CISTERNA")</f>
        <v>0</v>
      </c>
      <c r="R30" s="137">
        <f t="shared" si="2"/>
        <v>0</v>
      </c>
    </row>
    <row r="31" spans="1:18" ht="15.75" customHeight="1" x14ac:dyDescent="0.25">
      <c r="A31" s="132">
        <f t="shared" si="3"/>
        <v>46139</v>
      </c>
      <c r="B31" s="142" t="str">
        <f>VLOOKUP($A31,BD!$B$4:$BO$371,6)</f>
        <v xml:space="preserve"> </v>
      </c>
      <c r="C31" s="142" t="str">
        <f>VLOOKUP($A31,BD!$B$4:$BO$371,11)</f>
        <v xml:space="preserve"> </v>
      </c>
      <c r="D31" s="142" t="str">
        <f>VLOOKUP($A31,BD!$B$4:$BO$371,16)</f>
        <v xml:space="preserve"> </v>
      </c>
      <c r="E31" s="142" t="str">
        <f>VLOOKUP($A31,BD!$B$4:$BO$371,21)</f>
        <v xml:space="preserve"> </v>
      </c>
      <c r="F31" s="142" t="str">
        <f>VLOOKUP($A31,BD!$B$4:$BO$371,26)</f>
        <v xml:space="preserve"> </v>
      </c>
      <c r="G31" s="142" t="str">
        <f>VLOOKUP($A31,BD!$B$4:$BO$371,31)</f>
        <v xml:space="preserve"> </v>
      </c>
      <c r="H31" s="142" t="str">
        <f>VLOOKUP($A31,BD!$B$4:$BO$371,36)</f>
        <v/>
      </c>
      <c r="I31" s="142" t="str">
        <f>VLOOKUP($A31,BD!$B$4:$BO$371,41)</f>
        <v xml:space="preserve"> </v>
      </c>
      <c r="J31" s="142" t="str">
        <f>VLOOKUP($A31,BD!$B$4:$BO$371,46)</f>
        <v xml:space="preserve"> </v>
      </c>
      <c r="K31" s="143" t="str">
        <f>VLOOKUP($A31,BD!$B$4:$BO$371,51)</f>
        <v xml:space="preserve"> </v>
      </c>
      <c r="L31" s="142" t="str">
        <f>VLOOKUP($A31,BD!$B$4:$BO$371,56)</f>
        <v xml:space="preserve"> </v>
      </c>
      <c r="M31" s="142" t="str">
        <f>VLOOKUP($A31,BD!$B$4:$BO$371,61)</f>
        <v xml:space="preserve"> </v>
      </c>
      <c r="N31" s="143" t="str">
        <f>VLOOKUP($A31,BD!$B$4:$BO$371,66)</f>
        <v xml:space="preserve"> </v>
      </c>
      <c r="O31" s="150">
        <f>SUMIFS(BDsurtidor!K:K,BDsurtidor!E:E,BDmensual!A31,BDsurtidor!F:F,"EBAP HIJAYA",BDsurtidor!I:I,"CISTERNA")</f>
        <v>0</v>
      </c>
      <c r="P31" s="151">
        <f>SUMIFS(BDsurtidor!K:K,BDsurtidor!E:E,A31,BDsurtidor!F:F,"RE03",BDsurtidor!I:I,"CISTERNA")</f>
        <v>0</v>
      </c>
      <c r="Q31" s="152">
        <f>SUMIFS(BDsurtidor!K:K,BDsurtidor!E:E,BDmensual!A31,BDsurtidor!F:F,"RE07",BDsurtidor!I:I,"CISTERNA")</f>
        <v>0</v>
      </c>
      <c r="R31" s="137">
        <f t="shared" si="2"/>
        <v>0</v>
      </c>
    </row>
    <row r="32" spans="1:18" s="129" customFormat="1" ht="15.75" customHeight="1" x14ac:dyDescent="0.25">
      <c r="A32" s="133">
        <f t="shared" si="3"/>
        <v>46140</v>
      </c>
      <c r="B32" s="144" t="str">
        <f>VLOOKUP($A32,BD!$B$4:$BO$371,6)</f>
        <v xml:space="preserve"> </v>
      </c>
      <c r="C32" s="144" t="str">
        <f>VLOOKUP($A32,BD!$B$4:$BO$371,11)</f>
        <v xml:space="preserve"> </v>
      </c>
      <c r="D32" s="144" t="str">
        <f>VLOOKUP($A32,BD!$B$4:$BO$371,16)</f>
        <v xml:space="preserve"> </v>
      </c>
      <c r="E32" s="144" t="str">
        <f>VLOOKUP($A32,BD!$B$4:$BO$371,21)</f>
        <v xml:space="preserve"> </v>
      </c>
      <c r="F32" s="144" t="str">
        <f>VLOOKUP($A32,BD!$B$4:$BO$371,26)</f>
        <v xml:space="preserve"> </v>
      </c>
      <c r="G32" s="144" t="str">
        <f>VLOOKUP($A32,BD!$B$4:$BO$371,31)</f>
        <v xml:space="preserve"> </v>
      </c>
      <c r="H32" s="144" t="str">
        <f>VLOOKUP($A32,BD!$B$4:$BO$371,36)</f>
        <v/>
      </c>
      <c r="I32" s="144" t="str">
        <f>VLOOKUP($A32,BD!$B$4:$BO$371,41)</f>
        <v xml:space="preserve"> </v>
      </c>
      <c r="J32" s="144" t="str">
        <f>VLOOKUP($A32,BD!$B$4:$BO$371,46)</f>
        <v xml:space="preserve"> </v>
      </c>
      <c r="K32" s="145" t="str">
        <f>VLOOKUP($A32,BD!$B$4:$BO$371,51)</f>
        <v xml:space="preserve"> </v>
      </c>
      <c r="L32" s="144" t="str">
        <f>VLOOKUP($A32,BD!$B$4:$BO$371,56)</f>
        <v xml:space="preserve"> </v>
      </c>
      <c r="M32" s="144" t="str">
        <f>VLOOKUP($A32,BD!$B$4:$BO$371,61)</f>
        <v xml:space="preserve"> </v>
      </c>
      <c r="N32" s="145" t="str">
        <f>VLOOKUP($A32,BD!$B$4:$BO$371,66)</f>
        <v xml:space="preserve"> </v>
      </c>
      <c r="O32" s="153">
        <f>SUMIFS(BDsurtidor!K:K,BDsurtidor!E:E,BDmensual!A32,BDsurtidor!F:F,"EBAP HIJAYA",BDsurtidor!I:I,"CISTERNA")</f>
        <v>0</v>
      </c>
      <c r="P32" s="139">
        <f>SUMIFS(BDsurtidor!K:K,BDsurtidor!E:E,A32,BDsurtidor!F:F,"RE03",BDsurtidor!I:I,"CISTERNA")</f>
        <v>0</v>
      </c>
      <c r="Q32" s="154">
        <f>SUMIFS(BDsurtidor!K:K,BDsurtidor!E:E,BDmensual!A32,BDsurtidor!F:F,"RE07",BDsurtidor!I:I,"CISTERNA")</f>
        <v>0</v>
      </c>
      <c r="R32" s="138">
        <f t="shared" si="2"/>
        <v>0</v>
      </c>
    </row>
    <row r="33" spans="1:18" ht="15.75" customHeight="1" x14ac:dyDescent="0.25">
      <c r="A33" s="132">
        <f t="shared" si="3"/>
        <v>46141</v>
      </c>
      <c r="B33" s="142" t="str">
        <f>VLOOKUP($A33,BD!$B$4:$BO$371,6)</f>
        <v xml:space="preserve"> </v>
      </c>
      <c r="C33" s="142" t="str">
        <f>VLOOKUP($A33,BD!$B$4:$BO$371,11)</f>
        <v xml:space="preserve"> </v>
      </c>
      <c r="D33" s="142" t="str">
        <f>VLOOKUP($A33,BD!$B$4:$BO$371,16)</f>
        <v xml:space="preserve"> </v>
      </c>
      <c r="E33" s="142" t="str">
        <f>VLOOKUP($A33,BD!$B$4:$BO$371,21)</f>
        <v xml:space="preserve"> </v>
      </c>
      <c r="F33" s="142" t="str">
        <f>VLOOKUP($A33,BD!$B$4:$BO$371,26)</f>
        <v xml:space="preserve"> </v>
      </c>
      <c r="G33" s="142" t="str">
        <f>VLOOKUP($A33,BD!$B$4:$BO$371,31)</f>
        <v xml:space="preserve"> </v>
      </c>
      <c r="H33" s="142" t="str">
        <f>VLOOKUP($A33,BD!$B$4:$BO$371,36)</f>
        <v/>
      </c>
      <c r="I33" s="142" t="str">
        <f>VLOOKUP($A33,BD!$B$4:$BO$371,41)</f>
        <v xml:space="preserve"> </v>
      </c>
      <c r="J33" s="142" t="str">
        <f>VLOOKUP($A33,BD!$B$4:$BO$371,46)</f>
        <v xml:space="preserve"> </v>
      </c>
      <c r="K33" s="143" t="str">
        <f>VLOOKUP($A33,BD!$B$4:$BO$371,51)</f>
        <v xml:space="preserve"> </v>
      </c>
      <c r="L33" s="142" t="str">
        <f>VLOOKUP($A33,BD!$B$4:$BO$371,56)</f>
        <v xml:space="preserve"> </v>
      </c>
      <c r="M33" s="142" t="str">
        <f>VLOOKUP($A33,BD!$B$4:$BO$371,61)</f>
        <v xml:space="preserve"> </v>
      </c>
      <c r="N33" s="143" t="str">
        <f>VLOOKUP($A33,BD!$B$4:$BO$371,66)</f>
        <v xml:space="preserve"> </v>
      </c>
      <c r="O33" s="150">
        <f>SUMIFS(BDsurtidor!K:K,BDsurtidor!E:E,BDmensual!A33,BDsurtidor!F:F,"EBAP HIJAYA",BDsurtidor!I:I,"CISTERNA")</f>
        <v>0</v>
      </c>
      <c r="P33" s="151">
        <f>SUMIFS(BDsurtidor!K:K,BDsurtidor!E:E,A33,BDsurtidor!F:F,"RE03",BDsurtidor!I:I,"CISTERNA")</f>
        <v>0</v>
      </c>
      <c r="Q33" s="152">
        <f>SUMIFS(BDsurtidor!K:K,BDsurtidor!E:E,BDmensual!A33,BDsurtidor!F:F,"RE07",BDsurtidor!I:I,"CISTERNA")</f>
        <v>0</v>
      </c>
      <c r="R33" s="137">
        <f t="shared" si="2"/>
        <v>0</v>
      </c>
    </row>
    <row r="34" spans="1:18" ht="15.75" customHeight="1" x14ac:dyDescent="0.25">
      <c r="A34" s="132">
        <f t="shared" si="3"/>
        <v>46142</v>
      </c>
      <c r="B34" s="135" t="str">
        <f>VLOOKUP($A34,BD!$B$4:$BO$371,6)</f>
        <v xml:space="preserve"> </v>
      </c>
      <c r="C34" s="135" t="str">
        <f>VLOOKUP($A34,BD!$B$4:$BO$371,11)</f>
        <v xml:space="preserve"> </v>
      </c>
      <c r="D34" s="135" t="str">
        <f>VLOOKUP($A34,BD!$B$4:$BO$371,16)</f>
        <v xml:space="preserve"> </v>
      </c>
      <c r="E34" s="135" t="str">
        <f>VLOOKUP($A34,BD!$B$4:$BO$371,21)</f>
        <v xml:space="preserve"> </v>
      </c>
      <c r="F34" s="135" t="str">
        <f>VLOOKUP($A34,BD!$B$4:$BO$371,26)</f>
        <v xml:space="preserve"> </v>
      </c>
      <c r="G34" s="135" t="str">
        <f>VLOOKUP($A34,BD!$B$4:$BO$371,31)</f>
        <v xml:space="preserve"> </v>
      </c>
      <c r="H34" s="135" t="str">
        <f>VLOOKUP($A34,BD!$B$4:$BO$371,36)</f>
        <v/>
      </c>
      <c r="I34" s="135" t="str">
        <f>VLOOKUP($A34,BD!$B$4:$BO$371,41)</f>
        <v xml:space="preserve"> </v>
      </c>
      <c r="J34" s="135" t="str">
        <f>VLOOKUP($A34,BD!$B$4:$BO$371,46)</f>
        <v xml:space="preserve"> </v>
      </c>
      <c r="K34" s="134" t="str">
        <f>VLOOKUP($A34,BD!$B$4:$BO$371,51)</f>
        <v xml:space="preserve"> </v>
      </c>
      <c r="L34" s="135" t="str">
        <f>VLOOKUP($A34,BD!$B$4:$BO$371,56)</f>
        <v xml:space="preserve"> </v>
      </c>
      <c r="M34" s="135" t="str">
        <f>VLOOKUP($A34,BD!$B$4:$BO$371,61)</f>
        <v xml:space="preserve"> </v>
      </c>
      <c r="N34" s="134" t="str">
        <f>VLOOKUP($A34,BD!$B$4:$BO$371,66)</f>
        <v xml:space="preserve"> </v>
      </c>
      <c r="O34" s="153">
        <f>SUMIFS(BDsurtidor!K:K,BDsurtidor!E:E,BDmensual!A34,BDsurtidor!F:F,"EBAP HIJAYA",BDsurtidor!I:I,"CISTERNA")</f>
        <v>0</v>
      </c>
      <c r="P34" s="139">
        <f>SUMIFS(BDsurtidor!K:K,BDsurtidor!E:E,A34,BDsurtidor!F:F,"RE03",BDsurtidor!I:I,"CISTERNA")</f>
        <v>0</v>
      </c>
      <c r="Q34" s="154">
        <f>SUMIFS(BDsurtidor!K:K,BDsurtidor!E:E,BDmensual!A34,BDsurtidor!F:F,"RE07",BDsurtidor!I:I,"CISTERNA")</f>
        <v>0</v>
      </c>
      <c r="R34" s="137">
        <f t="shared" si="2"/>
        <v>0</v>
      </c>
    </row>
    <row r="35" spans="1:18" ht="15" customHeight="1" x14ac:dyDescent="0.25">
      <c r="A35" s="132">
        <f t="shared" si="3"/>
        <v>46143</v>
      </c>
      <c r="B35" s="146" t="str">
        <f>VLOOKUP($A35,BD!$B$4:$BO$371,6)</f>
        <v xml:space="preserve"> </v>
      </c>
      <c r="C35" s="146" t="str">
        <f>VLOOKUP($A35,BD!$B$4:$BO$371,11)</f>
        <v xml:space="preserve"> </v>
      </c>
      <c r="D35" s="146" t="str">
        <f>VLOOKUP($A35,BD!$B$4:$BO$371,16)</f>
        <v xml:space="preserve"> </v>
      </c>
      <c r="E35" s="146" t="str">
        <f>VLOOKUP($A35,BD!$B$4:$BO$371,21)</f>
        <v xml:space="preserve"> </v>
      </c>
      <c r="F35" s="146" t="str">
        <f>VLOOKUP($A35,BD!$B$4:$BO$371,26)</f>
        <v xml:space="preserve"> </v>
      </c>
      <c r="G35" s="146" t="str">
        <f>VLOOKUP($A35,BD!$B$4:$BO$371,31)</f>
        <v xml:space="preserve"> </v>
      </c>
      <c r="H35" s="146" t="str">
        <f>VLOOKUP($A35,BD!$B$4:$BO$371,36)</f>
        <v/>
      </c>
      <c r="I35" s="146" t="str">
        <f>VLOOKUP($A35,BD!$B$4:$BO$371,41)</f>
        <v xml:space="preserve"> </v>
      </c>
      <c r="J35" s="146" t="str">
        <f>VLOOKUP($A35,BD!$B$4:$BO$371,46)</f>
        <v xml:space="preserve"> </v>
      </c>
      <c r="K35" s="147" t="str">
        <f>VLOOKUP($A35,BD!$B$4:$BO$371,51)</f>
        <v xml:space="preserve"> </v>
      </c>
      <c r="L35" s="146" t="str">
        <f>VLOOKUP($A35,BD!$B$4:$BO$371,56)</f>
        <v xml:space="preserve"> </v>
      </c>
      <c r="M35" s="146" t="str">
        <f>VLOOKUP($A35,BD!$B$4:$BO$371,61)</f>
        <v xml:space="preserve"> </v>
      </c>
      <c r="N35" s="147" t="str">
        <f>VLOOKUP($A35,BD!$B$4:$BO$371,66)</f>
        <v xml:space="preserve"> </v>
      </c>
      <c r="O35" s="155">
        <f>SUMIFS(BDsurtidor!K:K,BDsurtidor!E:E,BDmensual!A35,BDsurtidor!F:F,"EBAP HIJAYA",BDsurtidor!I:I,"CISTERNA")</f>
        <v>0</v>
      </c>
      <c r="P35" s="139">
        <f>SUMIFS(BDsurtidor!K:K,BDsurtidor!E:E,A35,BDsurtidor!F:F,"RE03",BDsurtidor!I:I,"CISTERNA")</f>
        <v>0</v>
      </c>
      <c r="Q35" s="156">
        <f>SUMIFS(BDsurtidor!K:K,BDsurtidor!E:E,BDmensual!A35,BDsurtidor!F:F,"RE07",BDsurtidor!I:I,"CISTERNA")</f>
        <v>0</v>
      </c>
      <c r="R35" s="139">
        <f t="shared" si="2"/>
        <v>0</v>
      </c>
    </row>
    <row r="36" spans="1:18" ht="15.75" customHeight="1" x14ac:dyDescent="0.3">
      <c r="B36" s="6">
        <v>12</v>
      </c>
      <c r="C36" s="2" t="s">
        <v>15</v>
      </c>
      <c r="D36" s="40">
        <v>45992</v>
      </c>
      <c r="R36" s="404">
        <f>SUM(R5:R35)</f>
        <v>1768</v>
      </c>
    </row>
    <row r="37" spans="1:18" ht="15" customHeight="1" x14ac:dyDescent="0.25">
      <c r="B37" s="406"/>
      <c r="J37" s="406">
        <f>I28+K28</f>
        <v>3300</v>
      </c>
    </row>
  </sheetData>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43B60-29DF-446C-A84B-A56BC2BCD62C}">
  <sheetPr codeName="Hoja14">
    <pageSetUpPr fitToPage="1"/>
  </sheetPr>
  <dimension ref="A2:AX142"/>
  <sheetViews>
    <sheetView view="pageBreakPreview" zoomScale="25" zoomScaleNormal="85" zoomScaleSheetLayoutView="25" workbookViewId="0">
      <selection activeCell="G31" sqref="G31:O48"/>
    </sheetView>
  </sheetViews>
  <sheetFormatPr baseColWidth="10" defaultRowHeight="15" x14ac:dyDescent="0.25"/>
  <cols>
    <col min="1" max="1" width="2.85546875" customWidth="1"/>
    <col min="2" max="4" width="17" style="221" customWidth="1"/>
    <col min="5" max="6" width="2.85546875" customWidth="1"/>
    <col min="16" max="16" width="2.85546875" customWidth="1"/>
    <col min="17" max="17" width="15.7109375" customWidth="1"/>
    <col min="18" max="18" width="2.85546875" customWidth="1"/>
    <col min="19" max="21" width="17" style="221" customWidth="1"/>
    <col min="22" max="23" width="2.85546875" customWidth="1"/>
    <col min="33" max="33" width="2.85546875" customWidth="1"/>
    <col min="34" max="34" width="15.7109375" customWidth="1"/>
    <col min="35" max="35" width="2.85546875" customWidth="1"/>
    <col min="36" max="38" width="17" style="221" customWidth="1"/>
    <col min="39" max="40" width="2.85546875" customWidth="1"/>
    <col min="50" max="50" width="2.85546875" customWidth="1"/>
  </cols>
  <sheetData>
    <row r="2" spans="1:50" ht="21" x14ac:dyDescent="0.35">
      <c r="B2" s="236">
        <v>46023</v>
      </c>
    </row>
    <row r="4" spans="1:50" ht="15" customHeight="1" thickBot="1" x14ac:dyDescent="0.3"/>
    <row r="5" spans="1:50" ht="15" customHeight="1" x14ac:dyDescent="0.25">
      <c r="B5" s="452"/>
      <c r="C5" s="453"/>
      <c r="D5" s="458" t="s">
        <v>577</v>
      </c>
      <c r="E5" s="459"/>
      <c r="F5" s="459"/>
      <c r="G5" s="459"/>
      <c r="H5" s="459"/>
      <c r="I5" s="459"/>
      <c r="J5" s="459"/>
      <c r="K5" s="459"/>
      <c r="L5" s="460"/>
      <c r="M5" s="467" t="s">
        <v>576</v>
      </c>
      <c r="N5" s="468"/>
      <c r="O5" s="469"/>
      <c r="S5" s="452"/>
      <c r="T5" s="453"/>
      <c r="U5" s="458" t="s">
        <v>577</v>
      </c>
      <c r="V5" s="459"/>
      <c r="W5" s="459"/>
      <c r="X5" s="459"/>
      <c r="Y5" s="459"/>
      <c r="Z5" s="459"/>
      <c r="AA5" s="459"/>
      <c r="AB5" s="459"/>
      <c r="AC5" s="460"/>
      <c r="AD5" s="467" t="s">
        <v>576</v>
      </c>
      <c r="AE5" s="468"/>
      <c r="AF5" s="469"/>
      <c r="AJ5" s="452"/>
      <c r="AK5" s="453"/>
      <c r="AL5" s="458" t="s">
        <v>577</v>
      </c>
      <c r="AM5" s="459"/>
      <c r="AN5" s="459"/>
      <c r="AO5" s="459"/>
      <c r="AP5" s="459"/>
      <c r="AQ5" s="459"/>
      <c r="AR5" s="459"/>
      <c r="AS5" s="459"/>
      <c r="AT5" s="460"/>
      <c r="AU5" s="467" t="s">
        <v>576</v>
      </c>
      <c r="AV5" s="468"/>
      <c r="AW5" s="469"/>
    </row>
    <row r="6" spans="1:50" ht="15" customHeight="1" x14ac:dyDescent="0.25">
      <c r="B6" s="454"/>
      <c r="C6" s="455"/>
      <c r="D6" s="461"/>
      <c r="E6" s="462"/>
      <c r="F6" s="462"/>
      <c r="G6" s="462"/>
      <c r="H6" s="462"/>
      <c r="I6" s="462"/>
      <c r="J6" s="462"/>
      <c r="K6" s="462"/>
      <c r="L6" s="463"/>
      <c r="M6" s="470"/>
      <c r="N6" s="471"/>
      <c r="O6" s="472"/>
      <c r="S6" s="454"/>
      <c r="T6" s="455"/>
      <c r="U6" s="461"/>
      <c r="V6" s="462"/>
      <c r="W6" s="462"/>
      <c r="X6" s="462"/>
      <c r="Y6" s="462"/>
      <c r="Z6" s="462"/>
      <c r="AA6" s="462"/>
      <c r="AB6" s="462"/>
      <c r="AC6" s="463"/>
      <c r="AD6" s="470"/>
      <c r="AE6" s="471"/>
      <c r="AF6" s="472"/>
      <c r="AJ6" s="454"/>
      <c r="AK6" s="455"/>
      <c r="AL6" s="461"/>
      <c r="AM6" s="462"/>
      <c r="AN6" s="462"/>
      <c r="AO6" s="462"/>
      <c r="AP6" s="462"/>
      <c r="AQ6" s="462"/>
      <c r="AR6" s="462"/>
      <c r="AS6" s="462"/>
      <c r="AT6" s="463"/>
      <c r="AU6" s="470"/>
      <c r="AV6" s="471"/>
      <c r="AW6" s="472"/>
    </row>
    <row r="7" spans="1:50" ht="15" customHeight="1" x14ac:dyDescent="0.25">
      <c r="B7" s="454"/>
      <c r="C7" s="455"/>
      <c r="D7" s="461"/>
      <c r="E7" s="462"/>
      <c r="F7" s="462"/>
      <c r="G7" s="462"/>
      <c r="H7" s="462"/>
      <c r="I7" s="462"/>
      <c r="J7" s="462"/>
      <c r="K7" s="462"/>
      <c r="L7" s="463"/>
      <c r="M7" s="470"/>
      <c r="N7" s="471"/>
      <c r="O7" s="472"/>
      <c r="S7" s="454"/>
      <c r="T7" s="455"/>
      <c r="U7" s="461"/>
      <c r="V7" s="462"/>
      <c r="W7" s="462"/>
      <c r="X7" s="462"/>
      <c r="Y7" s="462"/>
      <c r="Z7" s="462"/>
      <c r="AA7" s="462"/>
      <c r="AB7" s="462"/>
      <c r="AC7" s="463"/>
      <c r="AD7" s="470"/>
      <c r="AE7" s="471"/>
      <c r="AF7" s="472"/>
      <c r="AJ7" s="454"/>
      <c r="AK7" s="455"/>
      <c r="AL7" s="461"/>
      <c r="AM7" s="462"/>
      <c r="AN7" s="462"/>
      <c r="AO7" s="462"/>
      <c r="AP7" s="462"/>
      <c r="AQ7" s="462"/>
      <c r="AR7" s="462"/>
      <c r="AS7" s="462"/>
      <c r="AT7" s="463"/>
      <c r="AU7" s="470"/>
      <c r="AV7" s="471"/>
      <c r="AW7" s="472"/>
    </row>
    <row r="8" spans="1:50" ht="15" customHeight="1" thickBot="1" x14ac:dyDescent="0.3">
      <c r="B8" s="456"/>
      <c r="C8" s="457"/>
      <c r="D8" s="464"/>
      <c r="E8" s="465"/>
      <c r="F8" s="465"/>
      <c r="G8" s="465"/>
      <c r="H8" s="465"/>
      <c r="I8" s="465"/>
      <c r="J8" s="465"/>
      <c r="K8" s="465"/>
      <c r="L8" s="466"/>
      <c r="M8" s="473"/>
      <c r="N8" s="474"/>
      <c r="O8" s="475"/>
      <c r="S8" s="456"/>
      <c r="T8" s="457"/>
      <c r="U8" s="464"/>
      <c r="V8" s="465"/>
      <c r="W8" s="465"/>
      <c r="X8" s="465"/>
      <c r="Y8" s="465"/>
      <c r="Z8" s="465"/>
      <c r="AA8" s="465"/>
      <c r="AB8" s="465"/>
      <c r="AC8" s="466"/>
      <c r="AD8" s="473"/>
      <c r="AE8" s="474"/>
      <c r="AF8" s="475"/>
      <c r="AJ8" s="456"/>
      <c r="AK8" s="457"/>
      <c r="AL8" s="464"/>
      <c r="AM8" s="465"/>
      <c r="AN8" s="465"/>
      <c r="AO8" s="465"/>
      <c r="AP8" s="465"/>
      <c r="AQ8" s="465"/>
      <c r="AR8" s="465"/>
      <c r="AS8" s="465"/>
      <c r="AT8" s="466"/>
      <c r="AU8" s="473"/>
      <c r="AV8" s="474"/>
      <c r="AW8" s="475"/>
    </row>
    <row r="9" spans="1:50" ht="15" customHeight="1" thickBot="1" x14ac:dyDescent="0.3"/>
    <row r="10" spans="1:50" ht="15" customHeight="1" thickBot="1" x14ac:dyDescent="0.3">
      <c r="A10" s="226"/>
      <c r="B10" s="227"/>
      <c r="C10" s="227"/>
      <c r="D10" s="227"/>
      <c r="E10" s="228"/>
      <c r="F10" s="226"/>
      <c r="G10" s="234"/>
      <c r="H10" s="234"/>
      <c r="I10" s="234"/>
      <c r="J10" s="234"/>
      <c r="K10" s="234"/>
      <c r="L10" s="234"/>
      <c r="M10" s="234"/>
      <c r="N10" s="234"/>
      <c r="O10" s="234"/>
      <c r="P10" s="228"/>
      <c r="R10" s="226"/>
      <c r="S10" s="227"/>
      <c r="T10" s="227"/>
      <c r="U10" s="227"/>
      <c r="V10" s="228"/>
      <c r="W10" s="226"/>
      <c r="X10" s="234"/>
      <c r="Y10" s="234"/>
      <c r="Z10" s="234"/>
      <c r="AA10" s="234"/>
      <c r="AB10" s="234"/>
      <c r="AC10" s="234"/>
      <c r="AD10" s="234"/>
      <c r="AE10" s="234"/>
      <c r="AF10" s="234"/>
      <c r="AG10" s="228"/>
      <c r="AI10" s="226"/>
      <c r="AJ10" s="227"/>
      <c r="AK10" s="227"/>
      <c r="AL10" s="227"/>
      <c r="AM10" s="228"/>
      <c r="AN10" s="226"/>
      <c r="AO10" s="234"/>
      <c r="AP10" s="234"/>
      <c r="AQ10" s="234"/>
      <c r="AR10" s="234"/>
      <c r="AS10" s="234"/>
      <c r="AT10" s="234"/>
      <c r="AU10" s="234"/>
      <c r="AV10" s="234"/>
      <c r="AW10" s="234"/>
      <c r="AX10" s="228"/>
    </row>
    <row r="11" spans="1:50" ht="15" customHeight="1" thickBot="1" x14ac:dyDescent="0.3">
      <c r="A11" s="229"/>
      <c r="B11" s="445" t="s">
        <v>0</v>
      </c>
      <c r="C11" s="445"/>
      <c r="D11" s="445"/>
      <c r="E11" s="230"/>
      <c r="F11" s="229"/>
      <c r="G11" s="39"/>
      <c r="H11" s="39"/>
      <c r="I11" s="39"/>
      <c r="J11" s="39"/>
      <c r="K11" s="39"/>
      <c r="L11" s="39"/>
      <c r="M11" s="39"/>
      <c r="N11" s="39"/>
      <c r="O11" s="39"/>
      <c r="P11" s="230"/>
      <c r="R11" s="229"/>
      <c r="S11" s="445" t="s">
        <v>1</v>
      </c>
      <c r="T11" s="445"/>
      <c r="U11" s="445"/>
      <c r="V11" s="230"/>
      <c r="W11" s="229"/>
      <c r="X11" s="39"/>
      <c r="Y11" s="39"/>
      <c r="Z11" s="39"/>
      <c r="AA11" s="39"/>
      <c r="AB11" s="39"/>
      <c r="AC11" s="39"/>
      <c r="AD11" s="39"/>
      <c r="AE11" s="39"/>
      <c r="AF11" s="39"/>
      <c r="AG11" s="230"/>
      <c r="AI11" s="229"/>
      <c r="AJ11" s="445" t="s">
        <v>2</v>
      </c>
      <c r="AK11" s="445"/>
      <c r="AL11" s="445"/>
      <c r="AM11" s="230"/>
      <c r="AN11" s="229"/>
      <c r="AO11" s="39"/>
      <c r="AP11" s="39"/>
      <c r="AQ11" s="39"/>
      <c r="AR11" s="39"/>
      <c r="AS11" s="39"/>
      <c r="AT11" s="39"/>
      <c r="AU11" s="39"/>
      <c r="AV11" s="39"/>
      <c r="AW11" s="39"/>
      <c r="AX11" s="230"/>
    </row>
    <row r="12" spans="1:50" ht="15" customHeight="1" thickBot="1" x14ac:dyDescent="0.3">
      <c r="A12" s="229"/>
      <c r="B12" s="446" t="str">
        <f>PROPER(TEXT(B14,"mmmm"))</f>
        <v>Enero</v>
      </c>
      <c r="C12" s="446"/>
      <c r="D12" s="446"/>
      <c r="E12" s="230"/>
      <c r="F12" s="229"/>
      <c r="G12" s="39"/>
      <c r="H12" s="39"/>
      <c r="I12" s="39"/>
      <c r="J12" s="39"/>
      <c r="K12" s="39"/>
      <c r="L12" s="39"/>
      <c r="M12" s="39"/>
      <c r="N12" s="39"/>
      <c r="O12" s="39"/>
      <c r="P12" s="230"/>
      <c r="R12" s="229"/>
      <c r="S12" s="446" t="str">
        <f>PROPER(TEXT(S14,"mmmm"))</f>
        <v>Enero</v>
      </c>
      <c r="T12" s="446"/>
      <c r="U12" s="446"/>
      <c r="V12" s="230"/>
      <c r="W12" s="229"/>
      <c r="X12" s="39"/>
      <c r="Y12" s="39"/>
      <c r="Z12" s="39"/>
      <c r="AA12" s="39"/>
      <c r="AB12" s="39"/>
      <c r="AC12" s="39"/>
      <c r="AD12" s="39"/>
      <c r="AE12" s="39"/>
      <c r="AF12" s="39"/>
      <c r="AG12" s="230"/>
      <c r="AI12" s="229"/>
      <c r="AJ12" s="446" t="str">
        <f>PROPER(TEXT(AJ14,"mmmm"))</f>
        <v>Enero</v>
      </c>
      <c r="AK12" s="446"/>
      <c r="AL12" s="446"/>
      <c r="AM12" s="230"/>
      <c r="AN12" s="229"/>
      <c r="AO12" s="39"/>
      <c r="AP12" s="39"/>
      <c r="AQ12" s="39"/>
      <c r="AR12" s="39"/>
      <c r="AS12" s="39"/>
      <c r="AT12" s="39"/>
      <c r="AU12" s="39"/>
      <c r="AV12" s="39"/>
      <c r="AW12" s="39"/>
      <c r="AX12" s="230"/>
    </row>
    <row r="13" spans="1:50" ht="15" customHeight="1" thickBot="1" x14ac:dyDescent="0.3">
      <c r="A13" s="229"/>
      <c r="B13" s="222" t="s">
        <v>80</v>
      </c>
      <c r="C13" s="222" t="s">
        <v>569</v>
      </c>
      <c r="D13" s="222" t="s">
        <v>458</v>
      </c>
      <c r="E13" s="230"/>
      <c r="F13" s="229"/>
      <c r="G13" s="39"/>
      <c r="H13" s="39"/>
      <c r="I13" s="39"/>
      <c r="J13" s="39"/>
      <c r="K13" s="39"/>
      <c r="L13" s="39"/>
      <c r="M13" s="39"/>
      <c r="N13" s="39"/>
      <c r="O13" s="39"/>
      <c r="P13" s="230"/>
      <c r="R13" s="229"/>
      <c r="S13" s="222" t="s">
        <v>80</v>
      </c>
      <c r="T13" s="222" t="s">
        <v>569</v>
      </c>
      <c r="U13" s="222" t="s">
        <v>458</v>
      </c>
      <c r="V13" s="230"/>
      <c r="W13" s="229"/>
      <c r="X13" s="39"/>
      <c r="Y13" s="39"/>
      <c r="Z13" s="39"/>
      <c r="AA13" s="39"/>
      <c r="AB13" s="39"/>
      <c r="AC13" s="39"/>
      <c r="AD13" s="39"/>
      <c r="AE13" s="39"/>
      <c r="AF13" s="39"/>
      <c r="AG13" s="230"/>
      <c r="AI13" s="229"/>
      <c r="AJ13" s="222" t="s">
        <v>80</v>
      </c>
      <c r="AK13" s="222" t="s">
        <v>569</v>
      </c>
      <c r="AL13" s="222" t="s">
        <v>458</v>
      </c>
      <c r="AM13" s="230"/>
      <c r="AN13" s="229"/>
      <c r="AO13" s="39"/>
      <c r="AP13" s="39"/>
      <c r="AQ13" s="39"/>
      <c r="AR13" s="39"/>
      <c r="AS13" s="39"/>
      <c r="AT13" s="39"/>
      <c r="AU13" s="39"/>
      <c r="AV13" s="39"/>
      <c r="AW13" s="39"/>
      <c r="AX13" s="230"/>
    </row>
    <row r="14" spans="1:50" ht="15" customHeight="1" thickBot="1" x14ac:dyDescent="0.3">
      <c r="A14" s="229"/>
      <c r="B14" s="223">
        <f>+$B$2</f>
        <v>46023</v>
      </c>
      <c r="C14" s="224">
        <f>IF(D14=0,0,VLOOKUP($B14,BD!$B:$BO,2,FALSE))</f>
        <v>38</v>
      </c>
      <c r="D14" s="224">
        <f>VLOOKUP($B14,BD!$B:$BO,6,FALSE)</f>
        <v>1838</v>
      </c>
      <c r="E14" s="230"/>
      <c r="F14" s="229"/>
      <c r="G14" s="39"/>
      <c r="H14" s="39"/>
      <c r="I14" s="39"/>
      <c r="J14" s="39"/>
      <c r="K14" s="39"/>
      <c r="L14" s="39"/>
      <c r="M14" s="39"/>
      <c r="N14" s="39"/>
      <c r="O14" s="39"/>
      <c r="P14" s="230"/>
      <c r="R14" s="229"/>
      <c r="S14" s="223">
        <f>+$B$2</f>
        <v>46023</v>
      </c>
      <c r="T14" s="224">
        <f>IF(U14=0,0,VLOOKUP($B14,BD!$B:$BO,7,FALSE))</f>
        <v>0</v>
      </c>
      <c r="U14" s="224">
        <f>VLOOKUP($B14,BD!$B:$BO,11,FALSE)</f>
        <v>0</v>
      </c>
      <c r="V14" s="230"/>
      <c r="W14" s="229"/>
      <c r="X14" s="39"/>
      <c r="Y14" s="39"/>
      <c r="Z14" s="39"/>
      <c r="AA14" s="39"/>
      <c r="AB14" s="39"/>
      <c r="AC14" s="39"/>
      <c r="AD14" s="39"/>
      <c r="AE14" s="39"/>
      <c r="AF14" s="39"/>
      <c r="AG14" s="230"/>
      <c r="AI14" s="229"/>
      <c r="AJ14" s="223">
        <f>+$B$2</f>
        <v>46023</v>
      </c>
      <c r="AK14" s="224">
        <f>IF(AL14=0,0,VLOOKUP($B14,BD!$B:$BO,12,FALSE))</f>
        <v>0</v>
      </c>
      <c r="AL14" s="224">
        <f>VLOOKUP($B14,BD!$B:$BO,16,FALSE)</f>
        <v>0</v>
      </c>
      <c r="AM14" s="230"/>
      <c r="AN14" s="229"/>
      <c r="AO14" s="39"/>
      <c r="AP14" s="39"/>
      <c r="AQ14" s="39"/>
      <c r="AR14" s="39"/>
      <c r="AS14" s="39"/>
      <c r="AT14" s="39"/>
      <c r="AU14" s="39"/>
      <c r="AV14" s="39"/>
      <c r="AW14" s="39"/>
      <c r="AX14" s="230"/>
    </row>
    <row r="15" spans="1:50" ht="15" customHeight="1" thickBot="1" x14ac:dyDescent="0.3">
      <c r="A15" s="229"/>
      <c r="B15" s="223">
        <f>+B14+1</f>
        <v>46024</v>
      </c>
      <c r="C15" s="224">
        <f>IF(D15=0,0,VLOOKUP($B15,BD!$B:$BO,2,FALSE))</f>
        <v>38</v>
      </c>
      <c r="D15" s="224">
        <f>VLOOKUP($B15,BD!$B:$BO,6,FALSE)</f>
        <v>1824</v>
      </c>
      <c r="E15" s="230"/>
      <c r="F15" s="229"/>
      <c r="G15" s="39"/>
      <c r="H15" s="39"/>
      <c r="I15" s="39"/>
      <c r="J15" s="39"/>
      <c r="K15" s="39"/>
      <c r="L15" s="39"/>
      <c r="M15" s="39"/>
      <c r="N15" s="39"/>
      <c r="O15" s="39"/>
      <c r="P15" s="230"/>
      <c r="R15" s="229"/>
      <c r="S15" s="223">
        <f>+S14+1</f>
        <v>46024</v>
      </c>
      <c r="T15" s="224">
        <f>IF(U15=0,0,VLOOKUP($B15,BD!$B:$BO,7,FALSE))</f>
        <v>0</v>
      </c>
      <c r="U15" s="224">
        <f>VLOOKUP($B15,BD!$B:$BO,11,FALSE)</f>
        <v>0</v>
      </c>
      <c r="V15" s="230"/>
      <c r="W15" s="229"/>
      <c r="X15" s="39"/>
      <c r="Y15" s="39"/>
      <c r="Z15" s="39"/>
      <c r="AA15" s="39"/>
      <c r="AB15" s="39"/>
      <c r="AC15" s="39"/>
      <c r="AD15" s="39"/>
      <c r="AE15" s="39"/>
      <c r="AF15" s="39"/>
      <c r="AG15" s="230"/>
      <c r="AI15" s="229"/>
      <c r="AJ15" s="223">
        <f>+AJ14+1</f>
        <v>46024</v>
      </c>
      <c r="AK15" s="224">
        <f>IF(AL15=0,0,VLOOKUP($B15,BD!$B:$BO,12,FALSE))</f>
        <v>0</v>
      </c>
      <c r="AL15" s="224">
        <f>VLOOKUP($B15,BD!$B:$BO,16,FALSE)</f>
        <v>0</v>
      </c>
      <c r="AM15" s="230"/>
      <c r="AN15" s="229"/>
      <c r="AO15" s="39"/>
      <c r="AP15" s="39"/>
      <c r="AQ15" s="39"/>
      <c r="AR15" s="39"/>
      <c r="AS15" s="39"/>
      <c r="AT15" s="39"/>
      <c r="AU15" s="39"/>
      <c r="AV15" s="39"/>
      <c r="AW15" s="39"/>
      <c r="AX15" s="230"/>
    </row>
    <row r="16" spans="1:50" ht="15" customHeight="1" thickBot="1" x14ac:dyDescent="0.3">
      <c r="A16" s="229"/>
      <c r="B16" s="223">
        <f t="shared" ref="B16:B44" si="0">+B15+1</f>
        <v>46025</v>
      </c>
      <c r="C16" s="224">
        <f>IF(D16=0,0,VLOOKUP($B16,BD!$B:$BO,2,FALSE))</f>
        <v>38</v>
      </c>
      <c r="D16" s="224">
        <f>VLOOKUP($B16,BD!$B:$BO,6,FALSE)</f>
        <v>1799</v>
      </c>
      <c r="E16" s="230"/>
      <c r="F16" s="229"/>
      <c r="G16" s="39"/>
      <c r="H16" s="39"/>
      <c r="I16" s="39"/>
      <c r="J16" s="39"/>
      <c r="K16" s="39"/>
      <c r="L16" s="39"/>
      <c r="M16" s="39"/>
      <c r="N16" s="39"/>
      <c r="O16" s="39"/>
      <c r="P16" s="230"/>
      <c r="R16" s="229"/>
      <c r="S16" s="223">
        <f t="shared" ref="S16:S44" si="1">+S15+1</f>
        <v>46025</v>
      </c>
      <c r="T16" s="224">
        <f>IF(U16=0,0,VLOOKUP($B16,BD!$B:$BO,7,FALSE))</f>
        <v>0</v>
      </c>
      <c r="U16" s="224">
        <f>VLOOKUP($B16,BD!$B:$BO,11,FALSE)</f>
        <v>0</v>
      </c>
      <c r="V16" s="230"/>
      <c r="W16" s="229"/>
      <c r="X16" s="39"/>
      <c r="Y16" s="39"/>
      <c r="Z16" s="39"/>
      <c r="AA16" s="39"/>
      <c r="AB16" s="39"/>
      <c r="AC16" s="39"/>
      <c r="AD16" s="39"/>
      <c r="AE16" s="39"/>
      <c r="AF16" s="39"/>
      <c r="AG16" s="230"/>
      <c r="AI16" s="229"/>
      <c r="AJ16" s="223">
        <f t="shared" ref="AJ16:AJ44" si="2">+AJ15+1</f>
        <v>46025</v>
      </c>
      <c r="AK16" s="224">
        <f>IF(AL16=0,0,VLOOKUP($B16,BD!$B:$BO,12,FALSE))</f>
        <v>0</v>
      </c>
      <c r="AL16" s="224">
        <f>VLOOKUP($B16,BD!$B:$BO,16,FALSE)</f>
        <v>0</v>
      </c>
      <c r="AM16" s="230"/>
      <c r="AN16" s="229"/>
      <c r="AO16" s="39"/>
      <c r="AP16" s="39"/>
      <c r="AQ16" s="39"/>
      <c r="AR16" s="39"/>
      <c r="AS16" s="39"/>
      <c r="AT16" s="39"/>
      <c r="AU16" s="39"/>
      <c r="AV16" s="39"/>
      <c r="AW16" s="39"/>
      <c r="AX16" s="230"/>
    </row>
    <row r="17" spans="1:50" ht="15" customHeight="1" thickBot="1" x14ac:dyDescent="0.3">
      <c r="A17" s="229"/>
      <c r="B17" s="223">
        <f t="shared" si="0"/>
        <v>46026</v>
      </c>
      <c r="C17" s="224">
        <f>IF(D17=0,0,VLOOKUP($B17,BD!$B:$BO,2,FALSE))</f>
        <v>38</v>
      </c>
      <c r="D17" s="224">
        <f>VLOOKUP($B17,BD!$B:$BO,6,FALSE)</f>
        <v>1821</v>
      </c>
      <c r="E17" s="230"/>
      <c r="F17" s="229"/>
      <c r="G17" s="39"/>
      <c r="H17" s="39"/>
      <c r="I17" s="39"/>
      <c r="J17" s="39"/>
      <c r="K17" s="39"/>
      <c r="L17" s="39"/>
      <c r="M17" s="39"/>
      <c r="N17" s="39"/>
      <c r="O17" s="39"/>
      <c r="P17" s="230"/>
      <c r="R17" s="229"/>
      <c r="S17" s="223">
        <f t="shared" si="1"/>
        <v>46026</v>
      </c>
      <c r="T17" s="224">
        <f>IF(U17=0,0,VLOOKUP($B17,BD!$B:$BO,7,FALSE))</f>
        <v>0</v>
      </c>
      <c r="U17" s="224">
        <f>VLOOKUP($B17,BD!$B:$BO,11,FALSE)</f>
        <v>0</v>
      </c>
      <c r="V17" s="230"/>
      <c r="W17" s="229"/>
      <c r="X17" s="39"/>
      <c r="Y17" s="39"/>
      <c r="Z17" s="39"/>
      <c r="AA17" s="39"/>
      <c r="AB17" s="39"/>
      <c r="AC17" s="39"/>
      <c r="AD17" s="39"/>
      <c r="AE17" s="39"/>
      <c r="AF17" s="39"/>
      <c r="AG17" s="230"/>
      <c r="AI17" s="229"/>
      <c r="AJ17" s="223">
        <f t="shared" si="2"/>
        <v>46026</v>
      </c>
      <c r="AK17" s="224">
        <f>IF(AL17=0,0,VLOOKUP($B17,BD!$B:$BO,12,FALSE))</f>
        <v>0</v>
      </c>
      <c r="AL17" s="224">
        <f>VLOOKUP($B17,BD!$B:$BO,16,FALSE)</f>
        <v>0</v>
      </c>
      <c r="AM17" s="230"/>
      <c r="AN17" s="229"/>
      <c r="AO17" s="39"/>
      <c r="AP17" s="39"/>
      <c r="AQ17" s="39"/>
      <c r="AR17" s="39"/>
      <c r="AS17" s="39"/>
      <c r="AT17" s="39"/>
      <c r="AU17" s="39"/>
      <c r="AV17" s="39"/>
      <c r="AW17" s="39"/>
      <c r="AX17" s="230"/>
    </row>
    <row r="18" spans="1:50" ht="15" customHeight="1" thickBot="1" x14ac:dyDescent="0.3">
      <c r="A18" s="229"/>
      <c r="B18" s="223">
        <f t="shared" si="0"/>
        <v>46027</v>
      </c>
      <c r="C18" s="224">
        <f>IF(D18=0,0,VLOOKUP($B18,BD!$B:$BO,2,FALSE))</f>
        <v>38</v>
      </c>
      <c r="D18" s="224">
        <f>VLOOKUP($B18,BD!$B:$BO,6,FALSE)</f>
        <v>1828</v>
      </c>
      <c r="E18" s="230"/>
      <c r="F18" s="229"/>
      <c r="G18" s="39"/>
      <c r="H18" s="39"/>
      <c r="I18" s="39"/>
      <c r="J18" s="39"/>
      <c r="K18" s="39"/>
      <c r="L18" s="39"/>
      <c r="M18" s="39"/>
      <c r="N18" s="39"/>
      <c r="O18" s="39"/>
      <c r="P18" s="230"/>
      <c r="R18" s="229"/>
      <c r="S18" s="223">
        <f t="shared" si="1"/>
        <v>46027</v>
      </c>
      <c r="T18" s="224">
        <f>IF(U18=0,0,VLOOKUP($B18,BD!$B:$BO,7,FALSE))</f>
        <v>0</v>
      </c>
      <c r="U18" s="224">
        <f>VLOOKUP($B18,BD!$B:$BO,11,FALSE)</f>
        <v>0</v>
      </c>
      <c r="V18" s="230"/>
      <c r="W18" s="229"/>
      <c r="X18" s="39"/>
      <c r="Y18" s="39"/>
      <c r="Z18" s="39"/>
      <c r="AA18" s="39"/>
      <c r="AB18" s="39"/>
      <c r="AC18" s="39"/>
      <c r="AD18" s="39"/>
      <c r="AE18" s="39"/>
      <c r="AF18" s="39"/>
      <c r="AG18" s="230"/>
      <c r="AI18" s="229"/>
      <c r="AJ18" s="223">
        <f t="shared" si="2"/>
        <v>46027</v>
      </c>
      <c r="AK18" s="224">
        <f>IF(AL18=0,0,VLOOKUP($B18,BD!$B:$BO,12,FALSE))</f>
        <v>0</v>
      </c>
      <c r="AL18" s="224">
        <f>VLOOKUP($B18,BD!$B:$BO,16,FALSE)</f>
        <v>0</v>
      </c>
      <c r="AM18" s="230"/>
      <c r="AN18" s="229"/>
      <c r="AO18" s="39"/>
      <c r="AP18" s="39"/>
      <c r="AQ18" s="39"/>
      <c r="AR18" s="39"/>
      <c r="AS18" s="39"/>
      <c r="AT18" s="39"/>
      <c r="AU18" s="39"/>
      <c r="AV18" s="39"/>
      <c r="AW18" s="39"/>
      <c r="AX18" s="230"/>
    </row>
    <row r="19" spans="1:50" ht="15" customHeight="1" thickBot="1" x14ac:dyDescent="0.3">
      <c r="A19" s="229"/>
      <c r="B19" s="223">
        <f t="shared" si="0"/>
        <v>46028</v>
      </c>
      <c r="C19" s="224">
        <f>IF(D19=0,0,VLOOKUP($B19,BD!$B:$BO,2,FALSE))</f>
        <v>38</v>
      </c>
      <c r="D19" s="224">
        <f>VLOOKUP($B19,BD!$B:$BO,6,FALSE)</f>
        <v>1836</v>
      </c>
      <c r="E19" s="230"/>
      <c r="F19" s="229"/>
      <c r="G19" s="39"/>
      <c r="H19" s="39"/>
      <c r="I19" s="39"/>
      <c r="J19" s="39"/>
      <c r="K19" s="39"/>
      <c r="L19" s="39"/>
      <c r="M19" s="39"/>
      <c r="N19" s="39"/>
      <c r="O19" s="39"/>
      <c r="P19" s="230"/>
      <c r="R19" s="229"/>
      <c r="S19" s="223">
        <f t="shared" si="1"/>
        <v>46028</v>
      </c>
      <c r="T19" s="224">
        <f>IF(U19=0,0,VLOOKUP($B19,BD!$B:$BO,7,FALSE))</f>
        <v>0</v>
      </c>
      <c r="U19" s="224">
        <f>VLOOKUP($B19,BD!$B:$BO,11,FALSE)</f>
        <v>0</v>
      </c>
      <c r="V19" s="230"/>
      <c r="W19" s="229"/>
      <c r="X19" s="39"/>
      <c r="Y19" s="39"/>
      <c r="Z19" s="39"/>
      <c r="AA19" s="39"/>
      <c r="AB19" s="39"/>
      <c r="AC19" s="39"/>
      <c r="AD19" s="39"/>
      <c r="AE19" s="39"/>
      <c r="AF19" s="39"/>
      <c r="AG19" s="230"/>
      <c r="AI19" s="229"/>
      <c r="AJ19" s="223">
        <f t="shared" si="2"/>
        <v>46028</v>
      </c>
      <c r="AK19" s="224">
        <f>IF(AL19=0,0,VLOOKUP($B19,BD!$B:$BO,12,FALSE))</f>
        <v>0</v>
      </c>
      <c r="AL19" s="224">
        <f>VLOOKUP($B19,BD!$B:$BO,16,FALSE)</f>
        <v>0</v>
      </c>
      <c r="AM19" s="230"/>
      <c r="AN19" s="229"/>
      <c r="AO19" s="39"/>
      <c r="AP19" s="39"/>
      <c r="AQ19" s="39"/>
      <c r="AR19" s="39"/>
      <c r="AS19" s="39"/>
      <c r="AT19" s="39"/>
      <c r="AU19" s="39"/>
      <c r="AV19" s="39"/>
      <c r="AW19" s="39"/>
      <c r="AX19" s="230"/>
    </row>
    <row r="20" spans="1:50" ht="15" customHeight="1" thickBot="1" x14ac:dyDescent="0.3">
      <c r="A20" s="229"/>
      <c r="B20" s="223">
        <f t="shared" si="0"/>
        <v>46029</v>
      </c>
      <c r="C20" s="224">
        <f>IF(D20=0,0,VLOOKUP($B20,BD!$B:$BO,2,FALSE))</f>
        <v>38</v>
      </c>
      <c r="D20" s="224">
        <f>VLOOKUP($B20,BD!$B:$BO,6,FALSE)</f>
        <v>1818</v>
      </c>
      <c r="E20" s="230"/>
      <c r="F20" s="229"/>
      <c r="G20" s="39"/>
      <c r="H20" s="39"/>
      <c r="I20" s="39"/>
      <c r="J20" s="39"/>
      <c r="K20" s="39"/>
      <c r="L20" s="39"/>
      <c r="M20" s="39"/>
      <c r="N20" s="39"/>
      <c r="O20" s="39"/>
      <c r="P20" s="230"/>
      <c r="R20" s="229"/>
      <c r="S20" s="223">
        <f t="shared" si="1"/>
        <v>46029</v>
      </c>
      <c r="T20" s="224">
        <f>IF(U20=0,0,VLOOKUP($B20,BD!$B:$BO,7,FALSE))</f>
        <v>0</v>
      </c>
      <c r="U20" s="224">
        <f>VLOOKUP($B20,BD!$B:$BO,11,FALSE)</f>
        <v>0</v>
      </c>
      <c r="V20" s="230"/>
      <c r="W20" s="229"/>
      <c r="X20" s="39"/>
      <c r="Y20" s="39"/>
      <c r="Z20" s="39"/>
      <c r="AA20" s="39"/>
      <c r="AB20" s="39"/>
      <c r="AC20" s="39"/>
      <c r="AD20" s="39"/>
      <c r="AE20" s="39"/>
      <c r="AF20" s="39"/>
      <c r="AG20" s="230"/>
      <c r="AI20" s="229"/>
      <c r="AJ20" s="223">
        <f t="shared" si="2"/>
        <v>46029</v>
      </c>
      <c r="AK20" s="224">
        <f>IF(AL20=0,0,VLOOKUP($B20,BD!$B:$BO,12,FALSE))</f>
        <v>0</v>
      </c>
      <c r="AL20" s="224">
        <f>VLOOKUP($B20,BD!$B:$BO,16,FALSE)</f>
        <v>0</v>
      </c>
      <c r="AM20" s="230"/>
      <c r="AN20" s="229"/>
      <c r="AO20" s="39"/>
      <c r="AP20" s="39"/>
      <c r="AQ20" s="39"/>
      <c r="AR20" s="39"/>
      <c r="AS20" s="39"/>
      <c r="AT20" s="39"/>
      <c r="AU20" s="39"/>
      <c r="AV20" s="39"/>
      <c r="AW20" s="39"/>
      <c r="AX20" s="230"/>
    </row>
    <row r="21" spans="1:50" ht="15" customHeight="1" thickBot="1" x14ac:dyDescent="0.3">
      <c r="A21" s="229"/>
      <c r="B21" s="223">
        <f t="shared" si="0"/>
        <v>46030</v>
      </c>
      <c r="C21" s="224">
        <f>IF(D21=0,0,VLOOKUP($B21,BD!$B:$BO,2,FALSE))</f>
        <v>38</v>
      </c>
      <c r="D21" s="224">
        <f>VLOOKUP($B21,BD!$B:$BO,6,FALSE)</f>
        <v>1840</v>
      </c>
      <c r="E21" s="230"/>
      <c r="F21" s="229"/>
      <c r="G21" s="39"/>
      <c r="H21" s="39"/>
      <c r="I21" s="39"/>
      <c r="J21" s="39"/>
      <c r="K21" s="39"/>
      <c r="L21" s="39"/>
      <c r="M21" s="39"/>
      <c r="N21" s="39"/>
      <c r="O21" s="39"/>
      <c r="P21" s="230"/>
      <c r="R21" s="229"/>
      <c r="S21" s="223">
        <f t="shared" si="1"/>
        <v>46030</v>
      </c>
      <c r="T21" s="224">
        <f>IF(U21=0,0,VLOOKUP($B21,BD!$B:$BO,7,FALSE))</f>
        <v>0</v>
      </c>
      <c r="U21" s="224">
        <f>VLOOKUP($B21,BD!$B:$BO,11,FALSE)</f>
        <v>0</v>
      </c>
      <c r="V21" s="230"/>
      <c r="W21" s="229"/>
      <c r="X21" s="39"/>
      <c r="Y21" s="39"/>
      <c r="Z21" s="39"/>
      <c r="AA21" s="39"/>
      <c r="AB21" s="39"/>
      <c r="AC21" s="39"/>
      <c r="AD21" s="39"/>
      <c r="AE21" s="39"/>
      <c r="AF21" s="39"/>
      <c r="AG21" s="230"/>
      <c r="AI21" s="229"/>
      <c r="AJ21" s="223">
        <f t="shared" si="2"/>
        <v>46030</v>
      </c>
      <c r="AK21" s="224">
        <f>IF(AL21=0,0,VLOOKUP($B21,BD!$B:$BO,12,FALSE))</f>
        <v>0</v>
      </c>
      <c r="AL21" s="224">
        <f>VLOOKUP($B21,BD!$B:$BO,16,FALSE)</f>
        <v>0</v>
      </c>
      <c r="AM21" s="230"/>
      <c r="AN21" s="229"/>
      <c r="AO21" s="39"/>
      <c r="AP21" s="39"/>
      <c r="AQ21" s="39"/>
      <c r="AR21" s="39"/>
      <c r="AS21" s="39"/>
      <c r="AT21" s="39"/>
      <c r="AU21" s="39"/>
      <c r="AV21" s="39"/>
      <c r="AW21" s="39"/>
      <c r="AX21" s="230"/>
    </row>
    <row r="22" spans="1:50" ht="15" customHeight="1" thickBot="1" x14ac:dyDescent="0.3">
      <c r="A22" s="229"/>
      <c r="B22" s="223">
        <f t="shared" si="0"/>
        <v>46031</v>
      </c>
      <c r="C22" s="224">
        <f>IF(D22=0,0,VLOOKUP($B22,BD!$B:$BO,2,FALSE))</f>
        <v>38</v>
      </c>
      <c r="D22" s="224">
        <f>VLOOKUP($B22,BD!$B:$BO,6,FALSE)</f>
        <v>1815</v>
      </c>
      <c r="E22" s="230"/>
      <c r="F22" s="229"/>
      <c r="G22" s="39"/>
      <c r="H22" s="39"/>
      <c r="I22" s="39"/>
      <c r="J22" s="39"/>
      <c r="K22" s="39"/>
      <c r="L22" s="39"/>
      <c r="M22" s="39"/>
      <c r="N22" s="39"/>
      <c r="O22" s="39"/>
      <c r="P22" s="230"/>
      <c r="R22" s="229"/>
      <c r="S22" s="223">
        <f t="shared" si="1"/>
        <v>46031</v>
      </c>
      <c r="T22" s="224">
        <f>IF(U22=0,0,VLOOKUP($B22,BD!$B:$BO,7,FALSE))</f>
        <v>0</v>
      </c>
      <c r="U22" s="224">
        <f>VLOOKUP($B22,BD!$B:$BO,11,FALSE)</f>
        <v>0</v>
      </c>
      <c r="V22" s="230"/>
      <c r="W22" s="229"/>
      <c r="X22" s="39"/>
      <c r="Y22" s="39"/>
      <c r="Z22" s="39"/>
      <c r="AA22" s="39"/>
      <c r="AB22" s="39"/>
      <c r="AC22" s="39"/>
      <c r="AD22" s="39"/>
      <c r="AE22" s="39"/>
      <c r="AF22" s="39"/>
      <c r="AG22" s="230"/>
      <c r="AI22" s="229"/>
      <c r="AJ22" s="223">
        <f t="shared" si="2"/>
        <v>46031</v>
      </c>
      <c r="AK22" s="224">
        <f>IF(AL22=0,0,VLOOKUP($B22,BD!$B:$BO,12,FALSE))</f>
        <v>0</v>
      </c>
      <c r="AL22" s="224">
        <f>VLOOKUP($B22,BD!$B:$BO,16,FALSE)</f>
        <v>0</v>
      </c>
      <c r="AM22" s="230"/>
      <c r="AN22" s="229"/>
      <c r="AO22" s="39"/>
      <c r="AP22" s="39"/>
      <c r="AQ22" s="39"/>
      <c r="AR22" s="39"/>
      <c r="AS22" s="39"/>
      <c r="AT22" s="39"/>
      <c r="AU22" s="39"/>
      <c r="AV22" s="39"/>
      <c r="AW22" s="39"/>
      <c r="AX22" s="230"/>
    </row>
    <row r="23" spans="1:50" ht="15" customHeight="1" thickBot="1" x14ac:dyDescent="0.3">
      <c r="A23" s="229"/>
      <c r="B23" s="223">
        <f t="shared" si="0"/>
        <v>46032</v>
      </c>
      <c r="C23" s="224">
        <f>IF(D23=0,0,VLOOKUP($B23,BD!$B:$BO,2,FALSE))</f>
        <v>38</v>
      </c>
      <c r="D23" s="224">
        <f>VLOOKUP($B23,BD!$B:$BO,6,FALSE)</f>
        <v>2608</v>
      </c>
      <c r="E23" s="230"/>
      <c r="F23" s="229"/>
      <c r="G23" s="39"/>
      <c r="H23" s="39"/>
      <c r="I23" s="39"/>
      <c r="J23" s="39"/>
      <c r="K23" s="39"/>
      <c r="L23" s="39"/>
      <c r="M23" s="39"/>
      <c r="N23" s="39"/>
      <c r="O23" s="39"/>
      <c r="P23" s="230"/>
      <c r="R23" s="229"/>
      <c r="S23" s="223">
        <f t="shared" si="1"/>
        <v>46032</v>
      </c>
      <c r="T23" s="224">
        <f>IF(U23=0,0,VLOOKUP($B23,BD!$B:$BO,7,FALSE))</f>
        <v>0</v>
      </c>
      <c r="U23" s="224">
        <f>VLOOKUP($B23,BD!$B:$BO,11,FALSE)</f>
        <v>0</v>
      </c>
      <c r="V23" s="230"/>
      <c r="W23" s="229"/>
      <c r="X23" s="39"/>
      <c r="Y23" s="39"/>
      <c r="Z23" s="39"/>
      <c r="AA23" s="39"/>
      <c r="AB23" s="39"/>
      <c r="AC23" s="39"/>
      <c r="AD23" s="39"/>
      <c r="AE23" s="39"/>
      <c r="AF23" s="39"/>
      <c r="AG23" s="230"/>
      <c r="AI23" s="229"/>
      <c r="AJ23" s="223">
        <f t="shared" si="2"/>
        <v>46032</v>
      </c>
      <c r="AK23" s="224">
        <f>IF(AL23=0,0,VLOOKUP($B23,BD!$B:$BO,12,FALSE))</f>
        <v>0</v>
      </c>
      <c r="AL23" s="224">
        <f>VLOOKUP($B23,BD!$B:$BO,16,FALSE)</f>
        <v>0</v>
      </c>
      <c r="AM23" s="230"/>
      <c r="AN23" s="229"/>
      <c r="AO23" s="39"/>
      <c r="AP23" s="39"/>
      <c r="AQ23" s="39"/>
      <c r="AR23" s="39"/>
      <c r="AS23" s="39"/>
      <c r="AT23" s="39"/>
      <c r="AU23" s="39"/>
      <c r="AV23" s="39"/>
      <c r="AW23" s="39"/>
      <c r="AX23" s="230"/>
    </row>
    <row r="24" spans="1:50" ht="15" customHeight="1" thickBot="1" x14ac:dyDescent="0.3">
      <c r="A24" s="229"/>
      <c r="B24" s="223">
        <f t="shared" si="0"/>
        <v>46033</v>
      </c>
      <c r="C24" s="224">
        <f>IF(D24=0,0,VLOOKUP($B24,BD!$B:$BO,2,FALSE))</f>
        <v>38</v>
      </c>
      <c r="D24" s="224">
        <f>VLOOKUP($B24,BD!$B:$BO,6,FALSE)</f>
        <v>1821</v>
      </c>
      <c r="E24" s="230"/>
      <c r="F24" s="229"/>
      <c r="G24" s="39"/>
      <c r="H24" s="39"/>
      <c r="I24" s="39"/>
      <c r="J24" s="39"/>
      <c r="K24" s="39"/>
      <c r="L24" s="39"/>
      <c r="M24" s="39"/>
      <c r="N24" s="39"/>
      <c r="O24" s="39"/>
      <c r="P24" s="230"/>
      <c r="R24" s="229"/>
      <c r="S24" s="223">
        <f t="shared" si="1"/>
        <v>46033</v>
      </c>
      <c r="T24" s="224">
        <f>IF(U24=0,0,VLOOKUP($B24,BD!$B:$BO,7,FALSE))</f>
        <v>0</v>
      </c>
      <c r="U24" s="224">
        <f>VLOOKUP($B24,BD!$B:$BO,11,FALSE)</f>
        <v>0</v>
      </c>
      <c r="V24" s="230"/>
      <c r="W24" s="229"/>
      <c r="X24" s="39"/>
      <c r="Y24" s="39"/>
      <c r="Z24" s="39"/>
      <c r="AA24" s="39"/>
      <c r="AB24" s="39"/>
      <c r="AC24" s="39"/>
      <c r="AD24" s="39"/>
      <c r="AE24" s="39"/>
      <c r="AF24" s="39"/>
      <c r="AG24" s="230"/>
      <c r="AI24" s="229"/>
      <c r="AJ24" s="223">
        <f t="shared" si="2"/>
        <v>46033</v>
      </c>
      <c r="AK24" s="224">
        <f>IF(AL24=0,0,VLOOKUP($B24,BD!$B:$BO,12,FALSE))</f>
        <v>0</v>
      </c>
      <c r="AL24" s="224">
        <f>VLOOKUP($B24,BD!$B:$BO,16,FALSE)</f>
        <v>0</v>
      </c>
      <c r="AM24" s="230"/>
      <c r="AN24" s="229"/>
      <c r="AO24" s="39"/>
      <c r="AP24" s="39"/>
      <c r="AQ24" s="39"/>
      <c r="AR24" s="39"/>
      <c r="AS24" s="39"/>
      <c r="AT24" s="39"/>
      <c r="AU24" s="39"/>
      <c r="AV24" s="39"/>
      <c r="AW24" s="39"/>
      <c r="AX24" s="230"/>
    </row>
    <row r="25" spans="1:50" ht="15" customHeight="1" thickBot="1" x14ac:dyDescent="0.3">
      <c r="A25" s="229"/>
      <c r="B25" s="223">
        <f t="shared" si="0"/>
        <v>46034</v>
      </c>
      <c r="C25" s="224">
        <f>IF(D25=0,0,VLOOKUP($B25,BD!$B:$BO,2,FALSE))</f>
        <v>38</v>
      </c>
      <c r="D25" s="224">
        <f>VLOOKUP($B25,BD!$B:$BO,6,FALSE)</f>
        <v>1845</v>
      </c>
      <c r="E25" s="230"/>
      <c r="F25" s="229"/>
      <c r="G25" s="39"/>
      <c r="H25" s="39"/>
      <c r="I25" s="39"/>
      <c r="J25" s="39"/>
      <c r="K25" s="39"/>
      <c r="L25" s="39"/>
      <c r="M25" s="39"/>
      <c r="N25" s="39"/>
      <c r="O25" s="39"/>
      <c r="P25" s="230"/>
      <c r="R25" s="229"/>
      <c r="S25" s="223">
        <f t="shared" si="1"/>
        <v>46034</v>
      </c>
      <c r="T25" s="224">
        <f>IF(U25=0,0,VLOOKUP($B25,BD!$B:$BO,7,FALSE))</f>
        <v>0</v>
      </c>
      <c r="U25" s="224">
        <f>VLOOKUP($B25,BD!$B:$BO,11,FALSE)</f>
        <v>0</v>
      </c>
      <c r="V25" s="230"/>
      <c r="W25" s="229"/>
      <c r="X25" s="39"/>
      <c r="Y25" s="39"/>
      <c r="Z25" s="39"/>
      <c r="AA25" s="39"/>
      <c r="AB25" s="39"/>
      <c r="AC25" s="39"/>
      <c r="AD25" s="39"/>
      <c r="AE25" s="39"/>
      <c r="AF25" s="39"/>
      <c r="AG25" s="230"/>
      <c r="AI25" s="229"/>
      <c r="AJ25" s="223">
        <f t="shared" si="2"/>
        <v>46034</v>
      </c>
      <c r="AK25" s="224">
        <f>IF(AL25=0,0,VLOOKUP($B25,BD!$B:$BO,12,FALSE))</f>
        <v>0</v>
      </c>
      <c r="AL25" s="224">
        <f>VLOOKUP($B25,BD!$B:$BO,16,FALSE)</f>
        <v>0</v>
      </c>
      <c r="AM25" s="230"/>
      <c r="AN25" s="229"/>
      <c r="AO25" s="39"/>
      <c r="AP25" s="39"/>
      <c r="AQ25" s="39"/>
      <c r="AR25" s="39"/>
      <c r="AS25" s="39"/>
      <c r="AT25" s="39"/>
      <c r="AU25" s="39"/>
      <c r="AV25" s="39"/>
      <c r="AW25" s="39"/>
      <c r="AX25" s="230"/>
    </row>
    <row r="26" spans="1:50" ht="15" customHeight="1" thickBot="1" x14ac:dyDescent="0.3">
      <c r="A26" s="229"/>
      <c r="B26" s="223">
        <f t="shared" si="0"/>
        <v>46035</v>
      </c>
      <c r="C26" s="224">
        <f>IF(D26=0,0,VLOOKUP($B26,BD!$B:$BO,2,FALSE))</f>
        <v>38</v>
      </c>
      <c r="D26" s="224">
        <f>VLOOKUP($B26,BD!$B:$BO,6,FALSE)</f>
        <v>1840</v>
      </c>
      <c r="E26" s="230"/>
      <c r="F26" s="229"/>
      <c r="G26" s="39"/>
      <c r="H26" s="39"/>
      <c r="I26" s="39"/>
      <c r="J26" s="39"/>
      <c r="K26" s="39"/>
      <c r="L26" s="39"/>
      <c r="M26" s="39"/>
      <c r="N26" s="39"/>
      <c r="O26" s="39"/>
      <c r="P26" s="230"/>
      <c r="R26" s="229"/>
      <c r="S26" s="223">
        <f t="shared" si="1"/>
        <v>46035</v>
      </c>
      <c r="T26" s="224">
        <f>IF(U26=0,0,VLOOKUP($B26,BD!$B:$BO,7,FALSE))</f>
        <v>0</v>
      </c>
      <c r="U26" s="224">
        <f>VLOOKUP($B26,BD!$B:$BO,11,FALSE)</f>
        <v>0</v>
      </c>
      <c r="V26" s="230"/>
      <c r="W26" s="229"/>
      <c r="X26" s="39"/>
      <c r="Y26" s="39"/>
      <c r="Z26" s="39"/>
      <c r="AA26" s="39"/>
      <c r="AB26" s="39"/>
      <c r="AC26" s="39"/>
      <c r="AD26" s="39"/>
      <c r="AE26" s="39"/>
      <c r="AF26" s="39"/>
      <c r="AG26" s="230"/>
      <c r="AI26" s="229"/>
      <c r="AJ26" s="223">
        <f t="shared" si="2"/>
        <v>46035</v>
      </c>
      <c r="AK26" s="224">
        <f>IF(AL26=0,0,VLOOKUP($B26,BD!$B:$BO,12,FALSE))</f>
        <v>0</v>
      </c>
      <c r="AL26" s="224">
        <f>VLOOKUP($B26,BD!$B:$BO,16,FALSE)</f>
        <v>0</v>
      </c>
      <c r="AM26" s="230"/>
      <c r="AN26" s="229"/>
      <c r="AO26" s="39"/>
      <c r="AP26" s="39"/>
      <c r="AQ26" s="39"/>
      <c r="AR26" s="39"/>
      <c r="AS26" s="39"/>
      <c r="AT26" s="39"/>
      <c r="AU26" s="39"/>
      <c r="AV26" s="39"/>
      <c r="AW26" s="39"/>
      <c r="AX26" s="230"/>
    </row>
    <row r="27" spans="1:50" ht="15" customHeight="1" thickBot="1" x14ac:dyDescent="0.3">
      <c r="A27" s="229"/>
      <c r="B27" s="223">
        <f t="shared" si="0"/>
        <v>46036</v>
      </c>
      <c r="C27" s="224">
        <f>IF(D27=0,0,VLOOKUP($B27,BD!$B:$BO,2,FALSE))</f>
        <v>38</v>
      </c>
      <c r="D27" s="224">
        <f>VLOOKUP($B27,BD!$B:$BO,6,FALSE)</f>
        <v>1812</v>
      </c>
      <c r="E27" s="230"/>
      <c r="F27" s="229"/>
      <c r="G27" s="39"/>
      <c r="H27" s="39"/>
      <c r="I27" s="39"/>
      <c r="J27" s="39"/>
      <c r="K27" s="39"/>
      <c r="L27" s="39"/>
      <c r="M27" s="39"/>
      <c r="N27" s="39"/>
      <c r="O27" s="39"/>
      <c r="P27" s="230"/>
      <c r="R27" s="229"/>
      <c r="S27" s="223">
        <f t="shared" si="1"/>
        <v>46036</v>
      </c>
      <c r="T27" s="224">
        <f>IF(U27=0,0,VLOOKUP($B27,BD!$B:$BO,7,FALSE))</f>
        <v>0</v>
      </c>
      <c r="U27" s="224">
        <f>VLOOKUP($B27,BD!$B:$BO,11,FALSE)</f>
        <v>0</v>
      </c>
      <c r="V27" s="230"/>
      <c r="W27" s="229"/>
      <c r="X27" s="39"/>
      <c r="Y27" s="39"/>
      <c r="Z27" s="39"/>
      <c r="AA27" s="39"/>
      <c r="AB27" s="39"/>
      <c r="AC27" s="39"/>
      <c r="AD27" s="39"/>
      <c r="AE27" s="39"/>
      <c r="AF27" s="39"/>
      <c r="AG27" s="230"/>
      <c r="AI27" s="229"/>
      <c r="AJ27" s="223">
        <f t="shared" si="2"/>
        <v>46036</v>
      </c>
      <c r="AK27" s="224">
        <f>IF(AL27=0,0,VLOOKUP($B27,BD!$B:$BO,12,FALSE))</f>
        <v>0</v>
      </c>
      <c r="AL27" s="224">
        <f>VLOOKUP($B27,BD!$B:$BO,16,FALSE)</f>
        <v>0</v>
      </c>
      <c r="AM27" s="230"/>
      <c r="AN27" s="229"/>
      <c r="AO27" s="39"/>
      <c r="AP27" s="39"/>
      <c r="AQ27" s="39"/>
      <c r="AR27" s="39"/>
      <c r="AS27" s="39"/>
      <c r="AT27" s="39"/>
      <c r="AU27" s="39"/>
      <c r="AV27" s="39"/>
      <c r="AW27" s="39"/>
      <c r="AX27" s="230"/>
    </row>
    <row r="28" spans="1:50" ht="15" customHeight="1" thickBot="1" x14ac:dyDescent="0.3">
      <c r="A28" s="229"/>
      <c r="B28" s="223">
        <f t="shared" si="0"/>
        <v>46037</v>
      </c>
      <c r="C28" s="224">
        <f>IF(D28=0,0,VLOOKUP($B28,BD!$B:$BO,2,FALSE))</f>
        <v>38</v>
      </c>
      <c r="D28" s="224">
        <f>VLOOKUP($B28,BD!$B:$BO,6,FALSE)</f>
        <v>1794</v>
      </c>
      <c r="E28" s="230"/>
      <c r="F28" s="229"/>
      <c r="G28" s="39"/>
      <c r="H28" s="39"/>
      <c r="I28" s="39"/>
      <c r="J28" s="39"/>
      <c r="K28" s="39"/>
      <c r="L28" s="39"/>
      <c r="M28" s="39"/>
      <c r="N28" s="39"/>
      <c r="O28" s="39"/>
      <c r="P28" s="230"/>
      <c r="R28" s="229"/>
      <c r="S28" s="223">
        <f t="shared" si="1"/>
        <v>46037</v>
      </c>
      <c r="T28" s="224">
        <f>IF(U28=0,0,VLOOKUP($B28,BD!$B:$BO,7,FALSE))</f>
        <v>0</v>
      </c>
      <c r="U28" s="224">
        <f>VLOOKUP($B28,BD!$B:$BO,11,FALSE)</f>
        <v>0</v>
      </c>
      <c r="V28" s="230"/>
      <c r="W28" s="229"/>
      <c r="X28" s="39"/>
      <c r="Y28" s="39"/>
      <c r="Z28" s="39"/>
      <c r="AA28" s="39"/>
      <c r="AB28" s="39"/>
      <c r="AC28" s="39"/>
      <c r="AD28" s="39"/>
      <c r="AE28" s="39"/>
      <c r="AF28" s="39"/>
      <c r="AG28" s="230"/>
      <c r="AI28" s="229"/>
      <c r="AJ28" s="223">
        <f t="shared" si="2"/>
        <v>46037</v>
      </c>
      <c r="AK28" s="224">
        <f>IF(AL28=0,0,VLOOKUP($B28,BD!$B:$BO,12,FALSE))</f>
        <v>38</v>
      </c>
      <c r="AL28" s="224">
        <f>VLOOKUP($B28,BD!$B:$BO,16,FALSE)</f>
        <v>253</v>
      </c>
      <c r="AM28" s="230"/>
      <c r="AN28" s="229"/>
      <c r="AO28" s="39"/>
      <c r="AP28" s="39"/>
      <c r="AQ28" s="39"/>
      <c r="AR28" s="39"/>
      <c r="AS28" s="39"/>
      <c r="AT28" s="39"/>
      <c r="AU28" s="39"/>
      <c r="AV28" s="39"/>
      <c r="AW28" s="39"/>
      <c r="AX28" s="230"/>
    </row>
    <row r="29" spans="1:50" ht="15" customHeight="1" thickBot="1" x14ac:dyDescent="0.3">
      <c r="A29" s="229"/>
      <c r="B29" s="223">
        <f t="shared" si="0"/>
        <v>46038</v>
      </c>
      <c r="C29" s="224">
        <f>IF(D29=0,0,VLOOKUP($B29,BD!$B:$BO,2,FALSE))</f>
        <v>38</v>
      </c>
      <c r="D29" s="224">
        <f>VLOOKUP($B29,BD!$B:$BO,6,FALSE)</f>
        <v>1837</v>
      </c>
      <c r="E29" s="230"/>
      <c r="F29" s="229"/>
      <c r="G29" s="39"/>
      <c r="H29" s="39"/>
      <c r="I29" s="39"/>
      <c r="J29" s="39"/>
      <c r="K29" s="39"/>
      <c r="L29" s="39"/>
      <c r="M29" s="39"/>
      <c r="N29" s="39"/>
      <c r="O29" s="39"/>
      <c r="P29" s="230"/>
      <c r="R29" s="229"/>
      <c r="S29" s="223">
        <f t="shared" si="1"/>
        <v>46038</v>
      </c>
      <c r="T29" s="224">
        <f>IF(U29=0,0,VLOOKUP($B29,BD!$B:$BO,7,FALSE))</f>
        <v>0</v>
      </c>
      <c r="U29" s="224">
        <f>VLOOKUP($B29,BD!$B:$BO,11,FALSE)</f>
        <v>0</v>
      </c>
      <c r="V29" s="230"/>
      <c r="W29" s="229"/>
      <c r="X29" s="39"/>
      <c r="Y29" s="39"/>
      <c r="Z29" s="39"/>
      <c r="AA29" s="39"/>
      <c r="AB29" s="39"/>
      <c r="AC29" s="39"/>
      <c r="AD29" s="39"/>
      <c r="AE29" s="39"/>
      <c r="AF29" s="39"/>
      <c r="AG29" s="230"/>
      <c r="AI29" s="229"/>
      <c r="AJ29" s="223">
        <f t="shared" si="2"/>
        <v>46038</v>
      </c>
      <c r="AK29" s="224">
        <f>IF(AL29=0,0,VLOOKUP($B29,BD!$B:$BO,12,FALSE))</f>
        <v>0</v>
      </c>
      <c r="AL29" s="224">
        <f>VLOOKUP($B29,BD!$B:$BO,16,FALSE)</f>
        <v>0</v>
      </c>
      <c r="AM29" s="230"/>
      <c r="AN29" s="229"/>
      <c r="AO29" s="39"/>
      <c r="AP29" s="39"/>
      <c r="AQ29" s="39"/>
      <c r="AR29" s="39"/>
      <c r="AS29" s="39"/>
      <c r="AT29" s="39"/>
      <c r="AU29" s="39"/>
      <c r="AV29" s="39"/>
      <c r="AW29" s="39"/>
      <c r="AX29" s="230"/>
    </row>
    <row r="30" spans="1:50" ht="15" customHeight="1" thickBot="1" x14ac:dyDescent="0.3">
      <c r="A30" s="229"/>
      <c r="B30" s="223">
        <f t="shared" si="0"/>
        <v>46039</v>
      </c>
      <c r="C30" s="224">
        <f>IF(D30=0,0,VLOOKUP($B30,BD!$B:$BO,2,FALSE))</f>
        <v>38</v>
      </c>
      <c r="D30" s="224">
        <f>VLOOKUP($B30,BD!$B:$BO,6,FALSE)</f>
        <v>1840</v>
      </c>
      <c r="E30" s="230"/>
      <c r="F30" s="231"/>
      <c r="G30" s="235"/>
      <c r="H30" s="235"/>
      <c r="I30" s="235"/>
      <c r="J30" s="235"/>
      <c r="K30" s="235"/>
      <c r="L30" s="235"/>
      <c r="M30" s="235"/>
      <c r="N30" s="235"/>
      <c r="O30" s="235"/>
      <c r="P30" s="233"/>
      <c r="R30" s="229"/>
      <c r="S30" s="223">
        <f t="shared" si="1"/>
        <v>46039</v>
      </c>
      <c r="T30" s="224">
        <f>IF(U30=0,0,VLOOKUP($B30,BD!$B:$BO,7,FALSE))</f>
        <v>0</v>
      </c>
      <c r="U30" s="224">
        <f>VLOOKUP($B30,BD!$B:$BO,11,FALSE)</f>
        <v>0</v>
      </c>
      <c r="V30" s="230"/>
      <c r="W30" s="231"/>
      <c r="X30" s="235"/>
      <c r="Y30" s="235"/>
      <c r="Z30" s="235"/>
      <c r="AA30" s="235"/>
      <c r="AB30" s="235"/>
      <c r="AC30" s="235"/>
      <c r="AD30" s="235"/>
      <c r="AE30" s="235"/>
      <c r="AF30" s="235"/>
      <c r="AG30" s="233"/>
      <c r="AI30" s="229"/>
      <c r="AJ30" s="223">
        <f t="shared" si="2"/>
        <v>46039</v>
      </c>
      <c r="AK30" s="224">
        <f>IF(AL30=0,0,VLOOKUP($B30,BD!$B:$BO,12,FALSE))</f>
        <v>0</v>
      </c>
      <c r="AL30" s="224">
        <f>VLOOKUP($B30,BD!$B:$BO,16,FALSE)</f>
        <v>0</v>
      </c>
      <c r="AM30" s="230"/>
      <c r="AN30" s="231"/>
      <c r="AO30" s="235"/>
      <c r="AP30" s="235"/>
      <c r="AQ30" s="235"/>
      <c r="AR30" s="235"/>
      <c r="AS30" s="235"/>
      <c r="AT30" s="235"/>
      <c r="AU30" s="235"/>
      <c r="AV30" s="235"/>
      <c r="AW30" s="235"/>
      <c r="AX30" s="233"/>
    </row>
    <row r="31" spans="1:50" ht="15" customHeight="1" thickBot="1" x14ac:dyDescent="0.3">
      <c r="A31" s="229"/>
      <c r="B31" s="223">
        <f t="shared" si="0"/>
        <v>46040</v>
      </c>
      <c r="C31" s="224">
        <f>IF(D31=0,0,VLOOKUP($B31,BD!$B:$BO,2,FALSE))</f>
        <v>38</v>
      </c>
      <c r="D31" s="224">
        <f>VLOOKUP($B31,BD!$B:$BO,6,FALSE)</f>
        <v>1810</v>
      </c>
      <c r="E31" s="230"/>
      <c r="F31" s="229"/>
      <c r="G31" s="476" t="s">
        <v>716</v>
      </c>
      <c r="H31" s="477"/>
      <c r="I31" s="477"/>
      <c r="J31" s="477"/>
      <c r="K31" s="477"/>
      <c r="L31" s="477"/>
      <c r="M31" s="477"/>
      <c r="N31" s="477"/>
      <c r="O31" s="477"/>
      <c r="P31" s="230"/>
      <c r="R31" s="229"/>
      <c r="S31" s="223">
        <f t="shared" si="1"/>
        <v>46040</v>
      </c>
      <c r="T31" s="224">
        <f>IF(U31=0,0,VLOOKUP($B31,BD!$B:$BO,7,FALSE))</f>
        <v>0</v>
      </c>
      <c r="U31" s="224">
        <f>VLOOKUP($B31,BD!$B:$BO,11,FALSE)</f>
        <v>0</v>
      </c>
      <c r="V31" s="230"/>
      <c r="W31" s="229"/>
      <c r="X31" s="448"/>
      <c r="Y31" s="448"/>
      <c r="Z31" s="448"/>
      <c r="AA31" s="448"/>
      <c r="AB31" s="448"/>
      <c r="AC31" s="448"/>
      <c r="AD31" s="448"/>
      <c r="AE31" s="448"/>
      <c r="AF31" s="448"/>
      <c r="AG31" s="230"/>
      <c r="AI31" s="229"/>
      <c r="AJ31" s="223">
        <f t="shared" si="2"/>
        <v>46040</v>
      </c>
      <c r="AK31" s="224">
        <f>IF(AL31=0,0,VLOOKUP($B31,BD!$B:$BO,12,FALSE))</f>
        <v>0</v>
      </c>
      <c r="AL31" s="224">
        <f>VLOOKUP($B31,BD!$B:$BO,16,FALSE)</f>
        <v>0</v>
      </c>
      <c r="AM31" s="230"/>
      <c r="AN31" s="229"/>
      <c r="AO31" s="447" t="s">
        <v>586</v>
      </c>
      <c r="AP31" s="448"/>
      <c r="AQ31" s="448"/>
      <c r="AR31" s="448"/>
      <c r="AS31" s="448"/>
      <c r="AT31" s="448"/>
      <c r="AU31" s="448"/>
      <c r="AV31" s="448"/>
      <c r="AW31" s="448"/>
      <c r="AX31" s="230"/>
    </row>
    <row r="32" spans="1:50" ht="15" customHeight="1" thickBot="1" x14ac:dyDescent="0.3">
      <c r="A32" s="229"/>
      <c r="B32" s="223">
        <f t="shared" si="0"/>
        <v>46041</v>
      </c>
      <c r="C32" s="224">
        <f>IF(D32=0,0,VLOOKUP($B32,BD!$B:$BO,2,FALSE))</f>
        <v>38</v>
      </c>
      <c r="D32" s="224">
        <f>VLOOKUP($B32,BD!$B:$BO,6,FALSE)</f>
        <v>1830</v>
      </c>
      <c r="E32" s="230"/>
      <c r="F32" s="229"/>
      <c r="G32" s="478"/>
      <c r="H32" s="478"/>
      <c r="I32" s="478"/>
      <c r="J32" s="478"/>
      <c r="K32" s="478"/>
      <c r="L32" s="478"/>
      <c r="M32" s="478"/>
      <c r="N32" s="478"/>
      <c r="O32" s="478"/>
      <c r="P32" s="230"/>
      <c r="R32" s="229"/>
      <c r="S32" s="223">
        <f t="shared" si="1"/>
        <v>46041</v>
      </c>
      <c r="T32" s="224">
        <f>IF(U32=0,0,VLOOKUP($B32,BD!$B:$BO,7,FALSE))</f>
        <v>0</v>
      </c>
      <c r="U32" s="224">
        <f>VLOOKUP($B32,BD!$B:$BO,11,FALSE)</f>
        <v>0</v>
      </c>
      <c r="V32" s="230"/>
      <c r="W32" s="229"/>
      <c r="X32" s="449"/>
      <c r="Y32" s="449"/>
      <c r="Z32" s="449"/>
      <c r="AA32" s="449"/>
      <c r="AB32" s="449"/>
      <c r="AC32" s="449"/>
      <c r="AD32" s="449"/>
      <c r="AE32" s="449"/>
      <c r="AF32" s="449"/>
      <c r="AG32" s="230"/>
      <c r="AI32" s="229"/>
      <c r="AJ32" s="223">
        <f t="shared" si="2"/>
        <v>46041</v>
      </c>
      <c r="AK32" s="224">
        <f>IF(AL32=0,0,VLOOKUP($B32,BD!$B:$BO,12,FALSE))</f>
        <v>0</v>
      </c>
      <c r="AL32" s="224">
        <f>VLOOKUP($B32,BD!$B:$BO,16,FALSE)</f>
        <v>0</v>
      </c>
      <c r="AM32" s="230"/>
      <c r="AN32" s="229"/>
      <c r="AO32" s="449"/>
      <c r="AP32" s="449"/>
      <c r="AQ32" s="449"/>
      <c r="AR32" s="449"/>
      <c r="AS32" s="449"/>
      <c r="AT32" s="449"/>
      <c r="AU32" s="449"/>
      <c r="AV32" s="449"/>
      <c r="AW32" s="449"/>
      <c r="AX32" s="230"/>
    </row>
    <row r="33" spans="1:50" ht="15" customHeight="1" thickBot="1" x14ac:dyDescent="0.3">
      <c r="A33" s="229"/>
      <c r="B33" s="223">
        <f t="shared" si="0"/>
        <v>46042</v>
      </c>
      <c r="C33" s="224">
        <f>IF(D33=0,0,VLOOKUP($B33,BD!$B:$BO,2,FALSE))</f>
        <v>38</v>
      </c>
      <c r="D33" s="224">
        <f>VLOOKUP($B33,BD!$B:$BO,6,FALSE)</f>
        <v>1842</v>
      </c>
      <c r="E33" s="230"/>
      <c r="F33" s="229"/>
      <c r="G33" s="478"/>
      <c r="H33" s="478"/>
      <c r="I33" s="478"/>
      <c r="J33" s="478"/>
      <c r="K33" s="478"/>
      <c r="L33" s="478"/>
      <c r="M33" s="478"/>
      <c r="N33" s="478"/>
      <c r="O33" s="478"/>
      <c r="P33" s="230"/>
      <c r="R33" s="229"/>
      <c r="S33" s="223">
        <f t="shared" si="1"/>
        <v>46042</v>
      </c>
      <c r="T33" s="224">
        <f>IF(U33=0,0,VLOOKUP($B33,BD!$B:$BO,7,FALSE))</f>
        <v>0</v>
      </c>
      <c r="U33" s="224">
        <f>VLOOKUP($B33,BD!$B:$BO,11,FALSE)</f>
        <v>0</v>
      </c>
      <c r="V33" s="230"/>
      <c r="W33" s="229"/>
      <c r="X33" s="449"/>
      <c r="Y33" s="449"/>
      <c r="Z33" s="449"/>
      <c r="AA33" s="449"/>
      <c r="AB33" s="449"/>
      <c r="AC33" s="449"/>
      <c r="AD33" s="449"/>
      <c r="AE33" s="449"/>
      <c r="AF33" s="449"/>
      <c r="AG33" s="230"/>
      <c r="AI33" s="229"/>
      <c r="AJ33" s="223">
        <f t="shared" si="2"/>
        <v>46042</v>
      </c>
      <c r="AK33" s="224">
        <f>IF(AL33=0,0,VLOOKUP($B33,BD!$B:$BO,12,FALSE))</f>
        <v>0</v>
      </c>
      <c r="AL33" s="224">
        <f>VLOOKUP($B33,BD!$B:$BO,16,FALSE)</f>
        <v>0</v>
      </c>
      <c r="AM33" s="230"/>
      <c r="AN33" s="229"/>
      <c r="AO33" s="449"/>
      <c r="AP33" s="449"/>
      <c r="AQ33" s="449"/>
      <c r="AR33" s="449"/>
      <c r="AS33" s="449"/>
      <c r="AT33" s="449"/>
      <c r="AU33" s="449"/>
      <c r="AV33" s="449"/>
      <c r="AW33" s="449"/>
      <c r="AX33" s="230"/>
    </row>
    <row r="34" spans="1:50" ht="15" customHeight="1" thickBot="1" x14ac:dyDescent="0.3">
      <c r="A34" s="229"/>
      <c r="B34" s="223">
        <f t="shared" si="0"/>
        <v>46043</v>
      </c>
      <c r="C34" s="224">
        <f>IF(D34=0,0,VLOOKUP($B34,BD!$B:$BO,2,FALSE))</f>
        <v>38</v>
      </c>
      <c r="D34" s="224">
        <f>VLOOKUP($B34,BD!$B:$BO,6,FALSE)</f>
        <v>1815</v>
      </c>
      <c r="E34" s="230"/>
      <c r="F34" s="229"/>
      <c r="G34" s="478"/>
      <c r="H34" s="478"/>
      <c r="I34" s="478"/>
      <c r="J34" s="478"/>
      <c r="K34" s="478"/>
      <c r="L34" s="478"/>
      <c r="M34" s="478"/>
      <c r="N34" s="478"/>
      <c r="O34" s="478"/>
      <c r="P34" s="230"/>
      <c r="R34" s="229"/>
      <c r="S34" s="223">
        <f t="shared" si="1"/>
        <v>46043</v>
      </c>
      <c r="T34" s="224">
        <f>IF(U34=0,0,VLOOKUP($B34,BD!$B:$BO,7,FALSE))</f>
        <v>0</v>
      </c>
      <c r="U34" s="224">
        <f>VLOOKUP($B34,BD!$B:$BO,11,FALSE)</f>
        <v>0</v>
      </c>
      <c r="V34" s="230"/>
      <c r="W34" s="229"/>
      <c r="X34" s="449"/>
      <c r="Y34" s="449"/>
      <c r="Z34" s="449"/>
      <c r="AA34" s="449"/>
      <c r="AB34" s="449"/>
      <c r="AC34" s="449"/>
      <c r="AD34" s="449"/>
      <c r="AE34" s="449"/>
      <c r="AF34" s="449"/>
      <c r="AG34" s="230"/>
      <c r="AI34" s="229"/>
      <c r="AJ34" s="223">
        <f t="shared" si="2"/>
        <v>46043</v>
      </c>
      <c r="AK34" s="224">
        <f>IF(AL34=0,0,VLOOKUP($B34,BD!$B:$BO,12,FALSE))</f>
        <v>0</v>
      </c>
      <c r="AL34" s="224">
        <f>VLOOKUP($B34,BD!$B:$BO,16,FALSE)</f>
        <v>0</v>
      </c>
      <c r="AM34" s="230"/>
      <c r="AN34" s="229"/>
      <c r="AO34" s="449"/>
      <c r="AP34" s="449"/>
      <c r="AQ34" s="449"/>
      <c r="AR34" s="449"/>
      <c r="AS34" s="449"/>
      <c r="AT34" s="449"/>
      <c r="AU34" s="449"/>
      <c r="AV34" s="449"/>
      <c r="AW34" s="449"/>
      <c r="AX34" s="230"/>
    </row>
    <row r="35" spans="1:50" ht="15" customHeight="1" thickBot="1" x14ac:dyDescent="0.3">
      <c r="A35" s="229"/>
      <c r="B35" s="223">
        <f t="shared" si="0"/>
        <v>46044</v>
      </c>
      <c r="C35" s="224">
        <f>IF(D35=0,0,VLOOKUP($B35,BD!$B:$BO,2,FALSE))</f>
        <v>38</v>
      </c>
      <c r="D35" s="224">
        <f>VLOOKUP($B35,BD!$B:$BO,6,FALSE)</f>
        <v>1819</v>
      </c>
      <c r="E35" s="230"/>
      <c r="F35" s="229"/>
      <c r="G35" s="478"/>
      <c r="H35" s="478"/>
      <c r="I35" s="478"/>
      <c r="J35" s="478"/>
      <c r="K35" s="478"/>
      <c r="L35" s="478"/>
      <c r="M35" s="478"/>
      <c r="N35" s="478"/>
      <c r="O35" s="478"/>
      <c r="P35" s="230"/>
      <c r="R35" s="229"/>
      <c r="S35" s="223">
        <f t="shared" si="1"/>
        <v>46044</v>
      </c>
      <c r="T35" s="224">
        <f>IF(U35=0,0,VLOOKUP($B35,BD!$B:$BO,7,FALSE))</f>
        <v>0</v>
      </c>
      <c r="U35" s="224">
        <f>VLOOKUP($B35,BD!$B:$BO,11,FALSE)</f>
        <v>0</v>
      </c>
      <c r="V35" s="230"/>
      <c r="W35" s="229"/>
      <c r="X35" s="449"/>
      <c r="Y35" s="449"/>
      <c r="Z35" s="449"/>
      <c r="AA35" s="449"/>
      <c r="AB35" s="449"/>
      <c r="AC35" s="449"/>
      <c r="AD35" s="449"/>
      <c r="AE35" s="449"/>
      <c r="AF35" s="449"/>
      <c r="AG35" s="230"/>
      <c r="AI35" s="229"/>
      <c r="AJ35" s="223">
        <f t="shared" si="2"/>
        <v>46044</v>
      </c>
      <c r="AK35" s="224">
        <f>IF(AL35=0,0,VLOOKUP($B35,BD!$B:$BO,12,FALSE))</f>
        <v>0</v>
      </c>
      <c r="AL35" s="224">
        <f>VLOOKUP($B35,BD!$B:$BO,16,FALSE)</f>
        <v>0</v>
      </c>
      <c r="AM35" s="230"/>
      <c r="AN35" s="229"/>
      <c r="AO35" s="449"/>
      <c r="AP35" s="449"/>
      <c r="AQ35" s="449"/>
      <c r="AR35" s="449"/>
      <c r="AS35" s="449"/>
      <c r="AT35" s="449"/>
      <c r="AU35" s="449"/>
      <c r="AV35" s="449"/>
      <c r="AW35" s="449"/>
      <c r="AX35" s="230"/>
    </row>
    <row r="36" spans="1:50" ht="15" customHeight="1" thickBot="1" x14ac:dyDescent="0.3">
      <c r="A36" s="229"/>
      <c r="B36" s="223">
        <f t="shared" si="0"/>
        <v>46045</v>
      </c>
      <c r="C36" s="224">
        <f>IF(D36=0,0,VLOOKUP($B36,BD!$B:$BO,2,FALSE))</f>
        <v>38</v>
      </c>
      <c r="D36" s="224">
        <f>VLOOKUP($B36,BD!$B:$BO,6,FALSE)</f>
        <v>1817</v>
      </c>
      <c r="E36" s="230"/>
      <c r="F36" s="229"/>
      <c r="G36" s="478"/>
      <c r="H36" s="478"/>
      <c r="I36" s="478"/>
      <c r="J36" s="478"/>
      <c r="K36" s="478"/>
      <c r="L36" s="478"/>
      <c r="M36" s="478"/>
      <c r="N36" s="478"/>
      <c r="O36" s="478"/>
      <c r="P36" s="230"/>
      <c r="R36" s="229"/>
      <c r="S36" s="223">
        <f t="shared" si="1"/>
        <v>46045</v>
      </c>
      <c r="T36" s="224">
        <f>IF(U36=0,0,VLOOKUP($B36,BD!$B:$BO,7,FALSE))</f>
        <v>0</v>
      </c>
      <c r="U36" s="224">
        <f>VLOOKUP($B36,BD!$B:$BO,11,FALSE)</f>
        <v>0</v>
      </c>
      <c r="V36" s="230"/>
      <c r="W36" s="229"/>
      <c r="X36" s="449"/>
      <c r="Y36" s="449"/>
      <c r="Z36" s="449"/>
      <c r="AA36" s="449"/>
      <c r="AB36" s="449"/>
      <c r="AC36" s="449"/>
      <c r="AD36" s="449"/>
      <c r="AE36" s="449"/>
      <c r="AF36" s="449"/>
      <c r="AG36" s="230"/>
      <c r="AI36" s="229"/>
      <c r="AJ36" s="223">
        <f t="shared" si="2"/>
        <v>46045</v>
      </c>
      <c r="AK36" s="224">
        <f>IF(AL36=0,0,VLOOKUP($B36,BD!$B:$BO,12,FALSE))</f>
        <v>0</v>
      </c>
      <c r="AL36" s="224">
        <f>VLOOKUP($B36,BD!$B:$BO,16,FALSE)</f>
        <v>0</v>
      </c>
      <c r="AM36" s="230"/>
      <c r="AN36" s="229"/>
      <c r="AO36" s="449"/>
      <c r="AP36" s="449"/>
      <c r="AQ36" s="449"/>
      <c r="AR36" s="449"/>
      <c r="AS36" s="449"/>
      <c r="AT36" s="449"/>
      <c r="AU36" s="449"/>
      <c r="AV36" s="449"/>
      <c r="AW36" s="449"/>
      <c r="AX36" s="230"/>
    </row>
    <row r="37" spans="1:50" ht="15" customHeight="1" thickBot="1" x14ac:dyDescent="0.3">
      <c r="A37" s="229"/>
      <c r="B37" s="223">
        <f t="shared" si="0"/>
        <v>46046</v>
      </c>
      <c r="C37" s="224">
        <f>IF(D37=0,0,VLOOKUP($B37,BD!$B:$BO,2,FALSE))</f>
        <v>38</v>
      </c>
      <c r="D37" s="224">
        <f>VLOOKUP($B37,BD!$B:$BO,6,FALSE)</f>
        <v>1837</v>
      </c>
      <c r="E37" s="230"/>
      <c r="F37" s="229"/>
      <c r="G37" s="478"/>
      <c r="H37" s="478"/>
      <c r="I37" s="478"/>
      <c r="J37" s="478"/>
      <c r="K37" s="478"/>
      <c r="L37" s="478"/>
      <c r="M37" s="478"/>
      <c r="N37" s="478"/>
      <c r="O37" s="478"/>
      <c r="P37" s="230"/>
      <c r="R37" s="229"/>
      <c r="S37" s="223">
        <f t="shared" si="1"/>
        <v>46046</v>
      </c>
      <c r="T37" s="224">
        <f>IF(U37=0,0,VLOOKUP($B37,BD!$B:$BO,7,FALSE))</f>
        <v>0</v>
      </c>
      <c r="U37" s="224">
        <f>VLOOKUP($B37,BD!$B:$BO,11,FALSE)</f>
        <v>0</v>
      </c>
      <c r="V37" s="230"/>
      <c r="W37" s="229"/>
      <c r="X37" s="449"/>
      <c r="Y37" s="449"/>
      <c r="Z37" s="449"/>
      <c r="AA37" s="449"/>
      <c r="AB37" s="449"/>
      <c r="AC37" s="449"/>
      <c r="AD37" s="449"/>
      <c r="AE37" s="449"/>
      <c r="AF37" s="449"/>
      <c r="AG37" s="230"/>
      <c r="AI37" s="229"/>
      <c r="AJ37" s="223">
        <f t="shared" si="2"/>
        <v>46046</v>
      </c>
      <c r="AK37" s="224">
        <f>IF(AL37=0,0,VLOOKUP($B37,BD!$B:$BO,12,FALSE))</f>
        <v>0</v>
      </c>
      <c r="AL37" s="224">
        <f>VLOOKUP($B37,BD!$B:$BO,16,FALSE)</f>
        <v>0</v>
      </c>
      <c r="AM37" s="230"/>
      <c r="AN37" s="229"/>
      <c r="AO37" s="449"/>
      <c r="AP37" s="449"/>
      <c r="AQ37" s="449"/>
      <c r="AR37" s="449"/>
      <c r="AS37" s="449"/>
      <c r="AT37" s="449"/>
      <c r="AU37" s="449"/>
      <c r="AV37" s="449"/>
      <c r="AW37" s="449"/>
      <c r="AX37" s="230"/>
    </row>
    <row r="38" spans="1:50" ht="15" customHeight="1" thickBot="1" x14ac:dyDescent="0.3">
      <c r="A38" s="229"/>
      <c r="B38" s="223">
        <f t="shared" si="0"/>
        <v>46047</v>
      </c>
      <c r="C38" s="224">
        <f>IF(D38=0,0,VLOOKUP($B38,BD!$B:$BO,2,FALSE))</f>
        <v>38</v>
      </c>
      <c r="D38" s="224">
        <f>VLOOKUP($B38,BD!$B:$BO,6,FALSE)</f>
        <v>1822</v>
      </c>
      <c r="E38" s="230"/>
      <c r="F38" s="229"/>
      <c r="G38" s="478"/>
      <c r="H38" s="478"/>
      <c r="I38" s="478"/>
      <c r="J38" s="478"/>
      <c r="K38" s="478"/>
      <c r="L38" s="478"/>
      <c r="M38" s="478"/>
      <c r="N38" s="478"/>
      <c r="O38" s="478"/>
      <c r="P38" s="230"/>
      <c r="R38" s="229"/>
      <c r="S38" s="223">
        <f t="shared" si="1"/>
        <v>46047</v>
      </c>
      <c r="T38" s="224">
        <f>IF(U38=0,0,VLOOKUP($B38,BD!$B:$BO,7,FALSE))</f>
        <v>0</v>
      </c>
      <c r="U38" s="224">
        <f>VLOOKUP($B38,BD!$B:$BO,11,FALSE)</f>
        <v>0</v>
      </c>
      <c r="V38" s="230"/>
      <c r="W38" s="229"/>
      <c r="X38" s="449"/>
      <c r="Y38" s="449"/>
      <c r="Z38" s="449"/>
      <c r="AA38" s="449"/>
      <c r="AB38" s="449"/>
      <c r="AC38" s="449"/>
      <c r="AD38" s="449"/>
      <c r="AE38" s="449"/>
      <c r="AF38" s="449"/>
      <c r="AG38" s="230"/>
      <c r="AI38" s="229"/>
      <c r="AJ38" s="223">
        <f t="shared" si="2"/>
        <v>46047</v>
      </c>
      <c r="AK38" s="224">
        <f>IF(AL38=0,0,VLOOKUP($B38,BD!$B:$BO,12,FALSE))</f>
        <v>0</v>
      </c>
      <c r="AL38" s="224">
        <f>VLOOKUP($B38,BD!$B:$BO,16,FALSE)</f>
        <v>0</v>
      </c>
      <c r="AM38" s="230"/>
      <c r="AN38" s="229"/>
      <c r="AO38" s="449"/>
      <c r="AP38" s="449"/>
      <c r="AQ38" s="449"/>
      <c r="AR38" s="449"/>
      <c r="AS38" s="449"/>
      <c r="AT38" s="449"/>
      <c r="AU38" s="449"/>
      <c r="AV38" s="449"/>
      <c r="AW38" s="449"/>
      <c r="AX38" s="230"/>
    </row>
    <row r="39" spans="1:50" ht="15" customHeight="1" thickBot="1" x14ac:dyDescent="0.3">
      <c r="A39" s="229"/>
      <c r="B39" s="223">
        <f t="shared" si="0"/>
        <v>46048</v>
      </c>
      <c r="C39" s="224">
        <f>IF(D39=0,0,VLOOKUP($B39,BD!$B:$BO,2,FALSE))</f>
        <v>38</v>
      </c>
      <c r="D39" s="224">
        <f>VLOOKUP($B39,BD!$B:$BO,6,FALSE)</f>
        <v>1761</v>
      </c>
      <c r="E39" s="230"/>
      <c r="F39" s="229"/>
      <c r="G39" s="478"/>
      <c r="H39" s="478"/>
      <c r="I39" s="478"/>
      <c r="J39" s="478"/>
      <c r="K39" s="478"/>
      <c r="L39" s="478"/>
      <c r="M39" s="478"/>
      <c r="N39" s="478"/>
      <c r="O39" s="478"/>
      <c r="P39" s="230"/>
      <c r="R39" s="229"/>
      <c r="S39" s="223">
        <f t="shared" si="1"/>
        <v>46048</v>
      </c>
      <c r="T39" s="224">
        <f>IF(U39=0,0,VLOOKUP($B39,BD!$B:$BO,7,FALSE))</f>
        <v>0</v>
      </c>
      <c r="U39" s="224">
        <f>VLOOKUP($B39,BD!$B:$BO,11,FALSE)</f>
        <v>0</v>
      </c>
      <c r="V39" s="230"/>
      <c r="W39" s="229"/>
      <c r="X39" s="449"/>
      <c r="Y39" s="449"/>
      <c r="Z39" s="449"/>
      <c r="AA39" s="449"/>
      <c r="AB39" s="449"/>
      <c r="AC39" s="449"/>
      <c r="AD39" s="449"/>
      <c r="AE39" s="449"/>
      <c r="AF39" s="449"/>
      <c r="AG39" s="230"/>
      <c r="AI39" s="229"/>
      <c r="AJ39" s="223">
        <f t="shared" si="2"/>
        <v>46048</v>
      </c>
      <c r="AK39" s="224">
        <f>IF(AL39=0,0,VLOOKUP($B39,BD!$B:$BO,12,FALSE))</f>
        <v>0</v>
      </c>
      <c r="AL39" s="224">
        <f>VLOOKUP($B39,BD!$B:$BO,16,FALSE)</f>
        <v>0</v>
      </c>
      <c r="AM39" s="230"/>
      <c r="AN39" s="229"/>
      <c r="AO39" s="449"/>
      <c r="AP39" s="449"/>
      <c r="AQ39" s="449"/>
      <c r="AR39" s="449"/>
      <c r="AS39" s="449"/>
      <c r="AT39" s="449"/>
      <c r="AU39" s="449"/>
      <c r="AV39" s="449"/>
      <c r="AW39" s="449"/>
      <c r="AX39" s="230"/>
    </row>
    <row r="40" spans="1:50" ht="15" customHeight="1" thickBot="1" x14ac:dyDescent="0.3">
      <c r="A40" s="229"/>
      <c r="B40" s="223">
        <f t="shared" si="0"/>
        <v>46049</v>
      </c>
      <c r="C40" s="224">
        <f>IF(D40=0,0,VLOOKUP($B40,BD!$B:$BO,2,FALSE))</f>
        <v>38</v>
      </c>
      <c r="D40" s="224">
        <f>VLOOKUP($B40,BD!$B:$BO,6,FALSE)</f>
        <v>1859</v>
      </c>
      <c r="E40" s="230"/>
      <c r="F40" s="229"/>
      <c r="G40" s="478"/>
      <c r="H40" s="478"/>
      <c r="I40" s="478"/>
      <c r="J40" s="478"/>
      <c r="K40" s="478"/>
      <c r="L40" s="478"/>
      <c r="M40" s="478"/>
      <c r="N40" s="478"/>
      <c r="O40" s="478"/>
      <c r="P40" s="230"/>
      <c r="R40" s="229"/>
      <c r="S40" s="223">
        <f t="shared" si="1"/>
        <v>46049</v>
      </c>
      <c r="T40" s="224">
        <f>IF(U40=0,0,VLOOKUP($B40,BD!$B:$BO,7,FALSE))</f>
        <v>0</v>
      </c>
      <c r="U40" s="224">
        <f>VLOOKUP($B40,BD!$B:$BO,11,FALSE)</f>
        <v>0</v>
      </c>
      <c r="V40" s="230"/>
      <c r="W40" s="229"/>
      <c r="X40" s="449"/>
      <c r="Y40" s="449"/>
      <c r="Z40" s="449"/>
      <c r="AA40" s="449"/>
      <c r="AB40" s="449"/>
      <c r="AC40" s="449"/>
      <c r="AD40" s="449"/>
      <c r="AE40" s="449"/>
      <c r="AF40" s="449"/>
      <c r="AG40" s="230"/>
      <c r="AI40" s="229"/>
      <c r="AJ40" s="223">
        <f t="shared" si="2"/>
        <v>46049</v>
      </c>
      <c r="AK40" s="224">
        <f>IF(AL40=0,0,VLOOKUP($B40,BD!$B:$BO,12,FALSE))</f>
        <v>0</v>
      </c>
      <c r="AL40" s="224">
        <f>VLOOKUP($B40,BD!$B:$BO,16,FALSE)</f>
        <v>0</v>
      </c>
      <c r="AM40" s="230"/>
      <c r="AN40" s="229"/>
      <c r="AO40" s="449"/>
      <c r="AP40" s="449"/>
      <c r="AQ40" s="449"/>
      <c r="AR40" s="449"/>
      <c r="AS40" s="449"/>
      <c r="AT40" s="449"/>
      <c r="AU40" s="449"/>
      <c r="AV40" s="449"/>
      <c r="AW40" s="449"/>
      <c r="AX40" s="230"/>
    </row>
    <row r="41" spans="1:50" ht="15" customHeight="1" thickBot="1" x14ac:dyDescent="0.3">
      <c r="A41" s="229"/>
      <c r="B41" s="223">
        <f t="shared" si="0"/>
        <v>46050</v>
      </c>
      <c r="C41" s="224">
        <f>IF(D41=0,0,VLOOKUP($B41,BD!$B:$BO,2,FALSE))</f>
        <v>38</v>
      </c>
      <c r="D41" s="224">
        <f>VLOOKUP($B41,BD!$B:$BO,6,FALSE)</f>
        <v>1786</v>
      </c>
      <c r="E41" s="230"/>
      <c r="F41" s="229"/>
      <c r="G41" s="478"/>
      <c r="H41" s="478"/>
      <c r="I41" s="478"/>
      <c r="J41" s="478"/>
      <c r="K41" s="478"/>
      <c r="L41" s="478"/>
      <c r="M41" s="478"/>
      <c r="N41" s="478"/>
      <c r="O41" s="478"/>
      <c r="P41" s="230"/>
      <c r="R41" s="229"/>
      <c r="S41" s="223">
        <f t="shared" si="1"/>
        <v>46050</v>
      </c>
      <c r="T41" s="224">
        <f>IF(U41=0,0,VLOOKUP($B41,BD!$B:$BO,7,FALSE))</f>
        <v>0</v>
      </c>
      <c r="U41" s="224">
        <f>VLOOKUP($B41,BD!$B:$BO,11,FALSE)</f>
        <v>0</v>
      </c>
      <c r="V41" s="230"/>
      <c r="W41" s="229"/>
      <c r="X41" s="449"/>
      <c r="Y41" s="449"/>
      <c r="Z41" s="449"/>
      <c r="AA41" s="449"/>
      <c r="AB41" s="449"/>
      <c r="AC41" s="449"/>
      <c r="AD41" s="449"/>
      <c r="AE41" s="449"/>
      <c r="AF41" s="449"/>
      <c r="AG41" s="230"/>
      <c r="AI41" s="229"/>
      <c r="AJ41" s="223">
        <f t="shared" si="2"/>
        <v>46050</v>
      </c>
      <c r="AK41" s="224">
        <f>IF(AL41=0,0,VLOOKUP($B41,BD!$B:$BO,12,FALSE))</f>
        <v>0</v>
      </c>
      <c r="AL41" s="224">
        <f>VLOOKUP($B41,BD!$B:$BO,16,FALSE)</f>
        <v>0</v>
      </c>
      <c r="AM41" s="230"/>
      <c r="AN41" s="229"/>
      <c r="AO41" s="449"/>
      <c r="AP41" s="449"/>
      <c r="AQ41" s="449"/>
      <c r="AR41" s="449"/>
      <c r="AS41" s="449"/>
      <c r="AT41" s="449"/>
      <c r="AU41" s="449"/>
      <c r="AV41" s="449"/>
      <c r="AW41" s="449"/>
      <c r="AX41" s="230"/>
    </row>
    <row r="42" spans="1:50" ht="15" customHeight="1" thickBot="1" x14ac:dyDescent="0.3">
      <c r="A42" s="229"/>
      <c r="B42" s="223">
        <f t="shared" si="0"/>
        <v>46051</v>
      </c>
      <c r="C42" s="224">
        <f>IF(D42=0,0,VLOOKUP($B42,BD!$B:$BO,2,FALSE))</f>
        <v>38</v>
      </c>
      <c r="D42" s="224">
        <f>VLOOKUP($B42,BD!$B:$BO,6,FALSE)</f>
        <v>1848</v>
      </c>
      <c r="E42" s="230"/>
      <c r="F42" s="229"/>
      <c r="G42" s="478"/>
      <c r="H42" s="478"/>
      <c r="I42" s="478"/>
      <c r="J42" s="478"/>
      <c r="K42" s="478"/>
      <c r="L42" s="478"/>
      <c r="M42" s="478"/>
      <c r="N42" s="478"/>
      <c r="O42" s="478"/>
      <c r="P42" s="230"/>
      <c r="R42" s="229"/>
      <c r="S42" s="223">
        <f t="shared" si="1"/>
        <v>46051</v>
      </c>
      <c r="T42" s="224">
        <f>IF(U42=0,0,VLOOKUP($B42,BD!$B:$BO,7,FALSE))</f>
        <v>0</v>
      </c>
      <c r="U42" s="224">
        <f>VLOOKUP($B42,BD!$B:$BO,11,FALSE)</f>
        <v>0</v>
      </c>
      <c r="V42" s="230"/>
      <c r="W42" s="229"/>
      <c r="X42" s="449"/>
      <c r="Y42" s="449"/>
      <c r="Z42" s="449"/>
      <c r="AA42" s="449"/>
      <c r="AB42" s="449"/>
      <c r="AC42" s="449"/>
      <c r="AD42" s="449"/>
      <c r="AE42" s="449"/>
      <c r="AF42" s="449"/>
      <c r="AG42" s="230"/>
      <c r="AI42" s="229"/>
      <c r="AJ42" s="223">
        <f t="shared" si="2"/>
        <v>46051</v>
      </c>
      <c r="AK42" s="224">
        <f>IF(AL42=0,0,VLOOKUP($B42,BD!$B:$BO,12,FALSE))</f>
        <v>0</v>
      </c>
      <c r="AL42" s="224">
        <f>VLOOKUP($B42,BD!$B:$BO,16,FALSE)</f>
        <v>0</v>
      </c>
      <c r="AM42" s="230"/>
      <c r="AN42" s="229"/>
      <c r="AO42" s="449"/>
      <c r="AP42" s="449"/>
      <c r="AQ42" s="449"/>
      <c r="AR42" s="449"/>
      <c r="AS42" s="449"/>
      <c r="AT42" s="449"/>
      <c r="AU42" s="449"/>
      <c r="AV42" s="449"/>
      <c r="AW42" s="449"/>
      <c r="AX42" s="230"/>
    </row>
    <row r="43" spans="1:50" ht="15" customHeight="1" thickBot="1" x14ac:dyDescent="0.3">
      <c r="A43" s="229"/>
      <c r="B43" s="223">
        <f t="shared" si="0"/>
        <v>46052</v>
      </c>
      <c r="C43" s="224">
        <f>IF(D43=0,0,VLOOKUP($B43,BD!$B:$BO,2,FALSE))</f>
        <v>38</v>
      </c>
      <c r="D43" s="224">
        <f>VLOOKUP($B43,BD!$B:$BO,6,FALSE)</f>
        <v>1834</v>
      </c>
      <c r="E43" s="230"/>
      <c r="F43" s="229"/>
      <c r="G43" s="478"/>
      <c r="H43" s="478"/>
      <c r="I43" s="478"/>
      <c r="J43" s="478"/>
      <c r="K43" s="478"/>
      <c r="L43" s="478"/>
      <c r="M43" s="478"/>
      <c r="N43" s="478"/>
      <c r="O43" s="478"/>
      <c r="P43" s="230"/>
      <c r="R43" s="229"/>
      <c r="S43" s="223">
        <f t="shared" si="1"/>
        <v>46052</v>
      </c>
      <c r="T43" s="224">
        <f>IF(U43=0,0,VLOOKUP($B43,BD!$B:$BO,7,FALSE))</f>
        <v>0</v>
      </c>
      <c r="U43" s="224">
        <f>VLOOKUP($B43,BD!$B:$BO,11,FALSE)</f>
        <v>0</v>
      </c>
      <c r="V43" s="230"/>
      <c r="W43" s="229"/>
      <c r="X43" s="449"/>
      <c r="Y43" s="449"/>
      <c r="Z43" s="449"/>
      <c r="AA43" s="449"/>
      <c r="AB43" s="449"/>
      <c r="AC43" s="449"/>
      <c r="AD43" s="449"/>
      <c r="AE43" s="449"/>
      <c r="AF43" s="449"/>
      <c r="AG43" s="230"/>
      <c r="AI43" s="229"/>
      <c r="AJ43" s="223">
        <f t="shared" si="2"/>
        <v>46052</v>
      </c>
      <c r="AK43" s="224">
        <f>IF(AL43=0,0,VLOOKUP($B43,BD!$B:$BO,12,FALSE))</f>
        <v>0</v>
      </c>
      <c r="AL43" s="224">
        <f>VLOOKUP($B43,BD!$B:$BO,16,FALSE)</f>
        <v>0</v>
      </c>
      <c r="AM43" s="230"/>
      <c r="AN43" s="229"/>
      <c r="AO43" s="449"/>
      <c r="AP43" s="449"/>
      <c r="AQ43" s="449"/>
      <c r="AR43" s="449"/>
      <c r="AS43" s="449"/>
      <c r="AT43" s="449"/>
      <c r="AU43" s="449"/>
      <c r="AV43" s="449"/>
      <c r="AW43" s="449"/>
      <c r="AX43" s="230"/>
    </row>
    <row r="44" spans="1:50" ht="15" customHeight="1" thickBot="1" x14ac:dyDescent="0.3">
      <c r="A44" s="229"/>
      <c r="B44" s="223">
        <f t="shared" si="0"/>
        <v>46053</v>
      </c>
      <c r="C44" s="224">
        <f>IF(D44=0,0,VLOOKUP($B44,BD!$B:$BO,2,FALSE))</f>
        <v>38</v>
      </c>
      <c r="D44" s="224">
        <f>VLOOKUP($B44,BD!$B:$BO,6,FALSE)</f>
        <v>1830</v>
      </c>
      <c r="E44" s="230"/>
      <c r="F44" s="229"/>
      <c r="G44" s="478"/>
      <c r="H44" s="478"/>
      <c r="I44" s="478"/>
      <c r="J44" s="478"/>
      <c r="K44" s="478"/>
      <c r="L44" s="478"/>
      <c r="M44" s="478"/>
      <c r="N44" s="478"/>
      <c r="O44" s="478"/>
      <c r="P44" s="230"/>
      <c r="R44" s="229"/>
      <c r="S44" s="223">
        <f t="shared" si="1"/>
        <v>46053</v>
      </c>
      <c r="T44" s="224">
        <f>IF(U44=0,0,VLOOKUP($B44,BD!$B:$BO,7,FALSE))</f>
        <v>0</v>
      </c>
      <c r="U44" s="224">
        <f>VLOOKUP($B44,BD!$B:$BO,11,FALSE)</f>
        <v>0</v>
      </c>
      <c r="V44" s="230"/>
      <c r="W44" s="229"/>
      <c r="X44" s="449"/>
      <c r="Y44" s="449"/>
      <c r="Z44" s="449"/>
      <c r="AA44" s="449"/>
      <c r="AB44" s="449"/>
      <c r="AC44" s="449"/>
      <c r="AD44" s="449"/>
      <c r="AE44" s="449"/>
      <c r="AF44" s="449"/>
      <c r="AG44" s="230"/>
      <c r="AI44" s="229"/>
      <c r="AJ44" s="223">
        <f t="shared" si="2"/>
        <v>46053</v>
      </c>
      <c r="AK44" s="224">
        <f>IF(AL44=0,0,VLOOKUP($B44,BD!$B:$BO,12,FALSE))</f>
        <v>0</v>
      </c>
      <c r="AL44" s="224">
        <f>VLOOKUP($B44,BD!$B:$BO,16,FALSE)</f>
        <v>0</v>
      </c>
      <c r="AM44" s="230"/>
      <c r="AN44" s="229"/>
      <c r="AO44" s="449"/>
      <c r="AP44" s="449"/>
      <c r="AQ44" s="449"/>
      <c r="AR44" s="449"/>
      <c r="AS44" s="449"/>
      <c r="AT44" s="449"/>
      <c r="AU44" s="449"/>
      <c r="AV44" s="449"/>
      <c r="AW44" s="449"/>
      <c r="AX44" s="230"/>
    </row>
    <row r="45" spans="1:50" ht="15" customHeight="1" thickBot="1" x14ac:dyDescent="0.3">
      <c r="A45" s="229"/>
      <c r="B45" s="451" t="s">
        <v>16</v>
      </c>
      <c r="C45" s="451"/>
      <c r="D45" s="225">
        <f>_xlfn.AGGREGATE(9,6,D14:D44)</f>
        <v>57326</v>
      </c>
      <c r="E45" s="230"/>
      <c r="F45" s="229"/>
      <c r="G45" s="478"/>
      <c r="H45" s="478"/>
      <c r="I45" s="478"/>
      <c r="J45" s="478"/>
      <c r="K45" s="478"/>
      <c r="L45" s="478"/>
      <c r="M45" s="478"/>
      <c r="N45" s="478"/>
      <c r="O45" s="478"/>
      <c r="P45" s="230"/>
      <c r="R45" s="229"/>
      <c r="S45" s="451" t="s">
        <v>16</v>
      </c>
      <c r="T45" s="451"/>
      <c r="U45" s="225">
        <f>_xlfn.AGGREGATE(9,6,U14:U44)</f>
        <v>0</v>
      </c>
      <c r="V45" s="230"/>
      <c r="W45" s="229"/>
      <c r="X45" s="449"/>
      <c r="Y45" s="449"/>
      <c r="Z45" s="449"/>
      <c r="AA45" s="449"/>
      <c r="AB45" s="449"/>
      <c r="AC45" s="449"/>
      <c r="AD45" s="449"/>
      <c r="AE45" s="449"/>
      <c r="AF45" s="449"/>
      <c r="AG45" s="230"/>
      <c r="AI45" s="229"/>
      <c r="AJ45" s="451" t="s">
        <v>16</v>
      </c>
      <c r="AK45" s="451"/>
      <c r="AL45" s="225">
        <f>_xlfn.AGGREGATE(9,6,AL14:AL44)</f>
        <v>253</v>
      </c>
      <c r="AM45" s="230"/>
      <c r="AN45" s="229"/>
      <c r="AO45" s="449"/>
      <c r="AP45" s="449"/>
      <c r="AQ45" s="449"/>
      <c r="AR45" s="449"/>
      <c r="AS45" s="449"/>
      <c r="AT45" s="449"/>
      <c r="AU45" s="449"/>
      <c r="AV45" s="449"/>
      <c r="AW45" s="449"/>
      <c r="AX45" s="230"/>
    </row>
    <row r="46" spans="1:50" ht="15" customHeight="1" thickBot="1" x14ac:dyDescent="0.3">
      <c r="A46" s="229"/>
      <c r="B46" s="451" t="s">
        <v>17</v>
      </c>
      <c r="C46" s="451"/>
      <c r="D46" s="225">
        <f>D45*0.1</f>
        <v>5732.6</v>
      </c>
      <c r="E46" s="230"/>
      <c r="F46" s="229"/>
      <c r="G46" s="478"/>
      <c r="H46" s="478"/>
      <c r="I46" s="478"/>
      <c r="J46" s="478"/>
      <c r="K46" s="478"/>
      <c r="L46" s="478"/>
      <c r="M46" s="478"/>
      <c r="N46" s="478"/>
      <c r="O46" s="478"/>
      <c r="P46" s="230"/>
      <c r="R46" s="229"/>
      <c r="S46" s="451" t="s">
        <v>17</v>
      </c>
      <c r="T46" s="451"/>
      <c r="U46" s="225">
        <f>U45*0.1</f>
        <v>0</v>
      </c>
      <c r="V46" s="230"/>
      <c r="W46" s="229"/>
      <c r="X46" s="449"/>
      <c r="Y46" s="449"/>
      <c r="Z46" s="449"/>
      <c r="AA46" s="449"/>
      <c r="AB46" s="449"/>
      <c r="AC46" s="449"/>
      <c r="AD46" s="449"/>
      <c r="AE46" s="449"/>
      <c r="AF46" s="449"/>
      <c r="AG46" s="230"/>
      <c r="AI46" s="229"/>
      <c r="AJ46" s="451" t="s">
        <v>17</v>
      </c>
      <c r="AK46" s="451"/>
      <c r="AL46" s="225">
        <f>AL45*0.1</f>
        <v>25.3</v>
      </c>
      <c r="AM46" s="230"/>
      <c r="AN46" s="229"/>
      <c r="AO46" s="449"/>
      <c r="AP46" s="449"/>
      <c r="AQ46" s="449"/>
      <c r="AR46" s="449"/>
      <c r="AS46" s="449"/>
      <c r="AT46" s="449"/>
      <c r="AU46" s="449"/>
      <c r="AV46" s="449"/>
      <c r="AW46" s="449"/>
      <c r="AX46" s="230"/>
    </row>
    <row r="47" spans="1:50" ht="15" customHeight="1" thickBot="1" x14ac:dyDescent="0.3">
      <c r="A47" s="229"/>
      <c r="B47" s="451" t="s">
        <v>575</v>
      </c>
      <c r="C47" s="451"/>
      <c r="D47" s="225">
        <f>D45-D46</f>
        <v>51593.4</v>
      </c>
      <c r="E47" s="230"/>
      <c r="F47" s="229"/>
      <c r="G47" s="478"/>
      <c r="H47" s="478"/>
      <c r="I47" s="478"/>
      <c r="J47" s="478"/>
      <c r="K47" s="478"/>
      <c r="L47" s="478"/>
      <c r="M47" s="478"/>
      <c r="N47" s="478"/>
      <c r="O47" s="478"/>
      <c r="P47" s="230"/>
      <c r="R47" s="229"/>
      <c r="S47" s="451" t="s">
        <v>575</v>
      </c>
      <c r="T47" s="451"/>
      <c r="U47" s="225">
        <f>U45-U46</f>
        <v>0</v>
      </c>
      <c r="V47" s="230"/>
      <c r="W47" s="229"/>
      <c r="X47" s="449"/>
      <c r="Y47" s="449"/>
      <c r="Z47" s="449"/>
      <c r="AA47" s="449"/>
      <c r="AB47" s="449"/>
      <c r="AC47" s="449"/>
      <c r="AD47" s="449"/>
      <c r="AE47" s="449"/>
      <c r="AF47" s="449"/>
      <c r="AG47" s="230"/>
      <c r="AI47" s="229"/>
      <c r="AJ47" s="451" t="s">
        <v>575</v>
      </c>
      <c r="AK47" s="451"/>
      <c r="AL47" s="225">
        <f>AL45-AL46</f>
        <v>227.7</v>
      </c>
      <c r="AM47" s="230"/>
      <c r="AN47" s="229"/>
      <c r="AO47" s="449"/>
      <c r="AP47" s="449"/>
      <c r="AQ47" s="449"/>
      <c r="AR47" s="449"/>
      <c r="AS47" s="449"/>
      <c r="AT47" s="449"/>
      <c r="AU47" s="449"/>
      <c r="AV47" s="449"/>
      <c r="AW47" s="449"/>
      <c r="AX47" s="230"/>
    </row>
    <row r="48" spans="1:50" ht="15" customHeight="1" thickBot="1" x14ac:dyDescent="0.3">
      <c r="A48" s="231"/>
      <c r="B48" s="232"/>
      <c r="C48" s="232"/>
      <c r="D48" s="232"/>
      <c r="E48" s="233"/>
      <c r="F48" s="231"/>
      <c r="G48" s="479"/>
      <c r="H48" s="479"/>
      <c r="I48" s="479"/>
      <c r="J48" s="479"/>
      <c r="K48" s="479"/>
      <c r="L48" s="479"/>
      <c r="M48" s="479"/>
      <c r="N48" s="479"/>
      <c r="O48" s="479"/>
      <c r="P48" s="233"/>
      <c r="R48" s="231"/>
      <c r="S48" s="232"/>
      <c r="T48" s="232"/>
      <c r="U48" s="232"/>
      <c r="V48" s="233"/>
      <c r="W48" s="231"/>
      <c r="X48" s="450"/>
      <c r="Y48" s="450"/>
      <c r="Z48" s="450"/>
      <c r="AA48" s="450"/>
      <c r="AB48" s="450"/>
      <c r="AC48" s="450"/>
      <c r="AD48" s="450"/>
      <c r="AE48" s="450"/>
      <c r="AF48" s="450"/>
      <c r="AG48" s="233"/>
      <c r="AI48" s="231"/>
      <c r="AJ48" s="232"/>
      <c r="AK48" s="232"/>
      <c r="AL48" s="232"/>
      <c r="AM48" s="233"/>
      <c r="AN48" s="231"/>
      <c r="AO48" s="450"/>
      <c r="AP48" s="450"/>
      <c r="AQ48" s="450"/>
      <c r="AR48" s="450"/>
      <c r="AS48" s="450"/>
      <c r="AT48" s="450"/>
      <c r="AU48" s="450"/>
      <c r="AV48" s="450"/>
      <c r="AW48" s="450"/>
      <c r="AX48" s="233"/>
    </row>
    <row r="50" spans="1:50" ht="30" customHeight="1" x14ac:dyDescent="0.25"/>
    <row r="51" spans="1:50" ht="15" customHeight="1" thickBot="1" x14ac:dyDescent="0.3"/>
    <row r="52" spans="1:50" ht="15" customHeight="1" x14ac:dyDescent="0.25">
      <c r="B52" s="452"/>
      <c r="C52" s="453"/>
      <c r="D52" s="458" t="s">
        <v>577</v>
      </c>
      <c r="E52" s="459"/>
      <c r="F52" s="459"/>
      <c r="G52" s="459"/>
      <c r="H52" s="459"/>
      <c r="I52" s="459"/>
      <c r="J52" s="459"/>
      <c r="K52" s="459"/>
      <c r="L52" s="460"/>
      <c r="M52" s="467" t="s">
        <v>576</v>
      </c>
      <c r="N52" s="468"/>
      <c r="O52" s="469"/>
      <c r="S52" s="452"/>
      <c r="T52" s="453"/>
      <c r="U52" s="458" t="s">
        <v>577</v>
      </c>
      <c r="V52" s="459"/>
      <c r="W52" s="459"/>
      <c r="X52" s="459"/>
      <c r="Y52" s="459"/>
      <c r="Z52" s="459"/>
      <c r="AA52" s="459"/>
      <c r="AB52" s="459"/>
      <c r="AC52" s="460"/>
      <c r="AD52" s="467" t="s">
        <v>576</v>
      </c>
      <c r="AE52" s="468"/>
      <c r="AF52" s="469"/>
      <c r="AJ52" s="452"/>
      <c r="AK52" s="453"/>
      <c r="AL52" s="458" t="s">
        <v>577</v>
      </c>
      <c r="AM52" s="459"/>
      <c r="AN52" s="459"/>
      <c r="AO52" s="459"/>
      <c r="AP52" s="459"/>
      <c r="AQ52" s="459"/>
      <c r="AR52" s="459"/>
      <c r="AS52" s="459"/>
      <c r="AT52" s="460"/>
      <c r="AU52" s="467" t="s">
        <v>576</v>
      </c>
      <c r="AV52" s="468"/>
      <c r="AW52" s="469"/>
    </row>
    <row r="53" spans="1:50" ht="15" customHeight="1" x14ac:dyDescent="0.25">
      <c r="B53" s="454"/>
      <c r="C53" s="455"/>
      <c r="D53" s="461"/>
      <c r="E53" s="462"/>
      <c r="F53" s="462"/>
      <c r="G53" s="462"/>
      <c r="H53" s="462"/>
      <c r="I53" s="462"/>
      <c r="J53" s="462"/>
      <c r="K53" s="462"/>
      <c r="L53" s="463"/>
      <c r="M53" s="470"/>
      <c r="N53" s="471"/>
      <c r="O53" s="472"/>
      <c r="S53" s="454"/>
      <c r="T53" s="455"/>
      <c r="U53" s="461"/>
      <c r="V53" s="462"/>
      <c r="W53" s="462"/>
      <c r="X53" s="462"/>
      <c r="Y53" s="462"/>
      <c r="Z53" s="462"/>
      <c r="AA53" s="462"/>
      <c r="AB53" s="462"/>
      <c r="AC53" s="463"/>
      <c r="AD53" s="470"/>
      <c r="AE53" s="471"/>
      <c r="AF53" s="472"/>
      <c r="AJ53" s="454"/>
      <c r="AK53" s="455"/>
      <c r="AL53" s="461"/>
      <c r="AM53" s="462"/>
      <c r="AN53" s="462"/>
      <c r="AO53" s="462"/>
      <c r="AP53" s="462"/>
      <c r="AQ53" s="462"/>
      <c r="AR53" s="462"/>
      <c r="AS53" s="462"/>
      <c r="AT53" s="463"/>
      <c r="AU53" s="470"/>
      <c r="AV53" s="471"/>
      <c r="AW53" s="472"/>
    </row>
    <row r="54" spans="1:50" ht="15" customHeight="1" x14ac:dyDescent="0.25">
      <c r="B54" s="454"/>
      <c r="C54" s="455"/>
      <c r="D54" s="461"/>
      <c r="E54" s="462"/>
      <c r="F54" s="462"/>
      <c r="G54" s="462"/>
      <c r="H54" s="462"/>
      <c r="I54" s="462"/>
      <c r="J54" s="462"/>
      <c r="K54" s="462"/>
      <c r="L54" s="463"/>
      <c r="M54" s="470"/>
      <c r="N54" s="471"/>
      <c r="O54" s="472"/>
      <c r="S54" s="454"/>
      <c r="T54" s="455"/>
      <c r="U54" s="461"/>
      <c r="V54" s="462"/>
      <c r="W54" s="462"/>
      <c r="X54" s="462"/>
      <c r="Y54" s="462"/>
      <c r="Z54" s="462"/>
      <c r="AA54" s="462"/>
      <c r="AB54" s="462"/>
      <c r="AC54" s="463"/>
      <c r="AD54" s="470"/>
      <c r="AE54" s="471"/>
      <c r="AF54" s="472"/>
      <c r="AJ54" s="454"/>
      <c r="AK54" s="455"/>
      <c r="AL54" s="461"/>
      <c r="AM54" s="462"/>
      <c r="AN54" s="462"/>
      <c r="AO54" s="462"/>
      <c r="AP54" s="462"/>
      <c r="AQ54" s="462"/>
      <c r="AR54" s="462"/>
      <c r="AS54" s="462"/>
      <c r="AT54" s="463"/>
      <c r="AU54" s="470"/>
      <c r="AV54" s="471"/>
      <c r="AW54" s="472"/>
    </row>
    <row r="55" spans="1:50" ht="15" customHeight="1" thickBot="1" x14ac:dyDescent="0.3">
      <c r="B55" s="456"/>
      <c r="C55" s="457"/>
      <c r="D55" s="464"/>
      <c r="E55" s="465"/>
      <c r="F55" s="465"/>
      <c r="G55" s="465"/>
      <c r="H55" s="465"/>
      <c r="I55" s="465"/>
      <c r="J55" s="465"/>
      <c r="K55" s="465"/>
      <c r="L55" s="466"/>
      <c r="M55" s="473"/>
      <c r="N55" s="474"/>
      <c r="O55" s="475"/>
      <c r="S55" s="456"/>
      <c r="T55" s="457"/>
      <c r="U55" s="464"/>
      <c r="V55" s="465"/>
      <c r="W55" s="465"/>
      <c r="X55" s="465"/>
      <c r="Y55" s="465"/>
      <c r="Z55" s="465"/>
      <c r="AA55" s="465"/>
      <c r="AB55" s="465"/>
      <c r="AC55" s="466"/>
      <c r="AD55" s="473"/>
      <c r="AE55" s="474"/>
      <c r="AF55" s="475"/>
      <c r="AJ55" s="456"/>
      <c r="AK55" s="457"/>
      <c r="AL55" s="464"/>
      <c r="AM55" s="465"/>
      <c r="AN55" s="465"/>
      <c r="AO55" s="465"/>
      <c r="AP55" s="465"/>
      <c r="AQ55" s="465"/>
      <c r="AR55" s="465"/>
      <c r="AS55" s="465"/>
      <c r="AT55" s="466"/>
      <c r="AU55" s="473"/>
      <c r="AV55" s="474"/>
      <c r="AW55" s="475"/>
    </row>
    <row r="56" spans="1:50" ht="15" customHeight="1" thickBot="1" x14ac:dyDescent="0.3"/>
    <row r="57" spans="1:50" ht="15" customHeight="1" thickBot="1" x14ac:dyDescent="0.3">
      <c r="A57" s="226"/>
      <c r="B57" s="227"/>
      <c r="C57" s="227"/>
      <c r="D57" s="227"/>
      <c r="E57" s="228"/>
      <c r="F57" s="226"/>
      <c r="G57" s="234"/>
      <c r="H57" s="234"/>
      <c r="I57" s="234"/>
      <c r="J57" s="234"/>
      <c r="K57" s="234"/>
      <c r="L57" s="234"/>
      <c r="M57" s="234"/>
      <c r="N57" s="234"/>
      <c r="O57" s="234"/>
      <c r="P57" s="228"/>
      <c r="R57" s="226"/>
      <c r="S57" s="227"/>
      <c r="T57" s="227"/>
      <c r="U57" s="227"/>
      <c r="V57" s="228"/>
      <c r="W57" s="226"/>
      <c r="X57" s="234"/>
      <c r="Y57" s="234"/>
      <c r="Z57" s="234"/>
      <c r="AA57" s="234"/>
      <c r="AB57" s="234"/>
      <c r="AC57" s="234"/>
      <c r="AD57" s="234"/>
      <c r="AE57" s="234"/>
      <c r="AF57" s="234"/>
      <c r="AG57" s="228"/>
      <c r="AI57" s="226"/>
      <c r="AJ57" s="227"/>
      <c r="AK57" s="227"/>
      <c r="AL57" s="227"/>
      <c r="AM57" s="228"/>
      <c r="AN57" s="226"/>
      <c r="AO57" s="234"/>
      <c r="AP57" s="234"/>
      <c r="AQ57" s="234"/>
      <c r="AR57" s="234"/>
      <c r="AS57" s="234"/>
      <c r="AT57" s="234"/>
      <c r="AU57" s="234"/>
      <c r="AV57" s="234"/>
      <c r="AW57" s="234"/>
      <c r="AX57" s="228"/>
    </row>
    <row r="58" spans="1:50" ht="15" customHeight="1" thickBot="1" x14ac:dyDescent="0.3">
      <c r="A58" s="229"/>
      <c r="B58" s="445" t="s">
        <v>6</v>
      </c>
      <c r="C58" s="445"/>
      <c r="D58" s="445"/>
      <c r="E58" s="230"/>
      <c r="F58" s="229"/>
      <c r="G58" s="39"/>
      <c r="H58" s="39"/>
      <c r="I58" s="39"/>
      <c r="J58" s="39"/>
      <c r="K58" s="39"/>
      <c r="L58" s="39"/>
      <c r="M58" s="39"/>
      <c r="N58" s="39"/>
      <c r="O58" s="39"/>
      <c r="P58" s="230"/>
      <c r="R58" s="229"/>
      <c r="S58" s="445" t="s">
        <v>9</v>
      </c>
      <c r="T58" s="445"/>
      <c r="U58" s="445"/>
      <c r="V58" s="230"/>
      <c r="W58" s="229"/>
      <c r="X58" s="39"/>
      <c r="Y58" s="39"/>
      <c r="Z58" s="39"/>
      <c r="AA58" s="39"/>
      <c r="AB58" s="39"/>
      <c r="AC58" s="39"/>
      <c r="AD58" s="39"/>
      <c r="AE58" s="39"/>
      <c r="AF58" s="39"/>
      <c r="AG58" s="230"/>
      <c r="AI58" s="229"/>
      <c r="AJ58" s="445" t="s">
        <v>8</v>
      </c>
      <c r="AK58" s="445"/>
      <c r="AL58" s="445"/>
      <c r="AM58" s="230"/>
      <c r="AN58" s="229"/>
      <c r="AO58" s="39"/>
      <c r="AP58" s="39"/>
      <c r="AQ58" s="39"/>
      <c r="AR58" s="39"/>
      <c r="AS58" s="39"/>
      <c r="AT58" s="39"/>
      <c r="AU58" s="39"/>
      <c r="AV58" s="39"/>
      <c r="AW58" s="39"/>
      <c r="AX58" s="230"/>
    </row>
    <row r="59" spans="1:50" ht="15" customHeight="1" thickBot="1" x14ac:dyDescent="0.3">
      <c r="A59" s="229"/>
      <c r="B59" s="446" t="str">
        <f>PROPER(TEXT(B61,"mmmm"))</f>
        <v>Enero</v>
      </c>
      <c r="C59" s="446"/>
      <c r="D59" s="446"/>
      <c r="E59" s="230"/>
      <c r="F59" s="229"/>
      <c r="G59" s="39"/>
      <c r="H59" s="39"/>
      <c r="I59" s="39"/>
      <c r="J59" s="39"/>
      <c r="K59" s="39"/>
      <c r="L59" s="39"/>
      <c r="M59" s="39"/>
      <c r="N59" s="39"/>
      <c r="O59" s="39"/>
      <c r="P59" s="230"/>
      <c r="R59" s="229"/>
      <c r="S59" s="446" t="str">
        <f>PROPER(TEXT(S61,"mmmm"))</f>
        <v>Enero</v>
      </c>
      <c r="T59" s="446"/>
      <c r="U59" s="446"/>
      <c r="V59" s="230"/>
      <c r="W59" s="229"/>
      <c r="X59" s="39"/>
      <c r="Y59" s="39"/>
      <c r="Z59" s="39"/>
      <c r="AA59" s="39"/>
      <c r="AB59" s="39"/>
      <c r="AC59" s="39"/>
      <c r="AD59" s="39"/>
      <c r="AE59" s="39"/>
      <c r="AF59" s="39"/>
      <c r="AG59" s="230"/>
      <c r="AI59" s="229"/>
      <c r="AJ59" s="446" t="str">
        <f>PROPER(TEXT(AJ61,"mmmm"))</f>
        <v>Enero</v>
      </c>
      <c r="AK59" s="446"/>
      <c r="AL59" s="446"/>
      <c r="AM59" s="230"/>
      <c r="AN59" s="229"/>
      <c r="AO59" s="39"/>
      <c r="AP59" s="39"/>
      <c r="AQ59" s="39"/>
      <c r="AR59" s="39"/>
      <c r="AS59" s="39"/>
      <c r="AT59" s="39"/>
      <c r="AU59" s="39"/>
      <c r="AV59" s="39"/>
      <c r="AW59" s="39"/>
      <c r="AX59" s="230"/>
    </row>
    <row r="60" spans="1:50" ht="15" customHeight="1" thickBot="1" x14ac:dyDescent="0.3">
      <c r="A60" s="229"/>
      <c r="B60" s="222" t="s">
        <v>80</v>
      </c>
      <c r="C60" s="222" t="s">
        <v>569</v>
      </c>
      <c r="D60" s="222" t="s">
        <v>458</v>
      </c>
      <c r="E60" s="230"/>
      <c r="F60" s="229"/>
      <c r="G60" s="39"/>
      <c r="H60" s="39"/>
      <c r="I60" s="39"/>
      <c r="J60" s="39"/>
      <c r="K60" s="39"/>
      <c r="L60" s="39"/>
      <c r="M60" s="39"/>
      <c r="N60" s="39"/>
      <c r="O60" s="39"/>
      <c r="P60" s="230"/>
      <c r="R60" s="229"/>
      <c r="S60" s="222" t="s">
        <v>80</v>
      </c>
      <c r="T60" s="222" t="s">
        <v>569</v>
      </c>
      <c r="U60" s="222" t="s">
        <v>458</v>
      </c>
      <c r="V60" s="230"/>
      <c r="W60" s="229"/>
      <c r="X60" s="39"/>
      <c r="Y60" s="39"/>
      <c r="Z60" s="39"/>
      <c r="AA60" s="39"/>
      <c r="AB60" s="39"/>
      <c r="AC60" s="39"/>
      <c r="AD60" s="39"/>
      <c r="AE60" s="39"/>
      <c r="AF60" s="39"/>
      <c r="AG60" s="230"/>
      <c r="AI60" s="229"/>
      <c r="AJ60" s="222" t="s">
        <v>80</v>
      </c>
      <c r="AK60" s="222" t="s">
        <v>569</v>
      </c>
      <c r="AL60" s="222" t="s">
        <v>458</v>
      </c>
      <c r="AM60" s="230"/>
      <c r="AN60" s="229"/>
      <c r="AO60" s="39"/>
      <c r="AP60" s="39"/>
      <c r="AQ60" s="39"/>
      <c r="AR60" s="39"/>
      <c r="AS60" s="39"/>
      <c r="AT60" s="39"/>
      <c r="AU60" s="39"/>
      <c r="AV60" s="39"/>
      <c r="AW60" s="39"/>
      <c r="AX60" s="230"/>
    </row>
    <row r="61" spans="1:50" ht="15" customHeight="1" thickBot="1" x14ac:dyDescent="0.3">
      <c r="A61" s="229"/>
      <c r="B61" s="223">
        <f>+$B$2</f>
        <v>46023</v>
      </c>
      <c r="C61" s="224">
        <f>IF(D61=0,0,VLOOKUP($B61,BD!$B:$BO,37,FALSE))</f>
        <v>38.22530864197531</v>
      </c>
      <c r="D61" s="224">
        <f>VLOOKUP($B61,BD!$B:$BO,41,FALSE)</f>
        <v>2477</v>
      </c>
      <c r="E61" s="230"/>
      <c r="F61" s="229"/>
      <c r="G61" s="39"/>
      <c r="H61" s="39"/>
      <c r="I61" s="39"/>
      <c r="J61" s="39"/>
      <c r="K61" s="39"/>
      <c r="L61" s="39"/>
      <c r="M61" s="39"/>
      <c r="N61" s="39"/>
      <c r="O61" s="39"/>
      <c r="P61" s="230"/>
      <c r="R61" s="229"/>
      <c r="S61" s="223">
        <f>+$B$2</f>
        <v>46023</v>
      </c>
      <c r="T61" s="224">
        <f>IF(U61=0,0,VLOOKUP($B61,BD!$B:$BO,17,FALSE))</f>
        <v>29.854497354497354</v>
      </c>
      <c r="U61" s="224">
        <f>VLOOKUP($B61,BD!$B:$BO,21,FALSE)</f>
        <v>2257</v>
      </c>
      <c r="V61" s="230"/>
      <c r="W61" s="229"/>
      <c r="X61" s="39"/>
      <c r="Y61" s="39"/>
      <c r="Z61" s="39"/>
      <c r="AA61" s="39"/>
      <c r="AB61" s="39"/>
      <c r="AC61" s="39"/>
      <c r="AD61" s="39"/>
      <c r="AE61" s="39"/>
      <c r="AF61" s="39"/>
      <c r="AG61" s="230"/>
      <c r="AI61" s="229"/>
      <c r="AJ61" s="223">
        <f>+$B$2</f>
        <v>46023</v>
      </c>
      <c r="AK61" s="224">
        <f>IF(AL61=0,0,VLOOKUP($B61,BD!$B:$BO,47,FALSE))</f>
        <v>11.296296296296296</v>
      </c>
      <c r="AL61" s="224">
        <f>VLOOKUP($B61,BD!$B:$BO,51,FALSE)</f>
        <v>610</v>
      </c>
      <c r="AM61" s="230"/>
      <c r="AN61" s="229"/>
      <c r="AO61" s="39"/>
      <c r="AP61" s="39"/>
      <c r="AQ61" s="39"/>
      <c r="AR61" s="39"/>
      <c r="AS61" s="39"/>
      <c r="AT61" s="39"/>
      <c r="AU61" s="39"/>
      <c r="AV61" s="39"/>
      <c r="AW61" s="39"/>
      <c r="AX61" s="230"/>
    </row>
    <row r="62" spans="1:50" ht="15" customHeight="1" thickBot="1" x14ac:dyDescent="0.3">
      <c r="A62" s="229"/>
      <c r="B62" s="223">
        <f>+B61+1</f>
        <v>46024</v>
      </c>
      <c r="C62" s="224">
        <f>IF(D62=0,0,VLOOKUP($B62,BD!$B:$BO,37,FALSE))</f>
        <v>37.810457516339866</v>
      </c>
      <c r="D62" s="224">
        <f>VLOOKUP($B62,BD!$B:$BO,41,FALSE)</f>
        <v>2314</v>
      </c>
      <c r="E62" s="230"/>
      <c r="F62" s="229"/>
      <c r="G62" s="39"/>
      <c r="H62" s="39"/>
      <c r="I62" s="39"/>
      <c r="J62" s="39"/>
      <c r="K62" s="39"/>
      <c r="L62" s="39"/>
      <c r="M62" s="39"/>
      <c r="N62" s="39"/>
      <c r="O62" s="39"/>
      <c r="P62" s="230"/>
      <c r="R62" s="229"/>
      <c r="S62" s="223">
        <f>+S61+1</f>
        <v>46024</v>
      </c>
      <c r="T62" s="224">
        <f>IF(U62=0,0,VLOOKUP($B62,BD!$B:$BO,17,FALSE))</f>
        <v>27.156862745098039</v>
      </c>
      <c r="U62" s="224">
        <f>VLOOKUP($B62,BD!$B:$BO,21,FALSE)</f>
        <v>1662</v>
      </c>
      <c r="V62" s="230"/>
      <c r="W62" s="229"/>
      <c r="X62" s="39"/>
      <c r="Y62" s="39"/>
      <c r="Z62" s="39"/>
      <c r="AA62" s="39"/>
      <c r="AB62" s="39"/>
      <c r="AC62" s="39"/>
      <c r="AD62" s="39"/>
      <c r="AE62" s="39"/>
      <c r="AF62" s="39"/>
      <c r="AG62" s="230"/>
      <c r="AI62" s="229"/>
      <c r="AJ62" s="223">
        <f>+AJ61+1</f>
        <v>46024</v>
      </c>
      <c r="AK62" s="224">
        <f>IF(AL62=0,0,VLOOKUP($B62,BD!$B:$BO,47,FALSE))</f>
        <v>10.666666666666666</v>
      </c>
      <c r="AL62" s="224">
        <f>VLOOKUP($B62,BD!$B:$BO,51,FALSE)</f>
        <v>576</v>
      </c>
      <c r="AM62" s="230"/>
      <c r="AN62" s="229"/>
      <c r="AO62" s="39"/>
      <c r="AP62" s="39"/>
      <c r="AQ62" s="39"/>
      <c r="AR62" s="39"/>
      <c r="AS62" s="39"/>
      <c r="AT62" s="39"/>
      <c r="AU62" s="39"/>
      <c r="AV62" s="39"/>
      <c r="AW62" s="39"/>
      <c r="AX62" s="230"/>
    </row>
    <row r="63" spans="1:50" ht="15" customHeight="1" thickBot="1" x14ac:dyDescent="0.3">
      <c r="A63" s="229"/>
      <c r="B63" s="223">
        <f t="shared" ref="B63:B91" si="3">+B62+1</f>
        <v>46025</v>
      </c>
      <c r="C63" s="224">
        <f>IF(D63=0,0,VLOOKUP($B63,BD!$B:$BO,37,FALSE))</f>
        <v>36.857638888888886</v>
      </c>
      <c r="D63" s="224">
        <f>VLOOKUP($B63,BD!$B:$BO,41,FALSE)</f>
        <v>2123</v>
      </c>
      <c r="E63" s="230"/>
      <c r="F63" s="229"/>
      <c r="G63" s="39"/>
      <c r="H63" s="39"/>
      <c r="I63" s="39"/>
      <c r="J63" s="39"/>
      <c r="K63" s="39"/>
      <c r="L63" s="39"/>
      <c r="M63" s="39"/>
      <c r="N63" s="39"/>
      <c r="O63" s="39"/>
      <c r="P63" s="230"/>
      <c r="R63" s="229"/>
      <c r="S63" s="223">
        <f t="shared" ref="S63:S91" si="4">+S62+1</f>
        <v>46025</v>
      </c>
      <c r="T63" s="224">
        <f>IF(U63=0,0,VLOOKUP($B63,BD!$B:$BO,17,FALSE))</f>
        <v>27.631578947368421</v>
      </c>
      <c r="U63" s="224">
        <f>VLOOKUP($B63,BD!$B:$BO,21,FALSE)</f>
        <v>378</v>
      </c>
      <c r="V63" s="230"/>
      <c r="W63" s="229"/>
      <c r="X63" s="39"/>
      <c r="Y63" s="39"/>
      <c r="Z63" s="39"/>
      <c r="AA63" s="39"/>
      <c r="AB63" s="39"/>
      <c r="AC63" s="39"/>
      <c r="AD63" s="39"/>
      <c r="AE63" s="39"/>
      <c r="AF63" s="39"/>
      <c r="AG63" s="230"/>
      <c r="AI63" s="229"/>
      <c r="AJ63" s="223">
        <f t="shared" ref="AJ63:AJ91" si="5">+AJ62+1</f>
        <v>46025</v>
      </c>
      <c r="AK63" s="224">
        <f>IF(AL63=0,0,VLOOKUP($B63,BD!$B:$BO,47,FALSE))</f>
        <v>11.148148148148149</v>
      </c>
      <c r="AL63" s="224">
        <f>VLOOKUP($B63,BD!$B:$BO,51,FALSE)</f>
        <v>602</v>
      </c>
      <c r="AM63" s="230"/>
      <c r="AN63" s="229"/>
      <c r="AO63" s="39"/>
      <c r="AP63" s="39"/>
      <c r="AQ63" s="39"/>
      <c r="AR63" s="39"/>
      <c r="AS63" s="39"/>
      <c r="AT63" s="39"/>
      <c r="AU63" s="39"/>
      <c r="AV63" s="39"/>
      <c r="AW63" s="39"/>
      <c r="AX63" s="230"/>
    </row>
    <row r="64" spans="1:50" ht="15" customHeight="1" thickBot="1" x14ac:dyDescent="0.3">
      <c r="A64" s="229"/>
      <c r="B64" s="223">
        <f t="shared" si="3"/>
        <v>46026</v>
      </c>
      <c r="C64" s="224">
        <f>IF(D64=0,0,VLOOKUP($B64,BD!$B:$BO,37,FALSE))</f>
        <v>38.83986928104575</v>
      </c>
      <c r="D64" s="224">
        <f>VLOOKUP($B64,BD!$B:$BO,41,FALSE)</f>
        <v>2377</v>
      </c>
      <c r="E64" s="230"/>
      <c r="F64" s="229"/>
      <c r="G64" s="39"/>
      <c r="H64" s="39"/>
      <c r="I64" s="39"/>
      <c r="J64" s="39"/>
      <c r="K64" s="39"/>
      <c r="L64" s="39"/>
      <c r="M64" s="39"/>
      <c r="N64" s="39"/>
      <c r="O64" s="39"/>
      <c r="P64" s="230"/>
      <c r="R64" s="229"/>
      <c r="S64" s="223">
        <f t="shared" si="4"/>
        <v>46026</v>
      </c>
      <c r="T64" s="224">
        <f>IF(U64=0,0,VLOOKUP($B64,BD!$B:$BO,17,FALSE))</f>
        <v>0</v>
      </c>
      <c r="U64" s="224">
        <f>VLOOKUP($B64,BD!$B:$BO,21,FALSE)</f>
        <v>0</v>
      </c>
      <c r="V64" s="230"/>
      <c r="W64" s="229"/>
      <c r="X64" s="39"/>
      <c r="Y64" s="39"/>
      <c r="Z64" s="39"/>
      <c r="AA64" s="39"/>
      <c r="AB64" s="39"/>
      <c r="AC64" s="39"/>
      <c r="AD64" s="39"/>
      <c r="AE64" s="39"/>
      <c r="AF64" s="39"/>
      <c r="AG64" s="230"/>
      <c r="AI64" s="229"/>
      <c r="AJ64" s="223">
        <f t="shared" si="5"/>
        <v>46026</v>
      </c>
      <c r="AK64" s="224">
        <f>IF(AL64=0,0,VLOOKUP($B64,BD!$B:$BO,47,FALSE))</f>
        <v>10.074074074074074</v>
      </c>
      <c r="AL64" s="224">
        <f>VLOOKUP($B64,BD!$B:$BO,51,FALSE)</f>
        <v>544</v>
      </c>
      <c r="AM64" s="230"/>
      <c r="AN64" s="229"/>
      <c r="AO64" s="39"/>
      <c r="AP64" s="39"/>
      <c r="AQ64" s="39"/>
      <c r="AR64" s="39"/>
      <c r="AS64" s="39"/>
      <c r="AT64" s="39"/>
      <c r="AU64" s="39"/>
      <c r="AV64" s="39"/>
      <c r="AW64" s="39"/>
      <c r="AX64" s="230"/>
    </row>
    <row r="65" spans="1:50" ht="15" customHeight="1" thickBot="1" x14ac:dyDescent="0.3">
      <c r="A65" s="229"/>
      <c r="B65" s="223">
        <f t="shared" si="3"/>
        <v>46027</v>
      </c>
      <c r="C65" s="224">
        <f>IF(D65=0,0,VLOOKUP($B65,BD!$B:$BO,37,FALSE))</f>
        <v>38.496732026143789</v>
      </c>
      <c r="D65" s="224">
        <f>VLOOKUP($B65,BD!$B:$BO,41,FALSE)</f>
        <v>2356</v>
      </c>
      <c r="E65" s="230"/>
      <c r="F65" s="229"/>
      <c r="G65" s="39"/>
      <c r="H65" s="39"/>
      <c r="I65" s="39"/>
      <c r="J65" s="39"/>
      <c r="K65" s="39"/>
      <c r="L65" s="39"/>
      <c r="M65" s="39"/>
      <c r="N65" s="39"/>
      <c r="O65" s="39"/>
      <c r="P65" s="230"/>
      <c r="R65" s="229"/>
      <c r="S65" s="223">
        <f t="shared" si="4"/>
        <v>46027</v>
      </c>
      <c r="T65" s="224">
        <f>IF(U65=0,0,VLOOKUP($B65,BD!$B:$BO,17,FALSE))</f>
        <v>0</v>
      </c>
      <c r="U65" s="224">
        <f>VLOOKUP($B65,BD!$B:$BO,21,FALSE)</f>
        <v>127</v>
      </c>
      <c r="V65" s="230"/>
      <c r="W65" s="229"/>
      <c r="X65" s="39"/>
      <c r="Y65" s="39"/>
      <c r="Z65" s="39"/>
      <c r="AA65" s="39"/>
      <c r="AB65" s="39"/>
      <c r="AC65" s="39"/>
      <c r="AD65" s="39"/>
      <c r="AE65" s="39"/>
      <c r="AF65" s="39"/>
      <c r="AG65" s="230"/>
      <c r="AI65" s="229"/>
      <c r="AJ65" s="223">
        <f t="shared" si="5"/>
        <v>46027</v>
      </c>
      <c r="AK65" s="224">
        <f>IF(AL65=0,0,VLOOKUP($B65,BD!$B:$BO,47,FALSE))</f>
        <v>11.458333333333334</v>
      </c>
      <c r="AL65" s="224">
        <f>VLOOKUP($B65,BD!$B:$BO,51,FALSE)</f>
        <v>660</v>
      </c>
      <c r="AM65" s="230"/>
      <c r="AN65" s="229"/>
      <c r="AO65" s="39"/>
      <c r="AP65" s="39"/>
      <c r="AQ65" s="39"/>
      <c r="AR65" s="39"/>
      <c r="AS65" s="39"/>
      <c r="AT65" s="39"/>
      <c r="AU65" s="39"/>
      <c r="AV65" s="39"/>
      <c r="AW65" s="39"/>
      <c r="AX65" s="230"/>
    </row>
    <row r="66" spans="1:50" ht="15" customHeight="1" thickBot="1" x14ac:dyDescent="0.3">
      <c r="A66" s="229"/>
      <c r="B66" s="223">
        <f t="shared" si="3"/>
        <v>46028</v>
      </c>
      <c r="C66" s="224">
        <f>IF(D66=0,0,VLOOKUP($B66,BD!$B:$BO,37,FALSE))</f>
        <v>39.526143790849673</v>
      </c>
      <c r="D66" s="224">
        <f>VLOOKUP($B66,BD!$B:$BO,41,FALSE)</f>
        <v>2419</v>
      </c>
      <c r="E66" s="230"/>
      <c r="F66" s="229"/>
      <c r="G66" s="39"/>
      <c r="H66" s="39"/>
      <c r="I66" s="39"/>
      <c r="J66" s="39"/>
      <c r="K66" s="39"/>
      <c r="L66" s="39"/>
      <c r="M66" s="39"/>
      <c r="N66" s="39"/>
      <c r="O66" s="39"/>
      <c r="P66" s="230"/>
      <c r="R66" s="229"/>
      <c r="S66" s="223">
        <f t="shared" si="4"/>
        <v>46028</v>
      </c>
      <c r="T66" s="224">
        <f>IF(U66=0,0,VLOOKUP($B66,BD!$B:$BO,17,FALSE))</f>
        <v>0</v>
      </c>
      <c r="U66" s="224">
        <f>VLOOKUP($B66,BD!$B:$BO,21,FALSE)</f>
        <v>0</v>
      </c>
      <c r="V66" s="230"/>
      <c r="W66" s="229"/>
      <c r="X66" s="39"/>
      <c r="Y66" s="39"/>
      <c r="Z66" s="39"/>
      <c r="AA66" s="39"/>
      <c r="AB66" s="39"/>
      <c r="AC66" s="39"/>
      <c r="AD66" s="39"/>
      <c r="AE66" s="39"/>
      <c r="AF66" s="39"/>
      <c r="AG66" s="230"/>
      <c r="AI66" s="229"/>
      <c r="AJ66" s="223">
        <f t="shared" si="5"/>
        <v>46028</v>
      </c>
      <c r="AK66" s="224">
        <f>IF(AL66=0,0,VLOOKUP($B66,BD!$B:$BO,47,FALSE))</f>
        <v>11.092592592592592</v>
      </c>
      <c r="AL66" s="224">
        <f>VLOOKUP($B66,BD!$B:$BO,51,FALSE)</f>
        <v>599</v>
      </c>
      <c r="AM66" s="230"/>
      <c r="AN66" s="229"/>
      <c r="AO66" s="39"/>
      <c r="AP66" s="39"/>
      <c r="AQ66" s="39"/>
      <c r="AR66" s="39"/>
      <c r="AS66" s="39"/>
      <c r="AT66" s="39"/>
      <c r="AU66" s="39"/>
      <c r="AV66" s="39"/>
      <c r="AW66" s="39"/>
      <c r="AX66" s="230"/>
    </row>
    <row r="67" spans="1:50" ht="15" customHeight="1" thickBot="1" x14ac:dyDescent="0.3">
      <c r="A67" s="229"/>
      <c r="B67" s="223">
        <f t="shared" si="3"/>
        <v>46029</v>
      </c>
      <c r="C67" s="224">
        <f>IF(D67=0,0,VLOOKUP($B67,BD!$B:$BO,37,FALSE))</f>
        <v>39.068627450980387</v>
      </c>
      <c r="D67" s="224">
        <f>VLOOKUP($B67,BD!$B:$BO,41,FALSE)</f>
        <v>2391</v>
      </c>
      <c r="E67" s="230"/>
      <c r="F67" s="229"/>
      <c r="G67" s="39"/>
      <c r="H67" s="39"/>
      <c r="I67" s="39"/>
      <c r="J67" s="39"/>
      <c r="K67" s="39"/>
      <c r="L67" s="39"/>
      <c r="M67" s="39"/>
      <c r="N67" s="39"/>
      <c r="O67" s="39"/>
      <c r="P67" s="230"/>
      <c r="R67" s="229"/>
      <c r="S67" s="223">
        <f t="shared" si="4"/>
        <v>46029</v>
      </c>
      <c r="T67" s="224">
        <f>IF(U67=0,0,VLOOKUP($B67,BD!$B:$BO,17,FALSE))</f>
        <v>0</v>
      </c>
      <c r="U67" s="224">
        <f>VLOOKUP($B67,BD!$B:$BO,21,FALSE)</f>
        <v>0</v>
      </c>
      <c r="V67" s="230"/>
      <c r="W67" s="229"/>
      <c r="X67" s="39"/>
      <c r="Y67" s="39"/>
      <c r="Z67" s="39"/>
      <c r="AA67" s="39"/>
      <c r="AB67" s="39"/>
      <c r="AC67" s="39"/>
      <c r="AD67" s="39"/>
      <c r="AE67" s="39"/>
      <c r="AF67" s="39"/>
      <c r="AG67" s="230"/>
      <c r="AI67" s="229"/>
      <c r="AJ67" s="223">
        <f t="shared" si="5"/>
        <v>46029</v>
      </c>
      <c r="AK67" s="224">
        <f>IF(AL67=0,0,VLOOKUP($B67,BD!$B:$BO,47,FALSE))</f>
        <v>11.277777777777777</v>
      </c>
      <c r="AL67" s="224">
        <f>VLOOKUP($B67,BD!$B:$BO,51,FALSE)</f>
        <v>609</v>
      </c>
      <c r="AM67" s="230"/>
      <c r="AN67" s="229"/>
      <c r="AO67" s="39"/>
      <c r="AP67" s="39"/>
      <c r="AQ67" s="39"/>
      <c r="AR67" s="39"/>
      <c r="AS67" s="39"/>
      <c r="AT67" s="39"/>
      <c r="AU67" s="39"/>
      <c r="AV67" s="39"/>
      <c r="AW67" s="39"/>
      <c r="AX67" s="230"/>
    </row>
    <row r="68" spans="1:50" ht="15" customHeight="1" thickBot="1" x14ac:dyDescent="0.3">
      <c r="A68" s="229"/>
      <c r="B68" s="223">
        <f t="shared" si="3"/>
        <v>46030</v>
      </c>
      <c r="C68" s="224">
        <f>IF(D68=0,0,VLOOKUP($B68,BD!$B:$BO,37,FALSE))</f>
        <v>39.243827160493829</v>
      </c>
      <c r="D68" s="224">
        <f>VLOOKUP($B68,BD!$B:$BO,41,FALSE)</f>
        <v>2543</v>
      </c>
      <c r="E68" s="230"/>
      <c r="F68" s="229"/>
      <c r="G68" s="39"/>
      <c r="H68" s="39"/>
      <c r="I68" s="39"/>
      <c r="J68" s="39"/>
      <c r="K68" s="39"/>
      <c r="L68" s="39"/>
      <c r="M68" s="39"/>
      <c r="N68" s="39"/>
      <c r="O68" s="39"/>
      <c r="P68" s="230"/>
      <c r="R68" s="229"/>
      <c r="S68" s="223">
        <f t="shared" si="4"/>
        <v>46030</v>
      </c>
      <c r="T68" s="224">
        <f>IF(U68=0,0,VLOOKUP($B68,BD!$B:$BO,17,FALSE))</f>
        <v>0</v>
      </c>
      <c r="U68" s="224">
        <f>VLOOKUP($B68,BD!$B:$BO,21,FALSE)</f>
        <v>0</v>
      </c>
      <c r="V68" s="230"/>
      <c r="W68" s="229"/>
      <c r="X68" s="39"/>
      <c r="Y68" s="39"/>
      <c r="Z68" s="39"/>
      <c r="AA68" s="39"/>
      <c r="AB68" s="39"/>
      <c r="AC68" s="39"/>
      <c r="AD68" s="39"/>
      <c r="AE68" s="39"/>
      <c r="AF68" s="39"/>
      <c r="AG68" s="230"/>
      <c r="AI68" s="229"/>
      <c r="AJ68" s="223">
        <f t="shared" si="5"/>
        <v>46030</v>
      </c>
      <c r="AK68" s="224">
        <f>IF(AL68=0,0,VLOOKUP($B68,BD!$B:$BO,47,FALSE))</f>
        <v>11.333333333333334</v>
      </c>
      <c r="AL68" s="224">
        <f>VLOOKUP($B68,BD!$B:$BO,51,FALSE)</f>
        <v>612</v>
      </c>
      <c r="AM68" s="230"/>
      <c r="AN68" s="229"/>
      <c r="AO68" s="39"/>
      <c r="AP68" s="39"/>
      <c r="AQ68" s="39"/>
      <c r="AR68" s="39"/>
      <c r="AS68" s="39"/>
      <c r="AT68" s="39"/>
      <c r="AU68" s="39"/>
      <c r="AV68" s="39"/>
      <c r="AW68" s="39"/>
      <c r="AX68" s="230"/>
    </row>
    <row r="69" spans="1:50" ht="15" customHeight="1" thickBot="1" x14ac:dyDescent="0.3">
      <c r="A69" s="229"/>
      <c r="B69" s="223">
        <f t="shared" si="3"/>
        <v>46031</v>
      </c>
      <c r="C69" s="224">
        <f>IF(D69=0,0,VLOOKUP($B69,BD!$B:$BO,37,FALSE))</f>
        <v>38.56481481481481</v>
      </c>
      <c r="D69" s="224">
        <f>VLOOKUP($B69,BD!$B:$BO,41,FALSE)</f>
        <v>2499</v>
      </c>
      <c r="E69" s="230"/>
      <c r="F69" s="229"/>
      <c r="G69" s="39"/>
      <c r="H69" s="39"/>
      <c r="I69" s="39"/>
      <c r="J69" s="39"/>
      <c r="K69" s="39"/>
      <c r="L69" s="39"/>
      <c r="M69" s="39"/>
      <c r="N69" s="39"/>
      <c r="O69" s="39"/>
      <c r="P69" s="230"/>
      <c r="R69" s="229"/>
      <c r="S69" s="223">
        <f t="shared" si="4"/>
        <v>46031</v>
      </c>
      <c r="T69" s="224">
        <f>IF(U69=0,0,VLOOKUP($B69,BD!$B:$BO,17,FALSE))</f>
        <v>0</v>
      </c>
      <c r="U69" s="224">
        <f>VLOOKUP($B69,BD!$B:$BO,21,FALSE)</f>
        <v>0</v>
      </c>
      <c r="V69" s="230"/>
      <c r="W69" s="229"/>
      <c r="X69" s="39"/>
      <c r="Y69" s="39"/>
      <c r="Z69" s="39"/>
      <c r="AA69" s="39"/>
      <c r="AB69" s="39"/>
      <c r="AC69" s="39"/>
      <c r="AD69" s="39"/>
      <c r="AE69" s="39"/>
      <c r="AF69" s="39"/>
      <c r="AG69" s="230"/>
      <c r="AI69" s="229"/>
      <c r="AJ69" s="223">
        <f t="shared" si="5"/>
        <v>46031</v>
      </c>
      <c r="AK69" s="224">
        <f>IF(AL69=0,0,VLOOKUP($B69,BD!$B:$BO,47,FALSE))</f>
        <v>11.777777777777777</v>
      </c>
      <c r="AL69" s="224">
        <f>VLOOKUP($B69,BD!$B:$BO,51,FALSE)</f>
        <v>636</v>
      </c>
      <c r="AM69" s="230"/>
      <c r="AN69" s="229"/>
      <c r="AO69" s="39"/>
      <c r="AP69" s="39"/>
      <c r="AQ69" s="39"/>
      <c r="AR69" s="39"/>
      <c r="AS69" s="39"/>
      <c r="AT69" s="39"/>
      <c r="AU69" s="39"/>
      <c r="AV69" s="39"/>
      <c r="AW69" s="39"/>
      <c r="AX69" s="230"/>
    </row>
    <row r="70" spans="1:50" ht="15" customHeight="1" thickBot="1" x14ac:dyDescent="0.3">
      <c r="A70" s="229"/>
      <c r="B70" s="223">
        <f t="shared" si="3"/>
        <v>46032</v>
      </c>
      <c r="C70" s="224">
        <f>IF(D70=0,0,VLOOKUP($B70,BD!$B:$BO,37,FALSE))</f>
        <v>38.22530864197531</v>
      </c>
      <c r="D70" s="224">
        <f>VLOOKUP($B70,BD!$B:$BO,41,FALSE)</f>
        <v>2477</v>
      </c>
      <c r="E70" s="230"/>
      <c r="F70" s="229"/>
      <c r="G70" s="39"/>
      <c r="H70" s="39"/>
      <c r="I70" s="39"/>
      <c r="J70" s="39"/>
      <c r="K70" s="39"/>
      <c r="L70" s="39"/>
      <c r="M70" s="39"/>
      <c r="N70" s="39"/>
      <c r="O70" s="39"/>
      <c r="P70" s="230"/>
      <c r="R70" s="229"/>
      <c r="S70" s="223">
        <f t="shared" si="4"/>
        <v>46032</v>
      </c>
      <c r="T70" s="224">
        <f>IF(U70=0,0,VLOOKUP($B70,BD!$B:$BO,17,FALSE))</f>
        <v>27.972222222222221</v>
      </c>
      <c r="U70" s="224">
        <f>VLOOKUP($B70,BD!$B:$BO,21,FALSE)</f>
        <v>1007</v>
      </c>
      <c r="V70" s="230"/>
      <c r="W70" s="229"/>
      <c r="X70" s="39"/>
      <c r="Y70" s="39"/>
      <c r="Z70" s="39"/>
      <c r="AA70" s="39"/>
      <c r="AB70" s="39"/>
      <c r="AC70" s="39"/>
      <c r="AD70" s="39"/>
      <c r="AE70" s="39"/>
      <c r="AF70" s="39"/>
      <c r="AG70" s="230"/>
      <c r="AI70" s="229"/>
      <c r="AJ70" s="223">
        <f t="shared" si="5"/>
        <v>46032</v>
      </c>
      <c r="AK70" s="224">
        <f>IF(AL70=0,0,VLOOKUP($B70,BD!$B:$BO,47,FALSE))</f>
        <v>11.222222222222223</v>
      </c>
      <c r="AL70" s="224">
        <f>VLOOKUP($B70,BD!$B:$BO,51,FALSE)</f>
        <v>606</v>
      </c>
      <c r="AM70" s="230"/>
      <c r="AN70" s="229"/>
      <c r="AO70" s="39"/>
      <c r="AP70" s="39"/>
      <c r="AQ70" s="39"/>
      <c r="AR70" s="39"/>
      <c r="AS70" s="39"/>
      <c r="AT70" s="39"/>
      <c r="AU70" s="39"/>
      <c r="AV70" s="39"/>
      <c r="AW70" s="39"/>
      <c r="AX70" s="230"/>
    </row>
    <row r="71" spans="1:50" ht="15" customHeight="1" thickBot="1" x14ac:dyDescent="0.3">
      <c r="A71" s="229"/>
      <c r="B71" s="223">
        <f t="shared" si="3"/>
        <v>46033</v>
      </c>
      <c r="C71" s="224">
        <f>IF(D71=0,0,VLOOKUP($B71,BD!$B:$BO,37,FALSE))</f>
        <v>38.011695906432749</v>
      </c>
      <c r="D71" s="224">
        <f>VLOOKUP($B71,BD!$B:$BO,41,FALSE)</f>
        <v>2600</v>
      </c>
      <c r="E71" s="230"/>
      <c r="F71" s="229"/>
      <c r="G71" s="39"/>
      <c r="H71" s="39"/>
      <c r="I71" s="39"/>
      <c r="J71" s="39"/>
      <c r="K71" s="39"/>
      <c r="L71" s="39"/>
      <c r="M71" s="39"/>
      <c r="N71" s="39"/>
      <c r="O71" s="39"/>
      <c r="P71" s="230"/>
      <c r="R71" s="229"/>
      <c r="S71" s="223">
        <f t="shared" si="4"/>
        <v>46033</v>
      </c>
      <c r="T71" s="224">
        <f>IF(U71=0,0,VLOOKUP($B71,BD!$B:$BO,17,FALSE))</f>
        <v>29.411764705882351</v>
      </c>
      <c r="U71" s="224">
        <f>VLOOKUP($B71,BD!$B:$BO,21,FALSE)</f>
        <v>1800</v>
      </c>
      <c r="V71" s="230"/>
      <c r="W71" s="229"/>
      <c r="X71" s="39"/>
      <c r="Y71" s="39"/>
      <c r="Z71" s="39"/>
      <c r="AA71" s="39"/>
      <c r="AB71" s="39"/>
      <c r="AC71" s="39"/>
      <c r="AD71" s="39"/>
      <c r="AE71" s="39"/>
      <c r="AF71" s="39"/>
      <c r="AG71" s="230"/>
      <c r="AI71" s="229"/>
      <c r="AJ71" s="223">
        <f t="shared" si="5"/>
        <v>46033</v>
      </c>
      <c r="AK71" s="224">
        <f>IF(AL71=0,0,VLOOKUP($B71,BD!$B:$BO,47,FALSE))</f>
        <v>11.25925925925926</v>
      </c>
      <c r="AL71" s="224">
        <f>VLOOKUP($B71,BD!$B:$BO,51,FALSE)</f>
        <v>608</v>
      </c>
      <c r="AM71" s="230"/>
      <c r="AN71" s="229"/>
      <c r="AO71" s="39"/>
      <c r="AP71" s="39"/>
      <c r="AQ71" s="39"/>
      <c r="AR71" s="39"/>
      <c r="AS71" s="39"/>
      <c r="AT71" s="39"/>
      <c r="AU71" s="39"/>
      <c r="AV71" s="39"/>
      <c r="AW71" s="39"/>
      <c r="AX71" s="230"/>
    </row>
    <row r="72" spans="1:50" ht="15" customHeight="1" thickBot="1" x14ac:dyDescent="0.3">
      <c r="A72" s="229"/>
      <c r="B72" s="223">
        <f t="shared" si="3"/>
        <v>46034</v>
      </c>
      <c r="C72" s="224">
        <f>IF(D72=0,0,VLOOKUP($B72,BD!$B:$BO,37,FALSE))</f>
        <v>39.444444444444443</v>
      </c>
      <c r="D72" s="224">
        <f>VLOOKUP($B72,BD!$B:$BO,41,FALSE)</f>
        <v>2414</v>
      </c>
      <c r="E72" s="230"/>
      <c r="F72" s="229"/>
      <c r="G72" s="39"/>
      <c r="H72" s="39"/>
      <c r="I72" s="39"/>
      <c r="J72" s="39"/>
      <c r="K72" s="39"/>
      <c r="L72" s="39"/>
      <c r="M72" s="39"/>
      <c r="N72" s="39"/>
      <c r="O72" s="39"/>
      <c r="P72" s="230"/>
      <c r="R72" s="229"/>
      <c r="S72" s="223">
        <f t="shared" si="4"/>
        <v>46034</v>
      </c>
      <c r="T72" s="224">
        <f>IF(U72=0,0,VLOOKUP($B72,BD!$B:$BO,17,FALSE))</f>
        <v>28.402777777777779</v>
      </c>
      <c r="U72" s="224">
        <f>VLOOKUP($B72,BD!$B:$BO,21,FALSE)</f>
        <v>2045</v>
      </c>
      <c r="V72" s="230"/>
      <c r="W72" s="229"/>
      <c r="X72" s="39"/>
      <c r="Y72" s="39"/>
      <c r="Z72" s="39"/>
      <c r="AA72" s="39"/>
      <c r="AB72" s="39"/>
      <c r="AC72" s="39"/>
      <c r="AD72" s="39"/>
      <c r="AE72" s="39"/>
      <c r="AF72" s="39"/>
      <c r="AG72" s="230"/>
      <c r="AI72" s="229"/>
      <c r="AJ72" s="223">
        <f t="shared" si="5"/>
        <v>46034</v>
      </c>
      <c r="AK72" s="224">
        <f>IF(AL72=0,0,VLOOKUP($B72,BD!$B:$BO,47,FALSE))</f>
        <v>11.592592592592592</v>
      </c>
      <c r="AL72" s="224">
        <f>VLOOKUP($B72,BD!$B:$BO,51,FALSE)</f>
        <v>626</v>
      </c>
      <c r="AM72" s="230"/>
      <c r="AN72" s="229"/>
      <c r="AO72" s="39"/>
      <c r="AP72" s="39"/>
      <c r="AQ72" s="39"/>
      <c r="AR72" s="39"/>
      <c r="AS72" s="39"/>
      <c r="AT72" s="39"/>
      <c r="AU72" s="39"/>
      <c r="AV72" s="39"/>
      <c r="AW72" s="39"/>
      <c r="AX72" s="230"/>
    </row>
    <row r="73" spans="1:50" ht="15" customHeight="1" thickBot="1" x14ac:dyDescent="0.3">
      <c r="A73" s="229"/>
      <c r="B73" s="223">
        <f t="shared" si="3"/>
        <v>46035</v>
      </c>
      <c r="C73" s="224">
        <f>IF(D73=0,0,VLOOKUP($B73,BD!$B:$BO,37,FALSE))</f>
        <v>38.395061728395063</v>
      </c>
      <c r="D73" s="224">
        <f>VLOOKUP($B73,BD!$B:$BO,41,FALSE)</f>
        <v>2488</v>
      </c>
      <c r="E73" s="230"/>
      <c r="F73" s="229"/>
      <c r="G73" s="39"/>
      <c r="H73" s="39"/>
      <c r="I73" s="39"/>
      <c r="J73" s="39"/>
      <c r="K73" s="39"/>
      <c r="L73" s="39"/>
      <c r="M73" s="39"/>
      <c r="N73" s="39"/>
      <c r="O73" s="39"/>
      <c r="P73" s="230"/>
      <c r="R73" s="229"/>
      <c r="S73" s="223">
        <f t="shared" si="4"/>
        <v>46035</v>
      </c>
      <c r="T73" s="224">
        <f>IF(U73=0,0,VLOOKUP($B73,BD!$B:$BO,17,FALSE))</f>
        <v>28.425925925925924</v>
      </c>
      <c r="U73" s="224">
        <f>VLOOKUP($B73,BD!$B:$BO,21,FALSE)</f>
        <v>1842</v>
      </c>
      <c r="V73" s="230"/>
      <c r="W73" s="229"/>
      <c r="X73" s="39"/>
      <c r="Y73" s="39"/>
      <c r="Z73" s="39"/>
      <c r="AA73" s="39"/>
      <c r="AB73" s="39"/>
      <c r="AC73" s="39"/>
      <c r="AD73" s="39"/>
      <c r="AE73" s="39"/>
      <c r="AF73" s="39"/>
      <c r="AG73" s="230"/>
      <c r="AI73" s="229"/>
      <c r="AJ73" s="223">
        <f t="shared" si="5"/>
        <v>46035</v>
      </c>
      <c r="AK73" s="224">
        <f>IF(AL73=0,0,VLOOKUP($B73,BD!$B:$BO,47,FALSE))</f>
        <v>11.351851851851851</v>
      </c>
      <c r="AL73" s="224">
        <f>VLOOKUP($B73,BD!$B:$BO,51,FALSE)</f>
        <v>613</v>
      </c>
      <c r="AM73" s="230"/>
      <c r="AN73" s="229"/>
      <c r="AO73" s="39"/>
      <c r="AP73" s="39"/>
      <c r="AQ73" s="39"/>
      <c r="AR73" s="39"/>
      <c r="AS73" s="39"/>
      <c r="AT73" s="39"/>
      <c r="AU73" s="39"/>
      <c r="AV73" s="39"/>
      <c r="AW73" s="39"/>
      <c r="AX73" s="230"/>
    </row>
    <row r="74" spans="1:50" ht="15" customHeight="1" thickBot="1" x14ac:dyDescent="0.3">
      <c r="A74" s="229"/>
      <c r="B74" s="223">
        <f t="shared" si="3"/>
        <v>46036</v>
      </c>
      <c r="C74" s="224">
        <f>IF(D74=0,0,VLOOKUP($B74,BD!$B:$BO,37,FALSE))</f>
        <v>38.117283950617285</v>
      </c>
      <c r="D74" s="224">
        <f>VLOOKUP($B74,BD!$B:$BO,41,FALSE)</f>
        <v>2470</v>
      </c>
      <c r="E74" s="230"/>
      <c r="F74" s="229"/>
      <c r="G74" s="39"/>
      <c r="H74" s="39"/>
      <c r="I74" s="39"/>
      <c r="J74" s="39"/>
      <c r="K74" s="39"/>
      <c r="L74" s="39"/>
      <c r="M74" s="39"/>
      <c r="N74" s="39"/>
      <c r="O74" s="39"/>
      <c r="P74" s="230"/>
      <c r="R74" s="229"/>
      <c r="S74" s="223">
        <f t="shared" si="4"/>
        <v>46036</v>
      </c>
      <c r="T74" s="224">
        <f>IF(U74=0,0,VLOOKUP($B74,BD!$B:$BO,17,FALSE))</f>
        <v>27.401960784313726</v>
      </c>
      <c r="U74" s="224">
        <f>VLOOKUP($B74,BD!$B:$BO,21,FALSE)</f>
        <v>1677</v>
      </c>
      <c r="V74" s="230"/>
      <c r="W74" s="229"/>
      <c r="X74" s="39"/>
      <c r="Y74" s="39"/>
      <c r="Z74" s="39"/>
      <c r="AA74" s="39"/>
      <c r="AB74" s="39"/>
      <c r="AC74" s="39"/>
      <c r="AD74" s="39"/>
      <c r="AE74" s="39"/>
      <c r="AF74" s="39"/>
      <c r="AG74" s="230"/>
      <c r="AI74" s="229"/>
      <c r="AJ74" s="223">
        <f t="shared" si="5"/>
        <v>46036</v>
      </c>
      <c r="AK74" s="224">
        <f>IF(AL74=0,0,VLOOKUP($B74,BD!$B:$BO,47,FALSE))</f>
        <v>10.555555555555555</v>
      </c>
      <c r="AL74" s="224">
        <f>VLOOKUP($B74,BD!$B:$BO,51,FALSE)</f>
        <v>532</v>
      </c>
      <c r="AM74" s="230"/>
      <c r="AN74" s="229"/>
      <c r="AO74" s="39"/>
      <c r="AP74" s="39"/>
      <c r="AQ74" s="39"/>
      <c r="AR74" s="39"/>
      <c r="AS74" s="39"/>
      <c r="AT74" s="39"/>
      <c r="AU74" s="39"/>
      <c r="AV74" s="39"/>
      <c r="AW74" s="39"/>
      <c r="AX74" s="230"/>
    </row>
    <row r="75" spans="1:50" ht="15" customHeight="1" thickBot="1" x14ac:dyDescent="0.3">
      <c r="A75" s="229"/>
      <c r="B75" s="223">
        <f t="shared" si="3"/>
        <v>46037</v>
      </c>
      <c r="C75" s="224">
        <f>IF(D75=0,0,VLOOKUP($B75,BD!$B:$BO,37,FALSE))</f>
        <v>37.962962962962962</v>
      </c>
      <c r="D75" s="224">
        <f>VLOOKUP($B75,BD!$B:$BO,41,FALSE)</f>
        <v>2460</v>
      </c>
      <c r="E75" s="230"/>
      <c r="F75" s="229"/>
      <c r="G75" s="39"/>
      <c r="H75" s="39"/>
      <c r="I75" s="39"/>
      <c r="J75" s="39"/>
      <c r="K75" s="39"/>
      <c r="L75" s="39"/>
      <c r="M75" s="39"/>
      <c r="N75" s="39"/>
      <c r="O75" s="39"/>
      <c r="P75" s="230"/>
      <c r="R75" s="229"/>
      <c r="S75" s="223">
        <f t="shared" si="4"/>
        <v>46037</v>
      </c>
      <c r="T75" s="224">
        <f>IF(U75=0,0,VLOOKUP($B75,BD!$B:$BO,17,FALSE))</f>
        <v>27.222222222222221</v>
      </c>
      <c r="U75" s="224">
        <f>VLOOKUP($B75,BD!$B:$BO,21,FALSE)</f>
        <v>1274</v>
      </c>
      <c r="V75" s="230"/>
      <c r="W75" s="229"/>
      <c r="X75" s="39"/>
      <c r="Y75" s="39"/>
      <c r="Z75" s="39"/>
      <c r="AA75" s="39"/>
      <c r="AB75" s="39"/>
      <c r="AC75" s="39"/>
      <c r="AD75" s="39"/>
      <c r="AE75" s="39"/>
      <c r="AF75" s="39"/>
      <c r="AG75" s="230"/>
      <c r="AI75" s="229"/>
      <c r="AJ75" s="223">
        <f t="shared" si="5"/>
        <v>46037</v>
      </c>
      <c r="AK75" s="224">
        <f>IF(AL75=0,0,VLOOKUP($B75,BD!$B:$BO,47,FALSE))</f>
        <v>11.611111111111111</v>
      </c>
      <c r="AL75" s="224">
        <f>VLOOKUP($B75,BD!$B:$BO,51,FALSE)</f>
        <v>627</v>
      </c>
      <c r="AM75" s="230"/>
      <c r="AN75" s="229"/>
      <c r="AO75" s="39"/>
      <c r="AP75" s="39"/>
      <c r="AQ75" s="39"/>
      <c r="AR75" s="39"/>
      <c r="AS75" s="39"/>
      <c r="AT75" s="39"/>
      <c r="AU75" s="39"/>
      <c r="AV75" s="39"/>
      <c r="AW75" s="39"/>
      <c r="AX75" s="230"/>
    </row>
    <row r="76" spans="1:50" ht="15" customHeight="1" thickBot="1" x14ac:dyDescent="0.3">
      <c r="A76" s="229"/>
      <c r="B76" s="223">
        <f t="shared" si="3"/>
        <v>46038</v>
      </c>
      <c r="C76" s="224">
        <f>IF(D76=0,0,VLOOKUP($B76,BD!$B:$BO,37,FALSE))</f>
        <v>38.728070175438596</v>
      </c>
      <c r="D76" s="224">
        <f>VLOOKUP($B76,BD!$B:$BO,41,FALSE)</f>
        <v>2649</v>
      </c>
      <c r="E76" s="230"/>
      <c r="F76" s="229"/>
      <c r="G76" s="39"/>
      <c r="H76" s="39"/>
      <c r="I76" s="39"/>
      <c r="J76" s="39"/>
      <c r="K76" s="39"/>
      <c r="L76" s="39"/>
      <c r="M76" s="39"/>
      <c r="N76" s="39"/>
      <c r="O76" s="39"/>
      <c r="P76" s="230"/>
      <c r="R76" s="229"/>
      <c r="S76" s="223">
        <f t="shared" si="4"/>
        <v>46038</v>
      </c>
      <c r="T76" s="224">
        <f>IF(U76=0,0,VLOOKUP($B76,BD!$B:$BO,17,FALSE))</f>
        <v>28.300653594771241</v>
      </c>
      <c r="U76" s="224">
        <f>VLOOKUP($B76,BD!$B:$BO,21,FALSE)</f>
        <v>1732</v>
      </c>
      <c r="V76" s="230"/>
      <c r="W76" s="229"/>
      <c r="X76" s="39"/>
      <c r="Y76" s="39"/>
      <c r="Z76" s="39"/>
      <c r="AA76" s="39"/>
      <c r="AB76" s="39"/>
      <c r="AC76" s="39"/>
      <c r="AD76" s="39"/>
      <c r="AE76" s="39"/>
      <c r="AF76" s="39"/>
      <c r="AG76" s="230"/>
      <c r="AI76" s="229"/>
      <c r="AJ76" s="223">
        <f t="shared" si="5"/>
        <v>46038</v>
      </c>
      <c r="AK76" s="224">
        <f>IF(AL76=0,0,VLOOKUP($B76,BD!$B:$BO,47,FALSE))</f>
        <v>11.648148148148149</v>
      </c>
      <c r="AL76" s="224">
        <f>VLOOKUP($B76,BD!$B:$BO,51,FALSE)</f>
        <v>629</v>
      </c>
      <c r="AM76" s="230"/>
      <c r="AN76" s="229"/>
      <c r="AO76" s="39"/>
      <c r="AP76" s="39"/>
      <c r="AQ76" s="39"/>
      <c r="AR76" s="39"/>
      <c r="AS76" s="39"/>
      <c r="AT76" s="39"/>
      <c r="AU76" s="39"/>
      <c r="AV76" s="39"/>
      <c r="AW76" s="39"/>
      <c r="AX76" s="230"/>
    </row>
    <row r="77" spans="1:50" ht="15" customHeight="1" thickBot="1" x14ac:dyDescent="0.3">
      <c r="A77" s="229"/>
      <c r="B77" s="223">
        <f t="shared" si="3"/>
        <v>46039</v>
      </c>
      <c r="C77" s="224">
        <f>IF(D77=0,0,VLOOKUP($B77,BD!$B:$BO,37,FALSE))</f>
        <v>37.947530864197532</v>
      </c>
      <c r="D77" s="224">
        <f>VLOOKUP($B77,BD!$B:$BO,41,FALSE)</f>
        <v>2459</v>
      </c>
      <c r="E77" s="230"/>
      <c r="F77" s="231"/>
      <c r="G77" s="235"/>
      <c r="H77" s="235"/>
      <c r="I77" s="235"/>
      <c r="J77" s="235"/>
      <c r="K77" s="235"/>
      <c r="L77" s="235"/>
      <c r="M77" s="235"/>
      <c r="N77" s="235"/>
      <c r="O77" s="235"/>
      <c r="P77" s="233"/>
      <c r="R77" s="229"/>
      <c r="S77" s="223">
        <f t="shared" si="4"/>
        <v>46039</v>
      </c>
      <c r="T77" s="224">
        <f>IF(U77=0,0,VLOOKUP($B77,BD!$B:$BO,17,FALSE))</f>
        <v>28.347953216374268</v>
      </c>
      <c r="U77" s="224">
        <f>VLOOKUP($B77,BD!$B:$BO,21,FALSE)</f>
        <v>1939</v>
      </c>
      <c r="V77" s="230"/>
      <c r="W77" s="231"/>
      <c r="X77" s="235"/>
      <c r="Y77" s="235"/>
      <c r="Z77" s="235"/>
      <c r="AA77" s="235"/>
      <c r="AB77" s="235"/>
      <c r="AC77" s="235"/>
      <c r="AD77" s="235"/>
      <c r="AE77" s="235"/>
      <c r="AF77" s="235"/>
      <c r="AG77" s="233"/>
      <c r="AI77" s="229"/>
      <c r="AJ77" s="223">
        <f t="shared" si="5"/>
        <v>46039</v>
      </c>
      <c r="AK77" s="224">
        <f>IF(AL77=0,0,VLOOKUP($B77,BD!$B:$BO,47,FALSE))</f>
        <v>11.5</v>
      </c>
      <c r="AL77" s="224">
        <f>VLOOKUP($B77,BD!$B:$BO,51,FALSE)</f>
        <v>621</v>
      </c>
      <c r="AM77" s="230"/>
      <c r="AN77" s="231"/>
      <c r="AO77" s="235"/>
      <c r="AP77" s="235"/>
      <c r="AQ77" s="235"/>
      <c r="AR77" s="235"/>
      <c r="AS77" s="235"/>
      <c r="AT77" s="235"/>
      <c r="AU77" s="235"/>
      <c r="AV77" s="235"/>
      <c r="AW77" s="235"/>
      <c r="AX77" s="233"/>
    </row>
    <row r="78" spans="1:50" ht="15" customHeight="1" thickBot="1" x14ac:dyDescent="0.3">
      <c r="A78" s="229"/>
      <c r="B78" s="223">
        <f t="shared" si="3"/>
        <v>46040</v>
      </c>
      <c r="C78" s="224">
        <f>IF(D78=0,0,VLOOKUP($B78,BD!$B:$BO,37,FALSE))</f>
        <v>38.56481481481481</v>
      </c>
      <c r="D78" s="224">
        <f>VLOOKUP($B78,BD!$B:$BO,41,FALSE)</f>
        <v>2499</v>
      </c>
      <c r="E78" s="230"/>
      <c r="F78" s="229"/>
      <c r="G78" s="447" t="s">
        <v>587</v>
      </c>
      <c r="H78" s="448"/>
      <c r="I78" s="448"/>
      <c r="J78" s="448"/>
      <c r="K78" s="448"/>
      <c r="L78" s="448"/>
      <c r="M78" s="448"/>
      <c r="N78" s="448"/>
      <c r="O78" s="448"/>
      <c r="P78" s="230"/>
      <c r="R78" s="229"/>
      <c r="S78" s="223">
        <f t="shared" si="4"/>
        <v>46040</v>
      </c>
      <c r="T78" s="224">
        <f>IF(U78=0,0,VLOOKUP($B78,BD!$B:$BO,17,FALSE))</f>
        <v>27.777777777777779</v>
      </c>
      <c r="U78" s="224">
        <f>VLOOKUP($B78,BD!$B:$BO,21,FALSE)</f>
        <v>1</v>
      </c>
      <c r="V78" s="230"/>
      <c r="W78" s="229"/>
      <c r="X78" s="447" t="s">
        <v>588</v>
      </c>
      <c r="Y78" s="448"/>
      <c r="Z78" s="448"/>
      <c r="AA78" s="448"/>
      <c r="AB78" s="448"/>
      <c r="AC78" s="448"/>
      <c r="AD78" s="448"/>
      <c r="AE78" s="448"/>
      <c r="AF78" s="448"/>
      <c r="AG78" s="230"/>
      <c r="AI78" s="229"/>
      <c r="AJ78" s="223">
        <f t="shared" si="5"/>
        <v>46040</v>
      </c>
      <c r="AK78" s="224">
        <f>IF(AL78=0,0,VLOOKUP($B78,BD!$B:$BO,47,FALSE))</f>
        <v>11.148148148148149</v>
      </c>
      <c r="AL78" s="224">
        <f>VLOOKUP($B78,BD!$B:$BO,51,FALSE)</f>
        <v>602</v>
      </c>
      <c r="AM78" s="230"/>
      <c r="AN78" s="229"/>
      <c r="AO78" s="447" t="s">
        <v>587</v>
      </c>
      <c r="AP78" s="448"/>
      <c r="AQ78" s="448"/>
      <c r="AR78" s="448"/>
      <c r="AS78" s="448"/>
      <c r="AT78" s="448"/>
      <c r="AU78" s="448"/>
      <c r="AV78" s="448"/>
      <c r="AW78" s="448"/>
      <c r="AX78" s="230"/>
    </row>
    <row r="79" spans="1:50" ht="15" customHeight="1" thickBot="1" x14ac:dyDescent="0.3">
      <c r="A79" s="229"/>
      <c r="B79" s="223">
        <f t="shared" si="3"/>
        <v>46041</v>
      </c>
      <c r="C79" s="224">
        <f>IF(D79=0,0,VLOOKUP($B79,BD!$B:$BO,37,FALSE))</f>
        <v>38.302469135802468</v>
      </c>
      <c r="D79" s="224">
        <f>VLOOKUP($B79,BD!$B:$BO,41,FALSE)</f>
        <v>2482</v>
      </c>
      <c r="E79" s="230"/>
      <c r="F79" s="229"/>
      <c r="G79" s="449"/>
      <c r="H79" s="449"/>
      <c r="I79" s="449"/>
      <c r="J79" s="449"/>
      <c r="K79" s="449"/>
      <c r="L79" s="449"/>
      <c r="M79" s="449"/>
      <c r="N79" s="449"/>
      <c r="O79" s="449"/>
      <c r="P79" s="230"/>
      <c r="R79" s="229"/>
      <c r="S79" s="223">
        <f t="shared" si="4"/>
        <v>46041</v>
      </c>
      <c r="T79" s="224">
        <f>IF(U79=0,0,VLOOKUP($B79,BD!$B:$BO,17,FALSE))</f>
        <v>27.700617283950617</v>
      </c>
      <c r="U79" s="224">
        <f>VLOOKUP($B79,BD!$B:$BO,21,FALSE)</f>
        <v>1795</v>
      </c>
      <c r="V79" s="230"/>
      <c r="W79" s="229"/>
      <c r="X79" s="449"/>
      <c r="Y79" s="449"/>
      <c r="Z79" s="449"/>
      <c r="AA79" s="449"/>
      <c r="AB79" s="449"/>
      <c r="AC79" s="449"/>
      <c r="AD79" s="449"/>
      <c r="AE79" s="449"/>
      <c r="AF79" s="449"/>
      <c r="AG79" s="230"/>
      <c r="AI79" s="229"/>
      <c r="AJ79" s="223">
        <f t="shared" si="5"/>
        <v>46041</v>
      </c>
      <c r="AK79" s="224">
        <f>IF(AL79=0,0,VLOOKUP($B79,BD!$B:$BO,47,FALSE))</f>
        <v>11.28968253968254</v>
      </c>
      <c r="AL79" s="224">
        <f>VLOOKUP($B79,BD!$B:$BO,51,FALSE)</f>
        <v>569</v>
      </c>
      <c r="AM79" s="230"/>
      <c r="AN79" s="229"/>
      <c r="AO79" s="449"/>
      <c r="AP79" s="449"/>
      <c r="AQ79" s="449"/>
      <c r="AR79" s="449"/>
      <c r="AS79" s="449"/>
      <c r="AT79" s="449"/>
      <c r="AU79" s="449"/>
      <c r="AV79" s="449"/>
      <c r="AW79" s="449"/>
      <c r="AX79" s="230"/>
    </row>
    <row r="80" spans="1:50" ht="15" customHeight="1" thickBot="1" x14ac:dyDescent="0.3">
      <c r="A80" s="229"/>
      <c r="B80" s="223">
        <f t="shared" si="3"/>
        <v>46042</v>
      </c>
      <c r="C80" s="224">
        <f>IF(D80=0,0,VLOOKUP($B80,BD!$B:$BO,37,FALSE))</f>
        <v>38.796296296296298</v>
      </c>
      <c r="D80" s="224">
        <f>VLOOKUP($B80,BD!$B:$BO,41,FALSE)</f>
        <v>2514</v>
      </c>
      <c r="E80" s="230"/>
      <c r="F80" s="229"/>
      <c r="G80" s="449"/>
      <c r="H80" s="449"/>
      <c r="I80" s="449"/>
      <c r="J80" s="449"/>
      <c r="K80" s="449"/>
      <c r="L80" s="449"/>
      <c r="M80" s="449"/>
      <c r="N80" s="449"/>
      <c r="O80" s="449"/>
      <c r="P80" s="230"/>
      <c r="R80" s="229"/>
      <c r="S80" s="223">
        <f t="shared" si="4"/>
        <v>46042</v>
      </c>
      <c r="T80" s="224">
        <f>IF(U80=0,0,VLOOKUP($B80,BD!$B:$BO,17,FALSE))</f>
        <v>28.494152046783626</v>
      </c>
      <c r="U80" s="224">
        <f>VLOOKUP($B80,BD!$B:$BO,21,FALSE)</f>
        <v>1949</v>
      </c>
      <c r="V80" s="230"/>
      <c r="W80" s="229"/>
      <c r="X80" s="449"/>
      <c r="Y80" s="449"/>
      <c r="Z80" s="449"/>
      <c r="AA80" s="449"/>
      <c r="AB80" s="449"/>
      <c r="AC80" s="449"/>
      <c r="AD80" s="449"/>
      <c r="AE80" s="449"/>
      <c r="AF80" s="449"/>
      <c r="AG80" s="230"/>
      <c r="AI80" s="229"/>
      <c r="AJ80" s="223">
        <f t="shared" si="5"/>
        <v>46042</v>
      </c>
      <c r="AK80" s="224">
        <f>IF(AL80=0,0,VLOOKUP($B80,BD!$B:$BO,47,FALSE))</f>
        <v>11.777777777777777</v>
      </c>
      <c r="AL80" s="224">
        <f>VLOOKUP($B80,BD!$B:$BO,51,FALSE)</f>
        <v>636</v>
      </c>
      <c r="AM80" s="230"/>
      <c r="AN80" s="229"/>
      <c r="AO80" s="449"/>
      <c r="AP80" s="449"/>
      <c r="AQ80" s="449"/>
      <c r="AR80" s="449"/>
      <c r="AS80" s="449"/>
      <c r="AT80" s="449"/>
      <c r="AU80" s="449"/>
      <c r="AV80" s="449"/>
      <c r="AW80" s="449"/>
      <c r="AX80" s="230"/>
    </row>
    <row r="81" spans="1:50" ht="15" customHeight="1" thickBot="1" x14ac:dyDescent="0.3">
      <c r="A81" s="229"/>
      <c r="B81" s="223">
        <f t="shared" si="3"/>
        <v>46043</v>
      </c>
      <c r="C81" s="224">
        <f>IF(D81=0,0,VLOOKUP($B81,BD!$B:$BO,37,FALSE))</f>
        <v>38.348765432098759</v>
      </c>
      <c r="D81" s="224">
        <f>VLOOKUP($B81,BD!$B:$BO,41,FALSE)</f>
        <v>2485</v>
      </c>
      <c r="E81" s="230"/>
      <c r="F81" s="229"/>
      <c r="G81" s="449"/>
      <c r="H81" s="449"/>
      <c r="I81" s="449"/>
      <c r="J81" s="449"/>
      <c r="K81" s="449"/>
      <c r="L81" s="449"/>
      <c r="M81" s="449"/>
      <c r="N81" s="449"/>
      <c r="O81" s="449"/>
      <c r="P81" s="230"/>
      <c r="R81" s="229"/>
      <c r="S81" s="223">
        <f t="shared" si="4"/>
        <v>46043</v>
      </c>
      <c r="T81" s="224">
        <f>IF(U81=0,0,VLOOKUP($B81,BD!$B:$BO,17,FALSE))</f>
        <v>28.777777777777779</v>
      </c>
      <c r="U81" s="224">
        <f>VLOOKUP($B81,BD!$B:$BO,21,FALSE)</f>
        <v>2072</v>
      </c>
      <c r="V81" s="230"/>
      <c r="W81" s="229"/>
      <c r="X81" s="449"/>
      <c r="Y81" s="449"/>
      <c r="Z81" s="449"/>
      <c r="AA81" s="449"/>
      <c r="AB81" s="449"/>
      <c r="AC81" s="449"/>
      <c r="AD81" s="449"/>
      <c r="AE81" s="449"/>
      <c r="AF81" s="449"/>
      <c r="AG81" s="230"/>
      <c r="AI81" s="229"/>
      <c r="AJ81" s="223">
        <f t="shared" si="5"/>
        <v>46043</v>
      </c>
      <c r="AK81" s="224">
        <f>IF(AL81=0,0,VLOOKUP($B81,BD!$B:$BO,47,FALSE))</f>
        <v>11.444444444444445</v>
      </c>
      <c r="AL81" s="224">
        <f>VLOOKUP($B81,BD!$B:$BO,51,FALSE)</f>
        <v>618</v>
      </c>
      <c r="AM81" s="230"/>
      <c r="AN81" s="229"/>
      <c r="AO81" s="449"/>
      <c r="AP81" s="449"/>
      <c r="AQ81" s="449"/>
      <c r="AR81" s="449"/>
      <c r="AS81" s="449"/>
      <c r="AT81" s="449"/>
      <c r="AU81" s="449"/>
      <c r="AV81" s="449"/>
      <c r="AW81" s="449"/>
      <c r="AX81" s="230"/>
    </row>
    <row r="82" spans="1:50" ht="15" customHeight="1" thickBot="1" x14ac:dyDescent="0.3">
      <c r="A82" s="229"/>
      <c r="B82" s="223">
        <f t="shared" si="3"/>
        <v>46044</v>
      </c>
      <c r="C82" s="224">
        <f>IF(D82=0,0,VLOOKUP($B82,BD!$B:$BO,37,FALSE))</f>
        <v>38.830409356725141</v>
      </c>
      <c r="D82" s="224">
        <f>VLOOKUP($B82,BD!$B:$BO,41,FALSE)</f>
        <v>2656</v>
      </c>
      <c r="E82" s="230"/>
      <c r="F82" s="229"/>
      <c r="G82" s="449"/>
      <c r="H82" s="449"/>
      <c r="I82" s="449"/>
      <c r="J82" s="449"/>
      <c r="K82" s="449"/>
      <c r="L82" s="449"/>
      <c r="M82" s="449"/>
      <c r="N82" s="449"/>
      <c r="O82" s="449"/>
      <c r="P82" s="230"/>
      <c r="R82" s="229"/>
      <c r="S82" s="223">
        <f t="shared" si="4"/>
        <v>46044</v>
      </c>
      <c r="T82" s="224">
        <f>IF(U82=0,0,VLOOKUP($B82,BD!$B:$BO,17,FALSE))</f>
        <v>28.533950617283949</v>
      </c>
      <c r="U82" s="224">
        <f>VLOOKUP($B82,BD!$B:$BO,21,FALSE)</f>
        <v>1849</v>
      </c>
      <c r="V82" s="230"/>
      <c r="W82" s="229"/>
      <c r="X82" s="449"/>
      <c r="Y82" s="449"/>
      <c r="Z82" s="449"/>
      <c r="AA82" s="449"/>
      <c r="AB82" s="449"/>
      <c r="AC82" s="449"/>
      <c r="AD82" s="449"/>
      <c r="AE82" s="449"/>
      <c r="AF82" s="449"/>
      <c r="AG82" s="230"/>
      <c r="AI82" s="229"/>
      <c r="AJ82" s="223">
        <f t="shared" si="5"/>
        <v>46044</v>
      </c>
      <c r="AK82" s="224">
        <f>IF(AL82=0,0,VLOOKUP($B82,BD!$B:$BO,47,FALSE))</f>
        <v>11.685185185185185</v>
      </c>
      <c r="AL82" s="224">
        <f>VLOOKUP($B82,BD!$B:$BO,51,FALSE)</f>
        <v>631</v>
      </c>
      <c r="AM82" s="230"/>
      <c r="AN82" s="229"/>
      <c r="AO82" s="449"/>
      <c r="AP82" s="449"/>
      <c r="AQ82" s="449"/>
      <c r="AR82" s="449"/>
      <c r="AS82" s="449"/>
      <c r="AT82" s="449"/>
      <c r="AU82" s="449"/>
      <c r="AV82" s="449"/>
      <c r="AW82" s="449"/>
      <c r="AX82" s="230"/>
    </row>
    <row r="83" spans="1:50" ht="15" customHeight="1" thickBot="1" x14ac:dyDescent="0.3">
      <c r="A83" s="229"/>
      <c r="B83" s="223">
        <f t="shared" si="3"/>
        <v>46045</v>
      </c>
      <c r="C83" s="224">
        <f>IF(D83=0,0,VLOOKUP($B83,BD!$B:$BO,37,FALSE))</f>
        <v>38.00925925925926</v>
      </c>
      <c r="D83" s="224">
        <f>VLOOKUP($B83,BD!$B:$BO,41,FALSE)</f>
        <v>2463</v>
      </c>
      <c r="E83" s="230"/>
      <c r="F83" s="229"/>
      <c r="G83" s="449"/>
      <c r="H83" s="449"/>
      <c r="I83" s="449"/>
      <c r="J83" s="449"/>
      <c r="K83" s="449"/>
      <c r="L83" s="449"/>
      <c r="M83" s="449"/>
      <c r="N83" s="449"/>
      <c r="O83" s="449"/>
      <c r="P83" s="230"/>
      <c r="R83" s="229"/>
      <c r="S83" s="223">
        <f t="shared" si="4"/>
        <v>46045</v>
      </c>
      <c r="T83" s="224">
        <f>IF(U83=0,0,VLOOKUP($B83,BD!$B:$BO,17,FALSE))</f>
        <v>28.024691358024693</v>
      </c>
      <c r="U83" s="224">
        <f>VLOOKUP($B83,BD!$B:$BO,21,FALSE)</f>
        <v>1816</v>
      </c>
      <c r="V83" s="230"/>
      <c r="W83" s="229"/>
      <c r="X83" s="449"/>
      <c r="Y83" s="449"/>
      <c r="Z83" s="449"/>
      <c r="AA83" s="449"/>
      <c r="AB83" s="449"/>
      <c r="AC83" s="449"/>
      <c r="AD83" s="449"/>
      <c r="AE83" s="449"/>
      <c r="AF83" s="449"/>
      <c r="AG83" s="230"/>
      <c r="AI83" s="229"/>
      <c r="AJ83" s="223">
        <f t="shared" si="5"/>
        <v>46045</v>
      </c>
      <c r="AK83" s="224">
        <f>IF(AL83=0,0,VLOOKUP($B83,BD!$B:$BO,47,FALSE))</f>
        <v>11.574074074074074</v>
      </c>
      <c r="AL83" s="224">
        <f>VLOOKUP($B83,BD!$B:$BO,51,FALSE)</f>
        <v>625</v>
      </c>
      <c r="AM83" s="230"/>
      <c r="AN83" s="229"/>
      <c r="AO83" s="449"/>
      <c r="AP83" s="449"/>
      <c r="AQ83" s="449"/>
      <c r="AR83" s="449"/>
      <c r="AS83" s="449"/>
      <c r="AT83" s="449"/>
      <c r="AU83" s="449"/>
      <c r="AV83" s="449"/>
      <c r="AW83" s="449"/>
      <c r="AX83" s="230"/>
    </row>
    <row r="84" spans="1:50" ht="15" customHeight="1" thickBot="1" x14ac:dyDescent="0.3">
      <c r="A84" s="229"/>
      <c r="B84" s="223">
        <f t="shared" si="3"/>
        <v>46046</v>
      </c>
      <c r="C84" s="224">
        <f>IF(D84=0,0,VLOOKUP($B84,BD!$B:$BO,37,FALSE))</f>
        <v>39.058641975308639</v>
      </c>
      <c r="D84" s="224">
        <f>VLOOKUP($B84,BD!$B:$BO,41,FALSE)</f>
        <v>2531</v>
      </c>
      <c r="E84" s="230"/>
      <c r="F84" s="229"/>
      <c r="G84" s="449"/>
      <c r="H84" s="449"/>
      <c r="I84" s="449"/>
      <c r="J84" s="449"/>
      <c r="K84" s="449"/>
      <c r="L84" s="449"/>
      <c r="M84" s="449"/>
      <c r="N84" s="449"/>
      <c r="O84" s="449"/>
      <c r="P84" s="230"/>
      <c r="R84" s="229"/>
      <c r="S84" s="223">
        <f t="shared" si="4"/>
        <v>46046</v>
      </c>
      <c r="T84" s="224">
        <f>IF(U84=0,0,VLOOKUP($B84,BD!$B:$BO,17,FALSE))</f>
        <v>29.548611111111111</v>
      </c>
      <c r="U84" s="224">
        <f>VLOOKUP($B84,BD!$B:$BO,21,FALSE)</f>
        <v>2553</v>
      </c>
      <c r="V84" s="230"/>
      <c r="W84" s="229"/>
      <c r="X84" s="449"/>
      <c r="Y84" s="449"/>
      <c r="Z84" s="449"/>
      <c r="AA84" s="449"/>
      <c r="AB84" s="449"/>
      <c r="AC84" s="449"/>
      <c r="AD84" s="449"/>
      <c r="AE84" s="449"/>
      <c r="AF84" s="449"/>
      <c r="AG84" s="230"/>
      <c r="AI84" s="229"/>
      <c r="AJ84" s="223">
        <f t="shared" si="5"/>
        <v>46046</v>
      </c>
      <c r="AK84" s="224">
        <f>IF(AL84=0,0,VLOOKUP($B84,BD!$B:$BO,47,FALSE))</f>
        <v>11.351851851851851</v>
      </c>
      <c r="AL84" s="224">
        <f>VLOOKUP($B84,BD!$B:$BO,51,FALSE)</f>
        <v>613</v>
      </c>
      <c r="AM84" s="230"/>
      <c r="AN84" s="229"/>
      <c r="AO84" s="449"/>
      <c r="AP84" s="449"/>
      <c r="AQ84" s="449"/>
      <c r="AR84" s="449"/>
      <c r="AS84" s="449"/>
      <c r="AT84" s="449"/>
      <c r="AU84" s="449"/>
      <c r="AV84" s="449"/>
      <c r="AW84" s="449"/>
      <c r="AX84" s="230"/>
    </row>
    <row r="85" spans="1:50" ht="15" customHeight="1" thickBot="1" x14ac:dyDescent="0.3">
      <c r="A85" s="229"/>
      <c r="B85" s="223">
        <f t="shared" si="3"/>
        <v>46047</v>
      </c>
      <c r="C85" s="224">
        <f>IF(D85=0,0,VLOOKUP($B85,BD!$B:$BO,37,FALSE))</f>
        <v>37.947530864197532</v>
      </c>
      <c r="D85" s="224">
        <f>VLOOKUP($B85,BD!$B:$BO,41,FALSE)</f>
        <v>2459</v>
      </c>
      <c r="E85" s="230"/>
      <c r="F85" s="229"/>
      <c r="G85" s="449"/>
      <c r="H85" s="449"/>
      <c r="I85" s="449"/>
      <c r="J85" s="449"/>
      <c r="K85" s="449"/>
      <c r="L85" s="449"/>
      <c r="M85" s="449"/>
      <c r="N85" s="449"/>
      <c r="O85" s="449"/>
      <c r="P85" s="230"/>
      <c r="R85" s="229"/>
      <c r="S85" s="223">
        <f t="shared" si="4"/>
        <v>46047</v>
      </c>
      <c r="T85" s="224">
        <f>IF(U85=0,0,VLOOKUP($B85,BD!$B:$BO,17,FALSE))</f>
        <v>28.18287037037037</v>
      </c>
      <c r="U85" s="224">
        <f>VLOOKUP($B85,BD!$B:$BO,21,FALSE)</f>
        <v>2435</v>
      </c>
      <c r="V85" s="230"/>
      <c r="W85" s="229"/>
      <c r="X85" s="449"/>
      <c r="Y85" s="449"/>
      <c r="Z85" s="449"/>
      <c r="AA85" s="449"/>
      <c r="AB85" s="449"/>
      <c r="AC85" s="449"/>
      <c r="AD85" s="449"/>
      <c r="AE85" s="449"/>
      <c r="AF85" s="449"/>
      <c r="AG85" s="230"/>
      <c r="AI85" s="229"/>
      <c r="AJ85" s="223">
        <f t="shared" si="5"/>
        <v>46047</v>
      </c>
      <c r="AK85" s="224">
        <f>IF(AL85=0,0,VLOOKUP($B85,BD!$B:$BO,47,FALSE))</f>
        <v>11.166666666666666</v>
      </c>
      <c r="AL85" s="224">
        <f>VLOOKUP($B85,BD!$B:$BO,51,FALSE)</f>
        <v>603</v>
      </c>
      <c r="AM85" s="230"/>
      <c r="AN85" s="229"/>
      <c r="AO85" s="449"/>
      <c r="AP85" s="449"/>
      <c r="AQ85" s="449"/>
      <c r="AR85" s="449"/>
      <c r="AS85" s="449"/>
      <c r="AT85" s="449"/>
      <c r="AU85" s="449"/>
      <c r="AV85" s="449"/>
      <c r="AW85" s="449"/>
      <c r="AX85" s="230"/>
    </row>
    <row r="86" spans="1:50" ht="15" customHeight="1" thickBot="1" x14ac:dyDescent="0.3">
      <c r="A86" s="229"/>
      <c r="B86" s="223">
        <f t="shared" si="3"/>
        <v>46048</v>
      </c>
      <c r="C86" s="224">
        <f>IF(D86=0,0,VLOOKUP($B86,BD!$B:$BO,37,FALSE))</f>
        <v>38.472222222222221</v>
      </c>
      <c r="D86" s="224">
        <f>VLOOKUP($B86,BD!$B:$BO,41,FALSE)</f>
        <v>2493</v>
      </c>
      <c r="E86" s="230"/>
      <c r="F86" s="229"/>
      <c r="G86" s="449"/>
      <c r="H86" s="449"/>
      <c r="I86" s="449"/>
      <c r="J86" s="449"/>
      <c r="K86" s="449"/>
      <c r="L86" s="449"/>
      <c r="M86" s="449"/>
      <c r="N86" s="449"/>
      <c r="O86" s="449"/>
      <c r="P86" s="230"/>
      <c r="R86" s="229"/>
      <c r="S86" s="223">
        <f t="shared" si="4"/>
        <v>46048</v>
      </c>
      <c r="T86" s="224">
        <f>IF(U86=0,0,VLOOKUP($B86,BD!$B:$BO,17,FALSE))</f>
        <v>28.179012345679013</v>
      </c>
      <c r="U86" s="224">
        <f>VLOOKUP($B86,BD!$B:$BO,21,FALSE)</f>
        <v>1826</v>
      </c>
      <c r="V86" s="230"/>
      <c r="W86" s="229"/>
      <c r="X86" s="449"/>
      <c r="Y86" s="449"/>
      <c r="Z86" s="449"/>
      <c r="AA86" s="449"/>
      <c r="AB86" s="449"/>
      <c r="AC86" s="449"/>
      <c r="AD86" s="449"/>
      <c r="AE86" s="449"/>
      <c r="AF86" s="449"/>
      <c r="AG86" s="230"/>
      <c r="AI86" s="229"/>
      <c r="AJ86" s="223">
        <f t="shared" si="5"/>
        <v>46048</v>
      </c>
      <c r="AK86" s="224">
        <f>IF(AL86=0,0,VLOOKUP($B86,BD!$B:$BO,47,FALSE))</f>
        <v>11.726190476190476</v>
      </c>
      <c r="AL86" s="224">
        <f>VLOOKUP($B86,BD!$B:$BO,51,FALSE)</f>
        <v>591</v>
      </c>
      <c r="AM86" s="230"/>
      <c r="AN86" s="229"/>
      <c r="AO86" s="449"/>
      <c r="AP86" s="449"/>
      <c r="AQ86" s="449"/>
      <c r="AR86" s="449"/>
      <c r="AS86" s="449"/>
      <c r="AT86" s="449"/>
      <c r="AU86" s="449"/>
      <c r="AV86" s="449"/>
      <c r="AW86" s="449"/>
      <c r="AX86" s="230"/>
    </row>
    <row r="87" spans="1:50" ht="15" customHeight="1" thickBot="1" x14ac:dyDescent="0.3">
      <c r="A87" s="229"/>
      <c r="B87" s="223">
        <f t="shared" si="3"/>
        <v>46049</v>
      </c>
      <c r="C87" s="224">
        <f>IF(D87=0,0,VLOOKUP($B87,BD!$B:$BO,37,FALSE))</f>
        <v>38.132716049382715</v>
      </c>
      <c r="D87" s="224">
        <f>VLOOKUP($B87,BD!$B:$BO,41,FALSE)</f>
        <v>2471</v>
      </c>
      <c r="E87" s="230"/>
      <c r="F87" s="229"/>
      <c r="G87" s="449"/>
      <c r="H87" s="449"/>
      <c r="I87" s="449"/>
      <c r="J87" s="449"/>
      <c r="K87" s="449"/>
      <c r="L87" s="449"/>
      <c r="M87" s="449"/>
      <c r="N87" s="449"/>
      <c r="O87" s="449"/>
      <c r="P87" s="230"/>
      <c r="R87" s="229"/>
      <c r="S87" s="223">
        <f t="shared" si="4"/>
        <v>46049</v>
      </c>
      <c r="T87" s="224">
        <f>IF(U87=0,0,VLOOKUP($B87,BD!$B:$BO,17,FALSE))</f>
        <v>29.152777777777779</v>
      </c>
      <c r="U87" s="224">
        <f>VLOOKUP($B87,BD!$B:$BO,21,FALSE)</f>
        <v>2099</v>
      </c>
      <c r="V87" s="230"/>
      <c r="W87" s="229"/>
      <c r="X87" s="449"/>
      <c r="Y87" s="449"/>
      <c r="Z87" s="449"/>
      <c r="AA87" s="449"/>
      <c r="AB87" s="449"/>
      <c r="AC87" s="449"/>
      <c r="AD87" s="449"/>
      <c r="AE87" s="449"/>
      <c r="AF87" s="449"/>
      <c r="AG87" s="230"/>
      <c r="AI87" s="229"/>
      <c r="AJ87" s="223">
        <f t="shared" si="5"/>
        <v>46049</v>
      </c>
      <c r="AK87" s="224">
        <f>IF(AL87=0,0,VLOOKUP($B87,BD!$B:$BO,47,FALSE))</f>
        <v>11.351851851851851</v>
      </c>
      <c r="AL87" s="224">
        <f>VLOOKUP($B87,BD!$B:$BO,51,FALSE)</f>
        <v>613</v>
      </c>
      <c r="AM87" s="230"/>
      <c r="AN87" s="229"/>
      <c r="AO87" s="449"/>
      <c r="AP87" s="449"/>
      <c r="AQ87" s="449"/>
      <c r="AR87" s="449"/>
      <c r="AS87" s="449"/>
      <c r="AT87" s="449"/>
      <c r="AU87" s="449"/>
      <c r="AV87" s="449"/>
      <c r="AW87" s="449"/>
      <c r="AX87" s="230"/>
    </row>
    <row r="88" spans="1:50" ht="15" customHeight="1" thickBot="1" x14ac:dyDescent="0.3">
      <c r="A88" s="229"/>
      <c r="B88" s="223">
        <f t="shared" si="3"/>
        <v>46050</v>
      </c>
      <c r="C88" s="224">
        <f>IF(D88=0,0,VLOOKUP($B88,BD!$B:$BO,37,FALSE))</f>
        <v>39.351851851851855</v>
      </c>
      <c r="D88" s="224">
        <f>VLOOKUP($B88,BD!$B:$BO,41,FALSE)</f>
        <v>2550</v>
      </c>
      <c r="E88" s="230"/>
      <c r="F88" s="229"/>
      <c r="G88" s="449"/>
      <c r="H88" s="449"/>
      <c r="I88" s="449"/>
      <c r="J88" s="449"/>
      <c r="K88" s="449"/>
      <c r="L88" s="449"/>
      <c r="M88" s="449"/>
      <c r="N88" s="449"/>
      <c r="O88" s="449"/>
      <c r="P88" s="230"/>
      <c r="R88" s="229"/>
      <c r="S88" s="223">
        <f t="shared" si="4"/>
        <v>46050</v>
      </c>
      <c r="T88" s="224">
        <f>IF(U88=0,0,VLOOKUP($B88,BD!$B:$BO,17,FALSE))</f>
        <v>28.12169312169312</v>
      </c>
      <c r="U88" s="224">
        <f>VLOOKUP($B88,BD!$B:$BO,21,FALSE)</f>
        <v>2126</v>
      </c>
      <c r="V88" s="230"/>
      <c r="W88" s="229"/>
      <c r="X88" s="449"/>
      <c r="Y88" s="449"/>
      <c r="Z88" s="449"/>
      <c r="AA88" s="449"/>
      <c r="AB88" s="449"/>
      <c r="AC88" s="449"/>
      <c r="AD88" s="449"/>
      <c r="AE88" s="449"/>
      <c r="AF88" s="449"/>
      <c r="AG88" s="230"/>
      <c r="AI88" s="229"/>
      <c r="AJ88" s="223">
        <f t="shared" si="5"/>
        <v>46050</v>
      </c>
      <c r="AK88" s="224">
        <f>IF(AL88=0,0,VLOOKUP($B88,BD!$B:$BO,47,FALSE))</f>
        <v>11.203703703703702</v>
      </c>
      <c r="AL88" s="224">
        <f>VLOOKUP($B88,BD!$B:$BO,51,FALSE)</f>
        <v>605</v>
      </c>
      <c r="AM88" s="230"/>
      <c r="AN88" s="229"/>
      <c r="AO88" s="449"/>
      <c r="AP88" s="449"/>
      <c r="AQ88" s="449"/>
      <c r="AR88" s="449"/>
      <c r="AS88" s="449"/>
      <c r="AT88" s="449"/>
      <c r="AU88" s="449"/>
      <c r="AV88" s="449"/>
      <c r="AW88" s="449"/>
      <c r="AX88" s="230"/>
    </row>
    <row r="89" spans="1:50" ht="15" customHeight="1" thickBot="1" x14ac:dyDescent="0.3">
      <c r="A89" s="229"/>
      <c r="B89" s="223">
        <f t="shared" si="3"/>
        <v>46051</v>
      </c>
      <c r="C89" s="224">
        <f>IF(D89=0,0,VLOOKUP($B89,BD!$B:$BO,37,FALSE))</f>
        <v>38.796296296296298</v>
      </c>
      <c r="D89" s="224">
        <f>VLOOKUP($B89,BD!$B:$BO,41,FALSE)</f>
        <v>2514</v>
      </c>
      <c r="E89" s="230"/>
      <c r="F89" s="229"/>
      <c r="G89" s="449"/>
      <c r="H89" s="449"/>
      <c r="I89" s="449"/>
      <c r="J89" s="449"/>
      <c r="K89" s="449"/>
      <c r="L89" s="449"/>
      <c r="M89" s="449"/>
      <c r="N89" s="449"/>
      <c r="O89" s="449"/>
      <c r="P89" s="230"/>
      <c r="R89" s="229"/>
      <c r="S89" s="223">
        <f t="shared" si="4"/>
        <v>46051</v>
      </c>
      <c r="T89" s="224">
        <f>IF(U89=0,0,VLOOKUP($B89,BD!$B:$BO,17,FALSE))</f>
        <v>28.913043478260871</v>
      </c>
      <c r="U89" s="224">
        <f>VLOOKUP($B89,BD!$B:$BO,21,FALSE)</f>
        <v>2394</v>
      </c>
      <c r="V89" s="230"/>
      <c r="W89" s="229"/>
      <c r="X89" s="449"/>
      <c r="Y89" s="449"/>
      <c r="Z89" s="449"/>
      <c r="AA89" s="449"/>
      <c r="AB89" s="449"/>
      <c r="AC89" s="449"/>
      <c r="AD89" s="449"/>
      <c r="AE89" s="449"/>
      <c r="AF89" s="449"/>
      <c r="AG89" s="230"/>
      <c r="AI89" s="229"/>
      <c r="AJ89" s="223">
        <f t="shared" si="5"/>
        <v>46051</v>
      </c>
      <c r="AK89" s="224">
        <f>IF(AL89=0,0,VLOOKUP($B89,BD!$B:$BO,47,FALSE))</f>
        <v>11.185185185185185</v>
      </c>
      <c r="AL89" s="224">
        <f>VLOOKUP($B89,BD!$B:$BO,51,FALSE)</f>
        <v>604</v>
      </c>
      <c r="AM89" s="230"/>
      <c r="AN89" s="229"/>
      <c r="AO89" s="449"/>
      <c r="AP89" s="449"/>
      <c r="AQ89" s="449"/>
      <c r="AR89" s="449"/>
      <c r="AS89" s="449"/>
      <c r="AT89" s="449"/>
      <c r="AU89" s="449"/>
      <c r="AV89" s="449"/>
      <c r="AW89" s="449"/>
      <c r="AX89" s="230"/>
    </row>
    <row r="90" spans="1:50" ht="15" customHeight="1" thickBot="1" x14ac:dyDescent="0.3">
      <c r="A90" s="229"/>
      <c r="B90" s="223">
        <f t="shared" si="3"/>
        <v>46052</v>
      </c>
      <c r="C90" s="224">
        <f>IF(D90=0,0,VLOOKUP($B90,BD!$B:$BO,37,FALSE))</f>
        <v>38.441358024691361</v>
      </c>
      <c r="D90" s="224">
        <f>VLOOKUP($B90,BD!$B:$BO,41,FALSE)</f>
        <v>2491</v>
      </c>
      <c r="E90" s="230"/>
      <c r="F90" s="229"/>
      <c r="G90" s="449"/>
      <c r="H90" s="449"/>
      <c r="I90" s="449"/>
      <c r="J90" s="449"/>
      <c r="K90" s="449"/>
      <c r="L90" s="449"/>
      <c r="M90" s="449"/>
      <c r="N90" s="449"/>
      <c r="O90" s="449"/>
      <c r="P90" s="230"/>
      <c r="R90" s="229"/>
      <c r="S90" s="223">
        <f t="shared" si="4"/>
        <v>46052</v>
      </c>
      <c r="T90" s="224">
        <f>IF(U90=0,0,VLOOKUP($B90,BD!$B:$BO,17,FALSE))</f>
        <v>22.592592592592592</v>
      </c>
      <c r="U90" s="224">
        <f>VLOOKUP($B90,BD!$B:$BO,21,FALSE)</f>
        <v>1952</v>
      </c>
      <c r="V90" s="230"/>
      <c r="W90" s="229"/>
      <c r="X90" s="449"/>
      <c r="Y90" s="449"/>
      <c r="Z90" s="449"/>
      <c r="AA90" s="449"/>
      <c r="AB90" s="449"/>
      <c r="AC90" s="449"/>
      <c r="AD90" s="449"/>
      <c r="AE90" s="449"/>
      <c r="AF90" s="449"/>
      <c r="AG90" s="230"/>
      <c r="AI90" s="229"/>
      <c r="AJ90" s="223">
        <f t="shared" si="5"/>
        <v>46052</v>
      </c>
      <c r="AK90" s="224">
        <f>IF(AL90=0,0,VLOOKUP($B90,BD!$B:$BO,47,FALSE))</f>
        <v>11.626984126984127</v>
      </c>
      <c r="AL90" s="224">
        <f>VLOOKUP($B90,BD!$B:$BO,51,FALSE)</f>
        <v>586</v>
      </c>
      <c r="AM90" s="230"/>
      <c r="AN90" s="229"/>
      <c r="AO90" s="449"/>
      <c r="AP90" s="449"/>
      <c r="AQ90" s="449"/>
      <c r="AR90" s="449"/>
      <c r="AS90" s="449"/>
      <c r="AT90" s="449"/>
      <c r="AU90" s="449"/>
      <c r="AV90" s="449"/>
      <c r="AW90" s="449"/>
      <c r="AX90" s="230"/>
    </row>
    <row r="91" spans="1:50" ht="15" customHeight="1" thickBot="1" x14ac:dyDescent="0.3">
      <c r="A91" s="229"/>
      <c r="B91" s="223">
        <f t="shared" si="3"/>
        <v>46053</v>
      </c>
      <c r="C91" s="224">
        <f>IF(D91=0,0,VLOOKUP($B91,BD!$B:$BO,37,FALSE))</f>
        <v>38.101851851851855</v>
      </c>
      <c r="D91" s="224">
        <f>VLOOKUP($B91,BD!$B:$BO,41,FALSE)</f>
        <v>2469</v>
      </c>
      <c r="E91" s="230"/>
      <c r="F91" s="229"/>
      <c r="G91" s="449"/>
      <c r="H91" s="449"/>
      <c r="I91" s="449"/>
      <c r="J91" s="449"/>
      <c r="K91" s="449"/>
      <c r="L91" s="449"/>
      <c r="M91" s="449"/>
      <c r="N91" s="449"/>
      <c r="O91" s="449"/>
      <c r="P91" s="230"/>
      <c r="R91" s="229"/>
      <c r="S91" s="223">
        <f t="shared" si="4"/>
        <v>46053</v>
      </c>
      <c r="T91" s="224">
        <f>IF(U91=0,0,VLOOKUP($B91,BD!$B:$BO,17,FALSE))</f>
        <v>24.965277777777775</v>
      </c>
      <c r="U91" s="224">
        <f>VLOOKUP($B91,BD!$B:$BO,21,FALSE)</f>
        <v>2157</v>
      </c>
      <c r="V91" s="230"/>
      <c r="W91" s="229"/>
      <c r="X91" s="449"/>
      <c r="Y91" s="449"/>
      <c r="Z91" s="449"/>
      <c r="AA91" s="449"/>
      <c r="AB91" s="449"/>
      <c r="AC91" s="449"/>
      <c r="AD91" s="449"/>
      <c r="AE91" s="449"/>
      <c r="AF91" s="449"/>
      <c r="AG91" s="230"/>
      <c r="AI91" s="229"/>
      <c r="AJ91" s="223">
        <f t="shared" si="5"/>
        <v>46053</v>
      </c>
      <c r="AK91" s="224">
        <f>IF(AL91=0,0,VLOOKUP($B91,BD!$B:$BO,47,FALSE))</f>
        <v>11.924603174603174</v>
      </c>
      <c r="AL91" s="224">
        <f>VLOOKUP($B91,BD!$B:$BO,51,FALSE)</f>
        <v>601</v>
      </c>
      <c r="AM91" s="230"/>
      <c r="AN91" s="229"/>
      <c r="AO91" s="449"/>
      <c r="AP91" s="449"/>
      <c r="AQ91" s="449"/>
      <c r="AR91" s="449"/>
      <c r="AS91" s="449"/>
      <c r="AT91" s="449"/>
      <c r="AU91" s="449"/>
      <c r="AV91" s="449"/>
      <c r="AW91" s="449"/>
      <c r="AX91" s="230"/>
    </row>
    <row r="92" spans="1:50" ht="15" customHeight="1" thickBot="1" x14ac:dyDescent="0.3">
      <c r="A92" s="229"/>
      <c r="B92" s="451" t="s">
        <v>16</v>
      </c>
      <c r="C92" s="451"/>
      <c r="D92" s="225">
        <f>_xlfn.AGGREGATE(9,6,D61:D91)</f>
        <v>76593</v>
      </c>
      <c r="E92" s="230"/>
      <c r="F92" s="229"/>
      <c r="G92" s="449"/>
      <c r="H92" s="449"/>
      <c r="I92" s="449"/>
      <c r="J92" s="449"/>
      <c r="K92" s="449"/>
      <c r="L92" s="449"/>
      <c r="M92" s="449"/>
      <c r="N92" s="449"/>
      <c r="O92" s="449"/>
      <c r="P92" s="230"/>
      <c r="R92" s="229"/>
      <c r="S92" s="451" t="s">
        <v>16</v>
      </c>
      <c r="T92" s="451"/>
      <c r="U92" s="225">
        <f>_xlfn.AGGREGATE(9,6,U61:U91)</f>
        <v>44764</v>
      </c>
      <c r="V92" s="230"/>
      <c r="W92" s="229"/>
      <c r="X92" s="449"/>
      <c r="Y92" s="449"/>
      <c r="Z92" s="449"/>
      <c r="AA92" s="449"/>
      <c r="AB92" s="449"/>
      <c r="AC92" s="449"/>
      <c r="AD92" s="449"/>
      <c r="AE92" s="449"/>
      <c r="AF92" s="449"/>
      <c r="AG92" s="230"/>
      <c r="AI92" s="229"/>
      <c r="AJ92" s="451" t="s">
        <v>16</v>
      </c>
      <c r="AK92" s="451"/>
      <c r="AL92" s="225">
        <f>_xlfn.AGGREGATE(9,6,AL61:AL91)</f>
        <v>18807</v>
      </c>
      <c r="AM92" s="230"/>
      <c r="AN92" s="229"/>
      <c r="AO92" s="449"/>
      <c r="AP92" s="449"/>
      <c r="AQ92" s="449"/>
      <c r="AR92" s="449"/>
      <c r="AS92" s="449"/>
      <c r="AT92" s="449"/>
      <c r="AU92" s="449"/>
      <c r="AV92" s="449"/>
      <c r="AW92" s="449"/>
      <c r="AX92" s="230"/>
    </row>
    <row r="93" spans="1:50" ht="15" customHeight="1" thickBot="1" x14ac:dyDescent="0.3">
      <c r="A93" s="229"/>
      <c r="B93" s="451" t="s">
        <v>17</v>
      </c>
      <c r="C93" s="451"/>
      <c r="D93" s="225">
        <f>D92*0.1</f>
        <v>7659.3</v>
      </c>
      <c r="E93" s="230"/>
      <c r="F93" s="229"/>
      <c r="G93" s="449"/>
      <c r="H93" s="449"/>
      <c r="I93" s="449"/>
      <c r="J93" s="449"/>
      <c r="K93" s="449"/>
      <c r="L93" s="449"/>
      <c r="M93" s="449"/>
      <c r="N93" s="449"/>
      <c r="O93" s="449"/>
      <c r="P93" s="230"/>
      <c r="R93" s="229"/>
      <c r="S93" s="451" t="s">
        <v>17</v>
      </c>
      <c r="T93" s="451"/>
      <c r="U93" s="225">
        <f>U92*0.1</f>
        <v>4476.4000000000005</v>
      </c>
      <c r="V93" s="230"/>
      <c r="W93" s="229"/>
      <c r="X93" s="449"/>
      <c r="Y93" s="449"/>
      <c r="Z93" s="449"/>
      <c r="AA93" s="449"/>
      <c r="AB93" s="449"/>
      <c r="AC93" s="449"/>
      <c r="AD93" s="449"/>
      <c r="AE93" s="449"/>
      <c r="AF93" s="449"/>
      <c r="AG93" s="230"/>
      <c r="AI93" s="229"/>
      <c r="AJ93" s="451" t="s">
        <v>17</v>
      </c>
      <c r="AK93" s="451"/>
      <c r="AL93" s="225">
        <f>AL92*0.1</f>
        <v>1880.7</v>
      </c>
      <c r="AM93" s="230"/>
      <c r="AN93" s="229"/>
      <c r="AO93" s="449"/>
      <c r="AP93" s="449"/>
      <c r="AQ93" s="449"/>
      <c r="AR93" s="449"/>
      <c r="AS93" s="449"/>
      <c r="AT93" s="449"/>
      <c r="AU93" s="449"/>
      <c r="AV93" s="449"/>
      <c r="AW93" s="449"/>
      <c r="AX93" s="230"/>
    </row>
    <row r="94" spans="1:50" ht="15" customHeight="1" thickBot="1" x14ac:dyDescent="0.3">
      <c r="A94" s="229"/>
      <c r="B94" s="451" t="s">
        <v>575</v>
      </c>
      <c r="C94" s="451"/>
      <c r="D94" s="225">
        <f>D92-D93</f>
        <v>68933.7</v>
      </c>
      <c r="E94" s="230"/>
      <c r="F94" s="229"/>
      <c r="G94" s="449"/>
      <c r="H94" s="449"/>
      <c r="I94" s="449"/>
      <c r="J94" s="449"/>
      <c r="K94" s="449"/>
      <c r="L94" s="449"/>
      <c r="M94" s="449"/>
      <c r="N94" s="449"/>
      <c r="O94" s="449"/>
      <c r="P94" s="230"/>
      <c r="R94" s="229"/>
      <c r="S94" s="451" t="s">
        <v>575</v>
      </c>
      <c r="T94" s="451"/>
      <c r="U94" s="225">
        <f>U92-U93</f>
        <v>40287.599999999999</v>
      </c>
      <c r="V94" s="230"/>
      <c r="W94" s="229"/>
      <c r="X94" s="449"/>
      <c r="Y94" s="449"/>
      <c r="Z94" s="449"/>
      <c r="AA94" s="449"/>
      <c r="AB94" s="449"/>
      <c r="AC94" s="449"/>
      <c r="AD94" s="449"/>
      <c r="AE94" s="449"/>
      <c r="AF94" s="449"/>
      <c r="AG94" s="230"/>
      <c r="AI94" s="229"/>
      <c r="AJ94" s="451" t="s">
        <v>575</v>
      </c>
      <c r="AK94" s="451"/>
      <c r="AL94" s="225">
        <f>AL92-AL93</f>
        <v>16926.3</v>
      </c>
      <c r="AM94" s="230"/>
      <c r="AN94" s="229"/>
      <c r="AO94" s="449"/>
      <c r="AP94" s="449"/>
      <c r="AQ94" s="449"/>
      <c r="AR94" s="449"/>
      <c r="AS94" s="449"/>
      <c r="AT94" s="449"/>
      <c r="AU94" s="449"/>
      <c r="AV94" s="449"/>
      <c r="AW94" s="449"/>
      <c r="AX94" s="230"/>
    </row>
    <row r="95" spans="1:50" ht="15" customHeight="1" thickBot="1" x14ac:dyDescent="0.3">
      <c r="A95" s="231"/>
      <c r="B95" s="232"/>
      <c r="C95" s="232"/>
      <c r="D95" s="232"/>
      <c r="E95" s="233"/>
      <c r="F95" s="231"/>
      <c r="G95" s="450"/>
      <c r="H95" s="450"/>
      <c r="I95" s="450"/>
      <c r="J95" s="450"/>
      <c r="K95" s="450"/>
      <c r="L95" s="450"/>
      <c r="M95" s="450"/>
      <c r="N95" s="450"/>
      <c r="O95" s="450"/>
      <c r="P95" s="233"/>
      <c r="R95" s="231"/>
      <c r="S95" s="232"/>
      <c r="T95" s="232"/>
      <c r="U95" s="232"/>
      <c r="V95" s="233"/>
      <c r="W95" s="231"/>
      <c r="X95" s="450"/>
      <c r="Y95" s="450"/>
      <c r="Z95" s="450"/>
      <c r="AA95" s="450"/>
      <c r="AB95" s="450"/>
      <c r="AC95" s="450"/>
      <c r="AD95" s="450"/>
      <c r="AE95" s="450"/>
      <c r="AF95" s="450"/>
      <c r="AG95" s="233"/>
      <c r="AI95" s="231"/>
      <c r="AJ95" s="232"/>
      <c r="AK95" s="232"/>
      <c r="AL95" s="232"/>
      <c r="AM95" s="233"/>
      <c r="AN95" s="231"/>
      <c r="AO95" s="450"/>
      <c r="AP95" s="450"/>
      <c r="AQ95" s="450"/>
      <c r="AR95" s="450"/>
      <c r="AS95" s="450"/>
      <c r="AT95" s="450"/>
      <c r="AU95" s="450"/>
      <c r="AV95" s="450"/>
      <c r="AW95" s="450"/>
      <c r="AX95" s="233"/>
    </row>
    <row r="97" spans="1:50" ht="30" customHeight="1" x14ac:dyDescent="0.25"/>
    <row r="98" spans="1:50" ht="15" customHeight="1" thickBot="1" x14ac:dyDescent="0.3"/>
    <row r="99" spans="1:50" ht="15" customHeight="1" x14ac:dyDescent="0.25">
      <c r="B99" s="452"/>
      <c r="C99" s="453"/>
      <c r="D99" s="458" t="s">
        <v>577</v>
      </c>
      <c r="E99" s="459"/>
      <c r="F99" s="459"/>
      <c r="G99" s="459"/>
      <c r="H99" s="459"/>
      <c r="I99" s="459"/>
      <c r="J99" s="459"/>
      <c r="K99" s="459"/>
      <c r="L99" s="460"/>
      <c r="M99" s="467" t="s">
        <v>576</v>
      </c>
      <c r="N99" s="468"/>
      <c r="O99" s="469"/>
      <c r="S99" s="452"/>
      <c r="T99" s="453"/>
      <c r="U99" s="458" t="s">
        <v>577</v>
      </c>
      <c r="V99" s="459"/>
      <c r="W99" s="459"/>
      <c r="X99" s="459"/>
      <c r="Y99" s="459"/>
      <c r="Z99" s="459"/>
      <c r="AA99" s="459"/>
      <c r="AB99" s="459"/>
      <c r="AC99" s="460"/>
      <c r="AD99" s="467" t="s">
        <v>576</v>
      </c>
      <c r="AE99" s="468"/>
      <c r="AF99" s="469"/>
      <c r="AJ99" s="452"/>
      <c r="AK99" s="453"/>
      <c r="AL99" s="458" t="s">
        <v>577</v>
      </c>
      <c r="AM99" s="459"/>
      <c r="AN99" s="459"/>
      <c r="AO99" s="459"/>
      <c r="AP99" s="459"/>
      <c r="AQ99" s="459"/>
      <c r="AR99" s="459"/>
      <c r="AS99" s="459"/>
      <c r="AT99" s="460"/>
      <c r="AU99" s="467" t="s">
        <v>576</v>
      </c>
      <c r="AV99" s="468"/>
      <c r="AW99" s="469"/>
    </row>
    <row r="100" spans="1:50" ht="15" customHeight="1" x14ac:dyDescent="0.25">
      <c r="B100" s="454"/>
      <c r="C100" s="455"/>
      <c r="D100" s="461"/>
      <c r="E100" s="462"/>
      <c r="F100" s="462"/>
      <c r="G100" s="462"/>
      <c r="H100" s="462"/>
      <c r="I100" s="462"/>
      <c r="J100" s="462"/>
      <c r="K100" s="462"/>
      <c r="L100" s="463"/>
      <c r="M100" s="470"/>
      <c r="N100" s="471"/>
      <c r="O100" s="472"/>
      <c r="S100" s="454"/>
      <c r="T100" s="455"/>
      <c r="U100" s="461"/>
      <c r="V100" s="462"/>
      <c r="W100" s="462"/>
      <c r="X100" s="462"/>
      <c r="Y100" s="462"/>
      <c r="Z100" s="462"/>
      <c r="AA100" s="462"/>
      <c r="AB100" s="462"/>
      <c r="AC100" s="463"/>
      <c r="AD100" s="470"/>
      <c r="AE100" s="471"/>
      <c r="AF100" s="472"/>
      <c r="AJ100" s="454"/>
      <c r="AK100" s="455"/>
      <c r="AL100" s="461"/>
      <c r="AM100" s="462"/>
      <c r="AN100" s="462"/>
      <c r="AO100" s="462"/>
      <c r="AP100" s="462"/>
      <c r="AQ100" s="462"/>
      <c r="AR100" s="462"/>
      <c r="AS100" s="462"/>
      <c r="AT100" s="463"/>
      <c r="AU100" s="470"/>
      <c r="AV100" s="471"/>
      <c r="AW100" s="472"/>
    </row>
    <row r="101" spans="1:50" ht="15" customHeight="1" x14ac:dyDescent="0.25">
      <c r="B101" s="454"/>
      <c r="C101" s="455"/>
      <c r="D101" s="461"/>
      <c r="E101" s="462"/>
      <c r="F101" s="462"/>
      <c r="G101" s="462"/>
      <c r="H101" s="462"/>
      <c r="I101" s="462"/>
      <c r="J101" s="462"/>
      <c r="K101" s="462"/>
      <c r="L101" s="463"/>
      <c r="M101" s="470"/>
      <c r="N101" s="471"/>
      <c r="O101" s="472"/>
      <c r="S101" s="454"/>
      <c r="T101" s="455"/>
      <c r="U101" s="461"/>
      <c r="V101" s="462"/>
      <c r="W101" s="462"/>
      <c r="X101" s="462"/>
      <c r="Y101" s="462"/>
      <c r="Z101" s="462"/>
      <c r="AA101" s="462"/>
      <c r="AB101" s="462"/>
      <c r="AC101" s="463"/>
      <c r="AD101" s="470"/>
      <c r="AE101" s="471"/>
      <c r="AF101" s="472"/>
      <c r="AJ101" s="454"/>
      <c r="AK101" s="455"/>
      <c r="AL101" s="461"/>
      <c r="AM101" s="462"/>
      <c r="AN101" s="462"/>
      <c r="AO101" s="462"/>
      <c r="AP101" s="462"/>
      <c r="AQ101" s="462"/>
      <c r="AR101" s="462"/>
      <c r="AS101" s="462"/>
      <c r="AT101" s="463"/>
      <c r="AU101" s="470"/>
      <c r="AV101" s="471"/>
      <c r="AW101" s="472"/>
    </row>
    <row r="102" spans="1:50" ht="15" customHeight="1" thickBot="1" x14ac:dyDescent="0.3">
      <c r="B102" s="456"/>
      <c r="C102" s="457"/>
      <c r="D102" s="464"/>
      <c r="E102" s="465"/>
      <c r="F102" s="465"/>
      <c r="G102" s="465"/>
      <c r="H102" s="465"/>
      <c r="I102" s="465"/>
      <c r="J102" s="465"/>
      <c r="K102" s="465"/>
      <c r="L102" s="466"/>
      <c r="M102" s="473"/>
      <c r="N102" s="474"/>
      <c r="O102" s="475"/>
      <c r="S102" s="456"/>
      <c r="T102" s="457"/>
      <c r="U102" s="464"/>
      <c r="V102" s="465"/>
      <c r="W102" s="465"/>
      <c r="X102" s="465"/>
      <c r="Y102" s="465"/>
      <c r="Z102" s="465"/>
      <c r="AA102" s="465"/>
      <c r="AB102" s="465"/>
      <c r="AC102" s="466"/>
      <c r="AD102" s="473"/>
      <c r="AE102" s="474"/>
      <c r="AF102" s="475"/>
      <c r="AJ102" s="456"/>
      <c r="AK102" s="457"/>
      <c r="AL102" s="464"/>
      <c r="AM102" s="465"/>
      <c r="AN102" s="465"/>
      <c r="AO102" s="465"/>
      <c r="AP102" s="465"/>
      <c r="AQ102" s="465"/>
      <c r="AR102" s="465"/>
      <c r="AS102" s="465"/>
      <c r="AT102" s="466"/>
      <c r="AU102" s="473"/>
      <c r="AV102" s="474"/>
      <c r="AW102" s="475"/>
    </row>
    <row r="103" spans="1:50" ht="15" customHeight="1" thickBot="1" x14ac:dyDescent="0.3"/>
    <row r="104" spans="1:50" ht="15" customHeight="1" thickBot="1" x14ac:dyDescent="0.3">
      <c r="A104" s="226"/>
      <c r="B104" s="227"/>
      <c r="C104" s="227"/>
      <c r="D104" s="227"/>
      <c r="E104" s="228"/>
      <c r="F104" s="226"/>
      <c r="G104" s="234"/>
      <c r="H104" s="234"/>
      <c r="I104" s="234"/>
      <c r="J104" s="234"/>
      <c r="K104" s="234"/>
      <c r="L104" s="234"/>
      <c r="M104" s="234"/>
      <c r="N104" s="234"/>
      <c r="O104" s="234"/>
      <c r="P104" s="228"/>
      <c r="R104" s="226"/>
      <c r="S104" s="227"/>
      <c r="T104" s="227"/>
      <c r="U104" s="227"/>
      <c r="V104" s="228"/>
      <c r="W104" s="226"/>
      <c r="X104" s="234"/>
      <c r="Y104" s="234"/>
      <c r="Z104" s="234"/>
      <c r="AA104" s="234"/>
      <c r="AB104" s="234"/>
      <c r="AC104" s="234"/>
      <c r="AD104" s="234"/>
      <c r="AE104" s="234"/>
      <c r="AF104" s="234"/>
      <c r="AG104" s="228"/>
      <c r="AI104" s="226"/>
      <c r="AJ104" s="227"/>
      <c r="AK104" s="227"/>
      <c r="AL104" s="227"/>
      <c r="AM104" s="228"/>
      <c r="AN104" s="226"/>
      <c r="AO104" s="234"/>
      <c r="AP104" s="234"/>
      <c r="AQ104" s="234"/>
      <c r="AR104" s="234"/>
      <c r="AS104" s="234"/>
      <c r="AT104" s="234"/>
      <c r="AU104" s="234"/>
      <c r="AV104" s="234"/>
      <c r="AW104" s="234"/>
      <c r="AX104" s="228"/>
    </row>
    <row r="105" spans="1:50" ht="15" customHeight="1" thickBot="1" x14ac:dyDescent="0.3">
      <c r="A105" s="229"/>
      <c r="B105" s="445" t="s">
        <v>550</v>
      </c>
      <c r="C105" s="445"/>
      <c r="D105" s="445"/>
      <c r="E105" s="230"/>
      <c r="F105" s="229"/>
      <c r="G105" s="39"/>
      <c r="H105" s="39"/>
      <c r="I105" s="39"/>
      <c r="J105" s="39"/>
      <c r="K105" s="39"/>
      <c r="L105" s="39"/>
      <c r="M105" s="39"/>
      <c r="N105" s="39"/>
      <c r="O105" s="39"/>
      <c r="P105" s="230"/>
      <c r="R105" s="229"/>
      <c r="S105" s="445" t="s">
        <v>565</v>
      </c>
      <c r="T105" s="445"/>
      <c r="U105" s="445"/>
      <c r="V105" s="230"/>
      <c r="W105" s="229"/>
      <c r="X105" s="39"/>
      <c r="Y105" s="39"/>
      <c r="Z105" s="39"/>
      <c r="AA105" s="39"/>
      <c r="AB105" s="39"/>
      <c r="AC105" s="39"/>
      <c r="AD105" s="39"/>
      <c r="AE105" s="39"/>
      <c r="AF105" s="39"/>
      <c r="AG105" s="230"/>
      <c r="AI105" s="229"/>
      <c r="AJ105" s="445" t="s">
        <v>578</v>
      </c>
      <c r="AK105" s="445"/>
      <c r="AL105" s="445"/>
      <c r="AM105" s="230"/>
      <c r="AN105" s="229"/>
      <c r="AO105" s="39"/>
      <c r="AP105" s="39"/>
      <c r="AQ105" s="39"/>
      <c r="AR105" s="39"/>
      <c r="AS105" s="39"/>
      <c r="AT105" s="39"/>
      <c r="AU105" s="39"/>
      <c r="AV105" s="39"/>
      <c r="AW105" s="39"/>
      <c r="AX105" s="230"/>
    </row>
    <row r="106" spans="1:50" ht="15" customHeight="1" thickBot="1" x14ac:dyDescent="0.3">
      <c r="A106" s="229"/>
      <c r="B106" s="446" t="str">
        <f>PROPER(TEXT(B108,"mmmm"))</f>
        <v>Enero</v>
      </c>
      <c r="C106" s="446"/>
      <c r="D106" s="446"/>
      <c r="E106" s="230"/>
      <c r="F106" s="229"/>
      <c r="G106" s="39"/>
      <c r="H106" s="39"/>
      <c r="I106" s="39"/>
      <c r="J106" s="39"/>
      <c r="K106" s="39"/>
      <c r="L106" s="39"/>
      <c r="M106" s="39"/>
      <c r="N106" s="39"/>
      <c r="O106" s="39"/>
      <c r="P106" s="230"/>
      <c r="R106" s="229"/>
      <c r="S106" s="446" t="str">
        <f>PROPER(TEXT(S108,"mmmm"))</f>
        <v>Enero</v>
      </c>
      <c r="T106" s="446"/>
      <c r="U106" s="446"/>
      <c r="V106" s="230"/>
      <c r="W106" s="229"/>
      <c r="X106" s="39"/>
      <c r="Y106" s="39"/>
      <c r="Z106" s="39"/>
      <c r="AA106" s="39"/>
      <c r="AB106" s="39"/>
      <c r="AC106" s="39"/>
      <c r="AD106" s="39"/>
      <c r="AE106" s="39"/>
      <c r="AF106" s="39"/>
      <c r="AG106" s="230"/>
      <c r="AI106" s="229"/>
      <c r="AJ106" s="446" t="str">
        <f>PROPER(TEXT(AJ108,"mmmm"))</f>
        <v>Enero</v>
      </c>
      <c r="AK106" s="446"/>
      <c r="AL106" s="446"/>
      <c r="AM106" s="230"/>
      <c r="AN106" s="229"/>
      <c r="AO106" s="39"/>
      <c r="AP106" s="39"/>
      <c r="AQ106" s="39"/>
      <c r="AR106" s="39"/>
      <c r="AS106" s="39"/>
      <c r="AT106" s="39"/>
      <c r="AU106" s="39"/>
      <c r="AV106" s="39"/>
      <c r="AW106" s="39"/>
      <c r="AX106" s="230"/>
    </row>
    <row r="107" spans="1:50" ht="15" customHeight="1" thickBot="1" x14ac:dyDescent="0.3">
      <c r="A107" s="229"/>
      <c r="B107" s="222" t="s">
        <v>80</v>
      </c>
      <c r="C107" s="222" t="s">
        <v>569</v>
      </c>
      <c r="D107" s="222" t="s">
        <v>458</v>
      </c>
      <c r="E107" s="230"/>
      <c r="F107" s="229"/>
      <c r="G107" s="39"/>
      <c r="H107" s="39"/>
      <c r="I107" s="39"/>
      <c r="J107" s="39"/>
      <c r="K107" s="39"/>
      <c r="L107" s="39"/>
      <c r="M107" s="39"/>
      <c r="N107" s="39"/>
      <c r="O107" s="39"/>
      <c r="P107" s="230"/>
      <c r="R107" s="229"/>
      <c r="S107" s="222" t="s">
        <v>80</v>
      </c>
      <c r="T107" s="222" t="s">
        <v>569</v>
      </c>
      <c r="U107" s="222" t="s">
        <v>458</v>
      </c>
      <c r="V107" s="230"/>
      <c r="W107" s="229"/>
      <c r="X107" s="39"/>
      <c r="Y107" s="39"/>
      <c r="Z107" s="39"/>
      <c r="AA107" s="39"/>
      <c r="AB107" s="39"/>
      <c r="AC107" s="39"/>
      <c r="AD107" s="39"/>
      <c r="AE107" s="39"/>
      <c r="AF107" s="39"/>
      <c r="AG107" s="230"/>
      <c r="AI107" s="229"/>
      <c r="AJ107" s="222" t="s">
        <v>80</v>
      </c>
      <c r="AK107" s="222" t="s">
        <v>569</v>
      </c>
      <c r="AL107" s="222" t="s">
        <v>458</v>
      </c>
      <c r="AM107" s="230"/>
      <c r="AN107" s="229"/>
      <c r="AO107" s="39"/>
      <c r="AP107" s="39"/>
      <c r="AQ107" s="39"/>
      <c r="AR107" s="39"/>
      <c r="AS107" s="39"/>
      <c r="AT107" s="39"/>
      <c r="AU107" s="39"/>
      <c r="AV107" s="39"/>
      <c r="AW107" s="39"/>
      <c r="AX107" s="230"/>
    </row>
    <row r="108" spans="1:50" ht="15" customHeight="1" thickBot="1" x14ac:dyDescent="0.3">
      <c r="A108" s="229"/>
      <c r="B108" s="223">
        <f>+$B$2</f>
        <v>46023</v>
      </c>
      <c r="C108" s="224">
        <f>IF(D108=0,0,VLOOKUP($B108,BD!$B:$BO,22,FALSE))</f>
        <v>338.47222222222223</v>
      </c>
      <c r="D108" s="224">
        <f>VLOOKUP($B108,BD!$B:$BO,26,FALSE)</f>
        <v>29244</v>
      </c>
      <c r="E108" s="230"/>
      <c r="F108" s="229"/>
      <c r="G108" s="39"/>
      <c r="H108" s="39"/>
      <c r="I108" s="39"/>
      <c r="J108" s="39"/>
      <c r="K108" s="39"/>
      <c r="L108" s="39"/>
      <c r="M108" s="39"/>
      <c r="N108" s="39"/>
      <c r="O108" s="39"/>
      <c r="P108" s="230"/>
      <c r="R108" s="229"/>
      <c r="S108" s="223">
        <f>+$B$2</f>
        <v>46023</v>
      </c>
      <c r="T108" s="224">
        <f>IF(U108=0,0,VLOOKUP($B108,BD!$B:$BO,27,FALSE))</f>
        <v>85</v>
      </c>
      <c r="U108" s="224">
        <f>VLOOKUP($B108,BD!$B:$BO,31,FALSE)</f>
        <v>7344</v>
      </c>
      <c r="V108" s="230"/>
      <c r="W108" s="229"/>
      <c r="X108" s="39"/>
      <c r="Y108" s="39"/>
      <c r="Z108" s="39"/>
      <c r="AA108" s="39"/>
      <c r="AB108" s="39"/>
      <c r="AC108" s="39"/>
      <c r="AD108" s="39"/>
      <c r="AE108" s="39"/>
      <c r="AF108" s="39"/>
      <c r="AG108" s="230"/>
      <c r="AI108" s="229"/>
      <c r="AJ108" s="223">
        <f>+$B$2</f>
        <v>46023</v>
      </c>
      <c r="AK108" s="224">
        <f>IF(AL108=0,0,VLOOKUP($B108,BD!$B:$BO,32,FALSE))</f>
        <v>20</v>
      </c>
      <c r="AL108" s="224">
        <f>VLOOKUP($B108,BD!$B:$BO,36,FALSE)</f>
        <v>1728</v>
      </c>
      <c r="AM108" s="230"/>
      <c r="AN108" s="229"/>
      <c r="AO108" s="39"/>
      <c r="AP108" s="39"/>
      <c r="AQ108" s="39"/>
      <c r="AR108" s="39"/>
      <c r="AS108" s="39"/>
      <c r="AT108" s="39"/>
      <c r="AU108" s="39"/>
      <c r="AV108" s="39"/>
      <c r="AW108" s="39"/>
      <c r="AX108" s="230"/>
    </row>
    <row r="109" spans="1:50" ht="15" customHeight="1" thickBot="1" x14ac:dyDescent="0.3">
      <c r="A109" s="229"/>
      <c r="B109" s="223">
        <f>+B108+1</f>
        <v>46024</v>
      </c>
      <c r="C109" s="224">
        <f>IF(D109=0,0,VLOOKUP($B109,BD!$B:$BO,22,FALSE))</f>
        <v>368.39371980676327</v>
      </c>
      <c r="D109" s="224">
        <f>VLOOKUP($B109,BD!$B:$BO,26,FALSE)</f>
        <v>30503</v>
      </c>
      <c r="E109" s="230"/>
      <c r="F109" s="229"/>
      <c r="G109" s="39"/>
      <c r="H109" s="39"/>
      <c r="I109" s="39"/>
      <c r="J109" s="39"/>
      <c r="K109" s="39"/>
      <c r="L109" s="39"/>
      <c r="M109" s="39"/>
      <c r="N109" s="39"/>
      <c r="O109" s="39"/>
      <c r="P109" s="230"/>
      <c r="R109" s="229"/>
      <c r="S109" s="223">
        <f>+S108+1</f>
        <v>46024</v>
      </c>
      <c r="T109" s="224">
        <f>IF(U109=0,0,VLOOKUP($B109,BD!$B:$BO,27,FALSE))</f>
        <v>91</v>
      </c>
      <c r="U109" s="224">
        <f>VLOOKUP($B109,BD!$B:$BO,31,FALSE)</f>
        <v>7884</v>
      </c>
      <c r="V109" s="230"/>
      <c r="W109" s="229"/>
      <c r="X109" s="39"/>
      <c r="Y109" s="39"/>
      <c r="Z109" s="39"/>
      <c r="AA109" s="39"/>
      <c r="AB109" s="39"/>
      <c r="AC109" s="39"/>
      <c r="AD109" s="39"/>
      <c r="AE109" s="39"/>
      <c r="AF109" s="39"/>
      <c r="AG109" s="230"/>
      <c r="AI109" s="229"/>
      <c r="AJ109" s="223">
        <f>+AJ108+1</f>
        <v>46024</v>
      </c>
      <c r="AK109" s="224">
        <f>IF(AL109=0,0,VLOOKUP($B109,BD!$B:$BO,32,FALSE))</f>
        <v>20</v>
      </c>
      <c r="AL109" s="224">
        <f>VLOOKUP($B109,BD!$B:$BO,36,FALSE)</f>
        <v>1728</v>
      </c>
      <c r="AM109" s="230"/>
      <c r="AN109" s="229"/>
      <c r="AO109" s="39"/>
      <c r="AP109" s="39"/>
      <c r="AQ109" s="39"/>
      <c r="AR109" s="39"/>
      <c r="AS109" s="39"/>
      <c r="AT109" s="39"/>
      <c r="AU109" s="39"/>
      <c r="AV109" s="39"/>
      <c r="AW109" s="39"/>
      <c r="AX109" s="230"/>
    </row>
    <row r="110" spans="1:50" ht="15" customHeight="1" thickBot="1" x14ac:dyDescent="0.3">
      <c r="A110" s="229"/>
      <c r="B110" s="223">
        <f t="shared" ref="B110:B138" si="6">+B109+1</f>
        <v>46025</v>
      </c>
      <c r="C110" s="224">
        <f>IF(D110=0,0,VLOOKUP($B110,BD!$B:$BO,22,FALSE))</f>
        <v>446.74768518518522</v>
      </c>
      <c r="D110" s="224">
        <f>VLOOKUP($B110,BD!$B:$BO,26,FALSE)</f>
        <v>38599</v>
      </c>
      <c r="E110" s="230"/>
      <c r="F110" s="229"/>
      <c r="G110" s="39"/>
      <c r="H110" s="39"/>
      <c r="I110" s="39"/>
      <c r="J110" s="39"/>
      <c r="K110" s="39"/>
      <c r="L110" s="39"/>
      <c r="M110" s="39"/>
      <c r="N110" s="39"/>
      <c r="O110" s="39"/>
      <c r="P110" s="230"/>
      <c r="R110" s="229"/>
      <c r="S110" s="223">
        <f t="shared" ref="S110:S138" si="7">+S109+1</f>
        <v>46025</v>
      </c>
      <c r="T110" s="224">
        <f>IF(U110=0,0,VLOOKUP($B110,BD!$B:$BO,27,FALSE))</f>
        <v>85</v>
      </c>
      <c r="U110" s="224">
        <f>VLOOKUP($B110,BD!$B:$BO,31,FALSE)</f>
        <v>7368</v>
      </c>
      <c r="V110" s="230"/>
      <c r="W110" s="229"/>
      <c r="X110" s="39"/>
      <c r="Y110" s="39"/>
      <c r="Z110" s="39"/>
      <c r="AA110" s="39"/>
      <c r="AB110" s="39"/>
      <c r="AC110" s="39"/>
      <c r="AD110" s="39"/>
      <c r="AE110" s="39"/>
      <c r="AF110" s="39"/>
      <c r="AG110" s="230"/>
      <c r="AI110" s="229"/>
      <c r="AJ110" s="223">
        <f t="shared" ref="AJ110:AJ138" si="8">+AJ109+1</f>
        <v>46025</v>
      </c>
      <c r="AK110" s="224">
        <f>IF(AL110=0,0,VLOOKUP($B110,BD!$B:$BO,32,FALSE))</f>
        <v>20</v>
      </c>
      <c r="AL110" s="224">
        <f>VLOOKUP($B110,BD!$B:$BO,36,FALSE)</f>
        <v>1728</v>
      </c>
      <c r="AM110" s="230"/>
      <c r="AN110" s="229"/>
      <c r="AO110" s="39"/>
      <c r="AP110" s="39"/>
      <c r="AQ110" s="39"/>
      <c r="AR110" s="39"/>
      <c r="AS110" s="39"/>
      <c r="AT110" s="39"/>
      <c r="AU110" s="39"/>
      <c r="AV110" s="39"/>
      <c r="AW110" s="39"/>
      <c r="AX110" s="230"/>
    </row>
    <row r="111" spans="1:50" ht="15" customHeight="1" thickBot="1" x14ac:dyDescent="0.3">
      <c r="A111" s="229"/>
      <c r="B111" s="223">
        <f t="shared" si="6"/>
        <v>46026</v>
      </c>
      <c r="C111" s="224">
        <f>IF(D111=0,0,VLOOKUP($B111,BD!$B:$BO,22,FALSE))</f>
        <v>454.0162037037037</v>
      </c>
      <c r="D111" s="224">
        <f>VLOOKUP($B111,BD!$B:$BO,26,FALSE)</f>
        <v>39227</v>
      </c>
      <c r="E111" s="230"/>
      <c r="F111" s="229"/>
      <c r="G111" s="39"/>
      <c r="H111" s="39"/>
      <c r="I111" s="39"/>
      <c r="J111" s="39"/>
      <c r="K111" s="39"/>
      <c r="L111" s="39"/>
      <c r="M111" s="39"/>
      <c r="N111" s="39"/>
      <c r="O111" s="39"/>
      <c r="P111" s="230"/>
      <c r="R111" s="229"/>
      <c r="S111" s="223">
        <f t="shared" si="7"/>
        <v>46026</v>
      </c>
      <c r="T111" s="224">
        <f>IF(U111=0,0,VLOOKUP($B111,BD!$B:$BO,27,FALSE))</f>
        <v>79</v>
      </c>
      <c r="U111" s="224">
        <f>VLOOKUP($B111,BD!$B:$BO,31,FALSE)</f>
        <v>6906</v>
      </c>
      <c r="V111" s="230"/>
      <c r="W111" s="229"/>
      <c r="X111" s="39"/>
      <c r="Y111" s="39"/>
      <c r="Z111" s="39"/>
      <c r="AA111" s="39"/>
      <c r="AB111" s="39"/>
      <c r="AC111" s="39"/>
      <c r="AD111" s="39"/>
      <c r="AE111" s="39"/>
      <c r="AF111" s="39"/>
      <c r="AG111" s="230"/>
      <c r="AI111" s="229"/>
      <c r="AJ111" s="223">
        <f t="shared" si="8"/>
        <v>46026</v>
      </c>
      <c r="AK111" s="224">
        <f>IF(AL111=0,0,VLOOKUP($B111,BD!$B:$BO,32,FALSE))</f>
        <v>20</v>
      </c>
      <c r="AL111" s="224">
        <f>VLOOKUP($B111,BD!$B:$BO,36,FALSE)</f>
        <v>1728</v>
      </c>
      <c r="AM111" s="230"/>
      <c r="AN111" s="229"/>
      <c r="AO111" s="39"/>
      <c r="AP111" s="39"/>
      <c r="AQ111" s="39"/>
      <c r="AR111" s="39"/>
      <c r="AS111" s="39"/>
      <c r="AT111" s="39"/>
      <c r="AU111" s="39"/>
      <c r="AV111" s="39"/>
      <c r="AW111" s="39"/>
      <c r="AX111" s="230"/>
    </row>
    <row r="112" spans="1:50" ht="15" customHeight="1" thickBot="1" x14ac:dyDescent="0.3">
      <c r="A112" s="229"/>
      <c r="B112" s="223">
        <f t="shared" si="6"/>
        <v>46027</v>
      </c>
      <c r="C112" s="224">
        <f>IF(D112=0,0,VLOOKUP($B112,BD!$B:$BO,22,FALSE))</f>
        <v>454.91898148148147</v>
      </c>
      <c r="D112" s="224">
        <f>VLOOKUP($B112,BD!$B:$BO,26,FALSE)</f>
        <v>39305</v>
      </c>
      <c r="E112" s="230"/>
      <c r="F112" s="229"/>
      <c r="G112" s="39"/>
      <c r="H112" s="39"/>
      <c r="I112" s="39"/>
      <c r="J112" s="39"/>
      <c r="K112" s="39"/>
      <c r="L112" s="39"/>
      <c r="M112" s="39"/>
      <c r="N112" s="39"/>
      <c r="O112" s="39"/>
      <c r="P112" s="230"/>
      <c r="R112" s="229"/>
      <c r="S112" s="223">
        <f t="shared" si="7"/>
        <v>46027</v>
      </c>
      <c r="T112" s="224">
        <f>IF(U112=0,0,VLOOKUP($B112,BD!$B:$BO,27,FALSE))</f>
        <v>77</v>
      </c>
      <c r="U112" s="224">
        <f>VLOOKUP($B112,BD!$B:$BO,31,FALSE)</f>
        <v>6712</v>
      </c>
      <c r="V112" s="230"/>
      <c r="W112" s="229"/>
      <c r="X112" s="39"/>
      <c r="Y112" s="39"/>
      <c r="Z112" s="39"/>
      <c r="AA112" s="39"/>
      <c r="AB112" s="39"/>
      <c r="AC112" s="39"/>
      <c r="AD112" s="39"/>
      <c r="AE112" s="39"/>
      <c r="AF112" s="39"/>
      <c r="AG112" s="230"/>
      <c r="AI112" s="229"/>
      <c r="AJ112" s="223">
        <f t="shared" si="8"/>
        <v>46027</v>
      </c>
      <c r="AK112" s="224">
        <f>IF(AL112=0,0,VLOOKUP($B112,BD!$B:$BO,32,FALSE))</f>
        <v>20</v>
      </c>
      <c r="AL112" s="224">
        <f>VLOOKUP($B112,BD!$B:$BO,36,FALSE)</f>
        <v>1728</v>
      </c>
      <c r="AM112" s="230"/>
      <c r="AN112" s="229"/>
      <c r="AO112" s="39"/>
      <c r="AP112" s="39"/>
      <c r="AQ112" s="39"/>
      <c r="AR112" s="39"/>
      <c r="AS112" s="39"/>
      <c r="AT112" s="39"/>
      <c r="AU112" s="39"/>
      <c r="AV112" s="39"/>
      <c r="AW112" s="39"/>
      <c r="AX112" s="230"/>
    </row>
    <row r="113" spans="1:50" ht="15" customHeight="1" thickBot="1" x14ac:dyDescent="0.3">
      <c r="A113" s="229"/>
      <c r="B113" s="223">
        <f t="shared" si="6"/>
        <v>46028</v>
      </c>
      <c r="C113" s="224">
        <f>IF(D113=0,0,VLOOKUP($B113,BD!$B:$BO,22,FALSE))</f>
        <v>416.35416666666663</v>
      </c>
      <c r="D113" s="224">
        <f>VLOOKUP($B113,BD!$B:$BO,26,FALSE)</f>
        <v>35973</v>
      </c>
      <c r="E113" s="230"/>
      <c r="F113" s="229"/>
      <c r="G113" s="39"/>
      <c r="H113" s="39"/>
      <c r="I113" s="39"/>
      <c r="J113" s="39"/>
      <c r="K113" s="39"/>
      <c r="L113" s="39"/>
      <c r="M113" s="39"/>
      <c r="N113" s="39"/>
      <c r="O113" s="39"/>
      <c r="P113" s="230"/>
      <c r="R113" s="229"/>
      <c r="S113" s="223">
        <f t="shared" si="7"/>
        <v>46028</v>
      </c>
      <c r="T113" s="224">
        <f>IF(U113=0,0,VLOOKUP($B113,BD!$B:$BO,27,FALSE))</f>
        <v>77</v>
      </c>
      <c r="U113" s="224">
        <f>VLOOKUP($B113,BD!$B:$BO,31,FALSE)</f>
        <v>6665</v>
      </c>
      <c r="V113" s="230"/>
      <c r="W113" s="229"/>
      <c r="X113" s="39"/>
      <c r="Y113" s="39"/>
      <c r="Z113" s="39"/>
      <c r="AA113" s="39"/>
      <c r="AB113" s="39"/>
      <c r="AC113" s="39"/>
      <c r="AD113" s="39"/>
      <c r="AE113" s="39"/>
      <c r="AF113" s="39"/>
      <c r="AG113" s="230"/>
      <c r="AI113" s="229"/>
      <c r="AJ113" s="223">
        <f t="shared" si="8"/>
        <v>46028</v>
      </c>
      <c r="AK113" s="224">
        <f>IF(AL113=0,0,VLOOKUP($B113,BD!$B:$BO,32,FALSE))</f>
        <v>20</v>
      </c>
      <c r="AL113" s="224">
        <f>VLOOKUP($B113,BD!$B:$BO,36,FALSE)</f>
        <v>1728</v>
      </c>
      <c r="AM113" s="230"/>
      <c r="AN113" s="229"/>
      <c r="AO113" s="39"/>
      <c r="AP113" s="39"/>
      <c r="AQ113" s="39"/>
      <c r="AR113" s="39"/>
      <c r="AS113" s="39"/>
      <c r="AT113" s="39"/>
      <c r="AU113" s="39"/>
      <c r="AV113" s="39"/>
      <c r="AW113" s="39"/>
      <c r="AX113" s="230"/>
    </row>
    <row r="114" spans="1:50" ht="15" customHeight="1" thickBot="1" x14ac:dyDescent="0.3">
      <c r="A114" s="229"/>
      <c r="B114" s="223">
        <f t="shared" si="6"/>
        <v>46029</v>
      </c>
      <c r="C114" s="224">
        <f>IF(D114=0,0,VLOOKUP($B114,BD!$B:$BO,22,FALSE))</f>
        <v>432.96296296296299</v>
      </c>
      <c r="D114" s="224">
        <f>VLOOKUP($B114,BD!$B:$BO,26,FALSE)</f>
        <v>37408</v>
      </c>
      <c r="E114" s="230"/>
      <c r="F114" s="229"/>
      <c r="G114" s="39"/>
      <c r="H114" s="39"/>
      <c r="I114" s="39"/>
      <c r="J114" s="39"/>
      <c r="K114" s="39"/>
      <c r="L114" s="39"/>
      <c r="M114" s="39"/>
      <c r="N114" s="39"/>
      <c r="O114" s="39"/>
      <c r="P114" s="230"/>
      <c r="R114" s="229"/>
      <c r="S114" s="223">
        <f t="shared" si="7"/>
        <v>46029</v>
      </c>
      <c r="T114" s="224">
        <f>IF(U114=0,0,VLOOKUP($B114,BD!$B:$BO,27,FALSE))</f>
        <v>77</v>
      </c>
      <c r="U114" s="224">
        <f>VLOOKUP($B114,BD!$B:$BO,31,FALSE)</f>
        <v>6715</v>
      </c>
      <c r="V114" s="230"/>
      <c r="W114" s="229"/>
      <c r="X114" s="39"/>
      <c r="Y114" s="39"/>
      <c r="Z114" s="39"/>
      <c r="AA114" s="39"/>
      <c r="AB114" s="39"/>
      <c r="AC114" s="39"/>
      <c r="AD114" s="39"/>
      <c r="AE114" s="39"/>
      <c r="AF114" s="39"/>
      <c r="AG114" s="230"/>
      <c r="AI114" s="229"/>
      <c r="AJ114" s="223">
        <f t="shared" si="8"/>
        <v>46029</v>
      </c>
      <c r="AK114" s="224">
        <f>IF(AL114=0,0,VLOOKUP($B114,BD!$B:$BO,32,FALSE))</f>
        <v>20</v>
      </c>
      <c r="AL114" s="224">
        <f>VLOOKUP($B114,BD!$B:$BO,36,FALSE)</f>
        <v>1728</v>
      </c>
      <c r="AM114" s="230"/>
      <c r="AN114" s="229"/>
      <c r="AO114" s="39"/>
      <c r="AP114" s="39"/>
      <c r="AQ114" s="39"/>
      <c r="AR114" s="39"/>
      <c r="AS114" s="39"/>
      <c r="AT114" s="39"/>
      <c r="AU114" s="39"/>
      <c r="AV114" s="39"/>
      <c r="AW114" s="39"/>
      <c r="AX114" s="230"/>
    </row>
    <row r="115" spans="1:50" ht="15" customHeight="1" thickBot="1" x14ac:dyDescent="0.3">
      <c r="A115" s="229"/>
      <c r="B115" s="223">
        <f t="shared" si="6"/>
        <v>46030</v>
      </c>
      <c r="C115" s="224">
        <f>IF(D115=0,0,VLOOKUP($B115,BD!$B:$BO,22,FALSE))</f>
        <v>463.61262980509275</v>
      </c>
      <c r="D115" s="224">
        <f>VLOOKUP($B115,BD!$B:$BO,26,FALSE)</f>
        <v>40056.131215160014</v>
      </c>
      <c r="E115" s="230"/>
      <c r="F115" s="229"/>
      <c r="G115" s="39"/>
      <c r="H115" s="39"/>
      <c r="I115" s="39"/>
      <c r="J115" s="39"/>
      <c r="K115" s="39"/>
      <c r="L115" s="39"/>
      <c r="M115" s="39"/>
      <c r="N115" s="39"/>
      <c r="O115" s="39"/>
      <c r="P115" s="230"/>
      <c r="R115" s="229"/>
      <c r="S115" s="223">
        <f t="shared" si="7"/>
        <v>46030</v>
      </c>
      <c r="T115" s="224">
        <f>IF(U115=0,0,VLOOKUP($B115,BD!$B:$BO,27,FALSE))</f>
        <v>79</v>
      </c>
      <c r="U115" s="224">
        <f>VLOOKUP($B115,BD!$B:$BO,31,FALSE)</f>
        <v>6834</v>
      </c>
      <c r="V115" s="230"/>
      <c r="W115" s="229"/>
      <c r="X115" s="39"/>
      <c r="Y115" s="39"/>
      <c r="Z115" s="39"/>
      <c r="AA115" s="39"/>
      <c r="AB115" s="39"/>
      <c r="AC115" s="39"/>
      <c r="AD115" s="39"/>
      <c r="AE115" s="39"/>
      <c r="AF115" s="39"/>
      <c r="AG115" s="230"/>
      <c r="AI115" s="229"/>
      <c r="AJ115" s="223">
        <f t="shared" si="8"/>
        <v>46030</v>
      </c>
      <c r="AK115" s="224">
        <f>IF(AL115=0,0,VLOOKUP($B115,BD!$B:$BO,32,FALSE))</f>
        <v>20</v>
      </c>
      <c r="AL115" s="224">
        <f>VLOOKUP($B115,BD!$B:$BO,36,FALSE)</f>
        <v>1728</v>
      </c>
      <c r="AM115" s="230"/>
      <c r="AN115" s="229"/>
      <c r="AO115" s="39"/>
      <c r="AP115" s="39"/>
      <c r="AQ115" s="39"/>
      <c r="AR115" s="39"/>
      <c r="AS115" s="39"/>
      <c r="AT115" s="39"/>
      <c r="AU115" s="39"/>
      <c r="AV115" s="39"/>
      <c r="AW115" s="39"/>
      <c r="AX115" s="230"/>
    </row>
    <row r="116" spans="1:50" ht="15" customHeight="1" thickBot="1" x14ac:dyDescent="0.3">
      <c r="A116" s="229"/>
      <c r="B116" s="223">
        <f t="shared" si="6"/>
        <v>46031</v>
      </c>
      <c r="C116" s="224">
        <f>IF(D116=0,0,VLOOKUP($B116,BD!$B:$BO,22,FALSE))</f>
        <v>431.3642220467591</v>
      </c>
      <c r="D116" s="224">
        <f>VLOOKUP($B116,BD!$B:$BO,26,FALSE)</f>
        <v>37269.868784839986</v>
      </c>
      <c r="E116" s="230"/>
      <c r="F116" s="229"/>
      <c r="G116" s="39"/>
      <c r="H116" s="39"/>
      <c r="I116" s="39"/>
      <c r="J116" s="39"/>
      <c r="K116" s="39"/>
      <c r="L116" s="39"/>
      <c r="M116" s="39"/>
      <c r="N116" s="39"/>
      <c r="O116" s="39"/>
      <c r="P116" s="230"/>
      <c r="R116" s="229"/>
      <c r="S116" s="223">
        <f t="shared" si="7"/>
        <v>46031</v>
      </c>
      <c r="T116" s="224">
        <f>IF(U116=0,0,VLOOKUP($B116,BD!$B:$BO,27,FALSE))</f>
        <v>83</v>
      </c>
      <c r="U116" s="224">
        <f>VLOOKUP($B116,BD!$B:$BO,31,FALSE)</f>
        <v>7208</v>
      </c>
      <c r="V116" s="230"/>
      <c r="W116" s="229"/>
      <c r="X116" s="39"/>
      <c r="Y116" s="39"/>
      <c r="Z116" s="39"/>
      <c r="AA116" s="39"/>
      <c r="AB116" s="39"/>
      <c r="AC116" s="39"/>
      <c r="AD116" s="39"/>
      <c r="AE116" s="39"/>
      <c r="AF116" s="39"/>
      <c r="AG116" s="230"/>
      <c r="AI116" s="229"/>
      <c r="AJ116" s="223">
        <f t="shared" si="8"/>
        <v>46031</v>
      </c>
      <c r="AK116" s="224">
        <f>IF(AL116=0,0,VLOOKUP($B116,BD!$B:$BO,32,FALSE))</f>
        <v>20</v>
      </c>
      <c r="AL116" s="224">
        <f>VLOOKUP($B116,BD!$B:$BO,36,FALSE)</f>
        <v>1728</v>
      </c>
      <c r="AM116" s="230"/>
      <c r="AN116" s="229"/>
      <c r="AO116" s="39"/>
      <c r="AP116" s="39"/>
      <c r="AQ116" s="39"/>
      <c r="AR116" s="39"/>
      <c r="AS116" s="39"/>
      <c r="AT116" s="39"/>
      <c r="AU116" s="39"/>
      <c r="AV116" s="39"/>
      <c r="AW116" s="39"/>
      <c r="AX116" s="230"/>
    </row>
    <row r="117" spans="1:50" ht="15" customHeight="1" thickBot="1" x14ac:dyDescent="0.3">
      <c r="A117" s="229"/>
      <c r="B117" s="223">
        <f t="shared" si="6"/>
        <v>46032</v>
      </c>
      <c r="C117" s="224">
        <f>IF(D117=0,0,VLOOKUP($B117,BD!$B:$BO,22,FALSE))</f>
        <v>383.72685185185185</v>
      </c>
      <c r="D117" s="224">
        <f>VLOOKUP($B117,BD!$B:$BO,26,FALSE)</f>
        <v>33154</v>
      </c>
      <c r="E117" s="230"/>
      <c r="F117" s="229"/>
      <c r="G117" s="39"/>
      <c r="H117" s="39"/>
      <c r="I117" s="39"/>
      <c r="J117" s="39"/>
      <c r="K117" s="39"/>
      <c r="L117" s="39"/>
      <c r="M117" s="39"/>
      <c r="N117" s="39"/>
      <c r="O117" s="39"/>
      <c r="P117" s="230"/>
      <c r="R117" s="229"/>
      <c r="S117" s="223">
        <f t="shared" si="7"/>
        <v>46032</v>
      </c>
      <c r="T117" s="224">
        <f>IF(U117=0,0,VLOOKUP($B117,BD!$B:$BO,27,FALSE))</f>
        <v>58</v>
      </c>
      <c r="U117" s="224">
        <f>VLOOKUP($B117,BD!$B:$BO,31,FALSE)</f>
        <v>5086</v>
      </c>
      <c r="V117" s="230"/>
      <c r="W117" s="229"/>
      <c r="X117" s="39"/>
      <c r="Y117" s="39"/>
      <c r="Z117" s="39"/>
      <c r="AA117" s="39"/>
      <c r="AB117" s="39"/>
      <c r="AC117" s="39"/>
      <c r="AD117" s="39"/>
      <c r="AE117" s="39"/>
      <c r="AF117" s="39"/>
      <c r="AG117" s="230"/>
      <c r="AI117" s="229"/>
      <c r="AJ117" s="223">
        <f t="shared" si="8"/>
        <v>46032</v>
      </c>
      <c r="AK117" s="224">
        <f>IF(AL117=0,0,VLOOKUP($B117,BD!$B:$BO,32,FALSE))</f>
        <v>20</v>
      </c>
      <c r="AL117" s="224">
        <f>VLOOKUP($B117,BD!$B:$BO,36,FALSE)</f>
        <v>1728</v>
      </c>
      <c r="AM117" s="230"/>
      <c r="AN117" s="229"/>
      <c r="AO117" s="39"/>
      <c r="AP117" s="39"/>
      <c r="AQ117" s="39"/>
      <c r="AR117" s="39"/>
      <c r="AS117" s="39"/>
      <c r="AT117" s="39"/>
      <c r="AU117" s="39"/>
      <c r="AV117" s="39"/>
      <c r="AW117" s="39"/>
      <c r="AX117" s="230"/>
    </row>
    <row r="118" spans="1:50" ht="15" customHeight="1" thickBot="1" x14ac:dyDescent="0.3">
      <c r="A118" s="229"/>
      <c r="B118" s="223">
        <f t="shared" si="6"/>
        <v>46033</v>
      </c>
      <c r="C118" s="224">
        <f>IF(D118=0,0,VLOOKUP($B118,BD!$B:$BO,22,FALSE))</f>
        <v>360.19675925925924</v>
      </c>
      <c r="D118" s="224">
        <f>VLOOKUP($B118,BD!$B:$BO,26,FALSE)</f>
        <v>31121</v>
      </c>
      <c r="E118" s="230"/>
      <c r="F118" s="229"/>
      <c r="G118" s="39"/>
      <c r="H118" s="39"/>
      <c r="I118" s="39"/>
      <c r="J118" s="39"/>
      <c r="K118" s="39"/>
      <c r="L118" s="39"/>
      <c r="M118" s="39"/>
      <c r="N118" s="39"/>
      <c r="O118" s="39"/>
      <c r="P118" s="230"/>
      <c r="R118" s="229"/>
      <c r="S118" s="223">
        <f t="shared" si="7"/>
        <v>46033</v>
      </c>
      <c r="T118" s="224">
        <f>IF(U118=0,0,VLOOKUP($B118,BD!$B:$BO,27,FALSE))</f>
        <v>73</v>
      </c>
      <c r="U118" s="224">
        <f>VLOOKUP($B118,BD!$B:$BO,31,FALSE)</f>
        <v>6357</v>
      </c>
      <c r="V118" s="230"/>
      <c r="W118" s="229"/>
      <c r="X118" s="39"/>
      <c r="Y118" s="39"/>
      <c r="Z118" s="39"/>
      <c r="AA118" s="39"/>
      <c r="AB118" s="39"/>
      <c r="AC118" s="39"/>
      <c r="AD118" s="39"/>
      <c r="AE118" s="39"/>
      <c r="AF118" s="39"/>
      <c r="AG118" s="230"/>
      <c r="AI118" s="229"/>
      <c r="AJ118" s="223">
        <f t="shared" si="8"/>
        <v>46033</v>
      </c>
      <c r="AK118" s="224">
        <f>IF(AL118=0,0,VLOOKUP($B118,BD!$B:$BO,32,FALSE))</f>
        <v>20</v>
      </c>
      <c r="AL118" s="224">
        <f>VLOOKUP($B118,BD!$B:$BO,36,FALSE)</f>
        <v>1728</v>
      </c>
      <c r="AM118" s="230"/>
      <c r="AN118" s="229"/>
      <c r="AO118" s="39"/>
      <c r="AP118" s="39"/>
      <c r="AQ118" s="39"/>
      <c r="AR118" s="39"/>
      <c r="AS118" s="39"/>
      <c r="AT118" s="39"/>
      <c r="AU118" s="39"/>
      <c r="AV118" s="39"/>
      <c r="AW118" s="39"/>
      <c r="AX118" s="230"/>
    </row>
    <row r="119" spans="1:50" ht="15" customHeight="1" thickBot="1" x14ac:dyDescent="0.3">
      <c r="A119" s="229"/>
      <c r="B119" s="223">
        <f t="shared" si="6"/>
        <v>46034</v>
      </c>
      <c r="C119" s="224">
        <f>IF(D119=0,0,VLOOKUP($B119,BD!$B:$BO,22,FALSE))</f>
        <v>359.74568892222118</v>
      </c>
      <c r="D119" s="224">
        <f>VLOOKUP($B119,BD!$B:$BO,26,FALSE)</f>
        <v>28491.858562639914</v>
      </c>
      <c r="E119" s="230"/>
      <c r="F119" s="229"/>
      <c r="G119" s="39"/>
      <c r="H119" s="39"/>
      <c r="I119" s="39"/>
      <c r="J119" s="39"/>
      <c r="K119" s="39"/>
      <c r="L119" s="39"/>
      <c r="M119" s="39"/>
      <c r="N119" s="39"/>
      <c r="O119" s="39"/>
      <c r="P119" s="230"/>
      <c r="R119" s="229"/>
      <c r="S119" s="223">
        <f t="shared" si="7"/>
        <v>46034</v>
      </c>
      <c r="T119" s="224">
        <f>IF(U119=0,0,VLOOKUP($B119,BD!$B:$BO,27,FALSE))</f>
        <v>76</v>
      </c>
      <c r="U119" s="224">
        <f>VLOOKUP($B119,BD!$B:$BO,31,FALSE)</f>
        <v>6567</v>
      </c>
      <c r="V119" s="230"/>
      <c r="W119" s="229"/>
      <c r="X119" s="39"/>
      <c r="Y119" s="39"/>
      <c r="Z119" s="39"/>
      <c r="AA119" s="39"/>
      <c r="AB119" s="39"/>
      <c r="AC119" s="39"/>
      <c r="AD119" s="39"/>
      <c r="AE119" s="39"/>
      <c r="AF119" s="39"/>
      <c r="AG119" s="230"/>
      <c r="AI119" s="229"/>
      <c r="AJ119" s="223">
        <f t="shared" si="8"/>
        <v>46034</v>
      </c>
      <c r="AK119" s="224">
        <f>IF(AL119=0,0,VLOOKUP($B119,BD!$B:$BO,32,FALSE))</f>
        <v>20</v>
      </c>
      <c r="AL119" s="224">
        <f>VLOOKUP($B119,BD!$B:$BO,36,FALSE)</f>
        <v>1728</v>
      </c>
      <c r="AM119" s="230"/>
      <c r="AN119" s="229"/>
      <c r="AO119" s="39"/>
      <c r="AP119" s="39"/>
      <c r="AQ119" s="39"/>
      <c r="AR119" s="39"/>
      <c r="AS119" s="39"/>
      <c r="AT119" s="39"/>
      <c r="AU119" s="39"/>
      <c r="AV119" s="39"/>
      <c r="AW119" s="39"/>
      <c r="AX119" s="230"/>
    </row>
    <row r="120" spans="1:50" ht="15" customHeight="1" thickBot="1" x14ac:dyDescent="0.3">
      <c r="A120" s="229"/>
      <c r="B120" s="223">
        <f t="shared" si="6"/>
        <v>46035</v>
      </c>
      <c r="C120" s="224">
        <f>IF(D120=0,0,VLOOKUP($B120,BD!$B:$BO,22,FALSE))</f>
        <v>199.41700150138922</v>
      </c>
      <c r="D120" s="224">
        <f>VLOOKUP($B120,BD!$B:$BO,26,FALSE)</f>
        <v>17229.628929720027</v>
      </c>
      <c r="E120" s="230"/>
      <c r="F120" s="229"/>
      <c r="G120" s="39"/>
      <c r="H120" s="39"/>
      <c r="I120" s="39"/>
      <c r="J120" s="39"/>
      <c r="K120" s="39"/>
      <c r="L120" s="39"/>
      <c r="M120" s="39"/>
      <c r="N120" s="39"/>
      <c r="O120" s="39"/>
      <c r="P120" s="230"/>
      <c r="R120" s="229"/>
      <c r="S120" s="223">
        <f t="shared" si="7"/>
        <v>46035</v>
      </c>
      <c r="T120" s="224">
        <f>IF(U120=0,0,VLOOKUP($B120,BD!$B:$BO,27,FALSE))</f>
        <v>65</v>
      </c>
      <c r="U120" s="224">
        <f>VLOOKUP($B120,BD!$B:$BO,31,FALSE)</f>
        <v>5643</v>
      </c>
      <c r="V120" s="230"/>
      <c r="W120" s="229"/>
      <c r="X120" s="39"/>
      <c r="Y120" s="39"/>
      <c r="Z120" s="39"/>
      <c r="AA120" s="39"/>
      <c r="AB120" s="39"/>
      <c r="AC120" s="39"/>
      <c r="AD120" s="39"/>
      <c r="AE120" s="39"/>
      <c r="AF120" s="39"/>
      <c r="AG120" s="230"/>
      <c r="AI120" s="229"/>
      <c r="AJ120" s="223">
        <f t="shared" si="8"/>
        <v>46035</v>
      </c>
      <c r="AK120" s="224">
        <f>IF(AL120=0,0,VLOOKUP($B120,BD!$B:$BO,32,FALSE))</f>
        <v>20</v>
      </c>
      <c r="AL120" s="224">
        <f>VLOOKUP($B120,BD!$B:$BO,36,FALSE)</f>
        <v>1728</v>
      </c>
      <c r="AM120" s="230"/>
      <c r="AN120" s="229"/>
      <c r="AO120" s="39"/>
      <c r="AP120" s="39"/>
      <c r="AQ120" s="39"/>
      <c r="AR120" s="39"/>
      <c r="AS120" s="39"/>
      <c r="AT120" s="39"/>
      <c r="AU120" s="39"/>
      <c r="AV120" s="39"/>
      <c r="AW120" s="39"/>
      <c r="AX120" s="230"/>
    </row>
    <row r="121" spans="1:50" ht="15" customHeight="1" thickBot="1" x14ac:dyDescent="0.3">
      <c r="A121" s="229"/>
      <c r="B121" s="223">
        <f t="shared" si="6"/>
        <v>46036</v>
      </c>
      <c r="C121" s="224">
        <f>IF(D121=0,0,VLOOKUP($B121,BD!$B:$BO,22,FALSE))</f>
        <v>281.48113412175951</v>
      </c>
      <c r="D121" s="224">
        <f>VLOOKUP($B121,BD!$B:$BO,26,FALSE)</f>
        <v>24319.969988120021</v>
      </c>
      <c r="E121" s="230"/>
      <c r="F121" s="229"/>
      <c r="G121" s="39"/>
      <c r="H121" s="39"/>
      <c r="I121" s="39"/>
      <c r="J121" s="39"/>
      <c r="K121" s="39"/>
      <c r="L121" s="39"/>
      <c r="M121" s="39"/>
      <c r="N121" s="39"/>
      <c r="O121" s="39"/>
      <c r="P121" s="230"/>
      <c r="R121" s="229"/>
      <c r="S121" s="223">
        <f t="shared" si="7"/>
        <v>46036</v>
      </c>
      <c r="T121" s="224">
        <f>IF(U121=0,0,VLOOKUP($B121,BD!$B:$BO,27,FALSE))</f>
        <v>65</v>
      </c>
      <c r="U121" s="224">
        <f>VLOOKUP($B121,BD!$B:$BO,31,FALSE)</f>
        <v>5619</v>
      </c>
      <c r="V121" s="230"/>
      <c r="W121" s="229"/>
      <c r="X121" s="39"/>
      <c r="Y121" s="39"/>
      <c r="Z121" s="39"/>
      <c r="AA121" s="39"/>
      <c r="AB121" s="39"/>
      <c r="AC121" s="39"/>
      <c r="AD121" s="39"/>
      <c r="AE121" s="39"/>
      <c r="AF121" s="39"/>
      <c r="AG121" s="230"/>
      <c r="AI121" s="229"/>
      <c r="AJ121" s="223">
        <f t="shared" si="8"/>
        <v>46036</v>
      </c>
      <c r="AK121" s="224">
        <f>IF(AL121=0,0,VLOOKUP($B121,BD!$B:$BO,32,FALSE))</f>
        <v>20</v>
      </c>
      <c r="AL121" s="224">
        <f>VLOOKUP($B121,BD!$B:$BO,36,FALSE)</f>
        <v>1728</v>
      </c>
      <c r="AM121" s="230"/>
      <c r="AN121" s="229"/>
      <c r="AO121" s="39"/>
      <c r="AP121" s="39"/>
      <c r="AQ121" s="39"/>
      <c r="AR121" s="39"/>
      <c r="AS121" s="39"/>
      <c r="AT121" s="39"/>
      <c r="AU121" s="39"/>
      <c r="AV121" s="39"/>
      <c r="AW121" s="39"/>
      <c r="AX121" s="230"/>
    </row>
    <row r="122" spans="1:50" ht="15" customHeight="1" thickBot="1" x14ac:dyDescent="0.3">
      <c r="A122" s="229"/>
      <c r="B122" s="223">
        <f t="shared" si="6"/>
        <v>46037</v>
      </c>
      <c r="C122" s="224">
        <f>IF(D122=0,0,VLOOKUP($B122,BD!$B:$BO,22,FALSE))</f>
        <v>268.50750242963034</v>
      </c>
      <c r="D122" s="224">
        <f>VLOOKUP($B122,BD!$B:$BO,26,FALSE)</f>
        <v>23199.04820992006</v>
      </c>
      <c r="E122" s="230"/>
      <c r="F122" s="229"/>
      <c r="G122" s="39"/>
      <c r="H122" s="39"/>
      <c r="I122" s="39"/>
      <c r="J122" s="39"/>
      <c r="K122" s="39"/>
      <c r="L122" s="39"/>
      <c r="M122" s="39"/>
      <c r="N122" s="39"/>
      <c r="O122" s="39"/>
      <c r="P122" s="230"/>
      <c r="R122" s="229"/>
      <c r="S122" s="223">
        <f t="shared" si="7"/>
        <v>46037</v>
      </c>
      <c r="T122" s="224">
        <f>IF(U122=0,0,VLOOKUP($B122,BD!$B:$BO,27,FALSE))</f>
        <v>61</v>
      </c>
      <c r="U122" s="224">
        <f>VLOOKUP($B122,BD!$B:$BO,31,FALSE)</f>
        <v>5274</v>
      </c>
      <c r="V122" s="230"/>
      <c r="W122" s="229"/>
      <c r="X122" s="39"/>
      <c r="Y122" s="39"/>
      <c r="Z122" s="39"/>
      <c r="AA122" s="39"/>
      <c r="AB122" s="39"/>
      <c r="AC122" s="39"/>
      <c r="AD122" s="39"/>
      <c r="AE122" s="39"/>
      <c r="AF122" s="39"/>
      <c r="AG122" s="230"/>
      <c r="AI122" s="229"/>
      <c r="AJ122" s="223">
        <f t="shared" si="8"/>
        <v>46037</v>
      </c>
      <c r="AK122" s="224">
        <f>IF(AL122=0,0,VLOOKUP($B122,BD!$B:$BO,32,FALSE))</f>
        <v>20</v>
      </c>
      <c r="AL122" s="224">
        <f>VLOOKUP($B122,BD!$B:$BO,36,FALSE)</f>
        <v>1728</v>
      </c>
      <c r="AM122" s="230"/>
      <c r="AN122" s="229"/>
      <c r="AO122" s="39"/>
      <c r="AP122" s="39"/>
      <c r="AQ122" s="39"/>
      <c r="AR122" s="39"/>
      <c r="AS122" s="39"/>
      <c r="AT122" s="39"/>
      <c r="AU122" s="39"/>
      <c r="AV122" s="39"/>
      <c r="AW122" s="39"/>
      <c r="AX122" s="230"/>
    </row>
    <row r="123" spans="1:50" ht="15" customHeight="1" thickBot="1" x14ac:dyDescent="0.3">
      <c r="A123" s="229"/>
      <c r="B123" s="223">
        <f t="shared" si="6"/>
        <v>46038</v>
      </c>
      <c r="C123" s="224">
        <f>IF(D123=0,0,VLOOKUP($B123,BD!$B:$BO,22,FALSE))</f>
        <v>305.31822117592566</v>
      </c>
      <c r="D123" s="224">
        <f>VLOOKUP($B123,BD!$B:$BO,26,FALSE)</f>
        <v>26379.494309599977</v>
      </c>
      <c r="E123" s="230"/>
      <c r="F123" s="229"/>
      <c r="G123" s="39"/>
      <c r="H123" s="39"/>
      <c r="I123" s="39"/>
      <c r="J123" s="39"/>
      <c r="K123" s="39"/>
      <c r="L123" s="39"/>
      <c r="M123" s="39"/>
      <c r="N123" s="39"/>
      <c r="O123" s="39"/>
      <c r="P123" s="230"/>
      <c r="R123" s="229"/>
      <c r="S123" s="223">
        <f t="shared" si="7"/>
        <v>46038</v>
      </c>
      <c r="T123" s="224">
        <f>IF(U123=0,0,VLOOKUP($B123,BD!$B:$BO,27,FALSE))</f>
        <v>58</v>
      </c>
      <c r="U123" s="224">
        <f>VLOOKUP($B123,BD!$B:$BO,31,FALSE)</f>
        <v>5035</v>
      </c>
      <c r="V123" s="230"/>
      <c r="W123" s="229"/>
      <c r="X123" s="39"/>
      <c r="Y123" s="39"/>
      <c r="Z123" s="39"/>
      <c r="AA123" s="39"/>
      <c r="AB123" s="39"/>
      <c r="AC123" s="39"/>
      <c r="AD123" s="39"/>
      <c r="AE123" s="39"/>
      <c r="AF123" s="39"/>
      <c r="AG123" s="230"/>
      <c r="AI123" s="229"/>
      <c r="AJ123" s="223">
        <f t="shared" si="8"/>
        <v>46038</v>
      </c>
      <c r="AK123" s="224">
        <f>IF(AL123=0,0,VLOOKUP($B123,BD!$B:$BO,32,FALSE))</f>
        <v>20</v>
      </c>
      <c r="AL123" s="224">
        <f>VLOOKUP($B123,BD!$B:$BO,36,FALSE)</f>
        <v>1728</v>
      </c>
      <c r="AM123" s="230"/>
      <c r="AN123" s="229"/>
      <c r="AO123" s="39"/>
      <c r="AP123" s="39"/>
      <c r="AQ123" s="39"/>
      <c r="AR123" s="39"/>
      <c r="AS123" s="39"/>
      <c r="AT123" s="39"/>
      <c r="AU123" s="39"/>
      <c r="AV123" s="39"/>
      <c r="AW123" s="39"/>
      <c r="AX123" s="230"/>
    </row>
    <row r="124" spans="1:50" ht="15" customHeight="1" thickBot="1" x14ac:dyDescent="0.3">
      <c r="A124" s="229"/>
      <c r="B124" s="223">
        <f t="shared" si="6"/>
        <v>46039</v>
      </c>
      <c r="C124" s="224">
        <f>IF(D124=0,0,VLOOKUP($B124,BD!$B:$BO,22,FALSE))</f>
        <v>323.27546296296299</v>
      </c>
      <c r="D124" s="224">
        <f>VLOOKUP($B124,BD!$B:$BO,26,FALSE)</f>
        <v>27931</v>
      </c>
      <c r="E124" s="230"/>
      <c r="F124" s="231"/>
      <c r="G124" s="235"/>
      <c r="H124" s="235"/>
      <c r="I124" s="235"/>
      <c r="J124" s="235"/>
      <c r="K124" s="235"/>
      <c r="L124" s="235"/>
      <c r="M124" s="235"/>
      <c r="N124" s="235"/>
      <c r="O124" s="235"/>
      <c r="P124" s="233"/>
      <c r="R124" s="229"/>
      <c r="S124" s="223">
        <f t="shared" si="7"/>
        <v>46039</v>
      </c>
      <c r="T124" s="224">
        <f>IF(U124=0,0,VLOOKUP($B124,BD!$B:$BO,27,FALSE))</f>
        <v>57</v>
      </c>
      <c r="U124" s="224">
        <f>VLOOKUP($B124,BD!$B:$BO,31,FALSE)</f>
        <v>4800</v>
      </c>
      <c r="V124" s="230"/>
      <c r="W124" s="231"/>
      <c r="X124" s="235"/>
      <c r="Y124" s="235"/>
      <c r="Z124" s="235"/>
      <c r="AA124" s="235"/>
      <c r="AB124" s="235"/>
      <c r="AC124" s="235"/>
      <c r="AD124" s="235"/>
      <c r="AE124" s="235"/>
      <c r="AF124" s="235"/>
      <c r="AG124" s="233"/>
      <c r="AI124" s="229"/>
      <c r="AJ124" s="223">
        <f t="shared" si="8"/>
        <v>46039</v>
      </c>
      <c r="AK124" s="224">
        <f>IF(AL124=0,0,VLOOKUP($B124,BD!$B:$BO,32,FALSE))</f>
        <v>20</v>
      </c>
      <c r="AL124" s="224">
        <f>VLOOKUP($B124,BD!$B:$BO,36,FALSE)</f>
        <v>1728</v>
      </c>
      <c r="AM124" s="230"/>
      <c r="AN124" s="231"/>
      <c r="AO124" s="235"/>
      <c r="AP124" s="235"/>
      <c r="AQ124" s="235"/>
      <c r="AR124" s="235"/>
      <c r="AS124" s="235"/>
      <c r="AT124" s="235"/>
      <c r="AU124" s="235"/>
      <c r="AV124" s="235"/>
      <c r="AW124" s="235"/>
      <c r="AX124" s="233"/>
    </row>
    <row r="125" spans="1:50" ht="15" customHeight="1" thickBot="1" x14ac:dyDescent="0.3">
      <c r="A125" s="229"/>
      <c r="B125" s="223">
        <f t="shared" si="6"/>
        <v>46040</v>
      </c>
      <c r="C125" s="224">
        <f>IF(D125=0,0,VLOOKUP($B125,BD!$B:$BO,22,FALSE))</f>
        <v>372.53877614536947</v>
      </c>
      <c r="D125" s="224">
        <f>VLOOKUP($B125,BD!$B:$BO,26,FALSE)</f>
        <v>32187.350258959923</v>
      </c>
      <c r="E125" s="230"/>
      <c r="F125" s="229"/>
      <c r="G125" s="447" t="s">
        <v>589</v>
      </c>
      <c r="H125" s="448"/>
      <c r="I125" s="448"/>
      <c r="J125" s="448"/>
      <c r="K125" s="448"/>
      <c r="L125" s="448"/>
      <c r="M125" s="448"/>
      <c r="N125" s="448"/>
      <c r="O125" s="448"/>
      <c r="P125" s="230"/>
      <c r="R125" s="229"/>
      <c r="S125" s="223">
        <f t="shared" si="7"/>
        <v>46040</v>
      </c>
      <c r="T125" s="224">
        <f>IF(U125=0,0,VLOOKUP($B125,BD!$B:$BO,27,FALSE))</f>
        <v>60</v>
      </c>
      <c r="U125" s="224">
        <f>VLOOKUP($B125,BD!$B:$BO,31,FALSE)</f>
        <v>4114</v>
      </c>
      <c r="V125" s="230"/>
      <c r="W125" s="229"/>
      <c r="X125" s="447" t="s">
        <v>590</v>
      </c>
      <c r="Y125" s="448"/>
      <c r="Z125" s="448"/>
      <c r="AA125" s="448"/>
      <c r="AB125" s="448"/>
      <c r="AC125" s="448"/>
      <c r="AD125" s="448"/>
      <c r="AE125" s="448"/>
      <c r="AF125" s="448"/>
      <c r="AG125" s="230"/>
      <c r="AI125" s="229"/>
      <c r="AJ125" s="223">
        <f t="shared" si="8"/>
        <v>46040</v>
      </c>
      <c r="AK125" s="224">
        <f>IF(AL125=0,0,VLOOKUP($B125,BD!$B:$BO,32,FALSE))</f>
        <v>20</v>
      </c>
      <c r="AL125" s="224">
        <f>VLOOKUP($B125,BD!$B:$BO,36,FALSE)</f>
        <v>1728</v>
      </c>
      <c r="AM125" s="230"/>
      <c r="AN125" s="229"/>
      <c r="AO125" s="447" t="s">
        <v>591</v>
      </c>
      <c r="AP125" s="448"/>
      <c r="AQ125" s="448"/>
      <c r="AR125" s="448"/>
      <c r="AS125" s="448"/>
      <c r="AT125" s="448"/>
      <c r="AU125" s="448"/>
      <c r="AV125" s="448"/>
      <c r="AW125" s="448"/>
      <c r="AX125" s="230"/>
    </row>
    <row r="126" spans="1:50" ht="15" customHeight="1" thickBot="1" x14ac:dyDescent="0.3">
      <c r="A126" s="229"/>
      <c r="B126" s="223">
        <f t="shared" si="6"/>
        <v>46041</v>
      </c>
      <c r="C126" s="224">
        <f>IF(D126=0,0,VLOOKUP($B126,BD!$B:$BO,22,FALSE))</f>
        <v>265.97974237314901</v>
      </c>
      <c r="D126" s="224">
        <f>VLOOKUP($B126,BD!$B:$BO,26,FALSE)</f>
        <v>22980.649741040077</v>
      </c>
      <c r="E126" s="230"/>
      <c r="F126" s="229"/>
      <c r="G126" s="449"/>
      <c r="H126" s="449"/>
      <c r="I126" s="449"/>
      <c r="J126" s="449"/>
      <c r="K126" s="449"/>
      <c r="L126" s="449"/>
      <c r="M126" s="449"/>
      <c r="N126" s="449"/>
      <c r="O126" s="449"/>
      <c r="P126" s="230"/>
      <c r="R126" s="229"/>
      <c r="S126" s="223">
        <f t="shared" si="7"/>
        <v>46041</v>
      </c>
      <c r="T126" s="224">
        <f>IF(U126=0,0,VLOOKUP($B126,BD!$B:$BO,27,FALSE))</f>
        <v>58</v>
      </c>
      <c r="U126" s="224">
        <f>VLOOKUP($B126,BD!$B:$BO,31,FALSE)</f>
        <v>3162</v>
      </c>
      <c r="V126" s="230"/>
      <c r="W126" s="229"/>
      <c r="X126" s="449"/>
      <c r="Y126" s="449"/>
      <c r="Z126" s="449"/>
      <c r="AA126" s="449"/>
      <c r="AB126" s="449"/>
      <c r="AC126" s="449"/>
      <c r="AD126" s="449"/>
      <c r="AE126" s="449"/>
      <c r="AF126" s="449"/>
      <c r="AG126" s="230"/>
      <c r="AI126" s="229"/>
      <c r="AJ126" s="223">
        <f t="shared" si="8"/>
        <v>46041</v>
      </c>
      <c r="AK126" s="224">
        <f>IF(AL126=0,0,VLOOKUP($B126,BD!$B:$BO,32,FALSE))</f>
        <v>20</v>
      </c>
      <c r="AL126" s="224">
        <f>VLOOKUP($B126,BD!$B:$BO,36,FALSE)</f>
        <v>1728</v>
      </c>
      <c r="AM126" s="230"/>
      <c r="AN126" s="229"/>
      <c r="AO126" s="449"/>
      <c r="AP126" s="449"/>
      <c r="AQ126" s="449"/>
      <c r="AR126" s="449"/>
      <c r="AS126" s="449"/>
      <c r="AT126" s="449"/>
      <c r="AU126" s="449"/>
      <c r="AV126" s="449"/>
      <c r="AW126" s="449"/>
      <c r="AX126" s="230"/>
    </row>
    <row r="127" spans="1:50" ht="15" customHeight="1" thickBot="1" x14ac:dyDescent="0.3">
      <c r="A127" s="229"/>
      <c r="B127" s="223">
        <f t="shared" si="6"/>
        <v>46042</v>
      </c>
      <c r="C127" s="224">
        <f>IF(D127=0,0,VLOOKUP($B127,BD!$B:$BO,22,FALSE))</f>
        <v>339.37073513611085</v>
      </c>
      <c r="D127" s="224">
        <f>VLOOKUP($B127,BD!$B:$BO,26,FALSE)</f>
        <v>29321.631515759975</v>
      </c>
      <c r="E127" s="230"/>
      <c r="F127" s="229"/>
      <c r="G127" s="449"/>
      <c r="H127" s="449"/>
      <c r="I127" s="449"/>
      <c r="J127" s="449"/>
      <c r="K127" s="449"/>
      <c r="L127" s="449"/>
      <c r="M127" s="449"/>
      <c r="N127" s="449"/>
      <c r="O127" s="449"/>
      <c r="P127" s="230"/>
      <c r="R127" s="229"/>
      <c r="S127" s="223">
        <f t="shared" si="7"/>
        <v>46042</v>
      </c>
      <c r="T127" s="224">
        <f>IF(U127=0,0,VLOOKUP($B127,BD!$B:$BO,27,FALSE))</f>
        <v>52</v>
      </c>
      <c r="U127" s="224">
        <f>VLOOKUP($B127,BD!$B:$BO,31,FALSE)</f>
        <v>4391</v>
      </c>
      <c r="V127" s="230"/>
      <c r="W127" s="229"/>
      <c r="X127" s="449"/>
      <c r="Y127" s="449"/>
      <c r="Z127" s="449"/>
      <c r="AA127" s="449"/>
      <c r="AB127" s="449"/>
      <c r="AC127" s="449"/>
      <c r="AD127" s="449"/>
      <c r="AE127" s="449"/>
      <c r="AF127" s="449"/>
      <c r="AG127" s="230"/>
      <c r="AI127" s="229"/>
      <c r="AJ127" s="223">
        <f t="shared" si="8"/>
        <v>46042</v>
      </c>
      <c r="AK127" s="224">
        <f>IF(AL127=0,0,VLOOKUP($B127,BD!$B:$BO,32,FALSE))</f>
        <v>20</v>
      </c>
      <c r="AL127" s="224">
        <f>VLOOKUP($B127,BD!$B:$BO,36,FALSE)</f>
        <v>1728</v>
      </c>
      <c r="AM127" s="230"/>
      <c r="AN127" s="229"/>
      <c r="AO127" s="449"/>
      <c r="AP127" s="449"/>
      <c r="AQ127" s="449"/>
      <c r="AR127" s="449"/>
      <c r="AS127" s="449"/>
      <c r="AT127" s="449"/>
      <c r="AU127" s="449"/>
      <c r="AV127" s="449"/>
      <c r="AW127" s="449"/>
      <c r="AX127" s="230"/>
    </row>
    <row r="128" spans="1:50" ht="15" customHeight="1" thickBot="1" x14ac:dyDescent="0.3">
      <c r="A128" s="229"/>
      <c r="B128" s="223">
        <f t="shared" si="6"/>
        <v>46043</v>
      </c>
      <c r="C128" s="224">
        <f>IF(D128=0,0,VLOOKUP($B128,BD!$B:$BO,22,FALSE))</f>
        <v>389.44394203981642</v>
      </c>
      <c r="D128" s="224">
        <f>VLOOKUP($B128,BD!$B:$BO,26,FALSE)</f>
        <v>33647.956592240138</v>
      </c>
      <c r="E128" s="230"/>
      <c r="F128" s="229"/>
      <c r="G128" s="449"/>
      <c r="H128" s="449"/>
      <c r="I128" s="449"/>
      <c r="J128" s="449"/>
      <c r="K128" s="449"/>
      <c r="L128" s="449"/>
      <c r="M128" s="449"/>
      <c r="N128" s="449"/>
      <c r="O128" s="449"/>
      <c r="P128" s="230"/>
      <c r="R128" s="229"/>
      <c r="S128" s="223">
        <f t="shared" si="7"/>
        <v>46043</v>
      </c>
      <c r="T128" s="224">
        <f>IF(U128=0,0,VLOOKUP($B128,BD!$B:$BO,27,FALSE))</f>
        <v>69</v>
      </c>
      <c r="U128" s="224">
        <f>VLOOKUP($B128,BD!$B:$BO,31,FALSE)</f>
        <v>3244</v>
      </c>
      <c r="V128" s="230"/>
      <c r="W128" s="229"/>
      <c r="X128" s="449"/>
      <c r="Y128" s="449"/>
      <c r="Z128" s="449"/>
      <c r="AA128" s="449"/>
      <c r="AB128" s="449"/>
      <c r="AC128" s="449"/>
      <c r="AD128" s="449"/>
      <c r="AE128" s="449"/>
      <c r="AF128" s="449"/>
      <c r="AG128" s="230"/>
      <c r="AI128" s="229"/>
      <c r="AJ128" s="223">
        <f t="shared" si="8"/>
        <v>46043</v>
      </c>
      <c r="AK128" s="224">
        <f>IF(AL128=0,0,VLOOKUP($B128,BD!$B:$BO,32,FALSE))</f>
        <v>20</v>
      </c>
      <c r="AL128" s="224">
        <f>VLOOKUP($B128,BD!$B:$BO,36,FALSE)</f>
        <v>1728</v>
      </c>
      <c r="AM128" s="230"/>
      <c r="AN128" s="229"/>
      <c r="AO128" s="449"/>
      <c r="AP128" s="449"/>
      <c r="AQ128" s="449"/>
      <c r="AR128" s="449"/>
      <c r="AS128" s="449"/>
      <c r="AT128" s="449"/>
      <c r="AU128" s="449"/>
      <c r="AV128" s="449"/>
      <c r="AW128" s="449"/>
      <c r="AX128" s="230"/>
    </row>
    <row r="129" spans="1:50" ht="15" customHeight="1" thickBot="1" x14ac:dyDescent="0.3">
      <c r="A129" s="229"/>
      <c r="B129" s="223">
        <f t="shared" si="6"/>
        <v>46044</v>
      </c>
      <c r="C129" s="224">
        <f>IF(D129=0,0,VLOOKUP($B129,BD!$B:$BO,22,FALSE))</f>
        <v>372.71310060185056</v>
      </c>
      <c r="D129" s="224">
        <f>VLOOKUP($B129,BD!$B:$BO,26,FALSE)</f>
        <v>32202.411891999887</v>
      </c>
      <c r="E129" s="230"/>
      <c r="F129" s="229"/>
      <c r="G129" s="449"/>
      <c r="H129" s="449"/>
      <c r="I129" s="449"/>
      <c r="J129" s="449"/>
      <c r="K129" s="449"/>
      <c r="L129" s="449"/>
      <c r="M129" s="449"/>
      <c r="N129" s="449"/>
      <c r="O129" s="449"/>
      <c r="P129" s="230"/>
      <c r="R129" s="229"/>
      <c r="S129" s="223">
        <f t="shared" si="7"/>
        <v>46044</v>
      </c>
      <c r="T129" s="224">
        <f>IF(U129=0,0,VLOOKUP($B129,BD!$B:$BO,27,FALSE))</f>
        <v>63</v>
      </c>
      <c r="U129" s="224">
        <f>VLOOKUP($B129,BD!$B:$BO,31,FALSE)</f>
        <v>5490</v>
      </c>
      <c r="V129" s="230"/>
      <c r="W129" s="229"/>
      <c r="X129" s="449"/>
      <c r="Y129" s="449"/>
      <c r="Z129" s="449"/>
      <c r="AA129" s="449"/>
      <c r="AB129" s="449"/>
      <c r="AC129" s="449"/>
      <c r="AD129" s="449"/>
      <c r="AE129" s="449"/>
      <c r="AF129" s="449"/>
      <c r="AG129" s="230"/>
      <c r="AI129" s="229"/>
      <c r="AJ129" s="223">
        <f t="shared" si="8"/>
        <v>46044</v>
      </c>
      <c r="AK129" s="224">
        <f>IF(AL129=0,0,VLOOKUP($B129,BD!$B:$BO,32,FALSE))</f>
        <v>20</v>
      </c>
      <c r="AL129" s="224">
        <f>VLOOKUP($B129,BD!$B:$BO,36,FALSE)</f>
        <v>1728</v>
      </c>
      <c r="AM129" s="230"/>
      <c r="AN129" s="229"/>
      <c r="AO129" s="449"/>
      <c r="AP129" s="449"/>
      <c r="AQ129" s="449"/>
      <c r="AR129" s="449"/>
      <c r="AS129" s="449"/>
      <c r="AT129" s="449"/>
      <c r="AU129" s="449"/>
      <c r="AV129" s="449"/>
      <c r="AW129" s="449"/>
      <c r="AX129" s="230"/>
    </row>
    <row r="130" spans="1:50" ht="15" customHeight="1" thickBot="1" x14ac:dyDescent="0.3">
      <c r="A130" s="229"/>
      <c r="B130" s="223">
        <f t="shared" si="6"/>
        <v>46045</v>
      </c>
      <c r="C130" s="224">
        <f>IF(D130=0,0,VLOOKUP($B130,BD!$B:$BO,22,FALSE))</f>
        <v>367.15863069814753</v>
      </c>
      <c r="D130" s="224">
        <f>VLOOKUP($B130,BD!$B:$BO,26,FALSE)</f>
        <v>31722.505692319945</v>
      </c>
      <c r="E130" s="230"/>
      <c r="F130" s="229"/>
      <c r="G130" s="449"/>
      <c r="H130" s="449"/>
      <c r="I130" s="449"/>
      <c r="J130" s="449"/>
      <c r="K130" s="449"/>
      <c r="L130" s="449"/>
      <c r="M130" s="449"/>
      <c r="N130" s="449"/>
      <c r="O130" s="449"/>
      <c r="P130" s="230"/>
      <c r="R130" s="229"/>
      <c r="S130" s="223">
        <f t="shared" si="7"/>
        <v>46045</v>
      </c>
      <c r="T130" s="224">
        <f>IF(U130=0,0,VLOOKUP($B130,BD!$B:$BO,27,FALSE))</f>
        <v>67</v>
      </c>
      <c r="U130" s="224">
        <f>VLOOKUP($B130,BD!$B:$BO,31,FALSE)</f>
        <v>5797</v>
      </c>
      <c r="V130" s="230"/>
      <c r="W130" s="229"/>
      <c r="X130" s="449"/>
      <c r="Y130" s="449"/>
      <c r="Z130" s="449"/>
      <c r="AA130" s="449"/>
      <c r="AB130" s="449"/>
      <c r="AC130" s="449"/>
      <c r="AD130" s="449"/>
      <c r="AE130" s="449"/>
      <c r="AF130" s="449"/>
      <c r="AG130" s="230"/>
      <c r="AI130" s="229"/>
      <c r="AJ130" s="223">
        <f t="shared" si="8"/>
        <v>46045</v>
      </c>
      <c r="AK130" s="224">
        <f>IF(AL130=0,0,VLOOKUP($B130,BD!$B:$BO,32,FALSE))</f>
        <v>20</v>
      </c>
      <c r="AL130" s="224">
        <f>VLOOKUP($B130,BD!$B:$BO,36,FALSE)</f>
        <v>1728</v>
      </c>
      <c r="AM130" s="230"/>
      <c r="AN130" s="229"/>
      <c r="AO130" s="449"/>
      <c r="AP130" s="449"/>
      <c r="AQ130" s="449"/>
      <c r="AR130" s="449"/>
      <c r="AS130" s="449"/>
      <c r="AT130" s="449"/>
      <c r="AU130" s="449"/>
      <c r="AV130" s="449"/>
      <c r="AW130" s="449"/>
      <c r="AX130" s="230"/>
    </row>
    <row r="131" spans="1:50" ht="15" customHeight="1" thickBot="1" x14ac:dyDescent="0.3">
      <c r="A131" s="229"/>
      <c r="B131" s="223">
        <f t="shared" si="6"/>
        <v>46046</v>
      </c>
      <c r="C131" s="224">
        <f>IF(D131=0,0,VLOOKUP($B131,BD!$B:$BO,22,FALSE))</f>
        <v>370.32631258889052</v>
      </c>
      <c r="D131" s="224">
        <f>VLOOKUP($B131,BD!$B:$BO,26,FALSE)</f>
        <v>31996.193407680141</v>
      </c>
      <c r="E131" s="230"/>
      <c r="F131" s="229"/>
      <c r="G131" s="449"/>
      <c r="H131" s="449"/>
      <c r="I131" s="449"/>
      <c r="J131" s="449"/>
      <c r="K131" s="449"/>
      <c r="L131" s="449"/>
      <c r="M131" s="449"/>
      <c r="N131" s="449"/>
      <c r="O131" s="449"/>
      <c r="P131" s="230"/>
      <c r="R131" s="229"/>
      <c r="S131" s="223">
        <f t="shared" si="7"/>
        <v>46046</v>
      </c>
      <c r="T131" s="224">
        <f>IF(U131=0,0,VLOOKUP($B131,BD!$B:$BO,27,FALSE))</f>
        <v>69</v>
      </c>
      <c r="U131" s="224">
        <f>VLOOKUP($B131,BD!$B:$BO,31,FALSE)</f>
        <v>6046</v>
      </c>
      <c r="V131" s="230"/>
      <c r="W131" s="229"/>
      <c r="X131" s="449"/>
      <c r="Y131" s="449"/>
      <c r="Z131" s="449"/>
      <c r="AA131" s="449"/>
      <c r="AB131" s="449"/>
      <c r="AC131" s="449"/>
      <c r="AD131" s="449"/>
      <c r="AE131" s="449"/>
      <c r="AF131" s="449"/>
      <c r="AG131" s="230"/>
      <c r="AI131" s="229"/>
      <c r="AJ131" s="223">
        <f t="shared" si="8"/>
        <v>46046</v>
      </c>
      <c r="AK131" s="224">
        <f>IF(AL131=0,0,VLOOKUP($B131,BD!$B:$BO,32,FALSE))</f>
        <v>20</v>
      </c>
      <c r="AL131" s="224">
        <f>VLOOKUP($B131,BD!$B:$BO,36,FALSE)</f>
        <v>1728</v>
      </c>
      <c r="AM131" s="230"/>
      <c r="AN131" s="229"/>
      <c r="AO131" s="449"/>
      <c r="AP131" s="449"/>
      <c r="AQ131" s="449"/>
      <c r="AR131" s="449"/>
      <c r="AS131" s="449"/>
      <c r="AT131" s="449"/>
      <c r="AU131" s="449"/>
      <c r="AV131" s="449"/>
      <c r="AW131" s="449"/>
      <c r="AX131" s="230"/>
    </row>
    <row r="132" spans="1:50" ht="15" customHeight="1" thickBot="1" x14ac:dyDescent="0.3">
      <c r="A132" s="229"/>
      <c r="B132" s="223">
        <f t="shared" si="6"/>
        <v>46047</v>
      </c>
      <c r="C132" s="224">
        <f>IF(D132=0,0,VLOOKUP($B132,BD!$B:$BO,22,FALSE))</f>
        <v>342.43403819444342</v>
      </c>
      <c r="D132" s="224">
        <f>VLOOKUP($B132,BD!$B:$BO,26,FALSE)</f>
        <v>29586.300899999915</v>
      </c>
      <c r="E132" s="230"/>
      <c r="F132" s="229"/>
      <c r="G132" s="449"/>
      <c r="H132" s="449"/>
      <c r="I132" s="449"/>
      <c r="J132" s="449"/>
      <c r="K132" s="449"/>
      <c r="L132" s="449"/>
      <c r="M132" s="449"/>
      <c r="N132" s="449"/>
      <c r="O132" s="449"/>
      <c r="P132" s="230"/>
      <c r="R132" s="229"/>
      <c r="S132" s="223">
        <f t="shared" si="7"/>
        <v>46047</v>
      </c>
      <c r="T132" s="224">
        <f>IF(U132=0,0,VLOOKUP($B132,BD!$B:$BO,27,FALSE))</f>
        <v>77</v>
      </c>
      <c r="U132" s="224">
        <f>VLOOKUP($B132,BD!$B:$BO,31,FALSE)</f>
        <v>6668</v>
      </c>
      <c r="V132" s="230"/>
      <c r="W132" s="229"/>
      <c r="X132" s="449"/>
      <c r="Y132" s="449"/>
      <c r="Z132" s="449"/>
      <c r="AA132" s="449"/>
      <c r="AB132" s="449"/>
      <c r="AC132" s="449"/>
      <c r="AD132" s="449"/>
      <c r="AE132" s="449"/>
      <c r="AF132" s="449"/>
      <c r="AG132" s="230"/>
      <c r="AI132" s="229"/>
      <c r="AJ132" s="223">
        <f t="shared" si="8"/>
        <v>46047</v>
      </c>
      <c r="AK132" s="224">
        <f>IF(AL132=0,0,VLOOKUP($B132,BD!$B:$BO,32,FALSE))</f>
        <v>20</v>
      </c>
      <c r="AL132" s="224">
        <f>VLOOKUP($B132,BD!$B:$BO,36,FALSE)</f>
        <v>1728</v>
      </c>
      <c r="AM132" s="230"/>
      <c r="AN132" s="229"/>
      <c r="AO132" s="449"/>
      <c r="AP132" s="449"/>
      <c r="AQ132" s="449"/>
      <c r="AR132" s="449"/>
      <c r="AS132" s="449"/>
      <c r="AT132" s="449"/>
      <c r="AU132" s="449"/>
      <c r="AV132" s="449"/>
      <c r="AW132" s="449"/>
      <c r="AX132" s="230"/>
    </row>
    <row r="133" spans="1:50" ht="15" customHeight="1" thickBot="1" x14ac:dyDescent="0.3">
      <c r="A133" s="229"/>
      <c r="B133" s="223">
        <f t="shared" si="6"/>
        <v>46048</v>
      </c>
      <c r="C133" s="224">
        <f>IF(D133=0,0,VLOOKUP($B133,BD!$B:$BO,22,FALSE))</f>
        <v>354.83057249212936</v>
      </c>
      <c r="D133" s="224">
        <f>VLOOKUP($B133,BD!$B:$BO,26,FALSE)</f>
        <v>30657.361463319976</v>
      </c>
      <c r="E133" s="230"/>
      <c r="F133" s="229"/>
      <c r="G133" s="449"/>
      <c r="H133" s="449"/>
      <c r="I133" s="449"/>
      <c r="J133" s="449"/>
      <c r="K133" s="449"/>
      <c r="L133" s="449"/>
      <c r="M133" s="449"/>
      <c r="N133" s="449"/>
      <c r="O133" s="449"/>
      <c r="P133" s="230"/>
      <c r="R133" s="229"/>
      <c r="S133" s="223">
        <f t="shared" si="7"/>
        <v>46048</v>
      </c>
      <c r="T133" s="224">
        <f>IF(U133=0,0,VLOOKUP($B133,BD!$B:$BO,27,FALSE))</f>
        <v>69</v>
      </c>
      <c r="U133" s="224">
        <f>VLOOKUP($B133,BD!$B:$BO,31,FALSE)</f>
        <v>6019</v>
      </c>
      <c r="V133" s="230"/>
      <c r="W133" s="229"/>
      <c r="X133" s="449"/>
      <c r="Y133" s="449"/>
      <c r="Z133" s="449"/>
      <c r="AA133" s="449"/>
      <c r="AB133" s="449"/>
      <c r="AC133" s="449"/>
      <c r="AD133" s="449"/>
      <c r="AE133" s="449"/>
      <c r="AF133" s="449"/>
      <c r="AG133" s="230"/>
      <c r="AI133" s="229"/>
      <c r="AJ133" s="223">
        <f t="shared" si="8"/>
        <v>46048</v>
      </c>
      <c r="AK133" s="224">
        <f>IF(AL133=0,0,VLOOKUP($B133,BD!$B:$BO,32,FALSE))</f>
        <v>20</v>
      </c>
      <c r="AL133" s="224">
        <f>VLOOKUP($B133,BD!$B:$BO,36,FALSE)</f>
        <v>1728</v>
      </c>
      <c r="AM133" s="230"/>
      <c r="AN133" s="229"/>
      <c r="AO133" s="449"/>
      <c r="AP133" s="449"/>
      <c r="AQ133" s="449"/>
      <c r="AR133" s="449"/>
      <c r="AS133" s="449"/>
      <c r="AT133" s="449"/>
      <c r="AU133" s="449"/>
      <c r="AV133" s="449"/>
      <c r="AW133" s="449"/>
      <c r="AX133" s="230"/>
    </row>
    <row r="134" spans="1:50" ht="15" customHeight="1" thickBot="1" x14ac:dyDescent="0.3">
      <c r="A134" s="229"/>
      <c r="B134" s="223">
        <f t="shared" si="6"/>
        <v>46049</v>
      </c>
      <c r="C134" s="224">
        <f>IF(D134=0,0,VLOOKUP($B134,BD!$B:$BO,22,FALSE))</f>
        <v>342.56479073749989</v>
      </c>
      <c r="D134" s="224">
        <f>VLOOKUP($B134,BD!$B:$BO,26,FALSE)</f>
        <v>29597.597919719992</v>
      </c>
      <c r="E134" s="230"/>
      <c r="F134" s="229"/>
      <c r="G134" s="449"/>
      <c r="H134" s="449"/>
      <c r="I134" s="449"/>
      <c r="J134" s="449"/>
      <c r="K134" s="449"/>
      <c r="L134" s="449"/>
      <c r="M134" s="449"/>
      <c r="N134" s="449"/>
      <c r="O134" s="449"/>
      <c r="P134" s="230"/>
      <c r="R134" s="229"/>
      <c r="S134" s="223">
        <f t="shared" si="7"/>
        <v>46049</v>
      </c>
      <c r="T134" s="224">
        <f>IF(U134=0,0,VLOOKUP($B134,BD!$B:$BO,27,FALSE))</f>
        <v>73</v>
      </c>
      <c r="U134" s="224">
        <f>VLOOKUP($B134,BD!$B:$BO,31,FALSE)</f>
        <v>6361</v>
      </c>
      <c r="V134" s="230"/>
      <c r="W134" s="229"/>
      <c r="X134" s="449"/>
      <c r="Y134" s="449"/>
      <c r="Z134" s="449"/>
      <c r="AA134" s="449"/>
      <c r="AB134" s="449"/>
      <c r="AC134" s="449"/>
      <c r="AD134" s="449"/>
      <c r="AE134" s="449"/>
      <c r="AF134" s="449"/>
      <c r="AG134" s="230"/>
      <c r="AI134" s="229"/>
      <c r="AJ134" s="223">
        <f t="shared" si="8"/>
        <v>46049</v>
      </c>
      <c r="AK134" s="224">
        <f>IF(AL134=0,0,VLOOKUP($B134,BD!$B:$BO,32,FALSE))</f>
        <v>20</v>
      </c>
      <c r="AL134" s="224">
        <f>VLOOKUP($B134,BD!$B:$BO,36,FALSE)</f>
        <v>1728</v>
      </c>
      <c r="AM134" s="230"/>
      <c r="AN134" s="229"/>
      <c r="AO134" s="449"/>
      <c r="AP134" s="449"/>
      <c r="AQ134" s="449"/>
      <c r="AR134" s="449"/>
      <c r="AS134" s="449"/>
      <c r="AT134" s="449"/>
      <c r="AU134" s="449"/>
      <c r="AV134" s="449"/>
      <c r="AW134" s="449"/>
      <c r="AX134" s="230"/>
    </row>
    <row r="135" spans="1:50" ht="15" customHeight="1" thickBot="1" x14ac:dyDescent="0.3">
      <c r="A135" s="229"/>
      <c r="B135" s="223">
        <f t="shared" si="6"/>
        <v>46050</v>
      </c>
      <c r="C135" s="224">
        <f>IF(D135=0,0,VLOOKUP($B135,BD!$B:$BO,22,FALSE))</f>
        <v>325.28793953194474</v>
      </c>
      <c r="D135" s="224">
        <f>VLOOKUP($B135,BD!$B:$BO,26,FALSE)</f>
        <v>28104.877975560026</v>
      </c>
      <c r="E135" s="230"/>
      <c r="F135" s="229"/>
      <c r="G135" s="449"/>
      <c r="H135" s="449"/>
      <c r="I135" s="449"/>
      <c r="J135" s="449"/>
      <c r="K135" s="449"/>
      <c r="L135" s="449"/>
      <c r="M135" s="449"/>
      <c r="N135" s="449"/>
      <c r="O135" s="449"/>
      <c r="P135" s="230"/>
      <c r="R135" s="229"/>
      <c r="S135" s="223">
        <f t="shared" si="7"/>
        <v>46050</v>
      </c>
      <c r="T135" s="224">
        <f>IF(U135=0,0,VLOOKUP($B135,BD!$B:$BO,27,FALSE))</f>
        <v>71</v>
      </c>
      <c r="U135" s="224">
        <f>VLOOKUP($B135,BD!$B:$BO,31,FALSE)</f>
        <v>6167</v>
      </c>
      <c r="V135" s="230"/>
      <c r="W135" s="229"/>
      <c r="X135" s="449"/>
      <c r="Y135" s="449"/>
      <c r="Z135" s="449"/>
      <c r="AA135" s="449"/>
      <c r="AB135" s="449"/>
      <c r="AC135" s="449"/>
      <c r="AD135" s="449"/>
      <c r="AE135" s="449"/>
      <c r="AF135" s="449"/>
      <c r="AG135" s="230"/>
      <c r="AI135" s="229"/>
      <c r="AJ135" s="223">
        <f t="shared" si="8"/>
        <v>46050</v>
      </c>
      <c r="AK135" s="224">
        <f>IF(AL135=0,0,VLOOKUP($B135,BD!$B:$BO,32,FALSE))</f>
        <v>20</v>
      </c>
      <c r="AL135" s="224">
        <f>VLOOKUP($B135,BD!$B:$BO,36,FALSE)</f>
        <v>1728</v>
      </c>
      <c r="AM135" s="230"/>
      <c r="AN135" s="229"/>
      <c r="AO135" s="449"/>
      <c r="AP135" s="449"/>
      <c r="AQ135" s="449"/>
      <c r="AR135" s="449"/>
      <c r="AS135" s="449"/>
      <c r="AT135" s="449"/>
      <c r="AU135" s="449"/>
      <c r="AV135" s="449"/>
      <c r="AW135" s="449"/>
      <c r="AX135" s="230"/>
    </row>
    <row r="136" spans="1:50" ht="15" customHeight="1" thickBot="1" x14ac:dyDescent="0.3">
      <c r="A136" s="229"/>
      <c r="B136" s="223">
        <f t="shared" si="6"/>
        <v>46051</v>
      </c>
      <c r="C136" s="224">
        <f>IF(D136=0,0,VLOOKUP($B136,BD!$B:$BO,22,FALSE))</f>
        <v>333.46313938935327</v>
      </c>
      <c r="D136" s="224">
        <f>VLOOKUP($B136,BD!$B:$BO,26,FALSE)</f>
        <v>28811.21524324012</v>
      </c>
      <c r="E136" s="230"/>
      <c r="F136" s="229"/>
      <c r="G136" s="449"/>
      <c r="H136" s="449"/>
      <c r="I136" s="449"/>
      <c r="J136" s="449"/>
      <c r="K136" s="449"/>
      <c r="L136" s="449"/>
      <c r="M136" s="449"/>
      <c r="N136" s="449"/>
      <c r="O136" s="449"/>
      <c r="P136" s="230"/>
      <c r="R136" s="229"/>
      <c r="S136" s="223">
        <f t="shared" si="7"/>
        <v>46051</v>
      </c>
      <c r="T136" s="224">
        <f>IF(U136=0,0,VLOOKUP($B136,BD!$B:$BO,27,FALSE))</f>
        <v>76</v>
      </c>
      <c r="U136" s="224">
        <f>VLOOKUP($B136,BD!$B:$BO,31,FALSE)</f>
        <v>6606</v>
      </c>
      <c r="V136" s="230"/>
      <c r="W136" s="229"/>
      <c r="X136" s="449"/>
      <c r="Y136" s="449"/>
      <c r="Z136" s="449"/>
      <c r="AA136" s="449"/>
      <c r="AB136" s="449"/>
      <c r="AC136" s="449"/>
      <c r="AD136" s="449"/>
      <c r="AE136" s="449"/>
      <c r="AF136" s="449"/>
      <c r="AG136" s="230"/>
      <c r="AI136" s="229"/>
      <c r="AJ136" s="223">
        <f t="shared" si="8"/>
        <v>46051</v>
      </c>
      <c r="AK136" s="224">
        <f>IF(AL136=0,0,VLOOKUP($B136,BD!$B:$BO,32,FALSE))</f>
        <v>20</v>
      </c>
      <c r="AL136" s="224">
        <f>VLOOKUP($B136,BD!$B:$BO,36,FALSE)</f>
        <v>1728</v>
      </c>
      <c r="AM136" s="230"/>
      <c r="AN136" s="229"/>
      <c r="AO136" s="449"/>
      <c r="AP136" s="449"/>
      <c r="AQ136" s="449"/>
      <c r="AR136" s="449"/>
      <c r="AS136" s="449"/>
      <c r="AT136" s="449"/>
      <c r="AU136" s="449"/>
      <c r="AV136" s="449"/>
      <c r="AW136" s="449"/>
      <c r="AX136" s="230"/>
    </row>
    <row r="137" spans="1:50" ht="15" customHeight="1" thickBot="1" x14ac:dyDescent="0.3">
      <c r="A137" s="229"/>
      <c r="B137" s="223">
        <f t="shared" si="6"/>
        <v>46052</v>
      </c>
      <c r="C137" s="224">
        <f>IF(D137=0,0,VLOOKUP($B137,BD!$B:$BO,22,FALSE))</f>
        <v>347.4063263675904</v>
      </c>
      <c r="D137" s="224">
        <f>VLOOKUP($B137,BD!$B:$BO,26,FALSE)</f>
        <v>30015.906598159811</v>
      </c>
      <c r="E137" s="230"/>
      <c r="F137" s="229"/>
      <c r="G137" s="449"/>
      <c r="H137" s="449"/>
      <c r="I137" s="449"/>
      <c r="J137" s="449"/>
      <c r="K137" s="449"/>
      <c r="L137" s="449"/>
      <c r="M137" s="449"/>
      <c r="N137" s="449"/>
      <c r="O137" s="449"/>
      <c r="P137" s="230"/>
      <c r="R137" s="229"/>
      <c r="S137" s="223">
        <f t="shared" si="7"/>
        <v>46052</v>
      </c>
      <c r="T137" s="224">
        <f>IF(U137=0,0,VLOOKUP($B137,BD!$B:$BO,27,FALSE))</f>
        <v>75</v>
      </c>
      <c r="U137" s="224">
        <f>VLOOKUP($B137,BD!$B:$BO,31,FALSE)</f>
        <v>6550</v>
      </c>
      <c r="V137" s="230"/>
      <c r="W137" s="229"/>
      <c r="X137" s="449"/>
      <c r="Y137" s="449"/>
      <c r="Z137" s="449"/>
      <c r="AA137" s="449"/>
      <c r="AB137" s="449"/>
      <c r="AC137" s="449"/>
      <c r="AD137" s="449"/>
      <c r="AE137" s="449"/>
      <c r="AF137" s="449"/>
      <c r="AG137" s="230"/>
      <c r="AI137" s="229"/>
      <c r="AJ137" s="223">
        <f t="shared" si="8"/>
        <v>46052</v>
      </c>
      <c r="AK137" s="224">
        <f>IF(AL137=0,0,VLOOKUP($B137,BD!$B:$BO,32,FALSE))</f>
        <v>20</v>
      </c>
      <c r="AL137" s="224">
        <f>VLOOKUP($B137,BD!$B:$BO,36,FALSE)</f>
        <v>1728</v>
      </c>
      <c r="AM137" s="230"/>
      <c r="AN137" s="229"/>
      <c r="AO137" s="449"/>
      <c r="AP137" s="449"/>
      <c r="AQ137" s="449"/>
      <c r="AR137" s="449"/>
      <c r="AS137" s="449"/>
      <c r="AT137" s="449"/>
      <c r="AU137" s="449"/>
      <c r="AV137" s="449"/>
      <c r="AW137" s="449"/>
      <c r="AX137" s="230"/>
    </row>
    <row r="138" spans="1:50" ht="15" customHeight="1" thickBot="1" x14ac:dyDescent="0.3">
      <c r="A138" s="229"/>
      <c r="B138" s="223">
        <f t="shared" si="6"/>
        <v>46053</v>
      </c>
      <c r="C138" s="224">
        <f>IF(D138=0,0,VLOOKUP($B138,BD!$B:$BO,22,FALSE))</f>
        <v>333.90206956898277</v>
      </c>
      <c r="D138" s="224">
        <f>VLOOKUP($B138,BD!$B:$BO,26,FALSE)</f>
        <v>28849.138810760109</v>
      </c>
      <c r="E138" s="230"/>
      <c r="F138" s="229"/>
      <c r="G138" s="449"/>
      <c r="H138" s="449"/>
      <c r="I138" s="449"/>
      <c r="J138" s="449"/>
      <c r="K138" s="449"/>
      <c r="L138" s="449"/>
      <c r="M138" s="449"/>
      <c r="N138" s="449"/>
      <c r="O138" s="449"/>
      <c r="P138" s="230"/>
      <c r="R138" s="229"/>
      <c r="S138" s="223">
        <f t="shared" si="7"/>
        <v>46053</v>
      </c>
      <c r="T138" s="224">
        <f>IF(U138=0,0,VLOOKUP($B138,BD!$B:$BO,27,FALSE))</f>
        <v>75</v>
      </c>
      <c r="U138" s="224">
        <f>VLOOKUP($B138,BD!$B:$BO,31,FALSE)</f>
        <v>6492</v>
      </c>
      <c r="V138" s="230"/>
      <c r="W138" s="229"/>
      <c r="X138" s="449"/>
      <c r="Y138" s="449"/>
      <c r="Z138" s="449"/>
      <c r="AA138" s="449"/>
      <c r="AB138" s="449"/>
      <c r="AC138" s="449"/>
      <c r="AD138" s="449"/>
      <c r="AE138" s="449"/>
      <c r="AF138" s="449"/>
      <c r="AG138" s="230"/>
      <c r="AI138" s="229"/>
      <c r="AJ138" s="223">
        <f t="shared" si="8"/>
        <v>46053</v>
      </c>
      <c r="AK138" s="224">
        <f>IF(AL138=0,0,VLOOKUP($B138,BD!$B:$BO,32,FALSE))</f>
        <v>20</v>
      </c>
      <c r="AL138" s="224">
        <f>VLOOKUP($B138,BD!$B:$BO,36,FALSE)</f>
        <v>1728</v>
      </c>
      <c r="AM138" s="230"/>
      <c r="AN138" s="229"/>
      <c r="AO138" s="449"/>
      <c r="AP138" s="449"/>
      <c r="AQ138" s="449"/>
      <c r="AR138" s="449"/>
      <c r="AS138" s="449"/>
      <c r="AT138" s="449"/>
      <c r="AU138" s="449"/>
      <c r="AV138" s="449"/>
      <c r="AW138" s="449"/>
      <c r="AX138" s="230"/>
    </row>
    <row r="139" spans="1:50" ht="15" customHeight="1" thickBot="1" x14ac:dyDescent="0.3">
      <c r="A139" s="229"/>
      <c r="B139" s="451" t="s">
        <v>16</v>
      </c>
      <c r="C139" s="451"/>
      <c r="D139" s="225">
        <f>_xlfn.AGGREGATE(9,6,D108:D138)</f>
        <v>959092.09801076003</v>
      </c>
      <c r="E139" s="230"/>
      <c r="F139" s="229"/>
      <c r="G139" s="449"/>
      <c r="H139" s="449"/>
      <c r="I139" s="449"/>
      <c r="J139" s="449"/>
      <c r="K139" s="449"/>
      <c r="L139" s="449"/>
      <c r="M139" s="449"/>
      <c r="N139" s="449"/>
      <c r="O139" s="449"/>
      <c r="P139" s="230"/>
      <c r="R139" s="229"/>
      <c r="S139" s="451" t="s">
        <v>16</v>
      </c>
      <c r="T139" s="451"/>
      <c r="U139" s="225">
        <f>_xlfn.AGGREGATE(9,6,U108:U138)</f>
        <v>185124</v>
      </c>
      <c r="V139" s="230"/>
      <c r="W139" s="229"/>
      <c r="X139" s="449"/>
      <c r="Y139" s="449"/>
      <c r="Z139" s="449"/>
      <c r="AA139" s="449"/>
      <c r="AB139" s="449"/>
      <c r="AC139" s="449"/>
      <c r="AD139" s="449"/>
      <c r="AE139" s="449"/>
      <c r="AF139" s="449"/>
      <c r="AG139" s="230"/>
      <c r="AI139" s="229"/>
      <c r="AJ139" s="451" t="s">
        <v>16</v>
      </c>
      <c r="AK139" s="451"/>
      <c r="AL139" s="225">
        <f>_xlfn.AGGREGATE(9,6,AL108:AL138)</f>
        <v>53568</v>
      </c>
      <c r="AM139" s="230"/>
      <c r="AN139" s="229"/>
      <c r="AO139" s="449"/>
      <c r="AP139" s="449"/>
      <c r="AQ139" s="449"/>
      <c r="AR139" s="449"/>
      <c r="AS139" s="449"/>
      <c r="AT139" s="449"/>
      <c r="AU139" s="449"/>
      <c r="AV139" s="449"/>
      <c r="AW139" s="449"/>
      <c r="AX139" s="230"/>
    </row>
    <row r="140" spans="1:50" ht="15" customHeight="1" thickBot="1" x14ac:dyDescent="0.3">
      <c r="A140" s="229"/>
      <c r="B140" s="451" t="s">
        <v>17</v>
      </c>
      <c r="C140" s="451"/>
      <c r="D140" s="225">
        <f>D139*0.1</f>
        <v>95909.209801076009</v>
      </c>
      <c r="E140" s="230"/>
      <c r="F140" s="229"/>
      <c r="G140" s="449"/>
      <c r="H140" s="449"/>
      <c r="I140" s="449"/>
      <c r="J140" s="449"/>
      <c r="K140" s="449"/>
      <c r="L140" s="449"/>
      <c r="M140" s="449"/>
      <c r="N140" s="449"/>
      <c r="O140" s="449"/>
      <c r="P140" s="230"/>
      <c r="R140" s="229"/>
      <c r="S140" s="451" t="s">
        <v>17</v>
      </c>
      <c r="T140" s="451"/>
      <c r="U140" s="225">
        <f>U139*0.1</f>
        <v>18512.400000000001</v>
      </c>
      <c r="V140" s="230"/>
      <c r="W140" s="229"/>
      <c r="X140" s="449"/>
      <c r="Y140" s="449"/>
      <c r="Z140" s="449"/>
      <c r="AA140" s="449"/>
      <c r="AB140" s="449"/>
      <c r="AC140" s="449"/>
      <c r="AD140" s="449"/>
      <c r="AE140" s="449"/>
      <c r="AF140" s="449"/>
      <c r="AG140" s="230"/>
      <c r="AI140" s="229"/>
      <c r="AJ140" s="451" t="s">
        <v>17</v>
      </c>
      <c r="AK140" s="451"/>
      <c r="AL140" s="225">
        <f>AL139*0.1</f>
        <v>5356.8</v>
      </c>
      <c r="AM140" s="230"/>
      <c r="AN140" s="229"/>
      <c r="AO140" s="449"/>
      <c r="AP140" s="449"/>
      <c r="AQ140" s="449"/>
      <c r="AR140" s="449"/>
      <c r="AS140" s="449"/>
      <c r="AT140" s="449"/>
      <c r="AU140" s="449"/>
      <c r="AV140" s="449"/>
      <c r="AW140" s="449"/>
      <c r="AX140" s="230"/>
    </row>
    <row r="141" spans="1:50" ht="15" customHeight="1" thickBot="1" x14ac:dyDescent="0.3">
      <c r="A141" s="229"/>
      <c r="B141" s="451" t="s">
        <v>575</v>
      </c>
      <c r="C141" s="451"/>
      <c r="D141" s="225">
        <f>D139-D140</f>
        <v>863182.88820968405</v>
      </c>
      <c r="E141" s="230"/>
      <c r="F141" s="229"/>
      <c r="G141" s="449"/>
      <c r="H141" s="449"/>
      <c r="I141" s="449"/>
      <c r="J141" s="449"/>
      <c r="K141" s="449"/>
      <c r="L141" s="449"/>
      <c r="M141" s="449"/>
      <c r="N141" s="449"/>
      <c r="O141" s="449"/>
      <c r="P141" s="230"/>
      <c r="R141" s="229"/>
      <c r="S141" s="451" t="s">
        <v>575</v>
      </c>
      <c r="T141" s="451"/>
      <c r="U141" s="225">
        <f>U139-U140</f>
        <v>166611.6</v>
      </c>
      <c r="V141" s="230"/>
      <c r="W141" s="229"/>
      <c r="X141" s="449"/>
      <c r="Y141" s="449"/>
      <c r="Z141" s="449"/>
      <c r="AA141" s="449"/>
      <c r="AB141" s="449"/>
      <c r="AC141" s="449"/>
      <c r="AD141" s="449"/>
      <c r="AE141" s="449"/>
      <c r="AF141" s="449"/>
      <c r="AG141" s="230"/>
      <c r="AI141" s="229"/>
      <c r="AJ141" s="451" t="s">
        <v>575</v>
      </c>
      <c r="AK141" s="451"/>
      <c r="AL141" s="225">
        <f>AL139-AL140</f>
        <v>48211.199999999997</v>
      </c>
      <c r="AM141" s="230"/>
      <c r="AN141" s="229"/>
      <c r="AO141" s="449"/>
      <c r="AP141" s="449"/>
      <c r="AQ141" s="449"/>
      <c r="AR141" s="449"/>
      <c r="AS141" s="449"/>
      <c r="AT141" s="449"/>
      <c r="AU141" s="449"/>
      <c r="AV141" s="449"/>
      <c r="AW141" s="449"/>
      <c r="AX141" s="230"/>
    </row>
    <row r="142" spans="1:50" ht="15" customHeight="1" thickBot="1" x14ac:dyDescent="0.3">
      <c r="A142" s="231"/>
      <c r="B142" s="232"/>
      <c r="C142" s="232"/>
      <c r="D142" s="232"/>
      <c r="E142" s="233"/>
      <c r="F142" s="231"/>
      <c r="G142" s="450"/>
      <c r="H142" s="450"/>
      <c r="I142" s="450"/>
      <c r="J142" s="450"/>
      <c r="K142" s="450"/>
      <c r="L142" s="450"/>
      <c r="M142" s="450"/>
      <c r="N142" s="450"/>
      <c r="O142" s="450"/>
      <c r="P142" s="233"/>
      <c r="R142" s="231"/>
      <c r="S142" s="232"/>
      <c r="T142" s="232"/>
      <c r="U142" s="232"/>
      <c r="V142" s="233"/>
      <c r="W142" s="231"/>
      <c r="X142" s="450"/>
      <c r="Y142" s="450"/>
      <c r="Z142" s="450"/>
      <c r="AA142" s="450"/>
      <c r="AB142" s="450"/>
      <c r="AC142" s="450"/>
      <c r="AD142" s="450"/>
      <c r="AE142" s="450"/>
      <c r="AF142" s="450"/>
      <c r="AG142" s="233"/>
      <c r="AI142" s="231"/>
      <c r="AJ142" s="232"/>
      <c r="AK142" s="232"/>
      <c r="AL142" s="232"/>
      <c r="AM142" s="233"/>
      <c r="AN142" s="231"/>
      <c r="AO142" s="450"/>
      <c r="AP142" s="450"/>
      <c r="AQ142" s="450"/>
      <c r="AR142" s="450"/>
      <c r="AS142" s="450"/>
      <c r="AT142" s="450"/>
      <c r="AU142" s="450"/>
      <c r="AV142" s="450"/>
      <c r="AW142" s="450"/>
      <c r="AX142" s="233"/>
    </row>
  </sheetData>
  <mergeCells count="81">
    <mergeCell ref="B5:C8"/>
    <mergeCell ref="D5:L8"/>
    <mergeCell ref="M5:O8"/>
    <mergeCell ref="B52:C55"/>
    <mergeCell ref="D52:L55"/>
    <mergeCell ref="G31:O48"/>
    <mergeCell ref="B11:D11"/>
    <mergeCell ref="B12:D12"/>
    <mergeCell ref="B45:C45"/>
    <mergeCell ref="B46:C46"/>
    <mergeCell ref="B47:C47"/>
    <mergeCell ref="B105:D105"/>
    <mergeCell ref="B106:D106"/>
    <mergeCell ref="G125:O142"/>
    <mergeCell ref="B139:C139"/>
    <mergeCell ref="B140:C140"/>
    <mergeCell ref="B141:C141"/>
    <mergeCell ref="X31:AF48"/>
    <mergeCell ref="S45:T45"/>
    <mergeCell ref="S46:T46"/>
    <mergeCell ref="S47:T47"/>
    <mergeCell ref="B99:C102"/>
    <mergeCell ref="D99:L102"/>
    <mergeCell ref="M99:O102"/>
    <mergeCell ref="M52:O55"/>
    <mergeCell ref="B58:D58"/>
    <mergeCell ref="B59:D59"/>
    <mergeCell ref="G78:O95"/>
    <mergeCell ref="B92:C92"/>
    <mergeCell ref="B93:C93"/>
    <mergeCell ref="B94:C94"/>
    <mergeCell ref="S5:T8"/>
    <mergeCell ref="U5:AC8"/>
    <mergeCell ref="AD5:AF8"/>
    <mergeCell ref="S11:U11"/>
    <mergeCell ref="S12:U12"/>
    <mergeCell ref="S105:U105"/>
    <mergeCell ref="S106:U106"/>
    <mergeCell ref="X125:AF142"/>
    <mergeCell ref="S139:T139"/>
    <mergeCell ref="S140:T140"/>
    <mergeCell ref="S141:T141"/>
    <mergeCell ref="AO31:AW48"/>
    <mergeCell ref="AJ45:AK45"/>
    <mergeCell ref="AJ46:AK46"/>
    <mergeCell ref="AJ47:AK47"/>
    <mergeCell ref="S99:T102"/>
    <mergeCell ref="U99:AC102"/>
    <mergeCell ref="AD99:AF102"/>
    <mergeCell ref="S52:T55"/>
    <mergeCell ref="U52:AC55"/>
    <mergeCell ref="AD52:AF55"/>
    <mergeCell ref="S58:U58"/>
    <mergeCell ref="S59:U59"/>
    <mergeCell ref="X78:AF95"/>
    <mergeCell ref="S92:T92"/>
    <mergeCell ref="S93:T93"/>
    <mergeCell ref="S94:T94"/>
    <mergeCell ref="AJ5:AK8"/>
    <mergeCell ref="AL5:AT8"/>
    <mergeCell ref="AU5:AW8"/>
    <mergeCell ref="AJ11:AL11"/>
    <mergeCell ref="AJ12:AL12"/>
    <mergeCell ref="AO78:AW95"/>
    <mergeCell ref="AJ92:AK92"/>
    <mergeCell ref="AJ93:AK93"/>
    <mergeCell ref="AJ94:AK94"/>
    <mergeCell ref="AJ99:AK102"/>
    <mergeCell ref="AL99:AT102"/>
    <mergeCell ref="AU99:AW102"/>
    <mergeCell ref="AJ52:AK55"/>
    <mergeCell ref="AL52:AT55"/>
    <mergeCell ref="AU52:AW55"/>
    <mergeCell ref="AJ58:AL58"/>
    <mergeCell ref="AJ59:AL59"/>
    <mergeCell ref="AJ105:AL105"/>
    <mergeCell ref="AJ106:AL106"/>
    <mergeCell ref="AO125:AW142"/>
    <mergeCell ref="AJ139:AK139"/>
    <mergeCell ref="AJ140:AK140"/>
    <mergeCell ref="AJ141:AK141"/>
  </mergeCells>
  <pageMargins left="0.7" right="0.7" top="0.75" bottom="0.75" header="0.3" footer="0.3"/>
  <pageSetup paperSize="9" scale="74"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30A0C-A05B-48EA-BC08-251D59E48BB6}">
  <sheetPr codeName="Hoja17"/>
  <dimension ref="B1:AH20"/>
  <sheetViews>
    <sheetView tabSelected="1" topLeftCell="I1" zoomScale="112" zoomScaleNormal="145" workbookViewId="0">
      <selection activeCell="V24" sqref="V24"/>
    </sheetView>
  </sheetViews>
  <sheetFormatPr baseColWidth="10" defaultRowHeight="15" x14ac:dyDescent="0.25"/>
  <cols>
    <col min="1" max="1" width="0.85546875" customWidth="1"/>
    <col min="2" max="2" width="20" bestFit="1" customWidth="1"/>
    <col min="3" max="3" width="9.85546875" style="239" customWidth="1"/>
    <col min="4" max="11" width="10.28515625" style="239" customWidth="1"/>
    <col min="12" max="14" width="9.85546875" style="239" customWidth="1"/>
    <col min="15" max="15" width="9.85546875" style="239" bestFit="1" customWidth="1"/>
    <col min="16" max="21" width="9.85546875" style="239" customWidth="1"/>
    <col min="22" max="22" width="10.28515625" style="239" bestFit="1" customWidth="1"/>
    <col min="23" max="23" width="9.85546875" style="239" bestFit="1" customWidth="1"/>
    <col min="24" max="32" width="10.28515625" style="239" bestFit="1" customWidth="1"/>
    <col min="33" max="33" width="9.85546875" style="239" bestFit="1" customWidth="1"/>
  </cols>
  <sheetData>
    <row r="1" spans="2:34" ht="15.75" thickBot="1" x14ac:dyDescent="0.3">
      <c r="B1" s="238">
        <v>46113</v>
      </c>
    </row>
    <row r="2" spans="2:34" ht="15.75" thickBot="1" x14ac:dyDescent="0.3">
      <c r="B2" s="480" t="s">
        <v>549</v>
      </c>
      <c r="C2" s="481"/>
      <c r="D2" s="481"/>
      <c r="E2" s="481"/>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2"/>
    </row>
    <row r="3" spans="2:34" x14ac:dyDescent="0.25">
      <c r="B3" s="243" t="s">
        <v>581</v>
      </c>
      <c r="C3" s="241">
        <f>$B$1</f>
        <v>46113</v>
      </c>
      <c r="D3" s="241">
        <f>IF(COLUMN(D3)-COLUMN($C$3)+1 &lt;= DAY(EOMONTH($B$1,0)), C3+1, "")</f>
        <v>46114</v>
      </c>
      <c r="E3" s="241">
        <f t="shared" ref="E3:AG3" si="0">IF(COLUMN(E3)-COLUMN($C$3)+1 &lt;= DAY(EOMONTH($B$1,0)), D3+1, "")</f>
        <v>46115</v>
      </c>
      <c r="F3" s="241">
        <f t="shared" si="0"/>
        <v>46116</v>
      </c>
      <c r="G3" s="241">
        <f t="shared" si="0"/>
        <v>46117</v>
      </c>
      <c r="H3" s="241">
        <f t="shared" si="0"/>
        <v>46118</v>
      </c>
      <c r="I3" s="241">
        <f t="shared" si="0"/>
        <v>46119</v>
      </c>
      <c r="J3" s="241">
        <f t="shared" si="0"/>
        <v>46120</v>
      </c>
      <c r="K3" s="241">
        <f t="shared" si="0"/>
        <v>46121</v>
      </c>
      <c r="L3" s="241">
        <f t="shared" si="0"/>
        <v>46122</v>
      </c>
      <c r="M3" s="241">
        <f t="shared" si="0"/>
        <v>46123</v>
      </c>
      <c r="N3" s="241">
        <f t="shared" si="0"/>
        <v>46124</v>
      </c>
      <c r="O3" s="241">
        <f t="shared" si="0"/>
        <v>46125</v>
      </c>
      <c r="P3" s="241">
        <f t="shared" si="0"/>
        <v>46126</v>
      </c>
      <c r="Q3" s="241">
        <f t="shared" si="0"/>
        <v>46127</v>
      </c>
      <c r="R3" s="241">
        <f t="shared" si="0"/>
        <v>46128</v>
      </c>
      <c r="S3" s="241">
        <f t="shared" si="0"/>
        <v>46129</v>
      </c>
      <c r="T3" s="241">
        <f t="shared" si="0"/>
        <v>46130</v>
      </c>
      <c r="U3" s="241">
        <f t="shared" si="0"/>
        <v>46131</v>
      </c>
      <c r="V3" s="241">
        <f t="shared" si="0"/>
        <v>46132</v>
      </c>
      <c r="W3" s="241">
        <f t="shared" si="0"/>
        <v>46133</v>
      </c>
      <c r="X3" s="241">
        <f t="shared" si="0"/>
        <v>46134</v>
      </c>
      <c r="Y3" s="241">
        <f t="shared" si="0"/>
        <v>46135</v>
      </c>
      <c r="Z3" s="241">
        <f t="shared" si="0"/>
        <v>46136</v>
      </c>
      <c r="AA3" s="241">
        <f t="shared" si="0"/>
        <v>46137</v>
      </c>
      <c r="AB3" s="241">
        <f t="shared" si="0"/>
        <v>46138</v>
      </c>
      <c r="AC3" s="241">
        <f t="shared" si="0"/>
        <v>46139</v>
      </c>
      <c r="AD3" s="241">
        <f t="shared" si="0"/>
        <v>46140</v>
      </c>
      <c r="AE3" s="241">
        <f t="shared" si="0"/>
        <v>46141</v>
      </c>
      <c r="AF3" s="241">
        <f t="shared" si="0"/>
        <v>46142</v>
      </c>
      <c r="AG3" s="241" t="str">
        <f t="shared" si="0"/>
        <v/>
      </c>
    </row>
    <row r="4" spans="2:34" x14ac:dyDescent="0.25">
      <c r="B4" s="244" t="s">
        <v>21</v>
      </c>
      <c r="C4" s="272">
        <f>IFERROR(VLOOKUP(C$3,BD!$B$4:$BO$945,6,FALSE), NA())</f>
        <v>2362</v>
      </c>
      <c r="D4" s="272">
        <f>IFERROR(VLOOKUP(D$3,BD!$B$4:$BO$945,6,FALSE), NA())</f>
        <v>2404</v>
      </c>
      <c r="E4" s="272">
        <f>IFERROR(VLOOKUP(E$3,BD!$B$4:$BO$945,6,FALSE), NA())</f>
        <v>2357</v>
      </c>
      <c r="F4" s="272">
        <f>IFERROR(VLOOKUP(F$3,BD!$B$4:$BO$945,6,FALSE), NA())</f>
        <v>2395</v>
      </c>
      <c r="G4" s="272">
        <f>IFERROR(VLOOKUP(G$3,BD!$B$4:$BO$945,6,FALSE), NA())</f>
        <v>2383</v>
      </c>
      <c r="H4" s="272">
        <f>IFERROR(VLOOKUP(H$3,BD!$B$4:$BO$945,6,FALSE), NA())</f>
        <v>2414</v>
      </c>
      <c r="I4" s="272">
        <f>IFERROR(VLOOKUP(I$3,BD!$B$4:$BO$945,6,FALSE), NA())</f>
        <v>2317</v>
      </c>
      <c r="J4" s="272">
        <f>IFERROR(VLOOKUP(J$3,BD!$B$4:$BO$945,6,FALSE), NA())</f>
        <v>2368</v>
      </c>
      <c r="K4" s="272">
        <f>IFERROR(VLOOKUP(K$3,BD!$B$4:$BO$945,6,FALSE), NA())</f>
        <v>2414</v>
      </c>
      <c r="L4" s="272">
        <f>IFERROR(VLOOKUP(L$3,BD!$B$4:$BO$945,6,FALSE), NA())</f>
        <v>2386</v>
      </c>
      <c r="M4" s="272">
        <f>IFERROR(VLOOKUP(M$3,BD!$B$4:$BO$945,6,FALSE), NA())</f>
        <v>2412</v>
      </c>
      <c r="N4" s="272">
        <f>IFERROR(VLOOKUP(N$3,BD!$B$4:$BO$945,6,FALSE), NA())</f>
        <v>1923</v>
      </c>
      <c r="O4" s="272">
        <f>IFERROR(VLOOKUP(O$3,BD!$B$4:$BO$945,6,FALSE), NA())</f>
        <v>1921</v>
      </c>
      <c r="P4" s="272">
        <f>IFERROR(VLOOKUP(P$3,BD!$B$4:$BO$945,6,FALSE), NA())</f>
        <v>0</v>
      </c>
      <c r="Q4" s="272">
        <f>IFERROR(VLOOKUP(Q$3,BD!$B$4:$BO$945,6,FALSE), NA())</f>
        <v>0</v>
      </c>
      <c r="R4" s="272">
        <f>IFERROR(VLOOKUP(R$3,BD!$B$4:$BO$945,6,FALSE), NA())</f>
        <v>0</v>
      </c>
      <c r="S4" s="272">
        <f>IFERROR(VLOOKUP(S$3,BD!$B$4:$BO$945,6,FALSE), NA())</f>
        <v>0</v>
      </c>
      <c r="T4" s="272">
        <f>IFERROR(VLOOKUP(T$3,BD!$B$4:$BO$945,6,FALSE), NA())</f>
        <v>117</v>
      </c>
      <c r="U4" s="272">
        <f>IFERROR(VLOOKUP(U$3,BD!$B$4:$BO$945,6,FALSE), NA())</f>
        <v>0</v>
      </c>
      <c r="V4" s="272">
        <f>IFERROR(VLOOKUP(V$3,BD!$B$4:$BO$945,6,FALSE), NA())</f>
        <v>0</v>
      </c>
      <c r="W4" s="272">
        <f>IFERROR(VLOOKUP(W$3,BD!$B$4:$BO$945,6,FALSE), NA())</f>
        <v>337</v>
      </c>
      <c r="X4" s="272">
        <f>IFERROR(VLOOKUP(X$3,BD!$B$4:$BO$945,6,FALSE), NA())</f>
        <v>2307</v>
      </c>
      <c r="Y4" s="272">
        <f>IFERROR(VLOOKUP(Y$3,BD!$B$4:$BO$945,6,FALSE), NA())</f>
        <v>2444</v>
      </c>
      <c r="Z4" s="272">
        <f>IFERROR(VLOOKUP(Z$3,BD!$B$4:$BO$945,6,FALSE), NA())</f>
        <v>2427</v>
      </c>
      <c r="AA4" s="272">
        <f>IFERROR(VLOOKUP(AA$3,BD!$B$4:$BO$945,6,FALSE), NA())</f>
        <v>1991</v>
      </c>
      <c r="AB4" s="272">
        <f>IFERROR(VLOOKUP(AB$3,BD!$B$4:$BO$945,6,FALSE), NA())</f>
        <v>2405</v>
      </c>
      <c r="AC4" s="272" t="str">
        <f>IFERROR(VLOOKUP(AC$3,BD!$B$4:$BO$945,6,FALSE), NA())</f>
        <v xml:space="preserve"> </v>
      </c>
      <c r="AD4" s="272" t="str">
        <f>IFERROR(VLOOKUP(AD$3,BD!$B$4:$BO$945,6,FALSE), NA())</f>
        <v xml:space="preserve"> </v>
      </c>
      <c r="AE4" s="272" t="str">
        <f>IFERROR(VLOOKUP(AE$3,BD!$B$4:$BO$945,6,FALSE), NA())</f>
        <v xml:space="preserve"> </v>
      </c>
      <c r="AF4" s="272" t="str">
        <f>IFERROR(VLOOKUP(AF$3,BD!$B$4:$BO$945,6,FALSE), NA())</f>
        <v xml:space="preserve"> </v>
      </c>
      <c r="AG4" s="280" t="e">
        <f>IFERROR(VLOOKUP(AG$3,BD!$B$4:$BO$945,6,FALSE), NA())</f>
        <v>#N/A</v>
      </c>
      <c r="AH4" t="e">
        <f>SUM(C4:AG4)</f>
        <v>#N/A</v>
      </c>
    </row>
    <row r="5" spans="2:34" x14ac:dyDescent="0.25">
      <c r="B5" s="244" t="s">
        <v>22</v>
      </c>
      <c r="C5" s="272">
        <f>IFERROR(VLOOKUP(C$3,BD!$B$4:$BO$945,11,FALSE), NA())</f>
        <v>0</v>
      </c>
      <c r="D5" s="272">
        <f>IFERROR(VLOOKUP(D$3,BD!$B$4:$BO$945,11,FALSE), NA())</f>
        <v>0</v>
      </c>
      <c r="E5" s="272">
        <f>IFERROR(VLOOKUP(E$3,BD!$B$4:$BO$945,11,FALSE), NA())</f>
        <v>0</v>
      </c>
      <c r="F5" s="272">
        <f>IFERROR(VLOOKUP(F$3,BD!$B$4:$BO$945,11,FALSE), NA())</f>
        <v>0</v>
      </c>
      <c r="G5" s="272">
        <f>IFERROR(VLOOKUP(G$3,BD!$B$4:$BO$945,11,FALSE), NA())</f>
        <v>0</v>
      </c>
      <c r="H5" s="272">
        <f>IFERROR(VLOOKUP(H$3,BD!$B$4:$BO$945,11,FALSE), NA())</f>
        <v>0</v>
      </c>
      <c r="I5" s="272">
        <f>IFERROR(VLOOKUP(I$3,BD!$B$4:$BO$945,11,FALSE), NA())</f>
        <v>0</v>
      </c>
      <c r="J5" s="272">
        <f>IFERROR(VLOOKUP(J$3,BD!$B$4:$BO$945,11,FALSE), NA())</f>
        <v>0</v>
      </c>
      <c r="K5" s="272">
        <f>IFERROR(VLOOKUP(K$3,BD!$B$4:$BO$945,11,FALSE), NA())</f>
        <v>0</v>
      </c>
      <c r="L5" s="272">
        <f>IFERROR(VLOOKUP(L$3,BD!$B$4:$BO$945,11,FALSE), NA())</f>
        <v>0</v>
      </c>
      <c r="M5" s="272">
        <f>IFERROR(VLOOKUP(M$3,BD!$B$4:$BO$945,11,FALSE), NA())</f>
        <v>0</v>
      </c>
      <c r="N5" s="272">
        <f>IFERROR(VLOOKUP(N$3,BD!$B$4:$BO$945,11,FALSE), NA())</f>
        <v>0</v>
      </c>
      <c r="O5" s="272">
        <f>IFERROR(VLOOKUP(O$3,BD!$B$4:$BO$945,11,FALSE), NA())</f>
        <v>0</v>
      </c>
      <c r="P5" s="272">
        <f>IFERROR(VLOOKUP(P$3,BD!$B$4:$BO$945,11,FALSE), NA())</f>
        <v>0</v>
      </c>
      <c r="Q5" s="272">
        <f>IFERROR(VLOOKUP(Q$3,BD!$B$4:$BO$945,11,FALSE), NA())</f>
        <v>0</v>
      </c>
      <c r="R5" s="272">
        <f>IFERROR(VLOOKUP(R$3,BD!$B$4:$BO$945,11,FALSE), NA())</f>
        <v>0</v>
      </c>
      <c r="S5" s="272">
        <f>IFERROR(VLOOKUP(S$3,BD!$B$4:$BO$945,11,FALSE), NA())</f>
        <v>0</v>
      </c>
      <c r="T5" s="272">
        <f>IFERROR(VLOOKUP(T$3,BD!$B$4:$BO$945,11,FALSE), NA())</f>
        <v>0</v>
      </c>
      <c r="U5" s="272">
        <f>IFERROR(VLOOKUP(U$3,BD!$B$4:$BO$945,11,FALSE), NA())</f>
        <v>0</v>
      </c>
      <c r="V5" s="272">
        <f>IFERROR(VLOOKUP(V$3,BD!$B$4:$BO$945,11,FALSE), NA())</f>
        <v>0</v>
      </c>
      <c r="W5" s="272">
        <f>IFERROR(VLOOKUP(W$3,BD!$B$4:$BO$945,11,FALSE), NA())</f>
        <v>0</v>
      </c>
      <c r="X5" s="272">
        <f>IFERROR(VLOOKUP(X$3,BD!$B$4:$BO$945,11,FALSE), NA())</f>
        <v>0</v>
      </c>
      <c r="Y5" s="272">
        <f>IFERROR(VLOOKUP(Y$3,BD!$B$4:$BO$945,11,FALSE), NA())</f>
        <v>0</v>
      </c>
      <c r="Z5" s="272">
        <f>IFERROR(VLOOKUP(Z$3,BD!$B$4:$BO$945,11,FALSE), NA())</f>
        <v>0</v>
      </c>
      <c r="AA5" s="272">
        <f>IFERROR(VLOOKUP(AA$3,BD!$B$4:$BO$945,11,FALSE), NA())</f>
        <v>0</v>
      </c>
      <c r="AB5" s="272">
        <f>IFERROR(VLOOKUP(AB$3,BD!$B$4:$BO$945,11,FALSE), NA())</f>
        <v>0</v>
      </c>
      <c r="AC5" s="272" t="str">
        <f>IFERROR(VLOOKUP(AC$3,BD!$B$4:$BO$945,11,FALSE), NA())</f>
        <v xml:space="preserve"> </v>
      </c>
      <c r="AD5" s="272" t="str">
        <f>IFERROR(VLOOKUP(AD$3,BD!$B$4:$BO$945,11,FALSE), NA())</f>
        <v xml:space="preserve"> </v>
      </c>
      <c r="AE5" s="272" t="str">
        <f>IFERROR(VLOOKUP(AE$3,BD!$B$4:$BO$945,11,FALSE), NA())</f>
        <v xml:space="preserve"> </v>
      </c>
      <c r="AF5" s="272" t="str">
        <f>IFERROR(VLOOKUP(AF$3,BD!$B$4:$BO$945,11,FALSE), NA())</f>
        <v xml:space="preserve"> </v>
      </c>
      <c r="AG5" s="280" t="e">
        <f>IFERROR(VLOOKUP(AG$3,BD!$B$4:$BO$945,11,FALSE), NA())</f>
        <v>#N/A</v>
      </c>
      <c r="AH5" t="e">
        <f t="shared" ref="AH5:AH12" si="1">SUM(C5:AG5)</f>
        <v>#N/A</v>
      </c>
    </row>
    <row r="6" spans="2:34" x14ac:dyDescent="0.25">
      <c r="B6" s="244" t="s">
        <v>23</v>
      </c>
      <c r="C6" s="272">
        <f>IFERROR(VLOOKUP(C$3,BD!$B$4:$BO$945,16,FALSE), NA())</f>
        <v>0</v>
      </c>
      <c r="D6" s="272">
        <f>IFERROR(VLOOKUP(D$3,BD!$B$4:$BO$945,16,FALSE), NA())</f>
        <v>0</v>
      </c>
      <c r="E6" s="272">
        <f>IFERROR(VLOOKUP(E$3,BD!$B$4:$BO$945,16,FALSE), NA())</f>
        <v>0</v>
      </c>
      <c r="F6" s="272">
        <f>IFERROR(VLOOKUP(F$3,BD!$B$4:$BO$945,16,FALSE), NA())</f>
        <v>0</v>
      </c>
      <c r="G6" s="272">
        <f>IFERROR(VLOOKUP(G$3,BD!$B$4:$BO$945,16,FALSE), NA())</f>
        <v>0</v>
      </c>
      <c r="H6" s="272">
        <f>IFERROR(VLOOKUP(H$3,BD!$B$4:$BO$945,16,FALSE), NA())</f>
        <v>0</v>
      </c>
      <c r="I6" s="272">
        <f>IFERROR(VLOOKUP(I$3,BD!$B$4:$BO$945,16,FALSE), NA())</f>
        <v>0</v>
      </c>
      <c r="J6" s="272">
        <f>IFERROR(VLOOKUP(J$3,BD!$B$4:$BO$945,16,FALSE), NA())</f>
        <v>0</v>
      </c>
      <c r="K6" s="272">
        <f>IFERROR(VLOOKUP(K$3,BD!$B$4:$BO$945,16,FALSE), NA())</f>
        <v>0</v>
      </c>
      <c r="L6" s="272">
        <f>IFERROR(VLOOKUP(L$3,BD!$B$4:$BO$945,16,FALSE), NA())</f>
        <v>0</v>
      </c>
      <c r="M6" s="272">
        <f>IFERROR(VLOOKUP(M$3,BD!$B$4:$BO$945,16,FALSE), NA())</f>
        <v>0</v>
      </c>
      <c r="N6" s="272">
        <f>IFERROR(VLOOKUP(N$3,BD!$B$4:$BO$945,16,FALSE), NA())</f>
        <v>0</v>
      </c>
      <c r="O6" s="272">
        <f>IFERROR(VLOOKUP(O$3,BD!$B$4:$BO$945,16,FALSE), NA())</f>
        <v>0</v>
      </c>
      <c r="P6" s="272">
        <f>IFERROR(VLOOKUP(P$3,BD!$B$4:$BO$945,16,FALSE), NA())</f>
        <v>0</v>
      </c>
      <c r="Q6" s="272">
        <f>IFERROR(VLOOKUP(Q$3,BD!$B$4:$BO$945,16,FALSE), NA())</f>
        <v>0</v>
      </c>
      <c r="R6" s="272">
        <f>IFERROR(VLOOKUP(R$3,BD!$B$4:$BO$945,16,FALSE), NA())</f>
        <v>0</v>
      </c>
      <c r="S6" s="272">
        <f>IFERROR(VLOOKUP(S$3,BD!$B$4:$BO$945,16,FALSE), NA())</f>
        <v>0</v>
      </c>
      <c r="T6" s="272">
        <f>IFERROR(VLOOKUP(T$3,BD!$B$4:$BO$945,16,FALSE), NA())</f>
        <v>0</v>
      </c>
      <c r="U6" s="272">
        <f>IFERROR(VLOOKUP(U$3,BD!$B$4:$BO$945,16,FALSE), NA())</f>
        <v>0</v>
      </c>
      <c r="V6" s="272">
        <f>IFERROR(VLOOKUP(V$3,BD!$B$4:$BO$945,16,FALSE), NA())</f>
        <v>0</v>
      </c>
      <c r="W6" s="272">
        <f>IFERROR(VLOOKUP(W$3,BD!$B$4:$BO$945,16,FALSE), NA())</f>
        <v>0</v>
      </c>
      <c r="X6" s="272">
        <f>IFERROR(VLOOKUP(X$3,BD!$B$4:$BO$945,16,FALSE), NA())</f>
        <v>0</v>
      </c>
      <c r="Y6" s="272">
        <f>IFERROR(VLOOKUP(Y$3,BD!$B$4:$BO$945,16,FALSE), NA())</f>
        <v>0</v>
      </c>
      <c r="Z6" s="272">
        <f>IFERROR(VLOOKUP(Z$3,BD!$B$4:$BO$945,16,FALSE), NA())</f>
        <v>0</v>
      </c>
      <c r="AA6" s="272">
        <f>IFERROR(VLOOKUP(AA$3,BD!$B$4:$BO$945,16,FALSE), NA())</f>
        <v>0</v>
      </c>
      <c r="AB6" s="272">
        <f>IFERROR(VLOOKUP(AB$3,BD!$B$4:$BO$945,16,FALSE), NA())</f>
        <v>0</v>
      </c>
      <c r="AC6" s="272" t="str">
        <f>IFERROR(VLOOKUP(AC$3,BD!$B$4:$BO$945,16,FALSE), NA())</f>
        <v xml:space="preserve"> </v>
      </c>
      <c r="AD6" s="272" t="str">
        <f>IFERROR(VLOOKUP(AD$3,BD!$B$4:$BO$945,16,FALSE), NA())</f>
        <v xml:space="preserve"> </v>
      </c>
      <c r="AE6" s="272" t="str">
        <f>IFERROR(VLOOKUP(AE$3,BD!$B$4:$BO$945,16,FALSE), NA())</f>
        <v xml:space="preserve"> </v>
      </c>
      <c r="AF6" s="272" t="str">
        <f>IFERROR(VLOOKUP(AF$3,BD!$B$4:$BO$945,16,FALSE), NA())</f>
        <v xml:space="preserve"> </v>
      </c>
      <c r="AG6" s="280" t="e">
        <f>IFERROR(VLOOKUP(AG$3,BD!$B$4:$BO$945,16,FALSE), NA())</f>
        <v>#N/A</v>
      </c>
      <c r="AH6" t="e">
        <f t="shared" si="1"/>
        <v>#N/A</v>
      </c>
    </row>
    <row r="7" spans="2:34" x14ac:dyDescent="0.25">
      <c r="B7" s="244" t="s">
        <v>9</v>
      </c>
      <c r="C7" s="272">
        <f>IFERROR(VLOOKUP(C$3,BD!$B$4:$BO$945,21,FALSE), NA())</f>
        <v>1771</v>
      </c>
      <c r="D7" s="272">
        <f>IFERROR(VLOOKUP(D$3,BD!$B$4:$BO$945,21,FALSE), NA())</f>
        <v>1686</v>
      </c>
      <c r="E7" s="272">
        <f>IFERROR(VLOOKUP(E$3,BD!$B$4:$BO$945,21,FALSE), NA())</f>
        <v>0</v>
      </c>
      <c r="F7" s="272">
        <f>IFERROR(VLOOKUP(F$3,BD!$B$4:$BO$945,21,FALSE), NA())</f>
        <v>0</v>
      </c>
      <c r="G7" s="272">
        <f>IFERROR(VLOOKUP(G$3,BD!$B$4:$BO$945,21,FALSE), NA())</f>
        <v>0</v>
      </c>
      <c r="H7" s="272">
        <f>IFERROR(VLOOKUP(H$3,BD!$B$4:$BO$945,21,FALSE), NA())</f>
        <v>2577</v>
      </c>
      <c r="I7" s="272">
        <f>IFERROR(VLOOKUP(I$3,BD!$B$4:$BO$945,21,FALSE), NA())</f>
        <v>795</v>
      </c>
      <c r="J7" s="272">
        <f>IFERROR(VLOOKUP(J$3,BD!$B$4:$BO$945,21,FALSE), NA())</f>
        <v>37</v>
      </c>
      <c r="K7" s="272">
        <f>IFERROR(VLOOKUP(K$3,BD!$B$4:$BO$945,21,FALSE), NA())</f>
        <v>0</v>
      </c>
      <c r="L7" s="272">
        <f>IFERROR(VLOOKUP(L$3,BD!$B$4:$BO$945,21,FALSE), NA())</f>
        <v>0</v>
      </c>
      <c r="M7" s="272">
        <f>IFERROR(VLOOKUP(M$3,BD!$B$4:$BO$945,21,FALSE), NA())</f>
        <v>0</v>
      </c>
      <c r="N7" s="272">
        <f>IFERROR(VLOOKUP(N$3,BD!$B$4:$BO$945,21,FALSE), NA())</f>
        <v>0</v>
      </c>
      <c r="O7" s="272">
        <f>IFERROR(VLOOKUP(O$3,BD!$B$4:$BO$945,21,FALSE), NA())</f>
        <v>406</v>
      </c>
      <c r="P7" s="272">
        <f>IFERROR(VLOOKUP(P$3,BD!$B$4:$BO$945,21,FALSE), NA())</f>
        <v>0</v>
      </c>
      <c r="Q7" s="272">
        <f>IFERROR(VLOOKUP(Q$3,BD!$B$4:$BO$945,21,FALSE), NA())</f>
        <v>100</v>
      </c>
      <c r="R7" s="272">
        <f>IFERROR(VLOOKUP(R$3,BD!$B$4:$BO$945,21,FALSE), NA())</f>
        <v>0</v>
      </c>
      <c r="S7" s="272">
        <f>IFERROR(VLOOKUP(S$3,BD!$B$4:$BO$945,21,FALSE), NA())</f>
        <v>53</v>
      </c>
      <c r="T7" s="272">
        <f>IFERROR(VLOOKUP(T$3,BD!$B$4:$BO$945,21,FALSE), NA())</f>
        <v>0</v>
      </c>
      <c r="U7" s="272">
        <f>IFERROR(VLOOKUP(U$3,BD!$B$4:$BO$945,21,FALSE), NA())</f>
        <v>0</v>
      </c>
      <c r="V7" s="272">
        <f>IFERROR(VLOOKUP(V$3,BD!$B$4:$BO$945,21,FALSE), NA())</f>
        <v>0</v>
      </c>
      <c r="W7" s="272">
        <f>IFERROR(VLOOKUP(W$3,BD!$B$4:$BO$945,21,FALSE), NA())</f>
        <v>1167</v>
      </c>
      <c r="X7" s="272">
        <f>IFERROR(VLOOKUP(X$3,BD!$B$4:$BO$945,21,FALSE), NA())</f>
        <v>812</v>
      </c>
      <c r="Y7" s="272">
        <f>IFERROR(VLOOKUP(Y$3,BD!$B$4:$BO$945,21,FALSE), NA())</f>
        <v>386</v>
      </c>
      <c r="Z7" s="272">
        <f>IFERROR(VLOOKUP(Z$3,BD!$B$4:$BO$945,21,FALSE), NA())</f>
        <v>0</v>
      </c>
      <c r="AA7" s="272">
        <f>IFERROR(VLOOKUP(AA$3,BD!$B$4:$BO$945,21,FALSE), NA())</f>
        <v>0</v>
      </c>
      <c r="AB7" s="272">
        <f>IFERROR(VLOOKUP(AB$3,BD!$B$4:$BO$945,21,FALSE), NA())</f>
        <v>0</v>
      </c>
      <c r="AC7" s="272" t="str">
        <f>IFERROR(VLOOKUP(AC$3,BD!$B$4:$BO$945,21,FALSE), NA())</f>
        <v xml:space="preserve"> </v>
      </c>
      <c r="AD7" s="272" t="str">
        <f>IFERROR(VLOOKUP(AD$3,BD!$B$4:$BO$945,21,FALSE), NA())</f>
        <v xml:space="preserve"> </v>
      </c>
      <c r="AE7" s="272" t="str">
        <f>IFERROR(VLOOKUP(AE$3,BD!$B$4:$BO$945,21,FALSE), NA())</f>
        <v xml:space="preserve"> </v>
      </c>
      <c r="AF7" s="272" t="str">
        <f>IFERROR(VLOOKUP(AF$3,BD!$B$4:$BO$945,21,FALSE), NA())</f>
        <v xml:space="preserve"> </v>
      </c>
      <c r="AG7" s="280" t="e">
        <f>IFERROR(VLOOKUP(AG$3,BD!$B$4:$BO$945,21,FALSE), NA())</f>
        <v>#N/A</v>
      </c>
      <c r="AH7" t="e">
        <f t="shared" si="1"/>
        <v>#N/A</v>
      </c>
    </row>
    <row r="8" spans="2:34" x14ac:dyDescent="0.25">
      <c r="B8" s="244" t="s">
        <v>550</v>
      </c>
      <c r="C8" s="272">
        <f>IFERROR(VLOOKUP(C$3,BD!$B$4:$BO$945,26,FALSE), NA())</f>
        <v>32194</v>
      </c>
      <c r="D8" s="272">
        <f>IFERROR(VLOOKUP(D$3,BD!$B$4:$BO$945,26,FALSE), NA())</f>
        <v>32342.416666666511</v>
      </c>
      <c r="E8" s="272">
        <f>IFERROR(VLOOKUP(E$3,BD!$B$4:$BO$945,26,FALSE), NA())</f>
        <v>39237.583333333489</v>
      </c>
      <c r="F8" s="272">
        <f>IFERROR(VLOOKUP(F$3,BD!$B$4:$BO$945,26,FALSE), NA())</f>
        <v>38377</v>
      </c>
      <c r="G8" s="272">
        <f>IFERROR(VLOOKUP(G$3,BD!$B$4:$BO$945,26,FALSE), NA())</f>
        <v>39130</v>
      </c>
      <c r="H8" s="272">
        <f>IFERROR(VLOOKUP(H$3,BD!$B$4:$BO$945,26,FALSE), NA())</f>
        <v>36328</v>
      </c>
      <c r="I8" s="272">
        <f>IFERROR(VLOOKUP(I$3,BD!$B$4:$BO$945,26,FALSE), NA())</f>
        <v>38224</v>
      </c>
      <c r="J8" s="272">
        <f>IFERROR(VLOOKUP(J$3,BD!$B$4:$BO$945,26,FALSE), NA())</f>
        <v>37257.200000000186</v>
      </c>
      <c r="K8" s="272">
        <f>IFERROR(VLOOKUP(K$3,BD!$B$4:$BO$945,26,FALSE), NA())</f>
        <v>38559.599999999627</v>
      </c>
      <c r="L8" s="272">
        <f>IFERROR(VLOOKUP(L$3,BD!$B$4:$BO$945,26,FALSE), NA())</f>
        <v>40308.170182680245</v>
      </c>
      <c r="M8" s="272">
        <f>IFERROR(VLOOKUP(M$3,BD!$B$4:$BO$369,26,FALSE), NA())</f>
        <v>40839.029817319941</v>
      </c>
      <c r="N8" s="272">
        <f>IFERROR(VLOOKUP(N$3,BD!$B$4:$BO$369,26,FALSE), NA())</f>
        <v>40314.200000000186</v>
      </c>
      <c r="O8" s="272">
        <f>IFERROR(VLOOKUP(O$3,BD!$B$4:$BO$945,26,FALSE), NA())</f>
        <v>40549.068242359906</v>
      </c>
      <c r="P8" s="272">
        <f>IFERROR(VLOOKUP(P$3,BD!$B$4:$BO$945,26,FALSE), NA())</f>
        <v>40671.033406639937</v>
      </c>
      <c r="Q8" s="272">
        <f>IFERROR(VLOOKUP(Q$3,BD!$B$4:$BO$945,26,FALSE), NA())</f>
        <v>40369.69835099997</v>
      </c>
      <c r="R8" s="272">
        <f>IFERROR(VLOOKUP(R$3,BD!$B$4:$BO$945,26,FALSE), NA())</f>
        <v>40105.959999999963</v>
      </c>
      <c r="S8" s="272">
        <f>IFERROR(VLOOKUP(S$3,BD!$B$4:$BO$945,26,FALSE), NA())</f>
        <v>41304.860152560286</v>
      </c>
      <c r="T8" s="272">
        <f>IFERROR(VLOOKUP(T$3,BD!$B$4:$BO$945,26,FALSE), NA())</f>
        <v>40924.275455319323</v>
      </c>
      <c r="U8" s="272">
        <f>IFERROR(VLOOKUP(U$3,BD!$B$4:$BO$945,26,FALSE), NA())</f>
        <v>40392.421484200284</v>
      </c>
      <c r="V8" s="272">
        <f>IFERROR(VLOOKUP(V$3,BD!$B$4:$BO$945,26,FALSE), NA())</f>
        <v>41714.482907920144</v>
      </c>
      <c r="W8" s="272">
        <f>IFERROR(VLOOKUP(W$3,BD!$B$4:$BO$945,26,FALSE), NA())</f>
        <v>39349</v>
      </c>
      <c r="X8" s="272">
        <f>IFERROR(VLOOKUP(X$3,BD!$B$4:$BO$945,26,FALSE), NA())</f>
        <v>40870</v>
      </c>
      <c r="Y8" s="272">
        <f>IFERROR(VLOOKUP(Y$3,BD!$B$4:$BO$945,26,FALSE), NA())</f>
        <v>40778.94299999997</v>
      </c>
      <c r="Z8" s="272">
        <f>IFERROR(VLOOKUP(Z$3,BD!$B$4:$BO$945,26,FALSE), NA())</f>
        <v>41045.05700000003</v>
      </c>
      <c r="AA8" s="272">
        <f>IFERROR(VLOOKUP(AA$3,BD!$B$4:$BO$945,26,FALSE), NA())</f>
        <v>41071.599999999627</v>
      </c>
      <c r="AB8" s="272">
        <f>IFERROR(VLOOKUP(AB$3,BD!$B$4:$BO$945,26,FALSE), NA())</f>
        <v>39189.400000000373</v>
      </c>
      <c r="AC8" s="272" t="str">
        <f>IFERROR(VLOOKUP(AC$3,BD!$B$4:$BO$945,26,FALSE), NA())</f>
        <v xml:space="preserve"> </v>
      </c>
      <c r="AD8" s="272" t="str">
        <f>IFERROR(VLOOKUP(AD$3,BD!$B$4:$BO$945,26,FALSE), NA())</f>
        <v xml:space="preserve"> </v>
      </c>
      <c r="AE8" s="272" t="str">
        <f>IFERROR(VLOOKUP(AE$3,BD!$B$4:$BO$945,26,FALSE), NA())</f>
        <v xml:space="preserve"> </v>
      </c>
      <c r="AF8" s="272" t="str">
        <f>IFERROR(VLOOKUP(AF$3,BD!$B$4:$BO$945,26,FALSE), NA())</f>
        <v xml:space="preserve"> </v>
      </c>
      <c r="AG8" s="280" t="e">
        <f>IFERROR(VLOOKUP(AG$3,BD!$B$4:$BO$945,26,FALSE), NA())</f>
        <v>#N/A</v>
      </c>
      <c r="AH8" t="e">
        <f t="shared" si="1"/>
        <v>#N/A</v>
      </c>
    </row>
    <row r="9" spans="2:34" x14ac:dyDescent="0.25">
      <c r="B9" s="244" t="s">
        <v>25</v>
      </c>
      <c r="C9" s="272">
        <f>IFERROR(VLOOKUP(C$3,BD!$B$4:$BO$945,31,FALSE), NA())</f>
        <v>5382</v>
      </c>
      <c r="D9" s="272">
        <f>IFERROR(VLOOKUP(D$3,BD!$B$4:$BO$945,31,FALSE), NA())</f>
        <v>3910</v>
      </c>
      <c r="E9" s="272">
        <f>IFERROR(VLOOKUP(E$3,BD!$B$4:$BO$945,31,FALSE), NA())</f>
        <v>4550</v>
      </c>
      <c r="F9" s="272">
        <f>IFERROR(VLOOKUP(F$3,BD!$B$4:$BO$945,31,FALSE), NA())</f>
        <v>94</v>
      </c>
      <c r="G9" s="272">
        <f>IFERROR(VLOOKUP(G$3,BD!$B$4:$BO$945,31,FALSE), NA())</f>
        <v>87</v>
      </c>
      <c r="H9" s="272">
        <f>IFERROR(VLOOKUP(H$3,BD!$B$4:$BO$945,31,FALSE), NA())</f>
        <v>1238</v>
      </c>
      <c r="I9" s="272">
        <f>IFERROR(VLOOKUP(I$3,BD!$B$4:$BO$945,31,FALSE), NA())</f>
        <v>5362.4000000003725</v>
      </c>
      <c r="J9" s="272">
        <f>IFERROR(VLOOKUP(J$3,BD!$B$4:$BO$945,31,FALSE), NA())</f>
        <v>5609.5999999996275</v>
      </c>
      <c r="K9" s="272">
        <f>IFERROR(VLOOKUP(K$3,BD!$B$4:$BO$945,31,FALSE), NA())</f>
        <v>5891</v>
      </c>
      <c r="L9" s="272">
        <f>IFERROR(VLOOKUP(L$3,BD!$B$4:$BO$945,31,FALSE), NA())</f>
        <v>6115</v>
      </c>
      <c r="M9" s="272">
        <f>IFERROR(VLOOKUP(M$3,BD!$B$4:$BO$945,31,FALSE), NA())</f>
        <v>5399</v>
      </c>
      <c r="N9" s="272">
        <f>IFERROR(VLOOKUP(N$3,BD!$B$4:$BO$945,31,FALSE), NA())</f>
        <v>6099</v>
      </c>
      <c r="O9" s="272">
        <f>IFERROR(VLOOKUP(O$3,BD!$B$4:$BO$945,31,FALSE), NA())</f>
        <v>5389</v>
      </c>
      <c r="P9" s="272">
        <f>IFERROR(VLOOKUP(P$3,BD!$B$4:$BO$945,31,FALSE), NA())</f>
        <v>5394</v>
      </c>
      <c r="Q9" s="272">
        <f>IFERROR(VLOOKUP(Q$3,BD!$B$4:$BO$945,31,FALSE), NA())</f>
        <v>5637</v>
      </c>
      <c r="R9" s="272">
        <f>IFERROR(VLOOKUP(R$3,BD!$B$4:$BO$945,31,FALSE), NA())</f>
        <v>5415</v>
      </c>
      <c r="S9" s="272">
        <f>IFERROR(VLOOKUP(S$3,BD!$B$4:$BO$945,31,FALSE), NA())</f>
        <v>5712</v>
      </c>
      <c r="T9" s="272">
        <f>IFERROR(VLOOKUP(T$3,BD!$B$4:$BO$945,31,FALSE), NA())</f>
        <v>5456</v>
      </c>
      <c r="U9" s="272">
        <f>IFERROR(VLOOKUP(U$3,BD!$B$4:$BO$945,31,FALSE), NA())</f>
        <v>5624</v>
      </c>
      <c r="V9" s="272">
        <f>IFERROR(VLOOKUP(V$3,BD!$B$4:$BO$945,31,FALSE), NA())</f>
        <v>5599</v>
      </c>
      <c r="W9" s="272">
        <f>IFERROR(VLOOKUP(W$3,BD!$B$4:$BO$945,31,FALSE), NA())</f>
        <v>4681</v>
      </c>
      <c r="X9" s="272">
        <f>IFERROR(VLOOKUP(X$3,BD!$B$4:$BO$945,31,FALSE), NA())</f>
        <v>5837</v>
      </c>
      <c r="Y9" s="272">
        <f>IFERROR(VLOOKUP(Y$3,BD!$B$4:$BO$945,31,FALSE), NA())</f>
        <v>6605</v>
      </c>
      <c r="Z9" s="272">
        <f>IFERROR(VLOOKUP(Z$3,BD!$B$4:$BO$945,31,FALSE), NA())</f>
        <v>6897</v>
      </c>
      <c r="AA9" s="272">
        <f>IFERROR(VLOOKUP(AA$3,BD!$B$4:$BO$945,31,FALSE), NA())</f>
        <v>5616</v>
      </c>
      <c r="AB9" s="272">
        <f>IFERROR(VLOOKUP(AB$3,BD!$B$4:$BO$945,31,FALSE), NA())</f>
        <v>6478</v>
      </c>
      <c r="AC9" s="272" t="str">
        <f>IFERROR(VLOOKUP(AC$3,BD!$B$4:$BO$945,31,FALSE), NA())</f>
        <v xml:space="preserve"> </v>
      </c>
      <c r="AD9" s="272" t="str">
        <f>IFERROR(VLOOKUP(AD$3,BD!$B$4:$BO$945,31,FALSE), NA())</f>
        <v xml:space="preserve"> </v>
      </c>
      <c r="AE9" s="272" t="str">
        <f>IFERROR(VLOOKUP(AE$3,BD!$B$4:$BO$945,31,FALSE), NA())</f>
        <v xml:space="preserve"> </v>
      </c>
      <c r="AF9" s="272" t="str">
        <f>IFERROR(VLOOKUP(AF$3,BD!$B$4:$BO$945,31,FALSE), NA())</f>
        <v xml:space="preserve"> </v>
      </c>
      <c r="AG9" s="280" t="e">
        <f>IFERROR(VLOOKUP(AG$3,BD!$B$4:$BO$945,31,FALSE), NA())</f>
        <v>#N/A</v>
      </c>
      <c r="AH9" t="e">
        <f t="shared" si="1"/>
        <v>#N/A</v>
      </c>
    </row>
    <row r="10" spans="2:34" x14ac:dyDescent="0.25">
      <c r="B10" s="244" t="s">
        <v>551</v>
      </c>
      <c r="C10" s="272">
        <f>IFERROR(VLOOKUP(C$3,BD!$B$4:$BO$945,36,FALSE), NA())</f>
        <v>3456</v>
      </c>
      <c r="D10" s="272">
        <f>IFERROR(VLOOKUP(D$3,BD!$B$4:$BO$945,36,FALSE), NA())</f>
        <v>3456</v>
      </c>
      <c r="E10" s="272">
        <f>IFERROR(VLOOKUP(E$3,BD!$B$4:$BO$945,36,FALSE), NA())</f>
        <v>3456</v>
      </c>
      <c r="F10" s="272">
        <f>IFERROR(VLOOKUP(F$3,BD!$B$4:$BO$945,36,FALSE), NA())</f>
        <v>3456</v>
      </c>
      <c r="G10" s="272">
        <f>IFERROR(VLOOKUP(G$3,BD!$B$4:$BO$945,36,FALSE), NA())</f>
        <v>3456</v>
      </c>
      <c r="H10" s="272">
        <f>IFERROR(VLOOKUP(H$3,BD!$B$4:$BO$945,36,FALSE), NA())</f>
        <v>3456</v>
      </c>
      <c r="I10" s="272">
        <f>IFERROR(VLOOKUP(I$3,BD!$B$4:$BO$945,36,FALSE), NA())</f>
        <v>3456</v>
      </c>
      <c r="J10" s="272">
        <f>IFERROR(VLOOKUP(J$3,BD!$B$4:$BO$945,36,FALSE), NA())</f>
        <v>3456</v>
      </c>
      <c r="K10" s="272">
        <f>IFERROR(VLOOKUP(K$3,BD!$B$4:$BO$945,36,FALSE), NA())</f>
        <v>3456</v>
      </c>
      <c r="L10" s="272">
        <f>IFERROR(VLOOKUP(L$3,BD!$B$4:$BO$945,36,FALSE), NA())</f>
        <v>3456</v>
      </c>
      <c r="M10" s="272">
        <f>IFERROR(VLOOKUP(M$3,BD!$B$4:$BO$945,36,FALSE), NA())</f>
        <v>3456</v>
      </c>
      <c r="N10" s="272">
        <f>IFERROR(VLOOKUP(N$3,BD!$B$4:$BO$945,36,FALSE), NA())</f>
        <v>3456</v>
      </c>
      <c r="O10" s="272">
        <f>IFERROR(VLOOKUP(O$3,BD!$B$4:$BO$945,36,FALSE), NA())</f>
        <v>3456</v>
      </c>
      <c r="P10" s="272">
        <f>IFERROR(VLOOKUP(P$3,BD!$B$4:$BO$945,36,FALSE), NA())</f>
        <v>3456</v>
      </c>
      <c r="Q10" s="272">
        <f>IFERROR(VLOOKUP(Q$3,BD!$B$4:$BO$945,36,FALSE), NA())</f>
        <v>3456</v>
      </c>
      <c r="R10" s="272">
        <f>IFERROR(VLOOKUP(R$3,BD!$B$4:$BO$945,36,FALSE), NA())</f>
        <v>3456</v>
      </c>
      <c r="S10" s="272">
        <f>IFERROR(VLOOKUP(S$3,BD!$B$4:$BO$945,36,FALSE), NA())</f>
        <v>3456</v>
      </c>
      <c r="T10" s="272">
        <f>IFERROR(VLOOKUP(T$3,BD!$B$4:$BO$945,36,FALSE), NA())</f>
        <v>3456</v>
      </c>
      <c r="U10" s="272">
        <f>IFERROR(VLOOKUP(U$3,BD!$B$4:$BO$945,36,FALSE), NA())</f>
        <v>3456</v>
      </c>
      <c r="V10" s="272">
        <f>IFERROR(VLOOKUP(V$3,BD!$B$4:$BO$945,36,FALSE), NA())</f>
        <v>3456</v>
      </c>
      <c r="W10" s="272">
        <f>IFERROR(VLOOKUP(W$3,BD!$B$4:$BO$945,36,FALSE), NA())</f>
        <v>3456</v>
      </c>
      <c r="X10" s="272">
        <f>IFERROR(VLOOKUP(X$3,BD!$B$4:$BO$945,36,FALSE), NA())</f>
        <v>3456</v>
      </c>
      <c r="Y10" s="272">
        <f>IFERROR(VLOOKUP(Y$3,BD!$B$4:$BO$945,36,FALSE), NA())</f>
        <v>3456</v>
      </c>
      <c r="Z10" s="272">
        <f>IFERROR(VLOOKUP(Z$3,BD!$B$4:$BO$945,36,FALSE), NA())</f>
        <v>3456</v>
      </c>
      <c r="AA10" s="272">
        <f>IFERROR(VLOOKUP(AA$3,BD!$B$4:$BO$945,36,FALSE), NA())</f>
        <v>3456</v>
      </c>
      <c r="AB10" s="272">
        <f>IFERROR(VLOOKUP(AB$3,BD!$B$4:$BO$945,36,FALSE), NA())</f>
        <v>3456</v>
      </c>
      <c r="AC10" s="272" t="str">
        <f>IFERROR(VLOOKUP(AC$3,BD!$B$4:$BO$945,36,FALSE), NA())</f>
        <v/>
      </c>
      <c r="AD10" s="272" t="str">
        <f>IFERROR(VLOOKUP(AD$3,BD!$B$4:$BO$945,36,FALSE), NA())</f>
        <v/>
      </c>
      <c r="AE10" s="272" t="str">
        <f>IFERROR(VLOOKUP(AE$3,BD!$B$4:$BO$945,36,FALSE), NA())</f>
        <v/>
      </c>
      <c r="AF10" s="272" t="str">
        <f>IFERROR(VLOOKUP(AF$3,BD!$B$4:$BO$945,36,FALSE), NA())</f>
        <v/>
      </c>
      <c r="AG10" s="280" t="e">
        <f>IFERROR(VLOOKUP(AG$3,BD!$B$4:$BO$945,36,FALSE), NA())</f>
        <v>#N/A</v>
      </c>
      <c r="AH10" t="e">
        <f t="shared" si="1"/>
        <v>#N/A</v>
      </c>
    </row>
    <row r="11" spans="2:34" x14ac:dyDescent="0.25">
      <c r="B11" s="244" t="s">
        <v>6</v>
      </c>
      <c r="C11" s="272">
        <f>IFERROR(VLOOKUP(C$3,BD!$B$4:$BO$945,41,FALSE), NA())</f>
        <v>1959</v>
      </c>
      <c r="D11" s="272">
        <f>IFERROR(VLOOKUP(D$3,BD!$B$4:$BO$945,41,FALSE), NA())</f>
        <v>2043</v>
      </c>
      <c r="E11" s="272">
        <f>IFERROR(VLOOKUP(E$3,BD!$B$4:$BO$945,41,FALSE), NA())</f>
        <v>2528</v>
      </c>
      <c r="F11" s="272">
        <f>IFERROR(VLOOKUP(F$3,BD!$B$4:$BO$945,41,FALSE), NA())</f>
        <v>2529</v>
      </c>
      <c r="G11" s="272">
        <f>IFERROR(VLOOKUP(G$3,BD!$B$4:$BO$945,41,FALSE), NA())</f>
        <v>1384</v>
      </c>
      <c r="H11" s="272">
        <f>IFERROR(VLOOKUP(H$3,BD!$B$4:$BO$945,41,FALSE), NA())</f>
        <v>2541</v>
      </c>
      <c r="I11" s="272">
        <f>IFERROR(VLOOKUP(I$3,BD!$B$4:$BO$945,41,FALSE), NA())</f>
        <v>1801</v>
      </c>
      <c r="J11" s="272">
        <f>IFERROR(VLOOKUP(J$3,BD!$B$4:$BO$945,41,FALSE), NA())</f>
        <v>2570</v>
      </c>
      <c r="K11" s="272">
        <f>IFERROR(VLOOKUP(K$3,BD!$B$4:$BO$945,41,FALSE), NA())</f>
        <v>2545</v>
      </c>
      <c r="L11" s="272">
        <f>IFERROR(VLOOKUP(L$3,BD!$B$4:$BO$945,41,FALSE), NA())</f>
        <v>2518</v>
      </c>
      <c r="M11" s="272">
        <f>IFERROR(VLOOKUP(M$3,BD!$B$4:$BO$945,41,FALSE), NA())</f>
        <v>2468</v>
      </c>
      <c r="N11" s="272">
        <f>IFERROR(VLOOKUP(N$3,BD!$B$4:$BO$945,41,FALSE), NA())</f>
        <v>2531</v>
      </c>
      <c r="O11" s="272">
        <f>IFERROR(VLOOKUP(O$3,BD!$B$4:$BO$945,41,FALSE), NA())</f>
        <v>2570</v>
      </c>
      <c r="P11" s="272">
        <f>IFERROR(VLOOKUP(P$3,BD!$B$4:$BO$945,41,FALSE), NA())</f>
        <v>1439</v>
      </c>
      <c r="Q11" s="272">
        <f>IFERROR(VLOOKUP(Q$3,BD!$B$4:$BO$945,41,FALSE), NA())</f>
        <v>2512</v>
      </c>
      <c r="R11" s="272">
        <f>IFERROR(VLOOKUP(R$3,BD!$B$4:$BO$945,41,FALSE), NA())</f>
        <v>2425</v>
      </c>
      <c r="S11" s="272">
        <f>IFERROR(VLOOKUP(S$3,BD!$B$4:$BO$945,41,FALSE), NA())</f>
        <v>2546</v>
      </c>
      <c r="T11" s="272">
        <f>IFERROR(VLOOKUP(T$3,BD!$B$4:$BO$945,41,FALSE), NA())</f>
        <v>2555</v>
      </c>
      <c r="U11" s="272">
        <f>IFERROR(VLOOKUP(U$3,BD!$B$4:$BO$945,41,FALSE), NA())</f>
        <v>2547</v>
      </c>
      <c r="V11" s="272">
        <f>IFERROR(VLOOKUP(V$3,BD!$B$4:$BO$945,41,FALSE), NA())</f>
        <v>2594</v>
      </c>
      <c r="W11" s="272">
        <f>IFERROR(VLOOKUP(W$3,BD!$B$4:$BO$945,41,FALSE), NA())</f>
        <v>2465</v>
      </c>
      <c r="X11" s="272">
        <f>IFERROR(VLOOKUP(X$3,BD!$B$4:$BO$945,41,FALSE), NA())</f>
        <v>2605</v>
      </c>
      <c r="Y11" s="272">
        <f>IFERROR(VLOOKUP(Y$3,BD!$B$4:$BO$945,41,FALSE), NA())</f>
        <v>2503</v>
      </c>
      <c r="Z11" s="272">
        <f>IFERROR(VLOOKUP(Z$3,BD!$B$4:$BO$945,41,FALSE), NA())</f>
        <v>2571</v>
      </c>
      <c r="AA11" s="272">
        <f>IFERROR(VLOOKUP(AA$3,BD!$B$4:$BO$945,41,FALSE), NA())</f>
        <v>2536</v>
      </c>
      <c r="AB11" s="272">
        <f>IFERROR(VLOOKUP(AB$3,BD!$B$4:$BO$945,41,FALSE), NA())</f>
        <v>2513</v>
      </c>
      <c r="AC11" s="272" t="str">
        <f>IFERROR(VLOOKUP(AC$3,BD!$B$4:$BO$945,41,FALSE), NA())</f>
        <v xml:space="preserve"> </v>
      </c>
      <c r="AD11" s="272" t="str">
        <f>IFERROR(VLOOKUP(AD$3,BD!$B$4:$BO$945,41,FALSE), NA())</f>
        <v xml:space="preserve"> </v>
      </c>
      <c r="AE11" s="272" t="str">
        <f>IFERROR(VLOOKUP(AE$3,BD!$B$4:$BO$945,41,FALSE), NA())</f>
        <v xml:space="preserve"> </v>
      </c>
      <c r="AF11" s="272" t="str">
        <f>IFERROR(VLOOKUP(AF$3,BD!$B$4:$BO$945,41,FALSE), NA())</f>
        <v xml:space="preserve"> </v>
      </c>
      <c r="AG11" s="280" t="e">
        <f>IFERROR(VLOOKUP(AG$3,BD!$B$4:$BO$945,41,FALSE), NA())</f>
        <v>#N/A</v>
      </c>
      <c r="AH11" t="e">
        <f t="shared" si="1"/>
        <v>#N/A</v>
      </c>
    </row>
    <row r="12" spans="2:34" ht="15.75" thickBot="1" x14ac:dyDescent="0.3">
      <c r="B12" s="245" t="s">
        <v>8</v>
      </c>
      <c r="C12" s="276">
        <f>IFERROR(VLOOKUP(C$3,BD!$B$4:$BO$945,51,FALSE), NA())</f>
        <v>668</v>
      </c>
      <c r="D12" s="276">
        <f>IFERROR(VLOOKUP(D$3,BD!$B$4:$BO$945,51,FALSE), NA())</f>
        <v>583</v>
      </c>
      <c r="E12" s="276">
        <f>IFERROR(VLOOKUP(E$3,BD!$B$4:$BO$945,51,FALSE), NA())</f>
        <v>573</v>
      </c>
      <c r="F12" s="276">
        <f>IFERROR(VLOOKUP(F$3,BD!$B$4:$BO$945,51,FALSE), NA())</f>
        <v>677</v>
      </c>
      <c r="G12" s="276">
        <f>IFERROR(VLOOKUP(G$3,BD!$B$4:$BO$945,51,FALSE), NA())</f>
        <v>703</v>
      </c>
      <c r="H12" s="276">
        <f>IFERROR(VLOOKUP(H$3,BD!$B$4:$BO$945,51,FALSE), NA())</f>
        <v>714</v>
      </c>
      <c r="I12" s="276">
        <f>IFERROR(VLOOKUP(I$3,BD!$B$4:$BO$945,51,FALSE), NA())</f>
        <v>903</v>
      </c>
      <c r="J12" s="276">
        <f>IFERROR(VLOOKUP(J$3,BD!$B$4:$BO$945,51,FALSE), NA())</f>
        <v>584</v>
      </c>
      <c r="K12" s="276">
        <f>IFERROR(VLOOKUP(K$3,BD!$B$4:$BO$945,51,FALSE), NA())</f>
        <v>865</v>
      </c>
      <c r="L12" s="276">
        <f>IFERROR(VLOOKUP(L$3,BD!$B$4:$BO$945,51,FALSE), NA())</f>
        <v>675</v>
      </c>
      <c r="M12" s="276">
        <f>IFERROR(VLOOKUP(M$3,BD!$B$4:$BO$945,51,FALSE), NA())</f>
        <v>673</v>
      </c>
      <c r="N12" s="276">
        <f>IFERROR(VLOOKUP(N$3,BD!$B$4:$BO$945,51,FALSE), NA())</f>
        <v>691</v>
      </c>
      <c r="O12" s="276">
        <f>IFERROR(VLOOKUP(O$3,BD!$B$4:$BO$945,51,FALSE), NA())</f>
        <v>724</v>
      </c>
      <c r="P12" s="276">
        <f>IFERROR(VLOOKUP(P$3,BD!$B$4:$BO$945,51,FALSE), NA())</f>
        <v>0</v>
      </c>
      <c r="Q12" s="276">
        <f>IFERROR(VLOOKUP(Q$3,BD!$B$4:$BO$945,51,FALSE), NA())</f>
        <v>0</v>
      </c>
      <c r="R12" s="276">
        <f>IFERROR(VLOOKUP(R$3,BD!$B$4:$BO$945,51,FALSE), NA())</f>
        <v>0</v>
      </c>
      <c r="S12" s="276">
        <f>IFERROR(VLOOKUP(S$3,BD!$B$4:$BO$945,51,FALSE), NA())</f>
        <v>0</v>
      </c>
      <c r="T12" s="276">
        <f>IFERROR(VLOOKUP(T$3,BD!$B$4:$BO$945,51,FALSE), NA())</f>
        <v>0</v>
      </c>
      <c r="U12" s="276">
        <f>IFERROR(VLOOKUP(U$3,BD!$B$4:$BO$945,51,FALSE), NA())</f>
        <v>0</v>
      </c>
      <c r="V12" s="276">
        <f>IFERROR(VLOOKUP(V$3,BD!$B$4:$BO$945,51,FALSE), NA())</f>
        <v>396</v>
      </c>
      <c r="W12" s="276">
        <f>IFERROR(VLOOKUP(W$3,BD!$B$4:$BO$945,51,FALSE), NA())</f>
        <v>802</v>
      </c>
      <c r="X12" s="276">
        <f>IFERROR(VLOOKUP(X$3,BD!$B$4:$BO$945,51,FALSE), NA())</f>
        <v>747</v>
      </c>
      <c r="Y12" s="276">
        <f>IFERROR(VLOOKUP(Y$3,BD!$B$4:$BO$945,51,FALSE), NA())</f>
        <v>736</v>
      </c>
      <c r="Z12" s="276">
        <f>IFERROR(VLOOKUP(Z$3,BD!$B$4:$BO$945,51,FALSE), NA())</f>
        <v>729</v>
      </c>
      <c r="AA12" s="276">
        <f>IFERROR(VLOOKUP(AA$3,BD!$B$4:$BO$945,51,FALSE), NA())</f>
        <v>627</v>
      </c>
      <c r="AB12" s="276">
        <f>IFERROR(VLOOKUP(AB$3,BD!$B$4:$BO$945,51,FALSE), NA())</f>
        <v>676</v>
      </c>
      <c r="AC12" s="276" t="str">
        <f>IFERROR(VLOOKUP(AC$3,BD!$B$4:$BO$945,51,FALSE), NA())</f>
        <v xml:space="preserve"> </v>
      </c>
      <c r="AD12" s="276" t="str">
        <f>IFERROR(VLOOKUP(AD$3,BD!$B$4:$BO$945,51,FALSE), NA())</f>
        <v xml:space="preserve"> </v>
      </c>
      <c r="AE12" s="276" t="str">
        <f>IFERROR(VLOOKUP(AE$3,BD!$B$4:$BO$945,51,FALSE), NA())</f>
        <v xml:space="preserve"> </v>
      </c>
      <c r="AF12" s="276" t="str">
        <f>IFERROR(VLOOKUP(AF$3,BD!$B$4:$BO$945,51,FALSE), NA())</f>
        <v xml:space="preserve"> </v>
      </c>
      <c r="AG12" s="278" t="e">
        <f>IFERROR(VLOOKUP(AG$3,BD!$B$4:$BO$945,51,FALSE), NA())</f>
        <v>#N/A</v>
      </c>
      <c r="AH12" t="e">
        <f t="shared" si="1"/>
        <v>#N/A</v>
      </c>
    </row>
    <row r="13" spans="2:34" ht="15.75" thickBot="1" x14ac:dyDescent="0.3">
      <c r="B13" s="257"/>
      <c r="C13" s="242"/>
      <c r="D13" s="242"/>
      <c r="E13" s="242"/>
      <c r="F13" s="242"/>
      <c r="G13" s="242"/>
      <c r="H13" s="242"/>
      <c r="I13" s="242"/>
      <c r="J13" s="242"/>
      <c r="K13" s="242"/>
      <c r="L13" s="242"/>
      <c r="M13" s="242"/>
      <c r="N13" s="242"/>
      <c r="O13" s="242"/>
      <c r="P13" s="242"/>
      <c r="Q13" s="242"/>
      <c r="R13" s="242"/>
      <c r="S13" s="242"/>
      <c r="T13" s="242"/>
      <c r="U13" s="242"/>
      <c r="V13" s="242"/>
      <c r="W13" s="242"/>
      <c r="X13" s="242"/>
      <c r="Y13" s="242"/>
      <c r="Z13" s="242"/>
      <c r="AA13" s="242"/>
      <c r="AB13" s="242"/>
      <c r="AC13" s="258"/>
      <c r="AD13" s="258"/>
      <c r="AE13" s="258"/>
      <c r="AF13" s="258"/>
      <c r="AG13" s="258"/>
      <c r="AH13" t="e">
        <f>SUM(AH4:AH12)</f>
        <v>#N/A</v>
      </c>
    </row>
    <row r="14" spans="2:34" ht="15.75" thickBot="1" x14ac:dyDescent="0.3">
      <c r="B14" s="257"/>
      <c r="C14" s="259"/>
      <c r="D14" s="259"/>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8"/>
      <c r="AD14" s="258"/>
      <c r="AE14" s="258"/>
      <c r="AF14" s="258"/>
      <c r="AG14" s="258"/>
    </row>
    <row r="15" spans="2:34" ht="15.75" thickBot="1" x14ac:dyDescent="0.3">
      <c r="B15" s="243" t="s">
        <v>109</v>
      </c>
      <c r="C15" s="277" t="e">
        <f>IFERROR(VLOOKUP(C$3,BD!$B$4:$BO$8,56,FALSE), NA())</f>
        <v>#N/A</v>
      </c>
      <c r="D15" s="277" t="e">
        <f>IFERROR(VLOOKUP(D$3,BD!$B$4:$BO$8,56,FALSE), NA())</f>
        <v>#N/A</v>
      </c>
      <c r="E15" s="277" t="e">
        <f>IFERROR(VLOOKUP(E$3,BD!$B$4:$BO$8,56,FALSE), NA())</f>
        <v>#N/A</v>
      </c>
      <c r="F15" s="277" t="e">
        <f>IFERROR(VLOOKUP(F$3,BD!$B$4:$BO$8,56,FALSE), NA())</f>
        <v>#N/A</v>
      </c>
      <c r="G15" s="277" t="e">
        <f>IFERROR(VLOOKUP(G$3,BD!$B$4:$BO$8,56,FALSE), NA())</f>
        <v>#N/A</v>
      </c>
      <c r="H15" s="277" t="e">
        <f>IFERROR(VLOOKUP(H$3,BD!$B$4:$BO$8,56,FALSE), NA())</f>
        <v>#N/A</v>
      </c>
      <c r="I15" s="277" t="e">
        <f>IFERROR(VLOOKUP(I$3,BD!$B$4:$BO$8,56,FALSE), NA())</f>
        <v>#N/A</v>
      </c>
      <c r="J15" s="277" t="e">
        <f>IFERROR(VLOOKUP(J$3,BD!$B$4:$BO$8,56,FALSE), NA())</f>
        <v>#N/A</v>
      </c>
      <c r="K15" s="277" t="e">
        <f>IFERROR(VLOOKUP(K$3,BD!$B$4:$BO$8,56,FALSE), NA())</f>
        <v>#N/A</v>
      </c>
      <c r="L15" s="277" t="e">
        <f>IFERROR(VLOOKUP(L$3,BD!$B$4:$BO$8,56,FALSE), NA())</f>
        <v>#N/A</v>
      </c>
      <c r="M15" s="277" t="e">
        <f>IFERROR(VLOOKUP(M$3,BD!$B$4:$BO$8,56,FALSE), NA())</f>
        <v>#N/A</v>
      </c>
      <c r="N15" s="277" t="e">
        <f>IFERROR(VLOOKUP(N$3,BD!$B$4:$BO$8,56,FALSE), NA())</f>
        <v>#N/A</v>
      </c>
      <c r="O15" s="277" t="e">
        <f>IFERROR(VLOOKUP(O$3,BD!$B$4:$BO$8,56,FALSE), NA())</f>
        <v>#N/A</v>
      </c>
      <c r="P15" s="277" t="e">
        <f>IFERROR(VLOOKUP(P$3,BD!$B$4:$BO$8,56,FALSE), NA())</f>
        <v>#N/A</v>
      </c>
      <c r="Q15" s="277" t="e">
        <f>IFERROR(VLOOKUP(Q$3,BD!$B$4:$BO$8,56,FALSE), NA())</f>
        <v>#N/A</v>
      </c>
      <c r="R15" s="277" t="e">
        <f>IFERROR(VLOOKUP(R$3,BD!$B$4:$BO$8,56,FALSE), NA())</f>
        <v>#N/A</v>
      </c>
      <c r="S15" s="277" t="e">
        <f>IFERROR(VLOOKUP(S$3,BD!$B$4:$BO$8,56,FALSE), NA())</f>
        <v>#N/A</v>
      </c>
      <c r="T15" s="277" t="e">
        <f>IFERROR(VLOOKUP(T$3,BD!$B$4:$BO$8,56,FALSE), NA())</f>
        <v>#N/A</v>
      </c>
      <c r="U15" s="277" t="e">
        <f>IFERROR(VLOOKUP(U$3,BD!$B$4:$BO$8,56,FALSE), NA())</f>
        <v>#N/A</v>
      </c>
      <c r="V15" s="277" t="e">
        <f>IFERROR(VLOOKUP(V$3,BD!$B$4:$BO$8,56,FALSE), NA())</f>
        <v>#N/A</v>
      </c>
      <c r="W15" s="277" t="e">
        <f>IFERROR(VLOOKUP(W$3,BD!$B$4:$BO$8,56,FALSE), NA())</f>
        <v>#N/A</v>
      </c>
      <c r="X15" s="277" t="e">
        <f>IFERROR(VLOOKUP(X$3,BD!$B$4:$BO$8,56,FALSE), NA())</f>
        <v>#N/A</v>
      </c>
      <c r="Y15" s="277" t="e">
        <f>IFERROR(VLOOKUP(Y$3,BD!$B$4:$BO$8,56,FALSE), NA())</f>
        <v>#N/A</v>
      </c>
      <c r="Z15" s="277" t="e">
        <f>IFERROR(VLOOKUP(Z$3,BD!$B$4:$BO$8,56,FALSE), NA())</f>
        <v>#N/A</v>
      </c>
      <c r="AA15" s="277" t="e">
        <f>IFERROR(VLOOKUP(AA$3,BD!$B$4:$BO$8,56,FALSE), NA())</f>
        <v>#N/A</v>
      </c>
      <c r="AB15" s="279" t="e">
        <f>IFERROR(VLOOKUP(AB$3,BD!$B$4:$BO$8,56,FALSE), NA())</f>
        <v>#N/A</v>
      </c>
      <c r="AC15" s="240"/>
      <c r="AD15" s="240"/>
      <c r="AE15" s="240"/>
      <c r="AF15" s="240"/>
      <c r="AG15" s="240"/>
    </row>
    <row r="16" spans="2:34" ht="15.75" thickBot="1" x14ac:dyDescent="0.3">
      <c r="B16" s="244" t="s">
        <v>468</v>
      </c>
      <c r="C16" s="276" t="e">
        <f>IFERROR(VLOOKUP(C$3,BD!$B$4:$BO$8,61,FALSE), NA())</f>
        <v>#N/A</v>
      </c>
      <c r="D16" s="276" t="e">
        <f>IFERROR(VLOOKUP(D$3,BD!$B$4:$BO$8,61,FALSE), NA())</f>
        <v>#N/A</v>
      </c>
      <c r="E16" s="276" t="e">
        <f>IFERROR(VLOOKUP(E$3,BD!$B$4:$BO$8,61,FALSE), NA())</f>
        <v>#N/A</v>
      </c>
      <c r="F16" s="276" t="e">
        <f>IFERROR(VLOOKUP(F$3,BD!$B$4:$BO$8,61,FALSE), NA())</f>
        <v>#N/A</v>
      </c>
      <c r="G16" s="276" t="e">
        <f>IFERROR(VLOOKUP(G$3,BD!$B$4:$BO$8,61,FALSE), NA())</f>
        <v>#N/A</v>
      </c>
      <c r="H16" s="276" t="e">
        <f>IFERROR(VLOOKUP(H$3,BD!$B$4:$BO$8,61,FALSE), NA())</f>
        <v>#N/A</v>
      </c>
      <c r="I16" s="276" t="e">
        <f>IFERROR(VLOOKUP(I$3,BD!$B$4:$BO$8,61,FALSE), NA())</f>
        <v>#N/A</v>
      </c>
      <c r="J16" s="276" t="e">
        <f>IFERROR(VLOOKUP(J$3,BD!$B$4:$BO$8,61,FALSE), NA())</f>
        <v>#N/A</v>
      </c>
      <c r="K16" s="276" t="e">
        <f>IFERROR(VLOOKUP(K$3,BD!$B$4:$BO$8,61,FALSE), NA())</f>
        <v>#N/A</v>
      </c>
      <c r="L16" s="276" t="e">
        <f>IFERROR(VLOOKUP(L$3,BD!$B$4:$BO$8,61,FALSE), NA())</f>
        <v>#N/A</v>
      </c>
      <c r="M16" s="276" t="e">
        <f>IFERROR(VLOOKUP(M$3,BD!$B$4:$BO$8,61,FALSE), NA())</f>
        <v>#N/A</v>
      </c>
      <c r="N16" s="276" t="e">
        <f>IFERROR(VLOOKUP(N$3,BD!$B$4:$BO$8,61,FALSE), NA())</f>
        <v>#N/A</v>
      </c>
      <c r="O16" s="276" t="e">
        <f>IFERROR(VLOOKUP(O$3,BD!$B$4:$BO$8,61,FALSE), NA())</f>
        <v>#N/A</v>
      </c>
      <c r="P16" s="276" t="e">
        <f>IFERROR(VLOOKUP(P$3,BD!$B$4:$BO$8,61,FALSE), NA())</f>
        <v>#N/A</v>
      </c>
      <c r="Q16" s="276" t="e">
        <f>IFERROR(VLOOKUP(Q$3,BD!$B$4:$BO$8,61,FALSE), NA())</f>
        <v>#N/A</v>
      </c>
      <c r="R16" s="276" t="e">
        <f>IFERROR(VLOOKUP(R$3,BD!$B$4:$BO$8,61,FALSE), NA())</f>
        <v>#N/A</v>
      </c>
      <c r="S16" s="276" t="e">
        <f>IFERROR(VLOOKUP(S$3,BD!$B$4:$BO$8,61,FALSE), NA())</f>
        <v>#N/A</v>
      </c>
      <c r="T16" s="276" t="e">
        <f>IFERROR(VLOOKUP(T$3,BD!$B$4:$BO$8,61,FALSE), NA())</f>
        <v>#N/A</v>
      </c>
      <c r="U16" s="276" t="e">
        <f>IFERROR(VLOOKUP(U$3,BD!$B$4:$BO$8,61,FALSE), NA())</f>
        <v>#N/A</v>
      </c>
      <c r="V16" s="276" t="e">
        <f>IFERROR(VLOOKUP(V$3,BD!$B$4:$BO$8,61,FALSE), NA())</f>
        <v>#N/A</v>
      </c>
      <c r="W16" s="276" t="e">
        <f>IFERROR(VLOOKUP(W$3,BD!$B$4:$BO$8,61,FALSE), NA())</f>
        <v>#N/A</v>
      </c>
      <c r="X16" s="276" t="e">
        <f>IFERROR(VLOOKUP(X$3,BD!$B$4:$BO$8,61,FALSE), NA())</f>
        <v>#N/A</v>
      </c>
      <c r="Y16" s="276" t="e">
        <f>IFERROR(VLOOKUP(Y$3,BD!$B$4:$BO$8,61,FALSE), NA())</f>
        <v>#N/A</v>
      </c>
      <c r="Z16" s="276" t="e">
        <f>IFERROR(VLOOKUP(Z$3,BD!$B$4:$BO$8,61,FALSE), NA())</f>
        <v>#N/A</v>
      </c>
      <c r="AA16" s="276" t="e">
        <f>IFERROR(VLOOKUP(AA$3,BD!$B$4:$BO$8,61,FALSE), NA())</f>
        <v>#N/A</v>
      </c>
      <c r="AB16" s="278" t="e">
        <f>IFERROR(VLOOKUP(AB$3,BD!$B$4:$BO$8,61,FALSE), NA())</f>
        <v>#N/A</v>
      </c>
    </row>
    <row r="17" spans="2:28" ht="15.75" thickBot="1" x14ac:dyDescent="0.3">
      <c r="B17" s="245" t="s">
        <v>554</v>
      </c>
      <c r="C17" s="276" t="e">
        <f>IFERROR(VLOOKUP(C$3,BD!$B$4:$BO$8,66,FALSE), NA())</f>
        <v>#N/A</v>
      </c>
      <c r="D17" s="276" t="e">
        <f>IFERROR(VLOOKUP(D$3,BD!$B$4:$BO$8,66,FALSE), NA())</f>
        <v>#N/A</v>
      </c>
      <c r="E17" s="276" t="e">
        <f>IFERROR(VLOOKUP(E$3,BD!$B$4:$BO$8,66,FALSE), NA())</f>
        <v>#N/A</v>
      </c>
      <c r="F17" s="276" t="e">
        <f>IFERROR(VLOOKUP(F$3,BD!$B$4:$BO$8,66,FALSE), NA())</f>
        <v>#N/A</v>
      </c>
      <c r="G17" s="276" t="e">
        <f>IFERROR(VLOOKUP(G$3,BD!$B$4:$BO$8,66,FALSE), NA())</f>
        <v>#N/A</v>
      </c>
      <c r="H17" s="276" t="e">
        <f>IFERROR(VLOOKUP(H$3,BD!$B$4:$BO$8,66,FALSE), NA())</f>
        <v>#N/A</v>
      </c>
      <c r="I17" s="276" t="e">
        <f>IFERROR(VLOOKUP(I$3,BD!$B$4:$BO$8,66,FALSE), NA())</f>
        <v>#N/A</v>
      </c>
      <c r="J17" s="276" t="e">
        <f>IFERROR(VLOOKUP(J$3,BD!$B$4:$BO$8,66,FALSE), NA())</f>
        <v>#N/A</v>
      </c>
      <c r="K17" s="276" t="e">
        <f>IFERROR(VLOOKUP(K$3,BD!$B$4:$BO$8,66,FALSE), NA())</f>
        <v>#N/A</v>
      </c>
      <c r="L17" s="276" t="e">
        <f>IFERROR(VLOOKUP(L$3,BD!$B$4:$BO$8,66,FALSE), NA())</f>
        <v>#N/A</v>
      </c>
      <c r="M17" s="276" t="e">
        <f>IFERROR(VLOOKUP(M$3,BD!$B$4:$BO$8,66,FALSE), NA())</f>
        <v>#N/A</v>
      </c>
      <c r="N17" s="276" t="e">
        <f>IFERROR(VLOOKUP(N$3,BD!$B$4:$BO$8,66,FALSE), NA())</f>
        <v>#N/A</v>
      </c>
      <c r="O17" s="276" t="e">
        <f>IFERROR(VLOOKUP(O$3,BD!$B$4:$BO$8,66,FALSE), NA())</f>
        <v>#N/A</v>
      </c>
      <c r="P17" s="276" t="e">
        <f>IFERROR(VLOOKUP(P$3,BD!$B$4:$BO$8,66,FALSE), NA())</f>
        <v>#N/A</v>
      </c>
      <c r="Q17" s="276" t="e">
        <f>IFERROR(VLOOKUP(Q$3,BD!$B$4:$BO$8,66,FALSE), NA())</f>
        <v>#N/A</v>
      </c>
      <c r="R17" s="276" t="e">
        <f>IFERROR(VLOOKUP(R$3,BD!$B$4:$BO$8,66,FALSE), NA())</f>
        <v>#N/A</v>
      </c>
      <c r="S17" s="276" t="e">
        <f>IFERROR(VLOOKUP(S$3,BD!$B$4:$BO$8,66,FALSE), NA())</f>
        <v>#N/A</v>
      </c>
      <c r="T17" s="276" t="e">
        <f>IFERROR(VLOOKUP(T$3,BD!$B$4:$BO$8,66,FALSE), NA())</f>
        <v>#N/A</v>
      </c>
      <c r="U17" s="276" t="e">
        <f>IFERROR(VLOOKUP(U$3,BD!$B$4:$BO$8,66,FALSE), NA())</f>
        <v>#N/A</v>
      </c>
      <c r="V17" s="276" t="e">
        <f>IFERROR(VLOOKUP(V$3,BD!$B$4:$BO$8,66,FALSE), NA())</f>
        <v>#N/A</v>
      </c>
      <c r="W17" s="276" t="e">
        <f>IFERROR(VLOOKUP(W$3,BD!$B$4:$BO$8,66,FALSE), NA())</f>
        <v>#N/A</v>
      </c>
      <c r="X17" s="276" t="e">
        <f>IFERROR(VLOOKUP(X$3,BD!$B$4:$BO$8,66,FALSE), NA())</f>
        <v>#N/A</v>
      </c>
      <c r="Y17" s="276" t="e">
        <f>IFERROR(VLOOKUP(Y$3,BD!$B$4:$BO$8,66,FALSE), NA())</f>
        <v>#N/A</v>
      </c>
      <c r="Z17" s="276" t="e">
        <f>IFERROR(VLOOKUP(Z$3,BD!$B$4:$BO$8,66,FALSE), NA())</f>
        <v>#N/A</v>
      </c>
      <c r="AA17" s="276" t="e">
        <f>IFERROR(VLOOKUP(AA$3,BD!$B$4:$BO$8,66,FALSE), NA())</f>
        <v>#N/A</v>
      </c>
      <c r="AB17" s="278" t="e">
        <f>IFERROR(VLOOKUP(AB$3,BD!$B$4:$BO$8,66,FALSE), NA())</f>
        <v>#N/A</v>
      </c>
    </row>
    <row r="20" spans="2:28" x14ac:dyDescent="0.25">
      <c r="T20" s="381"/>
      <c r="U20" s="381"/>
    </row>
  </sheetData>
  <mergeCells count="1">
    <mergeCell ref="B2:AG2"/>
  </mergeCells>
  <conditionalFormatting sqref="C15:AB15">
    <cfRule type="colorScale" priority="3">
      <colorScale>
        <cfvo type="min"/>
        <cfvo type="percentile" val="50"/>
        <cfvo type="max"/>
        <color rgb="FFF8696B"/>
        <color rgb="FFFFEB84"/>
        <color rgb="FF63BE7B"/>
      </colorScale>
    </cfRule>
  </conditionalFormatting>
  <conditionalFormatting sqref="C16:AB16">
    <cfRule type="colorScale" priority="2">
      <colorScale>
        <cfvo type="min"/>
        <cfvo type="percentile" val="50"/>
        <cfvo type="max"/>
        <color rgb="FFF8696B"/>
        <color rgb="FFFFEB84"/>
        <color rgb="FF63BE7B"/>
      </colorScale>
    </cfRule>
  </conditionalFormatting>
  <conditionalFormatting sqref="C17:AB17">
    <cfRule type="colorScale" priority="1">
      <colorScale>
        <cfvo type="min"/>
        <cfvo type="percentile" val="50"/>
        <cfvo type="max"/>
        <color rgb="FFF8696B"/>
        <color rgb="FFFFEB84"/>
        <color rgb="FF63BE7B"/>
      </colorScale>
    </cfRule>
  </conditionalFormatting>
  <conditionalFormatting sqref="C4:AG4">
    <cfRule type="colorScale" priority="12">
      <colorScale>
        <cfvo type="min"/>
        <cfvo type="percentile" val="50"/>
        <cfvo type="max"/>
        <color rgb="FFF8696B"/>
        <color rgb="FFFFEB84"/>
        <color rgb="FF63BE7B"/>
      </colorScale>
    </cfRule>
  </conditionalFormatting>
  <conditionalFormatting sqref="C5:AG5">
    <cfRule type="colorScale" priority="11">
      <colorScale>
        <cfvo type="min"/>
        <cfvo type="percentile" val="50"/>
        <cfvo type="max"/>
        <color rgb="FFF8696B"/>
        <color rgb="FFFFEB84"/>
        <color rgb="FF63BE7B"/>
      </colorScale>
    </cfRule>
  </conditionalFormatting>
  <conditionalFormatting sqref="C6:AG6">
    <cfRule type="colorScale" priority="10">
      <colorScale>
        <cfvo type="min"/>
        <cfvo type="percentile" val="50"/>
        <cfvo type="max"/>
        <color rgb="FFF8696B"/>
        <color rgb="FFFFEB84"/>
        <color rgb="FF63BE7B"/>
      </colorScale>
    </cfRule>
  </conditionalFormatting>
  <conditionalFormatting sqref="C7:AG7">
    <cfRule type="colorScale" priority="9">
      <colorScale>
        <cfvo type="min"/>
        <cfvo type="percentile" val="50"/>
        <cfvo type="max"/>
        <color rgb="FFF8696B"/>
        <color rgb="FFFFEB84"/>
        <color rgb="FF63BE7B"/>
      </colorScale>
    </cfRule>
  </conditionalFormatting>
  <conditionalFormatting sqref="C8:AG8">
    <cfRule type="colorScale" priority="8">
      <colorScale>
        <cfvo type="min"/>
        <cfvo type="percentile" val="50"/>
        <cfvo type="max"/>
        <color rgb="FFF8696B"/>
        <color rgb="FFFFEB84"/>
        <color rgb="FF63BE7B"/>
      </colorScale>
    </cfRule>
  </conditionalFormatting>
  <conditionalFormatting sqref="C9:AG9">
    <cfRule type="colorScale" priority="7">
      <colorScale>
        <cfvo type="min"/>
        <cfvo type="percentile" val="50"/>
        <cfvo type="max"/>
        <color rgb="FFF8696B"/>
        <color rgb="FFFFEB84"/>
        <color rgb="FF63BE7B"/>
      </colorScale>
    </cfRule>
  </conditionalFormatting>
  <conditionalFormatting sqref="C10:AG10">
    <cfRule type="colorScale" priority="6">
      <colorScale>
        <cfvo type="min"/>
        <cfvo type="percentile" val="50"/>
        <cfvo type="max"/>
        <color rgb="FFF8696B"/>
        <color rgb="FFFFEB84"/>
        <color rgb="FF63BE7B"/>
      </colorScale>
    </cfRule>
  </conditionalFormatting>
  <conditionalFormatting sqref="C11:AG11">
    <cfRule type="colorScale" priority="5">
      <colorScale>
        <cfvo type="min"/>
        <cfvo type="percentile" val="50"/>
        <cfvo type="max"/>
        <color rgb="FFF8696B"/>
        <color rgb="FFFFEB84"/>
        <color rgb="FF63BE7B"/>
      </colorScale>
    </cfRule>
  </conditionalFormatting>
  <conditionalFormatting sqref="C12:AG14">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2">
    <tabColor rgb="FF9CC2E5"/>
    <pageSetUpPr fitToPage="1"/>
  </sheetPr>
  <dimension ref="A1:W44"/>
  <sheetViews>
    <sheetView showGridLines="0" topLeftCell="A7" zoomScaleNormal="100" workbookViewId="0">
      <selection activeCell="E17" sqref="E17"/>
    </sheetView>
  </sheetViews>
  <sheetFormatPr baseColWidth="10" defaultColWidth="14.42578125" defaultRowHeight="15" customHeight="1" x14ac:dyDescent="0.25"/>
  <cols>
    <col min="1" max="1" width="10.7109375" customWidth="1"/>
    <col min="2" max="2" width="28.28515625" customWidth="1"/>
    <col min="3" max="9" width="11.28515625" customWidth="1"/>
    <col min="10" max="10" width="13.42578125" customWidth="1"/>
    <col min="11" max="17" width="11.28515625" customWidth="1"/>
    <col min="18" max="23" width="14.5703125" customWidth="1"/>
  </cols>
  <sheetData>
    <row r="1" spans="1:23" ht="15" customHeight="1" x14ac:dyDescent="0.25">
      <c r="A1" s="88"/>
      <c r="B1" s="88"/>
      <c r="C1" s="42">
        <v>46023</v>
      </c>
      <c r="D1" s="42">
        <v>46054</v>
      </c>
      <c r="E1" s="42">
        <v>46082</v>
      </c>
      <c r="F1" s="42">
        <v>46113</v>
      </c>
      <c r="G1" s="42">
        <v>46143</v>
      </c>
      <c r="H1" s="42">
        <v>46174</v>
      </c>
      <c r="I1" s="42">
        <v>46204</v>
      </c>
      <c r="J1" s="42">
        <v>46235</v>
      </c>
      <c r="K1" s="42">
        <v>46266</v>
      </c>
      <c r="L1" s="42">
        <v>46296</v>
      </c>
      <c r="M1" s="42">
        <v>46327</v>
      </c>
      <c r="N1" s="42">
        <v>46357</v>
      </c>
      <c r="O1" s="88"/>
      <c r="P1" s="88"/>
      <c r="Q1" s="88"/>
      <c r="R1" s="88"/>
      <c r="S1" s="88"/>
      <c r="T1" s="88"/>
      <c r="U1" s="88"/>
      <c r="V1" s="88"/>
      <c r="W1" s="88"/>
    </row>
    <row r="2" spans="1:23" ht="15.75" thickBot="1" x14ac:dyDescent="0.3">
      <c r="A2" s="88"/>
      <c r="B2" s="184"/>
      <c r="C2" s="42">
        <v>46053</v>
      </c>
      <c r="D2" s="42">
        <v>46081</v>
      </c>
      <c r="E2" s="42">
        <v>46112</v>
      </c>
      <c r="F2" s="112">
        <v>46142</v>
      </c>
      <c r="G2" s="112">
        <v>46173</v>
      </c>
      <c r="H2" s="281">
        <v>46203</v>
      </c>
      <c r="I2" s="112">
        <v>46234</v>
      </c>
      <c r="J2" s="112">
        <v>46265</v>
      </c>
      <c r="K2" s="112">
        <v>46295</v>
      </c>
      <c r="L2" s="112">
        <v>46326</v>
      </c>
      <c r="M2" s="281">
        <v>46356</v>
      </c>
      <c r="N2" s="112">
        <v>46387</v>
      </c>
      <c r="O2" s="88"/>
      <c r="P2" s="88"/>
      <c r="Q2" s="88"/>
      <c r="R2" s="88"/>
      <c r="S2" s="88"/>
      <c r="T2" s="88"/>
      <c r="U2" s="88"/>
      <c r="V2" s="88"/>
      <c r="W2" s="88"/>
    </row>
    <row r="3" spans="1:23" ht="46.5" customHeight="1" x14ac:dyDescent="0.25">
      <c r="A3" s="88"/>
      <c r="B3" s="184"/>
      <c r="C3" s="485" t="s">
        <v>477</v>
      </c>
      <c r="D3" s="486"/>
      <c r="E3" s="486"/>
      <c r="F3" s="486"/>
      <c r="G3" s="486"/>
      <c r="H3" s="486"/>
      <c r="I3" s="486"/>
      <c r="J3" s="486"/>
      <c r="K3" s="486"/>
      <c r="L3" s="486"/>
      <c r="M3" s="486"/>
      <c r="N3" s="487"/>
      <c r="O3" s="488"/>
      <c r="P3" s="88"/>
      <c r="Q3" s="88"/>
      <c r="R3" s="88"/>
      <c r="S3" s="88"/>
      <c r="T3" s="88"/>
      <c r="U3" s="88"/>
      <c r="V3" s="88"/>
      <c r="W3" s="88"/>
    </row>
    <row r="4" spans="1:23" ht="24.75" customHeight="1" thickBot="1" x14ac:dyDescent="0.3">
      <c r="A4" s="88"/>
      <c r="B4" s="184"/>
      <c r="C4" s="490" t="s">
        <v>598</v>
      </c>
      <c r="D4" s="491"/>
      <c r="E4" s="491"/>
      <c r="F4" s="491"/>
      <c r="G4" s="491"/>
      <c r="H4" s="491"/>
      <c r="I4" s="491"/>
      <c r="J4" s="491"/>
      <c r="K4" s="491"/>
      <c r="L4" s="491"/>
      <c r="M4" s="491"/>
      <c r="N4" s="492"/>
      <c r="O4" s="489"/>
      <c r="P4" s="185">
        <v>3</v>
      </c>
      <c r="Q4" s="88"/>
      <c r="R4" s="88"/>
      <c r="S4" s="88"/>
      <c r="T4" s="88"/>
      <c r="U4" s="88"/>
      <c r="V4" s="88"/>
      <c r="W4" s="88"/>
    </row>
    <row r="5" spans="1:23" ht="15.75" thickBot="1" x14ac:dyDescent="0.3">
      <c r="A5" s="88"/>
      <c r="B5" s="186"/>
      <c r="C5" s="88"/>
      <c r="D5" s="186"/>
      <c r="E5" s="186"/>
      <c r="F5" s="186"/>
      <c r="G5" s="186"/>
      <c r="H5" s="186"/>
      <c r="I5" s="186"/>
      <c r="J5" s="186"/>
      <c r="K5" s="186"/>
      <c r="L5" s="186"/>
      <c r="M5" s="186"/>
      <c r="N5" s="186"/>
      <c r="O5" s="186"/>
      <c r="P5" s="186"/>
      <c r="Q5" s="186"/>
      <c r="R5" s="88"/>
      <c r="S5" s="88"/>
      <c r="T5" s="88"/>
      <c r="U5" s="88"/>
      <c r="V5" s="88"/>
      <c r="W5" s="88"/>
    </row>
    <row r="6" spans="1:23" ht="24.75" customHeight="1" thickBot="1" x14ac:dyDescent="0.3">
      <c r="A6" s="186"/>
      <c r="B6" s="211" t="s">
        <v>43</v>
      </c>
      <c r="C6" s="209">
        <v>31</v>
      </c>
      <c r="D6" s="209">
        <v>28</v>
      </c>
      <c r="E6" s="209">
        <v>31</v>
      </c>
      <c r="F6" s="209">
        <v>30</v>
      </c>
      <c r="G6" s="209">
        <v>31</v>
      </c>
      <c r="H6" s="209">
        <v>30</v>
      </c>
      <c r="I6" s="209">
        <v>31</v>
      </c>
      <c r="J6" s="209">
        <v>31</v>
      </c>
      <c r="K6" s="209">
        <v>30</v>
      </c>
      <c r="L6" s="209">
        <v>31</v>
      </c>
      <c r="M6" s="209">
        <v>30</v>
      </c>
      <c r="N6" s="209">
        <v>31</v>
      </c>
      <c r="O6" s="493" t="s">
        <v>38</v>
      </c>
      <c r="P6" s="483" t="s">
        <v>546</v>
      </c>
      <c r="Q6" s="483" t="s">
        <v>547</v>
      </c>
      <c r="R6" s="186"/>
      <c r="S6" s="88"/>
      <c r="T6" s="88"/>
      <c r="U6" s="88"/>
      <c r="V6" s="88"/>
      <c r="W6" s="88"/>
    </row>
    <row r="7" spans="1:23" ht="34.5" customHeight="1" thickBot="1" x14ac:dyDescent="0.3">
      <c r="A7" s="186"/>
      <c r="B7" s="211" t="s">
        <v>44</v>
      </c>
      <c r="C7" s="211" t="s">
        <v>45</v>
      </c>
      <c r="D7" s="211" t="s">
        <v>46</v>
      </c>
      <c r="E7" s="211" t="s">
        <v>47</v>
      </c>
      <c r="F7" s="211" t="s">
        <v>48</v>
      </c>
      <c r="G7" s="211" t="s">
        <v>49</v>
      </c>
      <c r="H7" s="211" t="s">
        <v>50</v>
      </c>
      <c r="I7" s="211" t="s">
        <v>51</v>
      </c>
      <c r="J7" s="211" t="s">
        <v>52</v>
      </c>
      <c r="K7" s="211" t="s">
        <v>53</v>
      </c>
      <c r="L7" s="211" t="s">
        <v>54</v>
      </c>
      <c r="M7" s="211" t="s">
        <v>55</v>
      </c>
      <c r="N7" s="211" t="s">
        <v>56</v>
      </c>
      <c r="O7" s="484"/>
      <c r="P7" s="484"/>
      <c r="Q7" s="484"/>
      <c r="R7" s="186"/>
      <c r="S7" s="88"/>
      <c r="T7" s="88"/>
      <c r="U7" s="88"/>
      <c r="V7" s="88"/>
      <c r="W7" s="88"/>
    </row>
    <row r="8" spans="1:23" ht="32.25" customHeight="1" thickBot="1" x14ac:dyDescent="0.3">
      <c r="A8" s="186"/>
      <c r="B8" s="216" t="s">
        <v>57</v>
      </c>
      <c r="C8" s="191">
        <f>SUMIFS(BD!$G:$G,BD!$B:$B,"&gt;="&amp;C$1,BD!$B:$B,"&lt;="&amp;C$2)</f>
        <v>57326</v>
      </c>
      <c r="D8" s="191">
        <f>SUMIFS(BD!$G:$G,BD!$B:$B,"&gt;="&amp;D$1,BD!$B:$B,"&lt;="&amp;D$2)</f>
        <v>54938</v>
      </c>
      <c r="E8" s="191">
        <f>SUMIFS(BD!$G:$G,BD!$B:$B,"&gt;="&amp;E$1,BD!$B:$B,"&lt;="&amp;E$2)</f>
        <v>61393</v>
      </c>
      <c r="F8" s="191">
        <f>SUMIFS(BD!$G:$G,BD!$B:$B,"&gt;="&amp;F$1,BD!$B:$B,"&lt;="&amp;F$2)</f>
        <v>42084</v>
      </c>
      <c r="G8" s="191">
        <f>SUMIFS(BD!$G:$G,BD!$B:$B,"&gt;="&amp;G$1,BD!$B:$B,"&lt;="&amp;G$2)</f>
        <v>0</v>
      </c>
      <c r="H8" s="191">
        <f>SUMIFS(BD!$G:$G,BD!$B:$B,"&gt;="&amp;H$1,BD!$B:$B,"&lt;="&amp;H$2)</f>
        <v>0</v>
      </c>
      <c r="I8" s="191">
        <f>SUMIFS(BD!$G:$G,BD!$B:$B,"&gt;="&amp;I$1,BD!$B:$B,"&lt;="&amp;I$2)</f>
        <v>0</v>
      </c>
      <c r="J8" s="191">
        <f>SUMIFS(BD!$G:$G,BD!$B:$B,"&gt;="&amp;J$1,BD!$B:$B,"&lt;="&amp;J$2)</f>
        <v>0</v>
      </c>
      <c r="K8" s="191">
        <f>SUMIFS(BD!$G:$G,BD!$B:$B,"&gt;="&amp;K$1,BD!$B:$B,"&lt;="&amp;K$2)</f>
        <v>0</v>
      </c>
      <c r="L8" s="191">
        <f>SUMIFS(BD!$G:$G,BD!$B:$B,"&gt;="&amp;L$1,BD!$B:$B,"&lt;="&amp;L$2)</f>
        <v>0</v>
      </c>
      <c r="M8" s="191">
        <f>SUMIFS(BD!$G:$G,BD!$B:$B,"&gt;="&amp;M$1,BD!$B:$B,"&lt;="&amp;M$2)</f>
        <v>0</v>
      </c>
      <c r="N8" s="191">
        <f>SUMIFS(BD!$G:$G,BD!$B:$B,"&gt;="&amp;N$1,BD!$B:$B,"&lt;="&amp;N$2)</f>
        <v>0</v>
      </c>
      <c r="O8" s="213">
        <f t="shared" ref="O8:O16" si="0">SUM(C8:N8)</f>
        <v>215741</v>
      </c>
      <c r="P8" s="214">
        <f>O8/(COUNTIF(C8:N8,"&gt;0"))/30/24/3.6</f>
        <v>20.808352623456791</v>
      </c>
      <c r="Q8" s="215">
        <f t="shared" ref="Q8:Q16" si="1">O8/(COUNTIF(C8:N8,"&gt;0"))</f>
        <v>53935.25</v>
      </c>
      <c r="R8" s="186"/>
      <c r="S8" s="88"/>
      <c r="T8" s="88"/>
      <c r="U8" s="88"/>
      <c r="V8" s="88"/>
      <c r="W8" s="88"/>
    </row>
    <row r="9" spans="1:23" ht="32.25" customHeight="1" thickBot="1" x14ac:dyDescent="0.3">
      <c r="A9" s="186"/>
      <c r="B9" s="216" t="s">
        <v>58</v>
      </c>
      <c r="C9" s="191">
        <f>SUMIFS(BD!$L:$L,BD!$B:$B,"&gt;="&amp;C$1,BD!$B:$B,"&lt;="&amp;C$2)</f>
        <v>0</v>
      </c>
      <c r="D9" s="191">
        <f>SUMIFS(BD!$L:$L,BD!$B:$B,"&gt;="&amp;D$1,BD!$B:$B,"&lt;="&amp;D$2)</f>
        <v>0</v>
      </c>
      <c r="E9" s="191">
        <f>SUMIFS(BD!$L:$L,BD!$B:$B,"&gt;="&amp;E$1,BD!$B:$B,"&lt;="&amp;E$2)</f>
        <v>0</v>
      </c>
      <c r="F9" s="191">
        <f>SUMIFS(BD!$L:$L,BD!$B:$B,"&gt;="&amp;F$1,BD!$B:$B,"&lt;="&amp;F$2)</f>
        <v>0</v>
      </c>
      <c r="G9" s="191">
        <f>SUMIFS(BD!$L:$L,BD!$B:$B,"&gt;="&amp;G$1,BD!$B:$B,"&lt;="&amp;G$2)</f>
        <v>0</v>
      </c>
      <c r="H9" s="191">
        <f>SUMIFS(BD!$L:$L,BD!$B:$B,"&gt;="&amp;H$1,BD!$B:$B,"&lt;="&amp;H$2)</f>
        <v>0</v>
      </c>
      <c r="I9" s="191">
        <f>SUMIFS(BD!$L:$L,BD!$B:$B,"&gt;="&amp;I$1,BD!$B:$B,"&lt;="&amp;I$2)</f>
        <v>0</v>
      </c>
      <c r="J9" s="191">
        <f>SUMIFS(BD!$L:$L,BD!$B:$B,"&gt;="&amp;J$1,BD!$B:$B,"&lt;="&amp;J$2)</f>
        <v>0</v>
      </c>
      <c r="K9" s="191">
        <f>SUMIFS(BD!$L:$L,BD!$B:$B,"&gt;="&amp;K$1,BD!$B:$B,"&lt;="&amp;K$2)</f>
        <v>0</v>
      </c>
      <c r="L9" s="191">
        <f>SUMIFS(BD!$L:$L,BD!$B:$B,"&gt;="&amp;L$1,BD!$B:$B,"&lt;="&amp;L$2)</f>
        <v>0</v>
      </c>
      <c r="M9" s="191">
        <f>SUMIFS(BD!$L:$L,BD!$B:$B,"&gt;="&amp;M$1,BD!$B:$B,"&lt;="&amp;M$2)</f>
        <v>0</v>
      </c>
      <c r="N9" s="191">
        <f>SUMIFS(BD!$L:$L,BD!$B:$B,"&gt;="&amp;N$1,BD!$B:$B,"&lt;="&amp;N$2)</f>
        <v>0</v>
      </c>
      <c r="O9" s="213">
        <f t="shared" si="0"/>
        <v>0</v>
      </c>
      <c r="P9" s="214" t="e">
        <f>O9/(COUNTIF(C9:N9,"&gt;0"))/30/24/3.6</f>
        <v>#DIV/0!</v>
      </c>
      <c r="Q9" s="215" t="e">
        <f t="shared" si="1"/>
        <v>#DIV/0!</v>
      </c>
      <c r="R9" s="186"/>
      <c r="S9" s="88"/>
      <c r="T9" s="88"/>
      <c r="U9" s="88"/>
      <c r="V9" s="88"/>
      <c r="W9" s="88"/>
    </row>
    <row r="10" spans="1:23" ht="32.25" customHeight="1" thickBot="1" x14ac:dyDescent="0.3">
      <c r="A10" s="186"/>
      <c r="B10" s="216" t="s">
        <v>59</v>
      </c>
      <c r="C10" s="191">
        <f>SUMIFS(BD!$Q:$Q,BD!$B:$B,"&gt;="&amp;C$1,BD!$B:$B,"&lt;="&amp;C$2)</f>
        <v>253</v>
      </c>
      <c r="D10" s="191">
        <f>SUMIFS(BD!$Q:$Q,BD!$B:$B,"&gt;="&amp;D$1,BD!$B:$B,"&lt;="&amp;D$2)</f>
        <v>0</v>
      </c>
      <c r="E10" s="191">
        <f>SUMIFS(BD!$Q:$Q,BD!$B:$B,"&gt;="&amp;E$1,BD!$B:$B,"&lt;="&amp;E$2)</f>
        <v>0</v>
      </c>
      <c r="F10" s="191">
        <f>SUMIFS(BD!$Q:$Q,BD!$B:$B,"&gt;="&amp;F$1,BD!$B:$B,"&lt;="&amp;F$2)</f>
        <v>0</v>
      </c>
      <c r="G10" s="191">
        <f>SUMIFS(BD!$Q:$Q,BD!$B:$B,"&gt;="&amp;G$1,BD!$B:$B,"&lt;="&amp;G$2)</f>
        <v>0</v>
      </c>
      <c r="H10" s="191">
        <f>SUMIFS(BD!$Q:$Q,BD!$B:$B,"&gt;="&amp;H$1,BD!$B:$B,"&lt;="&amp;H$2)</f>
        <v>0</v>
      </c>
      <c r="I10" s="191">
        <f>SUMIFS(BD!$Q:$Q,BD!$B:$B,"&gt;="&amp;I$1,BD!$B:$B,"&lt;="&amp;I$2)</f>
        <v>0</v>
      </c>
      <c r="J10" s="191">
        <f>SUMIFS(BD!$Q:$Q,BD!$B:$B,"&gt;="&amp;J$1,BD!$B:$B,"&lt;="&amp;J$2)</f>
        <v>0</v>
      </c>
      <c r="K10" s="191">
        <f>SUMIFS(BD!$Q:$Q,BD!$B:$B,"&gt;="&amp;K$1,BD!$B:$B,"&lt;="&amp;K$2)</f>
        <v>0</v>
      </c>
      <c r="L10" s="191">
        <f>SUMIFS(BD!$Q:$Q,BD!$B:$B,"&gt;="&amp;L$1,BD!$B:$B,"&lt;="&amp;L$2)</f>
        <v>0</v>
      </c>
      <c r="M10" s="191">
        <f>SUMIFS(BD!$Q:$Q,BD!$B:$B,"&gt;="&amp;M$1,BD!$B:$B,"&lt;="&amp;M$2)</f>
        <v>0</v>
      </c>
      <c r="N10" s="191">
        <f>SUMIFS(BD!$Q:$Q,BD!$B:$B,"&gt;="&amp;N$1,BD!$B:$B,"&lt;="&amp;N$2)</f>
        <v>0</v>
      </c>
      <c r="O10" s="213">
        <f t="shared" si="0"/>
        <v>253</v>
      </c>
      <c r="P10" s="214">
        <f t="shared" ref="P10:P16" si="2">O10/(COUNTIF(C10:N10,"&gt;0"))/30/24/3.6</f>
        <v>9.7608024691358028E-2</v>
      </c>
      <c r="Q10" s="215">
        <f t="shared" si="1"/>
        <v>253</v>
      </c>
      <c r="R10" s="186"/>
      <c r="S10" s="88"/>
      <c r="T10" s="88"/>
      <c r="U10" s="88"/>
      <c r="V10" s="88"/>
      <c r="W10" s="88"/>
    </row>
    <row r="11" spans="1:23" ht="32.25" customHeight="1" thickBot="1" x14ac:dyDescent="0.3">
      <c r="A11" s="186"/>
      <c r="B11" s="216" t="s">
        <v>9</v>
      </c>
      <c r="C11" s="191">
        <f>SUMIFS(BD!$V:$V,BD!$B:$B,"&gt;="&amp;C$1,BD!$B:$B,"&lt;="&amp;C$2)</f>
        <v>44764</v>
      </c>
      <c r="D11" s="191">
        <f>SUMIFS(BD!$V:$V,BD!$B:$B,"&gt;="&amp;D$1,BD!$B:$B,"&lt;="&amp;D$2)</f>
        <v>39492</v>
      </c>
      <c r="E11" s="191">
        <f>SUMIFS(BD!$V:$V,BD!$B:$B,"&gt;="&amp;E$1,BD!$B:$B,"&lt;="&amp;E$2)</f>
        <v>52515</v>
      </c>
      <c r="F11" s="191">
        <f>SUMIFS(BD!$V:$V,BD!$B:$B,"&gt;="&amp;F$1,BD!$B:$B,"&lt;="&amp;F$2)</f>
        <v>9790</v>
      </c>
      <c r="G11" s="191">
        <f>SUMIFS(BD!$V:$V,BD!$B:$B,"&gt;="&amp;G$1,BD!$B:$B,"&lt;="&amp;G$2)</f>
        <v>0</v>
      </c>
      <c r="H11" s="191">
        <f>SUMIFS(BD!$V:$V,BD!$B:$B,"&gt;="&amp;H$1,BD!$B:$B,"&lt;="&amp;H$2)</f>
        <v>0</v>
      </c>
      <c r="I11" s="191">
        <f>SUMIFS(BD!$V:$V,BD!$B:$B,"&gt;="&amp;I$1,BD!$B:$B,"&lt;="&amp;I$2)</f>
        <v>0</v>
      </c>
      <c r="J11" s="191">
        <f>SUMIFS(BD!$V:$V,BD!$B:$B,"&gt;="&amp;J$1,BD!$B:$B,"&lt;="&amp;J$2)</f>
        <v>0</v>
      </c>
      <c r="K11" s="191">
        <f>SUMIFS(BD!$V:$V,BD!$B:$B,"&gt;="&amp;K$1,BD!$B:$B,"&lt;="&amp;K$2)</f>
        <v>0</v>
      </c>
      <c r="L11" s="191">
        <f>SUMIFS(BD!$V:$V,BD!$B:$B,"&gt;="&amp;L$1,BD!$B:$B,"&lt;="&amp;L$2)</f>
        <v>0</v>
      </c>
      <c r="M11" s="191">
        <f>SUMIFS(BD!$V:$V,BD!$B:$B,"&gt;="&amp;M$1,BD!$B:$B,"&lt;="&amp;M$2)</f>
        <v>0</v>
      </c>
      <c r="N11" s="191">
        <f>SUMIFS(BD!$V:$V,BD!$B:$B,"&gt;="&amp;N$1,BD!$B:$B,"&lt;="&amp;N$2)</f>
        <v>0</v>
      </c>
      <c r="O11" s="213">
        <f t="shared" si="0"/>
        <v>146561</v>
      </c>
      <c r="P11" s="214">
        <f t="shared" si="2"/>
        <v>14.135898919753085</v>
      </c>
      <c r="Q11" s="215">
        <f t="shared" si="1"/>
        <v>36640.25</v>
      </c>
      <c r="R11" s="186"/>
      <c r="S11" s="88"/>
      <c r="T11" s="88"/>
      <c r="U11" s="88"/>
      <c r="V11" s="88"/>
      <c r="W11" s="88"/>
    </row>
    <row r="12" spans="1:23" ht="32.25" customHeight="1" thickBot="1" x14ac:dyDescent="0.3">
      <c r="A12" s="186"/>
      <c r="B12" s="216" t="s">
        <v>61</v>
      </c>
      <c r="C12" s="191">
        <f>SUMIFS(BD!$AA:$AA,BD!$B:$B,"&gt;="&amp;C$1,BD!$B:$B,"&lt;="&amp;C$2)</f>
        <v>959092.09801076003</v>
      </c>
      <c r="D12" s="191">
        <f>SUMIFS(BD!$AA:$AA,BD!$B:$B,"&gt;="&amp;D$1,BD!$B:$B,"&lt;="&amp;D$2)</f>
        <v>887377.57971412013</v>
      </c>
      <c r="E12" s="191">
        <f>SUMIFS(BD!$AA:$AA,BD!$B:$B,"&gt;="&amp;E$1,BD!$B:$B,"&lt;="&amp;E$2)</f>
        <v>992868.32227511983</v>
      </c>
      <c r="F12" s="191">
        <f>SUMIFS(BD!$AA:$AA,BD!$B:$B,"&gt;="&amp;F$1,BD!$B:$B,"&lt;="&amp;F$2)</f>
        <v>1021447</v>
      </c>
      <c r="G12" s="191">
        <f>SUMIFS(BD!$AA:$AA,BD!$B:$B,"&gt;="&amp;G$1,BD!$B:$B,"&lt;="&amp;G$2)</f>
        <v>0</v>
      </c>
      <c r="H12" s="191">
        <f>SUMIFS(BD!$AA:$AA,BD!$B:$B,"&gt;="&amp;H$1,BD!$B:$B,"&lt;="&amp;H$2)</f>
        <v>0</v>
      </c>
      <c r="I12" s="191">
        <f>SUMIFS(BD!$AA:$AA,BD!$B:$B,"&gt;="&amp;I$1,BD!$B:$B,"&lt;="&amp;I$2)</f>
        <v>0</v>
      </c>
      <c r="J12" s="191">
        <f>SUMIFS(BD!$AA:$AA,BD!$B:$B,"&gt;="&amp;J$1,BD!$B:$B,"&lt;="&amp;J$2)</f>
        <v>0</v>
      </c>
      <c r="K12" s="191">
        <f>SUMIFS(BD!$AA:$AA,BD!$B:$B,"&gt;="&amp;K$1,BD!$B:$B,"&lt;="&amp;K$2)</f>
        <v>0</v>
      </c>
      <c r="L12" s="191">
        <f>SUMIFS(BD!$AA:$AA,BD!$B:$B,"&gt;="&amp;L$1,BD!$B:$B,"&lt;="&amp;L$2)</f>
        <v>0</v>
      </c>
      <c r="M12" s="191">
        <f>SUMIFS(BD!$AA:$AA,BD!$B:$B,"&gt;="&amp;M$1,BD!$B:$B,"&lt;="&amp;M$2)</f>
        <v>0</v>
      </c>
      <c r="N12" s="191">
        <f>SUMIFS(BD!$AA:$AA,BD!$B:$B,"&gt;="&amp;N$1,BD!$B:$B,"&lt;="&amp;N$2)</f>
        <v>0</v>
      </c>
      <c r="O12" s="213">
        <f t="shared" si="0"/>
        <v>3860785</v>
      </c>
      <c r="P12" s="214">
        <f t="shared" si="2"/>
        <v>372.37509645061726</v>
      </c>
      <c r="Q12" s="215">
        <f t="shared" si="1"/>
        <v>965196.25</v>
      </c>
      <c r="R12" s="186"/>
      <c r="S12" s="88"/>
      <c r="T12" s="88"/>
      <c r="U12" s="88"/>
      <c r="V12" s="88"/>
      <c r="W12" s="88"/>
    </row>
    <row r="13" spans="1:23" ht="32.25" customHeight="1" thickBot="1" x14ac:dyDescent="0.3">
      <c r="A13" s="186"/>
      <c r="B13" s="216" t="s">
        <v>62</v>
      </c>
      <c r="C13" s="191">
        <f>SUMIFS(BD!$AF:$AF,BD!$B:$B,"&gt;="&amp;C$1,BD!$B:$B,"&lt;="&amp;C$2)</f>
        <v>185124</v>
      </c>
      <c r="D13" s="191">
        <f>SUMIFS(BD!$AF:$AF,BD!$B:$B,"&gt;="&amp;D$1,BD!$B:$B,"&lt;="&amp;D$2)</f>
        <v>108202</v>
      </c>
      <c r="E13" s="191">
        <f>SUMIFS(BD!$AF:$AF,BD!$B:$B,"&gt;="&amp;E$1,BD!$B:$B,"&lt;="&amp;E$2)</f>
        <v>162215</v>
      </c>
      <c r="F13" s="191">
        <f>SUMIFS(BD!$AF:$AF,BD!$B:$B,"&gt;="&amp;F$1,BD!$B:$B,"&lt;="&amp;F$2)</f>
        <v>130077</v>
      </c>
      <c r="G13" s="191">
        <f>SUMIFS(BD!$AF:$AF,BD!$B:$B,"&gt;="&amp;G$1,BD!$B:$B,"&lt;="&amp;G$2)</f>
        <v>0</v>
      </c>
      <c r="H13" s="191">
        <f>SUMIFS(BD!$AF:$AF,BD!$B:$B,"&gt;="&amp;H$1,BD!$B:$B,"&lt;="&amp;H$2)</f>
        <v>0</v>
      </c>
      <c r="I13" s="191">
        <f>SUMIFS(BD!$AF:$AF,BD!$B:$B,"&gt;="&amp;I$1,BD!$B:$B,"&lt;="&amp;I$2)</f>
        <v>0</v>
      </c>
      <c r="J13" s="191">
        <f>SUMIFS(BD!$AF:$AF,BD!$B:$B,"&gt;="&amp;J$1,BD!$B:$B,"&lt;="&amp;J$2)</f>
        <v>0</v>
      </c>
      <c r="K13" s="191">
        <f>SUMIFS(BD!$AF:$AF,BD!$B:$B,"&gt;="&amp;K$1,BD!$B:$B,"&lt;="&amp;K$2)</f>
        <v>0</v>
      </c>
      <c r="L13" s="191">
        <f>SUMIFS(BD!$AF:$AF,BD!$B:$B,"&gt;="&amp;L$1,BD!$B:$B,"&lt;="&amp;L$2)</f>
        <v>0</v>
      </c>
      <c r="M13" s="191">
        <f>SUMIFS(BD!$AF:$AF,BD!$B:$B,"&gt;="&amp;M$1,BD!$B:$B,"&lt;="&amp;M$2)</f>
        <v>0</v>
      </c>
      <c r="N13" s="191">
        <f>SUMIFS(BD!$AF:$AF,BD!$B:$B,"&gt;="&amp;N$1,BD!$B:$B,"&lt;="&amp;N$2)</f>
        <v>0</v>
      </c>
      <c r="O13" s="213">
        <f t="shared" si="0"/>
        <v>585618</v>
      </c>
      <c r="P13" s="214">
        <f>O13/(COUNTIF(C13:N13,"&gt;0"))/30/24/3.6</f>
        <v>56.483217592592581</v>
      </c>
      <c r="Q13" s="215">
        <f t="shared" si="1"/>
        <v>146404.5</v>
      </c>
      <c r="R13" s="186"/>
      <c r="S13" s="88"/>
      <c r="T13" s="88"/>
      <c r="U13" s="88"/>
      <c r="V13" s="88"/>
      <c r="W13" s="88"/>
    </row>
    <row r="14" spans="1:23" ht="32.25" customHeight="1" thickBot="1" x14ac:dyDescent="0.3">
      <c r="A14" s="186"/>
      <c r="B14" s="216" t="s">
        <v>60</v>
      </c>
      <c r="C14" s="191">
        <f>SUMIFS(BD!$AK:$AK,BD!$B:$B,"&gt;="&amp;C$1,BD!$B:$B,"&lt;="&amp;C$2)</f>
        <v>53568</v>
      </c>
      <c r="D14" s="191">
        <f>SUMIFS(BD!$AK:$AK,BD!$B:$B,"&gt;="&amp;D$1,BD!$B:$B,"&lt;="&amp;D$2)</f>
        <v>101952</v>
      </c>
      <c r="E14" s="191">
        <f>SUMIFS(BD!$AK:$AK,BD!$B:$B,"&gt;="&amp;E$1,BD!$B:$B,"&lt;="&amp;E$2)</f>
        <v>155520</v>
      </c>
      <c r="F14" s="191">
        <f>SUMIFS(BD!$AK:$AK,BD!$B:$B,"&gt;="&amp;F$1,BD!$B:$B,"&lt;="&amp;F$2)</f>
        <v>89856</v>
      </c>
      <c r="G14" s="191">
        <f>SUMIFS(BD!$AK:$AK,BD!$B:$B,"&gt;="&amp;G$1,BD!$B:$B,"&lt;="&amp;G$2)</f>
        <v>0</v>
      </c>
      <c r="H14" s="191">
        <f>SUMIFS(BD!$AK:$AK,BD!$B:$B,"&gt;="&amp;H$1,BD!$B:$B,"&lt;="&amp;H$2)</f>
        <v>0</v>
      </c>
      <c r="I14" s="191">
        <f>SUMIFS(BD!$AK:$AK,BD!$B:$B,"&gt;="&amp;I$1,BD!$B:$B,"&lt;="&amp;I$2)</f>
        <v>0</v>
      </c>
      <c r="J14" s="191">
        <f>SUMIFS(BD!$AK:$AK,BD!$B:$B,"&gt;="&amp;J$1,BD!$B:$B,"&lt;="&amp;J$2)</f>
        <v>0</v>
      </c>
      <c r="K14" s="191">
        <f>SUMIFS(BD!$AK:$AK,BD!$B:$B,"&gt;="&amp;K$1,BD!$B:$B,"&lt;="&amp;K$2)</f>
        <v>0</v>
      </c>
      <c r="L14" s="191">
        <f>SUMIFS(BD!$AK:$AK,BD!$B:$B,"&gt;="&amp;L$1,BD!$B:$B,"&lt;="&amp;L$2)</f>
        <v>0</v>
      </c>
      <c r="M14" s="191">
        <f>SUMIFS(BD!$AK:$AK,BD!$B:$B,"&gt;="&amp;M$1,BD!$B:$B,"&lt;="&amp;M$2)</f>
        <v>0</v>
      </c>
      <c r="N14" s="191">
        <f>SUMIFS(BD!$AK:$AK,BD!$B:$B,"&gt;="&amp;N$1,BD!$B:$B,"&lt;="&amp;N$2)</f>
        <v>0</v>
      </c>
      <c r="O14" s="213">
        <f t="shared" si="0"/>
        <v>400896</v>
      </c>
      <c r="P14" s="214">
        <f t="shared" si="2"/>
        <v>38.666666666666671</v>
      </c>
      <c r="Q14" s="215">
        <f t="shared" si="1"/>
        <v>100224</v>
      </c>
      <c r="R14" s="186"/>
      <c r="S14" s="88"/>
      <c r="T14" s="88"/>
      <c r="U14" s="88"/>
      <c r="V14" s="88"/>
      <c r="W14" s="88"/>
    </row>
    <row r="15" spans="1:23" ht="32.25" customHeight="1" thickBot="1" x14ac:dyDescent="0.3">
      <c r="A15" s="186"/>
      <c r="B15" s="216" t="s">
        <v>63</v>
      </c>
      <c r="C15" s="191">
        <f>SUMIFS(BD!$AP:$AP,BD!$B:$B,"&gt;="&amp;C$1,BD!$B:$B,"&lt;="&amp;C$2)</f>
        <v>76593</v>
      </c>
      <c r="D15" s="191">
        <f>SUMIFS(BD!$AP:$AP,BD!$B:$B,"&gt;="&amp;D$1,BD!$B:$B,"&lt;="&amp;D$2)</f>
        <v>68379</v>
      </c>
      <c r="E15" s="191">
        <f>SUMIFS(BD!$AP:$AP,BD!$B:$B,"&gt;="&amp;E$1,BD!$B:$B,"&lt;="&amp;E$2)</f>
        <v>77865</v>
      </c>
      <c r="F15" s="191">
        <f>SUMIFS(BD!$AP:$AP,BD!$B:$B,"&gt;="&amp;F$1,BD!$B:$B,"&lt;="&amp;F$2)</f>
        <v>61798</v>
      </c>
      <c r="G15" s="191">
        <f>SUMIFS(BD!$AP:$AP,BD!$B:$B,"&gt;="&amp;G$1,BD!$B:$B,"&lt;="&amp;G$2)</f>
        <v>0</v>
      </c>
      <c r="H15" s="191">
        <f>SUMIFS(BD!$AP:$AP,BD!$B:$B,"&gt;="&amp;H$1,BD!$B:$B,"&lt;="&amp;H$2)</f>
        <v>0</v>
      </c>
      <c r="I15" s="191">
        <f>SUMIFS(BD!$AP:$AP,BD!$B:$B,"&gt;="&amp;I$1,BD!$B:$B,"&lt;="&amp;I$2)</f>
        <v>0</v>
      </c>
      <c r="J15" s="191">
        <f>SUMIFS(BD!$AP:$AP,BD!$B:$B,"&gt;="&amp;J$1,BD!$B:$B,"&lt;="&amp;J$2)</f>
        <v>0</v>
      </c>
      <c r="K15" s="191">
        <f>SUMIFS(BD!$AP:$AP,BD!$B:$B,"&gt;="&amp;K$1,BD!$B:$B,"&lt;="&amp;K$2)</f>
        <v>0</v>
      </c>
      <c r="L15" s="191">
        <f>SUMIFS(BD!$AP:$AP,BD!$B:$B,"&gt;="&amp;L$1,BD!$B:$B,"&lt;="&amp;L$2)</f>
        <v>0</v>
      </c>
      <c r="M15" s="191">
        <f>SUMIFS(BD!$AP:$AP,BD!$B:$B,"&gt;="&amp;M$1,BD!$B:$B,"&lt;="&amp;M$2)</f>
        <v>0</v>
      </c>
      <c r="N15" s="191">
        <f>SUMIFS(BD!$AP:$AP,BD!$B:$B,"&gt;="&amp;N$1,BD!$B:$B,"&lt;="&amp;N$2)</f>
        <v>0</v>
      </c>
      <c r="O15" s="213">
        <f t="shared" si="0"/>
        <v>284635</v>
      </c>
      <c r="P15" s="214">
        <f t="shared" si="2"/>
        <v>27.453221450617285</v>
      </c>
      <c r="Q15" s="215">
        <f t="shared" si="1"/>
        <v>71158.75</v>
      </c>
      <c r="R15" s="186"/>
      <c r="S15" s="88"/>
      <c r="T15" s="88"/>
      <c r="U15" s="88"/>
      <c r="V15" s="88"/>
      <c r="W15" s="88"/>
    </row>
    <row r="16" spans="1:23" ht="32.25" customHeight="1" thickBot="1" x14ac:dyDescent="0.3">
      <c r="A16" s="186"/>
      <c r="B16" s="216" t="s">
        <v>64</v>
      </c>
      <c r="C16" s="191">
        <f>SUMIFS(BD!$AZ:$AZ,BD!$B:$B,"&gt;="&amp;C$1,BD!$B:$B,"&lt;="&amp;C$2)</f>
        <v>18807</v>
      </c>
      <c r="D16" s="191">
        <f>SUMIFS(BD!$AZ:$AZ,BD!$B:$B,"&gt;="&amp;D$1,BD!$B:$B,"&lt;="&amp;D$2)</f>
        <v>16399</v>
      </c>
      <c r="E16" s="191">
        <f>SUMIFS(BD!$AZ:$AZ,BD!$B:$B,"&gt;="&amp;E$1,BD!$B:$B,"&lt;="&amp;E$2)</f>
        <v>19548</v>
      </c>
      <c r="F16" s="191">
        <f>SUMIFS(BD!$AZ:$AZ,BD!$B:$B,"&gt;="&amp;F$1,BD!$B:$B,"&lt;="&amp;F$2)</f>
        <v>13746</v>
      </c>
      <c r="G16" s="191">
        <f>SUMIFS(BD!$AZ:$AZ,BD!$B:$B,"&gt;="&amp;G$1,BD!$B:$B,"&lt;="&amp;G$2)</f>
        <v>0</v>
      </c>
      <c r="H16" s="191">
        <f>SUMIFS(BD!$AZ:$AZ,BD!$B:$B,"&gt;="&amp;H$1,BD!$B:$B,"&lt;="&amp;H$2)</f>
        <v>0</v>
      </c>
      <c r="I16" s="191">
        <f>SUMIFS(BD!$AZ:$AZ,BD!$B:$B,"&gt;="&amp;I$1,BD!$B:$B,"&lt;="&amp;I$2)</f>
        <v>0</v>
      </c>
      <c r="J16" s="191">
        <f>SUMIFS(BD!$AZ:$AZ,BD!$B:$B,"&gt;="&amp;J$1,BD!$B:$B,"&lt;="&amp;J$2)</f>
        <v>0</v>
      </c>
      <c r="K16" s="191">
        <f>SUMIFS(BD!$AZ:$AZ,BD!$B:$B,"&gt;="&amp;K$1,BD!$B:$B,"&lt;="&amp;K$2)</f>
        <v>0</v>
      </c>
      <c r="L16" s="191">
        <f>SUMIFS(BD!$AZ:$AZ,BD!$B:$B,"&gt;="&amp;L$1,BD!$B:$B,"&lt;="&amp;L$2)</f>
        <v>0</v>
      </c>
      <c r="M16" s="191">
        <f>SUMIFS(BD!$AZ:$AZ,BD!$B:$B,"&gt;="&amp;M$1,BD!$B:$B,"&lt;="&amp;M$2)</f>
        <v>0</v>
      </c>
      <c r="N16" s="191">
        <f>SUMIFS(BD!$AZ:$AZ,BD!$B:$B,"&gt;="&amp;N$1,BD!$B:$B,"&lt;="&amp;N$2)</f>
        <v>0</v>
      </c>
      <c r="O16" s="213">
        <f t="shared" si="0"/>
        <v>68500</v>
      </c>
      <c r="P16" s="214">
        <f t="shared" si="2"/>
        <v>6.606867283950618</v>
      </c>
      <c r="Q16" s="215">
        <f t="shared" si="1"/>
        <v>17125</v>
      </c>
      <c r="R16" s="186"/>
      <c r="S16" s="88"/>
      <c r="T16" s="88"/>
      <c r="U16" s="88"/>
      <c r="V16" s="88"/>
      <c r="W16" s="88"/>
    </row>
    <row r="17" spans="1:23" ht="32.25" customHeight="1" thickBot="1" x14ac:dyDescent="0.3">
      <c r="A17" s="186"/>
      <c r="B17" s="217" t="s">
        <v>467</v>
      </c>
      <c r="C17" s="212">
        <f>SUM(C8:C16)</f>
        <v>1395527.09801076</v>
      </c>
      <c r="D17" s="212">
        <f>SUM(D8:D16)</f>
        <v>1276739.5797141201</v>
      </c>
      <c r="E17" s="212">
        <f t="shared" ref="E17:N17" si="3">SUM(E8:E16)</f>
        <v>1521924.3222751198</v>
      </c>
      <c r="F17" s="212">
        <f t="shared" si="3"/>
        <v>1368798</v>
      </c>
      <c r="G17" s="212">
        <f t="shared" si="3"/>
        <v>0</v>
      </c>
      <c r="H17" s="212">
        <f t="shared" si="3"/>
        <v>0</v>
      </c>
      <c r="I17" s="212">
        <f t="shared" si="3"/>
        <v>0</v>
      </c>
      <c r="J17" s="212">
        <f t="shared" si="3"/>
        <v>0</v>
      </c>
      <c r="K17" s="212">
        <f t="shared" si="3"/>
        <v>0</v>
      </c>
      <c r="L17" s="212">
        <f t="shared" si="3"/>
        <v>0</v>
      </c>
      <c r="M17" s="212">
        <f t="shared" si="3"/>
        <v>0</v>
      </c>
      <c r="N17" s="212">
        <f t="shared" si="3"/>
        <v>0</v>
      </c>
      <c r="O17" s="212">
        <f>SUM(C17:N17)</f>
        <v>5562989</v>
      </c>
      <c r="P17" s="186"/>
      <c r="Q17" s="186"/>
      <c r="R17" s="88"/>
      <c r="S17" s="88"/>
      <c r="T17" s="88"/>
      <c r="U17" s="88"/>
      <c r="V17" s="88"/>
      <c r="W17" s="88"/>
    </row>
    <row r="18" spans="1:23" ht="32.25" customHeight="1" thickBot="1" x14ac:dyDescent="0.3">
      <c r="A18" s="186"/>
      <c r="B18" s="218" t="s">
        <v>476</v>
      </c>
      <c r="C18" s="210">
        <f t="shared" ref="C18:N18" si="4">+C17/C$6</f>
        <v>45017.003161637418</v>
      </c>
      <c r="D18" s="210">
        <f t="shared" si="4"/>
        <v>45597.842132647151</v>
      </c>
      <c r="E18" s="210">
        <f t="shared" si="4"/>
        <v>49094.332976616766</v>
      </c>
      <c r="F18" s="210">
        <f t="shared" si="4"/>
        <v>45626.6</v>
      </c>
      <c r="G18" s="210">
        <f t="shared" si="4"/>
        <v>0</v>
      </c>
      <c r="H18" s="210">
        <f t="shared" si="4"/>
        <v>0</v>
      </c>
      <c r="I18" s="210">
        <f t="shared" si="4"/>
        <v>0</v>
      </c>
      <c r="J18" s="210">
        <f t="shared" si="4"/>
        <v>0</v>
      </c>
      <c r="K18" s="210">
        <f t="shared" si="4"/>
        <v>0</v>
      </c>
      <c r="L18" s="210">
        <f t="shared" si="4"/>
        <v>0</v>
      </c>
      <c r="M18" s="210">
        <f t="shared" si="4"/>
        <v>0</v>
      </c>
      <c r="N18" s="210">
        <f t="shared" si="4"/>
        <v>0</v>
      </c>
      <c r="O18" s="210">
        <f>AVERAGE(C18:N18)</f>
        <v>15444.64818924178</v>
      </c>
      <c r="P18" s="186"/>
      <c r="Q18" s="88"/>
      <c r="R18" s="88"/>
      <c r="S18" s="88"/>
      <c r="T18" s="88"/>
      <c r="U18" s="88"/>
      <c r="V18" s="88"/>
      <c r="W18" s="88"/>
    </row>
    <row r="19" spans="1:23" ht="33" customHeight="1" thickBot="1" x14ac:dyDescent="0.3">
      <c r="A19" s="88"/>
      <c r="B19" s="218" t="s">
        <v>570</v>
      </c>
      <c r="C19" s="210">
        <f>+C17*0.9</f>
        <v>1255974.3882096841</v>
      </c>
      <c r="D19" s="210">
        <f t="shared" ref="D19:N19" si="5">+D17*0.9</f>
        <v>1149065.6217427081</v>
      </c>
      <c r="E19" s="210">
        <f t="shared" si="5"/>
        <v>1369731.8900476079</v>
      </c>
      <c r="F19" s="210">
        <f t="shared" si="5"/>
        <v>1231918.2</v>
      </c>
      <c r="G19" s="210">
        <f t="shared" si="5"/>
        <v>0</v>
      </c>
      <c r="H19" s="210">
        <f t="shared" si="5"/>
        <v>0</v>
      </c>
      <c r="I19" s="210">
        <f t="shared" si="5"/>
        <v>0</v>
      </c>
      <c r="J19" s="210">
        <f t="shared" si="5"/>
        <v>0</v>
      </c>
      <c r="K19" s="210">
        <f>+K17*0.9</f>
        <v>0</v>
      </c>
      <c r="L19" s="210">
        <f>+L17*0.9</f>
        <v>0</v>
      </c>
      <c r="M19" s="210">
        <f t="shared" si="5"/>
        <v>0</v>
      </c>
      <c r="N19" s="210">
        <f t="shared" si="5"/>
        <v>0</v>
      </c>
      <c r="O19" s="210">
        <f>SUM(C19:N19)</f>
        <v>5006690.1000000006</v>
      </c>
      <c r="P19" s="88"/>
      <c r="Q19" s="88"/>
      <c r="R19" s="88"/>
      <c r="S19" s="88"/>
      <c r="T19" s="88"/>
      <c r="U19" s="88"/>
      <c r="V19" s="88"/>
      <c r="W19" s="88"/>
    </row>
    <row r="20" spans="1:23" ht="15" customHeight="1" x14ac:dyDescent="0.25">
      <c r="A20" s="88"/>
      <c r="B20" s="88"/>
      <c r="C20" s="88"/>
      <c r="D20" s="88"/>
      <c r="E20" s="88"/>
      <c r="F20" s="88"/>
      <c r="G20" s="88"/>
      <c r="H20" s="88"/>
      <c r="I20" s="88"/>
      <c r="J20" s="88"/>
      <c r="K20" s="88"/>
      <c r="L20" s="88"/>
      <c r="M20" s="88"/>
      <c r="N20" s="88"/>
      <c r="O20" s="88"/>
      <c r="P20" s="88"/>
      <c r="Q20" s="88"/>
      <c r="R20" s="88"/>
      <c r="S20" s="88"/>
      <c r="T20" s="88"/>
      <c r="U20" s="88"/>
      <c r="V20" s="88"/>
      <c r="W20" s="88"/>
    </row>
    <row r="21" spans="1:23" ht="15.75"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row>
    <row r="22" spans="1:23" ht="15.75" customHeight="1" x14ac:dyDescent="0.25">
      <c r="A22" s="88"/>
      <c r="B22" s="88"/>
      <c r="C22" s="88"/>
      <c r="D22" s="88"/>
      <c r="E22" s="88"/>
      <c r="F22" s="88"/>
      <c r="G22" s="88"/>
      <c r="H22" s="88"/>
      <c r="I22" s="88"/>
      <c r="J22" s="88"/>
      <c r="K22" s="88"/>
      <c r="L22" s="88"/>
      <c r="M22" s="88"/>
      <c r="N22" s="88"/>
      <c r="O22" s="88"/>
      <c r="P22" s="88"/>
      <c r="Q22" s="88"/>
      <c r="R22" s="88"/>
      <c r="S22" s="88"/>
      <c r="T22" s="88"/>
      <c r="U22" s="88"/>
      <c r="V22" s="88"/>
      <c r="W22" s="88"/>
    </row>
    <row r="23" spans="1:23" ht="15.75" customHeight="1" x14ac:dyDescent="0.25">
      <c r="A23" s="88"/>
      <c r="B23" s="88"/>
      <c r="C23" s="88"/>
      <c r="D23" s="88"/>
      <c r="E23" s="88"/>
      <c r="F23" s="88"/>
      <c r="G23" s="88"/>
      <c r="H23" s="88"/>
      <c r="I23" s="88"/>
      <c r="J23" s="88"/>
      <c r="K23" s="88"/>
      <c r="L23" s="88"/>
      <c r="M23" s="88"/>
      <c r="N23" s="88"/>
      <c r="O23" s="88"/>
      <c r="P23" s="88"/>
      <c r="Q23" s="88"/>
      <c r="R23" s="88"/>
      <c r="S23" s="88"/>
      <c r="T23" s="88"/>
      <c r="U23" s="88"/>
      <c r="V23" s="88"/>
      <c r="W23" s="88"/>
    </row>
    <row r="24" spans="1:23" ht="57" customHeight="1" x14ac:dyDescent="0.25">
      <c r="A24" s="88"/>
      <c r="B24" s="88"/>
      <c r="C24" s="88"/>
      <c r="D24" s="88"/>
      <c r="E24" s="88"/>
      <c r="F24" s="88"/>
      <c r="G24" s="88"/>
      <c r="H24" s="88"/>
      <c r="I24" s="88"/>
      <c r="J24" s="88"/>
      <c r="K24" s="88"/>
      <c r="L24" s="189"/>
      <c r="M24" s="88"/>
      <c r="N24" s="88"/>
      <c r="O24" s="88"/>
      <c r="P24" s="88"/>
      <c r="Q24" s="88"/>
      <c r="R24" s="88"/>
      <c r="S24" s="88"/>
      <c r="T24" s="88"/>
      <c r="U24" s="88"/>
      <c r="V24" s="88"/>
      <c r="W24" s="88"/>
    </row>
    <row r="25" spans="1:23" ht="45.75"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row>
    <row r="26" spans="1:23" ht="15.75" customHeight="1" x14ac:dyDescent="0.25">
      <c r="A26" s="88"/>
      <c r="B26" s="88"/>
      <c r="C26" s="88"/>
      <c r="D26" s="88"/>
      <c r="E26" s="88"/>
      <c r="F26" s="88"/>
      <c r="G26" s="88"/>
      <c r="H26" s="88"/>
      <c r="I26" s="88"/>
      <c r="J26" s="88"/>
      <c r="K26" s="88"/>
      <c r="L26" s="88"/>
      <c r="M26" s="88"/>
      <c r="N26" s="88"/>
      <c r="O26" s="88"/>
      <c r="P26" s="88"/>
      <c r="Q26" s="88"/>
      <c r="R26" s="88"/>
      <c r="S26" s="88"/>
      <c r="T26" s="88"/>
      <c r="U26" s="88"/>
      <c r="V26" s="88"/>
      <c r="W26" s="88"/>
    </row>
    <row r="27" spans="1:23" ht="15.75" customHeight="1" x14ac:dyDescent="0.25"/>
    <row r="28" spans="1:23" ht="15.75" customHeight="1" x14ac:dyDescent="0.25"/>
    <row r="29" spans="1:23" ht="15.75" customHeight="1" x14ac:dyDescent="0.25"/>
    <row r="30" spans="1:23" ht="15.75" customHeight="1" x14ac:dyDescent="0.25"/>
    <row r="31" spans="1:23" ht="15.75" customHeight="1" x14ac:dyDescent="0.25"/>
    <row r="32" spans="1:23" ht="30" customHeight="1" x14ac:dyDescent="0.25"/>
    <row r="33" ht="26.25" customHeight="1" x14ac:dyDescent="0.25"/>
    <row r="34" ht="30.75" customHeight="1" x14ac:dyDescent="0.25"/>
    <row r="35" ht="30.75" customHeight="1" x14ac:dyDescent="0.25"/>
    <row r="36" ht="30.75" customHeight="1" x14ac:dyDescent="0.25"/>
    <row r="37" ht="30.75" customHeight="1" x14ac:dyDescent="0.25"/>
    <row r="38" ht="30.75" customHeight="1" x14ac:dyDescent="0.25"/>
    <row r="39" ht="30.75" customHeight="1" x14ac:dyDescent="0.25"/>
    <row r="40" ht="30.75" customHeight="1" x14ac:dyDescent="0.25"/>
    <row r="41" ht="30.75" customHeight="1" x14ac:dyDescent="0.25"/>
    <row r="42" ht="30.75" customHeight="1" x14ac:dyDescent="0.25"/>
    <row r="43" ht="30.75" customHeight="1" x14ac:dyDescent="0.25"/>
    <row r="44" ht="30.75" customHeight="1" x14ac:dyDescent="0.25"/>
  </sheetData>
  <mergeCells count="6">
    <mergeCell ref="P6:P7"/>
    <mergeCell ref="Q6:Q7"/>
    <mergeCell ref="C3:N3"/>
    <mergeCell ref="O3:O4"/>
    <mergeCell ref="C4:N4"/>
    <mergeCell ref="O6:O7"/>
  </mergeCells>
  <pageMargins left="0.7" right="0.7" top="0.75" bottom="0.75" header="0" footer="0"/>
  <pageSetup paperSize="9" scale="23"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0"/>
  <dimension ref="A1:AD43"/>
  <sheetViews>
    <sheetView showGridLines="0" zoomScale="70" zoomScaleNormal="70" workbookViewId="0">
      <selection activeCell="M44" sqref="M44"/>
    </sheetView>
  </sheetViews>
  <sheetFormatPr baseColWidth="10" defaultColWidth="14.42578125" defaultRowHeight="15" customHeight="1" x14ac:dyDescent="0.25"/>
  <cols>
    <col min="1" max="1" width="10.7109375" customWidth="1"/>
    <col min="2" max="2" width="8.140625" customWidth="1"/>
    <col min="3" max="3" width="16.85546875" bestFit="1" customWidth="1"/>
    <col min="4" max="4" width="37.5703125" customWidth="1"/>
    <col min="5" max="5" width="35.7109375" style="114" customWidth="1"/>
    <col min="6" max="6" width="35.42578125" style="260" bestFit="1" customWidth="1"/>
    <col min="7" max="7" width="12.140625" customWidth="1"/>
    <col min="8" max="8" width="35.42578125" style="260" bestFit="1" customWidth="1"/>
    <col min="9" max="9" width="11.85546875" bestFit="1" customWidth="1"/>
    <col min="10" max="10" width="21.42578125" customWidth="1"/>
    <col min="11" max="11" width="21.85546875" bestFit="1" customWidth="1"/>
    <col min="12" max="12" width="29.85546875" customWidth="1"/>
    <col min="13" max="13" width="34.85546875" customWidth="1"/>
    <col min="14" max="14" width="18.7109375" customWidth="1"/>
    <col min="15" max="15" width="50.5703125" customWidth="1"/>
    <col min="16" max="16" width="29.5703125" bestFit="1" customWidth="1"/>
    <col min="17" max="21" width="10.7109375" customWidth="1"/>
    <col min="22" max="22" width="25.28515625" customWidth="1"/>
    <col min="23" max="23" width="14.140625" customWidth="1"/>
    <col min="24" max="28" width="10.7109375" customWidth="1"/>
    <col min="30" max="30" width="21.5703125" customWidth="1"/>
  </cols>
  <sheetData>
    <row r="1" spans="2:30" ht="15" customHeight="1" x14ac:dyDescent="0.25">
      <c r="F1"/>
      <c r="H1"/>
    </row>
    <row r="2" spans="2:30" ht="15" customHeight="1" x14ac:dyDescent="0.25">
      <c r="B2" s="383"/>
      <c r="C2" s="383"/>
      <c r="D2" s="383"/>
      <c r="E2" s="384"/>
      <c r="F2" s="383"/>
      <c r="G2" s="383"/>
      <c r="H2" s="383"/>
      <c r="I2" s="383"/>
      <c r="J2" s="383"/>
      <c r="K2" s="383"/>
      <c r="L2" s="383"/>
      <c r="M2" s="383"/>
      <c r="N2" s="383"/>
      <c r="O2" s="383"/>
    </row>
    <row r="3" spans="2:30" ht="31.5" customHeight="1" x14ac:dyDescent="0.25">
      <c r="B3" s="385"/>
      <c r="C3" s="385"/>
      <c r="D3" s="385"/>
      <c r="E3" s="386"/>
      <c r="F3" s="505" t="s">
        <v>75</v>
      </c>
      <c r="G3" s="506"/>
      <c r="H3" s="507" t="s">
        <v>76</v>
      </c>
      <c r="I3" s="506"/>
      <c r="J3" s="387"/>
      <c r="K3" s="387"/>
      <c r="L3" s="387"/>
      <c r="M3" s="387"/>
      <c r="N3" s="387"/>
      <c r="O3" s="387"/>
    </row>
    <row r="4" spans="2:30" ht="39.75" customHeight="1" x14ac:dyDescent="0.25">
      <c r="B4" s="296" t="s">
        <v>77</v>
      </c>
      <c r="C4" s="296" t="s">
        <v>614</v>
      </c>
      <c r="D4" s="296" t="s">
        <v>78</v>
      </c>
      <c r="E4" s="296" t="s">
        <v>79</v>
      </c>
      <c r="F4" s="323" t="s">
        <v>80</v>
      </c>
      <c r="G4" s="324" t="s">
        <v>81</v>
      </c>
      <c r="H4" s="323" t="s">
        <v>82</v>
      </c>
      <c r="I4" s="324" t="s">
        <v>464</v>
      </c>
      <c r="J4" s="297" t="s">
        <v>83</v>
      </c>
      <c r="K4" s="220" t="s">
        <v>572</v>
      </c>
      <c r="L4" s="220" t="s">
        <v>573</v>
      </c>
      <c r="M4" s="220" t="s">
        <v>617</v>
      </c>
      <c r="N4" s="220" t="s">
        <v>619</v>
      </c>
      <c r="O4" s="220" t="s">
        <v>620</v>
      </c>
      <c r="U4" s="298"/>
      <c r="V4" s="508" t="s">
        <v>643</v>
      </c>
      <c r="W4" s="497" t="s">
        <v>644</v>
      </c>
      <c r="X4" s="497" t="s">
        <v>645</v>
      </c>
      <c r="Y4" s="497" t="s">
        <v>646</v>
      </c>
      <c r="Z4" s="497" t="s">
        <v>647</v>
      </c>
      <c r="AA4" s="497" t="s">
        <v>648</v>
      </c>
      <c r="AB4" s="497" t="s">
        <v>649</v>
      </c>
      <c r="AC4" s="299" t="s">
        <v>38</v>
      </c>
    </row>
    <row r="5" spans="2:30" ht="128.25" hidden="1" x14ac:dyDescent="0.25">
      <c r="B5" s="295">
        <v>1</v>
      </c>
      <c r="C5" s="295" t="s">
        <v>615</v>
      </c>
      <c r="D5" s="295" t="s">
        <v>468</v>
      </c>
      <c r="E5" s="295" t="s">
        <v>611</v>
      </c>
      <c r="F5" s="291">
        <v>46031</v>
      </c>
      <c r="G5" s="292">
        <v>0.25</v>
      </c>
      <c r="H5" s="291">
        <v>46031</v>
      </c>
      <c r="I5" s="292">
        <v>0.375</v>
      </c>
      <c r="J5" s="293">
        <f>(Tabla4[[#This Row],[HORA2]]-Tabla4[[#This Row],[HORA]])*24</f>
        <v>3</v>
      </c>
      <c r="K5" s="294" t="s">
        <v>553</v>
      </c>
      <c r="L5" s="295" t="s">
        <v>543</v>
      </c>
      <c r="M5" s="295" t="s">
        <v>618</v>
      </c>
      <c r="N5" s="295">
        <v>500</v>
      </c>
      <c r="O5" s="295" t="s">
        <v>621</v>
      </c>
      <c r="U5" s="298"/>
      <c r="V5" s="509"/>
      <c r="W5" s="498"/>
      <c r="X5" s="498"/>
      <c r="Y5" s="498"/>
      <c r="Z5" s="498"/>
      <c r="AA5" s="498"/>
      <c r="AB5" s="498"/>
      <c r="AC5" s="298"/>
    </row>
    <row r="6" spans="2:30" ht="128.25" hidden="1" x14ac:dyDescent="0.25">
      <c r="B6" s="295">
        <v>2</v>
      </c>
      <c r="C6" s="295" t="s">
        <v>615</v>
      </c>
      <c r="D6" s="295" t="s">
        <v>468</v>
      </c>
      <c r="E6" s="295" t="s">
        <v>616</v>
      </c>
      <c r="F6" s="291">
        <v>46032</v>
      </c>
      <c r="G6" s="292">
        <v>0.41666666666666669</v>
      </c>
      <c r="H6" s="291">
        <v>46032</v>
      </c>
      <c r="I6" s="292">
        <v>0.58333333333333337</v>
      </c>
      <c r="J6" s="293">
        <f>(Tabla4[[#This Row],[HORA2]]-Tabla4[[#This Row],[HORA]])*24</f>
        <v>4</v>
      </c>
      <c r="K6" s="294" t="s">
        <v>612</v>
      </c>
      <c r="L6" s="294" t="s">
        <v>613</v>
      </c>
      <c r="M6" s="295" t="s">
        <v>618</v>
      </c>
      <c r="N6" s="295">
        <v>500</v>
      </c>
      <c r="O6" s="295" t="s">
        <v>543</v>
      </c>
      <c r="U6" s="300" t="s">
        <v>650</v>
      </c>
      <c r="V6" s="394">
        <v>5436</v>
      </c>
      <c r="W6" s="394">
        <v>5261</v>
      </c>
      <c r="X6" s="394">
        <v>15093</v>
      </c>
      <c r="Y6" s="394">
        <v>1787</v>
      </c>
      <c r="Z6" s="395">
        <v>9358</v>
      </c>
      <c r="AA6" s="396">
        <v>1041</v>
      </c>
      <c r="AB6" s="396">
        <v>1416</v>
      </c>
      <c r="AC6" s="301">
        <f>SUM(V6:AB6)</f>
        <v>39392</v>
      </c>
    </row>
    <row r="7" spans="2:30" ht="33" hidden="1" customHeight="1" x14ac:dyDescent="0.25">
      <c r="B7" s="295">
        <v>3</v>
      </c>
      <c r="C7" s="295" t="s">
        <v>615</v>
      </c>
      <c r="D7" s="295" t="s">
        <v>550</v>
      </c>
      <c r="E7" s="295" t="s">
        <v>630</v>
      </c>
      <c r="F7" s="291">
        <v>46034</v>
      </c>
      <c r="G7" s="292">
        <v>0.47916666666666669</v>
      </c>
      <c r="H7" s="291">
        <v>46034</v>
      </c>
      <c r="I7" s="292">
        <v>0.5625</v>
      </c>
      <c r="J7" s="293">
        <v>2</v>
      </c>
      <c r="K7" s="294" t="s">
        <v>553</v>
      </c>
      <c r="L7" s="295" t="s">
        <v>553</v>
      </c>
      <c r="M7" s="295" t="s">
        <v>629</v>
      </c>
      <c r="N7" s="305">
        <v>33892</v>
      </c>
      <c r="O7" s="295" t="s">
        <v>543</v>
      </c>
      <c r="U7" s="300" t="s">
        <v>651</v>
      </c>
      <c r="V7" s="302">
        <f>V6/AC6</f>
        <v>0.13799756295694557</v>
      </c>
      <c r="W7" s="302">
        <f>W6/AC6</f>
        <v>0.13355503655564582</v>
      </c>
      <c r="X7" s="302">
        <f>X6/AC6</f>
        <v>0.38314886271324128</v>
      </c>
      <c r="Y7" s="302">
        <f>Y6/AC6</f>
        <v>4.536454102355808E-2</v>
      </c>
      <c r="Z7" s="302">
        <f>Z6/AC6</f>
        <v>0.23756092607636067</v>
      </c>
      <c r="AA7" s="302">
        <f>AA6/AC6</f>
        <v>2.642668562144598E-2</v>
      </c>
      <c r="AB7" s="302">
        <f>AB6/AC6</f>
        <v>3.59463850528026E-2</v>
      </c>
      <c r="AC7" s="302">
        <f>V7+Y7+Z7+AA7+AB7</f>
        <v>0.4832961007311129</v>
      </c>
    </row>
    <row r="8" spans="2:30" ht="43.5" hidden="1" customHeight="1" x14ac:dyDescent="0.25">
      <c r="B8" s="295">
        <v>4</v>
      </c>
      <c r="C8" s="295" t="s">
        <v>615</v>
      </c>
      <c r="D8" s="295" t="s">
        <v>550</v>
      </c>
      <c r="E8" s="295" t="s">
        <v>630</v>
      </c>
      <c r="F8" s="291">
        <v>46035</v>
      </c>
      <c r="G8" s="292">
        <v>0.20833333333333334</v>
      </c>
      <c r="H8" s="291">
        <v>46035</v>
      </c>
      <c r="I8" s="292">
        <v>0.66666666666666663</v>
      </c>
      <c r="J8" s="293">
        <v>11</v>
      </c>
      <c r="K8" s="294" t="s">
        <v>627</v>
      </c>
      <c r="L8" s="295" t="s">
        <v>628</v>
      </c>
      <c r="M8" s="295" t="s">
        <v>629</v>
      </c>
      <c r="N8" s="305">
        <v>16055</v>
      </c>
      <c r="O8" s="321" t="s">
        <v>663</v>
      </c>
      <c r="P8" s="306"/>
      <c r="Q8" s="306"/>
      <c r="R8" s="306"/>
      <c r="S8" s="306"/>
      <c r="T8" s="306"/>
      <c r="U8" s="307"/>
    </row>
    <row r="9" spans="2:30" ht="45.75" hidden="1" customHeight="1" x14ac:dyDescent="0.25">
      <c r="B9" s="295">
        <v>5</v>
      </c>
      <c r="C9" s="295" t="s">
        <v>615</v>
      </c>
      <c r="D9" s="295" t="s">
        <v>550</v>
      </c>
      <c r="E9" s="295" t="s">
        <v>630</v>
      </c>
      <c r="F9" s="291">
        <v>46037</v>
      </c>
      <c r="G9" s="292">
        <v>0.16666666666666666</v>
      </c>
      <c r="H9" s="291">
        <v>46037</v>
      </c>
      <c r="I9" s="292">
        <v>0.72916666666666663</v>
      </c>
      <c r="J9" s="293">
        <v>13.3</v>
      </c>
      <c r="K9" s="294" t="s">
        <v>631</v>
      </c>
      <c r="L9" s="295" t="s">
        <v>632</v>
      </c>
      <c r="M9" s="295" t="s">
        <v>629</v>
      </c>
      <c r="N9" s="305">
        <v>16055</v>
      </c>
      <c r="O9" s="322" t="s">
        <v>663</v>
      </c>
      <c r="P9" s="306"/>
      <c r="Q9" s="306"/>
      <c r="R9" s="306"/>
      <c r="S9" s="306"/>
      <c r="T9" s="306"/>
      <c r="U9" s="307"/>
      <c r="V9" s="304" t="s">
        <v>554</v>
      </c>
      <c r="W9" s="303">
        <f>Z6</f>
        <v>9358</v>
      </c>
      <c r="X9" s="499" t="s">
        <v>662</v>
      </c>
      <c r="Y9" s="499"/>
      <c r="Z9" s="499"/>
      <c r="AA9" s="499"/>
      <c r="AB9" s="499"/>
      <c r="AC9" s="499"/>
      <c r="AD9" s="499"/>
    </row>
    <row r="10" spans="2:30" ht="45.75" hidden="1" customHeight="1" x14ac:dyDescent="0.25">
      <c r="B10" s="295">
        <v>6</v>
      </c>
      <c r="C10" s="295" t="s">
        <v>615</v>
      </c>
      <c r="D10" s="295" t="s">
        <v>550</v>
      </c>
      <c r="E10" s="295" t="s">
        <v>630</v>
      </c>
      <c r="F10" s="291">
        <v>46038</v>
      </c>
      <c r="G10" s="292">
        <v>0.20833333333333334</v>
      </c>
      <c r="H10" s="291">
        <v>46038</v>
      </c>
      <c r="I10" s="292">
        <v>0.46875</v>
      </c>
      <c r="J10" s="293">
        <v>6.15</v>
      </c>
      <c r="K10" s="294" t="s">
        <v>633</v>
      </c>
      <c r="L10" s="295" t="s">
        <v>634</v>
      </c>
      <c r="M10" s="295" t="s">
        <v>629</v>
      </c>
      <c r="N10" s="305">
        <v>33892</v>
      </c>
      <c r="O10" s="295" t="s">
        <v>659</v>
      </c>
      <c r="V10" s="304" t="s">
        <v>109</v>
      </c>
      <c r="W10" s="412">
        <v>800</v>
      </c>
      <c r="X10" s="503" t="s">
        <v>654</v>
      </c>
      <c r="Y10" s="499"/>
      <c r="Z10" s="499"/>
      <c r="AA10" s="499"/>
      <c r="AB10" s="499"/>
      <c r="AC10" s="499"/>
      <c r="AD10" s="499"/>
    </row>
    <row r="11" spans="2:30" ht="45.75" hidden="1" customHeight="1" x14ac:dyDescent="0.25">
      <c r="B11" s="295">
        <v>7</v>
      </c>
      <c r="C11" s="295" t="s">
        <v>615</v>
      </c>
      <c r="D11" s="295" t="s">
        <v>550</v>
      </c>
      <c r="E11" s="295" t="s">
        <v>630</v>
      </c>
      <c r="F11" s="291">
        <v>46039</v>
      </c>
      <c r="G11" s="292">
        <v>0.16666666666666666</v>
      </c>
      <c r="H11" s="291">
        <v>46039</v>
      </c>
      <c r="I11" s="292">
        <v>0.5</v>
      </c>
      <c r="J11" s="293">
        <v>8</v>
      </c>
      <c r="K11" s="294" t="s">
        <v>636</v>
      </c>
      <c r="L11" s="295" t="s">
        <v>635</v>
      </c>
      <c r="M11" s="295" t="s">
        <v>629</v>
      </c>
      <c r="N11" s="305">
        <v>16055</v>
      </c>
      <c r="O11" s="295" t="s">
        <v>663</v>
      </c>
      <c r="V11" s="304" t="s">
        <v>652</v>
      </c>
      <c r="W11" s="303">
        <f>+Y6</f>
        <v>1787</v>
      </c>
      <c r="X11" s="499" t="s">
        <v>655</v>
      </c>
      <c r="Y11" s="499"/>
      <c r="Z11" s="499"/>
      <c r="AA11" s="499"/>
      <c r="AB11" s="499"/>
      <c r="AC11" s="499"/>
      <c r="AD11" s="499"/>
    </row>
    <row r="12" spans="2:30" ht="45.75" hidden="1" customHeight="1" x14ac:dyDescent="0.25">
      <c r="B12" s="295">
        <v>8</v>
      </c>
      <c r="C12" s="295" t="s">
        <v>615</v>
      </c>
      <c r="D12" s="295" t="s">
        <v>550</v>
      </c>
      <c r="E12" s="295" t="s">
        <v>630</v>
      </c>
      <c r="F12" s="291">
        <v>46040</v>
      </c>
      <c r="G12" s="292">
        <v>8.3333333333333329E-2</v>
      </c>
      <c r="H12" s="291">
        <v>46040</v>
      </c>
      <c r="I12" s="292">
        <v>0.5</v>
      </c>
      <c r="J12" s="293">
        <v>10</v>
      </c>
      <c r="K12" s="294" t="s">
        <v>637</v>
      </c>
      <c r="L12" s="295" t="s">
        <v>638</v>
      </c>
      <c r="M12" s="295" t="s">
        <v>629</v>
      </c>
      <c r="N12" s="305">
        <v>16055</v>
      </c>
      <c r="O12" s="295" t="s">
        <v>663</v>
      </c>
      <c r="V12" s="304" t="s">
        <v>653</v>
      </c>
      <c r="W12" s="303">
        <f>+Y6+1000</f>
        <v>2787</v>
      </c>
      <c r="X12" s="504" t="s">
        <v>656</v>
      </c>
      <c r="Y12" s="499"/>
      <c r="Z12" s="499"/>
      <c r="AA12" s="499"/>
      <c r="AB12" s="499"/>
      <c r="AC12" s="499"/>
      <c r="AD12" s="499"/>
    </row>
    <row r="13" spans="2:30" ht="45.75" hidden="1" customHeight="1" x14ac:dyDescent="0.25">
      <c r="B13" s="295">
        <v>9</v>
      </c>
      <c r="C13" s="295" t="s">
        <v>615</v>
      </c>
      <c r="D13" s="295" t="s">
        <v>641</v>
      </c>
      <c r="E13" s="295" t="s">
        <v>630</v>
      </c>
      <c r="F13" s="291">
        <v>46041</v>
      </c>
      <c r="G13" s="292">
        <v>8.3333333333333329E-2</v>
      </c>
      <c r="H13" s="291">
        <v>46041</v>
      </c>
      <c r="I13" s="292">
        <v>0.5</v>
      </c>
      <c r="J13" s="293">
        <v>10</v>
      </c>
      <c r="K13" s="294" t="s">
        <v>639</v>
      </c>
      <c r="L13" s="295" t="s">
        <v>640</v>
      </c>
      <c r="M13" s="295" t="s">
        <v>629</v>
      </c>
      <c r="N13" s="305">
        <v>16055</v>
      </c>
      <c r="O13" s="295" t="s">
        <v>663</v>
      </c>
      <c r="V13" s="304" t="s">
        <v>648</v>
      </c>
      <c r="W13" s="303">
        <f>+AA6</f>
        <v>1041</v>
      </c>
      <c r="X13" s="499" t="s">
        <v>657</v>
      </c>
      <c r="Y13" s="499"/>
      <c r="Z13" s="499"/>
      <c r="AA13" s="499"/>
      <c r="AB13" s="499"/>
      <c r="AC13" s="499"/>
      <c r="AD13" s="499"/>
    </row>
    <row r="14" spans="2:30" ht="30.75" hidden="1" customHeight="1" x14ac:dyDescent="0.25">
      <c r="B14" s="295">
        <v>10</v>
      </c>
      <c r="C14" s="295" t="s">
        <v>615</v>
      </c>
      <c r="D14" s="295" t="s">
        <v>642</v>
      </c>
      <c r="E14" s="295" t="s">
        <v>664</v>
      </c>
      <c r="F14" s="291">
        <v>46042</v>
      </c>
      <c r="G14" s="292">
        <v>0.97638888888888886</v>
      </c>
      <c r="H14" s="291">
        <v>46043</v>
      </c>
      <c r="I14" s="292">
        <v>0.45833333333333331</v>
      </c>
      <c r="J14" s="293">
        <v>11.34</v>
      </c>
      <c r="K14" s="294" t="s">
        <v>553</v>
      </c>
      <c r="L14" s="295" t="s">
        <v>553</v>
      </c>
      <c r="M14" s="295" t="s">
        <v>629</v>
      </c>
      <c r="N14" s="305">
        <v>2745</v>
      </c>
      <c r="O14" s="295" t="s">
        <v>656</v>
      </c>
      <c r="V14" s="304" t="s">
        <v>649</v>
      </c>
      <c r="W14" s="303">
        <f>+AB6</f>
        <v>1416</v>
      </c>
      <c r="X14" s="499" t="s">
        <v>658</v>
      </c>
      <c r="Y14" s="499"/>
      <c r="Z14" s="499"/>
      <c r="AA14" s="499"/>
      <c r="AB14" s="499"/>
      <c r="AC14" s="499"/>
      <c r="AD14" s="499"/>
    </row>
    <row r="15" spans="2:30" ht="30" hidden="1" customHeight="1" thickBot="1" x14ac:dyDescent="0.3">
      <c r="B15" s="295">
        <v>11</v>
      </c>
      <c r="C15" s="295" t="s">
        <v>615</v>
      </c>
      <c r="D15" s="295" t="s">
        <v>468</v>
      </c>
      <c r="E15" s="295" t="s">
        <v>665</v>
      </c>
      <c r="F15" s="291">
        <v>46044</v>
      </c>
      <c r="G15" s="292">
        <v>0.39583333333333331</v>
      </c>
      <c r="H15" s="291">
        <v>46044</v>
      </c>
      <c r="I15" s="292">
        <v>0.75</v>
      </c>
      <c r="J15" s="293">
        <v>8.3000000000000007</v>
      </c>
      <c r="K15" s="294" t="s">
        <v>666</v>
      </c>
      <c r="L15" s="295" t="s">
        <v>669</v>
      </c>
      <c r="M15" s="295" t="s">
        <v>668</v>
      </c>
      <c r="N15" s="305">
        <v>10045</v>
      </c>
      <c r="O15" s="295" t="s">
        <v>667</v>
      </c>
      <c r="V15" s="304" t="s">
        <v>660</v>
      </c>
      <c r="W15" s="303">
        <f>+X6+W6+V6+Z6-1000</f>
        <v>34148</v>
      </c>
      <c r="X15" s="500" t="s">
        <v>659</v>
      </c>
      <c r="Y15" s="501"/>
      <c r="Z15" s="501"/>
      <c r="AA15" s="501"/>
      <c r="AB15" s="501"/>
      <c r="AC15" s="501"/>
      <c r="AD15" s="502"/>
    </row>
    <row r="16" spans="2:30" ht="45.75" hidden="1" customHeight="1" thickBot="1" x14ac:dyDescent="0.3">
      <c r="B16" s="316">
        <v>12</v>
      </c>
      <c r="C16" s="316" t="s">
        <v>615</v>
      </c>
      <c r="D16" s="316" t="s">
        <v>554</v>
      </c>
      <c r="E16" s="316" t="s">
        <v>806</v>
      </c>
      <c r="F16" s="316" t="s">
        <v>671</v>
      </c>
      <c r="G16" s="317">
        <v>0.16666666666666666</v>
      </c>
      <c r="H16" s="316" t="s">
        <v>671</v>
      </c>
      <c r="I16" s="317">
        <v>0.5</v>
      </c>
      <c r="J16" s="320">
        <f t="shared" ref="J16:J22" si="0">I16-G16</f>
        <v>0.33333333333333337</v>
      </c>
      <c r="K16" s="316" t="s">
        <v>672</v>
      </c>
      <c r="L16" s="316" t="s">
        <v>673</v>
      </c>
      <c r="M16" s="316" t="s">
        <v>662</v>
      </c>
      <c r="N16" s="318">
        <v>4167</v>
      </c>
      <c r="O16" s="316" t="s">
        <v>674</v>
      </c>
      <c r="Q16" s="39"/>
      <c r="V16" s="325" t="s">
        <v>661</v>
      </c>
      <c r="W16" s="413">
        <f>AC6-SUM(V6:Y6)+5000</f>
        <v>16815</v>
      </c>
      <c r="X16" s="494" t="s">
        <v>663</v>
      </c>
      <c r="Y16" s="495"/>
      <c r="Z16" s="495"/>
      <c r="AA16" s="495"/>
      <c r="AB16" s="495"/>
      <c r="AC16" s="495"/>
      <c r="AD16" s="496"/>
    </row>
    <row r="17" spans="1:23" ht="28.9" hidden="1" customHeight="1" x14ac:dyDescent="0.25">
      <c r="B17" s="316">
        <v>13</v>
      </c>
      <c r="C17" s="316" t="s">
        <v>615</v>
      </c>
      <c r="D17" s="316" t="s">
        <v>468</v>
      </c>
      <c r="E17" s="316" t="s">
        <v>675</v>
      </c>
      <c r="F17" s="316" t="s">
        <v>676</v>
      </c>
      <c r="G17" s="317">
        <v>0.375</v>
      </c>
      <c r="H17" s="316" t="s">
        <v>676</v>
      </c>
      <c r="I17" s="317">
        <v>0.58333333333333337</v>
      </c>
      <c r="J17" s="320">
        <f t="shared" si="0"/>
        <v>0.20833333333333337</v>
      </c>
      <c r="K17" s="316" t="s">
        <v>553</v>
      </c>
      <c r="L17" s="316" t="s">
        <v>553</v>
      </c>
      <c r="M17" s="316" t="s">
        <v>670</v>
      </c>
      <c r="N17" s="318">
        <v>1745</v>
      </c>
      <c r="O17" s="316" t="s">
        <v>655</v>
      </c>
      <c r="Q17" s="326"/>
      <c r="V17" s="392"/>
      <c r="W17" s="392"/>
    </row>
    <row r="18" spans="1:23" ht="63" hidden="1" customHeight="1" x14ac:dyDescent="0.25">
      <c r="B18" s="316">
        <v>14</v>
      </c>
      <c r="C18" s="316" t="s">
        <v>615</v>
      </c>
      <c r="D18" s="295" t="s">
        <v>641</v>
      </c>
      <c r="E18" s="295" t="s">
        <v>630</v>
      </c>
      <c r="F18" s="319">
        <v>46054</v>
      </c>
      <c r="G18" s="317">
        <v>0.125</v>
      </c>
      <c r="H18" s="319">
        <v>46054</v>
      </c>
      <c r="I18" s="317">
        <v>0.5</v>
      </c>
      <c r="J18" s="320">
        <f t="shared" si="0"/>
        <v>0.375</v>
      </c>
      <c r="K18" s="316" t="s">
        <v>678</v>
      </c>
      <c r="L18" s="316" t="s">
        <v>677</v>
      </c>
      <c r="M18" s="316" t="s">
        <v>679</v>
      </c>
      <c r="N18" s="318">
        <f>W16</f>
        <v>16815</v>
      </c>
      <c r="O18" s="316" t="s">
        <v>680</v>
      </c>
      <c r="Q18" s="326"/>
    </row>
    <row r="19" spans="1:23" ht="43.9" hidden="1" customHeight="1" x14ac:dyDescent="0.25">
      <c r="B19" s="316">
        <v>15</v>
      </c>
      <c r="C19" s="316" t="s">
        <v>615</v>
      </c>
      <c r="D19" s="295" t="s">
        <v>641</v>
      </c>
      <c r="E19" s="295" t="s">
        <v>630</v>
      </c>
      <c r="F19" s="319">
        <v>46055</v>
      </c>
      <c r="G19" s="317">
        <v>4.1666666666666664E-2</v>
      </c>
      <c r="H19" s="319">
        <v>46055</v>
      </c>
      <c r="I19" s="317">
        <v>0.5</v>
      </c>
      <c r="J19" s="320">
        <f t="shared" si="0"/>
        <v>0.45833333333333331</v>
      </c>
      <c r="K19" s="316" t="s">
        <v>685</v>
      </c>
      <c r="L19" s="316" t="s">
        <v>717</v>
      </c>
      <c r="M19" s="316" t="s">
        <v>686</v>
      </c>
      <c r="N19" s="318">
        <v>33892</v>
      </c>
      <c r="O19" s="316" t="s">
        <v>724</v>
      </c>
      <c r="Q19" s="326"/>
    </row>
    <row r="20" spans="1:23" ht="53.25" hidden="1" customHeight="1" x14ac:dyDescent="0.25">
      <c r="B20" s="316">
        <v>16</v>
      </c>
      <c r="C20" s="316" t="s">
        <v>615</v>
      </c>
      <c r="D20" s="295" t="s">
        <v>109</v>
      </c>
      <c r="E20" s="295" t="s">
        <v>718</v>
      </c>
      <c r="F20" s="319">
        <v>46056</v>
      </c>
      <c r="G20" s="317">
        <v>0.20833333333333334</v>
      </c>
      <c r="H20" s="319">
        <v>46056</v>
      </c>
      <c r="I20" s="317">
        <v>0.58333333333333337</v>
      </c>
      <c r="J20" s="320">
        <f t="shared" si="0"/>
        <v>0.375</v>
      </c>
      <c r="K20" s="316" t="s">
        <v>719</v>
      </c>
      <c r="L20" s="361" t="s">
        <v>553</v>
      </c>
      <c r="M20" s="316" t="s">
        <v>720</v>
      </c>
      <c r="N20" s="318">
        <v>800</v>
      </c>
      <c r="O20" s="316" t="s">
        <v>654</v>
      </c>
      <c r="Q20" s="326"/>
      <c r="U20" s="392">
        <f>W13+W14</f>
        <v>2457</v>
      </c>
    </row>
    <row r="21" spans="1:23" ht="42" hidden="1" customHeight="1" x14ac:dyDescent="0.25">
      <c r="B21" s="316">
        <v>17</v>
      </c>
      <c r="C21" s="350" t="s">
        <v>615</v>
      </c>
      <c r="D21" s="351" t="s">
        <v>721</v>
      </c>
      <c r="E21" s="351" t="s">
        <v>725</v>
      </c>
      <c r="F21" s="352">
        <v>46056</v>
      </c>
      <c r="G21" s="353">
        <v>0.29166666666666669</v>
      </c>
      <c r="H21" s="352">
        <v>46056</v>
      </c>
      <c r="I21" s="353">
        <v>0.66666666666666663</v>
      </c>
      <c r="J21" s="354">
        <f t="shared" si="0"/>
        <v>0.37499999999999994</v>
      </c>
      <c r="K21" s="350" t="s">
        <v>722</v>
      </c>
      <c r="L21" s="360" t="s">
        <v>723</v>
      </c>
      <c r="M21" s="350" t="s">
        <v>656</v>
      </c>
      <c r="N21" s="355">
        <v>2745</v>
      </c>
      <c r="O21" s="316" t="s">
        <v>655</v>
      </c>
      <c r="Q21" s="326"/>
    </row>
    <row r="22" spans="1:23" ht="50.25" hidden="1" customHeight="1" x14ac:dyDescent="0.25">
      <c r="B22" s="316">
        <v>18</v>
      </c>
      <c r="C22" s="356" t="s">
        <v>681</v>
      </c>
      <c r="D22" s="357" t="s">
        <v>682</v>
      </c>
      <c r="E22" s="358" t="s">
        <v>683</v>
      </c>
      <c r="F22" s="319">
        <v>46059</v>
      </c>
      <c r="G22" s="317">
        <v>0.29166666666666669</v>
      </c>
      <c r="H22" s="319">
        <v>46059</v>
      </c>
      <c r="I22" s="317">
        <v>0.58333333333333337</v>
      </c>
      <c r="J22" s="359">
        <f t="shared" si="0"/>
        <v>0.29166666666666669</v>
      </c>
      <c r="K22" s="357" t="s">
        <v>684</v>
      </c>
      <c r="L22" s="272" t="s">
        <v>553</v>
      </c>
      <c r="M22" s="356" t="s">
        <v>648</v>
      </c>
      <c r="N22" s="272">
        <v>1009</v>
      </c>
      <c r="O22" s="316"/>
      <c r="Q22" s="39"/>
    </row>
    <row r="23" spans="1:23" ht="39.75" hidden="1" customHeight="1" x14ac:dyDescent="0.25">
      <c r="B23" s="316">
        <v>19</v>
      </c>
      <c r="C23" s="388" t="s">
        <v>615</v>
      </c>
      <c r="D23" s="388" t="s">
        <v>554</v>
      </c>
      <c r="E23" s="388" t="s">
        <v>743</v>
      </c>
      <c r="F23" s="388" t="s">
        <v>744</v>
      </c>
      <c r="G23" s="389">
        <v>0.34375</v>
      </c>
      <c r="H23" s="388" t="s">
        <v>744</v>
      </c>
      <c r="I23" s="389">
        <v>0.53125</v>
      </c>
      <c r="J23" s="389">
        <v>0.1875</v>
      </c>
      <c r="K23" s="388" t="s">
        <v>553</v>
      </c>
      <c r="L23" s="388" t="s">
        <v>553</v>
      </c>
      <c r="M23" s="388" t="s">
        <v>662</v>
      </c>
      <c r="N23" s="388">
        <v>4167</v>
      </c>
      <c r="O23" s="316"/>
    </row>
    <row r="24" spans="1:23" ht="123" hidden="1" customHeight="1" x14ac:dyDescent="0.25">
      <c r="B24" s="316">
        <v>20</v>
      </c>
      <c r="C24" s="388" t="s">
        <v>615</v>
      </c>
      <c r="D24" s="388" t="s">
        <v>721</v>
      </c>
      <c r="E24" s="388" t="s">
        <v>745</v>
      </c>
      <c r="F24" s="388" t="s">
        <v>746</v>
      </c>
      <c r="G24" s="389">
        <v>0.33333333333333331</v>
      </c>
      <c r="H24" s="388" t="s">
        <v>747</v>
      </c>
      <c r="I24" s="389">
        <v>0.625</v>
      </c>
      <c r="J24" s="423">
        <v>2.2916666666666665</v>
      </c>
      <c r="K24" s="388" t="s">
        <v>553</v>
      </c>
      <c r="L24" s="388" t="s">
        <v>553</v>
      </c>
      <c r="M24" s="388" t="s">
        <v>748</v>
      </c>
      <c r="N24" s="388" t="s">
        <v>543</v>
      </c>
      <c r="O24" s="316"/>
    </row>
    <row r="25" spans="1:23" ht="66" hidden="1" customHeight="1" x14ac:dyDescent="0.25">
      <c r="B25" s="316">
        <v>21</v>
      </c>
      <c r="C25" s="388" t="s">
        <v>615</v>
      </c>
      <c r="D25" s="388" t="s">
        <v>550</v>
      </c>
      <c r="E25" s="388" t="s">
        <v>749</v>
      </c>
      <c r="F25" s="388" t="s">
        <v>746</v>
      </c>
      <c r="G25" s="389">
        <v>0.16666666666666666</v>
      </c>
      <c r="H25" s="388" t="s">
        <v>746</v>
      </c>
      <c r="I25" s="389">
        <v>0.66666666666666663</v>
      </c>
      <c r="J25" s="389">
        <v>0.5</v>
      </c>
      <c r="K25" s="388" t="s">
        <v>750</v>
      </c>
      <c r="L25" s="388" t="s">
        <v>751</v>
      </c>
      <c r="M25" s="388" t="s">
        <v>752</v>
      </c>
      <c r="N25" s="388">
        <v>16055</v>
      </c>
      <c r="O25" s="316"/>
    </row>
    <row r="26" spans="1:23" ht="66.75" hidden="1" customHeight="1" x14ac:dyDescent="0.25">
      <c r="B26" s="316">
        <v>22</v>
      </c>
      <c r="C26" s="388" t="s">
        <v>615</v>
      </c>
      <c r="D26" s="388" t="s">
        <v>550</v>
      </c>
      <c r="E26" s="388" t="s">
        <v>749</v>
      </c>
      <c r="F26" s="388" t="s">
        <v>753</v>
      </c>
      <c r="G26" s="389">
        <v>8.3333333333333329E-2</v>
      </c>
      <c r="H26" s="388" t="s">
        <v>753</v>
      </c>
      <c r="I26" s="389">
        <v>0.75</v>
      </c>
      <c r="J26" s="389">
        <v>0.66666666666666663</v>
      </c>
      <c r="K26" s="388" t="s">
        <v>754</v>
      </c>
      <c r="L26" s="388" t="s">
        <v>755</v>
      </c>
      <c r="M26" s="388" t="s">
        <v>752</v>
      </c>
      <c r="N26" s="388">
        <v>16055</v>
      </c>
      <c r="O26" s="316"/>
    </row>
    <row r="27" spans="1:23" ht="34.5" hidden="1" customHeight="1" x14ac:dyDescent="0.25">
      <c r="B27" s="316">
        <v>23</v>
      </c>
      <c r="C27" s="388" t="s">
        <v>615</v>
      </c>
      <c r="D27" s="388" t="s">
        <v>468</v>
      </c>
      <c r="E27" s="388" t="s">
        <v>756</v>
      </c>
      <c r="F27" s="388" t="s">
        <v>747</v>
      </c>
      <c r="G27" s="389">
        <v>0.33333333333333331</v>
      </c>
      <c r="H27" s="388" t="s">
        <v>747</v>
      </c>
      <c r="I27" s="389">
        <v>0.75</v>
      </c>
      <c r="J27" s="389">
        <v>0.41666666666666669</v>
      </c>
      <c r="K27" s="388" t="s">
        <v>553</v>
      </c>
      <c r="L27" s="388" t="s">
        <v>553</v>
      </c>
      <c r="M27" s="388" t="s">
        <v>655</v>
      </c>
      <c r="N27" s="388">
        <v>1745</v>
      </c>
      <c r="O27" s="316"/>
    </row>
    <row r="28" spans="1:23" ht="32.25" hidden="1" customHeight="1" x14ac:dyDescent="0.25">
      <c r="B28" s="316">
        <v>24</v>
      </c>
      <c r="C28" s="388" t="s">
        <v>615</v>
      </c>
      <c r="D28" s="388" t="s">
        <v>109</v>
      </c>
      <c r="E28" s="388" t="s">
        <v>736</v>
      </c>
      <c r="F28" s="388" t="s">
        <v>737</v>
      </c>
      <c r="G28" s="389">
        <v>0.33333333333333331</v>
      </c>
      <c r="H28" s="388" t="s">
        <v>737</v>
      </c>
      <c r="I28" s="389">
        <v>0.75</v>
      </c>
      <c r="J28" s="389">
        <v>0.41666666666666669</v>
      </c>
      <c r="K28" s="388" t="s">
        <v>738</v>
      </c>
      <c r="L28" s="388" t="s">
        <v>553</v>
      </c>
      <c r="M28" s="388" t="s">
        <v>654</v>
      </c>
      <c r="N28" s="388">
        <v>800</v>
      </c>
      <c r="O28" s="316"/>
      <c r="V28" s="392"/>
    </row>
    <row r="29" spans="1:23" ht="30.75" hidden="1" customHeight="1" x14ac:dyDescent="0.25">
      <c r="A29" s="119"/>
      <c r="B29" s="316">
        <v>25</v>
      </c>
      <c r="C29" s="388" t="s">
        <v>615</v>
      </c>
      <c r="D29" s="388" t="s">
        <v>109</v>
      </c>
      <c r="E29" s="388" t="s">
        <v>736</v>
      </c>
      <c r="F29" s="388" t="s">
        <v>739</v>
      </c>
      <c r="G29" s="389">
        <v>0.83333333333333337</v>
      </c>
      <c r="H29" s="388" t="s">
        <v>740</v>
      </c>
      <c r="I29" s="389">
        <v>0.75</v>
      </c>
      <c r="J29" s="389">
        <v>0.91666666666666663</v>
      </c>
      <c r="K29" s="388" t="s">
        <v>741</v>
      </c>
      <c r="L29" s="388" t="s">
        <v>742</v>
      </c>
      <c r="M29" s="388" t="s">
        <v>654</v>
      </c>
      <c r="N29" s="388">
        <v>800</v>
      </c>
      <c r="O29" s="316"/>
    </row>
    <row r="30" spans="1:23" ht="33.75" hidden="1" customHeight="1" x14ac:dyDescent="0.25">
      <c r="B30" s="316">
        <v>26</v>
      </c>
      <c r="C30" s="388" t="s">
        <v>615</v>
      </c>
      <c r="D30" s="388" t="s">
        <v>757</v>
      </c>
      <c r="E30" s="388" t="s">
        <v>758</v>
      </c>
      <c r="F30" s="391">
        <v>46080</v>
      </c>
      <c r="G30" s="389">
        <v>0.64583333333333337</v>
      </c>
      <c r="H30" s="391">
        <v>46080</v>
      </c>
      <c r="I30" s="389">
        <v>0.85416666666666663</v>
      </c>
      <c r="J30" s="389">
        <f>I30-G30</f>
        <v>0.20833333333333326</v>
      </c>
      <c r="K30" s="388" t="s">
        <v>760</v>
      </c>
      <c r="L30" s="388" t="s">
        <v>761</v>
      </c>
      <c r="M30" s="388" t="s">
        <v>759</v>
      </c>
      <c r="N30" s="388">
        <v>2341</v>
      </c>
      <c r="O30" s="316"/>
    </row>
    <row r="31" spans="1:23" ht="50.25" hidden="1" customHeight="1" x14ac:dyDescent="0.25">
      <c r="B31" s="316">
        <v>27</v>
      </c>
      <c r="C31" s="388" t="s">
        <v>615</v>
      </c>
      <c r="D31" s="388" t="s">
        <v>762</v>
      </c>
      <c r="E31" s="388" t="s">
        <v>768</v>
      </c>
      <c r="F31" s="391">
        <v>46083</v>
      </c>
      <c r="G31" s="389">
        <v>0.29166666666666669</v>
      </c>
      <c r="H31" s="391">
        <v>46083</v>
      </c>
      <c r="I31" s="389">
        <v>0.58333333333333337</v>
      </c>
      <c r="J31" s="389">
        <f>I31-G31</f>
        <v>0.29166666666666669</v>
      </c>
      <c r="K31" s="388" t="s">
        <v>763</v>
      </c>
      <c r="L31" s="388" t="s">
        <v>767</v>
      </c>
      <c r="M31" s="388" t="s">
        <v>764</v>
      </c>
      <c r="N31" s="388">
        <v>33892</v>
      </c>
      <c r="O31" s="316"/>
    </row>
    <row r="32" spans="1:23" ht="32.25" hidden="1" customHeight="1" x14ac:dyDescent="0.25">
      <c r="B32" s="316">
        <v>28</v>
      </c>
      <c r="C32" s="388" t="s">
        <v>615</v>
      </c>
      <c r="D32" s="388" t="s">
        <v>765</v>
      </c>
      <c r="E32" s="388" t="s">
        <v>766</v>
      </c>
      <c r="F32" s="391">
        <v>46083</v>
      </c>
      <c r="G32" s="389">
        <v>0.20833333333333334</v>
      </c>
      <c r="H32" s="391">
        <v>46085</v>
      </c>
      <c r="I32" s="389">
        <v>0.73611111111111116</v>
      </c>
      <c r="J32" s="393">
        <v>60.4</v>
      </c>
      <c r="K32" s="388" t="s">
        <v>763</v>
      </c>
      <c r="L32" s="388"/>
      <c r="M32" s="388" t="s">
        <v>654</v>
      </c>
      <c r="N32" s="388">
        <v>800</v>
      </c>
      <c r="O32" s="316"/>
    </row>
    <row r="33" spans="2:15" ht="33" hidden="1" customHeight="1" x14ac:dyDescent="0.25">
      <c r="B33" s="316">
        <v>29</v>
      </c>
      <c r="C33" s="388" t="s">
        <v>615</v>
      </c>
      <c r="D33" s="388" t="s">
        <v>757</v>
      </c>
      <c r="E33" s="388" t="s">
        <v>769</v>
      </c>
      <c r="F33" s="391">
        <v>46088</v>
      </c>
      <c r="G33" s="389">
        <v>0.25</v>
      </c>
      <c r="H33" s="391">
        <v>46088</v>
      </c>
      <c r="I33" s="389">
        <v>0.625</v>
      </c>
      <c r="J33" s="389">
        <f t="shared" ref="J33" si="1">I33-G33</f>
        <v>0.375</v>
      </c>
      <c r="K33" s="388" t="s">
        <v>770</v>
      </c>
      <c r="L33" s="388" t="s">
        <v>553</v>
      </c>
      <c r="M33" s="388" t="s">
        <v>759</v>
      </c>
      <c r="N33" s="388">
        <v>2341</v>
      </c>
      <c r="O33" s="316"/>
    </row>
    <row r="34" spans="2:15" ht="39" hidden="1" customHeight="1" x14ac:dyDescent="0.25">
      <c r="B34" s="316">
        <v>30</v>
      </c>
      <c r="C34" s="388" t="s">
        <v>615</v>
      </c>
      <c r="D34" s="388" t="s">
        <v>765</v>
      </c>
      <c r="E34" s="388" t="s">
        <v>801</v>
      </c>
      <c r="F34" s="391">
        <v>46102</v>
      </c>
      <c r="G34" s="389">
        <v>0.31944444444444442</v>
      </c>
      <c r="H34" s="391">
        <v>46104</v>
      </c>
      <c r="I34" s="389">
        <v>0.66666666666666696</v>
      </c>
      <c r="J34" s="393">
        <v>56.2</v>
      </c>
      <c r="K34" s="388" t="s">
        <v>553</v>
      </c>
      <c r="L34" s="388" t="s">
        <v>553</v>
      </c>
      <c r="M34" s="388" t="s">
        <v>759</v>
      </c>
      <c r="N34" s="388">
        <v>2341</v>
      </c>
      <c r="O34" s="316"/>
    </row>
    <row r="35" spans="2:15" ht="39" hidden="1" customHeight="1" x14ac:dyDescent="0.25">
      <c r="B35" s="316">
        <v>31</v>
      </c>
      <c r="C35" s="388" t="s">
        <v>615</v>
      </c>
      <c r="D35" s="388" t="s">
        <v>804</v>
      </c>
      <c r="E35" s="408" t="s">
        <v>805</v>
      </c>
      <c r="F35" s="391">
        <v>46103</v>
      </c>
      <c r="G35" s="389">
        <v>0.70833333333333337</v>
      </c>
      <c r="H35" s="391">
        <v>46104</v>
      </c>
      <c r="I35" s="389">
        <v>0.65972222222222221</v>
      </c>
      <c r="J35" s="393">
        <v>24.5</v>
      </c>
      <c r="K35" s="388" t="s">
        <v>553</v>
      </c>
      <c r="L35" s="388" t="s">
        <v>553</v>
      </c>
      <c r="M35" s="388" t="s">
        <v>656</v>
      </c>
      <c r="N35" s="388">
        <v>2771</v>
      </c>
      <c r="O35" s="407"/>
    </row>
    <row r="36" spans="2:15" ht="45.75" hidden="1" customHeight="1" x14ac:dyDescent="0.25">
      <c r="B36" s="316">
        <v>32</v>
      </c>
      <c r="C36" s="388" t="s">
        <v>615</v>
      </c>
      <c r="D36" s="388" t="s">
        <v>550</v>
      </c>
      <c r="E36" s="388" t="s">
        <v>802</v>
      </c>
      <c r="F36" s="391">
        <v>46107</v>
      </c>
      <c r="G36" s="389">
        <v>0.25</v>
      </c>
      <c r="H36" s="391">
        <v>46107</v>
      </c>
      <c r="I36" s="389">
        <v>0.70833333333333337</v>
      </c>
      <c r="J36" s="393">
        <v>11</v>
      </c>
      <c r="K36" s="388" t="s">
        <v>803</v>
      </c>
      <c r="L36" s="388" t="s">
        <v>838</v>
      </c>
      <c r="M36" s="388" t="s">
        <v>659</v>
      </c>
      <c r="N36" s="388">
        <v>16055</v>
      </c>
    </row>
    <row r="37" spans="2:15" ht="30" customHeight="1" x14ac:dyDescent="0.25">
      <c r="B37" s="316">
        <v>33</v>
      </c>
      <c r="C37" s="388" t="s">
        <v>615</v>
      </c>
      <c r="D37" s="388" t="s">
        <v>653</v>
      </c>
      <c r="E37" s="388" t="s">
        <v>839</v>
      </c>
      <c r="F37" s="391">
        <v>46116</v>
      </c>
      <c r="G37" s="389">
        <v>0.25</v>
      </c>
      <c r="H37" s="391">
        <v>46116</v>
      </c>
      <c r="I37" s="389">
        <v>0.75</v>
      </c>
      <c r="J37" s="393">
        <v>12</v>
      </c>
      <c r="K37" s="388" t="s">
        <v>840</v>
      </c>
      <c r="L37" s="388" t="s">
        <v>841</v>
      </c>
      <c r="M37" s="388" t="s">
        <v>842</v>
      </c>
      <c r="N37" s="388">
        <v>1787</v>
      </c>
    </row>
    <row r="38" spans="2:15" ht="43.5" customHeight="1" x14ac:dyDescent="0.25">
      <c r="B38" s="316">
        <v>34</v>
      </c>
      <c r="C38" s="388" t="s">
        <v>615</v>
      </c>
      <c r="D38" s="420" t="s">
        <v>6</v>
      </c>
      <c r="E38" s="420" t="s">
        <v>843</v>
      </c>
      <c r="F38" s="391">
        <v>46117</v>
      </c>
      <c r="G38" s="389">
        <v>4.1666666666666664E-2</v>
      </c>
      <c r="H38" s="391">
        <v>46117</v>
      </c>
      <c r="I38" s="389">
        <v>0.5</v>
      </c>
      <c r="J38" s="393">
        <v>11</v>
      </c>
      <c r="K38" s="420" t="s">
        <v>844</v>
      </c>
      <c r="L38" s="388" t="s">
        <v>553</v>
      </c>
      <c r="M38" s="420" t="s">
        <v>848</v>
      </c>
      <c r="N38" s="388">
        <v>1416</v>
      </c>
    </row>
    <row r="39" spans="2:15" ht="95.25" customHeight="1" x14ac:dyDescent="0.25">
      <c r="B39" s="316">
        <v>35</v>
      </c>
      <c r="C39" s="388" t="s">
        <v>615</v>
      </c>
      <c r="D39" s="420" t="s">
        <v>6</v>
      </c>
      <c r="E39" s="421" t="s">
        <v>849</v>
      </c>
      <c r="F39" s="391">
        <v>46118</v>
      </c>
      <c r="G39" s="389">
        <v>0.625</v>
      </c>
      <c r="H39" s="391">
        <v>46118</v>
      </c>
      <c r="I39" s="389">
        <v>0.75</v>
      </c>
      <c r="J39" s="393">
        <v>3</v>
      </c>
      <c r="K39" s="420" t="s">
        <v>845</v>
      </c>
      <c r="L39" s="388" t="s">
        <v>553</v>
      </c>
      <c r="M39" s="420" t="s">
        <v>848</v>
      </c>
      <c r="N39" s="388">
        <v>1416</v>
      </c>
    </row>
    <row r="40" spans="2:15" ht="73.5" customHeight="1" x14ac:dyDescent="0.25">
      <c r="B40" s="316">
        <v>36</v>
      </c>
      <c r="C40" s="388" t="s">
        <v>615</v>
      </c>
      <c r="D40" s="420" t="s">
        <v>6</v>
      </c>
      <c r="E40" s="420" t="s">
        <v>846</v>
      </c>
      <c r="F40" s="391">
        <v>46119</v>
      </c>
      <c r="G40" s="389">
        <v>0.25</v>
      </c>
      <c r="H40" s="391">
        <v>46119</v>
      </c>
      <c r="I40" s="389">
        <v>0.5</v>
      </c>
      <c r="J40" s="393">
        <v>6</v>
      </c>
      <c r="K40" s="420" t="s">
        <v>847</v>
      </c>
      <c r="L40" s="388" t="s">
        <v>553</v>
      </c>
      <c r="M40" s="420" t="s">
        <v>848</v>
      </c>
      <c r="N40" s="388">
        <v>1416</v>
      </c>
    </row>
    <row r="41" spans="2:15" ht="73.5" customHeight="1" x14ac:dyDescent="0.25">
      <c r="B41" s="316">
        <v>37</v>
      </c>
      <c r="C41" s="388" t="s">
        <v>615</v>
      </c>
      <c r="D41" s="422" t="s">
        <v>765</v>
      </c>
      <c r="E41" s="422" t="s">
        <v>850</v>
      </c>
      <c r="F41" s="391">
        <v>46126</v>
      </c>
      <c r="G41" s="389">
        <v>0.25</v>
      </c>
      <c r="H41" s="391">
        <v>46133</v>
      </c>
      <c r="I41" s="389">
        <v>0.75</v>
      </c>
      <c r="J41" s="393">
        <v>180</v>
      </c>
      <c r="K41" s="422" t="s">
        <v>851</v>
      </c>
      <c r="L41" s="388" t="s">
        <v>553</v>
      </c>
      <c r="M41" s="388" t="s">
        <v>654</v>
      </c>
      <c r="N41" s="388">
        <v>800</v>
      </c>
    </row>
    <row r="42" spans="2:15" ht="36" customHeight="1" x14ac:dyDescent="0.25">
      <c r="B42" s="316">
        <v>38</v>
      </c>
      <c r="C42" s="388" t="s">
        <v>615</v>
      </c>
      <c r="D42" s="422" t="s">
        <v>852</v>
      </c>
      <c r="E42" s="424" t="s">
        <v>853</v>
      </c>
      <c r="F42" s="391">
        <v>46126</v>
      </c>
      <c r="G42" s="389">
        <v>0.25</v>
      </c>
      <c r="H42" s="391">
        <v>46126</v>
      </c>
      <c r="I42" s="389">
        <v>0.58333333333333337</v>
      </c>
      <c r="J42" s="393">
        <v>8</v>
      </c>
      <c r="K42" s="422" t="s">
        <v>854</v>
      </c>
      <c r="L42" s="388" t="s">
        <v>855</v>
      </c>
      <c r="M42" s="388" t="s">
        <v>759</v>
      </c>
      <c r="N42" s="272">
        <v>2457</v>
      </c>
    </row>
    <row r="43" spans="2:15" ht="45.75" customHeight="1" x14ac:dyDescent="0.25">
      <c r="B43" s="316">
        <v>39</v>
      </c>
      <c r="C43" s="388" t="s">
        <v>615</v>
      </c>
      <c r="D43" s="426" t="s">
        <v>804</v>
      </c>
      <c r="E43" s="388" t="s">
        <v>856</v>
      </c>
      <c r="F43" s="428">
        <v>46133</v>
      </c>
      <c r="G43" s="389">
        <v>0.55555555555555558</v>
      </c>
      <c r="H43" s="428">
        <v>46133</v>
      </c>
      <c r="I43" s="389">
        <v>0.75</v>
      </c>
      <c r="J43" s="393"/>
      <c r="K43" s="427" t="s">
        <v>857</v>
      </c>
      <c r="L43" s="427" t="s">
        <v>858</v>
      </c>
      <c r="M43" s="388" t="s">
        <v>842</v>
      </c>
      <c r="N43" s="388">
        <v>1787</v>
      </c>
    </row>
  </sheetData>
  <mergeCells count="17">
    <mergeCell ref="F3:G3"/>
    <mergeCell ref="H3:I3"/>
    <mergeCell ref="V4:V5"/>
    <mergeCell ref="W4:W5"/>
    <mergeCell ref="X4:X5"/>
    <mergeCell ref="X16:AD16"/>
    <mergeCell ref="Y4:Y5"/>
    <mergeCell ref="Z4:Z5"/>
    <mergeCell ref="AA4:AA5"/>
    <mergeCell ref="AB4:AB5"/>
    <mergeCell ref="X14:AD14"/>
    <mergeCell ref="X15:AD15"/>
    <mergeCell ref="X9:AD9"/>
    <mergeCell ref="X10:AD10"/>
    <mergeCell ref="X11:AD11"/>
    <mergeCell ref="X12:AD12"/>
    <mergeCell ref="X13:AD13"/>
  </mergeCells>
  <phoneticPr fontId="97" type="noConversion"/>
  <pageMargins left="0.7" right="0.7" top="0.75" bottom="0.75" header="0" footer="0"/>
  <pageSetup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9">
    <tabColor rgb="FF92D050"/>
  </sheetPr>
  <dimension ref="B2:R49"/>
  <sheetViews>
    <sheetView showGridLines="0" topLeftCell="J1" zoomScale="85" zoomScaleNormal="85" workbookViewId="0">
      <selection activeCell="Q7" sqref="Q7"/>
    </sheetView>
  </sheetViews>
  <sheetFormatPr baseColWidth="10" defaultColWidth="14.42578125" defaultRowHeight="15" customHeight="1" x14ac:dyDescent="0.25"/>
  <cols>
    <col min="1" max="1" width="10.7109375" customWidth="1"/>
    <col min="2" max="2" width="29.28515625" customWidth="1"/>
    <col min="3" max="3" width="17.42578125" customWidth="1"/>
    <col min="4" max="4" width="15.5703125" customWidth="1"/>
    <col min="5" max="6" width="17.42578125" customWidth="1"/>
    <col min="7" max="7" width="19.42578125" customWidth="1"/>
    <col min="8" max="9" width="17.42578125" customWidth="1"/>
    <col min="10" max="10" width="26.28515625" customWidth="1"/>
    <col min="11" max="11" width="17.42578125" customWidth="1"/>
    <col min="12" max="12" width="13.7109375" customWidth="1"/>
    <col min="13" max="13" width="14.7109375" customWidth="1"/>
    <col min="14" max="15" width="17.42578125" customWidth="1"/>
    <col min="16" max="16" width="18.85546875" customWidth="1"/>
    <col min="17" max="17" width="12.5703125" customWidth="1"/>
    <col min="18" max="35" width="10.7109375" customWidth="1"/>
  </cols>
  <sheetData>
    <row r="2" spans="2:18" ht="18.75" x14ac:dyDescent="0.3">
      <c r="B2" s="13" t="s">
        <v>30</v>
      </c>
      <c r="C2" s="14">
        <f>+DASHBOARD!F4</f>
        <v>46138</v>
      </c>
      <c r="D2" s="6"/>
      <c r="E2" s="6"/>
      <c r="F2" s="6"/>
      <c r="G2" s="6"/>
      <c r="H2" s="6"/>
      <c r="I2" s="6"/>
      <c r="J2" s="6"/>
      <c r="K2" s="6"/>
      <c r="L2" s="6"/>
      <c r="M2" s="6"/>
      <c r="N2" s="6"/>
      <c r="O2" s="6"/>
    </row>
    <row r="3" spans="2:18" ht="15.75" x14ac:dyDescent="0.3">
      <c r="B3" s="6"/>
      <c r="C3" s="6"/>
      <c r="D3" s="6"/>
      <c r="E3" s="6"/>
      <c r="F3" s="6"/>
      <c r="G3" s="6"/>
      <c r="H3" s="6"/>
      <c r="I3" s="6"/>
      <c r="J3" s="6"/>
      <c r="K3" s="6"/>
      <c r="L3" s="6"/>
      <c r="M3" s="6"/>
      <c r="N3" s="6"/>
      <c r="O3" s="6"/>
    </row>
    <row r="4" spans="2:18" ht="31.5" x14ac:dyDescent="0.25">
      <c r="B4" s="1"/>
      <c r="C4" s="11" t="s">
        <v>0</v>
      </c>
      <c r="D4" s="11" t="s">
        <v>1</v>
      </c>
      <c r="E4" s="11" t="s">
        <v>2</v>
      </c>
      <c r="F4" s="11" t="s">
        <v>3</v>
      </c>
      <c r="G4" s="11" t="s">
        <v>31</v>
      </c>
      <c r="H4" s="11" t="s">
        <v>32</v>
      </c>
      <c r="I4" s="11" t="s">
        <v>33</v>
      </c>
      <c r="J4" s="11" t="s">
        <v>34</v>
      </c>
      <c r="K4" s="11" t="s">
        <v>35</v>
      </c>
      <c r="L4" s="11" t="s">
        <v>9</v>
      </c>
      <c r="M4" s="11" t="s">
        <v>10</v>
      </c>
      <c r="N4" s="11" t="s">
        <v>11</v>
      </c>
      <c r="O4" s="11" t="s">
        <v>12</v>
      </c>
      <c r="P4" s="46" t="s">
        <v>110</v>
      </c>
      <c r="Q4" s="46" t="s">
        <v>107</v>
      </c>
      <c r="R4" s="87" t="s">
        <v>453</v>
      </c>
    </row>
    <row r="5" spans="2:18" ht="15.75" hidden="1" x14ac:dyDescent="0.25">
      <c r="B5" s="15" t="s">
        <v>13</v>
      </c>
      <c r="C5" s="16" t="s">
        <v>14</v>
      </c>
      <c r="D5" s="16" t="s">
        <v>14</v>
      </c>
      <c r="E5" s="16" t="s">
        <v>14</v>
      </c>
      <c r="F5" s="16" t="s">
        <v>14</v>
      </c>
      <c r="G5" s="16" t="s">
        <v>14</v>
      </c>
      <c r="H5" s="16" t="s">
        <v>14</v>
      </c>
      <c r="I5" s="16" t="s">
        <v>14</v>
      </c>
      <c r="J5" s="16" t="s">
        <v>14</v>
      </c>
      <c r="K5" s="16" t="s">
        <v>14</v>
      </c>
      <c r="L5" s="16" t="s">
        <v>14</v>
      </c>
      <c r="M5" s="16" t="s">
        <v>14</v>
      </c>
      <c r="N5" s="16" t="s">
        <v>14</v>
      </c>
      <c r="O5" s="16" t="s">
        <v>14</v>
      </c>
      <c r="P5" s="16" t="s">
        <v>14</v>
      </c>
      <c r="Q5" s="16" t="s">
        <v>14</v>
      </c>
      <c r="R5" s="16" t="s">
        <v>14</v>
      </c>
    </row>
    <row r="6" spans="2:18" ht="15.75" hidden="1" x14ac:dyDescent="0.3">
      <c r="B6" s="17">
        <f>C2</f>
        <v>46138</v>
      </c>
      <c r="C6" s="18">
        <f>VLOOKUP($B6,BD!$B$4:$BO$371,6)</f>
        <v>2405</v>
      </c>
      <c r="D6" s="18">
        <f>VLOOKUP($B6,BD!$B$4:$BO$371,11)</f>
        <v>0</v>
      </c>
      <c r="E6" s="18">
        <f>VLOOKUP($B6,BD!$B$4:$BO$371,16)</f>
        <v>0</v>
      </c>
      <c r="F6" s="18">
        <f>VLOOKUP($B6,BD!$B$4:$BO$371,26)</f>
        <v>39189.400000000373</v>
      </c>
      <c r="G6" s="18">
        <f>VLOOKUP($B6,BD!$B$4:$BO$371,31)</f>
        <v>6478</v>
      </c>
      <c r="H6" s="18">
        <f>VLOOKUP($B6,BD!$B$4:$BO$371,36)</f>
        <v>3456</v>
      </c>
      <c r="I6" s="18">
        <f>VLOOKUP($B6,BD!$B$4:$BO$371,41)</f>
        <v>2513</v>
      </c>
      <c r="J6" s="18"/>
      <c r="K6" s="18">
        <f>VLOOKUP($B6,BD!$B$4:$BO$371,51)</f>
        <v>676</v>
      </c>
      <c r="L6" s="18">
        <f>VLOOKUP($B6,BD!$B$4:$BO$371,21)</f>
        <v>0</v>
      </c>
      <c r="M6" s="18">
        <f>VLOOKUP($B6,BD!$B$4:$BO$371,56)</f>
        <v>2344</v>
      </c>
      <c r="N6" s="18">
        <f>VLOOKUP($B6,BD!$B$4:$BO$371,61)</f>
        <v>1289</v>
      </c>
      <c r="O6" s="18">
        <f>VLOOKUP($B6,BD!$B$4:$BO$371,66)</f>
        <v>4265</v>
      </c>
      <c r="P6" s="18">
        <f>VLOOKUP($B6,BDmensual!$A$4:$Q$35,15)</f>
        <v>0</v>
      </c>
      <c r="Q6" s="18">
        <f>VLOOKUP($B6,BDmensual!$A$4:$Q$35,16)</f>
        <v>0</v>
      </c>
      <c r="R6" s="18">
        <f>VLOOKUP($B6,BDmensual!$A$4:$Q$35,17)</f>
        <v>0</v>
      </c>
    </row>
    <row r="7" spans="2:18" ht="15.75" x14ac:dyDescent="0.3">
      <c r="B7" s="17" t="s">
        <v>585</v>
      </c>
      <c r="C7" s="18">
        <f>+BDFUENTES[[#Totals],[PZ10_Horas Activo]]</f>
        <v>1685.6312280701757</v>
      </c>
      <c r="D7" s="18">
        <f>+BDFUENTES[[#Totals],[PZ 11 Horas Activo]]</f>
        <v>0</v>
      </c>
      <c r="E7" s="18">
        <f>+BDFUENTES[[#Totals],[PZ 13 Horas Activo]]</f>
        <v>1.8494152046783625</v>
      </c>
      <c r="F7" s="18">
        <f>+BDFUENTES[[#Totals],[GF MIN Horas Activo]]</f>
        <v>2758</v>
      </c>
      <c r="G7" s="18">
        <f>+BDFUENTES[[#Totals],[PTAP1 Horas Activo]]</f>
        <v>2458.3000000000002</v>
      </c>
      <c r="H7" s="18">
        <f>+BDFUENTES[[#Totals],[GF NAR Horas Activo]]</f>
        <v>2784</v>
      </c>
      <c r="I7" s="18">
        <f>+BDFUENTES[[#Totals],[PZ CHB Horas Activo]]</f>
        <v>2059.5</v>
      </c>
      <c r="J7" s="18"/>
      <c r="K7" s="18">
        <f>+BDFUENTES[[#Totals],[PZ TM Horas Activo]]</f>
        <v>1780</v>
      </c>
      <c r="L7" s="18">
        <f ca="1">+BDFUENTES[[#Totals],[PZ MED Horas Activo]]</f>
        <v>587.80999999999995</v>
      </c>
      <c r="M7" s="18">
        <f>+BDFUENTES[[#Totals],[EBAP HIJA Horas Activo]]</f>
        <v>488.43555555555571</v>
      </c>
      <c r="N7" s="18">
        <f>+BDFUENTES[[#Totals],[EBAP ALAR Horas Activo]]</f>
        <v>1879.5694444444448</v>
      </c>
      <c r="O7" s="18">
        <f>+BDFUENTES[[#Totals],[EBAP PNUE Horas Activo]]</f>
        <v>1950.8293650793642</v>
      </c>
      <c r="P7" s="18"/>
      <c r="Q7" s="18"/>
      <c r="R7" s="18"/>
    </row>
    <row r="8" spans="2:18" ht="15.75" x14ac:dyDescent="0.3">
      <c r="E8" s="6"/>
      <c r="F8" s="6"/>
      <c r="G8" s="6"/>
      <c r="H8" s="6"/>
      <c r="I8" s="6"/>
      <c r="J8" s="12" t="s">
        <v>541</v>
      </c>
      <c r="K8" s="6"/>
      <c r="L8" s="6"/>
      <c r="M8" s="6"/>
      <c r="O8" s="370" t="s">
        <v>80</v>
      </c>
      <c r="P8" s="371">
        <f ca="1">NOW()</f>
        <v>46139.398417939818</v>
      </c>
    </row>
    <row r="9" spans="2:18" ht="15.75" x14ac:dyDescent="0.3">
      <c r="E9" s="6"/>
      <c r="F9" s="6"/>
      <c r="G9" s="6"/>
      <c r="H9" s="6"/>
      <c r="I9" s="6"/>
      <c r="J9" s="19" t="s">
        <v>36</v>
      </c>
      <c r="K9" s="20" t="s">
        <v>14</v>
      </c>
      <c r="L9" s="175" t="s">
        <v>37</v>
      </c>
      <c r="M9" s="173" t="s">
        <v>540</v>
      </c>
      <c r="O9" s="19" t="s">
        <v>36</v>
      </c>
      <c r="P9" s="367" t="s">
        <v>728</v>
      </c>
    </row>
    <row r="10" spans="2:18" ht="15.75" x14ac:dyDescent="0.3">
      <c r="E10" s="6"/>
      <c r="F10" s="6"/>
      <c r="G10" s="6"/>
      <c r="H10" s="6"/>
      <c r="I10" s="6"/>
      <c r="J10" s="22" t="str">
        <f>C4</f>
        <v>POZO N° 10</v>
      </c>
      <c r="K10" s="23">
        <f>IFERROR(C6," ")</f>
        <v>2405</v>
      </c>
      <c r="L10" s="172">
        <f t="shared" ref="L10:L20" si="0">+IFERROR(K10/24/3.6," ")</f>
        <v>27.835648148148145</v>
      </c>
      <c r="M10" s="174">
        <f t="shared" ref="M10:M15" si="1">IFERROR(+K10/$K$31,"0")</f>
        <v>4.6673290845436352E-2</v>
      </c>
      <c r="O10" s="366" t="s">
        <v>0</v>
      </c>
      <c r="P10" s="368">
        <v>38</v>
      </c>
    </row>
    <row r="11" spans="2:18" ht="15.75" x14ac:dyDescent="0.3">
      <c r="E11" s="6"/>
      <c r="F11" s="6"/>
      <c r="G11" s="6"/>
      <c r="H11" s="6"/>
      <c r="I11" s="6"/>
      <c r="J11" s="22" t="str">
        <f>E4</f>
        <v>POZO N° 13</v>
      </c>
      <c r="K11" s="23">
        <f>E6</f>
        <v>0</v>
      </c>
      <c r="L11" s="172">
        <f t="shared" si="0"/>
        <v>0</v>
      </c>
      <c r="M11" s="174">
        <f t="shared" si="1"/>
        <v>0</v>
      </c>
      <c r="O11" s="366" t="s">
        <v>2</v>
      </c>
      <c r="P11" s="368">
        <v>0</v>
      </c>
    </row>
    <row r="12" spans="2:18" ht="15.75" x14ac:dyDescent="0.3">
      <c r="E12" s="6"/>
      <c r="F12" s="6"/>
      <c r="G12" s="6"/>
      <c r="H12" s="6"/>
      <c r="I12" s="6"/>
      <c r="J12" s="22" t="str">
        <f>L4</f>
        <v>POZO MEDRANO</v>
      </c>
      <c r="K12" s="23">
        <f>L6</f>
        <v>0</v>
      </c>
      <c r="L12" s="172">
        <f>+IFERROR(K12/24/3.6," ")</f>
        <v>0</v>
      </c>
      <c r="M12" s="174">
        <f t="shared" si="1"/>
        <v>0</v>
      </c>
      <c r="O12" s="366" t="s">
        <v>9</v>
      </c>
      <c r="P12" s="368">
        <v>30</v>
      </c>
    </row>
    <row r="13" spans="2:18" ht="15.75" x14ac:dyDescent="0.3">
      <c r="E13" s="6"/>
      <c r="F13" s="6"/>
      <c r="G13" s="6"/>
      <c r="H13" s="6"/>
      <c r="I13" s="6"/>
      <c r="J13" s="22" t="str">
        <f>F4</f>
        <v>MINAQUEROS</v>
      </c>
      <c r="K13" s="23">
        <f>F6</f>
        <v>39189.400000000373</v>
      </c>
      <c r="L13" s="172">
        <f t="shared" si="0"/>
        <v>453.5810185185228</v>
      </c>
      <c r="M13" s="174">
        <f t="shared" si="1"/>
        <v>0.76053981881836208</v>
      </c>
      <c r="O13" s="366" t="s">
        <v>3</v>
      </c>
      <c r="P13" s="368">
        <v>425</v>
      </c>
    </row>
    <row r="14" spans="2:18" ht="15.75" x14ac:dyDescent="0.3">
      <c r="E14" s="6"/>
      <c r="F14" s="6"/>
      <c r="G14" s="6"/>
      <c r="H14" s="6"/>
      <c r="I14" s="6"/>
      <c r="J14" s="22" t="str">
        <f>+G4</f>
        <v>PORTACHUELOS</v>
      </c>
      <c r="K14" s="23">
        <f>G6</f>
        <v>6478</v>
      </c>
      <c r="L14" s="172">
        <f t="shared" si="0"/>
        <v>74.976851851851862</v>
      </c>
      <c r="M14" s="174">
        <f t="shared" si="1"/>
        <v>0.12571708028970341</v>
      </c>
      <c r="O14" s="366" t="s">
        <v>31</v>
      </c>
      <c r="P14" s="368">
        <v>60</v>
      </c>
    </row>
    <row r="15" spans="2:18" ht="15.75" x14ac:dyDescent="0.3">
      <c r="E15" s="6"/>
      <c r="F15" s="6"/>
      <c r="G15" s="6"/>
      <c r="H15" s="6"/>
      <c r="I15" s="6"/>
      <c r="J15" s="22" t="str">
        <f>+H4</f>
        <v>NARANJAL</v>
      </c>
      <c r="K15" s="23">
        <f>H6</f>
        <v>3456</v>
      </c>
      <c r="L15" s="172">
        <f t="shared" si="0"/>
        <v>40</v>
      </c>
      <c r="M15" s="174">
        <f t="shared" si="1"/>
        <v>6.7069810046498146E-2</v>
      </c>
      <c r="O15" s="366" t="s">
        <v>32</v>
      </c>
      <c r="P15" s="368">
        <v>40</v>
      </c>
    </row>
    <row r="16" spans="2:18" ht="15.75" x14ac:dyDescent="0.3">
      <c r="E16" s="6"/>
      <c r="F16" s="6"/>
      <c r="G16" s="6"/>
      <c r="H16" s="6"/>
      <c r="I16" s="6"/>
    </row>
    <row r="17" spans="10:16" ht="15" customHeight="1" x14ac:dyDescent="0.3">
      <c r="J17" s="12" t="s">
        <v>542</v>
      </c>
      <c r="O17" s="369" t="s">
        <v>38</v>
      </c>
      <c r="P17" s="369">
        <f>SUM(P10:P15)</f>
        <v>593</v>
      </c>
    </row>
    <row r="18" spans="10:16" ht="15.75" x14ac:dyDescent="0.3">
      <c r="J18" s="19" t="s">
        <v>36</v>
      </c>
      <c r="K18" s="20" t="s">
        <v>14</v>
      </c>
      <c r="L18" s="21" t="s">
        <v>37</v>
      </c>
      <c r="M18" s="173" t="s">
        <v>540</v>
      </c>
    </row>
    <row r="19" spans="10:16" ht="15.75" x14ac:dyDescent="0.3">
      <c r="J19" s="22" t="str">
        <f>I4</f>
        <v>PZO CHBAJA</v>
      </c>
      <c r="K19" s="23">
        <f>I6</f>
        <v>2513</v>
      </c>
      <c r="L19" s="172">
        <f t="shared" si="0"/>
        <v>29.085648148148145</v>
      </c>
      <c r="M19" s="174">
        <f>IFERROR(+K19/$K$32,"0")</f>
        <v>0.78802132329883978</v>
      </c>
    </row>
    <row r="20" spans="10:16" ht="15.75" x14ac:dyDescent="0.3">
      <c r="J20" s="22" t="str">
        <f>+K4</f>
        <v>PZO T.MORA</v>
      </c>
      <c r="K20" s="23">
        <f>K6</f>
        <v>676</v>
      </c>
      <c r="L20" s="172">
        <f t="shared" si="0"/>
        <v>7.8240740740740744</v>
      </c>
      <c r="M20" s="174">
        <f>IFERROR(+K20/$K$32,"0")</f>
        <v>0.21197867670116025</v>
      </c>
    </row>
    <row r="21" spans="10:16" ht="15.75" x14ac:dyDescent="0.3">
      <c r="J21" s="22"/>
      <c r="K21" s="23"/>
      <c r="L21" s="172"/>
      <c r="M21" s="174"/>
    </row>
    <row r="22" spans="10:16" ht="15.75" customHeight="1" x14ac:dyDescent="0.3">
      <c r="J22" s="24" t="s">
        <v>38</v>
      </c>
      <c r="K22" s="25">
        <f>SUM(K10:K21)</f>
        <v>54717.400000000373</v>
      </c>
      <c r="L22" s="25">
        <f>SUM(L10:L21)</f>
        <v>633.30324074074497</v>
      </c>
    </row>
    <row r="23" spans="10:16" ht="15.75" customHeight="1" x14ac:dyDescent="0.3">
      <c r="J23" s="6"/>
      <c r="K23" s="6"/>
    </row>
    <row r="24" spans="10:16" ht="15.75" customHeight="1" x14ac:dyDescent="0.3">
      <c r="J24" s="19" t="s">
        <v>39</v>
      </c>
      <c r="K24" s="19" t="s">
        <v>40</v>
      </c>
      <c r="L24" s="176" t="s">
        <v>41</v>
      </c>
      <c r="M24" s="177" t="s">
        <v>545</v>
      </c>
      <c r="N24" s="180" t="s">
        <v>544</v>
      </c>
    </row>
    <row r="25" spans="10:16" ht="15.75" customHeight="1" x14ac:dyDescent="0.3">
      <c r="J25" s="22" t="str">
        <f>M4</f>
        <v>CBAP HIJAYA</v>
      </c>
      <c r="K25" s="26">
        <f>M6</f>
        <v>2344</v>
      </c>
      <c r="L25" s="172">
        <f>+IFERROR(K25/5/3.6," ")</f>
        <v>130.22222222222223</v>
      </c>
      <c r="M25" s="178">
        <f>+K25/N25</f>
        <v>1.1719999999999999</v>
      </c>
      <c r="N25" s="179">
        <v>2000</v>
      </c>
    </row>
    <row r="26" spans="10:16" ht="15.75" customHeight="1" x14ac:dyDescent="0.3">
      <c r="J26" s="22" t="str">
        <f>N4</f>
        <v>CBAP ALTO LARAN</v>
      </c>
      <c r="K26" s="26">
        <f>N6</f>
        <v>1289</v>
      </c>
      <c r="L26" s="172">
        <f>+IFERROR(K26/15/3.6," ")</f>
        <v>23.87037037037037</v>
      </c>
      <c r="M26" s="178">
        <f>+K26/N26</f>
        <v>1.0311999999999999</v>
      </c>
      <c r="N26" s="179">
        <v>1250</v>
      </c>
    </row>
    <row r="27" spans="10:16" ht="15.75" customHeight="1" x14ac:dyDescent="0.3">
      <c r="J27" s="27" t="str">
        <f>O4</f>
        <v>CBAP PUEBLO NUEVO</v>
      </c>
      <c r="K27" s="28">
        <f>O6</f>
        <v>4265</v>
      </c>
      <c r="L27" s="172">
        <f>+IFERROR(K27/17/3.6," ")</f>
        <v>69.689542483660134</v>
      </c>
      <c r="M27" s="178">
        <f>+K27/N27</f>
        <v>1.1847222222222222</v>
      </c>
      <c r="N27" s="179">
        <v>3600</v>
      </c>
    </row>
    <row r="28" spans="10:16" ht="15.75" customHeight="1" x14ac:dyDescent="0.3">
      <c r="J28" s="24" t="s">
        <v>42</v>
      </c>
      <c r="K28" s="25">
        <f>SUM(K25:K27)</f>
        <v>7898</v>
      </c>
      <c r="L28" s="25">
        <f>SUM(L25:L27)</f>
        <v>223.78213507625276</v>
      </c>
    </row>
    <row r="29" spans="10:16" ht="15.75" customHeight="1" x14ac:dyDescent="0.3">
      <c r="J29" s="6"/>
      <c r="K29" s="6"/>
      <c r="L29" s="6"/>
    </row>
    <row r="30" spans="10:16" ht="15.75" customHeight="1" x14ac:dyDescent="0.3">
      <c r="J30" s="19" t="s">
        <v>457</v>
      </c>
      <c r="K30" s="19" t="s">
        <v>458</v>
      </c>
      <c r="L30" s="6"/>
    </row>
    <row r="31" spans="10:16" ht="15.75" customHeight="1" x14ac:dyDescent="0.3">
      <c r="J31" s="372" t="s">
        <v>465</v>
      </c>
      <c r="K31" s="373">
        <f>+K10+K41+K11+K13+K14+K15+K12</f>
        <v>51528.400000000373</v>
      </c>
      <c r="L31" s="6"/>
    </row>
    <row r="32" spans="10:16" ht="15" customHeight="1" x14ac:dyDescent="0.3">
      <c r="J32" s="372" t="s">
        <v>466</v>
      </c>
      <c r="K32" s="373">
        <f>+K20+K21+K19</f>
        <v>3189</v>
      </c>
      <c r="L32" s="6"/>
    </row>
    <row r="33" spans="2:13" ht="15" customHeight="1" x14ac:dyDescent="0.3">
      <c r="J33" s="374" t="s">
        <v>460</v>
      </c>
      <c r="K33" s="373">
        <f>+K28</f>
        <v>7898</v>
      </c>
      <c r="L33" s="6"/>
    </row>
    <row r="34" spans="2:13" ht="15" customHeight="1" x14ac:dyDescent="0.3">
      <c r="J34" s="374" t="s">
        <v>459</v>
      </c>
      <c r="K34" s="373">
        <f>+P6+Q6+R6</f>
        <v>0</v>
      </c>
      <c r="L34" s="6"/>
    </row>
    <row r="40" spans="2:13" ht="15" customHeight="1" x14ac:dyDescent="0.25">
      <c r="B40" t="s">
        <v>549</v>
      </c>
    </row>
    <row r="41" spans="2:13" ht="15" customHeight="1" x14ac:dyDescent="0.3">
      <c r="B41" t="s">
        <v>21</v>
      </c>
      <c r="C41" s="22">
        <f>C6</f>
        <v>2405</v>
      </c>
      <c r="J41" s="22" t="str">
        <f>D4</f>
        <v>POZO N° 11</v>
      </c>
      <c r="K41" s="23">
        <f>IFERROR(D6,"0")</f>
        <v>0</v>
      </c>
      <c r="L41" s="172">
        <f>+IFERROR(K41/24/3.6," ")</f>
        <v>0</v>
      </c>
      <c r="M41" s="174">
        <f>IFERROR(+K41/$K$31,"0")</f>
        <v>0</v>
      </c>
    </row>
    <row r="42" spans="2:13" ht="15" customHeight="1" x14ac:dyDescent="0.3">
      <c r="B42" t="s">
        <v>22</v>
      </c>
      <c r="C42" s="22">
        <f>D6</f>
        <v>0</v>
      </c>
    </row>
    <row r="43" spans="2:13" ht="15" customHeight="1" x14ac:dyDescent="0.3">
      <c r="B43" t="s">
        <v>23</v>
      </c>
      <c r="C43" s="22">
        <f>E6</f>
        <v>0</v>
      </c>
    </row>
    <row r="44" spans="2:13" ht="15" customHeight="1" x14ac:dyDescent="0.3">
      <c r="B44" t="s">
        <v>9</v>
      </c>
      <c r="C44" s="22">
        <f>L6</f>
        <v>0</v>
      </c>
    </row>
    <row r="45" spans="2:13" ht="15" customHeight="1" x14ac:dyDescent="0.3">
      <c r="B45" t="s">
        <v>550</v>
      </c>
      <c r="C45" s="22">
        <f>F6</f>
        <v>39189.400000000373</v>
      </c>
    </row>
    <row r="46" spans="2:13" ht="15" customHeight="1" x14ac:dyDescent="0.3">
      <c r="B46" t="s">
        <v>25</v>
      </c>
      <c r="C46" s="196">
        <f>G6</f>
        <v>6478</v>
      </c>
    </row>
    <row r="47" spans="2:13" ht="15" customHeight="1" x14ac:dyDescent="0.3">
      <c r="B47" t="s">
        <v>551</v>
      </c>
      <c r="C47" s="22">
        <f>H6</f>
        <v>3456</v>
      </c>
    </row>
    <row r="48" spans="2:13" ht="15" customHeight="1" x14ac:dyDescent="0.3">
      <c r="B48" t="s">
        <v>6</v>
      </c>
      <c r="C48" s="22">
        <f>I6</f>
        <v>2513</v>
      </c>
    </row>
    <row r="49" spans="2:3" ht="15" customHeight="1" x14ac:dyDescent="0.3">
      <c r="B49" t="s">
        <v>552</v>
      </c>
      <c r="C49" s="22">
        <f>K6</f>
        <v>676</v>
      </c>
    </row>
  </sheetData>
  <conditionalFormatting sqref="M10:M15 M41">
    <cfRule type="iconSet" priority="2">
      <iconSet iconSet="3Arrows">
        <cfvo type="percent" val="0"/>
        <cfvo type="percent" val="33"/>
        <cfvo type="percent" val="67"/>
      </iconSet>
    </cfRule>
  </conditionalFormatting>
  <conditionalFormatting sqref="M19:M21">
    <cfRule type="iconSet" priority="1">
      <iconSet iconSet="3Arrows">
        <cfvo type="percent" val="0"/>
        <cfvo type="percent" val="33"/>
        <cfvo type="percent" val="67"/>
      </iconSet>
    </cfRule>
  </conditionalFormatting>
  <pageMargins left="0.7" right="0.7" top="0.75" bottom="0.75" header="0" footer="0"/>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5FBA-B711-4A5A-B8B9-AB561B1D29EF}">
  <sheetPr codeName="Hoja13">
    <tabColor rgb="FF9CC2E5"/>
    <pageSetUpPr fitToPage="1"/>
  </sheetPr>
  <dimension ref="B1:S34"/>
  <sheetViews>
    <sheetView showGridLines="0" topLeftCell="A5" zoomScale="55" zoomScaleNormal="55" workbookViewId="0">
      <selection activeCell="H16" sqref="H16"/>
    </sheetView>
  </sheetViews>
  <sheetFormatPr baseColWidth="10" defaultColWidth="14.42578125" defaultRowHeight="15" customHeight="1" x14ac:dyDescent="0.25"/>
  <cols>
    <col min="1" max="1" width="10.7109375" customWidth="1"/>
    <col min="2" max="2" width="44.42578125" customWidth="1"/>
    <col min="3" max="3" width="25.85546875" customWidth="1"/>
    <col min="4" max="4" width="27" customWidth="1"/>
    <col min="5" max="5" width="25.28515625" customWidth="1"/>
    <col min="6" max="6" width="28.28515625" customWidth="1"/>
    <col min="7" max="7" width="25.28515625" customWidth="1"/>
    <col min="8" max="14" width="23.7109375" customWidth="1"/>
    <col min="15" max="16" width="26.42578125" customWidth="1"/>
    <col min="17" max="17" width="24.28515625" customWidth="1"/>
    <col min="18" max="20" width="22" customWidth="1"/>
    <col min="21" max="21" width="22.42578125" customWidth="1"/>
    <col min="22" max="22" width="23" customWidth="1"/>
    <col min="23" max="23" width="20.42578125" customWidth="1"/>
  </cols>
  <sheetData>
    <row r="1" spans="2:19" ht="15" customHeight="1" x14ac:dyDescent="0.25">
      <c r="C1" s="42">
        <v>46003</v>
      </c>
      <c r="D1" s="42">
        <v>46034</v>
      </c>
      <c r="E1" s="42">
        <v>46065</v>
      </c>
      <c r="F1" s="42">
        <v>46093</v>
      </c>
      <c r="G1" s="42">
        <f>+F2+1</f>
        <v>46124</v>
      </c>
      <c r="H1" s="42">
        <f t="shared" ref="H1:N1" si="0">+G2+1</f>
        <v>46154</v>
      </c>
      <c r="I1" s="42">
        <f t="shared" si="0"/>
        <v>46185</v>
      </c>
      <c r="J1" s="42">
        <f t="shared" si="0"/>
        <v>46215</v>
      </c>
      <c r="K1" s="42">
        <f t="shared" si="0"/>
        <v>46246</v>
      </c>
      <c r="L1" s="42">
        <f t="shared" si="0"/>
        <v>46277</v>
      </c>
      <c r="M1" s="42">
        <f t="shared" si="0"/>
        <v>46307</v>
      </c>
      <c r="N1" s="42">
        <f t="shared" si="0"/>
        <v>46338</v>
      </c>
    </row>
    <row r="2" spans="2:19" ht="15" customHeight="1" x14ac:dyDescent="0.25">
      <c r="C2" s="42">
        <v>46033</v>
      </c>
      <c r="D2" s="42">
        <v>46064</v>
      </c>
      <c r="E2" s="42">
        <v>46092</v>
      </c>
      <c r="F2" s="112">
        <v>46123</v>
      </c>
      <c r="G2" s="112">
        <v>46153</v>
      </c>
      <c r="H2" s="112">
        <v>46184</v>
      </c>
      <c r="I2" s="112">
        <v>46214</v>
      </c>
      <c r="J2" s="112">
        <v>46245</v>
      </c>
      <c r="K2" s="112">
        <v>46276</v>
      </c>
      <c r="L2" s="112">
        <v>46306</v>
      </c>
      <c r="M2" s="112">
        <v>46337</v>
      </c>
      <c r="N2" s="112">
        <v>46367</v>
      </c>
    </row>
    <row r="3" spans="2:19" ht="15.75" x14ac:dyDescent="0.25">
      <c r="B3" s="29"/>
      <c r="C3" s="512"/>
      <c r="D3" s="513"/>
      <c r="E3" s="513"/>
      <c r="F3" s="513"/>
      <c r="G3" s="513"/>
      <c r="H3" s="513"/>
      <c r="I3" s="513"/>
      <c r="J3" s="513"/>
      <c r="K3" s="513"/>
      <c r="L3" s="513"/>
      <c r="M3" s="513"/>
      <c r="N3" s="513"/>
    </row>
    <row r="4" spans="2:19" ht="46.5" customHeight="1" x14ac:dyDescent="0.35">
      <c r="B4" s="29"/>
      <c r="C4" s="510" t="s">
        <v>475</v>
      </c>
      <c r="D4" s="511"/>
      <c r="E4" s="511"/>
      <c r="F4" s="511"/>
      <c r="G4" s="511"/>
      <c r="H4" s="511"/>
      <c r="I4" s="511"/>
      <c r="J4" s="511"/>
      <c r="K4" s="511"/>
      <c r="L4" s="511"/>
      <c r="M4" s="511"/>
      <c r="N4" s="511"/>
      <c r="O4" s="514"/>
      <c r="P4" s="267"/>
    </row>
    <row r="5" spans="2:19" ht="39.75" customHeight="1" x14ac:dyDescent="0.25">
      <c r="B5" s="29"/>
      <c r="C5" s="515" t="s">
        <v>598</v>
      </c>
      <c r="D5" s="516"/>
      <c r="E5" s="516"/>
      <c r="F5" s="516"/>
      <c r="G5" s="516"/>
      <c r="H5" s="516"/>
      <c r="I5" s="516"/>
      <c r="J5" s="516"/>
      <c r="K5" s="516"/>
      <c r="L5" s="516"/>
      <c r="M5" s="516"/>
      <c r="N5" s="516"/>
      <c r="O5" s="513"/>
    </row>
    <row r="6" spans="2:19" ht="15.75" x14ac:dyDescent="0.25">
      <c r="B6" s="512"/>
      <c r="C6" s="513"/>
      <c r="D6" s="513"/>
      <c r="E6" s="513"/>
      <c r="F6" s="513"/>
      <c r="G6" s="513"/>
      <c r="H6" s="513"/>
      <c r="I6" s="513"/>
      <c r="J6" s="513"/>
      <c r="K6" s="513"/>
      <c r="L6" s="513"/>
      <c r="M6" s="513"/>
      <c r="N6" s="513"/>
      <c r="O6" s="513"/>
    </row>
    <row r="7" spans="2:19" ht="53.25" customHeight="1" x14ac:dyDescent="0.25">
      <c r="B7" s="30" t="s">
        <v>43</v>
      </c>
      <c r="C7" s="253" t="s">
        <v>599</v>
      </c>
      <c r="D7" s="31" t="s">
        <v>600</v>
      </c>
      <c r="E7" s="31" t="s">
        <v>601</v>
      </c>
      <c r="F7" s="31" t="s">
        <v>602</v>
      </c>
      <c r="G7" s="31" t="s">
        <v>603</v>
      </c>
      <c r="H7" s="31" t="s">
        <v>604</v>
      </c>
      <c r="I7" s="31" t="s">
        <v>605</v>
      </c>
      <c r="J7" s="31" t="s">
        <v>606</v>
      </c>
      <c r="K7" s="31" t="s">
        <v>607</v>
      </c>
      <c r="L7" s="31" t="s">
        <v>608</v>
      </c>
      <c r="M7" s="31" t="s">
        <v>609</v>
      </c>
      <c r="N7" s="31" t="s">
        <v>610</v>
      </c>
      <c r="O7" s="113" t="s">
        <v>38</v>
      </c>
      <c r="P7" s="269"/>
    </row>
    <row r="8" spans="2:19" ht="65.25" customHeight="1" x14ac:dyDescent="0.3">
      <c r="B8" s="32" t="s">
        <v>57</v>
      </c>
      <c r="C8" s="254">
        <f>SUMIFS(BD!$G:$G,BD!$B:$B,"&gt;="&amp;C$1,BD!$B:$B,"&lt;="&amp;C$2)+34014</f>
        <v>54862</v>
      </c>
      <c r="D8" s="33">
        <f>SUMIFS(BD!$G:$G,BD!$B:$B,"&gt;="&amp;D$1,BD!$B:$B,"&lt;="&amp;D$2)</f>
        <v>56080</v>
      </c>
      <c r="E8" s="33">
        <f>SUMIFS(BD!$G:$G,BD!$B:$B,"&gt;="&amp;E$1,BD!$B:$B,"&lt;="&amp;E$2)</f>
        <v>55100</v>
      </c>
      <c r="F8" s="33">
        <f>SUMIFS(BD!$G:$G,BD!$B:$B,"&gt;="&amp;F$1,BD!$B:$B,"&lt;="&amp;F$2)</f>
        <v>67841</v>
      </c>
      <c r="G8" s="33">
        <f>SUMIFS(BD!$G:$G,BD!$B:$B,"&gt;="&amp;G$1,BD!$B:$B,"&lt;="&amp;G$2)</f>
        <v>15872</v>
      </c>
      <c r="H8" s="33">
        <f>SUMIFS(BD!$G:$G,BD!$B:$B,"&gt;="&amp;H$1,BD!$B:$B,"&lt;="&amp;H$2)</f>
        <v>0</v>
      </c>
      <c r="I8" s="33">
        <f>SUMIFS(BD!$G:$G,BD!$B:$B,"&gt;="&amp;I$1,BD!$B:$B,"&lt;="&amp;I$2)</f>
        <v>0</v>
      </c>
      <c r="J8" s="33">
        <f>SUMIFS(BD!$G:$G,BD!$B:$B,"&gt;="&amp;J$1,BD!$B:$B,"&lt;="&amp;J$2)</f>
        <v>0</v>
      </c>
      <c r="K8" s="33">
        <f>SUMIFS(BD!$G:$G,BD!$B:$B,"&gt;="&amp;K$1,BD!$B:$B,"&lt;="&amp;K$2)</f>
        <v>0</v>
      </c>
      <c r="L8" s="33">
        <f>SUMIFS(BD!$G:$G,BD!$B:$B,"&gt;="&amp;L$1,BD!$B:$B,"&lt;="&amp;L$2)</f>
        <v>0</v>
      </c>
      <c r="M8" s="33">
        <f>SUMIFS(BD!$G:$G,BD!$B:$B,"&gt;="&amp;M$1,BD!$B:$B,"&lt;="&amp;M$2)</f>
        <v>0</v>
      </c>
      <c r="N8" s="33">
        <f>SUMIFS(BD!$G:$G,BD!$B:$B,"&gt;="&amp;N$1,BD!$B:$B,"&lt;="&amp;N$2)</f>
        <v>0</v>
      </c>
      <c r="O8" s="34">
        <f>SUM(C8:N8)</f>
        <v>249755</v>
      </c>
      <c r="P8" s="268">
        <f>+N8*0.9</f>
        <v>0</v>
      </c>
      <c r="Q8" s="268">
        <f>+M8*0.9</f>
        <v>0</v>
      </c>
      <c r="R8" s="268">
        <f>L8*0.9</f>
        <v>0</v>
      </c>
      <c r="S8" s="268">
        <v>41316.300000000003</v>
      </c>
    </row>
    <row r="9" spans="2:19" ht="65.25" customHeight="1" x14ac:dyDescent="0.3">
      <c r="B9" s="32" t="s">
        <v>58</v>
      </c>
      <c r="C9" s="254">
        <f>SUMIFS(BD!$L:$L,BD!$B:$B,"&gt;="&amp;C$1,BD!$B:$B,"&lt;="&amp;C$2)</f>
        <v>0</v>
      </c>
      <c r="D9" s="33">
        <f>SUMIFS(BD!$L:$L,BD!$B:$B,"&gt;="&amp;D$1,BD!$B:$B,"&lt;="&amp;D$2)</f>
        <v>0</v>
      </c>
      <c r="E9" s="33">
        <f>SUMIFS(BD!$L:$L,BD!$B:$B,"&gt;="&amp;E$1,BD!$B:$B,"&lt;="&amp;E$2)</f>
        <v>0</v>
      </c>
      <c r="F9" s="33">
        <f>SUMIFS(BD!$L:$L,BD!$B:$B,"&gt;="&amp;F$1,BD!$B:$B,"&lt;="&amp;F$2)</f>
        <v>0</v>
      </c>
      <c r="G9" s="33">
        <f>SUMIFS(BD!$L:$L,BD!$B:$B,"&gt;="&amp;G$1,BD!$B:$B,"&lt;="&amp;G$2)</f>
        <v>0</v>
      </c>
      <c r="H9" s="33">
        <f>SUMIFS(BD!$L:$L,BD!$B:$B,"&gt;="&amp;H$1,BD!$B:$B,"&lt;="&amp;H$2)</f>
        <v>0</v>
      </c>
      <c r="I9" s="33">
        <f>SUMIFS(BD!$L:$L,BD!$B:$B,"&gt;="&amp;I$1,BD!$B:$B,"&lt;="&amp;I$2)</f>
        <v>0</v>
      </c>
      <c r="J9" s="33">
        <f>SUMIFS(BD!$L:$L,BD!$B:$B,"&gt;="&amp;J$1,BD!$B:$B,"&lt;="&amp;J$2)</f>
        <v>0</v>
      </c>
      <c r="K9" s="33">
        <f>SUMIFS(BD!$L:$L,BD!$B:$B,"&gt;="&amp;K$1,BD!$B:$B,"&lt;="&amp;K$2)</f>
        <v>0</v>
      </c>
      <c r="L9" s="33">
        <f>SUMIFS(BD!$L:$L,BD!$B:$B,"&gt;="&amp;L$1,BD!$B:$B,"&lt;="&amp;L$2)</f>
        <v>0</v>
      </c>
      <c r="M9" s="33">
        <f>SUMIFS(BD!$L:$L,BD!$B:$B,"&gt;="&amp;M$1,BD!$B:$B,"&lt;="&amp;M$2)</f>
        <v>0</v>
      </c>
      <c r="N9" s="33">
        <f>SUMIFS(BD!$L:$L,BD!$B:$B,"&gt;="&amp;N$1,BD!$B:$B,"&lt;="&amp;N$2)</f>
        <v>0</v>
      </c>
      <c r="O9" s="34">
        <f>SUM(C9:N9)</f>
        <v>0</v>
      </c>
      <c r="P9" s="268">
        <f t="shared" ref="P9:P17" si="1">+N9*0.9</f>
        <v>0</v>
      </c>
      <c r="Q9" s="268">
        <f t="shared" ref="Q9:Q17" si="2">+M9*0.9</f>
        <v>0</v>
      </c>
      <c r="R9" s="268">
        <f t="shared" ref="R9:R17" si="3">L9*0.9</f>
        <v>0</v>
      </c>
      <c r="S9" s="268">
        <v>0</v>
      </c>
    </row>
    <row r="10" spans="2:19" ht="65.25" customHeight="1" x14ac:dyDescent="0.3">
      <c r="B10" s="32" t="s">
        <v>59</v>
      </c>
      <c r="C10" s="254">
        <f>SUMIFS(BD!$Q:$Q,BD!$B:$B,"&gt;="&amp;C$1,BD!$B:$B,"&lt;="&amp;C$2)+2966</f>
        <v>2966</v>
      </c>
      <c r="D10" s="33">
        <f>SUMIFS(BD!$Q:$Q,BD!$B:$B,"&gt;="&amp;D$1,BD!$B:$B,"&lt;="&amp;D$2)</f>
        <v>253</v>
      </c>
      <c r="E10" s="33">
        <f>SUMIFS(BD!$Q:$Q,BD!$B:$B,"&gt;="&amp;E$1,BD!$B:$B,"&lt;="&amp;E$2)</f>
        <v>0</v>
      </c>
      <c r="F10" s="33">
        <f>SUMIFS(BD!$Q:$Q,BD!$B:$B,"&gt;="&amp;F$1,BD!$B:$B,"&lt;="&amp;F$2)</f>
        <v>0</v>
      </c>
      <c r="G10" s="33">
        <f>SUMIFS(BD!$Q:$Q,BD!$B:$B,"&gt;="&amp;G$1,BD!$B:$B,"&lt;="&amp;G$2)</f>
        <v>0</v>
      </c>
      <c r="H10" s="33">
        <f>SUMIFS(BD!$Q:$Q,BD!$B:$B,"&gt;="&amp;H$1,BD!$B:$B,"&lt;="&amp;H$2)</f>
        <v>0</v>
      </c>
      <c r="I10" s="33">
        <f>SUMIFS(BD!$Q:$Q,BD!$B:$B,"&gt;="&amp;I$1,BD!$B:$B,"&lt;="&amp;I$2)</f>
        <v>0</v>
      </c>
      <c r="J10" s="33">
        <f>SUMIFS(BD!$Q:$Q,BD!$B:$B,"&gt;="&amp;J$1,BD!$B:$B,"&lt;="&amp;J$2)</f>
        <v>0</v>
      </c>
      <c r="K10" s="33">
        <f>SUMIFS(BD!$Q:$Q,BD!$B:$B,"&gt;="&amp;K$1,BD!$B:$B,"&lt;="&amp;K$2)</f>
        <v>0</v>
      </c>
      <c r="L10" s="33">
        <f>SUMIFS(BD!$Q:$Q,BD!$B:$B,"&gt;="&amp;L$1,BD!$B:$B,"&lt;="&amp;L$2)</f>
        <v>0</v>
      </c>
      <c r="M10" s="33">
        <f>SUMIFS(BD!$Q:$Q,BD!$B:$B,"&gt;="&amp;M$1,BD!$B:$B,"&lt;="&amp;M$2)</f>
        <v>0</v>
      </c>
      <c r="N10" s="33">
        <f>SUMIFS(BD!$Q:$Q,BD!$B:$B,"&gt;="&amp;N$1,BD!$B:$B,"&lt;="&amp;N$2)</f>
        <v>0</v>
      </c>
      <c r="O10" s="34">
        <f>SUM(C10:N10)</f>
        <v>3219</v>
      </c>
      <c r="P10" s="268">
        <f t="shared" si="1"/>
        <v>0</v>
      </c>
      <c r="Q10" s="268">
        <f t="shared" si="2"/>
        <v>0</v>
      </c>
      <c r="R10" s="268">
        <f t="shared" si="3"/>
        <v>0</v>
      </c>
      <c r="S10" s="268">
        <v>13824.9</v>
      </c>
    </row>
    <row r="11" spans="2:19" ht="65.25" customHeight="1" x14ac:dyDescent="0.3">
      <c r="B11" s="32" t="s">
        <v>9</v>
      </c>
      <c r="C11" s="254">
        <f>SUMIFS(BD!$V:$V,BD!$B:$B,"&gt;="&amp;C$1,BD!$B:$B,"&lt;="&amp;C$2)+35510</f>
        <v>42741</v>
      </c>
      <c r="D11" s="33">
        <f>SUMIFS(BD!$V:$V,BD!$B:$B,"&gt;="&amp;D$1,BD!$B:$B,"&lt;="&amp;D$2)</f>
        <v>54183</v>
      </c>
      <c r="E11" s="33">
        <f>SUMIFS(BD!$V:$V,BD!$B:$B,"&gt;="&amp;E$1,BD!$B:$B,"&lt;="&amp;E$2)</f>
        <v>39244</v>
      </c>
      <c r="F11" s="33">
        <f>SUMIFS(BD!$V:$V,BD!$B:$B,"&gt;="&amp;F$1,BD!$B:$B,"&lt;="&amp;F$2)</f>
        <v>42979</v>
      </c>
      <c r="G11" s="33">
        <f>SUMIFS(BD!$V:$V,BD!$B:$B,"&gt;="&amp;G$1,BD!$B:$B,"&lt;="&amp;G$2)</f>
        <v>2924</v>
      </c>
      <c r="H11" s="33">
        <f>SUMIFS(BD!$V:$V,BD!$B:$B,"&gt;="&amp;H$1,BD!$B:$B,"&lt;="&amp;H$2)</f>
        <v>0</v>
      </c>
      <c r="I11" s="33">
        <f>SUMIFS(BD!$V:$V,BD!$B:$B,"&gt;="&amp;I$1,BD!$B:$B,"&lt;="&amp;I$2)</f>
        <v>0</v>
      </c>
      <c r="J11" s="33">
        <f>SUMIFS(BD!$V:$V,BD!$B:$B,"&gt;="&amp;J$1,BD!$B:$B,"&lt;="&amp;J$2)</f>
        <v>0</v>
      </c>
      <c r="K11" s="33">
        <f>SUMIFS(BD!$V:$V,BD!$B:$B,"&gt;="&amp;K$1,BD!$B:$B,"&lt;="&amp;K$2)</f>
        <v>0</v>
      </c>
      <c r="L11" s="33">
        <f>SUMIFS(BD!$V:$V,BD!$B:$B,"&gt;="&amp;L$1,BD!$B:$B,"&lt;="&amp;L$2)</f>
        <v>0</v>
      </c>
      <c r="M11" s="33">
        <f>SUMIFS(BD!$V:$V,BD!$B:$B,"&gt;="&amp;M$1,BD!$B:$B,"&lt;="&amp;M$2)</f>
        <v>0</v>
      </c>
      <c r="N11" s="33">
        <f>SUMIFS(BD!$V:$V,BD!$B:$B,"&gt;="&amp;N$1,BD!$B:$B,"&lt;="&amp;N$2)</f>
        <v>0</v>
      </c>
      <c r="O11" s="34">
        <f t="shared" ref="O11:O18" si="4">SUM(C11:N11)</f>
        <v>182071</v>
      </c>
      <c r="P11" s="268">
        <f t="shared" si="1"/>
        <v>0</v>
      </c>
      <c r="Q11" s="268">
        <f t="shared" si="2"/>
        <v>0</v>
      </c>
      <c r="R11" s="268">
        <f t="shared" si="3"/>
        <v>0</v>
      </c>
      <c r="S11" s="268">
        <v>32152.5</v>
      </c>
    </row>
    <row r="12" spans="2:19" ht="65.25" customHeight="1" x14ac:dyDescent="0.3">
      <c r="B12" s="32" t="s">
        <v>61</v>
      </c>
      <c r="C12" s="254">
        <f>SUMIFS(BD!$AA:$AA,BD!$B:$B,"&gt;="&amp;C$1,BD!$B:$B,"&lt;="&amp;C$2)+620554</f>
        <v>1012414</v>
      </c>
      <c r="D12" s="33">
        <f>SUMIFS(BD!$AA:$AA,BD!$B:$B,"&gt;="&amp;D$1,BD!$B:$B,"&lt;="&amp;D$2)</f>
        <v>909985.94958187989</v>
      </c>
      <c r="E12" s="33">
        <f>SUMIFS(BD!$AA:$AA,BD!$B:$B,"&gt;="&amp;E$1,BD!$B:$B,"&lt;="&amp;E$2)</f>
        <v>916440.94038708019</v>
      </c>
      <c r="F12" s="33">
        <f>SUMIFS(BD!$AA:$AA,BD!$B:$B,"&gt;="&amp;F$1,BD!$B:$B,"&lt;="&amp;F$2)</f>
        <v>1033848.1100310399</v>
      </c>
      <c r="G12" s="33">
        <f>SUMIFS(BD!$AA:$AA,BD!$B:$B,"&gt;="&amp;G$1,BD!$B:$B,"&lt;="&amp;G$2)</f>
        <v>608650</v>
      </c>
      <c r="H12" s="33">
        <f>SUMIFS(BD!$AA:$AA,BD!$B:$B,"&gt;="&amp;H$1,BD!$B:$B,"&lt;="&amp;H$2)</f>
        <v>0</v>
      </c>
      <c r="I12" s="33">
        <f>SUMIFS(BD!$AA:$AA,BD!$B:$B,"&gt;="&amp;I$1,BD!$B:$B,"&lt;="&amp;I$2)</f>
        <v>0</v>
      </c>
      <c r="J12" s="33">
        <f>SUMIFS(BD!$AA:$AA,BD!$B:$B,"&gt;="&amp;J$1,BD!$B:$B,"&lt;="&amp;J$2)</f>
        <v>0</v>
      </c>
      <c r="K12" s="33">
        <f>SUMIFS(BD!$AA:$AA,BD!$B:$B,"&gt;="&amp;K$1,BD!$B:$B,"&lt;="&amp;K$2)</f>
        <v>0</v>
      </c>
      <c r="L12" s="33">
        <f>SUMIFS(BD!$AA:$AA,BD!$B:$B,"&gt;="&amp;L$1,BD!$B:$B,"&lt;="&amp;L$2)</f>
        <v>0</v>
      </c>
      <c r="M12" s="33">
        <f>SUMIFS(BD!$AA:$AA,BD!$B:$B,"&gt;="&amp;M$1,BD!$B:$B,"&lt;="&amp;M$2)</f>
        <v>0</v>
      </c>
      <c r="N12" s="33">
        <f>SUMIFS(BD!$AA:$AA,BD!$B:$B,"&gt;="&amp;N$1,BD!$B:$B,"&lt;="&amp;N$2)</f>
        <v>0</v>
      </c>
      <c r="O12" s="34">
        <f>SUM(C12:N12)</f>
        <v>4481339</v>
      </c>
      <c r="P12" s="268">
        <f t="shared" si="1"/>
        <v>0</v>
      </c>
      <c r="Q12" s="268">
        <f t="shared" si="2"/>
        <v>0</v>
      </c>
      <c r="R12" s="268">
        <f t="shared" si="3"/>
        <v>0</v>
      </c>
      <c r="S12" s="268">
        <v>888352.37999999931</v>
      </c>
    </row>
    <row r="13" spans="2:19" ht="65.25" customHeight="1" x14ac:dyDescent="0.3">
      <c r="B13" s="32" t="s">
        <v>62</v>
      </c>
      <c r="C13" s="254">
        <f>SUMIFS(BD!$AF:$AF,BD!$B:$B,"&gt;="&amp;C$1,BD!$B:$B,"&lt;="&amp;C$2)+138849</f>
        <v>213928</v>
      </c>
      <c r="D13" s="33">
        <f>SUMIFS(BD!$AF:$AF,BD!$B:$B,"&gt;="&amp;D$1,BD!$B:$B,"&lt;="&amp;D$2)</f>
        <v>153791</v>
      </c>
      <c r="E13" s="33">
        <f>SUMIFS(BD!$AF:$AF,BD!$B:$B,"&gt;="&amp;E$1,BD!$B:$B,"&lt;="&amp;E$2)</f>
        <v>126449</v>
      </c>
      <c r="F13" s="33">
        <f>SUMIFS(BD!$AF:$AF,BD!$B:$B,"&gt;="&amp;F$1,BD!$B:$B,"&lt;="&amp;F$2)</f>
        <v>143860</v>
      </c>
      <c r="G13" s="33">
        <f>SUMIFS(BD!$AF:$AF,BD!$B:$B,"&gt;="&amp;G$1,BD!$B:$B,"&lt;="&amp;G$2)</f>
        <v>86439</v>
      </c>
      <c r="H13" s="33">
        <f>SUMIFS(BD!$AF:$AF,BD!$B:$B,"&gt;="&amp;H$1,BD!$B:$B,"&lt;="&amp;H$2)</f>
        <v>0</v>
      </c>
      <c r="I13" s="33">
        <f>SUMIFS(BD!$AF:$AF,BD!$B:$B,"&gt;="&amp;I$1,BD!$B:$B,"&lt;="&amp;I$2)</f>
        <v>0</v>
      </c>
      <c r="J13" s="33">
        <f>SUMIFS(BD!$AF:$AF,BD!$B:$B,"&gt;="&amp;J$1,BD!$B:$B,"&lt;="&amp;J$2)</f>
        <v>0</v>
      </c>
      <c r="K13" s="33">
        <f>SUMIFS(BD!$AF:$AF,BD!$B:$B,"&gt;="&amp;K$1,BD!$B:$B,"&lt;="&amp;K$2)</f>
        <v>0</v>
      </c>
      <c r="L13" s="33">
        <f>SUMIFS(BD!$AF:$AF,BD!$B:$B,"&gt;="&amp;L$1,BD!$B:$B,"&lt;="&amp;L$2)</f>
        <v>0</v>
      </c>
      <c r="M13" s="33">
        <f>SUMIFS(BD!$AF:$AF,BD!$B:$B,"&gt;="&amp;M$1,BD!$B:$B,"&lt;="&amp;M$2)</f>
        <v>0</v>
      </c>
      <c r="N13" s="33">
        <f>SUMIFS(BD!$AF:$AF,BD!$B:$B,"&gt;="&amp;N$1,BD!$B:$B,"&lt;="&amp;N$2)</f>
        <v>0</v>
      </c>
      <c r="O13" s="34">
        <f>SUM(C13:N13)</f>
        <v>724467</v>
      </c>
      <c r="P13" s="268">
        <f t="shared" si="1"/>
        <v>0</v>
      </c>
      <c r="Q13" s="268">
        <f t="shared" si="2"/>
        <v>0</v>
      </c>
      <c r="R13" s="268">
        <f t="shared" si="3"/>
        <v>0</v>
      </c>
      <c r="S13" s="268">
        <v>176293.80000000002</v>
      </c>
    </row>
    <row r="14" spans="2:19" ht="65.25" customHeight="1" x14ac:dyDescent="0.3">
      <c r="B14" s="32" t="s">
        <v>60</v>
      </c>
      <c r="C14" s="254">
        <f>SUMIFS(BD!$AK:$AK,BD!$B:$B,"&gt;="&amp;C$1,BD!$B:$B,"&lt;="&amp;C$2)+34560</f>
        <v>53568</v>
      </c>
      <c r="D14" s="33">
        <f>SUMIFS(BD!$AK:$AK,BD!$B:$B,"&gt;="&amp;D$1,BD!$B:$B,"&lt;="&amp;D$2)</f>
        <v>69120</v>
      </c>
      <c r="E14" s="33">
        <f>SUMIFS(BD!$AK:$AK,BD!$B:$B,"&gt;="&amp;E$1,BD!$B:$B,"&lt;="&amp;E$2)</f>
        <v>124416</v>
      </c>
      <c r="F14" s="33">
        <f>SUMIFS(BD!$AK:$AK,BD!$B:$B,"&gt;="&amp;F$1,BD!$B:$B,"&lt;="&amp;F$2)</f>
        <v>136512</v>
      </c>
      <c r="G14" s="33">
        <f>SUMIFS(BD!$AK:$AK,BD!$B:$B,"&gt;="&amp;G$1,BD!$B:$B,"&lt;="&amp;G$2)</f>
        <v>51840</v>
      </c>
      <c r="H14" s="33">
        <f>SUMIFS(BD!$AK:$AK,BD!$B:$B,"&gt;="&amp;H$1,BD!$B:$B,"&lt;="&amp;H$2)</f>
        <v>0</v>
      </c>
      <c r="I14" s="33">
        <f>SUMIFS(BD!$AK:$AK,BD!$B:$B,"&gt;="&amp;I$1,BD!$B:$B,"&lt;="&amp;I$2)</f>
        <v>0</v>
      </c>
      <c r="J14" s="33">
        <f>SUMIFS(BD!$AK:$AK,BD!$B:$B,"&gt;="&amp;J$1,BD!$B:$B,"&lt;="&amp;J$2)</f>
        <v>0</v>
      </c>
      <c r="K14" s="33">
        <f>SUMIFS(BD!$AK:$AK,BD!$B:$B,"&gt;="&amp;K$1,BD!$B:$B,"&lt;="&amp;K$2)</f>
        <v>0</v>
      </c>
      <c r="L14" s="33">
        <f>SUMIFS(BD!$AK:$AK,BD!$B:$B,"&gt;="&amp;L$1,BD!$B:$B,"&lt;="&amp;L$2)</f>
        <v>0</v>
      </c>
      <c r="M14" s="33">
        <f>SUMIFS(BD!$AK:$AK,BD!$B:$B,"&gt;="&amp;M$1,BD!$B:$B,"&lt;="&amp;M$2)</f>
        <v>0</v>
      </c>
      <c r="N14" s="33">
        <f>SUMIFS(BD!$AK:$AK,BD!$B:$B,"&gt;="&amp;N$1,BD!$B:$B,"&lt;="&amp;N$2)</f>
        <v>0</v>
      </c>
      <c r="O14" s="34">
        <f t="shared" si="4"/>
        <v>435456</v>
      </c>
      <c r="P14" s="268">
        <f t="shared" si="1"/>
        <v>0</v>
      </c>
      <c r="Q14" s="268">
        <f t="shared" si="2"/>
        <v>0</v>
      </c>
      <c r="R14" s="268">
        <f t="shared" si="3"/>
        <v>0</v>
      </c>
      <c r="S14" s="268">
        <v>66452.400000000009</v>
      </c>
    </row>
    <row r="15" spans="2:19" ht="65.25" customHeight="1" x14ac:dyDescent="0.3">
      <c r="B15" s="32" t="s">
        <v>63</v>
      </c>
      <c r="C15" s="254">
        <f>SUMIFS(BD!$AP:$AP,BD!$B:$B,"&gt;="&amp;C$1,BD!$B:$B,"&lt;="&amp;C$2)+46679</f>
        <v>73255</v>
      </c>
      <c r="D15" s="33">
        <f>SUMIFS(BD!$AP:$AP,BD!$B:$B,"&gt;="&amp;D$1,BD!$B:$B,"&lt;="&amp;D$2)</f>
        <v>76763</v>
      </c>
      <c r="E15" s="33">
        <f>SUMIFS(BD!$AP:$AP,BD!$B:$B,"&gt;="&amp;E$1,BD!$B:$B,"&lt;="&amp;E$2)</f>
        <v>68859</v>
      </c>
      <c r="F15" s="33">
        <f>SUMIFS(BD!$AP:$AP,BD!$B:$B,"&gt;="&amp;F$1,BD!$B:$B,"&lt;="&amp;F$2)</f>
        <v>75525</v>
      </c>
      <c r="G15" s="33">
        <f>SUMIFS(BD!$AP:$AP,BD!$B:$B,"&gt;="&amp;G$1,BD!$B:$B,"&lt;="&amp;G$2)</f>
        <v>36912</v>
      </c>
      <c r="H15" s="33">
        <f>SUMIFS(BD!$AP:$AP,BD!$B:$B,"&gt;="&amp;H$1,BD!$B:$B,"&lt;="&amp;H$2)</f>
        <v>0</v>
      </c>
      <c r="I15" s="33">
        <f>SUMIFS(BD!$AP:$AP,BD!$B:$B,"&gt;="&amp;I$1,BD!$B:$B,"&lt;="&amp;I$2)</f>
        <v>0</v>
      </c>
      <c r="J15" s="33">
        <f>SUMIFS(BD!$AP:$AP,BD!$B:$B,"&gt;="&amp;J$1,BD!$B:$B,"&lt;="&amp;J$2)</f>
        <v>0</v>
      </c>
      <c r="K15" s="33">
        <f>SUMIFS(BD!$AP:$AP,BD!$B:$B,"&gt;="&amp;K$1,BD!$B:$B,"&lt;="&amp;K$2)</f>
        <v>0</v>
      </c>
      <c r="L15" s="33">
        <f>SUMIFS(BD!$AP:$AP,BD!$B:$B,"&gt;="&amp;L$1,BD!$B:$B,"&lt;="&amp;L$2)</f>
        <v>0</v>
      </c>
      <c r="M15" s="33">
        <f>SUMIFS(BD!$AP:$AP,BD!$B:$B,"&gt;="&amp;M$1,BD!$B:$B,"&lt;="&amp;M$2)</f>
        <v>0</v>
      </c>
      <c r="N15" s="33">
        <f>SUMIFS(BD!$AP:$AP,BD!$B:$B,"&gt;="&amp;N$1,BD!$B:$B,"&lt;="&amp;N$2)</f>
        <v>0</v>
      </c>
      <c r="O15" s="34">
        <f t="shared" si="4"/>
        <v>331314</v>
      </c>
      <c r="P15" s="268">
        <f t="shared" si="1"/>
        <v>0</v>
      </c>
      <c r="Q15" s="268">
        <f t="shared" si="2"/>
        <v>0</v>
      </c>
      <c r="R15" s="268">
        <f t="shared" si="3"/>
        <v>0</v>
      </c>
      <c r="S15" s="268">
        <v>63389.700000000004</v>
      </c>
    </row>
    <row r="16" spans="2:19" ht="65.25" customHeight="1" x14ac:dyDescent="0.3">
      <c r="B16" s="32" t="s">
        <v>64</v>
      </c>
      <c r="C16" s="254">
        <f>SUMIFS(BD!$AZ:$AZ,BD!$B:$B,"&gt;="&amp;C$1,BD!$B:$B,"&lt;="&amp;C$2)+12191</f>
        <v>18853</v>
      </c>
      <c r="D16" s="33">
        <f>SUMIFS(BD!$AZ:$AZ,BD!$B:$B,"&gt;="&amp;D$1,BD!$B:$B,"&lt;="&amp;D$2)</f>
        <v>18383</v>
      </c>
      <c r="E16" s="33">
        <f>SUMIFS(BD!$AZ:$AZ,BD!$B:$B,"&gt;="&amp;E$1,BD!$B:$B,"&lt;="&amp;E$2)</f>
        <v>17312</v>
      </c>
      <c r="F16" s="33">
        <f>SUMIFS(BD!$AZ:$AZ,BD!$B:$B,"&gt;="&amp;F$1,BD!$B:$B,"&lt;="&amp;F$2)</f>
        <v>20015</v>
      </c>
      <c r="G16" s="33">
        <f>SUMIFS(BD!$AZ:$AZ,BD!$B:$B,"&gt;="&amp;G$1,BD!$B:$B,"&lt;="&amp;G$2)</f>
        <v>6128</v>
      </c>
      <c r="H16" s="33">
        <f>SUMIFS(BD!$AZ:$AZ,BD!$B:$B,"&gt;="&amp;H$1,BD!$B:$B,"&lt;="&amp;H$2)</f>
        <v>0</v>
      </c>
      <c r="I16" s="33">
        <f>SUMIFS(BD!$AZ:$AZ,BD!$B:$B,"&gt;="&amp;I$1,BD!$B:$B,"&lt;="&amp;I$2)</f>
        <v>0</v>
      </c>
      <c r="J16" s="33">
        <f>SUMIFS(BD!$AZ:$AZ,BD!$B:$B,"&gt;="&amp;J$1,BD!$B:$B,"&lt;="&amp;J$2)</f>
        <v>0</v>
      </c>
      <c r="K16" s="33">
        <f>SUMIFS(BD!$AZ:$AZ,BD!$B:$B,"&gt;="&amp;K$1,BD!$B:$B,"&lt;="&amp;K$2)</f>
        <v>0</v>
      </c>
      <c r="L16" s="33">
        <f>SUMIFS(BD!$AZ:$AZ,BD!$B:$B,"&gt;="&amp;L$1,BD!$B:$B,"&lt;="&amp;L$2)</f>
        <v>0</v>
      </c>
      <c r="M16" s="33">
        <f>SUMIFS(BD!$AZ:$AZ,BD!$B:$B,"&gt;="&amp;M$1,BD!$B:$B,"&lt;="&amp;M$2)</f>
        <v>0</v>
      </c>
      <c r="N16" s="33">
        <f>SUMIFS(BD!$AZ:$AZ,BD!$B:$B,"&gt;="&amp;N$1,BD!$B:$B,"&lt;="&amp;N$2)</f>
        <v>0</v>
      </c>
      <c r="O16" s="34">
        <f t="shared" si="4"/>
        <v>80691</v>
      </c>
      <c r="P16" s="268">
        <f t="shared" si="1"/>
        <v>0</v>
      </c>
      <c r="Q16" s="268">
        <f t="shared" si="2"/>
        <v>0</v>
      </c>
      <c r="R16" s="268">
        <f t="shared" si="3"/>
        <v>0</v>
      </c>
      <c r="S16" s="268">
        <v>16595.100000000002</v>
      </c>
    </row>
    <row r="17" spans="2:19" ht="65.25" customHeight="1" x14ac:dyDescent="0.3">
      <c r="B17" s="182" t="s">
        <v>467</v>
      </c>
      <c r="C17" s="255">
        <f>SUM(C8:C16)</f>
        <v>1472587</v>
      </c>
      <c r="D17" s="183">
        <f t="shared" ref="D17:N17" si="5">SUM(D8:D16)</f>
        <v>1338558.9495818799</v>
      </c>
      <c r="E17" s="183">
        <f t="shared" si="5"/>
        <v>1347820.9403870802</v>
      </c>
      <c r="F17" s="183">
        <f t="shared" si="5"/>
        <v>1520580.1100310399</v>
      </c>
      <c r="G17" s="183">
        <f t="shared" si="5"/>
        <v>808765</v>
      </c>
      <c r="H17" s="183">
        <f t="shared" si="5"/>
        <v>0</v>
      </c>
      <c r="I17" s="183">
        <f t="shared" si="5"/>
        <v>0</v>
      </c>
      <c r="J17" s="183">
        <f t="shared" si="5"/>
        <v>0</v>
      </c>
      <c r="K17" s="183">
        <f t="shared" si="5"/>
        <v>0</v>
      </c>
      <c r="L17" s="183">
        <f t="shared" si="5"/>
        <v>0</v>
      </c>
      <c r="M17" s="183">
        <f t="shared" si="5"/>
        <v>0</v>
      </c>
      <c r="N17" s="183">
        <f t="shared" si="5"/>
        <v>0</v>
      </c>
      <c r="O17" s="183">
        <f>SUM(C17:N17)</f>
        <v>6488312</v>
      </c>
      <c r="P17" s="271">
        <f t="shared" si="1"/>
        <v>0</v>
      </c>
      <c r="Q17" s="268">
        <f t="shared" si="2"/>
        <v>0</v>
      </c>
      <c r="R17" s="268">
        <f t="shared" si="3"/>
        <v>0</v>
      </c>
      <c r="S17" s="268">
        <v>1281781.9799999993</v>
      </c>
    </row>
    <row r="18" spans="2:19" ht="65.25" customHeight="1" x14ac:dyDescent="0.3">
      <c r="B18" s="182" t="s">
        <v>571</v>
      </c>
      <c r="C18" s="255">
        <f>+C17*0.9</f>
        <v>1325328.3</v>
      </c>
      <c r="D18" s="183">
        <f t="shared" ref="D18:N18" si="6">+D17*0.9</f>
        <v>1204703.0546236918</v>
      </c>
      <c r="E18" s="183">
        <f t="shared" si="6"/>
        <v>1213038.8463483723</v>
      </c>
      <c r="F18" s="183">
        <f t="shared" si="6"/>
        <v>1368522.0990279359</v>
      </c>
      <c r="G18" s="183">
        <f t="shared" si="6"/>
        <v>727888.5</v>
      </c>
      <c r="H18" s="183">
        <f t="shared" si="6"/>
        <v>0</v>
      </c>
      <c r="I18" s="183">
        <f t="shared" si="6"/>
        <v>0</v>
      </c>
      <c r="J18" s="183">
        <f t="shared" si="6"/>
        <v>0</v>
      </c>
      <c r="K18" s="183">
        <f t="shared" si="6"/>
        <v>0</v>
      </c>
      <c r="L18" s="183">
        <f t="shared" si="6"/>
        <v>0</v>
      </c>
      <c r="M18" s="183">
        <f t="shared" si="6"/>
        <v>0</v>
      </c>
      <c r="N18" s="183">
        <f t="shared" si="6"/>
        <v>0</v>
      </c>
      <c r="O18" s="183">
        <f t="shared" si="4"/>
        <v>5839480.8000000007</v>
      </c>
      <c r="P18" s="271"/>
    </row>
    <row r="21" spans="2:19" ht="28.5" customHeight="1" x14ac:dyDescent="0.35">
      <c r="C21" s="510" t="s">
        <v>474</v>
      </c>
      <c r="D21" s="511"/>
      <c r="E21" s="511"/>
      <c r="F21" s="511"/>
      <c r="G21" s="511"/>
      <c r="H21" s="511"/>
      <c r="I21" s="511"/>
      <c r="J21" s="511"/>
      <c r="K21" s="511"/>
      <c r="L21" s="511"/>
      <c r="M21" s="511"/>
      <c r="N21" s="511"/>
    </row>
    <row r="22" spans="2:19" ht="58.5" customHeight="1" x14ac:dyDescent="0.25">
      <c r="B22" s="32" t="s">
        <v>470</v>
      </c>
      <c r="C22" s="33">
        <f>SUMIFS(BDsurtidor!$K:$K,BDsurtidor!$E:$E,"&gt;="&amp;C$1,BDsurtidor!$E:$E,"&lt;="&amp;C$2,BDsurtidor!$I:$I,"CISTERNA")</f>
        <v>272</v>
      </c>
      <c r="D22" s="33">
        <f>SUMIFS(BDsurtidor!$K:$K,BDsurtidor!$E:$E,"&gt;="&amp;D$1,BDsurtidor!$E:$E,"&lt;="&amp;D$2,BDsurtidor!$I:$I,"CISTERNA")</f>
        <v>5092</v>
      </c>
      <c r="E22" s="33">
        <f>SUMIFS(BDsurtidor!$K:$K,BDsurtidor!$E:$E,"&gt;="&amp;E$1,BDsurtidor!$E:$E,"&lt;="&amp;E$2,BDsurtidor!$I:$I,"CISTERNA")</f>
        <v>4004</v>
      </c>
      <c r="F22" s="33">
        <f>SUMIFS(BDsurtidor!$K:$K,BDsurtidor!$E:$E,"&gt;="&amp;F$1,BDsurtidor!$E:$E,"&lt;="&amp;F$2,BDsurtidor!$I:$I,"CISTERNA")</f>
        <v>2283</v>
      </c>
      <c r="G22" s="33">
        <f>SUMIFS(BDsurtidor!$K:$K,BDsurtidor!$E:$E,"&gt;="&amp;G$1,BDsurtidor!$E:$E,"&lt;="&amp;G$2,BDsurtidor!$I:$I,"CISTERNA")</f>
        <v>1059</v>
      </c>
      <c r="H22" s="33">
        <f>SUMIFS(BDsurtidor!$K:$K,BDsurtidor!$E:$E,"&gt;="&amp;H$1,BDsurtidor!$E:$E,"&lt;="&amp;H$2,BDsurtidor!$I:$I,"CISTERNA")</f>
        <v>0</v>
      </c>
      <c r="I22" s="33">
        <f>SUMIFS(BDsurtidor!$K:$K,BDsurtidor!$E:$E,"&gt;="&amp;I$1,BDsurtidor!$E:$E,"&lt;="&amp;I$2,BDsurtidor!$I:$I,"CISTERNA")</f>
        <v>0</v>
      </c>
      <c r="J22" s="33">
        <f>SUMIFS(BDsurtidor!$K:$K,BDsurtidor!$E:$E,"&gt;="&amp;J$1,BDsurtidor!$E:$E,"&lt;="&amp;J$2,BDsurtidor!$I:$I,"CISTERNA")</f>
        <v>0</v>
      </c>
      <c r="K22" s="33">
        <f>SUMIFS(BDsurtidor!$K:$K,BDsurtidor!$E:$E,"&gt;="&amp;K$1,BDsurtidor!$E:$E,"&lt;="&amp;K$2,BDsurtidor!$I:$I,"CISTERNA")</f>
        <v>0</v>
      </c>
      <c r="L22" s="33">
        <f>SUMIFS(BDsurtidor!$K:$K,BDsurtidor!$E:$E,"&gt;="&amp;L$1,BDsurtidor!$E:$E,"&lt;="&amp;L$2,BDsurtidor!$I:$I,"CISTERNA")</f>
        <v>0</v>
      </c>
      <c r="M22" s="33">
        <f>SUMIFS(BDsurtidor!$K:$K,BDsurtidor!$E:$E,"&gt;="&amp;M$1,BDsurtidor!$E:$E,"&lt;="&amp;M$2,BDsurtidor!$I:$I,"CISTERNA")</f>
        <v>0</v>
      </c>
      <c r="N22" s="33">
        <f>SUMIFS(BDsurtidor!$K:$K,BDsurtidor!$E:$E,"&gt;="&amp;N$1,BDsurtidor!$E:$E,"&lt;="&amp;N$2,BDsurtidor!$I:$I,"CISTERNA")</f>
        <v>0</v>
      </c>
      <c r="O22" s="34">
        <f>SUM(C22:N22)</f>
        <v>12710</v>
      </c>
      <c r="P22" s="270"/>
    </row>
    <row r="28" spans="2:19" ht="15" customHeight="1" x14ac:dyDescent="0.25">
      <c r="F28" s="181">
        <f>+F15+F16</f>
        <v>95540</v>
      </c>
      <c r="G28" s="181">
        <f>+G15+G16</f>
        <v>43040</v>
      </c>
      <c r="H28" s="181">
        <f>+G28-F28</f>
        <v>-52500</v>
      </c>
    </row>
    <row r="29" spans="2:19" ht="15" customHeight="1" x14ac:dyDescent="0.25">
      <c r="H29">
        <f>+H28/F28</f>
        <v>-0.54950805945153858</v>
      </c>
    </row>
    <row r="30" spans="2:19" ht="15" customHeight="1" x14ac:dyDescent="0.25">
      <c r="F30" s="181"/>
      <c r="G30" s="181"/>
      <c r="H30" s="181"/>
    </row>
    <row r="33" spans="7:7" ht="15" customHeight="1" x14ac:dyDescent="0.25">
      <c r="G33" s="181"/>
    </row>
    <row r="34" spans="7:7" ht="15" customHeight="1" x14ac:dyDescent="0.25">
      <c r="G34" s="181"/>
    </row>
  </sheetData>
  <mergeCells count="6">
    <mergeCell ref="C21:N21"/>
    <mergeCell ref="C3:N3"/>
    <mergeCell ref="C4:N4"/>
    <mergeCell ref="O4:O5"/>
    <mergeCell ref="C5:N5"/>
    <mergeCell ref="B6:O6"/>
  </mergeCells>
  <phoneticPr fontId="68" type="noConversion"/>
  <pageMargins left="0.7" right="0.7" top="0.75" bottom="0.75" header="0" footer="0"/>
  <pageSetup paperSize="9" scale="3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F28D1-AFAF-4ED7-811F-DC102D0853E2}">
  <sheetPr codeName="Hoja18">
    <tabColor rgb="FF9CC2E5"/>
  </sheetPr>
  <dimension ref="B2:Z28"/>
  <sheetViews>
    <sheetView zoomScale="85" zoomScaleNormal="85" workbookViewId="0">
      <selection activeCell="L38" sqref="L38"/>
    </sheetView>
  </sheetViews>
  <sheetFormatPr baseColWidth="10" defaultRowHeight="15" x14ac:dyDescent="0.25"/>
  <cols>
    <col min="2" max="2" width="7.140625" customWidth="1"/>
    <col min="3" max="3" width="36.42578125" style="37" customWidth="1"/>
    <col min="4" max="15" width="11.42578125" customWidth="1"/>
    <col min="16" max="16" width="17.85546875" customWidth="1"/>
    <col min="17" max="17" width="9.7109375" customWidth="1"/>
    <col min="18" max="24" width="13.7109375" customWidth="1"/>
    <col min="25" max="26" width="13.85546875" customWidth="1"/>
  </cols>
  <sheetData>
    <row r="2" spans="2:26" x14ac:dyDescent="0.25">
      <c r="B2" s="88"/>
      <c r="C2" s="203"/>
      <c r="D2" s="88"/>
      <c r="E2" s="88"/>
      <c r="F2" s="88"/>
      <c r="G2" s="88"/>
      <c r="H2" s="88"/>
      <c r="I2" s="88"/>
      <c r="J2" s="88"/>
      <c r="K2" s="88"/>
      <c r="L2" s="88"/>
      <c r="M2" s="88"/>
      <c r="N2" s="88"/>
      <c r="O2" s="88"/>
      <c r="P2" s="88"/>
      <c r="Q2" s="88"/>
      <c r="R2" s="88"/>
      <c r="S2" s="88"/>
      <c r="T2" s="88"/>
      <c r="U2" s="88"/>
      <c r="V2" s="88"/>
      <c r="W2" s="88"/>
      <c r="X2" s="88"/>
    </row>
    <row r="3" spans="2:26" ht="15" customHeight="1" x14ac:dyDescent="0.25">
      <c r="B3" s="88"/>
      <c r="C3" s="203"/>
      <c r="D3" s="88"/>
      <c r="E3" s="88"/>
      <c r="F3" s="88"/>
      <c r="G3" s="88"/>
      <c r="H3" s="88"/>
      <c r="I3" s="88"/>
      <c r="J3" s="88"/>
      <c r="K3" s="88"/>
      <c r="L3" s="88"/>
      <c r="M3" s="88"/>
      <c r="N3" s="88"/>
      <c r="O3" s="88"/>
      <c r="P3" s="88"/>
      <c r="Q3" s="88"/>
      <c r="R3" s="207"/>
      <c r="S3" s="207"/>
      <c r="T3" s="207"/>
      <c r="U3" s="207"/>
      <c r="V3" s="207"/>
      <c r="W3" s="207"/>
      <c r="X3" s="207"/>
    </row>
    <row r="4" spans="2:26" x14ac:dyDescent="0.25">
      <c r="B4" s="88"/>
      <c r="C4" s="203"/>
      <c r="D4" s="88"/>
      <c r="E4" s="88"/>
      <c r="F4" s="88"/>
      <c r="G4" s="88"/>
      <c r="H4" s="88"/>
      <c r="I4" s="88"/>
      <c r="J4" s="88"/>
      <c r="K4" s="88"/>
      <c r="L4" s="88"/>
      <c r="M4" s="88"/>
      <c r="N4" s="88"/>
      <c r="O4" s="88"/>
      <c r="P4" s="88"/>
      <c r="Q4" s="88"/>
      <c r="R4" s="207"/>
      <c r="S4" s="207"/>
      <c r="T4" s="207"/>
      <c r="U4" s="207"/>
      <c r="V4" s="207"/>
      <c r="W4" s="207"/>
      <c r="X4" s="207"/>
    </row>
    <row r="5" spans="2:26" x14ac:dyDescent="0.25">
      <c r="B5" s="88"/>
      <c r="C5" s="203"/>
      <c r="D5" s="88"/>
      <c r="E5" s="88"/>
      <c r="F5" s="88"/>
      <c r="G5" s="88"/>
      <c r="H5" s="88"/>
      <c r="I5" s="88"/>
      <c r="J5" s="88"/>
      <c r="K5" s="88"/>
      <c r="L5" s="88"/>
      <c r="M5" s="88"/>
      <c r="N5" s="88"/>
      <c r="O5" s="88"/>
      <c r="P5" s="88"/>
      <c r="Q5" s="88"/>
      <c r="R5" s="207"/>
      <c r="S5" s="207"/>
      <c r="T5" s="207"/>
      <c r="U5" s="207"/>
      <c r="V5" s="207"/>
      <c r="W5" s="207"/>
      <c r="X5" s="207"/>
    </row>
    <row r="6" spans="2:26" x14ac:dyDescent="0.25">
      <c r="B6" s="88"/>
      <c r="C6" s="203"/>
      <c r="D6" s="88"/>
      <c r="E6" s="88"/>
      <c r="F6" s="88"/>
      <c r="G6" s="88"/>
      <c r="H6" s="88"/>
      <c r="I6" s="88"/>
      <c r="J6" s="88"/>
      <c r="K6" s="88"/>
      <c r="L6" s="88"/>
      <c r="M6" s="88"/>
      <c r="N6" s="88"/>
      <c r="O6" s="88"/>
      <c r="P6" s="88"/>
      <c r="Q6" s="88"/>
      <c r="R6" s="88"/>
      <c r="S6" s="88"/>
      <c r="T6" s="88"/>
      <c r="U6" s="88"/>
      <c r="V6" s="88"/>
      <c r="W6" s="88"/>
      <c r="X6" s="88"/>
    </row>
    <row r="7" spans="2:26" ht="15.75" customHeight="1" thickBot="1" x14ac:dyDescent="0.3">
      <c r="B7" s="88"/>
      <c r="C7" s="517" t="s">
        <v>65</v>
      </c>
      <c r="D7" s="519" t="s">
        <v>44</v>
      </c>
      <c r="E7" s="520"/>
      <c r="F7" s="520"/>
      <c r="G7" s="520"/>
      <c r="H7" s="520"/>
      <c r="I7" s="520"/>
      <c r="J7" s="520"/>
      <c r="K7" s="520"/>
      <c r="L7" s="520"/>
      <c r="M7" s="520"/>
      <c r="N7" s="520"/>
      <c r="O7" s="521"/>
      <c r="P7" s="522" t="s">
        <v>66</v>
      </c>
      <c r="Q7" s="88"/>
      <c r="R7" s="524" t="s">
        <v>67</v>
      </c>
      <c r="S7" s="524" t="s">
        <v>68</v>
      </c>
      <c r="T7" s="524" t="s">
        <v>69</v>
      </c>
      <c r="U7" s="526" t="s">
        <v>70</v>
      </c>
      <c r="V7" s="524" t="s">
        <v>71</v>
      </c>
      <c r="W7" s="524" t="s">
        <v>452</v>
      </c>
      <c r="X7" s="524" t="s">
        <v>597</v>
      </c>
    </row>
    <row r="8" spans="2:26" ht="48.75" customHeight="1" thickTop="1" thickBot="1" x14ac:dyDescent="0.3">
      <c r="B8" s="88"/>
      <c r="C8" s="518"/>
      <c r="D8" s="187" t="s">
        <v>45</v>
      </c>
      <c r="E8" s="187" t="s">
        <v>46</v>
      </c>
      <c r="F8" s="187" t="s">
        <v>47</v>
      </c>
      <c r="G8" s="187" t="s">
        <v>48</v>
      </c>
      <c r="H8" s="187" t="s">
        <v>49</v>
      </c>
      <c r="I8" s="187" t="s">
        <v>50</v>
      </c>
      <c r="J8" s="187" t="s">
        <v>51</v>
      </c>
      <c r="K8" s="187" t="s">
        <v>52</v>
      </c>
      <c r="L8" s="187" t="s">
        <v>53</v>
      </c>
      <c r="M8" s="187" t="s">
        <v>54</v>
      </c>
      <c r="N8" s="187" t="s">
        <v>55</v>
      </c>
      <c r="O8" s="188" t="s">
        <v>56</v>
      </c>
      <c r="P8" s="523"/>
      <c r="Q8" s="88"/>
      <c r="R8" s="525"/>
      <c r="S8" s="525"/>
      <c r="T8" s="525"/>
      <c r="U8" s="527"/>
      <c r="V8" s="525"/>
      <c r="W8" s="525"/>
      <c r="X8" s="525"/>
      <c r="Y8" t="s">
        <v>582</v>
      </c>
      <c r="Z8" t="s">
        <v>583</v>
      </c>
    </row>
    <row r="9" spans="2:26" ht="15" customHeight="1" x14ac:dyDescent="0.25">
      <c r="B9" s="88" t="s">
        <v>556</v>
      </c>
      <c r="C9" s="204" t="s">
        <v>9</v>
      </c>
      <c r="D9" s="190"/>
      <c r="E9" s="190"/>
      <c r="F9" s="190"/>
      <c r="G9" s="190"/>
      <c r="H9" s="190"/>
      <c r="I9" s="190"/>
      <c r="J9" s="190"/>
      <c r="K9" s="190"/>
      <c r="L9" s="190"/>
      <c r="M9" s="190"/>
      <c r="N9" s="190"/>
      <c r="O9" s="190"/>
      <c r="P9" s="190">
        <v>0</v>
      </c>
      <c r="Q9" s="88"/>
      <c r="R9" s="198"/>
      <c r="S9" s="198"/>
      <c r="T9" s="198"/>
      <c r="U9" s="198"/>
      <c r="V9" s="198"/>
      <c r="W9" s="262">
        <v>20995</v>
      </c>
      <c r="X9" s="262">
        <v>225565.1</v>
      </c>
      <c r="Y9" s="219">
        <f>+X9/W9</f>
        <v>10.743753274589189</v>
      </c>
      <c r="Z9" s="219" t="str">
        <f>IFERROR(+X9/P9,"100%")</f>
        <v>100%</v>
      </c>
    </row>
    <row r="10" spans="2:26" ht="15" customHeight="1" x14ac:dyDescent="0.25">
      <c r="B10" s="88"/>
      <c r="C10" s="205" t="s">
        <v>72</v>
      </c>
      <c r="D10" s="190"/>
      <c r="E10" s="190"/>
      <c r="F10" s="190"/>
      <c r="G10" s="190"/>
      <c r="H10" s="190"/>
      <c r="I10" s="190"/>
      <c r="J10" s="190"/>
      <c r="K10" s="190"/>
      <c r="L10" s="190"/>
      <c r="M10" s="190"/>
      <c r="N10" s="190"/>
      <c r="O10" s="190"/>
      <c r="P10" s="190"/>
      <c r="Q10" s="88"/>
      <c r="R10" s="200">
        <v>302086.80000000005</v>
      </c>
      <c r="S10" s="201">
        <v>185068.79999999999</v>
      </c>
      <c r="T10" s="197"/>
      <c r="U10" s="197"/>
      <c r="V10" s="197"/>
      <c r="W10" s="197"/>
      <c r="X10" s="199"/>
      <c r="Z10" s="219"/>
    </row>
    <row r="11" spans="2:26" ht="15" customHeight="1" x14ac:dyDescent="0.25">
      <c r="B11" s="88" t="s">
        <v>555</v>
      </c>
      <c r="C11" s="204" t="s">
        <v>57</v>
      </c>
      <c r="D11" s="191">
        <v>30690</v>
      </c>
      <c r="E11" s="191">
        <v>27720</v>
      </c>
      <c r="F11" s="191">
        <v>30690</v>
      </c>
      <c r="G11" s="191">
        <v>29700</v>
      </c>
      <c r="H11" s="191">
        <v>30690</v>
      </c>
      <c r="I11" s="191">
        <v>29700</v>
      </c>
      <c r="J11" s="191">
        <v>30690</v>
      </c>
      <c r="K11" s="191">
        <v>30690</v>
      </c>
      <c r="L11" s="191">
        <v>29700</v>
      </c>
      <c r="M11" s="191">
        <v>30690</v>
      </c>
      <c r="N11" s="191">
        <v>29700</v>
      </c>
      <c r="O11" s="191">
        <v>30690</v>
      </c>
      <c r="P11" s="192">
        <f>SUM(D11:O11)</f>
        <v>361350</v>
      </c>
      <c r="Q11" s="88"/>
      <c r="R11" s="202">
        <v>565935.06999999995</v>
      </c>
      <c r="S11" s="202">
        <v>704180.52</v>
      </c>
      <c r="T11" s="200">
        <v>754715.60900000017</v>
      </c>
      <c r="U11" s="200">
        <v>758163.02399999998</v>
      </c>
      <c r="V11" s="200">
        <v>669229.92899999989</v>
      </c>
      <c r="W11" s="200">
        <v>602710</v>
      </c>
      <c r="X11" s="199">
        <v>594602</v>
      </c>
      <c r="Y11" s="219">
        <f>+X11/W11</f>
        <v>0.9865474274526721</v>
      </c>
      <c r="Z11" s="219">
        <f t="shared" ref="Z11:Z18" si="0">IFERROR(+X11/P11,"0%")</f>
        <v>1.6455015912550159</v>
      </c>
    </row>
    <row r="12" spans="2:26" ht="15" customHeight="1" x14ac:dyDescent="0.25">
      <c r="B12" s="88"/>
      <c r="C12" s="205" t="s">
        <v>58</v>
      </c>
      <c r="D12" s="191">
        <v>26784</v>
      </c>
      <c r="E12" s="191">
        <v>24192</v>
      </c>
      <c r="F12" s="191">
        <v>26784</v>
      </c>
      <c r="G12" s="191">
        <v>25920</v>
      </c>
      <c r="H12" s="191">
        <v>26784</v>
      </c>
      <c r="I12" s="191">
        <v>25920</v>
      </c>
      <c r="J12" s="191">
        <v>26784</v>
      </c>
      <c r="K12" s="191">
        <v>26784</v>
      </c>
      <c r="L12" s="191">
        <v>25920</v>
      </c>
      <c r="M12" s="191">
        <v>26784</v>
      </c>
      <c r="N12" s="191">
        <v>25920</v>
      </c>
      <c r="O12" s="191">
        <v>26784</v>
      </c>
      <c r="P12" s="192">
        <f>SUM(D12:O12)</f>
        <v>315360</v>
      </c>
      <c r="Q12" s="88"/>
      <c r="R12" s="202">
        <v>599414.4</v>
      </c>
      <c r="S12" s="202">
        <v>693513.09399999992</v>
      </c>
      <c r="T12" s="202">
        <v>499449.36868000001</v>
      </c>
      <c r="U12" s="202">
        <v>493263.81</v>
      </c>
      <c r="V12" s="202">
        <v>396907.69029999996</v>
      </c>
      <c r="W12" s="263">
        <v>159323.70000000001</v>
      </c>
      <c r="X12" s="264">
        <v>65355</v>
      </c>
      <c r="Y12" s="219">
        <f>+X12/W12</f>
        <v>0.41020262522148304</v>
      </c>
      <c r="Z12" s="219">
        <f t="shared" si="0"/>
        <v>0.20723934550989345</v>
      </c>
    </row>
    <row r="13" spans="2:26" ht="15" customHeight="1" x14ac:dyDescent="0.25">
      <c r="B13" s="88"/>
      <c r="C13" s="205" t="s">
        <v>59</v>
      </c>
      <c r="D13" s="191">
        <v>17280</v>
      </c>
      <c r="E13" s="191">
        <v>17280</v>
      </c>
      <c r="F13" s="191">
        <v>17280</v>
      </c>
      <c r="G13" s="191">
        <v>17280</v>
      </c>
      <c r="H13" s="191">
        <v>17280</v>
      </c>
      <c r="I13" s="191">
        <v>17280</v>
      </c>
      <c r="J13" s="191">
        <v>17280</v>
      </c>
      <c r="K13" s="191">
        <v>17280</v>
      </c>
      <c r="L13" s="191">
        <v>17280</v>
      </c>
      <c r="M13" s="191">
        <v>17280</v>
      </c>
      <c r="N13" s="191">
        <v>17280</v>
      </c>
      <c r="O13" s="191">
        <v>17280</v>
      </c>
      <c r="P13" s="192">
        <f>SUM(D13:O13)</f>
        <v>207360</v>
      </c>
      <c r="Q13" s="88"/>
      <c r="R13" s="202">
        <v>0</v>
      </c>
      <c r="S13" s="202">
        <v>434147.25</v>
      </c>
      <c r="T13" s="202">
        <v>486497.54600000003</v>
      </c>
      <c r="U13" s="202">
        <v>127561.851</v>
      </c>
      <c r="V13" s="202">
        <v>588519.41399999999</v>
      </c>
      <c r="W13" s="202">
        <v>199500</v>
      </c>
      <c r="X13" s="199">
        <v>192764</v>
      </c>
      <c r="Y13" s="219">
        <f t="shared" ref="Y13:Y18" si="1">+X13/W13</f>
        <v>0.96623558897243111</v>
      </c>
      <c r="Z13" s="219">
        <f t="shared" si="0"/>
        <v>0.92961033950617289</v>
      </c>
    </row>
    <row r="14" spans="2:26" ht="15" customHeight="1" x14ac:dyDescent="0.25">
      <c r="B14" s="88" t="s">
        <v>556</v>
      </c>
      <c r="C14" s="204" t="s">
        <v>60</v>
      </c>
      <c r="D14" s="191"/>
      <c r="E14" s="191"/>
      <c r="F14" s="191"/>
      <c r="G14" s="191"/>
      <c r="H14" s="191"/>
      <c r="I14" s="191"/>
      <c r="J14" s="191"/>
      <c r="K14" s="191"/>
      <c r="L14" s="191"/>
      <c r="M14" s="191"/>
      <c r="N14" s="191"/>
      <c r="O14" s="191"/>
      <c r="P14" s="192"/>
      <c r="Q14" s="88"/>
      <c r="R14" s="202">
        <v>1380896.64</v>
      </c>
      <c r="S14" s="202">
        <v>1305161.8500000001</v>
      </c>
      <c r="T14" s="202">
        <v>1103584.32</v>
      </c>
      <c r="U14" s="202">
        <v>1024488</v>
      </c>
      <c r="V14" s="202">
        <v>1142683.2000000002</v>
      </c>
      <c r="W14" s="199">
        <v>1232852</v>
      </c>
      <c r="X14" s="199">
        <v>859051.67999999993</v>
      </c>
      <c r="Y14" s="219">
        <f t="shared" si="1"/>
        <v>0.69680032964216299</v>
      </c>
      <c r="Z14" s="219" t="str">
        <f t="shared" si="0"/>
        <v>0%</v>
      </c>
    </row>
    <row r="15" spans="2:26" x14ac:dyDescent="0.25">
      <c r="B15" s="88" t="s">
        <v>555</v>
      </c>
      <c r="C15" s="204" t="s">
        <v>61</v>
      </c>
      <c r="D15" s="191">
        <f>9331200/365*31</f>
        <v>792512.87671232875</v>
      </c>
      <c r="E15" s="191">
        <f>9331200/365*28</f>
        <v>715818.08219178091</v>
      </c>
      <c r="F15" s="191">
        <f>9331200/365*31</f>
        <v>792512.87671232875</v>
      </c>
      <c r="G15" s="191">
        <f>9331200/365*30</f>
        <v>766947.94520547951</v>
      </c>
      <c r="H15" s="191">
        <f>9331200/365*31</f>
        <v>792512.87671232875</v>
      </c>
      <c r="I15" s="191">
        <f>9331200/365*30</f>
        <v>766947.94520547951</v>
      </c>
      <c r="J15" s="191">
        <f>9331200/365*31</f>
        <v>792512.87671232875</v>
      </c>
      <c r="K15" s="191">
        <f>9331200/365*31</f>
        <v>792512.87671232875</v>
      </c>
      <c r="L15" s="191">
        <f>9331200/365*30</f>
        <v>766947.94520547951</v>
      </c>
      <c r="M15" s="191">
        <f>9331200/365*31</f>
        <v>792512.87671232875</v>
      </c>
      <c r="N15" s="191">
        <f>9331200/365*30</f>
        <v>766947.94520547951</v>
      </c>
      <c r="O15" s="191">
        <f>9331200/365*31</f>
        <v>792512.87671232875</v>
      </c>
      <c r="P15" s="192">
        <f>SUM(D15:O15)</f>
        <v>9331200</v>
      </c>
      <c r="Q15" s="88"/>
      <c r="R15" s="202">
        <v>6142948.3600000013</v>
      </c>
      <c r="S15" s="202">
        <v>6856270.2859999994</v>
      </c>
      <c r="T15" s="202">
        <v>10372717.440000001</v>
      </c>
      <c r="U15" s="202">
        <v>10730228.68</v>
      </c>
      <c r="V15" s="202">
        <v>9503645.129999999</v>
      </c>
      <c r="W15" s="262">
        <v>10083169</v>
      </c>
      <c r="X15" s="262">
        <v>12046916.000000002</v>
      </c>
      <c r="Y15" s="261">
        <f t="shared" si="1"/>
        <v>1.1947549426177426</v>
      </c>
      <c r="Z15" s="219">
        <f t="shared" si="0"/>
        <v>1.2910360939643348</v>
      </c>
    </row>
    <row r="16" spans="2:26" ht="15" customHeight="1" x14ac:dyDescent="0.25">
      <c r="B16" s="88"/>
      <c r="C16" s="205" t="s">
        <v>557</v>
      </c>
      <c r="D16" s="191">
        <v>401760</v>
      </c>
      <c r="E16" s="191">
        <v>362880</v>
      </c>
      <c r="F16" s="191">
        <v>401760</v>
      </c>
      <c r="G16" s="191">
        <v>388800</v>
      </c>
      <c r="H16" s="191">
        <v>401760</v>
      </c>
      <c r="I16" s="191">
        <v>388800</v>
      </c>
      <c r="J16" s="191">
        <v>401760</v>
      </c>
      <c r="K16" s="191">
        <v>401760</v>
      </c>
      <c r="L16" s="191">
        <v>388800</v>
      </c>
      <c r="M16" s="191">
        <v>401760</v>
      </c>
      <c r="N16" s="191">
        <v>388800</v>
      </c>
      <c r="O16" s="191">
        <v>401760</v>
      </c>
      <c r="P16" s="192">
        <f>SUM(D16:O16)</f>
        <v>4730400</v>
      </c>
      <c r="Q16" s="88"/>
      <c r="R16" s="202">
        <v>2223414</v>
      </c>
      <c r="S16" s="202">
        <v>2052720</v>
      </c>
      <c r="T16" s="202">
        <v>3134548.8000000003</v>
      </c>
      <c r="U16" s="202">
        <v>2463044.7600000002</v>
      </c>
      <c r="V16" s="202">
        <v>3023429.04</v>
      </c>
      <c r="W16" s="202">
        <v>2536007</v>
      </c>
      <c r="X16" s="199">
        <v>2166891</v>
      </c>
      <c r="Y16" s="219">
        <f t="shared" si="1"/>
        <v>0.85444992856880919</v>
      </c>
      <c r="Z16" s="219">
        <f t="shared" si="0"/>
        <v>0.45807775240994419</v>
      </c>
    </row>
    <row r="17" spans="2:26" ht="15" customHeight="1" x14ac:dyDescent="0.25">
      <c r="B17" s="88" t="s">
        <v>555</v>
      </c>
      <c r="C17" s="204" t="s">
        <v>63</v>
      </c>
      <c r="D17" s="191">
        <v>8100.54</v>
      </c>
      <c r="E17" s="191">
        <v>8100.54</v>
      </c>
      <c r="F17" s="191">
        <v>8100.54</v>
      </c>
      <c r="G17" s="191">
        <v>8100.54</v>
      </c>
      <c r="H17" s="191">
        <v>8100.54</v>
      </c>
      <c r="I17" s="191">
        <v>8100.54</v>
      </c>
      <c r="J17" s="191">
        <v>8100.54</v>
      </c>
      <c r="K17" s="191">
        <v>8100.54</v>
      </c>
      <c r="L17" s="191">
        <v>8100.54</v>
      </c>
      <c r="M17" s="191">
        <v>8100.54</v>
      </c>
      <c r="N17" s="191">
        <v>8100.54</v>
      </c>
      <c r="O17" s="191">
        <v>8100.54</v>
      </c>
      <c r="P17" s="192">
        <f>SUM(D17:O17)</f>
        <v>97206.479999999981</v>
      </c>
      <c r="Q17" s="88"/>
      <c r="R17" s="202">
        <v>619782.69500000007</v>
      </c>
      <c r="S17" s="202">
        <v>415176.12</v>
      </c>
      <c r="T17" s="202">
        <v>506076.26309999998</v>
      </c>
      <c r="U17" s="202">
        <v>553806.44999999984</v>
      </c>
      <c r="V17" s="202">
        <v>555172.85599999991</v>
      </c>
      <c r="W17" s="262">
        <v>697306</v>
      </c>
      <c r="X17" s="262">
        <v>863722</v>
      </c>
      <c r="Y17" s="261">
        <f>+X17/W17</f>
        <v>1.2386556260809458</v>
      </c>
      <c r="Z17" s="219">
        <f t="shared" si="0"/>
        <v>8.8854364441547542</v>
      </c>
    </row>
    <row r="18" spans="2:26" ht="15" customHeight="1" x14ac:dyDescent="0.25">
      <c r="B18" s="88" t="s">
        <v>555</v>
      </c>
      <c r="C18" s="204" t="s">
        <v>64</v>
      </c>
      <c r="D18" s="191">
        <v>6804</v>
      </c>
      <c r="E18" s="191">
        <v>6804</v>
      </c>
      <c r="F18" s="191">
        <v>6804</v>
      </c>
      <c r="G18" s="191">
        <v>6804</v>
      </c>
      <c r="H18" s="191">
        <v>6804</v>
      </c>
      <c r="I18" s="191">
        <v>6804</v>
      </c>
      <c r="J18" s="191">
        <v>6804</v>
      </c>
      <c r="K18" s="191">
        <v>6804</v>
      </c>
      <c r="L18" s="191">
        <v>6804</v>
      </c>
      <c r="M18" s="191">
        <v>6804</v>
      </c>
      <c r="N18" s="191">
        <v>6804</v>
      </c>
      <c r="O18" s="191">
        <v>6804</v>
      </c>
      <c r="P18" s="192">
        <f>SUM(D18:O18)</f>
        <v>81648</v>
      </c>
      <c r="Q18" s="88"/>
      <c r="R18" s="202">
        <v>377228.62999999995</v>
      </c>
      <c r="S18" s="202">
        <v>315461.82</v>
      </c>
      <c r="T18" s="202">
        <v>472211.57455200003</v>
      </c>
      <c r="U18" s="202">
        <v>586322.71250000002</v>
      </c>
      <c r="V18" s="202">
        <v>370736.80080000014</v>
      </c>
      <c r="W18" s="199">
        <v>240189</v>
      </c>
      <c r="X18" s="199">
        <v>230159</v>
      </c>
      <c r="Y18" s="219">
        <f t="shared" si="1"/>
        <v>0.95824121837386389</v>
      </c>
      <c r="Z18" s="219">
        <f t="shared" si="0"/>
        <v>2.8189177934548306</v>
      </c>
    </row>
    <row r="19" spans="2:26" x14ac:dyDescent="0.25">
      <c r="B19" s="88"/>
      <c r="C19" s="206" t="s">
        <v>73</v>
      </c>
      <c r="D19" s="193">
        <f t="shared" ref="D19:P19" si="2">SUM(D11:D18)</f>
        <v>1283931.4167123288</v>
      </c>
      <c r="E19" s="193">
        <f t="shared" si="2"/>
        <v>1162794.6221917809</v>
      </c>
      <c r="F19" s="193">
        <f t="shared" si="2"/>
        <v>1283931.4167123288</v>
      </c>
      <c r="G19" s="193">
        <f t="shared" si="2"/>
        <v>1243552.4852054794</v>
      </c>
      <c r="H19" s="193">
        <f t="shared" si="2"/>
        <v>1283931.4167123288</v>
      </c>
      <c r="I19" s="193">
        <f t="shared" si="2"/>
        <v>1243552.4852054794</v>
      </c>
      <c r="J19" s="193">
        <f t="shared" si="2"/>
        <v>1283931.4167123288</v>
      </c>
      <c r="K19" s="193">
        <f t="shared" si="2"/>
        <v>1283931.4167123288</v>
      </c>
      <c r="L19" s="193">
        <f t="shared" si="2"/>
        <v>1243552.4852054794</v>
      </c>
      <c r="M19" s="193">
        <f t="shared" si="2"/>
        <v>1283931.4167123288</v>
      </c>
      <c r="N19" s="193">
        <f t="shared" si="2"/>
        <v>1243552.4852054794</v>
      </c>
      <c r="O19" s="193">
        <f t="shared" si="2"/>
        <v>1283931.4167123288</v>
      </c>
      <c r="P19" s="193">
        <f t="shared" si="2"/>
        <v>15124524.48</v>
      </c>
      <c r="Q19" s="88"/>
      <c r="R19" s="194">
        <f t="shared" ref="R19:W19" si="3">SUM(R9:R18)</f>
        <v>12211706.595000003</v>
      </c>
      <c r="S19" s="194">
        <f t="shared" si="3"/>
        <v>12961699.739999998</v>
      </c>
      <c r="T19" s="194">
        <f t="shared" si="3"/>
        <v>17329800.921332002</v>
      </c>
      <c r="U19" s="194">
        <f t="shared" si="3"/>
        <v>16736879.2875</v>
      </c>
      <c r="V19" s="194">
        <f t="shared" si="3"/>
        <v>16250324.060099998</v>
      </c>
      <c r="W19" s="194">
        <f t="shared" si="3"/>
        <v>15772051.699999999</v>
      </c>
      <c r="X19" s="194">
        <f>SUM(X9:X18)</f>
        <v>17245025.780000001</v>
      </c>
    </row>
    <row r="20" spans="2:26" x14ac:dyDescent="0.25">
      <c r="B20" s="88"/>
      <c r="C20" s="203"/>
      <c r="D20" s="88"/>
      <c r="E20" s="88"/>
      <c r="F20" s="88"/>
      <c r="G20" s="88"/>
      <c r="H20" s="88"/>
      <c r="I20" s="88"/>
      <c r="J20" s="88"/>
      <c r="K20" s="88"/>
      <c r="L20" s="88"/>
      <c r="M20" s="88"/>
      <c r="N20" s="88"/>
      <c r="O20" s="88"/>
      <c r="P20" s="88"/>
      <c r="Q20" s="88"/>
      <c r="R20" s="88"/>
      <c r="S20" s="88"/>
      <c r="T20" s="88"/>
      <c r="U20" s="88"/>
      <c r="V20" s="88"/>
      <c r="W20" s="88"/>
      <c r="X20" s="88"/>
    </row>
    <row r="21" spans="2:26" x14ac:dyDescent="0.25">
      <c r="S21" s="219">
        <f t="shared" ref="S21:U21" si="4">+S19/R19</f>
        <v>1.0614159158808381</v>
      </c>
      <c r="T21" s="219">
        <f t="shared" si="4"/>
        <v>1.3370006456677883</v>
      </c>
      <c r="U21" s="219">
        <f t="shared" si="4"/>
        <v>0.96578601009189036</v>
      </c>
      <c r="V21" s="219">
        <f>+V19/U19</f>
        <v>0.97092915477000619</v>
      </c>
      <c r="W21" s="219">
        <f>+W19/V19</f>
        <v>0.9705684416919218</v>
      </c>
      <c r="X21" s="219">
        <f>+X19/W19</f>
        <v>1.0933914057611163</v>
      </c>
    </row>
    <row r="23" spans="2:26" x14ac:dyDescent="0.25">
      <c r="X23" s="208"/>
    </row>
    <row r="25" spans="2:26" x14ac:dyDescent="0.25">
      <c r="Q25" t="s">
        <v>593</v>
      </c>
      <c r="R25" s="44">
        <f t="shared" ref="R25:U25" si="5">+R15/365</f>
        <v>16829.995506849318</v>
      </c>
      <c r="S25" s="44">
        <f t="shared" si="5"/>
        <v>18784.302153424655</v>
      </c>
      <c r="T25" s="44">
        <f t="shared" si="5"/>
        <v>28418.403945205482</v>
      </c>
      <c r="U25" s="44">
        <f t="shared" si="5"/>
        <v>29397.886794520546</v>
      </c>
      <c r="V25" s="44">
        <f>+V15/365</f>
        <v>26037.383917808216</v>
      </c>
      <c r="W25" s="44">
        <f t="shared" ref="W25" si="6">+W15/365</f>
        <v>27625.120547945204</v>
      </c>
      <c r="X25" s="44">
        <f>+X15/365</f>
        <v>33005.249315068497</v>
      </c>
    </row>
    <row r="26" spans="2:26" x14ac:dyDescent="0.25">
      <c r="Q26" t="s">
        <v>594</v>
      </c>
      <c r="R26" s="44">
        <f t="shared" ref="R26:U26" si="7">+R25/24</f>
        <v>701.24981278538826</v>
      </c>
      <c r="S26" s="44">
        <f t="shared" si="7"/>
        <v>782.6792563926939</v>
      </c>
      <c r="T26" s="44">
        <f t="shared" si="7"/>
        <v>1184.1001643835618</v>
      </c>
      <c r="U26" s="44">
        <f t="shared" si="7"/>
        <v>1224.9119497716895</v>
      </c>
      <c r="V26" s="44">
        <f>+V25/24</f>
        <v>1084.8909965753423</v>
      </c>
      <c r="W26" s="44">
        <f t="shared" ref="W26:X26" si="8">+W25/24</f>
        <v>1151.0466894977169</v>
      </c>
      <c r="X26" s="44">
        <f t="shared" si="8"/>
        <v>1375.2187214611874</v>
      </c>
    </row>
    <row r="27" spans="2:26" x14ac:dyDescent="0.25">
      <c r="Q27" t="s">
        <v>595</v>
      </c>
      <c r="R27" s="44">
        <f t="shared" ref="R27:U27" si="9">+R26/3.6</f>
        <v>194.79161466260786</v>
      </c>
      <c r="S27" s="44">
        <f t="shared" si="9"/>
        <v>217.41090455352608</v>
      </c>
      <c r="T27" s="44">
        <f t="shared" si="9"/>
        <v>328.91671232876718</v>
      </c>
      <c r="U27" s="44">
        <f t="shared" si="9"/>
        <v>340.25331938102482</v>
      </c>
      <c r="V27" s="44">
        <f>+V26/3.6</f>
        <v>301.35861015981732</v>
      </c>
      <c r="W27" s="44">
        <f t="shared" ref="W27" si="10">+W26/3.6</f>
        <v>319.73519152714357</v>
      </c>
      <c r="X27" s="44">
        <f>+X26/3.6</f>
        <v>382.00520040588538</v>
      </c>
    </row>
    <row r="28" spans="2:26" x14ac:dyDescent="0.25">
      <c r="Q28" t="s">
        <v>596</v>
      </c>
      <c r="R28" s="219">
        <f>+R15/R19</f>
        <v>0.50303766408170891</v>
      </c>
      <c r="S28" s="219">
        <f t="shared" ref="S28:X28" si="11">+S15/S19</f>
        <v>0.52896382600512237</v>
      </c>
      <c r="T28" s="219">
        <f t="shared" si="11"/>
        <v>0.59854798604361203</v>
      </c>
      <c r="U28" s="219">
        <f t="shared" si="11"/>
        <v>0.6411128679176118</v>
      </c>
      <c r="V28" s="219">
        <f t="shared" si="11"/>
        <v>0.58482803757339452</v>
      </c>
      <c r="W28" s="219">
        <f t="shared" si="11"/>
        <v>0.63930610879242811</v>
      </c>
      <c r="X28" s="219">
        <f t="shared" si="11"/>
        <v>0.6985733830546933</v>
      </c>
    </row>
  </sheetData>
  <mergeCells count="10">
    <mergeCell ref="U7:U8"/>
    <mergeCell ref="V7:V8"/>
    <mergeCell ref="T7:T8"/>
    <mergeCell ref="W7:W8"/>
    <mergeCell ref="X7:X8"/>
    <mergeCell ref="C7:C8"/>
    <mergeCell ref="D7:O7"/>
    <mergeCell ref="P7:P8"/>
    <mergeCell ref="R7:R8"/>
    <mergeCell ref="S7:S8"/>
  </mergeCells>
  <conditionalFormatting sqref="Y11:Y18">
    <cfRule type="dataBar" priority="2">
      <dataBar>
        <cfvo type="min"/>
        <cfvo type="max"/>
        <color rgb="FF638EC6"/>
      </dataBar>
      <extLst>
        <ext xmlns:x14="http://schemas.microsoft.com/office/spreadsheetml/2009/9/main" uri="{B025F937-C7B1-47D3-B67F-A62EFF666E3E}">
          <x14:id>{25423499-7ADF-4FBF-B246-2CC38EB000AF}</x14:id>
        </ext>
      </extLst>
    </cfRule>
  </conditionalFormatting>
  <conditionalFormatting sqref="Y9:Z9 Z9:Z18">
    <cfRule type="dataBar" priority="1">
      <dataBar>
        <cfvo type="min"/>
        <cfvo type="max"/>
        <color rgb="FF638EC6"/>
      </dataBar>
      <extLst>
        <ext xmlns:x14="http://schemas.microsoft.com/office/spreadsheetml/2009/9/main" uri="{B025F937-C7B1-47D3-B67F-A62EFF666E3E}">
          <x14:id>{EA47B01A-71C0-424E-998F-CA8CF5254908}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5423499-7ADF-4FBF-B246-2CC38EB000AF}">
            <x14:dataBar minLength="0" maxLength="100" border="1" negativeBarBorderColorSameAsPositive="0">
              <x14:cfvo type="autoMin"/>
              <x14:cfvo type="autoMax"/>
              <x14:borderColor rgb="FF638EC6"/>
              <x14:negativeFillColor rgb="FFFF0000"/>
              <x14:negativeBorderColor rgb="FFFF0000"/>
              <x14:axisColor rgb="FF000000"/>
            </x14:dataBar>
          </x14:cfRule>
          <xm:sqref>Y11:Y18</xm:sqref>
        </x14:conditionalFormatting>
        <x14:conditionalFormatting xmlns:xm="http://schemas.microsoft.com/office/excel/2006/main">
          <x14:cfRule type="dataBar" id="{EA47B01A-71C0-424E-998F-CA8CF5254908}">
            <x14:dataBar minLength="0" maxLength="100" border="1" negativeBarBorderColorSameAsPositive="0">
              <x14:cfvo type="autoMin"/>
              <x14:cfvo type="autoMax"/>
              <x14:borderColor rgb="FF638EC6"/>
              <x14:negativeFillColor rgb="FFFF0000"/>
              <x14:negativeBorderColor rgb="FFFF0000"/>
              <x14:axisColor rgb="FF000000"/>
            </x14:dataBar>
          </x14:cfRule>
          <xm:sqref>Y9:Z9 Z9:Z18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FC10E-1297-4E9F-8F06-57773ED929D8}">
  <sheetPr>
    <pageSetUpPr fitToPage="1"/>
  </sheetPr>
  <dimension ref="B1:AB155"/>
  <sheetViews>
    <sheetView zoomScale="50" zoomScaleNormal="50" zoomScaleSheetLayoutView="40" workbookViewId="0">
      <pane ySplit="1" topLeftCell="A2" activePane="bottomLeft" state="frozen"/>
      <selection pane="bottomLeft" activeCell="T1" sqref="T1:U1048576"/>
    </sheetView>
  </sheetViews>
  <sheetFormatPr baseColWidth="10" defaultColWidth="14.42578125" defaultRowHeight="15" x14ac:dyDescent="0.25"/>
  <cols>
    <col min="1" max="1" width="14.42578125" style="340"/>
    <col min="2" max="2" width="20.42578125" style="340" bestFit="1" customWidth="1"/>
    <col min="3" max="3" width="14.5703125" style="340" bestFit="1" customWidth="1"/>
    <col min="4" max="4" width="21.42578125" style="340" hidden="1" customWidth="1"/>
    <col min="5" max="5" width="17.85546875" style="340" customWidth="1"/>
    <col min="6" max="7" width="23.28515625" style="340" hidden="1" customWidth="1"/>
    <col min="8" max="8" width="29.85546875" style="340" bestFit="1" customWidth="1"/>
    <col min="9" max="9" width="20.42578125" style="340" bestFit="1" customWidth="1"/>
    <col min="10" max="10" width="14.5703125" style="340" bestFit="1" customWidth="1"/>
    <col min="11" max="11" width="21.42578125" style="340" hidden="1" customWidth="1"/>
    <col min="12" max="12" width="17.85546875" style="340" customWidth="1"/>
    <col min="13" max="14" width="22.7109375" style="340" hidden="1" customWidth="1"/>
    <col min="15" max="15" width="29.85546875" style="340" bestFit="1" customWidth="1"/>
    <col min="16" max="16" width="20.42578125" style="340" bestFit="1" customWidth="1"/>
    <col min="17" max="17" width="14.5703125" style="340" bestFit="1" customWidth="1"/>
    <col min="18" max="18" width="21.42578125" style="340" hidden="1" customWidth="1"/>
    <col min="19" max="19" width="17.85546875" style="340" customWidth="1"/>
    <col min="20" max="20" width="23.140625" style="340" hidden="1" customWidth="1"/>
    <col min="21" max="21" width="24.140625" style="340" hidden="1" customWidth="1"/>
    <col min="22" max="22" width="29.85546875" style="340" bestFit="1" customWidth="1"/>
    <col min="23" max="23" width="14.42578125" style="340"/>
    <col min="24" max="24" width="20.85546875" style="340" bestFit="1" customWidth="1"/>
    <col min="25" max="27" width="14.42578125" style="340"/>
    <col min="28" max="28" width="26.42578125" style="340" bestFit="1" customWidth="1"/>
    <col min="29" max="58" width="14.42578125" style="340"/>
    <col min="59" max="59" width="14.42578125" style="340" customWidth="1"/>
    <col min="60" max="16384" width="14.42578125" style="340"/>
  </cols>
  <sheetData>
    <row r="1" spans="2:22" ht="23.25" x14ac:dyDescent="0.25">
      <c r="B1" s="339">
        <v>46093</v>
      </c>
    </row>
    <row r="2" spans="2:22" ht="15.75" thickBot="1" x14ac:dyDescent="0.3"/>
    <row r="3" spans="2:22" ht="26.25" customHeight="1" thickBot="1" x14ac:dyDescent="0.4">
      <c r="B3" s="528" t="s">
        <v>0</v>
      </c>
      <c r="C3" s="529"/>
      <c r="D3" s="529"/>
      <c r="E3" s="529"/>
      <c r="F3" s="529"/>
      <c r="G3" s="529"/>
      <c r="H3" s="530"/>
      <c r="I3" s="531" t="s">
        <v>1</v>
      </c>
      <c r="J3" s="531"/>
      <c r="K3" s="531"/>
      <c r="L3" s="531"/>
      <c r="M3" s="531"/>
      <c r="N3" s="531"/>
      <c r="O3" s="531"/>
      <c r="P3" s="531" t="s">
        <v>2</v>
      </c>
      <c r="Q3" s="531"/>
      <c r="R3" s="531"/>
      <c r="S3" s="531"/>
      <c r="T3" s="531"/>
      <c r="U3" s="531"/>
      <c r="V3" s="531"/>
    </row>
    <row r="4" spans="2:22" ht="26.25" customHeight="1" thickBot="1" x14ac:dyDescent="0.4">
      <c r="B4" s="528" t="str">
        <f>PROPER(TEXT(B6,"mmmm"))</f>
        <v>Marzo</v>
      </c>
      <c r="C4" s="529"/>
      <c r="D4" s="529"/>
      <c r="E4" s="529"/>
      <c r="F4" s="529"/>
      <c r="G4" s="529"/>
      <c r="H4" s="530"/>
      <c r="I4" s="528" t="str">
        <f>PROPER(TEXT(I6,"mmmm"))</f>
        <v>Marzo</v>
      </c>
      <c r="J4" s="529"/>
      <c r="K4" s="529"/>
      <c r="L4" s="529"/>
      <c r="M4" s="529"/>
      <c r="N4" s="529"/>
      <c r="O4" s="530"/>
      <c r="P4" s="528" t="str">
        <f>PROPER(TEXT(P6,"mmmm"))</f>
        <v>Marzo</v>
      </c>
      <c r="Q4" s="529"/>
      <c r="R4" s="529"/>
      <c r="S4" s="529"/>
      <c r="T4" s="529"/>
      <c r="U4" s="529"/>
      <c r="V4" s="530"/>
    </row>
    <row r="5" spans="2:22" ht="30" customHeight="1" thickBot="1" x14ac:dyDescent="0.3">
      <c r="B5" s="341" t="s">
        <v>80</v>
      </c>
      <c r="C5" s="341" t="s">
        <v>569</v>
      </c>
      <c r="D5" s="341" t="s">
        <v>711</v>
      </c>
      <c r="E5" s="341" t="s">
        <v>712</v>
      </c>
      <c r="F5" s="341" t="s">
        <v>713</v>
      </c>
      <c r="G5" s="341" t="s">
        <v>714</v>
      </c>
      <c r="H5" s="341" t="s">
        <v>715</v>
      </c>
      <c r="I5" s="341" t="s">
        <v>80</v>
      </c>
      <c r="J5" s="341" t="s">
        <v>569</v>
      </c>
      <c r="K5" s="341" t="s">
        <v>711</v>
      </c>
      <c r="L5" s="341" t="s">
        <v>712</v>
      </c>
      <c r="M5" s="341" t="s">
        <v>713</v>
      </c>
      <c r="N5" s="341" t="s">
        <v>714</v>
      </c>
      <c r="O5" s="341" t="s">
        <v>715</v>
      </c>
      <c r="P5" s="341" t="s">
        <v>80</v>
      </c>
      <c r="Q5" s="341" t="s">
        <v>569</v>
      </c>
      <c r="R5" s="341" t="s">
        <v>711</v>
      </c>
      <c r="S5" s="341" t="s">
        <v>712</v>
      </c>
      <c r="T5" s="341" t="s">
        <v>713</v>
      </c>
      <c r="U5" s="341" t="s">
        <v>714</v>
      </c>
      <c r="V5" s="341" t="s">
        <v>715</v>
      </c>
    </row>
    <row r="6" spans="2:22" ht="24" customHeight="1" thickBot="1" x14ac:dyDescent="0.3">
      <c r="B6" s="342">
        <f>$B$1</f>
        <v>46093</v>
      </c>
      <c r="C6" s="343">
        <f>IF(H6=0, 0, IFERROR(VLOOKUP($B6,BD!$B$4:$BO$389,2,FALSE), 0))</f>
        <v>38</v>
      </c>
      <c r="D6" s="343">
        <f>IF(I6=0, 0, IFERROR(VLOOKUP($B6,[1]BD!$B$4:$BO$389,2,FALSE), 0))</f>
        <v>0</v>
      </c>
      <c r="E6" s="343">
        <f>IFERROR(VLOOKUP($B6,BD!$B$4:$BO$389,3,FALSE), NA())</f>
        <v>17.309941520467834</v>
      </c>
      <c r="F6" s="343">
        <f>IFERROR(VLOOKUP($B6,BD!$B$4:$BO$389,4,FALSE), NA())</f>
        <v>3867945</v>
      </c>
      <c r="G6" s="343">
        <f>IFERROR(VLOOKUP($B6,BD!$B$4:$BO$400,5,FALSE), NA())</f>
        <v>3870313</v>
      </c>
      <c r="H6" s="343">
        <f>IFERROR(VLOOKUP($B6,BD!$B$4:$BO$389,6,FALSE), NA())</f>
        <v>2368</v>
      </c>
      <c r="I6" s="346">
        <f>$B$1</f>
        <v>46093</v>
      </c>
      <c r="J6" s="343">
        <f>IF(O6=0, 0, IFERROR(VLOOKUP($I6,BD!$B$4:$BO$389,7,FALSE), 0))</f>
        <v>0</v>
      </c>
      <c r="K6" s="344"/>
      <c r="L6" s="344">
        <f>IFERROR(VLOOKUP($I6,BD!$B$4:$BO$389,8,FALSE), NA())</f>
        <v>0</v>
      </c>
      <c r="M6" s="344">
        <f>IFERROR(VLOOKUP($I6,BD!$B$4:$BO$389,9,FALSE), NA())</f>
        <v>1970853</v>
      </c>
      <c r="N6" s="344">
        <f>IFERROR(VLOOKUP($I6,BD!$B$4:$BO$400,10,FALSE), NA())</f>
        <v>1970853</v>
      </c>
      <c r="O6" s="345">
        <f>IFERROR(VLOOKUP($I6,BD!$B$4:$BO$389,11,FALSE), NA())</f>
        <v>0</v>
      </c>
      <c r="P6" s="346">
        <f>$B$1</f>
        <v>46093</v>
      </c>
      <c r="Q6" s="343">
        <f>IF(V6=0, 0, IFERROR(VLOOKUP($P6,BD!$B$4:$BO$389,12,FALSE), 0))</f>
        <v>0</v>
      </c>
      <c r="R6" s="344"/>
      <c r="S6" s="344">
        <f>IFERROR(VLOOKUP($P6,BD!$B$4:$BO$389,13,FALSE), NA())</f>
        <v>0</v>
      </c>
      <c r="T6" s="344">
        <f>IFERROR(VLOOKUP($P6,BD!$B$4:$BO$389,14,FALSE), NA())</f>
        <v>414656</v>
      </c>
      <c r="U6" s="344">
        <f>IFERROR(VLOOKUP($P6,BD!$B$4:$BO$400,15,FALSE), NA())</f>
        <v>414656</v>
      </c>
      <c r="V6" s="345">
        <f>IFERROR(VLOOKUP($P6,BD!$B$4:$BO$389,16,FALSE), NA())</f>
        <v>0</v>
      </c>
    </row>
    <row r="7" spans="2:22" ht="24" customHeight="1" thickBot="1" x14ac:dyDescent="0.3">
      <c r="B7" s="346">
        <f t="shared" ref="B7:B36" si="0">IF(ROW(B7)-ROW($B$6)+1 &lt;= DAY(EOMONTH($B$1,0)), B6+1, "")</f>
        <v>46094</v>
      </c>
      <c r="C7" s="343">
        <f>IF(H7=0, 0, IFERROR(VLOOKUP($B7,BD!$B$4:$BO$389,2,FALSE), 0))</f>
        <v>38</v>
      </c>
      <c r="D7" s="343">
        <f>IF(I7=0, 0, IFERROR(VLOOKUP($B7,[1]BD!$B$4:$BO$389,2,FALSE), 0))</f>
        <v>0</v>
      </c>
      <c r="E7" s="343">
        <f>IFERROR(VLOOKUP($B7,BD!$B$4:$BO$389,3,FALSE), NA())</f>
        <v>17.0906432748538</v>
      </c>
      <c r="F7" s="343">
        <f>IFERROR(VLOOKUP($B7,BD!$B$4:$BO$389,4,FALSE), NA())</f>
        <v>3870313</v>
      </c>
      <c r="G7" s="343">
        <f>IFERROR(VLOOKUP($B7,BD!$B$4:$BO$400,5,FALSE), NA())</f>
        <v>3872651</v>
      </c>
      <c r="H7" s="343">
        <f>IFERROR(VLOOKUP($B7,BD!$B$4:$BO$389,6,FALSE), NA())</f>
        <v>2338</v>
      </c>
      <c r="I7" s="346">
        <f t="shared" ref="I7:I36" si="1">IF(ROW(I7)-ROW($B$6)+1 &lt;= DAY(EOMONTH($B$1,0)), I6+1, "")</f>
        <v>46094</v>
      </c>
      <c r="J7" s="343">
        <f>IF(O7=0, 0, IFERROR(VLOOKUP($I7,BD!$B$4:$BO$389,7,FALSE), 0))</f>
        <v>0</v>
      </c>
      <c r="K7" s="344"/>
      <c r="L7" s="344">
        <f>IFERROR(VLOOKUP($I7,BD!$B$4:$BO$389,8,FALSE), NA())</f>
        <v>0</v>
      </c>
      <c r="M7" s="344">
        <f>IFERROR(VLOOKUP($I7,BD!$B$4:$BO$389,9,FALSE), NA())</f>
        <v>1970853</v>
      </c>
      <c r="N7" s="344">
        <f>IFERROR(VLOOKUP($I7,BD!$B$4:$BO$400,10,FALSE), NA())</f>
        <v>1970853</v>
      </c>
      <c r="O7" s="345">
        <f>IFERROR(VLOOKUP($I7,BD!$B$4:$BO$389,11,FALSE), NA())</f>
        <v>0</v>
      </c>
      <c r="P7" s="346">
        <f t="shared" ref="P7:P36" si="2">IF(ROW(P7)-ROW($B$6)+1 &lt;= DAY(EOMONTH($B$1,0)), P6+1, "")</f>
        <v>46094</v>
      </c>
      <c r="Q7" s="343">
        <f>IF(V7=0, 0, IFERROR(VLOOKUP($P7,BD!$B$4:$BO$389,12,FALSE), 0))</f>
        <v>0</v>
      </c>
      <c r="R7" s="344"/>
      <c r="S7" s="344">
        <f>IFERROR(VLOOKUP($P7,BD!$B$4:$BO$389,13,FALSE), NA())</f>
        <v>0</v>
      </c>
      <c r="T7" s="344">
        <f>IFERROR(VLOOKUP($P7,BD!$B$4:$BO$389,14,FALSE), NA())</f>
        <v>414656</v>
      </c>
      <c r="U7" s="344">
        <f>IFERROR(VLOOKUP($P7,BD!$B$4:$BO$400,15,FALSE), NA())</f>
        <v>414656</v>
      </c>
      <c r="V7" s="345">
        <f>IFERROR(VLOOKUP($P7,BD!$B$4:$BO$389,16,FALSE), NA())</f>
        <v>0</v>
      </c>
    </row>
    <row r="8" spans="2:22" ht="24" customHeight="1" thickBot="1" x14ac:dyDescent="0.3">
      <c r="B8" s="346">
        <f t="shared" si="0"/>
        <v>46095</v>
      </c>
      <c r="C8" s="343">
        <f>IF(H8=0, 0, IFERROR(VLOOKUP($B8,BD!$B$4:$BO$389,2,FALSE), 0))</f>
        <v>38</v>
      </c>
      <c r="D8" s="343">
        <f>IF(I8=0, 0, IFERROR(VLOOKUP($B8,[1]BD!$B$4:$BO$389,2,FALSE), 0))</f>
        <v>0</v>
      </c>
      <c r="E8" s="343">
        <f>IFERROR(VLOOKUP($B8,BD!$B$4:$BO$389,3,FALSE), NA())</f>
        <v>17.397660818713447</v>
      </c>
      <c r="F8" s="343">
        <f>IFERROR(VLOOKUP($B8,BD!$B$4:$BO$389,4,FALSE), NA())</f>
        <v>3872651</v>
      </c>
      <c r="G8" s="343">
        <f>IFERROR(VLOOKUP($B8,BD!$B$4:$BO$400,5,FALSE), NA())</f>
        <v>3875031</v>
      </c>
      <c r="H8" s="343">
        <f>IFERROR(VLOOKUP($B8,BD!$B$4:$BO$389,6,FALSE), NA())</f>
        <v>2380</v>
      </c>
      <c r="I8" s="346">
        <f t="shared" si="1"/>
        <v>46095</v>
      </c>
      <c r="J8" s="343">
        <f>IF(O8=0, 0, IFERROR(VLOOKUP($I8,BD!$B$4:$BO$389,7,FALSE), 0))</f>
        <v>0</v>
      </c>
      <c r="K8" s="344"/>
      <c r="L8" s="344">
        <f>IFERROR(VLOOKUP($I8,BD!$B$4:$BO$389,8,FALSE), NA())</f>
        <v>0</v>
      </c>
      <c r="M8" s="344">
        <f>IFERROR(VLOOKUP($I8,BD!$B$4:$BO$389,9,FALSE), NA())</f>
        <v>1970853</v>
      </c>
      <c r="N8" s="344">
        <f>IFERROR(VLOOKUP($I8,BD!$B$4:$BO$400,10,FALSE), NA())</f>
        <v>1970853</v>
      </c>
      <c r="O8" s="345">
        <f>IFERROR(VLOOKUP($I8,BD!$B$4:$BO$389,11,FALSE), NA())</f>
        <v>0</v>
      </c>
      <c r="P8" s="346">
        <f t="shared" si="2"/>
        <v>46095</v>
      </c>
      <c r="Q8" s="343">
        <f>IF(V8=0, 0, IFERROR(VLOOKUP($P8,BD!$B$4:$BO$389,12,FALSE), 0))</f>
        <v>0</v>
      </c>
      <c r="R8" s="344"/>
      <c r="S8" s="344">
        <f>IFERROR(VLOOKUP($P8,BD!$B$4:$BO$389,13,FALSE), NA())</f>
        <v>0</v>
      </c>
      <c r="T8" s="344">
        <f>IFERROR(VLOOKUP($P8,BD!$B$4:$BO$389,14,FALSE), NA())</f>
        <v>414656</v>
      </c>
      <c r="U8" s="344">
        <f>IFERROR(VLOOKUP($P8,BD!$B$4:$BO$400,15,FALSE), NA())</f>
        <v>414656</v>
      </c>
      <c r="V8" s="345">
        <f>IFERROR(VLOOKUP($P8,BD!$B$4:$BO$389,16,FALSE), NA())</f>
        <v>0</v>
      </c>
    </row>
    <row r="9" spans="2:22" ht="24" customHeight="1" thickBot="1" x14ac:dyDescent="0.3">
      <c r="B9" s="346">
        <f t="shared" si="0"/>
        <v>46096</v>
      </c>
      <c r="C9" s="343">
        <f>IF(H9=0, 0, IFERROR(VLOOKUP($B9,BD!$B$4:$BO$389,2,FALSE), 0))</f>
        <v>38</v>
      </c>
      <c r="D9" s="343">
        <f>IF(I9=0, 0, IFERROR(VLOOKUP($B9,[1]BD!$B$4:$BO$389,2,FALSE), 0))</f>
        <v>0</v>
      </c>
      <c r="E9" s="343">
        <f>IFERROR(VLOOKUP($B9,BD!$B$4:$BO$389,3,FALSE), NA())</f>
        <v>17.105263157894736</v>
      </c>
      <c r="F9" s="343">
        <f>IFERROR(VLOOKUP($B9,BD!$B$4:$BO$389,4,FALSE), NA())</f>
        <v>3875031</v>
      </c>
      <c r="G9" s="343">
        <f>IFERROR(VLOOKUP($B9,BD!$B$4:$BO$400,5,FALSE), NA())</f>
        <v>3877371</v>
      </c>
      <c r="H9" s="343">
        <f>IFERROR(VLOOKUP($B9,BD!$B$4:$BO$389,6,FALSE), NA())</f>
        <v>2340</v>
      </c>
      <c r="I9" s="346">
        <f t="shared" si="1"/>
        <v>46096</v>
      </c>
      <c r="J9" s="343">
        <f>IF(O9=0, 0, IFERROR(VLOOKUP($I9,BD!$B$4:$BO$389,7,FALSE), 0))</f>
        <v>0</v>
      </c>
      <c r="K9" s="344"/>
      <c r="L9" s="344">
        <f>IFERROR(VLOOKUP($I9,BD!$B$4:$BO$389,8,FALSE), NA())</f>
        <v>0</v>
      </c>
      <c r="M9" s="344">
        <f>IFERROR(VLOOKUP($I9,BD!$B$4:$BO$389,9,FALSE), NA())</f>
        <v>1970853</v>
      </c>
      <c r="N9" s="344">
        <f>IFERROR(VLOOKUP($I9,BD!$B$4:$BO$400,10,FALSE), NA())</f>
        <v>1970853</v>
      </c>
      <c r="O9" s="345">
        <f>IFERROR(VLOOKUP($I9,BD!$B$4:$BO$389,11,FALSE), NA())</f>
        <v>0</v>
      </c>
      <c r="P9" s="346">
        <f t="shared" si="2"/>
        <v>46096</v>
      </c>
      <c r="Q9" s="343">
        <f>IF(V9=0, 0, IFERROR(VLOOKUP($P9,BD!$B$4:$BO$389,12,FALSE), 0))</f>
        <v>0</v>
      </c>
      <c r="R9" s="344"/>
      <c r="S9" s="344">
        <f>IFERROR(VLOOKUP($P9,BD!$B$4:$BO$389,13,FALSE), NA())</f>
        <v>0</v>
      </c>
      <c r="T9" s="344">
        <f>IFERROR(VLOOKUP($P9,BD!$B$4:$BO$389,14,FALSE), NA())</f>
        <v>414656</v>
      </c>
      <c r="U9" s="344">
        <f>IFERROR(VLOOKUP($P9,BD!$B$4:$BO$400,15,FALSE), NA())</f>
        <v>414656</v>
      </c>
      <c r="V9" s="345">
        <f>IFERROR(VLOOKUP($P9,BD!$B$4:$BO$389,16,FALSE), NA())</f>
        <v>0</v>
      </c>
    </row>
    <row r="10" spans="2:22" ht="24" customHeight="1" thickBot="1" x14ac:dyDescent="0.3">
      <c r="B10" s="346">
        <f t="shared" si="0"/>
        <v>46097</v>
      </c>
      <c r="C10" s="343">
        <f>IF(H10=0, 0, IFERROR(VLOOKUP($B10,BD!$B$4:$BO$389,2,FALSE), 0))</f>
        <v>38</v>
      </c>
      <c r="D10" s="343">
        <f>IF(I10=0, 0, IFERROR(VLOOKUP($B10,[1]BD!$B$4:$BO$389,2,FALSE), 0))</f>
        <v>0</v>
      </c>
      <c r="E10" s="343">
        <f>IFERROR(VLOOKUP($B10,BD!$B$4:$BO$389,3,FALSE), NA())</f>
        <v>17.543859649122805</v>
      </c>
      <c r="F10" s="343">
        <f>IFERROR(VLOOKUP($B10,BD!$B$4:$BO$389,4,FALSE), NA())</f>
        <v>3877371</v>
      </c>
      <c r="G10" s="343">
        <f>IFERROR(VLOOKUP($B10,BD!$B$4:$BO$400,5,FALSE), NA())</f>
        <v>3879771</v>
      </c>
      <c r="H10" s="343">
        <f>IFERROR(VLOOKUP($B10,BD!$B$4:$BO$389,6,FALSE), NA())</f>
        <v>2400</v>
      </c>
      <c r="I10" s="346">
        <f t="shared" si="1"/>
        <v>46097</v>
      </c>
      <c r="J10" s="343">
        <f>IF(O10=0, 0, IFERROR(VLOOKUP($I10,BD!$B$4:$BO$389,7,FALSE), 0))</f>
        <v>0</v>
      </c>
      <c r="K10" s="344"/>
      <c r="L10" s="344">
        <f>IFERROR(VLOOKUP($I10,BD!$B$4:$BO$389,8,FALSE), NA())</f>
        <v>0</v>
      </c>
      <c r="M10" s="344">
        <f>IFERROR(VLOOKUP($I10,BD!$B$4:$BO$389,9,FALSE), NA())</f>
        <v>1970853</v>
      </c>
      <c r="N10" s="344">
        <f>IFERROR(VLOOKUP($I10,BD!$B$4:$BO$400,10,FALSE), NA())</f>
        <v>1970853</v>
      </c>
      <c r="O10" s="345">
        <f>IFERROR(VLOOKUP($I10,BD!$B$4:$BO$389,11,FALSE), NA())</f>
        <v>0</v>
      </c>
      <c r="P10" s="346">
        <f t="shared" si="2"/>
        <v>46097</v>
      </c>
      <c r="Q10" s="343">
        <f>IF(V10=0, 0, IFERROR(VLOOKUP($P10,BD!$B$4:$BO$389,12,FALSE), 0))</f>
        <v>0</v>
      </c>
      <c r="R10" s="344"/>
      <c r="S10" s="344">
        <f>IFERROR(VLOOKUP($P10,BD!$B$4:$BO$389,13,FALSE), NA())</f>
        <v>0</v>
      </c>
      <c r="T10" s="344">
        <f>IFERROR(VLOOKUP($P10,BD!$B$4:$BO$389,14,FALSE), NA())</f>
        <v>414656</v>
      </c>
      <c r="U10" s="344">
        <f>IFERROR(VLOOKUP($P10,BD!$B$4:$BO$400,15,FALSE), NA())</f>
        <v>414656</v>
      </c>
      <c r="V10" s="345">
        <f>IFERROR(VLOOKUP($P10,BD!$B$4:$BO$389,16,FALSE), NA())</f>
        <v>0</v>
      </c>
    </row>
    <row r="11" spans="2:22" ht="24" customHeight="1" thickBot="1" x14ac:dyDescent="0.3">
      <c r="B11" s="346">
        <f t="shared" si="0"/>
        <v>46098</v>
      </c>
      <c r="C11" s="343">
        <f>IF(H11=0, 0, IFERROR(VLOOKUP($B11,BD!$B$4:$BO$389,2,FALSE), 0))</f>
        <v>38</v>
      </c>
      <c r="D11" s="343">
        <f>IF(I11=0, 0, IFERROR(VLOOKUP($B11,[1]BD!$B$4:$BO$389,2,FALSE), 0))</f>
        <v>0</v>
      </c>
      <c r="E11" s="343">
        <f>IFERROR(VLOOKUP($B11,BD!$B$4:$BO$389,3,FALSE), NA())</f>
        <v>17.507309941520468</v>
      </c>
      <c r="F11" s="343">
        <f>IFERROR(VLOOKUP($B11,BD!$B$4:$BO$389,4,FALSE), NA())</f>
        <v>3879771</v>
      </c>
      <c r="G11" s="343">
        <f>IFERROR(VLOOKUP($B11,BD!$B$4:$BO$400,5,FALSE), NA())</f>
        <v>3882166</v>
      </c>
      <c r="H11" s="343">
        <f>IFERROR(VLOOKUP($B11,BD!$B$4:$BO$389,6,FALSE), NA())</f>
        <v>2395</v>
      </c>
      <c r="I11" s="346">
        <f t="shared" si="1"/>
        <v>46098</v>
      </c>
      <c r="J11" s="343">
        <f>IF(O11=0, 0, IFERROR(VLOOKUP($I11,BD!$B$4:$BO$389,7,FALSE), 0))</f>
        <v>0</v>
      </c>
      <c r="K11" s="344"/>
      <c r="L11" s="344">
        <f>IFERROR(VLOOKUP($I11,BD!$B$4:$BO$389,8,FALSE), NA())</f>
        <v>0</v>
      </c>
      <c r="M11" s="344">
        <f>IFERROR(VLOOKUP($I11,BD!$B$4:$BO$389,9,FALSE), NA())</f>
        <v>1970853</v>
      </c>
      <c r="N11" s="344">
        <f>IFERROR(VLOOKUP($I11,BD!$B$4:$BO$400,10,FALSE), NA())</f>
        <v>1970853</v>
      </c>
      <c r="O11" s="345">
        <f>IFERROR(VLOOKUP($I11,BD!$B$4:$BO$389,11,FALSE), NA())</f>
        <v>0</v>
      </c>
      <c r="P11" s="346">
        <f t="shared" si="2"/>
        <v>46098</v>
      </c>
      <c r="Q11" s="343">
        <f>IF(V11=0, 0, IFERROR(VLOOKUP($P11,BD!$B$4:$BO$389,12,FALSE), 0))</f>
        <v>0</v>
      </c>
      <c r="R11" s="344"/>
      <c r="S11" s="344">
        <f>IFERROR(VLOOKUP($P11,BD!$B$4:$BO$389,13,FALSE), NA())</f>
        <v>0</v>
      </c>
      <c r="T11" s="344">
        <f>IFERROR(VLOOKUP($P11,BD!$B$4:$BO$389,14,FALSE), NA())</f>
        <v>414656</v>
      </c>
      <c r="U11" s="344">
        <f>IFERROR(VLOOKUP($P11,BD!$B$4:$BO$400,15,FALSE), NA())</f>
        <v>414656</v>
      </c>
      <c r="V11" s="345">
        <f>IFERROR(VLOOKUP($P11,BD!$B$4:$BO$389,16,FALSE), NA())</f>
        <v>0</v>
      </c>
    </row>
    <row r="12" spans="2:22" ht="24" customHeight="1" thickBot="1" x14ac:dyDescent="0.3">
      <c r="B12" s="346">
        <f t="shared" si="0"/>
        <v>46099</v>
      </c>
      <c r="C12" s="343">
        <f>IF(H12=0, 0, IFERROR(VLOOKUP($B12,BD!$B$4:$BO$389,2,FALSE), 0))</f>
        <v>38</v>
      </c>
      <c r="D12" s="343">
        <f>IF(I12=0, 0, IFERROR(VLOOKUP($B12,[1]BD!$B$4:$BO$389,2,FALSE), 0))</f>
        <v>0</v>
      </c>
      <c r="E12" s="343">
        <f>IFERROR(VLOOKUP($B12,BD!$B$4:$BO$389,3,FALSE), NA())</f>
        <v>17.119883040935672</v>
      </c>
      <c r="F12" s="343">
        <f>IFERROR(VLOOKUP($B12,BD!$B$4:$BO$389,4,FALSE), NA())</f>
        <v>3882166</v>
      </c>
      <c r="G12" s="343">
        <f>IFERROR(VLOOKUP($B12,BD!$B$4:$BO$400,5,FALSE), NA())</f>
        <v>3884508</v>
      </c>
      <c r="H12" s="343">
        <f>IFERROR(VLOOKUP($B12,BD!$B$4:$BO$389,6,FALSE), NA())</f>
        <v>2342</v>
      </c>
      <c r="I12" s="346">
        <f t="shared" si="1"/>
        <v>46099</v>
      </c>
      <c r="J12" s="343">
        <f>IF(O12=0, 0, IFERROR(VLOOKUP($I12,BD!$B$4:$BO$389,7,FALSE), 0))</f>
        <v>0</v>
      </c>
      <c r="K12" s="344"/>
      <c r="L12" s="344">
        <f>IFERROR(VLOOKUP($I12,BD!$B$4:$BO$389,8,FALSE), NA())</f>
        <v>0</v>
      </c>
      <c r="M12" s="344">
        <f>IFERROR(VLOOKUP($I12,BD!$B$4:$BO$389,9,FALSE), NA())</f>
        <v>1970853</v>
      </c>
      <c r="N12" s="344">
        <f>IFERROR(VLOOKUP($I12,BD!$B$4:$BO$400,10,FALSE), NA())</f>
        <v>1970853</v>
      </c>
      <c r="O12" s="345">
        <f>IFERROR(VLOOKUP($I12,BD!$B$4:$BO$389,11,FALSE), NA())</f>
        <v>0</v>
      </c>
      <c r="P12" s="346">
        <f t="shared" si="2"/>
        <v>46099</v>
      </c>
      <c r="Q12" s="343">
        <f>IF(V12=0, 0, IFERROR(VLOOKUP($P12,BD!$B$4:$BO$389,12,FALSE), 0))</f>
        <v>0</v>
      </c>
      <c r="R12" s="344"/>
      <c r="S12" s="344">
        <f>IFERROR(VLOOKUP($P12,BD!$B$4:$BO$389,13,FALSE), NA())</f>
        <v>0</v>
      </c>
      <c r="T12" s="344">
        <f>IFERROR(VLOOKUP($P12,BD!$B$4:$BO$389,14,FALSE), NA())</f>
        <v>414656</v>
      </c>
      <c r="U12" s="344">
        <f>IFERROR(VLOOKUP($P12,BD!$B$4:$BO$400,15,FALSE), NA())</f>
        <v>414656</v>
      </c>
      <c r="V12" s="345">
        <f>IFERROR(VLOOKUP($P12,BD!$B$4:$BO$389,16,FALSE), NA())</f>
        <v>0</v>
      </c>
    </row>
    <row r="13" spans="2:22" ht="24" customHeight="1" thickBot="1" x14ac:dyDescent="0.3">
      <c r="B13" s="346">
        <f t="shared" si="0"/>
        <v>46100</v>
      </c>
      <c r="C13" s="343">
        <f>IF(H13=0, 0, IFERROR(VLOOKUP($B13,BD!$B$4:$BO$389,2,FALSE), 0))</f>
        <v>38</v>
      </c>
      <c r="D13" s="343">
        <f>IF(I13=0, 0, IFERROR(VLOOKUP($B13,[1]BD!$B$4:$BO$389,2,FALSE), 0))</f>
        <v>0</v>
      </c>
      <c r="E13" s="343">
        <f>IFERROR(VLOOKUP($B13,BD!$B$4:$BO$389,3,FALSE), NA())</f>
        <v>17.543859649122805</v>
      </c>
      <c r="F13" s="343">
        <f>IFERROR(VLOOKUP($B13,BD!$B$4:$BO$389,4,FALSE), NA())</f>
        <v>3884508</v>
      </c>
      <c r="G13" s="343">
        <f>IFERROR(VLOOKUP($B13,BD!$B$4:$BO$400,5,FALSE), NA())</f>
        <v>3886908</v>
      </c>
      <c r="H13" s="343">
        <f>IFERROR(VLOOKUP($B13,BD!$B$4:$BO$389,6,FALSE), NA())</f>
        <v>2400</v>
      </c>
      <c r="I13" s="346">
        <f t="shared" si="1"/>
        <v>46100</v>
      </c>
      <c r="J13" s="343">
        <f>IF(O13=0, 0, IFERROR(VLOOKUP($I13,BD!$B$4:$BO$389,7,FALSE), 0))</f>
        <v>0</v>
      </c>
      <c r="K13" s="344"/>
      <c r="L13" s="344">
        <f>IFERROR(VLOOKUP($I13,BD!$B$4:$BO$389,8,FALSE), NA())</f>
        <v>0</v>
      </c>
      <c r="M13" s="344">
        <f>IFERROR(VLOOKUP($I13,BD!$B$4:$BO$389,9,FALSE), NA())</f>
        <v>1970853</v>
      </c>
      <c r="N13" s="344">
        <f>IFERROR(VLOOKUP($I13,BD!$B$4:$BO$400,10,FALSE), NA())</f>
        <v>1970853</v>
      </c>
      <c r="O13" s="345">
        <f>IFERROR(VLOOKUP($I13,BD!$B$4:$BO$389,11,FALSE), NA())</f>
        <v>0</v>
      </c>
      <c r="P13" s="346">
        <f t="shared" si="2"/>
        <v>46100</v>
      </c>
      <c r="Q13" s="343">
        <f>IF(V13=0, 0, IFERROR(VLOOKUP($P13,BD!$B$4:$BO$389,12,FALSE), 0))</f>
        <v>0</v>
      </c>
      <c r="R13" s="344"/>
      <c r="S13" s="344">
        <f>IFERROR(VLOOKUP($P13,BD!$B$4:$BO$389,13,FALSE), NA())</f>
        <v>0</v>
      </c>
      <c r="T13" s="344">
        <f>IFERROR(VLOOKUP($P13,BD!$B$4:$BO$389,14,FALSE), NA())</f>
        <v>414656</v>
      </c>
      <c r="U13" s="344">
        <f>IFERROR(VLOOKUP($P13,BD!$B$4:$BO$400,15,FALSE), NA())</f>
        <v>414656</v>
      </c>
      <c r="V13" s="345">
        <f>IFERROR(VLOOKUP($P13,BD!$B$4:$BO$389,16,FALSE), NA())</f>
        <v>0</v>
      </c>
    </row>
    <row r="14" spans="2:22" ht="24" customHeight="1" thickBot="1" x14ac:dyDescent="0.3">
      <c r="B14" s="346">
        <f t="shared" si="0"/>
        <v>46101</v>
      </c>
      <c r="C14" s="343">
        <f>IF(H14=0, 0, IFERROR(VLOOKUP($B14,BD!$B$4:$BO$389,2,FALSE), 0))</f>
        <v>38</v>
      </c>
      <c r="D14" s="343">
        <f>IF(I14=0, 0, IFERROR(VLOOKUP($B14,[1]BD!$B$4:$BO$389,2,FALSE), 0))</f>
        <v>0</v>
      </c>
      <c r="E14" s="343">
        <f>IFERROR(VLOOKUP($B14,BD!$B$4:$BO$389,3,FALSE), NA())</f>
        <v>15.906432748538011</v>
      </c>
      <c r="F14" s="343">
        <f>IFERROR(VLOOKUP($B14,BD!$B$4:$BO$389,4,FALSE), NA())</f>
        <v>3886908</v>
      </c>
      <c r="G14" s="343">
        <f>IFERROR(VLOOKUP($B14,BD!$B$4:$BO$400,5,FALSE), NA())</f>
        <v>3889084</v>
      </c>
      <c r="H14" s="343">
        <f>IFERROR(VLOOKUP($B14,BD!$B$4:$BO$389,6,FALSE), NA())</f>
        <v>2176</v>
      </c>
      <c r="I14" s="346">
        <f t="shared" si="1"/>
        <v>46101</v>
      </c>
      <c r="J14" s="343">
        <f>IF(O14=0, 0, IFERROR(VLOOKUP($I14,BD!$B$4:$BO$389,7,FALSE), 0))</f>
        <v>0</v>
      </c>
      <c r="K14" s="344"/>
      <c r="L14" s="344">
        <f>IFERROR(VLOOKUP($I14,BD!$B$4:$BO$389,8,FALSE), NA())</f>
        <v>0</v>
      </c>
      <c r="M14" s="344">
        <f>IFERROR(VLOOKUP($I14,BD!$B$4:$BO$389,9,FALSE), NA())</f>
        <v>1970853</v>
      </c>
      <c r="N14" s="344">
        <f>IFERROR(VLOOKUP($I14,BD!$B$4:$BO$400,10,FALSE), NA())</f>
        <v>1970853</v>
      </c>
      <c r="O14" s="345">
        <f>IFERROR(VLOOKUP($I14,BD!$B$4:$BO$389,11,FALSE), NA())</f>
        <v>0</v>
      </c>
      <c r="P14" s="346">
        <f t="shared" si="2"/>
        <v>46101</v>
      </c>
      <c r="Q14" s="343">
        <f>IF(V14=0, 0, IFERROR(VLOOKUP($P14,BD!$B$4:$BO$389,12,FALSE), 0))</f>
        <v>0</v>
      </c>
      <c r="R14" s="344"/>
      <c r="S14" s="344">
        <f>IFERROR(VLOOKUP($P14,BD!$B$4:$BO$389,13,FALSE), NA())</f>
        <v>0</v>
      </c>
      <c r="T14" s="344">
        <f>IFERROR(VLOOKUP($P14,BD!$B$4:$BO$389,14,FALSE), NA())</f>
        <v>414656</v>
      </c>
      <c r="U14" s="344">
        <f>IFERROR(VLOOKUP($P14,BD!$B$4:$BO$400,15,FALSE), NA())</f>
        <v>414656</v>
      </c>
      <c r="V14" s="345">
        <f>IFERROR(VLOOKUP($P14,BD!$B$4:$BO$389,16,FALSE), NA())</f>
        <v>0</v>
      </c>
    </row>
    <row r="15" spans="2:22" ht="24" customHeight="1" thickBot="1" x14ac:dyDescent="0.3">
      <c r="B15" s="346">
        <f t="shared" si="0"/>
        <v>46102</v>
      </c>
      <c r="C15" s="343">
        <f>IF(H15=0, 0, IFERROR(VLOOKUP($B15,BD!$B$4:$BO$389,2,FALSE), 0))</f>
        <v>38</v>
      </c>
      <c r="D15" s="343">
        <f>IF(I15=0, 0, IFERROR(VLOOKUP($B15,[1]BD!$B$4:$BO$389,2,FALSE), 0))</f>
        <v>0</v>
      </c>
      <c r="E15" s="343">
        <f>IFERROR(VLOOKUP($B15,BD!$B$4:$BO$389,3,FALSE), NA())</f>
        <v>3.019005847953216</v>
      </c>
      <c r="F15" s="343">
        <f>IFERROR(VLOOKUP($B15,BD!$B$4:$BO$389,4,FALSE), NA())</f>
        <v>3889084</v>
      </c>
      <c r="G15" s="343">
        <f>IFERROR(VLOOKUP($B15,BD!$B$4:$BO$400,5,FALSE), NA())</f>
        <v>3889497</v>
      </c>
      <c r="H15" s="343">
        <f>IFERROR(VLOOKUP($B15,BD!$B$4:$BO$389,6,FALSE), NA())</f>
        <v>413</v>
      </c>
      <c r="I15" s="346">
        <f t="shared" si="1"/>
        <v>46102</v>
      </c>
      <c r="J15" s="343">
        <f>IF(O15=0, 0, IFERROR(VLOOKUP($I15,BD!$B$4:$BO$389,7,FALSE), 0))</f>
        <v>0</v>
      </c>
      <c r="K15" s="344"/>
      <c r="L15" s="344">
        <f>IFERROR(VLOOKUP($I15,BD!$B$4:$BO$389,8,FALSE), NA())</f>
        <v>0</v>
      </c>
      <c r="M15" s="344">
        <f>IFERROR(VLOOKUP($I15,BD!$B$4:$BO$389,9,FALSE), NA())</f>
        <v>1970853</v>
      </c>
      <c r="N15" s="344">
        <f>IFERROR(VLOOKUP($I15,BD!$B$4:$BO$400,10,FALSE), NA())</f>
        <v>1970853</v>
      </c>
      <c r="O15" s="345">
        <f>IFERROR(VLOOKUP($I15,BD!$B$4:$BO$389,11,FALSE), NA())</f>
        <v>0</v>
      </c>
      <c r="P15" s="346">
        <f t="shared" si="2"/>
        <v>46102</v>
      </c>
      <c r="Q15" s="343">
        <f>IF(V15=0, 0, IFERROR(VLOOKUP($P15,BD!$B$4:$BO$389,12,FALSE), 0))</f>
        <v>0</v>
      </c>
      <c r="R15" s="344"/>
      <c r="S15" s="344">
        <f>IFERROR(VLOOKUP($P15,BD!$B$4:$BO$389,13,FALSE), NA())</f>
        <v>0</v>
      </c>
      <c r="T15" s="344">
        <f>IFERROR(VLOOKUP($P15,BD!$B$4:$BO$389,14,FALSE), NA())</f>
        <v>414656</v>
      </c>
      <c r="U15" s="344">
        <f>IFERROR(VLOOKUP($P15,BD!$B$4:$BO$400,15,FALSE), NA())</f>
        <v>414656</v>
      </c>
      <c r="V15" s="345">
        <f>IFERROR(VLOOKUP($P15,BD!$B$4:$BO$389,16,FALSE), NA())</f>
        <v>0</v>
      </c>
    </row>
    <row r="16" spans="2:22" ht="24" customHeight="1" thickBot="1" x14ac:dyDescent="0.3">
      <c r="B16" s="346">
        <f t="shared" si="0"/>
        <v>46103</v>
      </c>
      <c r="C16" s="343">
        <f>IF(H16=0, 0, IFERROR(VLOOKUP($B16,BD!$B$4:$BO$389,2,FALSE), 0))</f>
        <v>0</v>
      </c>
      <c r="D16" s="343">
        <f>IF(I16=0, 0, IFERROR(VLOOKUP($B16,[1]BD!$B$4:$BO$389,2,FALSE), 0))</f>
        <v>0</v>
      </c>
      <c r="E16" s="343">
        <f>IFERROR(VLOOKUP($B16,BD!$B$4:$BO$389,3,FALSE), NA())</f>
        <v>0</v>
      </c>
      <c r="F16" s="343">
        <f>IFERROR(VLOOKUP($B16,BD!$B$4:$BO$389,4,FALSE), NA())</f>
        <v>3889497</v>
      </c>
      <c r="G16" s="343">
        <f>IFERROR(VLOOKUP($B16,BD!$B$4:$BO$400,5,FALSE), NA())</f>
        <v>3889497</v>
      </c>
      <c r="H16" s="343">
        <f>IFERROR(VLOOKUP($B16,BD!$B$4:$BO$389,6,FALSE), NA())</f>
        <v>0</v>
      </c>
      <c r="I16" s="346">
        <f t="shared" si="1"/>
        <v>46103</v>
      </c>
      <c r="J16" s="343">
        <f>IF(O16=0, 0, IFERROR(VLOOKUP($I16,BD!$B$4:$BO$389,7,FALSE), 0))</f>
        <v>0</v>
      </c>
      <c r="K16" s="344"/>
      <c r="L16" s="344">
        <f>IFERROR(VLOOKUP($I16,BD!$B$4:$BO$389,8,FALSE), NA())</f>
        <v>0</v>
      </c>
      <c r="M16" s="344">
        <f>IFERROR(VLOOKUP($I16,BD!$B$4:$BO$389,9,FALSE), NA())</f>
        <v>1970853</v>
      </c>
      <c r="N16" s="344">
        <f>IFERROR(VLOOKUP($I16,BD!$B$4:$BO$400,10,FALSE), NA())</f>
        <v>1970853</v>
      </c>
      <c r="O16" s="345">
        <f>IFERROR(VLOOKUP($I16,BD!$B$4:$BO$389,11,FALSE), NA())</f>
        <v>0</v>
      </c>
      <c r="P16" s="346">
        <f t="shared" si="2"/>
        <v>46103</v>
      </c>
      <c r="Q16" s="343">
        <f>IF(V16=0, 0, IFERROR(VLOOKUP($P16,BD!$B$4:$BO$389,12,FALSE), 0))</f>
        <v>0</v>
      </c>
      <c r="R16" s="344"/>
      <c r="S16" s="344">
        <f>IFERROR(VLOOKUP($P16,BD!$B$4:$BO$389,13,FALSE), NA())</f>
        <v>0</v>
      </c>
      <c r="T16" s="344">
        <f>IFERROR(VLOOKUP($P16,BD!$B$4:$BO$389,14,FALSE), NA())</f>
        <v>414656</v>
      </c>
      <c r="U16" s="344">
        <f>IFERROR(VLOOKUP($P16,BD!$B$4:$BO$400,15,FALSE), NA())</f>
        <v>414656</v>
      </c>
      <c r="V16" s="345">
        <f>IFERROR(VLOOKUP($P16,BD!$B$4:$BO$389,16,FALSE), NA())</f>
        <v>0</v>
      </c>
    </row>
    <row r="17" spans="2:22" ht="24" customHeight="1" thickBot="1" x14ac:dyDescent="0.3">
      <c r="B17" s="346">
        <f t="shared" si="0"/>
        <v>46104</v>
      </c>
      <c r="C17" s="343">
        <f>IF(H17=0, 0, IFERROR(VLOOKUP($B17,BD!$B$4:$BO$389,2,FALSE), 0))</f>
        <v>38</v>
      </c>
      <c r="D17" s="343">
        <f>IF(I17=0, 0, IFERROR(VLOOKUP($B17,[1]BD!$B$4:$BO$389,2,FALSE), 0))</f>
        <v>0</v>
      </c>
      <c r="E17" s="343">
        <f>IFERROR(VLOOKUP($B17,BD!$B$4:$BO$389,3,FALSE), NA())</f>
        <v>8.4210526315789469</v>
      </c>
      <c r="F17" s="343">
        <f>IFERROR(VLOOKUP($B17,BD!$B$4:$BO$389,4,FALSE), NA())</f>
        <v>3889497</v>
      </c>
      <c r="G17" s="343">
        <f>IFERROR(VLOOKUP($B17,BD!$B$4:$BO$400,5,FALSE), NA())</f>
        <v>3890649</v>
      </c>
      <c r="H17" s="343">
        <f>IFERROR(VLOOKUP($B17,BD!$B$4:$BO$389,6,FALSE), NA())</f>
        <v>1152</v>
      </c>
      <c r="I17" s="346">
        <f t="shared" si="1"/>
        <v>46104</v>
      </c>
      <c r="J17" s="343">
        <f>IF(O17=0, 0, IFERROR(VLOOKUP($I17,BD!$B$4:$BO$389,7,FALSE), 0))</f>
        <v>0</v>
      </c>
      <c r="K17" s="344"/>
      <c r="L17" s="344">
        <f>IFERROR(VLOOKUP($I17,BD!$B$4:$BO$389,8,FALSE), NA())</f>
        <v>0</v>
      </c>
      <c r="M17" s="344">
        <f>IFERROR(VLOOKUP($I17,BD!$B$4:$BO$389,9,FALSE), NA())</f>
        <v>1970853</v>
      </c>
      <c r="N17" s="344">
        <f>IFERROR(VLOOKUP($I17,BD!$B$4:$BO$400,10,FALSE), NA())</f>
        <v>1970853</v>
      </c>
      <c r="O17" s="345">
        <f>IFERROR(VLOOKUP($I17,BD!$B$4:$BO$389,11,FALSE), NA())</f>
        <v>0</v>
      </c>
      <c r="P17" s="346">
        <f t="shared" si="2"/>
        <v>46104</v>
      </c>
      <c r="Q17" s="343">
        <f>IF(V17=0, 0, IFERROR(VLOOKUP($P17,BD!$B$4:$BO$389,12,FALSE), 0))</f>
        <v>0</v>
      </c>
      <c r="R17" s="344"/>
      <c r="S17" s="344">
        <f>IFERROR(VLOOKUP($P17,BD!$B$4:$BO$389,13,FALSE), NA())</f>
        <v>0</v>
      </c>
      <c r="T17" s="344">
        <f>IFERROR(VLOOKUP($P17,BD!$B$4:$BO$389,14,FALSE), NA())</f>
        <v>414656</v>
      </c>
      <c r="U17" s="344">
        <f>IFERROR(VLOOKUP($P17,BD!$B$4:$BO$400,15,FALSE), NA())</f>
        <v>414656</v>
      </c>
      <c r="V17" s="345">
        <f>IFERROR(VLOOKUP($P17,BD!$B$4:$BO$389,16,FALSE), NA())</f>
        <v>0</v>
      </c>
    </row>
    <row r="18" spans="2:22" ht="24" customHeight="1" thickBot="1" x14ac:dyDescent="0.3">
      <c r="B18" s="346">
        <f t="shared" si="0"/>
        <v>46105</v>
      </c>
      <c r="C18" s="343">
        <f>IF(H18=0, 0, IFERROR(VLOOKUP($B18,BD!$B$4:$BO$389,2,FALSE), 0))</f>
        <v>38</v>
      </c>
      <c r="D18" s="343">
        <f>IF(I18=0, 0, IFERROR(VLOOKUP($B18,[1]BD!$B$4:$BO$389,2,FALSE), 0))</f>
        <v>0</v>
      </c>
      <c r="E18" s="343">
        <f>IFERROR(VLOOKUP($B18,BD!$B$4:$BO$389,3,FALSE), NA())</f>
        <v>16.666666666666664</v>
      </c>
      <c r="F18" s="343">
        <f>IFERROR(VLOOKUP($B18,BD!$B$4:$BO$389,4,FALSE), NA())</f>
        <v>3890649</v>
      </c>
      <c r="G18" s="343">
        <f>IFERROR(VLOOKUP($B18,BD!$B$4:$BO$400,5,FALSE), NA())</f>
        <v>3892929</v>
      </c>
      <c r="H18" s="343">
        <f>IFERROR(VLOOKUP($B18,BD!$B$4:$BO$389,6,FALSE), NA())</f>
        <v>2280</v>
      </c>
      <c r="I18" s="346">
        <f t="shared" si="1"/>
        <v>46105</v>
      </c>
      <c r="J18" s="343">
        <f>IF(O18=0, 0, IFERROR(VLOOKUP($I18,BD!$B$4:$BO$389,7,FALSE), 0))</f>
        <v>0</v>
      </c>
      <c r="K18" s="344"/>
      <c r="L18" s="344">
        <f>IFERROR(VLOOKUP($I18,BD!$B$4:$BO$389,8,FALSE), NA())</f>
        <v>0</v>
      </c>
      <c r="M18" s="344">
        <f>IFERROR(VLOOKUP($I18,BD!$B$4:$BO$389,9,FALSE), NA())</f>
        <v>1970853</v>
      </c>
      <c r="N18" s="344">
        <f>IFERROR(VLOOKUP($I18,BD!$B$4:$BO$400,10,FALSE), NA())</f>
        <v>1970853</v>
      </c>
      <c r="O18" s="345">
        <f>IFERROR(VLOOKUP($I18,BD!$B$4:$BO$389,11,FALSE), NA())</f>
        <v>0</v>
      </c>
      <c r="P18" s="346">
        <f t="shared" si="2"/>
        <v>46105</v>
      </c>
      <c r="Q18" s="343">
        <f>IF(V18=0, 0, IFERROR(VLOOKUP($P18,BD!$B$4:$BO$389,12,FALSE), 0))</f>
        <v>0</v>
      </c>
      <c r="R18" s="344"/>
      <c r="S18" s="344">
        <f>IFERROR(VLOOKUP($P18,BD!$B$4:$BO$389,13,FALSE), NA())</f>
        <v>0</v>
      </c>
      <c r="T18" s="344">
        <f>IFERROR(VLOOKUP($P18,BD!$B$4:$BO$389,14,FALSE), NA())</f>
        <v>414656</v>
      </c>
      <c r="U18" s="344">
        <f>IFERROR(VLOOKUP($P18,BD!$B$4:$BO$400,15,FALSE), NA())</f>
        <v>414656</v>
      </c>
      <c r="V18" s="345">
        <f>IFERROR(VLOOKUP($P18,BD!$B$4:$BO$389,16,FALSE), NA())</f>
        <v>0</v>
      </c>
    </row>
    <row r="19" spans="2:22" ht="24" customHeight="1" thickBot="1" x14ac:dyDescent="0.3">
      <c r="B19" s="346">
        <f t="shared" si="0"/>
        <v>46106</v>
      </c>
      <c r="C19" s="343">
        <f>IF(H19=0, 0, IFERROR(VLOOKUP($B19,BD!$B$4:$BO$389,2,FALSE), 0))</f>
        <v>38</v>
      </c>
      <c r="D19" s="343">
        <f>IF(I19=0, 0, IFERROR(VLOOKUP($B19,[1]BD!$B$4:$BO$389,2,FALSE), 0))</f>
        <v>0</v>
      </c>
      <c r="E19" s="343">
        <f>IFERROR(VLOOKUP($B19,BD!$B$4:$BO$389,3,FALSE), NA())</f>
        <v>17.317251461988302</v>
      </c>
      <c r="F19" s="343">
        <f>IFERROR(VLOOKUP($B19,BD!$B$4:$BO$389,4,FALSE), NA())</f>
        <v>3892929</v>
      </c>
      <c r="G19" s="343">
        <f>IFERROR(VLOOKUP($B19,BD!$B$4:$BO$400,5,FALSE), NA())</f>
        <v>3895298</v>
      </c>
      <c r="H19" s="343">
        <f>IFERROR(VLOOKUP($B19,BD!$B$4:$BO$389,6,FALSE), NA())</f>
        <v>2369</v>
      </c>
      <c r="I19" s="346">
        <f t="shared" si="1"/>
        <v>46106</v>
      </c>
      <c r="J19" s="343">
        <f>IF(O19=0, 0, IFERROR(VLOOKUP($I19,BD!$B$4:$BO$389,7,FALSE), 0))</f>
        <v>0</v>
      </c>
      <c r="K19" s="344"/>
      <c r="L19" s="344">
        <f>IFERROR(VLOOKUP($I19,BD!$B$4:$BO$389,8,FALSE), NA())</f>
        <v>0</v>
      </c>
      <c r="M19" s="344">
        <f>IFERROR(VLOOKUP($I19,BD!$B$4:$BO$389,9,FALSE), NA())</f>
        <v>1970853</v>
      </c>
      <c r="N19" s="344">
        <f>IFERROR(VLOOKUP($I19,BD!$B$4:$BO$400,10,FALSE), NA())</f>
        <v>1970853</v>
      </c>
      <c r="O19" s="345">
        <f>IFERROR(VLOOKUP($I19,BD!$B$4:$BO$389,11,FALSE), NA())</f>
        <v>0</v>
      </c>
      <c r="P19" s="346">
        <f t="shared" si="2"/>
        <v>46106</v>
      </c>
      <c r="Q19" s="343">
        <f>IF(V19=0, 0, IFERROR(VLOOKUP($P19,BD!$B$4:$BO$389,12,FALSE), 0))</f>
        <v>0</v>
      </c>
      <c r="R19" s="344"/>
      <c r="S19" s="344">
        <f>IFERROR(VLOOKUP($P19,BD!$B$4:$BO$389,13,FALSE), NA())</f>
        <v>0</v>
      </c>
      <c r="T19" s="344">
        <f>IFERROR(VLOOKUP($P19,BD!$B$4:$BO$389,14,FALSE), NA())</f>
        <v>414656</v>
      </c>
      <c r="U19" s="344">
        <f>IFERROR(VLOOKUP($P19,BD!$B$4:$BO$400,15,FALSE), NA())</f>
        <v>414656</v>
      </c>
      <c r="V19" s="345">
        <f>IFERROR(VLOOKUP($P19,BD!$B$4:$BO$389,16,FALSE), NA())</f>
        <v>0</v>
      </c>
    </row>
    <row r="20" spans="2:22" ht="24" customHeight="1" thickBot="1" x14ac:dyDescent="0.3">
      <c r="B20" s="346">
        <f t="shared" si="0"/>
        <v>46107</v>
      </c>
      <c r="C20" s="343">
        <f>IF(H20=0, 0, IFERROR(VLOOKUP($B20,BD!$B$4:$BO$389,2,FALSE), 0))</f>
        <v>38</v>
      </c>
      <c r="D20" s="343">
        <f>IF(I20=0, 0, IFERROR(VLOOKUP($B20,[1]BD!$B$4:$BO$389,2,FALSE), 0))</f>
        <v>0</v>
      </c>
      <c r="E20" s="343">
        <f>IFERROR(VLOOKUP($B20,BD!$B$4:$BO$389,3,FALSE), NA())</f>
        <v>17.595029239766081</v>
      </c>
      <c r="F20" s="343">
        <f>IFERROR(VLOOKUP($B20,BD!$B$4:$BO$389,4,FALSE), NA())</f>
        <v>3895298</v>
      </c>
      <c r="G20" s="343">
        <f>IFERROR(VLOOKUP($B20,BD!$B$4:$BO$400,5,FALSE), NA())</f>
        <v>3897705</v>
      </c>
      <c r="H20" s="343">
        <f>IFERROR(VLOOKUP($B20,BD!$B$4:$BO$389,6,FALSE), NA())</f>
        <v>2407</v>
      </c>
      <c r="I20" s="346">
        <f t="shared" si="1"/>
        <v>46107</v>
      </c>
      <c r="J20" s="343">
        <f>IF(O20=0, 0, IFERROR(VLOOKUP($I20,BD!$B$4:$BO$389,7,FALSE), 0))</f>
        <v>0</v>
      </c>
      <c r="K20" s="344"/>
      <c r="L20" s="344">
        <f>IFERROR(VLOOKUP($I20,BD!$B$4:$BO$389,8,FALSE), NA())</f>
        <v>0</v>
      </c>
      <c r="M20" s="344">
        <f>IFERROR(VLOOKUP($I20,BD!$B$4:$BO$389,9,FALSE), NA())</f>
        <v>1970853</v>
      </c>
      <c r="N20" s="344">
        <f>IFERROR(VLOOKUP($I20,BD!$B$4:$BO$400,10,FALSE), NA())</f>
        <v>1970853</v>
      </c>
      <c r="O20" s="345">
        <f>IFERROR(VLOOKUP($I20,BD!$B$4:$BO$389,11,FALSE), NA())</f>
        <v>0</v>
      </c>
      <c r="P20" s="346">
        <f t="shared" si="2"/>
        <v>46107</v>
      </c>
      <c r="Q20" s="343">
        <f>IF(V20=0, 0, IFERROR(VLOOKUP($P20,BD!$B$4:$BO$389,12,FALSE), 0))</f>
        <v>0</v>
      </c>
      <c r="R20" s="344"/>
      <c r="S20" s="344">
        <f>IFERROR(VLOOKUP($P20,BD!$B$4:$BO$389,13,FALSE), NA())</f>
        <v>0</v>
      </c>
      <c r="T20" s="344">
        <f>IFERROR(VLOOKUP($P20,BD!$B$4:$BO$389,14,FALSE), NA())</f>
        <v>414656</v>
      </c>
      <c r="U20" s="344">
        <f>IFERROR(VLOOKUP($P20,BD!$B$4:$BO$400,15,FALSE), NA())</f>
        <v>414656</v>
      </c>
      <c r="V20" s="345">
        <f>IFERROR(VLOOKUP($P20,BD!$B$4:$BO$389,16,FALSE), NA())</f>
        <v>0</v>
      </c>
    </row>
    <row r="21" spans="2:22" ht="24" customHeight="1" thickBot="1" x14ac:dyDescent="0.3">
      <c r="B21" s="346">
        <f t="shared" si="0"/>
        <v>46108</v>
      </c>
      <c r="C21" s="343">
        <f>IF(H21=0, 0, IFERROR(VLOOKUP($B21,BD!$B$4:$BO$389,2,FALSE), 0))</f>
        <v>38</v>
      </c>
      <c r="D21" s="343">
        <f>IF(I21=0, 0, IFERROR(VLOOKUP($B21,[1]BD!$B$4:$BO$389,2,FALSE), 0))</f>
        <v>0</v>
      </c>
      <c r="E21" s="343">
        <f>IFERROR(VLOOKUP($B21,BD!$B$4:$BO$389,3,FALSE), NA())</f>
        <v>17.353801169590643</v>
      </c>
      <c r="F21" s="343">
        <f>IFERROR(VLOOKUP($B21,BD!$B$4:$BO$389,4,FALSE), NA())</f>
        <v>3897705</v>
      </c>
      <c r="G21" s="343">
        <f>IFERROR(VLOOKUP($B21,BD!$B$4:$BO$400,5,FALSE), NA())</f>
        <v>3900079</v>
      </c>
      <c r="H21" s="343">
        <f>IFERROR(VLOOKUP($B21,BD!$B$4:$BO$389,6,FALSE), NA())</f>
        <v>2374</v>
      </c>
      <c r="I21" s="346">
        <f t="shared" si="1"/>
        <v>46108</v>
      </c>
      <c r="J21" s="343">
        <f>IF(O21=0, 0, IFERROR(VLOOKUP($I21,BD!$B$4:$BO$389,7,FALSE), 0))</f>
        <v>0</v>
      </c>
      <c r="K21" s="344"/>
      <c r="L21" s="344">
        <f>IFERROR(VLOOKUP($I21,BD!$B$4:$BO$389,8,FALSE), NA())</f>
        <v>0</v>
      </c>
      <c r="M21" s="344">
        <f>IFERROR(VLOOKUP($I21,BD!$B$4:$BO$389,9,FALSE), NA())</f>
        <v>1970853</v>
      </c>
      <c r="N21" s="344">
        <f>IFERROR(VLOOKUP($I21,BD!$B$4:$BO$400,10,FALSE), NA())</f>
        <v>1970853</v>
      </c>
      <c r="O21" s="345">
        <f>IFERROR(VLOOKUP($I21,BD!$B$4:$BO$389,11,FALSE), NA())</f>
        <v>0</v>
      </c>
      <c r="P21" s="346">
        <f t="shared" si="2"/>
        <v>46108</v>
      </c>
      <c r="Q21" s="343">
        <f>IF(V21=0, 0, IFERROR(VLOOKUP($P21,BD!$B$4:$BO$389,12,FALSE), 0))</f>
        <v>0</v>
      </c>
      <c r="R21" s="344"/>
      <c r="S21" s="344">
        <f>IFERROR(VLOOKUP($P21,BD!$B$4:$BO$389,13,FALSE), NA())</f>
        <v>0</v>
      </c>
      <c r="T21" s="344">
        <f>IFERROR(VLOOKUP($P21,BD!$B$4:$BO$389,14,FALSE), NA())</f>
        <v>414656</v>
      </c>
      <c r="U21" s="344">
        <f>IFERROR(VLOOKUP($P21,BD!$B$4:$BO$400,15,FALSE), NA())</f>
        <v>414656</v>
      </c>
      <c r="V21" s="345">
        <f>IFERROR(VLOOKUP($P21,BD!$B$4:$BO$389,16,FALSE), NA())</f>
        <v>0</v>
      </c>
    </row>
    <row r="22" spans="2:22" ht="24" customHeight="1" thickBot="1" x14ac:dyDescent="0.3">
      <c r="B22" s="346">
        <f t="shared" si="0"/>
        <v>46109</v>
      </c>
      <c r="C22" s="343">
        <f>IF(H22=0, 0, IFERROR(VLOOKUP($B22,BD!$B$4:$BO$389,2,FALSE), 0))</f>
        <v>38</v>
      </c>
      <c r="D22" s="343">
        <f>IF(I22=0, 0, IFERROR(VLOOKUP($B22,[1]BD!$B$4:$BO$389,2,FALSE), 0))</f>
        <v>0</v>
      </c>
      <c r="E22" s="343">
        <f>IFERROR(VLOOKUP($B22,BD!$B$4:$BO$389,3,FALSE), NA())</f>
        <v>17.309941520467834</v>
      </c>
      <c r="F22" s="343">
        <f>IFERROR(VLOOKUP($B22,BD!$B$4:$BO$389,4,FALSE), NA())</f>
        <v>3900079</v>
      </c>
      <c r="G22" s="343">
        <f>IFERROR(VLOOKUP($B22,BD!$B$4:$BO$400,5,FALSE), NA())</f>
        <v>3902447</v>
      </c>
      <c r="H22" s="343">
        <f>IFERROR(VLOOKUP($B22,BD!$B$4:$BO$389,6,FALSE), NA())</f>
        <v>2368</v>
      </c>
      <c r="I22" s="346">
        <f t="shared" si="1"/>
        <v>46109</v>
      </c>
      <c r="J22" s="343">
        <f>IF(O22=0, 0, IFERROR(VLOOKUP($I22,BD!$B$4:$BO$389,7,FALSE), 0))</f>
        <v>0</v>
      </c>
      <c r="K22" s="344"/>
      <c r="L22" s="344">
        <f>IFERROR(VLOOKUP($I22,BD!$B$4:$BO$389,8,FALSE), NA())</f>
        <v>0</v>
      </c>
      <c r="M22" s="344">
        <f>IFERROR(VLOOKUP($I22,BD!$B$4:$BO$389,9,FALSE), NA())</f>
        <v>1970853</v>
      </c>
      <c r="N22" s="344">
        <f>IFERROR(VLOOKUP($I22,BD!$B$4:$BO$400,10,FALSE), NA())</f>
        <v>1970853</v>
      </c>
      <c r="O22" s="345">
        <f>IFERROR(VLOOKUP($I22,BD!$B$4:$BO$389,11,FALSE), NA())</f>
        <v>0</v>
      </c>
      <c r="P22" s="346">
        <f t="shared" si="2"/>
        <v>46109</v>
      </c>
      <c r="Q22" s="343">
        <f>IF(V22=0, 0, IFERROR(VLOOKUP($P22,BD!$B$4:$BO$389,12,FALSE), 0))</f>
        <v>0</v>
      </c>
      <c r="R22" s="344"/>
      <c r="S22" s="344">
        <f>IFERROR(VLOOKUP($P22,BD!$B$4:$BO$389,13,FALSE), NA())</f>
        <v>0</v>
      </c>
      <c r="T22" s="344">
        <f>IFERROR(VLOOKUP($P22,BD!$B$4:$BO$389,14,FALSE), NA())</f>
        <v>414656</v>
      </c>
      <c r="U22" s="344">
        <f>IFERROR(VLOOKUP($P22,BD!$B$4:$BO$400,15,FALSE), NA())</f>
        <v>414656</v>
      </c>
      <c r="V22" s="345">
        <f>IFERROR(VLOOKUP($P22,BD!$B$4:$BO$389,16,FALSE), NA())</f>
        <v>0</v>
      </c>
    </row>
    <row r="23" spans="2:22" ht="24" customHeight="1" thickBot="1" x14ac:dyDescent="0.3">
      <c r="B23" s="346">
        <f t="shared" si="0"/>
        <v>46110</v>
      </c>
      <c r="C23" s="343">
        <f>IF(H23=0, 0, IFERROR(VLOOKUP($B23,BD!$B$4:$BO$389,2,FALSE), 0))</f>
        <v>38</v>
      </c>
      <c r="D23" s="343">
        <f>IF(I23=0, 0, IFERROR(VLOOKUP($B23,[1]BD!$B$4:$BO$389,2,FALSE), 0))</f>
        <v>0</v>
      </c>
      <c r="E23" s="343">
        <f>IFERROR(VLOOKUP($B23,BD!$B$4:$BO$389,3,FALSE), NA())</f>
        <v>17.46345029239766</v>
      </c>
      <c r="F23" s="343">
        <f>IFERROR(VLOOKUP($B23,BD!$B$4:$BO$389,4,FALSE), NA())</f>
        <v>3902447</v>
      </c>
      <c r="G23" s="343">
        <f>IFERROR(VLOOKUP($B23,BD!$B$4:$BO$400,5,FALSE), NA())</f>
        <v>3904836</v>
      </c>
      <c r="H23" s="343">
        <f>IFERROR(VLOOKUP($B23,BD!$B$4:$BO$389,6,FALSE), NA())</f>
        <v>2389</v>
      </c>
      <c r="I23" s="346">
        <f t="shared" si="1"/>
        <v>46110</v>
      </c>
      <c r="J23" s="343">
        <f>IF(O23=0, 0, IFERROR(VLOOKUP($I23,BD!$B$4:$BO$389,7,FALSE), 0))</f>
        <v>0</v>
      </c>
      <c r="K23" s="344"/>
      <c r="L23" s="344">
        <f>IFERROR(VLOOKUP($I23,BD!$B$4:$BO$389,8,FALSE), NA())</f>
        <v>0</v>
      </c>
      <c r="M23" s="344">
        <f>IFERROR(VLOOKUP($I23,BD!$B$4:$BO$389,9,FALSE), NA())</f>
        <v>1970853</v>
      </c>
      <c r="N23" s="344">
        <f>IFERROR(VLOOKUP($I23,BD!$B$4:$BO$400,10,FALSE), NA())</f>
        <v>1970853</v>
      </c>
      <c r="O23" s="345">
        <f>IFERROR(VLOOKUP($I23,BD!$B$4:$BO$389,11,FALSE), NA())</f>
        <v>0</v>
      </c>
      <c r="P23" s="346">
        <f t="shared" si="2"/>
        <v>46110</v>
      </c>
      <c r="Q23" s="343">
        <f>IF(V23=0, 0, IFERROR(VLOOKUP($P23,BD!$B$4:$BO$389,12,FALSE), 0))</f>
        <v>0</v>
      </c>
      <c r="R23" s="344"/>
      <c r="S23" s="344">
        <f>IFERROR(VLOOKUP($P23,BD!$B$4:$BO$389,13,FALSE), NA())</f>
        <v>0</v>
      </c>
      <c r="T23" s="344">
        <f>IFERROR(VLOOKUP($P23,BD!$B$4:$BO$389,14,FALSE), NA())</f>
        <v>414656</v>
      </c>
      <c r="U23" s="344">
        <f>IFERROR(VLOOKUP($P23,BD!$B$4:$BO$400,15,FALSE), NA())</f>
        <v>414656</v>
      </c>
      <c r="V23" s="345">
        <f>IFERROR(VLOOKUP($P23,BD!$B$4:$BO$389,16,FALSE), NA())</f>
        <v>0</v>
      </c>
    </row>
    <row r="24" spans="2:22" ht="24" customHeight="1" thickBot="1" x14ac:dyDescent="0.3">
      <c r="B24" s="346">
        <f t="shared" si="0"/>
        <v>46111</v>
      </c>
      <c r="C24" s="343">
        <f>IF(H24=0, 0, IFERROR(VLOOKUP($B24,BD!$B$4:$BO$389,2,FALSE), 0))</f>
        <v>38</v>
      </c>
      <c r="D24" s="343">
        <f>IF(I24=0, 0, IFERROR(VLOOKUP($B24,[1]BD!$B$4:$BO$389,2,FALSE), 0))</f>
        <v>0</v>
      </c>
      <c r="E24" s="343">
        <f>IFERROR(VLOOKUP($B24,BD!$B$4:$BO$389,3,FALSE), NA())</f>
        <v>17.295321637426898</v>
      </c>
      <c r="F24" s="343">
        <f>IFERROR(VLOOKUP($B24,BD!$B$4:$BO$389,4,FALSE), NA())</f>
        <v>3904836</v>
      </c>
      <c r="G24" s="343">
        <f>IFERROR(VLOOKUP($B24,BD!$B$4:$BO$400,5,FALSE), NA())</f>
        <v>3907202</v>
      </c>
      <c r="H24" s="343">
        <f>IFERROR(VLOOKUP($B24,BD!$B$4:$BO$389,6,FALSE), NA())</f>
        <v>2366</v>
      </c>
      <c r="I24" s="346">
        <f t="shared" si="1"/>
        <v>46111</v>
      </c>
      <c r="J24" s="343">
        <f>IF(O24=0, 0, IFERROR(VLOOKUP($I24,BD!$B$4:$BO$389,7,FALSE), 0))</f>
        <v>0</v>
      </c>
      <c r="K24" s="344"/>
      <c r="L24" s="344">
        <f>IFERROR(VLOOKUP($I24,BD!$B$4:$BO$389,8,FALSE), NA())</f>
        <v>0</v>
      </c>
      <c r="M24" s="344">
        <f>IFERROR(VLOOKUP($I24,BD!$B$4:$BO$389,9,FALSE), NA())</f>
        <v>1970853</v>
      </c>
      <c r="N24" s="344">
        <f>IFERROR(VLOOKUP($I24,BD!$B$4:$BO$400,10,FALSE), NA())</f>
        <v>1970853</v>
      </c>
      <c r="O24" s="345">
        <f>IFERROR(VLOOKUP($I24,BD!$B$4:$BO$389,11,FALSE), NA())</f>
        <v>0</v>
      </c>
      <c r="P24" s="346">
        <f t="shared" si="2"/>
        <v>46111</v>
      </c>
      <c r="Q24" s="343">
        <f>IF(V24=0, 0, IFERROR(VLOOKUP($P24,BD!$B$4:$BO$389,12,FALSE), 0))</f>
        <v>0</v>
      </c>
      <c r="R24" s="344"/>
      <c r="S24" s="344">
        <f>IFERROR(VLOOKUP($P24,BD!$B$4:$BO$389,13,FALSE), NA())</f>
        <v>0</v>
      </c>
      <c r="T24" s="344">
        <f>IFERROR(VLOOKUP($P24,BD!$B$4:$BO$389,14,FALSE), NA())</f>
        <v>414656</v>
      </c>
      <c r="U24" s="344">
        <f>IFERROR(VLOOKUP($P24,BD!$B$4:$BO$400,15,FALSE), NA())</f>
        <v>414656</v>
      </c>
      <c r="V24" s="345">
        <f>IFERROR(VLOOKUP($P24,BD!$B$4:$BO$389,16,FALSE), NA())</f>
        <v>0</v>
      </c>
    </row>
    <row r="25" spans="2:22" ht="24" customHeight="1" thickBot="1" x14ac:dyDescent="0.3">
      <c r="B25" s="346">
        <f t="shared" si="0"/>
        <v>46112</v>
      </c>
      <c r="C25" s="343">
        <f>IF(H25=0, 0, IFERROR(VLOOKUP($B25,BD!$B$4:$BO$389,2,FALSE), 0))</f>
        <v>38</v>
      </c>
      <c r="D25" s="343">
        <f>IF(I25=0, 0, IFERROR(VLOOKUP($B25,[1]BD!$B$4:$BO$389,2,FALSE), 0))</f>
        <v>0</v>
      </c>
      <c r="E25" s="343">
        <f>IFERROR(VLOOKUP($B25,BD!$B$4:$BO$389,3,FALSE), NA())</f>
        <v>17.339181286549707</v>
      </c>
      <c r="F25" s="343">
        <f>IFERROR(VLOOKUP($B25,BD!$B$4:$BO$389,4,FALSE), NA())</f>
        <v>3907202</v>
      </c>
      <c r="G25" s="343">
        <f>IFERROR(VLOOKUP($B25,BD!$B$4:$BO$400,5,FALSE), NA())</f>
        <v>3909574</v>
      </c>
      <c r="H25" s="343">
        <f>IFERROR(VLOOKUP($B25,BD!$B$4:$BO$389,6,FALSE), NA())</f>
        <v>2372</v>
      </c>
      <c r="I25" s="346">
        <f t="shared" si="1"/>
        <v>46112</v>
      </c>
      <c r="J25" s="343">
        <f>IF(O25=0, 0, IFERROR(VLOOKUP($I25,BD!$B$4:$BO$389,7,FALSE), 0))</f>
        <v>0</v>
      </c>
      <c r="K25" s="344"/>
      <c r="L25" s="344">
        <f>IFERROR(VLOOKUP($I25,BD!$B$4:$BO$389,8,FALSE), NA())</f>
        <v>0</v>
      </c>
      <c r="M25" s="344">
        <f>IFERROR(VLOOKUP($I25,BD!$B$4:$BO$389,9,FALSE), NA())</f>
        <v>1970853</v>
      </c>
      <c r="N25" s="344">
        <f>IFERROR(VLOOKUP($I25,BD!$B$4:$BO$400,10,FALSE), NA())</f>
        <v>1970853</v>
      </c>
      <c r="O25" s="345">
        <f>IFERROR(VLOOKUP($I25,BD!$B$4:$BO$389,11,FALSE), NA())</f>
        <v>0</v>
      </c>
      <c r="P25" s="346">
        <f t="shared" si="2"/>
        <v>46112</v>
      </c>
      <c r="Q25" s="343">
        <f>IF(V25=0, 0, IFERROR(VLOOKUP($P25,BD!$B$4:$BO$389,12,FALSE), 0))</f>
        <v>0</v>
      </c>
      <c r="R25" s="344"/>
      <c r="S25" s="344">
        <f>IFERROR(VLOOKUP($P25,BD!$B$4:$BO$389,13,FALSE), NA())</f>
        <v>0</v>
      </c>
      <c r="T25" s="344">
        <f>IFERROR(VLOOKUP($P25,BD!$B$4:$BO$389,14,FALSE), NA())</f>
        <v>414656</v>
      </c>
      <c r="U25" s="344">
        <f>IFERROR(VLOOKUP($P25,BD!$B$4:$BO$400,15,FALSE), NA())</f>
        <v>414656</v>
      </c>
      <c r="V25" s="345">
        <f>IFERROR(VLOOKUP($P25,BD!$B$4:$BO$389,16,FALSE), NA())</f>
        <v>0</v>
      </c>
    </row>
    <row r="26" spans="2:22" ht="24" customHeight="1" thickBot="1" x14ac:dyDescent="0.3">
      <c r="B26" s="346">
        <f t="shared" si="0"/>
        <v>46113</v>
      </c>
      <c r="C26" s="343">
        <f>IF(H26=0, 0, IFERROR(VLOOKUP($B26,BD!$B$4:$BO$389,2,FALSE), 0))</f>
        <v>38</v>
      </c>
      <c r="D26" s="343">
        <f>IF(I26=0, 0, IFERROR(VLOOKUP($B26,[1]BD!$B$4:$BO$389,2,FALSE), 0))</f>
        <v>0</v>
      </c>
      <c r="E26" s="343">
        <f>IFERROR(VLOOKUP($B26,BD!$B$4:$BO$389,3,FALSE), NA())</f>
        <v>15.89</v>
      </c>
      <c r="F26" s="343">
        <f>IFERROR(VLOOKUP($B26,BD!$B$4:$BO$389,4,FALSE), NA())</f>
        <v>3909574</v>
      </c>
      <c r="G26" s="343">
        <f>IFERROR(VLOOKUP($B26,BD!$B$4:$BO$400,5,FALSE), NA())</f>
        <v>3911936</v>
      </c>
      <c r="H26" s="343">
        <f>IFERROR(VLOOKUP($B26,BD!$B$4:$BO$389,6,FALSE), NA())</f>
        <v>2362</v>
      </c>
      <c r="I26" s="346">
        <f t="shared" si="1"/>
        <v>46113</v>
      </c>
      <c r="J26" s="343">
        <f>IF(O26=0, 0, IFERROR(VLOOKUP($I26,BD!$B$4:$BO$389,7,FALSE), 0))</f>
        <v>0</v>
      </c>
      <c r="K26" s="344"/>
      <c r="L26" s="344">
        <f>IFERROR(VLOOKUP($I26,BD!$B$4:$BO$389,8,FALSE), NA())</f>
        <v>0</v>
      </c>
      <c r="M26" s="344">
        <f>IFERROR(VLOOKUP($I26,BD!$B$4:$BO$389,9,FALSE), NA())</f>
        <v>1970853</v>
      </c>
      <c r="N26" s="344">
        <f>IFERROR(VLOOKUP($I26,BD!$B$4:$BO$400,10,FALSE), NA())</f>
        <v>1970853</v>
      </c>
      <c r="O26" s="345">
        <f>IFERROR(VLOOKUP($I26,BD!$B$4:$BO$389,11,FALSE), NA())</f>
        <v>0</v>
      </c>
      <c r="P26" s="346">
        <f t="shared" si="2"/>
        <v>46113</v>
      </c>
      <c r="Q26" s="343">
        <f>IF(V26=0, 0, IFERROR(VLOOKUP($P26,BD!$B$4:$BO$389,12,FALSE), 0))</f>
        <v>0</v>
      </c>
      <c r="R26" s="344"/>
      <c r="S26" s="344">
        <f>IFERROR(VLOOKUP($P26,BD!$B$4:$BO$389,13,FALSE), NA())</f>
        <v>0</v>
      </c>
      <c r="T26" s="344">
        <f>IFERROR(VLOOKUP($P26,BD!$B$4:$BO$389,14,FALSE), NA())</f>
        <v>414656</v>
      </c>
      <c r="U26" s="344">
        <f>IFERROR(VLOOKUP($P26,BD!$B$4:$BO$400,15,FALSE), NA())</f>
        <v>414656</v>
      </c>
      <c r="V26" s="345">
        <f>IFERROR(VLOOKUP($P26,BD!$B$4:$BO$389,16,FALSE), NA())</f>
        <v>0</v>
      </c>
    </row>
    <row r="27" spans="2:22" ht="24" thickBot="1" x14ac:dyDescent="0.3">
      <c r="B27" s="346">
        <f t="shared" si="0"/>
        <v>46114</v>
      </c>
      <c r="C27" s="343">
        <f>IF(H27=0, 0, IFERROR(VLOOKUP($B27,BD!$B$4:$BO$389,2,FALSE), 0))</f>
        <v>38</v>
      </c>
      <c r="D27" s="343">
        <f>IF(I27=0, 0, IFERROR(VLOOKUP($B27,[1]BD!$B$4:$BO$389,2,FALSE), 0))</f>
        <v>0</v>
      </c>
      <c r="E27" s="343">
        <f>IFERROR(VLOOKUP($B27,BD!$B$4:$BO$389,3,FALSE), NA())</f>
        <v>15.96</v>
      </c>
      <c r="F27" s="343">
        <f>IFERROR(VLOOKUP($B27,BD!$B$4:$BO$389,4,FALSE), NA())</f>
        <v>3911936</v>
      </c>
      <c r="G27" s="343">
        <f>IFERROR(VLOOKUP($B27,BD!$B$4:$BO$400,5,FALSE), NA())</f>
        <v>3914340</v>
      </c>
      <c r="H27" s="343">
        <f>IFERROR(VLOOKUP($B27,BD!$B$4:$BO$389,6,FALSE), NA())</f>
        <v>2404</v>
      </c>
      <c r="I27" s="346">
        <f t="shared" si="1"/>
        <v>46114</v>
      </c>
      <c r="J27" s="343">
        <f>IF(O27=0, 0, IFERROR(VLOOKUP($I27,BD!$B$4:$BO$389,7,FALSE), 0))</f>
        <v>0</v>
      </c>
      <c r="K27" s="344"/>
      <c r="L27" s="344">
        <f>IFERROR(VLOOKUP($I27,BD!$B$4:$BO$389,8,FALSE), NA())</f>
        <v>0</v>
      </c>
      <c r="M27" s="344">
        <f>IFERROR(VLOOKUP($I27,BD!$B$4:$BO$389,9,FALSE), NA())</f>
        <v>1970853</v>
      </c>
      <c r="N27" s="344">
        <f>IFERROR(VLOOKUP($I27,BD!$B$4:$BO$400,10,FALSE), NA())</f>
        <v>1970853</v>
      </c>
      <c r="O27" s="345">
        <f>IFERROR(VLOOKUP($I27,BD!$B$4:$BO$389,11,FALSE), NA())</f>
        <v>0</v>
      </c>
      <c r="P27" s="346">
        <f t="shared" si="2"/>
        <v>46114</v>
      </c>
      <c r="Q27" s="343">
        <f>IF(V27=0, 0, IFERROR(VLOOKUP($P27,BD!$B$4:$BO$389,12,FALSE), 0))</f>
        <v>0</v>
      </c>
      <c r="R27" s="344"/>
      <c r="S27" s="344">
        <f>IFERROR(VLOOKUP($P27,BD!$B$4:$BO$389,13,FALSE), NA())</f>
        <v>0</v>
      </c>
      <c r="T27" s="344">
        <f>IFERROR(VLOOKUP($P27,BD!$B$4:$BO$389,14,FALSE), NA())</f>
        <v>414656</v>
      </c>
      <c r="U27" s="344">
        <f>IFERROR(VLOOKUP($P27,BD!$B$4:$BO$400,15,FALSE), NA())</f>
        <v>414656</v>
      </c>
      <c r="V27" s="345">
        <f>IFERROR(VLOOKUP($P27,BD!$B$4:$BO$389,16,FALSE), NA())</f>
        <v>0</v>
      </c>
    </row>
    <row r="28" spans="2:22" ht="24" thickBot="1" x14ac:dyDescent="0.3">
      <c r="B28" s="346">
        <f t="shared" si="0"/>
        <v>46115</v>
      </c>
      <c r="C28" s="343">
        <f>IF(H28=0, 0, IFERROR(VLOOKUP($B28,BD!$B$4:$BO$389,2,FALSE), 0))</f>
        <v>38</v>
      </c>
      <c r="D28" s="343">
        <f>IF(I28=0, 0, IFERROR(VLOOKUP($B28,[1]BD!$B$4:$BO$389,2,FALSE), 0))</f>
        <v>0</v>
      </c>
      <c r="E28" s="343">
        <f>IFERROR(VLOOKUP($B28,BD!$B$4:$BO$389,3,FALSE), NA())</f>
        <v>16.03</v>
      </c>
      <c r="F28" s="343">
        <f>IFERROR(VLOOKUP($B28,BD!$B$4:$BO$389,4,FALSE), NA())</f>
        <v>3914340</v>
      </c>
      <c r="G28" s="343">
        <f>IFERROR(VLOOKUP($B28,BD!$B$4:$BO$400,5,FALSE), NA())</f>
        <v>3916697</v>
      </c>
      <c r="H28" s="343">
        <f>IFERROR(VLOOKUP($B28,BD!$B$4:$BO$389,6,FALSE), NA())</f>
        <v>2357</v>
      </c>
      <c r="I28" s="346">
        <f t="shared" si="1"/>
        <v>46115</v>
      </c>
      <c r="J28" s="343">
        <f>IF(O28=0, 0, IFERROR(VLOOKUP($I28,BD!$B$4:$BO$389,7,FALSE), 0))</f>
        <v>0</v>
      </c>
      <c r="K28" s="344"/>
      <c r="L28" s="344">
        <f>IFERROR(VLOOKUP($I28,BD!$B$4:$BO$389,8,FALSE), NA())</f>
        <v>0</v>
      </c>
      <c r="M28" s="344">
        <f>IFERROR(VLOOKUP($I28,BD!$B$4:$BO$389,9,FALSE), NA())</f>
        <v>1970853</v>
      </c>
      <c r="N28" s="344">
        <f>IFERROR(VLOOKUP($I28,BD!$B$4:$BO$400,10,FALSE), NA())</f>
        <v>1970853</v>
      </c>
      <c r="O28" s="345">
        <f>IFERROR(VLOOKUP($I28,BD!$B$4:$BO$389,11,FALSE), NA())</f>
        <v>0</v>
      </c>
      <c r="P28" s="346">
        <f t="shared" si="2"/>
        <v>46115</v>
      </c>
      <c r="Q28" s="343">
        <f>IF(V28=0, 0, IFERROR(VLOOKUP($P28,BD!$B$4:$BO$389,12,FALSE), 0))</f>
        <v>0</v>
      </c>
      <c r="R28" s="344"/>
      <c r="S28" s="344">
        <f>IFERROR(VLOOKUP($P28,BD!$B$4:$BO$389,13,FALSE), NA())</f>
        <v>0</v>
      </c>
      <c r="T28" s="344">
        <f>IFERROR(VLOOKUP($P28,BD!$B$4:$BO$389,14,FALSE), NA())</f>
        <v>414656</v>
      </c>
      <c r="U28" s="344">
        <f>IFERROR(VLOOKUP($P28,BD!$B$4:$BO$400,15,FALSE), NA())</f>
        <v>414656</v>
      </c>
      <c r="V28" s="345">
        <f>IFERROR(VLOOKUP($P28,BD!$B$4:$BO$389,16,FALSE), NA())</f>
        <v>0</v>
      </c>
    </row>
    <row r="29" spans="2:22" ht="24" thickBot="1" x14ac:dyDescent="0.3">
      <c r="B29" s="346">
        <f t="shared" si="0"/>
        <v>46116</v>
      </c>
      <c r="C29" s="343">
        <f>IF(H29=0, 0, IFERROR(VLOOKUP($B29,BD!$B$4:$BO$389,2,FALSE), 0))</f>
        <v>38</v>
      </c>
      <c r="D29" s="343">
        <f>IF(I29=0, 0, IFERROR(VLOOKUP($B29,[1]BD!$B$4:$BO$389,2,FALSE), 0))</f>
        <v>0</v>
      </c>
      <c r="E29" s="343">
        <f>IFERROR(VLOOKUP($B29,BD!$B$4:$BO$389,3,FALSE), NA())</f>
        <v>16.100000000000001</v>
      </c>
      <c r="F29" s="343">
        <f>IFERROR(VLOOKUP($B29,BD!$B$4:$BO$389,4,FALSE), NA())</f>
        <v>3916697</v>
      </c>
      <c r="G29" s="343">
        <f>IFERROR(VLOOKUP($B29,BD!$B$4:$BO$400,5,FALSE), NA())</f>
        <v>3919092</v>
      </c>
      <c r="H29" s="343">
        <f>IFERROR(VLOOKUP($B29,BD!$B$4:$BO$389,6,FALSE), NA())</f>
        <v>2395</v>
      </c>
      <c r="I29" s="346">
        <f t="shared" si="1"/>
        <v>46116</v>
      </c>
      <c r="J29" s="343">
        <f>IF(O29=0, 0, IFERROR(VLOOKUP($I29,BD!$B$4:$BO$389,7,FALSE), 0))</f>
        <v>0</v>
      </c>
      <c r="K29" s="344"/>
      <c r="L29" s="344">
        <f>IFERROR(VLOOKUP($I29,BD!$B$4:$BO$389,8,FALSE), NA())</f>
        <v>0</v>
      </c>
      <c r="M29" s="344">
        <f>IFERROR(VLOOKUP($I29,BD!$B$4:$BO$389,9,FALSE), NA())</f>
        <v>1970853</v>
      </c>
      <c r="N29" s="344">
        <f>IFERROR(VLOOKUP($I29,BD!$B$4:$BO$400,10,FALSE), NA())</f>
        <v>1970853</v>
      </c>
      <c r="O29" s="345">
        <f>IFERROR(VLOOKUP($I29,BD!$B$4:$BO$389,11,FALSE), NA())</f>
        <v>0</v>
      </c>
      <c r="P29" s="346">
        <f t="shared" si="2"/>
        <v>46116</v>
      </c>
      <c r="Q29" s="343">
        <f>IF(V29=0, 0, IFERROR(VLOOKUP($P29,BD!$B$4:$BO$389,12,FALSE), 0))</f>
        <v>0</v>
      </c>
      <c r="R29" s="344"/>
      <c r="S29" s="344">
        <f>IFERROR(VLOOKUP($P29,BD!$B$4:$BO$389,13,FALSE), NA())</f>
        <v>0</v>
      </c>
      <c r="T29" s="344">
        <f>IFERROR(VLOOKUP($P29,BD!$B$4:$BO$389,14,FALSE), NA())</f>
        <v>414656</v>
      </c>
      <c r="U29" s="344">
        <f>IFERROR(VLOOKUP($P29,BD!$B$4:$BO$400,15,FALSE), NA())</f>
        <v>414656</v>
      </c>
      <c r="V29" s="345">
        <f>IFERROR(VLOOKUP($P29,BD!$B$4:$BO$389,16,FALSE), NA())</f>
        <v>0</v>
      </c>
    </row>
    <row r="30" spans="2:22" ht="24" thickBot="1" x14ac:dyDescent="0.3">
      <c r="B30" s="346">
        <f t="shared" si="0"/>
        <v>46117</v>
      </c>
      <c r="C30" s="343">
        <f>IF(H30=0, 0, IFERROR(VLOOKUP($B30,BD!$B$4:$BO$389,2,FALSE), 0))</f>
        <v>38</v>
      </c>
      <c r="D30" s="343">
        <f>IF(I30=0, 0, IFERROR(VLOOKUP($B30,[1]BD!$B$4:$BO$389,2,FALSE), 0))</f>
        <v>0</v>
      </c>
      <c r="E30" s="343">
        <f>IFERROR(VLOOKUP($B30,BD!$B$4:$BO$389,3,FALSE), NA())</f>
        <v>16.170000000000002</v>
      </c>
      <c r="F30" s="343">
        <f>IFERROR(VLOOKUP($B30,BD!$B$4:$BO$389,4,FALSE), NA())</f>
        <v>3919092</v>
      </c>
      <c r="G30" s="343">
        <f>IFERROR(VLOOKUP($B30,BD!$B$4:$BO$400,5,FALSE), NA())</f>
        <v>3921475</v>
      </c>
      <c r="H30" s="343">
        <f>IFERROR(VLOOKUP($B30,BD!$B$4:$BO$389,6,FALSE), NA())</f>
        <v>2383</v>
      </c>
      <c r="I30" s="346">
        <f t="shared" si="1"/>
        <v>46117</v>
      </c>
      <c r="J30" s="343">
        <f>IF(O30=0, 0, IFERROR(VLOOKUP($I30,BD!$B$4:$BO$389,7,FALSE), 0))</f>
        <v>0</v>
      </c>
      <c r="K30" s="344"/>
      <c r="L30" s="344">
        <f>IFERROR(VLOOKUP($I30,BD!$B$4:$BO$389,8,FALSE), NA())</f>
        <v>0</v>
      </c>
      <c r="M30" s="344">
        <f>IFERROR(VLOOKUP($I30,BD!$B$4:$BO$389,9,FALSE), NA())</f>
        <v>1970853</v>
      </c>
      <c r="N30" s="344">
        <f>IFERROR(VLOOKUP($I30,BD!$B$4:$BO$400,10,FALSE), NA())</f>
        <v>1970853</v>
      </c>
      <c r="O30" s="345">
        <f>IFERROR(VLOOKUP($I30,BD!$B$4:$BO$389,11,FALSE), NA())</f>
        <v>0</v>
      </c>
      <c r="P30" s="346">
        <f t="shared" si="2"/>
        <v>46117</v>
      </c>
      <c r="Q30" s="343">
        <f>IF(V30=0, 0, IFERROR(VLOOKUP($P30,BD!$B$4:$BO$389,12,FALSE), 0))</f>
        <v>0</v>
      </c>
      <c r="R30" s="344"/>
      <c r="S30" s="344">
        <f>IFERROR(VLOOKUP($P30,BD!$B$4:$BO$389,13,FALSE), NA())</f>
        <v>0</v>
      </c>
      <c r="T30" s="344">
        <f>IFERROR(VLOOKUP($P30,BD!$B$4:$BO$389,14,FALSE), NA())</f>
        <v>414656</v>
      </c>
      <c r="U30" s="344">
        <f>IFERROR(VLOOKUP($P30,BD!$B$4:$BO$400,15,FALSE), NA())</f>
        <v>414656</v>
      </c>
      <c r="V30" s="345">
        <f>IFERROR(VLOOKUP($P30,BD!$B$4:$BO$389,16,FALSE), NA())</f>
        <v>0</v>
      </c>
    </row>
    <row r="31" spans="2:22" ht="24" thickBot="1" x14ac:dyDescent="0.3">
      <c r="B31" s="346">
        <f t="shared" si="0"/>
        <v>46118</v>
      </c>
      <c r="C31" s="343">
        <f>IF(H31=0, 0, IFERROR(VLOOKUP($B31,BD!$B$4:$BO$389,2,FALSE), 0))</f>
        <v>38</v>
      </c>
      <c r="D31" s="343">
        <f>IF(I31=0, 0, IFERROR(VLOOKUP($B31,[1]BD!$B$4:$BO$389,2,FALSE), 0))</f>
        <v>0</v>
      </c>
      <c r="E31" s="343">
        <f>IFERROR(VLOOKUP($B31,BD!$B$4:$BO$389,3,FALSE), NA())</f>
        <v>16.239999999999998</v>
      </c>
      <c r="F31" s="343">
        <f>IFERROR(VLOOKUP($B31,BD!$B$4:$BO$389,4,FALSE), NA())</f>
        <v>3921475</v>
      </c>
      <c r="G31" s="343">
        <f>IFERROR(VLOOKUP($B31,BD!$B$4:$BO$400,5,FALSE), NA())</f>
        <v>3923889</v>
      </c>
      <c r="H31" s="343">
        <f>IFERROR(VLOOKUP($B31,BD!$B$4:$BO$389,6,FALSE), NA())</f>
        <v>2414</v>
      </c>
      <c r="I31" s="346">
        <f t="shared" si="1"/>
        <v>46118</v>
      </c>
      <c r="J31" s="343">
        <f>IF(O31=0, 0, IFERROR(VLOOKUP($I31,BD!$B$4:$BO$389,7,FALSE), 0))</f>
        <v>0</v>
      </c>
      <c r="K31" s="344"/>
      <c r="L31" s="344">
        <f>IFERROR(VLOOKUP($I31,BD!$B$4:$BO$389,8,FALSE), NA())</f>
        <v>0</v>
      </c>
      <c r="M31" s="344">
        <f>IFERROR(VLOOKUP($I31,BD!$B$4:$BO$389,9,FALSE), NA())</f>
        <v>1970853</v>
      </c>
      <c r="N31" s="344">
        <f>IFERROR(VLOOKUP($I31,BD!$B$4:$BO$400,10,FALSE), NA())</f>
        <v>1970853</v>
      </c>
      <c r="O31" s="345">
        <f>IFERROR(VLOOKUP($I31,BD!$B$4:$BO$389,11,FALSE), NA())</f>
        <v>0</v>
      </c>
      <c r="P31" s="346">
        <f t="shared" si="2"/>
        <v>46118</v>
      </c>
      <c r="Q31" s="343">
        <f>IF(V31=0, 0, IFERROR(VLOOKUP($P31,BD!$B$4:$BO$389,12,FALSE), 0))</f>
        <v>0</v>
      </c>
      <c r="R31" s="344"/>
      <c r="S31" s="344">
        <f>IFERROR(VLOOKUP($P31,BD!$B$4:$BO$389,13,FALSE), NA())</f>
        <v>0</v>
      </c>
      <c r="T31" s="344">
        <f>IFERROR(VLOOKUP($P31,BD!$B$4:$BO$389,14,FALSE), NA())</f>
        <v>414656</v>
      </c>
      <c r="U31" s="344">
        <f>IFERROR(VLOOKUP($P31,BD!$B$4:$BO$400,15,FALSE), NA())</f>
        <v>414656</v>
      </c>
      <c r="V31" s="345">
        <f>IFERROR(VLOOKUP($P31,BD!$B$4:$BO$389,16,FALSE), NA())</f>
        <v>0</v>
      </c>
    </row>
    <row r="32" spans="2:22" ht="24" thickBot="1" x14ac:dyDescent="0.3">
      <c r="B32" s="346">
        <f t="shared" si="0"/>
        <v>46119</v>
      </c>
      <c r="C32" s="343">
        <f>IF(H32=0, 0, IFERROR(VLOOKUP($B32,BD!$B$4:$BO$389,2,FALSE), 0))</f>
        <v>38</v>
      </c>
      <c r="D32" s="343">
        <f>IF(I32=0, 0, IFERROR(VLOOKUP($B32,[1]BD!$B$4:$BO$389,2,FALSE), 0))</f>
        <v>0</v>
      </c>
      <c r="E32" s="343">
        <f>IFERROR(VLOOKUP($B32,BD!$B$4:$BO$389,3,FALSE), NA())</f>
        <v>16.309999999999999</v>
      </c>
      <c r="F32" s="343">
        <f>IFERROR(VLOOKUP($B32,BD!$B$4:$BO$389,4,FALSE), NA())</f>
        <v>3923889</v>
      </c>
      <c r="G32" s="343">
        <f>IFERROR(VLOOKUP($B32,BD!$B$4:$BO$400,5,FALSE), NA())</f>
        <v>3926206</v>
      </c>
      <c r="H32" s="343">
        <f>IFERROR(VLOOKUP($B32,BD!$B$4:$BO$389,6,FALSE), NA())</f>
        <v>2317</v>
      </c>
      <c r="I32" s="346">
        <f t="shared" si="1"/>
        <v>46119</v>
      </c>
      <c r="J32" s="343">
        <f>IF(O32=0, 0, IFERROR(VLOOKUP($I32,BD!$B$4:$BO$389,7,FALSE), 0))</f>
        <v>0</v>
      </c>
      <c r="K32" s="344"/>
      <c r="L32" s="344">
        <f>IFERROR(VLOOKUP($I32,BD!$B$4:$BO$389,8,FALSE), NA())</f>
        <v>0</v>
      </c>
      <c r="M32" s="344">
        <f>IFERROR(VLOOKUP($I32,BD!$B$4:$BO$389,9,FALSE), NA())</f>
        <v>1970853</v>
      </c>
      <c r="N32" s="344">
        <f>IFERROR(VLOOKUP($I32,BD!$B$4:$BO$400,10,FALSE), NA())</f>
        <v>1970853</v>
      </c>
      <c r="O32" s="345">
        <f>IFERROR(VLOOKUP($I32,BD!$B$4:$BO$389,11,FALSE), NA())</f>
        <v>0</v>
      </c>
      <c r="P32" s="346">
        <f t="shared" si="2"/>
        <v>46119</v>
      </c>
      <c r="Q32" s="343">
        <f>IF(V32=0, 0, IFERROR(VLOOKUP($P32,BD!$B$4:$BO$389,12,FALSE), 0))</f>
        <v>0</v>
      </c>
      <c r="R32" s="344"/>
      <c r="S32" s="344">
        <f>IFERROR(VLOOKUP($P32,BD!$B$4:$BO$389,13,FALSE), NA())</f>
        <v>0</v>
      </c>
      <c r="T32" s="344">
        <f>IFERROR(VLOOKUP($P32,BD!$B$4:$BO$389,14,FALSE), NA())</f>
        <v>414656</v>
      </c>
      <c r="U32" s="344">
        <f>IFERROR(VLOOKUP($P32,BD!$B$4:$BO$400,15,FALSE), NA())</f>
        <v>414656</v>
      </c>
      <c r="V32" s="345">
        <f>IFERROR(VLOOKUP($P32,BD!$B$4:$BO$389,16,FALSE), NA())</f>
        <v>0</v>
      </c>
    </row>
    <row r="33" spans="2:24" ht="24" thickBot="1" x14ac:dyDescent="0.3">
      <c r="B33" s="346">
        <f t="shared" si="0"/>
        <v>46120</v>
      </c>
      <c r="C33" s="343">
        <f>IF(H33=0, 0, IFERROR(VLOOKUP($B33,BD!$B$4:$BO$389,2,FALSE), 0))</f>
        <v>38</v>
      </c>
      <c r="D33" s="343">
        <f>IF(I33=0, 0, IFERROR(VLOOKUP($B33,[1]BD!$B$4:$BO$389,2,FALSE), 0))</f>
        <v>0</v>
      </c>
      <c r="E33" s="343">
        <f>IFERROR(VLOOKUP($B33,BD!$B$4:$BO$389,3,FALSE), NA())</f>
        <v>16.38</v>
      </c>
      <c r="F33" s="343">
        <f>IFERROR(VLOOKUP($B33,BD!$B$4:$BO$389,4,FALSE), NA())</f>
        <v>3926206</v>
      </c>
      <c r="G33" s="343">
        <f>IFERROR(VLOOKUP($B33,BD!$B$4:$BO$400,5,FALSE), NA())</f>
        <v>3928574</v>
      </c>
      <c r="H33" s="343">
        <f>IFERROR(VLOOKUP($B33,BD!$B$4:$BO$389,6,FALSE), NA())</f>
        <v>2368</v>
      </c>
      <c r="I33" s="346">
        <f t="shared" si="1"/>
        <v>46120</v>
      </c>
      <c r="J33" s="343">
        <f>IF(O33=0, 0, IFERROR(VLOOKUP($I33,BD!$B$4:$BO$389,7,FALSE), 0))</f>
        <v>0</v>
      </c>
      <c r="K33" s="344"/>
      <c r="L33" s="344">
        <f>IFERROR(VLOOKUP($I33,BD!$B$4:$BO$389,8,FALSE), NA())</f>
        <v>0</v>
      </c>
      <c r="M33" s="344">
        <f>IFERROR(VLOOKUP($I33,BD!$B$4:$BO$389,9,FALSE), NA())</f>
        <v>1970853</v>
      </c>
      <c r="N33" s="344">
        <f>IFERROR(VLOOKUP($I33,BD!$B$4:$BO$400,10,FALSE), NA())</f>
        <v>1970853</v>
      </c>
      <c r="O33" s="345">
        <f>IFERROR(VLOOKUP($I33,BD!$B$4:$BO$389,11,FALSE), NA())</f>
        <v>0</v>
      </c>
      <c r="P33" s="346">
        <f t="shared" si="2"/>
        <v>46120</v>
      </c>
      <c r="Q33" s="343">
        <f>IF(V33=0, 0, IFERROR(VLOOKUP($P33,BD!$B$4:$BO$389,12,FALSE), 0))</f>
        <v>0</v>
      </c>
      <c r="R33" s="344"/>
      <c r="S33" s="344">
        <f>IFERROR(VLOOKUP($P33,BD!$B$4:$BO$389,13,FALSE), NA())</f>
        <v>0</v>
      </c>
      <c r="T33" s="344">
        <f>IFERROR(VLOOKUP($P33,BD!$B$4:$BO$389,14,FALSE), NA())</f>
        <v>414656</v>
      </c>
      <c r="U33" s="344">
        <f>IFERROR(VLOOKUP($P33,BD!$B$4:$BO$400,15,FALSE), NA())</f>
        <v>414656</v>
      </c>
      <c r="V33" s="345">
        <f>IFERROR(VLOOKUP($P33,BD!$B$4:$BO$389,16,FALSE), NA())</f>
        <v>0</v>
      </c>
    </row>
    <row r="34" spans="2:24" ht="24" thickBot="1" x14ac:dyDescent="0.3">
      <c r="B34" s="346">
        <f t="shared" si="0"/>
        <v>46121</v>
      </c>
      <c r="C34" s="343">
        <f>IF(H34=0, 0, IFERROR(VLOOKUP($B34,BD!$B$4:$BO$389,2,FALSE), 0))</f>
        <v>38</v>
      </c>
      <c r="D34" s="343">
        <f>IF(I34=0, 0, IFERROR(VLOOKUP($B34,[1]BD!$B$4:$BO$389,2,FALSE), 0))</f>
        <v>0</v>
      </c>
      <c r="E34" s="343">
        <f>IFERROR(VLOOKUP($B34,BD!$B$4:$BO$389,3,FALSE), NA())</f>
        <v>16.45</v>
      </c>
      <c r="F34" s="343">
        <f>IFERROR(VLOOKUP($B34,BD!$B$4:$BO$389,4,FALSE), NA())</f>
        <v>3928574</v>
      </c>
      <c r="G34" s="343">
        <f>IFERROR(VLOOKUP($B34,BD!$B$4:$BO$400,5,FALSE), NA())</f>
        <v>3930988</v>
      </c>
      <c r="H34" s="343">
        <f>IFERROR(VLOOKUP($B34,BD!$B$4:$BO$389,6,FALSE), NA())</f>
        <v>2414</v>
      </c>
      <c r="I34" s="346">
        <f t="shared" si="1"/>
        <v>46121</v>
      </c>
      <c r="J34" s="343">
        <f>IF(O34=0, 0, IFERROR(VLOOKUP($I34,BD!$B$4:$BO$389,7,FALSE), 0))</f>
        <v>0</v>
      </c>
      <c r="K34" s="344"/>
      <c r="L34" s="344">
        <f>IFERROR(VLOOKUP($I34,BD!$B$4:$BO$389,8,FALSE), NA())</f>
        <v>0</v>
      </c>
      <c r="M34" s="344">
        <f>IFERROR(VLOOKUP($I34,BD!$B$4:$BO$389,9,FALSE), NA())</f>
        <v>1970853</v>
      </c>
      <c r="N34" s="344">
        <f>IFERROR(VLOOKUP($I34,BD!$B$4:$BO$400,10,FALSE), NA())</f>
        <v>1970853</v>
      </c>
      <c r="O34" s="345">
        <f>IFERROR(VLOOKUP($I34,BD!$B$4:$BO$389,11,FALSE), NA())</f>
        <v>0</v>
      </c>
      <c r="P34" s="346">
        <f t="shared" si="2"/>
        <v>46121</v>
      </c>
      <c r="Q34" s="343">
        <f>IF(V34=0, 0, IFERROR(VLOOKUP($P34,BD!$B$4:$BO$389,12,FALSE), 0))</f>
        <v>0</v>
      </c>
      <c r="R34" s="344"/>
      <c r="S34" s="344">
        <f>IFERROR(VLOOKUP($P34,BD!$B$4:$BO$389,13,FALSE), NA())</f>
        <v>0</v>
      </c>
      <c r="T34" s="344">
        <f>IFERROR(VLOOKUP($P34,BD!$B$4:$BO$389,14,FALSE), NA())</f>
        <v>414656</v>
      </c>
      <c r="U34" s="344">
        <f>IFERROR(VLOOKUP($P34,BD!$B$4:$BO$400,15,FALSE), NA())</f>
        <v>414656</v>
      </c>
      <c r="V34" s="345">
        <f>IFERROR(VLOOKUP($P34,BD!$B$4:$BO$389,16,FALSE), NA())</f>
        <v>0</v>
      </c>
    </row>
    <row r="35" spans="2:24" ht="24" thickBot="1" x14ac:dyDescent="0.3">
      <c r="B35" s="346">
        <f t="shared" si="0"/>
        <v>46122</v>
      </c>
      <c r="C35" s="343">
        <f>IF(H35=0, 0, IFERROR(VLOOKUP($B35,BD!$B$4:$BO$389,2,FALSE), 0))</f>
        <v>38</v>
      </c>
      <c r="D35" s="343">
        <f>IF(I35=0, 0, IFERROR(VLOOKUP($B35,[1]BD!$B$4:$BO$389,2,FALSE), 0))</f>
        <v>0</v>
      </c>
      <c r="E35" s="343">
        <f>IFERROR(VLOOKUP($B35,BD!$B$4:$BO$389,3,FALSE), NA())</f>
        <v>16.52</v>
      </c>
      <c r="F35" s="343">
        <f>IFERROR(VLOOKUP($B35,BD!$B$4:$BO$389,4,FALSE), NA())</f>
        <v>3930988</v>
      </c>
      <c r="G35" s="343">
        <f>IFERROR(VLOOKUP($B35,BD!$B$4:$BO$400,5,FALSE), NA())</f>
        <v>3933374</v>
      </c>
      <c r="H35" s="343">
        <f>IFERROR(VLOOKUP($B35,BD!$B$4:$BO$389,6,FALSE), NA())</f>
        <v>2386</v>
      </c>
      <c r="I35" s="346">
        <f t="shared" si="1"/>
        <v>46122</v>
      </c>
      <c r="J35" s="343">
        <f>IF(O35=0, 0, IFERROR(VLOOKUP($I35,BD!$B$4:$BO$389,7,FALSE), 0))</f>
        <v>0</v>
      </c>
      <c r="K35" s="344"/>
      <c r="L35" s="344">
        <f>IFERROR(VLOOKUP($I35,BD!$B$4:$BO$389,8,FALSE), NA())</f>
        <v>0</v>
      </c>
      <c r="M35" s="344">
        <f>IFERROR(VLOOKUP($I35,BD!$B$4:$BO$389,9,FALSE), NA())</f>
        <v>1970853</v>
      </c>
      <c r="N35" s="344">
        <f>IFERROR(VLOOKUP($I35,BD!$B$4:$BO$400,10,FALSE), NA())</f>
        <v>1970853</v>
      </c>
      <c r="O35" s="345">
        <f>IFERROR(VLOOKUP($I35,BD!$B$4:$BO$389,11,FALSE), NA())</f>
        <v>0</v>
      </c>
      <c r="P35" s="346">
        <f t="shared" si="2"/>
        <v>46122</v>
      </c>
      <c r="Q35" s="343">
        <f>IF(V35=0, 0, IFERROR(VLOOKUP($P35,BD!$B$4:$BO$389,12,FALSE), 0))</f>
        <v>0</v>
      </c>
      <c r="R35" s="344"/>
      <c r="S35" s="344">
        <f>IFERROR(VLOOKUP($P35,BD!$B$4:$BO$389,13,FALSE), NA())</f>
        <v>0</v>
      </c>
      <c r="T35" s="344">
        <f>IFERROR(VLOOKUP($P35,BD!$B$4:$BO$389,14,FALSE), NA())</f>
        <v>414656</v>
      </c>
      <c r="U35" s="344">
        <f>IFERROR(VLOOKUP($P35,BD!$B$4:$BO$400,15,FALSE), NA())</f>
        <v>414656</v>
      </c>
      <c r="V35" s="345">
        <f>IFERROR(VLOOKUP($P35,BD!$B$4:$BO$389,16,FALSE), NA())</f>
        <v>0</v>
      </c>
    </row>
    <row r="36" spans="2:24" ht="24" thickBot="1" x14ac:dyDescent="0.3">
      <c r="B36" s="346">
        <f t="shared" si="0"/>
        <v>46123</v>
      </c>
      <c r="C36" s="343">
        <f>IF(H36=0, 0, IFERROR(VLOOKUP($B36,BD!$B$4:$BO$389,2,FALSE), 0))</f>
        <v>38</v>
      </c>
      <c r="D36" s="343">
        <f>IF(I36=0, 0, IFERROR(VLOOKUP($B36,[1]BD!$B$4:$BO$389,2,FALSE), 0))</f>
        <v>0</v>
      </c>
      <c r="E36" s="343">
        <f>IFERROR(VLOOKUP($B36,BD!$B$4:$BO$389,3,FALSE), NA())</f>
        <v>16.59</v>
      </c>
      <c r="F36" s="343">
        <f>IFERROR(VLOOKUP($B36,BD!$B$4:$BO$389,4,FALSE), NA())</f>
        <v>3933374</v>
      </c>
      <c r="G36" s="343">
        <f>IFERROR(VLOOKUP($B36,BD!$B$4:$BO$400,5,FALSE), NA())</f>
        <v>3935786</v>
      </c>
      <c r="H36" s="343">
        <f>IFERROR(VLOOKUP($B36,BD!$B$4:$BO$389,6,FALSE), NA())</f>
        <v>2412</v>
      </c>
      <c r="I36" s="346">
        <f t="shared" si="1"/>
        <v>46123</v>
      </c>
      <c r="J36" s="343">
        <f>IF(O36=0, 0, IFERROR(VLOOKUP($I36,BD!$B$4:$BO$389,7,FALSE), 0))</f>
        <v>0</v>
      </c>
      <c r="K36" s="344"/>
      <c r="L36" s="344">
        <f>IFERROR(VLOOKUP($I36,BD!$B$4:$BO$389,8,FALSE), NA())</f>
        <v>0</v>
      </c>
      <c r="M36" s="344">
        <f>IFERROR(VLOOKUP($I36,BD!$B$4:$BO$389,9,FALSE), NA())</f>
        <v>1970853</v>
      </c>
      <c r="N36" s="344">
        <f>IFERROR(VLOOKUP($I36,BD!$B$4:$BO$400,10,FALSE), NA())</f>
        <v>1970853</v>
      </c>
      <c r="O36" s="345">
        <f>IFERROR(VLOOKUP($I36,BD!$B$4:$BO$389,11,FALSE), NA())</f>
        <v>0</v>
      </c>
      <c r="P36" s="346">
        <f t="shared" si="2"/>
        <v>46123</v>
      </c>
      <c r="Q36" s="343">
        <f>IF(V36=0, 0, IFERROR(VLOOKUP($P36,BD!$B$4:$BO$389,12,FALSE), 0))</f>
        <v>0</v>
      </c>
      <c r="R36" s="344"/>
      <c r="S36" s="344">
        <f>IFERROR(VLOOKUP($P36,BD!$B$4:$BO$389,13,FALSE), NA())</f>
        <v>0</v>
      </c>
      <c r="T36" s="344">
        <f>IFERROR(VLOOKUP($P36,BD!$B$4:$BO$389,14,FALSE), NA())</f>
        <v>414656</v>
      </c>
      <c r="U36" s="344">
        <f>IFERROR(VLOOKUP($P36,BD!$B$4:$BO$400,15,FALSE), NA())</f>
        <v>414656</v>
      </c>
      <c r="V36" s="345">
        <f>IFERROR(VLOOKUP($P36,BD!$B$4:$BO$389,16,FALSE), NA())</f>
        <v>0</v>
      </c>
    </row>
    <row r="37" spans="2:24" ht="24" thickBot="1" x14ac:dyDescent="0.3">
      <c r="B37" s="532" t="s">
        <v>16</v>
      </c>
      <c r="C37" s="533"/>
      <c r="D37" s="533"/>
      <c r="E37" s="533"/>
      <c r="F37" s="533"/>
      <c r="G37" s="534"/>
      <c r="H37" s="348">
        <f>_xlfn.AGGREGATE(9,6,H6:H36)</f>
        <v>67841</v>
      </c>
      <c r="I37" s="532" t="s">
        <v>16</v>
      </c>
      <c r="J37" s="533"/>
      <c r="K37" s="533"/>
      <c r="L37" s="533"/>
      <c r="M37" s="533"/>
      <c r="N37" s="534"/>
      <c r="O37" s="348">
        <f>_xlfn.AGGREGATE(9,6,O6:O36)</f>
        <v>0</v>
      </c>
      <c r="P37" s="532" t="s">
        <v>16</v>
      </c>
      <c r="Q37" s="533"/>
      <c r="R37" s="533"/>
      <c r="S37" s="533"/>
      <c r="T37" s="533"/>
      <c r="U37" s="534"/>
      <c r="V37" s="348">
        <f>_xlfn.AGGREGATE(9,6,V6:V36)</f>
        <v>0</v>
      </c>
    </row>
    <row r="38" spans="2:24" ht="24" thickBot="1" x14ac:dyDescent="0.3">
      <c r="B38" s="532" t="s">
        <v>17</v>
      </c>
      <c r="C38" s="533"/>
      <c r="D38" s="533"/>
      <c r="E38" s="533"/>
      <c r="F38" s="533"/>
      <c r="G38" s="534"/>
      <c r="H38" s="348">
        <f>H37*0.1</f>
        <v>6784.1</v>
      </c>
      <c r="I38" s="532" t="s">
        <v>17</v>
      </c>
      <c r="J38" s="533"/>
      <c r="K38" s="533"/>
      <c r="L38" s="533"/>
      <c r="M38" s="533"/>
      <c r="N38" s="534"/>
      <c r="O38" s="348">
        <f>O37*0.1</f>
        <v>0</v>
      </c>
      <c r="P38" s="532" t="s">
        <v>17</v>
      </c>
      <c r="Q38" s="533"/>
      <c r="R38" s="533"/>
      <c r="S38" s="533"/>
      <c r="T38" s="533"/>
      <c r="U38" s="534"/>
      <c r="V38" s="348">
        <f>V37*0.1</f>
        <v>0</v>
      </c>
    </row>
    <row r="39" spans="2:24" ht="25.5" thickBot="1" x14ac:dyDescent="0.3">
      <c r="B39" s="532" t="s">
        <v>564</v>
      </c>
      <c r="C39" s="533"/>
      <c r="D39" s="533"/>
      <c r="E39" s="533"/>
      <c r="F39" s="533"/>
      <c r="G39" s="534"/>
      <c r="H39" s="348">
        <f>H37-H38</f>
        <v>61056.9</v>
      </c>
      <c r="I39" s="532" t="s">
        <v>564</v>
      </c>
      <c r="J39" s="533"/>
      <c r="K39" s="533"/>
      <c r="L39" s="533"/>
      <c r="M39" s="533"/>
      <c r="N39" s="534"/>
      <c r="O39" s="348">
        <f>O37-O38</f>
        <v>0</v>
      </c>
      <c r="P39" s="532" t="s">
        <v>564</v>
      </c>
      <c r="Q39" s="533"/>
      <c r="R39" s="533"/>
      <c r="S39" s="533"/>
      <c r="T39" s="533"/>
      <c r="U39" s="534"/>
      <c r="V39" s="348">
        <f>V37-V38</f>
        <v>0</v>
      </c>
    </row>
    <row r="40" spans="2:24" ht="50.1" customHeight="1" thickBot="1" x14ac:dyDescent="0.3"/>
    <row r="41" spans="2:24" ht="26.25" thickBot="1" x14ac:dyDescent="0.4">
      <c r="B41" s="531" t="s">
        <v>6</v>
      </c>
      <c r="C41" s="531"/>
      <c r="D41" s="531"/>
      <c r="E41" s="531"/>
      <c r="F41" s="531"/>
      <c r="G41" s="531"/>
      <c r="H41" s="531"/>
      <c r="I41" s="531" t="s">
        <v>9</v>
      </c>
      <c r="J41" s="531"/>
      <c r="K41" s="531"/>
      <c r="L41" s="531"/>
      <c r="M41" s="531"/>
      <c r="N41" s="531"/>
      <c r="O41" s="531"/>
      <c r="P41" s="531" t="s">
        <v>8</v>
      </c>
      <c r="Q41" s="531"/>
      <c r="R41" s="531"/>
      <c r="S41" s="531"/>
      <c r="T41" s="531"/>
      <c r="U41" s="531"/>
      <c r="V41" s="531"/>
    </row>
    <row r="42" spans="2:24" ht="26.25" hidden="1" customHeight="1" thickBot="1" x14ac:dyDescent="0.4">
      <c r="B42" s="528" t="str">
        <f>PROPER(TEXT(B44,"mmmm"))</f>
        <v>Marzo</v>
      </c>
      <c r="C42" s="529"/>
      <c r="D42" s="529"/>
      <c r="E42" s="529"/>
      <c r="F42" s="529"/>
      <c r="G42" s="529"/>
      <c r="H42" s="530"/>
      <c r="I42" s="528" t="str">
        <f>PROPER(TEXT(I44,"mmmm"))</f>
        <v>Marzo</v>
      </c>
      <c r="J42" s="529"/>
      <c r="K42" s="529"/>
      <c r="L42" s="529"/>
      <c r="M42" s="529"/>
      <c r="N42" s="529"/>
      <c r="O42" s="530"/>
      <c r="P42" s="528" t="str">
        <f>PROPER(TEXT(P44,"mmmm"))</f>
        <v>Marzo</v>
      </c>
      <c r="Q42" s="529"/>
      <c r="R42" s="529"/>
      <c r="S42" s="529"/>
      <c r="T42" s="529"/>
      <c r="U42" s="529"/>
      <c r="V42" s="530"/>
    </row>
    <row r="43" spans="2:24" ht="30" customHeight="1" thickBot="1" x14ac:dyDescent="0.3">
      <c r="B43" s="341" t="s">
        <v>80</v>
      </c>
      <c r="C43" s="341" t="s">
        <v>569</v>
      </c>
      <c r="D43" s="341" t="s">
        <v>711</v>
      </c>
      <c r="E43" s="341" t="s">
        <v>712</v>
      </c>
      <c r="F43" s="341" t="s">
        <v>713</v>
      </c>
      <c r="G43" s="341" t="s">
        <v>714</v>
      </c>
      <c r="H43" s="341" t="s">
        <v>715</v>
      </c>
      <c r="I43" s="341" t="s">
        <v>80</v>
      </c>
      <c r="J43" s="341" t="s">
        <v>569</v>
      </c>
      <c r="K43" s="341" t="s">
        <v>711</v>
      </c>
      <c r="L43" s="341" t="s">
        <v>712</v>
      </c>
      <c r="M43" s="341" t="s">
        <v>713</v>
      </c>
      <c r="N43" s="341" t="s">
        <v>714</v>
      </c>
      <c r="O43" s="341" t="s">
        <v>715</v>
      </c>
      <c r="P43" s="341" t="s">
        <v>80</v>
      </c>
      <c r="Q43" s="341" t="s">
        <v>569</v>
      </c>
      <c r="R43" s="341" t="s">
        <v>711</v>
      </c>
      <c r="S43" s="341" t="s">
        <v>712</v>
      </c>
      <c r="T43" s="341" t="s">
        <v>713</v>
      </c>
      <c r="U43" s="341" t="s">
        <v>714</v>
      </c>
      <c r="V43" s="341" t="s">
        <v>715</v>
      </c>
    </row>
    <row r="44" spans="2:24" ht="27" thickBot="1" x14ac:dyDescent="0.45">
      <c r="B44" s="346">
        <f>$B$1</f>
        <v>46093</v>
      </c>
      <c r="C44" s="343">
        <f>IF(H44=0, 0, IFERROR(VLOOKUP($B44,BD!$B$4:$BO$389,37,FALSE), 0))</f>
        <v>38.538011695906427</v>
      </c>
      <c r="D44" s="344">
        <f>IF(H44=0,0,9)</f>
        <v>9</v>
      </c>
      <c r="E44" s="344">
        <f>IFERROR(VLOOKUP($B44,BD!$B$4:$BO$389,38,FALSE), NA())</f>
        <v>19</v>
      </c>
      <c r="F44" s="344">
        <f>IFERROR(VLOOKUP($B44,BD!$B$4:$BO$389,39,FALSE), NA())</f>
        <v>3681884</v>
      </c>
      <c r="G44" s="344">
        <f>IFERROR(VLOOKUP($B44,BD!$B$4:$BO$400,40,FALSE), NA())</f>
        <v>3684520</v>
      </c>
      <c r="H44" s="345">
        <f>IFERROR(VLOOKUP($B44,BD!$B$4:$BO$389,41,FALSE), NA())</f>
        <v>2636</v>
      </c>
      <c r="I44" s="346">
        <f>$B$1</f>
        <v>46093</v>
      </c>
      <c r="J44" s="343">
        <f>IF(O44=0, 0, IFERROR(VLOOKUP($I44,BD!$B$4:$BO$389,17,FALSE), 0))</f>
        <v>28.576388888888889</v>
      </c>
      <c r="K44" s="344"/>
      <c r="L44" s="344">
        <f>IFERROR(VLOOKUP($I44,BD!$B$4:$BO$389,18,FALSE), NA())</f>
        <v>16</v>
      </c>
      <c r="M44" s="344">
        <f>IFERROR(VLOOKUP($I44,BD!$B$4:$BO$389,19,FALSE), NA())</f>
        <v>328406</v>
      </c>
      <c r="N44" s="344">
        <f>IFERROR(VLOOKUP($I44,BD!$B$4:$BO$400,20,FALSE), NA())</f>
        <v>330052</v>
      </c>
      <c r="O44" s="345">
        <f>IFERROR(VLOOKUP($I44,BD!$B$4:$BO$389,21,FALSE), NA())</f>
        <v>1646</v>
      </c>
      <c r="P44" s="346">
        <f>$B$1</f>
        <v>46093</v>
      </c>
      <c r="Q44" s="343">
        <f>IF(V44=0, 0, IFERROR(VLOOKUP($P44,BD!$B$4:$BO$389,47,FALSE), 0))</f>
        <v>11.645299145299145</v>
      </c>
      <c r="R44" s="344">
        <f>IF(V44=0,0,12.7)</f>
        <v>12.7</v>
      </c>
      <c r="S44" s="344">
        <f>IFERROR(VLOOKUP($P44,BD!$B$4:$BO$389,48,FALSE), NA())</f>
        <v>13</v>
      </c>
      <c r="T44" s="344">
        <f>IFERROR(VLOOKUP($P44,BD!$B$4:$BO$389,49,FALSE), NA())</f>
        <v>606963</v>
      </c>
      <c r="U44" s="344">
        <f>IFERROR(VLOOKUP($P44,BD!$B$4:$BO$400,50,FALSE), NA())</f>
        <v>607508</v>
      </c>
      <c r="V44" s="345">
        <f>IFERROR(VLOOKUP($P44,BD!$B$4:$BO$389,51,FALSE), NA())</f>
        <v>545</v>
      </c>
      <c r="X44" s="362">
        <f>H39+O39+V39+H77+O77+V77+H115+O115+V115</f>
        <v>1368522.0990279361</v>
      </c>
    </row>
    <row r="45" spans="2:24" ht="24" thickBot="1" x14ac:dyDescent="0.3">
      <c r="B45" s="346">
        <f t="shared" ref="B45:B74" si="3">IF(ROW(B45)-ROW($B$44)+1 &lt;= DAY(EOMONTH($B$1,0)), B44+1, "")</f>
        <v>46094</v>
      </c>
      <c r="C45" s="343">
        <f>IF(H45=0, 0, IFERROR(VLOOKUP($B45,BD!$B$4:$BO$389,37,FALSE), 0))</f>
        <v>38.93518518518519</v>
      </c>
      <c r="D45" s="344">
        <f t="shared" ref="D45:D74" si="4">IF(H45=0,0,9)</f>
        <v>9</v>
      </c>
      <c r="E45" s="344">
        <f>IFERROR(VLOOKUP($B45,BD!$B$4:$BO$389,38,FALSE), NA())</f>
        <v>18</v>
      </c>
      <c r="F45" s="344">
        <f>IFERROR(VLOOKUP($B45,BD!$B$4:$BO$389,39,FALSE), NA())</f>
        <v>3684520</v>
      </c>
      <c r="G45" s="344">
        <f>IFERROR(VLOOKUP($B45,BD!$B$4:$BO$400,40,FALSE), NA())</f>
        <v>3687043</v>
      </c>
      <c r="H45" s="345">
        <f>IFERROR(VLOOKUP($B45,BD!$B$4:$BO$389,41,FALSE), NA())</f>
        <v>2523</v>
      </c>
      <c r="I45" s="346">
        <f t="shared" ref="I45:I74" si="5">IF(ROW(I45)-ROW($I$44)+1 &lt;= DAY(EOMONTH($B$1,0)), I44+1, "")</f>
        <v>46094</v>
      </c>
      <c r="J45" s="343">
        <f>IF(O45=0, 0, IFERROR(VLOOKUP($I45,BD!$B$4:$BO$389,17,FALSE), 0))</f>
        <v>27.901234567901234</v>
      </c>
      <c r="K45" s="344"/>
      <c r="L45" s="344">
        <f>IFERROR(VLOOKUP($I45,BD!$B$4:$BO$389,18,FALSE), NA())</f>
        <v>18</v>
      </c>
      <c r="M45" s="344">
        <f>IFERROR(VLOOKUP($I45,BD!$B$4:$BO$389,19,FALSE), NA())</f>
        <v>330052</v>
      </c>
      <c r="N45" s="344">
        <f>IFERROR(VLOOKUP($I45,BD!$B$4:$BO$400,20,FALSE), NA())</f>
        <v>331860</v>
      </c>
      <c r="O45" s="345">
        <f>IFERROR(VLOOKUP($I45,BD!$B$4:$BO$389,21,FALSE), NA())</f>
        <v>1808</v>
      </c>
      <c r="P45" s="346">
        <f t="shared" ref="P45:P74" si="6">IF(ROW(P45)-ROW($P$44)+1 &lt;= DAY(EOMONTH($B$1,0)), P44+1, "")</f>
        <v>46094</v>
      </c>
      <c r="Q45" s="343">
        <f>IF(V45=0, 0, IFERROR(VLOOKUP($P45,BD!$B$4:$BO$389,47,FALSE), 0))</f>
        <v>11.65032679738562</v>
      </c>
      <c r="R45" s="344">
        <f t="shared" ref="R45:R74" si="7">IF(V45=0,0,12.7)</f>
        <v>12.7</v>
      </c>
      <c r="S45" s="344">
        <f>IFERROR(VLOOKUP($P45,BD!$B$4:$BO$389,48,FALSE), NA())</f>
        <v>17</v>
      </c>
      <c r="T45" s="344">
        <f>IFERROR(VLOOKUP($P45,BD!$B$4:$BO$389,49,FALSE), NA())</f>
        <v>607508</v>
      </c>
      <c r="U45" s="344">
        <f>IFERROR(VLOOKUP($P45,BD!$B$4:$BO$400,50,FALSE), NA())</f>
        <v>608221</v>
      </c>
      <c r="V45" s="345">
        <f>IFERROR(VLOOKUP($P45,BD!$B$4:$BO$389,51,FALSE), NA())</f>
        <v>713</v>
      </c>
    </row>
    <row r="46" spans="2:24" ht="24" thickBot="1" x14ac:dyDescent="0.3">
      <c r="B46" s="346">
        <f t="shared" si="3"/>
        <v>46095</v>
      </c>
      <c r="C46" s="343">
        <f>IF(H46=0, 0, IFERROR(VLOOKUP($B46,BD!$B$4:$BO$389,37,FALSE), 0))</f>
        <v>39.444444444444443</v>
      </c>
      <c r="D46" s="344">
        <f t="shared" si="4"/>
        <v>9</v>
      </c>
      <c r="E46" s="344">
        <f>IFERROR(VLOOKUP($B46,BD!$B$4:$BO$389,38,FALSE), NA())</f>
        <v>18</v>
      </c>
      <c r="F46" s="344">
        <f>IFERROR(VLOOKUP($B46,BD!$B$4:$BO$389,39,FALSE), NA())</f>
        <v>3687043</v>
      </c>
      <c r="G46" s="344">
        <f>IFERROR(VLOOKUP($B46,BD!$B$4:$BO$400,40,FALSE), NA())</f>
        <v>3689599</v>
      </c>
      <c r="H46" s="345">
        <f>IFERROR(VLOOKUP($B46,BD!$B$4:$BO$389,41,FALSE), NA())</f>
        <v>2556</v>
      </c>
      <c r="I46" s="346">
        <f t="shared" si="5"/>
        <v>46095</v>
      </c>
      <c r="J46" s="343">
        <f>IF(O46=0, 0, IFERROR(VLOOKUP($I46,BD!$B$4:$BO$389,17,FALSE), 0))</f>
        <v>28.76543209876543</v>
      </c>
      <c r="K46" s="344"/>
      <c r="L46" s="344">
        <f>IFERROR(VLOOKUP($I46,BD!$B$4:$BO$389,18,FALSE), NA())</f>
        <v>18</v>
      </c>
      <c r="M46" s="344">
        <f>IFERROR(VLOOKUP($I46,BD!$B$4:$BO$389,19,FALSE), NA())</f>
        <v>331860</v>
      </c>
      <c r="N46" s="344">
        <f>IFERROR(VLOOKUP($I46,BD!$B$4:$BO$400,20,FALSE), NA())</f>
        <v>333724</v>
      </c>
      <c r="O46" s="345">
        <f>IFERROR(VLOOKUP($I46,BD!$B$4:$BO$389,21,FALSE), NA())</f>
        <v>1864</v>
      </c>
      <c r="P46" s="346">
        <f t="shared" si="6"/>
        <v>46095</v>
      </c>
      <c r="Q46" s="343">
        <f>IF(V46=0, 0, IFERROR(VLOOKUP($P46,BD!$B$4:$BO$389,47,FALSE), 0))</f>
        <v>11.284722222222221</v>
      </c>
      <c r="R46" s="344">
        <f t="shared" si="7"/>
        <v>12.7</v>
      </c>
      <c r="S46" s="344">
        <f>IFERROR(VLOOKUP($P46,BD!$B$4:$BO$389,48,FALSE), NA())</f>
        <v>16</v>
      </c>
      <c r="T46" s="344">
        <f>IFERROR(VLOOKUP($P46,BD!$B$4:$BO$389,49,FALSE), NA())</f>
        <v>608221</v>
      </c>
      <c r="U46" s="344">
        <f>IFERROR(VLOOKUP($P46,BD!$B$4:$BO$400,50,FALSE), NA())</f>
        <v>608871</v>
      </c>
      <c r="V46" s="345">
        <f>IFERROR(VLOOKUP($P46,BD!$B$4:$BO$389,51,FALSE), NA())</f>
        <v>650</v>
      </c>
    </row>
    <row r="47" spans="2:24" ht="24" thickBot="1" x14ac:dyDescent="0.3">
      <c r="B47" s="346">
        <f t="shared" si="3"/>
        <v>46096</v>
      </c>
      <c r="C47" s="343">
        <f>IF(H47=0, 0, IFERROR(VLOOKUP($B47,BD!$B$4:$BO$389,37,FALSE), 0))</f>
        <v>39.336419753086417</v>
      </c>
      <c r="D47" s="344">
        <f t="shared" si="4"/>
        <v>9</v>
      </c>
      <c r="E47" s="344">
        <f>IFERROR(VLOOKUP($B47,BD!$B$4:$BO$389,38,FALSE), NA())</f>
        <v>18</v>
      </c>
      <c r="F47" s="344">
        <f>IFERROR(VLOOKUP($B47,BD!$B$4:$BO$389,39,FALSE), NA())</f>
        <v>3689599</v>
      </c>
      <c r="G47" s="344">
        <f>IFERROR(VLOOKUP($B47,BD!$B$4:$BO$400,40,FALSE), NA())</f>
        <v>3692148</v>
      </c>
      <c r="H47" s="345">
        <f>IFERROR(VLOOKUP($B47,BD!$B$4:$BO$389,41,FALSE), NA())</f>
        <v>2549</v>
      </c>
      <c r="I47" s="346">
        <f t="shared" si="5"/>
        <v>46096</v>
      </c>
      <c r="J47" s="343">
        <f>IF(O47=0, 0, IFERROR(VLOOKUP($I47,BD!$B$4:$BO$389,17,FALSE), 0))</f>
        <v>27.299382716049379</v>
      </c>
      <c r="K47" s="344"/>
      <c r="L47" s="344">
        <f>IFERROR(VLOOKUP($I47,BD!$B$4:$BO$389,18,FALSE), NA())</f>
        <v>18</v>
      </c>
      <c r="M47" s="344">
        <f>IFERROR(VLOOKUP($I47,BD!$B$4:$BO$389,19,FALSE), NA())</f>
        <v>333724</v>
      </c>
      <c r="N47" s="344">
        <f>IFERROR(VLOOKUP($I47,BD!$B$4:$BO$400,20,FALSE), NA())</f>
        <v>335493</v>
      </c>
      <c r="O47" s="345">
        <f>IFERROR(VLOOKUP($I47,BD!$B$4:$BO$389,21,FALSE), NA())</f>
        <v>1769</v>
      </c>
      <c r="P47" s="346">
        <f t="shared" si="6"/>
        <v>46096</v>
      </c>
      <c r="Q47" s="343">
        <f>IF(V47=0, 0, IFERROR(VLOOKUP($P47,BD!$B$4:$BO$389,47,FALSE), 0))</f>
        <v>11.059027777777777</v>
      </c>
      <c r="R47" s="344">
        <f t="shared" si="7"/>
        <v>12.7</v>
      </c>
      <c r="S47" s="344">
        <f>IFERROR(VLOOKUP($P47,BD!$B$4:$BO$389,48,FALSE), NA())</f>
        <v>16</v>
      </c>
      <c r="T47" s="344">
        <f>IFERROR(VLOOKUP($P47,BD!$B$4:$BO$389,49,FALSE), NA())</f>
        <v>608871</v>
      </c>
      <c r="U47" s="344">
        <f>IFERROR(VLOOKUP($P47,BD!$B$4:$BO$400,50,FALSE), NA())</f>
        <v>609508</v>
      </c>
      <c r="V47" s="345">
        <f>IFERROR(VLOOKUP($P47,BD!$B$4:$BO$389,51,FALSE), NA())</f>
        <v>637</v>
      </c>
    </row>
    <row r="48" spans="2:24" ht="24" thickBot="1" x14ac:dyDescent="0.3">
      <c r="B48" s="346">
        <f t="shared" si="3"/>
        <v>46097</v>
      </c>
      <c r="C48" s="343">
        <f>IF(H48=0, 0, IFERROR(VLOOKUP($B48,BD!$B$4:$BO$389,37,FALSE), 0))</f>
        <v>38.117283950617285</v>
      </c>
      <c r="D48" s="344">
        <f t="shared" si="4"/>
        <v>9</v>
      </c>
      <c r="E48" s="344">
        <f>IFERROR(VLOOKUP($B48,BD!$B$4:$BO$389,38,FALSE), NA())</f>
        <v>18</v>
      </c>
      <c r="F48" s="344">
        <f>IFERROR(VLOOKUP($B48,BD!$B$4:$BO$389,39,FALSE), NA())</f>
        <v>3692148</v>
      </c>
      <c r="G48" s="344">
        <f>IFERROR(VLOOKUP($B48,BD!$B$4:$BO$400,40,FALSE), NA())</f>
        <v>3694618</v>
      </c>
      <c r="H48" s="345">
        <f>IFERROR(VLOOKUP($B48,BD!$B$4:$BO$389,41,FALSE), NA())</f>
        <v>2470</v>
      </c>
      <c r="I48" s="346">
        <f t="shared" si="5"/>
        <v>46097</v>
      </c>
      <c r="J48" s="343">
        <f>IF(O48=0, 0, IFERROR(VLOOKUP($I48,BD!$B$4:$BO$389,17,FALSE), 0))</f>
        <v>29.083333333333332</v>
      </c>
      <c r="K48" s="344"/>
      <c r="L48" s="344">
        <f>IFERROR(VLOOKUP($I48,BD!$B$4:$BO$389,18,FALSE), NA())</f>
        <v>20</v>
      </c>
      <c r="M48" s="344">
        <f>IFERROR(VLOOKUP($I48,BD!$B$4:$BO$389,19,FALSE), NA())</f>
        <v>335493</v>
      </c>
      <c r="N48" s="344">
        <f>IFERROR(VLOOKUP($I48,BD!$B$4:$BO$400,20,FALSE), NA())</f>
        <v>337587</v>
      </c>
      <c r="O48" s="345">
        <f>IFERROR(VLOOKUP($I48,BD!$B$4:$BO$389,21,FALSE), NA())</f>
        <v>2094</v>
      </c>
      <c r="P48" s="346">
        <f t="shared" si="6"/>
        <v>46097</v>
      </c>
      <c r="Q48" s="343">
        <f>IF(V48=0, 0, IFERROR(VLOOKUP($P48,BD!$B$4:$BO$389,47,FALSE), 0))</f>
        <v>11.40625</v>
      </c>
      <c r="R48" s="344">
        <f t="shared" si="7"/>
        <v>12.7</v>
      </c>
      <c r="S48" s="344">
        <f>IFERROR(VLOOKUP($P48,BD!$B$4:$BO$389,48,FALSE), NA())</f>
        <v>16</v>
      </c>
      <c r="T48" s="344">
        <f>IFERROR(VLOOKUP($P48,BD!$B$4:$BO$389,49,FALSE), NA())</f>
        <v>609508</v>
      </c>
      <c r="U48" s="344">
        <f>IFERROR(VLOOKUP($P48,BD!$B$4:$BO$400,50,FALSE), NA())</f>
        <v>610165</v>
      </c>
      <c r="V48" s="345">
        <f>IFERROR(VLOOKUP($P48,BD!$B$4:$BO$389,51,FALSE), NA())</f>
        <v>657</v>
      </c>
    </row>
    <row r="49" spans="2:22" ht="24" thickBot="1" x14ac:dyDescent="0.3">
      <c r="B49" s="346">
        <f t="shared" si="3"/>
        <v>46098</v>
      </c>
      <c r="C49" s="343">
        <f>IF(H49=0, 0, IFERROR(VLOOKUP($B49,BD!$B$4:$BO$389,37,FALSE), 0))</f>
        <v>39.675925925925924</v>
      </c>
      <c r="D49" s="344">
        <f t="shared" si="4"/>
        <v>9</v>
      </c>
      <c r="E49" s="344">
        <f>IFERROR(VLOOKUP($B49,BD!$B$4:$BO$389,38,FALSE), NA())</f>
        <v>18</v>
      </c>
      <c r="F49" s="344">
        <f>IFERROR(VLOOKUP($B49,BD!$B$4:$BO$389,39,FALSE), NA())</f>
        <v>3694618</v>
      </c>
      <c r="G49" s="344">
        <f>IFERROR(VLOOKUP($B49,BD!$B$4:$BO$400,40,FALSE), NA())</f>
        <v>3697189</v>
      </c>
      <c r="H49" s="345">
        <f>IFERROR(VLOOKUP($B49,BD!$B$4:$BO$389,41,FALSE), NA())</f>
        <v>2571</v>
      </c>
      <c r="I49" s="346">
        <f t="shared" si="5"/>
        <v>46098</v>
      </c>
      <c r="J49" s="343">
        <f>IF(O49=0, 0, IFERROR(VLOOKUP($I49,BD!$B$4:$BO$389,17,FALSE), 0))</f>
        <v>28.888888888888889</v>
      </c>
      <c r="K49" s="344"/>
      <c r="L49" s="344">
        <f>IFERROR(VLOOKUP($I49,BD!$B$4:$BO$389,18,FALSE), NA())</f>
        <v>19</v>
      </c>
      <c r="M49" s="344">
        <f>IFERROR(VLOOKUP($I49,BD!$B$4:$BO$389,19,FALSE), NA())</f>
        <v>337587</v>
      </c>
      <c r="N49" s="344">
        <f>IFERROR(VLOOKUP($I49,BD!$B$4:$BO$400,20,FALSE), NA())</f>
        <v>339563</v>
      </c>
      <c r="O49" s="345">
        <f>IFERROR(VLOOKUP($I49,BD!$B$4:$BO$389,21,FALSE), NA())</f>
        <v>1976</v>
      </c>
      <c r="P49" s="346">
        <f t="shared" si="6"/>
        <v>46098</v>
      </c>
      <c r="Q49" s="343">
        <f>IF(V49=0, 0, IFERROR(VLOOKUP($P49,BD!$B$4:$BO$389,47,FALSE), 0))</f>
        <v>11.024305555555555</v>
      </c>
      <c r="R49" s="344">
        <f t="shared" si="7"/>
        <v>12.7</v>
      </c>
      <c r="S49" s="344">
        <f>IFERROR(VLOOKUP($P49,BD!$B$4:$BO$389,48,FALSE), NA())</f>
        <v>16</v>
      </c>
      <c r="T49" s="344">
        <f>IFERROR(VLOOKUP($P49,BD!$B$4:$BO$389,49,FALSE), NA())</f>
        <v>610165</v>
      </c>
      <c r="U49" s="344">
        <f>IFERROR(VLOOKUP($P49,BD!$B$4:$BO$400,50,FALSE), NA())</f>
        <v>610800</v>
      </c>
      <c r="V49" s="345">
        <f>IFERROR(VLOOKUP($P49,BD!$B$4:$BO$389,51,FALSE), NA())</f>
        <v>635</v>
      </c>
    </row>
    <row r="50" spans="2:22" ht="24" thickBot="1" x14ac:dyDescent="0.3">
      <c r="B50" s="346">
        <f t="shared" si="3"/>
        <v>46099</v>
      </c>
      <c r="C50" s="343">
        <f>IF(H50=0, 0, IFERROR(VLOOKUP($B50,BD!$B$4:$BO$389,37,FALSE), 0))</f>
        <v>39.058641975308639</v>
      </c>
      <c r="D50" s="344">
        <f t="shared" si="4"/>
        <v>9</v>
      </c>
      <c r="E50" s="344">
        <f>IFERROR(VLOOKUP($B50,BD!$B$4:$BO$389,38,FALSE), NA())</f>
        <v>18</v>
      </c>
      <c r="F50" s="344">
        <f>IFERROR(VLOOKUP($B50,BD!$B$4:$BO$389,39,FALSE), NA())</f>
        <v>3697189</v>
      </c>
      <c r="G50" s="344">
        <f>IFERROR(VLOOKUP($B50,BD!$B$4:$BO$400,40,FALSE), NA())</f>
        <v>3699720</v>
      </c>
      <c r="H50" s="345">
        <f>IFERROR(VLOOKUP($B50,BD!$B$4:$BO$389,41,FALSE), NA())</f>
        <v>2531</v>
      </c>
      <c r="I50" s="346">
        <f t="shared" si="5"/>
        <v>46099</v>
      </c>
      <c r="J50" s="343">
        <f>IF(O50=0, 0, IFERROR(VLOOKUP($I50,BD!$B$4:$BO$389,17,FALSE), 0))</f>
        <v>28.53801169590643</v>
      </c>
      <c r="K50" s="344"/>
      <c r="L50" s="344">
        <f>IFERROR(VLOOKUP($I50,BD!$B$4:$BO$389,18,FALSE), NA())</f>
        <v>19</v>
      </c>
      <c r="M50" s="344">
        <f>IFERROR(VLOOKUP($I50,BD!$B$4:$BO$389,19,FALSE), NA())</f>
        <v>339563</v>
      </c>
      <c r="N50" s="344">
        <f>IFERROR(VLOOKUP($I50,BD!$B$4:$BO$400,20,FALSE), NA())</f>
        <v>341515</v>
      </c>
      <c r="O50" s="345">
        <f>IFERROR(VLOOKUP($I50,BD!$B$4:$BO$389,21,FALSE), NA())</f>
        <v>1952</v>
      </c>
      <c r="P50" s="346">
        <f t="shared" si="6"/>
        <v>46099</v>
      </c>
      <c r="Q50" s="343">
        <f>IF(V50=0, 0, IFERROR(VLOOKUP($P50,BD!$B$4:$BO$389,47,FALSE), 0))</f>
        <v>11.611111111111111</v>
      </c>
      <c r="R50" s="344">
        <f t="shared" si="7"/>
        <v>12.7</v>
      </c>
      <c r="S50" s="344">
        <f>IFERROR(VLOOKUP($P50,BD!$B$4:$BO$389,48,FALSE), NA())</f>
        <v>15</v>
      </c>
      <c r="T50" s="344">
        <f>IFERROR(VLOOKUP($P50,BD!$B$4:$BO$389,49,FALSE), NA())</f>
        <v>610800</v>
      </c>
      <c r="U50" s="344">
        <f>IFERROR(VLOOKUP($P50,BD!$B$4:$BO$400,50,FALSE), NA())</f>
        <v>611427</v>
      </c>
      <c r="V50" s="345">
        <f>IFERROR(VLOOKUP($P50,BD!$B$4:$BO$389,51,FALSE), NA())</f>
        <v>627</v>
      </c>
    </row>
    <row r="51" spans="2:22" ht="24" thickBot="1" x14ac:dyDescent="0.3">
      <c r="B51" s="346">
        <f t="shared" si="3"/>
        <v>46100</v>
      </c>
      <c r="C51" s="343">
        <f>IF(H51=0, 0, IFERROR(VLOOKUP($B51,BD!$B$4:$BO$389,37,FALSE), 0))</f>
        <v>39.567901234567898</v>
      </c>
      <c r="D51" s="344">
        <f t="shared" si="4"/>
        <v>9</v>
      </c>
      <c r="E51" s="344">
        <f>IFERROR(VLOOKUP($B51,BD!$B$4:$BO$389,38,FALSE), NA())</f>
        <v>18</v>
      </c>
      <c r="F51" s="344">
        <f>IFERROR(VLOOKUP($B51,BD!$B$4:$BO$389,39,FALSE), NA())</f>
        <v>3699720</v>
      </c>
      <c r="G51" s="344">
        <f>IFERROR(VLOOKUP($B51,BD!$B$4:$BO$400,40,FALSE), NA())</f>
        <v>3702284</v>
      </c>
      <c r="H51" s="345">
        <f>IFERROR(VLOOKUP($B51,BD!$B$4:$BO$389,41,FALSE), NA())</f>
        <v>2564</v>
      </c>
      <c r="I51" s="346">
        <f t="shared" si="5"/>
        <v>46100</v>
      </c>
      <c r="J51" s="343">
        <f>IF(O51=0, 0, IFERROR(VLOOKUP($I51,BD!$B$4:$BO$389,17,FALSE), 0))</f>
        <v>29.361111111111107</v>
      </c>
      <c r="K51" s="344"/>
      <c r="L51" s="344">
        <f>IFERROR(VLOOKUP($I51,BD!$B$4:$BO$389,18,FALSE), NA())</f>
        <v>20</v>
      </c>
      <c r="M51" s="344">
        <f>IFERROR(VLOOKUP($I51,BD!$B$4:$BO$389,19,FALSE), NA())</f>
        <v>341515</v>
      </c>
      <c r="N51" s="344">
        <f>IFERROR(VLOOKUP($I51,BD!$B$4:$BO$400,20,FALSE), NA())</f>
        <v>343629</v>
      </c>
      <c r="O51" s="345">
        <f>IFERROR(VLOOKUP($I51,BD!$B$4:$BO$389,21,FALSE), NA())</f>
        <v>2114</v>
      </c>
      <c r="P51" s="346">
        <f t="shared" si="6"/>
        <v>46100</v>
      </c>
      <c r="Q51" s="343">
        <f>IF(V51=0, 0, IFERROR(VLOOKUP($P51,BD!$B$4:$BO$389,47,FALSE), 0))</f>
        <v>11.431623931623932</v>
      </c>
      <c r="R51" s="344">
        <f t="shared" si="7"/>
        <v>12.7</v>
      </c>
      <c r="S51" s="344">
        <f>IFERROR(VLOOKUP($P51,BD!$B$4:$BO$389,48,FALSE), NA())</f>
        <v>13</v>
      </c>
      <c r="T51" s="344">
        <f>IFERROR(VLOOKUP($P51,BD!$B$4:$BO$389,49,FALSE), NA())</f>
        <v>611427</v>
      </c>
      <c r="U51" s="344">
        <f>IFERROR(VLOOKUP($P51,BD!$B$4:$BO$400,50,FALSE), NA())</f>
        <v>611962</v>
      </c>
      <c r="V51" s="345">
        <f>IFERROR(VLOOKUP($P51,BD!$B$4:$BO$389,51,FALSE), NA())</f>
        <v>535</v>
      </c>
    </row>
    <row r="52" spans="2:22" ht="24" thickBot="1" x14ac:dyDescent="0.3">
      <c r="B52" s="346">
        <f t="shared" si="3"/>
        <v>46101</v>
      </c>
      <c r="C52" s="343">
        <f>IF(H52=0, 0, IFERROR(VLOOKUP($B52,BD!$B$4:$BO$389,37,FALSE), 0))</f>
        <v>37.938596491228076</v>
      </c>
      <c r="D52" s="344">
        <f t="shared" si="4"/>
        <v>9</v>
      </c>
      <c r="E52" s="344">
        <f>IFERROR(VLOOKUP($B52,BD!$B$4:$BO$389,38,FALSE), NA())</f>
        <v>19</v>
      </c>
      <c r="F52" s="344">
        <f>IFERROR(VLOOKUP($B52,BD!$B$4:$BO$389,39,FALSE), NA())</f>
        <v>3702284</v>
      </c>
      <c r="G52" s="344">
        <f>IFERROR(VLOOKUP($B52,BD!$B$4:$BO$400,40,FALSE), NA())</f>
        <v>3704879</v>
      </c>
      <c r="H52" s="345">
        <f>IFERROR(VLOOKUP($B52,BD!$B$4:$BO$389,41,FALSE), NA())</f>
        <v>2595</v>
      </c>
      <c r="I52" s="346">
        <f t="shared" si="5"/>
        <v>46101</v>
      </c>
      <c r="J52" s="343">
        <f>IF(O52=0, 0, IFERROR(VLOOKUP($I52,BD!$B$4:$BO$389,17,FALSE), 0))</f>
        <v>28.919753086419753</v>
      </c>
      <c r="K52" s="344"/>
      <c r="L52" s="344">
        <f>IFERROR(VLOOKUP($I52,BD!$B$4:$BO$389,18,FALSE), NA())</f>
        <v>18</v>
      </c>
      <c r="M52" s="344">
        <f>IFERROR(VLOOKUP($I52,BD!$B$4:$BO$389,19,FALSE), NA())</f>
        <v>343629</v>
      </c>
      <c r="N52" s="344">
        <f>IFERROR(VLOOKUP($I52,BD!$B$4:$BO$400,20,FALSE), NA())</f>
        <v>345503</v>
      </c>
      <c r="O52" s="345">
        <f>IFERROR(VLOOKUP($I52,BD!$B$4:$BO$389,21,FALSE), NA())</f>
        <v>1874</v>
      </c>
      <c r="P52" s="346">
        <f t="shared" si="6"/>
        <v>46101</v>
      </c>
      <c r="Q52" s="343">
        <f>IF(V52=0, 0, IFERROR(VLOOKUP($P52,BD!$B$4:$BO$389,47,FALSE), 0))</f>
        <v>11.74074074074074</v>
      </c>
      <c r="R52" s="344">
        <f t="shared" si="7"/>
        <v>12.7</v>
      </c>
      <c r="S52" s="344">
        <f>IFERROR(VLOOKUP($P52,BD!$B$4:$BO$389,48,FALSE), NA())</f>
        <v>15</v>
      </c>
      <c r="T52" s="344">
        <f>IFERROR(VLOOKUP($P52,BD!$B$4:$BO$389,49,FALSE), NA())</f>
        <v>611962</v>
      </c>
      <c r="U52" s="344">
        <f>IFERROR(VLOOKUP($P52,BD!$B$4:$BO$400,50,FALSE), NA())</f>
        <v>612596</v>
      </c>
      <c r="V52" s="345">
        <f>IFERROR(VLOOKUP($P52,BD!$B$4:$BO$389,51,FALSE), NA())</f>
        <v>634</v>
      </c>
    </row>
    <row r="53" spans="2:22" ht="24" thickBot="1" x14ac:dyDescent="0.3">
      <c r="B53" s="346">
        <f t="shared" si="3"/>
        <v>46102</v>
      </c>
      <c r="C53" s="343">
        <f>IF(H53=0, 0, IFERROR(VLOOKUP($B53,BD!$B$4:$BO$389,37,FALSE), 0))</f>
        <v>38.245614035087719</v>
      </c>
      <c r="D53" s="344">
        <f t="shared" si="4"/>
        <v>9</v>
      </c>
      <c r="E53" s="344">
        <f>IFERROR(VLOOKUP($B53,BD!$B$4:$BO$389,38,FALSE), NA())</f>
        <v>19</v>
      </c>
      <c r="F53" s="344">
        <f>IFERROR(VLOOKUP($B53,BD!$B$4:$BO$389,39,FALSE), NA())</f>
        <v>3704879</v>
      </c>
      <c r="G53" s="344">
        <f>IFERROR(VLOOKUP($B53,BD!$B$4:$BO$400,40,FALSE), NA())</f>
        <v>3707495</v>
      </c>
      <c r="H53" s="345">
        <f>IFERROR(VLOOKUP($B53,BD!$B$4:$BO$389,41,FALSE), NA())</f>
        <v>2616</v>
      </c>
      <c r="I53" s="346">
        <f t="shared" si="5"/>
        <v>46102</v>
      </c>
      <c r="J53" s="343">
        <f>IF(O53=0, 0, IFERROR(VLOOKUP($I53,BD!$B$4:$BO$389,17,FALSE), 0))</f>
        <v>29.475308641975307</v>
      </c>
      <c r="K53" s="344"/>
      <c r="L53" s="344">
        <f>IFERROR(VLOOKUP($I53,BD!$B$4:$BO$389,18,FALSE), NA())</f>
        <v>18</v>
      </c>
      <c r="M53" s="344">
        <f>IFERROR(VLOOKUP($I53,BD!$B$4:$BO$389,19,FALSE), NA())</f>
        <v>345503</v>
      </c>
      <c r="N53" s="344">
        <f>IFERROR(VLOOKUP($I53,BD!$B$4:$BO$400,20,FALSE), NA())</f>
        <v>347413</v>
      </c>
      <c r="O53" s="345">
        <f>IFERROR(VLOOKUP($I53,BD!$B$4:$BO$389,21,FALSE), NA())</f>
        <v>1910</v>
      </c>
      <c r="P53" s="346">
        <f t="shared" si="6"/>
        <v>46102</v>
      </c>
      <c r="Q53" s="343">
        <f>IF(V53=0, 0, IFERROR(VLOOKUP($P53,BD!$B$4:$BO$389,47,FALSE), 0))</f>
        <v>11.458333333333334</v>
      </c>
      <c r="R53" s="344">
        <f t="shared" si="7"/>
        <v>12.7</v>
      </c>
      <c r="S53" s="344">
        <f>IFERROR(VLOOKUP($P53,BD!$B$4:$BO$389,48,FALSE), NA())</f>
        <v>16</v>
      </c>
      <c r="T53" s="344">
        <f>IFERROR(VLOOKUP($P53,BD!$B$4:$BO$389,49,FALSE), NA())</f>
        <v>612596</v>
      </c>
      <c r="U53" s="344">
        <f>IFERROR(VLOOKUP($P53,BD!$B$4:$BO$400,50,FALSE), NA())</f>
        <v>613256</v>
      </c>
      <c r="V53" s="345">
        <f>IFERROR(VLOOKUP($P53,BD!$B$4:$BO$389,51,FALSE), NA())</f>
        <v>660</v>
      </c>
    </row>
    <row r="54" spans="2:22" ht="24" thickBot="1" x14ac:dyDescent="0.3">
      <c r="B54" s="346">
        <f t="shared" si="3"/>
        <v>46103</v>
      </c>
      <c r="C54" s="343">
        <f>IF(H54=0, 0, IFERROR(VLOOKUP($B54,BD!$B$4:$BO$389,37,FALSE), 0))</f>
        <v>38.811728395061728</v>
      </c>
      <c r="D54" s="344">
        <f t="shared" si="4"/>
        <v>9</v>
      </c>
      <c r="E54" s="344">
        <f>IFERROR(VLOOKUP($B54,BD!$B$4:$BO$389,38,FALSE), NA())</f>
        <v>18</v>
      </c>
      <c r="F54" s="344">
        <f>IFERROR(VLOOKUP($B54,BD!$B$4:$BO$389,39,FALSE), NA())</f>
        <v>3707495</v>
      </c>
      <c r="G54" s="344">
        <f>IFERROR(VLOOKUP($B54,BD!$B$4:$BO$400,40,FALSE), NA())</f>
        <v>3710010</v>
      </c>
      <c r="H54" s="345">
        <f>IFERROR(VLOOKUP($B54,BD!$B$4:$BO$389,41,FALSE), NA())</f>
        <v>2515</v>
      </c>
      <c r="I54" s="346">
        <f t="shared" si="5"/>
        <v>46103</v>
      </c>
      <c r="J54" s="343">
        <f>IF(O54=0, 0, IFERROR(VLOOKUP($I54,BD!$B$4:$BO$389,17,FALSE), 0))</f>
        <v>25.055555555555554</v>
      </c>
      <c r="K54" s="344"/>
      <c r="L54" s="344">
        <f>IFERROR(VLOOKUP($I54,BD!$B$4:$BO$389,18,FALSE), NA())</f>
        <v>5</v>
      </c>
      <c r="M54" s="344">
        <f>IFERROR(VLOOKUP($I54,BD!$B$4:$BO$389,19,FALSE), NA())</f>
        <v>347413</v>
      </c>
      <c r="N54" s="344">
        <f>IFERROR(VLOOKUP($I54,BD!$B$4:$BO$400,20,FALSE), NA())</f>
        <v>347864</v>
      </c>
      <c r="O54" s="345">
        <f>IFERROR(VLOOKUP($I54,BD!$B$4:$BO$389,21,FALSE), NA())</f>
        <v>451</v>
      </c>
      <c r="P54" s="346">
        <f t="shared" si="6"/>
        <v>46103</v>
      </c>
      <c r="Q54" s="343">
        <f>IF(V54=0, 0, IFERROR(VLOOKUP($P54,BD!$B$4:$BO$389,47,FALSE), 0))</f>
        <v>11.354166666666666</v>
      </c>
      <c r="R54" s="344">
        <f t="shared" si="7"/>
        <v>12.7</v>
      </c>
      <c r="S54" s="344">
        <f>IFERROR(VLOOKUP($P54,BD!$B$4:$BO$389,48,FALSE), NA())</f>
        <v>16</v>
      </c>
      <c r="T54" s="344">
        <f>IFERROR(VLOOKUP($P54,BD!$B$4:$BO$389,49,FALSE), NA())</f>
        <v>613256</v>
      </c>
      <c r="U54" s="344">
        <f>IFERROR(VLOOKUP($P54,BD!$B$4:$BO$400,50,FALSE), NA())</f>
        <v>613910</v>
      </c>
      <c r="V54" s="345">
        <f>IFERROR(VLOOKUP($P54,BD!$B$4:$BO$389,51,FALSE), NA())</f>
        <v>654</v>
      </c>
    </row>
    <row r="55" spans="2:22" ht="24" thickBot="1" x14ac:dyDescent="0.3">
      <c r="B55" s="346">
        <f t="shared" si="3"/>
        <v>46104</v>
      </c>
      <c r="C55" s="343">
        <f>IF(H55=0, 0, IFERROR(VLOOKUP($B55,BD!$B$4:$BO$389,37,FALSE), 0))</f>
        <v>38.919753086419753</v>
      </c>
      <c r="D55" s="344">
        <f t="shared" si="4"/>
        <v>9</v>
      </c>
      <c r="E55" s="344">
        <f>IFERROR(VLOOKUP($B55,BD!$B$4:$BO$389,38,FALSE), NA())</f>
        <v>18</v>
      </c>
      <c r="F55" s="344">
        <f>IFERROR(VLOOKUP($B55,BD!$B$4:$BO$389,39,FALSE), NA())</f>
        <v>3710010</v>
      </c>
      <c r="G55" s="344">
        <f>IFERROR(VLOOKUP($B55,BD!$B$4:$BO$400,40,FALSE), NA())</f>
        <v>3712532</v>
      </c>
      <c r="H55" s="345">
        <f>IFERROR(VLOOKUP($B55,BD!$B$4:$BO$389,41,FALSE), NA())</f>
        <v>2522</v>
      </c>
      <c r="I55" s="346">
        <f t="shared" si="5"/>
        <v>46104</v>
      </c>
      <c r="J55" s="343">
        <f>IF(O55=0, 0, IFERROR(VLOOKUP($I55,BD!$B$4:$BO$389,17,FALSE), 0))</f>
        <v>27.669753086419753</v>
      </c>
      <c r="K55" s="344"/>
      <c r="L55" s="344">
        <f>IFERROR(VLOOKUP($I55,BD!$B$4:$BO$389,18,FALSE), NA())</f>
        <v>18</v>
      </c>
      <c r="M55" s="344">
        <f>IFERROR(VLOOKUP($I55,BD!$B$4:$BO$389,19,FALSE), NA())</f>
        <v>347864</v>
      </c>
      <c r="N55" s="344">
        <f>IFERROR(VLOOKUP($I55,BD!$B$4:$BO$400,20,FALSE), NA())</f>
        <v>349657</v>
      </c>
      <c r="O55" s="345">
        <f>IFERROR(VLOOKUP($I55,BD!$B$4:$BO$389,21,FALSE), NA())</f>
        <v>1793</v>
      </c>
      <c r="P55" s="346">
        <f t="shared" si="6"/>
        <v>46104</v>
      </c>
      <c r="Q55" s="343">
        <f>IF(V55=0, 0, IFERROR(VLOOKUP($P55,BD!$B$4:$BO$389,47,FALSE), 0))</f>
        <v>11.24074074074074</v>
      </c>
      <c r="R55" s="344">
        <f t="shared" si="7"/>
        <v>12.7</v>
      </c>
      <c r="S55" s="344">
        <f>IFERROR(VLOOKUP($P55,BD!$B$4:$BO$389,48,FALSE), NA())</f>
        <v>15</v>
      </c>
      <c r="T55" s="344">
        <f>IFERROR(VLOOKUP($P55,BD!$B$4:$BO$389,49,FALSE), NA())</f>
        <v>613910</v>
      </c>
      <c r="U55" s="344">
        <f>IFERROR(VLOOKUP($P55,BD!$B$4:$BO$400,50,FALSE), NA())</f>
        <v>614517</v>
      </c>
      <c r="V55" s="345">
        <f>IFERROR(VLOOKUP($P55,BD!$B$4:$BO$389,51,FALSE), NA())</f>
        <v>607</v>
      </c>
    </row>
    <row r="56" spans="2:22" ht="24" thickBot="1" x14ac:dyDescent="0.3">
      <c r="B56" s="346">
        <f t="shared" si="3"/>
        <v>46105</v>
      </c>
      <c r="C56" s="343">
        <f>IF(H56=0, 0, IFERROR(VLOOKUP($B56,BD!$B$4:$BO$389,37,FALSE), 0))</f>
        <v>39.084967320261441</v>
      </c>
      <c r="D56" s="344">
        <f t="shared" si="4"/>
        <v>9</v>
      </c>
      <c r="E56" s="344">
        <f>IFERROR(VLOOKUP($B56,BD!$B$4:$BO$389,38,FALSE), NA())</f>
        <v>17</v>
      </c>
      <c r="F56" s="344">
        <f>IFERROR(VLOOKUP($B56,BD!$B$4:$BO$389,39,FALSE), NA())</f>
        <v>3712532</v>
      </c>
      <c r="G56" s="344">
        <f>IFERROR(VLOOKUP($B56,BD!$B$4:$BO$400,40,FALSE), NA())</f>
        <v>3714924</v>
      </c>
      <c r="H56" s="345">
        <f>IFERROR(VLOOKUP($B56,BD!$B$4:$BO$389,41,FALSE), NA())</f>
        <v>2392</v>
      </c>
      <c r="I56" s="346">
        <f t="shared" si="5"/>
        <v>46105</v>
      </c>
      <c r="J56" s="343">
        <f>IF(O56=0, 0, IFERROR(VLOOKUP($I56,BD!$B$4:$BO$389,17,FALSE), 0))</f>
        <v>28.757309941520468</v>
      </c>
      <c r="K56" s="344"/>
      <c r="L56" s="344">
        <f>IFERROR(VLOOKUP($I56,BD!$B$4:$BO$389,18,FALSE), NA())</f>
        <v>19</v>
      </c>
      <c r="M56" s="344">
        <f>IFERROR(VLOOKUP($I56,BD!$B$4:$BO$389,19,FALSE), NA())</f>
        <v>349657</v>
      </c>
      <c r="N56" s="344">
        <f>IFERROR(VLOOKUP($I56,BD!$B$4:$BO$400,20,FALSE), NA())</f>
        <v>351624</v>
      </c>
      <c r="O56" s="345">
        <f>IFERROR(VLOOKUP($I56,BD!$B$4:$BO$389,21,FALSE), NA())</f>
        <v>1967</v>
      </c>
      <c r="P56" s="346">
        <f t="shared" si="6"/>
        <v>46105</v>
      </c>
      <c r="Q56" s="343">
        <f>IF(V56=0, 0, IFERROR(VLOOKUP($P56,BD!$B$4:$BO$389,47,FALSE), 0))</f>
        <v>11.722222222222223</v>
      </c>
      <c r="R56" s="344">
        <f t="shared" si="7"/>
        <v>12.7</v>
      </c>
      <c r="S56" s="344">
        <f>IFERROR(VLOOKUP($P56,BD!$B$4:$BO$389,48,FALSE), NA())</f>
        <v>15</v>
      </c>
      <c r="T56" s="344">
        <f>IFERROR(VLOOKUP($P56,BD!$B$4:$BO$389,49,FALSE), NA())</f>
        <v>614517</v>
      </c>
      <c r="U56" s="344">
        <f>IFERROR(VLOOKUP($P56,BD!$B$4:$BO$400,50,FALSE), NA())</f>
        <v>615150</v>
      </c>
      <c r="V56" s="345">
        <f>IFERROR(VLOOKUP($P56,BD!$B$4:$BO$389,51,FALSE), NA())</f>
        <v>633</v>
      </c>
    </row>
    <row r="57" spans="2:22" ht="24" thickBot="1" x14ac:dyDescent="0.3">
      <c r="B57" s="346">
        <f t="shared" si="3"/>
        <v>46106</v>
      </c>
      <c r="C57" s="343">
        <f>IF(H57=0, 0, IFERROR(VLOOKUP($B57,BD!$B$4:$BO$389,37,FALSE), 0))</f>
        <v>38.78086419753086</v>
      </c>
      <c r="D57" s="344">
        <f t="shared" si="4"/>
        <v>9</v>
      </c>
      <c r="E57" s="344">
        <f>IFERROR(VLOOKUP($B57,BD!$B$4:$BO$389,38,FALSE), NA())</f>
        <v>18</v>
      </c>
      <c r="F57" s="344">
        <f>IFERROR(VLOOKUP($B57,BD!$B$4:$BO$389,39,FALSE), NA())</f>
        <v>3714924</v>
      </c>
      <c r="G57" s="344">
        <f>IFERROR(VLOOKUP($B57,BD!$B$4:$BO$400,40,FALSE), NA())</f>
        <v>3717437</v>
      </c>
      <c r="H57" s="345">
        <f>IFERROR(VLOOKUP($B57,BD!$B$4:$BO$389,41,FALSE), NA())</f>
        <v>2513</v>
      </c>
      <c r="I57" s="346">
        <f t="shared" si="5"/>
        <v>46106</v>
      </c>
      <c r="J57" s="343">
        <f>IF(O57=0, 0, IFERROR(VLOOKUP($I57,BD!$B$4:$BO$389,17,FALSE), 0))</f>
        <v>28.791666666666668</v>
      </c>
      <c r="K57" s="344"/>
      <c r="L57" s="344">
        <f>IFERROR(VLOOKUP($I57,BD!$B$4:$BO$389,18,FALSE), NA())</f>
        <v>20</v>
      </c>
      <c r="M57" s="344">
        <f>IFERROR(VLOOKUP($I57,BD!$B$4:$BO$389,19,FALSE), NA())</f>
        <v>351624</v>
      </c>
      <c r="N57" s="344">
        <f>IFERROR(VLOOKUP($I57,BD!$B$4:$BO$400,20,FALSE), NA())</f>
        <v>353697</v>
      </c>
      <c r="O57" s="345">
        <f>IFERROR(VLOOKUP($I57,BD!$B$4:$BO$389,21,FALSE), NA())</f>
        <v>2073</v>
      </c>
      <c r="P57" s="346">
        <f t="shared" si="6"/>
        <v>46106</v>
      </c>
      <c r="Q57" s="343">
        <f>IF(V57=0, 0, IFERROR(VLOOKUP($P57,BD!$B$4:$BO$389,47,FALSE), 0))</f>
        <v>11.071428571428571</v>
      </c>
      <c r="R57" s="344">
        <f t="shared" si="7"/>
        <v>12.7</v>
      </c>
      <c r="S57" s="344">
        <f>IFERROR(VLOOKUP($P57,BD!$B$4:$BO$389,48,FALSE), NA())</f>
        <v>14</v>
      </c>
      <c r="T57" s="344">
        <f>IFERROR(VLOOKUP($P57,BD!$B$4:$BO$389,49,FALSE), NA())</f>
        <v>615150</v>
      </c>
      <c r="U57" s="344">
        <f>IFERROR(VLOOKUP($P57,BD!$B$4:$BO$400,50,FALSE), NA())</f>
        <v>615708</v>
      </c>
      <c r="V57" s="345">
        <f>IFERROR(VLOOKUP($P57,BD!$B$4:$BO$389,51,FALSE), NA())</f>
        <v>558</v>
      </c>
    </row>
    <row r="58" spans="2:22" ht="24" thickBot="1" x14ac:dyDescent="0.3">
      <c r="B58" s="346">
        <f t="shared" si="3"/>
        <v>46107</v>
      </c>
      <c r="C58" s="343">
        <f>IF(H58=0, 0, IFERROR(VLOOKUP($B58,BD!$B$4:$BO$389,37,FALSE), 0))</f>
        <v>38.626543209876537</v>
      </c>
      <c r="D58" s="344">
        <f t="shared" si="4"/>
        <v>9</v>
      </c>
      <c r="E58" s="344">
        <f>IFERROR(VLOOKUP($B58,BD!$B$4:$BO$389,38,FALSE), NA())</f>
        <v>18</v>
      </c>
      <c r="F58" s="344">
        <f>IFERROR(VLOOKUP($B58,BD!$B$4:$BO$389,39,FALSE), NA())</f>
        <v>3717437</v>
      </c>
      <c r="G58" s="344">
        <f>IFERROR(VLOOKUP($B58,BD!$B$4:$BO$400,40,FALSE), NA())</f>
        <v>3719940</v>
      </c>
      <c r="H58" s="345">
        <f>IFERROR(VLOOKUP($B58,BD!$B$4:$BO$389,41,FALSE), NA())</f>
        <v>2503</v>
      </c>
      <c r="I58" s="346">
        <f t="shared" si="5"/>
        <v>46107</v>
      </c>
      <c r="J58" s="343">
        <f>IF(O58=0, 0, IFERROR(VLOOKUP($I58,BD!$B$4:$BO$389,17,FALSE), 0))</f>
        <v>29.5</v>
      </c>
      <c r="K58" s="344"/>
      <c r="L58" s="344">
        <f>IFERROR(VLOOKUP($I58,BD!$B$4:$BO$389,18,FALSE), NA())</f>
        <v>10</v>
      </c>
      <c r="M58" s="344">
        <f>IFERROR(VLOOKUP($I58,BD!$B$4:$BO$389,19,FALSE), NA())</f>
        <v>353697</v>
      </c>
      <c r="N58" s="344">
        <f>IFERROR(VLOOKUP($I58,BD!$B$4:$BO$400,20,FALSE), NA())</f>
        <v>354759</v>
      </c>
      <c r="O58" s="345">
        <f>IFERROR(VLOOKUP($I58,BD!$B$4:$BO$389,21,FALSE), NA())</f>
        <v>1062</v>
      </c>
      <c r="P58" s="346">
        <f t="shared" si="6"/>
        <v>46107</v>
      </c>
      <c r="Q58" s="343">
        <f>IF(V58=0, 0, IFERROR(VLOOKUP($P58,BD!$B$4:$BO$389,47,FALSE), 0))</f>
        <v>11.904761904761903</v>
      </c>
      <c r="R58" s="344">
        <f t="shared" si="7"/>
        <v>12.7</v>
      </c>
      <c r="S58" s="344">
        <f>IFERROR(VLOOKUP($P58,BD!$B$4:$BO$389,48,FALSE), NA())</f>
        <v>14</v>
      </c>
      <c r="T58" s="344">
        <f>IFERROR(VLOOKUP($P58,BD!$B$4:$BO$389,49,FALSE), NA())</f>
        <v>615708</v>
      </c>
      <c r="U58" s="344">
        <f>IFERROR(VLOOKUP($P58,BD!$B$4:$BO$400,50,FALSE), NA())</f>
        <v>616308</v>
      </c>
      <c r="V58" s="345">
        <f>IFERROR(VLOOKUP($P58,BD!$B$4:$BO$389,51,FALSE), NA())</f>
        <v>600</v>
      </c>
    </row>
    <row r="59" spans="2:22" ht="24" thickBot="1" x14ac:dyDescent="0.3">
      <c r="B59" s="346">
        <f t="shared" si="3"/>
        <v>46108</v>
      </c>
      <c r="C59" s="343">
        <f>IF(H59=0, 0, IFERROR(VLOOKUP($B59,BD!$B$4:$BO$389,37,FALSE), 0))</f>
        <v>37.901234567901234</v>
      </c>
      <c r="D59" s="344">
        <f t="shared" si="4"/>
        <v>9</v>
      </c>
      <c r="E59" s="344">
        <f>IFERROR(VLOOKUP($B59,BD!$B$4:$BO$389,38,FALSE), NA())</f>
        <v>18</v>
      </c>
      <c r="F59" s="344">
        <f>IFERROR(VLOOKUP($B59,BD!$B$4:$BO$389,39,FALSE), NA())</f>
        <v>3719940</v>
      </c>
      <c r="G59" s="344">
        <f>IFERROR(VLOOKUP($B59,BD!$B$4:$BO$400,40,FALSE), NA())</f>
        <v>3722396</v>
      </c>
      <c r="H59" s="345">
        <f>IFERROR(VLOOKUP($B59,BD!$B$4:$BO$389,41,FALSE), NA())</f>
        <v>2456</v>
      </c>
      <c r="I59" s="346">
        <f t="shared" si="5"/>
        <v>46108</v>
      </c>
      <c r="J59" s="343">
        <f>IF(O59=0, 0, IFERROR(VLOOKUP($I59,BD!$B$4:$BO$389,17,FALSE), 0))</f>
        <v>29.830246913580247</v>
      </c>
      <c r="K59" s="344"/>
      <c r="L59" s="344">
        <f>IFERROR(VLOOKUP($I59,BD!$B$4:$BO$389,18,FALSE), NA())</f>
        <v>18</v>
      </c>
      <c r="M59" s="344">
        <f>IFERROR(VLOOKUP($I59,BD!$B$4:$BO$389,19,FALSE), NA())</f>
        <v>354759</v>
      </c>
      <c r="N59" s="344">
        <f>IFERROR(VLOOKUP($I59,BD!$B$4:$BO$400,20,FALSE), NA())</f>
        <v>356692</v>
      </c>
      <c r="O59" s="345">
        <f>IFERROR(VLOOKUP($I59,BD!$B$4:$BO$389,21,FALSE), NA())</f>
        <v>1933</v>
      </c>
      <c r="P59" s="346">
        <f t="shared" si="6"/>
        <v>46108</v>
      </c>
      <c r="Q59" s="343">
        <f>IF(V59=0, 0, IFERROR(VLOOKUP($P59,BD!$B$4:$BO$389,47,FALSE), 0))</f>
        <v>11.388888888888889</v>
      </c>
      <c r="R59" s="344">
        <f t="shared" si="7"/>
        <v>12.7</v>
      </c>
      <c r="S59" s="344">
        <f>IFERROR(VLOOKUP($P59,BD!$B$4:$BO$389,48,FALSE), NA())</f>
        <v>15</v>
      </c>
      <c r="T59" s="344">
        <f>IFERROR(VLOOKUP($P59,BD!$B$4:$BO$389,49,FALSE), NA())</f>
        <v>616308</v>
      </c>
      <c r="U59" s="344">
        <f>IFERROR(VLOOKUP($P59,BD!$B$4:$BO$400,50,FALSE), NA())</f>
        <v>616923</v>
      </c>
      <c r="V59" s="345">
        <f>IFERROR(VLOOKUP($P59,BD!$B$4:$BO$389,51,FALSE), NA())</f>
        <v>615</v>
      </c>
    </row>
    <row r="60" spans="2:22" ht="24" thickBot="1" x14ac:dyDescent="0.3">
      <c r="B60" s="346">
        <f t="shared" si="3"/>
        <v>46109</v>
      </c>
      <c r="C60" s="343">
        <f>IF(H60=0, 0, IFERROR(VLOOKUP($B60,BD!$B$4:$BO$389,37,FALSE), 0))</f>
        <v>38.070175438596493</v>
      </c>
      <c r="D60" s="344">
        <f t="shared" si="4"/>
        <v>9</v>
      </c>
      <c r="E60" s="344">
        <f>IFERROR(VLOOKUP($B60,BD!$B$4:$BO$389,38,FALSE), NA())</f>
        <v>19</v>
      </c>
      <c r="F60" s="344">
        <f>IFERROR(VLOOKUP($B60,BD!$B$4:$BO$389,39,FALSE), NA())</f>
        <v>3722396</v>
      </c>
      <c r="G60" s="344">
        <f>IFERROR(VLOOKUP($B60,BD!$B$4:$BO$400,40,FALSE), NA())</f>
        <v>3725000</v>
      </c>
      <c r="H60" s="345">
        <f>IFERROR(VLOOKUP($B60,BD!$B$4:$BO$389,41,FALSE), NA())</f>
        <v>2604</v>
      </c>
      <c r="I60" s="346">
        <f t="shared" si="5"/>
        <v>46109</v>
      </c>
      <c r="J60" s="343">
        <f>IF(O60=0, 0, IFERROR(VLOOKUP($I60,BD!$B$4:$BO$389,17,FALSE), 0))</f>
        <v>28.950617283950617</v>
      </c>
      <c r="K60" s="344"/>
      <c r="L60" s="344">
        <f>IFERROR(VLOOKUP($I60,BD!$B$4:$BO$389,18,FALSE), NA())</f>
        <v>18</v>
      </c>
      <c r="M60" s="344">
        <f>IFERROR(VLOOKUP($I60,BD!$B$4:$BO$389,19,FALSE), NA())</f>
        <v>356692</v>
      </c>
      <c r="N60" s="344">
        <f>IFERROR(VLOOKUP($I60,BD!$B$4:$BO$400,20,FALSE), NA())</f>
        <v>358568</v>
      </c>
      <c r="O60" s="345">
        <f>IFERROR(VLOOKUP($I60,BD!$B$4:$BO$389,21,FALSE), NA())</f>
        <v>1876</v>
      </c>
      <c r="P60" s="346">
        <f t="shared" si="6"/>
        <v>46109</v>
      </c>
      <c r="Q60" s="343">
        <f>IF(V60=0, 0, IFERROR(VLOOKUP($P60,BD!$B$4:$BO$389,47,FALSE), 0))</f>
        <v>11.351851851851851</v>
      </c>
      <c r="R60" s="344">
        <f t="shared" si="7"/>
        <v>12.7</v>
      </c>
      <c r="S60" s="344">
        <f>IFERROR(VLOOKUP($P60,BD!$B$4:$BO$389,48,FALSE), NA())</f>
        <v>15</v>
      </c>
      <c r="T60" s="344">
        <f>IFERROR(VLOOKUP($P60,BD!$B$4:$BO$389,49,FALSE), NA())</f>
        <v>616923</v>
      </c>
      <c r="U60" s="344">
        <f>IFERROR(VLOOKUP($P60,BD!$B$4:$BO$400,50,FALSE), NA())</f>
        <v>617536</v>
      </c>
      <c r="V60" s="345">
        <f>IFERROR(VLOOKUP($P60,BD!$B$4:$BO$389,51,FALSE), NA())</f>
        <v>613</v>
      </c>
    </row>
    <row r="61" spans="2:22" ht="24" thickBot="1" x14ac:dyDescent="0.3">
      <c r="B61" s="346">
        <f t="shared" si="3"/>
        <v>46110</v>
      </c>
      <c r="C61" s="343">
        <f>IF(H61=0, 0, IFERROR(VLOOKUP($B61,BD!$B$4:$BO$389,37,FALSE), 0))</f>
        <v>38.393393393393389</v>
      </c>
      <c r="D61" s="344">
        <f t="shared" si="4"/>
        <v>9</v>
      </c>
      <c r="E61" s="344">
        <f>IFERROR(VLOOKUP($B61,BD!$B$4:$BO$389,38,FALSE), NA())</f>
        <v>18.5</v>
      </c>
      <c r="F61" s="344">
        <f>IFERROR(VLOOKUP($B61,BD!$B$4:$BO$389,39,FALSE), NA())</f>
        <v>3725000</v>
      </c>
      <c r="G61" s="344">
        <f>IFERROR(VLOOKUP($B61,BD!$B$4:$BO$400,40,FALSE), NA())</f>
        <v>3727557</v>
      </c>
      <c r="H61" s="345">
        <f>IFERROR(VLOOKUP($B61,BD!$B$4:$BO$389,41,FALSE), NA())</f>
        <v>2557</v>
      </c>
      <c r="I61" s="346">
        <f t="shared" si="5"/>
        <v>46110</v>
      </c>
      <c r="J61" s="343">
        <f>IF(O61=0, 0, IFERROR(VLOOKUP($I61,BD!$B$4:$BO$389,17,FALSE), 0))</f>
        <v>26.96078431372549</v>
      </c>
      <c r="K61" s="344"/>
      <c r="L61" s="344">
        <f>IFERROR(VLOOKUP($I61,BD!$B$4:$BO$389,18,FALSE), NA())</f>
        <v>17</v>
      </c>
      <c r="M61" s="344">
        <f>IFERROR(VLOOKUP($I61,BD!$B$4:$BO$389,19,FALSE), NA())</f>
        <v>358568</v>
      </c>
      <c r="N61" s="344">
        <f>IFERROR(VLOOKUP($I61,BD!$B$4:$BO$400,20,FALSE), NA())</f>
        <v>360218</v>
      </c>
      <c r="O61" s="345">
        <f>IFERROR(VLOOKUP($I61,BD!$B$4:$BO$389,21,FALSE), NA())</f>
        <v>1650</v>
      </c>
      <c r="P61" s="346">
        <f t="shared" si="6"/>
        <v>46110</v>
      </c>
      <c r="Q61" s="343">
        <f>IF(V61=0, 0, IFERROR(VLOOKUP($P61,BD!$B$4:$BO$389,47,FALSE), 0))</f>
        <v>11.166666666666666</v>
      </c>
      <c r="R61" s="344">
        <f t="shared" si="7"/>
        <v>12.7</v>
      </c>
      <c r="S61" s="344">
        <f>IFERROR(VLOOKUP($P61,BD!$B$4:$BO$389,48,FALSE), NA())</f>
        <v>15</v>
      </c>
      <c r="T61" s="344">
        <f>IFERROR(VLOOKUP($P61,BD!$B$4:$BO$389,49,FALSE), NA())</f>
        <v>617536</v>
      </c>
      <c r="U61" s="344">
        <f>IFERROR(VLOOKUP($P61,BD!$B$4:$BO$400,50,FALSE), NA())</f>
        <v>618139</v>
      </c>
      <c r="V61" s="345">
        <f>IFERROR(VLOOKUP($P61,BD!$B$4:$BO$389,51,FALSE), NA())</f>
        <v>603</v>
      </c>
    </row>
    <row r="62" spans="2:22" ht="24" thickBot="1" x14ac:dyDescent="0.3">
      <c r="B62" s="346">
        <f t="shared" si="3"/>
        <v>46111</v>
      </c>
      <c r="C62" s="343">
        <f>IF(H62=0, 0, IFERROR(VLOOKUP($B62,BD!$B$4:$BO$389,37,FALSE), 0))</f>
        <v>37.484567901234563</v>
      </c>
      <c r="D62" s="344">
        <f t="shared" si="4"/>
        <v>9</v>
      </c>
      <c r="E62" s="344">
        <f>IFERROR(VLOOKUP($B62,BD!$B$4:$BO$389,38,FALSE), NA())</f>
        <v>18</v>
      </c>
      <c r="F62" s="344">
        <f>IFERROR(VLOOKUP($B62,BD!$B$4:$BO$389,39,FALSE), NA())</f>
        <v>3727557</v>
      </c>
      <c r="G62" s="344">
        <f>IFERROR(VLOOKUP($B62,BD!$B$4:$BO$400,40,FALSE), NA())</f>
        <v>3729986</v>
      </c>
      <c r="H62" s="345">
        <f>IFERROR(VLOOKUP($B62,BD!$B$4:$BO$389,41,FALSE), NA())</f>
        <v>2429</v>
      </c>
      <c r="I62" s="346">
        <f t="shared" si="5"/>
        <v>46111</v>
      </c>
      <c r="J62" s="343">
        <f>IF(O62=0, 0, IFERROR(VLOOKUP($I62,BD!$B$4:$BO$389,17,FALSE), 0))</f>
        <v>29.707602339181289</v>
      </c>
      <c r="K62" s="344"/>
      <c r="L62" s="344">
        <f>IFERROR(VLOOKUP($I62,BD!$B$4:$BO$389,18,FALSE), NA())</f>
        <v>19</v>
      </c>
      <c r="M62" s="344">
        <f>IFERROR(VLOOKUP($I62,BD!$B$4:$BO$389,19,FALSE), NA())</f>
        <v>360218</v>
      </c>
      <c r="N62" s="344">
        <f>IFERROR(VLOOKUP($I62,BD!$B$4:$BO$400,20,FALSE), NA())</f>
        <v>362250</v>
      </c>
      <c r="O62" s="345">
        <f>IFERROR(VLOOKUP($I62,BD!$B$4:$BO$389,21,FALSE), NA())</f>
        <v>2032</v>
      </c>
      <c r="P62" s="346">
        <f t="shared" si="6"/>
        <v>46111</v>
      </c>
      <c r="Q62" s="343">
        <f>IF(V62=0, 0, IFERROR(VLOOKUP($P62,BD!$B$4:$BO$389,47,FALSE), 0))</f>
        <v>11.185185185185185</v>
      </c>
      <c r="R62" s="344">
        <f t="shared" si="7"/>
        <v>12.7</v>
      </c>
      <c r="S62" s="344">
        <f>IFERROR(VLOOKUP($P62,BD!$B$4:$BO$389,48,FALSE), NA())</f>
        <v>15</v>
      </c>
      <c r="T62" s="344">
        <f>IFERROR(VLOOKUP($P62,BD!$B$4:$BO$389,49,FALSE), NA())</f>
        <v>618139</v>
      </c>
      <c r="U62" s="344">
        <f>IFERROR(VLOOKUP($P62,BD!$B$4:$BO$400,50,FALSE), NA())</f>
        <v>618743</v>
      </c>
      <c r="V62" s="345">
        <f>IFERROR(VLOOKUP($P62,BD!$B$4:$BO$389,51,FALSE), NA())</f>
        <v>604</v>
      </c>
    </row>
    <row r="63" spans="2:22" ht="24" thickBot="1" x14ac:dyDescent="0.3">
      <c r="B63" s="346">
        <f t="shared" si="3"/>
        <v>46112</v>
      </c>
      <c r="C63" s="343">
        <f>IF(H63=0, 0, IFERROR(VLOOKUP($B63,BD!$B$4:$BO$389,37,FALSE), 0))</f>
        <v>38.093093093093088</v>
      </c>
      <c r="D63" s="344">
        <f t="shared" si="4"/>
        <v>9</v>
      </c>
      <c r="E63" s="344">
        <f>IFERROR(VLOOKUP($B63,BD!$B$4:$BO$389,38,FALSE), NA())</f>
        <v>18.5</v>
      </c>
      <c r="F63" s="344">
        <f>IFERROR(VLOOKUP($B63,BD!$B$4:$BO$389,39,FALSE), NA())</f>
        <v>3729986</v>
      </c>
      <c r="G63" s="344">
        <f>IFERROR(VLOOKUP($B63,BD!$B$4:$BO$400,40,FALSE), NA())</f>
        <v>3732523</v>
      </c>
      <c r="H63" s="345">
        <f>IFERROR(VLOOKUP($B63,BD!$B$4:$BO$389,41,FALSE), NA())</f>
        <v>2537</v>
      </c>
      <c r="I63" s="346">
        <f t="shared" si="5"/>
        <v>46112</v>
      </c>
      <c r="J63" s="343">
        <f>IF(O63=0, 0, IFERROR(VLOOKUP($I63,BD!$B$4:$BO$389,17,FALSE), 0))</f>
        <v>30.013227513227509</v>
      </c>
      <c r="K63" s="344"/>
      <c r="L63" s="344">
        <f>IFERROR(VLOOKUP($I63,BD!$B$4:$BO$389,18,FALSE), NA())</f>
        <v>21</v>
      </c>
      <c r="M63" s="344">
        <f>IFERROR(VLOOKUP($I63,BD!$B$4:$BO$389,19,FALSE), NA())</f>
        <v>362250</v>
      </c>
      <c r="N63" s="344">
        <f>IFERROR(VLOOKUP($I63,BD!$B$4:$BO$400,20,FALSE), NA())</f>
        <v>364519</v>
      </c>
      <c r="O63" s="345">
        <f>IFERROR(VLOOKUP($I63,BD!$B$4:$BO$389,21,FALSE), NA())</f>
        <v>2269</v>
      </c>
      <c r="P63" s="346">
        <f t="shared" si="6"/>
        <v>46112</v>
      </c>
      <c r="Q63" s="343">
        <f>IF(V63=0, 0, IFERROR(VLOOKUP($P63,BD!$B$4:$BO$389,47,FALSE), 0))</f>
        <v>11.425925925925926</v>
      </c>
      <c r="R63" s="344">
        <f t="shared" si="7"/>
        <v>12.7</v>
      </c>
      <c r="S63" s="344">
        <f>IFERROR(VLOOKUP($P63,BD!$B$4:$BO$389,48,FALSE), NA())</f>
        <v>15</v>
      </c>
      <c r="T63" s="344">
        <f>IFERROR(VLOOKUP($P63,BD!$B$4:$BO$389,49,FALSE), NA())</f>
        <v>618743</v>
      </c>
      <c r="U63" s="344">
        <f>IFERROR(VLOOKUP($P63,BD!$B$4:$BO$400,50,FALSE), NA())</f>
        <v>619360</v>
      </c>
      <c r="V63" s="345">
        <f>IFERROR(VLOOKUP($P63,BD!$B$4:$BO$389,51,FALSE), NA())</f>
        <v>617</v>
      </c>
    </row>
    <row r="64" spans="2:22" ht="24" thickBot="1" x14ac:dyDescent="0.3">
      <c r="B64" s="346">
        <f t="shared" si="3"/>
        <v>46113</v>
      </c>
      <c r="C64" s="343">
        <f>IF(H64=0, 0, IFERROR(VLOOKUP($B64,BD!$B$4:$BO$389,37,FALSE), 0))</f>
        <v>38.869047619047613</v>
      </c>
      <c r="D64" s="344">
        <f t="shared" si="4"/>
        <v>9</v>
      </c>
      <c r="E64" s="344">
        <f>IFERROR(VLOOKUP($B64,BD!$B$4:$BO$389,38,FALSE), NA())</f>
        <v>14</v>
      </c>
      <c r="F64" s="344">
        <f>IFERROR(VLOOKUP($B64,BD!$B$4:$BO$389,39,FALSE), NA())</f>
        <v>3732523</v>
      </c>
      <c r="G64" s="344">
        <f>IFERROR(VLOOKUP($B64,BD!$B$4:$BO$400,40,FALSE), NA())</f>
        <v>3734482</v>
      </c>
      <c r="H64" s="345">
        <f>IFERROR(VLOOKUP($B64,BD!$B$4:$BO$389,41,FALSE), NA())</f>
        <v>1959</v>
      </c>
      <c r="I64" s="346">
        <f t="shared" si="5"/>
        <v>46113</v>
      </c>
      <c r="J64" s="343">
        <f>IF(O64=0, 0, IFERROR(VLOOKUP($I64,BD!$B$4:$BO$389,17,FALSE), 0))</f>
        <v>24.27</v>
      </c>
      <c r="K64" s="344"/>
      <c r="L64" s="344">
        <f>IFERROR(VLOOKUP($I64,BD!$B$4:$BO$389,18,FALSE), NA())</f>
        <v>19</v>
      </c>
      <c r="M64" s="344">
        <f>IFERROR(VLOOKUP($I64,BD!$B$4:$BO$389,19,FALSE), NA())</f>
        <v>364519</v>
      </c>
      <c r="N64" s="344">
        <f>IFERROR(VLOOKUP($I64,BD!$B$4:$BO$400,20,FALSE), NA())</f>
        <v>366290</v>
      </c>
      <c r="O64" s="345">
        <f>IFERROR(VLOOKUP($I64,BD!$B$4:$BO$389,21,FALSE), NA())</f>
        <v>1771</v>
      </c>
      <c r="P64" s="346">
        <f t="shared" si="6"/>
        <v>46113</v>
      </c>
      <c r="Q64" s="343">
        <f>IF(V64=0, 0, IFERROR(VLOOKUP($P64,BD!$B$4:$BO$389,47,FALSE), 0))</f>
        <v>11.597222222222221</v>
      </c>
      <c r="R64" s="344">
        <f t="shared" si="7"/>
        <v>12.7</v>
      </c>
      <c r="S64" s="344">
        <f>IFERROR(VLOOKUP($P64,BD!$B$4:$BO$389,48,FALSE), NA())</f>
        <v>16</v>
      </c>
      <c r="T64" s="344">
        <f>IFERROR(VLOOKUP($P64,BD!$B$4:$BO$389,49,FALSE), NA())</f>
        <v>619360</v>
      </c>
      <c r="U64" s="344">
        <f>IFERROR(VLOOKUP($P64,BD!$B$4:$BO$400,50,FALSE), NA())</f>
        <v>620028</v>
      </c>
      <c r="V64" s="345">
        <f>IFERROR(VLOOKUP($P64,BD!$B$4:$BO$389,51,FALSE), NA())</f>
        <v>668</v>
      </c>
    </row>
    <row r="65" spans="2:28" ht="24" thickBot="1" x14ac:dyDescent="0.3">
      <c r="B65" s="346">
        <f t="shared" si="3"/>
        <v>46114</v>
      </c>
      <c r="C65" s="343">
        <f>IF(H65=0, 0, IFERROR(VLOOKUP($B65,BD!$B$4:$BO$389,37,FALSE), 0))</f>
        <v>37.833333333333336</v>
      </c>
      <c r="D65" s="344">
        <f t="shared" si="4"/>
        <v>9</v>
      </c>
      <c r="E65" s="344">
        <f>IFERROR(VLOOKUP($B65,BD!$B$4:$BO$389,38,FALSE), NA())</f>
        <v>15</v>
      </c>
      <c r="F65" s="344">
        <f>IFERROR(VLOOKUP($B65,BD!$B$4:$BO$389,39,FALSE), NA())</f>
        <v>3734482</v>
      </c>
      <c r="G65" s="344">
        <f>IFERROR(VLOOKUP($B65,BD!$B$4:$BO$400,40,FALSE), NA())</f>
        <v>3736525</v>
      </c>
      <c r="H65" s="345">
        <f>IFERROR(VLOOKUP($B65,BD!$B$4:$BO$389,41,FALSE), NA())</f>
        <v>2043</v>
      </c>
      <c r="I65" s="346">
        <f t="shared" si="5"/>
        <v>46114</v>
      </c>
      <c r="J65" s="343">
        <f>IF(O65=0, 0, IFERROR(VLOOKUP($I65,BD!$B$4:$BO$389,17,FALSE), 0))</f>
        <v>23.9</v>
      </c>
      <c r="K65" s="344"/>
      <c r="L65" s="344">
        <f>IFERROR(VLOOKUP($I65,BD!$B$4:$BO$389,18,FALSE), NA())</f>
        <v>19</v>
      </c>
      <c r="M65" s="344">
        <f>IFERROR(VLOOKUP($I65,BD!$B$4:$BO$389,19,FALSE), NA())</f>
        <v>366290</v>
      </c>
      <c r="N65" s="344">
        <f>IFERROR(VLOOKUP($I65,BD!$B$4:$BO$400,20,FALSE), NA())</f>
        <v>367976</v>
      </c>
      <c r="O65" s="345">
        <f>IFERROR(VLOOKUP($I65,BD!$B$4:$BO$389,21,FALSE), NA())</f>
        <v>1686</v>
      </c>
      <c r="P65" s="346">
        <f t="shared" si="6"/>
        <v>46114</v>
      </c>
      <c r="Q65" s="343">
        <f>IF(V65=0, 0, IFERROR(VLOOKUP($P65,BD!$B$4:$BO$389,47,FALSE), 0))</f>
        <v>11.567460317460316</v>
      </c>
      <c r="R65" s="344">
        <f t="shared" si="7"/>
        <v>12.7</v>
      </c>
      <c r="S65" s="344">
        <f>IFERROR(VLOOKUP($P65,BD!$B$4:$BO$389,48,FALSE), NA())</f>
        <v>14</v>
      </c>
      <c r="T65" s="344">
        <f>IFERROR(VLOOKUP($P65,BD!$B$4:$BO$389,49,FALSE), NA())</f>
        <v>620028</v>
      </c>
      <c r="U65" s="344">
        <f>IFERROR(VLOOKUP($P65,BD!$B$4:$BO$400,50,FALSE), NA())</f>
        <v>620611</v>
      </c>
      <c r="V65" s="345">
        <f>IFERROR(VLOOKUP($P65,BD!$B$4:$BO$389,51,FALSE), NA())</f>
        <v>583</v>
      </c>
    </row>
    <row r="66" spans="2:28" ht="24" thickBot="1" x14ac:dyDescent="0.3">
      <c r="B66" s="346">
        <f t="shared" si="3"/>
        <v>46115</v>
      </c>
      <c r="C66" s="343">
        <f>IF(H66=0, 0, IFERROR(VLOOKUP($B66,BD!$B$4:$BO$389,37,FALSE), 0))</f>
        <v>39.012345679012341</v>
      </c>
      <c r="D66" s="344">
        <f t="shared" si="4"/>
        <v>9</v>
      </c>
      <c r="E66" s="344">
        <f>IFERROR(VLOOKUP($B66,BD!$B$4:$BO$389,38,FALSE), NA())</f>
        <v>18</v>
      </c>
      <c r="F66" s="344">
        <f>IFERROR(VLOOKUP($B66,BD!$B$4:$BO$389,39,FALSE), NA())</f>
        <v>3736525</v>
      </c>
      <c r="G66" s="344">
        <f>IFERROR(VLOOKUP($B66,BD!$B$4:$BO$400,40,FALSE), NA())</f>
        <v>3739053</v>
      </c>
      <c r="H66" s="345">
        <f>IFERROR(VLOOKUP($B66,BD!$B$4:$BO$389,41,FALSE), NA())</f>
        <v>2528</v>
      </c>
      <c r="I66" s="346">
        <f t="shared" si="5"/>
        <v>46115</v>
      </c>
      <c r="J66" s="343">
        <f>IF(O66=0, 0, IFERROR(VLOOKUP($I66,BD!$B$4:$BO$389,17,FALSE), 0))</f>
        <v>0</v>
      </c>
      <c r="K66" s="344"/>
      <c r="L66" s="344">
        <f>IFERROR(VLOOKUP($I66,BD!$B$4:$BO$389,18,FALSE), NA())</f>
        <v>12</v>
      </c>
      <c r="M66" s="344">
        <f>IFERROR(VLOOKUP($I66,BD!$B$4:$BO$389,19,FALSE), NA())</f>
        <v>367976</v>
      </c>
      <c r="N66" s="344">
        <f>IFERROR(VLOOKUP($I66,BD!$B$4:$BO$400,20,FALSE), NA())</f>
        <v>367976</v>
      </c>
      <c r="O66" s="345">
        <f>IFERROR(VLOOKUP($I66,BD!$B$4:$BO$389,21,FALSE), NA())</f>
        <v>0</v>
      </c>
      <c r="P66" s="346">
        <f t="shared" si="6"/>
        <v>46115</v>
      </c>
      <c r="Q66" s="343">
        <f>IF(V66=0, 0, IFERROR(VLOOKUP($P66,BD!$B$4:$BO$389,47,FALSE), 0))</f>
        <v>11.369047619047619</v>
      </c>
      <c r="R66" s="344">
        <f t="shared" si="7"/>
        <v>12.7</v>
      </c>
      <c r="S66" s="344">
        <f>IFERROR(VLOOKUP($P66,BD!$B$4:$BO$389,48,FALSE), NA())</f>
        <v>14</v>
      </c>
      <c r="T66" s="344">
        <f>IFERROR(VLOOKUP($P66,BD!$B$4:$BO$389,49,FALSE), NA())</f>
        <v>620611</v>
      </c>
      <c r="U66" s="344">
        <f>IFERROR(VLOOKUP($P66,BD!$B$4:$BO$400,50,FALSE), NA())</f>
        <v>621184</v>
      </c>
      <c r="V66" s="345">
        <f>IFERROR(VLOOKUP($P66,BD!$B$4:$BO$389,51,FALSE), NA())</f>
        <v>573</v>
      </c>
    </row>
    <row r="67" spans="2:28" ht="24" thickBot="1" x14ac:dyDescent="0.3">
      <c r="B67" s="346">
        <f t="shared" si="3"/>
        <v>46116</v>
      </c>
      <c r="C67" s="343">
        <f>IF(H67=0, 0, IFERROR(VLOOKUP($B67,BD!$B$4:$BO$389,37,FALSE), 0))</f>
        <v>39.027777777777779</v>
      </c>
      <c r="D67" s="344">
        <f t="shared" si="4"/>
        <v>9</v>
      </c>
      <c r="E67" s="344">
        <f>IFERROR(VLOOKUP($B67,BD!$B$4:$BO$389,38,FALSE), NA())</f>
        <v>18</v>
      </c>
      <c r="F67" s="344">
        <f>IFERROR(VLOOKUP($B67,BD!$B$4:$BO$389,39,FALSE), NA())</f>
        <v>3739053</v>
      </c>
      <c r="G67" s="344">
        <f>IFERROR(VLOOKUP($B67,BD!$B$4:$BO$400,40,FALSE), NA())</f>
        <v>3741582</v>
      </c>
      <c r="H67" s="345">
        <f>IFERROR(VLOOKUP($B67,BD!$B$4:$BO$389,41,FALSE), NA())</f>
        <v>2529</v>
      </c>
      <c r="I67" s="346">
        <f t="shared" si="5"/>
        <v>46116</v>
      </c>
      <c r="J67" s="343">
        <f>IF(O67=0, 0, IFERROR(VLOOKUP($I67,BD!$B$4:$BO$389,17,FALSE), 0))</f>
        <v>0</v>
      </c>
      <c r="K67" s="344"/>
      <c r="L67" s="344">
        <f>IFERROR(VLOOKUP($I67,BD!$B$4:$BO$389,18,FALSE), NA())</f>
        <v>12</v>
      </c>
      <c r="M67" s="344">
        <f>IFERROR(VLOOKUP($I67,BD!$B$4:$BO$389,19,FALSE), NA())</f>
        <v>367976</v>
      </c>
      <c r="N67" s="344">
        <f>IFERROR(VLOOKUP($I67,BD!$B$4:$BO$400,20,FALSE), NA())</f>
        <v>367976</v>
      </c>
      <c r="O67" s="345">
        <f>IFERROR(VLOOKUP($I67,BD!$B$4:$BO$389,21,FALSE), NA())</f>
        <v>0</v>
      </c>
      <c r="P67" s="346">
        <f t="shared" si="6"/>
        <v>46116</v>
      </c>
      <c r="Q67" s="343">
        <f>IF(V67=0, 0, IFERROR(VLOOKUP($P67,BD!$B$4:$BO$389,47,FALSE), 0))</f>
        <v>11.753472222222221</v>
      </c>
      <c r="R67" s="344">
        <f t="shared" si="7"/>
        <v>12.7</v>
      </c>
      <c r="S67" s="344">
        <f>IFERROR(VLOOKUP($P67,BD!$B$4:$BO$389,48,FALSE), NA())</f>
        <v>16</v>
      </c>
      <c r="T67" s="344">
        <f>IFERROR(VLOOKUP($P67,BD!$B$4:$BO$389,49,FALSE), NA())</f>
        <v>621184</v>
      </c>
      <c r="U67" s="344">
        <f>IFERROR(VLOOKUP($P67,BD!$B$4:$BO$400,50,FALSE), NA())</f>
        <v>621861</v>
      </c>
      <c r="V67" s="345">
        <f>IFERROR(VLOOKUP($P67,BD!$B$4:$BO$389,51,FALSE), NA())</f>
        <v>677</v>
      </c>
    </row>
    <row r="68" spans="2:28" ht="24" thickBot="1" x14ac:dyDescent="0.3">
      <c r="B68" s="346">
        <f t="shared" si="3"/>
        <v>46117</v>
      </c>
      <c r="C68" s="343">
        <f>IF(H68=0, 0, IFERROR(VLOOKUP($B68,BD!$B$4:$BO$389,37,FALSE), 0))</f>
        <v>38.444444444444443</v>
      </c>
      <c r="D68" s="344">
        <f t="shared" si="4"/>
        <v>9</v>
      </c>
      <c r="E68" s="344">
        <f>IFERROR(VLOOKUP($B68,BD!$B$4:$BO$389,38,FALSE), NA())</f>
        <v>10</v>
      </c>
      <c r="F68" s="344">
        <f>IFERROR(VLOOKUP($B68,BD!$B$4:$BO$389,39,FALSE), NA())</f>
        <v>3741582</v>
      </c>
      <c r="G68" s="344">
        <f>IFERROR(VLOOKUP($B68,BD!$B$4:$BO$400,40,FALSE), NA())</f>
        <v>3742966</v>
      </c>
      <c r="H68" s="345">
        <f>IFERROR(VLOOKUP($B68,BD!$B$4:$BO$389,41,FALSE), NA())</f>
        <v>1384</v>
      </c>
      <c r="I68" s="346">
        <f t="shared" si="5"/>
        <v>46117</v>
      </c>
      <c r="J68" s="343">
        <f>IF(O68=0, 0, IFERROR(VLOOKUP($I68,BD!$B$4:$BO$389,17,FALSE), 0))</f>
        <v>0</v>
      </c>
      <c r="K68" s="344"/>
      <c r="L68" s="344">
        <f>IFERROR(VLOOKUP($I68,BD!$B$4:$BO$389,18,FALSE), NA())</f>
        <v>12</v>
      </c>
      <c r="M68" s="344">
        <f>IFERROR(VLOOKUP($I68,BD!$B$4:$BO$389,19,FALSE), NA())</f>
        <v>367976</v>
      </c>
      <c r="N68" s="344">
        <f>IFERROR(VLOOKUP($I68,BD!$B$4:$BO$400,20,FALSE), NA())</f>
        <v>367976</v>
      </c>
      <c r="O68" s="345">
        <f>IFERROR(VLOOKUP($I68,BD!$B$4:$BO$389,21,FALSE), NA())</f>
        <v>0</v>
      </c>
      <c r="P68" s="346">
        <f t="shared" si="6"/>
        <v>46117</v>
      </c>
      <c r="Q68" s="343">
        <f>IF(V68=0, 0, IFERROR(VLOOKUP($P68,BD!$B$4:$BO$389,47,FALSE), 0))</f>
        <v>11.486928104575163</v>
      </c>
      <c r="R68" s="344">
        <f t="shared" si="7"/>
        <v>12.7</v>
      </c>
      <c r="S68" s="344">
        <f>IFERROR(VLOOKUP($P68,BD!$B$4:$BO$389,48,FALSE), NA())</f>
        <v>17</v>
      </c>
      <c r="T68" s="344">
        <f>IFERROR(VLOOKUP($P68,BD!$B$4:$BO$389,49,FALSE), NA())</f>
        <v>621861</v>
      </c>
      <c r="U68" s="344">
        <f>IFERROR(VLOOKUP($P68,BD!$B$4:$BO$400,50,FALSE), NA())</f>
        <v>622564</v>
      </c>
      <c r="V68" s="345">
        <f>IFERROR(VLOOKUP($P68,BD!$B$4:$BO$389,51,FALSE), NA())</f>
        <v>703</v>
      </c>
    </row>
    <row r="69" spans="2:28" ht="24.75" thickTop="1" thickBot="1" x14ac:dyDescent="0.3">
      <c r="B69" s="346">
        <f t="shared" si="3"/>
        <v>46118</v>
      </c>
      <c r="C69" s="343">
        <f>IF(H69=0, 0, IFERROR(VLOOKUP($B69,BD!$B$4:$BO$389,37,FALSE), 0))</f>
        <v>37.149122807017548</v>
      </c>
      <c r="D69" s="344">
        <f t="shared" si="4"/>
        <v>9</v>
      </c>
      <c r="E69" s="344">
        <f>IFERROR(VLOOKUP($B69,BD!$B$4:$BO$389,38,FALSE), NA())</f>
        <v>19</v>
      </c>
      <c r="F69" s="344">
        <f>IFERROR(VLOOKUP($B69,BD!$B$4:$BO$389,39,FALSE), NA())</f>
        <v>3742966</v>
      </c>
      <c r="G69" s="344">
        <f>IFERROR(VLOOKUP($B69,BD!$B$4:$BO$400,40,FALSE), NA())</f>
        <v>3745507</v>
      </c>
      <c r="H69" s="345">
        <f>IFERROR(VLOOKUP($B69,BD!$B$4:$BO$389,41,FALSE), NA())</f>
        <v>2541</v>
      </c>
      <c r="I69" s="346">
        <f t="shared" si="5"/>
        <v>46118</v>
      </c>
      <c r="J69" s="343">
        <f>IF(O69=0, 0, IFERROR(VLOOKUP($I69,BD!$B$4:$BO$389,17,FALSE), 0))</f>
        <v>29.826388888888889</v>
      </c>
      <c r="K69" s="344"/>
      <c r="L69" s="344">
        <f>IFERROR(VLOOKUP($I69,BD!$B$4:$BO$389,18,FALSE), NA())</f>
        <v>24</v>
      </c>
      <c r="M69" s="344">
        <f>IFERROR(VLOOKUP($I69,BD!$B$4:$BO$389,19,FALSE), NA())</f>
        <v>367976</v>
      </c>
      <c r="N69" s="344">
        <f>IFERROR(VLOOKUP($I69,BD!$B$4:$BO$400,20,FALSE), NA())</f>
        <v>370553</v>
      </c>
      <c r="O69" s="345">
        <f>IFERROR(VLOOKUP($I69,BD!$B$4:$BO$389,21,FALSE), NA())</f>
        <v>2577</v>
      </c>
      <c r="P69" s="346">
        <f t="shared" si="6"/>
        <v>46118</v>
      </c>
      <c r="Q69" s="343">
        <f>IF(V69=0, 0, IFERROR(VLOOKUP($P69,BD!$B$4:$BO$389,47,FALSE), 0))</f>
        <v>11.018518518518517</v>
      </c>
      <c r="R69" s="344">
        <f t="shared" si="7"/>
        <v>12.7</v>
      </c>
      <c r="S69" s="344">
        <f>IFERROR(VLOOKUP($P69,BD!$B$4:$BO$389,48,FALSE), NA())</f>
        <v>18</v>
      </c>
      <c r="T69" s="344">
        <f>IFERROR(VLOOKUP($P69,BD!$B$4:$BO$389,49,FALSE), NA())</f>
        <v>622564</v>
      </c>
      <c r="U69" s="344">
        <f>IFERROR(VLOOKUP($P69,BD!$B$4:$BO$400,50,FALSE), NA())</f>
        <v>623278</v>
      </c>
      <c r="V69" s="345">
        <f>IFERROR(VLOOKUP($P69,BD!$B$4:$BO$389,51,FALSE), NA())</f>
        <v>714</v>
      </c>
      <c r="AB69" s="416">
        <v>61056.9</v>
      </c>
    </row>
    <row r="70" spans="2:28" ht="24" thickBot="1" x14ac:dyDescent="0.3">
      <c r="B70" s="346">
        <f t="shared" si="3"/>
        <v>46119</v>
      </c>
      <c r="C70" s="343">
        <f>IF(H70=0, 0, IFERROR(VLOOKUP($B70,BD!$B$4:$BO$389,37,FALSE), 0))</f>
        <v>38.482905982905983</v>
      </c>
      <c r="D70" s="344">
        <f t="shared" si="4"/>
        <v>9</v>
      </c>
      <c r="E70" s="344">
        <f>IFERROR(VLOOKUP($B70,BD!$B$4:$BO$389,38,FALSE), NA())</f>
        <v>13</v>
      </c>
      <c r="F70" s="344">
        <f>IFERROR(VLOOKUP($B70,BD!$B$4:$BO$389,39,FALSE), NA())</f>
        <v>3745507</v>
      </c>
      <c r="G70" s="344">
        <f>IFERROR(VLOOKUP($B70,BD!$B$4:$BO$400,40,FALSE), NA())</f>
        <v>3747308</v>
      </c>
      <c r="H70" s="345">
        <f>IFERROR(VLOOKUP($B70,BD!$B$4:$BO$389,41,FALSE), NA())</f>
        <v>1801</v>
      </c>
      <c r="I70" s="346">
        <f t="shared" si="5"/>
        <v>46119</v>
      </c>
      <c r="J70" s="343">
        <f>IF(O70=0, 0, IFERROR(VLOOKUP($I70,BD!$B$4:$BO$389,17,FALSE), 0))</f>
        <v>27.604166666666664</v>
      </c>
      <c r="K70" s="344"/>
      <c r="L70" s="344">
        <f>IFERROR(VLOOKUP($I70,BD!$B$4:$BO$389,18,FALSE), NA())</f>
        <v>8</v>
      </c>
      <c r="M70" s="344">
        <f>IFERROR(VLOOKUP($I70,BD!$B$4:$BO$389,19,FALSE), NA())</f>
        <v>370553</v>
      </c>
      <c r="N70" s="344">
        <f>IFERROR(VLOOKUP($I70,BD!$B$4:$BO$400,20,FALSE), NA())</f>
        <v>371348</v>
      </c>
      <c r="O70" s="345">
        <f>IFERROR(VLOOKUP($I70,BD!$B$4:$BO$389,21,FALSE), NA())</f>
        <v>795</v>
      </c>
      <c r="P70" s="346">
        <f t="shared" si="6"/>
        <v>46119</v>
      </c>
      <c r="Q70" s="343">
        <f>IF(V70=0, 0, IFERROR(VLOOKUP($P70,BD!$B$4:$BO$389,47,FALSE), 0))</f>
        <v>11.944444444444443</v>
      </c>
      <c r="R70" s="344">
        <f t="shared" si="7"/>
        <v>12.7</v>
      </c>
      <c r="S70" s="344">
        <f>IFERROR(VLOOKUP($P70,BD!$B$4:$BO$389,48,FALSE), NA())</f>
        <v>21</v>
      </c>
      <c r="T70" s="344">
        <f>IFERROR(VLOOKUP($P70,BD!$B$4:$BO$389,49,FALSE), NA())</f>
        <v>623278</v>
      </c>
      <c r="U70" s="344">
        <f>IFERROR(VLOOKUP($P70,BD!$B$4:$BO$400,50,FALSE), NA())</f>
        <v>624181</v>
      </c>
      <c r="V70" s="345">
        <f>IFERROR(VLOOKUP($P70,BD!$B$4:$BO$389,51,FALSE), NA())</f>
        <v>903</v>
      </c>
      <c r="AB70" s="417">
        <v>0</v>
      </c>
    </row>
    <row r="71" spans="2:28" ht="24" thickBot="1" x14ac:dyDescent="0.3">
      <c r="B71" s="346">
        <f t="shared" si="3"/>
        <v>46120</v>
      </c>
      <c r="C71" s="343">
        <f>IF(H71=0, 0, IFERROR(VLOOKUP($B71,BD!$B$4:$BO$389,37,FALSE), 0))</f>
        <v>37.57309941520468</v>
      </c>
      <c r="D71" s="344">
        <f t="shared" si="4"/>
        <v>9</v>
      </c>
      <c r="E71" s="344">
        <f>IFERROR(VLOOKUP($B71,BD!$B$4:$BO$389,38,FALSE), NA())</f>
        <v>19</v>
      </c>
      <c r="F71" s="344">
        <f>IFERROR(VLOOKUP($B71,BD!$B$4:$BO$389,39,FALSE), NA())</f>
        <v>3747308</v>
      </c>
      <c r="G71" s="344">
        <f>IFERROR(VLOOKUP($B71,BD!$B$4:$BO$400,40,FALSE), NA())</f>
        <v>3749878</v>
      </c>
      <c r="H71" s="345">
        <f>IFERROR(VLOOKUP($B71,BD!$B$4:$BO$389,41,FALSE), NA())</f>
        <v>2570</v>
      </c>
      <c r="I71" s="346">
        <f t="shared" si="5"/>
        <v>46120</v>
      </c>
      <c r="J71" s="343">
        <f>IF(O71=0, 0, IFERROR(VLOOKUP($I71,BD!$B$4:$BO$389,17,FALSE), 0))</f>
        <v>0</v>
      </c>
      <c r="K71" s="344"/>
      <c r="L71" s="344">
        <f>IFERROR(VLOOKUP($I71,BD!$B$4:$BO$389,18,FALSE), NA())</f>
        <v>0</v>
      </c>
      <c r="M71" s="344">
        <f>IFERROR(VLOOKUP($I71,BD!$B$4:$BO$389,19,FALSE), NA())</f>
        <v>371348</v>
      </c>
      <c r="N71" s="344">
        <f>IFERROR(VLOOKUP($I71,BD!$B$4:$BO$400,20,FALSE), NA())</f>
        <v>371385</v>
      </c>
      <c r="O71" s="345">
        <f>IFERROR(VLOOKUP($I71,BD!$B$4:$BO$389,21,FALSE), NA())</f>
        <v>37</v>
      </c>
      <c r="P71" s="346">
        <f t="shared" si="6"/>
        <v>46120</v>
      </c>
      <c r="Q71" s="343">
        <f>IF(V71=0, 0, IFERROR(VLOOKUP($P71,BD!$B$4:$BO$389,47,FALSE), 0))</f>
        <v>11.587301587301587</v>
      </c>
      <c r="R71" s="344">
        <f t="shared" si="7"/>
        <v>12.7</v>
      </c>
      <c r="S71" s="344">
        <f>IFERROR(VLOOKUP($P71,BD!$B$4:$BO$389,48,FALSE), NA())</f>
        <v>14</v>
      </c>
      <c r="T71" s="344">
        <f>IFERROR(VLOOKUP($P71,BD!$B$4:$BO$389,49,FALSE), NA())</f>
        <v>624181</v>
      </c>
      <c r="U71" s="344">
        <f>IFERROR(VLOOKUP($P71,BD!$B$4:$BO$400,50,FALSE), NA())</f>
        <v>624765</v>
      </c>
      <c r="V71" s="345">
        <f>IFERROR(VLOOKUP($P71,BD!$B$4:$BO$389,51,FALSE), NA())</f>
        <v>584</v>
      </c>
      <c r="AB71" s="418">
        <v>0</v>
      </c>
    </row>
    <row r="72" spans="2:28" ht="24" thickBot="1" x14ac:dyDescent="0.3">
      <c r="B72" s="346">
        <f t="shared" si="3"/>
        <v>46121</v>
      </c>
      <c r="C72" s="343">
        <f>IF(H72=0, 0, IFERROR(VLOOKUP($B72,BD!$B$4:$BO$389,37,FALSE), 0))</f>
        <v>38.213213213213216</v>
      </c>
      <c r="D72" s="344">
        <f t="shared" si="4"/>
        <v>9</v>
      </c>
      <c r="E72" s="344">
        <f>IFERROR(VLOOKUP($B72,BD!$B$4:$BO$389,38,FALSE), NA())</f>
        <v>18.5</v>
      </c>
      <c r="F72" s="344">
        <f>IFERROR(VLOOKUP($B72,BD!$B$4:$BO$389,39,FALSE), NA())</f>
        <v>3749878</v>
      </c>
      <c r="G72" s="344">
        <f>IFERROR(VLOOKUP($B72,BD!$B$4:$BO$400,40,FALSE), NA())</f>
        <v>3752423</v>
      </c>
      <c r="H72" s="345">
        <f>IFERROR(VLOOKUP($B72,BD!$B$4:$BO$389,41,FALSE), NA())</f>
        <v>2545</v>
      </c>
      <c r="I72" s="346">
        <f t="shared" si="5"/>
        <v>46121</v>
      </c>
      <c r="J72" s="343">
        <f>IF(O72=0, 0, IFERROR(VLOOKUP($I72,BD!$B$4:$BO$389,17,FALSE), 0))</f>
        <v>0</v>
      </c>
      <c r="K72" s="344"/>
      <c r="L72" s="344">
        <f>IFERROR(VLOOKUP($I72,BD!$B$4:$BO$389,18,FALSE), NA())</f>
        <v>0</v>
      </c>
      <c r="M72" s="344">
        <f>IFERROR(VLOOKUP($I72,BD!$B$4:$BO$389,19,FALSE), NA())</f>
        <v>371385</v>
      </c>
      <c r="N72" s="344">
        <f>IFERROR(VLOOKUP($I72,BD!$B$4:$BO$400,20,FALSE), NA())</f>
        <v>371385</v>
      </c>
      <c r="O72" s="345">
        <f>IFERROR(VLOOKUP($I72,BD!$B$4:$BO$389,21,FALSE), NA())</f>
        <v>0</v>
      </c>
      <c r="P72" s="346">
        <f t="shared" si="6"/>
        <v>46121</v>
      </c>
      <c r="Q72" s="343">
        <f>IF(V72=0, 0, IFERROR(VLOOKUP($P72,BD!$B$4:$BO$389,47,FALSE), 0))</f>
        <v>11.441798941798941</v>
      </c>
      <c r="R72" s="344">
        <f t="shared" si="7"/>
        <v>12.7</v>
      </c>
      <c r="S72" s="344">
        <f>IFERROR(VLOOKUP($P72,BD!$B$4:$BO$389,48,FALSE), NA())</f>
        <v>21</v>
      </c>
      <c r="T72" s="344">
        <f>IFERROR(VLOOKUP($P72,BD!$B$4:$BO$389,49,FALSE), NA())</f>
        <v>624765</v>
      </c>
      <c r="U72" s="344">
        <f>IFERROR(VLOOKUP($P72,BD!$B$4:$BO$400,50,FALSE), NA())</f>
        <v>625630</v>
      </c>
      <c r="V72" s="345">
        <f>IFERROR(VLOOKUP($P72,BD!$B$4:$BO$389,51,FALSE), NA())</f>
        <v>865</v>
      </c>
      <c r="AB72" s="418">
        <v>38681.1</v>
      </c>
    </row>
    <row r="73" spans="2:28" ht="24" thickBot="1" x14ac:dyDescent="0.3">
      <c r="B73" s="346">
        <f t="shared" si="3"/>
        <v>46122</v>
      </c>
      <c r="C73" s="343">
        <f>IF(H73=0, 0, IFERROR(VLOOKUP($B73,BD!$B$4:$BO$389,37,FALSE), 0))</f>
        <v>38.858024691358025</v>
      </c>
      <c r="D73" s="344">
        <f t="shared" si="4"/>
        <v>9</v>
      </c>
      <c r="E73" s="344">
        <f>IFERROR(VLOOKUP($B73,BD!$B$4:$BO$389,38,FALSE), NA())</f>
        <v>18</v>
      </c>
      <c r="F73" s="344">
        <f>IFERROR(VLOOKUP($B73,BD!$B$4:$BO$389,39,FALSE), NA())</f>
        <v>3752423</v>
      </c>
      <c r="G73" s="344">
        <f>IFERROR(VLOOKUP($B73,BD!$B$4:$BO$400,40,FALSE), NA())</f>
        <v>3754941</v>
      </c>
      <c r="H73" s="345">
        <f>IFERROR(VLOOKUP($B73,BD!$B$4:$BO$389,41,FALSE), NA())</f>
        <v>2518</v>
      </c>
      <c r="I73" s="346">
        <f t="shared" si="5"/>
        <v>46122</v>
      </c>
      <c r="J73" s="343">
        <f>IF(O73=0, 0, IFERROR(VLOOKUP($I73,BD!$B$4:$BO$389,17,FALSE), 0))</f>
        <v>0</v>
      </c>
      <c r="K73" s="344"/>
      <c r="L73" s="344">
        <f>IFERROR(VLOOKUP($I73,BD!$B$4:$BO$389,18,FALSE), NA())</f>
        <v>0</v>
      </c>
      <c r="M73" s="344">
        <f>IFERROR(VLOOKUP($I73,BD!$B$4:$BO$389,19,FALSE), NA())</f>
        <v>371385</v>
      </c>
      <c r="N73" s="344">
        <f>IFERROR(VLOOKUP($I73,BD!$B$4:$BO$400,20,FALSE), NA())</f>
        <v>371385</v>
      </c>
      <c r="O73" s="345">
        <f>IFERROR(VLOOKUP($I73,BD!$B$4:$BO$389,21,FALSE), NA())</f>
        <v>0</v>
      </c>
      <c r="P73" s="346">
        <f t="shared" si="6"/>
        <v>46122</v>
      </c>
      <c r="Q73" s="343">
        <f>IF(V73=0, 0, IFERROR(VLOOKUP($P73,BD!$B$4:$BO$389,47,FALSE), 0))</f>
        <v>11.71875</v>
      </c>
      <c r="R73" s="344">
        <f t="shared" si="7"/>
        <v>12.7</v>
      </c>
      <c r="S73" s="344">
        <f>IFERROR(VLOOKUP($P73,BD!$B$4:$BO$389,48,FALSE), NA())</f>
        <v>16</v>
      </c>
      <c r="T73" s="344">
        <f>IFERROR(VLOOKUP($P73,BD!$B$4:$BO$389,49,FALSE), NA())</f>
        <v>625630</v>
      </c>
      <c r="U73" s="344">
        <f>IFERROR(VLOOKUP($P73,BD!$B$4:$BO$400,50,FALSE), NA())</f>
        <v>626305</v>
      </c>
      <c r="V73" s="345">
        <f>IFERROR(VLOOKUP($P73,BD!$B$4:$BO$389,51,FALSE), NA())</f>
        <v>675</v>
      </c>
      <c r="AB73" s="417">
        <v>930463.3</v>
      </c>
    </row>
    <row r="74" spans="2:28" ht="24" thickBot="1" x14ac:dyDescent="0.3">
      <c r="B74" s="346">
        <f t="shared" si="3"/>
        <v>46123</v>
      </c>
      <c r="C74" s="343">
        <f>IF(H74=0, 0, IFERROR(VLOOKUP($B74,BD!$B$4:$BO$389,37,FALSE), 0))</f>
        <v>38.086419753086417</v>
      </c>
      <c r="D74" s="344">
        <f t="shared" si="4"/>
        <v>9</v>
      </c>
      <c r="E74" s="344">
        <f>IFERROR(VLOOKUP($B74,BD!$B$4:$BO$389,38,FALSE), NA())</f>
        <v>18</v>
      </c>
      <c r="F74" s="344">
        <f>IFERROR(VLOOKUP($B74,BD!$B$4:$BO$389,39,FALSE), NA())</f>
        <v>3754941</v>
      </c>
      <c r="G74" s="344">
        <f>IFERROR(VLOOKUP($B74,BD!$B$4:$BO$400,40,FALSE), NA())</f>
        <v>3757409</v>
      </c>
      <c r="H74" s="345">
        <f>IFERROR(VLOOKUP($B74,BD!$B$4:$BO$389,41,FALSE), NA())</f>
        <v>2468</v>
      </c>
      <c r="I74" s="346">
        <f t="shared" si="5"/>
        <v>46123</v>
      </c>
      <c r="J74" s="343">
        <f>IF(O74=0, 0, IFERROR(VLOOKUP($I74,BD!$B$4:$BO$389,17,FALSE), 0))</f>
        <v>0</v>
      </c>
      <c r="K74" s="344"/>
      <c r="L74" s="344">
        <f>IFERROR(VLOOKUP($I74,BD!$B$4:$BO$389,18,FALSE), NA())</f>
        <v>0</v>
      </c>
      <c r="M74" s="344">
        <f>IFERROR(VLOOKUP($I74,BD!$B$4:$BO$389,19,FALSE), NA())</f>
        <v>371385</v>
      </c>
      <c r="N74" s="344">
        <f>IFERROR(VLOOKUP($I74,BD!$B$4:$BO$400,20,FALSE), NA())</f>
        <v>371385</v>
      </c>
      <c r="O74" s="345">
        <f>IFERROR(VLOOKUP($I74,BD!$B$4:$BO$389,21,FALSE), NA())</f>
        <v>0</v>
      </c>
      <c r="P74" s="346">
        <f t="shared" si="6"/>
        <v>46123</v>
      </c>
      <c r="Q74" s="343">
        <f>IF(V74=0, 0, IFERROR(VLOOKUP($P74,BD!$B$4:$BO$389,47,FALSE), 0))</f>
        <v>11.684027777777777</v>
      </c>
      <c r="R74" s="344">
        <f t="shared" si="7"/>
        <v>12.7</v>
      </c>
      <c r="S74" s="344">
        <f>IFERROR(VLOOKUP($P74,BD!$B$4:$BO$389,48,FALSE), NA())</f>
        <v>16</v>
      </c>
      <c r="T74" s="344">
        <f>IFERROR(VLOOKUP($P74,BD!$B$4:$BO$389,49,FALSE), NA())</f>
        <v>626305</v>
      </c>
      <c r="U74" s="344">
        <f>IFERROR(VLOOKUP($P74,BD!$B$4:$BO$400,50,FALSE), NA())</f>
        <v>626978</v>
      </c>
      <c r="V74" s="345">
        <f>IFERROR(VLOOKUP($P74,BD!$B$4:$BO$389,51,FALSE), NA())</f>
        <v>673</v>
      </c>
      <c r="AB74" s="418">
        <v>129474</v>
      </c>
    </row>
    <row r="75" spans="2:28" ht="24" thickBot="1" x14ac:dyDescent="0.3">
      <c r="B75" s="532" t="s">
        <v>16</v>
      </c>
      <c r="C75" s="533"/>
      <c r="D75" s="533"/>
      <c r="E75" s="533"/>
      <c r="F75" s="533"/>
      <c r="G75" s="534"/>
      <c r="H75" s="348">
        <f>_xlfn.AGGREGATE(9,6,H44:H74)</f>
        <v>75525</v>
      </c>
      <c r="I75" s="532" t="s">
        <v>16</v>
      </c>
      <c r="J75" s="533"/>
      <c r="K75" s="533"/>
      <c r="L75" s="533"/>
      <c r="M75" s="533"/>
      <c r="N75" s="534"/>
      <c r="O75" s="348">
        <f>_xlfn.AGGREGATE(9,6,O44:O74)</f>
        <v>42979</v>
      </c>
      <c r="P75" s="532" t="s">
        <v>16</v>
      </c>
      <c r="Q75" s="533"/>
      <c r="R75" s="533"/>
      <c r="S75" s="533"/>
      <c r="T75" s="533"/>
      <c r="U75" s="534"/>
      <c r="V75" s="348">
        <f>_xlfn.AGGREGATE(9,6,V44:V74)</f>
        <v>20015</v>
      </c>
      <c r="AB75" s="417">
        <v>122860.8</v>
      </c>
    </row>
    <row r="76" spans="2:28" ht="24" thickBot="1" x14ac:dyDescent="0.3">
      <c r="B76" s="532" t="s">
        <v>17</v>
      </c>
      <c r="C76" s="533"/>
      <c r="D76" s="533"/>
      <c r="E76" s="533"/>
      <c r="F76" s="533"/>
      <c r="G76" s="534"/>
      <c r="H76" s="348">
        <f>H75*0.1</f>
        <v>7552.5</v>
      </c>
      <c r="I76" s="532" t="s">
        <v>17</v>
      </c>
      <c r="J76" s="533"/>
      <c r="K76" s="533"/>
      <c r="L76" s="533"/>
      <c r="M76" s="533"/>
      <c r="N76" s="534"/>
      <c r="O76" s="348">
        <f>O75*0.1</f>
        <v>4297.9000000000005</v>
      </c>
      <c r="P76" s="532" t="s">
        <v>17</v>
      </c>
      <c r="Q76" s="533"/>
      <c r="R76" s="533"/>
      <c r="S76" s="533"/>
      <c r="T76" s="533"/>
      <c r="U76" s="534"/>
      <c r="V76" s="348">
        <f>V75*0.1</f>
        <v>2001.5</v>
      </c>
      <c r="AB76" s="418">
        <v>67972.5</v>
      </c>
    </row>
    <row r="77" spans="2:28" ht="25.5" thickBot="1" x14ac:dyDescent="0.3">
      <c r="B77" s="532" t="s">
        <v>564</v>
      </c>
      <c r="C77" s="533"/>
      <c r="D77" s="533"/>
      <c r="E77" s="533"/>
      <c r="F77" s="533"/>
      <c r="G77" s="534"/>
      <c r="H77" s="348">
        <f>H75-H76</f>
        <v>67972.5</v>
      </c>
      <c r="I77" s="532" t="s">
        <v>564</v>
      </c>
      <c r="J77" s="533"/>
      <c r="K77" s="533"/>
      <c r="L77" s="533"/>
      <c r="M77" s="533"/>
      <c r="N77" s="534"/>
      <c r="O77" s="348">
        <f>O75-O76</f>
        <v>38681.1</v>
      </c>
      <c r="P77" s="532" t="s">
        <v>564</v>
      </c>
      <c r="Q77" s="533"/>
      <c r="R77" s="533"/>
      <c r="S77" s="533"/>
      <c r="T77" s="533"/>
      <c r="U77" s="534"/>
      <c r="V77" s="348">
        <f>V75-V76</f>
        <v>18013.5</v>
      </c>
      <c r="AB77" s="418">
        <v>18013.5</v>
      </c>
    </row>
    <row r="78" spans="2:28" ht="50.1" customHeight="1" thickBot="1" x14ac:dyDescent="0.55000000000000004">
      <c r="AB78" s="419">
        <f>SUM(AB69:AB77)</f>
        <v>1368522.1</v>
      </c>
    </row>
    <row r="79" spans="2:28" ht="26.25" thickBot="1" x14ac:dyDescent="0.4">
      <c r="B79" s="531" t="s">
        <v>550</v>
      </c>
      <c r="C79" s="531"/>
      <c r="D79" s="531"/>
      <c r="E79" s="531"/>
      <c r="F79" s="531"/>
      <c r="G79" s="531"/>
      <c r="H79" s="531"/>
      <c r="I79" s="531" t="s">
        <v>565</v>
      </c>
      <c r="J79" s="531"/>
      <c r="K79" s="531"/>
      <c r="L79" s="531"/>
      <c r="M79" s="531"/>
      <c r="N79" s="531"/>
      <c r="O79" s="531"/>
      <c r="P79" s="531" t="s">
        <v>551</v>
      </c>
      <c r="Q79" s="531"/>
      <c r="R79" s="531"/>
      <c r="S79" s="531"/>
      <c r="T79" s="531"/>
      <c r="U79" s="531"/>
      <c r="V79" s="531"/>
    </row>
    <row r="80" spans="2:28" ht="26.25" hidden="1" thickBot="1" x14ac:dyDescent="0.4">
      <c r="B80" s="528" t="str">
        <f>PROPER(TEXT(B82,"mmmm"))</f>
        <v>Marzo</v>
      </c>
      <c r="C80" s="529"/>
      <c r="D80" s="529"/>
      <c r="E80" s="529"/>
      <c r="F80" s="529"/>
      <c r="G80" s="529"/>
      <c r="H80" s="530"/>
      <c r="I80" s="528" t="str">
        <f>PROPER(TEXT(I82,"mmmm"))</f>
        <v>Marzo</v>
      </c>
      <c r="J80" s="529"/>
      <c r="K80" s="529"/>
      <c r="L80" s="529"/>
      <c r="M80" s="529"/>
      <c r="N80" s="529"/>
      <c r="O80" s="530"/>
      <c r="P80" s="528" t="str">
        <f>PROPER(TEXT(P82,"mmmm"))</f>
        <v>Marzo</v>
      </c>
      <c r="Q80" s="529"/>
      <c r="R80" s="529"/>
      <c r="S80" s="529"/>
      <c r="T80" s="529"/>
      <c r="U80" s="529"/>
      <c r="V80" s="530"/>
    </row>
    <row r="81" spans="2:22" ht="30" customHeight="1" thickBot="1" x14ac:dyDescent="0.3">
      <c r="B81" s="341" t="s">
        <v>80</v>
      </c>
      <c r="C81" s="341" t="s">
        <v>569</v>
      </c>
      <c r="D81" s="341" t="s">
        <v>711</v>
      </c>
      <c r="E81" s="341" t="s">
        <v>712</v>
      </c>
      <c r="F81" s="341" t="s">
        <v>713</v>
      </c>
      <c r="G81" s="341" t="s">
        <v>714</v>
      </c>
      <c r="H81" s="341" t="s">
        <v>715</v>
      </c>
      <c r="I81" s="341" t="s">
        <v>80</v>
      </c>
      <c r="J81" s="341" t="s">
        <v>569</v>
      </c>
      <c r="K81" s="341" t="s">
        <v>711</v>
      </c>
      <c r="L81" s="341" t="s">
        <v>712</v>
      </c>
      <c r="M81" s="341" t="s">
        <v>713</v>
      </c>
      <c r="N81" s="341" t="s">
        <v>714</v>
      </c>
      <c r="O81" s="341" t="s">
        <v>715</v>
      </c>
      <c r="P81" s="341" t="s">
        <v>80</v>
      </c>
      <c r="Q81" s="341" t="s">
        <v>569</v>
      </c>
      <c r="R81" s="341" t="s">
        <v>711</v>
      </c>
      <c r="S81" s="341" t="s">
        <v>712</v>
      </c>
      <c r="T81" s="341" t="s">
        <v>713</v>
      </c>
      <c r="U81" s="341" t="s">
        <v>714</v>
      </c>
      <c r="V81" s="341" t="s">
        <v>715</v>
      </c>
    </row>
    <row r="82" spans="2:22" ht="24" thickBot="1" x14ac:dyDescent="0.3">
      <c r="B82" s="346">
        <f>$B$1</f>
        <v>46093</v>
      </c>
      <c r="C82" s="343">
        <f>IF(H82=0, 0, IFERROR(VLOOKUP($B82,BD!$B$4:$BO$389,22,FALSE), 0))</f>
        <v>396.18703601527761</v>
      </c>
      <c r="D82" s="344"/>
      <c r="E82" s="344">
        <f>IFERROR(VLOOKUP($B82,BD!$B$4:$BO$400,23,FALSE), NA())</f>
        <v>24</v>
      </c>
      <c r="F82" s="344">
        <f>IFERROR(VLOOKUP($B82,BD!$B$4:$BO$389,24,FALSE), NA())</f>
        <v>2940445.8899689601</v>
      </c>
      <c r="G82" s="344">
        <f>IFERROR(VLOOKUP($B82,BD!$B$4:$BO$400,25,FALSE), NA())</f>
        <v>2976322.4498806801</v>
      </c>
      <c r="H82" s="345">
        <f>IFERROR(VLOOKUP($B82,BD!$B$4:$BO$389,26,FALSE), NA())</f>
        <v>34230.559911719989</v>
      </c>
      <c r="I82" s="346">
        <f>$B$1</f>
        <v>46093</v>
      </c>
      <c r="J82" s="347">
        <f>IF(O82=0, 0, IFERROR(VLOOKUP($I82,BD!$B$4:$BO$389,27,FALSE), 0))</f>
        <v>60</v>
      </c>
      <c r="K82" s="344"/>
      <c r="L82" s="344">
        <f>IFERROR(VLOOKUP($I82,BD!$B$4:$BO$400,28,FALSE), NA())</f>
        <v>24</v>
      </c>
      <c r="M82" s="344">
        <f>IFERROR(VLOOKUP($I82,BD!$B$4:$BO$400,29,FALSE), NA())</f>
        <v>5404388</v>
      </c>
      <c r="N82" s="344">
        <f>IFERROR(VLOOKUP($I82,BD!$B$4:$BO$400,30,FALSE), NA())</f>
        <v>5409606</v>
      </c>
      <c r="O82" s="345">
        <f>IFERROR(VLOOKUP($I82,BD!$B$4:$BO$389,31,FALSE), NA())</f>
        <v>5218</v>
      </c>
      <c r="P82" s="346">
        <f>$B$1</f>
        <v>46093</v>
      </c>
      <c r="Q82" s="347">
        <f>IF(V82=0, 0, IFERROR(VLOOKUP($P82,BD!$B$4:$BO$389,32,FALSE), 0))</f>
        <v>60</v>
      </c>
      <c r="R82" s="344"/>
      <c r="S82" s="344">
        <f>IFERROR(VLOOKUP($P82,BD!$B$4:$BO$400,33,FALSE), NA())</f>
        <v>24</v>
      </c>
      <c r="T82" s="344">
        <f>IFERROR(VLOOKUP($P82,BD!$B$4:$BO$400,34,FALSE), NA())</f>
        <v>0</v>
      </c>
      <c r="U82" s="344">
        <f>IFERROR(VLOOKUP($P82,BD!$B$4:$BO$400,35,FALSE), NA())</f>
        <v>0</v>
      </c>
      <c r="V82" s="345">
        <f>IFERROR(VLOOKUP($P82,BD!$B$4:$BO$389,36,FALSE), NA())</f>
        <v>5184</v>
      </c>
    </row>
    <row r="83" spans="2:22" ht="24" thickBot="1" x14ac:dyDescent="0.3">
      <c r="B83" s="346">
        <f t="shared" ref="B83:B112" si="8">IF(ROW(B83)-ROW($B$82)+1 &lt;= DAY(EOMONTH($B$1,0)), B82+1, "")</f>
        <v>46094</v>
      </c>
      <c r="C83" s="343">
        <f>IF(H83=0, 0, IFERROR(VLOOKUP($B83,BD!$B$4:$BO$389,22,FALSE), 0))</f>
        <v>392.97509733379462</v>
      </c>
      <c r="D83" s="344"/>
      <c r="E83" s="344">
        <f>IFERROR(VLOOKUP($B83,BD!$B$4:$BO$400,23,FALSE), NA())</f>
        <v>24</v>
      </c>
      <c r="F83" s="344">
        <f>IFERROR(VLOOKUP($B83,BD!$B$4:$BO$389,24,FALSE), NA())</f>
        <v>2976322.4498806801</v>
      </c>
      <c r="G83" s="344">
        <f>IFERROR(VLOOKUP($B83,BD!$B$4:$BO$400,25,FALSE), NA())</f>
        <v>3012083.4982903199</v>
      </c>
      <c r="H83" s="345">
        <f>IFERROR(VLOOKUP($B83,BD!$B$4:$BO$389,26,FALSE), NA())</f>
        <v>33953.048409639858</v>
      </c>
      <c r="I83" s="346">
        <f t="shared" ref="I83:I112" si="9">IF(ROW(I83)-ROW($I$82)+1 &lt;= DAY(EOMONTH($B$1,0)), I82+1, "")</f>
        <v>46094</v>
      </c>
      <c r="J83" s="347">
        <f>IF(O83=0, 0, IFERROR(VLOOKUP($I83,BD!$B$4:$BO$389,27,FALSE), 0))</f>
        <v>62</v>
      </c>
      <c r="K83" s="344"/>
      <c r="L83" s="344">
        <f>IFERROR(VLOOKUP($I83,BD!$B$4:$BO$400,28,FALSE), NA())</f>
        <v>24</v>
      </c>
      <c r="M83" s="344">
        <f>IFERROR(VLOOKUP($I83,BD!$B$4:$BO$400,29,FALSE), NA())</f>
        <v>5409606</v>
      </c>
      <c r="N83" s="344">
        <f>IFERROR(VLOOKUP($I83,BD!$B$4:$BO$400,30,FALSE), NA())</f>
        <v>5414981</v>
      </c>
      <c r="O83" s="345">
        <f>IFERROR(VLOOKUP($I83,BD!$B$4:$BO$389,31,FALSE), NA())</f>
        <v>5375</v>
      </c>
      <c r="P83" s="346">
        <f t="shared" ref="P83:P112" si="10">IF(ROW(P83)-ROW($P$82)+1 &lt;= DAY(EOMONTH($B$1,0)), P82+1, "")</f>
        <v>46094</v>
      </c>
      <c r="Q83" s="347">
        <f>IF(V83=0, 0, IFERROR(VLOOKUP($P83,BD!$B$4:$BO$389,32,FALSE), 0))</f>
        <v>60</v>
      </c>
      <c r="R83" s="344"/>
      <c r="S83" s="344">
        <f>IFERROR(VLOOKUP($P83,BD!$B$4:$BO$400,33,FALSE), NA())</f>
        <v>24</v>
      </c>
      <c r="T83" s="344">
        <f>IFERROR(VLOOKUP($P83,BD!$B$4:$BO$400,34,FALSE), NA())</f>
        <v>0</v>
      </c>
      <c r="U83" s="344">
        <f>IFERROR(VLOOKUP($P83,BD!$B$4:$BO$400,35,FALSE), NA())</f>
        <v>0</v>
      </c>
      <c r="V83" s="345">
        <f>IFERROR(VLOOKUP($P83,BD!$B$4:$BO$389,36,FALSE), NA())</f>
        <v>5184</v>
      </c>
    </row>
    <row r="84" spans="2:22" ht="24" thickBot="1" x14ac:dyDescent="0.3">
      <c r="B84" s="346">
        <f t="shared" si="8"/>
        <v>46095</v>
      </c>
      <c r="C84" s="343">
        <f>IF(H84=0, 0, IFERROR(VLOOKUP($B84,BD!$B$4:$BO$389,22,FALSE), 0))</f>
        <v>379.74740550231348</v>
      </c>
      <c r="D84" s="344"/>
      <c r="E84" s="344">
        <f>IFERROR(VLOOKUP($B84,BD!$B$4:$BO$400,23,FALSE), NA())</f>
        <v>24</v>
      </c>
      <c r="F84" s="344">
        <f>IFERROR(VLOOKUP($B84,BD!$B$4:$BO$389,24,FALSE), NA())</f>
        <v>3012083.4982903199</v>
      </c>
      <c r="G84" s="344">
        <f>IFERROR(VLOOKUP($B84,BD!$B$4:$BO$400,25,FALSE), NA())</f>
        <v>3046757.6741257198</v>
      </c>
      <c r="H84" s="345">
        <f>IFERROR(VLOOKUP($B84,BD!$B$4:$BO$389,26,FALSE), NA())</f>
        <v>32810.175835399888</v>
      </c>
      <c r="I84" s="346">
        <f t="shared" si="9"/>
        <v>46095</v>
      </c>
      <c r="J84" s="347">
        <f>IF(O84=0, 0, IFERROR(VLOOKUP($I84,BD!$B$4:$BO$389,27,FALSE), 0))</f>
        <v>63</v>
      </c>
      <c r="K84" s="344"/>
      <c r="L84" s="344">
        <f>IFERROR(VLOOKUP($I84,BD!$B$4:$BO$400,28,FALSE), NA())</f>
        <v>24</v>
      </c>
      <c r="M84" s="344">
        <f>IFERROR(VLOOKUP($I84,BD!$B$4:$BO$400,29,FALSE), NA())</f>
        <v>5414981</v>
      </c>
      <c r="N84" s="344">
        <f>IFERROR(VLOOKUP($I84,BD!$B$4:$BO$400,30,FALSE), NA())</f>
        <v>5420475</v>
      </c>
      <c r="O84" s="345">
        <f>IFERROR(VLOOKUP($I84,BD!$B$4:$BO$389,31,FALSE), NA())</f>
        <v>5494</v>
      </c>
      <c r="P84" s="346">
        <f t="shared" si="10"/>
        <v>46095</v>
      </c>
      <c r="Q84" s="347">
        <f>IF(V84=0, 0, IFERROR(VLOOKUP($P84,BD!$B$4:$BO$389,32,FALSE), 0))</f>
        <v>60</v>
      </c>
      <c r="R84" s="344"/>
      <c r="S84" s="344">
        <f>IFERROR(VLOOKUP($P84,BD!$B$4:$BO$400,33,FALSE), NA())</f>
        <v>24</v>
      </c>
      <c r="T84" s="344">
        <f>IFERROR(VLOOKUP($P84,BD!$B$4:$BO$400,34,FALSE), NA())</f>
        <v>0</v>
      </c>
      <c r="U84" s="344">
        <f>IFERROR(VLOOKUP($P84,BD!$B$4:$BO$400,35,FALSE), NA())</f>
        <v>0</v>
      </c>
      <c r="V84" s="345">
        <f>IFERROR(VLOOKUP($P84,BD!$B$4:$BO$389,36,FALSE), NA())</f>
        <v>5184</v>
      </c>
    </row>
    <row r="85" spans="2:22" ht="24" thickBot="1" x14ac:dyDescent="0.3">
      <c r="B85" s="346">
        <f t="shared" si="8"/>
        <v>46096</v>
      </c>
      <c r="C85" s="343">
        <f>IF(H85=0, 0, IFERROR(VLOOKUP($B85,BD!$B$4:$BO$389,22,FALSE), 0))</f>
        <v>378.17553095231739</v>
      </c>
      <c r="D85" s="344"/>
      <c r="E85" s="344">
        <f>IFERROR(VLOOKUP($B85,BD!$B$4:$BO$400,23,FALSE), NA())</f>
        <v>24</v>
      </c>
      <c r="F85" s="344">
        <f>IFERROR(VLOOKUP($B85,BD!$B$4:$BO$389,24,FALSE), NA())</f>
        <v>3046757.6741257198</v>
      </c>
      <c r="G85" s="344">
        <f>IFERROR(VLOOKUP($B85,BD!$B$4:$BO$400,25,FALSE), NA())</f>
        <v>3081201.04</v>
      </c>
      <c r="H85" s="345">
        <f>IFERROR(VLOOKUP($B85,BD!$B$4:$BO$389,26,FALSE), NA())</f>
        <v>32674.365874280222</v>
      </c>
      <c r="I85" s="346">
        <f t="shared" si="9"/>
        <v>46096</v>
      </c>
      <c r="J85" s="347">
        <f>IF(O85=0, 0, IFERROR(VLOOKUP($I85,BD!$B$4:$BO$389,27,FALSE), 0))</f>
        <v>61</v>
      </c>
      <c r="K85" s="344"/>
      <c r="L85" s="344">
        <f>IFERROR(VLOOKUP($I85,BD!$B$4:$BO$400,28,FALSE), NA())</f>
        <v>24</v>
      </c>
      <c r="M85" s="344">
        <f>IFERROR(VLOOKUP($I85,BD!$B$4:$BO$400,29,FALSE), NA())</f>
        <v>5420475</v>
      </c>
      <c r="N85" s="344">
        <f>IFERROR(VLOOKUP($I85,BD!$B$4:$BO$400,30,FALSE), NA())</f>
        <v>5425816</v>
      </c>
      <c r="O85" s="345">
        <f>IFERROR(VLOOKUP($I85,BD!$B$4:$BO$389,31,FALSE), NA())</f>
        <v>5341</v>
      </c>
      <c r="P85" s="346">
        <f t="shared" si="10"/>
        <v>46096</v>
      </c>
      <c r="Q85" s="347">
        <f>IF(V85=0, 0, IFERROR(VLOOKUP($P85,BD!$B$4:$BO$389,32,FALSE), 0))</f>
        <v>60</v>
      </c>
      <c r="R85" s="344"/>
      <c r="S85" s="344">
        <f>IFERROR(VLOOKUP($P85,BD!$B$4:$BO$400,33,FALSE), NA())</f>
        <v>24</v>
      </c>
      <c r="T85" s="344">
        <f>IFERROR(VLOOKUP($P85,BD!$B$4:$BO$400,34,FALSE), NA())</f>
        <v>0</v>
      </c>
      <c r="U85" s="344">
        <f>IFERROR(VLOOKUP($P85,BD!$B$4:$BO$400,35,FALSE), NA())</f>
        <v>0</v>
      </c>
      <c r="V85" s="345">
        <f>IFERROR(VLOOKUP($P85,BD!$B$4:$BO$389,36,FALSE), NA())</f>
        <v>5184</v>
      </c>
    </row>
    <row r="86" spans="2:22" ht="24" thickBot="1" x14ac:dyDescent="0.3">
      <c r="B86" s="346">
        <f t="shared" si="8"/>
        <v>46097</v>
      </c>
      <c r="C86" s="343">
        <f>IF(H86=0, 0, IFERROR(VLOOKUP($B86,BD!$B$4:$BO$389,22,FALSE), 0))</f>
        <v>361.49305555555554</v>
      </c>
      <c r="D86" s="344"/>
      <c r="E86" s="344">
        <f>IFERROR(VLOOKUP($B86,BD!$B$4:$BO$400,23,FALSE), NA())</f>
        <v>24</v>
      </c>
      <c r="F86" s="344">
        <f>IFERROR(VLOOKUP($B86,BD!$B$4:$BO$389,24,FALSE), NA())</f>
        <v>3081201.04</v>
      </c>
      <c r="G86" s="344">
        <f>IFERROR(VLOOKUP($B86,BD!$B$4:$BO$400,25,FALSE), NA())</f>
        <v>3114528.04</v>
      </c>
      <c r="H86" s="345">
        <f>IFERROR(VLOOKUP($B86,BD!$B$4:$BO$389,26,FALSE), NA())</f>
        <v>31233</v>
      </c>
      <c r="I86" s="346">
        <f t="shared" si="9"/>
        <v>46097</v>
      </c>
      <c r="J86" s="347">
        <f>IF(O86=0, 0, IFERROR(VLOOKUP($I86,BD!$B$4:$BO$389,27,FALSE), 0))</f>
        <v>64</v>
      </c>
      <c r="K86" s="344"/>
      <c r="L86" s="344">
        <f>IFERROR(VLOOKUP($I86,BD!$B$4:$BO$400,28,FALSE), NA())</f>
        <v>24</v>
      </c>
      <c r="M86" s="344">
        <f>IFERROR(VLOOKUP($I86,BD!$B$4:$BO$400,29,FALSE), NA())</f>
        <v>5425816</v>
      </c>
      <c r="N86" s="344">
        <f>IFERROR(VLOOKUP($I86,BD!$B$4:$BO$400,30,FALSE), NA())</f>
        <v>5431420</v>
      </c>
      <c r="O86" s="345">
        <f>IFERROR(VLOOKUP($I86,BD!$B$4:$BO$389,31,FALSE), NA())</f>
        <v>5604</v>
      </c>
      <c r="P86" s="346">
        <f t="shared" si="10"/>
        <v>46097</v>
      </c>
      <c r="Q86" s="347">
        <f>IF(V86=0, 0, IFERROR(VLOOKUP($P86,BD!$B$4:$BO$389,32,FALSE), 0))</f>
        <v>60</v>
      </c>
      <c r="R86" s="344"/>
      <c r="S86" s="344">
        <f>IFERROR(VLOOKUP($P86,BD!$B$4:$BO$400,33,FALSE), NA())</f>
        <v>24</v>
      </c>
      <c r="T86" s="344">
        <f>IFERROR(VLOOKUP($P86,BD!$B$4:$BO$400,34,FALSE), NA())</f>
        <v>0</v>
      </c>
      <c r="U86" s="344">
        <f>IFERROR(VLOOKUP($P86,BD!$B$4:$BO$400,35,FALSE), NA())</f>
        <v>0</v>
      </c>
      <c r="V86" s="345">
        <f>IFERROR(VLOOKUP($P86,BD!$B$4:$BO$389,36,FALSE), NA())</f>
        <v>5184</v>
      </c>
    </row>
    <row r="87" spans="2:22" ht="24" thickBot="1" x14ac:dyDescent="0.3">
      <c r="B87" s="346">
        <f t="shared" si="8"/>
        <v>46098</v>
      </c>
      <c r="C87" s="343">
        <f>IF(H87=0, 0, IFERROR(VLOOKUP($B87,BD!$B$4:$BO$389,22,FALSE), 0))</f>
        <v>362.28803398379739</v>
      </c>
      <c r="D87" s="344"/>
      <c r="E87" s="344">
        <f>IFERROR(VLOOKUP($B87,BD!$B$4:$BO$400,23,FALSE), NA())</f>
        <v>24</v>
      </c>
      <c r="F87" s="344">
        <f>IFERROR(VLOOKUP($B87,BD!$B$4:$BO$389,24,FALSE), NA())</f>
        <v>3114528.04</v>
      </c>
      <c r="G87" s="344">
        <f>IFERROR(VLOOKUP($B87,BD!$B$4:$BO$400,25,FALSE), NA())</f>
        <v>3147805.7261362001</v>
      </c>
      <c r="H87" s="345">
        <f>IFERROR(VLOOKUP($B87,BD!$B$4:$BO$389,26,FALSE), NA())</f>
        <v>31301.686136200093</v>
      </c>
      <c r="I87" s="346">
        <f t="shared" si="9"/>
        <v>46098</v>
      </c>
      <c r="J87" s="347">
        <f>IF(O87=0, 0, IFERROR(VLOOKUP($I87,BD!$B$4:$BO$389,27,FALSE), 0))</f>
        <v>63</v>
      </c>
      <c r="K87" s="344"/>
      <c r="L87" s="344">
        <f>IFERROR(VLOOKUP($I87,BD!$B$4:$BO$400,28,FALSE), NA())</f>
        <v>24</v>
      </c>
      <c r="M87" s="344">
        <f>IFERROR(VLOOKUP($I87,BD!$B$4:$BO$400,29,FALSE), NA())</f>
        <v>5431420</v>
      </c>
      <c r="N87" s="344">
        <f>IFERROR(VLOOKUP($I87,BD!$B$4:$BO$400,30,FALSE), NA())</f>
        <v>5436903</v>
      </c>
      <c r="O87" s="345">
        <f>IFERROR(VLOOKUP($I87,BD!$B$4:$BO$389,31,FALSE), NA())</f>
        <v>5483</v>
      </c>
      <c r="P87" s="346">
        <f t="shared" si="10"/>
        <v>46098</v>
      </c>
      <c r="Q87" s="347">
        <f>IF(V87=0, 0, IFERROR(VLOOKUP($P87,BD!$B$4:$BO$389,32,FALSE), 0))</f>
        <v>60</v>
      </c>
      <c r="R87" s="344"/>
      <c r="S87" s="344">
        <f>IFERROR(VLOOKUP($P87,BD!$B$4:$BO$400,33,FALSE), NA())</f>
        <v>24</v>
      </c>
      <c r="T87" s="344">
        <f>IFERROR(VLOOKUP($P87,BD!$B$4:$BO$400,34,FALSE), NA())</f>
        <v>0</v>
      </c>
      <c r="U87" s="344">
        <f>IFERROR(VLOOKUP($P87,BD!$B$4:$BO$400,35,FALSE), NA())</f>
        <v>0</v>
      </c>
      <c r="V87" s="345">
        <f>IFERROR(VLOOKUP($P87,BD!$B$4:$BO$389,36,FALSE), NA())</f>
        <v>5184</v>
      </c>
    </row>
    <row r="88" spans="2:22" ht="24" thickBot="1" x14ac:dyDescent="0.3">
      <c r="B88" s="346">
        <f t="shared" si="8"/>
        <v>46099</v>
      </c>
      <c r="C88" s="343">
        <f>IF(H88=0, 0, IFERROR(VLOOKUP($B88,BD!$B$4:$BO$389,22,FALSE), 0))</f>
        <v>389.23588651898035</v>
      </c>
      <c r="D88" s="344"/>
      <c r="E88" s="344">
        <f>IFERROR(VLOOKUP($B88,BD!$B$4:$BO$400,23,FALSE), NA())</f>
        <v>24</v>
      </c>
      <c r="F88" s="344">
        <f>IFERROR(VLOOKUP($B88,BD!$B$4:$BO$389,24,FALSE), NA())</f>
        <v>3147805.7261362001</v>
      </c>
      <c r="G88" s="344">
        <f>IFERROR(VLOOKUP($B88,BD!$B$4:$BO$400,25,FALSE), NA())</f>
        <v>3183387.70673144</v>
      </c>
      <c r="H88" s="345">
        <f>IFERROR(VLOOKUP($B88,BD!$B$4:$BO$389,26,FALSE), NA())</f>
        <v>33629.980595239904</v>
      </c>
      <c r="I88" s="346">
        <f t="shared" si="9"/>
        <v>46099</v>
      </c>
      <c r="J88" s="347">
        <f>IF(O88=0, 0, IFERROR(VLOOKUP($I88,BD!$B$4:$BO$389,27,FALSE), 0))</f>
        <v>58</v>
      </c>
      <c r="K88" s="344"/>
      <c r="L88" s="344">
        <f>IFERROR(VLOOKUP($I88,BD!$B$4:$BO$400,28,FALSE), NA())</f>
        <v>24</v>
      </c>
      <c r="M88" s="344">
        <f>IFERROR(VLOOKUP($I88,BD!$B$4:$BO$400,29,FALSE), NA())</f>
        <v>5436903</v>
      </c>
      <c r="N88" s="344">
        <f>IFERROR(VLOOKUP($I88,BD!$B$4:$BO$400,30,FALSE), NA())</f>
        <v>5441946</v>
      </c>
      <c r="O88" s="345">
        <f>IFERROR(VLOOKUP($I88,BD!$B$4:$BO$389,31,FALSE), NA())</f>
        <v>5043</v>
      </c>
      <c r="P88" s="346">
        <f t="shared" si="10"/>
        <v>46099</v>
      </c>
      <c r="Q88" s="347">
        <f>IF(V88=0, 0, IFERROR(VLOOKUP($P88,BD!$B$4:$BO$389,32,FALSE), 0))</f>
        <v>60</v>
      </c>
      <c r="R88" s="344"/>
      <c r="S88" s="344">
        <f>IFERROR(VLOOKUP($P88,BD!$B$4:$BO$400,33,FALSE), NA())</f>
        <v>24</v>
      </c>
      <c r="T88" s="344">
        <f>IFERROR(VLOOKUP($P88,BD!$B$4:$BO$400,34,FALSE), NA())</f>
        <v>0</v>
      </c>
      <c r="U88" s="344">
        <f>IFERROR(VLOOKUP($P88,BD!$B$4:$BO$400,35,FALSE), NA())</f>
        <v>0</v>
      </c>
      <c r="V88" s="345">
        <f>IFERROR(VLOOKUP($P88,BD!$B$4:$BO$389,36,FALSE), NA())</f>
        <v>5184</v>
      </c>
    </row>
    <row r="89" spans="2:22" ht="24" thickBot="1" x14ac:dyDescent="0.3">
      <c r="B89" s="346">
        <f t="shared" si="8"/>
        <v>46100</v>
      </c>
      <c r="C89" s="343">
        <f>IF(H89=0, 0, IFERROR(VLOOKUP($B89,BD!$B$4:$BO$389,22,FALSE), 0))</f>
        <v>391.45106104305512</v>
      </c>
      <c r="D89" s="344"/>
      <c r="E89" s="344">
        <f>IFERROR(VLOOKUP($B89,BD!$B$4:$BO$400,23,FALSE), NA())</f>
        <v>24</v>
      </c>
      <c r="F89" s="344">
        <f>IFERROR(VLOOKUP($B89,BD!$B$4:$BO$389,24,FALSE), NA())</f>
        <v>3183387.70673144</v>
      </c>
      <c r="G89" s="344">
        <f>IFERROR(VLOOKUP($B89,BD!$B$4:$BO$400,25,FALSE), NA())</f>
        <v>3219323.07840556</v>
      </c>
      <c r="H89" s="345">
        <f>IFERROR(VLOOKUP($B89,BD!$B$4:$BO$389,26,FALSE), NA())</f>
        <v>33821.371674119961</v>
      </c>
      <c r="I89" s="346">
        <f t="shared" si="9"/>
        <v>46100</v>
      </c>
      <c r="J89" s="347">
        <f>IF(O89=0, 0, IFERROR(VLOOKUP($I89,BD!$B$4:$BO$389,27,FALSE), 0))</f>
        <v>63</v>
      </c>
      <c r="K89" s="344"/>
      <c r="L89" s="344">
        <f>IFERROR(VLOOKUP($I89,BD!$B$4:$BO$400,28,FALSE), NA())</f>
        <v>24</v>
      </c>
      <c r="M89" s="344">
        <f>IFERROR(VLOOKUP($I89,BD!$B$4:$BO$400,29,FALSE), NA())</f>
        <v>5441946</v>
      </c>
      <c r="N89" s="344">
        <f>IFERROR(VLOOKUP($I89,BD!$B$4:$BO$400,30,FALSE), NA())</f>
        <v>5447424</v>
      </c>
      <c r="O89" s="345">
        <f>IFERROR(VLOOKUP($I89,BD!$B$4:$BO$389,31,FALSE), NA())</f>
        <v>5478</v>
      </c>
      <c r="P89" s="346">
        <f t="shared" si="10"/>
        <v>46100</v>
      </c>
      <c r="Q89" s="347">
        <f>IF(V89=0, 0, IFERROR(VLOOKUP($P89,BD!$B$4:$BO$389,32,FALSE), 0))</f>
        <v>60</v>
      </c>
      <c r="R89" s="344"/>
      <c r="S89" s="344">
        <f>IFERROR(VLOOKUP($P89,BD!$B$4:$BO$400,33,FALSE), NA())</f>
        <v>24</v>
      </c>
      <c r="T89" s="344">
        <f>IFERROR(VLOOKUP($P89,BD!$B$4:$BO$400,34,FALSE), NA())</f>
        <v>0</v>
      </c>
      <c r="U89" s="344">
        <f>IFERROR(VLOOKUP($P89,BD!$B$4:$BO$400,35,FALSE), NA())</f>
        <v>0</v>
      </c>
      <c r="V89" s="345">
        <f>IFERROR(VLOOKUP($P89,BD!$B$4:$BO$389,36,FALSE), NA())</f>
        <v>5184</v>
      </c>
    </row>
    <row r="90" spans="2:22" ht="24" thickBot="1" x14ac:dyDescent="0.3">
      <c r="B90" s="346">
        <f t="shared" si="8"/>
        <v>46101</v>
      </c>
      <c r="C90" s="343">
        <f>IF(H90=0, 0, IFERROR(VLOOKUP($B90,BD!$B$4:$BO$389,22,FALSE), 0))</f>
        <v>390.21350335879509</v>
      </c>
      <c r="D90" s="344"/>
      <c r="E90" s="344">
        <f>IFERROR(VLOOKUP($B90,BD!$B$4:$BO$400,23,FALSE), NA())</f>
        <v>24</v>
      </c>
      <c r="F90" s="344">
        <f>IFERROR(VLOOKUP($B90,BD!$B$4:$BO$389,24,FALSE), NA())</f>
        <v>3219323.07840556</v>
      </c>
      <c r="G90" s="344">
        <f>IFERROR(VLOOKUP($B90,BD!$B$4:$BO$400,25,FALSE), NA())</f>
        <v>3254911.5250957599</v>
      </c>
      <c r="H90" s="345">
        <f>IFERROR(VLOOKUP($B90,BD!$B$4:$BO$389,26,FALSE), NA())</f>
        <v>33714.446690199897</v>
      </c>
      <c r="I90" s="346">
        <f t="shared" si="9"/>
        <v>46101</v>
      </c>
      <c r="J90" s="347">
        <f>IF(O90=0, 0, IFERROR(VLOOKUP($I90,BD!$B$4:$BO$389,27,FALSE), 0))</f>
        <v>63</v>
      </c>
      <c r="K90" s="344"/>
      <c r="L90" s="344">
        <f>IFERROR(VLOOKUP($I90,BD!$B$4:$BO$400,28,FALSE), NA())</f>
        <v>24</v>
      </c>
      <c r="M90" s="344">
        <f>IFERROR(VLOOKUP($I90,BD!$B$4:$BO$400,29,FALSE), NA())</f>
        <v>5447424</v>
      </c>
      <c r="N90" s="344">
        <f>IFERROR(VLOOKUP($I90,BD!$B$4:$BO$400,30,FALSE), NA())</f>
        <v>5452879</v>
      </c>
      <c r="O90" s="345">
        <f>IFERROR(VLOOKUP($I90,BD!$B$4:$BO$389,31,FALSE), NA())</f>
        <v>5455</v>
      </c>
      <c r="P90" s="346">
        <f t="shared" si="10"/>
        <v>46101</v>
      </c>
      <c r="Q90" s="347">
        <f>IF(V90=0, 0, IFERROR(VLOOKUP($P90,BD!$B$4:$BO$389,32,FALSE), 0))</f>
        <v>60</v>
      </c>
      <c r="R90" s="344"/>
      <c r="S90" s="344">
        <f>IFERROR(VLOOKUP($P90,BD!$B$4:$BO$400,33,FALSE), NA())</f>
        <v>24</v>
      </c>
      <c r="T90" s="344">
        <f>IFERROR(VLOOKUP($P90,BD!$B$4:$BO$400,34,FALSE), NA())</f>
        <v>0</v>
      </c>
      <c r="U90" s="344">
        <f>IFERROR(VLOOKUP($P90,BD!$B$4:$BO$400,35,FALSE), NA())</f>
        <v>0</v>
      </c>
      <c r="V90" s="345">
        <f>IFERROR(VLOOKUP($P90,BD!$B$4:$BO$389,36,FALSE), NA())</f>
        <v>5184</v>
      </c>
    </row>
    <row r="91" spans="2:22" ht="24" thickBot="1" x14ac:dyDescent="0.3">
      <c r="B91" s="346">
        <f t="shared" si="8"/>
        <v>46102</v>
      </c>
      <c r="C91" s="343">
        <f>IF(H91=0, 0, IFERROR(VLOOKUP($B91,BD!$B$4:$BO$389,22,FALSE), 0))</f>
        <v>380.65300791712986</v>
      </c>
      <c r="D91" s="344"/>
      <c r="E91" s="344">
        <f>IFERROR(VLOOKUP($B91,BD!$B$4:$BO$400,23,FALSE), NA())</f>
        <v>24</v>
      </c>
      <c r="F91" s="344">
        <f>IFERROR(VLOOKUP($B91,BD!$B$4:$BO$389,24,FALSE), NA())</f>
        <v>3254911.5250957599</v>
      </c>
      <c r="G91" s="344">
        <f>IFERROR(VLOOKUP($B91,BD!$B$4:$BO$400,25,FALSE), NA())</f>
        <v>3289709.9449797999</v>
      </c>
      <c r="H91" s="345">
        <f>IFERROR(VLOOKUP($B91,BD!$B$4:$BO$389,26,FALSE), NA())</f>
        <v>32888.41988404002</v>
      </c>
      <c r="I91" s="346">
        <f t="shared" si="9"/>
        <v>46102</v>
      </c>
      <c r="J91" s="347">
        <f>IF(O91=0, 0, IFERROR(VLOOKUP($I91,BD!$B$4:$BO$389,27,FALSE), 0))</f>
        <v>64</v>
      </c>
      <c r="K91" s="344"/>
      <c r="L91" s="344">
        <f>IFERROR(VLOOKUP($I91,BD!$B$4:$BO$400,28,FALSE), NA())</f>
        <v>24</v>
      </c>
      <c r="M91" s="344">
        <f>IFERROR(VLOOKUP($I91,BD!$B$4:$BO$400,29,FALSE), NA())</f>
        <v>5452879</v>
      </c>
      <c r="N91" s="344">
        <f>IFERROR(VLOOKUP($I91,BD!$B$4:$BO$400,30,FALSE), NA())</f>
        <v>5458455</v>
      </c>
      <c r="O91" s="345">
        <f>IFERROR(VLOOKUP($I91,BD!$B$4:$BO$389,31,FALSE), NA())</f>
        <v>5576</v>
      </c>
      <c r="P91" s="346">
        <f t="shared" si="10"/>
        <v>46102</v>
      </c>
      <c r="Q91" s="347">
        <f>IF(V91=0, 0, IFERROR(VLOOKUP($P91,BD!$B$4:$BO$389,32,FALSE), 0))</f>
        <v>60</v>
      </c>
      <c r="R91" s="344"/>
      <c r="S91" s="344">
        <f>IFERROR(VLOOKUP($P91,BD!$B$4:$BO$400,33,FALSE), NA())</f>
        <v>24</v>
      </c>
      <c r="T91" s="344">
        <f>IFERROR(VLOOKUP($P91,BD!$B$4:$BO$400,34,FALSE), NA())</f>
        <v>0</v>
      </c>
      <c r="U91" s="344">
        <f>IFERROR(VLOOKUP($P91,BD!$B$4:$BO$400,35,FALSE), NA())</f>
        <v>0</v>
      </c>
      <c r="V91" s="345">
        <f>IFERROR(VLOOKUP($P91,BD!$B$4:$BO$389,36,FALSE), NA())</f>
        <v>5184</v>
      </c>
    </row>
    <row r="92" spans="2:22" ht="24" thickBot="1" x14ac:dyDescent="0.3">
      <c r="B92" s="346">
        <f t="shared" si="8"/>
        <v>46103</v>
      </c>
      <c r="C92" s="343">
        <f>IF(H92=0, 0, IFERROR(VLOOKUP($B92,BD!$B$4:$BO$389,22,FALSE), 0))</f>
        <v>365.85313591388746</v>
      </c>
      <c r="D92" s="344"/>
      <c r="E92" s="344">
        <f>IFERROR(VLOOKUP($B92,BD!$B$4:$BO$400,23,FALSE), NA())</f>
        <v>24</v>
      </c>
      <c r="F92" s="344">
        <f>IFERROR(VLOOKUP($B92,BD!$B$4:$BO$389,24,FALSE), NA())</f>
        <v>3289709.9449797999</v>
      </c>
      <c r="G92" s="344">
        <f>IFERROR(VLOOKUP($B92,BD!$B$4:$BO$400,25,FALSE), NA())</f>
        <v>3321770.6559227598</v>
      </c>
      <c r="H92" s="345">
        <f>IFERROR(VLOOKUP($B92,BD!$B$4:$BO$389,26,FALSE), NA())</f>
        <v>31609.710942959879</v>
      </c>
      <c r="I92" s="346">
        <f t="shared" si="9"/>
        <v>46103</v>
      </c>
      <c r="J92" s="347">
        <f>IF(O92=0, 0, IFERROR(VLOOKUP($I92,BD!$B$4:$BO$389,27,FALSE), 0))</f>
        <v>63</v>
      </c>
      <c r="K92" s="344"/>
      <c r="L92" s="344">
        <f>IFERROR(VLOOKUP($I92,BD!$B$4:$BO$400,28,FALSE), NA())</f>
        <v>19</v>
      </c>
      <c r="M92" s="344">
        <f>IFERROR(VLOOKUP($I92,BD!$B$4:$BO$400,29,FALSE), NA())</f>
        <v>5458455</v>
      </c>
      <c r="N92" s="344">
        <f>IFERROR(VLOOKUP($I92,BD!$B$4:$BO$400,30,FALSE), NA())</f>
        <v>5462781</v>
      </c>
      <c r="O92" s="345">
        <f>IFERROR(VLOOKUP($I92,BD!$B$4:$BO$389,31,FALSE), NA())</f>
        <v>4326</v>
      </c>
      <c r="P92" s="346">
        <f t="shared" si="10"/>
        <v>46103</v>
      </c>
      <c r="Q92" s="347">
        <f>IF(V92=0, 0, IFERROR(VLOOKUP($P92,BD!$B$4:$BO$389,32,FALSE), 0))</f>
        <v>60</v>
      </c>
      <c r="R92" s="344"/>
      <c r="S92" s="344">
        <f>IFERROR(VLOOKUP($P92,BD!$B$4:$BO$400,33,FALSE), NA())</f>
        <v>24</v>
      </c>
      <c r="T92" s="344">
        <f>IFERROR(VLOOKUP($P92,BD!$B$4:$BO$400,34,FALSE), NA())</f>
        <v>0</v>
      </c>
      <c r="U92" s="344">
        <f>IFERROR(VLOOKUP($P92,BD!$B$4:$BO$400,35,FALSE), NA())</f>
        <v>0</v>
      </c>
      <c r="V92" s="345">
        <f>IFERROR(VLOOKUP($P92,BD!$B$4:$BO$389,36,FALSE), NA())</f>
        <v>5184</v>
      </c>
    </row>
    <row r="93" spans="2:22" ht="24" thickBot="1" x14ac:dyDescent="0.3">
      <c r="B93" s="346">
        <f t="shared" si="8"/>
        <v>46104</v>
      </c>
      <c r="C93" s="343">
        <f>IF(H93=0, 0, IFERROR(VLOOKUP($B93,BD!$B$4:$BO$389,22,FALSE), 0))</f>
        <v>361.25780248380141</v>
      </c>
      <c r="D93" s="344"/>
      <c r="E93" s="344">
        <f>IFERROR(VLOOKUP($B93,BD!$B$4:$BO$400,23,FALSE), NA())</f>
        <v>24</v>
      </c>
      <c r="F93" s="344">
        <f>IFERROR(VLOOKUP($B93,BD!$B$4:$BO$389,24,FALSE), NA())</f>
        <v>3321770.6559227598</v>
      </c>
      <c r="G93" s="344">
        <f>IFERROR(VLOOKUP($B93,BD!$B$4:$BO$400,25,FALSE), NA())</f>
        <v>3354776.3300573602</v>
      </c>
      <c r="H93" s="345">
        <f>IFERROR(VLOOKUP($B93,BD!$B$4:$BO$389,26,FALSE), NA())</f>
        <v>31212.674134600442</v>
      </c>
      <c r="I93" s="346">
        <f t="shared" si="9"/>
        <v>46104</v>
      </c>
      <c r="J93" s="347">
        <f>IF(O93=0, 0, IFERROR(VLOOKUP($I93,BD!$B$4:$BO$389,27,FALSE), 0))</f>
        <v>58</v>
      </c>
      <c r="K93" s="344"/>
      <c r="L93" s="344">
        <f>IFERROR(VLOOKUP($I93,BD!$B$4:$BO$400,28,FALSE), NA())</f>
        <v>7</v>
      </c>
      <c r="M93" s="344">
        <f>IFERROR(VLOOKUP($I93,BD!$B$4:$BO$400,29,FALSE), NA())</f>
        <v>5462781</v>
      </c>
      <c r="N93" s="344">
        <f>IFERROR(VLOOKUP($I93,BD!$B$4:$BO$400,30,FALSE), NA())</f>
        <v>5464263</v>
      </c>
      <c r="O93" s="345">
        <f>IFERROR(VLOOKUP($I93,BD!$B$4:$BO$389,31,FALSE), NA())</f>
        <v>1482</v>
      </c>
      <c r="P93" s="346">
        <f t="shared" si="10"/>
        <v>46104</v>
      </c>
      <c r="Q93" s="347">
        <f>IF(V93=0, 0, IFERROR(VLOOKUP($P93,BD!$B$4:$BO$389,32,FALSE), 0))</f>
        <v>60</v>
      </c>
      <c r="R93" s="344"/>
      <c r="S93" s="344">
        <f>IFERROR(VLOOKUP($P93,BD!$B$4:$BO$400,33,FALSE), NA())</f>
        <v>24</v>
      </c>
      <c r="T93" s="344">
        <f>IFERROR(VLOOKUP($P93,BD!$B$4:$BO$400,34,FALSE), NA())</f>
        <v>0</v>
      </c>
      <c r="U93" s="344">
        <f>IFERROR(VLOOKUP($P93,BD!$B$4:$BO$400,35,FALSE), NA())</f>
        <v>0</v>
      </c>
      <c r="V93" s="345">
        <f>IFERROR(VLOOKUP($P93,BD!$B$4:$BO$389,36,FALSE), NA())</f>
        <v>5184</v>
      </c>
    </row>
    <row r="94" spans="2:22" ht="24" thickBot="1" x14ac:dyDescent="0.3">
      <c r="B94" s="346">
        <f t="shared" si="8"/>
        <v>46105</v>
      </c>
      <c r="C94" s="343">
        <f>IF(H94=0, 0, IFERROR(VLOOKUP($B94,BD!$B$4:$BO$389,22,FALSE), 0))</f>
        <v>359.59362242546001</v>
      </c>
      <c r="D94" s="344"/>
      <c r="E94" s="344">
        <f>IFERROR(VLOOKUP($B94,BD!$B$4:$BO$400,23,FALSE), NA())</f>
        <v>24</v>
      </c>
      <c r="F94" s="344">
        <f>IFERROR(VLOOKUP($B94,BD!$B$4:$BO$389,24,FALSE), NA())</f>
        <v>3354776.3300573602</v>
      </c>
      <c r="G94" s="344">
        <f>IFERROR(VLOOKUP($B94,BD!$B$4:$BO$400,25,FALSE), NA())</f>
        <v>3387812.21903492</v>
      </c>
      <c r="H94" s="345">
        <f>IFERROR(VLOOKUP($B94,BD!$B$4:$BO$389,26,FALSE), NA())</f>
        <v>31068.888977559749</v>
      </c>
      <c r="I94" s="346">
        <f t="shared" si="9"/>
        <v>46105</v>
      </c>
      <c r="J94" s="347">
        <f>IF(O94=0, 0, IFERROR(VLOOKUP($I94,BD!$B$4:$BO$389,27,FALSE), 0))</f>
        <v>66</v>
      </c>
      <c r="K94" s="344"/>
      <c r="L94" s="344">
        <f>IFERROR(VLOOKUP($I94,BD!$B$4:$BO$400,28,FALSE), NA())</f>
        <v>9</v>
      </c>
      <c r="M94" s="344">
        <f>IFERROR(VLOOKUP($I94,BD!$B$4:$BO$400,29,FALSE), NA())</f>
        <v>5464263</v>
      </c>
      <c r="N94" s="344">
        <f>IFERROR(VLOOKUP($I94,BD!$B$4:$BO$400,30,FALSE), NA())</f>
        <v>5466417</v>
      </c>
      <c r="O94" s="345">
        <f>IFERROR(VLOOKUP($I94,BD!$B$4:$BO$389,31,FALSE), NA())</f>
        <v>2154</v>
      </c>
      <c r="P94" s="346">
        <f t="shared" si="10"/>
        <v>46105</v>
      </c>
      <c r="Q94" s="347">
        <f>IF(V94=0, 0, IFERROR(VLOOKUP($P94,BD!$B$4:$BO$389,32,FALSE), 0))</f>
        <v>60</v>
      </c>
      <c r="R94" s="344"/>
      <c r="S94" s="344">
        <f>IFERROR(VLOOKUP($P94,BD!$B$4:$BO$400,33,FALSE), NA())</f>
        <v>24</v>
      </c>
      <c r="T94" s="344">
        <f>IFERROR(VLOOKUP($P94,BD!$B$4:$BO$400,34,FALSE), NA())</f>
        <v>0</v>
      </c>
      <c r="U94" s="344">
        <f>IFERROR(VLOOKUP($P94,BD!$B$4:$BO$400,35,FALSE), NA())</f>
        <v>0</v>
      </c>
      <c r="V94" s="345">
        <f>IFERROR(VLOOKUP($P94,BD!$B$4:$BO$389,36,FALSE), NA())</f>
        <v>5184</v>
      </c>
    </row>
    <row r="95" spans="2:22" ht="24" thickBot="1" x14ac:dyDescent="0.3">
      <c r="B95" s="346">
        <f t="shared" si="8"/>
        <v>46106</v>
      </c>
      <c r="C95" s="343">
        <f>IF(H95=0, 0, IFERROR(VLOOKUP($B95,BD!$B$4:$BO$389,22,FALSE), 0))</f>
        <v>346.21438408240834</v>
      </c>
      <c r="D95" s="344"/>
      <c r="E95" s="344">
        <f>IFERROR(VLOOKUP($B95,BD!$B$4:$BO$400,23,FALSE), NA())</f>
        <v>24</v>
      </c>
      <c r="F95" s="344">
        <f>IFERROR(VLOOKUP($B95,BD!$B$4:$BO$389,24,FALSE), NA())</f>
        <v>3387812.21903492</v>
      </c>
      <c r="G95" s="344">
        <f>IFERROR(VLOOKUP($B95,BD!$B$4:$BO$400,25,FALSE), NA())</f>
        <v>3419798.1418196401</v>
      </c>
      <c r="H95" s="345">
        <f>IFERROR(VLOOKUP($B95,BD!$B$4:$BO$389,26,FALSE), NA())</f>
        <v>29912.922784720082</v>
      </c>
      <c r="I95" s="346">
        <f t="shared" si="9"/>
        <v>46106</v>
      </c>
      <c r="J95" s="347">
        <f>IF(O95=0, 0, IFERROR(VLOOKUP($I95,BD!$B$4:$BO$389,27,FALSE), 0))</f>
        <v>65</v>
      </c>
      <c r="K95" s="344"/>
      <c r="L95" s="344">
        <f>IFERROR(VLOOKUP($I95,BD!$B$4:$BO$400,28,FALSE), NA())</f>
        <v>24</v>
      </c>
      <c r="M95" s="344">
        <f>IFERROR(VLOOKUP($I95,BD!$B$4:$BO$400,29,FALSE), NA())</f>
        <v>5466417</v>
      </c>
      <c r="N95" s="344">
        <f>IFERROR(VLOOKUP($I95,BD!$B$4:$BO$400,30,FALSE), NA())</f>
        <v>5472051</v>
      </c>
      <c r="O95" s="345">
        <f>IFERROR(VLOOKUP($I95,BD!$B$4:$BO$389,31,FALSE), NA())</f>
        <v>5634</v>
      </c>
      <c r="P95" s="346">
        <f t="shared" si="10"/>
        <v>46106</v>
      </c>
      <c r="Q95" s="347">
        <f>IF(V95=0, 0, IFERROR(VLOOKUP($P95,BD!$B$4:$BO$389,32,FALSE), 0))</f>
        <v>60</v>
      </c>
      <c r="R95" s="344"/>
      <c r="S95" s="344">
        <f>IFERROR(VLOOKUP($P95,BD!$B$4:$BO$400,33,FALSE), NA())</f>
        <v>24</v>
      </c>
      <c r="T95" s="344">
        <f>IFERROR(VLOOKUP($P95,BD!$B$4:$BO$400,34,FALSE), NA())</f>
        <v>0</v>
      </c>
      <c r="U95" s="344">
        <f>IFERROR(VLOOKUP($P95,BD!$B$4:$BO$400,35,FALSE), NA())</f>
        <v>0</v>
      </c>
      <c r="V95" s="345">
        <f>IFERROR(VLOOKUP($P95,BD!$B$4:$BO$389,36,FALSE), NA())</f>
        <v>5184</v>
      </c>
    </row>
    <row r="96" spans="2:22" ht="24" thickBot="1" x14ac:dyDescent="0.3">
      <c r="B96" s="346">
        <f t="shared" si="8"/>
        <v>46107</v>
      </c>
      <c r="C96" s="343">
        <f>IF(H96=0, 0, IFERROR(VLOOKUP($B96,BD!$B$4:$BO$389,22,FALSE), 0))</f>
        <v>326.47544156262563</v>
      </c>
      <c r="D96" s="344"/>
      <c r="E96" s="344">
        <f>IFERROR(VLOOKUP($B96,BD!$B$4:$BO$400,23,FALSE), NA())</f>
        <v>11</v>
      </c>
      <c r="F96" s="344">
        <f>IFERROR(VLOOKUP($B96,BD!$B$4:$BO$389,24,FALSE), NA())</f>
        <v>3419798.1418196401</v>
      </c>
      <c r="G96" s="344">
        <f>IFERROR(VLOOKUP($B96,BD!$B$4:$BO$400,25,FALSE), NA())</f>
        <v>3433788.56930552</v>
      </c>
      <c r="H96" s="345">
        <f>IFERROR(VLOOKUP($B96,BD!$B$4:$BO$389,26,FALSE), NA())</f>
        <v>12928.427485879976</v>
      </c>
      <c r="I96" s="346">
        <f t="shared" si="9"/>
        <v>46107</v>
      </c>
      <c r="J96" s="347">
        <f>IF(O96=0, 0, IFERROR(VLOOKUP($I96,BD!$B$4:$BO$389,27,FALSE), 0))</f>
        <v>61</v>
      </c>
      <c r="K96" s="344"/>
      <c r="L96" s="344">
        <f>IFERROR(VLOOKUP($I96,BD!$B$4:$BO$400,28,FALSE), NA())</f>
        <v>16</v>
      </c>
      <c r="M96" s="344">
        <f>IFERROR(VLOOKUP($I96,BD!$B$4:$BO$400,29,FALSE), NA())</f>
        <v>5472051</v>
      </c>
      <c r="N96" s="344">
        <f>IFERROR(VLOOKUP($I96,BD!$B$4:$BO$400,30,FALSE), NA())</f>
        <v>5475620</v>
      </c>
      <c r="O96" s="345">
        <f>IFERROR(VLOOKUP($I96,BD!$B$4:$BO$389,31,FALSE), NA())</f>
        <v>3569</v>
      </c>
      <c r="P96" s="346">
        <f t="shared" si="10"/>
        <v>46107</v>
      </c>
      <c r="Q96" s="347">
        <f>IF(V96=0, 0, IFERROR(VLOOKUP($P96,BD!$B$4:$BO$389,32,FALSE), 0))</f>
        <v>60</v>
      </c>
      <c r="R96" s="344"/>
      <c r="S96" s="344">
        <f>IFERROR(VLOOKUP($P96,BD!$B$4:$BO$400,33,FALSE), NA())</f>
        <v>24</v>
      </c>
      <c r="T96" s="344">
        <f>IFERROR(VLOOKUP($P96,BD!$B$4:$BO$400,34,FALSE), NA())</f>
        <v>0</v>
      </c>
      <c r="U96" s="344">
        <f>IFERROR(VLOOKUP($P96,BD!$B$4:$BO$400,35,FALSE), NA())</f>
        <v>0</v>
      </c>
      <c r="V96" s="345">
        <f>IFERROR(VLOOKUP($P96,BD!$B$4:$BO$389,36,FALSE), NA())</f>
        <v>5184</v>
      </c>
    </row>
    <row r="97" spans="2:22" ht="24" thickBot="1" x14ac:dyDescent="0.3">
      <c r="B97" s="346">
        <f t="shared" si="8"/>
        <v>46108</v>
      </c>
      <c r="C97" s="343">
        <f>IF(H97=0, 0, IFERROR(VLOOKUP($B97,BD!$B$4:$BO$389,22,FALSE), 0))</f>
        <v>319.03165123425958</v>
      </c>
      <c r="D97" s="344"/>
      <c r="E97" s="344">
        <f>IFERROR(VLOOKUP($B97,BD!$B$4:$BO$400,23,FALSE), NA())</f>
        <v>24</v>
      </c>
      <c r="F97" s="344">
        <f>IFERROR(VLOOKUP($B97,BD!$B$4:$BO$389,24,FALSE), NA())</f>
        <v>3433788.56930552</v>
      </c>
      <c r="G97" s="344">
        <f>IFERROR(VLOOKUP($B97,BD!$B$4:$BO$400,25,FALSE), NA())</f>
        <v>3463285.9039721601</v>
      </c>
      <c r="H97" s="345">
        <f>IFERROR(VLOOKUP($B97,BD!$B$4:$BO$389,26,FALSE), NA())</f>
        <v>27564.334666640032</v>
      </c>
      <c r="I97" s="346">
        <f t="shared" si="9"/>
        <v>46108</v>
      </c>
      <c r="J97" s="347">
        <f>IF(O97=0, 0, IFERROR(VLOOKUP($I97,BD!$B$4:$BO$389,27,FALSE), 0))</f>
        <v>69</v>
      </c>
      <c r="K97" s="344"/>
      <c r="L97" s="344">
        <f>IFERROR(VLOOKUP($I97,BD!$B$4:$BO$400,28,FALSE), NA())</f>
        <v>24</v>
      </c>
      <c r="M97" s="344">
        <f>IFERROR(VLOOKUP($I97,BD!$B$4:$BO$400,29,FALSE), NA())</f>
        <v>5475620</v>
      </c>
      <c r="N97" s="344">
        <f>IFERROR(VLOOKUP($I97,BD!$B$4:$BO$400,30,FALSE), NA())</f>
        <v>5481598</v>
      </c>
      <c r="O97" s="345">
        <f>IFERROR(VLOOKUP($I97,BD!$B$4:$BO$389,31,FALSE), NA())</f>
        <v>5978</v>
      </c>
      <c r="P97" s="346">
        <f t="shared" si="10"/>
        <v>46108</v>
      </c>
      <c r="Q97" s="347">
        <f>IF(V97=0, 0, IFERROR(VLOOKUP($P97,BD!$B$4:$BO$389,32,FALSE), 0))</f>
        <v>60</v>
      </c>
      <c r="R97" s="344"/>
      <c r="S97" s="344">
        <f>IFERROR(VLOOKUP($P97,BD!$B$4:$BO$400,33,FALSE), NA())</f>
        <v>24</v>
      </c>
      <c r="T97" s="344">
        <f>IFERROR(VLOOKUP($P97,BD!$B$4:$BO$400,34,FALSE), NA())</f>
        <v>0</v>
      </c>
      <c r="U97" s="344">
        <f>IFERROR(VLOOKUP($P97,BD!$B$4:$BO$400,35,FALSE), NA())</f>
        <v>0</v>
      </c>
      <c r="V97" s="345">
        <f>IFERROR(VLOOKUP($P97,BD!$B$4:$BO$389,36,FALSE), NA())</f>
        <v>5184</v>
      </c>
    </row>
    <row r="98" spans="2:22" ht="24" thickBot="1" x14ac:dyDescent="0.3">
      <c r="B98" s="346">
        <f t="shared" si="8"/>
        <v>46109</v>
      </c>
      <c r="C98" s="343">
        <f>IF(H98=0, 0, IFERROR(VLOOKUP($B98,BD!$B$4:$BO$389,22,FALSE), 0))</f>
        <v>349.17604818425997</v>
      </c>
      <c r="D98" s="344"/>
      <c r="E98" s="344">
        <f>IFERROR(VLOOKUP($B98,BD!$B$4:$BO$400,23,FALSE), NA())</f>
        <v>24</v>
      </c>
      <c r="F98" s="344">
        <f>IFERROR(VLOOKUP($B98,BD!$B$4:$BO$389,24,FALSE), NA())</f>
        <v>3463285.9039721601</v>
      </c>
      <c r="G98" s="344">
        <f>IFERROR(VLOOKUP($B98,BD!$B$4:$BO$400,25,FALSE), NA())</f>
        <v>3495330.7145352801</v>
      </c>
      <c r="H98" s="345">
        <f>IFERROR(VLOOKUP($B98,BD!$B$4:$BO$389,26,FALSE), NA())</f>
        <v>30168.81056312006</v>
      </c>
      <c r="I98" s="346">
        <f t="shared" si="9"/>
        <v>46109</v>
      </c>
      <c r="J98" s="347">
        <f>IF(O98=0, 0, IFERROR(VLOOKUP($I98,BD!$B$4:$BO$389,27,FALSE), 0))</f>
        <v>70</v>
      </c>
      <c r="K98" s="344"/>
      <c r="L98" s="344">
        <f>IFERROR(VLOOKUP($I98,BD!$B$4:$BO$400,28,FALSE), NA())</f>
        <v>24</v>
      </c>
      <c r="M98" s="344">
        <f>IFERROR(VLOOKUP($I98,BD!$B$4:$BO$400,29,FALSE), NA())</f>
        <v>5481598</v>
      </c>
      <c r="N98" s="344">
        <f>IFERROR(VLOOKUP($I98,BD!$B$4:$BO$400,30,FALSE), NA())</f>
        <v>5487648</v>
      </c>
      <c r="O98" s="345">
        <f>IFERROR(VLOOKUP($I98,BD!$B$4:$BO$389,31,FALSE), NA())</f>
        <v>6050</v>
      </c>
      <c r="P98" s="346">
        <f t="shared" si="10"/>
        <v>46109</v>
      </c>
      <c r="Q98" s="347">
        <f>IF(V98=0, 0, IFERROR(VLOOKUP($P98,BD!$B$4:$BO$389,32,FALSE), 0))</f>
        <v>60</v>
      </c>
      <c r="R98" s="344"/>
      <c r="S98" s="344">
        <f>IFERROR(VLOOKUP($P98,BD!$B$4:$BO$400,33,FALSE), NA())</f>
        <v>24</v>
      </c>
      <c r="T98" s="344">
        <f>IFERROR(VLOOKUP($P98,BD!$B$4:$BO$400,34,FALSE), NA())</f>
        <v>0</v>
      </c>
      <c r="U98" s="344">
        <f>IFERROR(VLOOKUP($P98,BD!$B$4:$BO$400,35,FALSE), NA())</f>
        <v>0</v>
      </c>
      <c r="V98" s="345">
        <f>IFERROR(VLOOKUP($P98,BD!$B$4:$BO$389,36,FALSE), NA())</f>
        <v>5184</v>
      </c>
    </row>
    <row r="99" spans="2:22" ht="24" thickBot="1" x14ac:dyDescent="0.3">
      <c r="B99" s="346">
        <f t="shared" si="8"/>
        <v>46110</v>
      </c>
      <c r="C99" s="343">
        <f>IF(H99=0, 0, IFERROR(VLOOKUP($B99,BD!$B$4:$BO$389,22,FALSE), 0))</f>
        <v>386.56580398981328</v>
      </c>
      <c r="D99" s="344"/>
      <c r="E99" s="344">
        <f>IFERROR(VLOOKUP($B99,BD!$B$4:$BO$400,23,FALSE), NA())</f>
        <v>24</v>
      </c>
      <c r="F99" s="344">
        <f>IFERROR(VLOOKUP($B99,BD!$B$4:$BO$389,24,FALSE), NA())</f>
        <v>3495330.7145352801</v>
      </c>
      <c r="G99" s="344">
        <f>IFERROR(VLOOKUP($B99,BD!$B$4:$BO$400,25,FALSE), NA())</f>
        <v>3530380</v>
      </c>
      <c r="H99" s="345">
        <f>IFERROR(VLOOKUP($B99,BD!$B$4:$BO$389,26,FALSE), NA())</f>
        <v>33399.285464719869</v>
      </c>
      <c r="I99" s="346">
        <f t="shared" si="9"/>
        <v>46110</v>
      </c>
      <c r="J99" s="347">
        <f>IF(O99=0, 0, IFERROR(VLOOKUP($I99,BD!$B$4:$BO$389,27,FALSE), 0))</f>
        <v>66</v>
      </c>
      <c r="K99" s="344"/>
      <c r="L99" s="344">
        <f>IFERROR(VLOOKUP($I99,BD!$B$4:$BO$400,28,FALSE), NA())</f>
        <v>24</v>
      </c>
      <c r="M99" s="344">
        <f>IFERROR(VLOOKUP($I99,BD!$B$4:$BO$400,29,FALSE), NA())</f>
        <v>5487648</v>
      </c>
      <c r="N99" s="344">
        <f>IFERROR(VLOOKUP($I99,BD!$B$4:$BO$400,30,FALSE), NA())</f>
        <v>5493408</v>
      </c>
      <c r="O99" s="345">
        <f>IFERROR(VLOOKUP($I99,BD!$B$4:$BO$389,31,FALSE), NA())</f>
        <v>5760</v>
      </c>
      <c r="P99" s="346">
        <f t="shared" si="10"/>
        <v>46110</v>
      </c>
      <c r="Q99" s="347">
        <f>IF(V99=0, 0, IFERROR(VLOOKUP($P99,BD!$B$4:$BO$389,32,FALSE), 0))</f>
        <v>40</v>
      </c>
      <c r="R99" s="344"/>
      <c r="S99" s="344">
        <f>IFERROR(VLOOKUP($P99,BD!$B$4:$BO$400,33,FALSE), NA())</f>
        <v>24</v>
      </c>
      <c r="T99" s="344">
        <f>IFERROR(VLOOKUP($P99,BD!$B$4:$BO$400,34,FALSE), NA())</f>
        <v>0</v>
      </c>
      <c r="U99" s="344">
        <f>IFERROR(VLOOKUP($P99,BD!$B$4:$BO$400,35,FALSE), NA())</f>
        <v>0</v>
      </c>
      <c r="V99" s="345">
        <f>IFERROR(VLOOKUP($P99,BD!$B$4:$BO$389,36,FALSE), NA())</f>
        <v>3456</v>
      </c>
    </row>
    <row r="100" spans="2:22" ht="24" thickBot="1" x14ac:dyDescent="0.3">
      <c r="B100" s="346">
        <f t="shared" si="8"/>
        <v>46111</v>
      </c>
      <c r="C100" s="343">
        <f>IF(H100=0, 0, IFERROR(VLOOKUP($B100,BD!$B$4:$BO$389,22,FALSE), 0))</f>
        <v>352.06018518518522</v>
      </c>
      <c r="D100" s="344"/>
      <c r="E100" s="344">
        <f>IFERROR(VLOOKUP($B100,BD!$B$4:$BO$400,23,FALSE), NA())</f>
        <v>24</v>
      </c>
      <c r="F100" s="344">
        <f>IFERROR(VLOOKUP($B100,BD!$B$4:$BO$389,24,FALSE), NA())</f>
        <v>3530380</v>
      </c>
      <c r="G100" s="344">
        <f>IFERROR(VLOOKUP($B100,BD!$B$4:$BO$400,25,FALSE), NA())</f>
        <v>3562830</v>
      </c>
      <c r="H100" s="345">
        <f>IFERROR(VLOOKUP($B100,BD!$B$4:$BO$389,26,FALSE), NA())</f>
        <v>30418</v>
      </c>
      <c r="I100" s="346">
        <f t="shared" si="9"/>
        <v>46111</v>
      </c>
      <c r="J100" s="347">
        <f>IF(O100=0, 0, IFERROR(VLOOKUP($I100,BD!$B$4:$BO$389,27,FALSE), 0))</f>
        <v>64</v>
      </c>
      <c r="K100" s="344"/>
      <c r="L100" s="344">
        <f>IFERROR(VLOOKUP($I100,BD!$B$4:$BO$400,28,FALSE), NA())</f>
        <v>24</v>
      </c>
      <c r="M100" s="344">
        <f>IFERROR(VLOOKUP($I100,BD!$B$4:$BO$400,29,FALSE), NA())</f>
        <v>5493408</v>
      </c>
      <c r="N100" s="344">
        <f>IFERROR(VLOOKUP($I100,BD!$B$4:$BO$400,30,FALSE), NA())</f>
        <v>5498962</v>
      </c>
      <c r="O100" s="345">
        <f>IFERROR(VLOOKUP($I100,BD!$B$4:$BO$389,31,FALSE), NA())</f>
        <v>5554</v>
      </c>
      <c r="P100" s="346">
        <f t="shared" si="10"/>
        <v>46111</v>
      </c>
      <c r="Q100" s="347">
        <f>IF(V100=0, 0, IFERROR(VLOOKUP($P100,BD!$B$4:$BO$389,32,FALSE), 0))</f>
        <v>40</v>
      </c>
      <c r="R100" s="344"/>
      <c r="S100" s="344">
        <f>IFERROR(VLOOKUP($P100,BD!$B$4:$BO$400,33,FALSE), NA())</f>
        <v>24</v>
      </c>
      <c r="T100" s="344">
        <f>IFERROR(VLOOKUP($P100,BD!$B$4:$BO$400,34,FALSE), NA())</f>
        <v>0</v>
      </c>
      <c r="U100" s="344">
        <f>IFERROR(VLOOKUP($P100,BD!$B$4:$BO$400,35,FALSE), NA())</f>
        <v>0</v>
      </c>
      <c r="V100" s="345">
        <f>IFERROR(VLOOKUP($P100,BD!$B$4:$BO$389,36,FALSE), NA())</f>
        <v>3456</v>
      </c>
    </row>
    <row r="101" spans="2:22" ht="24" thickBot="1" x14ac:dyDescent="0.3">
      <c r="B101" s="346">
        <f t="shared" si="8"/>
        <v>46112</v>
      </c>
      <c r="C101" s="343">
        <f>IF(H101=0, 0, IFERROR(VLOOKUP($B101,BD!$B$4:$BO$389,22,FALSE), 0))</f>
        <v>376.28472222222223</v>
      </c>
      <c r="D101" s="344"/>
      <c r="E101" s="344">
        <f>IFERROR(VLOOKUP($B101,BD!$B$4:$BO$400,23,FALSE), NA())</f>
        <v>24</v>
      </c>
      <c r="F101" s="344">
        <f>IFERROR(VLOOKUP($B101,BD!$B$4:$BO$389,24,FALSE), NA())</f>
        <v>3562830</v>
      </c>
      <c r="G101" s="344">
        <f>IFERROR(VLOOKUP($B101,BD!$B$4:$BO$400,25,FALSE), NA())</f>
        <v>3597610</v>
      </c>
      <c r="H101" s="345">
        <f>IFERROR(VLOOKUP($B101,BD!$B$4:$BO$389,26,FALSE), NA())</f>
        <v>32511</v>
      </c>
      <c r="I101" s="346">
        <f t="shared" si="9"/>
        <v>46112</v>
      </c>
      <c r="J101" s="347">
        <f>IF(O101=0, 0, IFERROR(VLOOKUP($I101,BD!$B$4:$BO$389,27,FALSE), 0))</f>
        <v>65</v>
      </c>
      <c r="K101" s="344"/>
      <c r="L101" s="344">
        <f>IFERROR(VLOOKUP($I101,BD!$B$4:$BO$400,28,FALSE), NA())</f>
        <v>24</v>
      </c>
      <c r="M101" s="344">
        <f>IFERROR(VLOOKUP($I101,BD!$B$4:$BO$400,29,FALSE), NA())</f>
        <v>5498962</v>
      </c>
      <c r="N101" s="344">
        <f>IFERROR(VLOOKUP($I101,BD!$B$4:$BO$400,30,FALSE), NA())</f>
        <v>5504610</v>
      </c>
      <c r="O101" s="345">
        <f>IFERROR(VLOOKUP($I101,BD!$B$4:$BO$389,31,FALSE), NA())</f>
        <v>5648</v>
      </c>
      <c r="P101" s="346">
        <f t="shared" si="10"/>
        <v>46112</v>
      </c>
      <c r="Q101" s="347">
        <f>IF(V101=0, 0, IFERROR(VLOOKUP($P101,BD!$B$4:$BO$389,32,FALSE), 0))</f>
        <v>40</v>
      </c>
      <c r="R101" s="344"/>
      <c r="S101" s="344">
        <f>IFERROR(VLOOKUP($P101,BD!$B$4:$BO$400,33,FALSE), NA())</f>
        <v>24</v>
      </c>
      <c r="T101" s="344">
        <f>IFERROR(VLOOKUP($P101,BD!$B$4:$BO$400,34,FALSE), NA())</f>
        <v>0</v>
      </c>
      <c r="U101" s="344">
        <f>IFERROR(VLOOKUP($P101,BD!$B$4:$BO$400,35,FALSE), NA())</f>
        <v>0</v>
      </c>
      <c r="V101" s="345">
        <f>IFERROR(VLOOKUP($P101,BD!$B$4:$BO$389,36,FALSE), NA())</f>
        <v>3456</v>
      </c>
    </row>
    <row r="102" spans="2:22" ht="24" thickBot="1" x14ac:dyDescent="0.3">
      <c r="B102" s="346">
        <f t="shared" si="8"/>
        <v>46113</v>
      </c>
      <c r="C102" s="343">
        <f>IF(H102=0, 0, IFERROR(VLOOKUP($B102,BD!$B$4:$BO$389,22,FALSE), 0))</f>
        <v>372.61574074074076</v>
      </c>
      <c r="D102" s="344"/>
      <c r="E102" s="344">
        <f>IFERROR(VLOOKUP($B102,BD!$B$4:$BO$400,23,FALSE), NA())</f>
        <v>24</v>
      </c>
      <c r="F102" s="344">
        <f>IFERROR(VLOOKUP($B102,BD!$B$4:$BO$389,24,FALSE), NA())</f>
        <v>3597610</v>
      </c>
      <c r="G102" s="344">
        <f>IFERROR(VLOOKUP($B102,BD!$B$4:$BO$400,25,FALSE), NA())</f>
        <v>3631575</v>
      </c>
      <c r="H102" s="345">
        <f>IFERROR(VLOOKUP($B102,BD!$B$4:$BO$389,26,FALSE), NA())</f>
        <v>32194</v>
      </c>
      <c r="I102" s="346">
        <f t="shared" si="9"/>
        <v>46113</v>
      </c>
      <c r="J102" s="347">
        <f>IF(O102=0, 0, IFERROR(VLOOKUP($I102,BD!$B$4:$BO$389,27,FALSE), 0))</f>
        <v>62</v>
      </c>
      <c r="K102" s="344"/>
      <c r="L102" s="344">
        <f>IFERROR(VLOOKUP($I102,BD!$B$4:$BO$400,28,FALSE), NA())</f>
        <v>24</v>
      </c>
      <c r="M102" s="344">
        <f>IFERROR(VLOOKUP($I102,BD!$B$4:$BO$400,29,FALSE), NA())</f>
        <v>5504610</v>
      </c>
      <c r="N102" s="344">
        <f>IFERROR(VLOOKUP($I102,BD!$B$4:$BO$400,30,FALSE), NA())</f>
        <v>5509992</v>
      </c>
      <c r="O102" s="345">
        <f>IFERROR(VLOOKUP($I102,BD!$B$4:$BO$389,31,FALSE), NA())</f>
        <v>5382</v>
      </c>
      <c r="P102" s="346">
        <f t="shared" si="10"/>
        <v>46113</v>
      </c>
      <c r="Q102" s="347">
        <f>IF(V102=0, 0, IFERROR(VLOOKUP($P102,BD!$B$4:$BO$389,32,FALSE), 0))</f>
        <v>40</v>
      </c>
      <c r="R102" s="344"/>
      <c r="S102" s="344">
        <f>IFERROR(VLOOKUP($P102,BD!$B$4:$BO$400,33,FALSE), NA())</f>
        <v>24</v>
      </c>
      <c r="T102" s="344">
        <f>IFERROR(VLOOKUP($P102,BD!$B$4:$BO$400,34,FALSE), NA())</f>
        <v>0</v>
      </c>
      <c r="U102" s="344">
        <f>IFERROR(VLOOKUP($P102,BD!$B$4:$BO$400,35,FALSE), NA())</f>
        <v>0</v>
      </c>
      <c r="V102" s="345">
        <f>IFERROR(VLOOKUP($P102,BD!$B$4:$BO$389,36,FALSE), NA())</f>
        <v>3456</v>
      </c>
    </row>
    <row r="103" spans="2:22" ht="24" thickBot="1" x14ac:dyDescent="0.3">
      <c r="B103" s="346">
        <f t="shared" si="8"/>
        <v>46114</v>
      </c>
      <c r="C103" s="343">
        <f>IF(H103=0, 0, IFERROR(VLOOKUP($B103,BD!$B$4:$BO$389,22,FALSE), 0))</f>
        <v>374.33352623456608</v>
      </c>
      <c r="D103" s="344"/>
      <c r="E103" s="344">
        <f>IFERROR(VLOOKUP($B103,BD!$B$4:$BO$400,23,FALSE), NA())</f>
        <v>24</v>
      </c>
      <c r="F103" s="344">
        <f>IFERROR(VLOOKUP($B103,BD!$B$4:$BO$389,24,FALSE), NA())</f>
        <v>3631575</v>
      </c>
      <c r="G103" s="344">
        <f>IFERROR(VLOOKUP($B103,BD!$B$4:$BO$400,25,FALSE), NA())</f>
        <v>3665603.4166666665</v>
      </c>
      <c r="H103" s="345">
        <f>IFERROR(VLOOKUP($B103,BD!$B$4:$BO$389,26,FALSE), NA())</f>
        <v>32342.416666666511</v>
      </c>
      <c r="I103" s="346">
        <f t="shared" si="9"/>
        <v>46114</v>
      </c>
      <c r="J103" s="347">
        <f>IF(O103=0, 0, IFERROR(VLOOKUP($I103,BD!$B$4:$BO$389,27,FALSE), 0))</f>
        <v>63</v>
      </c>
      <c r="K103" s="344"/>
      <c r="L103" s="344">
        <f>IFERROR(VLOOKUP($I103,BD!$B$4:$BO$400,28,FALSE), NA())</f>
        <v>17</v>
      </c>
      <c r="M103" s="344">
        <f>IFERROR(VLOOKUP($I103,BD!$B$4:$BO$400,29,FALSE), NA())</f>
        <v>5509992</v>
      </c>
      <c r="N103" s="344">
        <f>IFERROR(VLOOKUP($I103,BD!$B$4:$BO$400,30,FALSE), NA())</f>
        <v>5513902</v>
      </c>
      <c r="O103" s="345">
        <f>IFERROR(VLOOKUP($I103,BD!$B$4:$BO$389,31,FALSE), NA())</f>
        <v>3910</v>
      </c>
      <c r="P103" s="346">
        <f t="shared" si="10"/>
        <v>46114</v>
      </c>
      <c r="Q103" s="347">
        <f>IF(V103=0, 0, IFERROR(VLOOKUP($P103,BD!$B$4:$BO$389,32,FALSE), 0))</f>
        <v>40</v>
      </c>
      <c r="R103" s="344"/>
      <c r="S103" s="344">
        <f>IFERROR(VLOOKUP($P103,BD!$B$4:$BO$400,33,FALSE), NA())</f>
        <v>24</v>
      </c>
      <c r="T103" s="344">
        <f>IFERROR(VLOOKUP($P103,BD!$B$4:$BO$400,34,FALSE), NA())</f>
        <v>0</v>
      </c>
      <c r="U103" s="344">
        <f>IFERROR(VLOOKUP($P103,BD!$B$4:$BO$400,35,FALSE), NA())</f>
        <v>0</v>
      </c>
      <c r="V103" s="345">
        <f>IFERROR(VLOOKUP($P103,BD!$B$4:$BO$389,36,FALSE), NA())</f>
        <v>3456</v>
      </c>
    </row>
    <row r="104" spans="2:22" ht="24" thickBot="1" x14ac:dyDescent="0.3">
      <c r="B104" s="346">
        <f t="shared" si="8"/>
        <v>46115</v>
      </c>
      <c r="C104" s="343">
        <f>IF(H104=0, 0, IFERROR(VLOOKUP($B104,BD!$B$4:$BO$389,22,FALSE), 0))</f>
        <v>454.13869598765609</v>
      </c>
      <c r="D104" s="344"/>
      <c r="E104" s="344">
        <f>IFERROR(VLOOKUP($B104,BD!$B$4:$BO$400,23,FALSE), NA())</f>
        <v>24</v>
      </c>
      <c r="F104" s="344">
        <f>IFERROR(VLOOKUP($B104,BD!$B$4:$BO$389,24,FALSE), NA())</f>
        <v>3665603.4166666665</v>
      </c>
      <c r="G104" s="344">
        <f>IFERROR(VLOOKUP($B104,BD!$B$4:$BO$400,25,FALSE), NA())</f>
        <v>3704841</v>
      </c>
      <c r="H104" s="345">
        <f>IFERROR(VLOOKUP($B104,BD!$B$4:$BO$389,26,FALSE), NA())</f>
        <v>39237.583333333489</v>
      </c>
      <c r="I104" s="346">
        <f t="shared" si="9"/>
        <v>46115</v>
      </c>
      <c r="J104" s="347">
        <f>IF(O104=0, 0, IFERROR(VLOOKUP($I104,BD!$B$4:$BO$389,27,FALSE), 0))</f>
        <v>63</v>
      </c>
      <c r="K104" s="344"/>
      <c r="L104" s="344">
        <f>IFERROR(VLOOKUP($I104,BD!$B$4:$BO$400,28,FALSE), NA())</f>
        <v>20</v>
      </c>
      <c r="M104" s="344">
        <f>IFERROR(VLOOKUP($I104,BD!$B$4:$BO$400,29,FALSE), NA())</f>
        <v>5513902</v>
      </c>
      <c r="N104" s="344">
        <f>IFERROR(VLOOKUP($I104,BD!$B$4:$BO$400,30,FALSE), NA())</f>
        <v>5518452</v>
      </c>
      <c r="O104" s="345">
        <f>IFERROR(VLOOKUP($I104,BD!$B$4:$BO$389,31,FALSE), NA())</f>
        <v>4550</v>
      </c>
      <c r="P104" s="346">
        <f t="shared" si="10"/>
        <v>46115</v>
      </c>
      <c r="Q104" s="347">
        <f>IF(V104=0, 0, IFERROR(VLOOKUP($P104,BD!$B$4:$BO$389,32,FALSE), 0))</f>
        <v>40</v>
      </c>
      <c r="R104" s="344"/>
      <c r="S104" s="344">
        <f>IFERROR(VLOOKUP($P104,BD!$B$4:$BO$400,33,FALSE), NA())</f>
        <v>24</v>
      </c>
      <c r="T104" s="344">
        <f>IFERROR(VLOOKUP($P104,BD!$B$4:$BO$400,34,FALSE), NA())</f>
        <v>0</v>
      </c>
      <c r="U104" s="344">
        <f>IFERROR(VLOOKUP($P104,BD!$B$4:$BO$400,35,FALSE), NA())</f>
        <v>0</v>
      </c>
      <c r="V104" s="345">
        <f>IFERROR(VLOOKUP($P104,BD!$B$4:$BO$389,36,FALSE), NA())</f>
        <v>3456</v>
      </c>
    </row>
    <row r="105" spans="2:22" ht="24" thickBot="1" x14ac:dyDescent="0.3">
      <c r="B105" s="346">
        <f t="shared" si="8"/>
        <v>46116</v>
      </c>
      <c r="C105" s="343">
        <f>IF(H105=0, 0, IFERROR(VLOOKUP($B105,BD!$B$4:$BO$389,22,FALSE), 0))</f>
        <v>444.17824074074076</v>
      </c>
      <c r="D105" s="344"/>
      <c r="E105" s="344">
        <f>IFERROR(VLOOKUP($B105,BD!$B$4:$BO$400,23,FALSE), NA())</f>
        <v>24</v>
      </c>
      <c r="F105" s="344">
        <f>IFERROR(VLOOKUP($B105,BD!$B$4:$BO$389,24,FALSE), NA())</f>
        <v>3704841</v>
      </c>
      <c r="G105" s="344">
        <f>IFERROR(VLOOKUP($B105,BD!$B$4:$BO$400,25,FALSE), NA())</f>
        <v>3743218</v>
      </c>
      <c r="H105" s="345">
        <f>IFERROR(VLOOKUP($B105,BD!$B$4:$BO$389,26,FALSE), NA())</f>
        <v>38377</v>
      </c>
      <c r="I105" s="346">
        <f t="shared" si="9"/>
        <v>46116</v>
      </c>
      <c r="J105" s="347">
        <f>IF(O105=0, 0, IFERROR(VLOOKUP($I105,BD!$B$4:$BO$389,27,FALSE), 0))</f>
        <v>0</v>
      </c>
      <c r="K105" s="344"/>
      <c r="L105" s="344">
        <f>IFERROR(VLOOKUP($I105,BD!$B$4:$BO$400,28,FALSE), NA())</f>
        <v>0</v>
      </c>
      <c r="M105" s="344">
        <f>IFERROR(VLOOKUP($I105,BD!$B$4:$BO$400,29,FALSE), NA())</f>
        <v>5518452</v>
      </c>
      <c r="N105" s="344">
        <f>IFERROR(VLOOKUP($I105,BD!$B$4:$BO$400,30,FALSE), NA())</f>
        <v>5518546</v>
      </c>
      <c r="O105" s="345">
        <f>IFERROR(VLOOKUP($I105,BD!$B$4:$BO$389,31,FALSE), NA())</f>
        <v>94</v>
      </c>
      <c r="P105" s="346">
        <f t="shared" si="10"/>
        <v>46116</v>
      </c>
      <c r="Q105" s="347">
        <f>IF(V105=0, 0, IFERROR(VLOOKUP($P105,BD!$B$4:$BO$389,32,FALSE), 0))</f>
        <v>40</v>
      </c>
      <c r="R105" s="344"/>
      <c r="S105" s="344">
        <f>IFERROR(VLOOKUP($P105,BD!$B$4:$BO$400,33,FALSE), NA())</f>
        <v>24</v>
      </c>
      <c r="T105" s="344">
        <f>IFERROR(VLOOKUP($P105,BD!$B$4:$BO$400,34,FALSE), NA())</f>
        <v>0</v>
      </c>
      <c r="U105" s="344">
        <f>IFERROR(VLOOKUP($P105,BD!$B$4:$BO$400,35,FALSE), NA())</f>
        <v>0</v>
      </c>
      <c r="V105" s="345">
        <f>IFERROR(VLOOKUP($P105,BD!$B$4:$BO$389,36,FALSE), NA())</f>
        <v>3456</v>
      </c>
    </row>
    <row r="106" spans="2:22" ht="24" thickBot="1" x14ac:dyDescent="0.3">
      <c r="B106" s="346">
        <f t="shared" si="8"/>
        <v>46117</v>
      </c>
      <c r="C106" s="343">
        <f>IF(H106=0, 0, IFERROR(VLOOKUP($B106,BD!$B$4:$BO$389,22,FALSE), 0))</f>
        <v>452.89351851851853</v>
      </c>
      <c r="D106" s="344"/>
      <c r="E106" s="344">
        <f>IFERROR(VLOOKUP($B106,BD!$B$4:$BO$400,23,FALSE), NA())</f>
        <v>24</v>
      </c>
      <c r="F106" s="344">
        <f>IFERROR(VLOOKUP($B106,BD!$B$4:$BO$389,24,FALSE), NA())</f>
        <v>3743218</v>
      </c>
      <c r="G106" s="344">
        <f>IFERROR(VLOOKUP($B106,BD!$B$4:$BO$400,25,FALSE), NA())</f>
        <v>3782348</v>
      </c>
      <c r="H106" s="345">
        <f>IFERROR(VLOOKUP($B106,BD!$B$4:$BO$389,26,FALSE), NA())</f>
        <v>39130</v>
      </c>
      <c r="I106" s="346">
        <f t="shared" si="9"/>
        <v>46117</v>
      </c>
      <c r="J106" s="347">
        <f>IF(O106=0, 0, IFERROR(VLOOKUP($I106,BD!$B$4:$BO$389,27,FALSE), 0))</f>
        <v>0</v>
      </c>
      <c r="K106" s="344"/>
      <c r="L106" s="344">
        <f>IFERROR(VLOOKUP($I106,BD!$B$4:$BO$400,28,FALSE), NA())</f>
        <v>0</v>
      </c>
      <c r="M106" s="344">
        <f>IFERROR(VLOOKUP($I106,BD!$B$4:$BO$400,29,FALSE), NA())</f>
        <v>5518546</v>
      </c>
      <c r="N106" s="344">
        <f>IFERROR(VLOOKUP($I106,BD!$B$4:$BO$400,30,FALSE), NA())</f>
        <v>5518633</v>
      </c>
      <c r="O106" s="345">
        <f>IFERROR(VLOOKUP($I106,BD!$B$4:$BO$389,31,FALSE), NA())</f>
        <v>87</v>
      </c>
      <c r="P106" s="346">
        <f t="shared" si="10"/>
        <v>46117</v>
      </c>
      <c r="Q106" s="347">
        <f>IF(V106=0, 0, IFERROR(VLOOKUP($P106,BD!$B$4:$BO$389,32,FALSE), 0))</f>
        <v>40</v>
      </c>
      <c r="R106" s="344"/>
      <c r="S106" s="344">
        <f>IFERROR(VLOOKUP($P106,BD!$B$4:$BO$400,33,FALSE), NA())</f>
        <v>24</v>
      </c>
      <c r="T106" s="344">
        <f>IFERROR(VLOOKUP($P106,BD!$B$4:$BO$400,34,FALSE), NA())</f>
        <v>0</v>
      </c>
      <c r="U106" s="344">
        <f>IFERROR(VLOOKUP($P106,BD!$B$4:$BO$400,35,FALSE), NA())</f>
        <v>0</v>
      </c>
      <c r="V106" s="345">
        <f>IFERROR(VLOOKUP($P106,BD!$B$4:$BO$389,36,FALSE), NA())</f>
        <v>3456</v>
      </c>
    </row>
    <row r="107" spans="2:22" ht="24" thickBot="1" x14ac:dyDescent="0.3">
      <c r="B107" s="346">
        <f t="shared" si="8"/>
        <v>46118</v>
      </c>
      <c r="C107" s="343">
        <f>IF(H107=0, 0, IFERROR(VLOOKUP($B107,BD!$B$4:$BO$389,22,FALSE), 0))</f>
        <v>420.46296296296299</v>
      </c>
      <c r="D107" s="344"/>
      <c r="E107" s="344">
        <f>IFERROR(VLOOKUP($B107,BD!$B$4:$BO$400,23,FALSE), NA())</f>
        <v>24</v>
      </c>
      <c r="F107" s="344">
        <f>IFERROR(VLOOKUP($B107,BD!$B$4:$BO$389,24,FALSE), NA())</f>
        <v>3782348</v>
      </c>
      <c r="G107" s="344">
        <f>IFERROR(VLOOKUP($B107,BD!$B$4:$BO$400,25,FALSE), NA())</f>
        <v>3821253</v>
      </c>
      <c r="H107" s="345">
        <f>IFERROR(VLOOKUP($B107,BD!$B$4:$BO$389,26,FALSE), NA())</f>
        <v>36328</v>
      </c>
      <c r="I107" s="346">
        <f t="shared" si="9"/>
        <v>46118</v>
      </c>
      <c r="J107" s="347">
        <f>IF(O107=0, 0, IFERROR(VLOOKUP($I107,BD!$B$4:$BO$389,27,FALSE), 0))</f>
        <v>57</v>
      </c>
      <c r="K107" s="344"/>
      <c r="L107" s="344">
        <f>IFERROR(VLOOKUP($I107,BD!$B$4:$BO$400,28,FALSE), NA())</f>
        <v>6</v>
      </c>
      <c r="M107" s="344">
        <f>IFERROR(VLOOKUP($I107,BD!$B$4:$BO$400,29,FALSE), NA())</f>
        <v>5518633</v>
      </c>
      <c r="N107" s="344">
        <f>IFERROR(VLOOKUP($I107,BD!$B$4:$BO$400,30,FALSE), NA())</f>
        <v>5519871</v>
      </c>
      <c r="O107" s="345">
        <f>IFERROR(VLOOKUP($I107,BD!$B$4:$BO$389,31,FALSE), NA())</f>
        <v>1238</v>
      </c>
      <c r="P107" s="346">
        <f t="shared" si="10"/>
        <v>46118</v>
      </c>
      <c r="Q107" s="347">
        <f>IF(V107=0, 0, IFERROR(VLOOKUP($P107,BD!$B$4:$BO$389,32,FALSE), 0))</f>
        <v>40</v>
      </c>
      <c r="R107" s="344"/>
      <c r="S107" s="344">
        <f>IFERROR(VLOOKUP($P107,BD!$B$4:$BO$400,33,FALSE), NA())</f>
        <v>24</v>
      </c>
      <c r="T107" s="344">
        <f>IFERROR(VLOOKUP($P107,BD!$B$4:$BO$400,34,FALSE), NA())</f>
        <v>0</v>
      </c>
      <c r="U107" s="344">
        <f>IFERROR(VLOOKUP($P107,BD!$B$4:$BO$400,35,FALSE), NA())</f>
        <v>0</v>
      </c>
      <c r="V107" s="345">
        <f>IFERROR(VLOOKUP($P107,BD!$B$4:$BO$389,36,FALSE), NA())</f>
        <v>3456</v>
      </c>
    </row>
    <row r="108" spans="2:22" ht="24" thickBot="1" x14ac:dyDescent="0.3">
      <c r="B108" s="346">
        <f t="shared" si="8"/>
        <v>46119</v>
      </c>
      <c r="C108" s="343">
        <f>IF(H108=0, 0, IFERROR(VLOOKUP($B108,BD!$B$4:$BO$389,22,FALSE), 0))</f>
        <v>442.40740740740739</v>
      </c>
      <c r="D108" s="344"/>
      <c r="E108" s="344">
        <f>IFERROR(VLOOKUP($B108,BD!$B$4:$BO$400,23,FALSE), NA())</f>
        <v>24</v>
      </c>
      <c r="F108" s="344">
        <f>IFERROR(VLOOKUP($B108,BD!$B$4:$BO$389,24,FALSE), NA())</f>
        <v>3821253</v>
      </c>
      <c r="G108" s="344">
        <f>IFERROR(VLOOKUP($B108,BD!$B$4:$BO$400,25,FALSE), NA())</f>
        <v>3860272</v>
      </c>
      <c r="H108" s="345">
        <f>IFERROR(VLOOKUP($B108,BD!$B$4:$BO$389,26,FALSE), NA())</f>
        <v>38224</v>
      </c>
      <c r="I108" s="346">
        <f t="shared" si="9"/>
        <v>46119</v>
      </c>
      <c r="J108" s="347">
        <f>IF(O108=0, 0, IFERROR(VLOOKUP($I108,BD!$B$4:$BO$389,27,FALSE), 0))</f>
        <v>62</v>
      </c>
      <c r="K108" s="344"/>
      <c r="L108" s="344">
        <f>IFERROR(VLOOKUP($I108,BD!$B$4:$BO$400,28,FALSE), NA())</f>
        <v>24</v>
      </c>
      <c r="M108" s="344">
        <f>IFERROR(VLOOKUP($I108,BD!$B$4:$BO$400,29,FALSE), NA())</f>
        <v>5519871</v>
      </c>
      <c r="N108" s="344">
        <f>IFERROR(VLOOKUP($I108,BD!$B$4:$BO$400,30,FALSE), NA())</f>
        <v>5525233.4000000004</v>
      </c>
      <c r="O108" s="345">
        <f>IFERROR(VLOOKUP($I108,BD!$B$4:$BO$389,31,FALSE), NA())</f>
        <v>5362.4000000003725</v>
      </c>
      <c r="P108" s="346">
        <f t="shared" si="10"/>
        <v>46119</v>
      </c>
      <c r="Q108" s="347">
        <f>IF(V108=0, 0, IFERROR(VLOOKUP($P108,BD!$B$4:$BO$389,32,FALSE), 0))</f>
        <v>40</v>
      </c>
      <c r="R108" s="344"/>
      <c r="S108" s="344">
        <f>IFERROR(VLOOKUP($P108,BD!$B$4:$BO$400,33,FALSE), NA())</f>
        <v>24</v>
      </c>
      <c r="T108" s="344">
        <f>IFERROR(VLOOKUP($P108,BD!$B$4:$BO$400,34,FALSE), NA())</f>
        <v>0</v>
      </c>
      <c r="U108" s="344">
        <f>IFERROR(VLOOKUP($P108,BD!$B$4:$BO$400,35,FALSE), NA())</f>
        <v>0</v>
      </c>
      <c r="V108" s="345">
        <f>IFERROR(VLOOKUP($P108,BD!$B$4:$BO$389,36,FALSE), NA())</f>
        <v>3456</v>
      </c>
    </row>
    <row r="109" spans="2:22" ht="24" thickBot="1" x14ac:dyDescent="0.3">
      <c r="B109" s="346">
        <f t="shared" si="8"/>
        <v>46120</v>
      </c>
      <c r="C109" s="343">
        <f>IF(H109=0, 0, IFERROR(VLOOKUP($B109,BD!$B$4:$BO$389,22,FALSE), 0))</f>
        <v>431.21759259259477</v>
      </c>
      <c r="D109" s="344"/>
      <c r="E109" s="344">
        <f>IFERROR(VLOOKUP($B109,BD!$B$4:$BO$400,23,FALSE), NA())</f>
        <v>24</v>
      </c>
      <c r="F109" s="344">
        <f>IFERROR(VLOOKUP($B109,BD!$B$4:$BO$389,24,FALSE), NA())</f>
        <v>3860272</v>
      </c>
      <c r="G109" s="344">
        <f>IFERROR(VLOOKUP($B109,BD!$B$4:$BO$400,25,FALSE), NA())</f>
        <v>3897566.2</v>
      </c>
      <c r="H109" s="345">
        <f>IFERROR(VLOOKUP($B109,BD!$B$4:$BO$389,26,FALSE), NA())</f>
        <v>37257.200000000186</v>
      </c>
      <c r="I109" s="346">
        <f t="shared" si="9"/>
        <v>46120</v>
      </c>
      <c r="J109" s="347">
        <f>IF(O109=0, 0, IFERROR(VLOOKUP($I109,BD!$B$4:$BO$389,27,FALSE), 0))</f>
        <v>64</v>
      </c>
      <c r="K109" s="344"/>
      <c r="L109" s="344">
        <f>IFERROR(VLOOKUP($I109,BD!$B$4:$BO$400,28,FALSE), NA())</f>
        <v>24</v>
      </c>
      <c r="M109" s="344">
        <f>IFERROR(VLOOKUP($I109,BD!$B$4:$BO$400,29,FALSE), NA())</f>
        <v>5525233.4000000004</v>
      </c>
      <c r="N109" s="344">
        <f>IFERROR(VLOOKUP($I109,BD!$B$4:$BO$400,30,FALSE), NA())</f>
        <v>5530843</v>
      </c>
      <c r="O109" s="345">
        <f>IFERROR(VLOOKUP($I109,BD!$B$4:$BO$389,31,FALSE), NA())</f>
        <v>5609.5999999996275</v>
      </c>
      <c r="P109" s="346">
        <f t="shared" si="10"/>
        <v>46120</v>
      </c>
      <c r="Q109" s="347">
        <f>IF(V109=0, 0, IFERROR(VLOOKUP($P109,BD!$B$4:$BO$389,32,FALSE), 0))</f>
        <v>40</v>
      </c>
      <c r="R109" s="344"/>
      <c r="S109" s="344">
        <f>IFERROR(VLOOKUP($P109,BD!$B$4:$BO$400,33,FALSE), NA())</f>
        <v>24</v>
      </c>
      <c r="T109" s="344">
        <f>IFERROR(VLOOKUP($P109,BD!$B$4:$BO$400,34,FALSE), NA())</f>
        <v>0</v>
      </c>
      <c r="U109" s="344">
        <f>IFERROR(VLOOKUP($P109,BD!$B$4:$BO$400,35,FALSE), NA())</f>
        <v>0</v>
      </c>
      <c r="V109" s="345">
        <f>IFERROR(VLOOKUP($P109,BD!$B$4:$BO$389,36,FALSE), NA())</f>
        <v>3456</v>
      </c>
    </row>
    <row r="110" spans="2:22" ht="24" thickBot="1" x14ac:dyDescent="0.3">
      <c r="B110" s="346">
        <f t="shared" si="8"/>
        <v>46121</v>
      </c>
      <c r="C110" s="343">
        <f>IF(H110=0, 0, IFERROR(VLOOKUP($B110,BD!$B$4:$BO$389,22,FALSE), 0))</f>
        <v>446.29166666666231</v>
      </c>
      <c r="D110" s="344"/>
      <c r="E110" s="344">
        <f>IFERROR(VLOOKUP($B110,BD!$B$4:$BO$400,23,FALSE), NA())</f>
        <v>24</v>
      </c>
      <c r="F110" s="344">
        <f>IFERROR(VLOOKUP($B110,BD!$B$4:$BO$389,24,FALSE), NA())</f>
        <v>3897566.2</v>
      </c>
      <c r="G110" s="344">
        <f>IFERROR(VLOOKUP($B110,BD!$B$4:$BO$400,25,FALSE), NA())</f>
        <v>3936125.8</v>
      </c>
      <c r="H110" s="345">
        <f>IFERROR(VLOOKUP($B110,BD!$B$4:$BO$389,26,FALSE), NA())</f>
        <v>38559.599999999627</v>
      </c>
      <c r="I110" s="346">
        <f t="shared" si="9"/>
        <v>46121</v>
      </c>
      <c r="J110" s="347">
        <f>IF(O110=0, 0, IFERROR(VLOOKUP($I110,BD!$B$4:$BO$389,27,FALSE), 0))</f>
        <v>68</v>
      </c>
      <c r="K110" s="344"/>
      <c r="L110" s="344">
        <f>IFERROR(VLOOKUP($I110,BD!$B$4:$BO$400,28,FALSE), NA())</f>
        <v>24</v>
      </c>
      <c r="M110" s="344">
        <f>IFERROR(VLOOKUP($I110,BD!$B$4:$BO$400,29,FALSE), NA())</f>
        <v>5530843</v>
      </c>
      <c r="N110" s="344">
        <f>IFERROR(VLOOKUP($I110,BD!$B$4:$BO$400,30,FALSE), NA())</f>
        <v>5536734</v>
      </c>
      <c r="O110" s="345">
        <f>IFERROR(VLOOKUP($I110,BD!$B$4:$BO$389,31,FALSE), NA())</f>
        <v>5891</v>
      </c>
      <c r="P110" s="346">
        <f t="shared" si="10"/>
        <v>46121</v>
      </c>
      <c r="Q110" s="347">
        <f>IF(V110=0, 0, IFERROR(VLOOKUP($P110,BD!$B$4:$BO$389,32,FALSE), 0))</f>
        <v>40</v>
      </c>
      <c r="R110" s="344"/>
      <c r="S110" s="344">
        <f>IFERROR(VLOOKUP($P110,BD!$B$4:$BO$400,33,FALSE), NA())</f>
        <v>24</v>
      </c>
      <c r="T110" s="344">
        <f>IFERROR(VLOOKUP($P110,BD!$B$4:$BO$400,34,FALSE), NA())</f>
        <v>0</v>
      </c>
      <c r="U110" s="344">
        <f>IFERROR(VLOOKUP($P110,BD!$B$4:$BO$400,35,FALSE), NA())</f>
        <v>0</v>
      </c>
      <c r="V110" s="345">
        <f>IFERROR(VLOOKUP($P110,BD!$B$4:$BO$389,36,FALSE), NA())</f>
        <v>3456</v>
      </c>
    </row>
    <row r="111" spans="2:22" ht="24" thickBot="1" x14ac:dyDescent="0.3">
      <c r="B111" s="346">
        <f t="shared" si="8"/>
        <v>46122</v>
      </c>
      <c r="C111" s="343">
        <f>IF(H111=0, 0, IFERROR(VLOOKUP($B111,BD!$B$4:$BO$389,22,FALSE), 0))</f>
        <v>466.52974748472508</v>
      </c>
      <c r="D111" s="344"/>
      <c r="E111" s="344">
        <f>IFERROR(VLOOKUP($B111,BD!$B$4:$BO$400,23,FALSE), NA())</f>
        <v>24</v>
      </c>
      <c r="F111" s="344">
        <f>IFERROR(VLOOKUP($B111,BD!$B$4:$BO$389,24,FALSE), NA())</f>
        <v>3936125.8</v>
      </c>
      <c r="G111" s="344">
        <f>IFERROR(VLOOKUP($B111,BD!$B$4:$BO$400,25,FALSE), NA())</f>
        <v>3976433.9701826801</v>
      </c>
      <c r="H111" s="345">
        <f>IFERROR(VLOOKUP($B111,BD!$B$4:$BO$389,26,FALSE), NA())</f>
        <v>40308.170182680245</v>
      </c>
      <c r="I111" s="346">
        <f t="shared" si="9"/>
        <v>46122</v>
      </c>
      <c r="J111" s="347">
        <f>IF(O111=0, 0, IFERROR(VLOOKUP($I111,BD!$B$4:$BO$389,27,FALSE), 0))</f>
        <v>70</v>
      </c>
      <c r="K111" s="344"/>
      <c r="L111" s="344">
        <f>IFERROR(VLOOKUP($I111,BD!$B$4:$BO$400,28,FALSE), NA())</f>
        <v>24</v>
      </c>
      <c r="M111" s="344">
        <f>IFERROR(VLOOKUP($I111,BD!$B$4:$BO$400,29,FALSE), NA())</f>
        <v>5536734</v>
      </c>
      <c r="N111" s="344">
        <f>IFERROR(VLOOKUP($I111,BD!$B$4:$BO$400,30,FALSE), NA())</f>
        <v>5542849</v>
      </c>
      <c r="O111" s="345">
        <f>IFERROR(VLOOKUP($I111,BD!$B$4:$BO$389,31,FALSE), NA())</f>
        <v>6115</v>
      </c>
      <c r="P111" s="346">
        <f t="shared" si="10"/>
        <v>46122</v>
      </c>
      <c r="Q111" s="347">
        <f>IF(V111=0, 0, IFERROR(VLOOKUP($P111,BD!$B$4:$BO$389,32,FALSE), 0))</f>
        <v>40</v>
      </c>
      <c r="R111" s="344"/>
      <c r="S111" s="344">
        <f>IFERROR(VLOOKUP($P111,BD!$B$4:$BO$400,33,FALSE), NA())</f>
        <v>24</v>
      </c>
      <c r="T111" s="344">
        <f>IFERROR(VLOOKUP($P111,BD!$B$4:$BO$400,34,FALSE), NA())</f>
        <v>0</v>
      </c>
      <c r="U111" s="344">
        <f>IFERROR(VLOOKUP($P111,BD!$B$4:$BO$400,35,FALSE), NA())</f>
        <v>0</v>
      </c>
      <c r="V111" s="345">
        <f>IFERROR(VLOOKUP($P111,BD!$B$4:$BO$389,36,FALSE), NA())</f>
        <v>3456</v>
      </c>
    </row>
    <row r="112" spans="2:22" ht="24" thickBot="1" x14ac:dyDescent="0.3">
      <c r="B112" s="346">
        <f t="shared" si="8"/>
        <v>46123</v>
      </c>
      <c r="C112" s="343">
        <f>IF(H112=0, 0, IFERROR(VLOOKUP($B112,BD!$B$4:$BO$389,22,FALSE), 0))</f>
        <v>472.67395621898078</v>
      </c>
      <c r="D112" s="344"/>
      <c r="E112" s="344">
        <f>IFERROR(VLOOKUP($B112,BD!$B$4:$BO$400,23,FALSE), NA())</f>
        <v>24</v>
      </c>
      <c r="F112" s="344">
        <f>IFERROR(VLOOKUP($B112,BD!$B$4:$BO$389,24,FALSE), NA())</f>
        <v>3976433.9701826801</v>
      </c>
      <c r="G112" s="344">
        <f>IFERROR(VLOOKUP($B112,BD!$B$4:$BO$400,25,FALSE), NA())</f>
        <v>4017273</v>
      </c>
      <c r="H112" s="345">
        <f>IFERROR(VLOOKUP($B112,BD!$B$4:$BO$389,26,FALSE), NA())</f>
        <v>40839.029817319941</v>
      </c>
      <c r="I112" s="346">
        <f t="shared" si="9"/>
        <v>46123</v>
      </c>
      <c r="J112" s="347">
        <f>IF(O112=0, 0, IFERROR(VLOOKUP($I112,BD!$B$4:$BO$389,27,FALSE), 0))</f>
        <v>62</v>
      </c>
      <c r="K112" s="344"/>
      <c r="L112" s="344">
        <f>IFERROR(VLOOKUP($I112,BD!$B$4:$BO$400,28,FALSE), NA())</f>
        <v>24</v>
      </c>
      <c r="M112" s="344">
        <f>IFERROR(VLOOKUP($I112,BD!$B$4:$BO$400,29,FALSE), NA())</f>
        <v>5542849</v>
      </c>
      <c r="N112" s="344">
        <f>IFERROR(VLOOKUP($I112,BD!$B$4:$BO$400,30,FALSE), NA())</f>
        <v>5548248</v>
      </c>
      <c r="O112" s="345">
        <f>IFERROR(VLOOKUP($I112,BD!$B$4:$BO$389,31,FALSE), NA())</f>
        <v>5399</v>
      </c>
      <c r="P112" s="346">
        <f t="shared" si="10"/>
        <v>46123</v>
      </c>
      <c r="Q112" s="347">
        <f>IF(V112=0, 0, IFERROR(VLOOKUP($P112,BD!$B$4:$BO$389,32,FALSE), 0))</f>
        <v>40</v>
      </c>
      <c r="R112" s="344"/>
      <c r="S112" s="344">
        <f>IFERROR(VLOOKUP($P112,BD!$B$4:$BO$400,33,FALSE), NA())</f>
        <v>24</v>
      </c>
      <c r="T112" s="344">
        <f>IFERROR(VLOOKUP($P112,BD!$B$4:$BO$400,34,FALSE), NA())</f>
        <v>0</v>
      </c>
      <c r="U112" s="344">
        <f>IFERROR(VLOOKUP($P112,BD!$B$4:$BO$400,35,FALSE), NA())</f>
        <v>0</v>
      </c>
      <c r="V112" s="345">
        <f>IFERROR(VLOOKUP($P112,BD!$B$4:$BO$389,36,FALSE), NA())</f>
        <v>3456</v>
      </c>
    </row>
    <row r="113" spans="2:22" ht="24" thickBot="1" x14ac:dyDescent="0.3">
      <c r="B113" s="532" t="s">
        <v>16</v>
      </c>
      <c r="C113" s="533"/>
      <c r="D113" s="533"/>
      <c r="E113" s="533"/>
      <c r="F113" s="533"/>
      <c r="G113" s="534"/>
      <c r="H113" s="348">
        <f>_xlfn.AGGREGATE(9,6,H82:H112)</f>
        <v>1033848.1100310399</v>
      </c>
      <c r="I113" s="532" t="s">
        <v>16</v>
      </c>
      <c r="J113" s="533"/>
      <c r="K113" s="533"/>
      <c r="L113" s="533"/>
      <c r="M113" s="533"/>
      <c r="N113" s="534"/>
      <c r="O113" s="348">
        <f>_xlfn.AGGREGATE(9,6,O82:O112)</f>
        <v>143860</v>
      </c>
      <c r="P113" s="532" t="s">
        <v>16</v>
      </c>
      <c r="Q113" s="533"/>
      <c r="R113" s="533"/>
      <c r="S113" s="533"/>
      <c r="T113" s="533"/>
      <c r="U113" s="534"/>
      <c r="V113" s="348">
        <f>_xlfn.AGGREGATE(9,6,V82:V112)</f>
        <v>136512</v>
      </c>
    </row>
    <row r="114" spans="2:22" ht="24" thickBot="1" x14ac:dyDescent="0.3">
      <c r="B114" s="532" t="s">
        <v>17</v>
      </c>
      <c r="C114" s="533"/>
      <c r="D114" s="533"/>
      <c r="E114" s="533"/>
      <c r="F114" s="533"/>
      <c r="G114" s="534"/>
      <c r="H114" s="348">
        <f>H113*0.1</f>
        <v>103384.811003104</v>
      </c>
      <c r="I114" s="532" t="s">
        <v>17</v>
      </c>
      <c r="J114" s="533"/>
      <c r="K114" s="533"/>
      <c r="L114" s="533"/>
      <c r="M114" s="533"/>
      <c r="N114" s="534"/>
      <c r="O114" s="348">
        <f>O113*0.1</f>
        <v>14386</v>
      </c>
      <c r="P114" s="532" t="s">
        <v>17</v>
      </c>
      <c r="Q114" s="533"/>
      <c r="R114" s="533"/>
      <c r="S114" s="533"/>
      <c r="T114" s="533"/>
      <c r="U114" s="534"/>
      <c r="V114" s="348">
        <f>V113*0.1</f>
        <v>13651.2</v>
      </c>
    </row>
    <row r="115" spans="2:22" ht="25.5" thickBot="1" x14ac:dyDescent="0.3">
      <c r="B115" s="532" t="s">
        <v>564</v>
      </c>
      <c r="C115" s="533"/>
      <c r="D115" s="533"/>
      <c r="E115" s="533"/>
      <c r="F115" s="533"/>
      <c r="G115" s="534"/>
      <c r="H115" s="348">
        <f>H113-H114</f>
        <v>930463.29902793595</v>
      </c>
      <c r="I115" s="532" t="s">
        <v>564</v>
      </c>
      <c r="J115" s="533"/>
      <c r="K115" s="533"/>
      <c r="L115" s="533"/>
      <c r="M115" s="533"/>
      <c r="N115" s="534"/>
      <c r="O115" s="348">
        <f>O113-O114</f>
        <v>129474</v>
      </c>
      <c r="P115" s="532" t="s">
        <v>564</v>
      </c>
      <c r="Q115" s="533"/>
      <c r="R115" s="533"/>
      <c r="S115" s="533"/>
      <c r="T115" s="533"/>
      <c r="U115" s="534"/>
      <c r="V115" s="348">
        <f>V113-V114</f>
        <v>122860.8</v>
      </c>
    </row>
    <row r="116" spans="2:22" ht="50.1" customHeight="1" x14ac:dyDescent="0.25"/>
    <row r="117" spans="2:22" ht="50.1" customHeight="1" x14ac:dyDescent="0.25">
      <c r="B117" s="349"/>
      <c r="C117" s="349"/>
      <c r="D117" s="349"/>
      <c r="E117" s="349"/>
      <c r="F117" s="349"/>
      <c r="G117" s="349"/>
      <c r="H117" s="349"/>
      <c r="I117" s="349"/>
      <c r="J117" s="349"/>
      <c r="K117" s="349"/>
      <c r="L117" s="349"/>
      <c r="M117" s="349"/>
      <c r="N117" s="349"/>
      <c r="O117" s="349"/>
      <c r="P117" s="349"/>
      <c r="Q117" s="349"/>
      <c r="R117" s="349"/>
      <c r="S117" s="349"/>
      <c r="T117" s="349"/>
      <c r="U117" s="349"/>
      <c r="V117" s="349"/>
    </row>
    <row r="118" spans="2:22" ht="50.1" customHeight="1" thickBot="1" x14ac:dyDescent="0.3"/>
    <row r="119" spans="2:22" ht="26.25" thickBot="1" x14ac:dyDescent="0.4">
      <c r="B119" s="531" t="s">
        <v>568</v>
      </c>
      <c r="C119" s="531"/>
      <c r="D119" s="531"/>
      <c r="E119" s="531"/>
      <c r="F119" s="531"/>
      <c r="G119" s="531"/>
      <c r="H119" s="531"/>
      <c r="I119" s="531" t="s">
        <v>567</v>
      </c>
      <c r="J119" s="531"/>
      <c r="K119" s="531"/>
      <c r="L119" s="531"/>
      <c r="M119" s="531"/>
      <c r="N119" s="531"/>
      <c r="O119" s="531"/>
      <c r="P119" s="531" t="s">
        <v>566</v>
      </c>
      <c r="Q119" s="531"/>
      <c r="R119" s="531"/>
      <c r="S119" s="531"/>
      <c r="T119" s="531"/>
      <c r="U119" s="531"/>
      <c r="V119" s="531"/>
    </row>
    <row r="120" spans="2:22" ht="26.25" thickBot="1" x14ac:dyDescent="0.4">
      <c r="B120" s="528" t="str">
        <f>PROPER(TEXT(B122,"mmmm"))</f>
        <v>Marzo</v>
      </c>
      <c r="C120" s="529"/>
      <c r="D120" s="529"/>
      <c r="E120" s="529"/>
      <c r="F120" s="529"/>
      <c r="G120" s="529"/>
      <c r="H120" s="530"/>
      <c r="I120" s="528" t="str">
        <f>PROPER(TEXT(I122,"mmmm"))</f>
        <v>Marzo</v>
      </c>
      <c r="J120" s="529"/>
      <c r="K120" s="529"/>
      <c r="L120" s="529"/>
      <c r="M120" s="529"/>
      <c r="N120" s="529"/>
      <c r="O120" s="530"/>
      <c r="P120" s="528" t="str">
        <f>PROPER(TEXT(P122,"mmmm"))</f>
        <v>Marzo</v>
      </c>
      <c r="Q120" s="529"/>
      <c r="R120" s="529"/>
      <c r="S120" s="529"/>
      <c r="T120" s="529"/>
      <c r="U120" s="529"/>
      <c r="V120" s="530"/>
    </row>
    <row r="121" spans="2:22" ht="30" customHeight="1" thickBot="1" x14ac:dyDescent="0.3">
      <c r="B121" s="341" t="s">
        <v>80</v>
      </c>
      <c r="C121" s="341" t="s">
        <v>569</v>
      </c>
      <c r="D121" s="341" t="s">
        <v>711</v>
      </c>
      <c r="E121" s="341" t="s">
        <v>712</v>
      </c>
      <c r="F121" s="341" t="s">
        <v>713</v>
      </c>
      <c r="G121" s="341" t="s">
        <v>714</v>
      </c>
      <c r="H121" s="341" t="s">
        <v>715</v>
      </c>
      <c r="I121" s="341" t="s">
        <v>80</v>
      </c>
      <c r="J121" s="341" t="s">
        <v>569</v>
      </c>
      <c r="K121" s="341" t="s">
        <v>711</v>
      </c>
      <c r="L121" s="341" t="s">
        <v>712</v>
      </c>
      <c r="M121" s="341" t="s">
        <v>713</v>
      </c>
      <c r="N121" s="341" t="s">
        <v>714</v>
      </c>
      <c r="O121" s="341" t="s">
        <v>715</v>
      </c>
      <c r="P121" s="341" t="s">
        <v>80</v>
      </c>
      <c r="Q121" s="341" t="s">
        <v>569</v>
      </c>
      <c r="R121" s="341" t="s">
        <v>711</v>
      </c>
      <c r="S121" s="341" t="s">
        <v>712</v>
      </c>
      <c r="T121" s="341" t="s">
        <v>713</v>
      </c>
      <c r="U121" s="341" t="s">
        <v>714</v>
      </c>
      <c r="V121" s="341" t="s">
        <v>715</v>
      </c>
    </row>
    <row r="122" spans="2:22" ht="24" thickBot="1" x14ac:dyDescent="0.3">
      <c r="B122" s="346">
        <f>$B$1</f>
        <v>46093</v>
      </c>
      <c r="C122" s="343">
        <f>IF(H122=0, 0, IFERROR(VLOOKUP($B122,BD!$B$4:$BO$389,52,FALSE), 0))</f>
        <v>125</v>
      </c>
      <c r="D122" s="344"/>
      <c r="E122" s="344">
        <f>IFERROR(VLOOKUP($B122,BD!$B$4:$BO$389,53,FALSE), NA())</f>
        <v>5.72</v>
      </c>
      <c r="F122" s="344">
        <f>IFERROR(VLOOKUP($B122,BD!$B$4:$BO$389,54,FALSE), NA())</f>
        <v>6001812</v>
      </c>
      <c r="G122" s="344">
        <f>IFERROR(VLOOKUP($B122,BD!$B$4:$BO$400,55,FALSE), NA())</f>
        <v>6004386</v>
      </c>
      <c r="H122" s="345">
        <f>IFERROR(VLOOKUP($B122,BD!$B$4:$BO$389,56,FALSE), NA())</f>
        <v>2574</v>
      </c>
      <c r="I122" s="346">
        <f>$B$1</f>
        <v>46093</v>
      </c>
      <c r="J122" s="343">
        <f>IF(O122=0, 0, IFERROR(VLOOKUP($I122,BD!$B$4:$BO$389,57,FALSE), 0))</f>
        <v>20</v>
      </c>
      <c r="K122" s="344"/>
      <c r="L122" s="344">
        <f>IFERROR(VLOOKUP($I122,BD!$B$4:$BO$389,58,FALSE), NA())</f>
        <v>17.222222222222221</v>
      </c>
      <c r="M122" s="344">
        <f>IFERROR(VLOOKUP($I122,BD!$B$4:$BO$389,59,FALSE), NA())</f>
        <v>1608355</v>
      </c>
      <c r="N122" s="344">
        <f>IFERROR(VLOOKUP($I122,BD!$B$4:$BO$400,60,FALSE), NA())</f>
        <v>1609595</v>
      </c>
      <c r="O122" s="345">
        <f>IFERROR(VLOOKUP($I122,BD!$B$4:$BO$389,61,FALSE), NA())</f>
        <v>1240</v>
      </c>
      <c r="P122" s="346">
        <f>$B$1</f>
        <v>46093</v>
      </c>
      <c r="Q122" s="343">
        <f>IF(V122=0, 0, IFERROR(VLOOKUP($P122,BD!$B$4:$BO$389,62,FALSE), 0))</f>
        <v>70</v>
      </c>
      <c r="R122" s="344"/>
      <c r="S122" s="344">
        <f>IFERROR(VLOOKUP($P122,BD!$B$4:$BO$389,63,FALSE), NA())</f>
        <v>21.265873015873016</v>
      </c>
      <c r="T122" s="344">
        <f>IFERROR(VLOOKUP($P122,BD!$B$4:$BO$389,64,FALSE), NA())</f>
        <v>6393590</v>
      </c>
      <c r="U122" s="344">
        <f>IFERROR(VLOOKUP($P122,BD!$B$4:$BO$400,65,FALSE), NA())</f>
        <v>6398949</v>
      </c>
      <c r="V122" s="345">
        <f>IFERROR(VLOOKUP($P122,BD!$B$4:$BO$389,66,FALSE), NA())</f>
        <v>5359</v>
      </c>
    </row>
    <row r="123" spans="2:22" ht="24" thickBot="1" x14ac:dyDescent="0.3">
      <c r="B123" s="346">
        <f t="shared" ref="B123:B152" si="11">IF(ROW(B123)-ROW($B$122)+1 &lt;= DAY(EOMONTH($B$1,0)), B122+1, "")</f>
        <v>46094</v>
      </c>
      <c r="C123" s="343">
        <f>IF(H123=0, 0, IFERROR(VLOOKUP($B123,BD!$B$4:$BO$389,52,FALSE), 0))</f>
        <v>125</v>
      </c>
      <c r="D123" s="344"/>
      <c r="E123" s="344">
        <f>IFERROR(VLOOKUP($B123,BD!$B$4:$BO$389,53,FALSE), NA())</f>
        <v>5.0511111111111111</v>
      </c>
      <c r="F123" s="344">
        <f>IFERROR(VLOOKUP($B123,BD!$B$4:$BO$389,54,FALSE), NA())</f>
        <v>6004386</v>
      </c>
      <c r="G123" s="344">
        <f>IFERROR(VLOOKUP($B123,BD!$B$4:$BO$400,55,FALSE), NA())</f>
        <v>6006659</v>
      </c>
      <c r="H123" s="345">
        <f>IFERROR(VLOOKUP($B123,BD!$B$4:$BO$389,56,FALSE), NA())</f>
        <v>2273</v>
      </c>
      <c r="I123" s="346">
        <f t="shared" ref="I123:I152" si="12">IF(ROW(I123)-ROW($I$122)+1 &lt;= DAY(EOMONTH($B$1,0)), I122+1, "")</f>
        <v>46094</v>
      </c>
      <c r="J123" s="343">
        <f>IF(O123=0, 0, IFERROR(VLOOKUP($I123,BD!$B$4:$BO$389,57,FALSE), 0))</f>
        <v>20</v>
      </c>
      <c r="K123" s="344"/>
      <c r="L123" s="344">
        <f>IFERROR(VLOOKUP($I123,BD!$B$4:$BO$389,58,FALSE), NA())</f>
        <v>17.513888888888889</v>
      </c>
      <c r="M123" s="344">
        <f>IFERROR(VLOOKUP($I123,BD!$B$4:$BO$389,59,FALSE), NA())</f>
        <v>1609595</v>
      </c>
      <c r="N123" s="344">
        <f>IFERROR(VLOOKUP($I123,BD!$B$4:$BO$400,60,FALSE), NA())</f>
        <v>1610856</v>
      </c>
      <c r="O123" s="345">
        <f>IFERROR(VLOOKUP($I123,BD!$B$4:$BO$389,61,FALSE), NA())</f>
        <v>1261</v>
      </c>
      <c r="P123" s="346">
        <f t="shared" ref="P123:P152" si="13">IF(ROW(P123)-ROW($P$122)+1 &lt;= DAY(EOMONTH($B$1,0)), P122+1, "")</f>
        <v>46094</v>
      </c>
      <c r="Q123" s="343">
        <f>IF(V123=0, 0, IFERROR(VLOOKUP($P123,BD!$B$4:$BO$389,62,FALSE), 0))</f>
        <v>70</v>
      </c>
      <c r="R123" s="344"/>
      <c r="S123" s="344">
        <f>IFERROR(VLOOKUP($P123,BD!$B$4:$BO$389,63,FALSE), NA())</f>
        <v>17.980158730158731</v>
      </c>
      <c r="T123" s="344">
        <f>IFERROR(VLOOKUP($P123,BD!$B$4:$BO$389,64,FALSE), NA())</f>
        <v>6398949</v>
      </c>
      <c r="U123" s="344">
        <f>IFERROR(VLOOKUP($P123,BD!$B$4:$BO$400,65,FALSE), NA())</f>
        <v>6403480</v>
      </c>
      <c r="V123" s="345">
        <f>IFERROR(VLOOKUP($P123,BD!$B$4:$BO$389,66,FALSE), NA())</f>
        <v>4531</v>
      </c>
    </row>
    <row r="124" spans="2:22" ht="24" thickBot="1" x14ac:dyDescent="0.3">
      <c r="B124" s="346">
        <f t="shared" si="11"/>
        <v>46095</v>
      </c>
      <c r="C124" s="343">
        <f>IF(H124=0, 0, IFERROR(VLOOKUP($B124,BD!$B$4:$BO$389,52,FALSE), 0))</f>
        <v>125</v>
      </c>
      <c r="D124" s="344"/>
      <c r="E124" s="344">
        <f>IFERROR(VLOOKUP($B124,BD!$B$4:$BO$389,53,FALSE), NA())</f>
        <v>5.5422222222222226</v>
      </c>
      <c r="F124" s="344">
        <f>IFERROR(VLOOKUP($B124,BD!$B$4:$BO$389,54,FALSE), NA())</f>
        <v>6006659</v>
      </c>
      <c r="G124" s="344">
        <f>IFERROR(VLOOKUP($B124,BD!$B$4:$BO$400,55,FALSE), NA())</f>
        <v>6009153</v>
      </c>
      <c r="H124" s="345">
        <f>IFERROR(VLOOKUP($B124,BD!$B$4:$BO$389,56,FALSE), NA())</f>
        <v>2494</v>
      </c>
      <c r="I124" s="346">
        <f t="shared" si="12"/>
        <v>46095</v>
      </c>
      <c r="J124" s="343">
        <f>IF(O124=0, 0, IFERROR(VLOOKUP($I124,BD!$B$4:$BO$389,57,FALSE), 0))</f>
        <v>20</v>
      </c>
      <c r="K124" s="344"/>
      <c r="L124" s="344">
        <f>IFERROR(VLOOKUP($I124,BD!$B$4:$BO$389,58,FALSE), NA())</f>
        <v>18.361111111111111</v>
      </c>
      <c r="M124" s="344">
        <f>IFERROR(VLOOKUP($I124,BD!$B$4:$BO$389,59,FALSE), NA())</f>
        <v>1610856</v>
      </c>
      <c r="N124" s="344">
        <f>IFERROR(VLOOKUP($I124,BD!$B$4:$BO$400,60,FALSE), NA())</f>
        <v>1612178</v>
      </c>
      <c r="O124" s="345">
        <f>IFERROR(VLOOKUP($I124,BD!$B$4:$BO$389,61,FALSE), NA())</f>
        <v>1322</v>
      </c>
      <c r="P124" s="346">
        <f t="shared" si="13"/>
        <v>46095</v>
      </c>
      <c r="Q124" s="343">
        <f>IF(V124=0, 0, IFERROR(VLOOKUP($P124,BD!$B$4:$BO$389,62,FALSE), 0))</f>
        <v>70</v>
      </c>
      <c r="R124" s="344"/>
      <c r="S124" s="344">
        <f>IFERROR(VLOOKUP($P124,BD!$B$4:$BO$389,63,FALSE), NA())</f>
        <v>20.797619047619047</v>
      </c>
      <c r="T124" s="344">
        <f>IFERROR(VLOOKUP($P124,BD!$B$4:$BO$389,64,FALSE), NA())</f>
        <v>6403480</v>
      </c>
      <c r="U124" s="344">
        <f>IFERROR(VLOOKUP($P124,BD!$B$4:$BO$400,65,FALSE), NA())</f>
        <v>6408721</v>
      </c>
      <c r="V124" s="345">
        <f>IFERROR(VLOOKUP($P124,BD!$B$4:$BO$389,66,FALSE), NA())</f>
        <v>5241</v>
      </c>
    </row>
    <row r="125" spans="2:22" ht="24" thickBot="1" x14ac:dyDescent="0.3">
      <c r="B125" s="346">
        <f t="shared" si="11"/>
        <v>46096</v>
      </c>
      <c r="C125" s="343">
        <f>IF(H125=0, 0, IFERROR(VLOOKUP($B125,BD!$B$4:$BO$389,52,FALSE), 0))</f>
        <v>125</v>
      </c>
      <c r="D125" s="344"/>
      <c r="E125" s="344">
        <f>IFERROR(VLOOKUP($B125,BD!$B$4:$BO$389,53,FALSE), NA())</f>
        <v>5.3022222222222224</v>
      </c>
      <c r="F125" s="344">
        <f>IFERROR(VLOOKUP($B125,BD!$B$4:$BO$389,54,FALSE), NA())</f>
        <v>6009153</v>
      </c>
      <c r="G125" s="344">
        <f>IFERROR(VLOOKUP($B125,BD!$B$4:$BO$400,55,FALSE), NA())</f>
        <v>6011539</v>
      </c>
      <c r="H125" s="345">
        <f>IFERROR(VLOOKUP($B125,BD!$B$4:$BO$389,56,FALSE), NA())</f>
        <v>2386</v>
      </c>
      <c r="I125" s="346">
        <f t="shared" si="12"/>
        <v>46096</v>
      </c>
      <c r="J125" s="343">
        <f>IF(O125=0, 0, IFERROR(VLOOKUP($I125,BD!$B$4:$BO$389,57,FALSE), 0))</f>
        <v>20</v>
      </c>
      <c r="K125" s="344"/>
      <c r="L125" s="344">
        <f>IFERROR(VLOOKUP($I125,BD!$B$4:$BO$389,58,FALSE), NA())</f>
        <v>17.277777777777779</v>
      </c>
      <c r="M125" s="344">
        <f>IFERROR(VLOOKUP($I125,BD!$B$4:$BO$389,59,FALSE), NA())</f>
        <v>1612178</v>
      </c>
      <c r="N125" s="344">
        <f>IFERROR(VLOOKUP($I125,BD!$B$4:$BO$400,60,FALSE), NA())</f>
        <v>1613422</v>
      </c>
      <c r="O125" s="345">
        <f>IFERROR(VLOOKUP($I125,BD!$B$4:$BO$389,61,FALSE), NA())</f>
        <v>1244</v>
      </c>
      <c r="P125" s="346">
        <f t="shared" si="13"/>
        <v>46096</v>
      </c>
      <c r="Q125" s="343">
        <f>IF(V125=0, 0, IFERROR(VLOOKUP($P125,BD!$B$4:$BO$389,62,FALSE), 0))</f>
        <v>70</v>
      </c>
      <c r="R125" s="344"/>
      <c r="S125" s="344">
        <f>IFERROR(VLOOKUP($P125,BD!$B$4:$BO$389,63,FALSE), NA())</f>
        <v>17.226190476190474</v>
      </c>
      <c r="T125" s="344">
        <f>IFERROR(VLOOKUP($P125,BD!$B$4:$BO$389,64,FALSE), NA())</f>
        <v>6408721</v>
      </c>
      <c r="U125" s="344">
        <f>IFERROR(VLOOKUP($P125,BD!$B$4:$BO$400,65,FALSE), NA())</f>
        <v>6413062</v>
      </c>
      <c r="V125" s="345">
        <f>IFERROR(VLOOKUP($P125,BD!$B$4:$BO$389,66,FALSE), NA())</f>
        <v>4341</v>
      </c>
    </row>
    <row r="126" spans="2:22" ht="24" thickBot="1" x14ac:dyDescent="0.3">
      <c r="B126" s="346">
        <f t="shared" si="11"/>
        <v>46097</v>
      </c>
      <c r="C126" s="343">
        <f>IF(H126=0, 0, IFERROR(VLOOKUP($B126,BD!$B$4:$BO$389,52,FALSE), 0))</f>
        <v>125</v>
      </c>
      <c r="D126" s="344"/>
      <c r="E126" s="344">
        <f>IFERROR(VLOOKUP($B126,BD!$B$4:$BO$389,53,FALSE), NA())</f>
        <v>5.3133333333333335</v>
      </c>
      <c r="F126" s="344">
        <f>IFERROR(VLOOKUP($B126,BD!$B$4:$BO$389,54,FALSE), NA())</f>
        <v>6011539</v>
      </c>
      <c r="G126" s="344">
        <f>IFERROR(VLOOKUP($B126,BD!$B$4:$BO$400,55,FALSE), NA())</f>
        <v>6013930</v>
      </c>
      <c r="H126" s="345">
        <f>IFERROR(VLOOKUP($B126,BD!$B$4:$BO$389,56,FALSE), NA())</f>
        <v>2391</v>
      </c>
      <c r="I126" s="346">
        <f t="shared" si="12"/>
        <v>46097</v>
      </c>
      <c r="J126" s="343">
        <f>IF(O126=0, 0, IFERROR(VLOOKUP($I126,BD!$B$4:$BO$389,57,FALSE), 0))</f>
        <v>20</v>
      </c>
      <c r="K126" s="344"/>
      <c r="L126" s="344">
        <f>IFERROR(VLOOKUP($I126,BD!$B$4:$BO$389,58,FALSE), NA())</f>
        <v>16.597222222222221</v>
      </c>
      <c r="M126" s="344">
        <f>IFERROR(VLOOKUP($I126,BD!$B$4:$BO$389,59,FALSE), NA())</f>
        <v>1613422</v>
      </c>
      <c r="N126" s="344">
        <f>IFERROR(VLOOKUP($I126,BD!$B$4:$BO$400,60,FALSE), NA())</f>
        <v>1614617</v>
      </c>
      <c r="O126" s="345">
        <f>IFERROR(VLOOKUP($I126,BD!$B$4:$BO$389,61,FALSE), NA())</f>
        <v>1195</v>
      </c>
      <c r="P126" s="346">
        <f t="shared" si="13"/>
        <v>46097</v>
      </c>
      <c r="Q126" s="343">
        <f>IF(V126=0, 0, IFERROR(VLOOKUP($P126,BD!$B$4:$BO$389,62,FALSE), 0))</f>
        <v>70</v>
      </c>
      <c r="R126" s="344"/>
      <c r="S126" s="344">
        <f>IFERROR(VLOOKUP($P126,BD!$B$4:$BO$389,63,FALSE), NA())</f>
        <v>15.968253968253968</v>
      </c>
      <c r="T126" s="344">
        <f>IFERROR(VLOOKUP($P126,BD!$B$4:$BO$389,64,FALSE), NA())</f>
        <v>6413062</v>
      </c>
      <c r="U126" s="344">
        <f>IFERROR(VLOOKUP($P126,BD!$B$4:$BO$400,65,FALSE), NA())</f>
        <v>6417086</v>
      </c>
      <c r="V126" s="345">
        <f>IFERROR(VLOOKUP($P126,BD!$B$4:$BO$389,66,FALSE), NA())</f>
        <v>4024</v>
      </c>
    </row>
    <row r="127" spans="2:22" ht="24" thickBot="1" x14ac:dyDescent="0.3">
      <c r="B127" s="346">
        <f t="shared" si="11"/>
        <v>46098</v>
      </c>
      <c r="C127" s="343">
        <f>IF(H127=0, 0, IFERROR(VLOOKUP($B127,BD!$B$4:$BO$389,52,FALSE), 0))</f>
        <v>125</v>
      </c>
      <c r="D127" s="344"/>
      <c r="E127" s="344">
        <f>IFERROR(VLOOKUP($B127,BD!$B$4:$BO$389,53,FALSE), NA())</f>
        <v>5.4733333333333336</v>
      </c>
      <c r="F127" s="344">
        <f>IFERROR(VLOOKUP($B127,BD!$B$4:$BO$389,54,FALSE), NA())</f>
        <v>6013930</v>
      </c>
      <c r="G127" s="344">
        <f>IFERROR(VLOOKUP($B127,BD!$B$4:$BO$400,55,FALSE), NA())</f>
        <v>6016393</v>
      </c>
      <c r="H127" s="345">
        <f>IFERROR(VLOOKUP($B127,BD!$B$4:$BO$389,56,FALSE), NA())</f>
        <v>2463</v>
      </c>
      <c r="I127" s="346">
        <f t="shared" si="12"/>
        <v>46098</v>
      </c>
      <c r="J127" s="343">
        <f>IF(O127=0, 0, IFERROR(VLOOKUP($I127,BD!$B$4:$BO$389,57,FALSE), 0))</f>
        <v>20</v>
      </c>
      <c r="K127" s="344"/>
      <c r="L127" s="344">
        <f>IFERROR(VLOOKUP($I127,BD!$B$4:$BO$389,58,FALSE), NA())</f>
        <v>16.930555555555557</v>
      </c>
      <c r="M127" s="344">
        <f>IFERROR(VLOOKUP($I127,BD!$B$4:$BO$389,59,FALSE), NA())</f>
        <v>1614617</v>
      </c>
      <c r="N127" s="344">
        <f>IFERROR(VLOOKUP($I127,BD!$B$4:$BO$400,60,FALSE), NA())</f>
        <v>1615836</v>
      </c>
      <c r="O127" s="345">
        <f>IFERROR(VLOOKUP($I127,BD!$B$4:$BO$389,61,FALSE), NA())</f>
        <v>1219</v>
      </c>
      <c r="P127" s="346">
        <f t="shared" si="13"/>
        <v>46098</v>
      </c>
      <c r="Q127" s="343">
        <f>IF(V127=0, 0, IFERROR(VLOOKUP($P127,BD!$B$4:$BO$389,62,FALSE), 0))</f>
        <v>70</v>
      </c>
      <c r="R127" s="344"/>
      <c r="S127" s="344">
        <f>IFERROR(VLOOKUP($P127,BD!$B$4:$BO$389,63,FALSE), NA())</f>
        <v>17.845238095238095</v>
      </c>
      <c r="T127" s="344">
        <f>IFERROR(VLOOKUP($P127,BD!$B$4:$BO$389,64,FALSE), NA())</f>
        <v>6417086</v>
      </c>
      <c r="U127" s="344">
        <f>IFERROR(VLOOKUP($P127,BD!$B$4:$BO$400,65,FALSE), NA())</f>
        <v>6421583</v>
      </c>
      <c r="V127" s="345">
        <f>IFERROR(VLOOKUP($P127,BD!$B$4:$BO$389,66,FALSE), NA())</f>
        <v>4497</v>
      </c>
    </row>
    <row r="128" spans="2:22" ht="24" thickBot="1" x14ac:dyDescent="0.3">
      <c r="B128" s="346">
        <f t="shared" si="11"/>
        <v>46099</v>
      </c>
      <c r="C128" s="343">
        <f>IF(H128=0, 0, IFERROR(VLOOKUP($B128,BD!$B$4:$BO$389,52,FALSE), 0))</f>
        <v>125</v>
      </c>
      <c r="D128" s="344"/>
      <c r="E128" s="344">
        <f>IFERROR(VLOOKUP($B128,BD!$B$4:$BO$389,53,FALSE), NA())</f>
        <v>5.52</v>
      </c>
      <c r="F128" s="344">
        <f>IFERROR(VLOOKUP($B128,BD!$B$4:$BO$389,54,FALSE), NA())</f>
        <v>6016393</v>
      </c>
      <c r="G128" s="344">
        <f>IFERROR(VLOOKUP($B128,BD!$B$4:$BO$400,55,FALSE), NA())</f>
        <v>6018877</v>
      </c>
      <c r="H128" s="345">
        <f>IFERROR(VLOOKUP($B128,BD!$B$4:$BO$389,56,FALSE), NA())</f>
        <v>2484</v>
      </c>
      <c r="I128" s="346">
        <f t="shared" si="12"/>
        <v>46099</v>
      </c>
      <c r="J128" s="343">
        <f>IF(O128=0, 0, IFERROR(VLOOKUP($I128,BD!$B$4:$BO$389,57,FALSE), 0))</f>
        <v>20</v>
      </c>
      <c r="K128" s="344"/>
      <c r="L128" s="344">
        <f>IFERROR(VLOOKUP($I128,BD!$B$4:$BO$389,58,FALSE), NA())</f>
        <v>17.444444444444443</v>
      </c>
      <c r="M128" s="344">
        <f>IFERROR(VLOOKUP($I128,BD!$B$4:$BO$389,59,FALSE), NA())</f>
        <v>1615836</v>
      </c>
      <c r="N128" s="344">
        <f>IFERROR(VLOOKUP($I128,BD!$B$4:$BO$400,60,FALSE), NA())</f>
        <v>1617092</v>
      </c>
      <c r="O128" s="345">
        <f>IFERROR(VLOOKUP($I128,BD!$B$4:$BO$389,61,FALSE), NA())</f>
        <v>1256</v>
      </c>
      <c r="P128" s="346">
        <f t="shared" si="13"/>
        <v>46099</v>
      </c>
      <c r="Q128" s="343">
        <f>IF(V128=0, 0, IFERROR(VLOOKUP($P128,BD!$B$4:$BO$389,62,FALSE), 0))</f>
        <v>70</v>
      </c>
      <c r="R128" s="344"/>
      <c r="S128" s="344">
        <f>IFERROR(VLOOKUP($P128,BD!$B$4:$BO$389,63,FALSE), NA())</f>
        <v>21.686507936507937</v>
      </c>
      <c r="T128" s="344">
        <f>IFERROR(VLOOKUP($P128,BD!$B$4:$BO$389,64,FALSE), NA())</f>
        <v>6421583</v>
      </c>
      <c r="U128" s="344">
        <f>IFERROR(VLOOKUP($P128,BD!$B$4:$BO$400,65,FALSE), NA())</f>
        <v>6427048</v>
      </c>
      <c r="V128" s="345">
        <f>IFERROR(VLOOKUP($P128,BD!$B$4:$BO$389,66,FALSE), NA())</f>
        <v>5465</v>
      </c>
    </row>
    <row r="129" spans="2:22" ht="24" thickBot="1" x14ac:dyDescent="0.3">
      <c r="B129" s="346">
        <f t="shared" si="11"/>
        <v>46100</v>
      </c>
      <c r="C129" s="343">
        <f>IF(H129=0, 0, IFERROR(VLOOKUP($B129,BD!$B$4:$BO$389,52,FALSE), 0))</f>
        <v>125</v>
      </c>
      <c r="D129" s="344"/>
      <c r="E129" s="344">
        <f>IFERROR(VLOOKUP($B129,BD!$B$4:$BO$389,53,FALSE), NA())</f>
        <v>5.6044444444444448</v>
      </c>
      <c r="F129" s="344">
        <f>IFERROR(VLOOKUP($B129,BD!$B$4:$BO$389,54,FALSE), NA())</f>
        <v>6018877</v>
      </c>
      <c r="G129" s="344">
        <f>IFERROR(VLOOKUP($B129,BD!$B$4:$BO$400,55,FALSE), NA())</f>
        <v>6021399</v>
      </c>
      <c r="H129" s="345">
        <f>IFERROR(VLOOKUP($B129,BD!$B$4:$BO$389,56,FALSE), NA())</f>
        <v>2522</v>
      </c>
      <c r="I129" s="346">
        <f t="shared" si="12"/>
        <v>46100</v>
      </c>
      <c r="J129" s="343">
        <f>IF(O129=0, 0, IFERROR(VLOOKUP($I129,BD!$B$4:$BO$389,57,FALSE), 0))</f>
        <v>20</v>
      </c>
      <c r="K129" s="344"/>
      <c r="L129" s="344">
        <f>IFERROR(VLOOKUP($I129,BD!$B$4:$BO$389,58,FALSE), NA())</f>
        <v>17.291666666666668</v>
      </c>
      <c r="M129" s="344">
        <f>IFERROR(VLOOKUP($I129,BD!$B$4:$BO$389,59,FALSE), NA())</f>
        <v>1617092</v>
      </c>
      <c r="N129" s="344">
        <f>IFERROR(VLOOKUP($I129,BD!$B$4:$BO$400,60,FALSE), NA())</f>
        <v>1618337</v>
      </c>
      <c r="O129" s="345">
        <f>IFERROR(VLOOKUP($I129,BD!$B$4:$BO$389,61,FALSE), NA())</f>
        <v>1245</v>
      </c>
      <c r="P129" s="346">
        <f t="shared" si="13"/>
        <v>46100</v>
      </c>
      <c r="Q129" s="343">
        <f>IF(V129=0, 0, IFERROR(VLOOKUP($P129,BD!$B$4:$BO$389,62,FALSE), 0))</f>
        <v>70</v>
      </c>
      <c r="R129" s="344"/>
      <c r="S129" s="344">
        <f>IFERROR(VLOOKUP($P129,BD!$B$4:$BO$389,63,FALSE), NA())</f>
        <v>18.349206349206348</v>
      </c>
      <c r="T129" s="344">
        <f>IFERROR(VLOOKUP($P129,BD!$B$4:$BO$389,64,FALSE), NA())</f>
        <v>6427048</v>
      </c>
      <c r="U129" s="344">
        <f>IFERROR(VLOOKUP($P129,BD!$B$4:$BO$400,65,FALSE), NA())</f>
        <v>6431672</v>
      </c>
      <c r="V129" s="345">
        <f>IFERROR(VLOOKUP($P129,BD!$B$4:$BO$389,66,FALSE), NA())</f>
        <v>4624</v>
      </c>
    </row>
    <row r="130" spans="2:22" ht="24" thickBot="1" x14ac:dyDescent="0.3">
      <c r="B130" s="346">
        <f t="shared" si="11"/>
        <v>46101</v>
      </c>
      <c r="C130" s="343">
        <f>IF(H130=0, 0, IFERROR(VLOOKUP($B130,BD!$B$4:$BO$389,52,FALSE), 0))</f>
        <v>125</v>
      </c>
      <c r="D130" s="344"/>
      <c r="E130" s="344">
        <f>IFERROR(VLOOKUP($B130,BD!$B$4:$BO$389,53,FALSE), NA())</f>
        <v>4.8311111111111114</v>
      </c>
      <c r="F130" s="344">
        <f>IFERROR(VLOOKUP($B130,BD!$B$4:$BO$389,54,FALSE), NA())</f>
        <v>6021399</v>
      </c>
      <c r="G130" s="344">
        <f>IFERROR(VLOOKUP($B130,BD!$B$4:$BO$400,55,FALSE), NA())</f>
        <v>6023573</v>
      </c>
      <c r="H130" s="345">
        <f>IFERROR(VLOOKUP($B130,BD!$B$4:$BO$389,56,FALSE), NA())</f>
        <v>2174</v>
      </c>
      <c r="I130" s="346">
        <f t="shared" si="12"/>
        <v>46101</v>
      </c>
      <c r="J130" s="343">
        <f>IF(O130=0, 0, IFERROR(VLOOKUP($I130,BD!$B$4:$BO$389,57,FALSE), 0))</f>
        <v>20</v>
      </c>
      <c r="K130" s="344"/>
      <c r="L130" s="344">
        <f>IFERROR(VLOOKUP($I130,BD!$B$4:$BO$389,58,FALSE), NA())</f>
        <v>17.291666666666668</v>
      </c>
      <c r="M130" s="344">
        <f>IFERROR(VLOOKUP($I130,BD!$B$4:$BO$389,59,FALSE), NA())</f>
        <v>1618337</v>
      </c>
      <c r="N130" s="344">
        <f>IFERROR(VLOOKUP($I130,BD!$B$4:$BO$400,60,FALSE), NA())</f>
        <v>1619582</v>
      </c>
      <c r="O130" s="345">
        <f>IFERROR(VLOOKUP($I130,BD!$B$4:$BO$389,61,FALSE), NA())</f>
        <v>1245</v>
      </c>
      <c r="P130" s="346">
        <f t="shared" si="13"/>
        <v>46101</v>
      </c>
      <c r="Q130" s="343">
        <f>IF(V130=0, 0, IFERROR(VLOOKUP($P130,BD!$B$4:$BO$389,62,FALSE), 0))</f>
        <v>70</v>
      </c>
      <c r="R130" s="344"/>
      <c r="S130" s="344">
        <f>IFERROR(VLOOKUP($P130,BD!$B$4:$BO$389,63,FALSE), NA())</f>
        <v>21.932539682539684</v>
      </c>
      <c r="T130" s="344">
        <f>IFERROR(VLOOKUP($P130,BD!$B$4:$BO$389,64,FALSE), NA())</f>
        <v>6431672</v>
      </c>
      <c r="U130" s="344">
        <f>IFERROR(VLOOKUP($P130,BD!$B$4:$BO$400,65,FALSE), NA())</f>
        <v>6437199</v>
      </c>
      <c r="V130" s="345">
        <f>IFERROR(VLOOKUP($P130,BD!$B$4:$BO$389,66,FALSE), NA())</f>
        <v>5527</v>
      </c>
    </row>
    <row r="131" spans="2:22" ht="24" thickBot="1" x14ac:dyDescent="0.3">
      <c r="B131" s="346">
        <f t="shared" si="11"/>
        <v>46102</v>
      </c>
      <c r="C131" s="343">
        <f>IF(H131=0, 0, IFERROR(VLOOKUP($B131,BD!$B$4:$BO$389,52,FALSE), 0))</f>
        <v>125</v>
      </c>
      <c r="D131" s="344"/>
      <c r="E131" s="344">
        <f>IFERROR(VLOOKUP($B131,BD!$B$4:$BO$389,53,FALSE), NA())</f>
        <v>0.56666666666666665</v>
      </c>
      <c r="F131" s="344">
        <f>IFERROR(VLOOKUP($B131,BD!$B$4:$BO$389,54,FALSE), NA())</f>
        <v>6023573</v>
      </c>
      <c r="G131" s="344">
        <f>IFERROR(VLOOKUP($B131,BD!$B$4:$BO$400,55,FALSE), NA())</f>
        <v>6023828</v>
      </c>
      <c r="H131" s="345">
        <f>IFERROR(VLOOKUP($B131,BD!$B$4:$BO$389,56,FALSE), NA())</f>
        <v>255</v>
      </c>
      <c r="I131" s="346">
        <f t="shared" si="12"/>
        <v>46102</v>
      </c>
      <c r="J131" s="343">
        <f>IF(O131=0, 0, IFERROR(VLOOKUP($I131,BD!$B$4:$BO$389,57,FALSE), 0))</f>
        <v>20</v>
      </c>
      <c r="K131" s="344"/>
      <c r="L131" s="344">
        <f>IFERROR(VLOOKUP($I131,BD!$B$4:$BO$389,58,FALSE), NA())</f>
        <v>14.916666666666666</v>
      </c>
      <c r="M131" s="344">
        <f>IFERROR(VLOOKUP($I131,BD!$B$4:$BO$389,59,FALSE), NA())</f>
        <v>1619582</v>
      </c>
      <c r="N131" s="344">
        <f>IFERROR(VLOOKUP($I131,BD!$B$4:$BO$400,60,FALSE), NA())</f>
        <v>1620656</v>
      </c>
      <c r="O131" s="345">
        <f>IFERROR(VLOOKUP($I131,BD!$B$4:$BO$389,61,FALSE), NA())</f>
        <v>1074</v>
      </c>
      <c r="P131" s="346">
        <f t="shared" si="13"/>
        <v>46102</v>
      </c>
      <c r="Q131" s="343">
        <f>IF(V131=0, 0, IFERROR(VLOOKUP($P131,BD!$B$4:$BO$389,62,FALSE), 0))</f>
        <v>70</v>
      </c>
      <c r="R131" s="344"/>
      <c r="S131" s="344">
        <f>IFERROR(VLOOKUP($P131,BD!$B$4:$BO$389,63,FALSE), NA())</f>
        <v>17.924603174603174</v>
      </c>
      <c r="T131" s="344">
        <f>IFERROR(VLOOKUP($P131,BD!$B$4:$BO$389,64,FALSE), NA())</f>
        <v>6437199</v>
      </c>
      <c r="U131" s="344">
        <f>IFERROR(VLOOKUP($P131,BD!$B$4:$BO$400,65,FALSE), NA())</f>
        <v>6441716</v>
      </c>
      <c r="V131" s="345">
        <f>IFERROR(VLOOKUP($P131,BD!$B$4:$BO$389,66,FALSE), NA())</f>
        <v>4517</v>
      </c>
    </row>
    <row r="132" spans="2:22" ht="24" thickBot="1" x14ac:dyDescent="0.3">
      <c r="B132" s="346">
        <f t="shared" si="11"/>
        <v>46103</v>
      </c>
      <c r="C132" s="343">
        <f>IF(H132=0, 0, IFERROR(VLOOKUP($B132,BD!$B$4:$BO$389,52,FALSE), 0))</f>
        <v>125</v>
      </c>
      <c r="D132" s="344"/>
      <c r="E132" s="344">
        <f>IFERROR(VLOOKUP($B132,BD!$B$4:$BO$389,53,FALSE), NA())</f>
        <v>3.5555555555555556E-2</v>
      </c>
      <c r="F132" s="344">
        <f>IFERROR(VLOOKUP($B132,BD!$B$4:$BO$389,54,FALSE), NA())</f>
        <v>6023828</v>
      </c>
      <c r="G132" s="344">
        <f>IFERROR(VLOOKUP($B132,BD!$B$4:$BO$400,55,FALSE), NA())</f>
        <v>6023844</v>
      </c>
      <c r="H132" s="345">
        <f>IFERROR(VLOOKUP($B132,BD!$B$4:$BO$389,56,FALSE), NA())</f>
        <v>16</v>
      </c>
      <c r="I132" s="346">
        <f t="shared" si="12"/>
        <v>46103</v>
      </c>
      <c r="J132" s="343">
        <f>IF(O132=0, 0, IFERROR(VLOOKUP($I132,BD!$B$4:$BO$389,57,FALSE), 0))</f>
        <v>20</v>
      </c>
      <c r="K132" s="344"/>
      <c r="L132" s="344">
        <f>IFERROR(VLOOKUP($I132,BD!$B$4:$BO$389,58,FALSE), NA())</f>
        <v>7.9027777777777777</v>
      </c>
      <c r="M132" s="344">
        <f>IFERROR(VLOOKUP($I132,BD!$B$4:$BO$389,59,FALSE), NA())</f>
        <v>1620656</v>
      </c>
      <c r="N132" s="344">
        <f>IFERROR(VLOOKUP($I132,BD!$B$4:$BO$400,60,FALSE), NA())</f>
        <v>1621225</v>
      </c>
      <c r="O132" s="345">
        <f>IFERROR(VLOOKUP($I132,BD!$B$4:$BO$389,61,FALSE), NA())</f>
        <v>569</v>
      </c>
      <c r="P132" s="346">
        <f t="shared" si="13"/>
        <v>46103</v>
      </c>
      <c r="Q132" s="343">
        <f>IF(V132=0, 0, IFERROR(VLOOKUP($P132,BD!$B$4:$BO$389,62,FALSE), 0))</f>
        <v>70</v>
      </c>
      <c r="R132" s="344"/>
      <c r="S132" s="344">
        <f>IFERROR(VLOOKUP($P132,BD!$B$4:$BO$389,63,FALSE), NA())</f>
        <v>6.4404761904761907</v>
      </c>
      <c r="T132" s="344">
        <f>IFERROR(VLOOKUP($P132,BD!$B$4:$BO$389,64,FALSE), NA())</f>
        <v>6441716</v>
      </c>
      <c r="U132" s="344">
        <f>IFERROR(VLOOKUP($P132,BD!$B$4:$BO$400,65,FALSE), NA())</f>
        <v>6443339</v>
      </c>
      <c r="V132" s="345">
        <f>IFERROR(VLOOKUP($P132,BD!$B$4:$BO$389,66,FALSE), NA())</f>
        <v>1623</v>
      </c>
    </row>
    <row r="133" spans="2:22" ht="24" thickBot="1" x14ac:dyDescent="0.3">
      <c r="B133" s="346">
        <f t="shared" si="11"/>
        <v>46104</v>
      </c>
      <c r="C133" s="343">
        <f>IF(H133=0, 0, IFERROR(VLOOKUP($B133,BD!$B$4:$BO$389,52,FALSE), 0))</f>
        <v>125</v>
      </c>
      <c r="D133" s="344"/>
      <c r="E133" s="344">
        <f>IFERROR(VLOOKUP($B133,BD!$B$4:$BO$389,53,FALSE), NA())</f>
        <v>2.7022222222222223</v>
      </c>
      <c r="F133" s="344">
        <f>IFERROR(VLOOKUP($B133,BD!$B$4:$BO$389,54,FALSE), NA())</f>
        <v>6023844</v>
      </c>
      <c r="G133" s="344">
        <f>IFERROR(VLOOKUP($B133,BD!$B$4:$BO$400,55,FALSE), NA())</f>
        <v>6025060</v>
      </c>
      <c r="H133" s="345">
        <f>IFERROR(VLOOKUP($B133,BD!$B$4:$BO$389,56,FALSE), NA())</f>
        <v>1216</v>
      </c>
      <c r="I133" s="346">
        <f t="shared" si="12"/>
        <v>46104</v>
      </c>
      <c r="J133" s="343">
        <f>IF(O133=0, 0, IFERROR(VLOOKUP($I133,BD!$B$4:$BO$389,57,FALSE), 0))</f>
        <v>20</v>
      </c>
      <c r="K133" s="344"/>
      <c r="L133" s="344">
        <f>IFERROR(VLOOKUP($I133,BD!$B$4:$BO$389,58,FALSE), NA())</f>
        <v>4.9305555555555554</v>
      </c>
      <c r="M133" s="344">
        <f>IFERROR(VLOOKUP($I133,BD!$B$4:$BO$389,59,FALSE), NA())</f>
        <v>1621225</v>
      </c>
      <c r="N133" s="344">
        <f>IFERROR(VLOOKUP($I133,BD!$B$4:$BO$400,60,FALSE), NA())</f>
        <v>1621580</v>
      </c>
      <c r="O133" s="345">
        <f>IFERROR(VLOOKUP($I133,BD!$B$4:$BO$389,61,FALSE), NA())</f>
        <v>355</v>
      </c>
      <c r="P133" s="346">
        <f t="shared" si="13"/>
        <v>46104</v>
      </c>
      <c r="Q133" s="343">
        <f>IF(V133=0, 0, IFERROR(VLOOKUP($P133,BD!$B$4:$BO$389,62,FALSE), 0))</f>
        <v>70</v>
      </c>
      <c r="R133" s="344"/>
      <c r="S133" s="344">
        <f>IFERROR(VLOOKUP($P133,BD!$B$4:$BO$389,63,FALSE), NA())</f>
        <v>14.972222222222221</v>
      </c>
      <c r="T133" s="344">
        <f>IFERROR(VLOOKUP($P133,BD!$B$4:$BO$389,64,FALSE), NA())</f>
        <v>6443339</v>
      </c>
      <c r="U133" s="344">
        <f>IFERROR(VLOOKUP($P133,BD!$B$4:$BO$400,65,FALSE), NA())</f>
        <v>6447112</v>
      </c>
      <c r="V133" s="345">
        <f>IFERROR(VLOOKUP($P133,BD!$B$4:$BO$389,66,FALSE), NA())</f>
        <v>3773</v>
      </c>
    </row>
    <row r="134" spans="2:22" ht="24" thickBot="1" x14ac:dyDescent="0.3">
      <c r="B134" s="346">
        <f t="shared" si="11"/>
        <v>46105</v>
      </c>
      <c r="C134" s="343">
        <f>IF(H134=0, 0, IFERROR(VLOOKUP($B134,BD!$B$4:$BO$389,52,FALSE), 0))</f>
        <v>125</v>
      </c>
      <c r="D134" s="344"/>
      <c r="E134" s="344">
        <f>IFERROR(VLOOKUP($B134,BD!$B$4:$BO$389,53,FALSE), NA())</f>
        <v>5.2044444444444444</v>
      </c>
      <c r="F134" s="344">
        <f>IFERROR(VLOOKUP($B134,BD!$B$4:$BO$389,54,FALSE), NA())</f>
        <v>6025060</v>
      </c>
      <c r="G134" s="344">
        <f>IFERROR(VLOOKUP($B134,BD!$B$4:$BO$400,55,FALSE), NA())</f>
        <v>6027402</v>
      </c>
      <c r="H134" s="345">
        <f>IFERROR(VLOOKUP($B134,BD!$B$4:$BO$389,56,FALSE), NA())</f>
        <v>2342</v>
      </c>
      <c r="I134" s="346">
        <f t="shared" si="12"/>
        <v>46105</v>
      </c>
      <c r="J134" s="343">
        <f>IF(O134=0, 0, IFERROR(VLOOKUP($I134,BD!$B$4:$BO$389,57,FALSE), 0))</f>
        <v>20</v>
      </c>
      <c r="K134" s="344"/>
      <c r="L134" s="344">
        <f>IFERROR(VLOOKUP($I134,BD!$B$4:$BO$389,58,FALSE), NA())</f>
        <v>17.611111111111111</v>
      </c>
      <c r="M134" s="344">
        <f>IFERROR(VLOOKUP($I134,BD!$B$4:$BO$389,59,FALSE), NA())</f>
        <v>1621580</v>
      </c>
      <c r="N134" s="344">
        <f>IFERROR(VLOOKUP($I134,BD!$B$4:$BO$400,60,FALSE), NA())</f>
        <v>1622848</v>
      </c>
      <c r="O134" s="345">
        <f>IFERROR(VLOOKUP($I134,BD!$B$4:$BO$389,61,FALSE), NA())</f>
        <v>1268</v>
      </c>
      <c r="P134" s="346">
        <f t="shared" si="13"/>
        <v>46105</v>
      </c>
      <c r="Q134" s="343">
        <f>IF(V134=0, 0, IFERROR(VLOOKUP($P134,BD!$B$4:$BO$389,62,FALSE), 0))</f>
        <v>70</v>
      </c>
      <c r="R134" s="344"/>
      <c r="S134" s="344">
        <f>IFERROR(VLOOKUP($P134,BD!$B$4:$BO$389,63,FALSE), NA())</f>
        <v>10.916666666666666</v>
      </c>
      <c r="T134" s="344">
        <f>IFERROR(VLOOKUP($P134,BD!$B$4:$BO$389,64,FALSE), NA())</f>
        <v>6447112</v>
      </c>
      <c r="U134" s="344">
        <f>IFERROR(VLOOKUP($P134,BD!$B$4:$BO$400,65,FALSE), NA())</f>
        <v>6449863</v>
      </c>
      <c r="V134" s="345">
        <f>IFERROR(VLOOKUP($P134,BD!$B$4:$BO$389,66,FALSE), NA())</f>
        <v>2751</v>
      </c>
    </row>
    <row r="135" spans="2:22" ht="24" thickBot="1" x14ac:dyDescent="0.3">
      <c r="B135" s="346">
        <f t="shared" si="11"/>
        <v>46106</v>
      </c>
      <c r="C135" s="343">
        <f>IF(H135=0, 0, IFERROR(VLOOKUP($B135,BD!$B$4:$BO$389,52,FALSE), 0))</f>
        <v>125</v>
      </c>
      <c r="D135" s="344"/>
      <c r="E135" s="344">
        <f>IFERROR(VLOOKUP($B135,BD!$B$4:$BO$389,53,FALSE), NA())</f>
        <v>5.54</v>
      </c>
      <c r="F135" s="344">
        <f>IFERROR(VLOOKUP($B135,BD!$B$4:$BO$389,54,FALSE), NA())</f>
        <v>6027402</v>
      </c>
      <c r="G135" s="344">
        <f>IFERROR(VLOOKUP($B135,BD!$B$4:$BO$400,55,FALSE), NA())</f>
        <v>6029895</v>
      </c>
      <c r="H135" s="345">
        <f>IFERROR(VLOOKUP($B135,BD!$B$4:$BO$389,56,FALSE), NA())</f>
        <v>2493</v>
      </c>
      <c r="I135" s="346">
        <f t="shared" si="12"/>
        <v>46106</v>
      </c>
      <c r="J135" s="343">
        <f>IF(O135=0, 0, IFERROR(VLOOKUP($I135,BD!$B$4:$BO$389,57,FALSE), 0))</f>
        <v>20</v>
      </c>
      <c r="K135" s="344"/>
      <c r="L135" s="344">
        <f>IFERROR(VLOOKUP($I135,BD!$B$4:$BO$389,58,FALSE), NA())</f>
        <v>17.430555555555557</v>
      </c>
      <c r="M135" s="344">
        <f>IFERROR(VLOOKUP($I135,BD!$B$4:$BO$389,59,FALSE), NA())</f>
        <v>1622848</v>
      </c>
      <c r="N135" s="344">
        <f>IFERROR(VLOOKUP($I135,BD!$B$4:$BO$400,60,FALSE), NA())</f>
        <v>1624103</v>
      </c>
      <c r="O135" s="345">
        <f>IFERROR(VLOOKUP($I135,BD!$B$4:$BO$389,61,FALSE), NA())</f>
        <v>1255</v>
      </c>
      <c r="P135" s="346">
        <f t="shared" si="13"/>
        <v>46106</v>
      </c>
      <c r="Q135" s="343">
        <f>IF(V135=0, 0, IFERROR(VLOOKUP($P135,BD!$B$4:$BO$389,62,FALSE), 0))</f>
        <v>70</v>
      </c>
      <c r="R135" s="344"/>
      <c r="S135" s="344">
        <f>IFERROR(VLOOKUP($P135,BD!$B$4:$BO$389,63,FALSE), NA())</f>
        <v>17.420634920634921</v>
      </c>
      <c r="T135" s="344">
        <f>IFERROR(VLOOKUP($P135,BD!$B$4:$BO$389,64,FALSE), NA())</f>
        <v>6449863</v>
      </c>
      <c r="U135" s="344">
        <f>IFERROR(VLOOKUP($P135,BD!$B$4:$BO$400,65,FALSE), NA())</f>
        <v>6454253</v>
      </c>
      <c r="V135" s="345">
        <f>IFERROR(VLOOKUP($P135,BD!$B$4:$BO$389,66,FALSE), NA())</f>
        <v>4390</v>
      </c>
    </row>
    <row r="136" spans="2:22" ht="24" thickBot="1" x14ac:dyDescent="0.3">
      <c r="B136" s="346">
        <f t="shared" si="11"/>
        <v>46107</v>
      </c>
      <c r="C136" s="343">
        <f>IF(H136=0, 0, IFERROR(VLOOKUP($B136,BD!$B$4:$BO$389,52,FALSE), 0))</f>
        <v>125</v>
      </c>
      <c r="D136" s="344"/>
      <c r="E136" s="344">
        <f>IFERROR(VLOOKUP($B136,BD!$B$4:$BO$389,53,FALSE), NA())</f>
        <v>5.4955555555555557</v>
      </c>
      <c r="F136" s="344">
        <f>IFERROR(VLOOKUP($B136,BD!$B$4:$BO$389,54,FALSE), NA())</f>
        <v>6029895</v>
      </c>
      <c r="G136" s="344">
        <f>IFERROR(VLOOKUP($B136,BD!$B$4:$BO$400,55,FALSE), NA())</f>
        <v>6032368</v>
      </c>
      <c r="H136" s="345">
        <f>IFERROR(VLOOKUP($B136,BD!$B$4:$BO$389,56,FALSE), NA())</f>
        <v>2473</v>
      </c>
      <c r="I136" s="346">
        <f t="shared" si="12"/>
        <v>46107</v>
      </c>
      <c r="J136" s="343">
        <f>IF(O136=0, 0, IFERROR(VLOOKUP($I136,BD!$B$4:$BO$389,57,FALSE), 0))</f>
        <v>20</v>
      </c>
      <c r="K136" s="344"/>
      <c r="L136" s="344">
        <f>IFERROR(VLOOKUP($I136,BD!$B$4:$BO$389,58,FALSE), NA())</f>
        <v>16.930555555555557</v>
      </c>
      <c r="M136" s="344">
        <f>IFERROR(VLOOKUP($I136,BD!$B$4:$BO$389,59,FALSE), NA())</f>
        <v>1624103</v>
      </c>
      <c r="N136" s="344">
        <f>IFERROR(VLOOKUP($I136,BD!$B$4:$BO$400,60,FALSE), NA())</f>
        <v>1625322</v>
      </c>
      <c r="O136" s="345">
        <f>IFERROR(VLOOKUP($I136,BD!$B$4:$BO$389,61,FALSE), NA())</f>
        <v>1219</v>
      </c>
      <c r="P136" s="346">
        <f t="shared" si="13"/>
        <v>46107</v>
      </c>
      <c r="Q136" s="343">
        <f>IF(V136=0, 0, IFERROR(VLOOKUP($P136,BD!$B$4:$BO$389,62,FALSE), 0))</f>
        <v>70</v>
      </c>
      <c r="R136" s="344"/>
      <c r="S136" s="344">
        <f>IFERROR(VLOOKUP($P136,BD!$B$4:$BO$389,63,FALSE), NA())</f>
        <v>8.9444444444444446</v>
      </c>
      <c r="T136" s="344">
        <f>IFERROR(VLOOKUP($P136,BD!$B$4:$BO$389,64,FALSE), NA())</f>
        <v>6454253</v>
      </c>
      <c r="U136" s="344">
        <f>IFERROR(VLOOKUP($P136,BD!$B$4:$BO$400,65,FALSE), NA())</f>
        <v>6456507</v>
      </c>
      <c r="V136" s="345">
        <f>IFERROR(VLOOKUP($P136,BD!$B$4:$BO$389,66,FALSE), NA())</f>
        <v>2254</v>
      </c>
    </row>
    <row r="137" spans="2:22" ht="24" thickBot="1" x14ac:dyDescent="0.3">
      <c r="B137" s="346">
        <f t="shared" si="11"/>
        <v>46108</v>
      </c>
      <c r="C137" s="343">
        <f>IF(H137=0, 0, IFERROR(VLOOKUP($B137,BD!$B$4:$BO$389,52,FALSE), 0))</f>
        <v>125</v>
      </c>
      <c r="D137" s="344"/>
      <c r="E137" s="344">
        <f>IFERROR(VLOOKUP($B137,BD!$B$4:$BO$389,53,FALSE), NA())</f>
        <v>5.431111111111111</v>
      </c>
      <c r="F137" s="344">
        <f>IFERROR(VLOOKUP($B137,BD!$B$4:$BO$389,54,FALSE), NA())</f>
        <v>6032368</v>
      </c>
      <c r="G137" s="344">
        <f>IFERROR(VLOOKUP($B137,BD!$B$4:$BO$400,55,FALSE), NA())</f>
        <v>6034812</v>
      </c>
      <c r="H137" s="345">
        <f>IFERROR(VLOOKUP($B137,BD!$B$4:$BO$389,56,FALSE), NA())</f>
        <v>2444</v>
      </c>
      <c r="I137" s="346">
        <f t="shared" si="12"/>
        <v>46108</v>
      </c>
      <c r="J137" s="343">
        <f>IF(O137=0, 0, IFERROR(VLOOKUP($I137,BD!$B$4:$BO$389,57,FALSE), 0))</f>
        <v>20</v>
      </c>
      <c r="K137" s="344"/>
      <c r="L137" s="344">
        <f>IFERROR(VLOOKUP($I137,BD!$B$4:$BO$389,58,FALSE), NA())</f>
        <v>16.736111111111111</v>
      </c>
      <c r="M137" s="344">
        <f>IFERROR(VLOOKUP($I137,BD!$B$4:$BO$389,59,FALSE), NA())</f>
        <v>1625322</v>
      </c>
      <c r="N137" s="344">
        <f>IFERROR(VLOOKUP($I137,BD!$B$4:$BO$400,60,FALSE), NA())</f>
        <v>1626527</v>
      </c>
      <c r="O137" s="345">
        <f>IFERROR(VLOOKUP($I137,BD!$B$4:$BO$389,61,FALSE), NA())</f>
        <v>1205</v>
      </c>
      <c r="P137" s="346">
        <f t="shared" si="13"/>
        <v>46108</v>
      </c>
      <c r="Q137" s="343">
        <f>IF(V137=0, 0, IFERROR(VLOOKUP($P137,BD!$B$4:$BO$389,62,FALSE), 0))</f>
        <v>70</v>
      </c>
      <c r="R137" s="344"/>
      <c r="S137" s="344">
        <f>IFERROR(VLOOKUP($P137,BD!$B$4:$BO$389,63,FALSE), NA())</f>
        <v>17.503968253968253</v>
      </c>
      <c r="T137" s="344">
        <f>IFERROR(VLOOKUP($P137,BD!$B$4:$BO$389,64,FALSE), NA())</f>
        <v>6456507</v>
      </c>
      <c r="U137" s="344">
        <f>IFERROR(VLOOKUP($P137,BD!$B$4:$BO$400,65,FALSE), NA())</f>
        <v>6460918</v>
      </c>
      <c r="V137" s="345">
        <f>IFERROR(VLOOKUP($P137,BD!$B$4:$BO$389,66,FALSE), NA())</f>
        <v>4411</v>
      </c>
    </row>
    <row r="138" spans="2:22" ht="24" thickBot="1" x14ac:dyDescent="0.3">
      <c r="B138" s="346">
        <f t="shared" si="11"/>
        <v>46109</v>
      </c>
      <c r="C138" s="343">
        <f>IF(H138=0, 0, IFERROR(VLOOKUP($B138,BD!$B$4:$BO$389,52,FALSE), 0))</f>
        <v>125</v>
      </c>
      <c r="D138" s="344"/>
      <c r="E138" s="344">
        <f>IFERROR(VLOOKUP($B138,BD!$B$4:$BO$389,53,FALSE), NA())</f>
        <v>5.2222222222222223</v>
      </c>
      <c r="F138" s="344">
        <f>IFERROR(VLOOKUP($B138,BD!$B$4:$BO$389,54,FALSE), NA())</f>
        <v>6034812</v>
      </c>
      <c r="G138" s="344">
        <f>IFERROR(VLOOKUP($B138,BD!$B$4:$BO$400,55,FALSE), NA())</f>
        <v>6037162</v>
      </c>
      <c r="H138" s="345">
        <f>IFERROR(VLOOKUP($B138,BD!$B$4:$BO$389,56,FALSE), NA())</f>
        <v>2350</v>
      </c>
      <c r="I138" s="346">
        <f t="shared" si="12"/>
        <v>46109</v>
      </c>
      <c r="J138" s="343">
        <f>IF(O138=0, 0, IFERROR(VLOOKUP($I138,BD!$B$4:$BO$389,57,FALSE), 0))</f>
        <v>20</v>
      </c>
      <c r="K138" s="344"/>
      <c r="L138" s="344">
        <f>IFERROR(VLOOKUP($I138,BD!$B$4:$BO$389,58,FALSE), NA())</f>
        <v>17.597222222222221</v>
      </c>
      <c r="M138" s="344">
        <f>IFERROR(VLOOKUP($I138,BD!$B$4:$BO$389,59,FALSE), NA())</f>
        <v>1626527</v>
      </c>
      <c r="N138" s="344">
        <f>IFERROR(VLOOKUP($I138,BD!$B$4:$BO$400,60,FALSE), NA())</f>
        <v>1627794</v>
      </c>
      <c r="O138" s="345">
        <f>IFERROR(VLOOKUP($I138,BD!$B$4:$BO$389,61,FALSE), NA())</f>
        <v>1267</v>
      </c>
      <c r="P138" s="346">
        <f t="shared" si="13"/>
        <v>46109</v>
      </c>
      <c r="Q138" s="343">
        <f>IF(V138=0, 0, IFERROR(VLOOKUP($P138,BD!$B$4:$BO$389,62,FALSE), 0))</f>
        <v>70</v>
      </c>
      <c r="R138" s="344"/>
      <c r="S138" s="344">
        <f>IFERROR(VLOOKUP($P138,BD!$B$4:$BO$389,63,FALSE), NA())</f>
        <v>13.115079365079366</v>
      </c>
      <c r="T138" s="344">
        <f>IFERROR(VLOOKUP($P138,BD!$B$4:$BO$389,64,FALSE), NA())</f>
        <v>6460918</v>
      </c>
      <c r="U138" s="344">
        <f>IFERROR(VLOOKUP($P138,BD!$B$4:$BO$400,65,FALSE), NA())</f>
        <v>6464223</v>
      </c>
      <c r="V138" s="345">
        <f>IFERROR(VLOOKUP($P138,BD!$B$4:$BO$389,66,FALSE), NA())</f>
        <v>3305</v>
      </c>
    </row>
    <row r="139" spans="2:22" ht="24" thickBot="1" x14ac:dyDescent="0.3">
      <c r="B139" s="346">
        <f t="shared" si="11"/>
        <v>46110</v>
      </c>
      <c r="C139" s="343">
        <f>IF(H139=0, 0, IFERROR(VLOOKUP($B139,BD!$B$4:$BO$389,52,FALSE), 0))</f>
        <v>125</v>
      </c>
      <c r="D139" s="344"/>
      <c r="E139" s="344">
        <f>IFERROR(VLOOKUP($B139,BD!$B$4:$BO$389,53,FALSE), NA())</f>
        <v>5.4911111111111115</v>
      </c>
      <c r="F139" s="344">
        <f>IFERROR(VLOOKUP($B139,BD!$B$4:$BO$389,54,FALSE), NA())</f>
        <v>6037162</v>
      </c>
      <c r="G139" s="344">
        <f>IFERROR(VLOOKUP($B139,BD!$B$4:$BO$400,55,FALSE), NA())</f>
        <v>6039633</v>
      </c>
      <c r="H139" s="345">
        <f>IFERROR(VLOOKUP($B139,BD!$B$4:$BO$389,56,FALSE), NA())</f>
        <v>2471</v>
      </c>
      <c r="I139" s="346">
        <f t="shared" si="12"/>
        <v>46110</v>
      </c>
      <c r="J139" s="343">
        <f>IF(O139=0, 0, IFERROR(VLOOKUP($I139,BD!$B$4:$BO$389,57,FALSE), 0))</f>
        <v>20</v>
      </c>
      <c r="K139" s="344"/>
      <c r="L139" s="344">
        <f>IFERROR(VLOOKUP($I139,BD!$B$4:$BO$389,58,FALSE), NA())</f>
        <v>17.736111111111111</v>
      </c>
      <c r="M139" s="344">
        <f>IFERROR(VLOOKUP($I139,BD!$B$4:$BO$389,59,FALSE), NA())</f>
        <v>1627794</v>
      </c>
      <c r="N139" s="344">
        <f>IFERROR(VLOOKUP($I139,BD!$B$4:$BO$400,60,FALSE), NA())</f>
        <v>1629071</v>
      </c>
      <c r="O139" s="345">
        <f>IFERROR(VLOOKUP($I139,BD!$B$4:$BO$389,61,FALSE), NA())</f>
        <v>1277</v>
      </c>
      <c r="P139" s="346">
        <f t="shared" si="13"/>
        <v>46110</v>
      </c>
      <c r="Q139" s="343">
        <f>IF(V139=0, 0, IFERROR(VLOOKUP($P139,BD!$B$4:$BO$389,62,FALSE), 0))</f>
        <v>70</v>
      </c>
      <c r="R139" s="344"/>
      <c r="S139" s="344">
        <f>IFERROR(VLOOKUP($P139,BD!$B$4:$BO$389,63,FALSE), NA())</f>
        <v>19.083333333333332</v>
      </c>
      <c r="T139" s="344">
        <f>IFERROR(VLOOKUP($P139,BD!$B$4:$BO$389,64,FALSE), NA())</f>
        <v>6464223</v>
      </c>
      <c r="U139" s="344">
        <f>IFERROR(VLOOKUP($P139,BD!$B$4:$BO$400,65,FALSE), NA())</f>
        <v>6469032</v>
      </c>
      <c r="V139" s="345">
        <f>IFERROR(VLOOKUP($P139,BD!$B$4:$BO$389,66,FALSE), NA())</f>
        <v>4809</v>
      </c>
    </row>
    <row r="140" spans="2:22" ht="24" thickBot="1" x14ac:dyDescent="0.3">
      <c r="B140" s="346">
        <f t="shared" si="11"/>
        <v>46111</v>
      </c>
      <c r="C140" s="343">
        <f>IF(H140=0, 0, IFERROR(VLOOKUP($B140,BD!$B$4:$BO$389,52,FALSE), 0))</f>
        <v>125</v>
      </c>
      <c r="D140" s="344"/>
      <c r="E140" s="344">
        <f>IFERROR(VLOOKUP($B140,BD!$B$4:$BO$389,53,FALSE), NA())</f>
        <v>5.5844444444444443</v>
      </c>
      <c r="F140" s="344">
        <f>IFERROR(VLOOKUP($B140,BD!$B$4:$BO$389,54,FALSE), NA())</f>
        <v>6039633</v>
      </c>
      <c r="G140" s="344">
        <f>IFERROR(VLOOKUP($B140,BD!$B$4:$BO$400,55,FALSE), NA())</f>
        <v>6042146</v>
      </c>
      <c r="H140" s="345">
        <f>IFERROR(VLOOKUP($B140,BD!$B$4:$BO$389,56,FALSE), NA())</f>
        <v>2513</v>
      </c>
      <c r="I140" s="346">
        <f t="shared" si="12"/>
        <v>46111</v>
      </c>
      <c r="J140" s="343">
        <f>IF(O140=0, 0, IFERROR(VLOOKUP($I140,BD!$B$4:$BO$389,57,FALSE), 0))</f>
        <v>20</v>
      </c>
      <c r="K140" s="344"/>
      <c r="L140" s="344">
        <f>IFERROR(VLOOKUP($I140,BD!$B$4:$BO$389,58,FALSE), NA())</f>
        <v>16.916666666666668</v>
      </c>
      <c r="M140" s="344">
        <f>IFERROR(VLOOKUP($I140,BD!$B$4:$BO$389,59,FALSE), NA())</f>
        <v>1629071</v>
      </c>
      <c r="N140" s="344">
        <f>IFERROR(VLOOKUP($I140,BD!$B$4:$BO$400,60,FALSE), NA())</f>
        <v>1630289</v>
      </c>
      <c r="O140" s="345">
        <f>IFERROR(VLOOKUP($I140,BD!$B$4:$BO$389,61,FALSE), NA())</f>
        <v>1218</v>
      </c>
      <c r="P140" s="346">
        <f t="shared" si="13"/>
        <v>46111</v>
      </c>
      <c r="Q140" s="343">
        <f>IF(V140=0, 0, IFERROR(VLOOKUP($P140,BD!$B$4:$BO$389,62,FALSE), 0))</f>
        <v>70</v>
      </c>
      <c r="R140" s="344"/>
      <c r="S140" s="344">
        <f>IFERROR(VLOOKUP($P140,BD!$B$4:$BO$389,63,FALSE), NA())</f>
        <v>19.452380952380953</v>
      </c>
      <c r="T140" s="344">
        <f>IFERROR(VLOOKUP($P140,BD!$B$4:$BO$389,64,FALSE), NA())</f>
        <v>6469032</v>
      </c>
      <c r="U140" s="344">
        <f>IFERROR(VLOOKUP($P140,BD!$B$4:$BO$400,65,FALSE), NA())</f>
        <v>6473934</v>
      </c>
      <c r="V140" s="345">
        <f>IFERROR(VLOOKUP($P140,BD!$B$4:$BO$389,66,FALSE), NA())</f>
        <v>4902</v>
      </c>
    </row>
    <row r="141" spans="2:22" ht="24" thickBot="1" x14ac:dyDescent="0.3">
      <c r="B141" s="346">
        <f t="shared" si="11"/>
        <v>46112</v>
      </c>
      <c r="C141" s="343">
        <f>IF(H141=0, 0, IFERROR(VLOOKUP($B141,BD!$B$4:$BO$389,52,FALSE), 0))</f>
        <v>125</v>
      </c>
      <c r="D141" s="344"/>
      <c r="E141" s="344">
        <f>IFERROR(VLOOKUP($B141,BD!$B$4:$BO$389,53,FALSE), NA())</f>
        <v>4.9800000000000004</v>
      </c>
      <c r="F141" s="344">
        <f>IFERROR(VLOOKUP($B141,BD!$B$4:$BO$389,54,FALSE), NA())</f>
        <v>6042146</v>
      </c>
      <c r="G141" s="344">
        <f>IFERROR(VLOOKUP($B141,BD!$B$4:$BO$400,55,FALSE), NA())</f>
        <v>6044387</v>
      </c>
      <c r="H141" s="345">
        <f>IFERROR(VLOOKUP($B141,BD!$B$4:$BO$389,56,FALSE), NA())</f>
        <v>2241</v>
      </c>
      <c r="I141" s="346">
        <f t="shared" si="12"/>
        <v>46112</v>
      </c>
      <c r="J141" s="343">
        <f>IF(O141=0, 0, IFERROR(VLOOKUP($I141,BD!$B$4:$BO$389,57,FALSE), 0))</f>
        <v>20</v>
      </c>
      <c r="K141" s="344"/>
      <c r="L141" s="344">
        <f>IFERROR(VLOOKUP($I141,BD!$B$4:$BO$389,58,FALSE), NA())</f>
        <v>17.263888888888889</v>
      </c>
      <c r="M141" s="344">
        <f>IFERROR(VLOOKUP($I141,BD!$B$4:$BO$389,59,FALSE), NA())</f>
        <v>1630289</v>
      </c>
      <c r="N141" s="344">
        <f>IFERROR(VLOOKUP($I141,BD!$B$4:$BO$400,60,FALSE), NA())</f>
        <v>1631532</v>
      </c>
      <c r="O141" s="345">
        <f>IFERROR(VLOOKUP($I141,BD!$B$4:$BO$389,61,FALSE), NA())</f>
        <v>1243</v>
      </c>
      <c r="P141" s="346">
        <f t="shared" si="13"/>
        <v>46112</v>
      </c>
      <c r="Q141" s="343">
        <f>IF(V141=0, 0, IFERROR(VLOOKUP($P141,BD!$B$4:$BO$389,62,FALSE), 0))</f>
        <v>70</v>
      </c>
      <c r="R141" s="344"/>
      <c r="S141" s="344">
        <f>IFERROR(VLOOKUP($P141,BD!$B$4:$BO$389,63,FALSE), NA())</f>
        <v>17.896825396825395</v>
      </c>
      <c r="T141" s="344">
        <f>IFERROR(VLOOKUP($P141,BD!$B$4:$BO$389,64,FALSE), NA())</f>
        <v>6473934</v>
      </c>
      <c r="U141" s="344">
        <f>IFERROR(VLOOKUP($P141,BD!$B$4:$BO$400,65,FALSE), NA())</f>
        <v>6478444</v>
      </c>
      <c r="V141" s="345">
        <f>IFERROR(VLOOKUP($P141,BD!$B$4:$BO$389,66,FALSE), NA())</f>
        <v>4510</v>
      </c>
    </row>
    <row r="142" spans="2:22" ht="24" thickBot="1" x14ac:dyDescent="0.3">
      <c r="B142" s="346">
        <f t="shared" si="11"/>
        <v>46113</v>
      </c>
      <c r="C142" s="343">
        <f>IF(H142=0, 0, IFERROR(VLOOKUP($B142,BD!$B$4:$BO$389,52,FALSE), 0))</f>
        <v>125</v>
      </c>
      <c r="D142" s="344"/>
      <c r="E142" s="344">
        <f>IFERROR(VLOOKUP($B142,BD!$B$4:$BO$389,53,FALSE), NA())</f>
        <v>5.5355555555555558</v>
      </c>
      <c r="F142" s="344">
        <f>IFERROR(VLOOKUP($B142,BD!$B$4:$BO$389,54,FALSE), NA())</f>
        <v>6044387</v>
      </c>
      <c r="G142" s="344">
        <f>IFERROR(VLOOKUP($B142,BD!$B$4:$BO$400,55,FALSE), NA())</f>
        <v>6046878</v>
      </c>
      <c r="H142" s="345">
        <f>IFERROR(VLOOKUP($B142,BD!$B$4:$BO$389,56,FALSE), NA())</f>
        <v>2491</v>
      </c>
      <c r="I142" s="346">
        <f t="shared" si="12"/>
        <v>46113</v>
      </c>
      <c r="J142" s="343">
        <f>IF(O142=0, 0, IFERROR(VLOOKUP($I142,BD!$B$4:$BO$389,57,FALSE), 0))</f>
        <v>20</v>
      </c>
      <c r="K142" s="344"/>
      <c r="L142" s="344">
        <f>IFERROR(VLOOKUP($I142,BD!$B$4:$BO$389,58,FALSE), NA())</f>
        <v>16.930555555555557</v>
      </c>
      <c r="M142" s="344">
        <f>IFERROR(VLOOKUP($I142,BD!$B$4:$BO$389,59,FALSE), NA())</f>
        <v>1631532</v>
      </c>
      <c r="N142" s="344">
        <f>IFERROR(VLOOKUP($I142,BD!$B$4:$BO$400,60,FALSE), NA())</f>
        <v>1632751</v>
      </c>
      <c r="O142" s="345">
        <f>IFERROR(VLOOKUP($I142,BD!$B$4:$BO$389,61,FALSE), NA())</f>
        <v>1219</v>
      </c>
      <c r="P142" s="346">
        <f t="shared" si="13"/>
        <v>46113</v>
      </c>
      <c r="Q142" s="343">
        <f>IF(V142=0, 0, IFERROR(VLOOKUP($P142,BD!$B$4:$BO$389,62,FALSE), 0))</f>
        <v>70</v>
      </c>
      <c r="R142" s="344"/>
      <c r="S142" s="344">
        <f>IFERROR(VLOOKUP($P142,BD!$B$4:$BO$389,63,FALSE), NA())</f>
        <v>18.281746031746032</v>
      </c>
      <c r="T142" s="344">
        <f>IFERROR(VLOOKUP($P142,BD!$B$4:$BO$389,64,FALSE), NA())</f>
        <v>6478444</v>
      </c>
      <c r="U142" s="344">
        <f>IFERROR(VLOOKUP($P142,BD!$B$4:$BO$400,65,FALSE), NA())</f>
        <v>6483051</v>
      </c>
      <c r="V142" s="345">
        <f>IFERROR(VLOOKUP($P142,BD!$B$4:$BO$389,66,FALSE), NA())</f>
        <v>4607</v>
      </c>
    </row>
    <row r="143" spans="2:22" ht="24" thickBot="1" x14ac:dyDescent="0.3">
      <c r="B143" s="346">
        <f t="shared" si="11"/>
        <v>46114</v>
      </c>
      <c r="C143" s="343">
        <f>IF(H143=0, 0, IFERROR(VLOOKUP($B143,BD!$B$4:$BO$389,52,FALSE), 0))</f>
        <v>125</v>
      </c>
      <c r="D143" s="344"/>
      <c r="E143" s="344">
        <f>IFERROR(VLOOKUP($B143,BD!$B$4:$BO$389,53,FALSE), NA())</f>
        <v>5.5111111111111111</v>
      </c>
      <c r="F143" s="344">
        <f>IFERROR(VLOOKUP($B143,BD!$B$4:$BO$389,54,FALSE), NA())</f>
        <v>6046878</v>
      </c>
      <c r="G143" s="344">
        <f>IFERROR(VLOOKUP($B143,BD!$B$4:$BO$400,55,FALSE), NA())</f>
        <v>6049358</v>
      </c>
      <c r="H143" s="345">
        <f>IFERROR(VLOOKUP($B143,BD!$B$4:$BO$389,56,FALSE), NA())</f>
        <v>2480</v>
      </c>
      <c r="I143" s="346">
        <f t="shared" si="12"/>
        <v>46114</v>
      </c>
      <c r="J143" s="343">
        <f>IF(O143=0, 0, IFERROR(VLOOKUP($I143,BD!$B$4:$BO$389,57,FALSE), 0))</f>
        <v>20</v>
      </c>
      <c r="K143" s="344"/>
      <c r="L143" s="344">
        <f>IFERROR(VLOOKUP($I143,BD!$B$4:$BO$389,58,FALSE), NA())</f>
        <v>17.972222222222221</v>
      </c>
      <c r="M143" s="344">
        <f>IFERROR(VLOOKUP($I143,BD!$B$4:$BO$389,59,FALSE), NA())</f>
        <v>1632751</v>
      </c>
      <c r="N143" s="344">
        <f>IFERROR(VLOOKUP($I143,BD!$B$4:$BO$400,60,FALSE), NA())</f>
        <v>1634045</v>
      </c>
      <c r="O143" s="345">
        <f>IFERROR(VLOOKUP($I143,BD!$B$4:$BO$389,61,FALSE), NA())</f>
        <v>1294</v>
      </c>
      <c r="P143" s="346">
        <f t="shared" si="13"/>
        <v>46114</v>
      </c>
      <c r="Q143" s="343">
        <f>IF(V143=0, 0, IFERROR(VLOOKUP($P143,BD!$B$4:$BO$389,62,FALSE), 0))</f>
        <v>70</v>
      </c>
      <c r="R143" s="344"/>
      <c r="S143" s="344">
        <f>IFERROR(VLOOKUP($P143,BD!$B$4:$BO$389,63,FALSE), NA())</f>
        <v>16.49206349206349</v>
      </c>
      <c r="T143" s="344">
        <f>IFERROR(VLOOKUP($P143,BD!$B$4:$BO$389,64,FALSE), NA())</f>
        <v>6483051</v>
      </c>
      <c r="U143" s="344">
        <f>IFERROR(VLOOKUP($P143,BD!$B$4:$BO$400,65,FALSE), NA())</f>
        <v>6487207</v>
      </c>
      <c r="V143" s="345">
        <f>IFERROR(VLOOKUP($P143,BD!$B$4:$BO$389,66,FALSE), NA())</f>
        <v>4156</v>
      </c>
    </row>
    <row r="144" spans="2:22" ht="24" thickBot="1" x14ac:dyDescent="0.3">
      <c r="B144" s="346">
        <f t="shared" si="11"/>
        <v>46115</v>
      </c>
      <c r="C144" s="343">
        <f>IF(H144=0, 0, IFERROR(VLOOKUP($B144,BD!$B$4:$BO$389,52,FALSE), 0))</f>
        <v>125</v>
      </c>
      <c r="D144" s="344"/>
      <c r="E144" s="344">
        <f>IFERROR(VLOOKUP($B144,BD!$B$4:$BO$389,53,FALSE), NA())</f>
        <v>5.402222222222222</v>
      </c>
      <c r="F144" s="344">
        <f>IFERROR(VLOOKUP($B144,BD!$B$4:$BO$389,54,FALSE), NA())</f>
        <v>6049358</v>
      </c>
      <c r="G144" s="344">
        <f>IFERROR(VLOOKUP($B144,BD!$B$4:$BO$400,55,FALSE), NA())</f>
        <v>6051789</v>
      </c>
      <c r="H144" s="345">
        <f>IFERROR(VLOOKUP($B144,BD!$B$4:$BO$389,56,FALSE), NA())</f>
        <v>2431</v>
      </c>
      <c r="I144" s="346">
        <f t="shared" si="12"/>
        <v>46115</v>
      </c>
      <c r="J144" s="343">
        <f>IF(O144=0, 0, IFERROR(VLOOKUP($I144,BD!$B$4:$BO$389,57,FALSE), 0))</f>
        <v>20</v>
      </c>
      <c r="K144" s="344"/>
      <c r="L144" s="344">
        <f>IFERROR(VLOOKUP($I144,BD!$B$4:$BO$389,58,FALSE), NA())</f>
        <v>17.361111111111111</v>
      </c>
      <c r="M144" s="344">
        <f>IFERROR(VLOOKUP($I144,BD!$B$4:$BO$389,59,FALSE), NA())</f>
        <v>1634045</v>
      </c>
      <c r="N144" s="344">
        <f>IFERROR(VLOOKUP($I144,BD!$B$4:$BO$400,60,FALSE), NA())</f>
        <v>1635295</v>
      </c>
      <c r="O144" s="345">
        <f>IFERROR(VLOOKUP($I144,BD!$B$4:$BO$389,61,FALSE), NA())</f>
        <v>1250</v>
      </c>
      <c r="P144" s="346">
        <f t="shared" si="13"/>
        <v>46115</v>
      </c>
      <c r="Q144" s="343">
        <f>IF(V144=0, 0, IFERROR(VLOOKUP($P144,BD!$B$4:$BO$389,62,FALSE), 0))</f>
        <v>70</v>
      </c>
      <c r="R144" s="344"/>
      <c r="S144" s="344">
        <f>IFERROR(VLOOKUP($P144,BD!$B$4:$BO$389,63,FALSE), NA())</f>
        <v>18.480158730158731</v>
      </c>
      <c r="T144" s="344">
        <f>IFERROR(VLOOKUP($P144,BD!$B$4:$BO$389,64,FALSE), NA())</f>
        <v>6487207</v>
      </c>
      <c r="U144" s="344">
        <f>IFERROR(VLOOKUP($P144,BD!$B$4:$BO$400,65,FALSE), NA())</f>
        <v>6491864</v>
      </c>
      <c r="V144" s="345">
        <f>IFERROR(VLOOKUP($P144,BD!$B$4:$BO$389,66,FALSE), NA())</f>
        <v>4657</v>
      </c>
    </row>
    <row r="145" spans="2:22" ht="24" thickBot="1" x14ac:dyDescent="0.3">
      <c r="B145" s="346">
        <f t="shared" si="11"/>
        <v>46116</v>
      </c>
      <c r="C145" s="343">
        <f>IF(H145=0, 0, IFERROR(VLOOKUP($B145,BD!$B$4:$BO$389,52,FALSE), 0))</f>
        <v>125</v>
      </c>
      <c r="D145" s="344"/>
      <c r="E145" s="344">
        <f>IFERROR(VLOOKUP($B145,BD!$B$4:$BO$389,53,FALSE), NA())</f>
        <v>5.2955555555555556</v>
      </c>
      <c r="F145" s="344">
        <f>IFERROR(VLOOKUP($B145,BD!$B$4:$BO$389,54,FALSE), NA())</f>
        <v>6051789</v>
      </c>
      <c r="G145" s="344">
        <f>IFERROR(VLOOKUP($B145,BD!$B$4:$BO$400,55,FALSE), NA())</f>
        <v>6054172</v>
      </c>
      <c r="H145" s="345">
        <f>IFERROR(VLOOKUP($B145,BD!$B$4:$BO$389,56,FALSE), NA())</f>
        <v>2383</v>
      </c>
      <c r="I145" s="346">
        <f t="shared" si="12"/>
        <v>46116</v>
      </c>
      <c r="J145" s="343">
        <f>IF(O145=0, 0, IFERROR(VLOOKUP($I145,BD!$B$4:$BO$389,57,FALSE), 0))</f>
        <v>0</v>
      </c>
      <c r="K145" s="344"/>
      <c r="L145" s="344">
        <f>IFERROR(VLOOKUP($I145,BD!$B$4:$BO$389,58,FALSE), NA())</f>
        <v>0</v>
      </c>
      <c r="M145" s="344">
        <f>IFERROR(VLOOKUP($I145,BD!$B$4:$BO$389,59,FALSE), NA())</f>
        <v>1635295</v>
      </c>
      <c r="N145" s="344">
        <f>IFERROR(VLOOKUP($I145,BD!$B$4:$BO$400,60,FALSE), NA())</f>
        <v>1635295</v>
      </c>
      <c r="O145" s="345">
        <f>IFERROR(VLOOKUP($I145,BD!$B$4:$BO$389,61,FALSE), NA())</f>
        <v>0</v>
      </c>
      <c r="P145" s="346">
        <f t="shared" si="13"/>
        <v>46116</v>
      </c>
      <c r="Q145" s="343">
        <f>IF(V145=0, 0, IFERROR(VLOOKUP($P145,BD!$B$4:$BO$389,62,FALSE), 0))</f>
        <v>70</v>
      </c>
      <c r="R145" s="344"/>
      <c r="S145" s="344">
        <f>IFERROR(VLOOKUP($P145,BD!$B$4:$BO$389,63,FALSE), NA())</f>
        <v>18.734126984126984</v>
      </c>
      <c r="T145" s="344">
        <f>IFERROR(VLOOKUP($P145,BD!$B$4:$BO$389,64,FALSE), NA())</f>
        <v>6491864</v>
      </c>
      <c r="U145" s="344">
        <f>IFERROR(VLOOKUP($P145,BD!$B$4:$BO$400,65,FALSE), NA())</f>
        <v>6496585</v>
      </c>
      <c r="V145" s="345">
        <f>IFERROR(VLOOKUP($P145,BD!$B$4:$BO$389,66,FALSE), NA())</f>
        <v>4721</v>
      </c>
    </row>
    <row r="146" spans="2:22" ht="24" thickBot="1" x14ac:dyDescent="0.3">
      <c r="B146" s="346">
        <f t="shared" si="11"/>
        <v>46117</v>
      </c>
      <c r="C146" s="343">
        <f>IF(H146=0, 0, IFERROR(VLOOKUP($B146,BD!$B$4:$BO$389,52,FALSE), 0))</f>
        <v>125</v>
      </c>
      <c r="D146" s="344"/>
      <c r="E146" s="344">
        <f>IFERROR(VLOOKUP($B146,BD!$B$4:$BO$389,53,FALSE), NA())</f>
        <v>5.3488888888888892</v>
      </c>
      <c r="F146" s="344">
        <f>IFERROR(VLOOKUP($B146,BD!$B$4:$BO$389,54,FALSE), NA())</f>
        <v>6054172</v>
      </c>
      <c r="G146" s="344">
        <f>IFERROR(VLOOKUP($B146,BD!$B$4:$BO$400,55,FALSE), NA())</f>
        <v>6056579</v>
      </c>
      <c r="H146" s="345">
        <f>IFERROR(VLOOKUP($B146,BD!$B$4:$BO$389,56,FALSE), NA())</f>
        <v>2407</v>
      </c>
      <c r="I146" s="346">
        <f t="shared" si="12"/>
        <v>46117</v>
      </c>
      <c r="J146" s="343">
        <f>IF(O146=0, 0, IFERROR(VLOOKUP($I146,BD!$B$4:$BO$389,57,FALSE), 0))</f>
        <v>20</v>
      </c>
      <c r="K146" s="344"/>
      <c r="L146" s="344">
        <f>IFERROR(VLOOKUP($I146,BD!$B$4:$BO$389,58,FALSE), NA())</f>
        <v>5.5694444444444446</v>
      </c>
      <c r="M146" s="344">
        <f>IFERROR(VLOOKUP($I146,BD!$B$4:$BO$389,59,FALSE), NA())</f>
        <v>1635295</v>
      </c>
      <c r="N146" s="344">
        <f>IFERROR(VLOOKUP($I146,BD!$B$4:$BO$400,60,FALSE), NA())</f>
        <v>1635696</v>
      </c>
      <c r="O146" s="345">
        <f>IFERROR(VLOOKUP($I146,BD!$B$4:$BO$389,61,FALSE), NA())</f>
        <v>401</v>
      </c>
      <c r="P146" s="346">
        <f t="shared" si="13"/>
        <v>46117</v>
      </c>
      <c r="Q146" s="343">
        <f>IF(V146=0, 0, IFERROR(VLOOKUP($P146,BD!$B$4:$BO$389,62,FALSE), 0))</f>
        <v>70</v>
      </c>
      <c r="R146" s="344"/>
      <c r="S146" s="344">
        <f>IFERROR(VLOOKUP($P146,BD!$B$4:$BO$389,63,FALSE), NA())</f>
        <v>19.579365079365079</v>
      </c>
      <c r="T146" s="344">
        <f>IFERROR(VLOOKUP($P146,BD!$B$4:$BO$389,64,FALSE), NA())</f>
        <v>6496585</v>
      </c>
      <c r="U146" s="344">
        <f>IFERROR(VLOOKUP($P146,BD!$B$4:$BO$400,65,FALSE), NA())</f>
        <v>6501519</v>
      </c>
      <c r="V146" s="345">
        <f>IFERROR(VLOOKUP($P146,BD!$B$4:$BO$389,66,FALSE), NA())</f>
        <v>4934</v>
      </c>
    </row>
    <row r="147" spans="2:22" ht="24" thickBot="1" x14ac:dyDescent="0.3">
      <c r="B147" s="346">
        <f t="shared" si="11"/>
        <v>46118</v>
      </c>
      <c r="C147" s="343">
        <f>IF(H147=0, 0, IFERROR(VLOOKUP($B147,BD!$B$4:$BO$389,52,FALSE), 0))</f>
        <v>125</v>
      </c>
      <c r="D147" s="344"/>
      <c r="E147" s="344">
        <f>IFERROR(VLOOKUP($B147,BD!$B$4:$BO$389,53,FALSE), NA())</f>
        <v>5.5222222222222221</v>
      </c>
      <c r="F147" s="344">
        <f>IFERROR(VLOOKUP($B147,BD!$B$4:$BO$389,54,FALSE), NA())</f>
        <v>6056579</v>
      </c>
      <c r="G147" s="344">
        <f>IFERROR(VLOOKUP($B147,BD!$B$4:$BO$400,55,FALSE), NA())</f>
        <v>6059064</v>
      </c>
      <c r="H147" s="345">
        <f>IFERROR(VLOOKUP($B147,BD!$B$4:$BO$389,56,FALSE), NA())</f>
        <v>2485</v>
      </c>
      <c r="I147" s="346">
        <f t="shared" si="12"/>
        <v>46118</v>
      </c>
      <c r="J147" s="343">
        <f>IF(O147=0, 0, IFERROR(VLOOKUP($I147,BD!$B$4:$BO$389,57,FALSE), 0))</f>
        <v>20</v>
      </c>
      <c r="K147" s="344"/>
      <c r="L147" s="344">
        <f>IFERROR(VLOOKUP($I147,BD!$B$4:$BO$389,58,FALSE), NA())</f>
        <v>19.111111111111111</v>
      </c>
      <c r="M147" s="344">
        <f>IFERROR(VLOOKUP($I147,BD!$B$4:$BO$389,59,FALSE), NA())</f>
        <v>1635696</v>
      </c>
      <c r="N147" s="344">
        <f>IFERROR(VLOOKUP($I147,BD!$B$4:$BO$400,60,FALSE), NA())</f>
        <v>1637072</v>
      </c>
      <c r="O147" s="345">
        <f>IFERROR(VLOOKUP($I147,BD!$B$4:$BO$389,61,FALSE), NA())</f>
        <v>1376</v>
      </c>
      <c r="P147" s="346">
        <f t="shared" si="13"/>
        <v>46118</v>
      </c>
      <c r="Q147" s="343">
        <f>IF(V147=0, 0, IFERROR(VLOOKUP($P147,BD!$B$4:$BO$389,62,FALSE), 0))</f>
        <v>70</v>
      </c>
      <c r="R147" s="344"/>
      <c r="S147" s="344">
        <f>IFERROR(VLOOKUP($P147,BD!$B$4:$BO$389,63,FALSE), NA())</f>
        <v>19.047619047619047</v>
      </c>
      <c r="T147" s="344">
        <f>IFERROR(VLOOKUP($P147,BD!$B$4:$BO$389,64,FALSE), NA())</f>
        <v>6501519</v>
      </c>
      <c r="U147" s="344">
        <f>IFERROR(VLOOKUP($P147,BD!$B$4:$BO$400,65,FALSE), NA())</f>
        <v>6506319</v>
      </c>
      <c r="V147" s="345">
        <f>IFERROR(VLOOKUP($P147,BD!$B$4:$BO$389,66,FALSE), NA())</f>
        <v>4800</v>
      </c>
    </row>
    <row r="148" spans="2:22" ht="24" thickBot="1" x14ac:dyDescent="0.3">
      <c r="B148" s="346">
        <f t="shared" si="11"/>
        <v>46119</v>
      </c>
      <c r="C148" s="343">
        <f>IF(H148=0, 0, IFERROR(VLOOKUP($B148,BD!$B$4:$BO$389,52,FALSE), 0))</f>
        <v>125</v>
      </c>
      <c r="D148" s="344"/>
      <c r="E148" s="344">
        <f>IFERROR(VLOOKUP($B148,BD!$B$4:$BO$389,53,FALSE), NA())</f>
        <v>5.3066666666666666</v>
      </c>
      <c r="F148" s="344">
        <f>IFERROR(VLOOKUP($B148,BD!$B$4:$BO$389,54,FALSE), NA())</f>
        <v>6059064</v>
      </c>
      <c r="G148" s="344">
        <f>IFERROR(VLOOKUP($B148,BD!$B$4:$BO$400,55,FALSE), NA())</f>
        <v>6061452</v>
      </c>
      <c r="H148" s="345">
        <f>IFERROR(VLOOKUP($B148,BD!$B$4:$BO$389,56,FALSE), NA())</f>
        <v>2388</v>
      </c>
      <c r="I148" s="346">
        <f t="shared" si="12"/>
        <v>46119</v>
      </c>
      <c r="J148" s="343">
        <f>IF(O148=0, 0, IFERROR(VLOOKUP($I148,BD!$B$4:$BO$389,57,FALSE), 0))</f>
        <v>20</v>
      </c>
      <c r="K148" s="344"/>
      <c r="L148" s="344">
        <f>IFERROR(VLOOKUP($I148,BD!$B$4:$BO$389,58,FALSE), NA())</f>
        <v>16.333333333333332</v>
      </c>
      <c r="M148" s="344">
        <f>IFERROR(VLOOKUP($I148,BD!$B$4:$BO$389,59,FALSE), NA())</f>
        <v>1637072</v>
      </c>
      <c r="N148" s="344">
        <f>IFERROR(VLOOKUP($I148,BD!$B$4:$BO$400,60,FALSE), NA())</f>
        <v>1638248</v>
      </c>
      <c r="O148" s="345">
        <f>IFERROR(VLOOKUP($I148,BD!$B$4:$BO$389,61,FALSE), NA())</f>
        <v>1176</v>
      </c>
      <c r="P148" s="346">
        <f t="shared" si="13"/>
        <v>46119</v>
      </c>
      <c r="Q148" s="343">
        <f>IF(V148=0, 0, IFERROR(VLOOKUP($P148,BD!$B$4:$BO$389,62,FALSE), 0))</f>
        <v>70</v>
      </c>
      <c r="R148" s="344"/>
      <c r="S148" s="344">
        <f>IFERROR(VLOOKUP($P148,BD!$B$4:$BO$389,63,FALSE), NA())</f>
        <v>18.079365079365079</v>
      </c>
      <c r="T148" s="344">
        <f>IFERROR(VLOOKUP($P148,BD!$B$4:$BO$389,64,FALSE), NA())</f>
        <v>6506319</v>
      </c>
      <c r="U148" s="344">
        <f>IFERROR(VLOOKUP($P148,BD!$B$4:$BO$400,65,FALSE), NA())</f>
        <v>6510875</v>
      </c>
      <c r="V148" s="345">
        <f>IFERROR(VLOOKUP($P148,BD!$B$4:$BO$389,66,FALSE), NA())</f>
        <v>4556</v>
      </c>
    </row>
    <row r="149" spans="2:22" ht="24" thickBot="1" x14ac:dyDescent="0.3">
      <c r="B149" s="346">
        <f t="shared" si="11"/>
        <v>46120</v>
      </c>
      <c r="C149" s="343">
        <f>IF(H149=0, 0, IFERROR(VLOOKUP($B149,BD!$B$4:$BO$389,52,FALSE), 0))</f>
        <v>125</v>
      </c>
      <c r="D149" s="344"/>
      <c r="E149" s="344">
        <f>IFERROR(VLOOKUP($B149,BD!$B$4:$BO$389,53,FALSE), NA())</f>
        <v>5.5133333333333336</v>
      </c>
      <c r="F149" s="344">
        <f>IFERROR(VLOOKUP($B149,BD!$B$4:$BO$389,54,FALSE), NA())</f>
        <v>6061452</v>
      </c>
      <c r="G149" s="344">
        <f>IFERROR(VLOOKUP($B149,BD!$B$4:$BO$400,55,FALSE), NA())</f>
        <v>6063933</v>
      </c>
      <c r="H149" s="345">
        <f>IFERROR(VLOOKUP($B149,BD!$B$4:$BO$389,56,FALSE), NA())</f>
        <v>2481</v>
      </c>
      <c r="I149" s="346">
        <f t="shared" si="12"/>
        <v>46120</v>
      </c>
      <c r="J149" s="343">
        <f>IF(O149=0, 0, IFERROR(VLOOKUP($I149,BD!$B$4:$BO$389,57,FALSE), 0))</f>
        <v>20</v>
      </c>
      <c r="K149" s="344"/>
      <c r="L149" s="344">
        <f>IFERROR(VLOOKUP($I149,BD!$B$4:$BO$389,58,FALSE), NA())</f>
        <v>17.569444444444443</v>
      </c>
      <c r="M149" s="344">
        <f>IFERROR(VLOOKUP($I149,BD!$B$4:$BO$389,59,FALSE), NA())</f>
        <v>1638248</v>
      </c>
      <c r="N149" s="344">
        <f>IFERROR(VLOOKUP($I149,BD!$B$4:$BO$400,60,FALSE), NA())</f>
        <v>1639513</v>
      </c>
      <c r="O149" s="345">
        <f>IFERROR(VLOOKUP($I149,BD!$B$4:$BO$389,61,FALSE), NA())</f>
        <v>1265</v>
      </c>
      <c r="P149" s="346">
        <f t="shared" si="13"/>
        <v>46120</v>
      </c>
      <c r="Q149" s="343">
        <f>IF(V149=0, 0, IFERROR(VLOOKUP($P149,BD!$B$4:$BO$389,62,FALSE), 0))</f>
        <v>70</v>
      </c>
      <c r="R149" s="344"/>
      <c r="S149" s="344">
        <f>IFERROR(VLOOKUP($P149,BD!$B$4:$BO$389,63,FALSE), NA())</f>
        <v>17.920634920634921</v>
      </c>
      <c r="T149" s="344">
        <f>IFERROR(VLOOKUP($P149,BD!$B$4:$BO$389,64,FALSE), NA())</f>
        <v>6510875</v>
      </c>
      <c r="U149" s="344">
        <f>IFERROR(VLOOKUP($P149,BD!$B$4:$BO$400,65,FALSE), NA())</f>
        <v>6515391</v>
      </c>
      <c r="V149" s="345">
        <f>IFERROR(VLOOKUP($P149,BD!$B$4:$BO$389,66,FALSE), NA())</f>
        <v>4516</v>
      </c>
    </row>
    <row r="150" spans="2:22" ht="24" thickBot="1" x14ac:dyDescent="0.3">
      <c r="B150" s="346">
        <f t="shared" si="11"/>
        <v>46121</v>
      </c>
      <c r="C150" s="343">
        <f>IF(H150=0, 0, IFERROR(VLOOKUP($B150,BD!$B$4:$BO$389,52,FALSE), 0))</f>
        <v>125</v>
      </c>
      <c r="D150" s="344"/>
      <c r="E150" s="344">
        <f>IFERROR(VLOOKUP($B150,BD!$B$4:$BO$389,53,FALSE), NA())</f>
        <v>5.5644444444444447</v>
      </c>
      <c r="F150" s="344">
        <f>IFERROR(VLOOKUP($B150,BD!$B$4:$BO$389,54,FALSE), NA())</f>
        <v>6063933</v>
      </c>
      <c r="G150" s="344">
        <f>IFERROR(VLOOKUP($B150,BD!$B$4:$BO$400,55,FALSE), NA())</f>
        <v>6066437</v>
      </c>
      <c r="H150" s="345">
        <f>IFERROR(VLOOKUP($B150,BD!$B$4:$BO$389,56,FALSE), NA())</f>
        <v>2504</v>
      </c>
      <c r="I150" s="346">
        <f t="shared" si="12"/>
        <v>46121</v>
      </c>
      <c r="J150" s="343">
        <f>IF(O150=0, 0, IFERROR(VLOOKUP($I150,BD!$B$4:$BO$389,57,FALSE), 0))</f>
        <v>20</v>
      </c>
      <c r="K150" s="344"/>
      <c r="L150" s="344">
        <f>IFERROR(VLOOKUP($I150,BD!$B$4:$BO$389,58,FALSE), NA())</f>
        <v>17.416666666666668</v>
      </c>
      <c r="M150" s="344">
        <f>IFERROR(VLOOKUP($I150,BD!$B$4:$BO$389,59,FALSE), NA())</f>
        <v>1639513</v>
      </c>
      <c r="N150" s="344">
        <f>IFERROR(VLOOKUP($I150,BD!$B$4:$BO$400,60,FALSE), NA())</f>
        <v>1640767</v>
      </c>
      <c r="O150" s="345">
        <f>IFERROR(VLOOKUP($I150,BD!$B$4:$BO$389,61,FALSE), NA())</f>
        <v>1254</v>
      </c>
      <c r="P150" s="346">
        <f t="shared" si="13"/>
        <v>46121</v>
      </c>
      <c r="Q150" s="343">
        <f>IF(V150=0, 0, IFERROR(VLOOKUP($P150,BD!$B$4:$BO$389,62,FALSE), 0))</f>
        <v>70</v>
      </c>
      <c r="R150" s="344"/>
      <c r="S150" s="344">
        <f>IFERROR(VLOOKUP($P150,BD!$B$4:$BO$389,63,FALSE), NA())</f>
        <v>19.325396825396826</v>
      </c>
      <c r="T150" s="344">
        <f>IFERROR(VLOOKUP($P150,BD!$B$4:$BO$389,64,FALSE), NA())</f>
        <v>6515391</v>
      </c>
      <c r="U150" s="344">
        <f>IFERROR(VLOOKUP($P150,BD!$B$4:$BO$400,65,FALSE), NA())</f>
        <v>6520261</v>
      </c>
      <c r="V150" s="345">
        <f>IFERROR(VLOOKUP($P150,BD!$B$4:$BO$389,66,FALSE), NA())</f>
        <v>4870</v>
      </c>
    </row>
    <row r="151" spans="2:22" ht="24" thickBot="1" x14ac:dyDescent="0.3">
      <c r="B151" s="346">
        <f t="shared" si="11"/>
        <v>46122</v>
      </c>
      <c r="C151" s="343">
        <f>IF(H151=0, 0, IFERROR(VLOOKUP($B151,BD!$B$4:$BO$389,52,FALSE), 0))</f>
        <v>125</v>
      </c>
      <c r="D151" s="344"/>
      <c r="E151" s="344">
        <f>IFERROR(VLOOKUP($B151,BD!$B$4:$BO$389,53,FALSE), NA())</f>
        <v>5.4444444444444446</v>
      </c>
      <c r="F151" s="344">
        <f>IFERROR(VLOOKUP($B151,BD!$B$4:$BO$389,54,FALSE), NA())</f>
        <v>6066437</v>
      </c>
      <c r="G151" s="344">
        <f>IFERROR(VLOOKUP($B151,BD!$B$4:$BO$400,55,FALSE), NA())</f>
        <v>6068887</v>
      </c>
      <c r="H151" s="345">
        <f>IFERROR(VLOOKUP($B151,BD!$B$4:$BO$389,56,FALSE), NA())</f>
        <v>2450</v>
      </c>
      <c r="I151" s="346">
        <f t="shared" si="12"/>
        <v>46122</v>
      </c>
      <c r="J151" s="343">
        <f>IF(O151=0, 0, IFERROR(VLOOKUP($I151,BD!$B$4:$BO$389,57,FALSE), 0))</f>
        <v>20</v>
      </c>
      <c r="K151" s="344"/>
      <c r="L151" s="344">
        <f>IFERROR(VLOOKUP($I151,BD!$B$4:$BO$389,58,FALSE), NA())</f>
        <v>18.194444444444443</v>
      </c>
      <c r="M151" s="344">
        <f>IFERROR(VLOOKUP($I151,BD!$B$4:$BO$389,59,FALSE), NA())</f>
        <v>1640767</v>
      </c>
      <c r="N151" s="344">
        <f>IFERROR(VLOOKUP($I151,BD!$B$4:$BO$400,60,FALSE), NA())</f>
        <v>1642077</v>
      </c>
      <c r="O151" s="345">
        <f>IFERROR(VLOOKUP($I151,BD!$B$4:$BO$389,61,FALSE), NA())</f>
        <v>1310</v>
      </c>
      <c r="P151" s="346">
        <f t="shared" si="13"/>
        <v>46122</v>
      </c>
      <c r="Q151" s="343">
        <f>IF(V151=0, 0, IFERROR(VLOOKUP($P151,BD!$B$4:$BO$389,62,FALSE), 0))</f>
        <v>70</v>
      </c>
      <c r="R151" s="344"/>
      <c r="S151" s="344">
        <f>IFERROR(VLOOKUP($P151,BD!$B$4:$BO$389,63,FALSE), NA())</f>
        <v>17.61904761904762</v>
      </c>
      <c r="T151" s="344">
        <f>IFERROR(VLOOKUP($P151,BD!$B$4:$BO$389,64,FALSE), NA())</f>
        <v>6520261</v>
      </c>
      <c r="U151" s="344">
        <f>IFERROR(VLOOKUP($P151,BD!$B$4:$BO$400,65,FALSE), NA())</f>
        <v>6524701</v>
      </c>
      <c r="V151" s="345">
        <f>IFERROR(VLOOKUP($P151,BD!$B$4:$BO$389,66,FALSE), NA())</f>
        <v>4440</v>
      </c>
    </row>
    <row r="152" spans="2:22" ht="24" thickBot="1" x14ac:dyDescent="0.3">
      <c r="B152" s="346">
        <f t="shared" si="11"/>
        <v>46123</v>
      </c>
      <c r="C152" s="343">
        <f>IF(H152=0, 0, IFERROR(VLOOKUP($B152,BD!$B$4:$BO$389,52,FALSE), 0))</f>
        <v>125</v>
      </c>
      <c r="D152" s="344"/>
      <c r="E152" s="344">
        <f>IFERROR(VLOOKUP($B152,BD!$B$4:$BO$389,53,FALSE), NA())</f>
        <v>5.3755555555555556</v>
      </c>
      <c r="F152" s="344">
        <f>IFERROR(VLOOKUP($B152,BD!$B$4:$BO$389,54,FALSE), NA())</f>
        <v>6068887</v>
      </c>
      <c r="G152" s="344">
        <f>IFERROR(VLOOKUP($B152,BD!$B$4:$BO$400,55,FALSE), NA())</f>
        <v>6071306</v>
      </c>
      <c r="H152" s="345">
        <f>IFERROR(VLOOKUP($B152,BD!$B$4:$BO$389,56,FALSE), NA())</f>
        <v>2419</v>
      </c>
      <c r="I152" s="346">
        <f t="shared" si="12"/>
        <v>46123</v>
      </c>
      <c r="J152" s="343">
        <f>IF(O152=0, 0, IFERROR(VLOOKUP($I152,BD!$B$4:$BO$389,57,FALSE), 0))</f>
        <v>20</v>
      </c>
      <c r="K152" s="344"/>
      <c r="L152" s="344">
        <f>IFERROR(VLOOKUP($I152,BD!$B$4:$BO$389,58,FALSE), NA())</f>
        <v>18.388888888888889</v>
      </c>
      <c r="M152" s="344">
        <f>IFERROR(VLOOKUP($I152,BD!$B$4:$BO$389,59,FALSE), NA())</f>
        <v>1642077</v>
      </c>
      <c r="N152" s="344">
        <f>IFERROR(VLOOKUP($I152,BD!$B$4:$BO$400,60,FALSE), NA())</f>
        <v>1643401</v>
      </c>
      <c r="O152" s="345">
        <f>IFERROR(VLOOKUP($I152,BD!$B$4:$BO$389,61,FALSE), NA())</f>
        <v>1324</v>
      </c>
      <c r="P152" s="346">
        <f t="shared" si="13"/>
        <v>46123</v>
      </c>
      <c r="Q152" s="343">
        <f>IF(V152=0, 0, IFERROR(VLOOKUP($P152,BD!$B$4:$BO$389,62,FALSE), 0))</f>
        <v>70</v>
      </c>
      <c r="R152" s="344"/>
      <c r="S152" s="344">
        <f>IFERROR(VLOOKUP($P152,BD!$B$4:$BO$389,63,FALSE), NA())</f>
        <v>18.531746031746032</v>
      </c>
      <c r="T152" s="344">
        <f>IFERROR(VLOOKUP($P152,BD!$B$4:$BO$389,64,FALSE), NA())</f>
        <v>6524701</v>
      </c>
      <c r="U152" s="344">
        <f>IFERROR(VLOOKUP($P152,BD!$B$4:$BO$400,65,FALSE), NA())</f>
        <v>6529371</v>
      </c>
      <c r="V152" s="345">
        <f>IFERROR(VLOOKUP($P152,BD!$B$4:$BO$389,66,FALSE), NA())</f>
        <v>4670</v>
      </c>
    </row>
    <row r="153" spans="2:22" ht="24" thickBot="1" x14ac:dyDescent="0.3">
      <c r="B153" s="532" t="s">
        <v>16</v>
      </c>
      <c r="C153" s="533"/>
      <c r="D153" s="533"/>
      <c r="E153" s="533"/>
      <c r="F153" s="533"/>
      <c r="G153" s="534"/>
      <c r="H153" s="348">
        <f>_xlfn.AGGREGATE(9,6,H122:H152)</f>
        <v>69494</v>
      </c>
      <c r="I153" s="532" t="s">
        <v>16</v>
      </c>
      <c r="J153" s="533"/>
      <c r="K153" s="533"/>
      <c r="L153" s="533"/>
      <c r="M153" s="533"/>
      <c r="N153" s="534"/>
      <c r="O153" s="348">
        <f>_xlfn.AGGREGATE(9,6,O122:O152)</f>
        <v>35046</v>
      </c>
      <c r="P153" s="532" t="s">
        <v>16</v>
      </c>
      <c r="Q153" s="533"/>
      <c r="R153" s="533"/>
      <c r="S153" s="533"/>
      <c r="T153" s="533"/>
      <c r="U153" s="534"/>
      <c r="V153" s="348">
        <f>_xlfn.AGGREGATE(9,6,V122:V152)</f>
        <v>135781</v>
      </c>
    </row>
    <row r="154" spans="2:22" ht="24" thickBot="1" x14ac:dyDescent="0.3">
      <c r="B154" s="532" t="s">
        <v>17</v>
      </c>
      <c r="C154" s="533"/>
      <c r="D154" s="533"/>
      <c r="E154" s="533"/>
      <c r="F154" s="533"/>
      <c r="G154" s="534"/>
      <c r="H154" s="348">
        <f>H153*0.1</f>
        <v>6949.4000000000005</v>
      </c>
      <c r="I154" s="532" t="s">
        <v>17</v>
      </c>
      <c r="J154" s="533"/>
      <c r="K154" s="533"/>
      <c r="L154" s="533"/>
      <c r="M154" s="533"/>
      <c r="N154" s="534"/>
      <c r="O154" s="348">
        <f>O153*0.1</f>
        <v>3504.6000000000004</v>
      </c>
      <c r="P154" s="532" t="s">
        <v>17</v>
      </c>
      <c r="Q154" s="533"/>
      <c r="R154" s="533"/>
      <c r="S154" s="533"/>
      <c r="T154" s="533"/>
      <c r="U154" s="534"/>
      <c r="V154" s="348">
        <f>V153*0.1</f>
        <v>13578.1</v>
      </c>
    </row>
    <row r="155" spans="2:22" ht="25.5" thickBot="1" x14ac:dyDescent="0.3">
      <c r="B155" s="532" t="s">
        <v>564</v>
      </c>
      <c r="C155" s="533"/>
      <c r="D155" s="533"/>
      <c r="E155" s="533"/>
      <c r="F155" s="533"/>
      <c r="G155" s="534"/>
      <c r="H155" s="348">
        <f>H153-H154</f>
        <v>62544.6</v>
      </c>
      <c r="I155" s="532" t="s">
        <v>564</v>
      </c>
      <c r="J155" s="533"/>
      <c r="K155" s="533"/>
      <c r="L155" s="533"/>
      <c r="M155" s="533"/>
      <c r="N155" s="534"/>
      <c r="O155" s="348">
        <f>O153-O154</f>
        <v>31541.4</v>
      </c>
      <c r="P155" s="532" t="s">
        <v>564</v>
      </c>
      <c r="Q155" s="533"/>
      <c r="R155" s="533"/>
      <c r="S155" s="533"/>
      <c r="T155" s="533"/>
      <c r="U155" s="534"/>
      <c r="V155" s="348">
        <f>V153-V154</f>
        <v>122202.9</v>
      </c>
    </row>
  </sheetData>
  <mergeCells count="60">
    <mergeCell ref="B154:G154"/>
    <mergeCell ref="I154:N154"/>
    <mergeCell ref="P154:U154"/>
    <mergeCell ref="B155:G155"/>
    <mergeCell ref="I155:N155"/>
    <mergeCell ref="P155:U155"/>
    <mergeCell ref="B120:H120"/>
    <mergeCell ref="I120:O120"/>
    <mergeCell ref="P120:V120"/>
    <mergeCell ref="B153:G153"/>
    <mergeCell ref="I153:N153"/>
    <mergeCell ref="P153:U153"/>
    <mergeCell ref="B115:G115"/>
    <mergeCell ref="I115:N115"/>
    <mergeCell ref="P115:U115"/>
    <mergeCell ref="B119:H119"/>
    <mergeCell ref="I119:O119"/>
    <mergeCell ref="P119:V119"/>
    <mergeCell ref="B113:G113"/>
    <mergeCell ref="I113:N113"/>
    <mergeCell ref="P113:U113"/>
    <mergeCell ref="B114:G114"/>
    <mergeCell ref="I114:N114"/>
    <mergeCell ref="P114:U114"/>
    <mergeCell ref="B79:H79"/>
    <mergeCell ref="I79:O79"/>
    <mergeCell ref="P79:V79"/>
    <mergeCell ref="B80:H80"/>
    <mergeCell ref="I80:O80"/>
    <mergeCell ref="P80:V80"/>
    <mergeCell ref="B76:G76"/>
    <mergeCell ref="I76:N76"/>
    <mergeCell ref="P76:U76"/>
    <mergeCell ref="B77:G77"/>
    <mergeCell ref="I77:N77"/>
    <mergeCell ref="P77:U77"/>
    <mergeCell ref="B42:H42"/>
    <mergeCell ref="I42:O42"/>
    <mergeCell ref="P42:V42"/>
    <mergeCell ref="B75:G75"/>
    <mergeCell ref="I75:N75"/>
    <mergeCell ref="P75:U75"/>
    <mergeCell ref="B39:G39"/>
    <mergeCell ref="I39:N39"/>
    <mergeCell ref="P39:U39"/>
    <mergeCell ref="B41:H41"/>
    <mergeCell ref="I41:O41"/>
    <mergeCell ref="P41:V41"/>
    <mergeCell ref="B37:G37"/>
    <mergeCell ref="I37:N37"/>
    <mergeCell ref="P37:U37"/>
    <mergeCell ref="B38:G38"/>
    <mergeCell ref="I38:N38"/>
    <mergeCell ref="P38:U38"/>
    <mergeCell ref="B3:H3"/>
    <mergeCell ref="I3:O3"/>
    <mergeCell ref="P3:V3"/>
    <mergeCell ref="B4:H4"/>
    <mergeCell ref="I4:O4"/>
    <mergeCell ref="P4:V4"/>
  </mergeCells>
  <printOptions horizontalCentered="1" verticalCentered="1"/>
  <pageMargins left="0.25" right="0.25" top="0.75" bottom="0.75" header="0.3" footer="0.3"/>
  <pageSetup paperSize="9" scale="56" fitToWidth="0" orientation="landscape" r:id="rId1"/>
  <rowBreaks count="1" manualBreakCount="1">
    <brk id="39" max="16383" man="1"/>
  </rowBreaks>
  <colBreaks count="5" manualBreakCount="5">
    <brk id="8" max="1048575" man="1"/>
    <brk id="15" min="2" max="37" man="1"/>
    <brk id="15" min="40" max="75" man="1"/>
    <brk id="15" min="78" max="113" man="1"/>
    <brk id="15" min="118" max="153"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BAA5E3-9413-4CF1-BD57-E94F389000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BD</vt:lpstr>
      <vt:lpstr>BDsurtidor</vt:lpstr>
      <vt:lpstr>BDrsanjuan</vt:lpstr>
      <vt:lpstr>DASHBOARD</vt:lpstr>
      <vt:lpstr>Caudal Inst.</vt:lpstr>
      <vt:lpstr>BDmensual</vt:lpstr>
      <vt:lpstr>IMPRESION SCI</vt:lpstr>
      <vt:lpstr>rpt sunass</vt:lpstr>
      <vt:lpstr>RPTGO</vt:lpstr>
      <vt:lpstr>CORTES</vt:lpstr>
      <vt:lpstr>RPTdiario</vt:lpstr>
      <vt:lpstr>RPTGC</vt:lpstr>
      <vt:lpstr>RE_ANUAL</vt:lpstr>
      <vt:lpstr>rpt mensual (new)</vt:lpstr>
      <vt:lpstr>BD!Área_de_impresión</vt:lpstr>
      <vt:lpstr>DASHBOARD!Área_de_impresión</vt:lpstr>
      <vt:lpstr>'IMPRESION SCI'!Área_de_impresión</vt:lpstr>
      <vt:lpstr>'rpt mensual (new)'!Área_de_impresión</vt:lpstr>
      <vt:lpstr>RPTGC!Área_de_impresión</vt:lpstr>
      <vt:lpstr>BD!Títulos_a_imprimir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O_PRODUCCION03</cp:lastModifiedBy>
  <cp:lastPrinted>2025-11-06T15:41:32Z</cp:lastPrinted>
  <dcterms:created xsi:type="dcterms:W3CDTF">2016-02-08T22:12:47Z</dcterms:created>
  <dcterms:modified xsi:type="dcterms:W3CDTF">2026-04-27T14:33:43Z</dcterms:modified>
</cp:coreProperties>
</file>